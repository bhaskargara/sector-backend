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ables/table17.xml" ContentType="application/vnd.openxmlformats-officedocument.spreadsheetml.table+xml"/>
  <Override PartName="/xl/worksheets/sheet28.xml" ContentType="application/vnd.openxmlformats-officedocument.spreadsheetml.worksheet+xml"/>
  <Override PartName="/xl/tables/table18.xml" ContentType="application/vnd.openxmlformats-officedocument.spreadsheetml.table+xml"/>
  <Override PartName="/xl/worksheets/sheet29.xml" ContentType="application/vnd.openxmlformats-officedocument.spreadsheetml.worksheet+xml"/>
  <Override PartName="/xl/tables/table19.xml" ContentType="application/vnd.openxmlformats-officedocument.spreadsheetml.table+xml"/>
  <Override PartName="/xl/worksheets/sheet30.xml" ContentType="application/vnd.openxmlformats-officedocument.spreadsheetml.worksheet+xml"/>
  <Override PartName="/xl/tables/table20.xml" ContentType="application/vnd.openxmlformats-officedocument.spreadsheetml.table+xml"/>
  <Override PartName="/xl/worksheets/sheet31.xml" ContentType="application/vnd.openxmlformats-officedocument.spreadsheetml.worksheet+xml"/>
  <Override PartName="/xl/tables/table21.xml" ContentType="application/vnd.openxmlformats-officedocument.spreadsheetml.table+xml"/>
  <Override PartName="/xl/worksheets/sheet32.xml" ContentType="application/vnd.openxmlformats-officedocument.spreadsheetml.worksheet+xml"/>
  <Override PartName="/xl/tables/table22.xml" ContentType="application/vnd.openxmlformats-officedocument.spreadsheetml.table+xml"/>
  <Override PartName="/xl/worksheets/sheet33.xml" ContentType="application/vnd.openxmlformats-officedocument.spreadsheetml.worksheet+xml"/>
  <Override PartName="/xl/tables/table23.xml" ContentType="application/vnd.openxmlformats-officedocument.spreadsheetml.table+xml"/>
  <Override PartName="/xl/worksheets/sheet34.xml" ContentType="application/vnd.openxmlformats-officedocument.spreadsheetml.worksheet+xml"/>
  <Override PartName="/xl/tables/table24.xml" ContentType="application/vnd.openxmlformats-officedocument.spreadsheetml.table+xml"/>
  <Override PartName="/xl/worksheets/sheet35.xml" ContentType="application/vnd.openxmlformats-officedocument.spreadsheetml.worksheet+xml"/>
  <Override PartName="/xl/tables/table25.xml" ContentType="application/vnd.openxmlformats-officedocument.spreadsheetml.table+xml"/>
  <Override PartName="/xl/worksheets/sheet36.xml" ContentType="application/vnd.openxmlformats-officedocument.spreadsheetml.worksheet+xml"/>
  <Override PartName="/xl/tables/table26.xml" ContentType="application/vnd.openxmlformats-officedocument.spreadsheetml.table+xml"/>
  <Override PartName="/xl/worksheets/sheet37.xml" ContentType="application/vnd.openxmlformats-officedocument.spreadsheetml.worksheet+xml"/>
  <Override PartName="/xl/tables/table27.xml" ContentType="application/vnd.openxmlformats-officedocument.spreadsheetml.table+xml"/>
  <Override PartName="/xl/worksheets/sheet38.xml" ContentType="application/vnd.openxmlformats-officedocument.spreadsheetml.worksheet+xml"/>
  <Override PartName="/xl/tables/table28.xml" ContentType="application/vnd.openxmlformats-officedocument.spreadsheetml.table+xml"/>
  <Override PartName="/xl/worksheets/sheet39.xml" ContentType="application/vnd.openxmlformats-officedocument.spreadsheetml.worksheet+xml"/>
  <Override PartName="/xl/tables/table29.xml" ContentType="application/vnd.openxmlformats-officedocument.spreadsheetml.table+xml"/>
  <Override PartName="/xl/worksheets/sheet40.xml" ContentType="application/vnd.openxmlformats-officedocument.spreadsheetml.worksheet+xml"/>
  <Override PartName="/xl/tables/table30.xml" ContentType="application/vnd.openxmlformats-officedocument.spreadsheetml.table+xml"/>
  <Override PartName="/xl/worksheets/sheet41.xml" ContentType="application/vnd.openxmlformats-officedocument.spreadsheetml.worksheet+xml"/>
  <Override PartName="/xl/tables/table31.xml" ContentType="application/vnd.openxmlformats-officedocument.spreadsheetml.table+xml"/>
  <Override PartName="/xl/worksheets/sheet42.xml" ContentType="application/vnd.openxmlformats-officedocument.spreadsheetml.worksheet+xml"/>
  <Override PartName="/xl/tables/table3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8a537c458c94bbd" /></Relationships>
</file>

<file path=xl/workbook.xml><?xml version="1.0" encoding="utf-8"?>
<x:workbook xmlns:x="http://schemas.openxmlformats.org/spreadsheetml/2006/main">
  <x:sheets>
    <x:sheet xmlns:r="http://schemas.openxmlformats.org/officeDocument/2006/relationships" name="README" sheetId="1" r:id="Re8cd49aaf40e441b"/>
    <x:sheet xmlns:r="http://schemas.openxmlformats.org/officeDocument/2006/relationships" name="Sector Master" sheetId="2" r:id="R9aab54e18e6a4c39"/>
    <x:sheet xmlns:r="http://schemas.openxmlformats.org/officeDocument/2006/relationships" name="Sub-Sector Master" sheetId="3" r:id="Rfc958e145c1d4078"/>
    <x:sheet xmlns:r="http://schemas.openxmlformats.org/officeDocument/2006/relationships" name="Regulatory Authority Master" sheetId="4" r:id="Rf61d671ba31943ab"/>
    <x:sheet xmlns:r="http://schemas.openxmlformats.org/officeDocument/2006/relationships" name="Compliance Area Master" sheetId="5" r:id="R04e061dcb3e94e4b"/>
    <x:sheet xmlns:r="http://schemas.openxmlformats.org/officeDocument/2006/relationships" name="Law Master" sheetId="6" r:id="R05c82d10989b4e6f"/>
    <x:sheet xmlns:r="http://schemas.openxmlformats.org/officeDocument/2006/relationships" name="Law_ComplianceArea_Map" sheetId="7" r:id="Rccd33349ac464f29"/>
    <x:sheet xmlns:r="http://schemas.openxmlformats.org/officeDocument/2006/relationships" name="Provision Master" sheetId="8" r:id="R3585865a2c2546cc"/>
    <x:sheet xmlns:r="http://schemas.openxmlformats.org/officeDocument/2006/relationships" name="Provision_ComplianceArea_Map" sheetId="9" r:id="Rdf04efae9e624f09"/>
    <x:sheet xmlns:r="http://schemas.openxmlformats.org/officeDocument/2006/relationships" name="Compliance Requirement Master" sheetId="10" r:id="R75f9528e03844a73"/>
    <x:sheet xmlns:r="http://schemas.openxmlformats.org/officeDocument/2006/relationships" name="Audit Procedure Master" sheetId="11" r:id="R28626d8532564683"/>
    <x:sheet xmlns:r="http://schemas.openxmlformats.org/officeDocument/2006/relationships" name="Evidence Master" sheetId="12" r:id="R908468b07b7b498e"/>
    <x:sheet xmlns:r="http://schemas.openxmlformats.org/officeDocument/2006/relationships" name="Observation Master" sheetId="13" r:id="R3df8014245754552"/>
    <x:sheet xmlns:r="http://schemas.openxmlformats.org/officeDocument/2006/relationships" name="Origin Master" sheetId="14" r:id="R5b0e218c930049e1"/>
    <x:sheet xmlns:r="http://schemas.openxmlformats.org/officeDocument/2006/relationships" name="Enum Master" sheetId="15" r:id="Re62a200bb2914264"/>
    <x:sheet xmlns:r="http://schemas.openxmlformats.org/officeDocument/2006/relationships" name="Version History" sheetId="16" r:id="Rf1b62f3ae1174875"/>
    <x:sheet xmlns:r="http://schemas.openxmlformats.org/officeDocument/2006/relationships" name="QA Summary" sheetId="17" r:id="Rc9c8e8fba7f44b4c"/>
    <x:sheet xmlns:r="http://schemas.openxmlformats.org/officeDocument/2006/relationships" name="FK Checks" sheetId="18" r:id="R16c0817032604261"/>
    <x:sheet xmlns:r="http://schemas.openxmlformats.org/officeDocument/2006/relationships" name="Freeze Certificate" sheetId="19" r:id="Re8e716fcb14f4c3e"/>
    <x:sheet xmlns:r="http://schemas.openxmlformats.org/officeDocument/2006/relationships" name="Change Ledger" sheetId="20" r:id="R21e6f1ac2edc4f33"/>
    <x:sheet xmlns:r="http://schemas.openxmlformats.org/officeDocument/2006/relationships" name="Common Core Reference" sheetId="21" r:id="R846ad607036a4547"/>
    <x:sheet xmlns:r="http://schemas.openxmlformats.org/officeDocument/2006/relationships" name="Regulatory Source Register" sheetId="22" r:id="R205b684ab4b944b0"/>
    <x:sheet xmlns:r="http://schemas.openxmlformats.org/officeDocument/2006/relationships" name="P1 Law Reconciliation" sheetId="23" r:id="R8a9d3829b2774d55"/>
    <x:sheet xmlns:r="http://schemas.openxmlformats.org/officeDocument/2006/relationships" name="Exclusion Register" sheetId="24" r:id="Rd34935ad0c5a43fd"/>
    <x:sheet xmlns:r="http://schemas.openxmlformats.org/officeDocument/2006/relationships" name="Taxonomy Gap Register" sheetId="25" r:id="R58f2e9a68a1f49f8"/>
    <x:sheet xmlns:r="http://schemas.openxmlformats.org/officeDocument/2006/relationships" name="P1 Gate Summary" sheetId="26" r:id="R6a5363f5732041fc"/>
    <x:sheet xmlns:r="http://schemas.openxmlformats.org/officeDocument/2006/relationships" name="P2 Checklist Validation" sheetId="27" r:id="Rf0ddfbc6a20b4eba"/>
    <x:sheet xmlns:r="http://schemas.openxmlformats.org/officeDocument/2006/relationships" name="P2 Drugs Rules Coverage" sheetId="28" r:id="Rd43cf94f2c5f4713"/>
    <x:sheet xmlns:r="http://schemas.openxmlformats.org/officeDocument/2006/relationships" name="P2 Rule 65 Matrix" sheetId="29" r:id="R70050265a7e844c1"/>
    <x:sheet xmlns:r="http://schemas.openxmlformats.org/officeDocument/2006/relationships" name="P2 Amendment Register" sheetId="30" r:id="Rbb5c88c2249c499d"/>
    <x:sheet xmlns:r="http://schemas.openxmlformats.org/officeDocument/2006/relationships" name="P2 Gate Summary" sheetId="31" r:id="R3aa7b4f4e1104f58"/>
    <x:sheet xmlns:r="http://schemas.openxmlformats.org/officeDocument/2006/relationships" name="P3 Environmental Coverage" sheetId="32" r:id="R945472450afa470e"/>
    <x:sheet xmlns:r="http://schemas.openxmlformats.org/officeDocument/2006/relationships" name="P3 General Law Coverage" sheetId="33" r:id="R7990a6261e5c497a"/>
    <x:sheet xmlns:r="http://schemas.openxmlformats.org/officeDocument/2006/relationships" name="P3 Applicability Matrix" sheetId="34" r:id="Rd5c726b3518b464c"/>
    <x:sheet xmlns:r="http://schemas.openxmlformats.org/officeDocument/2006/relationships" name="P3 Commencement Register" sheetId="35" r:id="Rd9e4d07562d14fc9"/>
    <x:sheet xmlns:r="http://schemas.openxmlformats.org/officeDocument/2006/relationships" name="P3 Jurisdiction Register" sheetId="36" r:id="Re123674555814c1b"/>
    <x:sheet xmlns:r="http://schemas.openxmlformats.org/officeDocument/2006/relationships" name="P3 Gate Summary" sheetId="37" r:id="Rb6cefd01a7c3453e"/>
    <x:sheet xmlns:r="http://schemas.openxmlformats.org/officeDocument/2006/relationships" name="P4 Technical Coverage" sheetId="38" r:id="R1dd1c6b9169c40bf"/>
    <x:sheet xmlns:r="http://schemas.openxmlformats.org/officeDocument/2006/relationships" name="P4 Entity Applicability" sheetId="39" r:id="R940be585038a49ab"/>
    <x:sheet xmlns:r="http://schemas.openxmlformats.org/officeDocument/2006/relationships" name="P4 Role Boundary Register" sheetId="40" r:id="R63699a8d84b2450e"/>
    <x:sheet xmlns:r="http://schemas.openxmlformats.org/officeDocument/2006/relationships" name="P4 Chain Closure" sheetId="41" r:id="R699692c1042644dd"/>
    <x:sheet xmlns:r="http://schemas.openxmlformats.org/officeDocument/2006/relationships" name="P4 Gate Summary" sheetId="42" r:id="Rd5a05b135b724b4c"/>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color theme="1"/>
      <x:name val="Calibri"/>
    </x:font>
    <x:font>
      <x:b/>
      <x:sz val="16"/>
      <x:color rgb="FF1F4E78"/>
    </x:font>
    <x:font>
      <x:b/>
      <x:color rgb="FF1F4E78"/>
    </x:font>
    <x:font>
      <x:b/>
      <x:color rgb="FFFFFFFF"/>
    </x:font>
    <x:font>
      <x:sz val="10"/>
    </x:font>
    <x:font>
      <x:b/>
      <x:sz val="14"/>
      <x:color rgb="FF1F4E78"/>
    </x:font>
    <x:font>
      <x:b/>
      <x:sz val="11"/>
      <x:color rgb="FFFFFFFF"/>
      <x:name val="Calibri"/>
    </x:font>
    <x:font>
      <x:sz val="11"/>
      <x:color rgb="FF1F2937"/>
      <x:name val="Calibri"/>
    </x:font>
    <x:font>
      <x:b/>
      <x:sz val="11"/>
      <x:color rgb="FF1F4E78"/>
      <x:name val="Calibri"/>
    </x:font>
  </x:fonts>
  <x:fills count="8">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s>
  <x:borders count="4">
    <x:border/>
    <x:border>
      <x:left style="thin">
        <x:color rgb="FFD9E2F3"/>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9FBAD0"/>
      </x:left>
      <x:right style="thin">
        <x:color rgb="FF9FBAD0"/>
      </x:right>
      <x:top style="thin">
        <x:color rgb="FF9FBAD0"/>
      </x:top>
      <x:bottom style="thin">
        <x:color rgb="FF9FBAD0"/>
      </x:bottom>
    </x:border>
  </x:borders>
  <x:cellStyleXfs count="1">
    <x:xf numFmtId="0" fontId="0" fillId="0" borderId="0"/>
  </x:cellStyleXfs>
  <x:cellXfs count="47">
    <x:xf numFmtId="0" fontId="0" fillId="0" borderId="0" xfId="0"/>
    <x:xf numFmtId="0" fontId="1" fillId="0" borderId="0" xfId="0"/>
    <x:xf numFmtId="0" fontId="2" fillId="0" borderId="1" xfId="0" applyAlignment="1">
      <x:alignment vertical="top" wrapText="1"/>
    </x:xf>
    <x:xf numFmtId="0" fontId="0" fillId="0" borderId="1" xfId="0" applyAlignment="1">
      <x:alignment vertical="top" wrapText="1"/>
    </x:xf>
    <x:xf numFmtId="0" fontId="3" fillId="2" borderId="1" xfId="0" applyAlignment="1">
      <x:alignment horizontal="center" vertical="center" wrapText="1"/>
    </x:xf>
    <x:xf numFmtId="0" fontId="4" fillId="0" borderId="1" xfId="0" applyAlignment="1">
      <x:alignment vertical="top" wrapText="1"/>
    </x:xf>
    <x:xf numFmtId="0" fontId="3" fillId="2" borderId="1" xfId="0" applyAlignment="1">
      <x:alignment vertical="top" wrapText="1"/>
    </x:xf>
    <x:xf numFmtId="0" fontId="5" fillId="0" borderId="0" xfId="0"/>
    <x:xf numFmtId="0" fontId="0" fillId="0" borderId="2" xfId="0" applyNumberFormat="1" applyFont="1" applyFill="1" applyBorder="1"/>
    <x:xf numFmtId="0" fontId="0" fillId="0" borderId="2" xfId="0" applyNumberFormat="1" applyFont="1" applyFill="1" applyBorder="1" applyAlignment="1">
      <x:alignment wrapText="1"/>
    </x:xf>
    <x:xf numFmtId="0" fontId="0" fillId="3" borderId="2" xfId="0" applyNumberFormat="1" applyFont="1" applyFill="1" applyBorder="1" applyAlignment="1">
      <x:alignment wrapText="1"/>
    </x:xf>
    <x:xf numFmtId="0" fontId="6" fillId="3" borderId="2" xfId="0" applyNumberFormat="1" applyFont="1" applyFill="1" applyBorder="1" applyAlignment="1">
      <x:alignment wrapText="1"/>
    </x:xf>
    <x:xf numFmtId="0" fontId="6" fillId="3" borderId="2" xfId="0" applyNumberFormat="1" applyFont="1" applyFill="1" applyBorder="1" applyAlignment="1">
      <x:alignment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6" fillId="4" borderId="1" xfId="0" applyNumberFormat="1" applyFont="1" applyFill="1" applyBorder="1" applyAlignment="1">
      <x:alignment vertical="top" wrapText="1"/>
    </x:xf>
    <x:xf numFmtId="0" fontId="6" fillId="4" borderId="1" xfId="0" applyNumberFormat="1" applyFont="1" applyFill="1" applyBorder="1" applyAlignment="1">
      <x:alignment vertical="center" wrapText="1"/>
    </x:xf>
    <x:xf numFmtId="0" fontId="7" fillId="0" borderId="0" xfId="0" applyNumberFormat="1" applyFont="1" applyFill="1" applyBorder="1"/>
    <x:xf numFmtId="0" fontId="7" fillId="0" borderId="1" xfId="0" applyNumberFormat="1" applyFont="1" applyFill="1" applyBorder="1"/>
    <x:xf numFmtId="0" fontId="7" fillId="0" borderId="1" xfId="0" applyNumberFormat="1" applyFont="1" applyFill="1" applyBorder="1" applyAlignment="1">
      <x:alignment wrapText="1"/>
    </x:xf>
    <x:xf numFmtId="0" fontId="7" fillId="0" borderId="1" xfId="0" applyNumberFormat="1" applyFont="1" applyFill="1" applyBorder="1" applyAlignment="1">
      <x:alignment vertical="top" wrapText="1"/>
    </x:xf>
    <x:xf numFmtId="0" fontId="7" fillId="5" borderId="1" xfId="0" applyNumberFormat="1" applyFont="1" applyFill="1" applyBorder="1" applyAlignment="1">
      <x:alignment vertical="top" wrapText="1"/>
    </x:xf>
    <x:xf numFmtId="0" fontId="6" fillId="5" borderId="1" xfId="0" applyNumberFormat="1" applyFont="1" applyFill="1" applyBorder="1" applyAlignment="1">
      <x:alignment vertical="top" wrapText="1"/>
    </x:xf>
    <x:xf numFmtId="0" fontId="6" fillId="5" borderId="3" xfId="0" applyNumberFormat="1" applyFont="1" applyFill="1" applyBorder="1" applyAlignment="1">
      <x:alignment vertical="top" wrapText="1"/>
    </x:xf>
    <x:xf numFmtId="0" fontId="6" fillId="5" borderId="3" xfId="0" applyNumberFormat="1" applyFont="1" applyFill="1" applyBorder="1" applyAlignment="1">
      <x:alignment horizontal="center" vertical="top" wrapText="1"/>
    </x:xf>
    <x:xf numFmtId="0" fontId="6" fillId="5" borderId="3" xfId="0" applyNumberFormat="1" applyFont="1" applyFill="1" applyBorder="1" applyAlignment="1">
      <x:alignment horizontal="center" vertical="center" wrapText="1"/>
    </x:xf>
    <x:xf numFmtId="0" fontId="8" fillId="0" borderId="1" xfId="0" applyNumberFormat="1" applyFont="1" applyFill="1" applyBorder="1" applyAlignment="1">
      <x:alignment vertical="top" wrapText="1"/>
    </x:xf>
    <x:xf numFmtId="0" fontId="3" fillId="2" borderId="1" xfId="0" applyNumberFormat="1" applyFont="1" applyFill="1" applyBorder="1" applyAlignment="1">
      <x:alignment horizontal="center" vertical="center" wrapText="1"/>
    </x:xf>
    <x:xf numFmtId="0" fontId="4" fillId="0" borderId="1"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6" fillId="2" borderId="1" xfId="0" applyNumberFormat="1" applyFont="1" applyFill="1" applyBorder="1" applyAlignment="1">
      <x:alignment vertical="center" wrapText="1"/>
    </x:xf>
    <x:xf numFmtId="0" fontId="6" fillId="2" borderId="1" xfId="0" applyNumberFormat="1" applyFont="1" applyFill="1" applyBorder="1" applyAlignment="1">
      <x:alignment vertical="top" wrapText="1"/>
    </x:xf>
    <x:xf numFmtId="0" fontId="7" fillId="6" borderId="1" xfId="0" applyNumberFormat="1" applyFont="1" applyFill="1" applyBorder="1" applyAlignment="1">
      <x:alignment vertical="top" wrapText="1"/>
    </x:xf>
    <x:xf numFmtId="0" fontId="6" fillId="6" borderId="1" xfId="0" applyNumberFormat="1" applyFont="1" applyFill="1" applyBorder="1" applyAlignment="1">
      <x:alignment vertical="top" wrapText="1"/>
    </x:xf>
    <x:xf numFmtId="0" fontId="6" fillId="6" borderId="3" xfId="0" applyNumberFormat="1" applyFont="1" applyFill="1" applyBorder="1" applyAlignment="1">
      <x:alignment vertical="top" wrapText="1"/>
    </x:xf>
    <x:xf numFmtId="0" fontId="6" fillId="6" borderId="3" xfId="0" applyNumberFormat="1" applyFont="1" applyFill="1" applyBorder="1" applyAlignment="1">
      <x:alignment horizontal="center" vertical="top" wrapText="1"/>
    </x:xf>
    <x:xf numFmtId="0" fontId="6" fillId="6" borderId="3" xfId="0" applyNumberFormat="1" applyFont="1" applyFill="1" applyBorder="1" applyAlignment="1">
      <x:alignment horizontal="center" vertical="center" wrapText="1"/>
    </x:xf>
    <x:xf numFmtId="0" fontId="7" fillId="7" borderId="1" xfId="0" applyNumberFormat="1" applyFont="1" applyFill="1" applyBorder="1" applyAlignment="1">
      <x:alignment vertical="top" wrapText="1"/>
    </x:xf>
    <x:xf numFmtId="0" fontId="6" fillId="7" borderId="1" xfId="0" applyNumberFormat="1" applyFont="1" applyFill="1" applyBorder="1" applyAlignment="1">
      <x:alignment vertical="top" wrapText="1"/>
    </x:xf>
    <x:xf numFmtId="0" fontId="6" fillId="7" borderId="3" xfId="0" applyNumberFormat="1" applyFont="1" applyFill="1" applyBorder="1" applyAlignment="1">
      <x:alignment vertical="top" wrapText="1"/>
    </x:xf>
    <x:xf numFmtId="0" fontId="6" fillId="7" borderId="3" xfId="0" applyNumberFormat="1" applyFont="1" applyFill="1" applyBorder="1" applyAlignment="1">
      <x:alignment horizontal="center" vertical="top" wrapText="1"/>
    </x:xf>
    <x:xf numFmtId="0" fontId="6" fillId="7" borderId="3" xfId="0" applyNumberFormat="1" applyFont="1" applyFill="1" applyBorder="1" applyAlignment="1">
      <x:alignment horizontal="center" vertical="center" wrapText="1"/>
    </x:xf>
  </x:cellXfs>
  <x:cellStyles count="1">
    <x:cellStyle name="Normal" xfId="0"/>
  </x:cellStyles>
  <x:dxfs count="91">
    <x:dxf>
      <x:font>
        <x:color rgb="FF375623"/>
      </x:font>
      <x:fill>
        <x:patternFill>
          <x:bgColor rgb="FFE2F0D9"/>
        </x:patternFill>
      </x:fill>
    </x:dxf>
    <x:dxf>
      <x:font>
        <x:color rgb="FF9C0006"/>
      </x:font>
      <x:fill>
        <x:patternFill>
          <x:bgColor rgb="FFFCE4D6"/>
        </x:patternFill>
      </x:fill>
    </x:dxf>
    <x:dxf>
      <x:font>
        <x:color rgb="FF595959"/>
      </x:font>
      <x:fill>
        <x:patternFill>
          <x:bgColor rgb="FFE7E6E6"/>
        </x:patternFill>
      </x:fill>
    </x:dxf>
    <x:dxf>
      <x:font>
        <x:color rgb="FF7F6000"/>
      </x:font>
      <x:fill>
        <x:patternFill>
          <x:bgColor rgb="FFFFF2CC"/>
        </x:patternFill>
      </x:fill>
    </x:dxf>
    <x:dxf>
      <x:font>
        <x:color rgb="FF375623"/>
      </x:font>
      <x:fill>
        <x:patternFill>
          <x:bgColor rgb="FFE2F0D9"/>
        </x:patternFill>
      </x:fill>
    </x:dxf>
    <x:dxf>
      <x:font>
        <x:color rgb="FF9C0006"/>
      </x:font>
      <x:fill>
        <x:patternFill>
          <x:bgColor rgb="FFFCE4D6"/>
        </x:patternFill>
      </x:fill>
    </x:dxf>
    <x:dxf>
      <x:font>
        <x:color rgb="FF595959"/>
      </x:font>
      <x:fill>
        <x:patternFill>
          <x:bgColor rgb="FFE7E6E6"/>
        </x:patternFill>
      </x:fill>
    </x:dxf>
    <x:dxf>
      <x:font>
        <x:color rgb="FF7F6000"/>
      </x:font>
      <x:fill>
        <x:patternFill>
          <x:bgColor rgb="FFFFF2CC"/>
        </x:patternFill>
      </x:fill>
    </x:dxf>
    <x:dxf>
      <x:font>
        <x:color rgb="FF375623"/>
      </x:font>
      <x:fill>
        <x:patternFill>
          <x:bgColor rgb="FFE2F0D9"/>
        </x:patternFill>
      </x:fill>
    </x:dxf>
    <x:dxf>
      <x:font>
        <x:color rgb="FF9C0006"/>
      </x:font>
      <x:fill>
        <x:patternFill>
          <x:bgColor rgb="FFFCE4D6"/>
        </x:patternFill>
      </x:fill>
    </x:dxf>
    <x:dxf>
      <x:font>
        <x:color rgb="FF595959"/>
      </x:font>
      <x:fill>
        <x:patternFill>
          <x:bgColor rgb="FFE7E6E6"/>
        </x:patternFill>
      </x:fill>
    </x:dxf>
    <x:dxf>
      <x:font>
        <x:color rgb="FF7F6000"/>
      </x:font>
      <x:fill>
        <x:patternFill>
          <x:bgColor rgb="FFFFF2CC"/>
        </x:patternFill>
      </x:fill>
    </x:dxf>
    <x:dxf>
      <x:font>
        <x:color rgb="FF375623"/>
      </x:font>
      <x:fill>
        <x:patternFill>
          <x:bgColor rgb="FFE2F0D9"/>
        </x:patternFill>
      </x:fill>
    </x:dxf>
    <x:dxf>
      <x:font>
        <x:color rgb="FF9C0006"/>
      </x:font>
      <x:fill>
        <x:patternFill>
          <x:bgColor rgb="FFFCE4D6"/>
        </x:patternFill>
      </x:fill>
    </x:dxf>
    <x:dxf>
      <x:font>
        <x:color rgb="FF595959"/>
      </x:font>
      <x:fill>
        <x:patternFill>
          <x:bgColor rgb="FFE7E6E6"/>
        </x:patternFill>
      </x:fill>
    </x:dxf>
    <x:dxf>
      <x:font>
        <x:color rgb="FF7F6000"/>
      </x:font>
      <x:fill>
        <x:patternFill>
          <x:bgColor rgb="FFFFF2CC"/>
        </x:patternFill>
      </x:fill>
    </x:dxf>
    <x:dxf>
      <x:font>
        <x:b/>
        <x:color rgb="FF375623"/>
      </x:font>
      <x:fill>
        <x:patternFill>
          <x:bgColor rgb="FFE2F0D9"/>
        </x:patternFill>
      </x:fill>
    </x:dxf>
    <x:dxf>
      <x:font>
        <x:b/>
        <x:color rgb="FF7F6000"/>
      </x:font>
      <x:fill>
        <x:patternFill>
          <x:bgColor rgb="FFFFF2CC"/>
        </x:patternFill>
      </x:fill>
    </x:dxf>
    <x:dxf>
      <x:font>
        <x:color rgb="FF375623"/>
      </x:font>
      <x:fill>
        <x:patternFill>
          <x:bgColor rgb="FFE2F0D9"/>
        </x:patternFill>
      </x:fill>
    </x:dxf>
    <x:dxf>
      <x:font>
        <x:color rgb="FF375623"/>
      </x:font>
      <x:fill>
        <x:patternFill>
          <x:bgColor rgb="FFE2F0D9"/>
        </x:patternFill>
      </x:fill>
    </x:dxf>
    <x:dxf>
      <x:font>
        <x:color rgb="FF7F6000"/>
      </x:font>
      <x:fill>
        <x:patternFill>
          <x:bgColor rgb="FFFFF2CC"/>
        </x:patternFill>
      </x:fill>
    </x:dxf>
    <x:dxf>
      <x:font>
        <x:color rgb="FF595959"/>
      </x:font>
      <x:fill>
        <x:patternFill>
          <x:bgColor rgb="FFE7E6E6"/>
        </x:patternFill>
      </x:fill>
    </x:dxf>
    <x:dxf>
      <x:font>
        <x:color rgb="FF9C0006"/>
      </x:font>
      <x:fill>
        <x:patternFill>
          <x:bgColor rgb="FFFCE4D6"/>
        </x:patternFill>
      </x:fill>
    </x:dxf>
    <x:dxf>
      <x:font>
        <x:color rgb="FF375623"/>
      </x:font>
      <x:fill>
        <x:patternFill>
          <x:bgColor rgb="FFE2F0D9"/>
        </x:patternFill>
      </x:fill>
    </x:dxf>
    <x:dxf>
      <x:font>
        <x:color rgb="FF375623"/>
      </x:font>
      <x:fill>
        <x:patternFill>
          <x:bgColor rgb="FFE2F0D9"/>
        </x:patternFill>
      </x:fill>
    </x:dxf>
    <x:dxf>
      <x:font>
        <x:color rgb="FF7F6000"/>
      </x:font>
      <x:fill>
        <x:patternFill>
          <x:bgColor rgb="FFFFF2CC"/>
        </x:patternFill>
      </x:fill>
    </x:dxf>
    <x:dxf>
      <x:font>
        <x:color rgb="FF595959"/>
      </x:font>
      <x:fill>
        <x:patternFill>
          <x:bgColor rgb="FFE7E6E6"/>
        </x:patternFill>
      </x:fill>
    </x:dxf>
    <x:dxf>
      <x:font>
        <x:color rgb="FF9C0006"/>
      </x:font>
      <x:fill>
        <x:patternFill>
          <x:bgColor rgb="FFFCE4D6"/>
        </x:patternFill>
      </x:fill>
    </x:dxf>
    <x:dxf>
      <x:font>
        <x:color rgb="FF375623"/>
      </x:font>
      <x:fill>
        <x:patternFill>
          <x:bgColor rgb="FFE2F0D9"/>
        </x:patternFill>
      </x:fill>
    </x:dxf>
    <x:dxf>
      <x:font>
        <x:color rgb="FF375623"/>
      </x:font>
      <x:fill>
        <x:patternFill>
          <x:bgColor rgb="FFE2F0D9"/>
        </x:patternFill>
      </x:fill>
    </x:dxf>
    <x:dxf>
      <x:font>
        <x:color rgb="FF7F6000"/>
      </x:font>
      <x:fill>
        <x:patternFill>
          <x:bgColor rgb="FFFFF2CC"/>
        </x:patternFill>
      </x:fill>
    </x:dxf>
    <x:dxf>
      <x:font>
        <x:color rgb="FF595959"/>
      </x:font>
      <x:fill>
        <x:patternFill>
          <x:bgColor rgb="FFE7E6E6"/>
        </x:patternFill>
      </x:fill>
    </x:dxf>
    <x:dxf>
      <x:font>
        <x:color rgb="FF9C0006"/>
      </x:font>
      <x:fill>
        <x:patternFill>
          <x:bgColor rgb="FFFCE4D6"/>
        </x:patternFill>
      </x:fill>
    </x:dxf>
    <x:dxf>
      <x:font>
        <x:color rgb="FF375623"/>
      </x:font>
      <x:fill>
        <x:patternFill>
          <x:bgColor rgb="FFE2F0D9"/>
        </x:patternFill>
      </x:fill>
    </x:dxf>
    <x:dxf>
      <x:font>
        <x:color rgb="FF375623"/>
      </x:font>
      <x:fill>
        <x:patternFill>
          <x:bgColor rgb="FFE2F0D9"/>
        </x:patternFill>
      </x:fill>
    </x:dxf>
    <x:dxf>
      <x:font>
        <x:color rgb="FF7F6000"/>
      </x:font>
      <x:fill>
        <x:patternFill>
          <x:bgColor rgb="FFFFF2CC"/>
        </x:patternFill>
      </x:fill>
    </x:dxf>
    <x:dxf>
      <x:font>
        <x:color rgb="FF595959"/>
      </x:font>
      <x:fill>
        <x:patternFill>
          <x:bgColor rgb="FFE7E6E6"/>
        </x:patternFill>
      </x:fill>
    </x:dxf>
    <x:dxf>
      <x:font>
        <x:color rgb="FF9C0006"/>
      </x:font>
      <x:fill>
        <x:patternFill>
          <x:bgColor rgb="FFFCE4D6"/>
        </x:patternFill>
      </x:fill>
    </x:dxf>
    <x:dxf>
      <x:font>
        <x:color rgb="FF375623"/>
      </x:font>
      <x:fill>
        <x:patternFill>
          <x:bgColor rgb="FFE2F0D9"/>
        </x:patternFill>
      </x:fill>
    </x:dxf>
    <x:dxf>
      <x:font>
        <x:color rgb="FF375623"/>
      </x:font>
      <x:fill>
        <x:patternFill>
          <x:bgColor rgb="FFE2F0D9"/>
        </x:patternFill>
      </x:fill>
    </x:dxf>
    <x:dxf>
      <x:font>
        <x:color rgb="FF7F6000"/>
      </x:font>
      <x:fill>
        <x:patternFill>
          <x:bgColor rgb="FFFFF2CC"/>
        </x:patternFill>
      </x:fill>
    </x:dxf>
    <x:dxf>
      <x:font>
        <x:color rgb="FF595959"/>
      </x:font>
      <x:fill>
        <x:patternFill>
          <x:bgColor rgb="FFE7E6E6"/>
        </x:patternFill>
      </x:fill>
    </x:dxf>
    <x:dxf>
      <x:font>
        <x:color rgb="FF9C0006"/>
      </x:font>
      <x:fill>
        <x:patternFill>
          <x:bgColor rgb="FFFCE4D6"/>
        </x:patternFill>
      </x:fill>
    </x:dxf>
    <x:dxf>
      <x:font>
        <x:b/>
        <x:color rgb="FF375623"/>
      </x:font>
      <x:fill>
        <x:patternFill>
          <x:bgColor rgb="FFE2F0D9"/>
        </x:patternFill>
      </x:fill>
    </x:dxf>
    <x:dxf>
      <x:font>
        <x:b/>
        <x:color rgb="FF7F6000"/>
      </x:font>
      <x:fill>
        <x:patternFill>
          <x:bgColor rgb="FFFFF2CC"/>
        </x:patternFill>
      </x:fill>
    </x:dxf>
    <x:dxf>
      <x:font>
        <x:b/>
        <x:color rgb="FF375623"/>
      </x:font>
      <x:fill>
        <x:patternFill patternType="solid">
          <x:bgColor rgb="FFE2F0D9"/>
        </x:patternFill>
      </x:fill>
    </x:dxf>
    <x:dxf>
      <x:font>
        <x:color rgb="FF375623"/>
      </x:font>
      <x:fill>
        <x:patternFill patternType="solid">
          <x:bgColor rgb="FFE2F0D9"/>
        </x:patternFill>
      </x:fill>
    </x:dxf>
    <x:dxf>
      <x:font>
        <x:color rgb="FF375623"/>
      </x:font>
      <x:fill>
        <x:patternFill patternType="solid">
          <x:bgColor rgb="FFE2F0D9"/>
        </x:patternFill>
      </x:fill>
    </x:dxf>
    <x:dxf>
      <x:font>
        <x:color rgb="FF375623"/>
      </x:font>
      <x:fill>
        <x:patternFill patternType="solid">
          <x:bgColor rgb="FFE2F0D9"/>
        </x:patternFill>
      </x:fill>
    </x:dxf>
    <x:dxf>
      <x:font>
        <x:color rgb="FF7F6000"/>
      </x:font>
      <x:fill>
        <x:patternFill patternType="solid">
          <x:bgColor rgb="FFFFF2CC"/>
        </x:patternFill>
      </x:fill>
    </x:dxf>
    <x:dxf>
      <x:font>
        <x:color rgb="FF7F6000"/>
      </x:font>
      <x:fill>
        <x:patternFill patternType="solid">
          <x:bgColor rgb="FFFFF2CC"/>
        </x:patternFill>
      </x:fill>
    </x:dxf>
    <x:dxf>
      <x:font>
        <x:color rgb="FF7F6000"/>
      </x:font>
      <x:fill>
        <x:patternFill patternType="solid">
          <x:bgColor rgb="FFFFF2CC"/>
        </x:patternFill>
      </x:fill>
    </x:dxf>
    <x:dxf>
      <x:font>
        <x:color rgb="FF7F6000"/>
      </x:font>
      <x:fill>
        <x:patternFill patternType="solid">
          <x:bgColor rgb="FFFFF2CC"/>
        </x:patternFill>
      </x:fill>
    </x:dxf>
    <x:dxf>
      <x:font>
        <x:color rgb="FF595959"/>
      </x:font>
      <x:fill>
        <x:patternFill patternType="solid">
          <x:bgColor rgb="FFE7E6E6"/>
        </x:patternFill>
      </x:fill>
    </x:dxf>
    <x:dxf>
      <x:font>
        <x:color rgb="FF595959"/>
      </x:font>
      <x:fill>
        <x:patternFill patternType="solid">
          <x:bgColor rgb="FFE7E6E6"/>
        </x:patternFill>
      </x:fill>
    </x:dxf>
    <x:dxf>
      <x:font>
        <x:color rgb="FF595959"/>
      </x:font>
      <x:fill>
        <x:patternFill patternType="solid">
          <x:bgColor rgb="FFE7E6E6"/>
        </x:patternFill>
      </x:fill>
    </x:dxf>
    <x:dxf>
      <x:font>
        <x:b/>
        <x:color rgb="FF375623"/>
      </x:font>
      <x:fill>
        <x:patternFill patternType="solid">
          <x:bgColor rgb="FFE2F0D9"/>
        </x:patternFill>
      </x:fill>
    </x:dxf>
    <x:dxf>
      <x:font>
        <x:color rgb="FF375623"/>
      </x:font>
      <x:fill>
        <x:patternFill patternType="solid">
          <x:bgColor rgb="FFE2F0D9"/>
        </x:patternFill>
      </x:fill>
    </x:dxf>
    <x:dxf>
      <x:font>
        <x:color rgb="FF375623"/>
      </x:font>
      <x:fill>
        <x:patternFill patternType="solid">
          <x:bgColor rgb="FFE2F0D9"/>
        </x:patternFill>
      </x:fill>
    </x:dxf>
    <x:dxf>
      <x:font>
        <x:color rgb="FF375623"/>
      </x:font>
      <x:fill>
        <x:patternFill patternType="solid">
          <x:bgColor rgb="FFE2F0D9"/>
        </x:patternFill>
      </x:fill>
    </x:dxf>
    <x:dxf>
      <x:font>
        <x:color rgb="FF7F6000"/>
      </x:font>
      <x:fill>
        <x:patternFill patternType="solid">
          <x:bgColor rgb="FFFFF2CC"/>
        </x:patternFill>
      </x:fill>
    </x:dxf>
    <x:dxf>
      <x:font>
        <x:color rgb="FF7F6000"/>
      </x:font>
      <x:fill>
        <x:patternFill patternType="solid">
          <x:bgColor rgb="FFFFF2CC"/>
        </x:patternFill>
      </x:fill>
    </x:dxf>
    <x:dxf>
      <x:font>
        <x:color rgb="FF7F6000"/>
      </x:font>
      <x:fill>
        <x:patternFill patternType="solid">
          <x:bgColor rgb="FFFFF2CC"/>
        </x:patternFill>
      </x:fill>
    </x:dxf>
    <x:dxf>
      <x:font>
        <x:color rgb="FF7F6000"/>
      </x:font>
      <x:fill>
        <x:patternFill patternType="solid">
          <x:bgColor rgb="FFFFF2CC"/>
        </x:patternFill>
      </x:fill>
    </x:dxf>
    <x:dxf>
      <x:font>
        <x:color rgb="FF595959"/>
      </x:font>
      <x:fill>
        <x:patternFill patternType="solid">
          <x:bgColor rgb="FFE7E6E6"/>
        </x:patternFill>
      </x:fill>
    </x:dxf>
    <x:dxf>
      <x:font>
        <x:color rgb="FF595959"/>
      </x:font>
      <x:fill>
        <x:patternFill patternType="solid">
          <x:bgColor rgb="FFE7E6E6"/>
        </x:patternFill>
      </x:fill>
    </x:dxf>
    <x:dxf>
      <x:font>
        <x:color rgb="FF595959"/>
      </x:font>
      <x:fill>
        <x:patternFill patternType="solid">
          <x:bgColor rgb="FFE7E6E6"/>
        </x:patternFill>
      </x:fill>
    </x:dxf>
    <x:dxf>
      <x:font>
        <x:b/>
        <x:color rgb="FF375623"/>
      </x:font>
      <x:fill>
        <x:patternFill patternType="solid">
          <x:bgColor rgb="FFE2F0D9"/>
        </x:patternFill>
      </x:fill>
    </x:dxf>
    <x:dxf>
      <x:font>
        <x:color rgb="FF375623"/>
      </x:font>
      <x:fill>
        <x:patternFill patternType="solid">
          <x:bgColor rgb="FFE2F0D9"/>
        </x:patternFill>
      </x:fill>
    </x:dxf>
    <x:dxf>
      <x:font>
        <x:color rgb="FF375623"/>
      </x:font>
      <x:fill>
        <x:patternFill patternType="solid">
          <x:bgColor rgb="FFE2F0D9"/>
        </x:patternFill>
      </x:fill>
    </x:dxf>
    <x:dxf>
      <x:font>
        <x:color rgb="FF375623"/>
      </x:font>
      <x:fill>
        <x:patternFill patternType="solid">
          <x:bgColor rgb="FFE2F0D9"/>
        </x:patternFill>
      </x:fill>
    </x:dxf>
    <x:dxf>
      <x:font>
        <x:color rgb="FF7F6000"/>
      </x:font>
      <x:fill>
        <x:patternFill patternType="solid">
          <x:bgColor rgb="FFFFF2CC"/>
        </x:patternFill>
      </x:fill>
    </x:dxf>
    <x:dxf>
      <x:font>
        <x:color rgb="FF7F6000"/>
      </x:font>
      <x:fill>
        <x:patternFill patternType="solid">
          <x:bgColor rgb="FFFFF2CC"/>
        </x:patternFill>
      </x:fill>
    </x:dxf>
    <x:dxf>
      <x:font>
        <x:color rgb="FF7F6000"/>
      </x:font>
      <x:fill>
        <x:patternFill patternType="solid">
          <x:bgColor rgb="FFFFF2CC"/>
        </x:patternFill>
      </x:fill>
    </x:dxf>
    <x:dxf>
      <x:font>
        <x:color rgb="FF7F6000"/>
      </x:font>
      <x:fill>
        <x:patternFill patternType="solid">
          <x:bgColor rgb="FFFFF2CC"/>
        </x:patternFill>
      </x:fill>
    </x:dxf>
    <x:dxf>
      <x:font>
        <x:color rgb="FF595959"/>
      </x:font>
      <x:fill>
        <x:patternFill patternType="solid">
          <x:bgColor rgb="FFE7E6E6"/>
        </x:patternFill>
      </x:fill>
    </x:dxf>
    <x:dxf>
      <x:font>
        <x:color rgb="FF595959"/>
      </x:font>
      <x:fill>
        <x:patternFill patternType="solid">
          <x:bgColor rgb="FFE7E6E6"/>
        </x:patternFill>
      </x:fill>
    </x:dxf>
    <x:dxf>
      <x:font>
        <x:color rgb="FF595959"/>
      </x:font>
      <x:fill>
        <x:patternFill patternType="solid">
          <x:bgColor rgb="FFE7E6E6"/>
        </x:patternFill>
      </x:fill>
    </x:dxf>
    <x:dxf>
      <x:font>
        <x:b/>
        <x:color rgb="FF375623"/>
      </x:font>
      <x:fill>
        <x:patternFill patternType="solid">
          <x:bgColor rgb="FFE2F0D9"/>
        </x:patternFill>
      </x:fill>
    </x:dxf>
    <x:dxf>
      <x:font>
        <x:color rgb="FF375623"/>
      </x:font>
      <x:fill>
        <x:patternFill patternType="solid">
          <x:bgColor rgb="FFE2F0D9"/>
        </x:patternFill>
      </x:fill>
    </x:dxf>
    <x:dxf>
      <x:font>
        <x:color rgb="FF375623"/>
      </x:font>
      <x:fill>
        <x:patternFill patternType="solid">
          <x:bgColor rgb="FFE2F0D9"/>
        </x:patternFill>
      </x:fill>
    </x:dxf>
    <x:dxf>
      <x:font>
        <x:color rgb="FF375623"/>
      </x:font>
      <x:fill>
        <x:patternFill patternType="solid">
          <x:bgColor rgb="FFE2F0D9"/>
        </x:patternFill>
      </x:fill>
    </x:dxf>
    <x:dxf>
      <x:font>
        <x:color rgb="FF7F6000"/>
      </x:font>
      <x:fill>
        <x:patternFill patternType="solid">
          <x:bgColor rgb="FFFFF2CC"/>
        </x:patternFill>
      </x:fill>
    </x:dxf>
    <x:dxf>
      <x:font>
        <x:color rgb="FF7F6000"/>
      </x:font>
      <x:fill>
        <x:patternFill patternType="solid">
          <x:bgColor rgb="FFFFF2CC"/>
        </x:patternFill>
      </x:fill>
    </x:dxf>
    <x:dxf>
      <x:font>
        <x:color rgb="FF7F6000"/>
      </x:font>
      <x:fill>
        <x:patternFill patternType="solid">
          <x:bgColor rgb="FFFFF2CC"/>
        </x:patternFill>
      </x:fill>
    </x:dxf>
    <x:dxf>
      <x:font>
        <x:color rgb="FF7F6000"/>
      </x:font>
      <x:fill>
        <x:patternFill patternType="solid">
          <x:bgColor rgb="FFFFF2CC"/>
        </x:patternFill>
      </x:fill>
    </x:dxf>
    <x:dxf>
      <x:font>
        <x:color rgb="FF595959"/>
      </x:font>
      <x:fill>
        <x:patternFill patternType="solid">
          <x:bgColor rgb="FFE7E6E6"/>
        </x:patternFill>
      </x:fill>
    </x:dxf>
    <x:dxf>
      <x:font>
        <x:color rgb="FF595959"/>
      </x:font>
      <x:fill>
        <x:patternFill patternType="solid">
          <x:bgColor rgb="FFE7E6E6"/>
        </x:patternFill>
      </x:fill>
    </x:dxf>
    <x:dxf>
      <x:font>
        <x:color rgb="FF595959"/>
      </x:font>
      <x:fill>
        <x:patternFill patternType="solid">
          <x:bgColor rgb="FFE7E6E6"/>
        </x:patternFill>
      </x:fill>
    </x:dxf>
    <x:dxf>
      <x:font>
        <x:b/>
        <x:color rgb="FF375623"/>
      </x:font>
      <x:fill>
        <x:patternFill patternType="solid">
          <x:bgColor rgb="FFE2F0D9"/>
        </x:patternFill>
      </x:fill>
    </x:dxf>
    <x:dxf>
      <x:font>
        <x:b/>
        <x:color rgb="FF375623"/>
      </x:font>
      <x:fill>
        <x:patternFill patternType="solid">
          <x:bgColor rgb="FFE2F0D9"/>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cb24aadf418419d" /><Relationship Type="http://schemas.openxmlformats.org/officeDocument/2006/relationships/theme" Target="/xl/theme/theme1.xml" Id="R91977e3eedc24ff8" /><Relationship Type="http://schemas.openxmlformats.org/officeDocument/2006/relationships/sharedStrings" Target="/xl/sharedStrings.xml" Id="Rcd137790a5ad46fc" /><Relationship Type="http://schemas.openxmlformats.org/officeDocument/2006/relationships/worksheet" Target="/xl/worksheets/sheet1.xml" Id="Re8cd49aaf40e441b" /><Relationship Type="http://schemas.openxmlformats.org/officeDocument/2006/relationships/worksheet" Target="/xl/worksheets/sheet2.xml" Id="R9aab54e18e6a4c39" /><Relationship Type="http://schemas.openxmlformats.org/officeDocument/2006/relationships/worksheet" Target="/xl/worksheets/sheet3.xml" Id="Rfc958e145c1d4078" /><Relationship Type="http://schemas.openxmlformats.org/officeDocument/2006/relationships/worksheet" Target="/xl/worksheets/sheet4.xml" Id="Rf61d671ba31943ab" /><Relationship Type="http://schemas.openxmlformats.org/officeDocument/2006/relationships/worksheet" Target="/xl/worksheets/sheet5.xml" Id="R04e061dcb3e94e4b" /><Relationship Type="http://schemas.openxmlformats.org/officeDocument/2006/relationships/worksheet" Target="/xl/worksheets/sheet6.xml" Id="R05c82d10989b4e6f" /><Relationship Type="http://schemas.openxmlformats.org/officeDocument/2006/relationships/worksheet" Target="/xl/worksheets/sheet7.xml" Id="Rccd33349ac464f29" /><Relationship Type="http://schemas.openxmlformats.org/officeDocument/2006/relationships/worksheet" Target="/xl/worksheets/sheet8.xml" Id="R3585865a2c2546cc" /><Relationship Type="http://schemas.openxmlformats.org/officeDocument/2006/relationships/worksheet" Target="/xl/worksheets/sheet9.xml" Id="Rdf04efae9e624f09" /><Relationship Type="http://schemas.openxmlformats.org/officeDocument/2006/relationships/worksheet" Target="/xl/worksheets/sheet10.xml" Id="R75f9528e03844a73" /><Relationship Type="http://schemas.openxmlformats.org/officeDocument/2006/relationships/worksheet" Target="/xl/worksheets/sheet11.xml" Id="R28626d8532564683" /><Relationship Type="http://schemas.openxmlformats.org/officeDocument/2006/relationships/worksheet" Target="/xl/worksheets/sheet12.xml" Id="R908468b07b7b498e" /><Relationship Type="http://schemas.openxmlformats.org/officeDocument/2006/relationships/worksheet" Target="/xl/worksheets/sheet13.xml" Id="R3df8014245754552" /><Relationship Type="http://schemas.openxmlformats.org/officeDocument/2006/relationships/worksheet" Target="/xl/worksheets/sheet14.xml" Id="R5b0e218c930049e1" /><Relationship Type="http://schemas.openxmlformats.org/officeDocument/2006/relationships/worksheet" Target="/xl/worksheets/sheet15.xml" Id="Re62a200bb2914264" /><Relationship Type="http://schemas.openxmlformats.org/officeDocument/2006/relationships/worksheet" Target="/xl/worksheets/sheet16.xml" Id="Rf1b62f3ae1174875" /><Relationship Type="http://schemas.openxmlformats.org/officeDocument/2006/relationships/worksheet" Target="/xl/worksheets/sheet17.xml" Id="Rc9c8e8fba7f44b4c" /><Relationship Type="http://schemas.openxmlformats.org/officeDocument/2006/relationships/worksheet" Target="/xl/worksheets/sheet18.xml" Id="R16c0817032604261" /><Relationship Type="http://schemas.openxmlformats.org/officeDocument/2006/relationships/worksheet" Target="/xl/worksheets/sheet19.xml" Id="Re8e716fcb14f4c3e" /><Relationship Type="http://schemas.openxmlformats.org/officeDocument/2006/relationships/worksheet" Target="/xl/worksheets/sheet20.xml" Id="R21e6f1ac2edc4f33" /><Relationship Type="http://schemas.openxmlformats.org/officeDocument/2006/relationships/worksheet" Target="/xl/worksheets/sheet21.xml" Id="R846ad607036a4547" /><Relationship Type="http://schemas.openxmlformats.org/officeDocument/2006/relationships/worksheet" Target="/xl/worksheets/sheet22.xml" Id="R205b684ab4b944b0" /><Relationship Type="http://schemas.openxmlformats.org/officeDocument/2006/relationships/worksheet" Target="/xl/worksheets/sheet23.xml" Id="R8a9d3829b2774d55" /><Relationship Type="http://schemas.openxmlformats.org/officeDocument/2006/relationships/worksheet" Target="/xl/worksheets/sheet24.xml" Id="Rd34935ad0c5a43fd" /><Relationship Type="http://schemas.openxmlformats.org/officeDocument/2006/relationships/worksheet" Target="/xl/worksheets/sheet25.xml" Id="R58f2e9a68a1f49f8" /><Relationship Type="http://schemas.openxmlformats.org/officeDocument/2006/relationships/worksheet" Target="/xl/worksheets/sheet26.xml" Id="R6a5363f5732041fc" /><Relationship Type="http://schemas.openxmlformats.org/officeDocument/2006/relationships/worksheet" Target="/xl/worksheets/sheet27.xml" Id="Rf0ddfbc6a20b4eba" /><Relationship Type="http://schemas.openxmlformats.org/officeDocument/2006/relationships/worksheet" Target="/xl/worksheets/sheet28.xml" Id="Rd43cf94f2c5f4713" /><Relationship Type="http://schemas.openxmlformats.org/officeDocument/2006/relationships/worksheet" Target="/xl/worksheets/sheet29.xml" Id="R70050265a7e844c1" /><Relationship Type="http://schemas.openxmlformats.org/officeDocument/2006/relationships/worksheet" Target="/xl/worksheets/sheet30.xml" Id="Rbb5c88c2249c499d" /><Relationship Type="http://schemas.openxmlformats.org/officeDocument/2006/relationships/worksheet" Target="/xl/worksheets/sheet31.xml" Id="R3aa7b4f4e1104f58" /><Relationship Type="http://schemas.openxmlformats.org/officeDocument/2006/relationships/worksheet" Target="/xl/worksheets/sheet32.xml" Id="R945472450afa470e" /><Relationship Type="http://schemas.openxmlformats.org/officeDocument/2006/relationships/worksheet" Target="/xl/worksheets/sheet33.xml" Id="R7990a6261e5c497a" /><Relationship Type="http://schemas.openxmlformats.org/officeDocument/2006/relationships/worksheet" Target="/xl/worksheets/sheet34.xml" Id="Rd5c726b3518b464c" /><Relationship Type="http://schemas.openxmlformats.org/officeDocument/2006/relationships/worksheet" Target="/xl/worksheets/sheet35.xml" Id="Rd9e4d07562d14fc9" /><Relationship Type="http://schemas.openxmlformats.org/officeDocument/2006/relationships/worksheet" Target="/xl/worksheets/sheet36.xml" Id="Re123674555814c1b" /><Relationship Type="http://schemas.openxmlformats.org/officeDocument/2006/relationships/worksheet" Target="/xl/worksheets/sheet37.xml" Id="Rb6cefd01a7c3453e" /><Relationship Type="http://schemas.openxmlformats.org/officeDocument/2006/relationships/worksheet" Target="/xl/worksheets/sheet38.xml" Id="R1dd1c6b9169c40bf" /><Relationship Type="http://schemas.openxmlformats.org/officeDocument/2006/relationships/worksheet" Target="/xl/worksheets/sheet39.xml" Id="R940be585038a49ab" /><Relationship Type="http://schemas.openxmlformats.org/officeDocument/2006/relationships/worksheet" Target="/xl/worksheets/sheet40.xml" Id="R63699a8d84b2450e" /><Relationship Type="http://schemas.openxmlformats.org/officeDocument/2006/relationships/worksheet" Target="/xl/worksheets/sheet41.xml" Id="R699692c1042644dd" /><Relationship Type="http://schemas.openxmlformats.org/officeDocument/2006/relationships/worksheet" Target="/xl/worksheets/sheet42.xml" Id="Rd5a05b135b724b4c" /></Relationships>
</file>

<file path=xl/tables/table1.xml><?xml version="1.0" encoding="utf-8"?>
<x:table xmlns:x="http://schemas.openxmlformats.org/spreadsheetml/2006/main" id="1" name="Sector_Master_T" displayName="Sector_Master_T" ref="A1:E2" headerRowCount="1">
  <x:autoFilter ref="A1:E2"/>
  <x:tableColumns count="5">
    <x:tableColumn id="1" name="SectorID"/>
    <x:tableColumn id="2" name="Sector Name"/>
    <x:tableColumn id="3" name="Description"/>
    <x:tableColumn id="4" name="Active"/>
    <x:tableColumn id="5" name="Remark"/>
  </x:tableColumns>
  <x:tableStyleInfo name="TableStyleMedium2" showFirstColumn="0" showLastColumn="0" showRowStripes="1"/>
</x:table>
</file>

<file path=xl/tables/table2.xml><?xml version="1.0" encoding="utf-8"?>
<x:table xmlns:x="http://schemas.openxmlformats.org/spreadsheetml/2006/main" id="2" name="Sub_Sector_Master_T" displayName="Sub_Sector_Master_T" ref="A1:E10" headerRowCount="1">
  <x:autoFilter ref="A1:E10"/>
  <x:tableColumns count="5">
    <x:tableColumn id="1" name="Sub-Sector ID"/>
    <x:tableColumn id="2" name="SectorID"/>
    <x:tableColumn id="3" name="Sub-Sector Name"/>
    <x:tableColumn id="4" name="Description"/>
    <x:tableColumn id="5" name="Active"/>
  </x:tableColumns>
  <x:tableStyleInfo name="TableStyleMedium2" showFirstColumn="0" showLastColumn="0" showRowStripes="1"/>
</x:table>
</file>

<file path=xl/tables/table3.xml><?xml version="1.0" encoding="utf-8"?>
<x:table xmlns:x="http://schemas.openxmlformats.org/spreadsheetml/2006/main" id="3" name="Regulatory_Authority_Mast_T" displayName="Regulatory_Authority_Mast_T" ref="A1:H31" headerRowCount="1">
  <x:autoFilter ref="A1:H31"/>
  <x:tableColumns count="8">
    <x:tableColumn id="1" name="Authority ID"/>
    <x:tableColumn id="2" name="Regulatory Authority"/>
    <x:tableColumn id="3" name="Short Name"/>
    <x:tableColumn id="4" name="Authority Type"/>
    <x:tableColumn id="5" name="Jurisdiction"/>
    <x:tableColumn id="6" name="Parent Authority"/>
    <x:tableColumn id="7" name="Description"/>
    <x:tableColumn id="8" name="Active"/>
  </x:tableColumns>
  <x:tableStyleInfo name="TableStyleMedium2" showFirstColumn="0" showLastColumn="0" showRowStripes="1"/>
</x:table>
</file>

<file path=xl/tables/table4.xml><?xml version="1.0" encoding="utf-8"?>
<x:table xmlns:x="http://schemas.openxmlformats.org/spreadsheetml/2006/main" id="4" name="Compliance_Area_Master_T" displayName="Compliance_Area_Master_T" ref="A1:G101" headerRowCount="1">
  <x:autoFilter ref="A1:G101"/>
  <x:tableColumns count="7">
    <x:tableColumn id="1" name="Area ID"/>
    <x:tableColumn id="2" name="Parent Area ID"/>
    <x:tableColumn id="3" name="Parent Area"/>
    <x:tableColumn id="4" name="Compliance Area"/>
    <x:tableColumn id="5" name="Description"/>
    <x:tableColumn id="6" name="Display Order"/>
    <x:tableColumn id="7" name="Active"/>
  </x:tableColumns>
  <x:tableStyleInfo name="TableStyleMedium2" showFirstColumn="0" showLastColumn="0" showRowStripes="1"/>
</x:table>
</file>

<file path=xl/tables/table5.xml><?xml version="1.0" encoding="utf-8"?>
<x:table xmlns:x="http://schemas.openxmlformats.org/spreadsheetml/2006/main" id="5" name="Law_Master_T" displayName="Law_Master_T" ref="A1:O112" headerRowCount="1" totalsRowCount="0">
  <x:autoFilter ref="A1:O112"/>
  <x:tableColumns count="15">
    <x:tableColumn id="1" name="Law ID"/>
    <x:tableColumn id="2" name="Domain"/>
    <x:tableColumn id="3" name="Sector"/>
    <x:tableColumn id="4" name="Sub-Sector"/>
    <x:tableColumn id="5" name="Regulator"/>
    <x:tableColumn id="6" name="Authority Level"/>
    <x:tableColumn id="7" name="Document Type"/>
    <x:tableColumn id="8" name="Parent Law"/>
    <x:tableColumn id="9" name="Law Name"/>
    <x:tableColumn id="10" name="Law_ComplianceArea_Map"/>
    <x:tableColumn id="11" name="Applicability Type"/>
    <x:tableColumn id="12" name="Applicability Trigger"/>
    <x:tableColumn id="13" name="Active"/>
    <x:tableColumn id="14" name="Review Frequency"/>
    <x:tableColumn id="15" name="Remarks"/>
  </x:tableColumns>
  <x:tableStyleInfo name="TableStyleMedium2" showFirstColumn="0" showLastColumn="0" showRowStripes="1"/>
</x:table>
</file>

<file path=xl/tables/table6.xml><?xml version="1.0" encoding="utf-8"?>
<x:table xmlns:x="http://schemas.openxmlformats.org/spreadsheetml/2006/main" id="6" name="Law_ComplianceArea_Map_T" displayName="Law_ComplianceArea_Map_T" ref="A1:E162" headerRowCount="1" totalsRowCount="0">
  <x:autoFilter ref="A1:E162"/>
  <x:tableColumns count="5">
    <x:tableColumn id="1" name="Map ID"/>
    <x:tableColumn id="2" name="Law ID"/>
    <x:tableColumn id="3" name="Compliance Area ID"/>
    <x:tableColumn id="4" name="Active Status"/>
    <x:tableColumn id="5" name="Remarks"/>
  </x:tableColumns>
  <x:tableStyleInfo name="TableStyleMedium2" showFirstColumn="0" showLastColumn="0" showRowStripes="1"/>
</x:table>
</file>

<file path=xl/tables/table7.xml><?xml version="1.0" encoding="utf-8"?>
<x:table xmlns:x="http://schemas.openxmlformats.org/spreadsheetml/2006/main" id="7" name="Provision_Master_T" displayName="Provision_Master_T" ref="A1:J763" headerRowCount="1" totalsRowCount="0">
  <x:autoFilter ref="A1:J763"/>
  <x:tableColumns count="10">
    <x:tableColumn id="1" name="Provision ID"/>
    <x:tableColumn id="2" name="Law ID"/>
    <x:tableColumn id="3" name="Sub Sector ID"/>
    <x:tableColumn id="4" name="Provision Category"/>
    <x:tableColumn id="5" name="Statutory Reference"/>
    <x:tableColumn id="6" name="Provision Name"/>
    <x:tableColumn id="7" name="Provision Description"/>
    <x:tableColumn id="8" name="Origin"/>
    <x:tableColumn id="9" name="Active"/>
    <x:tableColumn id="10" name="Remarks"/>
  </x:tableColumns>
  <x:tableStyleInfo name="TableStyleMedium2" showFirstColumn="0" showLastColumn="0" showRowStripes="1"/>
</x:table>
</file>

<file path=xl/tables/table8.xml><?xml version="1.0" encoding="utf-8"?>
<x:table xmlns:x="http://schemas.openxmlformats.org/spreadsheetml/2006/main" id="8" name="Provision_ComplianceArea__T" displayName="Provision_ComplianceArea__T" ref="A1:E546" headerRowCount="1" totalsRowCount="0">
  <x:autoFilter ref="A1:E546"/>
  <x:tableColumns count="5">
    <x:tableColumn id="1" name="Map ID"/>
    <x:tableColumn id="2" name="Provision ID"/>
    <x:tableColumn id="3" name="Compliance Area ID"/>
    <x:tableColumn id="4" name="Active"/>
    <x:tableColumn id="5" name="Remarks"/>
  </x:tableColumns>
  <x:tableStyleInfo name="TableStyleMedium2" showFirstColumn="0" showLastColumn="0" showRowStripes="1"/>
</x:table>
</file>

<file path=xl/tables/table9.xml><?xml version="1.0" encoding="utf-8"?>
<x:table xmlns:x="http://schemas.openxmlformats.org/spreadsheetml/2006/main" id="9" name="Compliance_Requirement_Ma_T" displayName="Compliance_Requirement_Ma_T" ref="A1:N738" headerRowCount="1" totalsRowCount="0">
  <x:autoFilter ref="A1:N738"/>
  <x:tableColumns count="14">
    <x:tableColumn id="1" name="Compliance ID"/>
    <x:tableColumn id="2" name="Provision ID"/>
    <x:tableColumn id="3" name="Compliance Area ID"/>
    <x:tableColumn id="4" name="Compliance Requirement"/>
    <x:tableColumn id="5" name="Compliance Objective"/>
    <x:tableColumn id="6" name="Applicability"/>
    <x:tableColumn id="7" name="Frequency"/>
    <x:tableColumn id="8" name="Due Timeline"/>
    <x:tableColumn id="9" name="Responsible Person"/>
    <x:tableColumn id="10" name="Non-Compliance Consequence"/>
    <x:tableColumn id="11" name="Priority"/>
    <x:tableColumn id="12" name="Origin"/>
    <x:tableColumn id="13" name="Active"/>
    <x:tableColumn id="14" name="Remarks"/>
  </x:tableColumns>
  <x:tableStyleInfo name="TableStyleMedium2" showFirstColumn="0" showLastColumn="0" showRowStripes="1"/>
</x:table>
</file>

<file path=xl/tables/table10.xml><?xml version="1.0" encoding="utf-8"?>
<x:table xmlns:x="http://schemas.openxmlformats.org/spreadsheetml/2006/main" id="10" name="Audit_Procedure_Master_T" displayName="Audit_Procedure_Master_T" ref="A1:I1045" headerRowCount="1" totalsRowCount="0">
  <x:autoFilter ref="A1:I1045"/>
  <x:tableColumns count="9">
    <x:tableColumn id="1" name="Audit ID"/>
    <x:tableColumn id="2" name="Compliance ID"/>
    <x:tableColumn id="3" name="Audit Procedure"/>
    <x:tableColumn id="4" name="Audit Method"/>
    <x:tableColumn id="5" name="Audit Frequency"/>
    <x:tableColumn id="6" name="Origin"/>
    <x:tableColumn id="7" name="Risk Focus"/>
    <x:tableColumn id="8" name="Active"/>
    <x:tableColumn id="9" name="Remarks"/>
  </x:tableColumns>
  <x:tableStyleInfo name="TableStyleMedium2" showFirstColumn="0" showLastColumn="0" showRowStripes="1"/>
</x:table>
</file>

<file path=xl/tables/table11.xml><?xml version="1.0" encoding="utf-8"?>
<x:table xmlns:x="http://schemas.openxmlformats.org/spreadsheetml/2006/main" id="11" name="Evidence_Master_T" displayName="Evidence_Master_T" ref="A1:I1260" headerRowCount="1" totalsRowCount="0">
  <x:autoFilter ref="A1:I1260"/>
  <x:tableColumns count="9">
    <x:tableColumn id="1" name="Evidence ID"/>
    <x:tableColumn id="2" name="Audit ID"/>
    <x:tableColumn id="3" name="Evidence Required"/>
    <x:tableColumn id="4" name="Evidence Type"/>
    <x:tableColumn id="5" name="Mandatory"/>
    <x:tableColumn id="6" name="Retention Category"/>
    <x:tableColumn id="7" name="Origin"/>
    <x:tableColumn id="8" name="Active"/>
    <x:tableColumn id="9" name="Remarks"/>
  </x:tableColumns>
  <x:tableStyleInfo name="TableStyleMedium2" showFirstColumn="0" showLastColumn="0" showRowStripes="1"/>
</x:table>
</file>

<file path=xl/tables/table12.xml><?xml version="1.0" encoding="utf-8"?>
<x:table xmlns:x="http://schemas.openxmlformats.org/spreadsheetml/2006/main" id="12" name="Observation_Master_T" displayName="Observation_Master_T" ref="A1:I940" headerRowCount="1" totalsRowCount="0">
  <x:autoFilter ref="A1:I940"/>
  <x:tableColumns count="9">
    <x:tableColumn id="1" name="Observation ID"/>
    <x:tableColumn id="2" name="Audit ID"/>
    <x:tableColumn id="3" name="Observation Template"/>
    <x:tableColumn id="4" name="Risk Level"/>
    <x:tableColumn id="5" name="Recommendation"/>
    <x:tableColumn id="6" name="Observation Category"/>
    <x:tableColumn id="7" name="Origin"/>
    <x:tableColumn id="8" name="Active"/>
    <x:tableColumn id="9" name="Remarks"/>
  </x:tableColumns>
  <x:tableStyleInfo name="TableStyleMedium2" showFirstColumn="0" showLastColumn="0" showRowStripes="1"/>
</x:table>
</file>

<file path=xl/tables/table13.xml><?xml version="1.0" encoding="utf-8"?>
<x:table xmlns:x="http://schemas.openxmlformats.org/spreadsheetml/2006/main" id="13" name="OriginMaster_T" displayName="OriginMaster_T" ref="A1:C11" headerRowCount="1">
  <x:autoFilter ref="A1:C11"/>
  <x:tableColumns count="3">
    <x:tableColumn id="1" name="Origin Code"/>
    <x:tableColumn id="2" name="Origin Name"/>
    <x:tableColumn id="3" name="Description"/>
  </x:tableColumns>
  <x:tableStyleInfo name="TableStyleMedium2" showFirstColumn="0" showLastColumn="0" showRowStripes="1"/>
</x:table>
</file>

<file path=xl/tables/table14.xml><?xml version="1.0" encoding="utf-8"?>
<x:table xmlns:x="http://schemas.openxmlformats.org/spreadsheetml/2006/main" id="14" name="EnumMaster_T" displayName="EnumMaster_T" ref="A1:C95" headerRowCount="1">
  <x:autoFilter ref="A1:C95"/>
  <x:tableColumns count="3">
    <x:tableColumn id="1" name="Enum Type"/>
    <x:tableColumn id="2" name="Allowed Value"/>
    <x:tableColumn id="3" name="Description"/>
  </x:tableColumns>
  <x:tableStyleInfo name="TableStyleMedium2" showFirstColumn="0" showLastColumn="0" showRowStripes="1"/>
</x:table>
</file>

<file path=xl/tables/table15.xml><?xml version="1.0" encoding="utf-8"?>
<x:table xmlns:x="http://schemas.openxmlformats.org/spreadsheetml/2006/main" id="15" name="VersionHistory_T" displayName="VersionHistory_T" ref="A1:D2" headerRowCount="1">
  <x:autoFilter ref="A1:D2"/>
  <x:tableColumns count="4">
    <x:tableColumn id="1" name="Version"/>
    <x:tableColumn id="2" name="Date"/>
    <x:tableColumn id="3" name="Status"/>
    <x:tableColumn id="4" name="Description"/>
  </x:tableColumns>
  <x:tableStyleInfo name="TableStyleMedium2" showFirstColumn="0" showLastColumn="0" showRowStripes="1"/>
</x:table>
</file>

<file path=xl/tables/table16.xml><?xml version="1.0" encoding="utf-8"?>
<x:table xmlns:x="http://schemas.openxmlformats.org/spreadsheetml/2006/main" id="16" name="FKChecks_T" displayName="FKChecks_T" ref="A1:D10" headerRowCount="1">
  <x:autoFilter ref="A1:D10"/>
  <x:tableColumns count="4">
    <x:tableColumn id="1" name="Check"/>
    <x:tableColumn id="2" name="Checked Records"/>
    <x:tableColumn id="3" name="Invalid Count"/>
    <x:tableColumn id="4" name="Status"/>
  </x:tableColumns>
  <x:tableStyleInfo name="TableStyleMedium2" showFirstColumn="0" showLastColumn="0" showRowStripes="1"/>
</x:table>
</file>

<file path=xl/tables/table17.xml><?xml version="1.0" encoding="utf-8"?>
<x:table xmlns:x="http://schemas.openxmlformats.org/spreadsheetml/2006/main" id="17" name="P2ChecklistTable" displayName="P2ChecklistTable" ref="A1:I48" headerRowCount="1" totalsRowCount="0" totalsRowShown="0">
  <x:tableColumns count="9">
    <x:tableColumn id="1" name="Item ID"/>
    <x:tableColumn id="2" name="Checklist / Existing Item"/>
    <x:tableColumn id="3" name="Source Mapping"/>
    <x:tableColumn id="4" name="Authoritative Finding"/>
    <x:tableColumn id="5" name="Citation"/>
    <x:tableColumn id="6" name="Classification"/>
    <x:tableColumn id="7" name="Applicable Scope"/>
    <x:tableColumn id="8" name="P-2 Treatment"/>
    <x:tableColumn id="9" name="Effective Position"/>
  </x:tableColumns>
  <x:tableStyleInfo name="TableStyleMedium2" showFirstColumn="0" showLastColumn="0" showRowStripes="1" showColumnStripes="0"/>
</x:table>
</file>

<file path=xl/tables/table18.xml><?xml version="1.0" encoding="utf-8"?>
<x:table xmlns:x="http://schemas.openxmlformats.org/spreadsheetml/2006/main" id="18" name="P2CoverageTable" displayName="P2CoverageTable" ref="A1:I41" headerRowCount="1" totalsRowCount="0" totalsRowShown="0">
  <x:tableColumns count="9">
    <x:tableColumn id="1" name="Coverage ID"/>
    <x:tableColumn id="2" name="Part / Topic"/>
    <x:tableColumn id="3" name="Rule / Schedule / Form"/>
    <x:tableColumn id="4" name="Authoritative Control"/>
    <x:tableColumn id="5" name="Applicability"/>
    <x:tableColumn id="6" name="Applicable Scope"/>
    <x:tableColumn id="7" name="Production Mapping"/>
    <x:tableColumn id="8" name="P-2 Status"/>
    <x:tableColumn id="9" name="Effective Position"/>
  </x:tableColumns>
  <x:tableStyleInfo name="TableStyleMedium2" showFirstColumn="0" showLastColumn="0" showRowStripes="1" showColumnStripes="0"/>
</x:table>
</file>

<file path=xl/tables/table19.xml><?xml version="1.0" encoding="utf-8"?>
<x:table xmlns:x="http://schemas.openxmlformats.org/spreadsheetml/2006/main" id="19" name="P2Rule65Table" displayName="P2Rule65Table" ref="A1:G28" headerRowCount="1" totalsRowCount="0" totalsRowShown="0">
  <x:tableColumns count="7">
    <x:tableColumn id="1" name="Matrix ID"/>
    <x:tableColumn id="2" name="Sub-rule"/>
    <x:tableColumn id="3" name="Validated Control"/>
    <x:tableColumn id="4" name="Applicable Scope"/>
    <x:tableColumn id="5" name="Classification"/>
    <x:tableColumn id="6" name="Production Mapping"/>
    <x:tableColumn id="7" name="Retention / Evidence Position"/>
  </x:tableColumns>
  <x:tableStyleInfo name="TableStyleMedium2" showFirstColumn="0" showLastColumn="0" showRowStripes="1" showColumnStripes="0"/>
</x:table>
</file>

<file path=xl/tables/table20.xml><?xml version="1.0" encoding="utf-8"?>
<x:table xmlns:x="http://schemas.openxmlformats.org/spreadsheetml/2006/main" id="20" name="P2AmendmentTable" displayName="P2AmendmentTable" ref="A1:J12" headerRowCount="1" totalsRowCount="0" totalsRowShown="0">
  <x:tableColumns count="10">
    <x:tableColumn id="1" name="Amendment ID"/>
    <x:tableColumn id="2" name="Notification"/>
    <x:tableColumn id="3" name="Notification / Publication Date"/>
    <x:tableColumn id="4" name="Affected Provision"/>
    <x:tableColumn id="5" name="Status"/>
    <x:tableColumn id="6" name="Commencement"/>
    <x:tableColumn id="7" name="P-2 Position"/>
    <x:tableColumn id="8" name="Substance"/>
    <x:tableColumn id="9" name="Workbook Treatment"/>
    <x:tableColumn id="10" name="Official Source"/>
  </x:tableColumns>
  <x:tableStyleInfo name="TableStyleMedium2" showFirstColumn="0" showLastColumn="0" showRowStripes="1" showColumnStripes="0"/>
</x:table>
</file>

<file path=xl/tables/table21.xml><?xml version="1.0" encoding="utf-8"?>
<x:table xmlns:x="http://schemas.openxmlformats.org/spreadsheetml/2006/main" id="21" name="P2GateTable" displayName="P2GateTable" ref="A1:D23" headerRowCount="1" totalsRowCount="0" totalsRowShown="0">
  <x:tableColumns count="4">
    <x:tableColumn id="1" name="Gate / Metric"/>
    <x:tableColumn id="2" name="Result / Count"/>
    <x:tableColumn id="3" name="Status"/>
    <x:tableColumn id="4" name="Notes"/>
  </x:tableColumns>
  <x:tableStyleInfo name="TableStyleMedium2" showFirstColumn="0" showLastColumn="0" showRowStripes="1" showColumnStripes="0"/>
</x:table>
</file>

<file path=xl/tables/table22.xml><?xml version="1.0" encoding="utf-8"?>
<x:table xmlns:x="http://schemas.openxmlformats.org/spreadsheetml/2006/main" id="22" name="P3EnvCoverageTable" displayName="P3EnvCoverageTable" ref="A1:H13" headerRowCount="1" totalsRowCount="0" totalsRowShown="0">
  <x:tableColumns count="8">
    <x:tableColumn id="1" name="Coverage ID"/>
    <x:tableColumn id="2" name="Instrument"/>
    <x:tableColumn id="3" name="Regulated Role"/>
    <x:tableColumn id="4" name="Activation Trigger"/>
    <x:tableColumn id="5" name="Applicable Pharmacy Scope"/>
    <x:tableColumn id="6" name="Production Mapping"/>
    <x:tableColumn id="7" name="P-3 Position"/>
    <x:tableColumn id="8" name="Treatment"/>
  </x:tableColumns>
  <x:tableStyleInfo name="TableStyleMedium2" showFirstColumn="0" showLastColumn="0" showRowStripes="1" showColumnStripes="0"/>
</x:table>
</file>

<file path=xl/tables/table23.xml><?xml version="1.0" encoding="utf-8"?>
<x:table xmlns:x="http://schemas.openxmlformats.org/spreadsheetml/2006/main" id="23" name="P3GenCoverageTable" displayName="P3GenCoverageTable" ref="A1:G23" headerRowCount="1" totalsRowCount="0" totalsRowShown="0">
  <x:tableColumns count="7">
    <x:tableColumn id="1" name="Coverage ID"/>
    <x:tableColumn id="2" name="Instrument / Family"/>
    <x:tableColumn id="3" name="Regulated Role"/>
    <x:tableColumn id="4" name="Activation Trigger"/>
    <x:tableColumn id="5" name="Applicable Pharmacy Scope"/>
    <x:tableColumn id="6" name="P-3 Position"/>
    <x:tableColumn id="7" name="Treatment"/>
  </x:tableColumns>
  <x:tableStyleInfo name="TableStyleMedium2" showFirstColumn="0" showLastColumn="0" showRowStripes="1" showColumnStripes="0"/>
</x:table>
</file>

<file path=xl/tables/table24.xml><?xml version="1.0" encoding="utf-8"?>
<x:table xmlns:x="http://schemas.openxmlformats.org/spreadsheetml/2006/main" id="24" name="P3ApplicabilityTable" displayName="P3ApplicabilityTable" ref="A1:G21" headerRowCount="1" totalsRowCount="0" totalsRowShown="0">
  <x:tableColumns count="7">
    <x:tableColumn id="1" name="Matrix ID"/>
    <x:tableColumn id="2" name="Role / Scenario"/>
    <x:tableColumn id="3" name="Trigger Test"/>
    <x:tableColumn id="4" name="Applicable Instrument"/>
    <x:tableColumn id="5" name="Classification"/>
    <x:tableColumn id="6" name="Pharmacy Scope"/>
    <x:tableColumn id="7" name="Production Decision"/>
  </x:tableColumns>
  <x:tableStyleInfo name="TableStyleMedium2" showFirstColumn="0" showLastColumn="0" showRowStripes="1" showColumnStripes="0"/>
</x:table>
</file>

<file path=xl/tables/table25.xml><?xml version="1.0" encoding="utf-8"?>
<x:table xmlns:x="http://schemas.openxmlformats.org/spreadsheetml/2006/main" id="25" name="P3CommencementTable" displayName="P3CommencementTable" ref="A1:H11" headerRowCount="1" totalsRowCount="0" totalsRowShown="0">
  <x:tableColumns count="8">
    <x:tableColumn id="1" name="Commencement ID"/>
    <x:tableColumn id="2" name="Instrument / Provision Family"/>
    <x:tableColumn id="3" name="Notification"/>
    <x:tableColumn id="4" name="Effective / Staged Date"/>
    <x:tableColumn id="5" name="Position at 20-08-2026"/>
    <x:tableColumn id="6" name="Transition Note"/>
    <x:tableColumn id="7" name="Workbook Treatment"/>
    <x:tableColumn id="8" name="Official Source"/>
  </x:tableColumns>
  <x:tableStyleInfo name="TableStyleMedium2" showFirstColumn="0" showLastColumn="0" showRowStripes="1" showColumnStripes="0"/>
</x:table>
</file>

<file path=xl/tables/table26.xml><?xml version="1.0" encoding="utf-8"?>
<x:table xmlns:x="http://schemas.openxmlformats.org/spreadsheetml/2006/main" id="26" name="P3JurisdictionTable" displayName="P3JurisdictionTable" ref="A1:H8" headerRowCount="1" totalsRowCount="0" totalsRowShown="0">
  <x:tableColumns count="8">
    <x:tableColumn id="1" name="Jurisdiction ID"/>
    <x:tableColumn id="2" name="Law / Permit Family"/>
    <x:tableColumn id="3" name="Required Authority"/>
    <x:tableColumn id="4" name="Required Profile Inputs"/>
    <x:tableColumn id="5" name="Duty Families to Resolve"/>
    <x:tableColumn id="6" name="P-3 Status"/>
    <x:tableColumn id="7" name="Current Workbook Control"/>
    <x:tableColumn id="8" name="Owner"/>
  </x:tableColumns>
  <x:tableStyleInfo name="TableStyleMedium2" showFirstColumn="0" showLastColumn="0" showRowStripes="1" showColumnStripes="0"/>
</x:table>
</file>

<file path=xl/tables/table27.xml><?xml version="1.0" encoding="utf-8"?>
<x:table xmlns:x="http://schemas.openxmlformats.org/spreadsheetml/2006/main" id="27" name="P3GateTable" displayName="P3GateTable" ref="A1:D17" headerRowCount="1" totalsRowCount="0" totalsRowShown="0">
  <x:tableColumns count="4">
    <x:tableColumn id="1" name="Gate / Metric"/>
    <x:tableColumn id="2" name="Result / Count"/>
    <x:tableColumn id="3" name="Status"/>
    <x:tableColumn id="4" name="Notes"/>
  </x:tableColumns>
  <x:tableStyleInfo name="TableStyleMedium2" showFirstColumn="0" showLastColumn="0" showRowStripes="1" showColumnStripes="0"/>
</x:table>
</file>

<file path=xl/tables/table28.xml><?xml version="1.0" encoding="utf-8"?>
<x:table xmlns:x="http://schemas.openxmlformats.org/spreadsheetml/2006/main" id="28" name="P4TechnicalCoverageTable" displayName="P4TechnicalCoverageTable" ref="A1:G10" headerRowCount="1" totalsRowCount="0" totalsRowShown="0">
  <x:tableColumns count="7">
    <x:tableColumn id="1" name="Coverage ID"/>
    <x:tableColumn id="2" name="Instrument / Family"/>
    <x:tableColumn id="3" name="Validated Duty Boundary"/>
    <x:tableColumn id="4" name="Applicable Pharmacy Scope"/>
    <x:tableColumn id="5" name="P-4 Position"/>
    <x:tableColumn id="6" name="Workbook Treatment"/>
    <x:tableColumn id="7" name="Status"/>
  </x:tableColumns>
  <x:tableStyleInfo name="TableStyleMedium2" showFirstColumn="0" showLastColumn="0" showRowStripes="1" showColumnStripes="0"/>
</x:table>
</file>

<file path=xl/tables/table29.xml><?xml version="1.0" encoding="utf-8"?>
<x:table xmlns:x="http://schemas.openxmlformats.org/spreadsheetml/2006/main" id="29" name="P4EntityApplicabilityTable" displayName="P4EntityApplicabilityTable" ref="A1:L10" headerRowCount="1" totalsRowCount="0" totalsRowShown="0">
  <x:tableColumns count="12">
    <x:tableColumn id="1" name="Matrix ID"/>
    <x:tableColumn id="2" name="Duty Family"/>
    <x:tableColumn id="3" name="SUB001 Retail"/>
    <x:tableColumn id="4" name="SUB002 Wholesale"/>
    <x:tableColumn id="5" name="SUB003 Hospital"/>
    <x:tableColumn id="6" name="SUB004 Chain"/>
    <x:tableColumn id="7" name="SUB005 E-Pharmacy"/>
    <x:tableColumn id="8" name="SUB006 Institutional"/>
    <x:tableColumn id="9" name="SUB007 Specialized"/>
    <x:tableColumn id="10" name="SUB008 Homeopathic"/>
    <x:tableColumn id="11" name="SUB009 AYUSH"/>
    <x:tableColumn id="12" name="Activation Test"/>
  </x:tableColumns>
  <x:tableStyleInfo name="TableStyleMedium2" showFirstColumn="0" showLastColumn="0" showRowStripes="1" showColumnStripes="0"/>
</x:table>
</file>

<file path=xl/tables/table30.xml><?xml version="1.0" encoding="utf-8"?>
<x:table xmlns:x="http://schemas.openxmlformats.org/spreadsheetml/2006/main" id="30" name="P4RoleBoundaryTable" displayName="P4RoleBoundaryTable" ref="A1:F10" headerRowCount="1" totalsRowCount="0" totalsRowShown="0">
  <x:tableColumns count="6">
    <x:tableColumn id="1" name="Boundary ID"/>
    <x:tableColumn id="2" name="Potential Role"/>
    <x:tableColumn id="3" name="P-4 Classification"/>
    <x:tableColumn id="4" name="Trigger / Duty Family"/>
    <x:tableColumn id="5" name="Required Decision Input"/>
    <x:tableColumn id="6" name="Workbook Treatment"/>
  </x:tableColumns>
  <x:tableStyleInfo name="TableStyleMedium2" showFirstColumn="0" showLastColumn="0" showRowStripes="1" showColumnStripes="0"/>
</x:table>
</file>

<file path=xl/tables/table31.xml><?xml version="1.0" encoding="utf-8"?>
<x:table xmlns:x="http://schemas.openxmlformats.org/spreadsheetml/2006/main" id="31" name="P4ChainClosureTable" displayName="P4ChainClosureTable" ref="A1:F12" headerRowCount="1" totalsRowCount="0" totalsRowShown="0">
  <x:tableColumns count="6">
    <x:tableColumn id="1" name="Check ID"/>
    <x:tableColumn id="2" name="Execution-Chain Check"/>
    <x:tableColumn id="3" name="Before P-4"/>
    <x:tableColumn id="4" name="After P-4 / Addressed"/>
    <x:tableColumn id="5" name="Status"/>
    <x:tableColumn id="6" name="Treatment"/>
  </x:tableColumns>
  <x:tableStyleInfo name="TableStyleMedium2" showFirstColumn="0" showLastColumn="0" showRowStripes="1" showColumnStripes="0"/>
</x:table>
</file>

<file path=xl/tables/table32.xml><?xml version="1.0" encoding="utf-8"?>
<x:table xmlns:x="http://schemas.openxmlformats.org/spreadsheetml/2006/main" id="32" name="P4GateTable" displayName="P4GateTable" ref="A1:D16" headerRowCount="1" totalsRowCount="0" totalsRowShown="0">
  <x:tableColumns count="4">
    <x:tableColumn id="1" name="Gate / Metric"/>
    <x:tableColumn id="2" name="Result / Count"/>
    <x:tableColumn id="3" name="Status"/>
    <x:tableColumn id="4" name="Note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d88e5aeae3c42b3" /></Relationships>
</file>

<file path=xl/worksheets/_rels/sheet3.xml.rels>&#65279;<?xml version="1.0" encoding="utf-8"?><Relationships xmlns="http://schemas.openxmlformats.org/package/2006/relationships"><Relationship Type="http://schemas.openxmlformats.org/officeDocument/2006/relationships/table" Target="/xl/tables/table2.xml" Id="R2fb881542d6047c6" /></Relationships>
</file>

<file path=xl/worksheets/_rels/sheet4.xml.rels>&#65279;<?xml version="1.0" encoding="utf-8"?><Relationships xmlns="http://schemas.openxmlformats.org/package/2006/relationships"><Relationship Type="http://schemas.openxmlformats.org/officeDocument/2006/relationships/table" Target="/xl/tables/table3.xml" Id="R5f57984e56184d2f" /></Relationships>
</file>

<file path=xl/worksheets/_rels/sheet5.xml.rels>&#65279;<?xml version="1.0" encoding="utf-8"?><Relationships xmlns="http://schemas.openxmlformats.org/package/2006/relationships"><Relationship Type="http://schemas.openxmlformats.org/officeDocument/2006/relationships/table" Target="/xl/tables/table4.xml" Id="Rd0a6ca702a9c42a6" /></Relationships>
</file>

<file path=xl/worksheets/_rels/sheet6.xml.rels>&#65279;<?xml version="1.0" encoding="utf-8"?><Relationships xmlns="http://schemas.openxmlformats.org/package/2006/relationships"><Relationship Type="http://schemas.openxmlformats.org/officeDocument/2006/relationships/table" Target="/xl/tables/table5.xml" Id="R85aa1356a57c4f5c" /></Relationships>
</file>

<file path=xl/worksheets/_rels/sheet7.xml.rels>&#65279;<?xml version="1.0" encoding="utf-8"?><Relationships xmlns="http://schemas.openxmlformats.org/package/2006/relationships"><Relationship Type="http://schemas.openxmlformats.org/officeDocument/2006/relationships/table" Target="/xl/tables/table6.xml" Id="Re16610dd230943eb" /></Relationships>
</file>

<file path=xl/worksheets/_rels/sheet8.xml.rels>&#65279;<?xml version="1.0" encoding="utf-8"?><Relationships xmlns="http://schemas.openxmlformats.org/package/2006/relationships"><Relationship Type="http://schemas.openxmlformats.org/officeDocument/2006/relationships/table" Target="/xl/tables/table7.xml" Id="Rdd292d7d4d904c0d" /></Relationships>
</file>

<file path=xl/worksheets/_rels/sheet9.xml.rels>&#65279;<?xml version="1.0" encoding="utf-8"?><Relationships xmlns="http://schemas.openxmlformats.org/package/2006/relationships"><Relationship Type="http://schemas.openxmlformats.org/officeDocument/2006/relationships/table" Target="/xl/tables/table8.xml" Id="R69556935a72a4faa" /></Relationships>
</file>

<file path=xl/worksheets/_rels/sheet10.xml.rels>&#65279;<?xml version="1.0" encoding="utf-8"?><Relationships xmlns="http://schemas.openxmlformats.org/package/2006/relationships"><Relationship Type="http://schemas.openxmlformats.org/officeDocument/2006/relationships/table" Target="/xl/tables/table9.xml" Id="R86af88e4d5da47ea" /></Relationships>
</file>

<file path=xl/worksheets/_rels/sheet11.xml.rels>&#65279;<?xml version="1.0" encoding="utf-8"?><Relationships xmlns="http://schemas.openxmlformats.org/package/2006/relationships"><Relationship Type="http://schemas.openxmlformats.org/officeDocument/2006/relationships/table" Target="/xl/tables/table10.xml" Id="Raade5e6f615143a6" /></Relationships>
</file>

<file path=xl/worksheets/_rels/sheet12.xml.rels>&#65279;<?xml version="1.0" encoding="utf-8"?><Relationships xmlns="http://schemas.openxmlformats.org/package/2006/relationships"><Relationship Type="http://schemas.openxmlformats.org/officeDocument/2006/relationships/table" Target="/xl/tables/table11.xml" Id="R9e32d8fb92b648b1" /></Relationships>
</file>

<file path=xl/worksheets/_rels/sheet13.xml.rels>&#65279;<?xml version="1.0" encoding="utf-8"?><Relationships xmlns="http://schemas.openxmlformats.org/package/2006/relationships"><Relationship Type="http://schemas.openxmlformats.org/officeDocument/2006/relationships/table" Target="/xl/tables/table12.xml" Id="Rdf03003e8b734318" /></Relationships>
</file>

<file path=xl/worksheets/_rels/sheet14.xml.rels>&#65279;<?xml version="1.0" encoding="utf-8"?><Relationships xmlns="http://schemas.openxmlformats.org/package/2006/relationships"><Relationship Type="http://schemas.openxmlformats.org/officeDocument/2006/relationships/table" Target="/xl/tables/table13.xml" Id="R8a3fd62db5d84bb4" /></Relationships>
</file>

<file path=xl/worksheets/_rels/sheet15.xml.rels>&#65279;<?xml version="1.0" encoding="utf-8"?><Relationships xmlns="http://schemas.openxmlformats.org/package/2006/relationships"><Relationship Type="http://schemas.openxmlformats.org/officeDocument/2006/relationships/table" Target="/xl/tables/table14.xml" Id="Rf8c8e79f9f7646c8" /></Relationships>
</file>

<file path=xl/worksheets/_rels/sheet16.xml.rels>&#65279;<?xml version="1.0" encoding="utf-8"?><Relationships xmlns="http://schemas.openxmlformats.org/package/2006/relationships"><Relationship Type="http://schemas.openxmlformats.org/officeDocument/2006/relationships/table" Target="/xl/tables/table15.xml" Id="Rde48b55e4ff54139" /></Relationships>
</file>

<file path=xl/worksheets/_rels/sheet18.xml.rels>&#65279;<?xml version="1.0" encoding="utf-8"?><Relationships xmlns="http://schemas.openxmlformats.org/package/2006/relationships"><Relationship Type="http://schemas.openxmlformats.org/officeDocument/2006/relationships/table" Target="/xl/tables/table16.xml" Id="R0b97e85706af449b" /></Relationships>
</file>

<file path=xl/worksheets/_rels/sheet27.xml.rels>&#65279;<?xml version="1.0" encoding="utf-8"?><Relationships xmlns="http://schemas.openxmlformats.org/package/2006/relationships"><Relationship Type="http://schemas.openxmlformats.org/officeDocument/2006/relationships/table" Target="/xl/tables/table17.xml" Id="R0ec721fc410045e6" /></Relationships>
</file>

<file path=xl/worksheets/_rels/sheet28.xml.rels>&#65279;<?xml version="1.0" encoding="utf-8"?><Relationships xmlns="http://schemas.openxmlformats.org/package/2006/relationships"><Relationship Type="http://schemas.openxmlformats.org/officeDocument/2006/relationships/table" Target="/xl/tables/table18.xml" Id="R9fa9e2f383d64284" /></Relationships>
</file>

<file path=xl/worksheets/_rels/sheet29.xml.rels>&#65279;<?xml version="1.0" encoding="utf-8"?><Relationships xmlns="http://schemas.openxmlformats.org/package/2006/relationships"><Relationship Type="http://schemas.openxmlformats.org/officeDocument/2006/relationships/table" Target="/xl/tables/table19.xml" Id="R1fde1d2cbd8a42d4" /></Relationships>
</file>

<file path=xl/worksheets/_rels/sheet30.xml.rels>&#65279;<?xml version="1.0" encoding="utf-8"?><Relationships xmlns="http://schemas.openxmlformats.org/package/2006/relationships"><Relationship Type="http://schemas.openxmlformats.org/officeDocument/2006/relationships/table" Target="/xl/tables/table20.xml" Id="R74ae5fa1a4ba4e2c" /></Relationships>
</file>

<file path=xl/worksheets/_rels/sheet31.xml.rels>&#65279;<?xml version="1.0" encoding="utf-8"?><Relationships xmlns="http://schemas.openxmlformats.org/package/2006/relationships"><Relationship Type="http://schemas.openxmlformats.org/officeDocument/2006/relationships/table" Target="/xl/tables/table21.xml" Id="Rf4dee8d2b66847c3" /></Relationships>
</file>

<file path=xl/worksheets/_rels/sheet32.xml.rels>&#65279;<?xml version="1.0" encoding="utf-8"?><Relationships xmlns="http://schemas.openxmlformats.org/package/2006/relationships"><Relationship Type="http://schemas.openxmlformats.org/officeDocument/2006/relationships/table" Target="/xl/tables/table22.xml" Id="Rac96007f90d7496b" /></Relationships>
</file>

<file path=xl/worksheets/_rels/sheet33.xml.rels>&#65279;<?xml version="1.0" encoding="utf-8"?><Relationships xmlns="http://schemas.openxmlformats.org/package/2006/relationships"><Relationship Type="http://schemas.openxmlformats.org/officeDocument/2006/relationships/table" Target="/xl/tables/table23.xml" Id="R6b005f4aedad4b4e" /></Relationships>
</file>

<file path=xl/worksheets/_rels/sheet34.xml.rels>&#65279;<?xml version="1.0" encoding="utf-8"?><Relationships xmlns="http://schemas.openxmlformats.org/package/2006/relationships"><Relationship Type="http://schemas.openxmlformats.org/officeDocument/2006/relationships/table" Target="/xl/tables/table24.xml" Id="Rc89df0b508c540c9" /></Relationships>
</file>

<file path=xl/worksheets/_rels/sheet35.xml.rels>&#65279;<?xml version="1.0" encoding="utf-8"?><Relationships xmlns="http://schemas.openxmlformats.org/package/2006/relationships"><Relationship Type="http://schemas.openxmlformats.org/officeDocument/2006/relationships/table" Target="/xl/tables/table25.xml" Id="Rf47c86ddb8454f40" /></Relationships>
</file>

<file path=xl/worksheets/_rels/sheet36.xml.rels>&#65279;<?xml version="1.0" encoding="utf-8"?><Relationships xmlns="http://schemas.openxmlformats.org/package/2006/relationships"><Relationship Type="http://schemas.openxmlformats.org/officeDocument/2006/relationships/table" Target="/xl/tables/table26.xml" Id="R20cc1377e21942be" /></Relationships>
</file>

<file path=xl/worksheets/_rels/sheet37.xml.rels>&#65279;<?xml version="1.0" encoding="utf-8"?><Relationships xmlns="http://schemas.openxmlformats.org/package/2006/relationships"><Relationship Type="http://schemas.openxmlformats.org/officeDocument/2006/relationships/table" Target="/xl/tables/table27.xml" Id="R83c4428113e544c0" /></Relationships>
</file>

<file path=xl/worksheets/_rels/sheet38.xml.rels>&#65279;<?xml version="1.0" encoding="utf-8"?><Relationships xmlns="http://schemas.openxmlformats.org/package/2006/relationships"><Relationship Type="http://schemas.openxmlformats.org/officeDocument/2006/relationships/table" Target="/xl/tables/table28.xml" Id="R211d9e0354bc4680" /></Relationships>
</file>

<file path=xl/worksheets/_rels/sheet39.xml.rels>&#65279;<?xml version="1.0" encoding="utf-8"?><Relationships xmlns="http://schemas.openxmlformats.org/package/2006/relationships"><Relationship Type="http://schemas.openxmlformats.org/officeDocument/2006/relationships/table" Target="/xl/tables/table29.xml" Id="R22b0cfbf418b48d8" /></Relationships>
</file>

<file path=xl/worksheets/_rels/sheet40.xml.rels>&#65279;<?xml version="1.0" encoding="utf-8"?><Relationships xmlns="http://schemas.openxmlformats.org/package/2006/relationships"><Relationship Type="http://schemas.openxmlformats.org/officeDocument/2006/relationships/table" Target="/xl/tables/table30.xml" Id="Rb1de2d7665584720" /></Relationships>
</file>

<file path=xl/worksheets/_rels/sheet41.xml.rels>&#65279;<?xml version="1.0" encoding="utf-8"?><Relationships xmlns="http://schemas.openxmlformats.org/package/2006/relationships"><Relationship Type="http://schemas.openxmlformats.org/officeDocument/2006/relationships/table" Target="/xl/tables/table31.xml" Id="R6424950b20184320" /></Relationships>
</file>

<file path=xl/worksheets/_rels/sheet42.xml.rels>&#65279;<?xml version="1.0" encoding="utf-8"?><Relationships xmlns="http://schemas.openxmlformats.org/package/2006/relationships"><Relationship Type="http://schemas.openxmlformats.org/officeDocument/2006/relationships/table" Target="/xl/tables/table32.xml" Id="R34184dc8925f445c" /></Relationships>
</file>

<file path=xl/worksheets/sheet1.xml><?xml version="1.0" encoding="utf-8"?>
<x:worksheet xmlns:x="http://schemas.openxmlformats.org/spreadsheetml/2006/main">
  <x:sheetFormatPr baseColWidth="8" defaultRowHeight="15"/>
  <x:cols>
    <x:col min="1" max="1" width="24" customWidth="1"/>
    <x:col min="2" max="2" width="90" customWidth="1"/>
  </x:cols>
  <x:sheetData>
    <x:row r="1">
      <x:c r="A1" s="1" t="str">
        <x:v>Pharmacy Production Dataset v1.0</x:v>
      </x:c>
      <x:c r="B1"/>
    </x:row>
    <x:row r="2">
      <x:c r="A2" s="2" t="str">
        <x:v>Purpose</x:v>
      </x:c>
      <x:c r="B2" s="3" t="str">
        <x:v>Single consolidated production workbook for Sector.ROCPrompt.in SaaS development.</x:v>
      </x:c>
    </x:row>
    <x:row r="3">
      <x:c r="A3" s="2" t="str">
        <x:v>Status</x:v>
      </x:c>
      <x:c r="B3" s="3" t="str">
        <x:v>PRODUCTION DATASET — REGULATORY COVERAGE VALIDATED &amp; FROZEN (P-0 through P-4 complete)</x:v>
      </x:c>
    </x:row>
    <x:row r="4">
      <x:c r="A4" s="2" t="str">
        <x:v>Generated On</x:v>
      </x:c>
      <x:c r="B4" s="3" t="str">
        <x:v>2026-08-20</x:v>
      </x:c>
    </x:row>
    <x:row r="5">
      <x:c r="A5" s="2" t="str">
        <x:v>Source Workbooks</x:v>
      </x:c>
      <x:c r="B5" s="3" t="str">
        <x:v>Pharmacy.xlsx, Pharmacy Delta.xlsx, Pharmacy Gap Analysis.xlsx, and normalized production masters.</x:v>
      </x:c>
    </x:row>
    <x:row r="6">
      <x:c r="A6" s="2" t="str">
        <x:v>Important Note</x:v>
      </x:c>
      <x:c r="B6" s="3" t="str">
        <x:v>P-4 completed current central technical-law, nine-sub-sector entity applicability and whole-workbook execution-chain validation through 20 August 2026. Exact State/local/event instruments activate only after jurisdiction profiling; future/draft duties remain inactive.</x:v>
      </x:c>
    </x:row>
    <x:row r="7">
      <x:c r="A7" s="2" t="str">
        <x:v>Production Chain</x:v>
      </x:c>
      <x:c r="B7" s="3" t="str">
        <x:v>Law → Provision → Compliance Requirement → Audit Procedure → Evidence → Observation</x:v>
      </x:c>
    </x:row>
    <x:row r="8">
      <x:c r="A8" s="2" t="str">
        <x:v>Change Control</x:v>
      </x:c>
      <x:c r="B8" s="3" t="str">
        <x:v>This v1.1 workbook is frozen. Preserve it as the Pharmacy production baseline; apply later legal changes through controlled versions and the Change Ledger. Combine the separate Common Corporate Core only at runtime.</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0" customWidth="1"/>
    <x:col min="2" max="2" width="13" customWidth="1"/>
    <x:col min="3" max="3" width="48" customWidth="1"/>
    <x:col min="4" max="4" width="10" customWidth="1"/>
    <x:col min="5" max="5" width="24" customWidth="1"/>
  </x:cols>
  <x:sheetData>
    <x:row r="1" ht="28" customHeight="1">
      <x:c r="A1" s="4" t="inlineStr">
        <x:is>
          <x:t xml:space="preserve">SectorID</x:t>
        </x:is>
      </x:c>
      <x:c r="B1" s="4" t="inlineStr">
        <x:is>
          <x:t xml:space="preserve">Sector Name</x:t>
        </x:is>
      </x:c>
      <x:c r="C1" s="4" t="inlineStr">
        <x:is>
          <x:t xml:space="preserve">Description</x:t>
        </x:is>
      </x:c>
      <x:c r="D1" s="4" t="inlineStr">
        <x:is>
          <x:t xml:space="preserve">Active</x:t>
        </x:is>
      </x:c>
      <x:c r="E1" s="4" t="inlineStr">
        <x:is>
          <x:t xml:space="preserve">Remark</x:t>
        </x:is>
      </x:c>
    </x:row>
    <x:row r="2">
      <x:c r="A2" s="5" t="inlineStr">
        <x:is>
          <x:t xml:space="preserve">SEC001</x:t>
        </x:is>
      </x:c>
      <x:c r="B2" s="5" t="inlineStr">
        <x:is>
          <x:t xml:space="preserve">Pharmacy</x:t>
        </x:is>
      </x:c>
      <x:c r="C2" s="5" t="inlineStr">
        <x:is>
          <x:t xml:space="preserve">Regulatory compliance, governance, internal audit, licensing, inspection readiness, quality, controlled substances, pricing, environmental, labour, taxation, and operational compliance applicable to retail pharmacies, wholesale pharmacies, hospital pharmacies, chain pharmacies, and e-pharmacies in India.</x:t>
        </x:is>
      </x:c>
      <x:c r="D2" s="5" t="inlineStr">
        <x:is>
          <x:t xml:space="preserve">Yes</x:t>
        </x:is>
      </x:c>
      <x:c r="E2" s="5" t="inlineStr">
        <x:is>
          <x:t xml:space="preserve">Master sector for the Pharmacy Regulatory Intelligence Platform</x:t>
        </x:is>
      </x:c>
    </x:row>
  </x:sheetData>
  <x:pageMargins left="0.7" right="0.7" top="0.75" bottom="0.75" header="0.3" footer="0.3"/>
  <x:tableParts count="1">
    <x:tablePart xmlns:r="http://schemas.openxmlformats.org/officeDocument/2006/relationships" r:id="R0d88e5aeae3c42b3"/>
  </x:tableParts>
</x:worksheet>
</file>

<file path=xl/worksheets/sheet3.xml><?xml version="1.0" encoding="utf-8"?>
<x:worksheet xmlns:x="http://schemas.openxmlformats.org/spreadsheetml/2006/main">
  <x:sheetFormatPr baseColWidth="8" defaultRowHeight="15"/>
  <x:cols>
    <x:col min="1" max="1" width="15" customWidth="1"/>
    <x:col min="2" max="2" width="10" customWidth="1"/>
    <x:col min="3" max="3" width="24" customWidth="1"/>
    <x:col min="4" max="4" width="48" customWidth="1"/>
    <x:col min="5" max="5" width="10" customWidth="1"/>
  </x:cols>
  <x:sheetData>
    <x:row r="1" ht="28" customHeight="1">
      <x:c r="A1" s="4" t="str">
        <x:v>Sub-Sector ID</x:v>
      </x:c>
      <x:c r="B1" s="4" t="str">
        <x:v>SectorID</x:v>
      </x:c>
      <x:c r="C1" s="4" t="str">
        <x:v>Sub-Sector Name</x:v>
      </x:c>
      <x:c r="D1" s="4" t="str">
        <x:v>Description</x:v>
      </x:c>
      <x:c r="E1" s="4" t="str">
        <x:v>Active</x:v>
      </x:c>
    </x:row>
    <x:row r="2">
      <x:c r="A2" s="5" t="str">
        <x:v>SUB001</x:v>
      </x:c>
      <x:c r="B2" s="5" t="str">
        <x:v>SEC001</x:v>
      </x:c>
      <x:c r="C2" s="5" t="str">
        <x:v>Retail Pharmacy</x:v>
      </x:c>
      <x:c r="D2" s="5" t="str">
        <x:v>Standalone retail medical stores engaged in dispensing prescription and OTC medicines to the public.</x:v>
      </x:c>
      <x:c r="E2" s="5" t="str">
        <x:v>Yes</x:v>
      </x:c>
    </x:row>
    <x:row r="3">
      <x:c r="A3" s="5" t="str">
        <x:v>SUB002</x:v>
      </x:c>
      <x:c r="B3" s="5" t="str">
        <x:v>SEC001</x:v>
      </x:c>
      <x:c r="C3" s="5" t="str">
        <x:v>Wholesale Pharmacy</x:v>
      </x:c>
      <x:c r="D3" s="5" t="str">
        <x:v>Wholesale drug license holders engaged in the storage and distribution of medicines to retailers, hospitals, and institutions.</x:v>
      </x:c>
      <x:c r="E3" s="5" t="str">
        <x:v>Yes</x:v>
      </x:c>
    </x:row>
    <x:row r="4">
      <x:c r="A4" s="5" t="str">
        <x:v>SUB003</x:v>
      </x:c>
      <x:c r="B4" s="5" t="str">
        <x:v>SEC001</x:v>
      </x:c>
      <x:c r="C4" s="5" t="str">
        <x:v>Hospital Pharmacy</x:v>
      </x:c>
      <x:c r="D4" s="5" t="str">
        <x:v>Pharmacies operated within hospitals for dispensing medicines to in-patients and out-patients.</x:v>
      </x:c>
      <x:c r="E4" s="5" t="str">
        <x:v>Yes</x:v>
      </x:c>
    </x:row>
    <x:row r="5">
      <x:c r="A5" s="5" t="str">
        <x:v>SUB004</x:v>
      </x:c>
      <x:c r="B5" s="5" t="str">
        <x:v>SEC001</x:v>
      </x:c>
      <x:c r="C5" s="5" t="str">
        <x:v>Chain Pharmacy</x:v>
      </x:c>
      <x:c r="D5" s="5" t="str">
        <x:v>Multi-location pharmacy businesses operating under a common brand or corporate entity.</x:v>
      </x:c>
      <x:c r="E5" s="5" t="str">
        <x:v>Yes</x:v>
      </x:c>
    </x:row>
    <x:row r="6">
      <x:c r="A6" s="5" t="str">
        <x:v>SUB005</x:v>
      </x:c>
      <x:c r="B6" s="5" t="str">
        <x:v>SEC001</x:v>
      </x:c>
      <x:c r="C6" s="5" t="str">
        <x:v>E-Pharmacy</x:v>
      </x:c>
      <x:c r="D6" s="5" t="str">
        <x:v>Online pharmacies engaged in the sale and home delivery of medicines through digital platforms, subject to applicable regulations.</x:v>
      </x:c>
      <x:c r="E6" s="5" t="str">
        <x:v>Yes</x:v>
      </x:c>
    </x:row>
    <x:row r="7">
      <x:c r="A7" s="5" t="str">
        <x:v>SUB006</x:v>
      </x:c>
      <x:c r="B7" s="5" t="str">
        <x:v>SEC001</x:v>
      </x:c>
      <x:c r="C7" s="5" t="str">
        <x:v>Institutional Pharmacy</x:v>
      </x:c>
      <x:c r="D7" s="5" t="str">
        <x:v>Pharmacies serving institutions such as nursing homes, clinics, educational institutions, government organizations, and industrial establishments.</x:v>
      </x:c>
      <x:c r="E7" s="5" t="str">
        <x:v>Yes</x:v>
      </x:c>
    </x:row>
    <x:row r="8">
      <x:c r="A8" s="5" t="str">
        <x:v>SUB007</x:v>
      </x:c>
      <x:c r="B8" s="5" t="str">
        <x:v>SEC001</x:v>
      </x:c>
      <x:c r="C8" s="5" t="str">
        <x:v>Specialized Pharmacy</x:v>
      </x:c>
      <x:c r="D8" s="5" t="str">
        <x:v>Pharmacies dealing with specialized products such as oncology drugs, narcotic drugs, biologics, vaccines, radiopharmaceuticals, and other regulated medicines requiring additional compliance.</x:v>
      </x:c>
      <x:c r="E8" s="5" t="str">
        <x:v>Yes</x:v>
      </x:c>
    </x:row>
    <x:row r="9">
      <x:c r="A9" s="5" t="str">
        <x:v>SUB008</x:v>
      </x:c>
      <x:c r="B9" s="5" t="str">
        <x:v>SEC001</x:v>
      </x:c>
      <x:c r="C9" s="5" t="str">
        <x:v>Homeopathic Pharmacy</x:v>
      </x:c>
      <x:c r="D9" s="5" t="str">
        <x:v>Pharmacies selling and dispensing homoeopathic medicines under the applicable Drugs Rules Part VI-A and licence conditions.</x:v>
      </x:c>
      <x:c r="E9" s="5" t="str">
        <x:v>Yes</x:v>
      </x:c>
    </x:row>
    <x:row r="10">
      <x:c r="A10" s="5" t="str">
        <x:v>SUB009</x:v>
      </x:c>
      <x:c r="B10" s="5" t="str">
        <x:v>SEC001</x:v>
      </x:c>
      <x:c r="C10" s="5" t="str">
        <x:v>AYUSH Pharmacy</x:v>
      </x:c>
      <x:c r="D10" s="5" t="str">
        <x:v>Pharmacies selling and dispensing Ayurveda, Siddha, Unani and other AYUSH medicines under the exact product, licence and jurisdictional framework applicable to the establishment.</x:v>
      </x:c>
      <x:c r="E10" s="5" t="str">
        <x:v>Yes</x:v>
      </x:c>
    </x:row>
  </x:sheetData>
  <x:pageMargins left="0.7" right="0.7" top="0.75" bottom="0.75" header="0.3" footer="0.3"/>
  <x:tableParts count="1">
    <x:tablePart xmlns:r="http://schemas.openxmlformats.org/officeDocument/2006/relationships" r:id="R2fb881542d6047c6"/>
  </x:tableParts>
</x:worksheet>
</file>

<file path=xl/worksheets/sheet4.xml><?xml version="1.0" encoding="utf-8"?>
<x:worksheet xmlns:x="http://schemas.openxmlformats.org/spreadsheetml/2006/main">
  <x:sheetFormatPr baseColWidth="8" defaultRowHeight="15"/>
  <x:cols>
    <x:col min="1" max="1" width="14" customWidth="1"/>
    <x:col min="2" max="2" width="24" customWidth="1"/>
    <x:col min="3" max="3" width="24" customWidth="1"/>
    <x:col min="4" max="4" width="24" customWidth="1"/>
    <x:col min="5" max="5" width="17" customWidth="1"/>
    <x:col min="6" max="6" width="24" customWidth="1"/>
    <x:col min="7" max="7" width="48" customWidth="1"/>
    <x:col min="8" max="8" width="10" customWidth="1"/>
  </x:cols>
  <x:sheetData>
    <x:row r="1" ht="28" customHeight="1">
      <x:c r="A1" s="4" t="inlineStr">
        <x:is>
          <x:t xml:space="preserve">Authority ID</x:t>
        </x:is>
      </x:c>
      <x:c r="B1" s="4" t="inlineStr">
        <x:is>
          <x:t xml:space="preserve">Regulatory Authority</x:t>
        </x:is>
      </x:c>
      <x:c r="C1" s="4" t="inlineStr">
        <x:is>
          <x:t xml:space="preserve">Short Name</x:t>
        </x:is>
      </x:c>
      <x:c r="D1" s="4" t="inlineStr">
        <x:is>
          <x:t xml:space="preserve">Authority Type</x:t>
        </x:is>
      </x:c>
      <x:c r="E1" s="4" t="inlineStr">
        <x:is>
          <x:t xml:space="preserve">Jurisdiction</x:t>
        </x:is>
      </x:c>
      <x:c r="F1" s="4" t="inlineStr">
        <x:is>
          <x:t xml:space="preserve">Parent Authority</x:t>
        </x:is>
      </x:c>
      <x:c r="G1" s="4" t="inlineStr">
        <x:is>
          <x:t xml:space="preserve">Description</x:t>
        </x:is>
      </x:c>
      <x:c r="H1" s="4" t="inlineStr">
        <x:is>
          <x:t xml:space="preserve">Active</x:t>
        </x:is>
      </x:c>
    </x:row>
    <x:row r="2">
      <x:c r="A2" s="5" t="inlineStr">
        <x:is>
          <x:t xml:space="preserve">RA001</x:t>
        </x:is>
      </x:c>
      <x:c r="B2" s="5" t="inlineStr">
        <x:is>
          <x:t xml:space="preserve">Ministry of Health &amp; Family Welfare</x:t>
        </x:is>
      </x:c>
      <x:c r="C2" s="5" t="inlineStr">
        <x:is>
          <x:t xml:space="preserve">MoHFW</x:t>
        </x:is>
      </x:c>
      <x:c r="D2" s="5" t="inlineStr">
        <x:is>
          <x:t xml:space="preserve">Ministry</x:t>
        </x:is>
      </x:c>
      <x:c r="E2" s="5" t="inlineStr">
        <x:is>
          <x:t xml:space="preserve">Central</x:t>
        </x:is>
      </x:c>
      <x:c r="F2" s="5" t="inlineStr">
        <x:is>
          <x:t xml:space="preserve">-</x:t>
        </x:is>
      </x:c>
      <x:c r="G2" s="5" t="inlineStr">
        <x:is>
          <x:t xml:space="preserve">Apex ministry responsible for health policy, drugs regulation and public health.</x:t>
        </x:is>
      </x:c>
      <x:c r="H2" s="5" t="inlineStr">
        <x:is>
          <x:t xml:space="preserve">Yes</x:t>
        </x:is>
      </x:c>
    </x:row>
    <x:row r="3">
      <x:c r="A3" s="5" t="inlineStr">
        <x:is>
          <x:t xml:space="preserve">RA002</x:t>
        </x:is>
      </x:c>
      <x:c r="B3" s="5" t="inlineStr">
        <x:is>
          <x:t xml:space="preserve">Central Drugs Standard Control Organization</x:t>
        </x:is>
      </x:c>
      <x:c r="C3" s="5" t="inlineStr">
        <x:is>
          <x:t xml:space="preserve">CDSCO</x:t>
        </x:is>
      </x:c>
      <x:c r="D3" s="5" t="inlineStr">
        <x:is>
          <x:t xml:space="preserve">Central Regulatory Authority</x:t>
        </x:is>
      </x:c>
      <x:c r="E3" s="5" t="inlineStr">
        <x:is>
          <x:t xml:space="preserve">Central</x:t>
        </x:is>
      </x:c>
      <x:c r="F3" s="5" t="inlineStr">
        <x:is>
          <x:t xml:space="preserve">MoHFW</x:t>
        </x:is>
      </x:c>
      <x:c r="G3" s="5" t="inlineStr">
        <x:is>
          <x:t xml:space="preserve">National regulatory authority for drugs, cosmetics and medical devices.</x:t>
        </x:is>
      </x:c>
      <x:c r="H3" s="5" t="inlineStr">
        <x:is>
          <x:t xml:space="preserve">Yes</x:t>
        </x:is>
      </x:c>
    </x:row>
    <x:row r="4">
      <x:c r="A4" s="5" t="inlineStr">
        <x:is>
          <x:t xml:space="preserve">RA003</x:t>
        </x:is>
      </x:c>
      <x:c r="B4" s="5" t="inlineStr">
        <x:is>
          <x:t xml:space="preserve">Drug Controller General of India</x:t>
        </x:is>
      </x:c>
      <x:c r="C4" s="5" t="inlineStr">
        <x:is>
          <x:t xml:space="preserve">DCGI</x:t>
        </x:is>
      </x:c>
      <x:c r="D4" s="5" t="inlineStr">
        <x:is>
          <x:t xml:space="preserve">Statutory Authority</x:t>
        </x:is>
      </x:c>
      <x:c r="E4" s="5" t="inlineStr">
        <x:is>
          <x:t xml:space="preserve">Central</x:t>
        </x:is>
      </x:c>
      <x:c r="F4" s="5" t="inlineStr">
        <x:is>
          <x:t xml:space="preserve">CDSCO</x:t>
        </x:is>
      </x:c>
      <x:c r="G4" s="5" t="inlineStr">
        <x:is>
          <x:t xml:space="preserve">National licensing and regulatory authority headed by the DCGI.</x:t>
        </x:is>
      </x:c>
      <x:c r="H4" s="5" t="inlineStr">
        <x:is>
          <x:t xml:space="preserve">Yes</x:t>
        </x:is>
      </x:c>
    </x:row>
    <x:row r="5">
      <x:c r="A5" s="5" t="inlineStr">
        <x:is>
          <x:t xml:space="preserve">RA004</x:t>
        </x:is>
      </x:c>
      <x:c r="B5" s="5" t="inlineStr">
        <x:is>
          <x:t xml:space="preserve">State Drugs Control Administration</x:t>
        </x:is>
      </x:c>
      <x:c r="C5" s="5" t="inlineStr">
        <x:is>
          <x:t xml:space="preserve">SDCA</x:t>
        </x:is>
      </x:c>
      <x:c r="D5" s="5" t="inlineStr">
        <x:is>
          <x:t xml:space="preserve">State Regulatory Authority</x:t>
        </x:is>
      </x:c>
      <x:c r="E5" s="5" t="inlineStr">
        <x:is>
          <x:t xml:space="preserve">State</x:t>
        </x:is>
      </x:c>
      <x:c r="F5" s="5" t="inlineStr">
        <x:is>
          <x:t xml:space="preserve">CDSCO (Regulatory Coordination)</x:t>
        </x:is>
      </x:c>
      <x:c r="G5" s="5" t="inlineStr">
        <x:is>
          <x:t xml:space="preserve">State authority responsible for licensing, inspections and enforcement under the Drugs &amp; Cosmetics framework.</x:t>
        </x:is>
      </x:c>
      <x:c r="H5" s="5" t="inlineStr">
        <x:is>
          <x:t xml:space="preserve">Yes</x:t>
        </x:is>
      </x:c>
    </x:row>
    <x:row r="6">
      <x:c r="A6" s="5" t="inlineStr">
        <x:is>
          <x:t xml:space="preserve">RA005</x:t>
        </x:is>
      </x:c>
      <x:c r="B6" s="5" t="inlineStr">
        <x:is>
          <x:t xml:space="preserve">State Drug Controller</x:t>
        </x:is>
      </x:c>
      <x:c r="C6" s="5" t="inlineStr">
        <x:is>
          <x:t xml:space="preserve">SDC</x:t>
        </x:is>
      </x:c>
      <x:c r="D6" s="5" t="inlineStr">
        <x:is>
          <x:t xml:space="preserve">Statutory Authority</x:t>
        </x:is>
      </x:c>
      <x:c r="E6" s="5" t="inlineStr">
        <x:is>
          <x:t xml:space="preserve">State</x:t>
        </x:is>
      </x:c>
      <x:c r="F6" s="5" t="inlineStr">
        <x:is>
          <x:t xml:space="preserve">State Drugs Control Administration</x:t>
        </x:is>
      </x:c>
      <x:c r="G6" s="5" t="inlineStr">
        <x:is>
          <x:t xml:space="preserve">Head of the State Drugs Control Department responsible for enforcement.</x:t>
        </x:is>
      </x:c>
      <x:c r="H6" s="5" t="inlineStr">
        <x:is>
          <x:t xml:space="preserve">Yes</x:t>
        </x:is>
      </x:c>
    </x:row>
    <x:row r="7">
      <x:c r="A7" s="5" t="inlineStr">
        <x:is>
          <x:t xml:space="preserve">RA006</x:t>
        </x:is>
      </x:c>
      <x:c r="B7" s="5" t="inlineStr">
        <x:is>
          <x:t xml:space="preserve">Pharmacy Council of India</x:t>
        </x:is>
      </x:c>
      <x:c r="C7" s="5" t="inlineStr">
        <x:is>
          <x:t xml:space="preserve">PCI</x:t>
        </x:is>
      </x:c>
      <x:c r="D7" s="5" t="inlineStr">
        <x:is>
          <x:t xml:space="preserve">Statutory Council</x:t>
        </x:is>
      </x:c>
      <x:c r="E7" s="5" t="inlineStr">
        <x:is>
          <x:t xml:space="preserve">National</x:t>
        </x:is>
      </x:c>
      <x:c r="F7" s="5" t="inlineStr">
        <x:is>
          <x:t xml:space="preserve">MoHFW</x:t>
        </x:is>
      </x:c>
      <x:c r="G7" s="5" t="inlineStr">
        <x:is>
          <x:t xml:space="preserve">National statutory body regulating pharmacy education and pharmacist registration standards.</x:t>
        </x:is>
      </x:c>
      <x:c r="H7" s="5" t="inlineStr">
        <x:is>
          <x:t xml:space="preserve">Yes</x:t>
        </x:is>
      </x:c>
    </x:row>
    <x:row r="8">
      <x:c r="A8" s="5" t="inlineStr">
        <x:is>
          <x:t xml:space="preserve">RA007</x:t>
        </x:is>
      </x:c>
      <x:c r="B8" s="5" t="inlineStr">
        <x:is>
          <x:t xml:space="preserve">State Pharmacy Council</x:t>
        </x:is>
      </x:c>
      <x:c r="C8" s="5" t="inlineStr">
        <x:is>
          <x:t xml:space="preserve">SPC</x:t>
        </x:is>
      </x:c>
      <x:c r="D8" s="5" t="inlineStr">
        <x:is>
          <x:t xml:space="preserve">Statutory Council</x:t>
        </x:is>
      </x:c>
      <x:c r="E8" s="5" t="inlineStr">
        <x:is>
          <x:t xml:space="preserve">State</x:t>
        </x:is>
      </x:c>
      <x:c r="F8" s="5" t="inlineStr">
        <x:is>
          <x:t xml:space="preserve">Pharmacy Council of India</x:t>
        </x:is>
      </x:c>
      <x:c r="G8" s="5" t="inlineStr">
        <x:is>
          <x:t xml:space="preserve">State authority maintaining pharmacist registration and professional regulation.</x:t>
        </x:is>
      </x:c>
      <x:c r="H8" s="5" t="inlineStr">
        <x:is>
          <x:t xml:space="preserve">Yes</x:t>
        </x:is>
      </x:c>
    </x:row>
    <x:row r="9">
      <x:c r="A9" s="5" t="inlineStr">
        <x:is>
          <x:t xml:space="preserve">RA008</x:t>
        </x:is>
      </x:c>
      <x:c r="B9" s="5" t="inlineStr">
        <x:is>
          <x:t xml:space="preserve">National Pharmaceutical Pricing Authority</x:t>
        </x:is>
      </x:c>
      <x:c r="C9" s="5" t="inlineStr">
        <x:is>
          <x:t xml:space="preserve">NPPA</x:t>
        </x:is>
      </x:c>
      <x:c r="D9" s="5" t="inlineStr">
        <x:is>
          <x:t xml:space="preserve">Regulatory Authority</x:t>
        </x:is>
      </x:c>
      <x:c r="E9" s="5" t="inlineStr">
        <x:is>
          <x:t xml:space="preserve">Central</x:t>
        </x:is>
      </x:c>
      <x:c r="F9" s="5" t="inlineStr">
        <x:is>
          <x:t xml:space="preserve">Department of Pharmaceuticals</x:t>
        </x:is>
      </x:c>
      <x:c r="G9" s="5" t="inlineStr">
        <x:is>
          <x:t xml:space="preserve">Regulates ceiling prices of scheduled medicines and monitors pricing compliance.</x:t>
        </x:is>
      </x:c>
      <x:c r="H9" s="5" t="inlineStr">
        <x:is>
          <x:t xml:space="preserve">Yes</x:t>
        </x:is>
      </x:c>
    </x:row>
    <x:row r="10">
      <x:c r="A10" s="5" t="inlineStr">
        <x:is>
          <x:t xml:space="preserve">RA009</x:t>
        </x:is>
      </x:c>
      <x:c r="B10" s="5" t="inlineStr">
        <x:is>
          <x:t xml:space="preserve">Department of Pharmaceuticals</x:t>
        </x:is>
      </x:c>
      <x:c r="C10" s="5" t="inlineStr">
        <x:is>
          <x:t xml:space="preserve">DoP</x:t>
        </x:is>
      </x:c>
      <x:c r="D10" s="5" t="inlineStr">
        <x:is>
          <x:t xml:space="preserve">Department</x:t>
        </x:is>
      </x:c>
      <x:c r="E10" s="5" t="inlineStr">
        <x:is>
          <x:t xml:space="preserve">Central</x:t>
        </x:is>
      </x:c>
      <x:c r="F10" s="5" t="inlineStr">
        <x:is>
          <x:t xml:space="preserve">Ministry of Chemicals &amp; Fertilizers</x:t>
        </x:is>
      </x:c>
      <x:c r="G10" s="5" t="inlineStr">
        <x:is>
          <x:t xml:space="preserve">Responsible for pharmaceutical policy and pricing.</x:t>
        </x:is>
      </x:c>
      <x:c r="H10" s="5" t="inlineStr">
        <x:is>
          <x:t xml:space="preserve">Yes</x:t>
        </x:is>
      </x:c>
    </x:row>
    <x:row r="11">
      <x:c r="A11" s="5" t="inlineStr">
        <x:is>
          <x:t xml:space="preserve">RA010</x:t>
        </x:is>
      </x:c>
      <x:c r="B11" s="5" t="inlineStr">
        <x:is>
          <x:t xml:space="preserve">Central Bureau of Narcotics</x:t>
        </x:is>
      </x:c>
      <x:c r="C11" s="5" t="inlineStr">
        <x:is>
          <x:t xml:space="preserve">CBN</x:t>
        </x:is>
      </x:c>
      <x:c r="D11" s="5" t="inlineStr">
        <x:is>
          <x:t xml:space="preserve">Central Authority</x:t>
        </x:is>
      </x:c>
      <x:c r="E11" s="5" t="inlineStr">
        <x:is>
          <x:t xml:space="preserve">Central</x:t>
        </x:is>
      </x:c>
      <x:c r="F11" s="5" t="inlineStr">
        <x:is>
          <x:t xml:space="preserve">Department of Revenue</x:t>
        </x:is>
      </x:c>
      <x:c r="G11" s="5" t="inlineStr">
        <x:is>
          <x:t xml:space="preserve">Regulates narcotic drugs for medical and scientific purposes.</x:t>
        </x:is>
      </x:c>
      <x:c r="H11" s="5" t="inlineStr">
        <x:is>
          <x:t xml:space="preserve">Yes</x:t>
        </x:is>
      </x:c>
    </x:row>
    <x:row r="12">
      <x:c r="A12" s="5" t="inlineStr">
        <x:is>
          <x:t xml:space="preserve">RA011</x:t>
        </x:is>
      </x:c>
      <x:c r="B12" s="5" t="inlineStr">
        <x:is>
          <x:t xml:space="preserve">Narcotics Control Bureau</x:t>
        </x:is>
      </x:c>
      <x:c r="C12" s="5" t="inlineStr">
        <x:is>
          <x:t xml:space="preserve">NCB</x:t>
        </x:is>
      </x:c>
      <x:c r="D12" s="5" t="inlineStr">
        <x:is>
          <x:t xml:space="preserve">Enforcement Agency</x:t>
        </x:is>
      </x:c>
      <x:c r="E12" s="5" t="inlineStr">
        <x:is>
          <x:t xml:space="preserve">National</x:t>
        </x:is>
      </x:c>
      <x:c r="F12" s="5" t="inlineStr">
        <x:is>
          <x:t xml:space="preserve">Ministry of Home Affairs</x:t>
        </x:is>
      </x:c>
      <x:c r="G12" s="5" t="inlineStr">
        <x:is>
          <x:t xml:space="preserve">Enforcement agency for narcotic and psychotropic substances.</x:t>
        </x:is>
      </x:c>
      <x:c r="H12" s="5" t="inlineStr">
        <x:is>
          <x:t xml:space="preserve">Yes</x:t>
        </x:is>
      </x:c>
    </x:row>
    <x:row r="13">
      <x:c r="A13" s="5" t="inlineStr">
        <x:is>
          <x:t xml:space="preserve">RA012</x:t>
        </x:is>
      </x:c>
      <x:c r="B13" s="5" t="inlineStr">
        <x:is>
          <x:t xml:space="preserve">State Excise Department</x:t>
        </x:is>
      </x:c>
      <x:c r="C13" s="5" t="inlineStr">
        <x:is>
          <x:t xml:space="preserve">Excise</x:t>
        </x:is>
      </x:c>
      <x:c r="D13" s="5" t="inlineStr">
        <x:is>
          <x:t xml:space="preserve">State Department</x:t>
        </x:is>
      </x:c>
      <x:c r="E13" s="5" t="inlineStr">
        <x:is>
          <x:t xml:space="preserve">State</x:t>
        </x:is>
      </x:c>
      <x:c r="F13" s="5" t="inlineStr">
        <x:is>
          <x:t xml:space="preserve">State Government</x:t>
        </x:is>
      </x:c>
      <x:c r="G13" s="5" t="inlineStr">
        <x:is>
          <x:t xml:space="preserve">Regulates controlled substances where applicable under state laws.</x:t>
        </x:is>
      </x:c>
      <x:c r="H13" s="5" t="inlineStr">
        <x:is>
          <x:t xml:space="preserve">Yes</x:t>
        </x:is>
      </x:c>
    </x:row>
    <x:row r="14">
      <x:c r="A14" s="5" t="inlineStr">
        <x:is>
          <x:t xml:space="preserve">RA013</x:t>
        </x:is>
      </x:c>
      <x:c r="B14" s="5" t="inlineStr">
        <x:is>
          <x:t xml:space="preserve">Central Pollution Control Board</x:t>
        </x:is>
      </x:c>
      <x:c r="C14" s="5" t="inlineStr">
        <x:is>
          <x:t xml:space="preserve">CPCB</x:t>
        </x:is>
      </x:c>
      <x:c r="D14" s="5" t="inlineStr">
        <x:is>
          <x:t xml:space="preserve">Statutory Board</x:t>
        </x:is>
      </x:c>
      <x:c r="E14" s="5" t="inlineStr">
        <x:is>
          <x:t xml:space="preserve">Central</x:t>
        </x:is>
      </x:c>
      <x:c r="F14" s="5" t="inlineStr">
        <x:is>
          <x:t xml:space="preserve">MoEFCC</x:t>
        </x:is>
      </x:c>
      <x:c r="G14" s="5" t="inlineStr">
        <x:is>
          <x:t xml:space="preserve">National authority for pollution control and environmental standards.</x:t>
        </x:is>
      </x:c>
      <x:c r="H14" s="5" t="inlineStr">
        <x:is>
          <x:t xml:space="preserve">Yes</x:t>
        </x:is>
      </x:c>
    </x:row>
    <x:row r="15">
      <x:c r="A15" s="5" t="inlineStr">
        <x:is>
          <x:t xml:space="preserve">RA014</x:t>
        </x:is>
      </x:c>
      <x:c r="B15" s="5" t="inlineStr">
        <x:is>
          <x:t xml:space="preserve">State Pollution Control Board</x:t>
        </x:is>
      </x:c>
      <x:c r="C15" s="5" t="inlineStr">
        <x:is>
          <x:t xml:space="preserve">SPCB</x:t>
        </x:is>
      </x:c>
      <x:c r="D15" s="5" t="inlineStr">
        <x:is>
          <x:t xml:space="preserve">Statutory Board</x:t>
        </x:is>
      </x:c>
      <x:c r="E15" s="5" t="inlineStr">
        <x:is>
          <x:t xml:space="preserve">State</x:t>
        </x:is>
      </x:c>
      <x:c r="F15" s="5" t="inlineStr">
        <x:is>
          <x:t xml:space="preserve">CPCB</x:t>
        </x:is>
      </x:c>
      <x:c r="G15" s="5" t="inlineStr">
        <x:is>
          <x:t xml:space="preserve">State authority responsible for environmental compliance.</x:t>
        </x:is>
      </x:c>
      <x:c r="H15" s="5" t="inlineStr">
        <x:is>
          <x:t xml:space="preserve">Yes</x:t>
        </x:is>
      </x:c>
    </x:row>
    <x:row r="16">
      <x:c r="A16" s="5" t="inlineStr">
        <x:is>
          <x:t xml:space="preserve">RA015</x:t>
        </x:is>
      </x:c>
      <x:c r="B16" s="5" t="inlineStr">
        <x:is>
          <x:t xml:space="preserve">Municipal Corporation / Municipal Authority</x:t>
        </x:is>
      </x:c>
      <x:c r="C16" s="5" t="inlineStr">
        <x:is>
          <x:t xml:space="preserve">ULB</x:t>
        </x:is>
      </x:c>
      <x:c r="D16" s="5" t="inlineStr">
        <x:is>
          <x:t xml:space="preserve">Local Authority</x:t>
        </x:is>
      </x:c>
      <x:c r="E16" s="5" t="inlineStr">
        <x:is>
          <x:t xml:space="preserve">Local</x:t>
        </x:is>
      </x:c>
      <x:c r="F16" s="5" t="inlineStr">
        <x:is>
          <x:t xml:space="preserve">State Government</x:t>
        </x:is>
      </x:c>
      <x:c r="G16" s="5" t="inlineStr">
        <x:is>
          <x:t xml:space="preserve">Local civic authority issuing trade permissions and municipal clearances.</x:t>
        </x:is>
      </x:c>
      <x:c r="H16" s="5" t="inlineStr">
        <x:is>
          <x:t xml:space="preserve">Yes</x:t>
        </x:is>
      </x:c>
    </x:row>
    <x:row r="17">
      <x:c r="A17" s="5" t="inlineStr">
        <x:is>
          <x:t xml:space="preserve">RA016</x:t>
        </x:is>
      </x:c>
      <x:c r="B17" s="5" t="inlineStr">
        <x:is>
          <x:t xml:space="preserve">Fire &amp; Emergency Services Department</x:t>
        </x:is>
      </x:c>
      <x:c r="C17" s="5" t="inlineStr">
        <x:is>
          <x:t xml:space="preserve">Fire Dept</x:t>
        </x:is>
      </x:c>
      <x:c r="D17" s="5" t="inlineStr">
        <x:is>
          <x:t xml:space="preserve">State Department</x:t>
        </x:is>
      </x:c>
      <x:c r="E17" s="5" t="inlineStr">
        <x:is>
          <x:t xml:space="preserve">State</x:t>
        </x:is>
      </x:c>
      <x:c r="F17" s="5" t="inlineStr">
        <x:is>
          <x:t xml:space="preserve">State Government</x:t>
        </x:is>
      </x:c>
      <x:c r="G17" s="5" t="inlineStr">
        <x:is>
          <x:t xml:space="preserve">Responsible for fire safety approvals and inspections.</x:t>
        </x:is>
      </x:c>
      <x:c r="H17" s="5" t="inlineStr">
        <x:is>
          <x:t xml:space="preserve">Yes</x:t>
        </x:is>
      </x:c>
    </x:row>
    <x:row r="18">
      <x:c r="A18" s="5" t="inlineStr">
        <x:is>
          <x:t xml:space="preserve">RA017</x:t>
        </x:is>
      </x:c>
      <x:c r="B18" s="5" t="inlineStr">
        <x:is>
          <x:t xml:space="preserve">Labour Department</x:t>
        </x:is>
      </x:c>
      <x:c r="C18" s="5" t="inlineStr">
        <x:is>
          <x:t xml:space="preserve">Labour Dept</x:t>
        </x:is>
      </x:c>
      <x:c r="D18" s="5" t="inlineStr">
        <x:is>
          <x:t xml:space="preserve">State Department</x:t>
        </x:is>
      </x:c>
      <x:c r="E18" s="5" t="inlineStr">
        <x:is>
          <x:t xml:space="preserve">State</x:t>
        </x:is>
      </x:c>
      <x:c r="F18" s="5" t="inlineStr">
        <x:is>
          <x:t xml:space="preserve">State Government</x:t>
        </x:is>
      </x:c>
      <x:c r="G18" s="5" t="inlineStr">
        <x:is>
          <x:t xml:space="preserve">Administers labour law compliance and inspections.</x:t>
        </x:is>
      </x:c>
      <x:c r="H18" s="5" t="inlineStr">
        <x:is>
          <x:t xml:space="preserve">Yes</x:t>
        </x:is>
      </x:c>
    </x:row>
    <x:row r="19">
      <x:c r="A19" s="5" t="inlineStr">
        <x:is>
          <x:t xml:space="preserve">RA018</x:t>
        </x:is>
      </x:c>
      <x:c r="B19" s="5" t="inlineStr">
        <x:is>
          <x:t xml:space="preserve">Employees' Provident Fund Organisation</x:t>
        </x:is>
      </x:c>
      <x:c r="C19" s="5" t="inlineStr">
        <x:is>
          <x:t xml:space="preserve">EPFO</x:t>
        </x:is>
      </x:c>
      <x:c r="D19" s="5" t="inlineStr">
        <x:is>
          <x:t xml:space="preserve">Statutory Organisation</x:t>
        </x:is>
      </x:c>
      <x:c r="E19" s="5" t="inlineStr">
        <x:is>
          <x:t xml:space="preserve">National</x:t>
        </x:is>
      </x:c>
      <x:c r="F19" s="5" t="inlineStr">
        <x:is>
          <x:t xml:space="preserve">Ministry of Labour &amp; Employment</x:t>
        </x:is>
      </x:c>
      <x:c r="G19" s="5" t="inlineStr">
        <x:is>
          <x:t xml:space="preserve">Administers provident fund compliance.</x:t>
        </x:is>
      </x:c>
      <x:c r="H19" s="5" t="inlineStr">
        <x:is>
          <x:t xml:space="preserve">Yes</x:t>
        </x:is>
      </x:c>
    </x:row>
    <x:row r="20">
      <x:c r="A20" s="5" t="inlineStr">
        <x:is>
          <x:t xml:space="preserve">RA019</x:t>
        </x:is>
      </x:c>
      <x:c r="B20" s="5" t="inlineStr">
        <x:is>
          <x:t xml:space="preserve">Employees' State Insurance Corporation</x:t>
        </x:is>
      </x:c>
      <x:c r="C20" s="5" t="inlineStr">
        <x:is>
          <x:t xml:space="preserve">ESIC</x:t>
        </x:is>
      </x:c>
      <x:c r="D20" s="5" t="inlineStr">
        <x:is>
          <x:t xml:space="preserve">Statutory Corporation</x:t>
        </x:is>
      </x:c>
      <x:c r="E20" s="5" t="inlineStr">
        <x:is>
          <x:t xml:space="preserve">National</x:t>
        </x:is>
      </x:c>
      <x:c r="F20" s="5" t="inlineStr">
        <x:is>
          <x:t xml:space="preserve">Ministry of Labour &amp; Employment</x:t>
        </x:is>
      </x:c>
      <x:c r="G20" s="5" t="inlineStr">
        <x:is>
          <x:t xml:space="preserve">Administers employee state insurance compliance.</x:t>
        </x:is>
      </x:c>
      <x:c r="H20" s="5" t="inlineStr">
        <x:is>
          <x:t xml:space="preserve">Yes</x:t>
        </x:is>
      </x:c>
    </x:row>
    <x:row r="21">
      <x:c r="A21" s="5" t="inlineStr">
        <x:is>
          <x:t xml:space="preserve">RA020</x:t>
        </x:is>
      </x:c>
      <x:c r="B21" s="5" t="inlineStr">
        <x:is>
          <x:t xml:space="preserve">Central Board of Indirect Taxes &amp; Customs</x:t>
        </x:is>
      </x:c>
      <x:c r="C21" s="5" t="inlineStr">
        <x:is>
          <x:t xml:space="preserve">CBIC</x:t>
        </x:is>
      </x:c>
      <x:c r="D21" s="5" t="inlineStr">
        <x:is>
          <x:t xml:space="preserve">Central Board</x:t>
        </x:is>
      </x:c>
      <x:c r="E21" s="5" t="inlineStr">
        <x:is>
          <x:t xml:space="preserve">Central</x:t>
        </x:is>
      </x:c>
      <x:c r="F21" s="5" t="inlineStr">
        <x:is>
          <x:t xml:space="preserve">Ministry of Finance</x:t>
        </x:is>
      </x:c>
      <x:c r="G21" s="5" t="inlineStr">
        <x:is>
          <x:t xml:space="preserve">Governs GST administration and indirect taxation.</x:t>
        </x:is>
      </x:c>
      <x:c r="H21" s="5" t="inlineStr">
        <x:is>
          <x:t xml:space="preserve">Yes</x:t>
        </x:is>
      </x:c>
    </x:row>
    <x:row r="22">
      <x:c r="A22" s="5" t="inlineStr">
        <x:is>
          <x:t xml:space="preserve">RA021</x:t>
        </x:is>
      </x:c>
      <x:c r="B22" s="5" t="inlineStr">
        <x:is>
          <x:t xml:space="preserve">Goods and Services Tax Department</x:t>
        </x:is>
      </x:c>
      <x:c r="C22" s="5" t="inlineStr">
        <x:is>
          <x:t xml:space="preserve">GST Department</x:t>
        </x:is>
      </x:c>
      <x:c r="D22" s="5" t="inlineStr">
        <x:is>
          <x:t xml:space="preserve">Tax Authority</x:t>
        </x:is>
      </x:c>
      <x:c r="E22" s="5" t="inlineStr">
        <x:is>
          <x:t xml:space="preserve">Central &amp; State</x:t>
        </x:is>
      </x:c>
      <x:c r="F22" s="5" t="inlineStr">
        <x:is>
          <x:t xml:space="preserve">CBIC / State GST Authorities</x:t>
        </x:is>
      </x:c>
      <x:c r="G22" s="5" t="inlineStr">
        <x:is>
          <x:t xml:space="preserve">Administers GST registration, returns and enforcement.</x:t>
        </x:is>
      </x:c>
      <x:c r="H22" s="5" t="inlineStr">
        <x:is>
          <x:t xml:space="preserve">Yes</x:t>
        </x:is>
      </x:c>
    </x:row>
    <x:row r="23">
      <x:c r="A23" s="5" t="inlineStr">
        <x:is>
          <x:t xml:space="preserve">RA022</x:t>
        </x:is>
      </x:c>
      <x:c r="B23" s="5" t="inlineStr">
        <x:is>
          <x:t xml:space="preserve">Income Tax Department</x:t>
        </x:is>
      </x:c>
      <x:c r="C23" s="5" t="inlineStr">
        <x:is>
          <x:t xml:space="preserve">ITD</x:t>
        </x:is>
      </x:c>
      <x:c r="D23" s="5" t="inlineStr">
        <x:is>
          <x:t xml:space="preserve">Tax Authority</x:t>
        </x:is>
      </x:c>
      <x:c r="E23" s="5" t="inlineStr">
        <x:is>
          <x:t xml:space="preserve">National</x:t>
        </x:is>
      </x:c>
      <x:c r="F23" s="5" t="inlineStr">
        <x:is>
          <x:t xml:space="preserve">Central Board of Direct Taxes</x:t>
        </x:is>
      </x:c>
      <x:c r="G23" s="5" t="inlineStr">
        <x:is>
          <x:t xml:space="preserve">Responsible for income tax administration and TDS compliance.</x:t>
        </x:is>
      </x:c>
      <x:c r="H23" s="5" t="inlineStr">
        <x:is>
          <x:t xml:space="preserve">Yes</x:t>
        </x:is>
      </x:c>
    </x:row>
    <x:row r="24">
      <x:c r="A24" s="5" t="inlineStr">
        <x:is>
          <x:t xml:space="preserve">RA023</x:t>
        </x:is>
      </x:c>
      <x:c r="B24" s="5" t="inlineStr">
        <x:is>
          <x:t xml:space="preserve">Ministry of Corporate Affairs</x:t>
        </x:is>
      </x:c>
      <x:c r="C24" s="5" t="inlineStr">
        <x:is>
          <x:t xml:space="preserve">MCA</x:t>
        </x:is>
      </x:c>
      <x:c r="D24" s="5" t="inlineStr">
        <x:is>
          <x:t xml:space="preserve">Ministry</x:t>
        </x:is>
      </x:c>
      <x:c r="E24" s="5" t="inlineStr">
        <x:is>
          <x:t xml:space="preserve">Central</x:t>
        </x:is>
      </x:c>
      <x:c r="F24" s="5" t="inlineStr">
        <x:is>
          <x:t xml:space="preserve">Government of India</x:t>
        </x:is>
      </x:c>
      <x:c r="G24" s="5" t="inlineStr">
        <x:is>
          <x:t xml:space="preserve">Regulates companies, LLPs and corporate governance.</x:t>
        </x:is>
      </x:c>
      <x:c r="H24" s="5" t="inlineStr">
        <x:is>
          <x:t xml:space="preserve">Yes</x:t>
        </x:is>
      </x:c>
    </x:row>
    <x:row r="25">
      <x:c r="A25" s="5" t="inlineStr">
        <x:is>
          <x:t xml:space="preserve">RA024</x:t>
        </x:is>
      </x:c>
      <x:c r="B25" s="5" t="inlineStr">
        <x:is>
          <x:t xml:space="preserve">Registrar of Companies</x:t>
        </x:is>
      </x:c>
      <x:c r="C25" s="5" t="inlineStr">
        <x:is>
          <x:t xml:space="preserve">RoC</x:t>
        </x:is>
      </x:c>
      <x:c r="D25" s="5" t="inlineStr">
        <x:is>
          <x:t xml:space="preserve">Statutory Authority</x:t>
        </x:is>
      </x:c>
      <x:c r="E25" s="5" t="inlineStr">
        <x:is>
          <x:t xml:space="preserve">State/Regional</x:t>
        </x:is>
      </x:c>
      <x:c r="F25" s="5" t="inlineStr">
        <x:is>
          <x:t xml:space="preserve">MCA</x:t>
        </x:is>
      </x:c>
      <x:c r="G25" s="5" t="inlineStr">
        <x:is>
          <x:t xml:space="preserve">Administers the Companies Act and company filings.</x:t>
        </x:is>
      </x:c>
      <x:c r="H25" s="5" t="str">
        <x:v>No</x:v>
      </x:c>
    </x:row>
    <x:row r="26">
      <x:c r="A26" s="5" t="inlineStr">
        <x:is>
          <x:t xml:space="preserve">RA025</x:t>
        </x:is>
      </x:c>
      <x:c r="B26" s="5" t="inlineStr">
        <x:is>
          <x:t xml:space="preserve">Department of Consumer Affairs</x:t>
        </x:is>
      </x:c>
      <x:c r="C26" s="5" t="inlineStr">
        <x:is>
          <x:t xml:space="preserve">DCA</x:t>
        </x:is>
      </x:c>
      <x:c r="D26" s="5" t="inlineStr">
        <x:is>
          <x:t xml:space="preserve">Department</x:t>
        </x:is>
      </x:c>
      <x:c r="E26" s="5" t="inlineStr">
        <x:is>
          <x:t xml:space="preserve">Central</x:t>
        </x:is>
      </x:c>
      <x:c r="F26" s="5" t="inlineStr">
        <x:is>
          <x:t xml:space="preserve">Ministry of Consumer Affairs</x:t>
        </x:is>
      </x:c>
      <x:c r="G26" s="5" t="inlineStr">
        <x:is>
          <x:t xml:space="preserve">Responsible for consumer protection and legal metrology policy.</x:t>
        </x:is>
      </x:c>
      <x:c r="H26" s="5" t="inlineStr">
        <x:is>
          <x:t xml:space="preserve">Yes</x:t>
        </x:is>
      </x:c>
    </x:row>
    <x:row r="27">
      <x:c r="A27" s="5" t="inlineStr">
        <x:is>
          <x:t xml:space="preserve">RA026</x:t>
        </x:is>
      </x:c>
      <x:c r="B27" s="5" t="inlineStr">
        <x:is>
          <x:t xml:space="preserve">Central Consumer Protection Authority</x:t>
        </x:is>
      </x:c>
      <x:c r="C27" s="5" t="inlineStr">
        <x:is>
          <x:t xml:space="preserve">CCPA</x:t>
        </x:is>
      </x:c>
      <x:c r="D27" s="5" t="inlineStr">
        <x:is>
          <x:t xml:space="preserve">Statutory Authority</x:t>
        </x:is>
      </x:c>
      <x:c r="E27" s="5" t="inlineStr">
        <x:is>
          <x:t xml:space="preserve">National</x:t>
        </x:is>
      </x:c>
      <x:c r="F27" s="5" t="inlineStr">
        <x:is>
          <x:t xml:space="preserve">Department of Consumer Affairs</x:t>
        </x:is>
      </x:c>
      <x:c r="G27" s="5" t="inlineStr">
        <x:is>
          <x:t xml:space="preserve">Enforces consumer protection laws and unfair trade practices.</x:t>
        </x:is>
      </x:c>
      <x:c r="H27" s="5" t="inlineStr">
        <x:is>
          <x:t xml:space="preserve">Yes</x:t>
        </x:is>
      </x:c>
    </x:row>
    <x:row r="28">
      <x:c r="A28" s="5" t="inlineStr">
        <x:is>
          <x:t xml:space="preserve">RA027</x:t>
        </x:is>
      </x:c>
      <x:c r="B28" s="5" t="inlineStr">
        <x:is>
          <x:t xml:space="preserve">Legal Metrology Department</x:t>
        </x:is>
      </x:c>
      <x:c r="C28" s="5" t="inlineStr">
        <x:is>
          <x:t xml:space="preserve">LMD</x:t>
        </x:is>
      </x:c>
      <x:c r="D28" s="5" t="inlineStr">
        <x:is>
          <x:t xml:space="preserve">Regulatory Authority</x:t>
        </x:is>
      </x:c>
      <x:c r="E28" s="5" t="inlineStr">
        <x:is>
          <x:t xml:space="preserve">Central &amp; State</x:t>
        </x:is>
      </x:c>
      <x:c r="F28" s="5" t="inlineStr">
        <x:is>
          <x:t xml:space="preserve">Department of Consumer Affairs</x:t>
        </x:is>
      </x:c>
      <x:c r="G28" s="5" t="inlineStr">
        <x:is>
          <x:t xml:space="preserve">Enforces Legal Metrology laws relating to packaged commodities and weights &amp; measures.</x:t>
        </x:is>
      </x:c>
      <x:c r="H28" s="5" t="inlineStr">
        <x:is>
          <x:t xml:space="preserve">Yes</x:t>
        </x:is>
      </x:c>
    </x:row>
    <x:row r="29">
      <x:c r="A29" s="5" t="inlineStr">
        <x:is>
          <x:t xml:space="preserve">RA028</x:t>
        </x:is>
      </x:c>
      <x:c r="B29" s="5" t="inlineStr">
        <x:is>
          <x:t xml:space="preserve">Food Safety and Standards Authority of India</x:t>
        </x:is>
      </x:c>
      <x:c r="C29" s="5" t="inlineStr">
        <x:is>
          <x:t xml:space="preserve">FSSAI</x:t>
        </x:is>
      </x:c>
      <x:c r="D29" s="5" t="inlineStr">
        <x:is>
          <x:t xml:space="preserve">Statutory Authority</x:t>
        </x:is>
      </x:c>
      <x:c r="E29" s="5" t="inlineStr">
        <x:is>
          <x:t xml:space="preserve">National</x:t>
        </x:is>
      </x:c>
      <x:c r="F29" s="5" t="inlineStr">
        <x:is>
          <x:t xml:space="preserve">MoHFW</x:t>
        </x:is>
      </x:c>
      <x:c r="G29" s="5" t="inlineStr">
        <x:is>
          <x:t xml:space="preserve">Regulates food products, nutraceuticals and health supplements where applicable.</x:t>
        </x:is>
      </x:c>
      <x:c r="H29" s="5" t="inlineStr">
        <x:is>
          <x:t xml:space="preserve">Yes</x:t>
        </x:is>
      </x:c>
    </x:row>
    <x:row r="30">
      <x:c r="A30" s="5" t="inlineStr">
        <x:is>
          <x:t xml:space="preserve">RA029</x:t>
        </x:is>
      </x:c>
      <x:c r="B30" s="5" t="inlineStr">
        <x:is>
          <x:t xml:space="preserve">District Administration / District Magistrate</x:t>
        </x:is>
      </x:c>
      <x:c r="C30" s="5" t="inlineStr">
        <x:is>
          <x:t xml:space="preserve">District Administration</x:t>
        </x:is>
      </x:c>
      <x:c r="D30" s="5" t="inlineStr">
        <x:is>
          <x:t xml:space="preserve">District Authority</x:t>
        </x:is>
      </x:c>
      <x:c r="E30" s="5" t="inlineStr">
        <x:is>
          <x:t xml:space="preserve">District</x:t>
        </x:is>
      </x:c>
      <x:c r="F30" s="5" t="inlineStr">
        <x:is>
          <x:t xml:space="preserve">State Government</x:t>
        </x:is>
      </x:c>
      <x:c r="G30" s="5" t="inlineStr">
        <x:is>
          <x:t xml:space="preserve">District-level authority involved in regulatory enforcement and emergency administration.</x:t>
        </x:is>
      </x:c>
      <x:c r="H30" s="5" t="inlineStr">
        <x:is>
          <x:t xml:space="preserve">Yes</x:t>
        </x:is>
      </x:c>
    </x:row>
    <x:row r="31">
      <x:c r="A31" s="5" t="inlineStr">
        <x:is>
          <x:t xml:space="preserve">RA030</x:t>
        </x:is>
      </x:c>
      <x:c r="B31" s="5" t="inlineStr">
        <x:is>
          <x:t xml:space="preserve">Local Police Department</x:t>
        </x:is>
      </x:c>
      <x:c r="C31" s="5" t="inlineStr">
        <x:is>
          <x:t xml:space="preserve">Police</x:t>
        </x:is>
      </x:c>
      <x:c r="D31" s="5" t="inlineStr">
        <x:is>
          <x:t xml:space="preserve">Law Enforcement</x:t>
        </x:is>
      </x:c>
      <x:c r="E31" s="5" t="inlineStr">
        <x:is>
          <x:t xml:space="preserve">Local</x:t>
        </x:is>
      </x:c>
      <x:c r="F31" s="5" t="inlineStr">
        <x:is>
          <x:t xml:space="preserve">State Government</x:t>
        </x:is>
      </x:c>
      <x:c r="G31" s="5" t="inlineStr">
        <x:is>
          <x:t xml:space="preserve">Assists in enforcement related to controlled substances, investigations and public safety.</x:t>
        </x:is>
      </x:c>
      <x:c r="H31" s="5" t="inlineStr">
        <x:is>
          <x:t xml:space="preserve">Yes</x:t>
        </x:is>
      </x:c>
    </x:row>
  </x:sheetData>
  <x:pageMargins left="0.7" right="0.7" top="0.75" bottom="0.75" header="0.3" footer="0.3"/>
  <x:tableParts count="1">
    <x:tablePart xmlns:r="http://schemas.openxmlformats.org/officeDocument/2006/relationships" r:id="R5f57984e56184d2f"/>
  </x:tableParts>
</x:worksheet>
</file>

<file path=xl/worksheets/sheet5.xml><?xml version="1.0" encoding="utf-8"?>
<x:worksheet xmlns:x="http://schemas.openxmlformats.org/spreadsheetml/2006/main">
  <x:sheetFormatPr baseColWidth="8" defaultRowHeight="15"/>
  <x:cols>
    <x:col min="1" max="1" width="10" customWidth="1"/>
    <x:col min="2" max="2" width="16" customWidth="1"/>
    <x:col min="3" max="3" width="24" customWidth="1"/>
    <x:col min="4" max="4" width="24" customWidth="1"/>
    <x:col min="5" max="5" width="48" customWidth="1"/>
    <x:col min="6" max="6" width="15" customWidth="1"/>
    <x:col min="7" max="7" width="10" customWidth="1"/>
  </x:cols>
  <x:sheetData>
    <x:row r="1" ht="28" customHeight="1">
      <x:c r="A1" s="4" t="inlineStr">
        <x:is>
          <x:t xml:space="preserve">Area ID</x:t>
        </x:is>
      </x:c>
      <x:c r="B1" s="4" t="inlineStr">
        <x:is>
          <x:t xml:space="preserve">Parent Area ID</x:t>
        </x:is>
      </x:c>
      <x:c r="C1" s="4" t="inlineStr">
        <x:is>
          <x:t xml:space="preserve">Parent Area</x:t>
        </x:is>
      </x:c>
      <x:c r="D1" s="4" t="inlineStr">
        <x:is>
          <x:t xml:space="preserve">Compliance Area</x:t>
        </x:is>
      </x:c>
      <x:c r="E1" s="4" t="inlineStr">
        <x:is>
          <x:t xml:space="preserve">Description</x:t>
        </x:is>
      </x:c>
      <x:c r="F1" s="4" t="inlineStr">
        <x:is>
          <x:t xml:space="preserve">Display Order</x:t>
        </x:is>
      </x:c>
      <x:c r="G1" s="4" t="inlineStr">
        <x:is>
          <x:t xml:space="preserve">Active</x:t>
        </x:is>
      </x:c>
    </x:row>
    <x:row r="2">
      <x:c r="A2" s="5" t="inlineStr">
        <x:is>
          <x:t xml:space="preserve">CA001</x:t>
        </x:is>
      </x:c>
      <x:c r="B2" s="5" t="inlineStr">
        <x:is>
          <x:t xml:space="preserve">-</x:t>
        </x:is>
      </x:c>
      <x:c r="C2" s="5" t="inlineStr">
        <x:is>
          <x:t xml:space="preserve">-</x:t>
        </x:is>
      </x:c>
      <x:c r="D2" s="5" t="inlineStr">
        <x:is>
          <x:t xml:space="preserve">Licensing &amp; Regulatory Approvals</x:t>
        </x:is>
      </x:c>
      <x:c r="E2" s="5" t="inlineStr">
        <x:is>
          <x:t xml:space="preserve">Regulatory licences, registrations, renewals and statutory approvals applicable to pharmacies.</x:t>
        </x:is>
      </x:c>
      <x:c r="F2" s="5" t="n">
        <x:v>1</x:v>
      </x:c>
      <x:c r="G2" s="5" t="inlineStr">
        <x:is>
          <x:t xml:space="preserve">Yes</x:t>
        </x:is>
      </x:c>
    </x:row>
    <x:row r="3">
      <x:c r="A3" s="5" t="inlineStr">
        <x:is>
          <x:t xml:space="preserve">CA002</x:t>
        </x:is>
      </x:c>
      <x:c r="B3" s="5" t="inlineStr">
        <x:is>
          <x:t xml:space="preserve">CA001</x:t>
        </x:is>
      </x:c>
      <x:c r="C3" s="5" t="inlineStr">
        <x:is>
          <x:t xml:space="preserve">Licensing &amp; Regulatory Approvals</x:t>
        </x:is>
      </x:c>
      <x:c r="D3" s="5" t="inlineStr">
        <x:is>
          <x:t xml:space="preserve">Drug Licence Management</x:t>
        </x:is>
      </x:c>
      <x:c r="E3" s="5" t="inlineStr">
        <x:is>
          <x:t xml:space="preserve">Grant, renewal, amendment, retention, display and surrender of drug licences.</x:t>
        </x:is>
      </x:c>
      <x:c r="F3" s="5" t="n">
        <x:v>2</x:v>
      </x:c>
      <x:c r="G3" s="5" t="inlineStr">
        <x:is>
          <x:t xml:space="preserve">Yes</x:t>
        </x:is>
      </x:c>
    </x:row>
    <x:row r="4">
      <x:c r="A4" s="5" t="inlineStr">
        <x:is>
          <x:t xml:space="preserve">CA003</x:t>
        </x:is>
      </x:c>
      <x:c r="B4" s="5" t="inlineStr">
        <x:is>
          <x:t xml:space="preserve">CA001</x:t>
        </x:is>
      </x:c>
      <x:c r="C4" s="5" t="inlineStr">
        <x:is>
          <x:t xml:space="preserve">Licensing &amp; Regulatory Approvals</x:t>
        </x:is>
      </x:c>
      <x:c r="D4" s="5" t="inlineStr">
        <x:is>
          <x:t xml:space="preserve">Pharmacist Registration</x:t>
        </x:is>
      </x:c>
      <x:c r="E4" s="5" t="inlineStr">
        <x:is>
          <x:t xml:space="preserve">Registration and employment of qualified registered pharmacists.</x:t>
        </x:is>
      </x:c>
      <x:c r="F4" s="5" t="n">
        <x:v>3</x:v>
      </x:c>
      <x:c r="G4" s="5" t="inlineStr">
        <x:is>
          <x:t xml:space="preserve">Yes</x:t>
        </x:is>
      </x:c>
    </x:row>
    <x:row r="5">
      <x:c r="A5" s="5" t="inlineStr">
        <x:is>
          <x:t xml:space="preserve">CA004</x:t>
        </x:is>
      </x:c>
      <x:c r="B5" s="5" t="inlineStr">
        <x:is>
          <x:t xml:space="preserve">CA001</x:t>
        </x:is>
      </x:c>
      <x:c r="C5" s="5" t="inlineStr">
        <x:is>
          <x:t xml:space="preserve">Licensing &amp; Regulatory Approvals</x:t>
        </x:is>
      </x:c>
      <x:c r="D5" s="5" t="inlineStr">
        <x:is>
          <x:t xml:space="preserve">Business Registration</x:t>
        </x:is>
      </x:c>
      <x:c r="E5" s="5" t="inlineStr">
        <x:is>
          <x:t xml:space="preserve">Business registrations including Shops &amp; Establishments, GST, PAN and other statutory registrations.</x:t>
        </x:is>
      </x:c>
      <x:c r="F5" s="5" t="n">
        <x:v>4</x:v>
      </x:c>
      <x:c r="G5" s="5" t="inlineStr">
        <x:is>
          <x:t xml:space="preserve">Yes</x:t>
        </x:is>
      </x:c>
    </x:row>
    <x:row r="6">
      <x:c r="A6" s="5" t="inlineStr">
        <x:is>
          <x:t xml:space="preserve">CA005</x:t>
        </x:is>
      </x:c>
      <x:c r="B6" s="5" t="inlineStr">
        <x:is>
          <x:t xml:space="preserve">-</x:t>
        </x:is>
      </x:c>
      <x:c r="C6" s="5" t="inlineStr">
        <x:is>
          <x:t xml:space="preserve">-</x:t>
        </x:is>
      </x:c>
      <x:c r="D6" s="5" t="inlineStr">
        <x:is>
          <x:t xml:space="preserve">Premises &amp; Infrastructure</x:t>
        </x:is>
      </x:c>
      <x:c r="E6" s="5" t="inlineStr">
        <x:is>
          <x:t xml:space="preserve">Physical infrastructure and statutory facility requirements.</x:t>
        </x:is>
      </x:c>
      <x:c r="F6" s="5" t="n">
        <x:v>5</x:v>
      </x:c>
      <x:c r="G6" s="5" t="inlineStr">
        <x:is>
          <x:t xml:space="preserve">Yes</x:t>
        </x:is>
      </x:c>
    </x:row>
    <x:row r="7">
      <x:c r="A7" s="5" t="inlineStr">
        <x:is>
          <x:t xml:space="preserve">CA006</x:t>
        </x:is>
      </x:c>
      <x:c r="B7" s="5" t="inlineStr">
        <x:is>
          <x:t xml:space="preserve">CA005</x:t>
        </x:is>
      </x:c>
      <x:c r="C7" s="5" t="inlineStr">
        <x:is>
          <x:t xml:space="preserve">Premises &amp; Infrastructure</x:t>
        </x:is>
      </x:c>
      <x:c r="D7" s="5" t="inlineStr">
        <x:is>
          <x:t xml:space="preserve">Premises Requirements</x:t>
        </x:is>
      </x:c>
      <x:c r="E7" s="5" t="inlineStr">
        <x:is>
          <x:t xml:space="preserve">Building, layout, space, cleanliness and statutory infrastructure requirements.</x:t>
        </x:is>
      </x:c>
      <x:c r="F7" s="5" t="n">
        <x:v>6</x:v>
      </x:c>
      <x:c r="G7" s="5" t="inlineStr">
        <x:is>
          <x:t xml:space="preserve">Yes</x:t>
        </x:is>
      </x:c>
    </x:row>
    <x:row r="8">
      <x:c r="A8" s="5" t="inlineStr">
        <x:is>
          <x:t xml:space="preserve">CA007</x:t>
        </x:is>
      </x:c>
      <x:c r="B8" s="5" t="inlineStr">
        <x:is>
          <x:t xml:space="preserve">CA005</x:t>
        </x:is>
      </x:c>
      <x:c r="C8" s="5" t="inlineStr">
        <x:is>
          <x:t xml:space="preserve">Premises &amp; Infrastructure</x:t>
        </x:is>
      </x:c>
      <x:c r="D8" s="5" t="inlineStr">
        <x:is>
          <x:t xml:space="preserve">Storage &amp; Preservation</x:t>
        </x:is>
      </x:c>
      <x:c r="E8" s="5" t="inlineStr">
        <x:is>
          <x:t xml:space="preserve">Storage conditions, segregation, temperature and humidity control.</x:t>
        </x:is>
      </x:c>
      <x:c r="F8" s="5" t="n">
        <x:v>7</x:v>
      </x:c>
      <x:c r="G8" s="5" t="inlineStr">
        <x:is>
          <x:t xml:space="preserve">Yes</x:t>
        </x:is>
      </x:c>
    </x:row>
    <x:row r="9">
      <x:c r="A9" s="5" t="inlineStr">
        <x:is>
          <x:t xml:space="preserve">CA008</x:t>
        </x:is>
      </x:c>
      <x:c r="B9" s="5" t="inlineStr">
        <x:is>
          <x:t xml:space="preserve">CA005</x:t>
        </x:is>
      </x:c>
      <x:c r="C9" s="5" t="inlineStr">
        <x:is>
          <x:t xml:space="preserve">Premises &amp; Infrastructure</x:t>
        </x:is>
      </x:c>
      <x:c r="D9" s="5" t="inlineStr">
        <x:is>
          <x:t xml:space="preserve">Cold Chain Management</x:t>
        </x:is>
      </x:c>
      <x:c r="E9" s="5" t="inlineStr">
        <x:is>
          <x:t xml:space="preserve">Refrigerated medicines, vaccines and temperature-sensitive products.</x:t>
        </x:is>
      </x:c>
      <x:c r="F9" s="5" t="n">
        <x:v>8</x:v>
      </x:c>
      <x:c r="G9" s="5" t="inlineStr">
        <x:is>
          <x:t xml:space="preserve">Yes</x:t>
        </x:is>
      </x:c>
    </x:row>
    <x:row r="10">
      <x:c r="A10" s="5" t="inlineStr">
        <x:is>
          <x:t xml:space="preserve">CA009</x:t>
        </x:is>
      </x:c>
      <x:c r="B10" s="5" t="inlineStr">
        <x:is>
          <x:t xml:space="preserve">CA005</x:t>
        </x:is>
      </x:c>
      <x:c r="C10" s="5" t="inlineStr">
        <x:is>
          <x:t xml:space="preserve">Premises &amp; Infrastructure</x:t>
        </x:is>
      </x:c>
      <x:c r="D10" s="5" t="inlineStr">
        <x:is>
          <x:t xml:space="preserve">Equipment &amp; Calibration</x:t>
        </x:is>
      </x:c>
      <x:c r="E10" s="5" t="inlineStr">
        <x:is>
          <x:t xml:space="preserve">Refrigerators, thermometers, weighing devices and maintenance of equipment.</x:t>
        </x:is>
      </x:c>
      <x:c r="F10" s="5" t="n">
        <x:v>9</x:v>
      </x:c>
      <x:c r="G10" s="5" t="inlineStr">
        <x:is>
          <x:t xml:space="preserve">Yes</x:t>
        </x:is>
      </x:c>
    </x:row>
    <x:row r="11">
      <x:c r="A11" s="5" t="inlineStr">
        <x:is>
          <x:t xml:space="preserve">CA010</x:t>
        </x:is>
      </x:c>
      <x:c r="B11" s="5" t="inlineStr">
        <x:is>
          <x:t xml:space="preserve">-</x:t>
        </x:is>
      </x:c>
      <x:c r="C11" s="5" t="inlineStr">
        <x:is>
          <x:t xml:space="preserve">-</x:t>
        </x:is>
      </x:c>
      <x:c r="D11" s="5" t="inlineStr">
        <x:is>
          <x:t xml:space="preserve">Drug Procurement &amp; Inventory</x:t>
        </x:is>
      </x:c>
      <x:c r="E11" s="5" t="inlineStr">
        <x:is>
          <x:t xml:space="preserve">Procurement, receipt, storage, inventory control and stock management.</x:t>
        </x:is>
      </x:c>
      <x:c r="F11" s="5" t="n">
        <x:v>10</x:v>
      </x:c>
      <x:c r="G11" s="5" t="inlineStr">
        <x:is>
          <x:t xml:space="preserve">Yes</x:t>
        </x:is>
      </x:c>
    </x:row>
    <x:row r="12">
      <x:c r="A12" s="5" t="inlineStr">
        <x:is>
          <x:t xml:space="preserve">CA011</x:t>
        </x:is>
      </x:c>
      <x:c r="B12" s="5" t="inlineStr">
        <x:is>
          <x:t xml:space="preserve">CA010</x:t>
        </x:is>
      </x:c>
      <x:c r="C12" s="5" t="inlineStr">
        <x:is>
          <x:t xml:space="preserve">Drug Procurement &amp; Inventory</x:t>
        </x:is>
      </x:c>
      <x:c r="D12" s="5" t="inlineStr">
        <x:is>
          <x:t xml:space="preserve">Vendor Qualification</x:t>
        </x:is>
      </x:c>
      <x:c r="E12" s="5" t="inlineStr">
        <x:is>
          <x:t xml:space="preserve">Procurement only from authorized manufacturers, wholesalers and distributors.</x:t>
        </x:is>
      </x:c>
      <x:c r="F12" s="5" t="n">
        <x:v>11</x:v>
      </x:c>
      <x:c r="G12" s="5" t="inlineStr">
        <x:is>
          <x:t xml:space="preserve">Yes</x:t>
        </x:is>
      </x:c>
    </x:row>
    <x:row r="13">
      <x:c r="A13" s="5" t="inlineStr">
        <x:is>
          <x:t xml:space="preserve">CA012</x:t>
        </x:is>
      </x:c>
      <x:c r="B13" s="5" t="inlineStr">
        <x:is>
          <x:t xml:space="preserve">CA010</x:t>
        </x:is>
      </x:c>
      <x:c r="C13" s="5" t="inlineStr">
        <x:is>
          <x:t xml:space="preserve">Drug Procurement &amp; Inventory</x:t>
        </x:is>
      </x:c>
      <x:c r="D13" s="5" t="inlineStr">
        <x:is>
          <x:t xml:space="preserve">Inventory Management</x:t>
        </x:is>
      </x:c>
      <x:c r="E13" s="5" t="inlineStr">
        <x:is>
          <x:t xml:space="preserve">Stock management, FEFO/FIFO practices and inventory reconciliation.</x:t>
        </x:is>
      </x:c>
      <x:c r="F13" s="5" t="n">
        <x:v>12</x:v>
      </x:c>
      <x:c r="G13" s="5" t="inlineStr">
        <x:is>
          <x:t xml:space="preserve">Yes</x:t>
        </x:is>
      </x:c>
    </x:row>
    <x:row r="14">
      <x:c r="A14" s="5" t="inlineStr">
        <x:is>
          <x:t xml:space="preserve">CA013</x:t>
        </x:is>
      </x:c>
      <x:c r="B14" s="5" t="inlineStr">
        <x:is>
          <x:t xml:space="preserve">CA010</x:t>
        </x:is>
      </x:c>
      <x:c r="C14" s="5" t="inlineStr">
        <x:is>
          <x:t xml:space="preserve">Drug Procurement &amp; Inventory</x:t>
        </x:is>
      </x:c>
      <x:c r="D14" s="5" t="inlineStr">
        <x:is>
          <x:t xml:space="preserve">Expired &amp; Damaged Drugs</x:t>
        </x:is>
      </x:c>
      <x:c r="E14" s="5" t="inlineStr">
        <x:is>
          <x:t xml:space="preserve">Identification, segregation, return and disposal of expired or damaged medicines.</x:t>
        </x:is>
      </x:c>
      <x:c r="F14" s="5" t="n">
        <x:v>13</x:v>
      </x:c>
      <x:c r="G14" s="5" t="inlineStr">
        <x:is>
          <x:t xml:space="preserve">Yes</x:t>
        </x:is>
      </x:c>
    </x:row>
    <x:row r="15">
      <x:c r="A15" s="5" t="inlineStr">
        <x:is>
          <x:t xml:space="preserve">CA014</x:t>
        </x:is>
      </x:c>
      <x:c r="B15" s="5" t="inlineStr">
        <x:is>
          <x:t xml:space="preserve">-</x:t>
        </x:is>
      </x:c>
      <x:c r="C15" s="5" t="inlineStr">
        <x:is>
          <x:t xml:space="preserve">-</x:t>
        </x:is>
      </x:c>
      <x:c r="D15" s="5" t="inlineStr">
        <x:is>
          <x:t xml:space="preserve">Dispensing &amp; Sales</x:t>
        </x:is>
      </x:c>
      <x:c r="E15" s="5" t="inlineStr">
        <x:is>
          <x:t xml:space="preserve">Dispensing, prescription validation and sale of medicines.</x:t>
        </x:is>
      </x:c>
      <x:c r="F15" s="5" t="n">
        <x:v>14</x:v>
      </x:c>
      <x:c r="G15" s="5" t="inlineStr">
        <x:is>
          <x:t xml:space="preserve">Yes</x:t>
        </x:is>
      </x:c>
    </x:row>
    <x:row r="16">
      <x:c r="A16" s="5" t="inlineStr">
        <x:is>
          <x:t xml:space="preserve">CA015</x:t>
        </x:is>
      </x:c>
      <x:c r="B16" s="5" t="inlineStr">
        <x:is>
          <x:t xml:space="preserve">CA014</x:t>
        </x:is>
      </x:c>
      <x:c r="C16" s="5" t="inlineStr">
        <x:is>
          <x:t xml:space="preserve">Dispensing &amp; Sales</x:t>
        </x:is>
      </x:c>
      <x:c r="D16" s="5" t="inlineStr">
        <x:is>
          <x:t xml:space="preserve">Prescription Drugs</x:t>
        </x:is>
      </x:c>
      <x:c r="E16" s="5" t="inlineStr">
        <x:is>
          <x:t xml:space="preserve">Dispensing prescription medicines in accordance with legal requirements.</x:t>
        </x:is>
      </x:c>
      <x:c r="F16" s="5" t="n">
        <x:v>15</x:v>
      </x:c>
      <x:c r="G16" s="5" t="inlineStr">
        <x:is>
          <x:t xml:space="preserve">Yes</x:t>
        </x:is>
      </x:c>
    </x:row>
    <x:row r="17">
      <x:c r="A17" s="5" t="inlineStr">
        <x:is>
          <x:t xml:space="preserve">CA016</x:t>
        </x:is>
      </x:c>
      <x:c r="B17" s="5" t="inlineStr">
        <x:is>
          <x:t xml:space="preserve">CA014</x:t>
        </x:is>
      </x:c>
      <x:c r="C17" s="5" t="inlineStr">
        <x:is>
          <x:t xml:space="preserve">Dispensing &amp; Sales</x:t>
        </x:is>
      </x:c>
      <x:c r="D17" s="5" t="inlineStr">
        <x:is>
          <x:t xml:space="preserve">OTC Medicines</x:t>
        </x:is>
      </x:c>
      <x:c r="E17" s="5" t="inlineStr">
        <x:is>
          <x:t xml:space="preserve">Sale and counselling relating to over-the-counter medicines.</x:t>
        </x:is>
      </x:c>
      <x:c r="F17" s="5" t="n">
        <x:v>16</x:v>
      </x:c>
      <x:c r="G17" s="5" t="inlineStr">
        <x:is>
          <x:t xml:space="preserve">Yes</x:t>
        </x:is>
      </x:c>
    </x:row>
    <x:row r="18">
      <x:c r="A18" s="5" t="inlineStr">
        <x:is>
          <x:t xml:space="preserve">CA017</x:t>
        </x:is>
      </x:c>
      <x:c r="B18" s="5" t="inlineStr">
        <x:is>
          <x:t xml:space="preserve">CA014</x:t>
        </x:is>
      </x:c>
      <x:c r="C18" s="5" t="inlineStr">
        <x:is>
          <x:t xml:space="preserve">Dispensing &amp; Sales</x:t>
        </x:is>
      </x:c>
      <x:c r="D18" s="5" t="inlineStr">
        <x:is>
          <x:t xml:space="preserve">Schedule Drugs</x:t>
        </x:is>
      </x:c>
      <x:c r="E18" s="5" t="inlineStr">
        <x:is>
          <x:t xml:space="preserve">Handling of Schedule H, H1, X and other controlled medicines.</x:t>
        </x:is>
      </x:c>
      <x:c r="F18" s="5" t="n">
        <x:v>17</x:v>
      </x:c>
      <x:c r="G18" s="5" t="inlineStr">
        <x:is>
          <x:t xml:space="preserve">Yes</x:t>
        </x:is>
      </x:c>
    </x:row>
    <x:row r="19">
      <x:c r="A19" s="5" t="inlineStr">
        <x:is>
          <x:t xml:space="preserve">CA018</x:t>
        </x:is>
      </x:c>
      <x:c r="B19" s="5" t="inlineStr">
        <x:is>
          <x:t xml:space="preserve">-</x:t>
        </x:is>
      </x:c>
      <x:c r="C19" s="5" t="inlineStr">
        <x:is>
          <x:t xml:space="preserve">-</x:t>
        </x:is>
      </x:c>
      <x:c r="D19" s="5" t="inlineStr">
        <x:is>
          <x:t xml:space="preserve">Records &amp; Documentation</x:t>
        </x:is>
      </x:c>
      <x:c r="E19" s="5" t="inlineStr">
        <x:is>
          <x:t xml:space="preserve">Maintenance of statutory registers and regulatory documentation.</x:t>
        </x:is>
      </x:c>
      <x:c r="F19" s="5" t="n">
        <x:v>18</x:v>
      </x:c>
      <x:c r="G19" s="5" t="inlineStr">
        <x:is>
          <x:t xml:space="preserve">Yes</x:t>
        </x:is>
      </x:c>
    </x:row>
    <x:row r="20">
      <x:c r="A20" s="5" t="inlineStr">
        <x:is>
          <x:t xml:space="preserve">CA019</x:t>
        </x:is>
      </x:c>
      <x:c r="B20" s="5" t="inlineStr">
        <x:is>
          <x:t xml:space="preserve">CA018</x:t>
        </x:is>
      </x:c>
      <x:c r="C20" s="5" t="inlineStr">
        <x:is>
          <x:t xml:space="preserve">Records &amp; Documentation</x:t>
        </x:is>
      </x:c>
      <x:c r="D20" s="5" t="inlineStr">
        <x:is>
          <x:t xml:space="preserve">Statutory Registers</x:t>
        </x:is>
      </x:c>
      <x:c r="E20" s="5" t="inlineStr">
        <x:is>
          <x:t xml:space="preserve">Maintenance of purchase, sales and statutory registers.</x:t>
        </x:is>
      </x:c>
      <x:c r="F20" s="5" t="n">
        <x:v>19</x:v>
      </x:c>
      <x:c r="G20" s="5" t="inlineStr">
        <x:is>
          <x:t xml:space="preserve">Yes</x:t>
        </x:is>
      </x:c>
    </x:row>
    <x:row r="21">
      <x:c r="A21" s="5" t="inlineStr">
        <x:is>
          <x:t xml:space="preserve">CA020</x:t>
        </x:is>
      </x:c>
      <x:c r="B21" s="5" t="inlineStr">
        <x:is>
          <x:t xml:space="preserve">CA018</x:t>
        </x:is>
      </x:c>
      <x:c r="C21" s="5" t="inlineStr">
        <x:is>
          <x:t xml:space="preserve">Records &amp; Documentation</x:t>
        </x:is>
      </x:c>
      <x:c r="D21" s="5" t="inlineStr">
        <x:is>
          <x:t xml:space="preserve">Record Retention</x:t>
        </x:is>
      </x:c>
      <x:c r="E21" s="5" t="inlineStr">
        <x:is>
          <x:t xml:space="preserve">Preservation, archival and retrieval of statutory records.</x:t>
        </x:is>
      </x:c>
      <x:c r="F21" s="5" t="n">
        <x:v>20</x:v>
      </x:c>
      <x:c r="G21" s="5" t="inlineStr">
        <x:is>
          <x:t xml:space="preserve">Yes</x:t>
        </x:is>
      </x:c>
    </x:row>
    <x:row r="22">
      <x:c r="A22" s="5" t="inlineStr">
        <x:is>
          <x:t xml:space="preserve">CA021</x:t>
        </x:is>
      </x:c>
      <x:c r="B22" s="5" t="inlineStr">
        <x:is>
          <x:t xml:space="preserve">-</x:t>
        </x:is>
      </x:c>
      <x:c r="C22" s="5" t="inlineStr">
        <x:is>
          <x:t xml:space="preserve">-</x:t>
        </x:is>
      </x:c>
      <x:c r="D22" s="5" t="inlineStr">
        <x:is>
          <x:t xml:space="preserve">Quality Assurance</x:t>
        </x:is>
      </x:c>
      <x:c r="E22" s="5" t="inlineStr">
        <x:is>
          <x:t xml:space="preserve">Product quality, recalls, complaints and pharmacovigilance.</x:t>
        </x:is>
      </x:c>
      <x:c r="F22" s="5" t="n">
        <x:v>21</x:v>
      </x:c>
      <x:c r="G22" s="5" t="inlineStr">
        <x:is>
          <x:t xml:space="preserve">Yes</x:t>
        </x:is>
      </x:c>
    </x:row>
    <x:row r="23">
      <x:c r="A23" s="5" t="inlineStr">
        <x:is>
          <x:t xml:space="preserve">CA022</x:t>
        </x:is>
      </x:c>
      <x:c r="B23" s="5" t="inlineStr">
        <x:is>
          <x:t xml:space="preserve">CA021</x:t>
        </x:is>
      </x:c>
      <x:c r="C23" s="5" t="inlineStr">
        <x:is>
          <x:t xml:space="preserve">Quality Assurance</x:t>
        </x:is>
      </x:c>
      <x:c r="D23" s="5" t="inlineStr">
        <x:is>
          <x:t xml:space="preserve">Product Recall Management</x:t>
        </x:is>
      </x:c>
      <x:c r="E23" s="5" t="inlineStr">
        <x:is>
          <x:t xml:space="preserve">Handling of recalls and withdrawal of medicines.</x:t>
        </x:is>
      </x:c>
      <x:c r="F23" s="5" t="n">
        <x:v>22</x:v>
      </x:c>
      <x:c r="G23" s="5" t="inlineStr">
        <x:is>
          <x:t xml:space="preserve">Yes</x:t>
        </x:is>
      </x:c>
    </x:row>
    <x:row r="24">
      <x:c r="A24" s="5" t="inlineStr">
        <x:is>
          <x:t xml:space="preserve">CA023</x:t>
        </x:is>
      </x:c>
      <x:c r="B24" s="5" t="inlineStr">
        <x:is>
          <x:t xml:space="preserve">CA021</x:t>
        </x:is>
      </x:c>
      <x:c r="C24" s="5" t="inlineStr">
        <x:is>
          <x:t xml:space="preserve">Quality Assurance</x:t>
        </x:is>
      </x:c>
      <x:c r="D24" s="5" t="inlineStr">
        <x:is>
          <x:t xml:space="preserve">Customer Complaints</x:t>
        </x:is>
      </x:c>
      <x:c r="E24" s="5" t="inlineStr">
        <x:is>
          <x:t xml:space="preserve">Complaint recording, investigation and resolution.</x:t>
        </x:is>
      </x:c>
      <x:c r="F24" s="5" t="n">
        <x:v>23</x:v>
      </x:c>
      <x:c r="G24" s="5" t="inlineStr">
        <x:is>
          <x:t xml:space="preserve">Yes</x:t>
        </x:is>
      </x:c>
    </x:row>
    <x:row r="25">
      <x:c r="A25" s="5" t="inlineStr">
        <x:is>
          <x:t xml:space="preserve">CA024</x:t>
        </x:is>
      </x:c>
      <x:c r="B25" s="5" t="inlineStr">
        <x:is>
          <x:t xml:space="preserve">CA021</x:t>
        </x:is>
      </x:c>
      <x:c r="C25" s="5" t="inlineStr">
        <x:is>
          <x:t xml:space="preserve">Quality Assurance</x:t>
        </x:is>
      </x:c>
      <x:c r="D25" s="5" t="inlineStr">
        <x:is>
          <x:t xml:space="preserve">Suspected Spurious / Adulterated Drugs</x:t>
        </x:is>
      </x:c>
      <x:c r="E25" s="5" t="inlineStr">
        <x:is>
          <x:t xml:space="preserve">Identification, reporting and handling of suspected counterfeit, spurious or adulterated medicines.</x:t>
        </x:is>
      </x:c>
      <x:c r="F25" s="5" t="n">
        <x:v>24</x:v>
      </x:c>
      <x:c r="G25" s="5" t="inlineStr">
        <x:is>
          <x:t xml:space="preserve">Yes</x:t>
        </x:is>
      </x:c>
    </x:row>
    <x:row r="26">
      <x:c r="A26" s="5" t="inlineStr">
        <x:is>
          <x:t xml:space="preserve">CA025</x:t>
        </x:is>
      </x:c>
      <x:c r="B26" s="5" t="inlineStr">
        <x:is>
          <x:t xml:space="preserve">-</x:t>
        </x:is>
      </x:c>
      <x:c r="C26" s="5" t="inlineStr">
        <x:is>
          <x:t xml:space="preserve">-</x:t>
        </x:is>
      </x:c>
      <x:c r="D26" s="5" t="inlineStr">
        <x:is>
          <x:t xml:space="preserve">Controlled Drugs &amp; Narcotics</x:t>
        </x:is>
      </x:c>
      <x:c r="E26" s="5" t="inlineStr">
        <x:is>
          <x:t xml:space="preserve">Compliance relating to narcotic drugs, psychotropic substances and other controlled medicines.</x:t>
        </x:is>
      </x:c>
      <x:c r="F26" s="5" t="n">
        <x:v>25</x:v>
      </x:c>
      <x:c r="G26" s="5" t="inlineStr">
        <x:is>
          <x:t xml:space="preserve">Yes</x:t>
        </x:is>
      </x:c>
    </x:row>
    <x:row r="27">
      <x:c r="A27" s="5" t="inlineStr">
        <x:is>
          <x:t xml:space="preserve">CA026</x:t>
        </x:is>
      </x:c>
      <x:c r="B27" s="5" t="inlineStr">
        <x:is>
          <x:t xml:space="preserve">CA025</x:t>
        </x:is>
      </x:c>
      <x:c r="C27" s="5" t="inlineStr">
        <x:is>
          <x:t xml:space="preserve">Controlled Drugs &amp; Narcotics</x:t>
        </x:is>
      </x:c>
      <x:c r="D27" s="5" t="inlineStr">
        <x:is>
          <x:t xml:space="preserve">NDPS Compliance</x:t>
        </x:is>
      </x:c>
      <x:c r="E27" s="5" t="inlineStr">
        <x:is>
          <x:t xml:space="preserve">Licensing, storage, dispensing, record keeping and reporting under the NDPS framework.</x:t>
        </x:is>
      </x:c>
      <x:c r="F27" s="5" t="n">
        <x:v>26</x:v>
      </x:c>
      <x:c r="G27" s="5" t="inlineStr">
        <x:is>
          <x:t xml:space="preserve">Yes</x:t>
        </x:is>
      </x:c>
    </x:row>
    <x:row r="28">
      <x:c r="A28" s="5" t="inlineStr">
        <x:is>
          <x:t xml:space="preserve">CA027</x:t>
        </x:is>
      </x:c>
      <x:c r="B28" s="5" t="inlineStr">
        <x:is>
          <x:t xml:space="preserve">CA025</x:t>
        </x:is>
      </x:c>
      <x:c r="C28" s="5" t="inlineStr">
        <x:is>
          <x:t xml:space="preserve">Controlled Drugs &amp; Narcotics</x:t>
        </x:is>
      </x:c>
      <x:c r="D28" s="5" t="inlineStr">
        <x:is>
          <x:t xml:space="preserve">Schedule X Drugs</x:t>
        </x:is>
      </x:c>
      <x:c r="E28" s="5" t="inlineStr">
        <x:is>
          <x:t xml:space="preserve">Procurement, storage, sale and statutory register maintenance for Schedule X drugs.</x:t>
        </x:is>
      </x:c>
      <x:c r="F28" s="5" t="n">
        <x:v>27</x:v>
      </x:c>
      <x:c r="G28" s="5" t="inlineStr">
        <x:is>
          <x:t xml:space="preserve">Yes</x:t>
        </x:is>
      </x:c>
    </x:row>
    <x:row r="29">
      <x:c r="A29" s="5" t="inlineStr">
        <x:is>
          <x:t xml:space="preserve">CA028</x:t>
        </x:is>
      </x:c>
      <x:c r="B29" s="5" t="inlineStr">
        <x:is>
          <x:t xml:space="preserve">CA025</x:t>
        </x:is>
      </x:c>
      <x:c r="C29" s="5" t="inlineStr">
        <x:is>
          <x:t xml:space="preserve">Controlled Drugs &amp; Narcotics</x:t>
        </x:is>
      </x:c>
      <x:c r="D29" s="5" t="inlineStr">
        <x:is>
          <x:t xml:space="preserve">Controlled Substance Records</x:t>
        </x:is>
      </x:c>
      <x:c r="E29" s="5" t="inlineStr">
        <x:is>
          <x:t xml:space="preserve">Maintenance of mandatory registers, prescriptions and issue records for controlled medicines.</x:t>
        </x:is>
      </x:c>
      <x:c r="F29" s="5" t="n">
        <x:v>28</x:v>
      </x:c>
      <x:c r="G29" s="5" t="inlineStr">
        <x:is>
          <x:t xml:space="preserve">Yes</x:t>
        </x:is>
      </x:c>
    </x:row>
    <x:row r="30">
      <x:c r="A30" s="5" t="inlineStr">
        <x:is>
          <x:t xml:space="preserve">CA029</x:t>
        </x:is>
      </x:c>
      <x:c r="B30" s="5" t="inlineStr">
        <x:is>
          <x:t xml:space="preserve">-</x:t>
        </x:is>
      </x:c>
      <x:c r="C30" s="5" t="inlineStr">
        <x:is>
          <x:t xml:space="preserve">-</x:t>
        </x:is>
      </x:c>
      <x:c r="D30" s="5" t="inlineStr">
        <x:is>
          <x:t xml:space="preserve">Pricing &amp; Commercial Compliance</x:t>
        </x:is>
      </x:c>
      <x:c r="E30" s="5" t="inlineStr">
        <x:is>
          <x:t xml:space="preserve">Compliance relating to pricing, billing and commercial practices.</x:t>
        </x:is>
      </x:c>
      <x:c r="F30" s="5" t="n">
        <x:v>29</x:v>
      </x:c>
      <x:c r="G30" s="5" t="inlineStr">
        <x:is>
          <x:t xml:space="preserve">Yes</x:t>
        </x:is>
      </x:c>
    </x:row>
    <x:row r="31">
      <x:c r="A31" s="5" t="inlineStr">
        <x:is>
          <x:t xml:space="preserve">CA030</x:t>
        </x:is>
      </x:c>
      <x:c r="B31" s="5" t="inlineStr">
        <x:is>
          <x:t xml:space="preserve">CA029</x:t>
        </x:is>
      </x:c>
      <x:c r="C31" s="5" t="inlineStr">
        <x:is>
          <x:t xml:space="preserve">Pricing &amp; Commercial Compliance</x:t>
        </x:is>
      </x:c>
      <x:c r="D31" s="5" t="inlineStr">
        <x:is>
          <x:t xml:space="preserve">Drug Price Control (NPPA)</x:t>
        </x:is>
      </x:c>
      <x:c r="E31" s="5" t="inlineStr">
        <x:is>
          <x:t xml:space="preserve">Compliance with notified ceiling prices and Drug Price Control Orders.</x:t>
        </x:is>
      </x:c>
      <x:c r="F31" s="5" t="n">
        <x:v>30</x:v>
      </x:c>
      <x:c r="G31" s="5" t="inlineStr">
        <x:is>
          <x:t xml:space="preserve">Yes</x:t>
        </x:is>
      </x:c>
    </x:row>
    <x:row r="32">
      <x:c r="A32" s="5" t="inlineStr">
        <x:is>
          <x:t xml:space="preserve">CA031</x:t>
        </x:is>
      </x:c>
      <x:c r="B32" s="5" t="inlineStr">
        <x:is>
          <x:t xml:space="preserve">CA029</x:t>
        </x:is>
      </x:c>
      <x:c r="C32" s="5" t="inlineStr">
        <x:is>
          <x:t xml:space="preserve">Pricing &amp; Commercial Compliance</x:t>
        </x:is>
      </x:c>
      <x:c r="D32" s="5" t="inlineStr">
        <x:is>
          <x:t xml:space="preserve">Billing &amp; Invoicing</x:t>
        </x:is>
      </x:c>
      <x:c r="E32" s="5" t="inlineStr">
        <x:is>
          <x:t xml:space="preserve">Statutory invoicing and billing requirements.</x:t>
        </x:is>
      </x:c>
      <x:c r="F32" s="5" t="n">
        <x:v>31</x:v>
      </x:c>
      <x:c r="G32" s="5" t="inlineStr">
        <x:is>
          <x:t xml:space="preserve">Yes</x:t>
        </x:is>
      </x:c>
    </x:row>
    <x:row r="33">
      <x:c r="A33" s="5" t="inlineStr">
        <x:is>
          <x:t xml:space="preserve">CA032</x:t>
        </x:is>
      </x:c>
      <x:c r="B33" s="5" t="inlineStr">
        <x:is>
          <x:t xml:space="preserve">CA029</x:t>
        </x:is>
      </x:c>
      <x:c r="C33" s="5" t="inlineStr">
        <x:is>
          <x:t xml:space="preserve">Pricing &amp; Commercial Compliance</x:t>
        </x:is>
      </x:c>
      <x:c r="D33" s="5" t="inlineStr">
        <x:is>
          <x:t xml:space="preserve">Discounts &amp; Trade Practices</x:t>
        </x:is>
      </x:c>
      <x:c r="E33" s="5" t="inlineStr">
        <x:is>
          <x:t xml:space="preserve">Compliance relating to discounts, promotional schemes and ethical trade practices.</x:t>
        </x:is>
      </x:c>
      <x:c r="F33" s="5" t="n">
        <x:v>32</x:v>
      </x:c>
      <x:c r="G33" s="5" t="inlineStr">
        <x:is>
          <x:t xml:space="preserve">Yes</x:t>
        </x:is>
      </x:c>
    </x:row>
    <x:row r="34">
      <x:c r="A34" s="5" t="inlineStr">
        <x:is>
          <x:t xml:space="preserve">CA033</x:t>
        </x:is>
      </x:c>
      <x:c r="B34" s="5" t="inlineStr">
        <x:is>
          <x:t xml:space="preserve">-</x:t>
        </x:is>
      </x:c>
      <x:c r="C34" s="5" t="inlineStr">
        <x:is>
          <x:t xml:space="preserve">-</x:t>
        </x:is>
      </x:c>
      <x:c r="D34" s="5" t="inlineStr">
        <x:is>
          <x:t xml:space="preserve">E-Pharmacy Compliance</x:t>
        </x:is>
      </x:c>
      <x:c r="E34" s="5" t="inlineStr">
        <x:is>
          <x:t xml:space="preserve">Compliance applicable to online pharmacy operations.</x:t>
        </x:is>
      </x:c>
      <x:c r="F34" s="5" t="n">
        <x:v>33</x:v>
      </x:c>
      <x:c r="G34" s="5" t="inlineStr">
        <x:is>
          <x:t xml:space="preserve">Yes</x:t>
        </x:is>
      </x:c>
    </x:row>
    <x:row r="35">
      <x:c r="A35" s="5" t="inlineStr">
        <x:is>
          <x:t xml:space="preserve">CA034</x:t>
        </x:is>
      </x:c>
      <x:c r="B35" s="5" t="inlineStr">
        <x:is>
          <x:t xml:space="preserve">CA033</x:t>
        </x:is>
      </x:c>
      <x:c r="C35" s="5" t="inlineStr">
        <x:is>
          <x:t xml:space="preserve">E-Pharmacy Compliance</x:t>
        </x:is>
      </x:c>
      <x:c r="D35" s="5" t="inlineStr">
        <x:is>
          <x:t xml:space="preserve">Online Prescription Verification</x:t>
        </x:is>
      </x:c>
      <x:c r="E35" s="5" t="inlineStr">
        <x:is>
          <x:t xml:space="preserve">Verification and validation of digital prescriptions before dispensing.</x:t>
        </x:is>
      </x:c>
      <x:c r="F35" s="5" t="n">
        <x:v>34</x:v>
      </x:c>
      <x:c r="G35" s="5" t="inlineStr">
        <x:is>
          <x:t xml:space="preserve">Yes</x:t>
        </x:is>
      </x:c>
    </x:row>
    <x:row r="36">
      <x:c r="A36" s="5" t="inlineStr">
        <x:is>
          <x:t xml:space="preserve">CA035</x:t>
        </x:is>
      </x:c>
      <x:c r="B36" s="5" t="inlineStr">
        <x:is>
          <x:t xml:space="preserve">CA033</x:t>
        </x:is>
      </x:c>
      <x:c r="C36" s="5" t="inlineStr">
        <x:is>
          <x:t xml:space="preserve">E-Pharmacy Compliance</x:t>
        </x:is>
      </x:c>
      <x:c r="D36" s="5" t="inlineStr">
        <x:is>
          <x:t xml:space="preserve">Online Order Fulfilment</x:t>
        </x:is>
      </x:c>
      <x:c r="E36" s="5" t="inlineStr">
        <x:is>
          <x:t xml:space="preserve">Processing, packing and dispatch of online medicine orders.</x:t>
        </x:is>
      </x:c>
      <x:c r="F36" s="5" t="n">
        <x:v>35</x:v>
      </x:c>
      <x:c r="G36" s="5" t="inlineStr">
        <x:is>
          <x:t xml:space="preserve">Yes</x:t>
        </x:is>
      </x:c>
    </x:row>
    <x:row r="37">
      <x:c r="A37" s="5" t="inlineStr">
        <x:is>
          <x:t xml:space="preserve">CA036</x:t>
        </x:is>
      </x:c>
      <x:c r="B37" s="5" t="inlineStr">
        <x:is>
          <x:t xml:space="preserve">CA033</x:t>
        </x:is>
      </x:c>
      <x:c r="C37" s="5" t="inlineStr">
        <x:is>
          <x:t xml:space="preserve">E-Pharmacy Compliance</x:t>
        </x:is>
      </x:c>
      <x:c r="D37" s="5" t="inlineStr">
        <x:is>
          <x:t xml:space="preserve">Digital Health Records</x:t>
        </x:is>
      </x:c>
      <x:c r="E37" s="5" t="inlineStr">
        <x:is>
          <x:t xml:space="preserve">Secure handling of electronic prescriptions and customer health information.</x:t>
        </x:is>
      </x:c>
      <x:c r="F37" s="5" t="n">
        <x:v>36</x:v>
      </x:c>
      <x:c r="G37" s="5" t="inlineStr">
        <x:is>
          <x:t xml:space="preserve">Yes</x:t>
        </x:is>
      </x:c>
    </x:row>
    <x:row r="38">
      <x:c r="A38" s="5" t="inlineStr">
        <x:is>
          <x:t xml:space="preserve">CA037</x:t>
        </x:is>
      </x:c>
      <x:c r="B38" s="5" t="inlineStr">
        <x:is>
          <x:t xml:space="preserve">-</x:t>
        </x:is>
      </x:c>
      <x:c r="C38" s="5" t="inlineStr">
        <x:is>
          <x:t xml:space="preserve">-</x:t>
        </x:is>
      </x:c>
      <x:c r="D38" s="5" t="inlineStr">
        <x:is>
          <x:t xml:space="preserve">Environmental Compliance</x:t>
        </x:is>
      </x:c>
      <x:c r="E38" s="5" t="inlineStr">
        <x:is>
          <x:t xml:space="preserve">Environmental obligations applicable to pharmacy operations.</x:t>
        </x:is>
      </x:c>
      <x:c r="F38" s="5" t="n">
        <x:v>37</x:v>
      </x:c>
      <x:c r="G38" s="5" t="inlineStr">
        <x:is>
          <x:t xml:space="preserve">Yes</x:t>
        </x:is>
      </x:c>
    </x:row>
    <x:row r="39">
      <x:c r="A39" s="5" t="inlineStr">
        <x:is>
          <x:t xml:space="preserve">CA038</x:t>
        </x:is>
      </x:c>
      <x:c r="B39" s="5" t="inlineStr">
        <x:is>
          <x:t xml:space="preserve">CA037</x:t>
        </x:is>
      </x:c>
      <x:c r="C39" s="5" t="inlineStr">
        <x:is>
          <x:t xml:space="preserve">Environmental Compliance</x:t>
        </x:is>
      </x:c>
      <x:c r="D39" s="5" t="inlineStr">
        <x:is>
          <x:t xml:space="preserve">Biomedical Waste Management</x:t>
        </x:is>
      </x:c>
      <x:c r="E39" s="5" t="inlineStr">
        <x:is>
          <x:t xml:space="preserve">Segregation, storage and disposal of biomedical waste where applicable.</x:t>
        </x:is>
      </x:c>
      <x:c r="F39" s="5" t="n">
        <x:v>38</x:v>
      </x:c>
      <x:c r="G39" s="5" t="inlineStr">
        <x:is>
          <x:t xml:space="preserve">Yes</x:t>
        </x:is>
      </x:c>
    </x:row>
    <x:row r="40">
      <x:c r="A40" s="5" t="inlineStr">
        <x:is>
          <x:t xml:space="preserve">CA039</x:t>
        </x:is>
      </x:c>
      <x:c r="B40" s="5" t="inlineStr">
        <x:is>
          <x:t xml:space="preserve">CA037</x:t>
        </x:is>
      </x:c>
      <x:c r="C40" s="5" t="inlineStr">
        <x:is>
          <x:t xml:space="preserve">Environmental Compliance</x:t>
        </x:is>
      </x:c>
      <x:c r="D40" s="5" t="inlineStr">
        <x:is>
          <x:t xml:space="preserve">Hazardous Waste Management</x:t>
        </x:is>
      </x:c>
      <x:c r="E40" s="5" t="inlineStr">
        <x:is>
          <x:t xml:space="preserve">Disposal of hazardous chemicals, expired products and contaminated materials.</x:t>
        </x:is>
      </x:c>
      <x:c r="F40" s="5" t="n">
        <x:v>39</x:v>
      </x:c>
      <x:c r="G40" s="5" t="inlineStr">
        <x:is>
          <x:t xml:space="preserve">Yes</x:t>
        </x:is>
      </x:c>
    </x:row>
    <x:row r="41">
      <x:c r="A41" s="5" t="inlineStr">
        <x:is>
          <x:t xml:space="preserve">CA040</x:t>
        </x:is>
      </x:c>
      <x:c r="B41" s="5" t="inlineStr">
        <x:is>
          <x:t xml:space="preserve">CA037</x:t>
        </x:is>
      </x:c>
      <x:c r="C41" s="5" t="inlineStr">
        <x:is>
          <x:t xml:space="preserve">Environmental Compliance</x:t>
        </x:is>
      </x:c>
      <x:c r="D41" s="5" t="inlineStr">
        <x:is>
          <x:t xml:space="preserve">Pollution Control Compliance</x:t>
        </x:is>
      </x:c>
      <x:c r="E41" s="5" t="inlineStr">
        <x:is>
          <x:t xml:space="preserve">Compliance with Pollution Control Board requirements.</x:t>
        </x:is>
      </x:c>
      <x:c r="F41" s="5" t="n">
        <x:v>40</x:v>
      </x:c>
      <x:c r="G41" s="5" t="inlineStr">
        <x:is>
          <x:t xml:space="preserve">Yes</x:t>
        </x:is>
      </x:c>
    </x:row>
    <x:row r="42">
      <x:c r="A42" s="5" t="inlineStr">
        <x:is>
          <x:t xml:space="preserve">CA041</x:t>
        </x:is>
      </x:c>
      <x:c r="B42" s="5" t="inlineStr">
        <x:is>
          <x:t xml:space="preserve">-</x:t>
        </x:is>
      </x:c>
      <x:c r="C42" s="5" t="inlineStr">
        <x:is>
          <x:t xml:space="preserve">-</x:t>
        </x:is>
      </x:c>
      <x:c r="D42" s="5" t="inlineStr">
        <x:is>
          <x:t xml:space="preserve">Fire &amp; Occupational Safety</x:t>
        </x:is>
      </x:c>
      <x:c r="E42" s="5" t="inlineStr">
        <x:is>
          <x:t xml:space="preserve">Fire prevention, emergency preparedness and workplace safety.</x:t>
        </x:is>
      </x:c>
      <x:c r="F42" s="5" t="n">
        <x:v>41</x:v>
      </x:c>
      <x:c r="G42" s="5" t="inlineStr">
        <x:is>
          <x:t xml:space="preserve">Yes</x:t>
        </x:is>
      </x:c>
    </x:row>
    <x:row r="43">
      <x:c r="A43" s="5" t="inlineStr">
        <x:is>
          <x:t xml:space="preserve">CA042</x:t>
        </x:is>
      </x:c>
      <x:c r="B43" s="5" t="inlineStr">
        <x:is>
          <x:t xml:space="preserve">CA041</x:t>
        </x:is>
      </x:c>
      <x:c r="C43" s="5" t="inlineStr">
        <x:is>
          <x:t xml:space="preserve">Fire &amp; Occupational Safety</x:t>
        </x:is>
      </x:c>
      <x:c r="D43" s="5" t="inlineStr">
        <x:is>
          <x:t xml:space="preserve">Fire Safety Systems</x:t>
        </x:is>
      </x:c>
      <x:c r="E43" s="5" t="inlineStr">
        <x:is>
          <x:t xml:space="preserve">Fire extinguishers, alarms, exits and emergency preparedness.</x:t>
        </x:is>
      </x:c>
      <x:c r="F43" s="5" t="n">
        <x:v>42</x:v>
      </x:c>
      <x:c r="G43" s="5" t="inlineStr">
        <x:is>
          <x:t xml:space="preserve">Yes</x:t>
        </x:is>
      </x:c>
    </x:row>
    <x:row r="44">
      <x:c r="A44" s="5" t="inlineStr">
        <x:is>
          <x:t xml:space="preserve">CA043</x:t>
        </x:is>
      </x:c>
      <x:c r="B44" s="5" t="inlineStr">
        <x:is>
          <x:t xml:space="preserve">CA041</x:t>
        </x:is>
      </x:c>
      <x:c r="C44" s="5" t="inlineStr">
        <x:is>
          <x:t xml:space="preserve">Fire &amp; Occupational Safety</x:t>
        </x:is>
      </x:c>
      <x:c r="D44" s="5" t="inlineStr">
        <x:is>
          <x:t xml:space="preserve">Emergency Response</x:t>
        </x:is>
      </x:c>
      <x:c r="E44" s="5" t="inlineStr">
        <x:is>
          <x:t xml:space="preserve">Fire drills, emergency evacuation and incident response procedures.</x:t>
        </x:is>
      </x:c>
      <x:c r="F44" s="5" t="n">
        <x:v>43</x:v>
      </x:c>
      <x:c r="G44" s="5" t="inlineStr">
        <x:is>
          <x:t xml:space="preserve">Yes</x:t>
        </x:is>
      </x:c>
    </x:row>
    <x:row r="45">
      <x:c r="A45" s="5" t="inlineStr">
        <x:is>
          <x:t xml:space="preserve">CA044</x:t>
        </x:is>
      </x:c>
      <x:c r="B45" s="5" t="inlineStr">
        <x:is>
          <x:t xml:space="preserve">CA041</x:t>
        </x:is>
      </x:c>
      <x:c r="C45" s="5" t="inlineStr">
        <x:is>
          <x:t xml:space="preserve">Fire &amp; Occupational Safety</x:t>
        </x:is>
      </x:c>
      <x:c r="D45" s="5" t="inlineStr">
        <x:is>
          <x:t xml:space="preserve">Occupational Health &amp; Safety</x:t>
        </x:is>
      </x:c>
      <x:c r="E45" s="5" t="inlineStr">
        <x:is>
          <x:t xml:space="preserve">Workplace safety measures for pharmacy personnel.</x:t>
        </x:is>
      </x:c>
      <x:c r="F45" s="5" t="n">
        <x:v>44</x:v>
      </x:c>
      <x:c r="G45" s="5" t="inlineStr">
        <x:is>
          <x:t xml:space="preserve">Yes</x:t>
        </x:is>
      </x:c>
    </x:row>
    <x:row r="46">
      <x:c r="A46" s="5" t="inlineStr">
        <x:is>
          <x:t xml:space="preserve">CA045</x:t>
        </x:is>
      </x:c>
      <x:c r="B46" s="5" t="inlineStr">
        <x:is>
          <x:t xml:space="preserve">-</x:t>
        </x:is>
      </x:c>
      <x:c r="C46" s="5" t="inlineStr">
        <x:is>
          <x:t xml:space="preserve">-</x:t>
        </x:is>
      </x:c>
      <x:c r="D46" s="5" t="inlineStr">
        <x:is>
          <x:t xml:space="preserve">Human Resources &amp; Labour Compliance</x:t>
        </x:is>
      </x:c>
      <x:c r="E46" s="5" t="inlineStr">
        <x:is>
          <x:t xml:space="preserve">Employment and labour law compliance.</x:t>
        </x:is>
      </x:c>
      <x:c r="F46" s="5" t="n">
        <x:v>45</x:v>
      </x:c>
      <x:c r="G46" s="5" t="inlineStr">
        <x:is>
          <x:t xml:space="preserve">Yes</x:t>
        </x:is>
      </x:c>
    </x:row>
    <x:row r="47">
      <x:c r="A47" s="5" t="inlineStr">
        <x:is>
          <x:t xml:space="preserve">CA046</x:t>
        </x:is>
      </x:c>
      <x:c r="B47" s="5" t="inlineStr">
        <x:is>
          <x:t xml:space="preserve">CA045</x:t>
        </x:is>
      </x:c>
      <x:c r="C47" s="5" t="inlineStr">
        <x:is>
          <x:t xml:space="preserve">Human Resources &amp; Labour Compliance</x:t>
        </x:is>
      </x:c>
      <x:c r="D47" s="5" t="inlineStr">
        <x:is>
          <x:t xml:space="preserve">Employee Records</x:t>
        </x:is>
      </x:c>
      <x:c r="E47" s="5" t="inlineStr">
        <x:is>
          <x:t xml:space="preserve">Maintenance of statutory employment records and registers.</x:t>
        </x:is>
      </x:c>
      <x:c r="F47" s="5" t="n">
        <x:v>46</x:v>
      </x:c>
      <x:c r="G47" s="5" t="inlineStr">
        <x:is>
          <x:t xml:space="preserve">Yes</x:t>
        </x:is>
      </x:c>
    </x:row>
    <x:row r="48">
      <x:c r="A48" s="5" t="inlineStr">
        <x:is>
          <x:t xml:space="preserve">CA047</x:t>
        </x:is>
      </x:c>
      <x:c r="B48" s="5" t="inlineStr">
        <x:is>
          <x:t xml:space="preserve">CA045</x:t>
        </x:is>
      </x:c>
      <x:c r="C48" s="5" t="inlineStr">
        <x:is>
          <x:t xml:space="preserve">Human Resources &amp; Labour Compliance</x:t>
        </x:is>
      </x:c>
      <x:c r="D48" s="5" t="inlineStr">
        <x:is>
          <x:t xml:space="preserve">Working Hours &amp; Leave</x:t>
        </x:is>
      </x:c>
      <x:c r="E48" s="5" t="inlineStr">
        <x:is>
          <x:t xml:space="preserve">Compliance with working hours, weekly offs and leave provisions.</x:t>
        </x:is>
      </x:c>
      <x:c r="F48" s="5" t="n">
        <x:v>47</x:v>
      </x:c>
      <x:c r="G48" s="5" t="inlineStr">
        <x:is>
          <x:t xml:space="preserve">Yes</x:t>
        </x:is>
      </x:c>
    </x:row>
    <x:row r="49">
      <x:c r="A49" s="5" t="inlineStr">
        <x:is>
          <x:t xml:space="preserve">CA048</x:t>
        </x:is>
      </x:c>
      <x:c r="B49" s="5" t="inlineStr">
        <x:is>
          <x:t xml:space="preserve">CA045</x:t>
        </x:is>
      </x:c>
      <x:c r="C49" s="5" t="inlineStr">
        <x:is>
          <x:t xml:space="preserve">Human Resources &amp; Labour Compliance</x:t>
        </x:is>
      </x:c>
      <x:c r="D49" s="5" t="inlineStr">
        <x:is>
          <x:t xml:space="preserve">Wages &amp; Statutory Benefits</x:t>
        </x:is>
      </x:c>
      <x:c r="E49" s="5" t="inlineStr">
        <x:is>
          <x:t xml:space="preserve">Payment of wages and statutory employee benefits including PF and ESI.</x:t>
        </x:is>
      </x:c>
      <x:c r="F49" s="5" t="n">
        <x:v>48</x:v>
      </x:c>
      <x:c r="G49" s="5" t="inlineStr">
        <x:is>
          <x:t xml:space="preserve">Yes</x:t>
        </x:is>
      </x:c>
    </x:row>
    <x:row r="50">
      <x:c r="A50" s="5" t="inlineStr">
        <x:is>
          <x:t xml:space="preserve">CA049</x:t>
        </x:is>
      </x:c>
      <x:c r="B50" s="5" t="inlineStr">
        <x:is>
          <x:t xml:space="preserve">CA045</x:t>
        </x:is>
      </x:c>
      <x:c r="C50" s="5" t="inlineStr">
        <x:is>
          <x:t xml:space="preserve">Human Resources &amp; Labour Compliance</x:t>
        </x:is>
      </x:c>
      <x:c r="D50" s="5" t="inlineStr">
        <x:is>
          <x:t xml:space="preserve">Training &amp; Competency</x:t>
        </x:is>
      </x:c>
      <x:c r="E50" s="5" t="inlineStr">
        <x:is>
          <x:t xml:space="preserve">Regulatory, safety and operational training for pharmacy personnel.</x:t>
        </x:is>
      </x:c>
      <x:c r="F50" s="5" t="n">
        <x:v>49</x:v>
      </x:c>
      <x:c r="G50" s="5" t="inlineStr">
        <x:is>
          <x:t xml:space="preserve">Yes</x:t>
        </x:is>
      </x:c>
    </x:row>
    <x:row r="51">
      <x:c r="A51" s="5" t="inlineStr">
        <x:is>
          <x:t xml:space="preserve">CA050</x:t>
        </x:is>
      </x:c>
      <x:c r="B51" s="5" t="inlineStr">
        <x:is>
          <x:t xml:space="preserve">CA045</x:t>
        </x:is>
      </x:c>
      <x:c r="C51" s="5" t="inlineStr">
        <x:is>
          <x:t xml:space="preserve">Human Resources &amp; Labour Compliance</x:t>
        </x:is>
      </x:c>
      <x:c r="D51" s="5" t="inlineStr">
        <x:is>
          <x:t xml:space="preserve">Contractor &amp; Outsourced Staff Compliance</x:t>
        </x:is>
      </x:c>
      <x:c r="E51" s="5" t="inlineStr">
        <x:is>
          <x:t xml:space="preserve">Compliance relating to outsourced manpower and contract labour, where applicable.</x:t>
        </x:is>
      </x:c>
      <x:c r="F51" s="5" t="n">
        <x:v>50</x:v>
      </x:c>
      <x:c r="G51" s="5" t="inlineStr">
        <x:is>
          <x:t xml:space="preserve">Yes</x:t>
        </x:is>
      </x:c>
    </x:row>
    <x:row r="52">
      <x:c r="A52" s="5" t="inlineStr">
        <x:is>
          <x:t xml:space="preserve">CA051</x:t>
        </x:is>
      </x:c>
      <x:c r="B52" s="5" t="inlineStr">
        <x:is>
          <x:t xml:space="preserve">-</x:t>
        </x:is>
      </x:c>
      <x:c r="C52" s="5" t="inlineStr">
        <x:is>
          <x:t xml:space="preserve">-</x:t>
        </x:is>
      </x:c>
      <x:c r="D52" s="5" t="inlineStr">
        <x:is>
          <x:t xml:space="preserve">Taxation &amp; Financial Compliance</x:t>
        </x:is>
      </x:c>
      <x:c r="E52" s="5" t="inlineStr">
        <x:is>
          <x:t xml:space="preserve">Compliance relating to direct and indirect taxation and financial records.</x:t>
        </x:is>
      </x:c>
      <x:c r="F52" s="5" t="n">
        <x:v>51</x:v>
      </x:c>
      <x:c r="G52" s="5" t="inlineStr">
        <x:is>
          <x:t xml:space="preserve">Yes</x:t>
        </x:is>
      </x:c>
    </x:row>
    <x:row r="53">
      <x:c r="A53" s="5" t="inlineStr">
        <x:is>
          <x:t xml:space="preserve">CA052</x:t>
        </x:is>
      </x:c>
      <x:c r="B53" s="5" t="inlineStr">
        <x:is>
          <x:t xml:space="preserve">CA051</x:t>
        </x:is>
      </x:c>
      <x:c r="C53" s="5" t="inlineStr">
        <x:is>
          <x:t xml:space="preserve">Taxation &amp; Financial Compliance</x:t>
        </x:is>
      </x:c>
      <x:c r="D53" s="5" t="inlineStr">
        <x:is>
          <x:t xml:space="preserve">GST Compliance</x:t>
        </x:is>
      </x:c>
      <x:c r="E53" s="5" t="inlineStr">
        <x:is>
          <x:t xml:space="preserve">Registration, invoicing, returns, input tax credit and GST record maintenance.</x:t>
        </x:is>
      </x:c>
      <x:c r="F53" s="5" t="n">
        <x:v>52</x:v>
      </x:c>
      <x:c r="G53" s="5" t="inlineStr">
        <x:is>
          <x:t xml:space="preserve">Yes</x:t>
        </x:is>
      </x:c>
    </x:row>
    <x:row r="54">
      <x:c r="A54" s="5" t="inlineStr">
        <x:is>
          <x:t xml:space="preserve">CA053</x:t>
        </x:is>
      </x:c>
      <x:c r="B54" s="5" t="inlineStr">
        <x:is>
          <x:t xml:space="preserve">CA051</x:t>
        </x:is>
      </x:c>
      <x:c r="C54" s="5" t="inlineStr">
        <x:is>
          <x:t xml:space="preserve">Taxation &amp; Financial Compliance</x:t>
        </x:is>
      </x:c>
      <x:c r="D54" s="5" t="inlineStr">
        <x:is>
          <x:t xml:space="preserve">Income Tax Compliance</x:t>
        </x:is>
      </x:c>
      <x:c r="E54" s="5" t="inlineStr">
        <x:is>
          <x:t xml:space="preserve">TDS, advance tax, income tax returns and related statutory compliances.</x:t>
        </x:is>
      </x:c>
      <x:c r="F54" s="5" t="n">
        <x:v>53</x:v>
      </x:c>
      <x:c r="G54" s="5" t="inlineStr">
        <x:is>
          <x:t xml:space="preserve">Yes</x:t>
        </x:is>
      </x:c>
    </x:row>
    <x:row r="55">
      <x:c r="A55" s="5" t="inlineStr">
        <x:is>
          <x:t xml:space="preserve">CA054</x:t>
        </x:is>
      </x:c>
      <x:c r="B55" s="5" t="inlineStr">
        <x:is>
          <x:t xml:space="preserve">CA051</x:t>
        </x:is>
      </x:c>
      <x:c r="C55" s="5" t="inlineStr">
        <x:is>
          <x:t xml:space="preserve">Taxation &amp; Financial Compliance</x:t>
        </x:is>
      </x:c>
      <x:c r="D55" s="5" t="inlineStr">
        <x:is>
          <x:t xml:space="preserve">Accounting &amp; Bookkeeping</x:t>
        </x:is>
      </x:c>
      <x:c r="E55" s="5" t="inlineStr">
        <x:is>
          <x:t xml:space="preserve">Maintenance of books of accounts and financial records.</x:t>
        </x:is>
      </x:c>
      <x:c r="F55" s="5" t="n">
        <x:v>54</x:v>
      </x:c>
      <x:c r="G55" s="5" t="inlineStr">
        <x:is>
          <x:t xml:space="preserve">Yes</x:t>
        </x:is>
      </x:c>
    </x:row>
    <x:row r="56">
      <x:c r="A56" s="5" t="inlineStr">
        <x:is>
          <x:t xml:space="preserve">CA055</x:t>
        </x:is>
      </x:c>
      <x:c r="B56" s="5" t="inlineStr">
        <x:is>
          <x:t xml:space="preserve">CA051</x:t>
        </x:is>
      </x:c>
      <x:c r="C56" s="5" t="inlineStr">
        <x:is>
          <x:t xml:space="preserve">Taxation &amp; Financial Compliance</x:t>
        </x:is>
      </x:c>
      <x:c r="D56" s="5" t="inlineStr">
        <x:is>
          <x:t xml:space="preserve">Statutory Audit &amp; Financial Reporting</x:t>
        </x:is>
      </x:c>
      <x:c r="E56" s="5" t="inlineStr">
        <x:is>
          <x:t xml:space="preserve">Compliance relating to statutory audit and financial reporting obligations.</x:t>
        </x:is>
      </x:c>
      <x:c r="F56" s="5" t="n">
        <x:v>55</x:v>
      </x:c>
      <x:c r="G56" s="5" t="inlineStr">
        <x:is>
          <x:t xml:space="preserve">Yes</x:t>
        </x:is>
      </x:c>
    </x:row>
    <x:row r="57">
      <x:c r="A57" s="5" t="inlineStr">
        <x:is>
          <x:t xml:space="preserve">CA056</x:t>
        </x:is>
      </x:c>
      <x:c r="B57" s="5" t="inlineStr">
        <x:is>
          <x:t xml:space="preserve">-</x:t>
        </x:is>
      </x:c>
      <x:c r="C57" s="5" t="inlineStr">
        <x:is>
          <x:t xml:space="preserve">-</x:t>
        </x:is>
      </x:c>
      <x:c r="D57" s="5" t="inlineStr">
        <x:is>
          <x:t xml:space="preserve">Corporate &amp; Legal Compliance</x:t>
        </x:is>
      </x:c>
      <x:c r="E57" s="5" t="inlineStr">
        <x:is>
          <x:t xml:space="preserve">Legal entity governance and statutory corporate compliance.</x:t>
        </x:is>
      </x:c>
      <x:c r="F57" s="5" t="n">
        <x:v>56</x:v>
      </x:c>
      <x:c r="G57" s="5" t="inlineStr">
        <x:is>
          <x:t xml:space="preserve">Yes</x:t>
        </x:is>
      </x:c>
    </x:row>
    <x:row r="58">
      <x:c r="A58" s="5" t="inlineStr">
        <x:is>
          <x:t xml:space="preserve">CA057</x:t>
        </x:is>
      </x:c>
      <x:c r="B58" s="5" t="inlineStr">
        <x:is>
          <x:t xml:space="preserve">CA056</x:t>
        </x:is>
      </x:c>
      <x:c r="C58" s="5" t="inlineStr">
        <x:is>
          <x:t xml:space="preserve">Corporate &amp; Legal Compliance</x:t>
        </x:is>
      </x:c>
      <x:c r="D58" s="5" t="inlineStr">
        <x:is>
          <x:t xml:space="preserve">Companies Act Compliance</x:t>
        </x:is>
      </x:c>
      <x:c r="E58" s="5" t="inlineStr">
        <x:is>
          <x:t xml:space="preserve">Compliance applicable to companies under the Companies Act.</x:t>
        </x:is>
      </x:c>
      <x:c r="F58" s="5" t="n">
        <x:v>57</x:v>
      </x:c>
      <x:c r="G58" s="5" t="str">
        <x:v>No</x:v>
      </x:c>
    </x:row>
    <x:row r="59">
      <x:c r="A59" s="5" t="inlineStr">
        <x:is>
          <x:t xml:space="preserve">CA058</x:t>
        </x:is>
      </x:c>
      <x:c r="B59" s="5" t="inlineStr">
        <x:is>
          <x:t xml:space="preserve">CA056</x:t>
        </x:is>
      </x:c>
      <x:c r="C59" s="5" t="inlineStr">
        <x:is>
          <x:t xml:space="preserve">Corporate &amp; Legal Compliance</x:t>
        </x:is>
      </x:c>
      <x:c r="D59" s="5" t="inlineStr">
        <x:is>
          <x:t xml:space="preserve">LLP Compliance</x:t>
        </x:is>
      </x:c>
      <x:c r="E59" s="5" t="inlineStr">
        <x:is>
          <x:t xml:space="preserve">Compliance applicable to Limited Liability Partnerships.</x:t>
        </x:is>
      </x:c>
      <x:c r="F59" s="5" t="n">
        <x:v>58</x:v>
      </x:c>
      <x:c r="G59" s="5" t="inlineStr">
        <x:is>
          <x:t xml:space="preserve">Yes</x:t>
        </x:is>
      </x:c>
    </x:row>
    <x:row r="60">
      <x:c r="A60" s="5" t="inlineStr">
        <x:is>
          <x:t xml:space="preserve">CA059</x:t>
        </x:is>
      </x:c>
      <x:c r="B60" s="5" t="inlineStr">
        <x:is>
          <x:t xml:space="preserve">CA056</x:t>
        </x:is>
      </x:c>
      <x:c r="C60" s="5" t="inlineStr">
        <x:is>
          <x:t xml:space="preserve">Corporate &amp; Legal Compliance</x:t>
        </x:is>
      </x:c>
      <x:c r="D60" s="5" t="inlineStr">
        <x:is>
          <x:t xml:space="preserve">Partnership &amp; Proprietorship Compliance</x:t>
        </x:is>
      </x:c>
      <x:c r="E60" s="5" t="inlineStr">
        <x:is>
          <x:t xml:space="preserve">Compliance applicable to partnership firms and sole proprietorships.</x:t>
        </x:is>
      </x:c>
      <x:c r="F60" s="5" t="n">
        <x:v>59</x:v>
      </x:c>
      <x:c r="G60" s="5" t="inlineStr">
        <x:is>
          <x:t xml:space="preserve">Yes</x:t>
        </x:is>
      </x:c>
    </x:row>
    <x:row r="61">
      <x:c r="A61" s="5" t="inlineStr">
        <x:is>
          <x:t xml:space="preserve">CA060</x:t>
        </x:is>
      </x:c>
      <x:c r="B61" s="5" t="inlineStr">
        <x:is>
          <x:t xml:space="preserve">CA056</x:t>
        </x:is>
      </x:c>
      <x:c r="C61" s="5" t="inlineStr">
        <x:is>
          <x:t xml:space="preserve">Corporate &amp; Legal Compliance</x:t>
        </x:is>
      </x:c>
      <x:c r="D61" s="5" t="inlineStr">
        <x:is>
          <x:t xml:space="preserve">Statutory Registers &amp; Corporate Records</x:t>
        </x:is>
      </x:c>
      <x:c r="E61" s="5" t="inlineStr">
        <x:is>
          <x:t xml:space="preserve">Maintenance of statutory corporate registers and legal records.</x:t>
        </x:is>
      </x:c>
      <x:c r="F61" s="5" t="n">
        <x:v>60</x:v>
      </x:c>
      <x:c r="G61" s="5" t="inlineStr">
        <x:is>
          <x:t xml:space="preserve">Yes</x:t>
        </x:is>
      </x:c>
    </x:row>
    <x:row r="62">
      <x:c r="A62" s="5" t="inlineStr">
        <x:is>
          <x:t xml:space="preserve">CA061</x:t>
        </x:is>
      </x:c>
      <x:c r="B62" s="5" t="inlineStr">
        <x:is>
          <x:t xml:space="preserve">-</x:t>
        </x:is>
      </x:c>
      <x:c r="C62" s="5" t="inlineStr">
        <x:is>
          <x:t xml:space="preserve">-</x:t>
        </x:is>
      </x:c>
      <x:c r="D62" s="5" t="inlineStr">
        <x:is>
          <x:t xml:space="preserve">Consumer Protection &amp; Ethics</x:t>
        </x:is>
      </x:c>
      <x:c r="E62" s="5" t="inlineStr">
        <x:is>
          <x:t xml:space="preserve">Compliance relating to consumer rights and ethical business practices.</x:t>
        </x:is>
      </x:c>
      <x:c r="F62" s="5" t="n">
        <x:v>61</x:v>
      </x:c>
      <x:c r="G62" s="5" t="inlineStr">
        <x:is>
          <x:t xml:space="preserve">Yes</x:t>
        </x:is>
      </x:c>
    </x:row>
    <x:row r="63">
      <x:c r="A63" s="5" t="inlineStr">
        <x:is>
          <x:t xml:space="preserve">CA062</x:t>
        </x:is>
      </x:c>
      <x:c r="B63" s="5" t="inlineStr">
        <x:is>
          <x:t xml:space="preserve">CA061</x:t>
        </x:is>
      </x:c>
      <x:c r="C63" s="5" t="inlineStr">
        <x:is>
          <x:t xml:space="preserve">Consumer Protection &amp; Ethics</x:t>
        </x:is>
      </x:c>
      <x:c r="D63" s="5" t="inlineStr">
        <x:is>
          <x:t xml:space="preserve">Consumer Protection Compliance</x:t>
        </x:is>
      </x:c>
      <x:c r="E63" s="5" t="inlineStr">
        <x:is>
          <x:t xml:space="preserve">Consumer rights, grievance redressal and fair trade practices.</x:t>
        </x:is>
      </x:c>
      <x:c r="F63" s="5" t="n">
        <x:v>62</x:v>
      </x:c>
      <x:c r="G63" s="5" t="inlineStr">
        <x:is>
          <x:t xml:space="preserve">Yes</x:t>
        </x:is>
      </x:c>
    </x:row>
    <x:row r="64">
      <x:c r="A64" s="5" t="inlineStr">
        <x:is>
          <x:t xml:space="preserve">CA063</x:t>
        </x:is>
      </x:c>
      <x:c r="B64" s="5" t="inlineStr">
        <x:is>
          <x:t xml:space="preserve">CA061</x:t>
        </x:is>
      </x:c>
      <x:c r="C64" s="5" t="inlineStr">
        <x:is>
          <x:t xml:space="preserve">Consumer Protection &amp; Ethics</x:t>
        </x:is>
      </x:c>
      <x:c r="D64" s="5" t="inlineStr">
        <x:is>
          <x:t xml:space="preserve">Display Requirements</x:t>
        </x:is>
      </x:c>
      <x:c r="E64" s="5" t="inlineStr">
        <x:is>
          <x:t xml:space="preserve">Mandatory display of licences, pharmacist details, prices and statutory notices.</x:t>
        </x:is>
      </x:c>
      <x:c r="F64" s="5" t="n">
        <x:v>63</x:v>
      </x:c>
      <x:c r="G64" s="5" t="inlineStr">
        <x:is>
          <x:t xml:space="preserve">Yes</x:t>
        </x:is>
      </x:c>
    </x:row>
    <x:row r="65">
      <x:c r="A65" s="5" t="inlineStr">
        <x:is>
          <x:t xml:space="preserve">CA064</x:t>
        </x:is>
      </x:c>
      <x:c r="B65" s="5" t="inlineStr">
        <x:is>
          <x:t xml:space="preserve">CA061</x:t>
        </x:is>
      </x:c>
      <x:c r="C65" s="5" t="inlineStr">
        <x:is>
          <x:t xml:space="preserve">Consumer Protection &amp; Ethics</x:t>
        </x:is>
      </x:c>
      <x:c r="D65" s="5" t="inlineStr">
        <x:is>
          <x:t xml:space="preserve">Advertising &amp; Promotional Compliance</x:t>
        </x:is>
      </x:c>
      <x:c r="E65" s="5" t="inlineStr">
        <x:is>
          <x:t xml:space="preserve">Compliance relating to advertisements, promotional material and prohibited claims.</x:t>
        </x:is>
      </x:c>
      <x:c r="F65" s="5" t="n">
        <x:v>64</x:v>
      </x:c>
      <x:c r="G65" s="5" t="inlineStr">
        <x:is>
          <x:t xml:space="preserve">Yes</x:t>
        </x:is>
      </x:c>
    </x:row>
    <x:row r="66">
      <x:c r="A66" s="5" t="inlineStr">
        <x:is>
          <x:t xml:space="preserve">CA065</x:t>
        </x:is>
      </x:c>
      <x:c r="B66" s="5" t="inlineStr">
        <x:is>
          <x:t xml:space="preserve">CA061</x:t>
        </x:is>
      </x:c>
      <x:c r="C66" s="5" t="inlineStr">
        <x:is>
          <x:t xml:space="preserve">Consumer Protection &amp; Ethics</x:t>
        </x:is>
      </x:c>
      <x:c r="D66" s="5" t="inlineStr">
        <x:is>
          <x:t xml:space="preserve">Customer Grievance Redressal</x:t>
        </x:is>
      </x:c>
      <x:c r="E66" s="5" t="inlineStr">
        <x:is>
          <x:t xml:space="preserve">Complaint handling and customer escalation procedures.</x:t>
        </x:is>
      </x:c>
      <x:c r="F66" s="5" t="n">
        <x:v>65</x:v>
      </x:c>
      <x:c r="G66" s="5" t="inlineStr">
        <x:is>
          <x:t xml:space="preserve">Yes</x:t>
        </x:is>
      </x:c>
    </x:row>
    <x:row r="67">
      <x:c r="A67" s="5" t="inlineStr">
        <x:is>
          <x:t xml:space="preserve">CA066</x:t>
        </x:is>
      </x:c>
      <x:c r="B67" s="5" t="inlineStr">
        <x:is>
          <x:t xml:space="preserve">-</x:t>
        </x:is>
      </x:c>
      <x:c r="C67" s="5" t="inlineStr">
        <x:is>
          <x:t xml:space="preserve">-</x:t>
        </x:is>
      </x:c>
      <x:c r="D67" s="5" t="inlineStr">
        <x:is>
          <x:t xml:space="preserve">Legal Metrology Compliance</x:t>
        </x:is>
      </x:c>
      <x:c r="E67" s="5" t="inlineStr">
        <x:is>
          <x:t xml:space="preserve">Compliance relating to packaged commodities and measurement standards.</x:t>
        </x:is>
      </x:c>
      <x:c r="F67" s="5" t="n">
        <x:v>66</x:v>
      </x:c>
      <x:c r="G67" s="5" t="inlineStr">
        <x:is>
          <x:t xml:space="preserve">Yes</x:t>
        </x:is>
      </x:c>
    </x:row>
    <x:row r="68">
      <x:c r="A68" s="5" t="inlineStr">
        <x:is>
          <x:t xml:space="preserve">CA067</x:t>
        </x:is>
      </x:c>
      <x:c r="B68" s="5" t="inlineStr">
        <x:is>
          <x:t xml:space="preserve">CA066</x:t>
        </x:is>
      </x:c>
      <x:c r="C68" s="5" t="inlineStr">
        <x:is>
          <x:t xml:space="preserve">Legal Metrology Compliance</x:t>
        </x:is>
      </x:c>
      <x:c r="D68" s="5" t="inlineStr">
        <x:is>
          <x:t xml:space="preserve">Packaged Commodities</x:t>
        </x:is>
      </x:c>
      <x:c r="E68" s="5" t="inlineStr">
        <x:is>
          <x:t xml:space="preserve">Compliance with packaging, labelling and declarations under Legal Metrology requirements.</x:t>
        </x:is>
      </x:c>
      <x:c r="F68" s="5" t="n">
        <x:v>67</x:v>
      </x:c>
      <x:c r="G68" s="5" t="inlineStr">
        <x:is>
          <x:t xml:space="preserve">Yes</x:t>
        </x:is>
      </x:c>
    </x:row>
    <x:row r="69">
      <x:c r="A69" s="5" t="inlineStr">
        <x:is>
          <x:t xml:space="preserve">CA068</x:t>
        </x:is>
      </x:c>
      <x:c r="B69" s="5" t="inlineStr">
        <x:is>
          <x:t xml:space="preserve">CA066</x:t>
        </x:is>
      </x:c>
      <x:c r="C69" s="5" t="inlineStr">
        <x:is>
          <x:t xml:space="preserve">Legal Metrology Compliance</x:t>
        </x:is>
      </x:c>
      <x:c r="D69" s="5" t="inlineStr">
        <x:is>
          <x:t xml:space="preserve">Weights &amp; Measuring Instruments</x:t>
        </x:is>
      </x:c>
      <x:c r="E69" s="5" t="inlineStr">
        <x:is>
          <x:t xml:space="preserve">Verification and maintenance of weighing and measuring equipment.</x:t>
        </x:is>
      </x:c>
      <x:c r="F69" s="5" t="n">
        <x:v>68</x:v>
      </x:c>
      <x:c r="G69" s="5" t="inlineStr">
        <x:is>
          <x:t xml:space="preserve">Yes</x:t>
        </x:is>
      </x:c>
    </x:row>
    <x:row r="70">
      <x:c r="A70" s="5" t="inlineStr">
        <x:is>
          <x:t xml:space="preserve">CA069</x:t>
        </x:is>
      </x:c>
      <x:c r="B70" s="5" t="inlineStr">
        <x:is>
          <x:t xml:space="preserve">-</x:t>
        </x:is>
      </x:c>
      <x:c r="C70" s="5" t="inlineStr">
        <x:is>
          <x:t xml:space="preserve">-</x:t>
        </x:is>
      </x:c>
      <x:c r="D70" s="5" t="inlineStr">
        <x:is>
          <x:t xml:space="preserve">Information Technology &amp; Digital Compliance</x:t>
        </x:is>
      </x:c>
      <x:c r="E70" s="5" t="inlineStr">
        <x:is>
          <x:t xml:space="preserve">Governance of pharmacy information systems and digital operations.</x:t>
        </x:is>
      </x:c>
      <x:c r="F70" s="5" t="n">
        <x:v>69</x:v>
      </x:c>
      <x:c r="G70" s="5" t="inlineStr">
        <x:is>
          <x:t xml:space="preserve">Yes</x:t>
        </x:is>
      </x:c>
    </x:row>
    <x:row r="71">
      <x:c r="A71" s="5" t="inlineStr">
        <x:is>
          <x:t xml:space="preserve">CA070</x:t>
        </x:is>
      </x:c>
      <x:c r="B71" s="5" t="inlineStr">
        <x:is>
          <x:t xml:space="preserve">CA069</x:t>
        </x:is>
      </x:c>
      <x:c r="C71" s="5" t="inlineStr">
        <x:is>
          <x:t xml:space="preserve">Information Technology &amp; Digital Compliance</x:t>
        </x:is>
      </x:c>
      <x:c r="D71" s="5" t="inlineStr">
        <x:is>
          <x:t xml:space="preserve">Pharmacy Management Systems</x:t>
        </x:is>
      </x:c>
      <x:c r="E71" s="5" t="inlineStr">
        <x:is>
          <x:t xml:space="preserve">Compliance relating to computerized pharmacy management systems and electronic records.</x:t>
        </x:is>
      </x:c>
      <x:c r="F71" s="5" t="n">
        <x:v>70</x:v>
      </x:c>
      <x:c r="G71" s="5" t="inlineStr">
        <x:is>
          <x:t xml:space="preserve">Yes</x:t>
        </x:is>
      </x:c>
    </x:row>
    <x:row r="72">
      <x:c r="A72" s="5" t="inlineStr">
        <x:is>
          <x:t xml:space="preserve">CA071</x:t>
        </x:is>
      </x:c>
      <x:c r="B72" s="5" t="inlineStr">
        <x:is>
          <x:t xml:space="preserve">CA069</x:t>
        </x:is>
      </x:c>
      <x:c r="C72" s="5" t="inlineStr">
        <x:is>
          <x:t xml:space="preserve">Information Technology &amp; Digital Compliance</x:t>
        </x:is>
      </x:c>
      <x:c r="D72" s="5" t="inlineStr">
        <x:is>
          <x:t xml:space="preserve">Data Privacy &amp; Confidentiality</x:t>
        </x:is>
      </x:c>
      <x:c r="E72" s="5" t="inlineStr">
        <x:is>
          <x:t xml:space="preserve">Protection of customer, patient and prescription information.</x:t>
        </x:is>
      </x:c>
      <x:c r="F72" s="5" t="n">
        <x:v>71</x:v>
      </x:c>
      <x:c r="G72" s="5" t="inlineStr">
        <x:is>
          <x:t xml:space="preserve">Yes</x:t>
        </x:is>
      </x:c>
    </x:row>
    <x:row r="73">
      <x:c r="A73" s="5" t="inlineStr">
        <x:is>
          <x:t xml:space="preserve">CA072</x:t>
        </x:is>
      </x:c>
      <x:c r="B73" s="5" t="inlineStr">
        <x:is>
          <x:t xml:space="preserve">CA069</x:t>
        </x:is>
      </x:c>
      <x:c r="C73" s="5" t="inlineStr">
        <x:is>
          <x:t xml:space="preserve">Information Technology &amp; Digital Compliance</x:t>
        </x:is>
      </x:c>
      <x:c r="D73" s="5" t="inlineStr">
        <x:is>
          <x:t xml:space="preserve">Cybersecurity Controls</x:t>
        </x:is>
      </x:c>
      <x:c r="E73" s="5" t="inlineStr">
        <x:is>
          <x:t xml:space="preserve">Logical access, password management, backups and cybersecurity controls.</x:t>
        </x:is>
      </x:c>
      <x:c r="F73" s="5" t="n">
        <x:v>72</x:v>
      </x:c>
      <x:c r="G73" s="5" t="inlineStr">
        <x:is>
          <x:t xml:space="preserve">Yes</x:t>
        </x:is>
      </x:c>
    </x:row>
    <x:row r="74">
      <x:c r="A74" s="5" t="inlineStr">
        <x:is>
          <x:t xml:space="preserve">CA073</x:t>
        </x:is>
      </x:c>
      <x:c r="B74" s="5" t="inlineStr">
        <x:is>
          <x:t xml:space="preserve">CA069</x:t>
        </x:is>
      </x:c>
      <x:c r="C74" s="5" t="inlineStr">
        <x:is>
          <x:t xml:space="preserve">Information Technology &amp; Digital Compliance</x:t>
        </x:is>
      </x:c>
      <x:c r="D74" s="5" t="inlineStr">
        <x:is>
          <x:t xml:space="preserve">Electronic Records &amp; Digital Signatures</x:t>
        </x:is>
      </x:c>
      <x:c r="E74" s="5" t="inlineStr">
        <x:is>
          <x:t xml:space="preserve">Integrity, retention and authenticity of electronic records and digital documents.</x:t>
        </x:is>
      </x:c>
      <x:c r="F74" s="5" t="n">
        <x:v>73</x:v>
      </x:c>
      <x:c r="G74" s="5" t="inlineStr">
        <x:is>
          <x:t xml:space="preserve">Yes</x:t>
        </x:is>
      </x:c>
    </x:row>
    <x:row r="75">
      <x:c r="A75" s="5" t="inlineStr">
        <x:is>
          <x:t xml:space="preserve">CA074</x:t>
        </x:is>
      </x:c>
      <x:c r="B75" s="5" t="inlineStr">
        <x:is>
          <x:t xml:space="preserve">CA069</x:t>
        </x:is>
      </x:c>
      <x:c r="C75" s="5" t="inlineStr">
        <x:is>
          <x:t xml:space="preserve">Information Technology &amp; Digital Compliance</x:t>
        </x:is>
      </x:c>
      <x:c r="D75" s="5" t="inlineStr">
        <x:is>
          <x:t xml:space="preserve">Business System Validation</x:t>
        </x:is>
      </x:c>
      <x:c r="E75" s="5" t="inlineStr">
        <x:is>
          <x:t xml:space="preserve">Validation and change management for pharmacy software and IT systems.</x:t>
        </x:is>
      </x:c>
      <x:c r="F75" s="5" t="n">
        <x:v>74</x:v>
      </x:c>
      <x:c r="G75" s="5" t="inlineStr">
        <x:is>
          <x:t xml:space="preserve">Yes</x:t>
        </x:is>
      </x:c>
    </x:row>
    <x:row r="76">
      <x:c r="A76" s="5" t="inlineStr">
        <x:is>
          <x:t xml:space="preserve">CA075</x:t>
        </x:is>
      </x:c>
      <x:c r="B76" s="5" t="inlineStr">
        <x:is>
          <x:t xml:space="preserve">CA069</x:t>
        </x:is>
      </x:c>
      <x:c r="C76" s="5" t="inlineStr">
        <x:is>
          <x:t xml:space="preserve">Information Technology &amp; Digital Compliance</x:t>
        </x:is>
      </x:c>
      <x:c r="D76" s="5" t="inlineStr">
        <x:is>
          <x:t xml:space="preserve">Backup &amp; Disaster Recovery</x:t>
        </x:is>
      </x:c>
      <x:c r="E76" s="5" t="inlineStr">
        <x:is>
          <x:t xml:space="preserve">Backup, restoration and disaster recovery planning for critical pharmacy systems.</x:t>
        </x:is>
      </x:c>
      <x:c r="F76" s="5" t="n">
        <x:v>75</x:v>
      </x:c>
      <x:c r="G76" s="5" t="inlineStr">
        <x:is>
          <x:t xml:space="preserve">Yes</x:t>
        </x:is>
      </x:c>
    </x:row>
    <x:row r="77">
      <x:c r="A77" s="5" t="inlineStr">
        <x:is>
          <x:t xml:space="preserve">CA076</x:t>
        </x:is>
      </x:c>
      <x:c r="B77" s="5" t="inlineStr">
        <x:is>
          <x:t xml:space="preserve">-</x:t>
        </x:is>
      </x:c>
      <x:c r="C77" s="5" t="inlineStr">
        <x:is>
          <x:t xml:space="preserve">-</x:t>
        </x:is>
      </x:c>
      <x:c r="D77" s="5" t="inlineStr">
        <x:is>
          <x:t xml:space="preserve">Inspection &amp; Regulatory Audit</x:t>
        </x:is>
      </x:c>
      <x:c r="E77" s="5" t="inlineStr">
        <x:is>
          <x:t xml:space="preserve">Readiness for inspections, regulatory audits and enforcement actions.</x:t>
        </x:is>
      </x:c>
      <x:c r="F77" s="5" t="n">
        <x:v>76</x:v>
      </x:c>
      <x:c r="G77" s="5" t="inlineStr">
        <x:is>
          <x:t xml:space="preserve">Yes</x:t>
        </x:is>
      </x:c>
    </x:row>
    <x:row r="78">
      <x:c r="A78" s="5" t="inlineStr">
        <x:is>
          <x:t xml:space="preserve">CA077</x:t>
        </x:is>
      </x:c>
      <x:c r="B78" s="5" t="inlineStr">
        <x:is>
          <x:t xml:space="preserve">CA076</x:t>
        </x:is>
      </x:c>
      <x:c r="C78" s="5" t="inlineStr">
        <x:is>
          <x:t xml:space="preserve">Inspection &amp; Regulatory Audit</x:t>
        </x:is>
      </x:c>
      <x:c r="D78" s="5" t="inlineStr">
        <x:is>
          <x:t xml:space="preserve">Drug Inspector Inspection Readiness</x:t>
        </x:is>
      </x:c>
      <x:c r="E78" s="5" t="inlineStr">
        <x:is>
          <x:t xml:space="preserve">Preparation for inspections by Drug Inspectors and licensing authorities.</x:t>
        </x:is>
      </x:c>
      <x:c r="F78" s="5" t="n">
        <x:v>77</x:v>
      </x:c>
      <x:c r="G78" s="5" t="inlineStr">
        <x:is>
          <x:t xml:space="preserve">Yes</x:t>
        </x:is>
      </x:c>
    </x:row>
    <x:row r="79">
      <x:c r="A79" s="5" t="inlineStr">
        <x:is>
          <x:t xml:space="preserve">CA078</x:t>
        </x:is>
      </x:c>
      <x:c r="B79" s="5" t="inlineStr">
        <x:is>
          <x:t xml:space="preserve">CA076</x:t>
        </x:is>
      </x:c>
      <x:c r="C79" s="5" t="inlineStr">
        <x:is>
          <x:t xml:space="preserve">Inspection &amp; Regulatory Audit</x:t>
        </x:is>
      </x:c>
      <x:c r="D79" s="5" t="inlineStr">
        <x:is>
          <x:t xml:space="preserve">Regulatory Inspection Records</x:t>
        </x:is>
      </x:c>
      <x:c r="E79" s="5" t="inlineStr">
        <x:is>
          <x:t xml:space="preserve">Maintenance of inspection reports, notices and compliance history.</x:t>
        </x:is>
      </x:c>
      <x:c r="F79" s="5" t="n">
        <x:v>78</x:v>
      </x:c>
      <x:c r="G79" s="5" t="inlineStr">
        <x:is>
          <x:t xml:space="preserve">Yes</x:t>
        </x:is>
      </x:c>
    </x:row>
    <x:row r="80">
      <x:c r="A80" s="5" t="inlineStr">
        <x:is>
          <x:t xml:space="preserve">CA079</x:t>
        </x:is>
      </x:c>
      <x:c r="B80" s="5" t="inlineStr">
        <x:is>
          <x:t xml:space="preserve">CA076</x:t>
        </x:is>
      </x:c>
      <x:c r="C80" s="5" t="inlineStr">
        <x:is>
          <x:t xml:space="preserve">Inspection &amp; Regulatory Audit</x:t>
        </x:is>
      </x:c>
      <x:c r="D80" s="5" t="inlineStr">
        <x:is>
          <x:t xml:space="preserve">Regulatory Notices &amp; Responses</x:t>
        </x:is>
      </x:c>
      <x:c r="E80" s="5" t="inlineStr">
        <x:is>
          <x:t xml:space="preserve">Handling of show cause notices, observations and regulatory correspondence.</x:t>
        </x:is>
      </x:c>
      <x:c r="F80" s="5" t="n">
        <x:v>79</x:v>
      </x:c>
      <x:c r="G80" s="5" t="inlineStr">
        <x:is>
          <x:t xml:space="preserve">Yes</x:t>
        </x:is>
      </x:c>
    </x:row>
    <x:row r="81">
      <x:c r="A81" s="5" t="inlineStr">
        <x:is>
          <x:t xml:space="preserve">CA080</x:t>
        </x:is>
      </x:c>
      <x:c r="B81" s="5" t="inlineStr">
        <x:is>
          <x:t xml:space="preserve">CA076</x:t>
        </x:is>
      </x:c>
      <x:c r="C81" s="5" t="inlineStr">
        <x:is>
          <x:t xml:space="preserve">Inspection &amp; Regulatory Audit</x:t>
        </x:is>
      </x:c>
      <x:c r="D81" s="5" t="inlineStr">
        <x:is>
          <x:t xml:space="preserve">Licence Suspension &amp; Cancellation Management</x:t>
        </x:is>
      </x:c>
      <x:c r="E81" s="5" t="inlineStr">
        <x:is>
          <x:t xml:space="preserve">Response procedures relating to suspension, cancellation or modification of licences.</x:t>
        </x:is>
      </x:c>
      <x:c r="F81" s="5" t="n">
        <x:v>80</x:v>
      </x:c>
      <x:c r="G81" s="5" t="inlineStr">
        <x:is>
          <x:t xml:space="preserve">Yes</x:t>
        </x:is>
      </x:c>
    </x:row>
    <x:row r="82">
      <x:c r="A82" s="5" t="inlineStr">
        <x:is>
          <x:t xml:space="preserve">CA081</x:t>
        </x:is>
      </x:c>
      <x:c r="B82" s="5" t="inlineStr">
        <x:is>
          <x:t xml:space="preserve">-</x:t>
        </x:is>
      </x:c>
      <x:c r="C82" s="5" t="inlineStr">
        <x:is>
          <x:t xml:space="preserve">-</x:t>
        </x:is>
      </x:c>
      <x:c r="D82" s="5" t="inlineStr">
        <x:is>
          <x:t xml:space="preserve">Internal Audit &amp; Compliance Monitoring</x:t>
        </x:is>
      </x:c>
      <x:c r="E82" s="5" t="inlineStr">
        <x:is>
          <x:t xml:space="preserve">Internal compliance review and continuous monitoring activities.</x:t>
        </x:is>
      </x:c>
      <x:c r="F82" s="5" t="n">
        <x:v>81</x:v>
      </x:c>
      <x:c r="G82" s="5" t="inlineStr">
        <x:is>
          <x:t xml:space="preserve">Yes</x:t>
        </x:is>
      </x:c>
    </x:row>
    <x:row r="83">
      <x:c r="A83" s="5" t="inlineStr">
        <x:is>
          <x:t xml:space="preserve">CA082</x:t>
        </x:is>
      </x:c>
      <x:c r="B83" s="5" t="inlineStr">
        <x:is>
          <x:t xml:space="preserve">CA081</x:t>
        </x:is>
      </x:c>
      <x:c r="C83" s="5" t="inlineStr">
        <x:is>
          <x:t xml:space="preserve">Internal Audit &amp; Compliance Monitoring</x:t>
        </x:is>
      </x:c>
      <x:c r="D83" s="5" t="inlineStr">
        <x:is>
          <x:t xml:space="preserve">Compliance Self-Assessment</x:t>
        </x:is>
      </x:c>
      <x:c r="E83" s="5" t="inlineStr">
        <x:is>
          <x:t xml:space="preserve">Periodic internal compliance reviews against regulatory requirements.</x:t>
        </x:is>
      </x:c>
      <x:c r="F83" s="5" t="n">
        <x:v>82</x:v>
      </x:c>
      <x:c r="G83" s="5" t="inlineStr">
        <x:is>
          <x:t xml:space="preserve">Yes</x:t>
        </x:is>
      </x:c>
    </x:row>
    <x:row r="84">
      <x:c r="A84" s="5" t="inlineStr">
        <x:is>
          <x:t xml:space="preserve">CA083</x:t>
        </x:is>
      </x:c>
      <x:c r="B84" s="5" t="inlineStr">
        <x:is>
          <x:t xml:space="preserve">CA081</x:t>
        </x:is>
      </x:c>
      <x:c r="C84" s="5" t="inlineStr">
        <x:is>
          <x:t xml:space="preserve">Internal Audit &amp; Compliance Monitoring</x:t>
        </x:is>
      </x:c>
      <x:c r="D84" s="5" t="inlineStr">
        <x:is>
          <x:t xml:space="preserve">Internal Audit Program</x:t>
        </x:is>
      </x:c>
      <x:c r="E84" s="5" t="inlineStr">
        <x:is>
          <x:t xml:space="preserve">Planning, execution and reporting of internal audits.</x:t>
        </x:is>
      </x:c>
      <x:c r="F84" s="5" t="n">
        <x:v>83</x:v>
      </x:c>
      <x:c r="G84" s="5" t="inlineStr">
        <x:is>
          <x:t xml:space="preserve">Yes</x:t>
        </x:is>
      </x:c>
    </x:row>
    <x:row r="85">
      <x:c r="A85" s="5" t="inlineStr">
        <x:is>
          <x:t xml:space="preserve">CA084</x:t>
        </x:is>
      </x:c>
      <x:c r="B85" s="5" t="inlineStr">
        <x:is>
          <x:t xml:space="preserve">CA081</x:t>
        </x:is>
      </x:c>
      <x:c r="C85" s="5" t="inlineStr">
        <x:is>
          <x:t xml:space="preserve">Internal Audit &amp; Compliance Monitoring</x:t>
        </x:is>
      </x:c>
      <x:c r="D85" s="5" t="inlineStr">
        <x:is>
          <x:t xml:space="preserve">Compliance Monitoring</x:t>
        </x:is>
      </x:c>
      <x:c r="E85" s="5" t="inlineStr">
        <x:is>
          <x:t xml:space="preserve">Ongoing monitoring of statutory and operational compliance.</x:t>
        </x:is>
      </x:c>
      <x:c r="F85" s="5" t="n">
        <x:v>84</x:v>
      </x:c>
      <x:c r="G85" s="5" t="inlineStr">
        <x:is>
          <x:t xml:space="preserve">Yes</x:t>
        </x:is>
      </x:c>
    </x:row>
    <x:row r="86">
      <x:c r="A86" s="5" t="inlineStr">
        <x:is>
          <x:t xml:space="preserve">CA085</x:t>
        </x:is>
      </x:c>
      <x:c r="B86" s="5" t="inlineStr">
        <x:is>
          <x:t xml:space="preserve">CA081</x:t>
        </x:is>
      </x:c>
      <x:c r="C86" s="5" t="inlineStr">
        <x:is>
          <x:t xml:space="preserve">Internal Audit &amp; Compliance Monitoring</x:t>
        </x:is>
      </x:c>
      <x:c r="D86" s="5" t="inlineStr">
        <x:is>
          <x:t xml:space="preserve">Management Review</x:t>
        </x:is>
      </x:c>
      <x:c r="E86" s="5" t="inlineStr">
        <x:is>
          <x:t xml:space="preserve">Periodic management review of compliance performance and regulatory risks.</x:t>
        </x:is>
      </x:c>
      <x:c r="F86" s="5" t="n">
        <x:v>85</x:v>
      </x:c>
      <x:c r="G86" s="5" t="inlineStr">
        <x:is>
          <x:t xml:space="preserve">Yes</x:t>
        </x:is>
      </x:c>
    </x:row>
    <x:row r="87">
      <x:c r="A87" s="5" t="inlineStr">
        <x:is>
          <x:t xml:space="preserve">CA086</x:t>
        </x:is>
      </x:c>
      <x:c r="B87" s="5" t="inlineStr">
        <x:is>
          <x:t xml:space="preserve">-</x:t>
        </x:is>
      </x:c>
      <x:c r="C87" s="5" t="inlineStr">
        <x:is>
          <x:t xml:space="preserve">-</x:t>
        </x:is>
      </x:c>
      <x:c r="D87" s="5" t="inlineStr">
        <x:is>
          <x:t xml:space="preserve">Risk Management</x:t>
        </x:is>
      </x:c>
      <x:c r="E87" s="5" t="inlineStr">
        <x:is>
          <x:t xml:space="preserve">Identification, assessment and mitigation of regulatory and operational risks.</x:t>
        </x:is>
      </x:c>
      <x:c r="F87" s="5" t="n">
        <x:v>86</x:v>
      </x:c>
      <x:c r="G87" s="5" t="inlineStr">
        <x:is>
          <x:t xml:space="preserve">Yes</x:t>
        </x:is>
      </x:c>
    </x:row>
    <x:row r="88">
      <x:c r="A88" s="5" t="inlineStr">
        <x:is>
          <x:t xml:space="preserve">CA087</x:t>
        </x:is>
      </x:c>
      <x:c r="B88" s="5" t="inlineStr">
        <x:is>
          <x:t xml:space="preserve">CA086</x:t>
        </x:is>
      </x:c>
      <x:c r="C88" s="5" t="inlineStr">
        <x:is>
          <x:t xml:space="preserve">Risk Management</x:t>
        </x:is>
      </x:c>
      <x:c r="D88" s="5" t="inlineStr">
        <x:is>
          <x:t xml:space="preserve">Regulatory Risk Assessment</x:t>
        </x:is>
      </x:c>
      <x:c r="E88" s="5" t="inlineStr">
        <x:is>
          <x:t xml:space="preserve">Identification and evaluation of regulatory compliance risks.</x:t>
        </x:is>
      </x:c>
      <x:c r="F88" s="5" t="n">
        <x:v>87</x:v>
      </x:c>
      <x:c r="G88" s="5" t="inlineStr">
        <x:is>
          <x:t xml:space="preserve">Yes</x:t>
        </x:is>
      </x:c>
    </x:row>
    <x:row r="89">
      <x:c r="A89" s="5" t="inlineStr">
        <x:is>
          <x:t xml:space="preserve">CA088</x:t>
        </x:is>
      </x:c>
      <x:c r="B89" s="5" t="inlineStr">
        <x:is>
          <x:t xml:space="preserve">CA086</x:t>
        </x:is>
      </x:c>
      <x:c r="C89" s="5" t="inlineStr">
        <x:is>
          <x:t xml:space="preserve">Risk Management</x:t>
        </x:is>
      </x:c>
      <x:c r="D89" s="5" t="inlineStr">
        <x:is>
          <x:t xml:space="preserve">Operational Risk Management</x:t>
        </x:is>
      </x:c>
      <x:c r="E89" s="5" t="inlineStr">
        <x:is>
          <x:t xml:space="preserve">Management of operational risks affecting pharmacy activities.</x:t>
        </x:is>
      </x:c>
      <x:c r="F89" s="5" t="n">
        <x:v>88</x:v>
      </x:c>
      <x:c r="G89" s="5" t="inlineStr">
        <x:is>
          <x:t xml:space="preserve">Yes</x:t>
        </x:is>
      </x:c>
    </x:row>
    <x:row r="90">
      <x:c r="A90" s="5" t="inlineStr">
        <x:is>
          <x:t xml:space="preserve">CA089</x:t>
        </x:is>
      </x:c>
      <x:c r="B90" s="5" t="inlineStr">
        <x:is>
          <x:t xml:space="preserve">CA086</x:t>
        </x:is>
      </x:c>
      <x:c r="C90" s="5" t="inlineStr">
        <x:is>
          <x:t xml:space="preserve">Risk Management</x:t>
        </x:is>
      </x:c>
      <x:c r="D90" s="5" t="inlineStr">
        <x:is>
          <x:t xml:space="preserve">Fraud Prevention &amp; Detection</x:t>
        </x:is>
      </x:c>
      <x:c r="E90" s="5" t="inlineStr">
        <x:is>
          <x:t xml:space="preserve">Controls to prevent fraud, diversion, counterfeit medicines and unauthorized transactions.</x:t>
        </x:is>
      </x:c>
      <x:c r="F90" s="5" t="n">
        <x:v>89</x:v>
      </x:c>
      <x:c r="G90" s="5" t="inlineStr">
        <x:is>
          <x:t xml:space="preserve">Yes</x:t>
        </x:is>
      </x:c>
    </x:row>
    <x:row r="91">
      <x:c r="A91" s="5" t="inlineStr">
        <x:is>
          <x:t xml:space="preserve">CA090</x:t>
        </x:is>
      </x:c>
      <x:c r="B91" s="5" t="inlineStr">
        <x:is>
          <x:t xml:space="preserve">CA086</x:t>
        </x:is>
      </x:c>
      <x:c r="C91" s="5" t="inlineStr">
        <x:is>
          <x:t xml:space="preserve">Risk Management</x:t>
        </x:is>
      </x:c>
      <x:c r="D91" s="5" t="inlineStr">
        <x:is>
          <x:t xml:space="preserve">Incident Reporting &amp; Investigation</x:t>
        </x:is>
      </x:c>
      <x:c r="E91" s="5" t="inlineStr">
        <x:is>
          <x:t xml:space="preserve">Reporting, investigation and closure of incidents and compliance breaches.</x:t>
        </x:is>
      </x:c>
      <x:c r="F91" s="5" t="n">
        <x:v>90</x:v>
      </x:c>
      <x:c r="G91" s="5" t="inlineStr">
        <x:is>
          <x:t xml:space="preserve">Yes</x:t>
        </x:is>
      </x:c>
    </x:row>
    <x:row r="92">
      <x:c r="A92" s="5" t="inlineStr">
        <x:is>
          <x:t xml:space="preserve">CA091</x:t>
        </x:is>
      </x:c>
      <x:c r="B92" s="5" t="inlineStr">
        <x:is>
          <x:t xml:space="preserve">-</x:t>
        </x:is>
      </x:c>
      <x:c r="C92" s="5" t="inlineStr">
        <x:is>
          <x:t xml:space="preserve">-</x:t>
        </x:is>
      </x:c>
      <x:c r="D92" s="5" t="inlineStr">
        <x:is>
          <x:t xml:space="preserve">CAPA Management</x:t>
        </x:is>
      </x:c>
      <x:c r="E92" s="5" t="inlineStr">
        <x:is>
          <x:t xml:space="preserve">Corrective and Preventive Action management.</x:t>
        </x:is>
      </x:c>
      <x:c r="F92" s="5" t="n">
        <x:v>91</x:v>
      </x:c>
      <x:c r="G92" s="5" t="inlineStr">
        <x:is>
          <x:t xml:space="preserve">Yes</x:t>
        </x:is>
      </x:c>
    </x:row>
    <x:row r="93">
      <x:c r="A93" s="5" t="inlineStr">
        <x:is>
          <x:t xml:space="preserve">CA092</x:t>
        </x:is>
      </x:c>
      <x:c r="B93" s="5" t="inlineStr">
        <x:is>
          <x:t xml:space="preserve">CA091</x:t>
        </x:is>
      </x:c>
      <x:c r="C93" s="5" t="inlineStr">
        <x:is>
          <x:t xml:space="preserve">CAPA Management</x:t>
        </x:is>
      </x:c>
      <x:c r="D93" s="5" t="inlineStr">
        <x:is>
          <x:t xml:space="preserve">Non-Conformance Management</x:t>
        </x:is>
      </x:c>
      <x:c r="E93" s="5" t="inlineStr">
        <x:is>
          <x:t xml:space="preserve">Recording and management of compliance deviations and non-conformities.</x:t>
        </x:is>
      </x:c>
      <x:c r="F93" s="5" t="n">
        <x:v>92</x:v>
      </x:c>
      <x:c r="G93" s="5" t="inlineStr">
        <x:is>
          <x:t xml:space="preserve">Yes</x:t>
        </x:is>
      </x:c>
    </x:row>
    <x:row r="94">
      <x:c r="A94" s="5" t="inlineStr">
        <x:is>
          <x:t xml:space="preserve">CA093</x:t>
        </x:is>
      </x:c>
      <x:c r="B94" s="5" t="inlineStr">
        <x:is>
          <x:t xml:space="preserve">CA091</x:t>
        </x:is>
      </x:c>
      <x:c r="C94" s="5" t="inlineStr">
        <x:is>
          <x:t xml:space="preserve">CAPA Management</x:t>
        </x:is>
      </x:c>
      <x:c r="D94" s="5" t="inlineStr">
        <x:is>
          <x:t xml:space="preserve">Corrective Actions</x:t>
        </x:is>
      </x:c>
      <x:c r="E94" s="5" t="inlineStr">
        <x:is>
          <x:t xml:space="preserve">Planning, implementation and verification of corrective actions.</x:t>
        </x:is>
      </x:c>
      <x:c r="F94" s="5" t="n">
        <x:v>93</x:v>
      </x:c>
      <x:c r="G94" s="5" t="inlineStr">
        <x:is>
          <x:t xml:space="preserve">Yes</x:t>
        </x:is>
      </x:c>
    </x:row>
    <x:row r="95">
      <x:c r="A95" s="5" t="inlineStr">
        <x:is>
          <x:t xml:space="preserve">CA094</x:t>
        </x:is>
      </x:c>
      <x:c r="B95" s="5" t="inlineStr">
        <x:is>
          <x:t xml:space="preserve">CA091</x:t>
        </x:is>
      </x:c>
      <x:c r="C95" s="5" t="inlineStr">
        <x:is>
          <x:t xml:space="preserve">CAPA Management</x:t>
        </x:is>
      </x:c>
      <x:c r="D95" s="5" t="inlineStr">
        <x:is>
          <x:t xml:space="preserve">Preventive Actions</x:t>
        </x:is>
      </x:c>
      <x:c r="E95" s="5" t="inlineStr">
        <x:is>
          <x:t xml:space="preserve">Identification and implementation of preventive measures to avoid recurrence.</x:t>
        </x:is>
      </x:c>
      <x:c r="F95" s="5" t="n">
        <x:v>94</x:v>
      </x:c>
      <x:c r="G95" s="5" t="inlineStr">
        <x:is>
          <x:t xml:space="preserve">Yes</x:t>
        </x:is>
      </x:c>
    </x:row>
    <x:row r="96">
      <x:c r="A96" s="5" t="inlineStr">
        <x:is>
          <x:t xml:space="preserve">CA095</x:t>
        </x:is>
      </x:c>
      <x:c r="B96" s="5" t="inlineStr">
        <x:is>
          <x:t xml:space="preserve">CA091</x:t>
        </x:is>
      </x:c>
      <x:c r="C96" s="5" t="inlineStr">
        <x:is>
          <x:t xml:space="preserve">CAPA Management</x:t>
        </x:is>
      </x:c>
      <x:c r="D96" s="5" t="inlineStr">
        <x:is>
          <x:t xml:space="preserve">Effectiveness Verification</x:t>
        </x:is>
      </x:c>
      <x:c r="E96" s="5" t="inlineStr">
        <x:is>
          <x:t xml:space="preserve">Verification of CAPA effectiveness after implementation.</x:t>
        </x:is>
      </x:c>
      <x:c r="F96" s="5" t="n">
        <x:v>95</x:v>
      </x:c>
      <x:c r="G96" s="5" t="inlineStr">
        <x:is>
          <x:t xml:space="preserve">Yes</x:t>
        </x:is>
      </x:c>
    </x:row>
    <x:row r="97">
      <x:c r="A97" s="5" t="inlineStr">
        <x:is>
          <x:t xml:space="preserve">CA096</x:t>
        </x:is>
      </x:c>
      <x:c r="B97" s="5" t="inlineStr">
        <x:is>
          <x:t xml:space="preserve">-</x:t>
        </x:is>
      </x:c>
      <x:c r="C97" s="5" t="inlineStr">
        <x:is>
          <x:t xml:space="preserve">-</x:t>
        </x:is>
      </x:c>
      <x:c r="D97" s="5" t="inlineStr">
        <x:is>
          <x:t xml:space="preserve">Document &amp; Record Control</x:t>
        </x:is>
      </x:c>
      <x:c r="E97" s="5" t="inlineStr">
        <x:is>
          <x:t xml:space="preserve">Governance of controlled documents and records.</x:t>
        </x:is>
      </x:c>
      <x:c r="F97" s="5" t="n">
        <x:v>96</x:v>
      </x:c>
      <x:c r="G97" s="5" t="inlineStr">
        <x:is>
          <x:t xml:space="preserve">Yes</x:t>
        </x:is>
      </x:c>
    </x:row>
    <x:row r="98">
      <x:c r="A98" s="5" t="inlineStr">
        <x:is>
          <x:t xml:space="preserve">CA097</x:t>
        </x:is>
      </x:c>
      <x:c r="B98" s="5" t="inlineStr">
        <x:is>
          <x:t xml:space="preserve">CA096</x:t>
        </x:is>
      </x:c>
      <x:c r="C98" s="5" t="inlineStr">
        <x:is>
          <x:t xml:space="preserve">Document &amp; Record Control</x:t>
        </x:is>
      </x:c>
      <x:c r="D98" s="5" t="inlineStr">
        <x:is>
          <x:t xml:space="preserve">Document Control</x:t>
        </x:is>
      </x:c>
      <x:c r="E98" s="5" t="inlineStr">
        <x:is>
          <x:t xml:space="preserve">Creation, approval, revision and withdrawal of controlled documents.</x:t>
        </x:is>
      </x:c>
      <x:c r="F98" s="5" t="n">
        <x:v>97</x:v>
      </x:c>
      <x:c r="G98" s="5" t="inlineStr">
        <x:is>
          <x:t xml:space="preserve">Yes</x:t>
        </x:is>
      </x:c>
    </x:row>
    <x:row r="99">
      <x:c r="A99" s="5" t="inlineStr">
        <x:is>
          <x:t xml:space="preserve">CA098</x:t>
        </x:is>
      </x:c>
      <x:c r="B99" s="5" t="inlineStr">
        <x:is>
          <x:t xml:space="preserve">CA096</x:t>
        </x:is>
      </x:c>
      <x:c r="C99" s="5" t="inlineStr">
        <x:is>
          <x:t xml:space="preserve">Document &amp; Record Control</x:t>
        </x:is>
      </x:c>
      <x:c r="D99" s="5" t="inlineStr">
        <x:is>
          <x:t xml:space="preserve">SOP Management</x:t>
        </x:is>
      </x:c>
      <x:c r="E99" s="5" t="inlineStr">
        <x:is>
          <x:t xml:space="preserve">Preparation, approval, review and implementation of Standard Operating Procedures.</x:t>
        </x:is>
      </x:c>
      <x:c r="F99" s="5" t="n">
        <x:v>98</x:v>
      </x:c>
      <x:c r="G99" s="5" t="inlineStr">
        <x:is>
          <x:t xml:space="preserve">Yes</x:t>
        </x:is>
      </x:c>
    </x:row>
    <x:row r="100">
      <x:c r="A100" s="5" t="inlineStr">
        <x:is>
          <x:t xml:space="preserve">CA099</x:t>
        </x:is>
      </x:c>
      <x:c r="B100" s="5" t="inlineStr">
        <x:is>
          <x:t xml:space="preserve">CA096</x:t>
        </x:is>
      </x:c>
      <x:c r="C100" s="5" t="inlineStr">
        <x:is>
          <x:t xml:space="preserve">Document &amp; Record Control</x:t>
        </x:is>
      </x:c>
      <x:c r="D100" s="5" t="inlineStr">
        <x:is>
          <x:t xml:space="preserve">Forms &amp; Templates Management</x:t>
        </x:is>
      </x:c>
      <x:c r="E100" s="5" t="inlineStr">
        <x:is>
          <x:t xml:space="preserve">Management of controlled forms, registers and operational templates.</x:t>
        </x:is>
      </x:c>
      <x:c r="F100" s="5" t="n">
        <x:v>99</x:v>
      </x:c>
      <x:c r="G100" s="5" t="inlineStr">
        <x:is>
          <x:t xml:space="preserve">Yes</x:t>
        </x:is>
      </x:c>
    </x:row>
    <x:row r="101">
      <x:c r="A101" s="5" t="inlineStr">
        <x:is>
          <x:t xml:space="preserve">CA100</x:t>
        </x:is>
      </x:c>
      <x:c r="B101" s="5" t="inlineStr">
        <x:is>
          <x:t xml:space="preserve">CA096</x:t>
        </x:is>
      </x:c>
      <x:c r="C101" s="5" t="inlineStr">
        <x:is>
          <x:t xml:space="preserve">Document &amp; Record Control</x:t>
        </x:is>
      </x:c>
      <x:c r="D101" s="5" t="inlineStr">
        <x:is>
          <x:t xml:space="preserve">Record Archival &amp; Retrieval</x:t>
        </x:is>
      </x:c>
      <x:c r="E101" s="5" t="inlineStr">
        <x:is>
          <x:t xml:space="preserve">Secure storage, archival and retrieval of physical and electronic records.</x:t>
        </x:is>
      </x:c>
      <x:c r="F101" s="5" t="n">
        <x:v>100</x:v>
      </x:c>
      <x:c r="G101" s="5" t="inlineStr">
        <x:is>
          <x:t xml:space="preserve">Yes</x:t>
        </x:is>
      </x:c>
    </x:row>
  </x:sheetData>
  <x:pageMargins left="0.7" right="0.7" top="0.75" bottom="0.75" header="0.3" footer="0.3"/>
  <x:tableParts count="1">
    <x:tablePart xmlns:r="http://schemas.openxmlformats.org/officeDocument/2006/relationships" r:id="Rd0a6ca702a9c42a6"/>
  </x:tableParts>
</x:worksheet>
</file>

<file path=xl/worksheets/sheet6.xml><?xml version="1.0" encoding="utf-8"?>
<x:worksheet xmlns:x="http://schemas.openxmlformats.org/spreadsheetml/2006/main">
  <x:sheetFormatPr baseColWidth="8" defaultRowHeight="15"/>
  <x:cols>
    <x:col min="1" max="1" width="10" customWidth="1"/>
    <x:col min="2" max="2" width="24" customWidth="1"/>
    <x:col min="3" max="3" width="10" customWidth="1"/>
    <x:col min="4" max="4" width="20" customWidth="1"/>
    <x:col min="5" max="5" width="24" customWidth="1"/>
    <x:col min="6" max="6" width="17" customWidth="1"/>
    <x:col min="7" max="7" width="24" customWidth="1"/>
    <x:col min="8" max="8" width="12" customWidth="1"/>
    <x:col min="9" max="9" width="24" customWidth="1"/>
    <x:col min="10" max="10" width="24" customWidth="1"/>
    <x:col min="11" max="11" width="24" customWidth="1"/>
    <x:col min="12" max="12" width="48" customWidth="1"/>
    <x:col min="13" max="13" width="10" customWidth="1"/>
    <x:col min="14" max="14" width="18" customWidth="1"/>
    <x:col min="15" max="15" width="48" customWidth="1"/>
  </x:cols>
  <x:sheetData>
    <x:row r="1" ht="28" customHeight="1">
      <x:c r="A1" s="31" t="str">
        <x:v>Law ID</x:v>
      </x:c>
      <x:c r="B1" s="31" t="str">
        <x:v>Domain</x:v>
      </x:c>
      <x:c r="C1" s="31" t="str">
        <x:v>Sector</x:v>
      </x:c>
      <x:c r="D1" s="31" t="str">
        <x:v>Sub-Sector</x:v>
      </x:c>
      <x:c r="E1" s="31" t="str">
        <x:v>Regulator</x:v>
      </x:c>
      <x:c r="F1" s="31" t="str">
        <x:v>Authority Level</x:v>
      </x:c>
      <x:c r="G1" s="31" t="str">
        <x:v>Document Type</x:v>
      </x:c>
      <x:c r="H1" s="31" t="str">
        <x:v>Parent Law</x:v>
      </x:c>
      <x:c r="I1" s="31" t="str">
        <x:v>Law Name</x:v>
      </x:c>
      <x:c r="J1" s="31" t="str">
        <x:v>Law_ComplianceArea_Map</x:v>
      </x:c>
      <x:c r="K1" s="31" t="str">
        <x:v>Applicability Type</x:v>
      </x:c>
      <x:c r="L1" s="31" t="str">
        <x:v>Applicability Trigger</x:v>
      </x:c>
      <x:c r="M1" s="31" t="str">
        <x:v>Active</x:v>
      </x:c>
      <x:c r="N1" s="31" t="str">
        <x:v>Review Frequency</x:v>
      </x:c>
      <x:c r="O1" s="31" t="str">
        <x:v>Remarks</x:v>
      </x:c>
    </x:row>
    <x:row r="2">
      <x:c r="A2" s="30" t="str">
        <x:v>LAW001</x:v>
      </x:c>
      <x:c r="B2" s="30" t="str">
        <x:v>Pharmacy</x:v>
      </x:c>
      <x:c r="C2" s="30" t="str">
        <x:v>Pharmacy</x:v>
      </x:c>
      <x:c r="D2" s="30" t="str">
        <x:v>All</x:v>
      </x:c>
      <x:c r="E2" s="30" t="str">
        <x:v>CDSCO</x:v>
      </x:c>
      <x:c r="F2" s="30" t="str">
        <x:v>Central</x:v>
      </x:c>
      <x:c r="G2" s="30" t="str">
        <x:v>Act</x:v>
      </x:c>
      <x:c r="H2" s="30" t="str">
        <x:v>-</x:v>
      </x:c>
      <x:c r="I2" s="30" t="str">
        <x:v>Drugs and Cosmetics Act, 1940</x:v>
      </x:c>
      <x:c r="J2" s="30" t="str">
        <x:v>-</x:v>
      </x:c>
      <x:c r="K2" s="30" t="str">
        <x:v>Mandatory</x:v>
      </x:c>
      <x:c r="L2" s="30" t="str">
        <x:v>Manufacture, sale, stock, distribution or dispensing of drugs</x:v>
      </x:c>
      <x:c r="M2" s="30" t="str">
        <x:v>Yes</x:v>
      </x:c>
      <x:c r="N2" s="30" t="str">
        <x:v>Annual</x:v>
      </x:c>
      <x:c r="O2" s="30" t="str">
        <x:v>Primary legislation governing drugs and cosmetics.</x:v>
      </x:c>
    </x:row>
    <x:row r="3">
      <x:c r="A3" s="30" t="str">
        <x:v>LAW002</x:v>
      </x:c>
      <x:c r="B3" s="30" t="str">
        <x:v>Pharmacy</x:v>
      </x:c>
      <x:c r="C3" s="30" t="str">
        <x:v>Pharmacy</x:v>
      </x:c>
      <x:c r="D3" s="30" t="str">
        <x:v>All</x:v>
      </x:c>
      <x:c r="E3" s="30" t="str">
        <x:v>CDSCO</x:v>
      </x:c>
      <x:c r="F3" s="30" t="str">
        <x:v>Central</x:v>
      </x:c>
      <x:c r="G3" s="30" t="str">
        <x:v>Rules</x:v>
      </x:c>
      <x:c r="H3" s="30" t="str">
        <x:v>LAW001</x:v>
      </x:c>
      <x:c r="I3" s="30" t="str">
        <x:v>Drugs Rules, 1945</x:v>
      </x:c>
      <x:c r="J3" s="30" t="str">
        <x:v>-</x:v>
      </x:c>
      <x:c r="K3" s="30" t="str">
        <x:v>Mandatory</x:v>
      </x:c>
      <x:c r="L3" s="30" t="str">
        <x:v>Sale, stock, exhibit or offer for sale, distribution, dispensing, compounding, storage or other regulated handling of drugs under an applicable licence</x:v>
      </x:c>
      <x:c r="M3" s="30" t="str">
        <x:v>Yes</x:v>
      </x:c>
      <x:c r="N3" s="30" t="str">
        <x:v>Annual</x:v>
      </x:c>
      <x:c r="O3" s="30" t="str">
        <x:v>Principal operational rules. P-2 validated against the CDSCO consolidated text dated 01-07-2024 and final notifications through 20-08-2026; future-effective amendments are separately controlled.</x:v>
      </x:c>
    </x:row>
    <x:row r="4">
      <x:c r="A4" s="30" t="str">
        <x:v>LAW003</x:v>
      </x:c>
      <x:c r="B4" s="30" t="str">
        <x:v>Pharmacy</x:v>
      </x:c>
      <x:c r="C4" s="30" t="str">
        <x:v>Pharmacy</x:v>
      </x:c>
      <x:c r="D4" s="30" t="str">
        <x:v>All</x:v>
      </x:c>
      <x:c r="E4" s="30" t="str">
        <x:v>CDSCO</x:v>
      </x:c>
      <x:c r="F4" s="30" t="str">
        <x:v>Central</x:v>
      </x:c>
      <x:c r="G4" s="30" t="str">
        <x:v>Rules</x:v>
      </x:c>
      <x:c r="H4" s="30" t="str">
        <x:v>LAW002</x:v>
      </x:c>
      <x:c r="I4" s="30" t="str">
        <x:v>Drugs and Cosmetics (Amendment) Rules (Latest Applicable)</x:v>
      </x:c>
      <x:c r="J4" s="30" t="str">
        <x:v>-</x:v>
      </x:c>
      <x:c r="K4" s="30" t="str">
        <x:v>Mandatory</x:v>
      </x:c>
      <x:c r="L4" s="30" t="str">
        <x:v>Applicable amendments notified by Government</x:v>
      </x:c>
      <x:c r="M4" s="30" t="str">
        <x:v>No</x:v>
      </x:c>
      <x:c r="N4" s="30" t="str">
        <x:v>As Notified</x:v>
      </x:c>
      <x:c r="O4" s="30" t="str">
        <x:v>P-2 RETIRED/RECLASSIFIED: not an atomic standalone law. Applicable requirements are owned by LAW002 (Drugs Rules, 1945), its Rules/Schedules/Forms, or the controlled source/change register. Legacy Law ID retained for migration traceability.</x:v>
      </x:c>
    </x:row>
    <x:row r="5">
      <x:c r="A5" s="30" t="str">
        <x:v>LAW004</x:v>
      </x:c>
      <x:c r="B5" s="30" t="str">
        <x:v>Pharmacy</x:v>
      </x:c>
      <x:c r="C5" s="30" t="str">
        <x:v>Pharmacy</x:v>
      </x:c>
      <x:c r="D5" s="30" t="str">
        <x:v>All</x:v>
      </x:c>
      <x:c r="E5" s="30" t="str">
        <x:v>PCI</x:v>
      </x:c>
      <x:c r="F5" s="30" t="str">
        <x:v>Central</x:v>
      </x:c>
      <x:c r="G5" s="30" t="str">
        <x:v>Act</x:v>
      </x:c>
      <x:c r="H5" s="30" t="str">
        <x:v>-</x:v>
      </x:c>
      <x:c r="I5" s="30" t="str">
        <x:v>Pharmacy Act, 1948</x:v>
      </x:c>
      <x:c r="J5" s="30" t="str">
        <x:v>-</x:v>
      </x:c>
      <x:c r="K5" s="30" t="str">
        <x:v>Mandatory</x:v>
      </x:c>
      <x:c r="L5" s="30" t="str">
        <x:v>A person is engaged to compound, prepare, mix or dispense medicine on prescription; pharmacist registration and professional-practice controls apply to that person and the pharmacy's supervision arrangements</x:v>
      </x:c>
      <x:c r="M5" s="30" t="str">
        <x:v>Yes</x:v>
      </x:c>
      <x:c r="N5" s="30" t="str">
        <x:v>Annual</x:v>
      </x:c>
      <x:c r="O5" s="30" t="str">
        <x:v>Pharmacy Act controls are separated between statutory registration/dispensing requirements and professional-practice controls under the Pharmacy Practice Regulations, 2015.</x:v>
      </x:c>
    </x:row>
    <x:row r="6">
      <x:c r="A6" s="30" t="str">
        <x:v>LAW005</x:v>
      </x:c>
      <x:c r="B6" s="30" t="str">
        <x:v>Pharmacy</x:v>
      </x:c>
      <x:c r="C6" s="30" t="str">
        <x:v>Pharmacy</x:v>
      </x:c>
      <x:c r="D6" s="30" t="str">
        <x:v>All</x:v>
      </x:c>
      <x:c r="E6" s="30" t="str">
        <x:v>PCI</x:v>
      </x:c>
      <x:c r="F6" s="30" t="str">
        <x:v>Central</x:v>
      </x:c>
      <x:c r="G6" s="30" t="str">
        <x:v>Regulations</x:v>
      </x:c>
      <x:c r="H6" s="30" t="str">
        <x:v>LAW004</x:v>
      </x:c>
      <x:c r="I6" s="30" t="str">
        <x:v>Education Regulations under Pharmacy Act</x:v>
      </x:c>
      <x:c r="J6" s="30" t="str">
        <x:v>-</x:v>
      </x:c>
      <x:c r="K6" s="30" t="str">
        <x:v>Conditional</x:v>
      </x:c>
      <x:c r="L6" s="30" t="str">
        <x:v>Applicable to pharmacist qualifications</x:v>
      </x:c>
      <x:c r="M6" s="30" t="str">
        <x:v>No</x:v>
      </x:c>
      <x:c r="N6" s="30" t="str">
        <x:v>As Notified</x:v>
      </x:c>
      <x:c r="O6" s="30" t="str">
        <x:v>P-4 RECLASSIFIED: source family, generic jurisdiction placeholder, superseded/duplicative reference, or regulated role outside the approved pharmacy-operator taxonomy; exact applicable instrument must be attached before activation.</x:v>
      </x:c>
    </x:row>
    <x:row r="7">
      <x:c r="A7" s="30" t="str">
        <x:v>LAW006</x:v>
      </x:c>
      <x:c r="B7" s="30" t="str">
        <x:v>Pharmacy</x:v>
      </x:c>
      <x:c r="C7" s="30" t="str">
        <x:v>Pharmacy</x:v>
      </x:c>
      <x:c r="D7" s="30" t="str">
        <x:v>All</x:v>
      </x:c>
      <x:c r="E7" s="30" t="str">
        <x:v>NPPA</x:v>
      </x:c>
      <x:c r="F7" s="30" t="str">
        <x:v>Central</x:v>
      </x:c>
      <x:c r="G7" s="30" t="str">
        <x:v>Order</x:v>
      </x:c>
      <x:c r="H7" s="30" t="str">
        <x:v>-</x:v>
      </x:c>
      <x:c r="I7" s="30" t="str">
        <x:v>Drugs (Prices Control) Order, 2013</x:v>
      </x:c>
      <x:c r="J7" s="30" t="str">
        <x:v>-</x:v>
      </x:c>
      <x:c r="K7" s="30" t="str">
        <x:v>Conditional</x:v>
      </x:c>
      <x:c r="L7" s="30" t="str">
        <x:v>Retail/dealer sale of scheduled or non-scheduled formulations subject to the Drugs (Prices Control) Order, 2013 and current NPPA price notifications</x:v>
      </x:c>
      <x:c r="M7" s="30" t="str">
        <x:v>Yes</x:v>
      </x:c>
      <x:c r="N7" s="30" t="str">
        <x:v>As Notified</x:v>
      </x:c>
      <x:c r="O7" s="30" t="str">
        <x:v>Retail-facing controls validated to DPCO paragraphs 24(4), 25(3), 26, 27 and 28(b).</x:v>
      </x:c>
    </x:row>
    <x:row r="8">
      <x:c r="A8" s="30" t="str">
        <x:v>LAW007</x:v>
      </x:c>
      <x:c r="B8" s="30" t="str">
        <x:v>Pharmacy</x:v>
      </x:c>
      <x:c r="C8" s="30" t="str">
        <x:v>Pharmacy</x:v>
      </x:c>
      <x:c r="D8" s="30" t="str">
        <x:v>All</x:v>
      </x:c>
      <x:c r="E8" s="30" t="str">
        <x:v>NPPA</x:v>
      </x:c>
      <x:c r="F8" s="30" t="str">
        <x:v>Central</x:v>
      </x:c>
      <x:c r="G8" s="30" t="str">
        <x:v>Notification</x:v>
      </x:c>
      <x:c r="H8" s="30" t="str">
        <x:v>LAW006</x:v>
      </x:c>
      <x:c r="I8" s="30" t="str">
        <x:v>NPPA Ceiling Price Notifications</x:v>
      </x:c>
      <x:c r="J8" s="30" t="str">
        <x:v>-</x:v>
      </x:c>
      <x:c r="K8" s="30" t="str">
        <x:v>Conditional</x:v>
      </x:c>
      <x:c r="L8" s="30" t="str">
        <x:v>Sale of notified scheduled medicines</x:v>
      </x:c>
      <x:c r="M8" s="30" t="str">
        <x:v>No</x:v>
      </x:c>
      <x:c r="N8" s="30" t="str">
        <x:v>As Notified</x:v>
      </x:c>
      <x:c r="O8" s="30" t="str">
        <x:v>P-4 RECLASSIFIED: source family, generic jurisdiction placeholder, superseded/duplicative reference, or regulated role outside the approved pharmacy-operator taxonomy; exact applicable instrument must be attached before activation.</x:v>
      </x:c>
    </x:row>
    <x:row r="9">
      <x:c r="A9" s="30" t="str">
        <x:v>LAW008</x:v>
      </x:c>
      <x:c r="B9" s="30" t="str">
        <x:v>Pharmacy</x:v>
      </x:c>
      <x:c r="C9" s="30" t="str">
        <x:v>Pharmacy</x:v>
      </x:c>
      <x:c r="D9" s="30" t="str">
        <x:v>All</x:v>
      </x:c>
      <x:c r="E9" s="30" t="str">
        <x:v>MoHFW</x:v>
      </x:c>
      <x:c r="F9" s="30" t="str">
        <x:v>Central</x:v>
      </x:c>
      <x:c r="G9" s="30" t="str">
        <x:v>Rules</x:v>
      </x:c>
      <x:c r="H9" s="30" t="str">
        <x:v>LAW001</x:v>
      </x:c>
      <x:c r="I9" s="30" t="str">
        <x:v>New Drugs and Clinical Trials Rules, 2019</x:v>
      </x:c>
      <x:c r="J9" s="30" t="str">
        <x:v>-</x:v>
      </x:c>
      <x:c r="K9" s="30" t="str">
        <x:v>Conditional</x:v>
      </x:c>
      <x:c r="L9" s="30" t="str">
        <x:v>Clinical trial or investigational drug activities</x:v>
      </x:c>
      <x:c r="M9" s="30" t="str">
        <x:v>No</x:v>
      </x:c>
      <x:c r="N9" s="30" t="str">
        <x:v>As Notified</x:v>
      </x:c>
      <x:c r="O9" s="30" t="str">
        <x:v>P-4 RECLASSIFIED: source family, generic jurisdiction placeholder, superseded/duplicative reference, or regulated role outside the approved pharmacy-operator taxonomy; exact applicable instrument must be attached before activation.</x:v>
      </x:c>
    </x:row>
    <x:row r="10">
      <x:c r="A10" s="30" t="str">
        <x:v>LAW009</x:v>
      </x:c>
      <x:c r="B10" s="30" t="str">
        <x:v>Pharmacy</x:v>
      </x:c>
      <x:c r="C10" s="30" t="str">
        <x:v>Pharmacy</x:v>
      </x:c>
      <x:c r="D10" s="30" t="str">
        <x:v>All</x:v>
      </x:c>
      <x:c r="E10" s="30" t="str">
        <x:v>CDSCO</x:v>
      </x:c>
      <x:c r="F10" s="30" t="str">
        <x:v>Central</x:v>
      </x:c>
      <x:c r="G10" s="30" t="str">
        <x:v>Guidelines</x:v>
      </x:c>
      <x:c r="H10" s="30" t="str">
        <x:v>LAW001</x:v>
      </x:c>
      <x:c r="I10" s="30" t="str">
        <x:v>Good Distribution Practices (GDP) Guidelines</x:v>
      </x:c>
      <x:c r="J10" s="30" t="str">
        <x:v>-</x:v>
      </x:c>
      <x:c r="K10" s="30" t="str">
        <x:v>Conditional</x:v>
      </x:c>
      <x:c r="L10" s="30" t="str">
        <x:v>Drug storage and distribution</x:v>
      </x:c>
      <x:c r="M10" s="30" t="str">
        <x:v>No</x:v>
      </x:c>
      <x:c r="N10" s="30" t="str">
        <x:v>As Notified</x:v>
      </x:c>
      <x:c r="O10" s="30" t="str">
        <x:v>P-4 RECLASSIFIED: source family, generic jurisdiction placeholder, superseded/duplicative reference, or regulated role outside the approved pharmacy-operator taxonomy; exact applicable instrument must be attached before activation.</x:v>
      </x:c>
    </x:row>
    <x:row r="11">
      <x:c r="A11" s="30" t="str">
        <x:v>LAW010</x:v>
      </x:c>
      <x:c r="B11" s="30" t="str">
        <x:v>Pharmacy</x:v>
      </x:c>
      <x:c r="C11" s="30" t="str">
        <x:v>Pharmacy</x:v>
      </x:c>
      <x:c r="D11" s="30" t="str">
        <x:v>All</x:v>
      </x:c>
      <x:c r="E11" s="30" t="str">
        <x:v>CDSCO</x:v>
      </x:c>
      <x:c r="F11" s="30" t="str">
        <x:v>Central</x:v>
      </x:c>
      <x:c r="G11" s="30" t="str">
        <x:v>Guidelines</x:v>
      </x:c>
      <x:c r="H11" s="30" t="str">
        <x:v>LAW001</x:v>
      </x:c>
      <x:c r="I11" s="30" t="str">
        <x:v>Good Storage Practices Guidelines</x:v>
      </x:c>
      <x:c r="J11" s="30" t="str">
        <x:v>-</x:v>
      </x:c>
      <x:c r="K11" s="30" t="str">
        <x:v>Conditional</x:v>
      </x:c>
      <x:c r="L11" s="30" t="str">
        <x:v>Drug storage</x:v>
      </x:c>
      <x:c r="M11" s="30" t="str">
        <x:v>No</x:v>
      </x:c>
      <x:c r="N11" s="30" t="str">
        <x:v>As Notified</x:v>
      </x:c>
      <x:c r="O11" s="30" t="str">
        <x:v>P-4 RECLASSIFIED: source family, generic jurisdiction placeholder, superseded/duplicative reference, or regulated role outside the approved pharmacy-operator taxonomy; exact applicable instrument must be attached before activation.</x:v>
      </x:c>
    </x:row>
    <x:row r="12">
      <x:c r="A12" s="30" t="str">
        <x:v>LAW011</x:v>
      </x:c>
      <x:c r="B12" s="30" t="str">
        <x:v>Pharmacy</x:v>
      </x:c>
      <x:c r="C12" s="30" t="str">
        <x:v>Pharmacy</x:v>
      </x:c>
      <x:c r="D12" s="30" t="str">
        <x:v>Retail Pharmacy</x:v>
      </x:c>
      <x:c r="E12" s="30" t="str">
        <x:v>CDSCO</x:v>
      </x:c>
      <x:c r="F12" s="30" t="str">
        <x:v>State</x:v>
      </x:c>
      <x:c r="G12" s="30" t="str">
        <x:v>Licence Conditions</x:v>
      </x:c>
      <x:c r="H12" s="30" t="str">
        <x:v>LAW002</x:v>
      </x:c>
      <x:c r="I12" s="30" t="str">
        <x:v>Retail Drug Licence Conditions</x:v>
      </x:c>
      <x:c r="J12" s="30" t="str">
        <x:v>-</x:v>
      </x:c>
      <x:c r="K12" s="30" t="str">
        <x:v>Mandatory</x:v>
      </x:c>
      <x:c r="L12" s="30" t="str">
        <x:v>Holding retail drug licence</x:v>
      </x:c>
      <x:c r="M12" s="30" t="str">
        <x:v>No</x:v>
      </x:c>
      <x:c r="N12" s="30" t="str">
        <x:v>Annual</x:v>
      </x:c>
      <x:c r="O12" s="30" t="str">
        <x:v>P-2 RETIRED/RECLASSIFIED: not an atomic standalone law. Applicable requirements are owned by LAW002 (Drugs Rules, 1945), its Rules/Schedules/Forms, or the controlled source/change register. Legacy Law ID retained for migration traceability.</x:v>
      </x:c>
    </x:row>
    <x:row r="13">
      <x:c r="A13" s="30" t="str">
        <x:v>LAW012</x:v>
      </x:c>
      <x:c r="B13" s="30" t="str">
        <x:v>Pharmacy</x:v>
      </x:c>
      <x:c r="C13" s="30" t="str">
        <x:v>Pharmacy</x:v>
      </x:c>
      <x:c r="D13" s="30" t="str">
        <x:v>Wholesale Pharmacy</x:v>
      </x:c>
      <x:c r="E13" s="30" t="str">
        <x:v>CDSCO</x:v>
      </x:c>
      <x:c r="F13" s="30" t="str">
        <x:v>State</x:v>
      </x:c>
      <x:c r="G13" s="30" t="str">
        <x:v>Licence Conditions</x:v>
      </x:c>
      <x:c r="H13" s="30" t="str">
        <x:v>LAW002</x:v>
      </x:c>
      <x:c r="I13" s="30" t="str">
        <x:v>Wholesale Drug Licence Conditions</x:v>
      </x:c>
      <x:c r="J13" s="30" t="str">
        <x:v>-</x:v>
      </x:c>
      <x:c r="K13" s="30" t="str">
        <x:v>Mandatory</x:v>
      </x:c>
      <x:c r="L13" s="30" t="str">
        <x:v>Holding wholesale drug licence</x:v>
      </x:c>
      <x:c r="M13" s="30" t="str">
        <x:v>No</x:v>
      </x:c>
      <x:c r="N13" s="30" t="str">
        <x:v>Annual</x:v>
      </x:c>
      <x:c r="O13" s="30" t="str">
        <x:v>P-2 RETIRED/RECLASSIFIED: not an atomic standalone law. Applicable requirements are owned by LAW002 (Drugs Rules, 1945), its Rules/Schedules/Forms, or the controlled source/change register. Legacy Law ID retained for migration traceability.</x:v>
      </x:c>
    </x:row>
    <x:row r="14">
      <x:c r="A14" s="30" t="str">
        <x:v>LAW013</x:v>
      </x:c>
      <x:c r="B14" s="30" t="str">
        <x:v>Pharmacy</x:v>
      </x:c>
      <x:c r="C14" s="30" t="str">
        <x:v>Pharmacy</x:v>
      </x:c>
      <x:c r="D14" s="30" t="str">
        <x:v>Hospital Pharmacy</x:v>
      </x:c>
      <x:c r="E14" s="30" t="str">
        <x:v>CDSCO</x:v>
      </x:c>
      <x:c r="F14" s="30" t="str">
        <x:v>State</x:v>
      </x:c>
      <x:c r="G14" s="30" t="str">
        <x:v>Licence Conditions</x:v>
      </x:c>
      <x:c r="H14" s="30" t="str">
        <x:v>LAW002</x:v>
      </x:c>
      <x:c r="I14" s="30" t="str">
        <x:v>Hospital Pharmacy Licence Conditions</x:v>
      </x:c>
      <x:c r="J14" s="30" t="str">
        <x:v>-</x:v>
      </x:c>
      <x:c r="K14" s="30" t="str">
        <x:v>Mandatory</x:v>
      </x:c>
      <x:c r="L14" s="30" t="str">
        <x:v>Hospital pharmacy operations</x:v>
      </x:c>
      <x:c r="M14" s="30" t="str">
        <x:v>No</x:v>
      </x:c>
      <x:c r="N14" s="30" t="str">
        <x:v>Annual</x:v>
      </x:c>
      <x:c r="O14" s="30" t="str">
        <x:v>P-2 RETIRED/RECLASSIFIED: not an atomic standalone law. Applicable requirements are owned by LAW002 (Drugs Rules, 1945), its Rules/Schedules/Forms, or the controlled source/change register. Legacy Law ID retained for migration traceability.</x:v>
      </x:c>
    </x:row>
    <x:row r="15">
      <x:c r="A15" s="30" t="str">
        <x:v>LAW014</x:v>
      </x:c>
      <x:c r="B15" s="30" t="str">
        <x:v>Pharmacy</x:v>
      </x:c>
      <x:c r="C15" s="30" t="str">
        <x:v>Pharmacy</x:v>
      </x:c>
      <x:c r="D15" s="30" t="str">
        <x:v>E-Pharmacy</x:v>
      </x:c>
      <x:c r="E15" s="30" t="str">
        <x:v>CDSCO</x:v>
      </x:c>
      <x:c r="F15" s="30" t="str">
        <x:v>Central</x:v>
      </x:c>
      <x:c r="G15" s="30" t="str">
        <x:v>Guideline</x:v>
      </x:c>
      <x:c r="H15" s="30" t="str">
        <x:v>LAW001</x:v>
      </x:c>
      <x:c r="I15" s="30" t="str">
        <x:v>E-Pharmacy Regulatory Guidelines / Applicable Notifications</x:v>
      </x:c>
      <x:c r="J15" s="30" t="str">
        <x:v>-</x:v>
      </x:c>
      <x:c r="K15" s="30" t="str">
        <x:v>Conditional</x:v>
      </x:c>
      <x:c r="L15" s="30" t="str">
        <x:v>Online sale of medicines</x:v>
      </x:c>
      <x:c r="M15" s="30" t="str">
        <x:v>No</x:v>
      </x:c>
      <x:c r="N15" s="30" t="str">
        <x:v>As Notified</x:v>
      </x:c>
      <x:c r="O15" s="30" t="str">
        <x:v>P-2 RETIRED/RECLASSIFIED: not an atomic standalone law. Applicable requirements are owned by LAW002 (Drugs Rules, 1945), its Rules/Schedules/Forms, or the controlled source/change register. Legacy Law ID retained for migration traceability.</x:v>
      </x:c>
    </x:row>
    <x:row r="16">
      <x:c r="A16" s="30" t="str">
        <x:v>LAW015</x:v>
      </x:c>
      <x:c r="B16" s="30" t="str">
        <x:v>Pharmacy</x:v>
      </x:c>
      <x:c r="C16" s="30" t="str">
        <x:v>Pharmacy</x:v>
      </x:c>
      <x:c r="D16" s="30" t="str">
        <x:v>All</x:v>
      </x:c>
      <x:c r="E16" s="30" t="str">
        <x:v>CBN</x:v>
      </x:c>
      <x:c r="F16" s="30" t="str">
        <x:v>Central</x:v>
      </x:c>
      <x:c r="G16" s="30" t="str">
        <x:v>Act</x:v>
      </x:c>
      <x:c r="H16" s="30" t="str">
        <x:v>-</x:v>
      </x:c>
      <x:c r="I16" s="30" t="str">
        <x:v>Narcotic Drugs and Psychotropic Substances Act, 1985</x:v>
      </x:c>
      <x:c r="J16" s="30" t="str">
        <x:v>-</x:v>
      </x:c>
      <x:c r="K16" s="30" t="str">
        <x:v>Conditional</x:v>
      </x:c>
      <x:c r="L16" s="30" t="str">
        <x:v>Possession, sale, transport or handling of a narcotic drug, psychotropic substance or controlled substance</x:v>
      </x:c>
      <x:c r="M16" s="30" t="str">
        <x:v>Yes</x:v>
      </x:c>
      <x:c r="N16" s="30" t="str">
        <x:v>Annual</x:v>
      </x:c>
      <x:c r="O16" s="30" t="str">
        <x:v>Section 8 prohibition retained; enabling powers, penalties and procedural provisions are not treated as recurring pharmacy duties.</x:v>
      </x:c>
    </x:row>
    <x:row r="17">
      <x:c r="A17" s="30" t="str">
        <x:v>LAW016</x:v>
      </x:c>
      <x:c r="B17" s="30" t="str">
        <x:v>Pharmacy</x:v>
      </x:c>
      <x:c r="C17" s="30" t="str">
        <x:v>Pharmacy</x:v>
      </x:c>
      <x:c r="D17" s="30" t="str">
        <x:v>All</x:v>
      </x:c>
      <x:c r="E17" s="30" t="str">
        <x:v>CBN</x:v>
      </x:c>
      <x:c r="F17" s="30" t="str">
        <x:v>Central</x:v>
      </x:c>
      <x:c r="G17" s="30" t="str">
        <x:v>Rules</x:v>
      </x:c>
      <x:c r="H17" s="30" t="str">
        <x:v>LAW015</x:v>
      </x:c>
      <x:c r="I17" s="30" t="str">
        <x:v>Narcotic Drugs and Psychotropic Substances Rules, 1985</x:v>
      </x:c>
      <x:c r="J17" s="30" t="str">
        <x:v>-</x:v>
      </x:c>
      <x:c r="K17" s="30" t="str">
        <x:v>Conditional</x:v>
      </x:c>
      <x:c r="L17" s="30" t="str">
        <x:v>Licensed dealer/chemist possesses, transports or sells an Essential Narcotic Drug</x:v>
      </x:c>
      <x:c r="M17" s="30" t="str">
        <x:v>Yes</x:v>
      </x:c>
      <x:c r="N17" s="30" t="str">
        <x:v>As Notified</x:v>
      </x:c>
      <x:c r="O17" s="30" t="str">
        <x:v>Pharmacy-facing Essential Narcotic Drug controls validated to Rules 52A, 52B, 52D, 52E and 52F.</x:v>
      </x:c>
    </x:row>
    <x:row r="18">
      <x:c r="A18" s="30" t="str">
        <x:v>LAW017</x:v>
      </x:c>
      <x:c r="B18" s="30" t="str">
        <x:v>Pharmacy</x:v>
      </x:c>
      <x:c r="C18" s="30" t="str">
        <x:v>Pharmacy</x:v>
      </x:c>
      <x:c r="D18" s="30" t="str">
        <x:v>All</x:v>
      </x:c>
      <x:c r="E18" s="30" t="str">
        <x:v>NCB</x:v>
      </x:c>
      <x:c r="F18" s="30" t="str">
        <x:v>Central</x:v>
      </x:c>
      <x:c r="G18" s="30" t="str">
        <x:v>Guidelines</x:v>
      </x:c>
      <x:c r="H18" s="30" t="str">
        <x:v>LAW015</x:v>
      </x:c>
      <x:c r="I18" s="30" t="str">
        <x:v>Controlled Substance Handling Guidelines</x:v>
      </x:c>
      <x:c r="J18" s="30" t="str">
        <x:v>-</x:v>
      </x:c>
      <x:c r="K18" s="30" t="str">
        <x:v>Conditional</x:v>
      </x:c>
      <x:c r="L18" s="30" t="str">
        <x:v>Handling controlled medicines</x:v>
      </x:c>
      <x:c r="M18" s="30" t="str">
        <x:v>No</x:v>
      </x:c>
      <x:c r="N18" s="30" t="str">
        <x:v>As Notified</x:v>
      </x:c>
      <x:c r="O18" s="30" t="str">
        <x:v>P-4 RECLASSIFIED: source family, generic jurisdiction placeholder, superseded/duplicative reference, or regulated role outside the approved pharmacy-operator taxonomy; exact applicable instrument must be attached before activation.</x:v>
      </x:c>
    </x:row>
    <x:row r="19">
      <x:c r="A19" s="30" t="str">
        <x:v>LAW018</x:v>
      </x:c>
      <x:c r="B19" s="30" t="str">
        <x:v>Pharmacy</x:v>
      </x:c>
      <x:c r="C19" s="30" t="str">
        <x:v>Pharmacy</x:v>
      </x:c>
      <x:c r="D19" s="30" t="str">
        <x:v>All</x:v>
      </x:c>
      <x:c r="E19" s="30" t="str">
        <x:v>CPCB</x:v>
      </x:c>
      <x:c r="F19" s="30" t="str">
        <x:v>Central</x:v>
      </x:c>
      <x:c r="G19" s="30" t="str">
        <x:v>Rules</x:v>
      </x:c>
      <x:c r="H19" s="30" t="str">
        <x:v>LAW101</x:v>
      </x:c>
      <x:c r="I19" s="30" t="str">
        <x:v>Bio-Medical Waste Management Rules, 2016 (as amended)</x:v>
      </x:c>
      <x:c r="J19" s="30" t="str">
        <x:v>-</x:v>
      </x:c>
      <x:c r="K19" s="30" t="str">
        <x:v>Conditional</x:v>
      </x:c>
      <x:c r="L19" s="30" t="str">
        <x:v>The pharmacy establishment is a health-care facility/occupier or otherwise generates or handles bio-medical waste; ordinary sale/dispensing alone is not enough</x:v>
      </x:c>
      <x:c r="M19" s="30" t="str">
        <x:v>Yes</x:v>
      </x:c>
      <x:c r="N19" s="30" t="str">
        <x:v>As Notified</x:v>
      </x:c>
      <x:c r="O19" s="30" t="str">
        <x:v>Current central rules under the Environment (Protection) Act. Authorization applies to occupiers/operators handling BMW irrespective of quantity.</x:v>
      </x:c>
    </x:row>
    <x:row r="20">
      <x:c r="A20" s="30" t="str">
        <x:v>LAW019</x:v>
      </x:c>
      <x:c r="B20" s="30" t="str">
        <x:v>Pharmacy</x:v>
      </x:c>
      <x:c r="C20" s="30" t="str">
        <x:v>Pharmacy</x:v>
      </x:c>
      <x:c r="D20" s="30" t="str">
        <x:v>All</x:v>
      </x:c>
      <x:c r="E20" s="30" t="str">
        <x:v>CPCB</x:v>
      </x:c>
      <x:c r="F20" s="30" t="str">
        <x:v>Central</x:v>
      </x:c>
      <x:c r="G20" s="30" t="str">
        <x:v>Guidance</x:v>
      </x:c>
      <x:c r="H20" s="30" t="str">
        <x:v>LAW018</x:v>
      </x:c>
      <x:c r="I20" s="30" t="str">
        <x:v>CPCB Bio-Medical Waste Guidance (non-statutory source layer)</x:v>
      </x:c>
      <x:c r="J20" s="30" t="str">
        <x:v>-</x:v>
      </x:c>
      <x:c r="K20" s="30" t="str">
        <x:v>Best Practice</x:v>
      </x:c>
      <x:c r="L20" s="30" t="str">
        <x:v>Biomedical waste generation</x:v>
      </x:c>
      <x:c r="M20" s="30" t="str">
        <x:v>No</x:v>
      </x:c>
      <x:c r="N20" s="30" t="str">
        <x:v>As Notified</x:v>
      </x:c>
      <x:c r="O20" s="30" t="str">
        <x:v>P-3 RECLASSIFIED: guidance is a source/implementation aid, not an atomic law. Statutory ownership remains LAW018.</x:v>
      </x:c>
    </x:row>
    <x:row r="21">
      <x:c r="A21" s="30" t="str">
        <x:v>LAW020</x:v>
      </x:c>
      <x:c r="B21" s="30" t="str">
        <x:v>Pharmacy</x:v>
      </x:c>
      <x:c r="C21" s="30" t="str">
        <x:v>Pharmacy</x:v>
      </x:c>
      <x:c r="D21" s="30" t="str">
        <x:v>All</x:v>
      </x:c>
      <x:c r="E21" s="30" t="str">
        <x:v>SPCB</x:v>
      </x:c>
      <x:c r="F21" s="30" t="str">
        <x:v>State</x:v>
      </x:c>
      <x:c r="G21" s="30" t="str">
        <x:v>Authorization / Permit Instance</x:v>
      </x:c>
      <x:c r="H21" s="30" t="str">
        <x:v>LAW018</x:v>
      </x:c>
      <x:c r="I21" s="30" t="str">
        <x:v>State Bio-Medical Waste Authorization (permit instance)</x:v>
      </x:c>
      <x:c r="J21" s="30" t="str">
        <x:v>-</x:v>
      </x:c>
      <x:c r="K21" s="30" t="str">
        <x:v>Conditional</x:v>
      </x:c>
      <x:c r="L21" s="30" t="str">
        <x:v>State-specific biomedical waste authorization</x:v>
      </x:c>
      <x:c r="M21" s="30" t="str">
        <x:v>No</x:v>
      </x:c>
      <x:c r="N21" s="30" t="str">
        <x:v>As Notified</x:v>
      </x:c>
      <x:c r="O21" s="30" t="str">
        <x:v>P-3 RECLASSIFIED: authorization is an entity-specific permit issued under LAW018, not a standalone law.</x:v>
      </x:c>
    </x:row>
    <x:row r="22">
      <x:c r="A22" s="30" t="str">
        <x:v>LAW021</x:v>
      </x:c>
      <x:c r="B22" s="30" t="str">
        <x:v>Pharmacy</x:v>
      </x:c>
      <x:c r="C22" s="30" t="str">
        <x:v>Pharmacy</x:v>
      </x:c>
      <x:c r="D22" s="30" t="str">
        <x:v>All</x:v>
      </x:c>
      <x:c r="E22" s="30" t="str">
        <x:v>Fire Department</x:v>
      </x:c>
      <x:c r="F22" s="30" t="str">
        <x:v>State</x:v>
      </x:c>
      <x:c r="G22" s="30" t="str">
        <x:v>Act / Rules</x:v>
      </x:c>
      <x:c r="H22" s="30" t="str">
        <x:v>-</x:v>
      </x:c>
      <x:c r="I22" s="30" t="str">
        <x:v>State Fire Safety Act / Rules — Jurisdiction Template</x:v>
      </x:c>
      <x:c r="J22" s="30" t="str">
        <x:v>-</x:v>
      </x:c>
      <x:c r="K22" s="30" t="str">
        <x:v>Conditional</x:v>
      </x:c>
      <x:c r="L22" s="30" t="str">
        <x:v>Premises exceeding prescribed limits</x:v>
      </x:c>
      <x:c r="M22" s="30" t="str">
        <x:v>No</x:v>
      </x:c>
      <x:c r="N22" s="30" t="str">
        <x:v>As Notified</x:v>
      </x:c>
      <x:c r="O22" s="30" t="str">
        <x:v>P-3 JURISDICTION-REQUIRED: attach the exact State Act/Rules, occupancy classification and NOC trigger before production activation.</x:v>
      </x:c>
    </x:row>
    <x:row r="23">
      <x:c r="A23" s="30" t="str">
        <x:v>LAW022</x:v>
      </x:c>
      <x:c r="B23" s="30" t="str">
        <x:v>Pharmacy</x:v>
      </x:c>
      <x:c r="C23" s="30" t="str">
        <x:v>Pharmacy</x:v>
      </x:c>
      <x:c r="D23" s="30" t="str">
        <x:v>All</x:v>
      </x:c>
      <x:c r="E23" s="30" t="str">
        <x:v>Municipal Authority</x:v>
      </x:c>
      <x:c r="F23" s="30" t="str">
        <x:v>Local</x:v>
      </x:c>
      <x:c r="G23" s="30" t="str">
        <x:v>By-laws</x:v>
      </x:c>
      <x:c r="H23" s="30" t="str">
        <x:v>-</x:v>
      </x:c>
      <x:c r="I23" s="30" t="str">
        <x:v>Municipal Trade Licence / Trade By-laws — Jurisdiction Template</x:v>
      </x:c>
      <x:c r="J23" s="30" t="str">
        <x:v>-</x:v>
      </x:c>
      <x:c r="K23" s="30" t="str">
        <x:v>Conditional</x:v>
      </x:c>
      <x:c r="L23" s="30" t="str">
        <x:v>Business establishment within municipal limits</x:v>
      </x:c>
      <x:c r="M23" s="30" t="str">
        <x:v>No</x:v>
      </x:c>
      <x:c r="N23" s="30" t="str">
        <x:v>As Notified</x:v>
      </x:c>
      <x:c r="O23" s="30" t="str">
        <x:v>P-3 JURISDICTION-REQUIRED: attach the exact municipal enabling law, by-laws, licence and conditions.</x:v>
      </x:c>
    </x:row>
    <x:row r="24">
      <x:c r="A24" s="30" t="str">
        <x:v>LAW023</x:v>
      </x:c>
      <x:c r="B24" s="30" t="str">
        <x:v>Pharmacy</x:v>
      </x:c>
      <x:c r="C24" s="30" t="str">
        <x:v>Pharmacy</x:v>
      </x:c>
      <x:c r="D24" s="30" t="str">
        <x:v>All</x:v>
      </x:c>
      <x:c r="E24" s="30" t="str">
        <x:v>Labour Department</x:v>
      </x:c>
      <x:c r="F24" s="30" t="str">
        <x:v>State</x:v>
      </x:c>
      <x:c r="G24" s="30" t="str">
        <x:v>Act</x:v>
      </x:c>
      <x:c r="H24" s="30" t="str">
        <x:v>-</x:v>
      </x:c>
      <x:c r="I24" s="30" t="str">
        <x:v>Shops and Establishments Act / Rules — State Jurisdiction Template</x:v>
      </x:c>
      <x:c r="J24" s="30" t="str">
        <x:v>-</x:v>
      </x:c>
      <x:c r="K24" s="30" t="str">
        <x:v>Conditional</x:v>
      </x:c>
      <x:c r="L24" s="30" t="str">
        <x:v>Employment of staff and commercial establishment</x:v>
      </x:c>
      <x:c r="M24" s="30" t="str">
        <x:v>No</x:v>
      </x:c>
      <x:c r="N24" s="30" t="str">
        <x:v>As Notified</x:v>
      </x:c>
      <x:c r="O24" s="30" t="str">
        <x:v>P-3 JURISDICTION-REQUIRED: state-specific registration, hours, leave and display duties cannot be activated from a generic national placeholder.</x:v>
      </x:c>
    </x:row>
    <x:row r="25">
      <x:c r="A25" s="30" t="str">
        <x:v>LAW024</x:v>
      </x:c>
      <x:c r="B25" s="30" t="str">
        <x:v>Pharmacy</x:v>
      </x:c>
      <x:c r="C25" s="30" t="str">
        <x:v>Pharmacy</x:v>
      </x:c>
      <x:c r="D25" s="30" t="str">
        <x:v>All</x:v>
      </x:c>
      <x:c r="E25" s="30" t="str">
        <x:v>EPFO</x:v>
      </x:c>
      <x:c r="F25" s="30" t="str">
        <x:v>Central</x:v>
      </x:c>
      <x:c r="G25" s="30" t="str">
        <x:v>Act</x:v>
      </x:c>
      <x:c r="H25" s="30" t="str">
        <x:v>-</x:v>
      </x:c>
      <x:c r="I25" s="30" t="str">
        <x:v>Employees' Provident Funds and Miscellaneous Provisions Act, 1952 — superseded/savings layer</x:v>
      </x:c>
      <x:c r="J25" s="30" t="str">
        <x:v>-</x:v>
      </x:c>
      <x:c r="K25" s="30" t="str">
        <x:v>Conditional</x:v>
      </x:c>
      <x:c r="L25" s="30" t="str">
        <x:v>Historical/pre-21 November 2025 periods and saved proceedings/schemes only</x:v>
      </x:c>
      <x:c r="M25" s="30" t="str">
        <x:v>No</x:v>
      </x:c>
      <x:c r="N25" s="30" t="str">
        <x:v>Annual</x:v>
      </x:c>
      <x:c r="O25" s="30" t="str">
        <x:v>P-3 SUPERSEDED for current operations by the Code on Social Security, 2020 and 2026 Central Rules; retained for historical traceability.</x:v>
      </x:c>
    </x:row>
    <x:row r="26">
      <x:c r="A26" s="30" t="str">
        <x:v>LAW025</x:v>
      </x:c>
      <x:c r="B26" s="30" t="str">
        <x:v>Pharmacy</x:v>
      </x:c>
      <x:c r="C26" s="30" t="str">
        <x:v>Pharmacy</x:v>
      </x:c>
      <x:c r="D26" s="30" t="str">
        <x:v>All</x:v>
      </x:c>
      <x:c r="E26" s="30" t="str">
        <x:v>ESIC</x:v>
      </x:c>
      <x:c r="F26" s="30" t="str">
        <x:v>Central</x:v>
      </x:c>
      <x:c r="G26" s="30" t="str">
        <x:v>Act</x:v>
      </x:c>
      <x:c r="H26" s="30" t="str">
        <x:v>-</x:v>
      </x:c>
      <x:c r="I26" s="30" t="str">
        <x:v>Employees' State Insurance Act, 1948 — superseded/savings layer</x:v>
      </x:c>
      <x:c r="J26" s="30" t="str">
        <x:v>-</x:v>
      </x:c>
      <x:c r="K26" s="30" t="str">
        <x:v>Conditional</x:v>
      </x:c>
      <x:c r="L26" s="30" t="str">
        <x:v>Historical/pre-21 November 2025 periods and saved proceedings/schemes only</x:v>
      </x:c>
      <x:c r="M26" s="30" t="str">
        <x:v>No</x:v>
      </x:c>
      <x:c r="N26" s="30" t="str">
        <x:v>Annual</x:v>
      </x:c>
      <x:c r="O26" s="30" t="str">
        <x:v>P-3 SUPERSEDED for current operations by the Code on Social Security, 2020 and 2026 Central Rules; retained for historical traceability.</x:v>
      </x:c>
    </x:row>
    <x:row r="27">
      <x:c r="A27" s="30" t="str">
        <x:v>LAW026</x:v>
      </x:c>
      <x:c r="B27" s="30" t="str">
        <x:v>Taxation</x:v>
      </x:c>
      <x:c r="C27" s="30" t="str">
        <x:v>Pharmacy</x:v>
      </x:c>
      <x:c r="D27" s="30" t="str">
        <x:v>All</x:v>
      </x:c>
      <x:c r="E27" s="30" t="str">
        <x:v>GST Department</x:v>
      </x:c>
      <x:c r="F27" s="30" t="str">
        <x:v>Central &amp; State</x:v>
      </x:c>
      <x:c r="G27" s="30" t="str">
        <x:v>Act</x:v>
      </x:c>
      <x:c r="H27" s="30" t="str">
        <x:v>-</x:v>
      </x:c>
      <x:c r="I27" s="30" t="str">
        <x:v>Central Goods and Services Tax Act, 2017</x:v>
      </x:c>
      <x:c r="J27" s="30" t="str">
        <x:v>-</x:v>
      </x:c>
      <x:c r="K27" s="30" t="str">
        <x:v>Conditional</x:v>
      </x:c>
      <x:c r="L27" s="30" t="str">
        <x:v>Registration liability under CGST/SGST law, compulsory-registration trigger, or voluntary registration</x:v>
      </x:c>
      <x:c r="M27" s="30" t="str">
        <x:v>Yes</x:v>
      </x:c>
      <x:c r="N27" s="30" t="str">
        <x:v>Annual</x:v>
      </x:c>
      <x:c r="O27" s="30" t="str">
        <x:v>Current central GST statute; frequency/forms depend on taxpayer profile, registration and notified return scheme.</x:v>
      </x:c>
    </x:row>
    <x:row r="28">
      <x:c r="A28" s="30" t="str">
        <x:v>LAW027</x:v>
      </x:c>
      <x:c r="B28" s="30" t="str">
        <x:v>Taxation</x:v>
      </x:c>
      <x:c r="C28" s="30" t="str">
        <x:v>Pharmacy</x:v>
      </x:c>
      <x:c r="D28" s="30" t="str">
        <x:v>All</x:v>
      </x:c>
      <x:c r="E28" s="30" t="str">
        <x:v>GST Department</x:v>
      </x:c>
      <x:c r="F28" s="30" t="str">
        <x:v>State</x:v>
      </x:c>
      <x:c r="G28" s="30" t="str">
        <x:v>Act</x:v>
      </x:c>
      <x:c r="H28" s="30" t="str">
        <x:v>LAW026</x:v>
      </x:c>
      <x:c r="I28" s="30" t="str">
        <x:v>State Goods and Services Tax Act — Jurisdiction Template</x:v>
      </x:c>
      <x:c r="J28" s="30" t="str">
        <x:v>-</x:v>
      </x:c>
      <x:c r="K28" s="30" t="str">
        <x:v>Conditional</x:v>
      </x:c>
      <x:c r="L28" s="30" t="str">
        <x:v>Registered under GST in the respective State</x:v>
      </x:c>
      <x:c r="M28" s="30" t="str">
        <x:v>No</x:v>
      </x:c>
      <x:c r="N28" s="30" t="str">
        <x:v>Annual</x:v>
      </x:c>
      <x:c r="O28" s="30" t="str">
        <x:v>P-3 JURISDICTION-REQUIRED: attach the exact SGST Act for each registered State; CGST production controls remain active.</x:v>
      </x:c>
    </x:row>
    <x:row r="29">
      <x:c r="A29" s="30" t="str">
        <x:v>LAW028</x:v>
      </x:c>
      <x:c r="B29" s="30" t="str">
        <x:v>Taxation</x:v>
      </x:c>
      <x:c r="C29" s="30" t="str">
        <x:v>Pharmacy</x:v>
      </x:c>
      <x:c r="D29" s="30" t="str">
        <x:v>All</x:v>
      </x:c>
      <x:c r="E29" s="30" t="str">
        <x:v>GST Department</x:v>
      </x:c>
      <x:c r="F29" s="30" t="str">
        <x:v>Central</x:v>
      </x:c>
      <x:c r="G29" s="30" t="str">
        <x:v>Rules</x:v>
      </x:c>
      <x:c r="H29" s="30" t="str">
        <x:v>LAW026</x:v>
      </x:c>
      <x:c r="I29" s="30" t="str">
        <x:v>Central Goods and Services Tax Rules, 2017</x:v>
      </x:c>
      <x:c r="J29" s="30" t="str">
        <x:v>-</x:v>
      </x:c>
      <x:c r="K29" s="30" t="str">
        <x:v>Mandatory</x:v>
      </x:c>
      <x:c r="L29" s="30" t="str">
        <x:v>Registered under GST</x:v>
      </x:c>
      <x:c r="M29" s="30" t="str">
        <x:v>Yes</x:v>
      </x:c>
      <x:c r="N29" s="30" t="str">
        <x:v>As Notified</x:v>
      </x:c>
      <x:c r="O29" s="30" t="str">
        <x:v>Operational GST rules.</x:v>
      </x:c>
    </x:row>
    <x:row r="30">
      <x:c r="A30" s="30" t="str">
        <x:v>LAW029</x:v>
      </x:c>
      <x:c r="B30" s="30" t="str">
        <x:v>Taxation</x:v>
      </x:c>
      <x:c r="C30" s="30" t="str">
        <x:v>Pharmacy</x:v>
      </x:c>
      <x:c r="D30" s="30" t="str">
        <x:v>All</x:v>
      </x:c>
      <x:c r="E30" s="30" t="str">
        <x:v>Income Tax Department</x:v>
      </x:c>
      <x:c r="F30" s="30" t="str">
        <x:v>Central</x:v>
      </x:c>
      <x:c r="G30" s="30" t="str">
        <x:v>Act</x:v>
      </x:c>
      <x:c r="H30" s="30" t="str">
        <x:v>-</x:v>
      </x:c>
      <x:c r="I30" s="30" t="str">
        <x:v>Income-tax Act, 1961 — repeal/savings layer</x:v>
      </x:c>
      <x:c r="J30" s="30" t="str">
        <x:v>-</x:v>
      </x:c>
      <x:c r="K30" s="30" t="str">
        <x:v>Conditional</x:v>
      </x:c>
      <x:c r="L30" s="30" t="str">
        <x:v>Tax years beginning before 1 April 2026 and saved/pending proceedings</x:v>
      </x:c>
      <x:c r="M30" s="30" t="str">
        <x:v>Yes</x:v>
      </x:c>
      <x:c r="N30" s="30" t="str">
        <x:v>Annual</x:v>
      </x:c>
      <x:c r="O30" s="30" t="str">
        <x:v>Repealed from 01-04-2026 for new tax years but continues under savings for Tax Year/Previous Year periods beginning earlier and related proceedings.</x:v>
      </x:c>
    </x:row>
    <x:row r="31">
      <x:c r="A31" s="30" t="str">
        <x:v>LAW030</x:v>
      </x:c>
      <x:c r="B31" s="30" t="str">
        <x:v>Taxation</x:v>
      </x:c>
      <x:c r="C31" s="30" t="str">
        <x:v>Pharmacy</x:v>
      </x:c>
      <x:c r="D31" s="30" t="str">
        <x:v>All</x:v>
      </x:c>
      <x:c r="E31" s="30" t="str">
        <x:v>Income Tax Department</x:v>
      </x:c>
      <x:c r="F31" s="30" t="str">
        <x:v>Central</x:v>
      </x:c>
      <x:c r="G31" s="30" t="str">
        <x:v>Rules</x:v>
      </x:c>
      <x:c r="H31" s="30" t="str">
        <x:v>LAW029</x:v>
      </x:c>
      <x:c r="I31" s="30" t="str">
        <x:v>Income-tax Rules, 1962 — transition/savings layer</x:v>
      </x:c>
      <x:c r="J31" s="30" t="str">
        <x:v>-</x:v>
      </x:c>
      <x:c r="K31" s="30" t="str">
        <x:v>Conditional</x:v>
      </x:c>
      <x:c r="L31" s="30" t="str">
        <x:v>Returns, forms, deductions and proceedings governed by the saved 1961 Act</x:v>
      </x:c>
      <x:c r="M31" s="30" t="str">
        <x:v>Yes</x:v>
      </x:c>
      <x:c r="N31" s="30" t="str">
        <x:v>As Notified</x:v>
      </x:c>
      <x:c r="O31" s="30" t="str">
        <x:v>Transitional operational rules for matters governed by the saved 1961 Act; current Tax Year 2026-27 duties use LAW107/LAW108.</x:v>
      </x:c>
    </x:row>
    <x:row r="32">
      <x:c r="A32" s="30" t="str">
        <x:v>LAW031</x:v>
      </x:c>
      <x:c r="B32" s="30" t="str">
        <x:v>Corporate Affairs</x:v>
      </x:c>
      <x:c r="C32" s="30" t="str">
        <x:v>Pharmacy</x:v>
      </x:c>
      <x:c r="D32" s="30" t="str">
        <x:v>All</x:v>
      </x:c>
      <x:c r="E32" s="30" t="str">
        <x:v>MCA</x:v>
      </x:c>
      <x:c r="F32" s="30" t="str">
        <x:v>Central</x:v>
      </x:c>
      <x:c r="G32" s="30" t="str">
        <x:v>Act</x:v>
      </x:c>
      <x:c r="H32" s="30" t="str">
        <x:v>-</x:v>
      </x:c>
      <x:c r="I32" s="30" t="str">
        <x:v>Companies Act, 2013</x:v>
      </x:c>
      <x:c r="J32" s="30" t="str">
        <x:v>-</x:v>
      </x:c>
      <x:c r="K32" s="30" t="str">
        <x:v>Conditional</x:v>
      </x:c>
      <x:c r="L32" s="30" t="str">
        <x:v>Entity incorporated as a company</x:v>
      </x:c>
      <x:c r="M32" s="30" t="str">
        <x:v>No</x:v>
      </x:c>
      <x:c r="N32" s="30" t="str">
        <x:v>Annual</x:v>
      </x:c>
      <x:c r="O32" s="30" t="str">
        <x:v>Applicable only to companies. | P-0 QUARANTINED: Common Companies Act content is owned by Common Corporate Core; legacy ID retained for migration traceability.</x:v>
      </x:c>
    </x:row>
    <x:row r="33">
      <x:c r="A33" s="30" t="str">
        <x:v>LAW032</x:v>
      </x:c>
      <x:c r="B33" s="30" t="str">
        <x:v>Corporate Affairs</x:v>
      </x:c>
      <x:c r="C33" s="30" t="str">
        <x:v>Pharmacy</x:v>
      </x:c>
      <x:c r="D33" s="30" t="str">
        <x:v>All</x:v>
      </x:c>
      <x:c r="E33" s="30" t="str">
        <x:v>MCA</x:v>
      </x:c>
      <x:c r="F33" s="30" t="str">
        <x:v>Central</x:v>
      </x:c>
      <x:c r="G33" s="30" t="str">
        <x:v>Rules</x:v>
      </x:c>
      <x:c r="H33" s="30" t="str">
        <x:v>LAW031</x:v>
      </x:c>
      <x:c r="I33" s="30" t="str">
        <x:v>Companies (Incorporation) Rules, 2014</x:v>
      </x:c>
      <x:c r="J33" s="30" t="str">
        <x:v>-</x:v>
      </x:c>
      <x:c r="K33" s="30" t="str">
        <x:v>Conditional</x:v>
      </x:c>
      <x:c r="L33" s="30" t="str">
        <x:v>Company incorporated under Companies Act</x:v>
      </x:c>
      <x:c r="M33" s="30" t="str">
        <x:v>No</x:v>
      </x:c>
      <x:c r="N33" s="30" t="str">
        <x:v>As Notified</x:v>
      </x:c>
      <x:c r="O33" s="30" t="str">
        <x:v>Incorporation and corporate governance. | P-0 QUARANTINED: Common Companies Act content is owned by Common Corporate Core; legacy ID retained for migration traceability.</x:v>
      </x:c>
    </x:row>
    <x:row r="34">
      <x:c r="A34" s="30" t="str">
        <x:v>LAW033</x:v>
      </x:c>
      <x:c r="B34" s="30" t="str">
        <x:v>Corporate Affairs</x:v>
      </x:c>
      <x:c r="C34" s="30" t="str">
        <x:v>Pharmacy</x:v>
      </x:c>
      <x:c r="D34" s="30" t="str">
        <x:v>All</x:v>
      </x:c>
      <x:c r="E34" s="30" t="str">
        <x:v>MCA</x:v>
      </x:c>
      <x:c r="F34" s="30" t="str">
        <x:v>Central</x:v>
      </x:c>
      <x:c r="G34" s="30" t="str">
        <x:v>Act</x:v>
      </x:c>
      <x:c r="H34" s="30" t="str">
        <x:v>-</x:v>
      </x:c>
      <x:c r="I34" s="30" t="str">
        <x:v>Limited Liability Partnership Act, 2008 — Common Core alias</x:v>
      </x:c>
      <x:c r="J34" s="30" t="str">
        <x:v>-</x:v>
      </x:c>
      <x:c r="K34" s="30" t="str">
        <x:v>Conditional</x:v>
      </x:c>
      <x:c r="L34" s="30" t="str">
        <x:v>Business constituted as LLP</x:v>
      </x:c>
      <x:c r="M34" s="30" t="str">
        <x:v>No</x:v>
      </x:c>
      <x:c r="N34" s="30" t="str">
        <x:v>Annual</x:v>
      </x:c>
      <x:c r="O34" s="30" t="str">
        <x:v>P-3 COMMON-CORE EXCLUSION: LLP governance is owned by the separate Common Corporate Core and is combined only at runtime.</x:v>
      </x:c>
    </x:row>
    <x:row r="35">
      <x:c r="A35" s="30" t="str">
        <x:v>LAW034</x:v>
      </x:c>
      <x:c r="B35" s="30" t="str">
        <x:v>Labour &amp; Employment</x:v>
      </x:c>
      <x:c r="C35" s="30" t="str">
        <x:v>Pharmacy</x:v>
      </x:c>
      <x:c r="D35" s="30" t="str">
        <x:v>All</x:v>
      </x:c>
      <x:c r="E35" s="30" t="str">
        <x:v>Labour Department</x:v>
      </x:c>
      <x:c r="F35" s="30" t="str">
        <x:v>Central</x:v>
      </x:c>
      <x:c r="G35" s="30" t="str">
        <x:v>Code</x:v>
      </x:c>
      <x:c r="H35" s="30" t="str">
        <x:v>-</x:v>
      </x:c>
      <x:c r="I35" s="30" t="str">
        <x:v>Code on Wages, 2019</x:v>
      </x:c>
      <x:c r="J35" s="30" t="str">
        <x:v>-</x:v>
      </x:c>
      <x:c r="K35" s="30" t="str">
        <x:v>Conditional</x:v>
      </x:c>
      <x:c r="L35" s="30" t="str">
        <x:v>Employment of employees; specific provisions/thresholds and appropriate-government rules apply</x:v>
      </x:c>
      <x:c r="M35" s="30" t="str">
        <x:v>Yes</x:v>
      </x:c>
      <x:c r="N35" s="30" t="str">
        <x:v>As Notified</x:v>
      </x:c>
      <x:c r="O35" s="30" t="str">
        <x:v>Implemented on 21-11-2025; read with Code on Wages (Central) Rules, 2026 and applicable State/appropriate-government rules.</x:v>
      </x:c>
    </x:row>
    <x:row r="36">
      <x:c r="A36" s="30" t="str">
        <x:v>LAW035</x:v>
      </x:c>
      <x:c r="B36" s="30" t="str">
        <x:v>Labour &amp; Employment</x:v>
      </x:c>
      <x:c r="C36" s="30" t="str">
        <x:v>Pharmacy</x:v>
      </x:c>
      <x:c r="D36" s="30" t="str">
        <x:v>All</x:v>
      </x:c>
      <x:c r="E36" s="30" t="str">
        <x:v>Labour Department</x:v>
      </x:c>
      <x:c r="F36" s="30" t="str">
        <x:v>Central</x:v>
      </x:c>
      <x:c r="G36" s="30" t="str">
        <x:v>Code</x:v>
      </x:c>
      <x:c r="H36" s="30" t="str">
        <x:v>-</x:v>
      </x:c>
      <x:c r="I36" s="30" t="str">
        <x:v>Occupational Safety, Health and Working Conditions Code, 2020</x:v>
      </x:c>
      <x:c r="J36" s="30" t="str">
        <x:v>-</x:v>
      </x:c>
      <x:c r="K36" s="30" t="str">
        <x:v>Conditional</x:v>
      </x:c>
      <x:c r="L36" s="30" t="str">
        <x:v>Establishment/worker/activity threshold under the Code; ordinary pharmacy is not assumed covered by every chapter</x:v>
      </x:c>
      <x:c r="M36" s="30" t="str">
        <x:v>Yes</x:v>
      </x:c>
      <x:c r="N36" s="30" t="str">
        <x:v>As Notified</x:v>
      </x:c>
      <x:c r="O36" s="30" t="str">
        <x:v>Implemented on 21-11-2025; read with 2026 Central Rules and applicable State/appropriate-government rules.</x:v>
      </x:c>
    </x:row>
    <x:row r="37">
      <x:c r="A37" s="30" t="str">
        <x:v>LAW036</x:v>
      </x:c>
      <x:c r="B37" s="30" t="str">
        <x:v>Labour &amp; Employment</x:v>
      </x:c>
      <x:c r="C37" s="30" t="str">
        <x:v>Pharmacy</x:v>
      </x:c>
      <x:c r="D37" s="30" t="str">
        <x:v>All</x:v>
      </x:c>
      <x:c r="E37" s="30" t="str">
        <x:v>Labour Department</x:v>
      </x:c>
      <x:c r="F37" s="30" t="str">
        <x:v>Central</x:v>
      </x:c>
      <x:c r="G37" s="30" t="str">
        <x:v>Code</x:v>
      </x:c>
      <x:c r="H37" s="30" t="str">
        <x:v>-</x:v>
      </x:c>
      <x:c r="I37" s="30" t="str">
        <x:v>Code on Social Security, 2020</x:v>
      </x:c>
      <x:c r="J37" s="30" t="str">
        <x:v>-</x:v>
      </x:c>
      <x:c r="K37" s="30" t="str">
        <x:v>Conditional</x:v>
      </x:c>
      <x:c r="L37" s="30" t="str">
        <x:v>Applicable establishment/employee thresholds for EPF, ESI or other chapter</x:v>
      </x:c>
      <x:c r="M37" s="30" t="str">
        <x:v>Yes</x:v>
      </x:c>
      <x:c r="N37" s="30" t="str">
        <x:v>As Notified</x:v>
      </x:c>
      <x:c r="O37" s="30" t="str">
        <x:v>Implemented on 21-11-2025; current EPF/ESI production chains are mapped here and to the 2026 Central Rules.</x:v>
      </x:c>
    </x:row>
    <x:row r="38">
      <x:c r="A38" s="30" t="str">
        <x:v>LAW037</x:v>
      </x:c>
      <x:c r="B38" s="30" t="str">
        <x:v>Labour &amp; Employment</x:v>
      </x:c>
      <x:c r="C38" s="30" t="str">
        <x:v>Pharmacy</x:v>
      </x:c>
      <x:c r="D38" s="30" t="str">
        <x:v>All</x:v>
      </x:c>
      <x:c r="E38" s="30" t="str">
        <x:v>Labour Department</x:v>
      </x:c>
      <x:c r="F38" s="30" t="str">
        <x:v>Central</x:v>
      </x:c>
      <x:c r="G38" s="30" t="str">
        <x:v>Code</x:v>
      </x:c>
      <x:c r="H38" s="30" t="str">
        <x:v>-</x:v>
      </x:c>
      <x:c r="I38" s="30" t="str">
        <x:v>Industrial Relations Code, 2020</x:v>
      </x:c>
      <x:c r="J38" s="30" t="str">
        <x:v>-</x:v>
      </x:c>
      <x:c r="K38" s="30" t="str">
        <x:v>Conditional</x:v>
      </x:c>
      <x:c r="L38" s="30" t="str">
        <x:v>Industrial establishment, worker and event thresholds under the Code</x:v>
      </x:c>
      <x:c r="M38" s="30" t="str">
        <x:v>Yes</x:v>
      </x:c>
      <x:c r="N38" s="30" t="str">
        <x:v>As Notified</x:v>
      </x:c>
      <x:c r="O38" s="30" t="str">
        <x:v>Implemented on 21-11-2025; no universal recurring IR duty is imposed on every pharmacy without its activity/threshold trigger.</x:v>
      </x:c>
    </x:row>
    <x:row r="39">
      <x:c r="A39" s="30" t="str">
        <x:v>LAW038</x:v>
      </x:c>
      <x:c r="B39" s="30" t="str">
        <x:v>Consumer Protection</x:v>
      </x:c>
      <x:c r="C39" s="30" t="str">
        <x:v>Pharmacy</x:v>
      </x:c>
      <x:c r="D39" s="30" t="str">
        <x:v>All</x:v>
      </x:c>
      <x:c r="E39" s="30" t="str">
        <x:v>CCPA</x:v>
      </x:c>
      <x:c r="F39" s="30" t="str">
        <x:v>Central</x:v>
      </x:c>
      <x:c r="G39" s="30" t="str">
        <x:v>Act</x:v>
      </x:c>
      <x:c r="H39" s="30" t="str">
        <x:v>-</x:v>
      </x:c>
      <x:c r="I39" s="30" t="str">
        <x:v>Consumer Protection Act, 2019</x:v>
      </x:c>
      <x:c r="J39" s="30" t="str">
        <x:v>-</x:v>
      </x:c>
      <x:c r="K39" s="30" t="str">
        <x:v>Mandatory</x:v>
      </x:c>
      <x:c r="L39" s="30" t="str">
        <x:v>Sale of goods or provision of services to consumers; advertising/unfair-trade triggers</x:v>
      </x:c>
      <x:c r="M39" s="30" t="str">
        <x:v>Yes</x:v>
      </x:c>
      <x:c r="N39" s="30" t="str">
        <x:v>Annual</x:v>
      </x:c>
      <x:c r="O39" s="30" t="str">
        <x:v>Current consumer-protection parent statute; direct e-commerce operator controls are separately mapped to LAW039.</x:v>
      </x:c>
    </x:row>
    <x:row r="40">
      <x:c r="A40" s="30" t="str">
        <x:v>LAW039</x:v>
      </x:c>
      <x:c r="B40" s="30" t="str">
        <x:v>Consumer Protection</x:v>
      </x:c>
      <x:c r="C40" s="30" t="str">
        <x:v>Pharmacy</x:v>
      </x:c>
      <x:c r="D40" s="30" t="str">
        <x:v>All</x:v>
      </x:c>
      <x:c r="E40" s="30" t="str">
        <x:v>CCPA</x:v>
      </x:c>
      <x:c r="F40" s="30" t="str">
        <x:v>Central</x:v>
      </x:c>
      <x:c r="G40" s="30" t="str">
        <x:v>Rules</x:v>
      </x:c>
      <x:c r="H40" s="30" t="str">
        <x:v>LAW038</x:v>
      </x:c>
      <x:c r="I40" s="30" t="str">
        <x:v>Consumer Protection (E-Commerce) Rules, 2020 (as amended in 2021)</x:v>
      </x:c>
      <x:c r="J40" s="30" t="str">
        <x:v>-</x:v>
      </x:c>
      <x:c r="K40" s="30" t="str">
        <x:v>Conditional</x:v>
      </x:c>
      <x:c r="L40" s="30" t="str">
        <x:v>The pharmacy operates as an e-commerce entity, inventory e-commerce entity, marketplace, or seller on a marketplace</x:v>
      </x:c>
      <x:c r="M40" s="30" t="str">
        <x:v>Yes</x:v>
      </x:c>
      <x:c r="N40" s="30" t="str">
        <x:v>As Notified</x:v>
      </x:c>
      <x:c r="O40" s="30" t="str">
        <x:v>Conditional for E-Pharmacy/online models; role must be determined before activation.</x:v>
      </x:c>
    </x:row>
    <x:row r="41">
      <x:c r="A41" s="30" t="str">
        <x:v>LAW040</x:v>
      </x:c>
      <x:c r="B41" s="30" t="str">
        <x:v>Legal Metrology</x:v>
      </x:c>
      <x:c r="C41" s="30" t="str">
        <x:v>Pharmacy</x:v>
      </x:c>
      <x:c r="D41" s="30" t="str">
        <x:v>All</x:v>
      </x:c>
      <x:c r="E41" s="30" t="str">
        <x:v>Legal Metrology Department</x:v>
      </x:c>
      <x:c r="F41" s="30" t="str">
        <x:v>Central</x:v>
      </x:c>
      <x:c r="G41" s="30" t="str">
        <x:v>Act</x:v>
      </x:c>
      <x:c r="H41" s="30" t="str">
        <x:v>-</x:v>
      </x:c>
      <x:c r="I41" s="30" t="str">
        <x:v>Legal Metrology Act, 2009</x:v>
      </x:c>
      <x:c r="J41" s="30" t="str">
        <x:v>-</x:v>
      </x:c>
      <x:c r="K41" s="30" t="str">
        <x:v>Conditional</x:v>
      </x:c>
      <x:c r="L41" s="30" t="str">
        <x:v>Use of a weight or measure in a transaction/protection; seller responsibility for compliant packaged commodities</x:v>
      </x:c>
      <x:c r="M41" s="30" t="str">
        <x:v>Yes</x:v>
      </x:c>
      <x:c r="N41" s="30" t="str">
        <x:v>Annual</x:v>
      </x:c>
      <x:c r="O41" s="30" t="str">
        <x:v>Current; instrument-verification duties apply only where a regulated weight/measure is used.</x:v>
      </x:c>
    </x:row>
    <x:row r="42">
      <x:c r="A42" s="30" t="str">
        <x:v>LAW041</x:v>
      </x:c>
      <x:c r="B42" s="30" t="str">
        <x:v>Legal Metrology</x:v>
      </x:c>
      <x:c r="C42" s="30" t="str">
        <x:v>Pharmacy</x:v>
      </x:c>
      <x:c r="D42" s="30" t="str">
        <x:v>All</x:v>
      </x:c>
      <x:c r="E42" s="30" t="str">
        <x:v>Legal Metrology Department</x:v>
      </x:c>
      <x:c r="F42" s="30" t="str">
        <x:v>Central</x:v>
      </x:c>
      <x:c r="G42" s="30" t="str">
        <x:v>Rules</x:v>
      </x:c>
      <x:c r="H42" s="30" t="str">
        <x:v>LAW040</x:v>
      </x:c>
      <x:c r="I42" s="30" t="str">
        <x:v>Legal Metrology (Packaged Commodities) Rules, 2011</x:v>
      </x:c>
      <x:c r="J42" s="30" t="str">
        <x:v>-</x:v>
      </x:c>
      <x:c r="K42" s="30" t="str">
        <x:v>Conditional</x:v>
      </x:c>
      <x:c r="L42" s="30" t="str">
        <x:v>Retail/wholesale sale, display, distribution or e-commerce display of pre-packaged commodities</x:v>
      </x:c>
      <x:c r="M42" s="30" t="str">
        <x:v>Yes</x:v>
      </x:c>
      <x:c r="N42" s="30" t="str">
        <x:v>As Notified</x:v>
      </x:c>
      <x:c r="O42" s="30" t="str">
        <x:v>Retailer duties are principally Rule 18 controls; Rule 6 declaration liability primarily rests on manufacturer/packer/importer, with e-commerce display duties where applicable.</x:v>
      </x:c>
    </x:row>
    <x:row r="43">
      <x:c r="A43" s="30" t="str">
        <x:v>LAW042</x:v>
      </x:c>
      <x:c r="B43" s="30" t="str">
        <x:v>Environmental</x:v>
      </x:c>
      <x:c r="C43" s="30" t="str">
        <x:v>Pharmacy</x:v>
      </x:c>
      <x:c r="D43" s="30" t="str">
        <x:v>All</x:v>
      </x:c>
      <x:c r="E43" s="30" t="str">
        <x:v>CPCB</x:v>
      </x:c>
      <x:c r="F43" s="30" t="str">
        <x:v>Central</x:v>
      </x:c>
      <x:c r="G43" s="30" t="str">
        <x:v>Rules</x:v>
      </x:c>
      <x:c r="H43" s="30" t="str">
        <x:v>LAW101</x:v>
      </x:c>
      <x:c r="I43" s="30" t="str">
        <x:v>Plastic Waste Management Rules, 2016</x:v>
      </x:c>
      <x:c r="J43" s="30" t="str">
        <x:v>-</x:v>
      </x:c>
      <x:c r="K43" s="30" t="str">
        <x:v>Conditional</x:v>
      </x:c>
      <x:c r="L43" s="30" t="str">
        <x:v>Generation of plastic waste; or retailer use/provision of plastic carry bags/sheets; producer/importer/brand-owner EPR only if that separate role exists</x:v>
      </x:c>
      <x:c r="M43" s="30" t="str">
        <x:v>Yes</x:v>
      </x:c>
      <x:c r="N43" s="30" t="str">
        <x:v>As Notified</x:v>
      </x:c>
      <x:c r="O43" s="30" t="str">
        <x:v>Ordinary pharmacy waste-generator/retailer duties do not create PIBO EPR registration by themselves.</x:v>
      </x:c>
    </x:row>
    <x:row r="44">
      <x:c r="A44" s="30" t="str">
        <x:v>LAW043</x:v>
      </x:c>
      <x:c r="B44" s="30" t="str">
        <x:v>Environmental</x:v>
      </x:c>
      <x:c r="C44" s="30" t="str">
        <x:v>Pharmacy</x:v>
      </x:c>
      <x:c r="D44" s="30" t="str">
        <x:v>All</x:v>
      </x:c>
      <x:c r="E44" s="30" t="str">
        <x:v>CPCB</x:v>
      </x:c>
      <x:c r="F44" s="30" t="str">
        <x:v>Central</x:v>
      </x:c>
      <x:c r="G44" s="30" t="str">
        <x:v>Rules</x:v>
      </x:c>
      <x:c r="H44" s="30" t="str">
        <x:v>LAW101</x:v>
      </x:c>
      <x:c r="I44" s="30" t="str">
        <x:v>E-Waste (Management) Rules, 2022 (as amended)</x:v>
      </x:c>
      <x:c r="J44" s="30" t="str">
        <x:v>-</x:v>
      </x:c>
      <x:c r="K44" s="30" t="str">
        <x:v>Conditional</x:v>
      </x:c>
      <x:c r="L44" s="30" t="str">
        <x:v>Bulk consumer threshold of at least 1,000 units of Schedule I electrical/electronic equipment in a financial year, or another regulated producer/refurbisher/recycler role</x:v>
      </x:c>
      <x:c r="M44" s="30" t="str">
        <x:v>Yes</x:v>
      </x:c>
      <x:c r="N44" s="30" t="str">
        <x:v>As Notified</x:v>
      </x:c>
      <x:c r="O44" s="30" t="str">
        <x:v>Ordinary pharmacy below the bulk-consumer threshold is not assigned the Rule 8 bulk-consumer duty; sound channelisation remains best practice.</x:v>
      </x:c>
    </x:row>
    <x:row r="45">
      <x:c r="A45" s="30" t="str">
        <x:v>LAW044</x:v>
      </x:c>
      <x:c r="B45" s="30" t="str">
        <x:v>Environmental</x:v>
      </x:c>
      <x:c r="C45" s="30" t="str">
        <x:v>Pharmacy</x:v>
      </x:c>
      <x:c r="D45" s="30" t="str">
        <x:v>All</x:v>
      </x:c>
      <x:c r="E45" s="30" t="str">
        <x:v>CPCB</x:v>
      </x:c>
      <x:c r="F45" s="30" t="str">
        <x:v>Central</x:v>
      </x:c>
      <x:c r="G45" s="30" t="str">
        <x:v>Rules</x:v>
      </x:c>
      <x:c r="H45" s="30" t="str">
        <x:v>LAW101</x:v>
      </x:c>
      <x:c r="I45" s="30" t="str">
        <x:v>Solid Waste Management Rules, 2026</x:v>
      </x:c>
      <x:c r="J45" s="30" t="str">
        <x:v>-</x:v>
      </x:c>
      <x:c r="K45" s="30" t="str">
        <x:v>Mandatory</x:v>
      </x:c>
      <x:c r="L45" s="30" t="str">
        <x:v>Every domestic, institutional, commercial or other non-residential solid-waste generator; additional duties if any bulk-waste-generator threshold is met</x:v>
      </x:c>
      <x:c r="M45" s="30" t="str">
        <x:v>Yes</x:v>
      </x:c>
      <x:c r="N45" s="30" t="str">
        <x:v>As Notified</x:v>
      </x:c>
      <x:c r="O45" s="30" t="str">
        <x:v>S.O. 388(E), effective 01-04-2026, supersedes the 2016 Rules. Four-stream segregation applies; separate waste regimes remain excluded by waste stream.</x:v>
      </x:c>
    </x:row>
    <x:row r="46">
      <x:c r="A46" s="30" t="str">
        <x:v>LAW045</x:v>
      </x:c>
      <x:c r="B46" s="30" t="str">
        <x:v>Fire &amp; Safety</x:v>
      </x:c>
      <x:c r="C46" s="30" t="str">
        <x:v>Pharmacy</x:v>
      </x:c>
      <x:c r="D46" s="30" t="str">
        <x:v>All</x:v>
      </x:c>
      <x:c r="E46" s="30" t="str">
        <x:v>Fire Department</x:v>
      </x:c>
      <x:c r="F46" s="30" t="str">
        <x:v>State</x:v>
      </x:c>
      <x:c r="G46" s="30" t="str">
        <x:v>Reference Standard</x:v>
      </x:c>
      <x:c r="H46" s="30" t="str">
        <x:v>-</x:v>
      </x:c>
      <x:c r="I46" s="30" t="str">
        <x:v>National Building Code of India — Reference Standard</x:v>
      </x:c>
      <x:c r="J46" s="30" t="str">
        <x:v>-</x:v>
      </x:c>
      <x:c r="K46" s="30" t="str">
        <x:v>Conditional</x:v>
      </x:c>
      <x:c r="L46" s="30" t="str">
        <x:v>Building subject to fire safety requirements</x:v>
      </x:c>
      <x:c r="M46" s="30" t="str">
        <x:v>No</x:v>
      </x:c>
      <x:c r="N46" s="30" t="str">
        <x:v>As Notified</x:v>
      </x:c>
      <x:c r="O46" s="30" t="str">
        <x:v>P-3 REFERENCE ONLY: not a standalone binding law unless incorporated by the applicable State/local building or fire instrument.</x:v>
      </x:c>
    </x:row>
    <x:row r="47">
      <x:c r="A47" s="30" t="str">
        <x:v>LAW046</x:v>
      </x:c>
      <x:c r="B47" s="30" t="str">
        <x:v>Information Technology</x:v>
      </x:c>
      <x:c r="C47" s="30" t="str">
        <x:v>Pharmacy</x:v>
      </x:c>
      <x:c r="D47" s="30" t="str">
        <x:v>E-Pharmacy</x:v>
      </x:c>
      <x:c r="E47" s="30" t="str">
        <x:v>MeitY</x:v>
      </x:c>
      <x:c r="F47" s="30" t="str">
        <x:v>Central</x:v>
      </x:c>
      <x:c r="G47" s="30" t="str">
        <x:v>Act</x:v>
      </x:c>
      <x:c r="H47" s="30" t="str">
        <x:v>-</x:v>
      </x:c>
      <x:c r="I47" s="30" t="str">
        <x:v>Information Technology Act, 2000</x:v>
      </x:c>
      <x:c r="J47" s="30" t="str">
        <x:v>-</x:v>
      </x:c>
      <x:c r="K47" s="30" t="str">
        <x:v>Conditional</x:v>
      </x:c>
      <x:c r="L47" s="30" t="str">
        <x:v>Electronic records, computer resources, online operations or an intermediary role</x:v>
      </x:c>
      <x:c r="M47" s="30" t="str">
        <x:v>Yes</x:v>
      </x:c>
      <x:c r="N47" s="30" t="str">
        <x:v>Annual</x:v>
      </x:c>
      <x:c r="O47" s="30" t="str">
        <x:v>Current parent statute for electronic records, cyber offences and CERT-In directions; intermediary duties are role-conditional.</x:v>
      </x:c>
    </x:row>
    <x:row r="48">
      <x:c r="A48" s="30" t="str">
        <x:v>LAW047</x:v>
      </x:c>
      <x:c r="B48" s="30" t="str">
        <x:v>Information Technology</x:v>
      </x:c>
      <x:c r="C48" s="30" t="str">
        <x:v>Pharmacy</x:v>
      </x:c>
      <x:c r="D48" s="30" t="str">
        <x:v>E-Pharmacy</x:v>
      </x:c>
      <x:c r="E48" s="30" t="str">
        <x:v>MeitY</x:v>
      </x:c>
      <x:c r="F48" s="30" t="str">
        <x:v>Central</x:v>
      </x:c>
      <x:c r="G48" s="30" t="str">
        <x:v>Rules</x:v>
      </x:c>
      <x:c r="H48" s="30" t="str">
        <x:v>LAW046</x:v>
      </x:c>
      <x:c r="I48" s="30" t="str">
        <x:v>Information Technology (Reasonable Security Practices and Procedures and Sensitive Personal Data or Information) Rules, 2011</x:v>
      </x:c>
      <x:c r="J48" s="30" t="str">
        <x:v>-</x:v>
      </x:c>
      <x:c r="K48" s="30" t="str">
        <x:v>Conditional</x:v>
      </x:c>
      <x:c r="L48" s="30" t="str">
        <x:v>A body corporate collects, receives, possesses, stores, deals with or handles SPDI</x:v>
      </x:c>
      <x:c r="M48" s="30" t="str">
        <x:v>Yes</x:v>
      </x:c>
      <x:c r="N48" s="30" t="str">
        <x:v>As Notified</x:v>
      </x:c>
      <x:c r="O48" s="30" t="str">
        <x:v>Current transitional privacy/security layer while the DPDP substantive private-operator duties and repeal provisions remain future-effective.</x:v>
      </x:c>
    </x:row>
    <x:row r="49">
      <x:c r="A49" s="30" t="str">
        <x:v>LAW048</x:v>
      </x:c>
      <x:c r="B49" s="30" t="str">
        <x:v>Information Technology</x:v>
      </x:c>
      <x:c r="C49" s="30" t="str">
        <x:v>Pharmacy</x:v>
      </x:c>
      <x:c r="D49" s="30" t="str">
        <x:v>E-Pharmacy</x:v>
      </x:c>
      <x:c r="E49" s="30" t="str">
        <x:v>MeitY</x:v>
      </x:c>
      <x:c r="F49" s="30" t="str">
        <x:v>Central</x:v>
      </x:c>
      <x:c r="G49" s="30" t="str">
        <x:v>Act</x:v>
      </x:c>
      <x:c r="H49" s="30" t="str">
        <x:v>-</x:v>
      </x:c>
      <x:c r="I49" s="30" t="str">
        <x:v>Digital Personal Data Protection Act, 2023</x:v>
      </x:c>
      <x:c r="J49" s="30" t="str">
        <x:v>-</x:v>
      </x:c>
      <x:c r="K49" s="30" t="str">
        <x:v>Conditional</x:v>
      </x:c>
      <x:c r="L49" s="30" t="str">
        <x:v>Digital personal-data processing; substantive private-operator sections commence on the notified future date</x:v>
      </x:c>
      <x:c r="M49" s="30" t="str">
        <x:v>Yes</x:v>
      </x:c>
      <x:c r="N49" s="30" t="str">
        <x:v>As Notified</x:v>
      </x:c>
      <x:c r="O49" s="30" t="str">
        <x:v>Act is partially commenced institutionally. Private-operator processing duties are future-effective at the P-3 cutoff and are not active production compliances.</x:v>
      </x:c>
    </x:row>
    <x:row r="50">
      <x:c r="A50" s="30" t="str">
        <x:v>LAW049</x:v>
      </x:c>
      <x:c r="B50" s="30" t="str">
        <x:v>Municipal Administration</x:v>
      </x:c>
      <x:c r="C50" s="30" t="str">
        <x:v>Pharmacy</x:v>
      </x:c>
      <x:c r="D50" s="30" t="str">
        <x:v>All</x:v>
      </x:c>
      <x:c r="E50" s="30" t="str">
        <x:v>Municipal Authority</x:v>
      </x:c>
      <x:c r="F50" s="30" t="str">
        <x:v>Local</x:v>
      </x:c>
      <x:c r="G50" s="30" t="str">
        <x:v>By-laws</x:v>
      </x:c>
      <x:c r="H50" s="30" t="str">
        <x:v>-</x:v>
      </x:c>
      <x:c r="I50" s="30" t="str">
        <x:v>Local Trade / Municipal Health By-laws — Duplicate Legacy Placeholder</x:v>
      </x:c>
      <x:c r="J50" s="30" t="str">
        <x:v>-</x:v>
      </x:c>
      <x:c r="K50" s="30" t="str">
        <x:v>Conditional</x:v>
      </x:c>
      <x:c r="L50" s="30" t="str">
        <x:v>Business establishment within municipal jurisdiction</x:v>
      </x:c>
      <x:c r="M50" s="30" t="str">
        <x:v>No</x:v>
      </x:c>
      <x:c r="N50" s="30" t="str">
        <x:v>As Notified</x:v>
      </x:c>
      <x:c r="O50" s="30" t="str">
        <x:v>P-3 RETIRED as duplicate of the jurisdiction template LAW022; exact local law must be attached through the jurisdiction register.</x:v>
      </x:c>
    </x:row>
    <x:row r="51">
      <x:c r="A51" s="30" t="str">
        <x:v>LAW050</x:v>
      </x:c>
      <x:c r="B51" s="30" t="str">
        <x:v>Public Health</x:v>
      </x:c>
      <x:c r="C51" s="30" t="str">
        <x:v>Pharmacy</x:v>
      </x:c>
      <x:c r="D51" s="30" t="str">
        <x:v>All</x:v>
      </x:c>
      <x:c r="E51" s="30" t="str">
        <x:v>MoHFW</x:v>
      </x:c>
      <x:c r="F51" s="30" t="str">
        <x:v>Central</x:v>
      </x:c>
      <x:c r="G51" s="30" t="str">
        <x:v>Advisory / Order Source</x:v>
      </x:c>
      <x:c r="H51" s="30" t="str">
        <x:v>-</x:v>
      </x:c>
      <x:c r="I51" s="30" t="str">
        <x:v>Public Health Advisories — Event Source Layer</x:v>
      </x:c>
      <x:c r="J51" s="30" t="str">
        <x:v>-</x:v>
      </x:c>
      <x:c r="K51" s="30" t="str">
        <x:v>Conditional</x:v>
      </x:c>
      <x:c r="L51" s="30" t="str">
        <x:v>Public health emergency or advisory issuance</x:v>
      </x:c>
      <x:c r="M51" s="30" t="str">
        <x:v>No</x:v>
      </x:c>
      <x:c r="N51" s="30" t="str">
        <x:v>As Notified</x:v>
      </x:c>
      <x:c r="O51" s="30" t="str">
        <x:v>P-3 RECLASSIFIED: a policy/advisory collection is not a law. Activate only the exact legally binding order during a notified event.</x:v>
      </x:c>
    </x:row>
    <x:row r="52">
      <x:c r="A52" s="30" t="str">
        <x:v>LAW051</x:v>
      </x:c>
      <x:c r="B52" s="30" t="str">
        <x:v>Pharmacy</x:v>
      </x:c>
      <x:c r="C52" s="30" t="str">
        <x:v>Pharmacy</x:v>
      </x:c>
      <x:c r="D52" s="30" t="str">
        <x:v>All</x:v>
      </x:c>
      <x:c r="E52" s="30" t="str">
        <x:v>CDSCO</x:v>
      </x:c>
      <x:c r="F52" s="30" t="str">
        <x:v>Central</x:v>
      </x:c>
      <x:c r="G52" s="30" t="str">
        <x:v>Rules</x:v>
      </x:c>
      <x:c r="H52" s="30" t="str">
        <x:v>-</x:v>
      </x:c>
      <x:c r="I52" s="30" t="str">
        <x:v>Medical Devices Rules, 2017</x:v>
      </x:c>
      <x:c r="J52" s="30" t="str">
        <x:v>-</x:v>
      </x:c>
      <x:c r="K52" s="30" t="str">
        <x:v>Conditional</x:v>
      </x:c>
      <x:c r="L52" s="30" t="str">
        <x:v>The pharmacy sells, stocks, exhibits, offers for sale or distributes medical devices and must satisfy the Rule 87 licence/registration boundary and seller conditions</x:v>
      </x:c>
      <x:c r="M52" s="30" t="str">
        <x:v>Yes</x:v>
      </x:c>
      <x:c r="N52" s="30" t="str">
        <x:v>As Notified</x:v>
      </x:c>
      <x:c r="O52" s="30" t="str">
        <x:v>Validated for seller/stockist duties. Manufacturer/importer post-market and recall duties remain outside the approved pharmacy-operator taxonomy unless a separate role is established.</x:v>
      </x:c>
    </x:row>
    <x:row r="53">
      <x:c r="A53" s="30" t="str">
        <x:v>LAW052</x:v>
      </x:c>
      <x:c r="B53" s="30" t="str">
        <x:v>Pharmacy</x:v>
      </x:c>
      <x:c r="C53" s="30" t="str">
        <x:v>Pharmacy</x:v>
      </x:c>
      <x:c r="D53" s="30" t="str">
        <x:v>All</x:v>
      </x:c>
      <x:c r="E53" s="30" t="str">
        <x:v>CDSCO</x:v>
      </x:c>
      <x:c r="F53" s="30" t="str">
        <x:v>Central</x:v>
      </x:c>
      <x:c r="G53" s="30" t="str">
        <x:v>Rules</x:v>
      </x:c>
      <x:c r="H53" s="30" t="str">
        <x:v>LAW001</x:v>
      </x:c>
      <x:c r="I53" s="30" t="str">
        <x:v>Cosmetics Rules, 2020</x:v>
      </x:c>
      <x:c r="J53" s="30" t="str">
        <x:v>-</x:v>
      </x:c>
      <x:c r="K53" s="30" t="str">
        <x:v>Conditional</x:v>
      </x:c>
      <x:c r="L53" s="30" t="str">
        <x:v>The pharmacy sells, stocks or distributes cosmetics</x:v>
      </x:c>
      <x:c r="M53" s="30" t="str">
        <x:v>Yes</x:v>
      </x:c>
      <x:c r="N53" s="30" t="str">
        <x:v>As Notified</x:v>
      </x:c>
      <x:c r="O53" s="30" t="str">
        <x:v>Validated for retail-facing sale/distribution, labelling, claim and quality controls; manufacture/import role duties are excluded.</x:v>
      </x:c>
    </x:row>
    <x:row r="54">
      <x:c r="A54" s="30" t="str">
        <x:v>LAW053</x:v>
      </x:c>
      <x:c r="B54" s="30" t="str">
        <x:v>Pharmacy</x:v>
      </x:c>
      <x:c r="C54" s="30" t="str">
        <x:v>Pharmacy</x:v>
      </x:c>
      <x:c r="D54" s="30" t="str">
        <x:v>Wholesale Pharmacy</x:v>
      </x:c>
      <x:c r="E54" s="30" t="str">
        <x:v>CDSCO</x:v>
      </x:c>
      <x:c r="F54" s="30" t="str">
        <x:v>Central</x:v>
      </x:c>
      <x:c r="G54" s="30" t="str">
        <x:v>Rules</x:v>
      </x:c>
      <x:c r="H54" s="30" t="str">
        <x:v>LAW001</x:v>
      </x:c>
      <x:c r="I54" s="30" t="str">
        <x:v>Drugs and Cosmetics (Second Amendment) Rules relating to Wholesale Licensing</x:v>
      </x:c>
      <x:c r="J54" s="30" t="str">
        <x:v>-</x:v>
      </x:c>
      <x:c r="K54" s="30" t="str">
        <x:v>Conditional</x:v>
      </x:c>
      <x:c r="L54" s="30" t="str">
        <x:v>Wholesale drug licence holder</x:v>
      </x:c>
      <x:c r="M54" s="30" t="str">
        <x:v>No</x:v>
      </x:c>
      <x:c r="N54" s="30" t="str">
        <x:v>As Notified</x:v>
      </x:c>
      <x:c r="O54" s="30" t="str">
        <x:v>P-2 RETIRED/RECLASSIFIED: not an atomic standalone law. Applicable requirements are owned by LAW002 (Drugs Rules, 1945), its Rules/Schedules/Forms, or the controlled source/change register. Legacy Law ID retained for migration traceability.</x:v>
      </x:c>
    </x:row>
    <x:row r="55">
      <x:c r="A55" s="30" t="str">
        <x:v>LAW054</x:v>
      </x:c>
      <x:c r="B55" s="30" t="str">
        <x:v>Pharmacy</x:v>
      </x:c>
      <x:c r="C55" s="30" t="str">
        <x:v>Pharmacy</x:v>
      </x:c>
      <x:c r="D55" s="30" t="str">
        <x:v>Retail Pharmacy</x:v>
      </x:c>
      <x:c r="E55" s="30" t="str">
        <x:v>CDSCO</x:v>
      </x:c>
      <x:c r="F55" s="30" t="str">
        <x:v>Central</x:v>
      </x:c>
      <x:c r="G55" s="30" t="str">
        <x:v>Notification</x:v>
      </x:c>
      <x:c r="H55" s="30" t="str">
        <x:v>LAW001</x:v>
      </x:c>
      <x:c r="I55" s="30" t="str">
        <x:v>Schedule H Prescription Drug Requirements</x:v>
      </x:c>
      <x:c r="J55" s="30" t="str">
        <x:v>-</x:v>
      </x:c>
      <x:c r="K55" s="30" t="str">
        <x:v>Mandatory</x:v>
      </x:c>
      <x:c r="L55" s="30" t="str">
        <x:v>Sale of Schedule H medicines</x:v>
      </x:c>
      <x:c r="M55" s="30" t="str">
        <x:v>No</x:v>
      </x:c>
      <x:c r="N55" s="30" t="str">
        <x:v>As Notified</x:v>
      </x:c>
      <x:c r="O55" s="30" t="str">
        <x:v>P-2 RETIRED/RECLASSIFIED: not an atomic standalone law. Applicable requirements are owned by LAW002 (Drugs Rules, 1945), its Rules/Schedules/Forms, or the controlled source/change register. Legacy Law ID retained for migration traceability.</x:v>
      </x:c>
    </x:row>
    <x:row r="56">
      <x:c r="A56" s="30" t="str">
        <x:v>LAW055</x:v>
      </x:c>
      <x:c r="B56" s="30" t="str">
        <x:v>Pharmacy</x:v>
      </x:c>
      <x:c r="C56" s="30" t="str">
        <x:v>Pharmacy</x:v>
      </x:c>
      <x:c r="D56" s="30" t="str">
        <x:v>Retail Pharmacy</x:v>
      </x:c>
      <x:c r="E56" s="30" t="str">
        <x:v>CDSCO</x:v>
      </x:c>
      <x:c r="F56" s="30" t="str">
        <x:v>Central</x:v>
      </x:c>
      <x:c r="G56" s="30" t="str">
        <x:v>Notification</x:v>
      </x:c>
      <x:c r="H56" s="30" t="str">
        <x:v>LAW001</x:v>
      </x:c>
      <x:c r="I56" s="30" t="str">
        <x:v>Schedule H1 Drug Requirements</x:v>
      </x:c>
      <x:c r="J56" s="30" t="str">
        <x:v>-</x:v>
      </x:c>
      <x:c r="K56" s="30" t="str">
        <x:v>Mandatory</x:v>
      </x:c>
      <x:c r="L56" s="30" t="str">
        <x:v>Sale of Schedule H1 medicines</x:v>
      </x:c>
      <x:c r="M56" s="30" t="str">
        <x:v>No</x:v>
      </x:c>
      <x:c r="N56" s="30" t="str">
        <x:v>As Notified</x:v>
      </x:c>
      <x:c r="O56" s="30" t="str">
        <x:v>P-2 RETIRED/RECLASSIFIED: not an atomic standalone law. Applicable requirements are owned by LAW002 (Drugs Rules, 1945), its Rules/Schedules/Forms, or the controlled source/change register. Legacy Law ID retained for migration traceability.</x:v>
      </x:c>
    </x:row>
    <x:row r="57">
      <x:c r="A57" s="30" t="str">
        <x:v>LAW056</x:v>
      </x:c>
      <x:c r="B57" s="30" t="str">
        <x:v>Pharmacy</x:v>
      </x:c>
      <x:c r="C57" s="30" t="str">
        <x:v>Pharmacy</x:v>
      </x:c>
      <x:c r="D57" s="30" t="str">
        <x:v>Retail Pharmacy</x:v>
      </x:c>
      <x:c r="E57" s="30" t="str">
        <x:v>CDSCO</x:v>
      </x:c>
      <x:c r="F57" s="30" t="str">
        <x:v>Central</x:v>
      </x:c>
      <x:c r="G57" s="30" t="str">
        <x:v>Notification</x:v>
      </x:c>
      <x:c r="H57" s="30" t="str">
        <x:v>LAW015</x:v>
      </x:c>
      <x:c r="I57" s="30" t="str">
        <x:v>Schedule X Drug Requirements</x:v>
      </x:c>
      <x:c r="J57" s="30" t="str">
        <x:v>-</x:v>
      </x:c>
      <x:c r="K57" s="30" t="str">
        <x:v>Conditional</x:v>
      </x:c>
      <x:c r="L57" s="30" t="str">
        <x:v>Handling Schedule X medicines</x:v>
      </x:c>
      <x:c r="M57" s="30" t="str">
        <x:v>No</x:v>
      </x:c>
      <x:c r="N57" s="30" t="str">
        <x:v>As Notified</x:v>
      </x:c>
      <x:c r="O57" s="30" t="str">
        <x:v>P-2 RETIRED/RECLASSIFIED: not an atomic standalone law. Applicable requirements are owned by LAW002 (Drugs Rules, 1945), its Rules/Schedules/Forms, or the controlled source/change register. Legacy Law ID retained for migration traceability.</x:v>
      </x:c>
    </x:row>
    <x:row r="58">
      <x:c r="A58" s="30" t="str">
        <x:v>LAW057</x:v>
      </x:c>
      <x:c r="B58" s="30" t="str">
        <x:v>Pharmacy</x:v>
      </x:c>
      <x:c r="C58" s="30" t="str">
        <x:v>Pharmacy</x:v>
      </x:c>
      <x:c r="D58" s="30" t="str">
        <x:v>All</x:v>
      </x:c>
      <x:c r="E58" s="30" t="str">
        <x:v>CDSCO</x:v>
      </x:c>
      <x:c r="F58" s="30" t="str">
        <x:v>Central</x:v>
      </x:c>
      <x:c r="G58" s="30" t="str">
        <x:v>Notification</x:v>
      </x:c>
      <x:c r="H58" s="30" t="str">
        <x:v>LAW001</x:v>
      </x:c>
      <x:c r="I58" s="30" t="str">
        <x:v>Schedule G Drug Labelling Requirements</x:v>
      </x:c>
      <x:c r="J58" s="30" t="str">
        <x:v>-</x:v>
      </x:c>
      <x:c r="K58" s="30" t="str">
        <x:v>Conditional</x:v>
      </x:c>
      <x:c r="L58" s="30" t="str">
        <x:v>Sale of Schedule G medicines</x:v>
      </x:c>
      <x:c r="M58" s="30" t="str">
        <x:v>No</x:v>
      </x:c>
      <x:c r="N58" s="30" t="str">
        <x:v>As Notified</x:v>
      </x:c>
      <x:c r="O58" s="30" t="str">
        <x:v>P-2 RETIRED/RECLASSIFIED: not an atomic standalone law. Applicable requirements are owned by LAW002 (Drugs Rules, 1945), its Rules/Schedules/Forms, or the controlled source/change register. Legacy Law ID retained for migration traceability.</x:v>
      </x:c>
    </x:row>
    <x:row r="59">
      <x:c r="A59" s="30" t="str">
        <x:v>LAW058</x:v>
      </x:c>
      <x:c r="B59" s="30" t="str">
        <x:v>Pharmacy</x:v>
      </x:c>
      <x:c r="C59" s="30" t="str">
        <x:v>Pharmacy</x:v>
      </x:c>
      <x:c r="D59" s="30" t="str">
        <x:v>All</x:v>
      </x:c>
      <x:c r="E59" s="30" t="str">
        <x:v>CDSCO</x:v>
      </x:c>
      <x:c r="F59" s="30" t="str">
        <x:v>Central</x:v>
      </x:c>
      <x:c r="G59" s="30" t="str">
        <x:v>Notification</x:v>
      </x:c>
      <x:c r="H59" s="30" t="str">
        <x:v>LAW001</x:v>
      </x:c>
      <x:c r="I59" s="30" t="str">
        <x:v>Schedule K Exemptions</x:v>
      </x:c>
      <x:c r="J59" s="30" t="str">
        <x:v>-</x:v>
      </x:c>
      <x:c r="K59" s="30" t="str">
        <x:v>Conditional</x:v>
      </x:c>
      <x:c r="L59" s="30" t="str">
        <x:v>Institutions covered under Schedule K</x:v>
      </x:c>
      <x:c r="M59" s="30" t="str">
        <x:v>No</x:v>
      </x:c>
      <x:c r="N59" s="30" t="str">
        <x:v>As Notified</x:v>
      </x:c>
      <x:c r="O59" s="30" t="str">
        <x:v>P-2 RETIRED/RECLASSIFIED: not an atomic standalone law. Applicable requirements are owned by LAW002 (Drugs Rules, 1945), its Rules/Schedules/Forms, or the controlled source/change register. Legacy Law ID retained for migration traceability.</x:v>
      </x:c>
    </x:row>
    <x:row r="60">
      <x:c r="A60" s="30" t="str">
        <x:v>LAW059</x:v>
      </x:c>
      <x:c r="B60" s="30" t="str">
        <x:v>Pharmacy</x:v>
      </x:c>
      <x:c r="C60" s="30" t="str">
        <x:v>Pharmacy</x:v>
      </x:c>
      <x:c r="D60" s="30" t="str">
        <x:v>All</x:v>
      </x:c>
      <x:c r="E60" s="30" t="str">
        <x:v>CDSCO</x:v>
      </x:c>
      <x:c r="F60" s="30" t="str">
        <x:v>Central</x:v>
      </x:c>
      <x:c r="G60" s="30" t="str">
        <x:v>Guideline</x:v>
      </x:c>
      <x:c r="H60" s="30" t="str">
        <x:v>LAW001</x:v>
      </x:c>
      <x:c r="I60" s="30" t="str">
        <x:v>Good Pharmacy Practices (GPP) Guidelines</x:v>
      </x:c>
      <x:c r="J60" s="30" t="str">
        <x:v>-</x:v>
      </x:c>
      <x:c r="K60" s="30" t="str">
        <x:v>Best Practice</x:v>
      </x:c>
      <x:c r="L60" s="30" t="str">
        <x:v>Pharmacy operations</x:v>
      </x:c>
      <x:c r="M60" s="30" t="str">
        <x:v>Yes</x:v>
      </x:c>
      <x:c r="N60" s="30" t="str">
        <x:v>As Notified</x:v>
      </x:c>
      <x:c r="O60" s="30" t="str">
        <x:v>Non-statutory good pharmacy practice guidance; separately mapped statutes and licence conditions remain binding.</x:v>
      </x:c>
    </x:row>
    <x:row r="61">
      <x:c r="A61" s="30" t="str">
        <x:v>LAW060</x:v>
      </x:c>
      <x:c r="B61" s="30" t="str">
        <x:v>Pharmacy</x:v>
      </x:c>
      <x:c r="C61" s="30" t="str">
        <x:v>Pharmacy</x:v>
      </x:c>
      <x:c r="D61" s="30" t="str">
        <x:v>Wholesale Pharmacy</x:v>
      </x:c>
      <x:c r="E61" s="30" t="str">
        <x:v>CDSCO</x:v>
      </x:c>
      <x:c r="F61" s="30" t="str">
        <x:v>Central</x:v>
      </x:c>
      <x:c r="G61" s="30" t="str">
        <x:v>Guideline</x:v>
      </x:c>
      <x:c r="H61" s="30" t="str">
        <x:v>LAW001</x:v>
      </x:c>
      <x:c r="I61" s="30" t="str">
        <x:v>Good Distribution Practices (GDP) for Pharmaceutical Products</x:v>
      </x:c>
      <x:c r="J61" s="30" t="str">
        <x:v>-</x:v>
      </x:c>
      <x:c r="K61" s="30" t="str">
        <x:v>Best Practice</x:v>
      </x:c>
      <x:c r="L61" s="30" t="str">
        <x:v>Distribution and wholesale operations</x:v>
      </x:c>
      <x:c r="M61" s="30" t="str">
        <x:v>Yes</x:v>
      </x:c>
      <x:c r="N61" s="30" t="str">
        <x:v>As Notified</x:v>
      </x:c>
      <x:c r="O61" s="30" t="str">
        <x:v>P-4 RECLASSIFIED: non-statutory guidance/internal implementation aid. Use as best practice or regulatory expectation; do not present as independent statutory force.</x:v>
      </x:c>
    </x:row>
    <x:row r="62">
      <x:c r="A62" s="30" t="str">
        <x:v>LAW061</x:v>
      </x:c>
      <x:c r="B62" s="30" t="str">
        <x:v>Pharmacy</x:v>
      </x:c>
      <x:c r="C62" s="30" t="str">
        <x:v>Pharmacy</x:v>
      </x:c>
      <x:c r="D62" s="30" t="str">
        <x:v>All</x:v>
      </x:c>
      <x:c r="E62" s="30" t="str">
        <x:v>CDSCO</x:v>
      </x:c>
      <x:c r="F62" s="30" t="str">
        <x:v>Central</x:v>
      </x:c>
      <x:c r="G62" s="30" t="str">
        <x:v>Guideline</x:v>
      </x:c>
      <x:c r="H62" s="30" t="str">
        <x:v>LAW001</x:v>
      </x:c>
      <x:c r="I62" s="30" t="str">
        <x:v>Good Storage Practices (GSP)</x:v>
      </x:c>
      <x:c r="J62" s="30" t="str">
        <x:v>-</x:v>
      </x:c>
      <x:c r="K62" s="30" t="str">
        <x:v>Best Practice</x:v>
      </x:c>
      <x:c r="L62" s="30" t="str">
        <x:v>Drug storage</x:v>
      </x:c>
      <x:c r="M62" s="30" t="str">
        <x:v>Yes</x:v>
      </x:c>
      <x:c r="N62" s="30" t="str">
        <x:v>As Notified</x:v>
      </x:c>
      <x:c r="O62" s="30" t="str">
        <x:v>P-4 RECLASSIFIED: non-statutory guidance/internal implementation aid. Use as best practice or regulatory expectation; do not present as independent statutory force.</x:v>
      </x:c>
    </x:row>
    <x:row r="63">
      <x:c r="A63" s="30" t="str">
        <x:v>LAW062</x:v>
      </x:c>
      <x:c r="B63" s="30" t="str">
        <x:v>Quality Management</x:v>
      </x:c>
      <x:c r="C63" s="30" t="str">
        <x:v>Pharmacy</x:v>
      </x:c>
      <x:c r="D63" s="30" t="str">
        <x:v>All</x:v>
      </x:c>
      <x:c r="E63" s="30" t="str">
        <x:v>CDSCO</x:v>
      </x:c>
      <x:c r="F63" s="30" t="str">
        <x:v>Central</x:v>
      </x:c>
      <x:c r="G63" s="30" t="str">
        <x:v>Guideline</x:v>
      </x:c>
      <x:c r="H63" s="30" t="str">
        <x:v>LAW001</x:v>
      </x:c>
      <x:c r="I63" s="30" t="str">
        <x:v>Product Recall and Rapid Alert Guidelines</x:v>
      </x:c>
      <x:c r="J63" s="30" t="str">
        <x:v>-</x:v>
      </x:c>
      <x:c r="K63" s="30" t="str">
        <x:v>Best Practice</x:v>
      </x:c>
      <x:c r="L63" s="30" t="str">
        <x:v>Product recall initiated</x:v>
      </x:c>
      <x:c r="M63" s="30" t="str">
        <x:v>Yes</x:v>
      </x:c>
      <x:c r="N63" s="30" t="str">
        <x:v>As Notified</x:v>
      </x:c>
      <x:c r="O63" s="30" t="str">
        <x:v>P-4 RECLASSIFIED: non-statutory guidance/internal implementation aid. Use as best practice or regulatory expectation; do not present as independent statutory force.</x:v>
      </x:c>
    </x:row>
    <x:row r="64">
      <x:c r="A64" s="30" t="str">
        <x:v>LAW063</x:v>
      </x:c>
      <x:c r="B64" s="30" t="str">
        <x:v>Quality Management</x:v>
      </x:c>
      <x:c r="C64" s="30" t="str">
        <x:v>Pharmacy</x:v>
      </x:c>
      <x:c r="D64" s="30" t="str">
        <x:v>All</x:v>
      </x:c>
      <x:c r="E64" s="30" t="str">
        <x:v>CDSCO</x:v>
      </x:c>
      <x:c r="F64" s="30" t="str">
        <x:v>Central</x:v>
      </x:c>
      <x:c r="G64" s="30" t="str">
        <x:v>Guideline</x:v>
      </x:c>
      <x:c r="H64" s="30" t="str">
        <x:v>LAW001</x:v>
      </x:c>
      <x:c r="I64" s="30" t="str">
        <x:v>Drug Complaint Handling Guidelines</x:v>
      </x:c>
      <x:c r="J64" s="30" t="str">
        <x:v>-</x:v>
      </x:c>
      <x:c r="K64" s="30" t="str">
        <x:v>Best Practice</x:v>
      </x:c>
      <x:c r="L64" s="30" t="str">
        <x:v>Receipt of product complaint</x:v>
      </x:c>
      <x:c r="M64" s="30" t="str">
        <x:v>Yes</x:v>
      </x:c>
      <x:c r="N64" s="30" t="str">
        <x:v>As Notified</x:v>
      </x:c>
      <x:c r="O64" s="30" t="str">
        <x:v>P-4 RECLASSIFIED: non-statutory guidance/internal implementation aid. Use as best practice or regulatory expectation; do not present as independent statutory force.</x:v>
      </x:c>
    </x:row>
    <x:row r="65">
      <x:c r="A65" s="30" t="str">
        <x:v>LAW064</x:v>
      </x:c>
      <x:c r="B65" s="30" t="str">
        <x:v>Quality Management</x:v>
      </x:c>
      <x:c r="C65" s="30" t="str">
        <x:v>Pharmacy</x:v>
      </x:c>
      <x:c r="D65" s="30" t="str">
        <x:v>All</x:v>
      </x:c>
      <x:c r="E65" s="30" t="str">
        <x:v>CDSCO</x:v>
      </x:c>
      <x:c r="F65" s="30" t="str">
        <x:v>Central</x:v>
      </x:c>
      <x:c r="G65" s="30" t="str">
        <x:v>Guideline</x:v>
      </x:c>
      <x:c r="H65" s="30" t="str">
        <x:v>LAW001</x:v>
      </x:c>
      <x:c r="I65" s="30" t="str">
        <x:v>Pharmacovigilance Programme of India (PvPI) Guidelines</x:v>
      </x:c>
      <x:c r="J65" s="30" t="str">
        <x:v>-</x:v>
      </x:c>
      <x:c r="K65" s="30" t="str">
        <x:v>Best Practice</x:v>
      </x:c>
      <x:c r="L65" s="30" t="str">
        <x:v>Reporting adverse drug reactions</x:v>
      </x:c>
      <x:c r="M65" s="30" t="str">
        <x:v>Yes</x:v>
      </x:c>
      <x:c r="N65" s="30" t="str">
        <x:v>As Notified</x:v>
      </x:c>
      <x:c r="O65" s="30" t="str">
        <x:v>P-4 RECLASSIFIED: non-statutory guidance/internal implementation aid. Use as best practice or regulatory expectation; do not present as independent statutory force.</x:v>
      </x:c>
    </x:row>
    <x:row r="66">
      <x:c r="A66" s="30" t="str">
        <x:v>LAW065</x:v>
      </x:c>
      <x:c r="B66" s="30" t="str">
        <x:v>Pharmacy</x:v>
      </x:c>
      <x:c r="C66" s="30" t="str">
        <x:v>Pharmacy</x:v>
      </x:c>
      <x:c r="D66" s="30" t="str">
        <x:v>Hospital Pharmacy</x:v>
      </x:c>
      <x:c r="E66" s="30" t="str">
        <x:v>CDSCO</x:v>
      </x:c>
      <x:c r="F66" s="30" t="str">
        <x:v>Central</x:v>
      </x:c>
      <x:c r="G66" s="30" t="str">
        <x:v>Guideline</x:v>
      </x:c>
      <x:c r="H66" s="30" t="str">
        <x:v>LAW001</x:v>
      </x:c>
      <x:c r="I66" s="30" t="str">
        <x:v>Cold Chain Management Guidelines for Vaccines and Biologicals</x:v>
      </x:c>
      <x:c r="J66" s="30" t="str">
        <x:v>-</x:v>
      </x:c>
      <x:c r="K66" s="30" t="str">
        <x:v>Best Practice</x:v>
      </x:c>
      <x:c r="L66" s="30" t="str">
        <x:v>Storage of vaccines or biological products</x:v>
      </x:c>
      <x:c r="M66" s="30" t="str">
        <x:v>Yes</x:v>
      </x:c>
      <x:c r="N66" s="30" t="str">
        <x:v>As Notified</x:v>
      </x:c>
      <x:c r="O66" s="30" t="str">
        <x:v>P-4 RECLASSIFIED: non-statutory guidance/internal implementation aid. Use as best practice or regulatory expectation; do not present as independent statutory force.</x:v>
      </x:c>
    </x:row>
    <x:row r="67">
      <x:c r="A67" s="30" t="str">
        <x:v>LAW066</x:v>
      </x:c>
      <x:c r="B67" s="30" t="str">
        <x:v>Import &amp; Export</x:v>
      </x:c>
      <x:c r="C67" s="30" t="str">
        <x:v>Pharmacy</x:v>
      </x:c>
      <x:c r="D67" s="30" t="str">
        <x:v>Wholesale Pharmacy</x:v>
      </x:c>
      <x:c r="E67" s="30" t="str">
        <x:v>CDSCO</x:v>
      </x:c>
      <x:c r="F67" s="30" t="str">
        <x:v>Central</x:v>
      </x:c>
      <x:c r="G67" s="30" t="str">
        <x:v>Rules</x:v>
      </x:c>
      <x:c r="H67" s="30" t="str">
        <x:v>LAW001</x:v>
      </x:c>
      <x:c r="I67" s="30" t="str">
        <x:v>Drugs and Cosmetics Rules – Import Provisions</x:v>
      </x:c>
      <x:c r="J67" s="30" t="str">
        <x:v>-</x:v>
      </x:c>
      <x:c r="K67" s="30" t="str">
        <x:v>Conditional</x:v>
      </x:c>
      <x:c r="L67" s="30" t="str">
        <x:v>Import of drugs</x:v>
      </x:c>
      <x:c r="M67" s="30" t="str">
        <x:v>No</x:v>
      </x:c>
      <x:c r="N67" s="30" t="str">
        <x:v>As Notified</x:v>
      </x:c>
      <x:c r="O67" s="30" t="str">
        <x:v>P-2 RETIRED/RECLASSIFIED: not an atomic standalone law. Applicable requirements are owned by LAW002 (Drugs Rules, 1945), its Rules/Schedules/Forms, or the controlled source/change register. Legacy Law ID retained for migration traceability.</x:v>
      </x:c>
    </x:row>
    <x:row r="68">
      <x:c r="A68" s="30" t="str">
        <x:v>LAW067</x:v>
      </x:c>
      <x:c r="B68" s="30" t="str">
        <x:v>Import &amp; Export</x:v>
      </x:c>
      <x:c r="C68" s="30" t="str">
        <x:v>Pharmacy</x:v>
      </x:c>
      <x:c r="D68" s="30" t="str">
        <x:v>Wholesale Pharmacy</x:v>
      </x:c>
      <x:c r="E68" s="30" t="str">
        <x:v>CDSCO</x:v>
      </x:c>
      <x:c r="F68" s="30" t="str">
        <x:v>Central</x:v>
      </x:c>
      <x:c r="G68" s="30" t="str">
        <x:v>Rules</x:v>
      </x:c>
      <x:c r="H68" s="30" t="str">
        <x:v>LAW001</x:v>
      </x:c>
      <x:c r="I68" s="30" t="str">
        <x:v>Drugs and Cosmetics Rules – Export Certification Provisions</x:v>
      </x:c>
      <x:c r="J68" s="30" t="str">
        <x:v>-</x:v>
      </x:c>
      <x:c r="K68" s="30" t="str">
        <x:v>Conditional</x:v>
      </x:c>
      <x:c r="L68" s="30" t="str">
        <x:v>Export of pharmaceutical products</x:v>
      </x:c>
      <x:c r="M68" s="30" t="str">
        <x:v>No</x:v>
      </x:c>
      <x:c r="N68" s="30" t="str">
        <x:v>As Notified</x:v>
      </x:c>
      <x:c r="O68" s="30" t="str">
        <x:v>P-2 RETIRED/RECLASSIFIED: not an atomic standalone law. Applicable requirements are owned by LAW002 (Drugs Rules, 1945), its Rules/Schedules/Forms, or the controlled source/change register. Legacy Law ID retained for migration traceability.</x:v>
      </x:c>
    </x:row>
    <x:row r="69">
      <x:c r="A69" s="30" t="str">
        <x:v>LAW068</x:v>
      </x:c>
      <x:c r="B69" s="30" t="str">
        <x:v>Import &amp; Export</x:v>
      </x:c>
      <x:c r="C69" s="30" t="str">
        <x:v>Pharmacy</x:v>
      </x:c>
      <x:c r="D69" s="30" t="str">
        <x:v>Wholesale Pharmacy</x:v>
      </x:c>
      <x:c r="E69" s="30" t="str">
        <x:v>CBIC</x:v>
      </x:c>
      <x:c r="F69" s="30" t="str">
        <x:v>Central</x:v>
      </x:c>
      <x:c r="G69" s="30" t="str">
        <x:v>Act</x:v>
      </x:c>
      <x:c r="H69" s="30" t="str">
        <x:v>-</x:v>
      </x:c>
      <x:c r="I69" s="30" t="str">
        <x:v>Customs Act, 1962</x:v>
      </x:c>
      <x:c r="J69" s="30" t="str">
        <x:v>-</x:v>
      </x:c>
      <x:c r="K69" s="30" t="str">
        <x:v>Conditional</x:v>
      </x:c>
      <x:c r="L69" s="30" t="str">
        <x:v>Import or export activities</x:v>
      </x:c>
      <x:c r="M69" s="30" t="str">
        <x:v>No</x:v>
      </x:c>
      <x:c r="N69" s="30" t="str">
        <x:v>Annual</x:v>
      </x:c>
      <x:c r="O69" s="30" t="str">
        <x:v>P-4 RECLASSIFIED: source family, generic jurisdiction placeholder, superseded/duplicative reference, or regulated role outside the approved pharmacy-operator taxonomy; exact applicable instrument must be attached before activation.</x:v>
      </x:c>
    </x:row>
    <x:row r="70">
      <x:c r="A70" s="30" t="str">
        <x:v>LAW069</x:v>
      </x:c>
      <x:c r="B70" s="30" t="str">
        <x:v>Import &amp; Export</x:v>
      </x:c>
      <x:c r="C70" s="30" t="str">
        <x:v>Pharmacy</x:v>
      </x:c>
      <x:c r="D70" s="30" t="str">
        <x:v>Wholesale Pharmacy</x:v>
      </x:c>
      <x:c r="E70" s="30" t="str">
        <x:v>DGFT</x:v>
      </x:c>
      <x:c r="F70" s="30" t="str">
        <x:v>Central</x:v>
      </x:c>
      <x:c r="G70" s="30" t="str">
        <x:v>Act</x:v>
      </x:c>
      <x:c r="H70" s="30" t="str">
        <x:v>-</x:v>
      </x:c>
      <x:c r="I70" s="30" t="str">
        <x:v>Foreign Trade (Development and Regulation) Act, 1992</x:v>
      </x:c>
      <x:c r="J70" s="30" t="str">
        <x:v>-</x:v>
      </x:c>
      <x:c r="K70" s="30" t="str">
        <x:v>Conditional</x:v>
      </x:c>
      <x:c r="L70" s="30" t="str">
        <x:v>Import or export licence requirements</x:v>
      </x:c>
      <x:c r="M70" s="30" t="str">
        <x:v>No</x:v>
      </x:c>
      <x:c r="N70" s="30" t="str">
        <x:v>Annual</x:v>
      </x:c>
      <x:c r="O70" s="30" t="str">
        <x:v>P-4 RECLASSIFIED: source family, generic jurisdiction placeholder, superseded/duplicative reference, or regulated role outside the approved pharmacy-operator taxonomy; exact applicable instrument must be attached before activation.</x:v>
      </x:c>
    </x:row>
    <x:row r="71">
      <x:c r="A71" s="30" t="str">
        <x:v>LAW070</x:v>
      </x:c>
      <x:c r="B71" s="30" t="str">
        <x:v>Import &amp; Export</x:v>
      </x:c>
      <x:c r="C71" s="30" t="str">
        <x:v>Pharmacy</x:v>
      </x:c>
      <x:c r="D71" s="30" t="str">
        <x:v>Wholesale Pharmacy</x:v>
      </x:c>
      <x:c r="E71" s="30" t="str">
        <x:v>DGFT</x:v>
      </x:c>
      <x:c r="F71" s="30" t="str">
        <x:v>Central</x:v>
      </x:c>
      <x:c r="G71" s="30" t="str">
        <x:v>Policy</x:v>
      </x:c>
      <x:c r="H71" s="30" t="str">
        <x:v>LAW069</x:v>
      </x:c>
      <x:c r="I71" s="30" t="str">
        <x:v>Foreign Trade Policy (Current)</x:v>
      </x:c>
      <x:c r="J71" s="30" t="str">
        <x:v>-</x:v>
      </x:c>
      <x:c r="K71" s="30" t="str">
        <x:v>Conditional</x:v>
      </x:c>
      <x:c r="L71" s="30" t="str">
        <x:v>Import/export of pharmaceutical products</x:v>
      </x:c>
      <x:c r="M71" s="30" t="str">
        <x:v>No</x:v>
      </x:c>
      <x:c r="N71" s="30" t="str">
        <x:v>As Notified</x:v>
      </x:c>
      <x:c r="O71" s="30" t="str">
        <x:v>P-4 RECLASSIFIED: source family, generic jurisdiction placeholder, superseded/duplicative reference, or regulated role outside the approved pharmacy-operator taxonomy; exact applicable instrument must be attached before activation.</x:v>
      </x:c>
    </x:row>
    <x:row r="72">
      <x:c r="A72" s="30" t="str">
        <x:v>LAW071</x:v>
      </x:c>
      <x:c r="B72" s="30" t="str">
        <x:v>Pharmacy</x:v>
      </x:c>
      <x:c r="C72" s="30" t="str">
        <x:v>Pharmacy</x:v>
      </x:c>
      <x:c r="D72" s="30" t="str">
        <x:v>E-Pharmacy</x:v>
      </x:c>
      <x:c r="E72" s="30" t="str">
        <x:v>CDSCO</x:v>
      </x:c>
      <x:c r="F72" s="30" t="str">
        <x:v>Central</x:v>
      </x:c>
      <x:c r="G72" s="30" t="str">
        <x:v>Advisory</x:v>
      </x:c>
      <x:c r="H72" s="30" t="str">
        <x:v>LAW001</x:v>
      </x:c>
      <x:c r="I72" s="30" t="str">
        <x:v>CDSCO Advisories on Online Sale of Drugs</x:v>
      </x:c>
      <x:c r="J72" s="30" t="str">
        <x:v>-</x:v>
      </x:c>
      <x:c r="K72" s="30" t="str">
        <x:v>Conditional</x:v>
      </x:c>
      <x:c r="L72" s="30" t="str">
        <x:v>Online sale of medicines</x:v>
      </x:c>
      <x:c r="M72" s="30" t="str">
        <x:v>No</x:v>
      </x:c>
      <x:c r="N72" s="30" t="str">
        <x:v>As Notified</x:v>
      </x:c>
      <x:c r="O72" s="30" t="str">
        <x:v>P-4 RECLASSIFIED: source family, generic jurisdiction placeholder, superseded/duplicative reference, or regulated role outside the approved pharmacy-operator taxonomy; exact applicable instrument must be attached before activation.</x:v>
      </x:c>
    </x:row>
    <x:row r="73">
      <x:c r="A73" s="30" t="str">
        <x:v>LAW072</x:v>
      </x:c>
      <x:c r="B73" s="30" t="str">
        <x:v>Pharmacy</x:v>
      </x:c>
      <x:c r="C73" s="30" t="str">
        <x:v>Pharmacy</x:v>
      </x:c>
      <x:c r="D73" s="30" t="str">
        <x:v>All</x:v>
      </x:c>
      <x:c r="E73" s="30" t="str">
        <x:v>CDSCO</x:v>
      </x:c>
      <x:c r="F73" s="30" t="str">
        <x:v>Central</x:v>
      </x:c>
      <x:c r="G73" s="30" t="str">
        <x:v>Notification</x:v>
      </x:c>
      <x:c r="H73" s="30" t="str">
        <x:v>LAW001</x:v>
      </x:c>
      <x:c r="I73" s="30" t="str">
        <x:v>CDSCO Licensing Circulars and Clarifications</x:v>
      </x:c>
      <x:c r="J73" s="30" t="str">
        <x:v>-</x:v>
      </x:c>
      <x:c r="K73" s="30" t="str">
        <x:v>Conditional</x:v>
      </x:c>
      <x:c r="L73" s="30" t="str">
        <x:v>Drug licence holder</x:v>
      </x:c>
      <x:c r="M73" s="30" t="str">
        <x:v>No</x:v>
      </x:c>
      <x:c r="N73" s="30" t="str">
        <x:v>As Notified</x:v>
      </x:c>
      <x:c r="O73" s="30" t="str">
        <x:v>P-4 RECLASSIFIED: source family, generic jurisdiction placeholder, superseded/duplicative reference, or regulated role outside the approved pharmacy-operator taxonomy; exact applicable instrument must be attached before activation.</x:v>
      </x:c>
    </x:row>
    <x:row r="74">
      <x:c r="A74" s="30" t="str">
        <x:v>LAW073</x:v>
      </x:c>
      <x:c r="B74" s="30" t="str">
        <x:v>Pharmacy</x:v>
      </x:c>
      <x:c r="C74" s="30" t="str">
        <x:v>Pharmacy</x:v>
      </x:c>
      <x:c r="D74" s="30" t="str">
        <x:v>All</x:v>
      </x:c>
      <x:c r="E74" s="30" t="str">
        <x:v>DCGI</x:v>
      </x:c>
      <x:c r="F74" s="30" t="str">
        <x:v>Central</x:v>
      </x:c>
      <x:c r="G74" s="30" t="str">
        <x:v>Circular</x:v>
      </x:c>
      <x:c r="H74" s="30" t="str">
        <x:v>LAW001</x:v>
      </x:c>
      <x:c r="I74" s="30" t="str">
        <x:v>DCGI Circulars and Office Orders</x:v>
      </x:c>
      <x:c r="J74" s="30" t="str">
        <x:v>-</x:v>
      </x:c>
      <x:c r="K74" s="30" t="str">
        <x:v>Conditional</x:v>
      </x:c>
      <x:c r="L74" s="30" t="str">
        <x:v>Regulated pharmacy operations</x:v>
      </x:c>
      <x:c r="M74" s="30" t="str">
        <x:v>No</x:v>
      </x:c>
      <x:c r="N74" s="30" t="str">
        <x:v>As Notified</x:v>
      </x:c>
      <x:c r="O74" s="30" t="str">
        <x:v>P-4 RECLASSIFIED: source family, generic jurisdiction placeholder, superseded/duplicative reference, or regulated role outside the approved pharmacy-operator taxonomy; exact applicable instrument must be attached before activation.</x:v>
      </x:c>
    </x:row>
    <x:row r="75">
      <x:c r="A75" s="30" t="str">
        <x:v>LAW074</x:v>
      </x:c>
      <x:c r="B75" s="30" t="str">
        <x:v>Pricing</x:v>
      </x:c>
      <x:c r="C75" s="30" t="str">
        <x:v>Pharmacy</x:v>
      </x:c>
      <x:c r="D75" s="30" t="str">
        <x:v>All</x:v>
      </x:c>
      <x:c r="E75" s="30" t="str">
        <x:v>NPPA</x:v>
      </x:c>
      <x:c r="F75" s="30" t="str">
        <x:v>Central</x:v>
      </x:c>
      <x:c r="G75" s="30" t="str">
        <x:v>Notification</x:v>
      </x:c>
      <x:c r="H75" s="30" t="str">
        <x:v>LAW006</x:v>
      </x:c>
      <x:c r="I75" s="30" t="str">
        <x:v>Annual Ceiling Price Notifications</x:v>
      </x:c>
      <x:c r="J75" s="30" t="str">
        <x:v>-</x:v>
      </x:c>
      <x:c r="K75" s="30" t="str">
        <x:v>Conditional</x:v>
      </x:c>
      <x:c r="L75" s="30" t="str">
        <x:v>Sale of scheduled formulations</x:v>
      </x:c>
      <x:c r="M75" s="30" t="str">
        <x:v>No</x:v>
      </x:c>
      <x:c r="N75" s="30" t="str">
        <x:v>As Notified</x:v>
      </x:c>
      <x:c r="O75" s="30" t="str">
        <x:v>P-4 RECLASSIFIED: source family, generic jurisdiction placeholder, superseded/duplicative reference, or regulated role outside the approved pharmacy-operator taxonomy; exact applicable instrument must be attached before activation.</x:v>
      </x:c>
    </x:row>
    <x:row r="76">
      <x:c r="A76" s="30" t="str">
        <x:v>LAW075</x:v>
      </x:c>
      <x:c r="B76" s="30" t="str">
        <x:v>Pharmacy</x:v>
      </x:c>
      <x:c r="C76" s="30" t="str">
        <x:v>Pharmacy</x:v>
      </x:c>
      <x:c r="D76" s="30" t="str">
        <x:v>All</x:v>
      </x:c>
      <x:c r="E76" s="30" t="str">
        <x:v>CDSCO</x:v>
      </x:c>
      <x:c r="F76" s="30" t="str">
        <x:v>Central</x:v>
      </x:c>
      <x:c r="G76" s="30" t="str">
        <x:v>Advisory</x:v>
      </x:c>
      <x:c r="H76" s="30" t="str">
        <x:v>LAW001</x:v>
      </x:c>
      <x:c r="I76" s="30" t="str">
        <x:v>CDSCO Safety Alerts, Drug Alerts and Recall Advisories</x:v>
      </x:c>
      <x:c r="J76" s="30" t="str">
        <x:v>-</x:v>
      </x:c>
      <x:c r="K76" s="30" t="str">
        <x:v>Conditional</x:v>
      </x:c>
      <x:c r="L76" s="30" t="str">
        <x:v>Safety alert or recall issued</x:v>
      </x:c>
      <x:c r="M76" s="30" t="str">
        <x:v>No</x:v>
      </x:c>
      <x:c r="N76" s="30" t="str">
        <x:v>Event Based</x:v>
      </x:c>
      <x:c r="O76" s="30" t="str">
        <x:v>P-4 RECLASSIFIED: source family, generic jurisdiction placeholder, superseded/duplicative reference, or regulated role outside the approved pharmacy-operator taxonomy; exact applicable instrument must be attached before activation.</x:v>
      </x:c>
    </x:row>
    <x:row r="77">
      <x:c r="A77" s="30" t="str">
        <x:v>LAW076</x:v>
      </x:c>
      <x:c r="B77" s="30" t="str">
        <x:v>Pharmacy</x:v>
      </x:c>
      <x:c r="C77" s="30" t="str">
        <x:v>Pharmacy</x:v>
      </x:c>
      <x:c r="D77" s="30" t="str">
        <x:v>All</x:v>
      </x:c>
      <x:c r="E77" s="30" t="str">
        <x:v>State Drug Control Administration</x:v>
      </x:c>
      <x:c r="F77" s="30" t="str">
        <x:v>State</x:v>
      </x:c>
      <x:c r="G77" s="30" t="str">
        <x:v>Rules</x:v>
      </x:c>
      <x:c r="H77" s="30" t="str">
        <x:v>LAW002</x:v>
      </x:c>
      <x:c r="I77" s="30" t="str">
        <x:v>State Drugs Control Rules / Licensing Procedures</x:v>
      </x:c>
      <x:c r="J77" s="30" t="str">
        <x:v>-</x:v>
      </x:c>
      <x:c r="K77" s="30" t="str">
        <x:v>Conditional</x:v>
      </x:c>
      <x:c r="L77" s="30" t="str">
        <x:v>Drug licence issued by the respective State Authority</x:v>
      </x:c>
      <x:c r="M77" s="30" t="str">
        <x:v>No</x:v>
      </x:c>
      <x:c r="N77" s="30" t="str">
        <x:v>As Notified</x:v>
      </x:c>
      <x:c r="O77" s="30" t="str">
        <x:v>P-4 RECLASSIFIED: source family, generic jurisdiction placeholder, superseded/duplicative reference, or regulated role outside the approved pharmacy-operator taxonomy; exact applicable instrument must be attached before activation.</x:v>
      </x:c>
    </x:row>
    <x:row r="78">
      <x:c r="A78" s="30" t="str">
        <x:v>LAW077</x:v>
      </x:c>
      <x:c r="B78" s="30" t="str">
        <x:v>Pharmacy</x:v>
      </x:c>
      <x:c r="C78" s="30" t="str">
        <x:v>Pharmacy</x:v>
      </x:c>
      <x:c r="D78" s="30" t="str">
        <x:v>All</x:v>
      </x:c>
      <x:c r="E78" s="30" t="str">
        <x:v>State Drug Control Administration</x:v>
      </x:c>
      <x:c r="F78" s="30" t="str">
        <x:v>State</x:v>
      </x:c>
      <x:c r="G78" s="30" t="str">
        <x:v>Circular</x:v>
      </x:c>
      <x:c r="H78" s="30" t="str">
        <x:v>LAW076</x:v>
      </x:c>
      <x:c r="I78" s="30" t="str">
        <x:v>State Drug Controller Circulars &amp; Orders</x:v>
      </x:c>
      <x:c r="J78" s="30" t="str">
        <x:v>-</x:v>
      </x:c>
      <x:c r="K78" s="30" t="str">
        <x:v>Conditional</x:v>
      </x:c>
      <x:c r="L78" s="30" t="str">
        <x:v>State drug licence holder</x:v>
      </x:c>
      <x:c r="M78" s="30" t="str">
        <x:v>No</x:v>
      </x:c>
      <x:c r="N78" s="30" t="str">
        <x:v>As Notified</x:v>
      </x:c>
      <x:c r="O78" s="30" t="str">
        <x:v>P-4 RECLASSIFIED: source family, generic jurisdiction placeholder, superseded/duplicative reference, or regulated role outside the approved pharmacy-operator taxonomy; exact applicable instrument must be attached before activation.</x:v>
      </x:c>
    </x:row>
    <x:row r="79">
      <x:c r="A79" s="30" t="str">
        <x:v>LAW078</x:v>
      </x:c>
      <x:c r="B79" s="30" t="str">
        <x:v>Pharmacy</x:v>
      </x:c>
      <x:c r="C79" s="30" t="str">
        <x:v>Pharmacy</x:v>
      </x:c>
      <x:c r="D79" s="30" t="str">
        <x:v>All</x:v>
      </x:c>
      <x:c r="E79" s="30" t="str">
        <x:v>State Pharmacy Council</x:v>
      </x:c>
      <x:c r="F79" s="30" t="str">
        <x:v>State</x:v>
      </x:c>
      <x:c r="G79" s="30" t="str">
        <x:v>Regulations</x:v>
      </x:c>
      <x:c r="H79" s="30" t="str">
        <x:v>LAW004</x:v>
      </x:c>
      <x:c r="I79" s="30" t="str">
        <x:v>State Pharmacy Council Regulations</x:v>
      </x:c>
      <x:c r="J79" s="30" t="str">
        <x:v>-</x:v>
      </x:c>
      <x:c r="K79" s="30" t="str">
        <x:v>Conditional</x:v>
      </x:c>
      <x:c r="L79" s="30" t="str">
        <x:v>Employment of registered pharmacists</x:v>
      </x:c>
      <x:c r="M79" s="30" t="str">
        <x:v>No</x:v>
      </x:c>
      <x:c r="N79" s="30" t="str">
        <x:v>As Notified</x:v>
      </x:c>
      <x:c r="O79" s="30" t="str">
        <x:v>P-4 RECLASSIFIED: source family, generic jurisdiction placeholder, superseded/duplicative reference, or regulated role outside the approved pharmacy-operator taxonomy; exact applicable instrument must be attached before activation.</x:v>
      </x:c>
    </x:row>
    <x:row r="80">
      <x:c r="A80" s="30" t="str">
        <x:v>LAW079</x:v>
      </x:c>
      <x:c r="B80" s="30" t="str">
        <x:v>Pharmacy</x:v>
      </x:c>
      <x:c r="C80" s="30" t="str">
        <x:v>Pharmacy</x:v>
      </x:c>
      <x:c r="D80" s="30" t="str">
        <x:v>All</x:v>
      </x:c>
      <x:c r="E80" s="30" t="str">
        <x:v>Pharmacy Council of India</x:v>
      </x:c>
      <x:c r="F80" s="30" t="str">
        <x:v>Central</x:v>
      </x:c>
      <x:c r="G80" s="30" t="str">
        <x:v>Regulations</x:v>
      </x:c>
      <x:c r="H80" s="30" t="str">
        <x:v>LAW004</x:v>
      </x:c>
      <x:c r="I80" s="30" t="str">
        <x:v>Pharmacy Practice Regulations, 2015</x:v>
      </x:c>
      <x:c r="J80" s="30" t="str">
        <x:v>-</x:v>
      </x:c>
      <x:c r="K80" s="30" t="str">
        <x:v>Mandatory</x:v>
      </x:c>
      <x:c r="L80" s="30" t="str">
        <x:v>Registered Pharmacist engaged in pharmacy practice</x:v>
      </x:c>
      <x:c r="M80" s="30" t="str">
        <x:v>Yes</x:v>
      </x:c>
      <x:c r="N80" s="30" t="str">
        <x:v>As Notified</x:v>
      </x:c>
      <x:c r="O80" s="30" t="str">
        <x:v>Professional standards for pharmacy practice.</x:v>
      </x:c>
    </x:row>
    <x:row r="81">
      <x:c r="A81" s="30" t="str">
        <x:v>LAW080</x:v>
      </x:c>
      <x:c r="B81" s="30" t="str">
        <x:v>Pharmacy</x:v>
      </x:c>
      <x:c r="C81" s="30" t="str">
        <x:v>Pharmacy</x:v>
      </x:c>
      <x:c r="D81" s="30" t="str">
        <x:v>Hospital Pharmacy</x:v>
      </x:c>
      <x:c r="E81" s="30" t="str">
        <x:v>MoHFW</x:v>
      </x:c>
      <x:c r="F81" s="30" t="str">
        <x:v>Central</x:v>
      </x:c>
      <x:c r="G81" s="30" t="str">
        <x:v>Act</x:v>
      </x:c>
      <x:c r="H81" s="30" t="str">
        <x:v>-</x:v>
      </x:c>
      <x:c r="I81" s="30" t="str">
        <x:v>Clinical Establishments (Registration and Regulation) Act, 2010</x:v>
      </x:c>
      <x:c r="J81" s="30" t="str">
        <x:v>-</x:v>
      </x:c>
      <x:c r="K81" s="30" t="str">
        <x:v>Conditional</x:v>
      </x:c>
      <x:c r="L81" s="30" t="str">
        <x:v>Hospital or institutional pharmacy forms part of a clinical establishment in a State/UT where the central Act applies or an exact State adoption/instrument applies</x:v>
      </x:c>
      <x:c r="M81" s="30" t="str">
        <x:v>Yes</x:v>
      </x:c>
      <x:c r="N81" s="30" t="str">
        <x:v>As Notified</x:v>
      </x:c>
      <x:c r="O81" s="30" t="str">
        <x:v>Conditional entity/jurisdiction overlay; does not apply to an ordinary standalone retail or wholesale pharmacy merely because it sells medicines.</x:v>
      </x:c>
    </x:row>
    <x:row r="82">
      <x:c r="A82" s="30" t="str">
        <x:v>LAW081</x:v>
      </x:c>
      <x:c r="B82" s="30" t="str">
        <x:v>Pharmacy</x:v>
      </x:c>
      <x:c r="C82" s="30" t="str">
        <x:v>Pharmacy</x:v>
      </x:c>
      <x:c r="D82" s="30" t="str">
        <x:v>Hospital Pharmacy</x:v>
      </x:c>
      <x:c r="E82" s="30" t="str">
        <x:v>State Government</x:v>
      </x:c>
      <x:c r="F82" s="30" t="str">
        <x:v>State</x:v>
      </x:c>
      <x:c r="G82" s="30" t="str">
        <x:v>Act</x:v>
      </x:c>
      <x:c r="H82" s="30" t="str">
        <x:v>LAW080</x:v>
      </x:c>
      <x:c r="I82" s="30" t="str">
        <x:v>State Clinical Establishment Rules</x:v>
      </x:c>
      <x:c r="J82" s="30" t="str">
        <x:v>-</x:v>
      </x:c>
      <x:c r="K82" s="30" t="str">
        <x:v>Conditional</x:v>
      </x:c>
      <x:c r="L82" s="30" t="str">
        <x:v>Hospital pharmacy in applicable State</x:v>
      </x:c>
      <x:c r="M82" s="30" t="str">
        <x:v>No</x:v>
      </x:c>
      <x:c r="N82" s="30" t="str">
        <x:v>As Notified</x:v>
      </x:c>
      <x:c r="O82" s="30" t="str">
        <x:v>P-4 RECLASSIFIED: source family, generic jurisdiction placeholder, superseded/duplicative reference, or regulated role outside the approved pharmacy-operator taxonomy; exact applicable instrument must be attached before activation.</x:v>
      </x:c>
    </x:row>
    <x:row r="83">
      <x:c r="A83" s="30" t="str">
        <x:v>LAW082</x:v>
      </x:c>
      <x:c r="B83" s="30" t="str">
        <x:v>Pharmacy</x:v>
      </x:c>
      <x:c r="C83" s="30" t="str">
        <x:v>Pharmacy</x:v>
      </x:c>
      <x:c r="D83" s="30" t="str">
        <x:v>All</x:v>
      </x:c>
      <x:c r="E83" s="30" t="str">
        <x:v>CPCB / SPCB</x:v>
      </x:c>
      <x:c r="F83" s="30" t="str">
        <x:v>Central &amp; State</x:v>
      </x:c>
      <x:c r="G83" s="30" t="str">
        <x:v>Authorization / Permit Conditions</x:v>
      </x:c>
      <x:c r="H83" s="30" t="str">
        <x:v>LAW018</x:v>
      </x:c>
      <x:c r="I83" s="30" t="str">
        <x:v>Bio-Medical Waste Authorization Conditions — Permit Instance</x:v>
      </x:c>
      <x:c r="J83" s="30" t="str">
        <x:v>-</x:v>
      </x:c>
      <x:c r="K83" s="30" t="str">
        <x:v>Conditional</x:v>
      </x:c>
      <x:c r="L83" s="30" t="str">
        <x:v>Biomedical waste authorization obtained</x:v>
      </x:c>
      <x:c r="M83" s="30" t="str">
        <x:v>No</x:v>
      </x:c>
      <x:c r="N83" s="30" t="str">
        <x:v>As Notified</x:v>
      </x:c>
      <x:c r="O83" s="30" t="str">
        <x:v>P-3 RECLASSIFIED: entity-specific permit conditions are evidence under LAW018, not an atomic central law.</x:v>
      </x:c>
    </x:row>
    <x:row r="84">
      <x:c r="A84" s="30" t="str">
        <x:v>LAW083</x:v>
      </x:c>
      <x:c r="B84" s="30" t="str">
        <x:v>Fire &amp; Safety</x:v>
      </x:c>
      <x:c r="C84" s="30" t="str">
        <x:v>Pharmacy</x:v>
      </x:c>
      <x:c r="D84" s="30" t="str">
        <x:v>All</x:v>
      </x:c>
      <x:c r="E84" s="30" t="str">
        <x:v>Fire Department</x:v>
      </x:c>
      <x:c r="F84" s="30" t="str">
        <x:v>State</x:v>
      </x:c>
      <x:c r="G84" s="30" t="str">
        <x:v>NOC</x:v>
      </x:c>
      <x:c r="H84" s="30" t="str">
        <x:v>LAW021</x:v>
      </x:c>
      <x:c r="I84" s="30" t="str">
        <x:v>Fire NOC Conditions — Permit Instance</x:v>
      </x:c>
      <x:c r="J84" s="30" t="str">
        <x:v>-</x:v>
      </x:c>
      <x:c r="K84" s="30" t="str">
        <x:v>Conditional</x:v>
      </x:c>
      <x:c r="L84" s="30" t="str">
        <x:v>Premises requiring Fire NOC</x:v>
      </x:c>
      <x:c r="M84" s="30" t="str">
        <x:v>No</x:v>
      </x:c>
      <x:c r="N84" s="30" t="str">
        <x:v>As Notified</x:v>
      </x:c>
      <x:c r="O84" s="30" t="str">
        <x:v>P-3 JURISDICTION-REQUIRED: retain the actual NOC as evidence after exact State/local law and premises trigger are resolved.</x:v>
      </x:c>
    </x:row>
    <x:row r="85">
      <x:c r="A85" s="30" t="str">
        <x:v>LAW084</x:v>
      </x:c>
      <x:c r="B85" s="30" t="str">
        <x:v>Municipal Administration</x:v>
      </x:c>
      <x:c r="C85" s="30" t="str">
        <x:v>Pharmacy</x:v>
      </x:c>
      <x:c r="D85" s="30" t="str">
        <x:v>All</x:v>
      </x:c>
      <x:c r="E85" s="30" t="str">
        <x:v>Municipal Authority</x:v>
      </x:c>
      <x:c r="F85" s="30" t="str">
        <x:v>Local</x:v>
      </x:c>
      <x:c r="G85" s="30" t="str">
        <x:v>Licence</x:v>
      </x:c>
      <x:c r="H85" s="30" t="str">
        <x:v>LAW022</x:v>
      </x:c>
      <x:c r="I85" s="30" t="str">
        <x:v>Trade Licence Conditions — Permit Instance</x:v>
      </x:c>
      <x:c r="J85" s="30" t="str">
        <x:v>-</x:v>
      </x:c>
      <x:c r="K85" s="30" t="str">
        <x:v>Conditional</x:v>
      </x:c>
      <x:c r="L85" s="30" t="str">
        <x:v>Holding municipal trade licence</x:v>
      </x:c>
      <x:c r="M85" s="30" t="str">
        <x:v>No</x:v>
      </x:c>
      <x:c r="N85" s="30" t="str">
        <x:v>Annual</x:v>
      </x:c>
      <x:c r="O85" s="30" t="str">
        <x:v>P-3 JURISDICTION-REQUIRED: retain the actual licence as evidence after exact municipal law and conditions are resolved.</x:v>
      </x:c>
    </x:row>
    <x:row r="86">
      <x:c r="A86" s="30" t="str">
        <x:v>LAW085</x:v>
      </x:c>
      <x:c r="B86" s="30" t="str">
        <x:v>Municipal Administration</x:v>
      </x:c>
      <x:c r="C86" s="30" t="str">
        <x:v>Pharmacy</x:v>
      </x:c>
      <x:c r="D86" s="30" t="str">
        <x:v>All</x:v>
      </x:c>
      <x:c r="E86" s="30" t="str">
        <x:v>Municipal Authority</x:v>
      </x:c>
      <x:c r="F86" s="30" t="str">
        <x:v>Local</x:v>
      </x:c>
      <x:c r="G86" s="30" t="str">
        <x:v>By-laws</x:v>
      </x:c>
      <x:c r="H86" s="30" t="str">
        <x:v>LAW022</x:v>
      </x:c>
      <x:c r="I86" s="30" t="str">
        <x:v>Building and Occupancy By-laws — Jurisdiction Template</x:v>
      </x:c>
      <x:c r="J86" s="30" t="str">
        <x:v>-</x:v>
      </x:c>
      <x:c r="K86" s="30" t="str">
        <x:v>Conditional</x:v>
      </x:c>
      <x:c r="L86" s="30" t="str">
        <x:v>Commercial premises used as pharmacy</x:v>
      </x:c>
      <x:c r="M86" s="30" t="str">
        <x:v>No</x:v>
      </x:c>
      <x:c r="N86" s="30" t="str">
        <x:v>As Notified</x:v>
      </x:c>
      <x:c r="O86" s="30" t="str">
        <x:v>P-3 JURISDICTION-REQUIRED: generic Building Rule 1/2/3 references are not legally sufficient.</x:v>
      </x:c>
    </x:row>
    <x:row r="87">
      <x:c r="A87" s="30" t="str">
        <x:v>LAW086</x:v>
      </x:c>
      <x:c r="B87" s="30" t="str">
        <x:v>Consumer Protection</x:v>
      </x:c>
      <x:c r="C87" s="30" t="str">
        <x:v>Pharmacy</x:v>
      </x:c>
      <x:c r="D87" s="30" t="str">
        <x:v>All</x:v>
      </x:c>
      <x:c r="E87" s="30" t="str">
        <x:v>CCPA</x:v>
      </x:c>
      <x:c r="F87" s="30" t="str">
        <x:v>Central</x:v>
      </x:c>
      <x:c r="G87" s="30" t="str">
        <x:v>Guidelines</x:v>
      </x:c>
      <x:c r="H87" s="30" t="str">
        <x:v>LAW038</x:v>
      </x:c>
      <x:c r="I87" s="30" t="str">
        <x:v>Guidelines for Prevention of Misleading Advertisements and Endorsements for Misleading Advertisements, 2022</x:v>
      </x:c>
      <x:c r="J87" s="30" t="str">
        <x:v>-</x:v>
      </x:c>
      <x:c r="K87" s="30" t="str">
        <x:v>Conditional</x:v>
      </x:c>
      <x:c r="L87" s="30" t="str">
        <x:v>The pharmacy creates, causes, publishes or endorses an advertisement</x:v>
      </x:c>
      <x:c r="M87" s="30" t="str">
        <x:v>Yes</x:v>
      </x:c>
      <x:c r="N87" s="30" t="str">
        <x:v>As Notified</x:v>
      </x:c>
      <x:c r="O87" s="30" t="str">
        <x:v>Current CCPA Guidelines; read cumulatively with the Consumer Protection Act and drug-specific advertising prohibitions.</x:v>
      </x:c>
    </x:row>
    <x:row r="88">
      <x:c r="A88" s="30" t="str">
        <x:v>LAW087</x:v>
      </x:c>
      <x:c r="B88" s="30" t="str">
        <x:v>Pharmacy</x:v>
      </x:c>
      <x:c r="C88" s="30" t="str">
        <x:v>Pharmacy</x:v>
      </x:c>
      <x:c r="D88" s="30" t="str">
        <x:v>All</x:v>
      </x:c>
      <x:c r="E88" s="30" t="str">
        <x:v>MoHFW</x:v>
      </x:c>
      <x:c r="F88" s="30" t="str">
        <x:v>Central</x:v>
      </x:c>
      <x:c r="G88" s="30" t="str">
        <x:v>Act</x:v>
      </x:c>
      <x:c r="H88" s="30" t="str">
        <x:v>-</x:v>
      </x:c>
      <x:c r="I88" s="30" t="str">
        <x:v>Drugs and Magic Remedies (Objectionable Advertisement) Act, 1954</x:v>
      </x:c>
      <x:c r="J88" s="30" t="str">
        <x:v>-</x:v>
      </x:c>
      <x:c r="K88" s="30" t="str">
        <x:v>Mandatory</x:v>
      </x:c>
      <x:c r="L88" s="30" t="str">
        <x:v>Advertising drugs or remedies</x:v>
      </x:c>
      <x:c r="M88" s="30" t="str">
        <x:v>Yes</x:v>
      </x:c>
      <x:c r="N88" s="30" t="str">
        <x:v>Annual</x:v>
      </x:c>
      <x:c r="O88" s="30" t="str">
        <x:v>Restricts objectionable advertisements relating to drugs.</x:v>
      </x:c>
    </x:row>
    <x:row r="89">
      <x:c r="A89" s="30" t="str">
        <x:v>LAW088</x:v>
      </x:c>
      <x:c r="B89" s="30" t="str">
        <x:v>Pharmacy</x:v>
      </x:c>
      <x:c r="C89" s="30" t="str">
        <x:v>Pharmacy</x:v>
      </x:c>
      <x:c r="D89" s="30" t="str">
        <x:v>All</x:v>
      </x:c>
      <x:c r="E89" s="30" t="str">
        <x:v>MoHFW</x:v>
      </x:c>
      <x:c r="F89" s="30" t="str">
        <x:v>Central</x:v>
      </x:c>
      <x:c r="G89" s="30" t="str">
        <x:v>Rules</x:v>
      </x:c>
      <x:c r="H89" s="30" t="str">
        <x:v>LAW087</x:v>
      </x:c>
      <x:c r="I89" s="30" t="str">
        <x:v>Drugs and Magic Remedies (Objectionable Advertisements) Rules, 1955</x:v>
      </x:c>
      <x:c r="J89" s="30" t="str">
        <x:v>-</x:v>
      </x:c>
      <x:c r="K89" s="30" t="str">
        <x:v>Conditional</x:v>
      </x:c>
      <x:c r="L89" s="30" t="str">
        <x:v>Advertisement of drugs</x:v>
      </x:c>
      <x:c r="M89" s="30" t="str">
        <x:v>No</x:v>
      </x:c>
      <x:c r="N89" s="30" t="str">
        <x:v>As Notified</x:v>
      </x:c>
      <x:c r="O89" s="30" t="str">
        <x:v>P-4 RECLASSIFIED: source family, generic jurisdiction placeholder, superseded/duplicative reference, or regulated role outside the approved pharmacy-operator taxonomy; exact applicable instrument must be attached before activation.</x:v>
      </x:c>
    </x:row>
    <x:row r="90">
      <x:c r="A90" s="30" t="str">
        <x:v>LAW089</x:v>
      </x:c>
      <x:c r="B90" s="30" t="str">
        <x:v>Public Health</x:v>
      </x:c>
      <x:c r="C90" s="30" t="str">
        <x:v>Pharmacy</x:v>
      </x:c>
      <x:c r="D90" s="30" t="str">
        <x:v>All</x:v>
      </x:c>
      <x:c r="E90" s="30" t="str">
        <x:v>NDMA</x:v>
      </x:c>
      <x:c r="F90" s="30" t="str">
        <x:v>Central</x:v>
      </x:c>
      <x:c r="G90" s="30" t="str">
        <x:v>Act</x:v>
      </x:c>
      <x:c r="H90" s="30" t="str">
        <x:v>-</x:v>
      </x:c>
      <x:c r="I90" s="30" t="str">
        <x:v>Disaster Management Act, 2005</x:v>
      </x:c>
      <x:c r="J90" s="30" t="str">
        <x:v>-</x:v>
      </x:c>
      <x:c r="K90" s="30" t="str">
        <x:v>Conditional</x:v>
      </x:c>
      <x:c r="L90" s="30" t="str">
        <x:v>A specific binding Central/State/District disaster direction applies to the establishment</x:v>
      </x:c>
      <x:c r="M90" s="30" t="str">
        <x:v>No</x:v>
      </x:c>
      <x:c r="N90" s="30" t="str">
        <x:v>As Notified</x:v>
      </x:c>
      <x:c r="O90" s="30" t="str">
        <x:v>P-4 RECLASSIFIED: source family, generic jurisdiction placeholder, superseded/duplicative reference, or regulated role outside the approved pharmacy-operator taxonomy; exact applicable instrument must be attached before activation.</x:v>
      </x:c>
    </x:row>
    <x:row r="91">
      <x:c r="A91" s="30" t="str">
        <x:v>LAW090</x:v>
      </x:c>
      <x:c r="B91" s="30" t="str">
        <x:v>Public Health</x:v>
      </x:c>
      <x:c r="C91" s="30" t="str">
        <x:v>Pharmacy</x:v>
      </x:c>
      <x:c r="D91" s="30" t="str">
        <x:v>All</x:v>
      </x:c>
      <x:c r="E91" s="30" t="str">
        <x:v>MoHFW</x:v>
      </x:c>
      <x:c r="F91" s="30" t="str">
        <x:v>Central</x:v>
      </x:c>
      <x:c r="G91" s="30" t="str">
        <x:v>Act</x:v>
      </x:c>
      <x:c r="H91" s="30" t="str">
        <x:v>-</x:v>
      </x:c>
      <x:c r="I91" s="30" t="str">
        <x:v>Epidemic Diseases Act, 1897</x:v>
      </x:c>
      <x:c r="J91" s="30" t="str">
        <x:v>-</x:v>
      </x:c>
      <x:c r="K91" s="30" t="str">
        <x:v>Conditional</x:v>
      </x:c>
      <x:c r="L91" s="30" t="str">
        <x:v>A specific regulation/order under the Act applies during an epidemic or notified public-health event</x:v>
      </x:c>
      <x:c r="M91" s="30" t="str">
        <x:v>No</x:v>
      </x:c>
      <x:c r="N91" s="30" t="str">
        <x:v>Event Based</x:v>
      </x:c>
      <x:c r="O91" s="30" t="str">
        <x:v>P-4 RECLASSIFIED: source family, generic jurisdiction placeholder, superseded/duplicative reference, or regulated role outside the approved pharmacy-operator taxonomy; exact applicable instrument must be attached before activation.</x:v>
      </x:c>
    </x:row>
    <x:row r="92">
      <x:c r="A92" s="30" t="str">
        <x:v>LAW091</x:v>
      </x:c>
      <x:c r="B92" s="30" t="str">
        <x:v>Pharmacy</x:v>
      </x:c>
      <x:c r="C92" s="30" t="str">
        <x:v>Pharmacy</x:v>
      </x:c>
      <x:c r="D92" s="30" t="str">
        <x:v>All</x:v>
      </x:c>
      <x:c r="E92" s="30" t="str">
        <x:v>Department of Pharmaceuticals</x:v>
      </x:c>
      <x:c r="F92" s="30" t="str">
        <x:v>Central</x:v>
      </x:c>
      <x:c r="G92" s="30" t="str">
        <x:v>Policy</x:v>
      </x:c>
      <x:c r="H92" s="30" t="str">
        <x:v>-</x:v>
      </x:c>
      <x:c r="I92" s="30" t="str">
        <x:v>National Pharmaceutical Policy (Current Version)</x:v>
      </x:c>
      <x:c r="J92" s="30" t="str">
        <x:v>-</x:v>
      </x:c>
      <x:c r="K92" s="30" t="str">
        <x:v>Conditional</x:v>
      </x:c>
      <x:c r="L92" s="30" t="str">
        <x:v>Pharmaceutical pricing and policy matters</x:v>
      </x:c>
      <x:c r="M92" s="30" t="str">
        <x:v>No</x:v>
      </x:c>
      <x:c r="N92" s="30" t="str">
        <x:v>As Notified</x:v>
      </x:c>
      <x:c r="O92" s="30" t="str">
        <x:v>P-4 RECLASSIFIED: source family, generic jurisdiction placeholder, superseded/duplicative reference, or regulated role outside the approved pharmacy-operator taxonomy; exact applicable instrument must be attached before activation.</x:v>
      </x:c>
    </x:row>
    <x:row r="93">
      <x:c r="A93" s="30" t="str">
        <x:v>LAW092</x:v>
      </x:c>
      <x:c r="B93" s="30" t="str">
        <x:v>Pharmacy</x:v>
      </x:c>
      <x:c r="C93" s="30" t="str">
        <x:v>Pharmacy</x:v>
      </x:c>
      <x:c r="D93" s="30" t="str">
        <x:v>All</x:v>
      </x:c>
      <x:c r="E93" s="30" t="str">
        <x:v>Department of Pharmaceuticals</x:v>
      </x:c>
      <x:c r="F93" s="30" t="str">
        <x:v>Central</x:v>
      </x:c>
      <x:c r="G93" s="30" t="str">
        <x:v>Order</x:v>
      </x:c>
      <x:c r="H93" s="30" t="str">
        <x:v>LAW091</x:v>
      </x:c>
      <x:c r="I93" s="30" t="str">
        <x:v>Essential Medicines Pricing Orders</x:v>
      </x:c>
      <x:c r="J93" s="30" t="str">
        <x:v>-</x:v>
      </x:c>
      <x:c r="K93" s="30" t="str">
        <x:v>Conditional</x:v>
      </x:c>
      <x:c r="L93" s="30" t="str">
        <x:v>Sale of essential medicines</x:v>
      </x:c>
      <x:c r="M93" s="30" t="str">
        <x:v>No</x:v>
      </x:c>
      <x:c r="N93" s="30" t="str">
        <x:v>As Notified</x:v>
      </x:c>
      <x:c r="O93" s="30" t="str">
        <x:v>P-4 RECLASSIFIED: source family, generic jurisdiction placeholder, superseded/duplicative reference, or regulated role outside the approved pharmacy-operator taxonomy; exact applicable instrument must be attached before activation.</x:v>
      </x:c>
    </x:row>
    <x:row r="94">
      <x:c r="A94" s="30" t="str">
        <x:v>LAW093</x:v>
      </x:c>
      <x:c r="B94" s="30" t="str">
        <x:v>Pharmacy</x:v>
      </x:c>
      <x:c r="C94" s="30" t="str">
        <x:v>Pharmacy</x:v>
      </x:c>
      <x:c r="D94" s="30" t="str">
        <x:v>All</x:v>
      </x:c>
      <x:c r="E94" s="30" t="str">
        <x:v>BIS</x:v>
      </x:c>
      <x:c r="F94" s="30" t="str">
        <x:v>Central</x:v>
      </x:c>
      <x:c r="G94" s="30" t="str">
        <x:v>Reference Standard</x:v>
      </x:c>
      <x:c r="H94" s="30" t="str">
        <x:v>-</x:v>
      </x:c>
      <x:c r="I94" s="30" t="str">
        <x:v>BIS Standards for Pharmacy Equipment — Reference Placeholder</x:v>
      </x:c>
      <x:c r="J94" s="30" t="str">
        <x:v>-</x:v>
      </x:c>
      <x:c r="K94" s="30" t="str">
        <x:v>Conditional</x:v>
      </x:c>
      <x:c r="L94" s="30" t="str">
        <x:v>Use of covered equipment or products</x:v>
      </x:c>
      <x:c r="M94" s="30" t="str">
        <x:v>No</x:v>
      </x:c>
      <x:c r="N94" s="30" t="str">
        <x:v>As Notified</x:v>
      </x:c>
      <x:c r="O94" s="30" t="str">
        <x:v>P-3 REFERENCE ONLY: activate an identified BIS standard only where a statute/QCO/permit/contract makes it mandatory.</x:v>
      </x:c>
    </x:row>
    <x:row r="95">
      <x:c r="A95" s="30" t="str">
        <x:v>LAW094</x:v>
      </x:c>
      <x:c r="B95" s="30" t="str">
        <x:v>Occupational Health &amp; Safety</x:v>
      </x:c>
      <x:c r="C95" s="30" t="str">
        <x:v>Pharmacy</x:v>
      </x:c>
      <x:c r="D95" s="30" t="str">
        <x:v>All</x:v>
      </x:c>
      <x:c r="E95" s="30" t="str">
        <x:v>Labour Department</x:v>
      </x:c>
      <x:c r="F95" s="30" t="str">
        <x:v>Central</x:v>
      </x:c>
      <x:c r="G95" s="30" t="str">
        <x:v>Rules</x:v>
      </x:c>
      <x:c r="H95" s="30" t="str">
        <x:v>LAW035</x:v>
      </x:c>
      <x:c r="I95" s="30" t="str">
        <x:v>Occupational Safety, Health and Working Conditions (Central) Rules, 2026</x:v>
      </x:c>
      <x:c r="J95" s="30" t="str">
        <x:v>-</x:v>
      </x:c>
      <x:c r="K95" s="30" t="str">
        <x:v>Conditional</x:v>
      </x:c>
      <x:c r="L95" s="30" t="str">
        <x:v>Covered establishment/activity under the OSHWC Code and Central appropriate-government jurisdiction</x:v>
      </x:c>
      <x:c r="M95" s="30" t="str">
        <x:v>Yes</x:v>
      </x:c>
      <x:c r="N95" s="30" t="str">
        <x:v>As Notified</x:v>
      </x:c>
      <x:c r="O95" s="30" t="str">
        <x:v>Final 2026 Central Rules; State/appropriate-government rules may also be required.</x:v>
      </x:c>
    </x:row>
    <x:row r="96">
      <x:c r="A96" s="30" t="str">
        <x:v>LAW095</x:v>
      </x:c>
      <x:c r="B96" s="30" t="str">
        <x:v>Quality Management</x:v>
      </x:c>
      <x:c r="C96" s="30" t="str">
        <x:v>Pharmacy</x:v>
      </x:c>
      <x:c r="D96" s="30" t="str">
        <x:v>All</x:v>
      </x:c>
      <x:c r="E96" s="30" t="str">
        <x:v>CDSCO</x:v>
      </x:c>
      <x:c r="F96" s="30" t="str">
        <x:v>Central</x:v>
      </x:c>
      <x:c r="G96" s="30" t="str">
        <x:v>Guideline</x:v>
      </x:c>
      <x:c r="H96" s="30" t="str">
        <x:v>LAW001</x:v>
      </x:c>
      <x:c r="I96" s="30" t="str">
        <x:v>Temperature Mapping Guidelines</x:v>
      </x:c>
      <x:c r="J96" s="30" t="str">
        <x:v>-</x:v>
      </x:c>
      <x:c r="K96" s="30" t="str">
        <x:v>Best Practice</x:v>
      </x:c>
      <x:c r="L96" s="30" t="str">
        <x:v>Storage of temperature-sensitive medicines</x:v>
      </x:c>
      <x:c r="M96" s="30" t="str">
        <x:v>Yes</x:v>
      </x:c>
      <x:c r="N96" s="30" t="str">
        <x:v>As Notified</x:v>
      </x:c>
      <x:c r="O96" s="30" t="str">
        <x:v>P-4 RECLASSIFIED: non-statutory guidance/internal implementation aid. Use as best practice or regulatory expectation; do not present as independent statutory force.</x:v>
      </x:c>
    </x:row>
    <x:row r="97">
      <x:c r="A97" s="30" t="str">
        <x:v>LAW096</x:v>
      </x:c>
      <x:c r="B97" s="30" t="str">
        <x:v>Quality Management</x:v>
      </x:c>
      <x:c r="C97" s="30" t="str">
        <x:v>Pharmacy</x:v>
      </x:c>
      <x:c r="D97" s="30" t="str">
        <x:v>All</x:v>
      </x:c>
      <x:c r="E97" s="30" t="str">
        <x:v>CDSCO</x:v>
      </x:c>
      <x:c r="F97" s="30" t="str">
        <x:v>Central</x:v>
      </x:c>
      <x:c r="G97" s="30" t="str">
        <x:v>Guideline</x:v>
      </x:c>
      <x:c r="H97" s="30" t="str">
        <x:v>LAW001</x:v>
      </x:c>
      <x:c r="I97" s="30" t="str">
        <x:v>Calibration &amp; Equipment Qualification Guidelines</x:v>
      </x:c>
      <x:c r="J97" s="30" t="str">
        <x:v>-</x:v>
      </x:c>
      <x:c r="K97" s="30" t="str">
        <x:v>Best Practice</x:v>
      </x:c>
      <x:c r="L97" s="30" t="str">
        <x:v>Use of regulated measuring equipment</x:v>
      </x:c>
      <x:c r="M97" s="30" t="str">
        <x:v>Yes</x:v>
      </x:c>
      <x:c r="N97" s="30" t="str">
        <x:v>As Notified</x:v>
      </x:c>
      <x:c r="O97" s="30" t="str">
        <x:v>P-4 RECLASSIFIED: non-statutory guidance/internal implementation aid. Use as best practice or regulatory expectation; do not present as independent statutory force.</x:v>
      </x:c>
    </x:row>
    <x:row r="98">
      <x:c r="A98" s="30" t="str">
        <x:v>LAW097</x:v>
      </x:c>
      <x:c r="B98" s="30" t="str">
        <x:v>Information Technology</x:v>
      </x:c>
      <x:c r="C98" s="30" t="str">
        <x:v>Pharmacy</x:v>
      </x:c>
      <x:c r="D98" s="30" t="str">
        <x:v>E-Pharmacy</x:v>
      </x:c>
      <x:c r="E98" s="30" t="str">
        <x:v>CERT-In</x:v>
      </x:c>
      <x:c r="F98" s="30" t="str">
        <x:v>Central</x:v>
      </x:c>
      <x:c r="G98" s="30" t="str">
        <x:v>Directions</x:v>
      </x:c>
      <x:c r="H98" s="30" t="str">
        <x:v>LAW046</x:v>
      </x:c>
      <x:c r="I98" s="30" t="str">
        <x:v>CERT-In Cyber Security Directions dated 28 April 2022</x:v>
      </x:c>
      <x:c r="J98" s="30" t="str">
        <x:v>-</x:v>
      </x:c>
      <x:c r="K98" s="30" t="str">
        <x:v>Conditional</x:v>
      </x:c>
      <x:c r="L98" s="30" t="str">
        <x:v>Any service provider, intermediary, data centre, body corporate or Government organisation within the Directions; specified incident/ICT triggers</x:v>
      </x:c>
      <x:c r="M98" s="30" t="str">
        <x:v>Yes</x:v>
      </x:c>
      <x:c r="N98" s="30" t="str">
        <x:v>As Notified</x:v>
      </x:c>
      <x:c r="O98" s="30" t="str">
        <x:v>Binding directions under IT Act section 70B(6); reporting, time synchronisation, log retention and point-of-contact duties normalized.</x:v>
      </x:c>
    </x:row>
    <x:row r="99">
      <x:c r="A99" s="30" t="str">
        <x:v>LAW098</x:v>
      </x:c>
      <x:c r="B99" s="30" t="str">
        <x:v>Information Technology</x:v>
      </x:c>
      <x:c r="C99" s="30" t="str">
        <x:v>Pharmacy</x:v>
      </x:c>
      <x:c r="D99" s="30" t="str">
        <x:v>E-Pharmacy</x:v>
      </x:c>
      <x:c r="E99" s="30" t="str">
        <x:v>MeitY</x:v>
      </x:c>
      <x:c r="F99" s="30" t="str">
        <x:v>Central</x:v>
      </x:c>
      <x:c r="G99" s="30" t="str">
        <x:v>Rules</x:v>
      </x:c>
      <x:c r="H99" s="30" t="str">
        <x:v>LAW048</x:v>
      </x:c>
      <x:c r="I99" s="30" t="str">
        <x:v>Digital Personal Data Protection Rules, 2025</x:v>
      </x:c>
      <x:c r="J99" s="30" t="str">
        <x:v>-</x:v>
      </x:c>
      <x:c r="K99" s="30" t="str">
        <x:v>Conditional</x:v>
      </x:c>
      <x:c r="L99" s="30" t="str">
        <x:v>Rules commence in stages; substantive private-operator rules remain future-effective at the P-3 cutoff</x:v>
      </x:c>
      <x:c r="M99" s="30" t="str">
        <x:v>Yes</x:v>
      </x:c>
      <x:c r="N99" s="30" t="str">
        <x:v>As Notified</x:v>
      </x:c>
      <x:c r="O99" s="30" t="str">
        <x:v>Final Rules notified 14-11-2025. Current institutional provisions are separated from future-effective operator duties.</x:v>
      </x:c>
    </x:row>
    <x:row r="100">
      <x:c r="A100" s="30" t="str">
        <x:v>LAW099</x:v>
      </x:c>
      <x:c r="B100" s="30" t="str">
        <x:v>Governance</x:v>
      </x:c>
      <x:c r="C100" s="30" t="str">
        <x:v>Pharmacy</x:v>
      </x:c>
      <x:c r="D100" s="30" t="str">
        <x:v>All</x:v>
      </x:c>
      <x:c r="E100" s="30" t="str">
        <x:v>Internal Governance</x:v>
      </x:c>
      <x:c r="F100" s="30" t="str">
        <x:v>Internal</x:v>
      </x:c>
      <x:c r="G100" s="30" t="str">
        <x:v>Internal Control Framework</x:v>
      </x:c>
      <x:c r="H100" s="30" t="str">
        <x:v>-</x:v>
      </x:c>
      <x:c r="I100" s="30" t="str">
        <x:v>Internal Regulatory Compliance &amp; Inspection-Readiness Control Framework</x:v>
      </x:c>
      <x:c r="J100" s="30" t="str">
        <x:v>-</x:v>
      </x:c>
      <x:c r="K100" s="30" t="str">
        <x:v>Best Practice</x:v>
      </x:c>
      <x:c r="L100" s="30" t="str">
        <x:v>Voluntary internal control, governance, inspection-readiness or entity-specific operating-control adoption</x:v>
      </x:c>
      <x:c r="M100" s="30" t="str">
        <x:v>Yes</x:v>
      </x:c>
      <x:c r="N100" s="30" t="str">
        <x:v>As Notified</x:v>
      </x:c>
      <x:c r="O100" s="30" t="str">
        <x:v>P-4 canonical non-statutory parent for entity-specific internal controls. Underlying legal duties remain mapped to their exact laws.</x:v>
      </x:c>
    </x:row>
    <x:row r="101">
      <x:c r="A101" s="30" t="str">
        <x:v>LAW100</x:v>
      </x:c>
      <x:c r="B101" s="30" t="str">
        <x:v>Governance</x:v>
      </x:c>
      <x:c r="C101" s="30" t="str">
        <x:v>Pharmacy</x:v>
      </x:c>
      <x:c r="D101" s="30" t="str">
        <x:v>All</x:v>
      </x:c>
      <x:c r="E101" s="30" t="str">
        <x:v>Multiple Regulators</x:v>
      </x:c>
      <x:c r="F101" s="30" t="str">
        <x:v>Multi-Level</x:v>
      </x:c>
      <x:c r="G101" s="30" t="str">
        <x:v>Retired Legacy Framework</x:v>
      </x:c>
      <x:c r="H101" s="30" t="str">
        <x:v>-</x:v>
      </x:c>
      <x:c r="I101" s="30" t="str">
        <x:v>Cross-Regulatory Compliance Framework — Retired Duplicate</x:v>
      </x:c>
      <x:c r="J101" s="30" t="str">
        <x:v>-</x:v>
      </x:c>
      <x:c r="K101" s="30" t="str">
        <x:v>Best Practice</x:v>
      </x:c>
      <x:c r="L101" s="30" t="str">
        <x:v>Applicable to all regulated pharmacy establishments</x:v>
      </x:c>
      <x:c r="M101" s="30" t="str">
        <x:v>No</x:v>
      </x:c>
      <x:c r="N101" s="30" t="str">
        <x:v>Annual</x:v>
      </x:c>
      <x:c r="O101" s="30" t="str">
        <x:v>P-3 RETIRED: this was not a statutory instrument. Useful controls were preserved under LAW099 as optional internal governance.</x:v>
      </x:c>
    </x:row>
    <x:row r="102">
      <x:c r="A102" s="33" t="str">
        <x:v>LAW101</x:v>
      </x:c>
      <x:c r="B102" s="33" t="str">
        <x:v>Environmental</x:v>
      </x:c>
      <x:c r="C102" s="33" t="str">
        <x:v>Pharmacy</x:v>
      </x:c>
      <x:c r="D102" s="33" t="str">
        <x:v>All</x:v>
      </x:c>
      <x:c r="E102" s="33" t="str">
        <x:v>MoEFCC</x:v>
      </x:c>
      <x:c r="F102" s="33" t="str">
        <x:v>Central</x:v>
      </x:c>
      <x:c r="G102" s="33" t="str">
        <x:v>Act</x:v>
      </x:c>
      <x:c r="H102" s="33" t="str">
        <x:v>-</x:v>
      </x:c>
      <x:c r="I102" s="33" t="str">
        <x:v>Environment (Protection) Act, 1986</x:v>
      </x:c>
      <x:c r="J102" s="33" t="str">
        <x:v>-</x:v>
      </x:c>
      <x:c r="K102" s="33" t="str">
        <x:v>Framework Parent</x:v>
      </x:c>
      <x:c r="L102" s="33" t="str">
        <x:v>Parent statute for central waste-management rules</x:v>
      </x:c>
      <x:c r="M102" s="33" t="str">
        <x:v>Yes</x:v>
      </x:c>
      <x:c r="N102" s="33" t="str">
        <x:v>Annual</x:v>
      </x:c>
      <x:c r="O102" s="33" t="str">
        <x:v>P-3 added as the parent statute for LAW018/042/043/044/102/103/106.</x:v>
      </x:c>
    </x:row>
    <x:row r="103">
      <x:c r="A103" s="33" t="str">
        <x:v>LAW102</x:v>
      </x:c>
      <x:c r="B103" s="33" t="str">
        <x:v>Environmental</x:v>
      </x:c>
      <x:c r="C103" s="33" t="str">
        <x:v>Pharmacy</x:v>
      </x:c>
      <x:c r="D103" s="33" t="str">
        <x:v>All</x:v>
      </x:c>
      <x:c r="E103" s="33" t="str">
        <x:v>CPCB / SPCB</x:v>
      </x:c>
      <x:c r="F103" s="33" t="str">
        <x:v>Central &amp; State</x:v>
      </x:c>
      <x:c r="G103" s="33" t="str">
        <x:v>Rules</x:v>
      </x:c>
      <x:c r="H103" s="33" t="str">
        <x:v>LAW101</x:v>
      </x:c>
      <x:c r="I103" s="33" t="str">
        <x:v>Battery Waste Management Rules, 2022 (as amended)</x:v>
      </x:c>
      <x:c r="J103" s="33" t="str">
        <x:v>-</x:v>
      </x:c>
      <x:c r="K103" s="33" t="str">
        <x:v>Conditional</x:v>
      </x:c>
      <x:c r="L103" s="33" t="str">
        <x:v>The pharmacy is a battery consumer; producer EPR applies only if a separate producer role exists</x:v>
      </x:c>
      <x:c r="M103" s="33" t="str">
        <x:v>Yes</x:v>
      </x:c>
      <x:c r="N103" s="33" t="str">
        <x:v>As Notified</x:v>
      </x:c>
      <x:c r="O103" s="33" t="str">
        <x:v>Consumer duty is separate collection and delivery to an authorized collection/refurbishing/recycling channel.</x:v>
      </x:c>
    </x:row>
    <x:row r="104">
      <x:c r="A104" s="33" t="str">
        <x:v>LAW103</x:v>
      </x:c>
      <x:c r="B104" s="33" t="str">
        <x:v>Environmental</x:v>
      </x:c>
      <x:c r="C104" s="33" t="str">
        <x:v>Pharmacy</x:v>
      </x:c>
      <x:c r="D104" s="33" t="str">
        <x:v>All</x:v>
      </x:c>
      <x:c r="E104" s="33" t="str">
        <x:v>CPCB / SPCB</x:v>
      </x:c>
      <x:c r="F104" s="33" t="str">
        <x:v>Central &amp; State</x:v>
      </x:c>
      <x:c r="G104" s="33" t="str">
        <x:v>Rules</x:v>
      </x:c>
      <x:c r="H104" s="33" t="str">
        <x:v>LAW101</x:v>
      </x:c>
      <x:c r="I104" s="33" t="str">
        <x:v>Hazardous and Other Wastes (Management and Transboundary Movement) Rules, 2016 (as amended)</x:v>
      </x:c>
      <x:c r="J104" s="33" t="str">
        <x:v>-</x:v>
      </x:c>
      <x:c r="K104" s="33" t="str">
        <x:v>Conditional</x:v>
      </x:c>
      <x:c r="L104" s="33" t="str">
        <x:v>Generation/handling of a waste listed or characterized as hazardous/other waste under the Rules</x:v>
      </x:c>
      <x:c r="M104" s="33" t="str">
        <x:v>Yes</x:v>
      </x:c>
      <x:c r="N104" s="33" t="str">
        <x:v>As Notified</x:v>
      </x:c>
      <x:c r="O104" s="33" t="str">
        <x:v>Not triggered by ordinary pharmacy sale alone; used oil or scheduled hazardous waste may trigger occupier duties.</x:v>
      </x:c>
    </x:row>
    <x:row r="105">
      <x:c r="A105" s="33" t="str">
        <x:v>LAW104</x:v>
      </x:c>
      <x:c r="B105" s="33" t="str">
        <x:v>Environmental</x:v>
      </x:c>
      <x:c r="C105" s="33" t="str">
        <x:v>Pharmacy</x:v>
      </x:c>
      <x:c r="D105" s="33" t="str">
        <x:v>All</x:v>
      </x:c>
      <x:c r="E105" s="33" t="str">
        <x:v>CPCB / SPCB</x:v>
      </x:c>
      <x:c r="F105" s="33" t="str">
        <x:v>Central &amp; State</x:v>
      </x:c>
      <x:c r="G105" s="33" t="str">
        <x:v>Act</x:v>
      </x:c>
      <x:c r="H105" s="33" t="str">
        <x:v>-</x:v>
      </x:c>
      <x:c r="I105" s="33" t="str">
        <x:v>Water (Prevention and Control of Pollution) Act, 1974</x:v>
      </x:c>
      <x:c r="J105" s="33" t="str">
        <x:v>-</x:v>
      </x:c>
      <x:c r="K105" s="33" t="str">
        <x:v>Conditional</x:v>
      </x:c>
      <x:c r="L105" s="33" t="str">
        <x:v>Establishment of an industry/operation/process or outlet/discharge requiring consent under section 25 after exemptions and State classification</x:v>
      </x:c>
      <x:c r="M105" s="33" t="str">
        <x:v>Yes</x:v>
      </x:c>
      <x:c r="N105" s="33" t="str">
        <x:v>As Notified</x:v>
      </x:c>
      <x:c r="O105" s="33" t="str">
        <x:v>Ordinary retail pharmacy is not assumed consent-triggered.</x:v>
      </x:c>
    </x:row>
    <x:row r="106">
      <x:c r="A106" s="33" t="str">
        <x:v>LAW105</x:v>
      </x:c>
      <x:c r="B106" s="33" t="str">
        <x:v>Environmental</x:v>
      </x:c>
      <x:c r="C106" s="33" t="str">
        <x:v>Pharmacy</x:v>
      </x:c>
      <x:c r="D106" s="33" t="str">
        <x:v>All</x:v>
      </x:c>
      <x:c r="E106" s="33" t="str">
        <x:v>CPCB / SPCB</x:v>
      </x:c>
      <x:c r="F106" s="33" t="str">
        <x:v>Central &amp; State</x:v>
      </x:c>
      <x:c r="G106" s="33" t="str">
        <x:v>Act</x:v>
      </x:c>
      <x:c r="H106" s="33" t="str">
        <x:v>-</x:v>
      </x:c>
      <x:c r="I106" s="33" t="str">
        <x:v>Air (Prevention and Control of Pollution) Act, 1981</x:v>
      </x:c>
      <x:c r="J106" s="33" t="str">
        <x:v>-</x:v>
      </x:c>
      <x:c r="K106" s="33" t="str">
        <x:v>Conditional</x:v>
      </x:c>
      <x:c r="L106" s="33" t="str">
        <x:v>Industrial plant/emission source in a notified control area requiring consent under section 21 after exemptions and State classification</x:v>
      </x:c>
      <x:c r="M106" s="33" t="str">
        <x:v>Yes</x:v>
      </x:c>
      <x:c r="N106" s="33" t="str">
        <x:v>As Notified</x:v>
      </x:c>
      <x:c r="O106" s="33" t="str">
        <x:v>Ordinary retail pharmacy is not assumed consent-triggered.</x:v>
      </x:c>
    </x:row>
    <x:row r="107">
      <x:c r="A107" s="33" t="str">
        <x:v>LAW106</x:v>
      </x:c>
      <x:c r="B107" s="33" t="str">
        <x:v>Environmental</x:v>
      </x:c>
      <x:c r="C107" s="33" t="str">
        <x:v>Pharmacy</x:v>
      </x:c>
      <x:c r="D107" s="33" t="str">
        <x:v>All</x:v>
      </x:c>
      <x:c r="E107" s="33" t="str">
        <x:v>CPCB / SPCB / Local Authority</x:v>
      </x:c>
      <x:c r="F107" s="33" t="str">
        <x:v>Central &amp; Local</x:v>
      </x:c>
      <x:c r="G107" s="33" t="str">
        <x:v>Rules</x:v>
      </x:c>
      <x:c r="H107" s="33" t="str">
        <x:v>LAW101</x:v>
      </x:c>
      <x:c r="I107" s="33" t="str">
        <x:v>Environment (Construction and Demolition) Waste Management Rules, 2025</x:v>
      </x:c>
      <x:c r="J107" s="33" t="str">
        <x:v>-</x:v>
      </x:c>
      <x:c r="K107" s="33" t="str">
        <x:v>Conditional</x:v>
      </x:c>
      <x:c r="L107" s="33" t="str">
        <x:v>Construction, renovation, demolition or excavation generates C&amp;D waste</x:v>
      </x:c>
      <x:c r="M107" s="33" t="str">
        <x:v>Yes</x:v>
      </x:c>
      <x:c r="N107" s="33" t="str">
        <x:v>As Notified</x:v>
      </x:c>
      <x:c r="O107" s="33" t="str">
        <x:v>Effective 01-04-2026; event/activity based, with local plan/collection directions.</x:v>
      </x:c>
    </x:row>
    <x:row r="108">
      <x:c r="A108" s="33" t="str">
        <x:v>LAW107</x:v>
      </x:c>
      <x:c r="B108" s="33" t="str">
        <x:v>Taxation</x:v>
      </x:c>
      <x:c r="C108" s="33" t="str">
        <x:v>Pharmacy</x:v>
      </x:c>
      <x:c r="D108" s="33" t="str">
        <x:v>All</x:v>
      </x:c>
      <x:c r="E108" s="33" t="str">
        <x:v>Income Tax Department</x:v>
      </x:c>
      <x:c r="F108" s="33" t="str">
        <x:v>Central</x:v>
      </x:c>
      <x:c r="G108" s="33" t="str">
        <x:v>Act</x:v>
      </x:c>
      <x:c r="H108" s="33" t="str">
        <x:v>-</x:v>
      </x:c>
      <x:c r="I108" s="33" t="str">
        <x:v>Income-tax Act, 2025</x:v>
      </x:c>
      <x:c r="J108" s="33" t="str">
        <x:v>-</x:v>
      </x:c>
      <x:c r="K108" s="33" t="str">
        <x:v>Mandatory</x:v>
      </x:c>
      <x:c r="L108" s="33" t="str">
        <x:v>Tax Year beginning on or after 1 April 2026 or other matter governed by the new Act</x:v>
      </x:c>
      <x:c r="M108" s="33" t="str">
        <x:v>Yes</x:v>
      </x:c>
      <x:c r="N108" s="33" t="str">
        <x:v>Annual</x:v>
      </x:c>
      <x:c r="O108" s="33" t="str">
        <x:v>Current from 01-04-2026; the 1961 Act continues only through savings for earlier tax years/proceedings.</x:v>
      </x:c>
    </x:row>
    <x:row r="109">
      <x:c r="A109" s="33" t="str">
        <x:v>LAW108</x:v>
      </x:c>
      <x:c r="B109" s="33" t="str">
        <x:v>Taxation</x:v>
      </x:c>
      <x:c r="C109" s="33" t="str">
        <x:v>Pharmacy</x:v>
      </x:c>
      <x:c r="D109" s="33" t="str">
        <x:v>All</x:v>
      </x:c>
      <x:c r="E109" s="33" t="str">
        <x:v>Income Tax Department</x:v>
      </x:c>
      <x:c r="F109" s="33" t="str">
        <x:v>Central</x:v>
      </x:c>
      <x:c r="G109" s="33" t="str">
        <x:v>Rules</x:v>
      </x:c>
      <x:c r="H109" s="33" t="str">
        <x:v>LAW107</x:v>
      </x:c>
      <x:c r="I109" s="33" t="str">
        <x:v>Income-tax Rules, 2026</x:v>
      </x:c>
      <x:c r="J109" s="33" t="str">
        <x:v>-</x:v>
      </x:c>
      <x:c r="K109" s="33" t="str">
        <x:v>Mandatory</x:v>
      </x:c>
      <x:c r="L109" s="33" t="str">
        <x:v>Compliance governed by the Income-tax Act, 2025</x:v>
      </x:c>
      <x:c r="M109" s="33" t="str">
        <x:v>Yes</x:v>
      </x:c>
      <x:c r="N109" s="33" t="str">
        <x:v>As Notified</x:v>
      </x:c>
      <x:c r="O109" s="33" t="str">
        <x:v>Current operational rules for Tax Year 2026-27 onward.</x:v>
      </x:c>
    </x:row>
    <x:row r="110">
      <x:c r="A110" s="33" t="str">
        <x:v>LAW109</x:v>
      </x:c>
      <x:c r="B110" s="33" t="str">
        <x:v>Labour &amp; Employment</x:v>
      </x:c>
      <x:c r="C110" s="33" t="str">
        <x:v>Pharmacy</x:v>
      </x:c>
      <x:c r="D110" s="33" t="str">
        <x:v>All</x:v>
      </x:c>
      <x:c r="E110" s="33" t="str">
        <x:v>Labour Department</x:v>
      </x:c>
      <x:c r="F110" s="33" t="str">
        <x:v>Central</x:v>
      </x:c>
      <x:c r="G110" s="33" t="str">
        <x:v>Rules</x:v>
      </x:c>
      <x:c r="H110" s="33" t="str">
        <x:v>LAW034</x:v>
      </x:c>
      <x:c r="I110" s="33" t="str">
        <x:v>Code on Wages (Central) Rules, 2026</x:v>
      </x:c>
      <x:c r="J110" s="33" t="str">
        <x:v>-</x:v>
      </x:c>
      <x:c r="K110" s="33" t="str">
        <x:v>Conditional</x:v>
      </x:c>
      <x:c r="L110" s="33" t="str">
        <x:v>Central appropriate-government jurisdiction; State rules may apply otherwise</x:v>
      </x:c>
      <x:c r="M110" s="33" t="str">
        <x:v>Yes</x:v>
      </x:c>
      <x:c r="N110" s="33" t="str">
        <x:v>As Notified</x:v>
      </x:c>
      <x:c r="O110" s="33" t="str">
        <x:v>Final central rules following 21-11-2025 implementation.</x:v>
      </x:c>
    </x:row>
    <x:row r="111">
      <x:c r="A111" s="33" t="str">
        <x:v>LAW110</x:v>
      </x:c>
      <x:c r="B111" s="33" t="str">
        <x:v>Labour &amp; Employment</x:v>
      </x:c>
      <x:c r="C111" s="33" t="str">
        <x:v>Pharmacy</x:v>
      </x:c>
      <x:c r="D111" s="33" t="str">
        <x:v>All</x:v>
      </x:c>
      <x:c r="E111" s="33" t="str">
        <x:v>EPFO / ESIC / Labour Department</x:v>
      </x:c>
      <x:c r="F111" s="33" t="str">
        <x:v>Central</x:v>
      </x:c>
      <x:c r="G111" s="33" t="str">
        <x:v>Rules</x:v>
      </x:c>
      <x:c r="H111" s="33" t="str">
        <x:v>LAW036</x:v>
      </x:c>
      <x:c r="I111" s="33" t="str">
        <x:v>Social Security (Central) Rules, 2026</x:v>
      </x:c>
      <x:c r="J111" s="33" t="str">
        <x:v>-</x:v>
      </x:c>
      <x:c r="K111" s="33" t="str">
        <x:v>Conditional</x:v>
      </x:c>
      <x:c r="L111" s="33" t="str">
        <x:v>Covered establishment/employee and Central appropriate-government jurisdiction</x:v>
      </x:c>
      <x:c r="M111" s="33" t="str">
        <x:v>Yes</x:v>
      </x:c>
      <x:c r="N111" s="33" t="str">
        <x:v>As Notified</x:v>
      </x:c>
      <x:c r="O111" s="33" t="str">
        <x:v>Current operational rules for Code social-security chapters; exact threshold/scheme and jurisdiction must be assessed.</x:v>
      </x:c>
    </x:row>
    <x:row r="112">
      <x:c r="A112" s="33" t="str">
        <x:v>LAW111</x:v>
      </x:c>
      <x:c r="B112" s="33" t="str">
        <x:v>Labour &amp; Employment</x:v>
      </x:c>
      <x:c r="C112" s="33" t="str">
        <x:v>Pharmacy</x:v>
      </x:c>
      <x:c r="D112" s="33" t="str">
        <x:v>All</x:v>
      </x:c>
      <x:c r="E112" s="33" t="str">
        <x:v>Labour Department</x:v>
      </x:c>
      <x:c r="F112" s="33" t="str">
        <x:v>Central</x:v>
      </x:c>
      <x:c r="G112" s="33" t="str">
        <x:v>Rules</x:v>
      </x:c>
      <x:c r="H112" s="33" t="str">
        <x:v>LAW037</x:v>
      </x:c>
      <x:c r="I112" s="33" t="str">
        <x:v>Industrial Relations (Central) Rules, 2026</x:v>
      </x:c>
      <x:c r="J112" s="33" t="str">
        <x:v>-</x:v>
      </x:c>
      <x:c r="K112" s="33" t="str">
        <x:v>Conditional</x:v>
      </x:c>
      <x:c r="L112" s="33" t="str">
        <x:v>Covered industrial establishment/event and Central appropriate-government jurisdiction</x:v>
      </x:c>
      <x:c r="M112" s="33" t="str">
        <x:v>Yes</x:v>
      </x:c>
      <x:c r="N112" s="33" t="str">
        <x:v>As Notified</x:v>
      </x:c>
      <x:c r="O112" s="33" t="str">
        <x:v>No universal recurring IR obligation is activated without a covered activity/event.</x:v>
      </x:c>
    </x:row>
  </x:sheetData>
  <x:pageMargins left="0.7" right="0.7" top="0.75" bottom="0.75" header="0.3" footer="0.3"/>
  <x:tableParts count="1">
    <x:tablePart xmlns:r="http://schemas.openxmlformats.org/officeDocument/2006/relationships" r:id="R85aa1356a57c4f5c"/>
  </x:tableParts>
</x:worksheet>
</file>

<file path=xl/worksheets/sheet7.xml><?xml version="1.0" encoding="utf-8"?>
<x:worksheet xmlns:x="http://schemas.openxmlformats.org/spreadsheetml/2006/main">
  <x:sheetFormatPr baseColWidth="8" defaultRowHeight="15"/>
  <x:cols>
    <x:col min="1" max="1" width="10" customWidth="1"/>
    <x:col min="2" max="2" width="10" customWidth="1"/>
    <x:col min="3" max="3" width="20" customWidth="1"/>
    <x:col min="4" max="4" width="15" customWidth="1"/>
    <x:col min="5" max="5" width="48" customWidth="1"/>
  </x:cols>
  <x:sheetData>
    <x:row r="1" ht="28" customHeight="1">
      <x:c r="A1" s="31" t="inlineStr">
        <x:is>
          <x:t xml:space="preserve">Map ID</x:t>
        </x:is>
      </x:c>
      <x:c r="B1" s="31" t="inlineStr">
        <x:is>
          <x:t xml:space="preserve">Law ID</x:t>
        </x:is>
      </x:c>
      <x:c r="C1" s="31" t="inlineStr">
        <x:is>
          <x:t xml:space="preserve">Compliance Area ID</x:t>
        </x:is>
      </x:c>
      <x:c r="D1" s="31" t="inlineStr">
        <x:is>
          <x:t xml:space="preserve">Active Status</x:t>
        </x:is>
      </x:c>
      <x:c r="E1" s="31" t="inlineStr">
        <x:is>
          <x:t xml:space="preserve">Remarks</x:t>
        </x:is>
      </x:c>
    </x:row>
    <x:row r="2">
      <x:c r="A2" s="30" t="inlineStr">
        <x:is>
          <x:t xml:space="preserve">LM001</x:t>
        </x:is>
      </x:c>
      <x:c r="B2" s="30" t="inlineStr">
        <x:is>
          <x:t xml:space="preserve">LAW001</x:t>
        </x:is>
      </x:c>
      <x:c r="C2" s="30" t="inlineStr">
        <x:is>
          <x:t xml:space="preserve">CA001</x:t>
        </x:is>
      </x:c>
      <x:c r="D2" s="30" t="inlineStr">
        <x:is>
          <x:t xml:space="preserve">Yes</x:t>
        </x:is>
      </x:c>
      <x:c r="E2" s="30" t="inlineStr">
        <x:is>
          <x:t xml:space="preserve">Primary legislation governing pharmacy licensing.</x:t>
        </x:is>
      </x:c>
    </x:row>
    <x:row r="3">
      <x:c r="A3" s="30" t="inlineStr">
        <x:is>
          <x:t xml:space="preserve">LM002</x:t>
        </x:is>
      </x:c>
      <x:c r="B3" s="30" t="inlineStr">
        <x:is>
          <x:t xml:space="preserve">LAW001</x:t>
        </x:is>
      </x:c>
      <x:c r="C3" s="30" t="inlineStr">
        <x:is>
          <x:t xml:space="preserve">CA002</x:t>
        </x:is>
      </x:c>
      <x:c r="D3" s="30" t="inlineStr">
        <x:is>
          <x:t xml:space="preserve">Yes</x:t>
        </x:is>
      </x:c>
      <x:c r="E3" s="30" t="inlineStr">
        <x:is>
          <x:t xml:space="preserve">Drug licence requirements.</x:t>
        </x:is>
      </x:c>
    </x:row>
    <x:row r="4">
      <x:c r="A4" s="30" t="inlineStr">
        <x:is>
          <x:t xml:space="preserve">LM003</x:t>
        </x:is>
      </x:c>
      <x:c r="B4" s="30" t="inlineStr">
        <x:is>
          <x:t xml:space="preserve">LAW001</x:t>
        </x:is>
      </x:c>
      <x:c r="C4" s="30" t="inlineStr">
        <x:is>
          <x:t xml:space="preserve">CA006</x:t>
        </x:is>
      </x:c>
      <x:c r="D4" s="30" t="inlineStr">
        <x:is>
          <x:t xml:space="preserve">Yes</x:t>
        </x:is>
      </x:c>
      <x:c r="E4" s="30" t="inlineStr">
        <x:is>
          <x:t xml:space="preserve">Premises requirements.</x:t>
        </x:is>
      </x:c>
    </x:row>
    <x:row r="5">
      <x:c r="A5" s="30" t="inlineStr">
        <x:is>
          <x:t xml:space="preserve">LM004</x:t>
        </x:is>
      </x:c>
      <x:c r="B5" s="30" t="inlineStr">
        <x:is>
          <x:t xml:space="preserve">LAW001</x:t>
        </x:is>
      </x:c>
      <x:c r="C5" s="30" t="inlineStr">
        <x:is>
          <x:t xml:space="preserve">CA007</x:t>
        </x:is>
      </x:c>
      <x:c r="D5" s="30" t="inlineStr">
        <x:is>
          <x:t xml:space="preserve">Yes</x:t>
        </x:is>
      </x:c>
      <x:c r="E5" s="30" t="inlineStr">
        <x:is>
          <x:t xml:space="preserve">Drug storage requirements.</x:t>
        </x:is>
      </x:c>
    </x:row>
    <x:row r="6">
      <x:c r="A6" s="30" t="inlineStr">
        <x:is>
          <x:t xml:space="preserve">LM005</x:t>
        </x:is>
      </x:c>
      <x:c r="B6" s="30" t="inlineStr">
        <x:is>
          <x:t xml:space="preserve">LAW001</x:t>
        </x:is>
      </x:c>
      <x:c r="C6" s="30" t="inlineStr">
        <x:is>
          <x:t xml:space="preserve">CA012</x:t>
        </x:is>
      </x:c>
      <x:c r="D6" s="30" t="inlineStr">
        <x:is>
          <x:t xml:space="preserve">Yes</x:t>
        </x:is>
      </x:c>
      <x:c r="E6" s="30" t="inlineStr">
        <x:is>
          <x:t xml:space="preserve">Inventory management.</x:t>
        </x:is>
      </x:c>
    </x:row>
    <x:row r="7">
      <x:c r="A7" s="30" t="inlineStr">
        <x:is>
          <x:t xml:space="preserve">LM006</x:t>
        </x:is>
      </x:c>
      <x:c r="B7" s="30" t="inlineStr">
        <x:is>
          <x:t xml:space="preserve">LAW001</x:t>
        </x:is>
      </x:c>
      <x:c r="C7" s="30" t="inlineStr">
        <x:is>
          <x:t xml:space="preserve">CA013</x:t>
        </x:is>
      </x:c>
      <x:c r="D7" s="30" t="inlineStr">
        <x:is>
          <x:t xml:space="preserve">Yes</x:t>
        </x:is>
      </x:c>
      <x:c r="E7" s="30" t="inlineStr">
        <x:is>
          <x:t xml:space="preserve">Expired and damaged drugs.</x:t>
        </x:is>
      </x:c>
    </x:row>
    <x:row r="8">
      <x:c r="A8" s="30" t="inlineStr">
        <x:is>
          <x:t xml:space="preserve">LM007</x:t>
        </x:is>
      </x:c>
      <x:c r="B8" s="30" t="inlineStr">
        <x:is>
          <x:t xml:space="preserve">LAW001</x:t>
        </x:is>
      </x:c>
      <x:c r="C8" s="30" t="inlineStr">
        <x:is>
          <x:t xml:space="preserve">CA015</x:t>
        </x:is>
      </x:c>
      <x:c r="D8" s="30" t="inlineStr">
        <x:is>
          <x:t xml:space="preserve">Yes</x:t>
        </x:is>
      </x:c>
      <x:c r="E8" s="30" t="inlineStr">
        <x:is>
          <x:t xml:space="preserve">Prescription drug dispensing.</x:t>
        </x:is>
      </x:c>
    </x:row>
    <x:row r="9">
      <x:c r="A9" s="30" t="inlineStr">
        <x:is>
          <x:t xml:space="preserve">LM008</x:t>
        </x:is>
      </x:c>
      <x:c r="B9" s="30" t="inlineStr">
        <x:is>
          <x:t xml:space="preserve">LAW001</x:t>
        </x:is>
      </x:c>
      <x:c r="C9" s="30" t="inlineStr">
        <x:is>
          <x:t xml:space="preserve">CA017</x:t>
        </x:is>
      </x:c>
      <x:c r="D9" s="30" t="inlineStr">
        <x:is>
          <x:t xml:space="preserve">Yes</x:t>
        </x:is>
      </x:c>
      <x:c r="E9" s="30" t="inlineStr">
        <x:is>
          <x:t xml:space="preserve">Schedule drugs.</x:t>
        </x:is>
      </x:c>
    </x:row>
    <x:row r="10">
      <x:c r="A10" s="30" t="inlineStr">
        <x:is>
          <x:t xml:space="preserve">LM009</x:t>
        </x:is>
      </x:c>
      <x:c r="B10" s="30" t="inlineStr">
        <x:is>
          <x:t xml:space="preserve">LAW001</x:t>
        </x:is>
      </x:c>
      <x:c r="C10" s="30" t="inlineStr">
        <x:is>
          <x:t xml:space="preserve">CA019</x:t>
        </x:is>
      </x:c>
      <x:c r="D10" s="30" t="inlineStr">
        <x:is>
          <x:t xml:space="preserve">Yes</x:t>
        </x:is>
      </x:c>
      <x:c r="E10" s="30" t="inlineStr">
        <x:is>
          <x:t xml:space="preserve">Statutory registers.</x:t>
        </x:is>
      </x:c>
    </x:row>
    <x:row r="11">
      <x:c r="A11" s="30" t="inlineStr">
        <x:is>
          <x:t xml:space="preserve">LM010</x:t>
        </x:is>
      </x:c>
      <x:c r="B11" s="30" t="inlineStr">
        <x:is>
          <x:t xml:space="preserve">LAW001</x:t>
        </x:is>
      </x:c>
      <x:c r="C11" s="30" t="inlineStr">
        <x:is>
          <x:t xml:space="preserve">CA022</x:t>
        </x:is>
      </x:c>
      <x:c r="D11" s="30" t="inlineStr">
        <x:is>
          <x:t xml:space="preserve">Yes</x:t>
        </x:is>
      </x:c>
      <x:c r="E11" s="30" t="inlineStr">
        <x:is>
          <x:t xml:space="preserve">Product recall.</x:t>
        </x:is>
      </x:c>
    </x:row>
    <x:row r="12">
      <x:c r="A12" s="30" t="inlineStr">
        <x:is>
          <x:t xml:space="preserve">LM011</x:t>
        </x:is>
      </x:c>
      <x:c r="B12" s="30" t="inlineStr">
        <x:is>
          <x:t xml:space="preserve">LAW001</x:t>
        </x:is>
      </x:c>
      <x:c r="C12" s="30" t="inlineStr">
        <x:is>
          <x:t xml:space="preserve">CA023</x:t>
        </x:is>
      </x:c>
      <x:c r="D12" s="30" t="inlineStr">
        <x:is>
          <x:t xml:space="preserve">Yes</x:t>
        </x:is>
      </x:c>
      <x:c r="E12" s="30" t="inlineStr">
        <x:is>
          <x:t xml:space="preserve">Customer complaints.</x:t>
        </x:is>
      </x:c>
    </x:row>
    <x:row r="13">
      <x:c r="A13" s="30" t="inlineStr">
        <x:is>
          <x:t xml:space="preserve">LM012</x:t>
        </x:is>
      </x:c>
      <x:c r="B13" s="30" t="inlineStr">
        <x:is>
          <x:t xml:space="preserve">LAW001</x:t>
        </x:is>
      </x:c>
      <x:c r="C13" s="30" t="inlineStr">
        <x:is>
          <x:t xml:space="preserve">CA024</x:t>
        </x:is>
      </x:c>
      <x:c r="D13" s="30" t="inlineStr">
        <x:is>
          <x:t xml:space="preserve">Yes</x:t>
        </x:is>
      </x:c>
      <x:c r="E13" s="30" t="inlineStr">
        <x:is>
          <x:t xml:space="preserve">Spurious/adulterated drugs.</x:t>
        </x:is>
      </x:c>
    </x:row>
    <x:row r="14">
      <x:c r="A14" s="30" t="inlineStr">
        <x:is>
          <x:t xml:space="preserve">LM013</x:t>
        </x:is>
      </x:c>
      <x:c r="B14" s="30" t="inlineStr">
        <x:is>
          <x:t xml:space="preserve">LAW002</x:t>
        </x:is>
      </x:c>
      <x:c r="C14" s="30" t="inlineStr">
        <x:is>
          <x:t xml:space="preserve">CA002</x:t>
        </x:is>
      </x:c>
      <x:c r="D14" s="30" t="inlineStr">
        <x:is>
          <x:t xml:space="preserve">Yes</x:t>
        </x:is>
      </x:c>
      <x:c r="E14" s="30" t="inlineStr">
        <x:is>
          <x:t xml:space="preserve">Licensing procedures.</x:t>
        </x:is>
      </x:c>
    </x:row>
    <x:row r="15">
      <x:c r="A15" s="30" t="inlineStr">
        <x:is>
          <x:t xml:space="preserve">LM014</x:t>
        </x:is>
      </x:c>
      <x:c r="B15" s="30" t="inlineStr">
        <x:is>
          <x:t xml:space="preserve">LAW002</x:t>
        </x:is>
      </x:c>
      <x:c r="C15" s="30" t="inlineStr">
        <x:is>
          <x:t xml:space="preserve">CA003</x:t>
        </x:is>
      </x:c>
      <x:c r="D15" s="30" t="inlineStr">
        <x:is>
          <x:t xml:space="preserve">Yes</x:t>
        </x:is>
      </x:c>
      <x:c r="E15" s="30" t="inlineStr">
        <x:is>
          <x:t xml:space="preserve">Registered pharmacist requirements.</x:t>
        </x:is>
      </x:c>
    </x:row>
    <x:row r="16">
      <x:c r="A16" s="30" t="inlineStr">
        <x:is>
          <x:t xml:space="preserve">LM015</x:t>
        </x:is>
      </x:c>
      <x:c r="B16" s="30" t="inlineStr">
        <x:is>
          <x:t xml:space="preserve">LAW002</x:t>
        </x:is>
      </x:c>
      <x:c r="C16" s="30" t="inlineStr">
        <x:is>
          <x:t xml:space="preserve">CA006</x:t>
        </x:is>
      </x:c>
      <x:c r="D16" s="30" t="inlineStr">
        <x:is>
          <x:t xml:space="preserve">Yes</x:t>
        </x:is>
      </x:c>
      <x:c r="E16" s="30" t="inlineStr">
        <x:is>
          <x:t xml:space="preserve">Pharmacy premises standards.</x:t>
        </x:is>
      </x:c>
    </x:row>
    <x:row r="17">
      <x:c r="A17" s="30" t="inlineStr">
        <x:is>
          <x:t xml:space="preserve">LM016</x:t>
        </x:is>
      </x:c>
      <x:c r="B17" s="30" t="inlineStr">
        <x:is>
          <x:t xml:space="preserve">LAW002</x:t>
        </x:is>
      </x:c>
      <x:c r="C17" s="30" t="inlineStr">
        <x:is>
          <x:t xml:space="preserve">CA007</x:t>
        </x:is>
      </x:c>
      <x:c r="D17" s="30" t="inlineStr">
        <x:is>
          <x:t xml:space="preserve">Yes</x:t>
        </x:is>
      </x:c>
      <x:c r="E17" s="30" t="inlineStr">
        <x:is>
          <x:t xml:space="preserve">Storage requirements.</x:t>
        </x:is>
      </x:c>
    </x:row>
    <x:row r="18">
      <x:c r="A18" s="30" t="inlineStr">
        <x:is>
          <x:t xml:space="preserve">LM017</x:t>
        </x:is>
      </x:c>
      <x:c r="B18" s="30" t="inlineStr">
        <x:is>
          <x:t xml:space="preserve">LAW002</x:t>
        </x:is>
      </x:c>
      <x:c r="C18" s="30" t="inlineStr">
        <x:is>
          <x:t xml:space="preserve">CA008</x:t>
        </x:is>
      </x:c>
      <x:c r="D18" s="30" t="inlineStr">
        <x:is>
          <x:t xml:space="preserve">Yes</x:t>
        </x:is>
      </x:c>
      <x:c r="E18" s="30" t="inlineStr">
        <x:is>
          <x:t xml:space="preserve">Cold chain requirements.</x:t>
        </x:is>
      </x:c>
    </x:row>
    <x:row r="19">
      <x:c r="A19" s="30" t="inlineStr">
        <x:is>
          <x:t xml:space="preserve">LM018</x:t>
        </x:is>
      </x:c>
      <x:c r="B19" s="30" t="inlineStr">
        <x:is>
          <x:t xml:space="preserve">LAW002</x:t>
        </x:is>
      </x:c>
      <x:c r="C19" s="30" t="inlineStr">
        <x:is>
          <x:t xml:space="preserve">CA009</x:t>
        </x:is>
      </x:c>
      <x:c r="D19" s="30" t="inlineStr">
        <x:is>
          <x:t xml:space="preserve">Yes</x:t>
        </x:is>
      </x:c>
      <x:c r="E19" s="30" t="inlineStr">
        <x:is>
          <x:t xml:space="preserve">Equipment requirements.</x:t>
        </x:is>
      </x:c>
    </x:row>
    <x:row r="20">
      <x:c r="A20" s="30" t="inlineStr">
        <x:is>
          <x:t xml:space="preserve">LM019</x:t>
        </x:is>
      </x:c>
      <x:c r="B20" s="30" t="inlineStr">
        <x:is>
          <x:t xml:space="preserve">LAW002</x:t>
        </x:is>
      </x:c>
      <x:c r="C20" s="30" t="inlineStr">
        <x:is>
          <x:t xml:space="preserve">CA011</x:t>
        </x:is>
      </x:c>
      <x:c r="D20" s="30" t="inlineStr">
        <x:is>
          <x:t xml:space="preserve">Yes</x:t>
        </x:is>
      </x:c>
      <x:c r="E20" s="30" t="inlineStr">
        <x:is>
          <x:t xml:space="preserve">Procurement from authorized sources.</x:t>
        </x:is>
      </x:c>
    </x:row>
    <x:row r="21">
      <x:c r="A21" s="30" t="inlineStr">
        <x:is>
          <x:t xml:space="preserve">LM020</x:t>
        </x:is>
      </x:c>
      <x:c r="B21" s="30" t="inlineStr">
        <x:is>
          <x:t xml:space="preserve">LAW002</x:t>
        </x:is>
      </x:c>
      <x:c r="C21" s="30" t="inlineStr">
        <x:is>
          <x:t xml:space="preserve">CA015</x:t>
        </x:is>
      </x:c>
      <x:c r="D21" s="30" t="inlineStr">
        <x:is>
          <x:t xml:space="preserve">Yes</x:t>
        </x:is>
      </x:c>
      <x:c r="E21" s="30" t="inlineStr">
        <x:is>
          <x:t xml:space="preserve">Dispensing requirements.</x:t>
        </x:is>
      </x:c>
    </x:row>
    <x:row r="22">
      <x:c r="A22" s="30" t="inlineStr">
        <x:is>
          <x:t xml:space="preserve">LM021</x:t>
        </x:is>
      </x:c>
      <x:c r="B22" s="30" t="inlineStr">
        <x:is>
          <x:t xml:space="preserve">LAW002</x:t>
        </x:is>
      </x:c>
      <x:c r="C22" s="30" t="inlineStr">
        <x:is>
          <x:t xml:space="preserve">CA017</x:t>
        </x:is>
      </x:c>
      <x:c r="D22" s="30" t="inlineStr">
        <x:is>
          <x:t xml:space="preserve">Yes</x:t>
        </x:is>
      </x:c>
      <x:c r="E22" s="30" t="inlineStr">
        <x:is>
          <x:t xml:space="preserve">Schedule drug controls.</x:t>
        </x:is>
      </x:c>
    </x:row>
    <x:row r="23">
      <x:c r="A23" s="30" t="inlineStr">
        <x:is>
          <x:t xml:space="preserve">LM022</x:t>
        </x:is>
      </x:c>
      <x:c r="B23" s="30" t="inlineStr">
        <x:is>
          <x:t xml:space="preserve">LAW002</x:t>
        </x:is>
      </x:c>
      <x:c r="C23" s="30" t="inlineStr">
        <x:is>
          <x:t xml:space="preserve">CA019</x:t>
        </x:is>
      </x:c>
      <x:c r="D23" s="30" t="inlineStr">
        <x:is>
          <x:t xml:space="preserve">Yes</x:t>
        </x:is>
      </x:c>
      <x:c r="E23" s="30" t="inlineStr">
        <x:is>
          <x:t xml:space="preserve">Statutory registers.</x:t>
        </x:is>
      </x:c>
    </x:row>
    <x:row r="24">
      <x:c r="A24" s="30" t="inlineStr">
        <x:is>
          <x:t xml:space="preserve">LM023</x:t>
        </x:is>
      </x:c>
      <x:c r="B24" s="30" t="inlineStr">
        <x:is>
          <x:t xml:space="preserve">LAW002</x:t>
        </x:is>
      </x:c>
      <x:c r="C24" s="30" t="inlineStr">
        <x:is>
          <x:t xml:space="preserve">CA020</x:t>
        </x:is>
      </x:c>
      <x:c r="D24" s="30" t="inlineStr">
        <x:is>
          <x:t xml:space="preserve">Yes</x:t>
        </x:is>
      </x:c>
      <x:c r="E24" s="30" t="inlineStr">
        <x:is>
          <x:t xml:space="preserve">Record retention.</x:t>
        </x:is>
      </x:c>
    </x:row>
    <x:row r="25">
      <x:c r="A25" s="30" t="inlineStr">
        <x:is>
          <x:t xml:space="preserve">LM024</x:t>
        </x:is>
      </x:c>
      <x:c r="B25" s="30" t="inlineStr">
        <x:is>
          <x:t xml:space="preserve">LAW003</x:t>
        </x:is>
      </x:c>
      <x:c r="C25" s="30" t="inlineStr">
        <x:is>
          <x:t xml:space="preserve">CA002</x:t>
        </x:is>
      </x:c>
      <x:c r="D25" s="30" t="inlineStr">
        <x:is>
          <x:t xml:space="preserve">Yes</x:t>
        </x:is>
      </x:c>
      <x:c r="E25" s="30" t="inlineStr">
        <x:is>
          <x:t xml:space="preserve">Amendments to licensing provisions.</x:t>
        </x:is>
      </x:c>
    </x:row>
    <x:row r="26">
      <x:c r="A26" s="30" t="inlineStr">
        <x:is>
          <x:t xml:space="preserve">LM025</x:t>
        </x:is>
      </x:c>
      <x:c r="B26" s="30" t="inlineStr">
        <x:is>
          <x:t xml:space="preserve">LAW003</x:t>
        </x:is>
      </x:c>
      <x:c r="C26" s="30" t="inlineStr">
        <x:is>
          <x:t xml:space="preserve">CA015</x:t>
        </x:is>
      </x:c>
      <x:c r="D26" s="30" t="inlineStr">
        <x:is>
          <x:t xml:space="preserve">Yes</x:t>
        </x:is>
      </x:c>
      <x:c r="E26" s="30" t="inlineStr">
        <x:is>
          <x:t xml:space="preserve">Amendments affecting dispensing.</x:t>
        </x:is>
      </x:c>
    </x:row>
    <x:row r="27">
      <x:c r="A27" s="30" t="inlineStr">
        <x:is>
          <x:t xml:space="preserve">LM026</x:t>
        </x:is>
      </x:c>
      <x:c r="B27" s="30" t="inlineStr">
        <x:is>
          <x:t xml:space="preserve">LAW003</x:t>
        </x:is>
      </x:c>
      <x:c r="C27" s="30" t="inlineStr">
        <x:is>
          <x:t xml:space="preserve">CA017</x:t>
        </x:is>
      </x:c>
      <x:c r="D27" s="30" t="inlineStr">
        <x:is>
          <x:t xml:space="preserve">Yes</x:t>
        </x:is>
      </x:c>
      <x:c r="E27" s="30" t="inlineStr">
        <x:is>
          <x:t xml:space="preserve">Amendments affecting schedule drugs.</x:t>
        </x:is>
      </x:c>
    </x:row>
    <x:row r="28">
      <x:c r="A28" s="30" t="inlineStr">
        <x:is>
          <x:t xml:space="preserve">LM027</x:t>
        </x:is>
      </x:c>
      <x:c r="B28" s="30" t="inlineStr">
        <x:is>
          <x:t xml:space="preserve">LAW004</x:t>
        </x:is>
      </x:c>
      <x:c r="C28" s="30" t="inlineStr">
        <x:is>
          <x:t xml:space="preserve">CA003</x:t>
        </x:is>
      </x:c>
      <x:c r="D28" s="30" t="inlineStr">
        <x:is>
          <x:t xml:space="preserve">Yes</x:t>
        </x:is>
      </x:c>
      <x:c r="E28" s="30" t="inlineStr">
        <x:is>
          <x:t xml:space="preserve">Pharmacist registration.</x:t>
        </x:is>
      </x:c>
    </x:row>
    <x:row r="29">
      <x:c r="A29" s="30" t="inlineStr">
        <x:is>
          <x:t xml:space="preserve">LM028</x:t>
        </x:is>
      </x:c>
      <x:c r="B29" s="30" t="inlineStr">
        <x:is>
          <x:t xml:space="preserve">LAW004</x:t>
        </x:is>
      </x:c>
      <x:c r="C29" s="30" t="inlineStr">
        <x:is>
          <x:t xml:space="preserve">CA049</x:t>
        </x:is>
      </x:c>
      <x:c r="D29" s="30" t="inlineStr">
        <x:is>
          <x:t xml:space="preserve">Yes</x:t>
        </x:is>
      </x:c>
      <x:c r="E29" s="30" t="inlineStr">
        <x:is>
          <x:t xml:space="preserve">Professional competency.</x:t>
        </x:is>
      </x:c>
    </x:row>
    <x:row r="30">
      <x:c r="A30" s="30" t="inlineStr">
        <x:is>
          <x:t xml:space="preserve">LM029</x:t>
        </x:is>
      </x:c>
      <x:c r="B30" s="30" t="inlineStr">
        <x:is>
          <x:t xml:space="preserve">LAW005</x:t>
        </x:is>
      </x:c>
      <x:c r="C30" s="30" t="inlineStr">
        <x:is>
          <x:t xml:space="preserve">CA003</x:t>
        </x:is>
      </x:c>
      <x:c r="D30" s="30" t="inlineStr">
        <x:is>
          <x:t xml:space="preserve">Yes</x:t>
        </x:is>
      </x:c>
      <x:c r="E30" s="30" t="inlineStr">
        <x:is>
          <x:t xml:space="preserve">Qualification requirements.</x:t>
        </x:is>
      </x:c>
    </x:row>
    <x:row r="31">
      <x:c r="A31" s="30" t="inlineStr">
        <x:is>
          <x:t xml:space="preserve">LM030</x:t>
        </x:is>
      </x:c>
      <x:c r="B31" s="30" t="inlineStr">
        <x:is>
          <x:t xml:space="preserve">LAW005</x:t>
        </x:is>
      </x:c>
      <x:c r="C31" s="30" t="inlineStr">
        <x:is>
          <x:t xml:space="preserve">CA049</x:t>
        </x:is>
      </x:c>
      <x:c r="D31" s="30" t="inlineStr">
        <x:is>
          <x:t xml:space="preserve">Yes</x:t>
        </x:is>
      </x:c>
      <x:c r="E31" s="30" t="inlineStr">
        <x:is>
          <x:t xml:space="preserve">Educational standards.</x:t>
        </x:is>
      </x:c>
    </x:row>
    <x:row r="32">
      <x:c r="A32" s="30" t="inlineStr">
        <x:is>
          <x:t xml:space="preserve">LM031</x:t>
        </x:is>
      </x:c>
      <x:c r="B32" s="30" t="inlineStr">
        <x:is>
          <x:t xml:space="preserve">LAW006</x:t>
        </x:is>
      </x:c>
      <x:c r="C32" s="30" t="inlineStr">
        <x:is>
          <x:t xml:space="preserve">CA030</x:t>
        </x:is>
      </x:c>
      <x:c r="D32" s="30" t="inlineStr">
        <x:is>
          <x:t xml:space="preserve">Yes</x:t>
        </x:is>
      </x:c>
      <x:c r="E32" s="30" t="inlineStr">
        <x:is>
          <x:t xml:space="preserve">Drug price control.</x:t>
        </x:is>
      </x:c>
    </x:row>
    <x:row r="33">
      <x:c r="A33" s="30" t="inlineStr">
        <x:is>
          <x:t xml:space="preserve">LM032</x:t>
        </x:is>
      </x:c>
      <x:c r="B33" s="30" t="inlineStr">
        <x:is>
          <x:t xml:space="preserve">LAW006</x:t>
        </x:is>
      </x:c>
      <x:c r="C33" s="30" t="inlineStr">
        <x:is>
          <x:t xml:space="preserve">CA031</x:t>
        </x:is>
      </x:c>
      <x:c r="D33" s="30" t="inlineStr">
        <x:is>
          <x:t xml:space="preserve">Yes</x:t>
        </x:is>
      </x:c>
      <x:c r="E33" s="30" t="inlineStr">
        <x:is>
          <x:t xml:space="preserve">Billing and invoicing.</x:t>
        </x:is>
      </x:c>
    </x:row>
    <x:row r="34">
      <x:c r="A34" s="30" t="inlineStr">
        <x:is>
          <x:t xml:space="preserve">LM033</x:t>
        </x:is>
      </x:c>
      <x:c r="B34" s="30" t="inlineStr">
        <x:is>
          <x:t xml:space="preserve">LAW006</x:t>
        </x:is>
      </x:c>
      <x:c r="C34" s="30" t="inlineStr">
        <x:is>
          <x:t xml:space="preserve">CA032</x:t>
        </x:is>
      </x:c>
      <x:c r="D34" s="30" t="inlineStr">
        <x:is>
          <x:t xml:space="preserve">Yes</x:t>
        </x:is>
      </x:c>
      <x:c r="E34" s="30" t="inlineStr">
        <x:is>
          <x:t xml:space="preserve">Trade practices.</x:t>
        </x:is>
      </x:c>
    </x:row>
    <x:row r="35">
      <x:c r="A35" s="30" t="inlineStr">
        <x:is>
          <x:t xml:space="preserve">LM034</x:t>
        </x:is>
      </x:c>
      <x:c r="B35" s="30" t="inlineStr">
        <x:is>
          <x:t xml:space="preserve">LAW007</x:t>
        </x:is>
      </x:c>
      <x:c r="C35" s="30" t="inlineStr">
        <x:is>
          <x:t xml:space="preserve">CA030</x:t>
        </x:is>
      </x:c>
      <x:c r="D35" s="30" t="inlineStr">
        <x:is>
          <x:t xml:space="preserve">Yes</x:t>
        </x:is>
      </x:c>
      <x:c r="E35" s="30" t="inlineStr">
        <x:is>
          <x:t xml:space="preserve">Ceiling price notifications.</x:t>
        </x:is>
      </x:c>
    </x:row>
    <x:row r="36">
      <x:c r="A36" s="30" t="inlineStr">
        <x:is>
          <x:t xml:space="preserve">LM035</x:t>
        </x:is>
      </x:c>
      <x:c r="B36" s="30" t="inlineStr">
        <x:is>
          <x:t xml:space="preserve">LAW008</x:t>
        </x:is>
      </x:c>
      <x:c r="C36" s="30" t="inlineStr">
        <x:is>
          <x:t xml:space="preserve">CA021</x:t>
        </x:is>
      </x:c>
      <x:c r="D36" s="30" t="inlineStr">
        <x:is>
          <x:t xml:space="preserve">Yes</x:t>
        </x:is>
      </x:c>
      <x:c r="E36" s="30" t="inlineStr">
        <x:is>
          <x:t xml:space="preserve">Quality assurance.</x:t>
        </x:is>
      </x:c>
    </x:row>
    <x:row r="37">
      <x:c r="A37" s="30" t="inlineStr">
        <x:is>
          <x:t xml:space="preserve">LM036</x:t>
        </x:is>
      </x:c>
      <x:c r="B37" s="30" t="inlineStr">
        <x:is>
          <x:t xml:space="preserve">LAW008</x:t>
        </x:is>
      </x:c>
      <x:c r="C37" s="30" t="inlineStr">
        <x:is>
          <x:t xml:space="preserve">CA022</x:t>
        </x:is>
      </x:c>
      <x:c r="D37" s="30" t="inlineStr">
        <x:is>
          <x:t xml:space="preserve">Yes</x:t>
        </x:is>
      </x:c>
      <x:c r="E37" s="30" t="inlineStr">
        <x:is>
          <x:t xml:space="preserve">Clinical trial products where applicable.</x:t>
        </x:is>
      </x:c>
    </x:row>
    <x:row r="38">
      <x:c r="A38" s="30" t="inlineStr">
        <x:is>
          <x:t xml:space="preserve">LM037</x:t>
        </x:is>
      </x:c>
      <x:c r="B38" s="30" t="inlineStr">
        <x:is>
          <x:t xml:space="preserve">LAW009</x:t>
        </x:is>
      </x:c>
      <x:c r="C38" s="30" t="inlineStr">
        <x:is>
          <x:t xml:space="preserve">CA011</x:t>
        </x:is>
      </x:c>
      <x:c r="D38" s="30" t="inlineStr">
        <x:is>
          <x:t xml:space="preserve">Yes</x:t>
        </x:is>
      </x:c>
      <x:c r="E38" s="30" t="inlineStr">
        <x:is>
          <x:t xml:space="preserve">Vendor qualification.</x:t>
        </x:is>
      </x:c>
    </x:row>
    <x:row r="39">
      <x:c r="A39" s="30" t="inlineStr">
        <x:is>
          <x:t xml:space="preserve">LM038</x:t>
        </x:is>
      </x:c>
      <x:c r="B39" s="30" t="inlineStr">
        <x:is>
          <x:t xml:space="preserve">LAW009</x:t>
        </x:is>
      </x:c>
      <x:c r="C39" s="30" t="inlineStr">
        <x:is>
          <x:t xml:space="preserve">CA012</x:t>
        </x:is>
      </x:c>
      <x:c r="D39" s="30" t="inlineStr">
        <x:is>
          <x:t xml:space="preserve">Yes</x:t>
        </x:is>
      </x:c>
      <x:c r="E39" s="30" t="inlineStr">
        <x:is>
          <x:t xml:space="preserve">Distribution controls.</x:t>
        </x:is>
      </x:c>
    </x:row>
    <x:row r="40">
      <x:c r="A40" s="30" t="inlineStr">
        <x:is>
          <x:t xml:space="preserve">LM039</x:t>
        </x:is>
      </x:c>
      <x:c r="B40" s="30" t="inlineStr">
        <x:is>
          <x:t xml:space="preserve">LAW010</x:t>
        </x:is>
      </x:c>
      <x:c r="C40" s="30" t="inlineStr">
        <x:is>
          <x:t xml:space="preserve">CA007</x:t>
        </x:is>
      </x:c>
      <x:c r="D40" s="30" t="inlineStr">
        <x:is>
          <x:t xml:space="preserve">Yes</x:t>
        </x:is>
      </x:c>
      <x:c r="E40" s="30" t="inlineStr">
        <x:is>
          <x:t xml:space="preserve">Good storage practices.</x:t>
        </x:is>
      </x:c>
    </x:row>
    <x:row r="41">
      <x:c r="A41" s="30" t="inlineStr">
        <x:is>
          <x:t xml:space="preserve">LM040</x:t>
        </x:is>
      </x:c>
      <x:c r="B41" s="30" t="inlineStr">
        <x:is>
          <x:t xml:space="preserve">LAW010</x:t>
        </x:is>
      </x:c>
      <x:c r="C41" s="30" t="inlineStr">
        <x:is>
          <x:t xml:space="preserve">CA008</x:t>
        </x:is>
      </x:c>
      <x:c r="D41" s="30" t="inlineStr">
        <x:is>
          <x:t xml:space="preserve">Yes</x:t>
        </x:is>
      </x:c>
      <x:c r="E41" s="30" t="inlineStr">
        <x:is>
          <x:t xml:space="preserve">Cold chain controls.</x:t>
        </x:is>
      </x:c>
    </x:row>
    <x:row r="42">
      <x:c r="A42" s="30" t="inlineStr">
        <x:is>
          <x:t xml:space="preserve">LM041</x:t>
        </x:is>
      </x:c>
      <x:c r="B42" s="30" t="inlineStr">
        <x:is>
          <x:t xml:space="preserve">LAW010</x:t>
        </x:is>
      </x:c>
      <x:c r="C42" s="30" t="inlineStr">
        <x:is>
          <x:t xml:space="preserve">CA009</x:t>
        </x:is>
      </x:c>
      <x:c r="D42" s="30" t="inlineStr">
        <x:is>
          <x:t xml:space="preserve">Yes</x:t>
        </x:is>
      </x:c>
      <x:c r="E42" s="30" t="inlineStr">
        <x:is>
          <x:t xml:space="preserve">Storage equipment.</x:t>
        </x:is>
      </x:c>
    </x:row>
    <x:row r="43">
      <x:c r="A43" s="30" t="inlineStr">
        <x:is>
          <x:t xml:space="preserve">LM042</x:t>
        </x:is>
      </x:c>
      <x:c r="B43" s="30" t="inlineStr">
        <x:is>
          <x:t xml:space="preserve">LAW011</x:t>
        </x:is>
      </x:c>
      <x:c r="C43" s="30" t="inlineStr">
        <x:is>
          <x:t xml:space="preserve">CA002</x:t>
        </x:is>
      </x:c>
      <x:c r="D43" s="30" t="inlineStr">
        <x:is>
          <x:t xml:space="preserve">Yes</x:t>
        </x:is>
      </x:c>
      <x:c r="E43" s="30" t="inlineStr">
        <x:is>
          <x:t xml:space="preserve">Retail licence compliance.</x:t>
        </x:is>
      </x:c>
    </x:row>
    <x:row r="44">
      <x:c r="A44" s="30" t="inlineStr">
        <x:is>
          <x:t xml:space="preserve">LM043</x:t>
        </x:is>
      </x:c>
      <x:c r="B44" s="30" t="inlineStr">
        <x:is>
          <x:t xml:space="preserve">LAW011</x:t>
        </x:is>
      </x:c>
      <x:c r="C44" s="30" t="inlineStr">
        <x:is>
          <x:t xml:space="preserve">CA015</x:t>
        </x:is>
      </x:c>
      <x:c r="D44" s="30" t="inlineStr">
        <x:is>
          <x:t xml:space="preserve">Yes</x:t>
        </x:is>
      </x:c>
      <x:c r="E44" s="30" t="inlineStr">
        <x:is>
          <x:t xml:space="preserve">Retail dispensing.</x:t>
        </x:is>
      </x:c>
    </x:row>
    <x:row r="45">
      <x:c r="A45" s="30" t="inlineStr">
        <x:is>
          <x:t xml:space="preserve">LM044</x:t>
        </x:is>
      </x:c>
      <x:c r="B45" s="30" t="inlineStr">
        <x:is>
          <x:t xml:space="preserve">LAW011</x:t>
        </x:is>
      </x:c>
      <x:c r="C45" s="30" t="inlineStr">
        <x:is>
          <x:t xml:space="preserve">CA063</x:t>
        </x:is>
      </x:c>
      <x:c r="D45" s="30" t="inlineStr">
        <x:is>
          <x:t xml:space="preserve">Yes</x:t>
        </x:is>
      </x:c>
      <x:c r="E45" s="30" t="inlineStr">
        <x:is>
          <x:t xml:space="preserve">Display of licence.</x:t>
        </x:is>
      </x:c>
    </x:row>
    <x:row r="46">
      <x:c r="A46" s="30" t="inlineStr">
        <x:is>
          <x:t xml:space="preserve">LM045</x:t>
        </x:is>
      </x:c>
      <x:c r="B46" s="30" t="inlineStr">
        <x:is>
          <x:t xml:space="preserve">LAW012</x:t>
        </x:is>
      </x:c>
      <x:c r="C46" s="30" t="inlineStr">
        <x:is>
          <x:t xml:space="preserve">CA002</x:t>
        </x:is>
      </x:c>
      <x:c r="D46" s="30" t="inlineStr">
        <x:is>
          <x:t xml:space="preserve">Yes</x:t>
        </x:is>
      </x:c>
      <x:c r="E46" s="30" t="inlineStr">
        <x:is>
          <x:t xml:space="preserve">Wholesale licence compliance.</x:t>
        </x:is>
      </x:c>
    </x:row>
    <x:row r="47">
      <x:c r="A47" s="30" t="inlineStr">
        <x:is>
          <x:t xml:space="preserve">LM046</x:t>
        </x:is>
      </x:c>
      <x:c r="B47" s="30" t="inlineStr">
        <x:is>
          <x:t xml:space="preserve">LAW012</x:t>
        </x:is>
      </x:c>
      <x:c r="C47" s="30" t="inlineStr">
        <x:is>
          <x:t xml:space="preserve">CA011</x:t>
        </x:is>
      </x:c>
      <x:c r="D47" s="30" t="inlineStr">
        <x:is>
          <x:t xml:space="preserve">Yes</x:t>
        </x:is>
      </x:c>
      <x:c r="E47" s="30" t="inlineStr">
        <x:is>
          <x:t xml:space="preserve">Wholesale procurement.</x:t>
        </x:is>
      </x:c>
    </x:row>
    <x:row r="48">
      <x:c r="A48" s="30" t="inlineStr">
        <x:is>
          <x:t xml:space="preserve">LM047</x:t>
        </x:is>
      </x:c>
      <x:c r="B48" s="30" t="inlineStr">
        <x:is>
          <x:t xml:space="preserve">LAW012</x:t>
        </x:is>
      </x:c>
      <x:c r="C48" s="30" t="inlineStr">
        <x:is>
          <x:t xml:space="preserve">CA012</x:t>
        </x:is>
      </x:c>
      <x:c r="D48" s="30" t="inlineStr">
        <x:is>
          <x:t xml:space="preserve">Yes</x:t>
        </x:is>
      </x:c>
      <x:c r="E48" s="30" t="inlineStr">
        <x:is>
          <x:t xml:space="preserve">Wholesale inventory.</x:t>
        </x:is>
      </x:c>
    </x:row>
    <x:row r="49">
      <x:c r="A49" s="30" t="inlineStr">
        <x:is>
          <x:t xml:space="preserve">LM048</x:t>
        </x:is>
      </x:c>
      <x:c r="B49" s="30" t="inlineStr">
        <x:is>
          <x:t xml:space="preserve">LAW013</x:t>
        </x:is>
      </x:c>
      <x:c r="C49" s="30" t="inlineStr">
        <x:is>
          <x:t xml:space="preserve">CA002</x:t>
        </x:is>
      </x:c>
      <x:c r="D49" s="30" t="inlineStr">
        <x:is>
          <x:t xml:space="preserve">Yes</x:t>
        </x:is>
      </x:c>
      <x:c r="E49" s="30" t="inlineStr">
        <x:is>
          <x:t xml:space="preserve">Hospital pharmacy licence.</x:t>
        </x:is>
      </x:c>
    </x:row>
    <x:row r="50">
      <x:c r="A50" s="30" t="inlineStr">
        <x:is>
          <x:t xml:space="preserve">LM049</x:t>
        </x:is>
      </x:c>
      <x:c r="B50" s="30" t="inlineStr">
        <x:is>
          <x:t xml:space="preserve">LAW013</x:t>
        </x:is>
      </x:c>
      <x:c r="C50" s="30" t="inlineStr">
        <x:is>
          <x:t xml:space="preserve">CA015</x:t>
        </x:is>
      </x:c>
      <x:c r="D50" s="30" t="inlineStr">
        <x:is>
          <x:t xml:space="preserve">Yes</x:t>
        </x:is>
      </x:c>
      <x:c r="E50" s="30" t="inlineStr">
        <x:is>
          <x:t xml:space="preserve">Hospital dispensing.</x:t>
        </x:is>
      </x:c>
    </x:row>
    <x:row r="51">
      <x:c r="A51" s="30" t="inlineStr">
        <x:is>
          <x:t xml:space="preserve">LM050</x:t>
        </x:is>
      </x:c>
      <x:c r="B51" s="30" t="inlineStr">
        <x:is>
          <x:t xml:space="preserve">LAW014</x:t>
        </x:is>
      </x:c>
      <x:c r="C51" s="30" t="inlineStr">
        <x:is>
          <x:t xml:space="preserve">CA033</x:t>
        </x:is>
      </x:c>
      <x:c r="D51" s="30" t="inlineStr">
        <x:is>
          <x:t xml:space="preserve">Yes</x:t>
        </x:is>
      </x:c>
      <x:c r="E51" s="30" t="inlineStr">
        <x:is>
          <x:t xml:space="preserve">E-pharmacy regulatory compliance.</x:t>
        </x:is>
      </x:c>
    </x:row>
    <x:row r="52">
      <x:c r="A52" s="30" t="inlineStr">
        <x:is>
          <x:t xml:space="preserve">LM051</x:t>
        </x:is>
      </x:c>
      <x:c r="B52" s="30" t="inlineStr">
        <x:is>
          <x:t xml:space="preserve">LAW014</x:t>
        </x:is>
      </x:c>
      <x:c r="C52" s="30" t="inlineStr">
        <x:is>
          <x:t xml:space="preserve">CA034</x:t>
        </x:is>
      </x:c>
      <x:c r="D52" s="30" t="inlineStr">
        <x:is>
          <x:t xml:space="preserve">Yes</x:t>
        </x:is>
      </x:c>
      <x:c r="E52" s="30" t="inlineStr">
        <x:is>
          <x:t xml:space="preserve">Online prescription verification requirements.</x:t>
        </x:is>
      </x:c>
    </x:row>
    <x:row r="53">
      <x:c r="A53" s="30" t="inlineStr">
        <x:is>
          <x:t xml:space="preserve">LM052</x:t>
        </x:is>
      </x:c>
      <x:c r="B53" s="30" t="inlineStr">
        <x:is>
          <x:t xml:space="preserve">LAW014</x:t>
        </x:is>
      </x:c>
      <x:c r="C53" s="30" t="inlineStr">
        <x:is>
          <x:t xml:space="preserve">CA035</x:t>
        </x:is>
      </x:c>
      <x:c r="D53" s="30" t="inlineStr">
        <x:is>
          <x:t xml:space="preserve">Yes</x:t>
        </x:is>
      </x:c>
      <x:c r="E53" s="30" t="inlineStr">
        <x:is>
          <x:t xml:space="preserve">Online order fulfilment requirements.</x:t>
        </x:is>
      </x:c>
    </x:row>
    <x:row r="54">
      <x:c r="A54" s="30" t="inlineStr">
        <x:is>
          <x:t xml:space="preserve">LM053</x:t>
        </x:is>
      </x:c>
      <x:c r="B54" s="30" t="inlineStr">
        <x:is>
          <x:t xml:space="preserve">LAW014</x:t>
        </x:is>
      </x:c>
      <x:c r="C54" s="30" t="inlineStr">
        <x:is>
          <x:t xml:space="preserve">CA036</x:t>
        </x:is>
      </x:c>
      <x:c r="D54" s="30" t="inlineStr">
        <x:is>
          <x:t xml:space="preserve">Yes</x:t>
        </x:is>
      </x:c>
      <x:c r="E54" s="30" t="inlineStr">
        <x:is>
          <x:t xml:space="preserve">Electronic prescription and digital health records.</x:t>
        </x:is>
      </x:c>
    </x:row>
    <x:row r="55">
      <x:c r="A55" s="30" t="inlineStr">
        <x:is>
          <x:t xml:space="preserve">LM054</x:t>
        </x:is>
      </x:c>
      <x:c r="B55" s="30" t="inlineStr">
        <x:is>
          <x:t xml:space="preserve">LAW015</x:t>
        </x:is>
      </x:c>
      <x:c r="C55" s="30" t="inlineStr">
        <x:is>
          <x:t xml:space="preserve">CA025</x:t>
        </x:is>
      </x:c>
      <x:c r="D55" s="30" t="inlineStr">
        <x:is>
          <x:t xml:space="preserve">Yes</x:t>
        </x:is>
      </x:c>
      <x:c r="E55" s="30" t="inlineStr">
        <x:is>
          <x:t xml:space="preserve">Governing legislation for narcotic and psychotropic substances.</x:t>
        </x:is>
      </x:c>
    </x:row>
    <x:row r="56">
      <x:c r="A56" s="30" t="inlineStr">
        <x:is>
          <x:t xml:space="preserve">LM055</x:t>
        </x:is>
      </x:c>
      <x:c r="B56" s="30" t="inlineStr">
        <x:is>
          <x:t xml:space="preserve">LAW015</x:t>
        </x:is>
      </x:c>
      <x:c r="C56" s="30" t="inlineStr">
        <x:is>
          <x:t xml:space="preserve">CA026</x:t>
        </x:is>
      </x:c>
      <x:c r="D56" s="30" t="inlineStr">
        <x:is>
          <x:t xml:space="preserve">Yes</x:t>
        </x:is>
      </x:c>
      <x:c r="E56" s="30" t="inlineStr">
        <x:is>
          <x:t xml:space="preserve">NDPS compliance.</x:t>
        </x:is>
      </x:c>
    </x:row>
    <x:row r="57">
      <x:c r="A57" s="30" t="inlineStr">
        <x:is>
          <x:t xml:space="preserve">LM056</x:t>
        </x:is>
      </x:c>
      <x:c r="B57" s="30" t="inlineStr">
        <x:is>
          <x:t xml:space="preserve">LAW015</x:t>
        </x:is>
      </x:c>
      <x:c r="C57" s="30" t="inlineStr">
        <x:is>
          <x:t xml:space="preserve">CA027</x:t>
        </x:is>
      </x:c>
      <x:c r="D57" s="30" t="inlineStr">
        <x:is>
          <x:t xml:space="preserve">Yes</x:t>
        </x:is>
      </x:c>
      <x:c r="E57" s="30" t="inlineStr">
        <x:is>
          <x:t xml:space="preserve">Schedule X drug controls.</x:t>
        </x:is>
      </x:c>
    </x:row>
    <x:row r="58">
      <x:c r="A58" s="30" t="inlineStr">
        <x:is>
          <x:t xml:space="preserve">LM057</x:t>
        </x:is>
      </x:c>
      <x:c r="B58" s="30" t="inlineStr">
        <x:is>
          <x:t xml:space="preserve">LAW015</x:t>
        </x:is>
      </x:c>
      <x:c r="C58" s="30" t="inlineStr">
        <x:is>
          <x:t xml:space="preserve">CA028</x:t>
        </x:is>
      </x:c>
      <x:c r="D58" s="30" t="inlineStr">
        <x:is>
          <x:t xml:space="preserve">Yes</x:t>
        </x:is>
      </x:c>
      <x:c r="E58" s="30" t="inlineStr">
        <x:is>
          <x:t xml:space="preserve">Controlled substance registers and records.</x:t>
        </x:is>
      </x:c>
    </x:row>
    <x:row r="59">
      <x:c r="A59" s="30" t="inlineStr">
        <x:is>
          <x:t xml:space="preserve">LM058</x:t>
        </x:is>
      </x:c>
      <x:c r="B59" s="30" t="inlineStr">
        <x:is>
          <x:t xml:space="preserve">LAW016</x:t>
        </x:is>
      </x:c>
      <x:c r="C59" s="30" t="inlineStr">
        <x:is>
          <x:t xml:space="preserve">CA026</x:t>
        </x:is>
      </x:c>
      <x:c r="D59" s="30" t="inlineStr">
        <x:is>
          <x:t xml:space="preserve">Yes</x:t>
        </x:is>
      </x:c>
      <x:c r="E59" s="30" t="inlineStr">
        <x:is>
          <x:t xml:space="preserve">Operational rules under NDPS framework.</x:t>
        </x:is>
      </x:c>
    </x:row>
    <x:row r="60">
      <x:c r="A60" s="30" t="inlineStr">
        <x:is>
          <x:t xml:space="preserve">LM059</x:t>
        </x:is>
      </x:c>
      <x:c r="B60" s="30" t="inlineStr">
        <x:is>
          <x:t xml:space="preserve">LAW016</x:t>
        </x:is>
      </x:c>
      <x:c r="C60" s="30" t="inlineStr">
        <x:is>
          <x:t xml:space="preserve">CA027</x:t>
        </x:is>
      </x:c>
      <x:c r="D60" s="30" t="inlineStr">
        <x:is>
          <x:t xml:space="preserve">Yes</x:t>
        </x:is>
      </x:c>
      <x:c r="E60" s="30" t="inlineStr">
        <x:is>
          <x:t xml:space="preserve">Storage and handling of controlled medicines.</x:t>
        </x:is>
      </x:c>
    </x:row>
    <x:row r="61">
      <x:c r="A61" s="30" t="inlineStr">
        <x:is>
          <x:t xml:space="preserve">LM060</x:t>
        </x:is>
      </x:c>
      <x:c r="B61" s="30" t="inlineStr">
        <x:is>
          <x:t xml:space="preserve">LAW016</x:t>
        </x:is>
      </x:c>
      <x:c r="C61" s="30" t="inlineStr">
        <x:is>
          <x:t xml:space="preserve">CA028</x:t>
        </x:is>
      </x:c>
      <x:c r="D61" s="30" t="inlineStr">
        <x:is>
          <x:t xml:space="preserve">Yes</x:t>
        </x:is>
      </x:c>
      <x:c r="E61" s="30" t="inlineStr">
        <x:is>
          <x:t xml:space="preserve">Mandatory record maintenance.</x:t>
        </x:is>
      </x:c>
    </x:row>
    <x:row r="62">
      <x:c r="A62" s="30" t="inlineStr">
        <x:is>
          <x:t xml:space="preserve">LM061</x:t>
        </x:is>
      </x:c>
      <x:c r="B62" s="30" t="inlineStr">
        <x:is>
          <x:t xml:space="preserve">LAW017</x:t>
        </x:is>
      </x:c>
      <x:c r="C62" s="30" t="inlineStr">
        <x:is>
          <x:t xml:space="preserve">CA026</x:t>
        </x:is>
      </x:c>
      <x:c r="D62" s="30" t="inlineStr">
        <x:is>
          <x:t xml:space="preserve">Yes</x:t>
        </x:is>
      </x:c>
      <x:c r="E62" s="30" t="inlineStr">
        <x:is>
          <x:t xml:space="preserve">Controlled substance enforcement guidance.</x:t>
        </x:is>
      </x:c>
    </x:row>
    <x:row r="63">
      <x:c r="A63" s="30" t="inlineStr">
        <x:is>
          <x:t xml:space="preserve">LM062</x:t>
        </x:is>
      </x:c>
      <x:c r="B63" s="30" t="inlineStr">
        <x:is>
          <x:t xml:space="preserve">LAW017</x:t>
        </x:is>
      </x:c>
      <x:c r="C63" s="30" t="inlineStr">
        <x:is>
          <x:t xml:space="preserve">CA090</x:t>
        </x:is>
      </x:c>
      <x:c r="D63" s="30" t="inlineStr">
        <x:is>
          <x:t xml:space="preserve">Yes</x:t>
        </x:is>
      </x:c>
      <x:c r="E63" s="30" t="inlineStr">
        <x:is>
          <x:t xml:space="preserve">Reporting and investigation of narcotics-related incidents.</x:t>
        </x:is>
      </x:c>
    </x:row>
    <x:row r="64">
      <x:c r="A64" s="30" t="inlineStr">
        <x:is>
          <x:t xml:space="preserve">LM063</x:t>
        </x:is>
      </x:c>
      <x:c r="B64" s="30" t="inlineStr">
        <x:is>
          <x:t xml:space="preserve">LAW018</x:t>
        </x:is>
      </x:c>
      <x:c r="C64" s="30" t="inlineStr">
        <x:is>
          <x:t xml:space="preserve">CA037</x:t>
        </x:is>
      </x:c>
      <x:c r="D64" s="30" t="inlineStr">
        <x:is>
          <x:t xml:space="preserve">Yes</x:t>
        </x:is>
      </x:c>
      <x:c r="E64" s="30" t="inlineStr">
        <x:is>
          <x:t xml:space="preserve">Environmental compliance obligations.</x:t>
        </x:is>
      </x:c>
    </x:row>
    <x:row r="65">
      <x:c r="A65" s="30" t="inlineStr">
        <x:is>
          <x:t xml:space="preserve">LM064</x:t>
        </x:is>
      </x:c>
      <x:c r="B65" s="30" t="inlineStr">
        <x:is>
          <x:t xml:space="preserve">LAW018</x:t>
        </x:is>
      </x:c>
      <x:c r="C65" s="30" t="inlineStr">
        <x:is>
          <x:t xml:space="preserve">CA038</x:t>
        </x:is>
      </x:c>
      <x:c r="D65" s="30" t="inlineStr">
        <x:is>
          <x:t xml:space="preserve">Yes</x:t>
        </x:is>
      </x:c>
      <x:c r="E65" s="30" t="inlineStr">
        <x:is>
          <x:t xml:space="preserve">Biomedical waste segregation and disposal.</x:t>
        </x:is>
      </x:c>
    </x:row>
    <x:row r="66">
      <x:c r="A66" s="30" t="inlineStr">
        <x:is>
          <x:t xml:space="preserve">LM065</x:t>
        </x:is>
      </x:c>
      <x:c r="B66" s="30" t="inlineStr">
        <x:is>
          <x:t xml:space="preserve">LAW018</x:t>
        </x:is>
      </x:c>
      <x:c r="C66" s="30" t="inlineStr">
        <x:is>
          <x:t xml:space="preserve">CA039</x:t>
        </x:is>
      </x:c>
      <x:c r="D66" s="30" t="inlineStr">
        <x:is>
          <x:t xml:space="preserve">Yes</x:t>
        </x:is>
      </x:c>
      <x:c r="E66" s="30" t="inlineStr">
        <x:is>
          <x:t xml:space="preserve">Hazardous waste management.</x:t>
        </x:is>
      </x:c>
    </x:row>
    <x:row r="67">
      <x:c r="A67" s="30" t="inlineStr">
        <x:is>
          <x:t xml:space="preserve">LM066</x:t>
        </x:is>
      </x:c>
      <x:c r="B67" s="30" t="inlineStr">
        <x:is>
          <x:t xml:space="preserve">LAW019</x:t>
        </x:is>
      </x:c>
      <x:c r="C67" s="30" t="inlineStr">
        <x:is>
          <x:t xml:space="preserve">CA038</x:t>
        </x:is>
      </x:c>
      <x:c r="D67" s="30" t="inlineStr">
        <x:is>
          <x:t xml:space="preserve">Yes</x:t>
        </x:is>
      </x:c>
      <x:c r="E67" s="30" t="inlineStr">
        <x:is>
          <x:t xml:space="preserve">Biomedical waste operational guidance.</x:t>
        </x:is>
      </x:c>
    </x:row>
    <x:row r="68">
      <x:c r="A68" s="30" t="inlineStr">
        <x:is>
          <x:t xml:space="preserve">LM067</x:t>
        </x:is>
      </x:c>
      <x:c r="B68" s="30" t="inlineStr">
        <x:is>
          <x:t xml:space="preserve">LAW020</x:t>
        </x:is>
      </x:c>
      <x:c r="C68" s="30" t="inlineStr">
        <x:is>
          <x:t xml:space="preserve">CA038</x:t>
        </x:is>
      </x:c>
      <x:c r="D68" s="30" t="inlineStr">
        <x:is>
          <x:t xml:space="preserve">Yes</x:t>
        </x:is>
      </x:c>
      <x:c r="E68" s="30" t="inlineStr">
        <x:is>
          <x:t xml:space="preserve">State biomedical waste authorization requirements.</x:t>
        </x:is>
      </x:c>
    </x:row>
    <x:row r="69">
      <x:c r="A69" s="30" t="inlineStr">
        <x:is>
          <x:t xml:space="preserve">LM068</x:t>
        </x:is>
      </x:c>
      <x:c r="B69" s="30" t="inlineStr">
        <x:is>
          <x:t xml:space="preserve">LAW020</x:t>
        </x:is>
      </x:c>
      <x:c r="C69" s="30" t="inlineStr">
        <x:is>
          <x:t xml:space="preserve">CA040</x:t>
        </x:is>
      </x:c>
      <x:c r="D69" s="30" t="inlineStr">
        <x:is>
          <x:t xml:space="preserve">Yes</x:t>
        </x:is>
      </x:c>
      <x:c r="E69" s="30" t="inlineStr">
        <x:is>
          <x:t xml:space="preserve">Pollution Control Board compliance.</x:t>
        </x:is>
      </x:c>
    </x:row>
    <x:row r="70">
      <x:c r="A70" s="30" t="inlineStr">
        <x:is>
          <x:t xml:space="preserve">LM069</x:t>
        </x:is>
      </x:c>
      <x:c r="B70" s="30" t="inlineStr">
        <x:is>
          <x:t xml:space="preserve">LAW021</x:t>
        </x:is>
      </x:c>
      <x:c r="C70" s="30" t="inlineStr">
        <x:is>
          <x:t xml:space="preserve">CA041</x:t>
        </x:is>
      </x:c>
      <x:c r="D70" s="30" t="inlineStr">
        <x:is>
          <x:t xml:space="preserve">Yes</x:t>
        </x:is>
      </x:c>
      <x:c r="E70" s="30" t="inlineStr">
        <x:is>
          <x:t xml:space="preserve">Fire and occupational safety.</x:t>
        </x:is>
      </x:c>
    </x:row>
    <x:row r="71">
      <x:c r="A71" s="30" t="inlineStr">
        <x:is>
          <x:t xml:space="preserve">LM070</x:t>
        </x:is>
      </x:c>
      <x:c r="B71" s="30" t="inlineStr">
        <x:is>
          <x:t xml:space="preserve">LAW021</x:t>
        </x:is>
      </x:c>
      <x:c r="C71" s="30" t="inlineStr">
        <x:is>
          <x:t xml:space="preserve">CA042</x:t>
        </x:is>
      </x:c>
      <x:c r="D71" s="30" t="inlineStr">
        <x:is>
          <x:t xml:space="preserve">Yes</x:t>
        </x:is>
      </x:c>
      <x:c r="E71" s="30" t="inlineStr">
        <x:is>
          <x:t xml:space="preserve">Fire safety systems.</x:t>
        </x:is>
      </x:c>
    </x:row>
    <x:row r="72">
      <x:c r="A72" s="30" t="inlineStr">
        <x:is>
          <x:t xml:space="preserve">LM071</x:t>
        </x:is>
      </x:c>
      <x:c r="B72" s="30" t="inlineStr">
        <x:is>
          <x:t xml:space="preserve">LAW021</x:t>
        </x:is>
      </x:c>
      <x:c r="C72" s="30" t="inlineStr">
        <x:is>
          <x:t xml:space="preserve">CA043</x:t>
        </x:is>
      </x:c>
      <x:c r="D72" s="30" t="inlineStr">
        <x:is>
          <x:t xml:space="preserve">Yes</x:t>
        </x:is>
      </x:c>
      <x:c r="E72" s="30" t="inlineStr">
        <x:is>
          <x:t xml:space="preserve">Emergency response planning.</x:t>
        </x:is>
      </x:c>
    </x:row>
    <x:row r="73">
      <x:c r="A73" s="30" t="inlineStr">
        <x:is>
          <x:t xml:space="preserve">LM072</x:t>
        </x:is>
      </x:c>
      <x:c r="B73" s="30" t="inlineStr">
        <x:is>
          <x:t xml:space="preserve">LAW021</x:t>
        </x:is>
      </x:c>
      <x:c r="C73" s="30" t="inlineStr">
        <x:is>
          <x:t xml:space="preserve">CA044</x:t>
        </x:is>
      </x:c>
      <x:c r="D73" s="30" t="inlineStr">
        <x:is>
          <x:t xml:space="preserve">Yes</x:t>
        </x:is>
      </x:c>
      <x:c r="E73" s="30" t="inlineStr">
        <x:is>
          <x:t xml:space="preserve">Workplace safety measures.</x:t>
        </x:is>
      </x:c>
    </x:row>
    <x:row r="74">
      <x:c r="A74" s="30" t="inlineStr">
        <x:is>
          <x:t xml:space="preserve">LM073</x:t>
        </x:is>
      </x:c>
      <x:c r="B74" s="30" t="inlineStr">
        <x:is>
          <x:t xml:space="preserve">LAW022</x:t>
        </x:is>
      </x:c>
      <x:c r="C74" s="30" t="inlineStr">
        <x:is>
          <x:t xml:space="preserve">CA004</x:t>
        </x:is>
      </x:c>
      <x:c r="D74" s="30" t="inlineStr">
        <x:is>
          <x:t xml:space="preserve">Yes</x:t>
        </x:is>
      </x:c>
      <x:c r="E74" s="30" t="inlineStr">
        <x:is>
          <x:t xml:space="preserve">Municipal trade registration requirements.</x:t>
        </x:is>
      </x:c>
    </x:row>
    <x:row r="75">
      <x:c r="A75" s="30" t="inlineStr">
        <x:is>
          <x:t xml:space="preserve">LM074</x:t>
        </x:is>
      </x:c>
      <x:c r="B75" s="30" t="inlineStr">
        <x:is>
          <x:t xml:space="preserve">LAW022</x:t>
        </x:is>
      </x:c>
      <x:c r="C75" s="30" t="inlineStr">
        <x:is>
          <x:t xml:space="preserve">CA063</x:t>
        </x:is>
      </x:c>
      <x:c r="D75" s="30" t="inlineStr">
        <x:is>
          <x:t xml:space="preserve">Yes</x:t>
        </x:is>
      </x:c>
      <x:c r="E75" s="30" t="inlineStr">
        <x:is>
          <x:t xml:space="preserve">Mandatory statutory display requirements.</x:t>
        </x:is>
      </x:c>
    </x:row>
    <x:row r="76">
      <x:c r="A76" s="30" t="inlineStr">
        <x:is>
          <x:t xml:space="preserve">LM075</x:t>
        </x:is>
      </x:c>
      <x:c r="B76" s="30" t="inlineStr">
        <x:is>
          <x:t xml:space="preserve">LAW023</x:t>
        </x:is>
      </x:c>
      <x:c r="C76" s="30" t="inlineStr">
        <x:is>
          <x:t xml:space="preserve">CA045</x:t>
        </x:is>
      </x:c>
      <x:c r="D76" s="30" t="inlineStr">
        <x:is>
          <x:t xml:space="preserve">Yes</x:t>
        </x:is>
      </x:c>
      <x:c r="E76" s="30" t="inlineStr">
        <x:is>
          <x:t xml:space="preserve">Labour law compliance.</x:t>
        </x:is>
      </x:c>
    </x:row>
    <x:row r="77">
      <x:c r="A77" s="30" t="inlineStr">
        <x:is>
          <x:t xml:space="preserve">LM076</x:t>
        </x:is>
      </x:c>
      <x:c r="B77" s="30" t="inlineStr">
        <x:is>
          <x:t xml:space="preserve">LAW023</x:t>
        </x:is>
      </x:c>
      <x:c r="C77" s="30" t="inlineStr">
        <x:is>
          <x:t xml:space="preserve">CA046</x:t>
        </x:is>
      </x:c>
      <x:c r="D77" s="30" t="inlineStr">
        <x:is>
          <x:t xml:space="preserve">Yes</x:t>
        </x:is>
      </x:c>
      <x:c r="E77" s="30" t="inlineStr">
        <x:is>
          <x:t xml:space="preserve">Employee records and statutory registers.</x:t>
        </x:is>
      </x:c>
    </x:row>
    <x:row r="78">
      <x:c r="A78" s="30" t="inlineStr">
        <x:is>
          <x:t xml:space="preserve">LM077</x:t>
        </x:is>
      </x:c>
      <x:c r="B78" s="30" t="inlineStr">
        <x:is>
          <x:t xml:space="preserve">LAW023</x:t>
        </x:is>
      </x:c>
      <x:c r="C78" s="30" t="inlineStr">
        <x:is>
          <x:t xml:space="preserve">CA047</x:t>
        </x:is>
      </x:c>
      <x:c r="D78" s="30" t="inlineStr">
        <x:is>
          <x:t xml:space="preserve">Yes</x:t>
        </x:is>
      </x:c>
      <x:c r="E78" s="30" t="inlineStr">
        <x:is>
          <x:t xml:space="preserve">Working hours and leave provisions.</x:t>
        </x:is>
      </x:c>
    </x:row>
    <x:row r="79">
      <x:c r="A79" s="30" t="inlineStr">
        <x:is>
          <x:t xml:space="preserve">LM078</x:t>
        </x:is>
      </x:c>
      <x:c r="B79" s="30" t="inlineStr">
        <x:is>
          <x:t xml:space="preserve">LAW024</x:t>
        </x:is>
      </x:c>
      <x:c r="C79" s="30" t="inlineStr">
        <x:is>
          <x:t xml:space="preserve">CA048</x:t>
        </x:is>
      </x:c>
      <x:c r="D79" s="30" t="inlineStr">
        <x:is>
          <x:t xml:space="preserve">Yes</x:t>
        </x:is>
      </x:c>
      <x:c r="E79" s="30" t="inlineStr">
        <x:is>
          <x:t xml:space="preserve">Provident Fund compliance.</x:t>
        </x:is>
      </x:c>
    </x:row>
    <x:row r="80">
      <x:c r="A80" s="30" t="inlineStr">
        <x:is>
          <x:t xml:space="preserve">LM079</x:t>
        </x:is>
      </x:c>
      <x:c r="B80" s="30" t="inlineStr">
        <x:is>
          <x:t xml:space="preserve">LAW024</x:t>
        </x:is>
      </x:c>
      <x:c r="C80" s="30" t="inlineStr">
        <x:is>
          <x:t xml:space="preserve">CA046</x:t>
        </x:is>
      </x:c>
      <x:c r="D80" s="30" t="inlineStr">
        <x:is>
          <x:t xml:space="preserve">Yes</x:t>
        </x:is>
      </x:c>
      <x:c r="E80" s="30" t="inlineStr">
        <x:is>
          <x:t xml:space="preserve">Employee records supporting EPF compliance.</x:t>
        </x:is>
      </x:c>
    </x:row>
    <x:row r="81">
      <x:c r="A81" s="30" t="inlineStr">
        <x:is>
          <x:t xml:space="preserve">LM080</x:t>
        </x:is>
      </x:c>
      <x:c r="B81" s="30" t="inlineStr">
        <x:is>
          <x:t xml:space="preserve">LAW025</x:t>
        </x:is>
      </x:c>
      <x:c r="C81" s="30" t="inlineStr">
        <x:is>
          <x:t xml:space="preserve">CA048</x:t>
        </x:is>
      </x:c>
      <x:c r="D81" s="30" t="inlineStr">
        <x:is>
          <x:t xml:space="preserve">Yes</x:t>
        </x:is>
      </x:c>
      <x:c r="E81" s="30" t="inlineStr">
        <x:is>
          <x:t xml:space="preserve">ESI compliance.</x:t>
        </x:is>
      </x:c>
    </x:row>
    <x:row r="82">
      <x:c r="A82" s="30" t="inlineStr">
        <x:is>
          <x:t xml:space="preserve">LM081</x:t>
        </x:is>
      </x:c>
      <x:c r="B82" s="30" t="inlineStr">
        <x:is>
          <x:t xml:space="preserve">LAW025</x:t>
        </x:is>
      </x:c>
      <x:c r="C82" s="30" t="inlineStr">
        <x:is>
          <x:t xml:space="preserve">CA046</x:t>
        </x:is>
      </x:c>
      <x:c r="D82" s="30" t="inlineStr">
        <x:is>
          <x:t xml:space="preserve">Yes</x:t>
        </x:is>
      </x:c>
      <x:c r="E82" s="30" t="inlineStr">
        <x:is>
          <x:t xml:space="preserve">Employee records supporting ESI compliance.</x:t>
        </x:is>
      </x:c>
    </x:row>
    <x:row r="83">
      <x:c r="A83" s="30" t="inlineStr">
        <x:is>
          <x:t xml:space="preserve">LM082</x:t>
        </x:is>
      </x:c>
      <x:c r="B83" s="30" t="inlineStr">
        <x:is>
          <x:t xml:space="preserve">LAW026</x:t>
        </x:is>
      </x:c>
      <x:c r="C83" s="30" t="inlineStr">
        <x:is>
          <x:t xml:space="preserve">CA052</x:t>
        </x:is>
      </x:c>
      <x:c r="D83" s="30" t="inlineStr">
        <x:is>
          <x:t xml:space="preserve">Yes</x:t>
        </x:is>
      </x:c>
      <x:c r="E83" s="30" t="inlineStr">
        <x:is>
          <x:t xml:space="preserve">GST registration, returns and tax compliance.</x:t>
        </x:is>
      </x:c>
    </x:row>
    <x:row r="84">
      <x:c r="A84" s="30" t="inlineStr">
        <x:is>
          <x:t xml:space="preserve">LM083</x:t>
        </x:is>
      </x:c>
      <x:c r="B84" s="30" t="inlineStr">
        <x:is>
          <x:t xml:space="preserve">LAW026</x:t>
        </x:is>
      </x:c>
      <x:c r="C84" s="30" t="inlineStr">
        <x:is>
          <x:t xml:space="preserve">CA031</x:t>
        </x:is>
      </x:c>
      <x:c r="D84" s="30" t="inlineStr">
        <x:is>
          <x:t xml:space="preserve">Yes</x:t>
        </x:is>
      </x:c>
      <x:c r="E84" s="30" t="inlineStr">
        <x:is>
          <x:t xml:space="preserve">GST invoicing and billing.</x:t>
        </x:is>
      </x:c>
    </x:row>
    <x:row r="85">
      <x:c r="A85" s="30" t="inlineStr">
        <x:is>
          <x:t xml:space="preserve">LM084</x:t>
        </x:is>
      </x:c>
      <x:c r="B85" s="30" t="inlineStr">
        <x:is>
          <x:t xml:space="preserve">LAW027</x:t>
        </x:is>
      </x:c>
      <x:c r="C85" s="30" t="inlineStr">
        <x:is>
          <x:t xml:space="preserve">CA052</x:t>
        </x:is>
      </x:c>
      <x:c r="D85" s="30" t="inlineStr">
        <x:is>
          <x:t xml:space="preserve">Yes</x:t>
        </x:is>
      </x:c>
      <x:c r="E85" s="30" t="inlineStr">
        <x:is>
          <x:t xml:space="preserve">State GST compliance.</x:t>
        </x:is>
      </x:c>
    </x:row>
    <x:row r="86">
      <x:c r="A86" s="30" t="inlineStr">
        <x:is>
          <x:t xml:space="preserve">LM085</x:t>
        </x:is>
      </x:c>
      <x:c r="B86" s="30" t="inlineStr">
        <x:is>
          <x:t xml:space="preserve">LAW028</x:t>
        </x:is>
      </x:c>
      <x:c r="C86" s="30" t="inlineStr">
        <x:is>
          <x:t xml:space="preserve">CA052</x:t>
        </x:is>
      </x:c>
      <x:c r="D86" s="30" t="inlineStr">
        <x:is>
          <x:t xml:space="preserve">Yes</x:t>
        </x:is>
      </x:c>
      <x:c r="E86" s="30" t="inlineStr">
        <x:is>
          <x:t xml:space="preserve">CGST Rules implementation.</x:t>
        </x:is>
      </x:c>
    </x:row>
    <x:row r="87">
      <x:c r="A87" s="30" t="inlineStr">
        <x:is>
          <x:t xml:space="preserve">LM086</x:t>
        </x:is>
      </x:c>
      <x:c r="B87" s="30" t="inlineStr">
        <x:is>
          <x:t xml:space="preserve">LAW029</x:t>
        </x:is>
      </x:c>
      <x:c r="C87" s="30" t="inlineStr">
        <x:is>
          <x:t xml:space="preserve">CA053</x:t>
        </x:is>
      </x:c>
      <x:c r="D87" s="30" t="inlineStr">
        <x:is>
          <x:t xml:space="preserve">Yes</x:t>
        </x:is>
      </x:c>
      <x:c r="E87" s="30" t="inlineStr">
        <x:is>
          <x:t xml:space="preserve">Income Tax compliance.</x:t>
        </x:is>
      </x:c>
    </x:row>
    <x:row r="88">
      <x:c r="A88" s="30" t="inlineStr">
        <x:is>
          <x:t xml:space="preserve">LM087</x:t>
        </x:is>
      </x:c>
      <x:c r="B88" s="30" t="inlineStr">
        <x:is>
          <x:t xml:space="preserve">LAW029</x:t>
        </x:is>
      </x:c>
      <x:c r="C88" s="30" t="inlineStr">
        <x:is>
          <x:t xml:space="preserve">CA054</x:t>
        </x:is>
      </x:c>
      <x:c r="D88" s="30" t="inlineStr">
        <x:is>
          <x:t xml:space="preserve">Yes</x:t>
        </x:is>
      </x:c>
      <x:c r="E88" s="30" t="inlineStr">
        <x:is>
          <x:t xml:space="preserve">Books of accounts.</x:t>
        </x:is>
      </x:c>
    </x:row>
    <x:row r="89">
      <x:c r="A89" s="30" t="inlineStr">
        <x:is>
          <x:t xml:space="preserve">LM088</x:t>
        </x:is>
      </x:c>
      <x:c r="B89" s="30" t="inlineStr">
        <x:is>
          <x:t xml:space="preserve">LAW030</x:t>
        </x:is>
      </x:c>
      <x:c r="C89" s="30" t="inlineStr">
        <x:is>
          <x:t xml:space="preserve">CA053</x:t>
        </x:is>
      </x:c>
      <x:c r="D89" s="30" t="inlineStr">
        <x:is>
          <x:t xml:space="preserve">Yes</x:t>
        </x:is>
      </x:c>
      <x:c r="E89" s="30" t="inlineStr">
        <x:is>
          <x:t xml:space="preserve">Income Tax Rules implementation.</x:t>
        </x:is>
      </x:c>
    </x:row>
    <x:row r="90">
      <x:c r="A90" s="30" t="inlineStr">
        <x:is>
          <x:t xml:space="preserve">LM089</x:t>
        </x:is>
      </x:c>
      <x:c r="B90" s="30" t="inlineStr">
        <x:is>
          <x:t xml:space="preserve">LAW031</x:t>
        </x:is>
      </x:c>
      <x:c r="C90" s="30" t="inlineStr">
        <x:is>
          <x:t xml:space="preserve">CA057</x:t>
        </x:is>
      </x:c>
      <x:c r="D90" s="30" t="str">
        <x:v>No</x:v>
      </x:c>
      <x:c r="E90" s="30" t="str">
        <x:v>Companies Act compliance. | P-0 QUARANTINED: Common Companies Act content is owned by Common Corporate Core; legacy ID retained for migration traceability.</x:v>
      </x:c>
    </x:row>
    <x:row r="91">
      <x:c r="A91" s="30" t="inlineStr">
        <x:is>
          <x:t xml:space="preserve">LM090</x:t>
        </x:is>
      </x:c>
      <x:c r="B91" s="30" t="inlineStr">
        <x:is>
          <x:t xml:space="preserve">LAW031</x:t>
        </x:is>
      </x:c>
      <x:c r="C91" s="30" t="inlineStr">
        <x:is>
          <x:t xml:space="preserve">CA060</x:t>
        </x:is>
      </x:c>
      <x:c r="D91" s="30" t="str">
        <x:v>No</x:v>
      </x:c>
      <x:c r="E91" s="30" t="str">
        <x:v>Corporate statutory registers. | P-0 QUARANTINED: Common Companies Act content is owned by Common Corporate Core; legacy ID retained for migration traceability.</x:v>
      </x:c>
    </x:row>
    <x:row r="92">
      <x:c r="A92" s="30" t="inlineStr">
        <x:is>
          <x:t xml:space="preserve">LM091</x:t>
        </x:is>
      </x:c>
      <x:c r="B92" s="30" t="inlineStr">
        <x:is>
          <x:t xml:space="preserve">LAW032</x:t>
        </x:is>
      </x:c>
      <x:c r="C92" s="30" t="inlineStr">
        <x:is>
          <x:t xml:space="preserve">CA057</x:t>
        </x:is>
      </x:c>
      <x:c r="D92" s="30" t="str">
        <x:v>No</x:v>
      </x:c>
      <x:c r="E92" s="30" t="str">
        <x:v>Company incorporation and governance rules. | P-0 QUARANTINED: Common Companies Act content is owned by Common Corporate Core; legacy ID retained for migration traceability.</x:v>
      </x:c>
    </x:row>
    <x:row r="93">
      <x:c r="A93" s="30" t="inlineStr">
        <x:is>
          <x:t xml:space="preserve">LM092</x:t>
        </x:is>
      </x:c>
      <x:c r="B93" s="30" t="inlineStr">
        <x:is>
          <x:t xml:space="preserve">LAW033</x:t>
        </x:is>
      </x:c>
      <x:c r="C93" s="30" t="inlineStr">
        <x:is>
          <x:t xml:space="preserve">CA058</x:t>
        </x:is>
      </x:c>
      <x:c r="D93" s="30" t="inlineStr">
        <x:is>
          <x:t xml:space="preserve">Yes</x:t>
        </x:is>
      </x:c>
      <x:c r="E93" s="30" t="inlineStr">
        <x:is>
          <x:t xml:space="preserve">LLP compliance.</x:t>
        </x:is>
      </x:c>
    </x:row>
    <x:row r="94">
      <x:c r="A94" s="30" t="inlineStr">
        <x:is>
          <x:t xml:space="preserve">LM093</x:t>
        </x:is>
      </x:c>
      <x:c r="B94" s="30" t="inlineStr">
        <x:is>
          <x:t xml:space="preserve">LAW034</x:t>
        </x:is>
      </x:c>
      <x:c r="C94" s="30" t="inlineStr">
        <x:is>
          <x:t xml:space="preserve">CA048</x:t>
        </x:is>
      </x:c>
      <x:c r="D94" s="30" t="inlineStr">
        <x:is>
          <x:t xml:space="preserve">Yes</x:t>
        </x:is>
      </x:c>
      <x:c r="E94" s="30" t="inlineStr">
        <x:is>
          <x:t xml:space="preserve">Wage compliance.</x:t>
        </x:is>
      </x:c>
    </x:row>
    <x:row r="95">
      <x:c r="A95" s="30" t="inlineStr">
        <x:is>
          <x:t xml:space="preserve">LM094</x:t>
        </x:is>
      </x:c>
      <x:c r="B95" s="30" t="inlineStr">
        <x:is>
          <x:t xml:space="preserve">LAW035</x:t>
        </x:is>
      </x:c>
      <x:c r="C95" s="30" t="inlineStr">
        <x:is>
          <x:t xml:space="preserve">CA044</x:t>
        </x:is>
      </x:c>
      <x:c r="D95" s="30" t="inlineStr">
        <x:is>
          <x:t xml:space="preserve">Yes</x:t>
        </x:is>
      </x:c>
      <x:c r="E95" s="30" t="inlineStr">
        <x:is>
          <x:t xml:space="preserve">Occupational health and safety.</x:t>
        </x:is>
      </x:c>
    </x:row>
    <x:row r="96">
      <x:c r="A96" s="30" t="inlineStr">
        <x:is>
          <x:t xml:space="preserve">LM095</x:t>
        </x:is>
      </x:c>
      <x:c r="B96" s="30" t="inlineStr">
        <x:is>
          <x:t xml:space="preserve">LAW036</x:t>
        </x:is>
      </x:c>
      <x:c r="C96" s="30" t="inlineStr">
        <x:is>
          <x:t xml:space="preserve">CA048</x:t>
        </x:is>
      </x:c>
      <x:c r="D96" s="30" t="inlineStr">
        <x:is>
          <x:t xml:space="preserve">Yes</x:t>
        </x:is>
      </x:c>
      <x:c r="E96" s="30" t="inlineStr">
        <x:is>
          <x:t xml:space="preserve">Social security compliance.</x:t>
        </x:is>
      </x:c>
    </x:row>
    <x:row r="97">
      <x:c r="A97" s="30" t="inlineStr">
        <x:is>
          <x:t xml:space="preserve">LM096</x:t>
        </x:is>
      </x:c>
      <x:c r="B97" s="30" t="inlineStr">
        <x:is>
          <x:t xml:space="preserve">LAW037</x:t>
        </x:is>
      </x:c>
      <x:c r="C97" s="30" t="inlineStr">
        <x:is>
          <x:t xml:space="preserve">CA045</x:t>
        </x:is>
      </x:c>
      <x:c r="D97" s="30" t="inlineStr">
        <x:is>
          <x:t xml:space="preserve">Yes</x:t>
        </x:is>
      </x:c>
      <x:c r="E97" s="30" t="inlineStr">
        <x:is>
          <x:t xml:space="preserve">Industrial relations compliance.</x:t>
        </x:is>
      </x:c>
    </x:row>
    <x:row r="98">
      <x:c r="A98" s="30" t="inlineStr">
        <x:is>
          <x:t xml:space="preserve">LM097</x:t>
        </x:is>
      </x:c>
      <x:c r="B98" s="30" t="inlineStr">
        <x:is>
          <x:t xml:space="preserve">LAW038</x:t>
        </x:is>
      </x:c>
      <x:c r="C98" s="30" t="inlineStr">
        <x:is>
          <x:t xml:space="preserve">CA062</x:t>
        </x:is>
      </x:c>
      <x:c r="D98" s="30" t="inlineStr">
        <x:is>
          <x:t xml:space="preserve">Yes</x:t>
        </x:is>
      </x:c>
      <x:c r="E98" s="30" t="inlineStr">
        <x:is>
          <x:t xml:space="preserve">Consumer protection compliance.</x:t>
        </x:is>
      </x:c>
    </x:row>
    <x:row r="99">
      <x:c r="A99" s="30" t="inlineStr">
        <x:is>
          <x:t xml:space="preserve">LM098</x:t>
        </x:is>
      </x:c>
      <x:c r="B99" s="30" t="inlineStr">
        <x:is>
          <x:t xml:space="preserve">LAW038</x:t>
        </x:is>
      </x:c>
      <x:c r="C99" s="30" t="inlineStr">
        <x:is>
          <x:t xml:space="preserve">CA065</x:t>
        </x:is>
      </x:c>
      <x:c r="D99" s="30" t="inlineStr">
        <x:is>
          <x:t xml:space="preserve">Yes</x:t>
        </x:is>
      </x:c>
      <x:c r="E99" s="30" t="inlineStr">
        <x:is>
          <x:t xml:space="preserve">Customer grievance redressal.</x:t>
        </x:is>
      </x:c>
    </x:row>
    <x:row r="100">
      <x:c r="A100" s="30" t="inlineStr">
        <x:is>
          <x:t xml:space="preserve">LM099</x:t>
        </x:is>
      </x:c>
      <x:c r="B100" s="30" t="inlineStr">
        <x:is>
          <x:t xml:space="preserve">LAW039</x:t>
        </x:is>
      </x:c>
      <x:c r="C100" s="30" t="inlineStr">
        <x:is>
          <x:t xml:space="preserve">CA033</x:t>
        </x:is>
      </x:c>
      <x:c r="D100" s="30" t="inlineStr">
        <x:is>
          <x:t xml:space="preserve">Yes</x:t>
        </x:is>
      </x:c>
      <x:c r="E100" s="30" t="inlineStr">
        <x:is>
          <x:t xml:space="preserve">E-commerce compliance for e-pharmacies.</x:t>
        </x:is>
      </x:c>
    </x:row>
    <x:row r="101">
      <x:c r="A101" s="30" t="inlineStr">
        <x:is>
          <x:t xml:space="preserve">LM100</x:t>
        </x:is>
      </x:c>
      <x:c r="B101" s="30" t="inlineStr">
        <x:is>
          <x:t xml:space="preserve">LAW039</x:t>
        </x:is>
      </x:c>
      <x:c r="C101" s="30" t="inlineStr">
        <x:is>
          <x:t xml:space="preserve">CA065</x:t>
        </x:is>
      </x:c>
      <x:c r="D101" s="30" t="inlineStr">
        <x:is>
          <x:t xml:space="preserve">Yes</x:t>
        </x:is>
      </x:c>
      <x:c r="E101" s="30" t="inlineStr">
        <x:is>
          <x:t xml:space="preserve">Online consumer grievance handling.</x:t>
        </x:is>
      </x:c>
    </x:row>
    <x:row r="102">
      <x:c r="A102" s="30" t="inlineStr">
        <x:is>
          <x:t xml:space="preserve">LM101</x:t>
        </x:is>
      </x:c>
      <x:c r="B102" s="30" t="inlineStr">
        <x:is>
          <x:t xml:space="preserve">LAW040</x:t>
        </x:is>
      </x:c>
      <x:c r="C102" s="30" t="inlineStr">
        <x:is>
          <x:t xml:space="preserve">CA066</x:t>
        </x:is>
      </x:c>
      <x:c r="D102" s="30" t="inlineStr">
        <x:is>
          <x:t xml:space="preserve">Yes</x:t>
        </x:is>
      </x:c>
      <x:c r="E102" s="30" t="inlineStr">
        <x:is>
          <x:t xml:space="preserve">Legal Metrology compliance framework.</x:t>
        </x:is>
      </x:c>
    </x:row>
    <x:row r="103">
      <x:c r="A103" s="30" t="inlineStr">
        <x:is>
          <x:t xml:space="preserve">LM102</x:t>
        </x:is>
      </x:c>
      <x:c r="B103" s="30" t="inlineStr">
        <x:is>
          <x:t xml:space="preserve">LAW040</x:t>
        </x:is>
      </x:c>
      <x:c r="C103" s="30" t="inlineStr">
        <x:is>
          <x:t xml:space="preserve">CA067</x:t>
        </x:is>
      </x:c>
      <x:c r="D103" s="30" t="inlineStr">
        <x:is>
          <x:t xml:space="preserve">Yes</x:t>
        </x:is>
      </x:c>
      <x:c r="E103" s="30" t="inlineStr">
        <x:is>
          <x:t xml:space="preserve">Packaged commodities compliance.</x:t>
        </x:is>
      </x:c>
    </x:row>
    <x:row r="104">
      <x:c r="A104" s="30" t="inlineStr">
        <x:is>
          <x:t xml:space="preserve">LM103</x:t>
        </x:is>
      </x:c>
      <x:c r="B104" s="30" t="inlineStr">
        <x:is>
          <x:t xml:space="preserve">LAW040</x:t>
        </x:is>
      </x:c>
      <x:c r="C104" s="30" t="inlineStr">
        <x:is>
          <x:t xml:space="preserve">CA068</x:t>
        </x:is>
      </x:c>
      <x:c r="D104" s="30" t="inlineStr">
        <x:is>
          <x:t xml:space="preserve">Yes</x:t>
        </x:is>
      </x:c>
      <x:c r="E104" s="30" t="inlineStr">
        <x:is>
          <x:t xml:space="preserve">Weights and measuring instruments.</x:t>
        </x:is>
      </x:c>
    </x:row>
    <x:row r="105">
      <x:c r="A105" s="30" t="inlineStr">
        <x:is>
          <x:t xml:space="preserve">LM104</x:t>
        </x:is>
      </x:c>
      <x:c r="B105" s="30" t="inlineStr">
        <x:is>
          <x:t xml:space="preserve">LAW041</x:t>
        </x:is>
      </x:c>
      <x:c r="C105" s="30" t="inlineStr">
        <x:is>
          <x:t xml:space="preserve">CA067</x:t>
        </x:is>
      </x:c>
      <x:c r="D105" s="30" t="inlineStr">
        <x:is>
          <x:t xml:space="preserve">Yes</x:t>
        </x:is>
      </x:c>
      <x:c r="E105" s="30" t="inlineStr">
        <x:is>
          <x:t xml:space="preserve">Mandatory declarations on packaged medicines.</x:t>
        </x:is>
      </x:c>
    </x:row>
    <x:row r="106">
      <x:c r="A106" s="30" t="inlineStr">
        <x:is>
          <x:t xml:space="preserve">LM105</x:t>
        </x:is>
      </x:c>
      <x:c r="B106" s="30" t="inlineStr">
        <x:is>
          <x:t xml:space="preserve">LAW042</x:t>
        </x:is>
      </x:c>
      <x:c r="C106" s="30" t="inlineStr">
        <x:is>
          <x:t xml:space="preserve">CA037</x:t>
        </x:is>
      </x:c>
      <x:c r="D106" s="30" t="inlineStr">
        <x:is>
          <x:t xml:space="preserve">Yes</x:t>
        </x:is>
      </x:c>
      <x:c r="E106" s="30" t="inlineStr">
        <x:is>
          <x:t xml:space="preserve">Plastic waste management obligations.</x:t>
        </x:is>
      </x:c>
    </x:row>
    <x:row r="107">
      <x:c r="A107" s="30" t="inlineStr">
        <x:is>
          <x:t xml:space="preserve">LM106</x:t>
        </x:is>
      </x:c>
      <x:c r="B107" s="30" t="inlineStr">
        <x:is>
          <x:t xml:space="preserve">LAW042</x:t>
        </x:is>
      </x:c>
      <x:c r="C107" s="30" t="inlineStr">
        <x:is>
          <x:t xml:space="preserve">CA039</x:t>
        </x:is>
      </x:c>
      <x:c r="D107" s="30" t="inlineStr">
        <x:is>
          <x:t xml:space="preserve">Yes</x:t>
        </x:is>
      </x:c>
      <x:c r="E107" s="30" t="inlineStr">
        <x:is>
          <x:t xml:space="preserve">Plastic waste disposal requirements.</x:t>
        </x:is>
      </x:c>
    </x:row>
    <x:row r="108">
      <x:c r="A108" s="30" t="inlineStr">
        <x:is>
          <x:t xml:space="preserve">LM107</x:t>
        </x:is>
      </x:c>
      <x:c r="B108" s="30" t="inlineStr">
        <x:is>
          <x:t xml:space="preserve">LAW043</x:t>
        </x:is>
      </x:c>
      <x:c r="C108" s="30" t="inlineStr">
        <x:is>
          <x:t xml:space="preserve">CA037</x:t>
        </x:is>
      </x:c>
      <x:c r="D108" s="30" t="inlineStr">
        <x:is>
          <x:t xml:space="preserve">Yes</x:t>
        </x:is>
      </x:c>
      <x:c r="E108" s="30" t="inlineStr">
        <x:is>
          <x:t xml:space="preserve">E-waste management compliance.</x:t>
        </x:is>
      </x:c>
    </x:row>
    <x:row r="109">
      <x:c r="A109" s="30" t="inlineStr">
        <x:is>
          <x:t xml:space="preserve">LM108</x:t>
        </x:is>
      </x:c>
      <x:c r="B109" s="30" t="inlineStr">
        <x:is>
          <x:t xml:space="preserve">LAW043</x:t>
        </x:is>
      </x:c>
      <x:c r="C109" s="30" t="inlineStr">
        <x:is>
          <x:t xml:space="preserve">CA039</x:t>
        </x:is>
      </x:c>
      <x:c r="D109" s="30" t="inlineStr">
        <x:is>
          <x:t xml:space="preserve">Yes</x:t>
        </x:is>
      </x:c>
      <x:c r="E109" s="30" t="inlineStr">
        <x:is>
          <x:t xml:space="preserve">Disposal of electronic equipment.</x:t>
        </x:is>
      </x:c>
    </x:row>
    <x:row r="110">
      <x:c r="A110" s="30" t="inlineStr">
        <x:is>
          <x:t xml:space="preserve">LM109</x:t>
        </x:is>
      </x:c>
      <x:c r="B110" s="30" t="inlineStr">
        <x:is>
          <x:t xml:space="preserve">LAW044</x:t>
        </x:is>
      </x:c>
      <x:c r="C110" s="30" t="inlineStr">
        <x:is>
          <x:t xml:space="preserve">CA037</x:t>
        </x:is>
      </x:c>
      <x:c r="D110" s="30" t="inlineStr">
        <x:is>
          <x:t xml:space="preserve">Yes</x:t>
        </x:is>
      </x:c>
      <x:c r="E110" s="30" t="inlineStr">
        <x:is>
          <x:t xml:space="preserve">Solid waste management compliance.</x:t>
        </x:is>
      </x:c>
    </x:row>
    <x:row r="111">
      <x:c r="A111" s="30" t="inlineStr">
        <x:is>
          <x:t xml:space="preserve">LM110</x:t>
        </x:is>
      </x:c>
      <x:c r="B111" s="30" t="inlineStr">
        <x:is>
          <x:t xml:space="preserve">LAW045</x:t>
        </x:is>
      </x:c>
      <x:c r="C111" s="30" t="inlineStr">
        <x:is>
          <x:t xml:space="preserve">CA041</x:t>
        </x:is>
      </x:c>
      <x:c r="D111" s="30" t="inlineStr">
        <x:is>
          <x:t xml:space="preserve">Yes</x:t>
        </x:is>
      </x:c>
      <x:c r="E111" s="30" t="inlineStr">
        <x:is>
          <x:t xml:space="preserve">Fire and life safety requirements.</x:t>
        </x:is>
      </x:c>
    </x:row>
    <x:row r="112">
      <x:c r="A112" s="30" t="inlineStr">
        <x:is>
          <x:t xml:space="preserve">LM111</x:t>
        </x:is>
      </x:c>
      <x:c r="B112" s="30" t="inlineStr">
        <x:is>
          <x:t xml:space="preserve">LAW045</x:t>
        </x:is>
      </x:c>
      <x:c r="C112" s="30" t="inlineStr">
        <x:is>
          <x:t xml:space="preserve">CA042</x:t>
        </x:is>
      </x:c>
      <x:c r="D112" s="30" t="inlineStr">
        <x:is>
          <x:t xml:space="preserve">Yes</x:t>
        </x:is>
      </x:c>
      <x:c r="E112" s="30" t="inlineStr">
        <x:is>
          <x:t xml:space="preserve">Fire protection systems.</x:t>
        </x:is>
      </x:c>
    </x:row>
    <x:row r="113">
      <x:c r="A113" s="30" t="inlineStr">
        <x:is>
          <x:t xml:space="preserve">LM112</x:t>
        </x:is>
      </x:c>
      <x:c r="B113" s="30" t="inlineStr">
        <x:is>
          <x:t xml:space="preserve">LAW045</x:t>
        </x:is>
      </x:c>
      <x:c r="C113" s="30" t="inlineStr">
        <x:is>
          <x:t xml:space="preserve">CA043</x:t>
        </x:is>
      </x:c>
      <x:c r="D113" s="30" t="inlineStr">
        <x:is>
          <x:t xml:space="preserve">Yes</x:t>
        </x:is>
      </x:c>
      <x:c r="E113" s="30" t="inlineStr">
        <x:is>
          <x:t xml:space="preserve">Emergency preparedness and evacuation.</x:t>
        </x:is>
      </x:c>
    </x:row>
    <x:row r="114">
      <x:c r="A114" s="30" t="inlineStr">
        <x:is>
          <x:t xml:space="preserve">LM113</x:t>
        </x:is>
      </x:c>
      <x:c r="B114" s="30" t="inlineStr">
        <x:is>
          <x:t xml:space="preserve">LAW046</x:t>
        </x:is>
      </x:c>
      <x:c r="C114" s="30" t="inlineStr">
        <x:is>
          <x:t xml:space="preserve">CA069</x:t>
        </x:is>
      </x:c>
      <x:c r="D114" s="30" t="inlineStr">
        <x:is>
          <x:t xml:space="preserve">Yes</x:t>
        </x:is>
      </x:c>
      <x:c r="E114" s="30" t="inlineStr">
        <x:is>
          <x:t xml:space="preserve">IT governance for e-pharmacy operations.</x:t>
        </x:is>
      </x:c>
    </x:row>
    <x:row r="115">
      <x:c r="A115" s="30" t="inlineStr">
        <x:is>
          <x:t xml:space="preserve">LM114</x:t>
        </x:is>
      </x:c>
      <x:c r="B115" s="30" t="inlineStr">
        <x:is>
          <x:t xml:space="preserve">LAW046</x:t>
        </x:is>
      </x:c>
      <x:c r="C115" s="30" t="inlineStr">
        <x:is>
          <x:t xml:space="preserve">CA070</x:t>
        </x:is>
      </x:c>
      <x:c r="D115" s="30" t="inlineStr">
        <x:is>
          <x:t xml:space="preserve">Yes</x:t>
        </x:is>
      </x:c>
      <x:c r="E115" s="30" t="inlineStr">
        <x:is>
          <x:t xml:space="preserve">Pharmacy management systems.</x:t>
        </x:is>
      </x:c>
    </x:row>
    <x:row r="116">
      <x:c r="A116" s="30" t="inlineStr">
        <x:is>
          <x:t xml:space="preserve">LM115</x:t>
        </x:is>
      </x:c>
      <x:c r="B116" s="30" t="inlineStr">
        <x:is>
          <x:t xml:space="preserve">LAW046</x:t>
        </x:is>
      </x:c>
      <x:c r="C116" s="30" t="inlineStr">
        <x:is>
          <x:t xml:space="preserve">CA072</x:t>
        </x:is>
      </x:c>
      <x:c r="D116" s="30" t="inlineStr">
        <x:is>
          <x:t xml:space="preserve">Yes</x:t>
        </x:is>
      </x:c>
      <x:c r="E116" s="30" t="inlineStr">
        <x:is>
          <x:t xml:space="preserve">Cybersecurity controls.</x:t>
        </x:is>
      </x:c>
    </x:row>
    <x:row r="117">
      <x:c r="A117" s="30" t="inlineStr">
        <x:is>
          <x:t xml:space="preserve">LM116</x:t>
        </x:is>
      </x:c>
      <x:c r="B117" s="30" t="inlineStr">
        <x:is>
          <x:t xml:space="preserve">LAW046</x:t>
        </x:is>
      </x:c>
      <x:c r="C117" s="30" t="inlineStr">
        <x:is>
          <x:t xml:space="preserve">CA073</x:t>
        </x:is>
      </x:c>
      <x:c r="D117" s="30" t="inlineStr">
        <x:is>
          <x:t xml:space="preserve">Yes</x:t>
        </x:is>
      </x:c>
      <x:c r="E117" s="30" t="inlineStr">
        <x:is>
          <x:t xml:space="preserve">Electronic records and legal validity.</x:t>
        </x:is>
      </x:c>
    </x:row>
    <x:row r="118">
      <x:c r="A118" s="30" t="inlineStr">
        <x:is>
          <x:t xml:space="preserve">LM117</x:t>
        </x:is>
      </x:c>
      <x:c r="B118" s="30" t="inlineStr">
        <x:is>
          <x:t xml:space="preserve">LAW047</x:t>
        </x:is>
      </x:c>
      <x:c r="C118" s="30" t="inlineStr">
        <x:is>
          <x:t xml:space="preserve">CA071</x:t>
        </x:is>
      </x:c>
      <x:c r="D118" s="30" t="inlineStr">
        <x:is>
          <x:t xml:space="preserve">Yes</x:t>
        </x:is>
      </x:c>
      <x:c r="E118" s="30" t="inlineStr">
        <x:is>
          <x:t xml:space="preserve">Sensitive personal information protection.</x:t>
        </x:is>
      </x:c>
    </x:row>
    <x:row r="119">
      <x:c r="A119" s="30" t="inlineStr">
        <x:is>
          <x:t xml:space="preserve">LM118</x:t>
        </x:is>
      </x:c>
      <x:c r="B119" s="30" t="inlineStr">
        <x:is>
          <x:t xml:space="preserve">LAW047</x:t>
        </x:is>
      </x:c>
      <x:c r="C119" s="30" t="inlineStr">
        <x:is>
          <x:t xml:space="preserve">CA072</x:t>
        </x:is>
      </x:c>
      <x:c r="D119" s="30" t="inlineStr">
        <x:is>
          <x:t xml:space="preserve">Yes</x:t>
        </x:is>
      </x:c>
      <x:c r="E119" s="30" t="inlineStr">
        <x:is>
          <x:t xml:space="preserve">Information security controls.</x:t>
        </x:is>
      </x:c>
    </x:row>
    <x:row r="120">
      <x:c r="A120" s="30" t="inlineStr">
        <x:is>
          <x:t xml:space="preserve">LM119</x:t>
        </x:is>
      </x:c>
      <x:c r="B120" s="30" t="inlineStr">
        <x:is>
          <x:t xml:space="preserve">LAW048</x:t>
        </x:is>
      </x:c>
      <x:c r="C120" s="30" t="inlineStr">
        <x:is>
          <x:t xml:space="preserve">CA071</x:t>
        </x:is>
      </x:c>
      <x:c r="D120" s="30" t="inlineStr">
        <x:is>
          <x:t xml:space="preserve">Yes</x:t>
        </x:is>
      </x:c>
      <x:c r="E120" s="30" t="inlineStr">
        <x:is>
          <x:t xml:space="preserve">Digital Personal Data Protection compliance.</x:t>
        </x:is>
      </x:c>
    </x:row>
    <x:row r="121">
      <x:c r="A121" s="30" t="inlineStr">
        <x:is>
          <x:t xml:space="preserve">LM120</x:t>
        </x:is>
      </x:c>
      <x:c r="B121" s="30" t="inlineStr">
        <x:is>
          <x:t xml:space="preserve">LAW048</x:t>
        </x:is>
      </x:c>
      <x:c r="C121" s="30" t="inlineStr">
        <x:is>
          <x:t xml:space="preserve">CA073</x:t>
        </x:is>
      </x:c>
      <x:c r="D121" s="30" t="inlineStr">
        <x:is>
          <x:t xml:space="preserve">Yes</x:t>
        </x:is>
      </x:c>
      <x:c r="E121" s="30" t="inlineStr">
        <x:is>
          <x:t xml:space="preserve">Digital records and privacy obligations.</x:t>
        </x:is>
      </x:c>
    </x:row>
    <x:row r="122">
      <x:c r="A122" s="30" t="inlineStr">
        <x:is>
          <x:t xml:space="preserve">LM121</x:t>
        </x:is>
      </x:c>
      <x:c r="B122" s="30" t="inlineStr">
        <x:is>
          <x:t xml:space="preserve">LAW049</x:t>
        </x:is>
      </x:c>
      <x:c r="C122" s="30" t="inlineStr">
        <x:is>
          <x:t xml:space="preserve">CA004</x:t>
        </x:is>
      </x:c>
      <x:c r="D122" s="30" t="inlineStr">
        <x:is>
          <x:t xml:space="preserve">Yes</x:t>
        </x:is>
      </x:c>
      <x:c r="E122" s="30" t="inlineStr">
        <x:is>
          <x:t xml:space="preserve">Municipal registration compliance.</x:t>
        </x:is>
      </x:c>
    </x:row>
    <x:row r="123">
      <x:c r="A123" s="30" t="inlineStr">
        <x:is>
          <x:t xml:space="preserve">LM122</x:t>
        </x:is>
      </x:c>
      <x:c r="B123" s="30" t="inlineStr">
        <x:is>
          <x:t xml:space="preserve">LAW049</x:t>
        </x:is>
      </x:c>
      <x:c r="C123" s="30" t="inlineStr">
        <x:is>
          <x:t xml:space="preserve">CA063</x:t>
        </x:is>
      </x:c>
      <x:c r="D123" s="30" t="inlineStr">
        <x:is>
          <x:t xml:space="preserve">Yes</x:t>
        </x:is>
      </x:c>
      <x:c r="E123" s="30" t="inlineStr">
        <x:is>
          <x:t xml:space="preserve">Municipal display and licence conditions.</x:t>
        </x:is>
      </x:c>
    </x:row>
    <x:row r="124">
      <x:c r="A124" s="30" t="inlineStr">
        <x:is>
          <x:t xml:space="preserve">LM123</x:t>
        </x:is>
      </x:c>
      <x:c r="B124" s="30" t="inlineStr">
        <x:is>
          <x:t xml:space="preserve">LAW050</x:t>
        </x:is>
      </x:c>
      <x:c r="C124" s="30" t="inlineStr">
        <x:is>
          <x:t xml:space="preserve">CA085</x:t>
        </x:is>
      </x:c>
      <x:c r="D124" s="30" t="inlineStr">
        <x:is>
          <x:t xml:space="preserve">Yes</x:t>
        </x:is>
      </x:c>
      <x:c r="E124" s="30" t="inlineStr">
        <x:is>
          <x:t xml:space="preserve">Public health management review.</x:t>
        </x:is>
      </x:c>
    </x:row>
    <x:row r="125">
      <x:c r="A125" s="30" t="inlineStr">
        <x:is>
          <x:t xml:space="preserve">LM124</x:t>
        </x:is>
      </x:c>
      <x:c r="B125" s="30" t="inlineStr">
        <x:is>
          <x:t xml:space="preserve">LAW051</x:t>
        </x:is>
      </x:c>
      <x:c r="C125" s="30" t="inlineStr">
        <x:is>
          <x:t xml:space="preserve">CA009</x:t>
        </x:is>
      </x:c>
      <x:c r="D125" s="30" t="inlineStr">
        <x:is>
          <x:t xml:space="preserve">Yes</x:t>
        </x:is>
      </x:c>
      <x:c r="E125" s="30" t="inlineStr">
        <x:is>
          <x:t xml:space="preserve">Medical device equipment requirements.</x:t>
        </x:is>
      </x:c>
    </x:row>
    <x:row r="126">
      <x:c r="A126" s="30" t="inlineStr">
        <x:is>
          <x:t xml:space="preserve">LM125</x:t>
        </x:is>
      </x:c>
      <x:c r="B126" s="30" t="inlineStr">
        <x:is>
          <x:t xml:space="preserve">LAW051</x:t>
        </x:is>
      </x:c>
      <x:c r="C126" s="30" t="inlineStr">
        <x:is>
          <x:t xml:space="preserve">CA015</x:t>
        </x:is>
      </x:c>
      <x:c r="D126" s="30" t="inlineStr">
        <x:is>
          <x:t xml:space="preserve">Yes</x:t>
        </x:is>
      </x:c>
      <x:c r="E126" s="30" t="inlineStr">
        <x:is>
          <x:t xml:space="preserve">Dispensing notified medical devices.</x:t>
        </x:is>
      </x:c>
    </x:row>
    <x:row r="127">
      <x:c r="A127" s="30" t="inlineStr">
        <x:is>
          <x:t xml:space="preserve">LM126</x:t>
        </x:is>
      </x:c>
      <x:c r="B127" s="30" t="inlineStr">
        <x:is>
          <x:t xml:space="preserve">LAW052</x:t>
        </x:is>
      </x:c>
      <x:c r="C127" s="30" t="inlineStr">
        <x:is>
          <x:t xml:space="preserve">CA016</x:t>
        </x:is>
      </x:c>
      <x:c r="D127" s="30" t="inlineStr">
        <x:is>
          <x:t xml:space="preserve">Yes</x:t>
        </x:is>
      </x:c>
      <x:c r="E127" s="30" t="inlineStr">
        <x:is>
          <x:t xml:space="preserve">Sale of cosmetics.</x:t>
        </x:is>
      </x:c>
    </x:row>
    <x:row r="128">
      <x:c r="A128" s="30" t="inlineStr">
        <x:is>
          <x:t xml:space="preserve">LM127</x:t>
        </x:is>
      </x:c>
      <x:c r="B128" s="30" t="inlineStr">
        <x:is>
          <x:t xml:space="preserve">LAW052</x:t>
        </x:is>
      </x:c>
      <x:c r="C128" s="30" t="inlineStr">
        <x:is>
          <x:t xml:space="preserve">CA023</x:t>
        </x:is>
      </x:c>
      <x:c r="D128" s="30" t="inlineStr">
        <x:is>
          <x:t xml:space="preserve">Yes</x:t>
        </x:is>
      </x:c>
      <x:c r="E128" s="30" t="inlineStr">
        <x:is>
          <x:t xml:space="preserve">Customer complaints relating to cosmetics.</x:t>
        </x:is>
      </x:c>
    </x:row>
    <x:row r="129">
      <x:c r="A129" s="30" t="inlineStr">
        <x:is>
          <x:t xml:space="preserve">LM128</x:t>
        </x:is>
      </x:c>
      <x:c r="B129" s="30" t="inlineStr">
        <x:is>
          <x:t xml:space="preserve">LAW053</x:t>
        </x:is>
      </x:c>
      <x:c r="C129" s="30" t="inlineStr">
        <x:is>
          <x:t xml:space="preserve">CA011</x:t>
        </x:is>
      </x:c>
      <x:c r="D129" s="30" t="inlineStr">
        <x:is>
          <x:t xml:space="preserve">Yes</x:t>
        </x:is>
      </x:c>
      <x:c r="E129" s="30" t="inlineStr">
        <x:is>
          <x:t xml:space="preserve">Wholesale procurement requirements.</x:t>
        </x:is>
      </x:c>
    </x:row>
    <x:row r="130">
      <x:c r="A130" s="30" t="inlineStr">
        <x:is>
          <x:t xml:space="preserve">LM129</x:t>
        </x:is>
      </x:c>
      <x:c r="B130" s="30" t="inlineStr">
        <x:is>
          <x:t xml:space="preserve">LAW053</x:t>
        </x:is>
      </x:c>
      <x:c r="C130" s="30" t="inlineStr">
        <x:is>
          <x:t xml:space="preserve">CA012</x:t>
        </x:is>
      </x:c>
      <x:c r="D130" s="30" t="inlineStr">
        <x:is>
          <x:t xml:space="preserve">Yes</x:t>
        </x:is>
      </x:c>
      <x:c r="E130" s="30" t="inlineStr">
        <x:is>
          <x:t xml:space="preserve">Wholesale inventory controls.</x:t>
        </x:is>
      </x:c>
    </x:row>
    <x:row r="131">
      <x:c r="A131" s="30" t="inlineStr">
        <x:is>
          <x:t xml:space="preserve">LM130</x:t>
        </x:is>
      </x:c>
      <x:c r="B131" s="30" t="inlineStr">
        <x:is>
          <x:t xml:space="preserve">LAW054</x:t>
        </x:is>
      </x:c>
      <x:c r="C131" s="30" t="inlineStr">
        <x:is>
          <x:t xml:space="preserve">CA015</x:t>
        </x:is>
      </x:c>
      <x:c r="D131" s="30" t="inlineStr">
        <x:is>
          <x:t xml:space="preserve">Yes</x:t>
        </x:is>
      </x:c>
      <x:c r="E131" s="30" t="inlineStr">
        <x:is>
          <x:t xml:space="preserve">Schedule H prescription dispensing.</x:t>
        </x:is>
      </x:c>
    </x:row>
    <x:row r="132">
      <x:c r="A132" s="30" t="inlineStr">
        <x:is>
          <x:t xml:space="preserve">LM131</x:t>
        </x:is>
      </x:c>
      <x:c r="B132" s="30" t="inlineStr">
        <x:is>
          <x:t xml:space="preserve">LAW054</x:t>
        </x:is>
      </x:c>
      <x:c r="C132" s="30" t="inlineStr">
        <x:is>
          <x:t xml:space="preserve">CA019</x:t>
        </x:is>
      </x:c>
      <x:c r="D132" s="30" t="inlineStr">
        <x:is>
          <x:t xml:space="preserve">Yes</x:t>
        </x:is>
      </x:c>
      <x:c r="E132" s="30" t="inlineStr">
        <x:is>
          <x:t xml:space="preserve">Prescription record maintenance.</x:t>
        </x:is>
      </x:c>
    </x:row>
    <x:row r="133">
      <x:c r="A133" s="30" t="inlineStr">
        <x:is>
          <x:t xml:space="preserve">LM132</x:t>
        </x:is>
      </x:c>
      <x:c r="B133" s="30" t="inlineStr">
        <x:is>
          <x:t xml:space="preserve">LAW055</x:t>
        </x:is>
      </x:c>
      <x:c r="C133" s="30" t="inlineStr">
        <x:is>
          <x:t xml:space="preserve">CA017</x:t>
        </x:is>
      </x:c>
      <x:c r="D133" s="30" t="inlineStr">
        <x:is>
          <x:t xml:space="preserve">Yes</x:t>
        </x:is>
      </x:c>
      <x:c r="E133" s="30" t="inlineStr">
        <x:is>
          <x:t xml:space="preserve">Schedule H1 drug controls.</x:t>
        </x:is>
      </x:c>
    </x:row>
    <x:row r="134">
      <x:c r="A134" s="30" t="inlineStr">
        <x:is>
          <x:t xml:space="preserve">LM133</x:t>
        </x:is>
      </x:c>
      <x:c r="B134" s="30" t="inlineStr">
        <x:is>
          <x:t xml:space="preserve">LAW055</x:t>
        </x:is>
      </x:c>
      <x:c r="C134" s="30" t="inlineStr">
        <x:is>
          <x:t xml:space="preserve">CA019</x:t>
        </x:is>
      </x:c>
      <x:c r="D134" s="30" t="inlineStr">
        <x:is>
          <x:t xml:space="preserve">Yes</x:t>
        </x:is>
      </x:c>
      <x:c r="E134" s="30" t="inlineStr">
        <x:is>
          <x:t xml:space="preserve">Schedule H1 register maintenance.</x:t>
        </x:is>
      </x:c>
    </x:row>
    <x:row r="135">
      <x:c r="A135" s="30" t="inlineStr">
        <x:is>
          <x:t xml:space="preserve">LM134</x:t>
        </x:is>
      </x:c>
      <x:c r="B135" s="30" t="inlineStr">
        <x:is>
          <x:t xml:space="preserve">LAW056</x:t>
        </x:is>
      </x:c>
      <x:c r="C135" s="30" t="inlineStr">
        <x:is>
          <x:t xml:space="preserve">CA027</x:t>
        </x:is>
      </x:c>
      <x:c r="D135" s="30" t="inlineStr">
        <x:is>
          <x:t xml:space="preserve">Yes</x:t>
        </x:is>
      </x:c>
      <x:c r="E135" s="30" t="inlineStr">
        <x:is>
          <x:t xml:space="preserve">Schedule X compliance.</x:t>
        </x:is>
      </x:c>
    </x:row>
    <x:row r="136">
      <x:c r="A136" s="30" t="inlineStr">
        <x:is>
          <x:t xml:space="preserve">LM135</x:t>
        </x:is>
      </x:c>
      <x:c r="B136" s="30" t="inlineStr">
        <x:is>
          <x:t xml:space="preserve">LAW056</x:t>
        </x:is>
      </x:c>
      <x:c r="C136" s="30" t="inlineStr">
        <x:is>
          <x:t xml:space="preserve">CA028</x:t>
        </x:is>
      </x:c>
      <x:c r="D136" s="30" t="inlineStr">
        <x:is>
          <x:t xml:space="preserve">Yes</x:t>
        </x:is>
      </x:c>
      <x:c r="E136" s="30" t="inlineStr">
        <x:is>
          <x:t xml:space="preserve">Schedule X statutory registers.</x:t>
        </x:is>
      </x:c>
    </x:row>
    <x:row r="137">
      <x:c r="A137" s="30" t="inlineStr">
        <x:is>
          <x:t xml:space="preserve">LM136</x:t>
        </x:is>
      </x:c>
      <x:c r="B137" s="30" t="inlineStr">
        <x:is>
          <x:t xml:space="preserve">LAW057</x:t>
        </x:is>
      </x:c>
      <x:c r="C137" s="30" t="inlineStr">
        <x:is>
          <x:t xml:space="preserve">CA015</x:t>
        </x:is>
      </x:c>
      <x:c r="D137" s="30" t="inlineStr">
        <x:is>
          <x:t xml:space="preserve">Yes</x:t>
        </x:is>
      </x:c>
      <x:c r="E137" s="30" t="inlineStr">
        <x:is>
          <x:t xml:space="preserve">Schedule G dispensing requirements.</x:t>
        </x:is>
      </x:c>
    </x:row>
    <x:row r="138">
      <x:c r="A138" s="30" t="inlineStr">
        <x:is>
          <x:t xml:space="preserve">LM137</x:t>
        </x:is>
      </x:c>
      <x:c r="B138" s="30" t="inlineStr">
        <x:is>
          <x:t xml:space="preserve">LAW058</x:t>
        </x:is>
      </x:c>
      <x:c r="C138" s="30" t="inlineStr">
        <x:is>
          <x:t xml:space="preserve">CA015</x:t>
        </x:is>
      </x:c>
      <x:c r="D138" s="30" t="inlineStr">
        <x:is>
          <x:t xml:space="preserve">Yes</x:t>
        </x:is>
      </x:c>
      <x:c r="E138" s="30" t="inlineStr">
        <x:is>
          <x:t xml:space="preserve">Schedule K exemptions.</x:t>
        </x:is>
      </x:c>
    </x:row>
    <x:row r="139">
      <x:c r="A139" s="30" t="inlineStr">
        <x:is>
          <x:t xml:space="preserve">LM138</x:t>
        </x:is>
      </x:c>
      <x:c r="B139" s="30" t="inlineStr">
        <x:is>
          <x:t xml:space="preserve">LAW059</x:t>
        </x:is>
      </x:c>
      <x:c r="C139" s="30" t="inlineStr">
        <x:is>
          <x:t xml:space="preserve">CA021</x:t>
        </x:is>
      </x:c>
      <x:c r="D139" s="30" t="inlineStr">
        <x:is>
          <x:t xml:space="preserve">Yes</x:t>
        </x:is>
      </x:c>
      <x:c r="E139" s="30" t="inlineStr">
        <x:is>
          <x:t xml:space="preserve">Good Pharmacy Practice framework.</x:t>
        </x:is>
      </x:c>
    </x:row>
    <x:row r="140">
      <x:c r="A140" s="30" t="inlineStr">
        <x:is>
          <x:t xml:space="preserve">LM139</x:t>
        </x:is>
      </x:c>
      <x:c r="B140" s="30" t="inlineStr">
        <x:is>
          <x:t xml:space="preserve">LAW059</x:t>
        </x:is>
      </x:c>
      <x:c r="C140" s="30" t="inlineStr">
        <x:is>
          <x:t xml:space="preserve">CA049</x:t>
        </x:is>
      </x:c>
      <x:c r="D140" s="30" t="inlineStr">
        <x:is>
          <x:t xml:space="preserve">Yes</x:t>
        </x:is>
      </x:c>
      <x:c r="E140" s="30" t="inlineStr">
        <x:is>
          <x:t xml:space="preserve">Professional competency and ethics.</x:t>
        </x:is>
      </x:c>
    </x:row>
    <x:row r="141">
      <x:c r="A141" s="30" t="inlineStr">
        <x:is>
          <x:t xml:space="preserve">LM140</x:t>
        </x:is>
      </x:c>
      <x:c r="B141" s="30" t="inlineStr">
        <x:is>
          <x:t xml:space="preserve">LAW060</x:t>
        </x:is>
      </x:c>
      <x:c r="C141" s="30" t="inlineStr">
        <x:is>
          <x:t xml:space="preserve">CA011</x:t>
        </x:is>
      </x:c>
      <x:c r="D141" s="30" t="inlineStr">
        <x:is>
          <x:t xml:space="preserve">Yes</x:t>
        </x:is>
      </x:c>
      <x:c r="E141" s="30" t="inlineStr">
        <x:is>
          <x:t xml:space="preserve">Good Distribution Practices.</x:t>
        </x:is>
      </x:c>
    </x:row>
    <x:row r="142">
      <x:c r="A142" s="30" t="inlineStr">
        <x:is>
          <x:t xml:space="preserve">LM141</x:t>
        </x:is>
      </x:c>
      <x:c r="B142" s="30" t="inlineStr">
        <x:is>
          <x:t xml:space="preserve">LAW060</x:t>
        </x:is>
      </x:c>
      <x:c r="C142" s="30" t="inlineStr">
        <x:is>
          <x:t xml:space="preserve">CA012</x:t>
        </x:is>
      </x:c>
      <x:c r="D142" s="30" t="inlineStr">
        <x:is>
          <x:t xml:space="preserve">Yes</x:t>
        </x:is>
      </x:c>
      <x:c r="E142" s="30" t="inlineStr">
        <x:is>
          <x:t xml:space="preserve">Distribution inventory controls.</x:t>
        </x:is>
      </x:c>
    </x:row>
    <x:row r="143">
      <x:c r="A143" s="30" t="inlineStr">
        <x:is>
          <x:t xml:space="preserve">LM142</x:t>
        </x:is>
      </x:c>
      <x:c r="B143" s="30" t="inlineStr">
        <x:is>
          <x:t xml:space="preserve">LAW060</x:t>
        </x:is>
      </x:c>
      <x:c r="C143" s="30" t="inlineStr">
        <x:is>
          <x:t xml:space="preserve">CA007</x:t>
        </x:is>
      </x:c>
      <x:c r="D143" s="30" t="inlineStr">
        <x:is>
          <x:t xml:space="preserve">Yes</x:t>
        </x:is>
      </x:c>
      <x:c r="E143" s="30" t="inlineStr">
        <x:is>
          <x:t xml:space="preserve">Storage during distribution.</x:t>
        </x:is>
      </x:c>
    </x:row>
    <x:row r="144">
      <x:c r="A144" s="30" t="inlineStr">
        <x:is>
          <x:t xml:space="preserve">LM143</x:t>
        </x:is>
      </x:c>
      <x:c r="B144" s="30" t="inlineStr">
        <x:is>
          <x:t xml:space="preserve">LAW060</x:t>
        </x:is>
      </x:c>
      <x:c r="C144" s="30" t="inlineStr">
        <x:is>
          <x:t xml:space="preserve">CA009</x:t>
        </x:is>
      </x:c>
      <x:c r="D144" s="30" t="inlineStr">
        <x:is>
          <x:t xml:space="preserve">Yes</x:t>
        </x:is>
      </x:c>
      <x:c r="E144" s="30" t="inlineStr">
        <x:is>
          <x:t xml:space="preserve">Distribution equipment requirements.</x:t>
        </x:is>
      </x:c>
    </x:row>
    <x:row r="145">
      <x:c r="A145" s="30" t="inlineStr">
        <x:is>
          <x:t xml:space="preserve">LM144</x:t>
        </x:is>
      </x:c>
      <x:c r="B145" s="30" t="inlineStr">
        <x:is>
          <x:t xml:space="preserve">LAW060</x:t>
        </x:is>
      </x:c>
      <x:c r="C145" s="30" t="inlineStr">
        <x:is>
          <x:t xml:space="preserve">CA096</x:t>
        </x:is>
      </x:c>
      <x:c r="D145" s="30" t="inlineStr">
        <x:is>
          <x:t xml:space="preserve">Yes</x:t>
        </x:is>
      </x:c>
      <x:c r="E145" s="30" t="inlineStr">
        <x:is>
          <x:t xml:space="preserve">Distribution SOP documentation.</x:t>
        </x:is>
      </x:c>
    </x:row>
    <x:row r="146">
      <x:c r="A146" s="30" t="inlineStr">
        <x:is>
          <x:t xml:space="preserve">LM145</x:t>
        </x:is>
      </x:c>
      <x:c r="B146" s="30" t="inlineStr">
        <x:is>
          <x:t xml:space="preserve">LAW060</x:t>
        </x:is>
      </x:c>
      <x:c r="C146" s="30" t="inlineStr">
        <x:is>
          <x:t xml:space="preserve">CA097</x:t>
        </x:is>
      </x:c>
      <x:c r="D146" s="30" t="inlineStr">
        <x:is>
          <x:t xml:space="preserve">Yes</x:t>
        </x:is>
      </x:c>
      <x:c r="E146" s="30" t="inlineStr">
        <x:is>
          <x:t xml:space="preserve">Controlled document management.</x:t>
        </x:is>
      </x:c>
    </x:row>
    <x:row r="147">
      <x:c r="A147" s="30" t="inlineStr">
        <x:is>
          <x:t xml:space="preserve">LM146</x:t>
        </x:is>
      </x:c>
      <x:c r="B147" s="30" t="inlineStr">
        <x:is>
          <x:t xml:space="preserve">LAW060</x:t>
        </x:is>
      </x:c>
      <x:c r="C147" s="30" t="inlineStr">
        <x:is>
          <x:t xml:space="preserve">CA098</x:t>
        </x:is>
      </x:c>
      <x:c r="D147" s="30" t="inlineStr">
        <x:is>
          <x:t xml:space="preserve">Yes</x:t>
        </x:is>
      </x:c>
      <x:c r="E147" s="30" t="inlineStr">
        <x:is>
          <x:t xml:space="preserve">SOP management for distribution.</x:t>
        </x:is>
      </x:c>
    </x:row>
    <x:row r="148">
      <x:c r="A148" s="30" t="inlineStr">
        <x:is>
          <x:t xml:space="preserve">LM147</x:t>
        </x:is>
      </x:c>
      <x:c r="B148" s="30" t="inlineStr">
        <x:is>
          <x:t xml:space="preserve">LAW060</x:t>
        </x:is>
      </x:c>
      <x:c r="C148" s="30" t="inlineStr">
        <x:is>
          <x:t xml:space="preserve">CA099</x:t>
        </x:is>
      </x:c>
      <x:c r="D148" s="30" t="inlineStr">
        <x:is>
          <x:t xml:space="preserve">Yes</x:t>
        </x:is>
      </x:c>
      <x:c r="E148" s="30" t="inlineStr">
        <x:is>
          <x:t xml:space="preserve">Controlled operational forms.</x:t>
        </x:is>
      </x:c>
    </x:row>
    <x:row r="149">
      <x:c r="A149" s="30" t="inlineStr">
        <x:is>
          <x:t xml:space="preserve">LM148</x:t>
        </x:is>
      </x:c>
      <x:c r="B149" s="30" t="inlineStr">
        <x:is>
          <x:t xml:space="preserve">LAW060</x:t>
        </x:is>
      </x:c>
      <x:c r="C149" s="30" t="inlineStr">
        <x:is>
          <x:t xml:space="preserve">CA100</x:t>
        </x:is>
      </x:c>
      <x:c r="D149" s="30" t="inlineStr">
        <x:is>
          <x:t xml:space="preserve">Yes</x:t>
        </x:is>
      </x:c>
      <x:c r="E149" s="30" t="inlineStr">
        <x:is>
          <x:t xml:space="preserve">Distribution record archival.</x:t>
        </x:is>
      </x:c>
    </x:row>
    <x:row r="150">
      <x:c r="A150" s="30" t="inlineStr">
        <x:is>
          <x:t xml:space="preserve">LM149</x:t>
        </x:is>
      </x:c>
      <x:c r="B150" s="30" t="inlineStr">
        <x:is>
          <x:t xml:space="preserve">LAW059</x:t>
        </x:is>
      </x:c>
      <x:c r="C150" s="30" t="inlineStr">
        <x:is>
          <x:t xml:space="preserve">CA083</x:t>
        </x:is>
      </x:c>
      <x:c r="D150" s="30" t="inlineStr">
        <x:is>
          <x:t xml:space="preserve">Yes</x:t>
        </x:is>
      </x:c>
      <x:c r="E150" s="30" t="inlineStr">
        <x:is>
          <x:t xml:space="preserve">Good Pharmacy Practices covered during internal audits.</x:t>
        </x:is>
      </x:c>
    </x:row>
    <x:row r="151">
      <x:c r="A151" s="30" t="inlineStr">
        <x:is>
          <x:t xml:space="preserve">LM150</x:t>
        </x:is>
      </x:c>
      <x:c r="B151" s="30" t="inlineStr">
        <x:is>
          <x:t xml:space="preserve">LAW051</x:t>
        </x:is>
      </x:c>
      <x:c r="C151" s="30" t="inlineStr">
        <x:is>
          <x:t xml:space="preserve">CA083</x:t>
        </x:is>
      </x:c>
      <x:c r="D151" s="30" t="inlineStr">
        <x:is>
          <x:t xml:space="preserve">Yes</x:t>
        </x:is>
      </x:c>
      <x:c r="E151" s="30" t="inlineStr">
        <x:is>
          <x:t xml:space="preserve">Medical device compliance subject to internal audit.</x:t>
        </x:is>
      </x:c>
    </x:row>
    <x:row r="152">
      <x:c r="A152" s="33" t="str">
        <x:v>LM151</x:v>
      </x:c>
      <x:c r="B152" s="33" t="str">
        <x:v>LAW101</x:v>
      </x:c>
      <x:c r="C152" s="33" t="str">
        <x:v>CA037</x:v>
      </x:c>
      <x:c r="D152" s="33" t="str">
        <x:v>Yes</x:v>
      </x:c>
      <x:c r="E152" s="33" t="str">
        <x:v>Environmental parent statute.</x:v>
      </x:c>
    </x:row>
    <x:row r="153">
      <x:c r="A153" s="33" t="str">
        <x:v>LM152</x:v>
      </x:c>
      <x:c r="B153" s="33" t="str">
        <x:v>LAW102</x:v>
      </x:c>
      <x:c r="C153" s="33" t="str">
        <x:v>CA039</x:v>
      </x:c>
      <x:c r="D153" s="33" t="str">
        <x:v>Yes</x:v>
      </x:c>
      <x:c r="E153" s="33" t="str">
        <x:v>Battery consumer waste channelisation.</x:v>
      </x:c>
    </x:row>
    <x:row r="154">
      <x:c r="A154" s="33" t="str">
        <x:v>LM153</x:v>
      </x:c>
      <x:c r="B154" s="33" t="str">
        <x:v>LAW103</x:v>
      </x:c>
      <x:c r="C154" s="33" t="str">
        <x:v>CA039</x:v>
      </x:c>
      <x:c r="D154" s="33" t="str">
        <x:v>Yes</x:v>
      </x:c>
      <x:c r="E154" s="33" t="str">
        <x:v>Conditional hazardous-waste occupier duties.</x:v>
      </x:c>
    </x:row>
    <x:row r="155">
      <x:c r="A155" s="33" t="str">
        <x:v>LM154</x:v>
      </x:c>
      <x:c r="B155" s="33" t="str">
        <x:v>LAW104</x:v>
      </x:c>
      <x:c r="C155" s="33" t="str">
        <x:v>CA040</x:v>
      </x:c>
      <x:c r="D155" s="33" t="str">
        <x:v>Yes</x:v>
      </x:c>
      <x:c r="E155" s="33" t="str">
        <x:v>Conditional water-consent control.</x:v>
      </x:c>
    </x:row>
    <x:row r="156">
      <x:c r="A156" s="33" t="str">
        <x:v>LM155</x:v>
      </x:c>
      <x:c r="B156" s="33" t="str">
        <x:v>LAW105</x:v>
      </x:c>
      <x:c r="C156" s="33" t="str">
        <x:v>CA040</x:v>
      </x:c>
      <x:c r="D156" s="33" t="str">
        <x:v>Yes</x:v>
      </x:c>
      <x:c r="E156" s="33" t="str">
        <x:v>Conditional air-consent control.</x:v>
      </x:c>
    </x:row>
    <x:row r="157">
      <x:c r="A157" s="33" t="str">
        <x:v>LM156</x:v>
      </x:c>
      <x:c r="B157" s="33" t="str">
        <x:v>LAW106</x:v>
      </x:c>
      <x:c r="C157" s="33" t="str">
        <x:v>CA039</x:v>
      </x:c>
      <x:c r="D157" s="33" t="str">
        <x:v>Yes</x:v>
      </x:c>
      <x:c r="E157" s="33" t="str">
        <x:v>Event-based C&amp;D waste management.</x:v>
      </x:c>
    </x:row>
    <x:row r="158">
      <x:c r="A158" s="33" t="str">
        <x:v>LM157</x:v>
      </x:c>
      <x:c r="B158" s="33" t="str">
        <x:v>LAW107</x:v>
      </x:c>
      <x:c r="C158" s="33" t="str">
        <x:v>CA053</x:v>
      </x:c>
      <x:c r="D158" s="33" t="str">
        <x:v>Yes</x:v>
      </x:c>
      <x:c r="E158" s="33" t="str">
        <x:v>Current income-tax parent statute.</x:v>
      </x:c>
    </x:row>
    <x:row r="159">
      <x:c r="A159" s="33" t="str">
        <x:v>LM158</x:v>
      </x:c>
      <x:c r="B159" s="33" t="str">
        <x:v>LAW108</x:v>
      </x:c>
      <x:c r="C159" s="33" t="str">
        <x:v>CA053</x:v>
      </x:c>
      <x:c r="D159" s="33" t="str">
        <x:v>Yes</x:v>
      </x:c>
      <x:c r="E159" s="33" t="str">
        <x:v>Current income-tax operational rules.</x:v>
      </x:c>
    </x:row>
    <x:row r="160">
      <x:c r="A160" s="33" t="str">
        <x:v>LM159</x:v>
      </x:c>
      <x:c r="B160" s="33" t="str">
        <x:v>LAW109</x:v>
      </x:c>
      <x:c r="C160" s="33" t="str">
        <x:v>CA048</x:v>
      </x:c>
      <x:c r="D160" s="33" t="str">
        <x:v>Yes</x:v>
      </x:c>
      <x:c r="E160" s="33" t="str">
        <x:v>Current wage rules.</x:v>
      </x:c>
    </x:row>
    <x:row r="161">
      <x:c r="A161" s="33" t="str">
        <x:v>LM160</x:v>
      </x:c>
      <x:c r="B161" s="33" t="str">
        <x:v>LAW110</x:v>
      </x:c>
      <x:c r="C161" s="33" t="str">
        <x:v>CA048</x:v>
      </x:c>
      <x:c r="D161" s="33" t="str">
        <x:v>Yes</x:v>
      </x:c>
      <x:c r="E161" s="33" t="str">
        <x:v>Current social-security rules.</x:v>
      </x:c>
    </x:row>
    <x:row r="162">
      <x:c r="A162" s="33" t="str">
        <x:v>LM161</x:v>
      </x:c>
      <x:c r="B162" s="33" t="str">
        <x:v>LAW111</x:v>
      </x:c>
      <x:c r="C162" s="33" t="str">
        <x:v>CA045</x:v>
      </x:c>
      <x:c r="D162" s="33" t="str">
        <x:v>Yes</x:v>
      </x:c>
      <x:c r="E162" s="33" t="str">
        <x:v>Conditional industrial-relations rules.</x:v>
      </x:c>
    </x:row>
  </x:sheetData>
  <x:pageMargins left="0.7" right="0.7" top="0.75" bottom="0.75" header="0.3" footer="0.3"/>
  <x:tableParts count="1">
    <x:tablePart xmlns:r="http://schemas.openxmlformats.org/officeDocument/2006/relationships" r:id="Re16610dd230943eb"/>
  </x:tableParts>
</x:worksheet>
</file>

<file path=xl/worksheets/sheet8.xml><?xml version="1.0" encoding="utf-8"?>
<x:worksheet xmlns:x="http://schemas.openxmlformats.org/spreadsheetml/2006/main">
  <x:sheetFormatPr baseColWidth="8" defaultRowHeight="15"/>
  <x:cols>
    <x:col min="1" max="1" width="14" customWidth="1"/>
    <x:col min="2" max="2" width="10" customWidth="1"/>
    <x:col min="3" max="3" width="15" customWidth="1"/>
    <x:col min="4" max="4" width="20" customWidth="1"/>
    <x:col min="5" max="5" width="24" customWidth="1"/>
    <x:col min="6" max="6" width="24" customWidth="1"/>
    <x:col min="7" max="7" width="48" customWidth="1"/>
    <x:col min="8" max="8" width="10" customWidth="1"/>
    <x:col min="9" max="9" width="10" customWidth="1"/>
    <x:col min="10" max="10" width="22" customWidth="1"/>
  </x:cols>
  <x:sheetData>
    <x:row r="1" ht="28" customHeight="1">
      <x:c r="A1" s="31" t="str">
        <x:v>Provision ID</x:v>
      </x:c>
      <x:c r="B1" s="31" t="str">
        <x:v>Law ID</x:v>
      </x:c>
      <x:c r="C1" s="31" t="str">
        <x:v>Sub Sector ID</x:v>
      </x:c>
      <x:c r="D1" s="31" t="str">
        <x:v>Provision Category</x:v>
      </x:c>
      <x:c r="E1" s="31" t="str">
        <x:v>Statutory Reference</x:v>
      </x:c>
      <x:c r="F1" s="31" t="str">
        <x:v>Provision Name</x:v>
      </x:c>
      <x:c r="G1" s="31" t="str">
        <x:v>Provision Description</x:v>
      </x:c>
      <x:c r="H1" s="31" t="str">
        <x:v>Origin</x:v>
      </x:c>
      <x:c r="I1" s="31" t="str">
        <x:v>Active</x:v>
      </x:c>
      <x:c r="J1" s="31" t="str">
        <x:v>Remarks</x:v>
      </x:c>
    </x:row>
    <x:row r="2">
      <x:c r="A2" s="30" t="str">
        <x:v>PROV001</x:v>
      </x:c>
      <x:c r="B2" s="30" t="str">
        <x:v>LAW001</x:v>
      </x:c>
      <x:c r="C2" s="30"/>
      <x:c r="D2" s="30" t="str">
        <x:v>Statutory</x:v>
      </x:c>
      <x:c r="E2" s="30" t="str">
        <x:v>Section 18</x:v>
      </x:c>
      <x:c r="F2" s="30" t="str">
        <x:v>Prohibition of manufacture and sale of certain drugs and cosmetics</x:v>
      </x:c>
      <x:c r="G2" s="30" t="str">
        <x:v>Core compliance provision governing sale and distribution.</x:v>
      </x:c>
      <x:c r="H2" s="30" t="str">
        <x:v>CORE</x:v>
      </x:c>
      <x:c r="I2" s="30" t="str">
        <x:v>Yes</x:v>
      </x:c>
      <x:c r="J2" s="30"/>
    </x:row>
    <x:row r="3">
      <x:c r="A3" s="30" t="str">
        <x:v>PROV002</x:v>
      </x:c>
      <x:c r="B3" s="30" t="str">
        <x:v>LAW001</x:v>
      </x:c>
      <x:c r="C3" s="30"/>
      <x:c r="D3" s="30" t="str">
        <x:v>Statutory</x:v>
      </x:c>
      <x:c r="E3" s="30" t="str">
        <x:v>Section 18A</x:v>
      </x:c>
      <x:c r="F3" s="30" t="str">
        <x:v>Disclosure of manufacturer details and source of acquisition</x:v>
      </x:c>
      <x:c r="G3" s="30" t="str">
        <x:v>Traceability requirement.</x:v>
      </x:c>
      <x:c r="H3" s="30" t="str">
        <x:v>CORE</x:v>
      </x:c>
      <x:c r="I3" s="30" t="str">
        <x:v>Yes</x:v>
      </x:c>
      <x:c r="J3" s="30"/>
    </x:row>
    <x:row r="4">
      <x:c r="A4" s="30" t="str">
        <x:v>PROV003</x:v>
      </x:c>
      <x:c r="B4" s="30" t="str">
        <x:v>LAW001</x:v>
      </x:c>
      <x:c r="C4" s="30"/>
      <x:c r="D4" s="30" t="str">
        <x:v>Statutory</x:v>
      </x:c>
      <x:c r="E4" s="30" t="str">
        <x:v>Section 18B</x:v>
      </x:c>
      <x:c r="F4" s="30" t="str">
        <x:v>Maintenance of prescribed records and furnishing information</x:v>
      </x:c>
      <x:c r="G4" s="30" t="str">
        <x:v>Record keeping obligations.</x:v>
      </x:c>
      <x:c r="H4" s="30" t="str">
        <x:v>CORE</x:v>
      </x:c>
      <x:c r="I4" s="30" t="str">
        <x:v>Yes</x:v>
      </x:c>
      <x:c r="J4" s="30"/>
    </x:row>
    <x:row r="5">
      <x:c r="A5" s="30" t="str">
        <x:v>PROV004</x:v>
      </x:c>
      <x:c r="B5" s="30" t="str">
        <x:v>LAW001</x:v>
      </x:c>
      <x:c r="C5" s="30"/>
      <x:c r="D5" s="30" t="str">
        <x:v>Statutory</x:v>
      </x:c>
      <x:c r="E5" s="30" t="str">
        <x:v>Section 22</x:v>
      </x:c>
      <x:c r="F5" s="30" t="str">
        <x:v>Powers of Drug Inspectors</x:v>
      </x:c>
      <x:c r="G5" s="30" t="str">
        <x:v>Inspection and enforcement powers.</x:v>
      </x:c>
      <x:c r="H5" s="30" t="str">
        <x:v>CORE</x:v>
      </x:c>
      <x:c r="I5" s="30" t="str">
        <x:v>Yes</x:v>
      </x:c>
      <x:c r="J5" s="30"/>
    </x:row>
    <x:row r="6">
      <x:c r="A6" s="30" t="str">
        <x:v>PROV005</x:v>
      </x:c>
      <x:c r="B6" s="30" t="str">
        <x:v>LAW001</x:v>
      </x:c>
      <x:c r="C6" s="30"/>
      <x:c r="D6" s="30" t="str">
        <x:v>Statutory</x:v>
      </x:c>
      <x:c r="E6" s="30" t="str">
        <x:v>Section 23</x:v>
      </x:c>
      <x:c r="F6" s="30" t="str">
        <x:v>Procedure of Drug Inspectors during inspection and sampling</x:v>
      </x:c>
      <x:c r="G6" s="30" t="str">
        <x:v>Inspection procedures.</x:v>
      </x:c>
      <x:c r="H6" s="30" t="str">
        <x:v>CORE</x:v>
      </x:c>
      <x:c r="I6" s="30" t="str">
        <x:v>Yes</x:v>
      </x:c>
      <x:c r="J6" s="30"/>
    </x:row>
    <x:row r="7">
      <x:c r="A7" s="30" t="str">
        <x:v>PROV006</x:v>
      </x:c>
      <x:c r="B7" s="30" t="str">
        <x:v>LAW001</x:v>
      </x:c>
      <x:c r="C7" s="30"/>
      <x:c r="D7" s="30" t="str">
        <x:v>Statutory</x:v>
      </x:c>
      <x:c r="E7" s="30" t="str">
        <x:v>Section 27</x:v>
      </x:c>
      <x:c r="F7" s="30" t="str">
        <x:v>Penalties for manufacture or sale of drugs in contravention of the Act</x:v>
      </x:c>
      <x:c r="G7" s="30" t="str">
        <x:v>Penal provision.</x:v>
      </x:c>
      <x:c r="H7" s="30" t="str">
        <x:v>CORE</x:v>
      </x:c>
      <x:c r="I7" s="30" t="str">
        <x:v>No</x:v>
      </x:c>
      <x:c r="J7" s="30" t="str">
        <x:v>P-4 QUARANTINED: penalty/enabling provision, duplicate internal control, generic State/event/source placeholder, or non-pharmacy-role requirement. Legacy ID retained for traceability.</x:v>
      </x:c>
    </x:row>
    <x:row r="8">
      <x:c r="A8" s="30" t="str">
        <x:v>PROV007</x:v>
      </x:c>
      <x:c r="B8" s="30" t="str">
        <x:v>LAW001</x:v>
      </x:c>
      <x:c r="C8" s="30"/>
      <x:c r="D8" s="30" t="str">
        <x:v>Statutory</x:v>
      </x:c>
      <x:c r="E8" s="30" t="str">
        <x:v>Section 27A</x:v>
      </x:c>
      <x:c r="F8" s="30" t="str">
        <x:v>Penalties relating to cosmetics</x:v>
      </x:c>
      <x:c r="G8" s="30" t="str">
        <x:v>Cosmetics-related offences.</x:v>
      </x:c>
      <x:c r="H8" s="30" t="str">
        <x:v>CORE</x:v>
      </x:c>
      <x:c r="I8" s="30" t="str">
        <x:v>No</x:v>
      </x:c>
      <x:c r="J8" s="30" t="str">
        <x:v>P-4 QUARANTINED: penalty/enabling provision, duplicate internal control, generic State/event/source placeholder, or non-pharmacy-role requirement. Legacy ID retained for traceability.</x:v>
      </x:c>
    </x:row>
    <x:row r="9">
      <x:c r="A9" s="30" t="str">
        <x:v>PROV008</x:v>
      </x:c>
      <x:c r="B9" s="30" t="str">
        <x:v>LAW001</x:v>
      </x:c>
      <x:c r="C9" s="30"/>
      <x:c r="D9" s="30" t="str">
        <x:v>Statutory</x:v>
      </x:c>
      <x:c r="E9" s="30" t="str">
        <x:v>Section 28</x:v>
      </x:c>
      <x:c r="F9" s="30" t="str">
        <x:v>Penalty for non-disclosure of information</x:v>
      </x:c>
      <x:c r="G9" s="30" t="str">
        <x:v>Record and information obligations.</x:v>
      </x:c>
      <x:c r="H9" s="30" t="str">
        <x:v>CORE</x:v>
      </x:c>
      <x:c r="I9" s="30" t="str">
        <x:v>No</x:v>
      </x:c>
      <x:c r="J9" s="30" t="str">
        <x:v>P-4 QUARANTINED: penalty/enabling provision, duplicate internal control, generic State/event/source placeholder, or non-pharmacy-role requirement. Legacy ID retained for traceability.</x:v>
      </x:c>
    </x:row>
    <x:row r="10">
      <x:c r="A10" s="30" t="str">
        <x:v>PROV009</x:v>
      </x:c>
      <x:c r="B10" s="30" t="str">
        <x:v>LAW001</x:v>
      </x:c>
      <x:c r="C10" s="30"/>
      <x:c r="D10" s="30" t="str">
        <x:v>Statutory</x:v>
      </x:c>
      <x:c r="E10" s="30" t="str">
        <x:v>Section 28A</x:v>
      </x:c>
      <x:c r="F10" s="30" t="str">
        <x:v>Penalty for non-maintenance of documents</x:v>
      </x:c>
      <x:c r="G10" s="30" t="str">
        <x:v>Documentation requirements.</x:v>
      </x:c>
      <x:c r="H10" s="30" t="str">
        <x:v>CORE</x:v>
      </x:c>
      <x:c r="I10" s="30" t="str">
        <x:v>No</x:v>
      </x:c>
      <x:c r="J10" s="30" t="str">
        <x:v>P-4 QUARANTINED: penalty/enabling provision, duplicate internal control, generic State/event/source placeholder, or non-pharmacy-role requirement. Legacy ID retained for traceability.</x:v>
      </x:c>
    </x:row>
    <x:row r="11">
      <x:c r="A11" s="30" t="str">
        <x:v>PROV010</x:v>
      </x:c>
      <x:c r="B11" s="30" t="str">
        <x:v>LAW001</x:v>
      </x:c>
      <x:c r="C11" s="30"/>
      <x:c r="D11" s="30" t="str">
        <x:v>Statutory</x:v>
      </x:c>
      <x:c r="E11" s="30" t="str">
        <x:v>Section 32</x:v>
      </x:c>
      <x:c r="F11" s="30" t="str">
        <x:v>Cognizance of offences</x:v>
      </x:c>
      <x:c r="G11" s="30" t="str">
        <x:v>Prosecution provisions.</x:v>
      </x:c>
      <x:c r="H11" s="30" t="str">
        <x:v>CORE</x:v>
      </x:c>
      <x:c r="I11" s="30" t="str">
        <x:v>No</x:v>
      </x:c>
      <x:c r="J11" s="30" t="str">
        <x:v>P-4 QUARANTINED: penalty/enabling provision, duplicate internal control, generic State/event/source placeholder, or non-pharmacy-role requirement. Legacy ID retained for traceability.</x:v>
      </x:c>
    </x:row>
    <x:row r="12">
      <x:c r="A12" s="30" t="str">
        <x:v>PROV011</x:v>
      </x:c>
      <x:c r="B12" s="30" t="str">
        <x:v>LAW002</x:v>
      </x:c>
      <x:c r="C12" s="30"/>
      <x:c r="D12" s="30" t="str">
        <x:v>Statutory</x:v>
      </x:c>
      <x:c r="E12" s="30" t="str">
        <x:v>Rule 59(1)-(3)</x:v>
      </x:c>
      <x:c r="F12" s="30" t="str">
        <x:v>Licensing authority, sale-licence application and duplicate licence</x:v>
      </x:c>
      <x:c r="G12" s="30" t="str">
        <x:v>Applications use Forms 19, 19A or 19C as applicable, with prescribed fee and duplicate-licence process.</x:v>
      </x:c>
      <x:c r="H12" s="30" t="str">
        <x:v>CORE</x:v>
      </x:c>
      <x:c r="I12" s="30" t="str">
        <x:v>Yes</x:v>
      </x:c>
      <x:c r="J12" s="30" t="str">
        <x:v>P-2 normalized against authoritative Drugs Rules; existing ID preserved.</x:v>
      </x:c>
    </x:row>
    <x:row r="13">
      <x:c r="A13" s="30" t="str">
        <x:v>PROV012</x:v>
      </x:c>
      <x:c r="B13" s="30" t="str">
        <x:v>LAW002</x:v>
      </x:c>
      <x:c r="C13" s="30"/>
      <x:c r="D13" s="30" t="str">
        <x:v>Statutory</x:v>
      </x:c>
      <x:c r="E13" s="30" t="str">
        <x:v>Rule 61(1)-(3)</x:v>
      </x:c>
      <x:c r="F13" s="30" t="str">
        <x:v>Forms of licences to sell drugs</x:v>
      </x:c>
      <x:c r="G13" s="30" t="str">
        <x:v>Form 20/20A/20B applies outside Schedules C, C(1), X; Form 21/21A/21B applies to Schedules C/C(1) excluding X; Form 20F/20G applies to Schedule X.</x:v>
      </x:c>
      <x:c r="H13" s="30" t="str">
        <x:v>CORE</x:v>
      </x:c>
      <x:c r="I13" s="30" t="str">
        <x:v>Yes</x:v>
      </x:c>
      <x:c r="J13" s="30" t="str">
        <x:v>P-2 normalized against authoritative Drugs Rules; existing ID preserved.</x:v>
      </x:c>
    </x:row>
    <x:row r="14">
      <x:c r="A14" s="30" t="str">
        <x:v>PROV013</x:v>
      </x:c>
      <x:c r="B14" s="30" t="str">
        <x:v>LAW002</x:v>
      </x:c>
      <x:c r="C14" s="30"/>
      <x:c r="D14" s="30" t="str">
        <x:v>Statutory</x:v>
      </x:c>
      <x:c r="E14" s="30" t="str">
        <x:v>Rule 64(1)-(3); Schedule N</x:v>
      </x:c>
      <x:c r="F14" s="30" t="str">
        <x:v>Conditions to be satisfied before grant of sale licence</x:v>
      </x:c>
      <x:c r="G14" s="30" t="str">
        <x:v>Premises, storage, competent-person, area and pharmacy Schedule N conditions for Forms 20, 20B, 20F, 20G, 21 and 21B.</x:v>
      </x:c>
      <x:c r="H14" s="30" t="str">
        <x:v>CORE</x:v>
      </x:c>
      <x:c r="I14" s="30" t="str">
        <x:v>Yes</x:v>
      </x:c>
      <x:c r="J14" s="30" t="str">
        <x:v>P-2 normalized against authoritative Drugs Rules; existing ID preserved.</x:v>
      </x:c>
    </x:row>
    <x:row r="15">
      <x:c r="A15" s="30" t="str">
        <x:v>PROV014</x:v>
      </x:c>
      <x:c r="B15" s="30" t="str">
        <x:v>LAW002</x:v>
      </x:c>
      <x:c r="C15" s="30"/>
      <x:c r="D15" s="30" t="str">
        <x:v>Statutory</x:v>
      </x:c>
      <x:c r="E15" s="30" t="str">
        <x:v>Rule 65(9)(a)</x:v>
      </x:c>
      <x:c r="F15" s="30" t="str">
        <x:v>Prescription-only retail sale of Schedule H, H1 and X drugs</x:v>
      </x:c>
      <x:c r="G15" s="30" t="str">
        <x:v>Retail sale is only on and in accordance with a Registered Medical Practitioner's prescription; Schedule X has duplicate-copy retention.</x:v>
      </x:c>
      <x:c r="H15" s="30" t="str">
        <x:v>CORE</x:v>
      </x:c>
      <x:c r="I15" s="30" t="str">
        <x:v>Yes</x:v>
      </x:c>
      <x:c r="J15" s="30" t="str">
        <x:v>P-2 normalized against authoritative Drugs Rules; existing ID preserved.</x:v>
      </x:c>
    </x:row>
    <x:row r="16">
      <x:c r="A16" s="30" t="str">
        <x:v>PROV015</x:v>
      </x:c>
      <x:c r="B16" s="30" t="str">
        <x:v>LAW002</x:v>
      </x:c>
      <x:c r="C16" s="30"/>
      <x:c r="D16" s="30" t="str">
        <x:v>Statutory</x:v>
      </x:c>
      <x:c r="E16" s="30" t="str">
        <x:v>Rule 65(1)-(2)</x:v>
      </x:c>
      <x:c r="F16" s="30" t="str">
        <x:v>Registered pharmacist supervision of compounding and prescription supply</x:v>
      </x:c>
      <x:c r="G16" s="30" t="str">
        <x:v>Compounding and non-wholesale supply on prescription must be by or under the personal supervision of a registered pharmacist.</x:v>
      </x:c>
      <x:c r="H16" s="30" t="str">
        <x:v>CORE</x:v>
      </x:c>
      <x:c r="I16" s="30" t="str">
        <x:v>Yes</x:v>
      </x:c>
      <x:c r="J16" s="30" t="str">
        <x:v>P-2 normalized against authoritative Drugs Rules; existing ID preserved.</x:v>
      </x:c>
    </x:row>
    <x:row r="17">
      <x:c r="A17" s="30" t="str">
        <x:v>PROV016</x:v>
      </x:c>
      <x:c r="B17" s="30" t="str">
        <x:v>LAW002</x:v>
      </x:c>
      <x:c r="C17" s="30"/>
      <x:c r="D17" s="30" t="str">
        <x:v>Statutory</x:v>
      </x:c>
      <x:c r="E17" s="30" t="str">
        <x:v>Rule 65(3)-(5)</x:v>
      </x:c>
      <x:c r="F17" s="30" t="str">
        <x:v>Prescription, retail and wholesale sale/purchase records</x:v>
      </x:c>
      <x:c r="G17" s="30" t="str">
        <x:v>Maintain required prescription registers or memos, retail purchase/sale records and wholesale sale/purchase records with statutory particulars.</x:v>
      </x:c>
      <x:c r="H17" s="30" t="str">
        <x:v>CORE</x:v>
      </x:c>
      <x:c r="I17" s="30" t="str">
        <x:v>Yes</x:v>
      </x:c>
      <x:c r="J17" s="30" t="str">
        <x:v>P-2 normalized against authoritative Drugs Rules; existing ID preserved.</x:v>
      </x:c>
    </x:row>
    <x:row r="18">
      <x:c r="A18" s="30" t="str">
        <x:v>PROV017</x:v>
      </x:c>
      <x:c r="B18" s="30" t="str">
        <x:v>LAW002</x:v>
      </x:c>
      <x:c r="C18" s="30"/>
      <x:c r="D18" s="30" t="str">
        <x:v>Statutory</x:v>
      </x:c>
      <x:c r="E18" s="30" t="str">
        <x:v>Rule 65(6)-(8)</x:v>
      </x:c>
      <x:c r="F18" s="30" t="str">
        <x:v>Production, preservation and rationalization of statutory records</x:v>
      </x:c>
      <x:c r="G18" s="30" t="str">
        <x:v>Produce records to inspectors; preserve general records at least two years unless a specific period applies; avoid duplicative registers where another law's special register captures the particulars.</x:v>
      </x:c>
      <x:c r="H18" s="30" t="str">
        <x:v>CORE</x:v>
      </x:c>
      <x:c r="I18" s="30" t="str">
        <x:v>Yes</x:v>
      </x:c>
      <x:c r="J18" s="30" t="str">
        <x:v>P-2 normalized against authoritative Drugs Rules; existing ID preserved.</x:v>
      </x:c>
    </x:row>
    <x:row r="19">
      <x:c r="A19" s="30" t="str">
        <x:v>PROV018</x:v>
      </x:c>
      <x:c r="B19" s="30" t="str">
        <x:v>LAW002</x:v>
      </x:c>
      <x:c r="C19" s="30"/>
      <x:c r="D19" s="30" t="str">
        <x:v>Statutory</x:v>
      </x:c>
      <x:c r="E19" s="30" t="str">
        <x:v>Rule 97(1)</x:v>
      </x:c>
      <x:c r="F19" s="30" t="str">
        <x:v>Schedule G, H, H1 and X warning labels</x:v>
      </x:c>
      <x:c r="G19" s="30" t="str">
        <x:v>The prescribed symbols, cautions and warnings must appear on applicable medicine labels.</x:v>
      </x:c>
      <x:c r="H19" s="30" t="str">
        <x:v>CORE</x:v>
      </x:c>
      <x:c r="I19" s="30" t="str">
        <x:v>Yes</x:v>
      </x:c>
      <x:c r="J19" s="30" t="str">
        <x:v>P-2 normalized against authoritative Drugs Rules; existing ID preserved.</x:v>
      </x:c>
    </x:row>
    <x:row r="20">
      <x:c r="A20" s="30" t="str">
        <x:v>PROV019</x:v>
      </x:c>
      <x:c r="B20" s="30" t="str">
        <x:v>LAW002</x:v>
      </x:c>
      <x:c r="C20" s="30"/>
      <x:c r="D20" s="30" t="str">
        <x:v>Statutory</x:v>
      </x:c>
      <x:c r="E20" s="30" t="str">
        <x:v>Rule 95</x:v>
      </x:c>
      <x:c r="F20" s="30" t="str">
        <x:v>Prohibition of sale or distribution unless labelled</x:v>
      </x:c>
      <x:c r="G20" s="30" t="str">
        <x:v>No person may sell or distribute a drug unless it is labelled in accordance with the Rules.</x:v>
      </x:c>
      <x:c r="H20" s="30" t="str">
        <x:v>CORE</x:v>
      </x:c>
      <x:c r="I20" s="30" t="str">
        <x:v>Yes</x:v>
      </x:c>
      <x:c r="J20" s="30" t="str">
        <x:v>P-2 normalized against authoritative Drugs Rules; existing ID preserved.</x:v>
      </x:c>
    </x:row>
    <x:row r="21">
      <x:c r="A21" s="30" t="str">
        <x:v>PROV020</x:v>
      </x:c>
      <x:c r="B21" s="30" t="str">
        <x:v>LAW002</x:v>
      </x:c>
      <x:c r="C21" s="30"/>
      <x:c r="D21" s="30" t="str">
        <x:v>Statutory</x:v>
      </x:c>
      <x:c r="E21" s="30" t="str">
        <x:v>Schedule H; Rule 65(9), (11), (11A)</x:v>
      </x:c>
      <x:c r="F21" s="30" t="str">
        <x:v>Schedule H classification and dispensing restrictions</x:v>
      </x:c>
      <x:c r="G21" s="30" t="str">
        <x:v>Prescription-only sale, repeat-dispensing limits, seller annotation and no unauthorized substitution.</x:v>
      </x:c>
      <x:c r="H21" s="30" t="str">
        <x:v>CORE</x:v>
      </x:c>
      <x:c r="I21" s="30" t="str">
        <x:v>Yes</x:v>
      </x:c>
      <x:c r="J21" s="30" t="str">
        <x:v>P-2 normalized against authoritative Drugs Rules; existing ID preserved.</x:v>
      </x:c>
    </x:row>
    <x:row r="22">
      <x:c r="A22" s="30" t="str">
        <x:v>PROV021</x:v>
      </x:c>
      <x:c r="B22" s="30" t="str">
        <x:v>LAW002</x:v>
      </x:c>
      <x:c r="C22" s="30"/>
      <x:c r="D22" s="30" t="str">
        <x:v>Statutory</x:v>
      </x:c>
      <x:c r="E22" s="30" t="str">
        <x:v>Schedule H1; Rule 65(3)(1)(h), (9), (11), (11A)</x:v>
      </x:c>
      <x:c r="F22" s="30" t="str">
        <x:v>Schedule H1 classification, prescription and special-register controls</x:v>
      </x:c>
      <x:c r="G22" s="30" t="str">
        <x:v>Schedule H1 drugs require prescription control and a separate three-year register open to inspection.</x:v>
      </x:c>
      <x:c r="H22" s="30" t="str">
        <x:v>CORE</x:v>
      </x:c>
      <x:c r="I22" s="30" t="str">
        <x:v>Yes</x:v>
      </x:c>
      <x:c r="J22" s="30" t="str">
        <x:v>P-2 normalized against authoritative Drugs Rules; existing ID preserved.</x:v>
      </x:c>
    </x:row>
    <x:row r="23">
      <x:c r="A23" s="30" t="str">
        <x:v>PROV022</x:v>
      </x:c>
      <x:c r="B23" s="30" t="str">
        <x:v>LAW002</x:v>
      </x:c>
      <x:c r="C23" s="30"/>
      <x:c r="D23" s="30" t="str">
        <x:v>Statutory</x:v>
      </x:c>
      <x:c r="E23" s="30" t="str">
        <x:v>Schedule X; Rule 65(9), (12), (21)</x:v>
      </x:c>
      <x:c r="F23" s="30" t="str">
        <x:v>Schedule X prescription, storage and register controls</x:v>
      </x:c>
      <x:c r="G23" s="30" t="str">
        <x:v>Schedule X requires duplicate prescription, restricted storage and a bound serially paged drug-wise register.</x:v>
      </x:c>
      <x:c r="H23" s="30" t="str">
        <x:v>CORE</x:v>
      </x:c>
      <x:c r="I23" s="30" t="str">
        <x:v>Yes</x:v>
      </x:c>
      <x:c r="J23" s="30" t="str">
        <x:v>P-2 normalized against authoritative Drugs Rules; existing ID preserved.</x:v>
      </x:c>
    </x:row>
    <x:row r="24">
      <x:c r="A24" s="30" t="str">
        <x:v>PROV023</x:v>
      </x:c>
      <x:c r="B24" s="30" t="str">
        <x:v>LAW002</x:v>
      </x:c>
      <x:c r="C24" s="30"/>
      <x:c r="D24" s="30" t="str">
        <x:v>Statutory</x:v>
      </x:c>
      <x:c r="E24" s="30" t="str">
        <x:v>Schedule G; Rule 97(1)(a)</x:v>
      </x:c>
      <x:c r="F24" s="30" t="str">
        <x:v>Schedule G cautionary labelling</x:v>
      </x:c>
      <x:c r="G24" s="30" t="str">
        <x:v>Schedule G medicines carry the prescribed caution that medical supervision is required.</x:v>
      </x:c>
      <x:c r="H24" s="30" t="str">
        <x:v>CORE</x:v>
      </x:c>
      <x:c r="I24" s="30" t="str">
        <x:v>Yes</x:v>
      </x:c>
      <x:c r="J24" s="30" t="str">
        <x:v>P-2 normalized against authoritative Drugs Rules; existing ID preserved.</x:v>
      </x:c>
    </x:row>
    <x:row r="25">
      <x:c r="A25" s="30" t="str">
        <x:v>PROV024</x:v>
      </x:c>
      <x:c r="B25" s="30" t="str">
        <x:v>LAW002</x:v>
      </x:c>
      <x:c r="C25" s="30"/>
      <x:c r="D25" s="30" t="str">
        <x:v>Statutory</x:v>
      </x:c>
      <x:c r="E25" s="30" t="str">
        <x:v>Rule 123; Schedule K</x:v>
      </x:c>
      <x:c r="F25" s="30" t="str">
        <x:v>Schedule K exemptions and exact conditions</x:v>
      </x:c>
      <x:c r="G25" s="30" t="str">
        <x:v>Exemptions apply only to the stated drug class, provision and conditions; G.S.R. 477(E) removed the listed syrup exemption and G.S.R. 607(E) is future-effective.</x:v>
      </x:c>
      <x:c r="H25" s="30" t="str">
        <x:v>CORE</x:v>
      </x:c>
      <x:c r="I25" s="30" t="str">
        <x:v>Yes</x:v>
      </x:c>
      <x:c r="J25" s="30" t="str">
        <x:v>P-2 normalized against authoritative Drugs Rules; existing ID preserved.</x:v>
      </x:c>
    </x:row>
    <x:row r="26">
      <x:c r="A26" s="30" t="str">
        <x:v>PROV025</x:v>
      </x:c>
      <x:c r="B26" s="30" t="str">
        <x:v>LAW002</x:v>
      </x:c>
      <x:c r="C26" s="30"/>
      <x:c r="D26" s="30" t="str">
        <x:v>Statutory</x:v>
      </x:c>
      <x:c r="E26" s="30" t="str">
        <x:v>Rule 96(6)-(7); Schedule H2</x:v>
      </x:c>
      <x:c r="F26" s="30" t="str">
        <x:v>Schedule H2 barcode / QR-code labelling</x:v>
      </x:c>
      <x:c r="G26" s="30" t="str">
        <x:v>Manufacturers of Schedule H2 formulations must provide specified authentication data; seller controls are indirect through Rule 95 and receipt verification.</x:v>
      </x:c>
      <x:c r="H26" s="30" t="str">
        <x:v>CORE</x:v>
      </x:c>
      <x:c r="I26" s="30" t="str">
        <x:v>Yes</x:v>
      </x:c>
      <x:c r="J26" s="30" t="str">
        <x:v>P-2 normalized against authoritative Drugs Rules; existing ID preserved.</x:v>
      </x:c>
    </x:row>
    <x:row r="27">
      <x:c r="A27" s="30" t="str">
        <x:v>PROV026</x:v>
      </x:c>
      <x:c r="B27" s="30" t="str">
        <x:v>LAW004</x:v>
      </x:c>
      <x:c r="C27" s="30"/>
      <x:c r="D27" s="30" t="str">
        <x:v>Statutory</x:v>
      </x:c>
      <x:c r="E27" s="30" t="str">
        <x:v>Sections 32, 34–36</x:v>
      </x:c>
      <x:c r="F27" s="30" t="str">
        <x:v>Valid registration of practising pharmacist</x:v>
      </x:c>
      <x:c r="G27" s="30" t="str">
        <x:v>Registration, renewal and current-status framework for a person entered in the State Register and engaged in pharmacy practice.</x:v>
      </x:c>
      <x:c r="H27" s="30" t="str">
        <x:v>CORE</x:v>
      </x:c>
      <x:c r="I27" s="30" t="str">
        <x:v>Yes</x:v>
      </x:c>
      <x:c r="J27" s="30" t="str">
        <x:v>P-4 corrected from the First Register provision to the operative registration/status framework.</x:v>
      </x:c>
    </x:row>
    <x:row r="28">
      <x:c r="A28" s="30" t="str">
        <x:v>PROV027</x:v>
      </x:c>
      <x:c r="B28" s="30" t="str">
        <x:v>LAW004</x:v>
      </x:c>
      <x:c r="C28" s="30"/>
      <x:c r="D28" s="30" t="str">
        <x:v>Best Practice</x:v>
      </x:c>
      <x:c r="E28" s="30" t="str">
        <x:v>Section 29 State Register; employer verification control</x:v>
      </x:c>
      <x:c r="F28" s="30" t="str">
        <x:v>Verify current State Register entry</x:v>
      </x:c>
      <x:c r="G28" s="30" t="str">
        <x:v>Internal verification of the current State Register entry before and during engagement of a practising pharmacist.</x:v>
      </x:c>
      <x:c r="H28" s="30" t="str">
        <x:v>CORE</x:v>
      </x:c>
      <x:c r="I28" s="30" t="str">
        <x:v>Yes</x:v>
      </x:c>
      <x:c r="J28" s="30" t="str">
        <x:v>Internal control supporting Sections 32, 34–36 and Section 42; not an independent statutory duty under Section 29.</x:v>
      </x:c>
    </x:row>
    <x:row r="29">
      <x:c r="A29" s="30" t="str">
        <x:v>PROV028</x:v>
      </x:c>
      <x:c r="B29" s="30" t="str">
        <x:v>LAW004</x:v>
      </x:c>
      <x:c r="C29" s="30"/>
      <x:c r="D29" s="30" t="str">
        <x:v>Statutory</x:v>
      </x:c>
      <x:c r="E29" s="30" t="str">
        <x:v>Section 42</x:v>
      </x:c>
      <x:c r="F29" s="30" t="str">
        <x:v>Dispensing by Registered Pharmacist</x:v>
      </x:c>
      <x:c r="G29" s="30" t="str">
        <x:v>Mandatory engagement of registered pharmacist.</x:v>
      </x:c>
      <x:c r="H29" s="30" t="str">
        <x:v>CORE</x:v>
      </x:c>
      <x:c r="I29" s="30" t="str">
        <x:v>Yes</x:v>
      </x:c>
      <x:c r="J29" s="30"/>
    </x:row>
    <x:row r="30">
      <x:c r="A30" s="30" t="str">
        <x:v>PROV029</x:v>
      </x:c>
      <x:c r="B30" s="30" t="str">
        <x:v>LAW004</x:v>
      </x:c>
      <x:c r="C30" s="30"/>
      <x:c r="D30" s="30" t="str">
        <x:v>Statutory</x:v>
      </x:c>
      <x:c r="E30" s="30" t="str">
        <x:v>Pharmacy Practice Regulations</x:v>
      </x:c>
      <x:c r="F30" s="30" t="str">
        <x:v>Professional conduct of Registered Pharmacists</x:v>
      </x:c>
      <x:c r="G30" s="30" t="str">
        <x:v>Professional and ethical obligations.</x:v>
      </x:c>
      <x:c r="H30" s="30" t="str">
        <x:v>CORE</x:v>
      </x:c>
      <x:c r="I30" s="30" t="str">
        <x:v>Yes</x:v>
      </x:c>
      <x:c r="J30" s="30"/>
    </x:row>
    <x:row r="31">
      <x:c r="A31" s="30" t="str">
        <x:v>PROV030</x:v>
      </x:c>
      <x:c r="B31" s="30" t="str">
        <x:v>LAW004</x:v>
      </x:c>
      <x:c r="C31" s="30"/>
      <x:c r="D31" s="30" t="str">
        <x:v>Statutory</x:v>
      </x:c>
      <x:c r="E31" s="30" t="str">
        <x:v>Pharmacy Practice Regulations</x:v>
      </x:c>
      <x:c r="F31" s="30" t="str">
        <x:v>Continuing Professional Development</x:v>
      </x:c>
      <x:c r="G31" s="30" t="str">
        <x:v>Competency maintenance.</x:v>
      </x:c>
      <x:c r="H31" s="30" t="str">
        <x:v>CORE</x:v>
      </x:c>
      <x:c r="I31" s="30" t="str">
        <x:v>Yes</x:v>
      </x:c>
      <x:c r="J31" s="30"/>
    </x:row>
    <x:row r="32">
      <x:c r="A32" s="30" t="str">
        <x:v>PROV031</x:v>
      </x:c>
      <x:c r="B32" s="30" t="str">
        <x:v>LAW006</x:v>
      </x:c>
      <x:c r="C32" s="30"/>
      <x:c r="D32" s="30" t="str">
        <x:v>Statutory</x:v>
      </x:c>
      <x:c r="E32" s="30" t="str">
        <x:v>Paragraph 24(4)</x:v>
      </x:c>
      <x:c r="F32" s="30" t="str">
        <x:v>Display scheduled-formulation price list</x:v>
      </x:c>
      <x:c r="G32" s="30" t="str">
        <x:v>Dealer/retailer must display the current scheduled-formulation price list and supplementary list in a conspicuous part of the premises.</x:v>
      </x:c>
      <x:c r="H32" s="30" t="str">
        <x:v>CORE</x:v>
      </x:c>
      <x:c r="I32" s="30" t="str">
        <x:v>Yes</x:v>
      </x:c>
      <x:c r="J32" s="30"/>
    </x:row>
    <x:row r="33">
      <x:c r="A33" s="30" t="str">
        <x:v>PROV032</x:v>
      </x:c>
      <x:c r="B33" s="30" t="str">
        <x:v>LAW006</x:v>
      </x:c>
      <x:c r="C33" s="30"/>
      <x:c r="D33" s="30" t="str">
        <x:v>Statutory</x:v>
      </x:c>
      <x:c r="E33" s="30" t="str">
        <x:v>Paragraph 25(3)</x:v>
      </x:c>
      <x:c r="F33" s="30" t="str">
        <x:v>Display non-scheduled-formulation price list</x:v>
      </x:c>
      <x:c r="G33" s="30" t="str">
        <x:v>Dealer/retailer must display the current non-scheduled-formulation price list in a conspicuous part of the premises.</x:v>
      </x:c>
      <x:c r="H33" s="30" t="str">
        <x:v>CORE</x:v>
      </x:c>
      <x:c r="I33" s="30" t="str">
        <x:v>Yes</x:v>
      </x:c>
      <x:c r="J33" s="30"/>
    </x:row>
    <x:row r="34">
      <x:c r="A34" s="30" t="str">
        <x:v>PROV033</x:v>
      </x:c>
      <x:c r="B34" s="30" t="str">
        <x:v>LAW006</x:v>
      </x:c>
      <x:c r="C34" s="30"/>
      <x:c r="D34" s="30" t="str">
        <x:v>Statutory</x:v>
      </x:c>
      <x:c r="E34" s="30" t="str">
        <x:v>Paragraph 26</x:v>
      </x:c>
      <x:c r="F34" s="30" t="str">
        <x:v>Do not sell above the lower applicable price</x:v>
      </x:c>
      <x:c r="G34" s="30" t="str">
        <x:v>No formulation may be sold above the current price-list price or the price shown on the label, whichever is less, plus applicable local taxes.</x:v>
      </x:c>
      <x:c r="H34" s="30" t="str">
        <x:v>CORE</x:v>
      </x:c>
      <x:c r="I34" s="30" t="str">
        <x:v>Yes</x:v>
      </x:c>
      <x:c r="J34" s="30"/>
    </x:row>
    <x:row r="35">
      <x:c r="A35" s="30" t="str">
        <x:v>PROV034</x:v>
      </x:c>
      <x:c r="B35" s="30" t="str">
        <x:v>LAW006</x:v>
      </x:c>
      <x:c r="C35" s="30"/>
      <x:c r="D35" s="30" t="str">
        <x:v>Statutory</x:v>
      </x:c>
      <x:c r="E35" s="30" t="str">
        <x:v>Paragraph 27</x:v>
      </x:c>
      <x:c r="F35" s="30" t="str">
        <x:v>Apply pro-rata price to split quantities</x:v>
      </x:c>
      <x:c r="G35" s="30" t="str">
        <x:v>Where a formulation is sold in a quantity smaller than the pack, the price must not exceed the pro-rata amount.</x:v>
      </x:c>
      <x:c r="H35" s="30" t="str">
        <x:v>CORE</x:v>
      </x:c>
      <x:c r="I35" s="30" t="str">
        <x:v>Yes</x:v>
      </x:c>
      <x:c r="J35" s="30"/>
    </x:row>
    <x:row r="36">
      <x:c r="A36" s="30" t="str">
        <x:v>PROV035</x:v>
      </x:c>
      <x:c r="B36" s="30" t="str">
        <x:v>LAW006</x:v>
      </x:c>
      <x:c r="C36" s="30"/>
      <x:c r="D36" s="30" t="str">
        <x:v>Statutory</x:v>
      </x:c>
      <x:c r="E36" s="30" t="str">
        <x:v>Paragraph 28(b)</x:v>
      </x:c>
      <x:c r="F36" s="30" t="str">
        <x:v>Do not withhold or refuse an available formulation</x:v>
      </x:c>
      <x:c r="G36" s="30" t="str">
        <x:v>A dealer must not withhold or refuse sale of a formulation that is available for sale to a customer.</x:v>
      </x:c>
      <x:c r="H36" s="30" t="str">
        <x:v>CORE</x:v>
      </x:c>
      <x:c r="I36" s="30" t="str">
        <x:v>Yes</x:v>
      </x:c>
      <x:c r="J36" s="30"/>
    </x:row>
    <x:row r="37">
      <x:c r="A37" s="30" t="str">
        <x:v>PROV036</x:v>
      </x:c>
      <x:c r="B37" s="30" t="str">
        <x:v>LAW015</x:v>
      </x:c>
      <x:c r="C37" s="30"/>
      <x:c r="D37" s="30" t="str">
        <x:v>Statutory</x:v>
      </x:c>
      <x:c r="E37" s="30" t="str">
        <x:v>Section 8</x:v>
      </x:c>
      <x:c r="F37" s="30" t="str">
        <x:v>Prohibition relating to Narcotic Drugs &amp; Psychotropic Substances</x:v>
      </x:c>
      <x:c r="G37" s="30" t="str">
        <x:v>Core prohibition provision.</x:v>
      </x:c>
      <x:c r="H37" s="30" t="str">
        <x:v>CORE</x:v>
      </x:c>
      <x:c r="I37" s="30" t="str">
        <x:v>Yes</x:v>
      </x:c>
      <x:c r="J37" s="30"/>
    </x:row>
    <x:row r="38">
      <x:c r="A38" s="30" t="str">
        <x:v>PROV037</x:v>
      </x:c>
      <x:c r="B38" s="30" t="str">
        <x:v>LAW015</x:v>
      </x:c>
      <x:c r="C38" s="30"/>
      <x:c r="D38" s="30" t="str">
        <x:v>Statutory</x:v>
      </x:c>
      <x:c r="E38" s="30" t="str">
        <x:v>Section 9</x:v>
      </x:c>
      <x:c r="F38" s="30" t="str">
        <x:v>Power of Central Government to regulate controlled substances</x:v>
      </x:c>
      <x:c r="G38" s="30" t="str">
        <x:v>Regulatory powers.</x:v>
      </x:c>
      <x:c r="H38" s="30" t="str">
        <x:v>CORE</x:v>
      </x:c>
      <x:c r="I38" s="30" t="str">
        <x:v>No</x:v>
      </x:c>
      <x:c r="J38" s="30" t="str">
        <x:v>P-4 QUARANTINED: penalty/enabling provision, duplicate internal control, generic State/event/source placeholder, or non-pharmacy-role requirement. Legacy ID retained for traceability.</x:v>
      </x:c>
    </x:row>
    <x:row r="39">
      <x:c r="A39" s="30" t="str">
        <x:v>PROV038</x:v>
      </x:c>
      <x:c r="B39" s="30" t="str">
        <x:v>LAW015</x:v>
      </x:c>
      <x:c r="C39" s="30"/>
      <x:c r="D39" s="30" t="str">
        <x:v>Statutory</x:v>
      </x:c>
      <x:c r="E39" s="30" t="str">
        <x:v>Section 10</x:v>
      </x:c>
      <x:c r="F39" s="30" t="str">
        <x:v>State Government regulatory powers</x:v>
      </x:c>
      <x:c r="G39" s="30" t="str">
        <x:v>State-level regulation.</x:v>
      </x:c>
      <x:c r="H39" s="30" t="str">
        <x:v>CORE</x:v>
      </x:c>
      <x:c r="I39" s="30" t="str">
        <x:v>No</x:v>
      </x:c>
      <x:c r="J39" s="30" t="str">
        <x:v>P-4 QUARANTINED: penalty/enabling provision, duplicate internal control, generic State/event/source placeholder, or non-pharmacy-role requirement. Legacy ID retained for traceability.</x:v>
      </x:c>
    </x:row>
    <x:row r="40">
      <x:c r="A40" s="30" t="str">
        <x:v>PROV039</x:v>
      </x:c>
      <x:c r="B40" s="30" t="str">
        <x:v>LAW015</x:v>
      </x:c>
      <x:c r="C40" s="30"/>
      <x:c r="D40" s="30" t="str">
        <x:v>Statutory</x:v>
      </x:c>
      <x:c r="E40" s="30" t="str">
        <x:v>Section 25</x:v>
      </x:c>
      <x:c r="F40" s="30" t="str">
        <x:v>Liability of Occupier / Management</x:v>
      </x:c>
      <x:c r="G40" s="30" t="str">
        <x:v>Responsibility of premises owner or occupier.</x:v>
      </x:c>
      <x:c r="H40" s="30" t="str">
        <x:v>CORE</x:v>
      </x:c>
      <x:c r="I40" s="30" t="str">
        <x:v>No</x:v>
      </x:c>
      <x:c r="J40" s="30" t="str">
        <x:v>P-4 QUARANTINED: penalty/enabling provision, duplicate internal control, generic State/event/source placeholder, or non-pharmacy-role requirement. Legacy ID retained for traceability.</x:v>
      </x:c>
    </x:row>
    <x:row r="41">
      <x:c r="A41" s="30" t="str">
        <x:v>PROV040</x:v>
      </x:c>
      <x:c r="B41" s="30" t="str">
        <x:v>LAW015</x:v>
      </x:c>
      <x:c r="C41" s="30"/>
      <x:c r="D41" s="30" t="str">
        <x:v>Statutory</x:v>
      </x:c>
      <x:c r="E41" s="30" t="str">
        <x:v>Section 80</x:v>
      </x:c>
      <x:c r="F41" s="30" t="str">
        <x:v>NDPS provisions in addition to Drugs &amp; Cosmetics Act</x:v>
      </x:c>
      <x:c r="G41" s="30" t="str">
        <x:v>Concurrent applicability.</x:v>
      </x:c>
      <x:c r="H41" s="30" t="str">
        <x:v>CORE</x:v>
      </x:c>
      <x:c r="I41" s="30" t="str">
        <x:v>No</x:v>
      </x:c>
      <x:c r="J41" s="30" t="str">
        <x:v>P-4 QUARANTINED: penalty/enabling provision, duplicate internal control, generic State/event/source placeholder, or non-pharmacy-role requirement. Legacy ID retained for traceability.</x:v>
      </x:c>
    </x:row>
    <x:row r="42">
      <x:c r="A42" s="30" t="str">
        <x:v>PROV041</x:v>
      </x:c>
      <x:c r="B42" s="30" t="str">
        <x:v>LAW016</x:v>
      </x:c>
      <x:c r="C42" s="30"/>
      <x:c r="D42" s="30" t="str">
        <x:v>Statutory</x:v>
      </x:c>
      <x:c r="E42" s="30" t="str">
        <x:v>Rule 52A</x:v>
      </x:c>
      <x:c r="F42" s="30" t="str">
        <x:v>Possess Essential Narcotic Drugs only under the Rules</x:v>
      </x:c>
      <x:c r="G42" s="30" t="str">
        <x:v>Possession of Essential Narcotic Drugs must be authorized by and remain within the applicable Rules.</x:v>
      </x:c>
      <x:c r="H42" s="30" t="str">
        <x:v>CORE</x:v>
      </x:c>
      <x:c r="I42" s="30" t="str">
        <x:v>Yes</x:v>
      </x:c>
      <x:c r="J42" s="30"/>
    </x:row>
    <x:row r="43">
      <x:c r="A43" s="30" t="str">
        <x:v>PROV042</x:v>
      </x:c>
      <x:c r="B43" s="30" t="str">
        <x:v>LAW016</x:v>
      </x:c>
      <x:c r="C43" s="30"/>
      <x:c r="D43" s="30" t="str">
        <x:v>Statutory</x:v>
      </x:c>
      <x:c r="E43" s="30" t="str">
        <x:v>Rule 52B</x:v>
      </x:c>
      <x:c r="F43" s="30" t="str">
        <x:v>Licensed dealer or chemist authorization</x:v>
      </x:c>
      <x:c r="G43" s="30" t="str">
        <x:v>A dealer or chemist must hold the applicable State licence under the Section 10 framework and comply with its conditions.</x:v>
      </x:c>
      <x:c r="H43" s="30" t="str">
        <x:v>CORE</x:v>
      </x:c>
      <x:c r="I43" s="30" t="str">
        <x:v>Yes</x:v>
      </x:c>
      <x:c r="J43" s="30"/>
    </x:row>
    <x:row r="44">
      <x:c r="A44" s="30" t="str">
        <x:v>PROV043</x:v>
      </x:c>
      <x:c r="B44" s="30" t="str">
        <x:v>LAW016</x:v>
      </x:c>
      <x:c r="C44" s="30"/>
      <x:c r="D44" s="30" t="str">
        <x:v>Statutory</x:v>
      </x:c>
      <x:c r="E44" s="30" t="str">
        <x:v>Rule 52F(2)</x:v>
      </x:c>
      <x:c r="F44" s="30" t="str">
        <x:v>Prescription-only sale by licensed chemist</x:v>
      </x:c>
      <x:c r="G44" s="30" t="str">
        <x:v>A licensed chemist may sell an Essential Narcotic Drug only on a prescription and in accordance with the Drugs Rules, 1945.</x:v>
      </x:c>
      <x:c r="H44" s="30" t="str">
        <x:v>CORE</x:v>
      </x:c>
      <x:c r="I44" s="30" t="str">
        <x:v>Yes</x:v>
      </x:c>
      <x:c r="J44" s="30"/>
    </x:row>
    <x:row r="45">
      <x:c r="A45" s="30" t="str">
        <x:v>PROV044</x:v>
      </x:c>
      <x:c r="B45" s="30" t="str">
        <x:v>LAW016</x:v>
      </x:c>
      <x:c r="C45" s="30"/>
      <x:c r="D45" s="30" t="str">
        <x:v>Statutory</x:v>
      </x:c>
      <x:c r="E45" s="30" t="str">
        <x:v>Rule 52D</x:v>
      </x:c>
      <x:c r="F45" s="30" t="str">
        <x:v>Form 3C consignment documentation and retention</x:v>
      </x:c>
      <x:c r="G45" s="30" t="str">
        <x:v>Consignments must be accompanied by the prescribed consignment note and supporting documents retained for two years.</x:v>
      </x:c>
      <x:c r="H45" s="30" t="str">
        <x:v>CORE</x:v>
      </x:c>
      <x:c r="I45" s="30" t="str">
        <x:v>Yes</x:v>
      </x:c>
      <x:c r="J45" s="30"/>
    </x:row>
    <x:row r="46">
      <x:c r="A46" s="30" t="str">
        <x:v>PROV045</x:v>
      </x:c>
      <x:c r="B46" s="30" t="str">
        <x:v>LAW016</x:v>
      </x:c>
      <x:c r="C46" s="30"/>
      <x:c r="D46" s="30" t="str">
        <x:v>Statutory</x:v>
      </x:c>
      <x:c r="E46" s="30" t="str">
        <x:v>Rule 52E</x:v>
      </x:c>
      <x:c r="F46" s="30" t="str">
        <x:v>Transport declaration and account-book entries</x:v>
      </x:c>
      <x:c r="G46" s="30" t="str">
        <x:v>Required declaration/documentation and book entries must accompany transport or transmission by post, courier, rail or road.</x:v>
      </x:c>
      <x:c r="H46" s="30" t="str">
        <x:v>CORE</x:v>
      </x:c>
      <x:c r="I46" s="30" t="str">
        <x:v>Yes</x:v>
      </x:c>
      <x:c r="J46" s="30"/>
    </x:row>
    <x:row r="47">
      <x:c r="A47" s="30" t="str">
        <x:v>PROV046</x:v>
      </x:c>
      <x:c r="B47" s="30" t="str">
        <x:v>LAW018</x:v>
      </x:c>
      <x:c r="C47" s="30"/>
      <x:c r="D47" s="30" t="str">
        <x:v>Statutory</x:v>
      </x:c>
      <x:c r="E47" s="30" t="str">
        <x:v>Rule 4</x:v>
      </x:c>
      <x:c r="F47" s="30" t="str">
        <x:v>Core duties of a bio-medical waste occupier</x:v>
      </x:c>
      <x:c r="G47" s="30" t="str">
        <x:v>Take all steps for safe handling without adverse effect, provide training/immunisation, use prescribed systems including barcoding where applicable, and prevent mixing with other waste.</x:v>
      </x:c>
      <x:c r="H47" s="30" t="str">
        <x:v>CORE</x:v>
      </x:c>
      <x:c r="I47" s="30" t="str">
        <x:v>Yes</x:v>
      </x:c>
      <x:c r="J47" s="30" t="str">
        <x:v>P-3 normalized; applies only when the establishment is an occupier/generator under LAW018.</x:v>
      </x:c>
    </x:row>
    <x:row r="48">
      <x:c r="A48" s="30" t="str">
        <x:v>PROV047</x:v>
      </x:c>
      <x:c r="B48" s="30" t="str">
        <x:v>LAW018</x:v>
      </x:c>
      <x:c r="C48" s="30"/>
      <x:c r="D48" s="30" t="str">
        <x:v>Statutory</x:v>
      </x:c>
      <x:c r="E48" s="30" t="str">
        <x:v>Rule 8; Schedule I</x:v>
      </x:c>
      <x:c r="F48" s="30" t="str">
        <x:v>Segregation, packaging, storage and transport of bio-medical waste</x:v>
      </x:c>
      <x:c r="G48" s="30" t="str">
        <x:v>Segregate at point of generation in prescribed colour-coded bags/containers, label and handle in accordance with Rule 8 and Schedule I.</x:v>
      </x:c>
      <x:c r="H48" s="30" t="str">
        <x:v>CORE</x:v>
      </x:c>
      <x:c r="I48" s="30" t="str">
        <x:v>Yes</x:v>
      </x:c>
      <x:c r="J48" s="30" t="str">
        <x:v>P-3 normalized.</x:v>
      </x:c>
    </x:row>
    <x:row r="49">
      <x:c r="A49" s="30" t="str">
        <x:v>PROV048</x:v>
      </x:c>
      <x:c r="B49" s="30" t="str">
        <x:v>LAW018</x:v>
      </x:c>
      <x:c r="C49" s="30"/>
      <x:c r="D49" s="30" t="str">
        <x:v>Statutory</x:v>
      </x:c>
      <x:c r="E49" s="30" t="str">
        <x:v>Rule 7</x:v>
      </x:c>
      <x:c r="F49" s="30" t="str">
        <x:v>Treatment and disposal through the permitted bio-medical waste route</x:v>
      </x:c>
      <x:c r="G49" s="30" t="str">
        <x:v>Use a common treatment facility where required/available and do not dispose of untreated bio-medical waste through ordinary solid-waste channels.</x:v>
      </x:c>
      <x:c r="H49" s="30" t="str">
        <x:v>CORE</x:v>
      </x:c>
      <x:c r="I49" s="30" t="str">
        <x:v>Yes</x:v>
      </x:c>
      <x:c r="J49" s="30" t="str">
        <x:v>P-3 normalized.</x:v>
      </x:c>
    </x:row>
    <x:row r="50">
      <x:c r="A50" s="30" t="str">
        <x:v>PROV049</x:v>
      </x:c>
      <x:c r="B50" s="30" t="str">
        <x:v>LAW018</x:v>
      </x:c>
      <x:c r="C50" s="30"/>
      <x:c r="D50" s="30" t="str">
        <x:v>Statutory</x:v>
      </x:c>
      <x:c r="E50" s="30" t="str">
        <x:v>Rules 13-15; Forms IV and I</x:v>
      </x:c>
      <x:c r="F50" s="30" t="str">
        <x:v>Bio-medical waste annual report, records and accident reporting</x:v>
      </x:c>
      <x:c r="G50" s="30" t="str">
        <x:v>Submit the annual report by 30 June for the preceding calendar year, maintain records and report major accidents in the prescribed form/time.</x:v>
      </x:c>
      <x:c r="H50" s="30" t="str">
        <x:v>CORE</x:v>
      </x:c>
      <x:c r="I50" s="30" t="str">
        <x:v>Yes</x:v>
      </x:c>
      <x:c r="J50" s="30" t="str">
        <x:v>P-3 normalized.</x:v>
      </x:c>
    </x:row>
    <x:row r="51">
      <x:c r="A51" s="30" t="str">
        <x:v>PROV050</x:v>
      </x:c>
      <x:c r="B51" s="30" t="str">
        <x:v>LAW018</x:v>
      </x:c>
      <x:c r="C51" s="30"/>
      <x:c r="D51" s="30" t="str">
        <x:v>Statutory</x:v>
      </x:c>
      <x:c r="E51" s="30" t="str">
        <x:v>Rule 10; Form II</x:v>
      </x:c>
      <x:c r="F51" s="30" t="str">
        <x:v>Authorization for handling bio-medical waste</x:v>
      </x:c>
      <x:c r="G51" s="30" t="str">
        <x:v>Every occupier/operator handling bio-medical waste obtains authorization from the prescribed authority irrespective of quantity and keeps it current.</x:v>
      </x:c>
      <x:c r="H51" s="30" t="str">
        <x:v>CORE</x:v>
      </x:c>
      <x:c r="I51" s="30" t="str">
        <x:v>Yes</x:v>
      </x:c>
      <x:c r="J51" s="30" t="str">
        <x:v>P-3 normalized; entity-specific authorization is evidence, not a separate law.</x:v>
      </x:c>
    </x:row>
    <x:row r="52">
      <x:c r="A52" s="30" t="str">
        <x:v>PROV051</x:v>
      </x:c>
      <x:c r="B52" s="30" t="str">
        <x:v>LAW023</x:v>
      </x:c>
      <x:c r="C52" s="30"/>
      <x:c r="D52" s="30" t="str">
        <x:v>Statutory</x:v>
      </x:c>
      <x:c r="E52" s="30" t="str">
        <x:v>Registration</x:v>
      </x:c>
      <x:c r="F52" s="30" t="str">
        <x:v>Registration of Establishment</x:v>
      </x:c>
      <x:c r="G52" s="30" t="str">
        <x:v>Registration under applicable State Shops &amp; Establishments Act.</x:v>
      </x:c>
      <x:c r="H52" s="30" t="str">
        <x:v>CORE</x:v>
      </x:c>
      <x:c r="I52" s="30" t="str">
        <x:v>No</x:v>
      </x:c>
      <x:c r="J52" s="30" t="str">
        <x:v>P-3 QUARANTINED: Generic State/local/permit/reference rows, penalty-only/fabricated DAMR extractions, and future-effective DPDP duties are not current production obligations.</x:v>
      </x:c>
    </x:row>
    <x:row r="53">
      <x:c r="A53" s="30" t="str">
        <x:v>PROV052</x:v>
      </x:c>
      <x:c r="B53" s="30" t="str">
        <x:v>LAW023</x:v>
      </x:c>
      <x:c r="C53" s="30"/>
      <x:c r="D53" s="30" t="str">
        <x:v>Statutory</x:v>
      </x:c>
      <x:c r="E53" s="30" t="str">
        <x:v>Working Hours</x:v>
      </x:c>
      <x:c r="F53" s="30" t="str">
        <x:v>Regulation of Working Hours</x:v>
      </x:c>
      <x:c r="G53" s="30" t="str">
        <x:v>Compliance with prescribed working hours.</x:v>
      </x:c>
      <x:c r="H53" s="30" t="str">
        <x:v>CORE</x:v>
      </x:c>
      <x:c r="I53" s="30" t="str">
        <x:v>No</x:v>
      </x:c>
      <x:c r="J53" s="30" t="str">
        <x:v>P-3 QUARANTINED: Generic State/local/permit/reference rows, penalty-only/fabricated DAMR extractions, and future-effective DPDP duties are not current production obligations.</x:v>
      </x:c>
    </x:row>
    <x:row r="54">
      <x:c r="A54" s="30" t="str">
        <x:v>PROV053</x:v>
      </x:c>
      <x:c r="B54" s="30" t="str">
        <x:v>LAW023</x:v>
      </x:c>
      <x:c r="C54" s="30"/>
      <x:c r="D54" s="30" t="str">
        <x:v>Statutory</x:v>
      </x:c>
      <x:c r="E54" s="30" t="str">
        <x:v>Weekly Holiday</x:v>
      </x:c>
      <x:c r="F54" s="30" t="str">
        <x:v>Weekly Off and Holiday Requirements</x:v>
      </x:c>
      <x:c r="G54" s="30" t="str">
        <x:v>Mandatory weekly holidays.</x:v>
      </x:c>
      <x:c r="H54" s="30" t="str">
        <x:v>CORE</x:v>
      </x:c>
      <x:c r="I54" s="30" t="str">
        <x:v>No</x:v>
      </x:c>
      <x:c r="J54" s="30" t="str">
        <x:v>P-3 QUARANTINED: Generic State/local/permit/reference rows, penalty-only/fabricated DAMR extractions, and future-effective DPDP duties are not current production obligations.</x:v>
      </x:c>
    </x:row>
    <x:row r="55">
      <x:c r="A55" s="30" t="str">
        <x:v>PROV054</x:v>
      </x:c>
      <x:c r="B55" s="30" t="str">
        <x:v>LAW023</x:v>
      </x:c>
      <x:c r="C55" s="30"/>
      <x:c r="D55" s="30" t="str">
        <x:v>Statutory</x:v>
      </x:c>
      <x:c r="E55" s="30" t="str">
        <x:v>Leave</x:v>
      </x:c>
      <x:c r="F55" s="30" t="str">
        <x:v>Employee Leave Register</x:v>
      </x:c>
      <x:c r="G55" s="30" t="str">
        <x:v>Maintenance of leave records.</x:v>
      </x:c>
      <x:c r="H55" s="30" t="str">
        <x:v>CORE</x:v>
      </x:c>
      <x:c r="I55" s="30" t="str">
        <x:v>No</x:v>
      </x:c>
      <x:c r="J55" s="30" t="str">
        <x:v>P-3 QUARANTINED: Generic State/local/permit/reference rows, penalty-only/fabricated DAMR extractions, and future-effective DPDP duties are not current production obligations.</x:v>
      </x:c>
    </x:row>
    <x:row r="56">
      <x:c r="A56" s="30" t="str">
        <x:v>PROV055</x:v>
      </x:c>
      <x:c r="B56" s="30" t="str">
        <x:v>LAW023</x:v>
      </x:c>
      <x:c r="C56" s="30"/>
      <x:c r="D56" s="30" t="str">
        <x:v>Statutory</x:v>
      </x:c>
      <x:c r="E56" s="30" t="str">
        <x:v>Notice Display</x:v>
      </x:c>
      <x:c r="F56" s="30" t="str">
        <x:v>Display of Statutory Notices</x:v>
      </x:c>
      <x:c r="G56" s="30" t="str">
        <x:v>Mandatory display requirements.</x:v>
      </x:c>
      <x:c r="H56" s="30" t="str">
        <x:v>CORE</x:v>
      </x:c>
      <x:c r="I56" s="30" t="str">
        <x:v>No</x:v>
      </x:c>
      <x:c r="J56" s="30" t="str">
        <x:v>P-3 QUARANTINED: Generic State/local/permit/reference rows, penalty-only/fabricated DAMR extractions, and future-effective DPDP duties are not current production obligations.</x:v>
      </x:c>
    </x:row>
    <x:row r="57">
      <x:c r="A57" s="30" t="str">
        <x:v>PROV056</x:v>
      </x:c>
      <x:c r="B57" s="30" t="str">
        <x:v>LAW036</x:v>
      </x:c>
      <x:c r="C57" s="30"/>
      <x:c r="D57" s="30" t="str">
        <x:v>Statutory</x:v>
      </x:c>
      <x:c r="E57" s="30" t="str">
        <x:v>Code on Social Security, 2020 — EPF Chapter; applicable threshold notifications</x:v>
      </x:c>
      <x:c r="F57" s="30" t="str">
        <x:v>EPF coverage and registration under the Social Security Code</x:v>
      </x:c>
      <x:c r="G57" s="30" t="str">
        <x:v>Assess current EPF chapter coverage using the notified employee/establishment trigger and register when applicable.</x:v>
      </x:c>
      <x:c r="H57" s="30" t="str">
        <x:v>CORE</x:v>
      </x:c>
      <x:c r="I57" s="30" t="str">
        <x:v>Yes</x:v>
      </x:c>
      <x:c r="J57" s="30" t="str">
        <x:v>P-3 remapped from the superseded EPF Act layer.</x:v>
      </x:c>
    </x:row>
    <x:row r="58">
      <x:c r="A58" s="30" t="str">
        <x:v>PROV057</x:v>
      </x:c>
      <x:c r="B58" s="30" t="str">
        <x:v>LAW110</x:v>
      </x:c>
      <x:c r="C58" s="30"/>
      <x:c r="D58" s="30" t="str">
        <x:v>Statutory</x:v>
      </x:c>
      <x:c r="E58" s="30" t="str">
        <x:v>Social Security (Central) Rules, 2026; applicable EPF scheme/notifications</x:v>
      </x:c>
      <x:c r="F58" s="30" t="str">
        <x:v>Provident-fund contributions</x:v>
      </x:c>
      <x:c r="G58" s="30" t="str">
        <x:v>Compute, deduct and remit provident-fund contributions for covered employees under the current Code, Rules and scheme/notification position.</x:v>
      </x:c>
      <x:c r="H58" s="30" t="str">
        <x:v>CORE</x:v>
      </x:c>
      <x:c r="I58" s="30" t="str">
        <x:v>Yes</x:v>
      </x:c>
      <x:c r="J58" s="30" t="str">
        <x:v>P-3 current-law remap.</x:v>
      </x:c>
    </x:row>
    <x:row r="59">
      <x:c r="A59" s="30" t="str">
        <x:v>PROV058</x:v>
      </x:c>
      <x:c r="B59" s="30" t="str">
        <x:v>LAW110</x:v>
      </x:c>
      <x:c r="C59" s="30"/>
      <x:c r="D59" s="30" t="str">
        <x:v>Statutory</x:v>
      </x:c>
      <x:c r="E59" s="30" t="str">
        <x:v>Social Security (Central) Rules, 2026; applicable EPF scheme</x:v>
      </x:c>
      <x:c r="F59" s="30" t="str">
        <x:v>EPF member and payroll records</x:v>
      </x:c>
      <x:c r="G59" s="30" t="str">
        <x:v>Maintain required member, wage, nomination, contribution and electronic return records for covered employees.</x:v>
      </x:c>
      <x:c r="H59" s="30" t="str">
        <x:v>CORE</x:v>
      </x:c>
      <x:c r="I59" s="30" t="str">
        <x:v>Yes</x:v>
      </x:c>
      <x:c r="J59" s="30" t="str">
        <x:v>P-3 current-law remap.</x:v>
      </x:c>
    </x:row>
    <x:row r="60">
      <x:c r="A60" s="30" t="str">
        <x:v>PROV059</x:v>
      </x:c>
      <x:c r="B60" s="30" t="str">
        <x:v>LAW110</x:v>
      </x:c>
      <x:c r="C60" s="30"/>
      <x:c r="D60" s="30" t="str">
        <x:v>Statutory</x:v>
      </x:c>
      <x:c r="E60" s="30" t="str">
        <x:v>Social Security (Central) Rules, 2026; applicable EPF scheme</x:v>
      </x:c>
      <x:c r="F60" s="30" t="str">
        <x:v>EPF contribution deposit and electronic filing</x:v>
      </x:c>
      <x:c r="G60" s="30" t="str">
        <x:v>Deposit contributions and file the applicable electronic return/challan within the current prescribed timeline.</x:v>
      </x:c>
      <x:c r="H60" s="30" t="str">
        <x:v>CORE</x:v>
      </x:c>
      <x:c r="I60" s="30" t="str">
        <x:v>Yes</x:v>
      </x:c>
      <x:c r="J60" s="30" t="str">
        <x:v>P-3 current-law remap.</x:v>
      </x:c>
    </x:row>
    <x:row r="61">
      <x:c r="A61" s="30" t="str">
        <x:v>PROV060</x:v>
      </x:c>
      <x:c r="B61" s="30" t="str">
        <x:v>LAW110</x:v>
      </x:c>
      <x:c r="C61" s="30"/>
      <x:c r="D61" s="30" t="str">
        <x:v>Statutory</x:v>
      </x:c>
      <x:c r="E61" s="30" t="str">
        <x:v>Social Security (Central) Rules, 2026; saved/applicable scheme record rules</x:v>
      </x:c>
      <x:c r="F61" s="30" t="str">
        <x:v>Preservation and production of provident-fund records</x:v>
      </x:c>
      <x:c r="G61" s="30" t="str">
        <x:v>Retain and produce the Code/Rules/scheme records for the period and manner currently prescribed.</x:v>
      </x:c>
      <x:c r="H61" s="30" t="str">
        <x:v>CORE</x:v>
      </x:c>
      <x:c r="I61" s="30" t="str">
        <x:v>Yes</x:v>
      </x:c>
      <x:c r="J61" s="30" t="str">
        <x:v>P-3 current-law remap; no unsupported universal retention period stated.</x:v>
      </x:c>
    </x:row>
    <x:row r="62">
      <x:c r="A62" s="30" t="str">
        <x:v>PROV061</x:v>
      </x:c>
      <x:c r="B62" s="30" t="str">
        <x:v>LAW036</x:v>
      </x:c>
      <x:c r="C62" s="30"/>
      <x:c r="D62" s="30" t="str">
        <x:v>Statutory</x:v>
      </x:c>
      <x:c r="E62" s="30" t="str">
        <x:v>Code on Social Security, 2020 — ESI Chapter; applicable threshold notifications</x:v>
      </x:c>
      <x:c r="F62" s="30" t="str">
        <x:v>ESI coverage and registration under the Social Security Code</x:v>
      </x:c>
      <x:c r="G62" s="30" t="str">
        <x:v>Assess current ESI chapter coverage and register the establishment/employees when the notified trigger is met.</x:v>
      </x:c>
      <x:c r="H62" s="30" t="str">
        <x:v>CORE</x:v>
      </x:c>
      <x:c r="I62" s="30" t="str">
        <x:v>Yes</x:v>
      </x:c>
      <x:c r="J62" s="30" t="str">
        <x:v>P-3 remapped from the superseded ESI Act layer.</x:v>
      </x:c>
    </x:row>
    <x:row r="63">
      <x:c r="A63" s="30" t="str">
        <x:v>PROV062</x:v>
      </x:c>
      <x:c r="B63" s="30" t="str">
        <x:v>LAW110</x:v>
      </x:c>
      <x:c r="C63" s="30"/>
      <x:c r="D63" s="30" t="str">
        <x:v>Statutory</x:v>
      </x:c>
      <x:c r="E63" s="30" t="str">
        <x:v>Social Security (Central) Rules, 2026; applicable ESI regulations/notifications</x:v>
      </x:c>
      <x:c r="F63" s="30" t="str">
        <x:v>Employee and employer ESI contributions</x:v>
      </x:c>
      <x:c r="G63" s="30" t="str">
        <x:v>Compute, deduct and remit ESI contributions for covered employees within the current prescribed period.</x:v>
      </x:c>
      <x:c r="H63" s="30" t="str">
        <x:v>CORE</x:v>
      </x:c>
      <x:c r="I63" s="30" t="str">
        <x:v>Yes</x:v>
      </x:c>
      <x:c r="J63" s="30" t="str">
        <x:v>P-3 current-law remap.</x:v>
      </x:c>
    </x:row>
    <x:row r="64">
      <x:c r="A64" s="30" t="str">
        <x:v>PROV063</x:v>
      </x:c>
      <x:c r="B64" s="30" t="str">
        <x:v>LAW110</x:v>
      </x:c>
      <x:c r="C64" s="30"/>
      <x:c r="D64" s="30" t="str">
        <x:v>Statutory</x:v>
      </x:c>
      <x:c r="E64" s="30" t="str">
        <x:v>Social Security (Central) Rules, 2026; applicable ESI regulations</x:v>
      </x:c>
      <x:c r="F64" s="30" t="str">
        <x:v>ESI employee and contribution records</x:v>
      </x:c>
      <x:c r="G64" s="30" t="str">
        <x:v>Maintain employee registration, wage, contribution, accident and benefit-supporting records as applicable.</x:v>
      </x:c>
      <x:c r="H64" s="30" t="str">
        <x:v>CORE</x:v>
      </x:c>
      <x:c r="I64" s="30" t="str">
        <x:v>Yes</x:v>
      </x:c>
      <x:c r="J64" s="30" t="str">
        <x:v>P-3 current-law remap.</x:v>
      </x:c>
    </x:row>
    <x:row r="65">
      <x:c r="A65" s="30" t="str">
        <x:v>PROV064</x:v>
      </x:c>
      <x:c r="B65" s="30" t="str">
        <x:v>LAW110</x:v>
      </x:c>
      <x:c r="C65" s="30"/>
      <x:c r="D65" s="30" t="str">
        <x:v>Statutory</x:v>
      </x:c>
      <x:c r="E65" s="30" t="str">
        <x:v>Social Security (Central) Rules, 2026; applicable ESI electronic filing requirements</x:v>
      </x:c>
      <x:c r="F65" s="30" t="str">
        <x:v>ESI electronic filing and declarations</x:v>
      </x:c>
      <x:c r="G65" s="30" t="str">
        <x:v>Submit the applicable ESI contribution return/declaration through the prescribed system and frequency.</x:v>
      </x:c>
      <x:c r="H65" s="30" t="str">
        <x:v>CORE</x:v>
      </x:c>
      <x:c r="I65" s="30" t="str">
        <x:v>Yes</x:v>
      </x:c>
      <x:c r="J65" s="30" t="str">
        <x:v>P-3 current-law remap; legacy half-yearly frequency removed.</x:v>
      </x:c>
    </x:row>
    <x:row r="66">
      <x:c r="A66" s="30" t="str">
        <x:v>PROV065</x:v>
      </x:c>
      <x:c r="B66" s="30" t="str">
        <x:v>LAW110</x:v>
      </x:c>
      <x:c r="C66" s="30"/>
      <x:c r="D66" s="30" t="str">
        <x:v>Statutory</x:v>
      </x:c>
      <x:c r="E66" s="30" t="str">
        <x:v>Code on Social Security, 2020; Social Security (Central) Rules, 2026</x:v>
      </x:c>
      <x:c r="F66" s="30" t="str">
        <x:v>Production of social-security records</x:v>
      </x:c>
      <x:c r="G66" s="30" t="str">
        <x:v>Produce applicable EPF/ESI records to an authorised inspector-cum-facilitator or authority when lawfully required.</x:v>
      </x:c>
      <x:c r="H66" s="30" t="str">
        <x:v>CORE</x:v>
      </x:c>
      <x:c r="I66" s="30" t="str">
        <x:v>Yes</x:v>
      </x:c>
      <x:c r="J66" s="30" t="str">
        <x:v>P-3 current-law remap.</x:v>
      </x:c>
    </x:row>
    <x:row r="67">
      <x:c r="A67" s="30" t="str">
        <x:v>PROV066</x:v>
      </x:c>
      <x:c r="B67" s="30" t="str">
        <x:v>LAW026</x:v>
      </x:c>
      <x:c r="C67" s="30"/>
      <x:c r="D67" s="30" t="str">
        <x:v>Statutory</x:v>
      </x:c>
      <x:c r="E67" s="30" t="str">
        <x:v>CGST Act sections 22-25</x:v>
      </x:c>
      <x:c r="F67" s="30" t="str">
        <x:v>GST registration liability and process</x:v>
      </x:c>
      <x:c r="G67" s="30" t="str">
        <x:v>Register when turnover/compulsory-registration or voluntary-registration conditions apply; maintain State-wise registrations as required.</x:v>
      </x:c>
      <x:c r="H67" s="30" t="str">
        <x:v>CORE</x:v>
      </x:c>
      <x:c r="I67" s="30" t="str">
        <x:v>Yes</x:v>
      </x:c>
      <x:c r="J67" s="30"/>
    </x:row>
    <x:row r="68">
      <x:c r="A68" s="30" t="str">
        <x:v>PROV067</x:v>
      </x:c>
      <x:c r="B68" s="30" t="str">
        <x:v>LAW026</x:v>
      </x:c>
      <x:c r="C68" s="30"/>
      <x:c r="D68" s="30" t="str">
        <x:v>Statutory</x:v>
      </x:c>
      <x:c r="E68" s="30" t="str">
        <x:v>CGST Act section 31; CGST Rules</x:v>
      </x:c>
      <x:c r="F68" s="30" t="str">
        <x:v>Tax invoice, bill of supply and credit/debit documents</x:v>
      </x:c>
      <x:c r="G68" s="30" t="str">
        <x:v>Issue the correct GST document with prescribed particulars for each applicable supply.</x:v>
      </x:c>
      <x:c r="H68" s="30" t="str">
        <x:v>CORE</x:v>
      </x:c>
      <x:c r="I68" s="30" t="str">
        <x:v>Yes</x:v>
      </x:c>
      <x:c r="J68" s="30"/>
    </x:row>
    <x:row r="69">
      <x:c r="A69" s="30" t="str">
        <x:v>PROV068</x:v>
      </x:c>
      <x:c r="B69" s="30" t="str">
        <x:v>LAW026</x:v>
      </x:c>
      <x:c r="C69" s="30"/>
      <x:c r="D69" s="30" t="str">
        <x:v>Statutory</x:v>
      </x:c>
      <x:c r="E69" s="30" t="str">
        <x:v>CGST Act section 35; CGST Rules 56-58</x:v>
      </x:c>
      <x:c r="F69" s="30" t="str">
        <x:v>GST accounts and records</x:v>
      </x:c>
      <x:c r="G69" s="30" t="str">
        <x:v>Maintain prescribed accounts, invoices, e-way/e-invoice records and supporting documents for the applicable period.</x:v>
      </x:c>
      <x:c r="H69" s="30" t="str">
        <x:v>CORE</x:v>
      </x:c>
      <x:c r="I69" s="30" t="str">
        <x:v>Yes</x:v>
      </x:c>
      <x:c r="J69" s="30"/>
    </x:row>
    <x:row r="70">
      <x:c r="A70" s="30" t="str">
        <x:v>PROV069</x:v>
      </x:c>
      <x:c r="B70" s="30" t="str">
        <x:v>LAW026</x:v>
      </x:c>
      <x:c r="C70" s="30"/>
      <x:c r="D70" s="30" t="str">
        <x:v>Statutory</x:v>
      </x:c>
      <x:c r="E70" s="30" t="str">
        <x:v>CGST Act section 39; applicable return rules/notifications</x:v>
      </x:c>
      <x:c r="F70" s="30" t="str">
        <x:v>GST returns by taxpayer profile</x:v>
      </x:c>
      <x:c r="G70" s="30" t="str">
        <x:v>File the return/statements applicable to the registration and scheme at the notified frequency and due date.</x:v>
      </x:c>
      <x:c r="H70" s="30" t="str">
        <x:v>CORE</x:v>
      </x:c>
      <x:c r="I70" s="30" t="str">
        <x:v>Yes</x:v>
      </x:c>
      <x:c r="J70" s="30"/>
    </x:row>
    <x:row r="71">
      <x:c r="A71" s="30" t="str">
        <x:v>PROV070</x:v>
      </x:c>
      <x:c r="B71" s="30" t="str">
        <x:v>LAW026</x:v>
      </x:c>
      <x:c r="C71" s="30"/>
      <x:c r="D71" s="30" t="str">
        <x:v>Statutory</x:v>
      </x:c>
      <x:c r="E71" s="30" t="str">
        <x:v>CGST Act section 49; applicable payment rules</x:v>
      </x:c>
      <x:c r="F71" s="30" t="str">
        <x:v>Payment of GST liability</x:v>
      </x:c>
      <x:c r="G71" s="30" t="str">
        <x:v>Discharge self-assessed tax, interest and other liability through the electronic ledgers by the applicable due date.</x:v>
      </x:c>
      <x:c r="H71" s="30" t="str">
        <x:v>CORE</x:v>
      </x:c>
      <x:c r="I71" s="30" t="str">
        <x:v>Yes</x:v>
      </x:c>
      <x:c r="J71" s="30"/>
    </x:row>
    <x:row r="72">
      <x:c r="A72" s="30" t="str">
        <x:v>PROV071</x:v>
      </x:c>
      <x:c r="B72" s="30" t="str">
        <x:v>LAW107</x:v>
      </x:c>
      <x:c r="C72" s="30"/>
      <x:c r="D72" s="30" t="str">
        <x:v>Statutory</x:v>
      </x:c>
      <x:c r="E72" s="30" t="str">
        <x:v>Income-tax Act, 2025 section 263; Income-tax Rules, 2026</x:v>
      </x:c>
      <x:c r="F72" s="30" t="str">
        <x:v>Return of income under the current Act</x:v>
      </x:c>
      <x:c r="G72" s="30" t="str">
        <x:v>Furnish the return for Tax Year 2026-27 onward under section 263 and the current Rules/form.</x:v>
      </x:c>
      <x:c r="H72" s="30" t="str">
        <x:v>CORE</x:v>
      </x:c>
      <x:c r="I72" s="30" t="str">
        <x:v>Yes</x:v>
      </x:c>
      <x:c r="J72" s="30"/>
    </x:row>
    <x:row r="73">
      <x:c r="A73" s="30" t="str">
        <x:v>PROV072</x:v>
      </x:c>
      <x:c r="B73" s="30" t="str">
        <x:v>LAW107</x:v>
      </x:c>
      <x:c r="C73" s="30"/>
      <x:c r="D73" s="30" t="str">
        <x:v>Statutory</x:v>
      </x:c>
      <x:c r="E73" s="30" t="str">
        <x:v>Income-tax Act, 2025 salary-withholding provision; Income-tax Rules, 2026</x:v>
      </x:c>
      <x:c r="F73" s="30" t="str">
        <x:v>Withholding tax on salary</x:v>
      </x:c>
      <x:c r="G73" s="30" t="str">
        <x:v>Deduct, deposit and report salary withholding for payments governed by the 2025 Act.</x:v>
      </x:c>
      <x:c r="H73" s="30" t="str">
        <x:v>CORE</x:v>
      </x:c>
      <x:c r="I73" s="30" t="str">
        <x:v>Yes</x:v>
      </x:c>
      <x:c r="J73" s="30"/>
    </x:row>
    <x:row r="74">
      <x:c r="A74" s="30" t="str">
        <x:v>PROV073</x:v>
      </x:c>
      <x:c r="B74" s="30" t="str">
        <x:v>LAW107</x:v>
      </x:c>
      <x:c r="C74" s="30"/>
      <x:c r="D74" s="30" t="str">
        <x:v>Statutory</x:v>
      </x:c>
      <x:c r="E74" s="30" t="str">
        <x:v>Income-tax Act, 2025 sections 393-394; Income-tax Rules, 2026</x:v>
      </x:c>
      <x:c r="F74" s="30" t="str">
        <x:v>TDS/TCS on specified payments and receipts</x:v>
      </x:c>
      <x:c r="G74" s="30" t="str">
        <x:v>Apply the relevant table item under section 393 (or section 394 for TCS), deposit and report under the current Rules.</x:v>
      </x:c>
      <x:c r="H74" s="30" t="str">
        <x:v>CORE</x:v>
      </x:c>
      <x:c r="I74" s="30" t="str">
        <x:v>Yes</x:v>
      </x:c>
      <x:c r="J74" s="30"/>
    </x:row>
    <x:row r="75">
      <x:c r="A75" s="30" t="str">
        <x:v>PROV074</x:v>
      </x:c>
      <x:c r="B75" s="30" t="str">
        <x:v>LAW108</x:v>
      </x:c>
      <x:c r="C75" s="30"/>
      <x:c r="D75" s="30" t="str">
        <x:v>Statutory</x:v>
      </x:c>
      <x:c r="E75" s="30" t="str">
        <x:v>Income-tax Act, 2025 and Income-tax Rules, 2026 — applicable books/records provisions</x:v>
      </x:c>
      <x:c r="F75" s="30" t="str">
        <x:v>Income-tax books and records</x:v>
      </x:c>
      <x:c r="G75" s="30" t="str">
        <x:v>Maintain the books, documents and electronic records required for the taxpayer/business profile under current law.</x:v>
      </x:c>
      <x:c r="H75" s="30" t="str">
        <x:v>CORE</x:v>
      </x:c>
      <x:c r="I75" s="30" t="str">
        <x:v>Yes</x:v>
      </x:c>
      <x:c r="J75" s="30"/>
    </x:row>
    <x:row r="76">
      <x:c r="A76" s="30" t="str">
        <x:v>PROV075</x:v>
      </x:c>
      <x:c r="B76" s="30" t="str">
        <x:v>LAW108</x:v>
      </x:c>
      <x:c r="C76" s="30"/>
      <x:c r="D76" s="30" t="str">
        <x:v>Statutory</x:v>
      </x:c>
      <x:c r="E76" s="30" t="str">
        <x:v>Income-tax Act, 2025 and Income-tax Rules, 2026 — applicable tax-audit provisions</x:v>
      </x:c>
      <x:c r="F76" s="30" t="str">
        <x:v>Tax audit where threshold/condition applies</x:v>
      </x:c>
      <x:c r="G76" s="30" t="str">
        <x:v>Obtain and furnish the prescribed tax-audit report only when the current threshold and statutory condition apply.</x:v>
      </x:c>
      <x:c r="H76" s="30" t="str">
        <x:v>CORE</x:v>
      </x:c>
      <x:c r="I76" s="30" t="str">
        <x:v>Yes</x:v>
      </x:c>
      <x:c r="J76" s="30"/>
    </x:row>
    <x:row r="77">
      <x:c r="A77" s="30" t="str">
        <x:v>PROV076</x:v>
      </x:c>
      <x:c r="B77" s="30" t="str">
        <x:v>LAW031</x:v>
      </x:c>
      <x:c r="C77" s="30"/>
      <x:c r="D77" s="30" t="str">
        <x:v>Statutory</x:v>
      </x:c>
      <x:c r="E77" s="30" t="str">
        <x:v>Section 88</x:v>
      </x:c>
      <x:c r="F77" s="30" t="str">
        <x:v>Register of Members</x:v>
      </x:c>
      <x:c r="G77" s="30" t="str">
        <x:v>Applicable to companies operating pharmacies.</x:v>
      </x:c>
      <x:c r="H77" s="30" t="str">
        <x:v>CORE</x:v>
      </x:c>
      <x:c r="I77" s="30" t="str">
        <x:v>No</x:v>
      </x:c>
      <x:c r="J77" s="30" t="str">
        <x:v>P-0 QUARANTINED: Common Companies Act content is owned by Common Corporate Core; legacy ID retained for migration traceability.</x:v>
      </x:c>
    </x:row>
    <x:row r="78">
      <x:c r="A78" s="30" t="str">
        <x:v>PROV077</x:v>
      </x:c>
      <x:c r="B78" s="30" t="str">
        <x:v>LAW031</x:v>
      </x:c>
      <x:c r="C78" s="30"/>
      <x:c r="D78" s="30" t="str">
        <x:v>Statutory</x:v>
      </x:c>
      <x:c r="E78" s="30" t="str">
        <x:v>Section 92</x:v>
      </x:c>
      <x:c r="F78" s="30" t="str">
        <x:v>Annual Return</x:v>
      </x:c>
      <x:c r="G78" s="30" t="str">
        <x:v>Filing of Annual Return with RoC.</x:v>
      </x:c>
      <x:c r="H78" s="30" t="str">
        <x:v>CORE</x:v>
      </x:c>
      <x:c r="I78" s="30" t="str">
        <x:v>No</x:v>
      </x:c>
      <x:c r="J78" s="30" t="str">
        <x:v>P-0 QUARANTINED: Common Companies Act content is owned by Common Corporate Core; legacy ID retained for migration traceability.</x:v>
      </x:c>
    </x:row>
    <x:row r="79">
      <x:c r="A79" s="30" t="str">
        <x:v>PROV078</x:v>
      </x:c>
      <x:c r="B79" s="30" t="str">
        <x:v>LAW031</x:v>
      </x:c>
      <x:c r="C79" s="30"/>
      <x:c r="D79" s="30" t="str">
        <x:v>Statutory</x:v>
      </x:c>
      <x:c r="E79" s="30" t="str">
        <x:v>Section 129</x:v>
      </x:c>
      <x:c r="F79" s="30" t="str">
        <x:v>Financial Statements</x:v>
      </x:c>
      <x:c r="G79" s="30" t="str">
        <x:v>Preparation of financial statements.</x:v>
      </x:c>
      <x:c r="H79" s="30" t="str">
        <x:v>CORE</x:v>
      </x:c>
      <x:c r="I79" s="30" t="str">
        <x:v>No</x:v>
      </x:c>
      <x:c r="J79" s="30" t="str">
        <x:v>P-0 QUARANTINED: Common Companies Act content is owned by Common Corporate Core; legacy ID retained for migration traceability.</x:v>
      </x:c>
    </x:row>
    <x:row r="80">
      <x:c r="A80" s="30" t="str">
        <x:v>PROV079</x:v>
      </x:c>
      <x:c r="B80" s="30" t="str">
        <x:v>LAW031</x:v>
      </x:c>
      <x:c r="C80" s="30"/>
      <x:c r="D80" s="30" t="str">
        <x:v>Statutory</x:v>
      </x:c>
      <x:c r="E80" s="30" t="str">
        <x:v>Section 134</x:v>
      </x:c>
      <x:c r="F80" s="30" t="str">
        <x:v>Board's Report</x:v>
      </x:c>
      <x:c r="G80" s="30" t="str">
        <x:v>Approval and signing of Board's Report.</x:v>
      </x:c>
      <x:c r="H80" s="30" t="str">
        <x:v>CORE</x:v>
      </x:c>
      <x:c r="I80" s="30" t="str">
        <x:v>No</x:v>
      </x:c>
      <x:c r="J80" s="30" t="str">
        <x:v>P-0 QUARANTINED: Common Companies Act content is owned by Common Corporate Core; legacy ID retained for migration traceability.</x:v>
      </x:c>
    </x:row>
    <x:row r="81">
      <x:c r="A81" s="30" t="str">
        <x:v>PROV080</x:v>
      </x:c>
      <x:c r="B81" s="30" t="str">
        <x:v>LAW031</x:v>
      </x:c>
      <x:c r="C81" s="30"/>
      <x:c r="D81" s="30" t="str">
        <x:v>Statutory</x:v>
      </x:c>
      <x:c r="E81" s="30" t="str">
        <x:v>Section 137</x:v>
      </x:c>
      <x:c r="F81" s="30" t="str">
        <x:v>Filing of Financial Statements</x:v>
      </x:c>
      <x:c r="G81" s="30" t="str">
        <x:v>Filing with Registrar of Companies.</x:v>
      </x:c>
      <x:c r="H81" s="30" t="str">
        <x:v>CORE</x:v>
      </x:c>
      <x:c r="I81" s="30" t="str">
        <x:v>No</x:v>
      </x:c>
      <x:c r="J81" s="30" t="str">
        <x:v>P-0 QUARANTINED: Common Companies Act content is owned by Common Corporate Core; legacy ID retained for migration traceability.</x:v>
      </x:c>
    </x:row>
    <x:row r="82">
      <x:c r="A82" s="30" t="str">
        <x:v>PROV081</x:v>
      </x:c>
      <x:c r="B82" s="30" t="str">
        <x:v>LAW038</x:v>
      </x:c>
      <x:c r="C82" s="30"/>
      <x:c r="D82" s="30" t="str">
        <x:v>Statutory</x:v>
      </x:c>
      <x:c r="E82" s="30" t="str">
        <x:v>Section 2(9); section 2(47)</x:v>
      </x:c>
      <x:c r="F82" s="30" t="str">
        <x:v>Consumer rights and fair-trade baseline</x:v>
      </x:c>
      <x:c r="G82" s="30" t="str">
        <x:v>Design sale/service practices to avoid unfair trade practices and protect the statutory consumer-rights baseline.</x:v>
      </x:c>
      <x:c r="H82" s="30" t="str">
        <x:v>CORE</x:v>
      </x:c>
      <x:c r="I82" s="30" t="str">
        <x:v>Yes</x:v>
      </x:c>
      <x:c r="J82" s="30"/>
    </x:row>
    <x:row r="83">
      <x:c r="A83" s="30" t="str">
        <x:v>PROV082</x:v>
      </x:c>
      <x:c r="B83" s="30" t="str">
        <x:v>LAW038</x:v>
      </x:c>
      <x:c r="C83" s="30"/>
      <x:c r="D83" s="30" t="str">
        <x:v>Statutory</x:v>
      </x:c>
      <x:c r="E83" s="30" t="str">
        <x:v>Sections 19-20</x:v>
      </x:c>
      <x:c r="F83" s="30" t="str">
        <x:v>Response to CCPA investigation and corrective order</x:v>
      </x:c>
      <x:c r="G83" s="30" t="str">
        <x:v>Cooperate with a lawful investigation and implement an applicable CCPA recall, reimbursement or discontinuance order.</x:v>
      </x:c>
      <x:c r="H83" s="30" t="str">
        <x:v>CORE</x:v>
      </x:c>
      <x:c r="I83" s="30" t="str">
        <x:v>Yes</x:v>
      </x:c>
      <x:c r="J83" s="30"/>
    </x:row>
    <x:row r="84">
      <x:c r="A84" s="30" t="str">
        <x:v>PROV083</x:v>
      </x:c>
      <x:c r="B84" s="30" t="str">
        <x:v>LAW038</x:v>
      </x:c>
      <x:c r="C84" s="30"/>
      <x:c r="D84" s="30" t="str">
        <x:v>Statutory</x:v>
      </x:c>
      <x:c r="E84" s="30" t="str">
        <x:v>Section 2(47)</x:v>
      </x:c>
      <x:c r="F84" s="30" t="str">
        <x:v>Prohibition of unfair trade practices</x:v>
      </x:c>
      <x:c r="G84" s="30" t="str">
        <x:v>Do not adopt a practice falling within the statutory unfair-trade-practice definition.</x:v>
      </x:c>
      <x:c r="H84" s="30" t="str">
        <x:v>CORE</x:v>
      </x:c>
      <x:c r="I84" s="30" t="str">
        <x:v>Yes</x:v>
      </x:c>
      <x:c r="J84" s="30"/>
    </x:row>
    <x:row r="85">
      <x:c r="A85" s="30" t="str">
        <x:v>PROV084</x:v>
      </x:c>
      <x:c r="B85" s="30" t="str">
        <x:v>LAW038</x:v>
      </x:c>
      <x:c r="C85" s="30"/>
      <x:c r="D85" s="30" t="str">
        <x:v>Statutory</x:v>
      </x:c>
      <x:c r="E85" s="30" t="str">
        <x:v>Section 21</x:v>
      </x:c>
      <x:c r="F85" s="30" t="str">
        <x:v>Misleading advertisement control</x:v>
      </x:c>
      <x:c r="G85" s="30" t="str">
        <x:v>Do not cause a false or misleading advertisement; comply with a CCPA discontinuance/modification direction.</x:v>
      </x:c>
      <x:c r="H85" s="30" t="str">
        <x:v>CORE</x:v>
      </x:c>
      <x:c r="I85" s="30" t="str">
        <x:v>Yes</x:v>
      </x:c>
      <x:c r="J85" s="30"/>
    </x:row>
    <x:row r="86">
      <x:c r="A86" s="30" t="str">
        <x:v>PROV085</x:v>
      </x:c>
      <x:c r="B86" s="30" t="str">
        <x:v>LAW039</x:v>
      </x:c>
      <x:c r="C86" s="30"/>
      <x:c r="D86" s="30" t="str">
        <x:v>Statutory</x:v>
      </x:c>
      <x:c r="E86" s="30" t="str">
        <x:v>Rules 4-5, as applicable to the e-commerce role</x:v>
      </x:c>
      <x:c r="F86" s="30" t="str">
        <x:v>E-commerce identity, grievance and seller information controls</x:v>
      </x:c>
      <x:c r="G86" s="30" t="str">
        <x:v>For the determined e-commerce role, display required entity/seller information, appoint the prescribed grievance contact/nodal person and operate the complaint mechanism.</x:v>
      </x:c>
      <x:c r="H86" s="30" t="str">
        <x:v>CORE</x:v>
      </x:c>
      <x:c r="I86" s="30" t="str">
        <x:v>Yes</x:v>
      </x:c>
      <x:c r="J86" s="30"/>
    </x:row>
    <x:row r="87">
      <x:c r="A87" s="30" t="str">
        <x:v>PROV086</x:v>
      </x:c>
      <x:c r="B87" s="30" t="str">
        <x:v>LAW040</x:v>
      </x:c>
      <x:c r="C87" s="30"/>
      <x:c r="D87" s="30" t="str">
        <x:v>Statutory</x:v>
      </x:c>
      <x:c r="E87" s="30" t="str">
        <x:v>Section 24; applicable State Legal Metrology Rules</x:v>
      </x:c>
      <x:c r="F87" s="30" t="str">
        <x:v>Verification and stamping of transaction weights/measures</x:v>
      </x:c>
      <x:c r="G87" s="30" t="str">
        <x:v>Where a regulated weight/measure is used, obtain and maintain verification/stamping before use in a transaction or protection.</x:v>
      </x:c>
      <x:c r="H87" s="30" t="str">
        <x:v>CORE</x:v>
      </x:c>
      <x:c r="I87" s="30" t="str">
        <x:v>Yes</x:v>
      </x:c>
      <x:c r="J87" s="30"/>
    </x:row>
    <x:row r="88">
      <x:c r="A88" s="30" t="str">
        <x:v>PROV087</x:v>
      </x:c>
      <x:c r="B88" s="30" t="str">
        <x:v>LAW040</x:v>
      </x:c>
      <x:c r="C88" s="30"/>
      <x:c r="D88" s="30" t="str">
        <x:v>Statutory</x:v>
      </x:c>
      <x:c r="E88" s="30" t="str">
        <x:v>Sections 23-24; applicable State Rules</x:v>
      </x:c>
      <x:c r="F88" s="30" t="str">
        <x:v>No use of an unverified or non-standard weight/measure</x:v>
      </x:c>
      <x:c r="G88" s="30" t="str">
        <x:v>Do not use a non-standard or required-but-unverified instrument and maintain the verification evidence.</x:v>
      </x:c>
      <x:c r="H88" s="30" t="str">
        <x:v>CORE</x:v>
      </x:c>
      <x:c r="I88" s="30" t="str">
        <x:v>Yes</x:v>
      </x:c>
      <x:c r="J88" s="30"/>
    </x:row>
    <x:row r="89">
      <x:c r="A89" s="30" t="str">
        <x:v>PROV088</x:v>
      </x:c>
      <x:c r="B89" s="30" t="str">
        <x:v>LAW040</x:v>
      </x:c>
      <x:c r="C89" s="30"/>
      <x:c r="D89" s="30" t="str">
        <x:v>Statutory</x:v>
      </x:c>
      <x:c r="E89" s="30" t="str">
        <x:v>Sections 15-16</x:v>
      </x:c>
      <x:c r="F89" s="30" t="str">
        <x:v>Production of legal-metrology instruments and records on lawful inspection</x:v>
      </x:c>
      <x:c r="G89" s="30" t="str">
        <x:v>Permit lawful inspection and produce the covered instrument/documents when required by an authorised officer.</x:v>
      </x:c>
      <x:c r="H89" s="30" t="str">
        <x:v>CORE</x:v>
      </x:c>
      <x:c r="I89" s="30" t="str">
        <x:v>Yes</x:v>
      </x:c>
      <x:c r="J89" s="30"/>
    </x:row>
    <x:row r="90">
      <x:c r="A90" s="30" t="str">
        <x:v>PROV089</x:v>
      </x:c>
      <x:c r="B90" s="30" t="str">
        <x:v>LAW041</x:v>
      </x:c>
      <x:c r="C90" s="30"/>
      <x:c r="D90" s="30" t="str">
        <x:v>Statutory</x:v>
      </x:c>
      <x:c r="E90" s="30" t="str">
        <x:v>Rule 18(1)</x:v>
      </x:c>
      <x:c r="F90" s="30" t="str">
        <x:v>Do not sell/display/store a non-compliant pre-packaged commodity</x:v>
      </x:c>
      <x:c r="G90" s="30" t="str">
        <x:v>A wholesale or retail dealer must not sell, distribute, deliver, display or store for sale a package unless it complies with the Act and Rules.</x:v>
      </x:c>
      <x:c r="H90" s="30" t="str">
        <x:v>CORE</x:v>
      </x:c>
      <x:c r="I90" s="30" t="str">
        <x:v>Yes</x:v>
      </x:c>
      <x:c r="J90" s="30"/>
    </x:row>
    <x:row r="91">
      <x:c r="A91" s="30" t="str">
        <x:v>PROV090</x:v>
      </x:c>
      <x:c r="B91" s="30" t="str">
        <x:v>LAW041</x:v>
      </x:c>
      <x:c r="C91" s="30"/>
      <x:c r="D91" s="30" t="str">
        <x:v>Statutory</x:v>
      </x:c>
      <x:c r="E91" s="30" t="str">
        <x:v>Rule 18(2)</x:v>
      </x:c>
      <x:c r="F91" s="30" t="str">
        <x:v>Do not sell a packaged commodity above retail sale price</x:v>
      </x:c>
      <x:c r="G91" s="30" t="str">
        <x:v>Do not sell a pre-packaged commodity above its declared retail sale price, subject to applicable law.</x:v>
      </x:c>
      <x:c r="H91" s="30" t="str">
        <x:v>CORE</x:v>
      </x:c>
      <x:c r="I91" s="30" t="str">
        <x:v>Yes</x:v>
      </x:c>
      <x:c r="J91" s="30"/>
    </x:row>
    <x:row r="92">
      <x:c r="A92" s="30" t="str">
        <x:v>PROV091</x:v>
      </x:c>
      <x:c r="B92" s="30" t="str">
        <x:v>LAW041</x:v>
      </x:c>
      <x:c r="C92" s="30"/>
      <x:c r="D92" s="30" t="str">
        <x:v>Statutory</x:v>
      </x:c>
      <x:c r="E92" s="30" t="str">
        <x:v>Rule 6(10), as amended</x:v>
      </x:c>
      <x:c r="F92" s="30" t="str">
        <x:v>E-commerce display of mandatory packaged-commodity declarations</x:v>
      </x:c>
      <x:c r="G92" s="30" t="str">
        <x:v>An e-commerce entity displays the prescribed Rule 6 declarations for applicable pre-packaged commodities on the digital/electronic network.</x:v>
      </x:c>
      <x:c r="H92" s="30" t="str">
        <x:v>CORE</x:v>
      </x:c>
      <x:c r="I92" s="30" t="str">
        <x:v>Yes</x:v>
      </x:c>
      <x:c r="J92" s="30"/>
    </x:row>
    <x:row r="93">
      <x:c r="A93" s="30" t="str">
        <x:v>PROV092</x:v>
      </x:c>
      <x:c r="B93" s="30" t="str">
        <x:v>LAW047</x:v>
      </x:c>
      <x:c r="C93" s="30"/>
      <x:c r="D93" s="30" t="str">
        <x:v>Statutory</x:v>
      </x:c>
      <x:c r="E93" s="30" t="str">
        <x:v>SPDI Rules 4 and 8; IT Act section 43A</x:v>
      </x:c>
      <x:c r="F93" s="30" t="str">
        <x:v>Privacy policy and reasonable security practices for SPDI</x:v>
      </x:c>
      <x:c r="G93" s="30" t="str">
        <x:v>Publish the prescribed privacy policy and implement a documented reasonable-security programme/standard for SPDI.</x:v>
      </x:c>
      <x:c r="H93" s="30" t="str">
        <x:v>CORE</x:v>
      </x:c>
      <x:c r="I93" s="30" t="str">
        <x:v>Yes</x:v>
      </x:c>
      <x:c r="J93" s="30"/>
    </x:row>
    <x:row r="94">
      <x:c r="A94" s="30" t="str">
        <x:v>PROV093</x:v>
      </x:c>
      <x:c r="B94" s="30" t="str">
        <x:v>LAW047</x:v>
      </x:c>
      <x:c r="C94" s="30"/>
      <x:c r="D94" s="30" t="str">
        <x:v>Statutory</x:v>
      </x:c>
      <x:c r="E94" s="30" t="str">
        <x:v>SPDI Rule 5</x:v>
      </x:c>
      <x:c r="F94" s="30" t="str">
        <x:v>Consent, purpose, collection, retention and correction controls for SPDI</x:v>
      </x:c>
      <x:c r="G94" s="30" t="str">
        <x:v>Obtain consent, give required collection information, limit use/retention and provide review/correction mechanisms.</x:v>
      </x:c>
      <x:c r="H94" s="30" t="str">
        <x:v>CORE</x:v>
      </x:c>
      <x:c r="I94" s="30" t="str">
        <x:v>Yes</x:v>
      </x:c>
      <x:c r="J94" s="30"/>
    </x:row>
    <x:row r="95">
      <x:c r="A95" s="30" t="str">
        <x:v>PROV094</x:v>
      </x:c>
      <x:c r="B95" s="30" t="str">
        <x:v>LAW047</x:v>
      </x:c>
      <x:c r="C95" s="30"/>
      <x:c r="D95" s="30" t="str">
        <x:v>Statutory</x:v>
      </x:c>
      <x:c r="E95" s="30" t="str">
        <x:v>SPDI Rule 6; IT Act section 72A</x:v>
      </x:c>
      <x:c r="F95" s="30" t="str">
        <x:v>Restriction on disclosure of SPDI and contractual information</x:v>
      </x:c>
      <x:c r="G95" s="30" t="str">
        <x:v>Disclose SPDI only with prior permission or under a Rule 6 exception and prevent unlawful contractual disclosure.</x:v>
      </x:c>
      <x:c r="H95" s="30" t="str">
        <x:v>CORE</x:v>
      </x:c>
      <x:c r="I95" s="30" t="str">
        <x:v>Yes</x:v>
      </x:c>
      <x:c r="J95" s="30"/>
    </x:row>
    <x:row r="96">
      <x:c r="A96" s="30" t="str">
        <x:v>PROV095</x:v>
      </x:c>
      <x:c r="B96" s="30" t="str">
        <x:v>LAW046</x:v>
      </x:c>
      <x:c r="C96" s="30"/>
      <x:c r="D96" s="30" t="str">
        <x:v>Statutory</x:v>
      </x:c>
      <x:c r="E96" s="30" t="str">
        <x:v>Section 79; applicable IT Rules</x:v>
      </x:c>
      <x:c r="F96" s="30" t="str">
        <x:v>Intermediary due diligence, only where the platform is an intermediary</x:v>
      </x:c>
      <x:c r="G96" s="30" t="str">
        <x:v>If the e-pharmacy platform legally qualifies as an intermediary, implement the currently applicable due-diligence controls.</x:v>
      </x:c>
      <x:c r="H96" s="30" t="str">
        <x:v>CORE</x:v>
      </x:c>
      <x:c r="I96" s="30" t="str">
        <x:v>Yes</x:v>
      </x:c>
      <x:c r="J96" s="30"/>
    </x:row>
    <x:row r="97">
      <x:c r="A97" s="30" t="str">
        <x:v>PROV096</x:v>
      </x:c>
      <x:c r="B97" s="30" t="str">
        <x:v>LAW048</x:v>
      </x:c>
      <x:c r="C97" s="30"/>
      <x:c r="D97" s="30" t="str">
        <x:v>Statutory</x:v>
      </x:c>
      <x:c r="E97" s="30" t="str">
        <x:v>Section 4 — future substantive commencement</x:v>
      </x:c>
      <x:c r="F97" s="30" t="str">
        <x:v>Lawful processing of digital personal data — future-effective</x:v>
      </x:c>
      <x:c r="G97" s="30" t="str">
        <x:v>Future DPDP lawful-purpose/consent or legitimate-use control; not a current private-operator duty at the P-3 cutoff.</x:v>
      </x:c>
      <x:c r="H97" s="30" t="str">
        <x:v>CORE</x:v>
      </x:c>
      <x:c r="I97" s="30" t="str">
        <x:v>No</x:v>
      </x:c>
      <x:c r="J97" s="30" t="str">
        <x:v>P-3 QUARANTINED: Generic State/local/permit/reference rows, penalty-only/fabricated DAMR extractions, and future-effective DPDP duties are not current production obligations.</x:v>
      </x:c>
    </x:row>
    <x:row r="98">
      <x:c r="A98" s="30" t="str">
        <x:v>PROV097</x:v>
      </x:c>
      <x:c r="B98" s="30" t="str">
        <x:v>LAW048</x:v>
      </x:c>
      <x:c r="C98" s="30"/>
      <x:c r="D98" s="30" t="str">
        <x:v>Statutory</x:v>
      </x:c>
      <x:c r="E98" s="30" t="str">
        <x:v>Section 5 — future substantive commencement</x:v>
      </x:c>
      <x:c r="F98" s="30" t="str">
        <x:v>Notice to Data Principal — future-effective</x:v>
      </x:c>
      <x:c r="G98" s="30" t="str">
        <x:v>Future DPDP notice control; not a current private-operator duty at the P-3 cutoff.</x:v>
      </x:c>
      <x:c r="H98" s="30" t="str">
        <x:v>CORE</x:v>
      </x:c>
      <x:c r="I98" s="30" t="str">
        <x:v>No</x:v>
      </x:c>
      <x:c r="J98" s="30" t="str">
        <x:v>P-3 QUARANTINED: Generic State/local/permit/reference rows, penalty-only/fabricated DAMR extractions, and future-effective DPDP duties are not current production obligations.</x:v>
      </x:c>
    </x:row>
    <x:row r="99">
      <x:c r="A99" s="30" t="str">
        <x:v>PROV098</x:v>
      </x:c>
      <x:c r="B99" s="30" t="str">
        <x:v>LAW048</x:v>
      </x:c>
      <x:c r="C99" s="30"/>
      <x:c r="D99" s="30" t="str">
        <x:v>Statutory</x:v>
      </x:c>
      <x:c r="E99" s="30" t="str">
        <x:v>Section 8 — future substantive commencement</x:v>
      </x:c>
      <x:c r="F99" s="30" t="str">
        <x:v>General obligations of Data Fiduciary — future-effective</x:v>
      </x:c>
      <x:c r="G99" s="30" t="str">
        <x:v>Future accuracy, security, breach and erasure obligations; not current at the P-3 cutoff.</x:v>
      </x:c>
      <x:c r="H99" s="30" t="str">
        <x:v>CORE</x:v>
      </x:c>
      <x:c r="I99" s="30" t="str">
        <x:v>No</x:v>
      </x:c>
      <x:c r="J99" s="30" t="str">
        <x:v>P-3 QUARANTINED: Generic State/local/permit/reference rows, penalty-only/fabricated DAMR extractions, and future-effective DPDP duties are not current production obligations.</x:v>
      </x:c>
    </x:row>
    <x:row r="100">
      <x:c r="A100" s="30" t="str">
        <x:v>PROV099</x:v>
      </x:c>
      <x:c r="B100" s="30" t="str">
        <x:v>LAW048</x:v>
      </x:c>
      <x:c r="C100" s="30"/>
      <x:c r="D100" s="30" t="str">
        <x:v>Statutory</x:v>
      </x:c>
      <x:c r="E100" s="30" t="str">
        <x:v>Sections 11-13 — future substantive commencement</x:v>
      </x:c>
      <x:c r="F100" s="30" t="str">
        <x:v>Data Principal rights and grievance mechanism — future-effective</x:v>
      </x:c>
      <x:c r="G100" s="30" t="str">
        <x:v>Future access, correction/erasure, grievance and nomination mechanisms; not current at the P-3 cutoff.</x:v>
      </x:c>
      <x:c r="H100" s="30" t="str">
        <x:v>CORE</x:v>
      </x:c>
      <x:c r="I100" s="30" t="str">
        <x:v>No</x:v>
      </x:c>
      <x:c r="J100" s="30" t="str">
        <x:v>P-3 QUARANTINED: Generic State/local/permit/reference rows, penalty-only/fabricated DAMR extractions, and future-effective DPDP duties are not current production obligations.</x:v>
      </x:c>
    </x:row>
    <x:row r="101">
      <x:c r="A101" s="30" t="str">
        <x:v>PROV100</x:v>
      </x:c>
      <x:c r="B101" s="30" t="str">
        <x:v>LAW048</x:v>
      </x:c>
      <x:c r="C101" s="30"/>
      <x:c r="D101" s="30" t="str">
        <x:v>Statutory</x:v>
      </x:c>
      <x:c r="E101" s="30" t="str">
        <x:v>Section 8(6) — future substantive commencement</x:v>
      </x:c>
      <x:c r="F101" s="30" t="str">
        <x:v>Personal data breach intimation — future-effective</x:v>
      </x:c>
      <x:c r="G101" s="30" t="str">
        <x:v>Future duty to intimate the Board and affected Data Principals; section 16 is not the breach provision.</x:v>
      </x:c>
      <x:c r="H101" s="30" t="str">
        <x:v>CORE</x:v>
      </x:c>
      <x:c r="I101" s="30" t="str">
        <x:v>No</x:v>
      </x:c>
      <x:c r="J101" s="30" t="str">
        <x:v>P-3 QUARANTINED: Generic State/local/permit/reference rows, penalty-only/fabricated DAMR extractions, and future-effective DPDP duties are not current production obligations.</x:v>
      </x:c>
    </x:row>
    <x:row r="102">
      <x:c r="A102" s="30" t="str">
        <x:v>PROV101</x:v>
      </x:c>
      <x:c r="B102" s="30" t="str">
        <x:v>LAW051</x:v>
      </x:c>
      <x:c r="C102" s="30"/>
      <x:c r="D102" s="30" t="str">
        <x:v>Statutory</x:v>
      </x:c>
      <x:c r="E102" s="30" t="str">
        <x:v>Rules 87(1), 87(1A) and 87A</x:v>
      </x:c>
      <x:c r="F102" s="30" t="str">
        <x:v>Medical-device sale licence or MD-42 registration boundary</x:v>
      </x:c>
      <x:c r="G102" s="30" t="str">
        <x:v>Apply Drugs Rules Part VI mutatis mutandis, or obtain Form MD-42 registration after Form MD-41 where the exclusive-device seller does not hold the applicable sale licence.</x:v>
      </x:c>
      <x:c r="H102" s="30" t="str">
        <x:v>CORE</x:v>
      </x:c>
      <x:c r="I102" s="30" t="str">
        <x:v>Yes</x:v>
      </x:c>
      <x:c r="J102" s="30"/>
    </x:row>
    <x:row r="103">
      <x:c r="A103" s="30" t="str">
        <x:v>PROV102</x:v>
      </x:c>
      <x:c r="B103" s="30" t="str">
        <x:v>LAW051</x:v>
      </x:c>
      <x:c r="C103" s="30"/>
      <x:c r="D103" s="30" t="str">
        <x:v>Statutory</x:v>
      </x:c>
      <x:c r="E103" s="30" t="str">
        <x:v>Rule 87B(1)–(4)</x:v>
      </x:c>
      <x:c r="F103" s="30" t="str">
        <x:v>Display, storage and authorized procurement conditions</x:v>
      </x:c>
      <x:c r="G103" s="30" t="str">
        <x:v>Display registration, maintain adequate premises and manufacturer-specified storage, and procure devices only from authorized sources.</x:v>
      </x:c>
      <x:c r="H103" s="30" t="str">
        <x:v>CORE</x:v>
      </x:c>
      <x:c r="I103" s="30" t="str">
        <x:v>Yes</x:v>
      </x:c>
      <x:c r="J103" s="30"/>
    </x:row>
    <x:row r="104">
      <x:c r="A104" s="30" t="str">
        <x:v>PROV103</x:v>
      </x:c>
      <x:c r="B104" s="30" t="str">
        <x:v>LAW051</x:v>
      </x:c>
      <x:c r="C104" s="30"/>
      <x:c r="D104" s="30" t="str">
        <x:v>Statutory</x:v>
      </x:c>
      <x:c r="E104" s="30" t="str">
        <x:v>Rule 87B(5)–(8)</x:v>
      </x:c>
      <x:c r="F104" s="30" t="str">
        <x:v>Medical-device records, inspection access and retention</x:v>
      </x:c>
      <x:c r="G104" s="30" t="str">
        <x:v>Maintain purchase/sale records, produce them for inspection, retain them for two years and maintain the prescribed inspection book.</x:v>
      </x:c>
      <x:c r="H104" s="30" t="str">
        <x:v>CORE</x:v>
      </x:c>
      <x:c r="I104" s="30" t="str">
        <x:v>Yes</x:v>
      </x:c>
      <x:c r="J104" s="30"/>
    </x:row>
    <x:row r="105">
      <x:c r="A105" s="30" t="str">
        <x:v>PROV104</x:v>
      </x:c>
      <x:c r="B105" s="30" t="str">
        <x:v>LAW051</x:v>
      </x:c>
      <x:c r="C105" s="30"/>
      <x:c r="D105" s="30" t="str">
        <x:v>Statutory</x:v>
      </x:c>
      <x:c r="E105" s="30" t="str">
        <x:v>Rule 87C</x:v>
      </x:c>
      <x:c r="F105" s="30" t="str">
        <x:v>Maintain MD-42 validity through retention fee</x:v>
      </x:c>
      <x:c r="G105" s="30" t="str">
        <x:v>Registration remains valid in perpetuity subject to payment of the prescribed retention fee every five years.</x:v>
      </x:c>
      <x:c r="H105" s="30" t="str">
        <x:v>CORE</x:v>
      </x:c>
      <x:c r="I105" s="30" t="str">
        <x:v>Yes</x:v>
      </x:c>
      <x:c r="J105" s="30"/>
    </x:row>
    <x:row r="106">
      <x:c r="A106" s="30" t="str">
        <x:v>PROV105</x:v>
      </x:c>
      <x:c r="B106" s="30" t="str">
        <x:v>LAW051</x:v>
      </x:c>
      <x:c r="C106" s="30"/>
      <x:c r="D106" s="30" t="str">
        <x:v>Statutory</x:v>
      </x:c>
      <x:c r="E106" s="30" t="str">
        <x:v>Rule 88</x:v>
      </x:c>
      <x:c r="F106" s="30" t="str">
        <x:v>Conditional supply to hospitals against delivery challan</x:v>
      </x:c>
      <x:c r="G106" s="30" t="str">
        <x:v>Where Rule 88 applies, supply to a hospital or similar institution must be documented through the prescribed delivery-challan process.</x:v>
      </x:c>
      <x:c r="H106" s="30" t="str">
        <x:v>CORE</x:v>
      </x:c>
      <x:c r="I106" s="30" t="str">
        <x:v>Yes</x:v>
      </x:c>
      <x:c r="J106" s="30"/>
    </x:row>
    <x:row r="107">
      <x:c r="A107" s="30" t="str">
        <x:v>PROV106</x:v>
      </x:c>
      <x:c r="B107" s="30" t="str">
        <x:v>LAW052</x:v>
      </x:c>
      <x:c r="C107" s="30"/>
      <x:c r="D107" s="30" t="str">
        <x:v>Statutory</x:v>
      </x:c>
      <x:c r="E107" s="30" t="str">
        <x:v>Rule 33</x:v>
      </x:c>
      <x:c r="F107" s="30" t="str">
        <x:v>Prohibition on non-compliant cosmetic sale or distribution</x:v>
      </x:c>
      <x:c r="G107" s="30" t="str">
        <x:v>Do not sell or distribute cosmetics unless their origin, licensing, quality and labelling position complies with the Rules.</x:v>
      </x:c>
      <x:c r="H107" s="30" t="str">
        <x:v>CORE</x:v>
      </x:c>
      <x:c r="I107" s="30" t="str">
        <x:v>Yes</x:v>
      </x:c>
      <x:c r="J107" s="30"/>
    </x:row>
    <x:row r="108">
      <x:c r="A108" s="30" t="str">
        <x:v>PROV107</x:v>
      </x:c>
      <x:c r="B108" s="30" t="str">
        <x:v>LAW052</x:v>
      </x:c>
      <x:c r="C108" s="30"/>
      <x:c r="D108" s="30" t="str">
        <x:v>Statutory</x:v>
      </x:c>
      <x:c r="E108" s="30" t="str">
        <x:v>Rule 34</x:v>
      </x:c>
      <x:c r="F108" s="30" t="str">
        <x:v>Cosmetic labelling requirements</x:v>
      </x:c>
      <x:c r="G108" s="30" t="str">
        <x:v>Verify required label particulars before sale or distribution.</x:v>
      </x:c>
      <x:c r="H108" s="30" t="str">
        <x:v>CORE</x:v>
      </x:c>
      <x:c r="I108" s="30" t="str">
        <x:v>Yes</x:v>
      </x:c>
      <x:c r="J108" s="30"/>
    </x:row>
    <x:row r="109">
      <x:c r="A109" s="30" t="str">
        <x:v>PROV108</x:v>
      </x:c>
      <x:c r="B109" s="30" t="str">
        <x:v>LAW052</x:v>
      </x:c>
      <x:c r="C109" s="30"/>
      <x:c r="D109" s="30" t="str">
        <x:v>Statutory</x:v>
      </x:c>
      <x:c r="E109" s="30" t="str">
        <x:v>Rule 35</x:v>
      </x:c>
      <x:c r="F109" s="30" t="str">
        <x:v>Do not alter or deface cosmetic labels</x:v>
      </x:c>
      <x:c r="G109" s="30" t="str">
        <x:v>Do not alter, obliterate or deface required cosmetic labelling.</x:v>
      </x:c>
      <x:c r="H109" s="30" t="str">
        <x:v>CORE</x:v>
      </x:c>
      <x:c r="I109" s="30" t="str">
        <x:v>Yes</x:v>
      </x:c>
      <x:c r="J109" s="30"/>
    </x:row>
    <x:row r="110">
      <x:c r="A110" s="30" t="str">
        <x:v>PROV109</x:v>
      </x:c>
      <x:c r="B110" s="30" t="str">
        <x:v>LAW052</x:v>
      </x:c>
      <x:c r="C110" s="30"/>
      <x:c r="D110" s="30" t="str">
        <x:v>Statutory</x:v>
      </x:c>
      <x:c r="E110" s="30" t="str">
        <x:v>Rule 36</x:v>
      </x:c>
      <x:c r="F110" s="30" t="str">
        <x:v>No false or misleading cosmetic claims</x:v>
      </x:c>
      <x:c r="G110" s="30" t="str">
        <x:v>Do not sell or distribute cosmetics bearing a false or misleading claim.</x:v>
      </x:c>
      <x:c r="H110" s="30" t="str">
        <x:v>CORE</x:v>
      </x:c>
      <x:c r="I110" s="30" t="str">
        <x:v>Yes</x:v>
      </x:c>
      <x:c r="J110" s="30"/>
    </x:row>
    <x:row r="111">
      <x:c r="A111" s="30" t="str">
        <x:v>PROV110</x:v>
      </x:c>
      <x:c r="B111" s="30" t="str">
        <x:v>LAW052</x:v>
      </x:c>
      <x:c r="C111" s="30"/>
      <x:c r="D111" s="30" t="str">
        <x:v>Statutory</x:v>
      </x:c>
      <x:c r="E111" s="30" t="str">
        <x:v>Rule 39</x:v>
      </x:c>
      <x:c r="F111" s="30" t="str">
        <x:v>Cosmetic standards, quality and safety</x:v>
      </x:c>
      <x:c r="G111" s="30" t="str">
        <x:v>Sell or distribute only cosmetics that comply with prescribed standards and safety requirements.</x:v>
      </x:c>
      <x:c r="H111" s="30" t="str">
        <x:v>CORE</x:v>
      </x:c>
      <x:c r="I111" s="30" t="str">
        <x:v>Yes</x:v>
      </x:c>
      <x:c r="J111" s="30"/>
    </x:row>
    <x:row r="112">
      <x:c r="A112" s="30" t="str">
        <x:v>PROV111</x:v>
      </x:c>
      <x:c r="B112" s="30" t="str">
        <x:v>LAW002</x:v>
      </x:c>
      <x:c r="C112" s="30"/>
      <x:c r="D112" s="30" t="str">
        <x:v>Statutory</x:v>
      </x:c>
      <x:c r="E112" s="30" t="str">
        <x:v>Rule 62</x:v>
      </x:c>
      <x:c r="F112" s="30" t="str">
        <x:v>Separate sale licence for each place</x:v>
      </x:c>
      <x:c r="G112" s="30" t="str">
        <x:v>Separate application and licence are required for each place where drugs are sold or stocked for sale, subject to the itinerant-vendor proviso.</x:v>
      </x:c>
      <x:c r="H112" s="30" t="str">
        <x:v>CORE</x:v>
      </x:c>
      <x:c r="I112" s="30" t="str">
        <x:v>Yes</x:v>
      </x:c>
      <x:c r="J112" s="30" t="str">
        <x:v>P-2 normalized against authoritative Drugs Rules; existing ID preserved.</x:v>
      </x:c>
    </x:row>
    <x:row r="113">
      <x:c r="A113" s="30" t="str">
        <x:v>PROV112</x:v>
      </x:c>
      <x:c r="B113" s="30" t="str">
        <x:v>LAW002</x:v>
      </x:c>
      <x:c r="C113" s="30"/>
      <x:c r="D113" s="30" t="str">
        <x:v>Statutory</x:v>
      </x:c>
      <x:c r="E113" s="30" t="str">
        <x:v>Rule 63</x:v>
      </x:c>
      <x:c r="F113" s="30" t="str">
        <x:v>Duration of sale licence and five-year retention fee</x:v>
      </x:c>
      <x:c r="G113" s="30" t="str">
        <x:v>Sale licences continue if the retention fee is deposited before each succeeding five-year period; late fee and deemed cancellation apply.</x:v>
      </x:c>
      <x:c r="H113" s="30" t="str">
        <x:v>CORE</x:v>
      </x:c>
      <x:c r="I113" s="30" t="str">
        <x:v>Yes</x:v>
      </x:c>
      <x:c r="J113" s="30" t="str">
        <x:v>P-2 normalized against authoritative Drugs Rules; existing ID preserved.</x:v>
      </x:c>
    </x:row>
    <x:row r="114">
      <x:c r="A114" s="30" t="str">
        <x:v>PROV113</x:v>
      </x:c>
      <x:c r="B114" s="30" t="str">
        <x:v>LAW002</x:v>
      </x:c>
      <x:c r="C114" s="30"/>
      <x:c r="D114" s="30" t="str">
        <x:v>Statutory</x:v>
      </x:c>
      <x:c r="E114" s="30" t="str">
        <x:v>Rule 65A</x:v>
      </x:c>
      <x:c r="F114" s="30" t="str">
        <x:v>Additional ownership, occupation and constitution information</x:v>
      </x:c>
      <x:c r="G114" s="30" t="str">
        <x:v>Applicants and licensees must furnish documentary evidence demanded by the licensing authority.</x:v>
      </x:c>
      <x:c r="H114" s="30" t="str">
        <x:v>CORE</x:v>
      </x:c>
      <x:c r="I114" s="30" t="str">
        <x:v>Yes</x:v>
      </x:c>
      <x:c r="J114" s="30" t="str">
        <x:v>P-2 normalized against authoritative Drugs Rules; existing ID preserved.</x:v>
      </x:c>
    </x:row>
    <x:row r="115">
      <x:c r="A115" s="30" t="str">
        <x:v>PROV114</x:v>
      </x:c>
      <x:c r="B115" s="30" t="str">
        <x:v>LAW002</x:v>
      </x:c>
      <x:c r="C115" s="30"/>
      <x:c r="D115" s="30" t="str">
        <x:v>Statutory</x:v>
      </x:c>
      <x:c r="E115" s="30" t="str">
        <x:v>Rule 65(3)(1)(h)</x:v>
      </x:c>
      <x:c r="F115" s="30" t="str">
        <x:v>Schedule H1 separate register and three-year retention</x:v>
      </x:c>
      <x:c r="G115" s="30" t="str">
        <x:v>Record prescriber, patient, drug and quantity at supply; maintain for three years and keep open for inspection.</x:v>
      </x:c>
      <x:c r="H115" s="30" t="str">
        <x:v>CORE</x:v>
      </x:c>
      <x:c r="I115" s="30" t="str">
        <x:v>Yes</x:v>
      </x:c>
      <x:c r="J115" s="30" t="str">
        <x:v>P-2 normalized against authoritative Drugs Rules; existing ID preserved.</x:v>
      </x:c>
    </x:row>
    <x:row r="116">
      <x:c r="A116" s="30" t="str">
        <x:v>PROV115</x:v>
      </x:c>
      <x:c r="B116" s="30" t="str">
        <x:v>LAW002</x:v>
      </x:c>
      <x:c r="C116" s="30"/>
      <x:c r="D116" s="30" t="str">
        <x:v>Statutory</x:v>
      </x:c>
      <x:c r="E116" s="30" t="str">
        <x:v>Rule 65(5)(2)</x:v>
      </x:c>
      <x:c r="F116" s="30" t="str">
        <x:v>Wholesale cash/credit memo copy retention</x:v>
      </x:c>
      <x:c r="G116" s="30" t="str">
        <x:v>Preserve carbon copies of wholesale cash or credit memos for three years from sale.</x:v>
      </x:c>
      <x:c r="H116" s="30" t="str">
        <x:v>CORE</x:v>
      </x:c>
      <x:c r="I116" s="30" t="str">
        <x:v>Yes</x:v>
      </x:c>
      <x:c r="J116" s="30" t="str">
        <x:v>P-2 normalized against authoritative Drugs Rules; existing ID preserved.</x:v>
      </x:c>
    </x:row>
    <x:row r="117">
      <x:c r="A117" s="30" t="str">
        <x:v>PROV116</x:v>
      </x:c>
      <x:c r="B117" s="30" t="str">
        <x:v>LAW059</x:v>
      </x:c>
      <x:c r="C117" s="30"/>
      <x:c r="D117" s="30" t="str">
        <x:v>Best Practice</x:v>
      </x:c>
      <x:c r="E117" s="30" t="str">
        <x:v>GPP / internal control</x:v>
      </x:c>
      <x:c r="F117" s="30" t="str">
        <x:v>Periodic Schedule H1/X dispensing and inventory review</x:v>
      </x:c>
      <x:c r="G117" s="30" t="str">
        <x:v>Risk-based internal monitoring for unusual dispensing patterns; not a standalone statutory monthly review under the Drugs Rules.</x:v>
      </x:c>
      <x:c r="H117" s="30" t="str">
        <x:v>CORE</x:v>
      </x:c>
      <x:c r="I117" s="30" t="str">
        <x:v>Yes</x:v>
      </x:c>
      <x:c r="J117" s="30" t="str">
        <x:v>P-2 normalized against authoritative Drugs Rules; existing ID preserved.</x:v>
      </x:c>
    </x:row>
    <x:row r="118">
      <x:c r="A118" s="30" t="str">
        <x:v>PROV117</x:v>
      </x:c>
      <x:c r="B118" s="30" t="str">
        <x:v>LAW002</x:v>
      </x:c>
      <x:c r="C118" s="30"/>
      <x:c r="D118" s="30" t="str">
        <x:v>Statutory</x:v>
      </x:c>
      <x:c r="E118" s="30" t="str">
        <x:v>Rule 65(12)</x:v>
      </x:c>
      <x:c r="F118" s="30" t="str">
        <x:v>Secure storage of Schedule X drugs</x:v>
      </x:c>
      <x:c r="G118" s="30" t="str">
        <x:v>Store under lock and key in a dedicated cupboard/drawer or in a separated area accessible only to responsible persons.</x:v>
      </x:c>
      <x:c r="H118" s="30" t="str">
        <x:v>CORE</x:v>
      </x:c>
      <x:c r="I118" s="30" t="str">
        <x:v>Yes</x:v>
      </x:c>
      <x:c r="J118" s="30" t="str">
        <x:v>P-2 normalized against authoritative Drugs Rules; existing ID preserved.</x:v>
      </x:c>
    </x:row>
    <x:row r="119">
      <x:c r="A119" s="30" t="str">
        <x:v>PROV118</x:v>
      </x:c>
      <x:c r="B119" s="30" t="str">
        <x:v>LAW002</x:v>
      </x:c>
      <x:c r="C119" s="30"/>
      <x:c r="D119" s="30" t="str">
        <x:v>Statutory</x:v>
      </x:c>
      <x:c r="E119" s="30" t="str">
        <x:v>Rule 65(21)</x:v>
      </x:c>
      <x:c r="F119" s="30" t="str">
        <x:v>Bound Schedule X receipt and supply register</x:v>
      </x:c>
      <x:c r="G119" s="30" t="str">
        <x:v>Maintain a bound, serially page-numbered register with separate pages per Schedule X drug and prescribed transaction particulars.</x:v>
      </x:c>
      <x:c r="H119" s="30" t="str">
        <x:v>CORE</x:v>
      </x:c>
      <x:c r="I119" s="30" t="str">
        <x:v>Yes</x:v>
      </x:c>
      <x:c r="J119" s="30" t="str">
        <x:v>P-2 normalized against authoritative Drugs Rules; existing ID preserved.</x:v>
      </x:c>
    </x:row>
    <x:row r="120">
      <x:c r="A120" s="30" t="str">
        <x:v>PROV119</x:v>
      </x:c>
      <x:c r="B120" s="30" t="str">
        <x:v>LAW002</x:v>
      </x:c>
      <x:c r="C120" s="30"/>
      <x:c r="D120" s="30" t="str">
        <x:v>Statutory</x:v>
      </x:c>
      <x:c r="E120" s="30" t="str">
        <x:v>Rule 65(10), (11), (11A)</x:v>
      </x:c>
      <x:c r="F120" s="30" t="str">
        <x:v>Prescription particulars, repeat-dispensing limits and no substitution</x:v>
      </x:c>
      <x:c r="G120" s="30" t="str">
        <x:v>Prescription must be written, signed, dated and identify patient, amount and dose; repeat and substitution controls apply to H/H1/X.</x:v>
      </x:c>
      <x:c r="H120" s="30" t="str">
        <x:v>CORE</x:v>
      </x:c>
      <x:c r="I120" s="30" t="str">
        <x:v>Yes</x:v>
      </x:c>
      <x:c r="J120" s="30" t="str">
        <x:v>P-2 normalized against authoritative Drugs Rules; existing ID preserved.</x:v>
      </x:c>
    </x:row>
    <x:row r="121">
      <x:c r="A121" s="30" t="str">
        <x:v>PROV120</x:v>
      </x:c>
      <x:c r="B121" s="30" t="str">
        <x:v>LAW059</x:v>
      </x:c>
      <x:c r="C121" s="30"/>
      <x:c r="D121" s="30" t="str">
        <x:v>Best Practice</x:v>
      </x:c>
      <x:c r="E121" s="30" t="str">
        <x:v>GPP-1</x:v>
      </x:c>
      <x:c r="F121" s="30" t="str">
        <x:v>Professional Pharmacy Services</x:v>
      </x:c>
      <x:c r="G121" s="30" t="str">
        <x:v>Patient-centric pharmacy practice.</x:v>
      </x:c>
      <x:c r="H121" s="30" t="str">
        <x:v>CORE</x:v>
      </x:c>
      <x:c r="I121" s="30" t="str">
        <x:v>Yes</x:v>
      </x:c>
      <x:c r="J121" s="30" t="str">
        <x:v>P-4 reclassified as non-statutory guidance/internal implementation. Binding obligations remain under separately mapped law, licence or exact direction.</x:v>
      </x:c>
    </x:row>
    <x:row r="122">
      <x:c r="A122" s="30" t="str">
        <x:v>PROV121</x:v>
      </x:c>
      <x:c r="B122" s="30" t="str">
        <x:v>LAW059</x:v>
      </x:c>
      <x:c r="C122" s="30"/>
      <x:c r="D122" s="30" t="str">
        <x:v>Best Practice</x:v>
      </x:c>
      <x:c r="E122" s="30" t="str">
        <x:v>GPP-2</x:v>
      </x:c>
      <x:c r="F122" s="30" t="str">
        <x:v>Patient Counselling</x:v>
      </x:c>
      <x:c r="G122" s="30" t="str">
        <x:v>Appropriate medicine counselling.</x:v>
      </x:c>
      <x:c r="H122" s="30" t="str">
        <x:v>CORE</x:v>
      </x:c>
      <x:c r="I122" s="30" t="str">
        <x:v>Yes</x:v>
      </x:c>
      <x:c r="J122" s="30" t="str">
        <x:v>P-4 reclassified as non-statutory guidance/internal implementation. Binding obligations remain under separately mapped law, licence or exact direction.</x:v>
      </x:c>
    </x:row>
    <x:row r="123">
      <x:c r="A123" s="30" t="str">
        <x:v>PROV122</x:v>
      </x:c>
      <x:c r="B123" s="30" t="str">
        <x:v>LAW059</x:v>
      </x:c>
      <x:c r="C123" s="30"/>
      <x:c r="D123" s="30" t="str">
        <x:v>Best Practice</x:v>
      </x:c>
      <x:c r="E123" s="30" t="str">
        <x:v>GPP-3</x:v>
      </x:c>
      <x:c r="F123" s="30" t="str">
        <x:v>Prescription Assessment Prior to Dispensing</x:v>
      </x:c>
      <x:c r="G123" s="30" t="str">
        <x:v>Clinical verification before dispensing.</x:v>
      </x:c>
      <x:c r="H123" s="30" t="str">
        <x:v>CORE</x:v>
      </x:c>
      <x:c r="I123" s="30" t="str">
        <x:v>Yes</x:v>
      </x:c>
      <x:c r="J123" s="30" t="str">
        <x:v>P-4 reclassified as non-statutory guidance/internal implementation. Binding obligations remain under separately mapped law, licence or exact direction.</x:v>
      </x:c>
    </x:row>
    <x:row r="124">
      <x:c r="A124" s="30" t="str">
        <x:v>PROV123</x:v>
      </x:c>
      <x:c r="B124" s="30" t="str">
        <x:v>LAW060</x:v>
      </x:c>
      <x:c r="C124" s="30"/>
      <x:c r="D124" s="30" t="str">
        <x:v>Best Practice</x:v>
      </x:c>
      <x:c r="E124" s="30" t="str">
        <x:v>GDP-1</x:v>
      </x:c>
      <x:c r="F124" s="30" t="str">
        <x:v>Procurement from Authorized Sources</x:v>
      </x:c>
      <x:c r="G124" s="30" t="str">
        <x:v>Supply chain integrity.</x:v>
      </x:c>
      <x:c r="H124" s="30" t="str">
        <x:v>CORE</x:v>
      </x:c>
      <x:c r="I124" s="30" t="str">
        <x:v>Yes</x:v>
      </x:c>
      <x:c r="J124" s="30" t="str">
        <x:v>P-4 reclassified as non-statutory guidance/internal implementation. Binding obligations remain under separately mapped law, licence or exact direction.</x:v>
      </x:c>
    </x:row>
    <x:row r="125">
      <x:c r="A125" s="30" t="str">
        <x:v>PROV124</x:v>
      </x:c>
      <x:c r="B125" s="30" t="str">
        <x:v>LAW060</x:v>
      </x:c>
      <x:c r="C125" s="30"/>
      <x:c r="D125" s="30" t="str">
        <x:v>Best Practice</x:v>
      </x:c>
      <x:c r="E125" s="30" t="str">
        <x:v>GDP-2</x:v>
      </x:c>
      <x:c r="F125" s="30" t="str">
        <x:v>Transportation and Distribution Controls</x:v>
      </x:c>
      <x:c r="G125" s="30" t="str">
        <x:v>Maintain product quality during transportation.</x:v>
      </x:c>
      <x:c r="H125" s="30" t="str">
        <x:v>CORE</x:v>
      </x:c>
      <x:c r="I125" s="30" t="str">
        <x:v>Yes</x:v>
      </x:c>
      <x:c r="J125" s="30" t="str">
        <x:v>P-4 reclassified as non-statutory guidance/internal implementation. Binding obligations remain under separately mapped law, licence or exact direction.</x:v>
      </x:c>
    </x:row>
    <x:row r="126">
      <x:c r="A126" s="30" t="str">
        <x:v>PROV125</x:v>
      </x:c>
      <x:c r="B126" s="30" t="str">
        <x:v>LAW060</x:v>
      </x:c>
      <x:c r="C126" s="30"/>
      <x:c r="D126" s="30" t="str">
        <x:v>Best Practice</x:v>
      </x:c>
      <x:c r="E126" s="30" t="str">
        <x:v>GDP-3</x:v>
      </x:c>
      <x:c r="F126" s="30" t="str">
        <x:v>Distribution Record Maintenance</x:v>
      </x:c>
      <x:c r="G126" s="30" t="str">
        <x:v>Traceability throughout the distribution chain.</x:v>
      </x:c>
      <x:c r="H126" s="30" t="str">
        <x:v>CORE</x:v>
      </x:c>
      <x:c r="I126" s="30" t="str">
        <x:v>Yes</x:v>
      </x:c>
      <x:c r="J126" s="30" t="str">
        <x:v>P-4 reclassified as non-statutory guidance/internal implementation. Binding obligations remain under separately mapped law, licence or exact direction.</x:v>
      </x:c>
    </x:row>
    <x:row r="127">
      <x:c r="A127" s="30" t="str">
        <x:v>PROV126</x:v>
      </x:c>
      <x:c r="B127" s="30" t="str">
        <x:v>LAW061</x:v>
      </x:c>
      <x:c r="C127" s="30"/>
      <x:c r="D127" s="30" t="str">
        <x:v>Best Practice</x:v>
      </x:c>
      <x:c r="E127" s="30" t="str">
        <x:v>GSP-1</x:v>
      </x:c>
      <x:c r="F127" s="30" t="str">
        <x:v>Temperature Monitoring</x:v>
      </x:c>
      <x:c r="G127" s="30" t="str">
        <x:v>Continuous monitoring of storage temperature.</x:v>
      </x:c>
      <x:c r="H127" s="30" t="str">
        <x:v>CORE</x:v>
      </x:c>
      <x:c r="I127" s="30" t="str">
        <x:v>Yes</x:v>
      </x:c>
      <x:c r="J127" s="30" t="str">
        <x:v>P-4 reclassified as non-statutory guidance/internal implementation. Binding obligations remain under separately mapped law, licence or exact direction.</x:v>
      </x:c>
    </x:row>
    <x:row r="128">
      <x:c r="A128" s="30" t="str">
        <x:v>PROV127</x:v>
      </x:c>
      <x:c r="B128" s="30" t="str">
        <x:v>LAW061</x:v>
      </x:c>
      <x:c r="C128" s="30"/>
      <x:c r="D128" s="30" t="str">
        <x:v>Best Practice</x:v>
      </x:c>
      <x:c r="E128" s="30" t="str">
        <x:v>GSP-2</x:v>
      </x:c>
      <x:c r="F128" s="30" t="str">
        <x:v>Humidity Monitoring</x:v>
      </x:c>
      <x:c r="G128" s="30" t="str">
        <x:v>Monitoring humidity where applicable.</x:v>
      </x:c>
      <x:c r="H128" s="30" t="str">
        <x:v>CORE</x:v>
      </x:c>
      <x:c r="I128" s="30" t="str">
        <x:v>Yes</x:v>
      </x:c>
      <x:c r="J128" s="30" t="str">
        <x:v>P-4 reclassified as non-statutory guidance/internal implementation. Binding obligations remain under separately mapped law, licence or exact direction.</x:v>
      </x:c>
    </x:row>
    <x:row r="129">
      <x:c r="A129" s="30" t="str">
        <x:v>PROV128</x:v>
      </x:c>
      <x:c r="B129" s="30" t="str">
        <x:v>LAW061</x:v>
      </x:c>
      <x:c r="C129" s="30"/>
      <x:c r="D129" s="30" t="str">
        <x:v>Best Practice</x:v>
      </x:c>
      <x:c r="E129" s="30" t="str">
        <x:v>GSP-3</x:v>
      </x:c>
      <x:c r="F129" s="30" t="str">
        <x:v>FEFO Inventory Management</x:v>
      </x:c>
      <x:c r="G129" s="30" t="str">
        <x:v>First Expiry First Out inventory control.</x:v>
      </x:c>
      <x:c r="H129" s="30" t="str">
        <x:v>CORE</x:v>
      </x:c>
      <x:c r="I129" s="30" t="str">
        <x:v>Yes</x:v>
      </x:c>
      <x:c r="J129" s="30" t="str">
        <x:v>P-4 reclassified as non-statutory guidance/internal implementation. Binding obligations remain under separately mapped law, licence or exact direction.</x:v>
      </x:c>
    </x:row>
    <x:row r="130">
      <x:c r="A130" s="30" t="str">
        <x:v>PROV129</x:v>
      </x:c>
      <x:c r="B130" s="30" t="str">
        <x:v>LAW061</x:v>
      </x:c>
      <x:c r="C130" s="30"/>
      <x:c r="D130" s="30" t="str">
        <x:v>Best Practice</x:v>
      </x:c>
      <x:c r="E130" s="30" t="str">
        <x:v>GSP-4</x:v>
      </x:c>
      <x:c r="F130" s="30" t="str">
        <x:v>Segregation of Expired &amp; Rejected Stock</x:v>
      </x:c>
      <x:c r="G130" s="30" t="str">
        <x:v>Physical segregation of unusable products.</x:v>
      </x:c>
      <x:c r="H130" s="30" t="str">
        <x:v>CORE</x:v>
      </x:c>
      <x:c r="I130" s="30" t="str">
        <x:v>Yes</x:v>
      </x:c>
      <x:c r="J130" s="30" t="str">
        <x:v>P-4 reclassified as non-statutory guidance/internal implementation. Binding obligations remain under separately mapped law, licence or exact direction.</x:v>
      </x:c>
    </x:row>
    <x:row r="131">
      <x:c r="A131" s="30" t="str">
        <x:v>PROV130</x:v>
      </x:c>
      <x:c r="B131" s="30" t="str">
        <x:v>LAW061</x:v>
      </x:c>
      <x:c r="C131" s="30"/>
      <x:c r="D131" s="30" t="str">
        <x:v>Best Practice</x:v>
      </x:c>
      <x:c r="E131" s="30" t="str">
        <x:v>GSP-5</x:v>
      </x:c>
      <x:c r="F131" s="30" t="str">
        <x:v>Storage Area Sanitation</x:v>
      </x:c>
      <x:c r="G131" s="30" t="str">
        <x:v>Cleanliness and housekeeping of storage areas.</x:v>
      </x:c>
      <x:c r="H131" s="30" t="str">
        <x:v>CORE</x:v>
      </x:c>
      <x:c r="I131" s="30" t="str">
        <x:v>Yes</x:v>
      </x:c>
      <x:c r="J131" s="30" t="str">
        <x:v>P-4 reclassified as non-statutory guidance/internal implementation. Binding obligations remain under separately mapped law, licence or exact direction.</x:v>
      </x:c>
    </x:row>
    <x:row r="132">
      <x:c r="A132" s="30" t="str">
        <x:v>PROV131</x:v>
      </x:c>
      <x:c r="B132" s="30" t="str">
        <x:v>LAW062</x:v>
      </x:c>
      <x:c r="C132" s="30"/>
      <x:c r="D132" s="30" t="str">
        <x:v>Best Practice</x:v>
      </x:c>
      <x:c r="E132" s="30" t="str">
        <x:v>Recall-1</x:v>
      </x:c>
      <x:c r="F132" s="30" t="str">
        <x:v>Product Recall Initiation</x:v>
      </x:c>
      <x:c r="G132" s="30" t="str">
        <x:v>Procedure to initiate recall upon regulatory instruction or defect identification.</x:v>
      </x:c>
      <x:c r="H132" s="30" t="str">
        <x:v>CORE</x:v>
      </x:c>
      <x:c r="I132" s="30" t="str">
        <x:v>Yes</x:v>
      </x:c>
      <x:c r="J132" s="30" t="str">
        <x:v>P-4 reclassified as non-statutory guidance/internal implementation. Binding obligations remain under separately mapped law, licence or exact direction.</x:v>
      </x:c>
    </x:row>
    <x:row r="133">
      <x:c r="A133" s="30" t="str">
        <x:v>PROV132</x:v>
      </x:c>
      <x:c r="B133" s="30" t="str">
        <x:v>LAW062</x:v>
      </x:c>
      <x:c r="C133" s="30"/>
      <x:c r="D133" s="30" t="str">
        <x:v>Best Practice</x:v>
      </x:c>
      <x:c r="E133" s="30" t="str">
        <x:v>Recall-2</x:v>
      </x:c>
      <x:c r="F133" s="30" t="str">
        <x:v>Recall Classification</x:v>
      </x:c>
      <x:c r="G133" s="30" t="str">
        <x:v>Classification based on risk level.</x:v>
      </x:c>
      <x:c r="H133" s="30" t="str">
        <x:v>CORE</x:v>
      </x:c>
      <x:c r="I133" s="30" t="str">
        <x:v>Yes</x:v>
      </x:c>
      <x:c r="J133" s="30" t="str">
        <x:v>P-4 reclassified as non-statutory guidance/internal implementation. Binding obligations remain under separately mapped law, licence or exact direction.</x:v>
      </x:c>
    </x:row>
    <x:row r="134">
      <x:c r="A134" s="30" t="str">
        <x:v>PROV133</x:v>
      </x:c>
      <x:c r="B134" s="30" t="str">
        <x:v>LAW062</x:v>
      </x:c>
      <x:c r="C134" s="30"/>
      <x:c r="D134" s="30" t="str">
        <x:v>Best Practice</x:v>
      </x:c>
      <x:c r="E134" s="30" t="str">
        <x:v>Recall-3</x:v>
      </x:c>
      <x:c r="F134" s="30" t="str">
        <x:v>Recall Communication</x:v>
      </x:c>
      <x:c r="G134" s="30" t="str">
        <x:v>Communication to customers and regulators.</x:v>
      </x:c>
      <x:c r="H134" s="30" t="str">
        <x:v>CORE</x:v>
      </x:c>
      <x:c r="I134" s="30" t="str">
        <x:v>Yes</x:v>
      </x:c>
      <x:c r="J134" s="30" t="str">
        <x:v>P-4 reclassified as non-statutory guidance/internal implementation. Binding obligations remain under separately mapped law, licence or exact direction.</x:v>
      </x:c>
    </x:row>
    <x:row r="135">
      <x:c r="A135" s="30" t="str">
        <x:v>PROV134</x:v>
      </x:c>
      <x:c r="B135" s="30" t="str">
        <x:v>LAW062</x:v>
      </x:c>
      <x:c r="C135" s="30"/>
      <x:c r="D135" s="30" t="str">
        <x:v>Best Practice</x:v>
      </x:c>
      <x:c r="E135" s="30" t="str">
        <x:v>Recall-4</x:v>
      </x:c>
      <x:c r="F135" s="30" t="str">
        <x:v>Recall Effectiveness Verification</x:v>
      </x:c>
      <x:c r="G135" s="30" t="str">
        <x:v>Verification that recalled products are recovered.</x:v>
      </x:c>
      <x:c r="H135" s="30" t="str">
        <x:v>CORE</x:v>
      </x:c>
      <x:c r="I135" s="30" t="str">
        <x:v>Yes</x:v>
      </x:c>
      <x:c r="J135" s="30" t="str">
        <x:v>P-4 reclassified as non-statutory guidance/internal implementation. Binding obligations remain under separately mapped law, licence or exact direction.</x:v>
      </x:c>
    </x:row>
    <x:row r="136">
      <x:c r="A136" s="30" t="str">
        <x:v>PROV135</x:v>
      </x:c>
      <x:c r="B136" s="30" t="str">
        <x:v>LAW062</x:v>
      </x:c>
      <x:c r="C136" s="30"/>
      <x:c r="D136" s="30" t="str">
        <x:v>Best Practice</x:v>
      </x:c>
      <x:c r="E136" s="30" t="str">
        <x:v>Recall-5</x:v>
      </x:c>
      <x:c r="F136" s="30" t="str">
        <x:v>Recall Closure Documentation</x:v>
      </x:c>
      <x:c r="G136" s="30" t="str">
        <x:v>Documentation for recall closure.</x:v>
      </x:c>
      <x:c r="H136" s="30" t="str">
        <x:v>CORE</x:v>
      </x:c>
      <x:c r="I136" s="30" t="str">
        <x:v>Yes</x:v>
      </x:c>
      <x:c r="J136" s="30" t="str">
        <x:v>P-4 reclassified as non-statutory guidance/internal implementation. Binding obligations remain under separately mapped law, licence or exact direction.</x:v>
      </x:c>
    </x:row>
    <x:row r="137">
      <x:c r="A137" s="30" t="str">
        <x:v>PROV136</x:v>
      </x:c>
      <x:c r="B137" s="30" t="str">
        <x:v>LAW063</x:v>
      </x:c>
      <x:c r="C137" s="30"/>
      <x:c r="D137" s="30" t="str">
        <x:v>Best Practice</x:v>
      </x:c>
      <x:c r="E137" s="30" t="str">
        <x:v>Complaint-1</x:v>
      </x:c>
      <x:c r="F137" s="30" t="str">
        <x:v>Receipt of Product Complaint</x:v>
      </x:c>
      <x:c r="G137" s="30" t="str">
        <x:v>Formal complaint intake procedure.</x:v>
      </x:c>
      <x:c r="H137" s="30" t="str">
        <x:v>CORE</x:v>
      </x:c>
      <x:c r="I137" s="30" t="str">
        <x:v>Yes</x:v>
      </x:c>
      <x:c r="J137" s="30" t="str">
        <x:v>P-4 reclassified as non-statutory guidance/internal implementation. Binding obligations remain under separately mapped law, licence or exact direction.</x:v>
      </x:c>
    </x:row>
    <x:row r="138">
      <x:c r="A138" s="30" t="str">
        <x:v>PROV137</x:v>
      </x:c>
      <x:c r="B138" s="30" t="str">
        <x:v>LAW063</x:v>
      </x:c>
      <x:c r="C138" s="30"/>
      <x:c r="D138" s="30" t="str">
        <x:v>Best Practice</x:v>
      </x:c>
      <x:c r="E138" s="30" t="str">
        <x:v>Complaint-2</x:v>
      </x:c>
      <x:c r="F138" s="30" t="str">
        <x:v>Complaint Investigation</x:v>
      </x:c>
      <x:c r="G138" s="30" t="str">
        <x:v>Investigation of quality complaints.</x:v>
      </x:c>
      <x:c r="H138" s="30" t="str">
        <x:v>CORE</x:v>
      </x:c>
      <x:c r="I138" s="30" t="str">
        <x:v>Yes</x:v>
      </x:c>
      <x:c r="J138" s="30" t="str">
        <x:v>P-4 reclassified as non-statutory guidance/internal implementation. Binding obligations remain under separately mapped law, licence or exact direction.</x:v>
      </x:c>
    </x:row>
    <x:row r="139">
      <x:c r="A139" s="30" t="str">
        <x:v>PROV138</x:v>
      </x:c>
      <x:c r="B139" s="30" t="str">
        <x:v>LAW063</x:v>
      </x:c>
      <x:c r="C139" s="30"/>
      <x:c r="D139" s="30" t="str">
        <x:v>Best Practice</x:v>
      </x:c>
      <x:c r="E139" s="30" t="str">
        <x:v>Complaint-3</x:v>
      </x:c>
      <x:c r="F139" s="30" t="str">
        <x:v>Complaint Documentation</x:v>
      </x:c>
      <x:c r="G139" s="30" t="str">
        <x:v>Maintenance of complaint records.</x:v>
      </x:c>
      <x:c r="H139" s="30" t="str">
        <x:v>CORE</x:v>
      </x:c>
      <x:c r="I139" s="30" t="str">
        <x:v>Yes</x:v>
      </x:c>
      <x:c r="J139" s="30" t="str">
        <x:v>P-4 reclassified as non-statutory guidance/internal implementation. Binding obligations remain under separately mapped law, licence or exact direction.</x:v>
      </x:c>
    </x:row>
    <x:row r="140">
      <x:c r="A140" s="30" t="str">
        <x:v>PROV139</x:v>
      </x:c>
      <x:c r="B140" s="30" t="str">
        <x:v>LAW063</x:v>
      </x:c>
      <x:c r="C140" s="30"/>
      <x:c r="D140" s="30" t="str">
        <x:v>Best Practice</x:v>
      </x:c>
      <x:c r="E140" s="30" t="str">
        <x:v>Complaint-4</x:v>
      </x:c>
      <x:c r="F140" s="30" t="str">
        <x:v>Complaint Closure</x:v>
      </x:c>
      <x:c r="G140" s="30" t="str">
        <x:v>Documentation of investigation outcome and closure.</x:v>
      </x:c>
      <x:c r="H140" s="30" t="str">
        <x:v>CORE</x:v>
      </x:c>
      <x:c r="I140" s="30" t="str">
        <x:v>Yes</x:v>
      </x:c>
      <x:c r="J140" s="30" t="str">
        <x:v>P-4 reclassified as non-statutory guidance/internal implementation. Binding obligations remain under separately mapped law, licence or exact direction.</x:v>
      </x:c>
    </x:row>
    <x:row r="141">
      <x:c r="A141" s="30" t="str">
        <x:v>PROV140</x:v>
      </x:c>
      <x:c r="B141" s="30" t="str">
        <x:v>LAW064</x:v>
      </x:c>
      <x:c r="C141" s="30"/>
      <x:c r="D141" s="30" t="str">
        <x:v>Best Practice</x:v>
      </x:c>
      <x:c r="E141" s="30" t="str">
        <x:v>PvPI-1</x:v>
      </x:c>
      <x:c r="F141" s="30" t="str">
        <x:v>Adverse Drug Reaction Reporting</x:v>
      </x:c>
      <x:c r="G141" s="30" t="str">
        <x:v>Reporting ADRs to PvPI.</x:v>
      </x:c>
      <x:c r="H141" s="30" t="str">
        <x:v>CORE</x:v>
      </x:c>
      <x:c r="I141" s="30" t="str">
        <x:v>Yes</x:v>
      </x:c>
      <x:c r="J141" s="30" t="str">
        <x:v>P-4 reclassified as non-statutory guidance/internal implementation. Binding obligations remain under separately mapped law, licence or exact direction.</x:v>
      </x:c>
    </x:row>
    <x:row r="142">
      <x:c r="A142" s="30" t="str">
        <x:v>PROV141</x:v>
      </x:c>
      <x:c r="B142" s="30" t="str">
        <x:v>LAW064</x:v>
      </x:c>
      <x:c r="C142" s="30"/>
      <x:c r="D142" s="30" t="str">
        <x:v>Best Practice</x:v>
      </x:c>
      <x:c r="E142" s="30" t="str">
        <x:v>PvPI-2</x:v>
      </x:c>
      <x:c r="F142" s="30" t="str">
        <x:v>ADR Documentation</x:v>
      </x:c>
      <x:c r="G142" s="30" t="str">
        <x:v>Recording adverse drug reaction details.</x:v>
      </x:c>
      <x:c r="H142" s="30" t="str">
        <x:v>CORE</x:v>
      </x:c>
      <x:c r="I142" s="30" t="str">
        <x:v>Yes</x:v>
      </x:c>
      <x:c r="J142" s="30" t="str">
        <x:v>P-4 reclassified as non-statutory guidance/internal implementation. Binding obligations remain under separately mapped law, licence or exact direction.</x:v>
      </x:c>
    </x:row>
    <x:row r="143">
      <x:c r="A143" s="30" t="str">
        <x:v>PROV142</x:v>
      </x:c>
      <x:c r="B143" s="30" t="str">
        <x:v>LAW064</x:v>
      </x:c>
      <x:c r="C143" s="30"/>
      <x:c r="D143" s="30" t="str">
        <x:v>Best Practice</x:v>
      </x:c>
      <x:c r="E143" s="30" t="str">
        <x:v>PvPI-3</x:v>
      </x:c>
      <x:c r="F143" s="30" t="str">
        <x:v>Serious ADR Escalation</x:v>
      </x:c>
      <x:c r="G143" s="30" t="str">
        <x:v>Escalation of serious adverse events.</x:v>
      </x:c>
      <x:c r="H143" s="30" t="str">
        <x:v>CORE</x:v>
      </x:c>
      <x:c r="I143" s="30" t="str">
        <x:v>Yes</x:v>
      </x:c>
      <x:c r="J143" s="30" t="str">
        <x:v>P-4 reclassified as non-statutory guidance/internal implementation. Binding obligations remain under separately mapped law, licence or exact direction.</x:v>
      </x:c>
    </x:row>
    <x:row r="144">
      <x:c r="A144" s="30" t="str">
        <x:v>PROV143</x:v>
      </x:c>
      <x:c r="B144" s="30" t="str">
        <x:v>LAW065</x:v>
      </x:c>
      <x:c r="C144" s="30"/>
      <x:c r="D144" s="30" t="str">
        <x:v>Best Practice</x:v>
      </x:c>
      <x:c r="E144" s="30" t="str">
        <x:v>Cold Chain-1</x:v>
      </x:c>
      <x:c r="F144" s="30" t="str">
        <x:v>Vaccine Temperature Maintenance</x:v>
      </x:c>
      <x:c r="G144" s="30" t="str">
        <x:v>Maintain prescribed storage temperatures.</x:v>
      </x:c>
      <x:c r="H144" s="30" t="str">
        <x:v>CORE</x:v>
      </x:c>
      <x:c r="I144" s="30" t="str">
        <x:v>Yes</x:v>
      </x:c>
      <x:c r="J144" s="30" t="str">
        <x:v>P-4 reclassified as non-statutory guidance/internal implementation. Binding obligations remain under separately mapped law, licence or exact direction.</x:v>
      </x:c>
    </x:row>
    <x:row r="145">
      <x:c r="A145" s="30" t="str">
        <x:v>PROV144</x:v>
      </x:c>
      <x:c r="B145" s="30" t="str">
        <x:v>LAW065</x:v>
      </x:c>
      <x:c r="C145" s="30"/>
      <x:c r="D145" s="30" t="str">
        <x:v>Best Practice</x:v>
      </x:c>
      <x:c r="E145" s="30" t="str">
        <x:v>Cold Chain-2</x:v>
      </x:c>
      <x:c r="F145" s="30" t="str">
        <x:v>Refrigerator Temperature Log</x:v>
      </x:c>
      <x:c r="G145" s="30" t="str">
        <x:v>Daily temperature recording.</x:v>
      </x:c>
      <x:c r="H145" s="30" t="str">
        <x:v>CORE</x:v>
      </x:c>
      <x:c r="I145" s="30" t="str">
        <x:v>Yes</x:v>
      </x:c>
      <x:c r="J145" s="30" t="str">
        <x:v>P-4 reclassified as non-statutory guidance/internal implementation. Binding obligations remain under separately mapped law, licence or exact direction.</x:v>
      </x:c>
    </x:row>
    <x:row r="146">
      <x:c r="A146" s="30" t="str">
        <x:v>PROV145</x:v>
      </x:c>
      <x:c r="B146" s="30" t="str">
        <x:v>LAW065</x:v>
      </x:c>
      <x:c r="C146" s="30"/>
      <x:c r="D146" s="30" t="str">
        <x:v>Best Practice</x:v>
      </x:c>
      <x:c r="E146" s="30" t="str">
        <x:v>Cold Chain-3</x:v>
      </x:c>
      <x:c r="F146" s="30" t="str">
        <x:v>Cold Chain Equipment Validation</x:v>
      </x:c>
      <x:c r="G146" s="30" t="str">
        <x:v>Qualification and validation of refrigeration equipment.</x:v>
      </x:c>
      <x:c r="H146" s="30" t="str">
        <x:v>CORE</x:v>
      </x:c>
      <x:c r="I146" s="30" t="str">
        <x:v>Yes</x:v>
      </x:c>
      <x:c r="J146" s="30" t="str">
        <x:v>P-4 reclassified as non-statutory guidance/internal implementation. Binding obligations remain under separately mapped law, licence or exact direction.</x:v>
      </x:c>
    </x:row>
    <x:row r="147">
      <x:c r="A147" s="30" t="str">
        <x:v>PROV146</x:v>
      </x:c>
      <x:c r="B147" s="30" t="str">
        <x:v>LAW066</x:v>
      </x:c>
      <x:c r="C147" s="30"/>
      <x:c r="D147" s="30" t="str">
        <x:v>Statutory</x:v>
      </x:c>
      <x:c r="E147" s="30" t="str">
        <x:v>Import-1</x:v>
      </x:c>
      <x:c r="F147" s="30" t="str">
        <x:v>Import Licence Compliance</x:v>
      </x:c>
      <x:c r="G147" s="30" t="str">
        <x:v>Compliance with import licence conditions.</x:v>
      </x:c>
      <x:c r="H147" s="30" t="str">
        <x:v>CORE</x:v>
      </x:c>
      <x:c r="I147" s="30" t="str">
        <x:v>No</x:v>
      </x:c>
      <x:c r="J147" s="30" t="str">
        <x:v>P-4 QUARANTINED: penalty/enabling provision, duplicate internal control, generic State/event/source placeholder, or non-pharmacy-role requirement. Legacy ID retained for traceability.</x:v>
      </x:c>
    </x:row>
    <x:row r="148">
      <x:c r="A148" s="30" t="str">
        <x:v>PROV147</x:v>
      </x:c>
      <x:c r="B148" s="30" t="str">
        <x:v>LAW066</x:v>
      </x:c>
      <x:c r="C148" s="30"/>
      <x:c r="D148" s="30" t="str">
        <x:v>Statutory</x:v>
      </x:c>
      <x:c r="E148" s="30" t="str">
        <x:v>Import-2</x:v>
      </x:c>
      <x:c r="F148" s="30" t="str">
        <x:v>Imported Drug Documentation</x:v>
      </x:c>
      <x:c r="G148" s="30" t="str">
        <x:v>Maintenance of import documentation.</x:v>
      </x:c>
      <x:c r="H148" s="30" t="str">
        <x:v>CORE</x:v>
      </x:c>
      <x:c r="I148" s="30" t="str">
        <x:v>No</x:v>
      </x:c>
      <x:c r="J148" s="30" t="str">
        <x:v>P-4 QUARANTINED: penalty/enabling provision, duplicate internal control, generic State/event/source placeholder, or non-pharmacy-role requirement. Legacy ID retained for traceability.</x:v>
      </x:c>
    </x:row>
    <x:row r="149">
      <x:c r="A149" s="30" t="str">
        <x:v>PROV148</x:v>
      </x:c>
      <x:c r="B149" s="30" t="str">
        <x:v>LAW067</x:v>
      </x:c>
      <x:c r="C149" s="30"/>
      <x:c r="D149" s="30" t="str">
        <x:v>Statutory</x:v>
      </x:c>
      <x:c r="E149" s="30" t="str">
        <x:v>Export-1</x:v>
      </x:c>
      <x:c r="F149" s="30" t="str">
        <x:v>Export Certification Requirements</x:v>
      </x:c>
      <x:c r="G149" s="30" t="str">
        <x:v>Compliance for export certification.</x:v>
      </x:c>
      <x:c r="H149" s="30" t="str">
        <x:v>CORE</x:v>
      </x:c>
      <x:c r="I149" s="30" t="str">
        <x:v>No</x:v>
      </x:c>
      <x:c r="J149" s="30" t="str">
        <x:v>P-4 QUARANTINED: penalty/enabling provision, duplicate internal control, generic State/event/source placeholder, or non-pharmacy-role requirement. Legacy ID retained for traceability.</x:v>
      </x:c>
    </x:row>
    <x:row r="150">
      <x:c r="A150" s="30" t="str">
        <x:v>PROV149</x:v>
      </x:c>
      <x:c r="B150" s="30" t="str">
        <x:v>LAW067</x:v>
      </x:c>
      <x:c r="C150" s="30"/>
      <x:c r="D150" s="30" t="str">
        <x:v>Statutory</x:v>
      </x:c>
      <x:c r="E150" s="30" t="str">
        <x:v>Export-2</x:v>
      </x:c>
      <x:c r="F150" s="30" t="str">
        <x:v>Export Documentation</x:v>
      </x:c>
      <x:c r="G150" s="30" t="str">
        <x:v>Maintenance of export records.</x:v>
      </x:c>
      <x:c r="H150" s="30" t="str">
        <x:v>CORE</x:v>
      </x:c>
      <x:c r="I150" s="30" t="str">
        <x:v>No</x:v>
      </x:c>
      <x:c r="J150" s="30" t="str">
        <x:v>P-4 QUARANTINED: penalty/enabling provision, duplicate internal control, generic State/event/source placeholder, or non-pharmacy-role requirement. Legacy ID retained for traceability.</x:v>
      </x:c>
    </x:row>
    <x:row r="151">
      <x:c r="A151" s="30" t="str">
        <x:v>PROV150</x:v>
      </x:c>
      <x:c r="B151" s="30" t="str">
        <x:v>LAW067</x:v>
      </x:c>
      <x:c r="C151" s="30"/>
      <x:c r="D151" s="30" t="str">
        <x:v>Statutory</x:v>
      </x:c>
      <x:c r="E151" s="30" t="str">
        <x:v>Export-3</x:v>
      </x:c>
      <x:c r="F151" s="30" t="str">
        <x:v>Traceability of Exported Products</x:v>
      </x:c>
      <x:c r="G151" s="30" t="str">
        <x:v>Traceability throughout export supply chain.</x:v>
      </x:c>
      <x:c r="H151" s="30" t="str">
        <x:v>CORE</x:v>
      </x:c>
      <x:c r="I151" s="30" t="str">
        <x:v>No</x:v>
      </x:c>
      <x:c r="J151" s="30" t="str">
        <x:v>P-4 QUARANTINED: penalty/enabling provision, duplicate internal control, generic State/event/source placeholder, or non-pharmacy-role requirement. Legacy ID retained for traceability.</x:v>
      </x:c>
    </x:row>
    <x:row r="152">
      <x:c r="A152" s="30" t="str">
        <x:v>PROV151</x:v>
      </x:c>
      <x:c r="B152" s="30" t="str">
        <x:v>LAW076</x:v>
      </x:c>
      <x:c r="C152" s="30"/>
      <x:c r="D152" s="30" t="str">
        <x:v>Statutory</x:v>
      </x:c>
      <x:c r="E152" s="30" t="str">
        <x:v>State Rule-1</x:v>
      </x:c>
      <x:c r="F152" s="30" t="str">
        <x:v>Grant of Drug Licence</x:v>
      </x:c>
      <x:c r="G152" s="30" t="str">
        <x:v>State-specific procedure for grant of retail/wholesale drug licence.</x:v>
      </x:c>
      <x:c r="H152" s="30" t="str">
        <x:v>CORE</x:v>
      </x:c>
      <x:c r="I152" s="30" t="str">
        <x:v>No</x:v>
      </x:c>
      <x:c r="J152" s="30" t="str">
        <x:v>P-4 QUARANTINED: penalty/enabling provision, duplicate internal control, generic State/event/source placeholder, or non-pharmacy-role requirement. Legacy ID retained for traceability.</x:v>
      </x:c>
    </x:row>
    <x:row r="153">
      <x:c r="A153" s="30" t="str">
        <x:v>PROV152</x:v>
      </x:c>
      <x:c r="B153" s="30" t="str">
        <x:v>LAW076</x:v>
      </x:c>
      <x:c r="C153" s="30"/>
      <x:c r="D153" s="30" t="str">
        <x:v>Statutory</x:v>
      </x:c>
      <x:c r="E153" s="30" t="str">
        <x:v>State Rule-2</x:v>
      </x:c>
      <x:c r="F153" s="30" t="str">
        <x:v>Renewal of Drug Licence</x:v>
      </x:c>
      <x:c r="G153" s="30" t="str">
        <x:v>Renewal procedure and prescribed timelines.</x:v>
      </x:c>
      <x:c r="H153" s="30" t="str">
        <x:v>CORE</x:v>
      </x:c>
      <x:c r="I153" s="30" t="str">
        <x:v>No</x:v>
      </x:c>
      <x:c r="J153" s="30" t="str">
        <x:v>P-4 QUARANTINED: penalty/enabling provision, duplicate internal control, generic State/event/source placeholder, or non-pharmacy-role requirement. Legacy ID retained for traceability.</x:v>
      </x:c>
    </x:row>
    <x:row r="154">
      <x:c r="A154" s="30" t="str">
        <x:v>PROV153</x:v>
      </x:c>
      <x:c r="B154" s="30" t="str">
        <x:v>LAW076</x:v>
      </x:c>
      <x:c r="C154" s="30"/>
      <x:c r="D154" s="30" t="str">
        <x:v>Statutory</x:v>
      </x:c>
      <x:c r="E154" s="30" t="str">
        <x:v>State Rule-3</x:v>
      </x:c>
      <x:c r="F154" s="30" t="str">
        <x:v>Amendment of Drug Licence</x:v>
      </x:c>
      <x:c r="G154" s="30" t="str">
        <x:v>Addition, deletion or modification of licence particulars.</x:v>
      </x:c>
      <x:c r="H154" s="30" t="str">
        <x:v>CORE</x:v>
      </x:c>
      <x:c r="I154" s="30" t="str">
        <x:v>No</x:v>
      </x:c>
      <x:c r="J154" s="30" t="str">
        <x:v>P-4 QUARANTINED: penalty/enabling provision, duplicate internal control, generic State/event/source placeholder, or non-pharmacy-role requirement. Legacy ID retained for traceability.</x:v>
      </x:c>
    </x:row>
    <x:row r="155">
      <x:c r="A155" s="30" t="str">
        <x:v>PROV154</x:v>
      </x:c>
      <x:c r="B155" s="30" t="str">
        <x:v>LAW076</x:v>
      </x:c>
      <x:c r="C155" s="30"/>
      <x:c r="D155" s="30" t="str">
        <x:v>Statutory</x:v>
      </x:c>
      <x:c r="E155" s="30" t="str">
        <x:v>State Rule-4</x:v>
      </x:c>
      <x:c r="F155" s="30" t="str">
        <x:v>Change in Competent Person / Registered Pharmacist</x:v>
      </x:c>
      <x:c r="G155" s="30" t="str">
        <x:v>Notification and approval requirements.</x:v>
      </x:c>
      <x:c r="H155" s="30" t="str">
        <x:v>CORE</x:v>
      </x:c>
      <x:c r="I155" s="30" t="str">
        <x:v>No</x:v>
      </x:c>
      <x:c r="J155" s="30" t="str">
        <x:v>P-4 QUARANTINED: penalty/enabling provision, duplicate internal control, generic State/event/source placeholder, or non-pharmacy-role requirement. Legacy ID retained for traceability.</x:v>
      </x:c>
    </x:row>
    <x:row r="156">
      <x:c r="A156" s="30" t="str">
        <x:v>PROV155</x:v>
      </x:c>
      <x:c r="B156" s="30" t="str">
        <x:v>LAW076</x:v>
      </x:c>
      <x:c r="C156" s="30"/>
      <x:c r="D156" s="30" t="str">
        <x:v>Statutory</x:v>
      </x:c>
      <x:c r="E156" s="30" t="str">
        <x:v>State Rule-5</x:v>
      </x:c>
      <x:c r="F156" s="30" t="str">
        <x:v>Inspection Prior to Licence Grant</x:v>
      </x:c>
      <x:c r="G156" s="30" t="str">
        <x:v>Pre-licensing inspection requirements.</x:v>
      </x:c>
      <x:c r="H156" s="30" t="str">
        <x:v>CORE</x:v>
      </x:c>
      <x:c r="I156" s="30" t="str">
        <x:v>No</x:v>
      </x:c>
      <x:c r="J156" s="30" t="str">
        <x:v>P-4 QUARANTINED: penalty/enabling provision, duplicate internal control, generic State/event/source placeholder, or non-pharmacy-role requirement. Legacy ID retained for traceability.</x:v>
      </x:c>
    </x:row>
    <x:row r="157">
      <x:c r="A157" s="30" t="str">
        <x:v>PROV156</x:v>
      </x:c>
      <x:c r="B157" s="30" t="str">
        <x:v>LAW077</x:v>
      </x:c>
      <x:c r="C157" s="30"/>
      <x:c r="D157" s="30" t="str">
        <x:v>Statutory</x:v>
      </x:c>
      <x:c r="E157" s="30" t="str">
        <x:v>Circular-1</x:v>
      </x:c>
      <x:c r="F157" s="30" t="str">
        <x:v>Compliance with State Drug Controller Circulars</x:v>
      </x:c>
      <x:c r="G157" s="30" t="str">
        <x:v>Implementation of State regulatory circulars.</x:v>
      </x:c>
      <x:c r="H157" s="30" t="str">
        <x:v>CORE</x:v>
      </x:c>
      <x:c r="I157" s="30" t="str">
        <x:v>No</x:v>
      </x:c>
      <x:c r="J157" s="30" t="str">
        <x:v>P-4 QUARANTINED: penalty/enabling provision, duplicate internal control, generic State/event/source placeholder, or non-pharmacy-role requirement. Legacy ID retained for traceability.</x:v>
      </x:c>
    </x:row>
    <x:row r="158">
      <x:c r="A158" s="30" t="str">
        <x:v>PROV157</x:v>
      </x:c>
      <x:c r="B158" s="30" t="str">
        <x:v>LAW077</x:v>
      </x:c>
      <x:c r="C158" s="30"/>
      <x:c r="D158" s="30" t="str">
        <x:v>Statutory</x:v>
      </x:c>
      <x:c r="E158" s="30" t="str">
        <x:v>Circular-2</x:v>
      </x:c>
      <x:c r="F158" s="30" t="str">
        <x:v>Compliance with State Regulatory Directions</x:v>
      </x:c>
      <x:c r="G158" s="30" t="str">
        <x:v>Compliance with operational instructions issued by State Drug Controller.</x:v>
      </x:c>
      <x:c r="H158" s="30" t="str">
        <x:v>CORE</x:v>
      </x:c>
      <x:c r="I158" s="30" t="str">
        <x:v>No</x:v>
      </x:c>
      <x:c r="J158" s="30" t="str">
        <x:v>P-4 QUARANTINED: penalty/enabling provision, duplicate internal control, generic State/event/source placeholder, or non-pharmacy-role requirement. Legacy ID retained for traceability.</x:v>
      </x:c>
    </x:row>
    <x:row r="159">
      <x:c r="A159" s="30" t="str">
        <x:v>PROV158</x:v>
      </x:c>
      <x:c r="B159" s="30" t="str">
        <x:v>LAW077</x:v>
      </x:c>
      <x:c r="C159" s="30"/>
      <x:c r="D159" s="30" t="str">
        <x:v>Statutory</x:v>
      </x:c>
      <x:c r="E159" s="30" t="str">
        <x:v>Circular-3</x:v>
      </x:c>
      <x:c r="F159" s="30" t="str">
        <x:v>Submission of Regulatory Information</x:v>
      </x:c>
      <x:c r="G159" s="30" t="str">
        <x:v>Submission of information as directed by the authority.</x:v>
      </x:c>
      <x:c r="H159" s="30" t="str">
        <x:v>CORE</x:v>
      </x:c>
      <x:c r="I159" s="30" t="str">
        <x:v>No</x:v>
      </x:c>
      <x:c r="J159" s="30" t="str">
        <x:v>P-4 QUARANTINED: penalty/enabling provision, duplicate internal control, generic State/event/source placeholder, or non-pharmacy-role requirement. Legacy ID retained for traceability.</x:v>
      </x:c>
    </x:row>
    <x:row r="160">
      <x:c r="A160" s="30" t="str">
        <x:v>PROV159</x:v>
      </x:c>
      <x:c r="B160" s="30" t="str">
        <x:v>LAW078</x:v>
      </x:c>
      <x:c r="C160" s="30"/>
      <x:c r="D160" s="30" t="str">
        <x:v>Statutory</x:v>
      </x:c>
      <x:c r="E160" s="30" t="str">
        <x:v>Regulation-1</x:v>
      </x:c>
      <x:c r="F160" s="30" t="str">
        <x:v>Registration of Pharmacist</x:v>
      </x:c>
      <x:c r="G160" s="30" t="str">
        <x:v>Registration with the respective State Pharmacy Council.</x:v>
      </x:c>
      <x:c r="H160" s="30" t="str">
        <x:v>CORE</x:v>
      </x:c>
      <x:c r="I160" s="30" t="str">
        <x:v>No</x:v>
      </x:c>
      <x:c r="J160" s="30" t="str">
        <x:v>P-4 QUARANTINED: penalty/enabling provision, duplicate internal control, generic State/event/source placeholder, or non-pharmacy-role requirement. Legacy ID retained for traceability.</x:v>
      </x:c>
    </x:row>
    <x:row r="161">
      <x:c r="A161" s="30" t="str">
        <x:v>PROV160</x:v>
      </x:c>
      <x:c r="B161" s="30" t="str">
        <x:v>LAW078</x:v>
      </x:c>
      <x:c r="C161" s="30"/>
      <x:c r="D161" s="30" t="str">
        <x:v>Statutory</x:v>
      </x:c>
      <x:c r="E161" s="30" t="str">
        <x:v>Regulation-2</x:v>
      </x:c>
      <x:c r="F161" s="30" t="str">
        <x:v>Renewal of Pharmacist Registration</x:v>
      </x:c>
      <x:c r="G161" s="30" t="str">
        <x:v>Renewal within prescribed timelines.</x:v>
      </x:c>
      <x:c r="H161" s="30" t="str">
        <x:v>CORE</x:v>
      </x:c>
      <x:c r="I161" s="30" t="str">
        <x:v>No</x:v>
      </x:c>
      <x:c r="J161" s="30" t="str">
        <x:v>P-4 QUARANTINED: penalty/enabling provision, duplicate internal control, generic State/event/source placeholder, or non-pharmacy-role requirement. Legacy ID retained for traceability.</x:v>
      </x:c>
    </x:row>
    <x:row r="162">
      <x:c r="A162" s="30" t="str">
        <x:v>PROV161</x:v>
      </x:c>
      <x:c r="B162" s="30" t="str">
        <x:v>LAW078</x:v>
      </x:c>
      <x:c r="C162" s="30"/>
      <x:c r="D162" s="30" t="str">
        <x:v>Statutory</x:v>
      </x:c>
      <x:c r="E162" s="30" t="str">
        <x:v>Regulation-3</x:v>
      </x:c>
      <x:c r="F162" s="30" t="str">
        <x:v>Maintenance of Professional Conduct</x:v>
      </x:c>
      <x:c r="G162" s="30" t="str">
        <x:v>Ethical and professional conduct obligations.</x:v>
      </x:c>
      <x:c r="H162" s="30" t="str">
        <x:v>CORE</x:v>
      </x:c>
      <x:c r="I162" s="30" t="str">
        <x:v>No</x:v>
      </x:c>
      <x:c r="J162" s="30" t="str">
        <x:v>P-4 QUARANTINED: penalty/enabling provision, duplicate internal control, generic State/event/source placeholder, or non-pharmacy-role requirement. Legacy ID retained for traceability.</x:v>
      </x:c>
    </x:row>
    <x:row r="163">
      <x:c r="A163" s="30" t="str">
        <x:v>PROV162</x:v>
      </x:c>
      <x:c r="B163" s="30" t="str">
        <x:v>LAW079</x:v>
      </x:c>
      <x:c r="C163" s="30"/>
      <x:c r="D163" s="30" t="str">
        <x:v>Statutory</x:v>
      </x:c>
      <x:c r="E163" s="30" t="str">
        <x:v>PPR-1</x:v>
      </x:c>
      <x:c r="F163" s="30" t="str">
        <x:v>Patient-Centred Pharmacy Practice</x:v>
      </x:c>
      <x:c r="G163" s="30" t="str">
        <x:v>Professional practice standards.</x:v>
      </x:c>
      <x:c r="H163" s="30" t="str">
        <x:v>CORE</x:v>
      </x:c>
      <x:c r="I163" s="30" t="str">
        <x:v>Yes</x:v>
      </x:c>
      <x:c r="J163" s="30"/>
    </x:row>
    <x:row r="164">
      <x:c r="A164" s="30" t="str">
        <x:v>PROV163</x:v>
      </x:c>
      <x:c r="B164" s="30" t="str">
        <x:v>LAW079</x:v>
      </x:c>
      <x:c r="C164" s="30"/>
      <x:c r="D164" s="30" t="str">
        <x:v>Statutory</x:v>
      </x:c>
      <x:c r="E164" s="30" t="str">
        <x:v>PPR-2</x:v>
      </x:c>
      <x:c r="F164" s="30" t="str">
        <x:v>Prescription Review Prior to Dispensing</x:v>
      </x:c>
      <x:c r="G164" s="30" t="str">
        <x:v>Clinical verification of prescriptions.</x:v>
      </x:c>
      <x:c r="H164" s="30" t="str">
        <x:v>CORE</x:v>
      </x:c>
      <x:c r="I164" s="30" t="str">
        <x:v>Yes</x:v>
      </x:c>
      <x:c r="J164" s="30"/>
    </x:row>
    <x:row r="165">
      <x:c r="A165" s="30" t="str">
        <x:v>PROV164</x:v>
      </x:c>
      <x:c r="B165" s="30" t="str">
        <x:v>LAW079</x:v>
      </x:c>
      <x:c r="C165" s="30"/>
      <x:c r="D165" s="30" t="str">
        <x:v>Statutory</x:v>
      </x:c>
      <x:c r="E165" s="30" t="str">
        <x:v>PPR-3</x:v>
      </x:c>
      <x:c r="F165" s="30" t="str">
        <x:v>Patient Counselling and Medication Advice</x:v>
      </x:c>
      <x:c r="G165" s="30" t="str">
        <x:v>Appropriate counselling before dispensing.</x:v>
      </x:c>
      <x:c r="H165" s="30" t="str">
        <x:v>CORE</x:v>
      </x:c>
      <x:c r="I165" s="30" t="str">
        <x:v>Yes</x:v>
      </x:c>
      <x:c r="J165" s="30"/>
    </x:row>
    <x:row r="166">
      <x:c r="A166" s="30" t="str">
        <x:v>PROV165</x:v>
      </x:c>
      <x:c r="B166" s="30" t="str">
        <x:v>LAW079</x:v>
      </x:c>
      <x:c r="C166" s="30"/>
      <x:c r="D166" s="30" t="str">
        <x:v>Statutory</x:v>
      </x:c>
      <x:c r="E166" s="30" t="str">
        <x:v>PPR-4</x:v>
      </x:c>
      <x:c r="F166" s="30" t="str">
        <x:v>Confidentiality of Patient Information</x:v>
      </x:c>
      <x:c r="G166" s="30" t="str">
        <x:v>Confidential handling of patient information.</x:v>
      </x:c>
      <x:c r="H166" s="30" t="str">
        <x:v>CORE</x:v>
      </x:c>
      <x:c r="I166" s="30" t="str">
        <x:v>Yes</x:v>
      </x:c>
      <x:c r="J166" s="30"/>
    </x:row>
    <x:row r="167">
      <x:c r="A167" s="30" t="str">
        <x:v>PROV166</x:v>
      </x:c>
      <x:c r="B167" s="30" t="str">
        <x:v>LAW079</x:v>
      </x:c>
      <x:c r="C167" s="30"/>
      <x:c r="D167" s="30" t="str">
        <x:v>Statutory</x:v>
      </x:c>
      <x:c r="E167" s="30" t="str">
        <x:v>PPR-5</x:v>
      </x:c>
      <x:c r="F167" s="30" t="str">
        <x:v>Continuing Professional Competence</x:v>
      </x:c>
      <x:c r="G167" s="30" t="str">
        <x:v>Maintenance of professional knowledge and competency.</x:v>
      </x:c>
      <x:c r="H167" s="30" t="str">
        <x:v>CORE</x:v>
      </x:c>
      <x:c r="I167" s="30" t="str">
        <x:v>Yes</x:v>
      </x:c>
      <x:c r="J167" s="30"/>
    </x:row>
    <x:row r="168">
      <x:c r="A168" s="30" t="str">
        <x:v>PROV167</x:v>
      </x:c>
      <x:c r="B168" s="30" t="str">
        <x:v>LAW080</x:v>
      </x:c>
      <x:c r="C168" s="30"/>
      <x:c r="D168" s="30" t="str">
        <x:v>Statutory</x:v>
      </x:c>
      <x:c r="E168" s="30" t="str">
        <x:v>Section 11</x:v>
      </x:c>
      <x:c r="F168" s="30" t="str">
        <x:v>Clinical-establishment registration</x:v>
      </x:c>
      <x:c r="G168" s="30" t="str">
        <x:v>A covered clinical establishment must be registered before operation in an applicable jurisdiction.</x:v>
      </x:c>
      <x:c r="H168" s="30" t="str">
        <x:v>CORE</x:v>
      </x:c>
      <x:c r="I168" s="30" t="str">
        <x:v>Yes</x:v>
      </x:c>
      <x:c r="J168" s="30"/>
    </x:row>
    <x:row r="169">
      <x:c r="A169" s="30" t="str">
        <x:v>PROV168</x:v>
      </x:c>
      <x:c r="B169" s="30" t="str">
        <x:v>LAW080</x:v>
      </x:c>
      <x:c r="C169" s="30"/>
      <x:c r="D169" s="30" t="str">
        <x:v>Statutory</x:v>
      </x:c>
      <x:c r="E169" s="30" t="str">
        <x:v>Section 12</x:v>
      </x:c>
      <x:c r="F169" s="30" t="str">
        <x:v>Minimum standards, personnel, records and emergency condition</x:v>
      </x:c>
      <x:c r="G169" s="30" t="str">
        <x:v>A covered clinical establishment must meet prescribed standards, personnel, records/reporting and emergency-stabilization conditions.</x:v>
      </x:c>
      <x:c r="H169" s="30" t="str">
        <x:v>CORE</x:v>
      </x:c>
      <x:c r="I169" s="30" t="str">
        <x:v>Yes</x:v>
      </x:c>
      <x:c r="J169" s="30"/>
    </x:row>
    <x:row r="170">
      <x:c r="A170" s="30" t="str">
        <x:v>PROV169</x:v>
      </x:c>
      <x:c r="B170" s="30" t="str">
        <x:v>LAW080</x:v>
      </x:c>
      <x:c r="C170" s="30"/>
      <x:c r="D170" s="30" t="str">
        <x:v>Statutory</x:v>
      </x:c>
      <x:c r="E170" s="30" t="str">
        <x:v>Sections 18, 22 and 30(4)</x:v>
      </x:c>
      <x:c r="F170" s="30" t="str">
        <x:v>Display and renewal of clinical-establishment registration</x:v>
      </x:c>
      <x:c r="G170" s="30" t="str">
        <x:v>Display the registration certificate and complete renewal/continuation requirements in the applicable jurisdiction.</x:v>
      </x:c>
      <x:c r="H170" s="30" t="str">
        <x:v>CORE</x:v>
      </x:c>
      <x:c r="I170" s="30" t="str">
        <x:v>Yes</x:v>
      </x:c>
      <x:c r="J170" s="30"/>
    </x:row>
    <x:row r="171">
      <x:c r="A171" s="30" t="str">
        <x:v>PROV170</x:v>
      </x:c>
      <x:c r="B171" s="30" t="str">
        <x:v>LAW081</x:v>
      </x:c>
      <x:c r="C171" s="30"/>
      <x:c r="D171" s="30" t="str">
        <x:v>Statutory</x:v>
      </x:c>
      <x:c r="E171" s="30" t="str">
        <x:v>State Rule-1</x:v>
      </x:c>
      <x:c r="F171" s="30" t="str">
        <x:v>Compliance with State Clinical Establishment Rules</x:v>
      </x:c>
      <x:c r="G171" s="30" t="str">
        <x:v>State-specific implementation requirements.</x:v>
      </x:c>
      <x:c r="H171" s="30" t="str">
        <x:v>CORE</x:v>
      </x:c>
      <x:c r="I171" s="30" t="str">
        <x:v>No</x:v>
      </x:c>
      <x:c r="J171" s="30" t="str">
        <x:v>P-4 QUARANTINED: penalty/enabling provision, duplicate internal control, generic State/event/source placeholder, or non-pharmacy-role requirement. Legacy ID retained for traceability.</x:v>
      </x:c>
    </x:row>
    <x:row r="172">
      <x:c r="A172" s="30" t="str">
        <x:v>PROV171</x:v>
      </x:c>
      <x:c r="B172" s="30" t="str">
        <x:v>LAW081</x:v>
      </x:c>
      <x:c r="C172" s="30"/>
      <x:c r="D172" s="30" t="str">
        <x:v>Statutory</x:v>
      </x:c>
      <x:c r="E172" s="30" t="str">
        <x:v>State Rule-2</x:v>
      </x:c>
      <x:c r="F172" s="30" t="str">
        <x:v>Display of Registration Certificate</x:v>
      </x:c>
      <x:c r="G172" s="30" t="str">
        <x:v>Mandatory display requirements.</x:v>
      </x:c>
      <x:c r="H172" s="30" t="str">
        <x:v>CORE</x:v>
      </x:c>
      <x:c r="I172" s="30" t="str">
        <x:v>No</x:v>
      </x:c>
      <x:c r="J172" s="30" t="str">
        <x:v>P-4 QUARANTINED: penalty/enabling provision, duplicate internal control, generic State/event/source placeholder, or non-pharmacy-role requirement. Legacy ID retained for traceability.</x:v>
      </x:c>
    </x:row>
    <x:row r="173">
      <x:c r="A173" s="30" t="str">
        <x:v>PROV172</x:v>
      </x:c>
      <x:c r="B173" s="30" t="str">
        <x:v>LAW081</x:v>
      </x:c>
      <x:c r="C173" s="30"/>
      <x:c r="D173" s="30" t="str">
        <x:v>Statutory</x:v>
      </x:c>
      <x:c r="E173" s="30" t="str">
        <x:v>State Rule-3</x:v>
      </x:c>
      <x:c r="F173" s="30" t="str">
        <x:v>Record Retention Requirements</x:v>
      </x:c>
      <x:c r="G173" s="30" t="str">
        <x:v>Preservation of clinical establishment records.</x:v>
      </x:c>
      <x:c r="H173" s="30" t="str">
        <x:v>CORE</x:v>
      </x:c>
      <x:c r="I173" s="30" t="str">
        <x:v>No</x:v>
      </x:c>
      <x:c r="J173" s="30" t="str">
        <x:v>P-4 QUARANTINED: penalty/enabling provision, duplicate internal control, generic State/event/source placeholder, or non-pharmacy-role requirement. Legacy ID retained for traceability.</x:v>
      </x:c>
    </x:row>
    <x:row r="174">
      <x:c r="A174" s="30" t="str">
        <x:v>PROV173</x:v>
      </x:c>
      <x:c r="B174" s="30" t="str">
        <x:v>LAW081</x:v>
      </x:c>
      <x:c r="C174" s="30"/>
      <x:c r="D174" s="30" t="str">
        <x:v>Statutory</x:v>
      </x:c>
      <x:c r="E174" s="30" t="str">
        <x:v>State Rule-4</x:v>
      </x:c>
      <x:c r="F174" s="30" t="str">
        <x:v>Inspection by Competent Authority</x:v>
      </x:c>
      <x:c r="G174" s="30" t="str">
        <x:v>Production of records during inspection.</x:v>
      </x:c>
      <x:c r="H174" s="30" t="str">
        <x:v>CORE</x:v>
      </x:c>
      <x:c r="I174" s="30" t="str">
        <x:v>No</x:v>
      </x:c>
      <x:c r="J174" s="30" t="str">
        <x:v>P-4 QUARANTINED: penalty/enabling provision, duplicate internal control, generic State/event/source placeholder, or non-pharmacy-role requirement. Legacy ID retained for traceability.</x:v>
      </x:c>
    </x:row>
    <x:row r="175">
      <x:c r="A175" s="30" t="str">
        <x:v>PROV174</x:v>
      </x:c>
      <x:c r="B175" s="30" t="str">
        <x:v>LAW081</x:v>
      </x:c>
      <x:c r="C175" s="30"/>
      <x:c r="D175" s="30" t="str">
        <x:v>Statutory</x:v>
      </x:c>
      <x:c r="E175" s="30" t="str">
        <x:v>State Rule-5</x:v>
      </x:c>
      <x:c r="F175" s="30" t="str">
        <x:v>Renewal of Clinical Establishment Registration</x:v>
      </x:c>
      <x:c r="G175" s="30" t="str">
        <x:v>Renewal within prescribed timelines.</x:v>
      </x:c>
      <x:c r="H175" s="30" t="str">
        <x:v>CORE</x:v>
      </x:c>
      <x:c r="I175" s="30" t="str">
        <x:v>No</x:v>
      </x:c>
      <x:c r="J175" s="30" t="str">
        <x:v>P-4 QUARANTINED: penalty/enabling provision, duplicate internal control, generic State/event/source placeholder, or non-pharmacy-role requirement. Legacy ID retained for traceability.</x:v>
      </x:c>
    </x:row>
    <x:row r="176">
      <x:c r="A176" s="30" t="str">
        <x:v>PROV175</x:v>
      </x:c>
      <x:c r="B176" s="30" t="str">
        <x:v>LAW081</x:v>
      </x:c>
      <x:c r="C176" s="30"/>
      <x:c r="D176" s="30" t="str">
        <x:v>Statutory</x:v>
      </x:c>
      <x:c r="E176" s="30" t="str">
        <x:v>State Rule-6</x:v>
      </x:c>
      <x:c r="F176" s="30" t="str">
        <x:v>Reporting of Changes in Registration Particulars</x:v>
      </x:c>
      <x:c r="G176" s="30" t="str">
        <x:v>Notification of changes to the competent authority.</x:v>
      </x:c>
      <x:c r="H176" s="30" t="str">
        <x:v>CORE</x:v>
      </x:c>
      <x:c r="I176" s="30" t="str">
        <x:v>No</x:v>
      </x:c>
      <x:c r="J176" s="30" t="str">
        <x:v>P-4 QUARANTINED: penalty/enabling provision, duplicate internal control, generic State/event/source placeholder, or non-pharmacy-role requirement. Legacy ID retained for traceability.</x:v>
      </x:c>
    </x:row>
    <x:row r="177">
      <x:c r="A177" s="30" t="str">
        <x:v>PROV176</x:v>
      </x:c>
      <x:c r="B177" s="30" t="str">
        <x:v>LAW082</x:v>
      </x:c>
      <x:c r="C177" s="30"/>
      <x:c r="D177" s="30" t="str">
        <x:v>Statutory</x:v>
      </x:c>
      <x:c r="E177" s="30" t="str">
        <x:v>Condition 1</x:v>
      </x:c>
      <x:c r="F177" s="30" t="str">
        <x:v>Maintain Valid Biomedical Waste Authorization</x:v>
      </x:c>
      <x:c r="G177" s="30" t="str">
        <x:v>Authorization shall remain valid throughout operations.</x:v>
      </x:c>
      <x:c r="H177" s="30" t="str">
        <x:v>CORE</x:v>
      </x:c>
      <x:c r="I177" s="30" t="str">
        <x:v>No</x:v>
      </x:c>
      <x:c r="J177" s="30" t="str">
        <x:v>P-3 QUARANTINED: Generic State/local/permit/reference rows, penalty-only/fabricated DAMR extractions, and future-effective DPDP duties are not current production obligations.</x:v>
      </x:c>
    </x:row>
    <x:row r="178">
      <x:c r="A178" s="30" t="str">
        <x:v>PROV177</x:v>
      </x:c>
      <x:c r="B178" s="30" t="str">
        <x:v>LAW082</x:v>
      </x:c>
      <x:c r="C178" s="30"/>
      <x:c r="D178" s="30" t="str">
        <x:v>Statutory</x:v>
      </x:c>
      <x:c r="E178" s="30" t="str">
        <x:v>Condition 2</x:v>
      </x:c>
      <x:c r="F178" s="30" t="str">
        <x:v>Segregation of Biomedical Waste</x:v>
      </x:c>
      <x:c r="G178" s="30" t="str">
        <x:v>Waste shall be segregated at source.</x:v>
      </x:c>
      <x:c r="H178" s="30" t="str">
        <x:v>CORE</x:v>
      </x:c>
      <x:c r="I178" s="30" t="str">
        <x:v>No</x:v>
      </x:c>
      <x:c r="J178" s="30" t="str">
        <x:v>P-3 QUARANTINED: Generic State/local/permit/reference rows, penalty-only/fabricated DAMR extractions, and future-effective DPDP duties are not current production obligations.</x:v>
      </x:c>
    </x:row>
    <x:row r="179">
      <x:c r="A179" s="30" t="str">
        <x:v>PROV178</x:v>
      </x:c>
      <x:c r="B179" s="30" t="str">
        <x:v>LAW082</x:v>
      </x:c>
      <x:c r="C179" s="30"/>
      <x:c r="D179" s="30" t="str">
        <x:v>Statutory</x:v>
      </x:c>
      <x:c r="E179" s="30" t="str">
        <x:v>Condition 3</x:v>
      </x:c>
      <x:c r="F179" s="30" t="str">
        <x:v>Record Maintenance for Biomedical Waste</x:v>
      </x:c>
      <x:c r="G179" s="30" t="str">
        <x:v>Maintain prescribed waste registers.</x:v>
      </x:c>
      <x:c r="H179" s="30" t="str">
        <x:v>CORE</x:v>
      </x:c>
      <x:c r="I179" s="30" t="str">
        <x:v>No</x:v>
      </x:c>
      <x:c r="J179" s="30" t="str">
        <x:v>P-3 QUARANTINED: Generic State/local/permit/reference rows, penalty-only/fabricated DAMR extractions, and future-effective DPDP duties are not current production obligations.</x:v>
      </x:c>
    </x:row>
    <x:row r="180">
      <x:c r="A180" s="30" t="str">
        <x:v>PROV179</x:v>
      </x:c>
      <x:c r="B180" s="30" t="str">
        <x:v>LAW082</x:v>
      </x:c>
      <x:c r="C180" s="30"/>
      <x:c r="D180" s="30" t="str">
        <x:v>Statutory</x:v>
      </x:c>
      <x:c r="E180" s="30" t="str">
        <x:v>Condition 4</x:v>
      </x:c>
      <x:c r="F180" s="30" t="str">
        <x:v>Submission of Annual Returns</x:v>
      </x:c>
      <x:c r="G180" s="30" t="str">
        <x:v>Submit returns to prescribed authority.</x:v>
      </x:c>
      <x:c r="H180" s="30" t="str">
        <x:v>CORE</x:v>
      </x:c>
      <x:c r="I180" s="30" t="str">
        <x:v>No</x:v>
      </x:c>
      <x:c r="J180" s="30" t="str">
        <x:v>P-3 QUARANTINED: Generic State/local/permit/reference rows, penalty-only/fabricated DAMR extractions, and future-effective DPDP duties are not current production obligations.</x:v>
      </x:c>
    </x:row>
    <x:row r="181">
      <x:c r="A181" s="30" t="str">
        <x:v>PROV180</x:v>
      </x:c>
      <x:c r="B181" s="30" t="str">
        <x:v>LAW082</x:v>
      </x:c>
      <x:c r="C181" s="30"/>
      <x:c r="D181" s="30" t="str">
        <x:v>Statutory</x:v>
      </x:c>
      <x:c r="E181" s="30" t="str">
        <x:v>Condition 5</x:v>
      </x:c>
      <x:c r="F181" s="30" t="str">
        <x:v>Facilitate Regulatory Inspection</x:v>
      </x:c>
      <x:c r="G181" s="30" t="str">
        <x:v>Produce records during inspection.</x:v>
      </x:c>
      <x:c r="H181" s="30" t="str">
        <x:v>CORE</x:v>
      </x:c>
      <x:c r="I181" s="30" t="str">
        <x:v>No</x:v>
      </x:c>
      <x:c r="J181" s="30" t="str">
        <x:v>P-3 QUARANTINED: Generic State/local/permit/reference rows, penalty-only/fabricated DAMR extractions, and future-effective DPDP duties are not current production obligations.</x:v>
      </x:c>
    </x:row>
    <x:row r="182">
      <x:c r="A182" s="30" t="str">
        <x:v>PROV181</x:v>
      </x:c>
      <x:c r="B182" s="30" t="str">
        <x:v>LAW083</x:v>
      </x:c>
      <x:c r="C182" s="30"/>
      <x:c r="D182" s="30" t="str">
        <x:v>Statutory</x:v>
      </x:c>
      <x:c r="E182" s="30" t="str">
        <x:v>Condition 1</x:v>
      </x:c>
      <x:c r="F182" s="30" t="str">
        <x:v>Maintain Valid Fire NOC</x:v>
      </x:c>
      <x:c r="G182" s="30" t="str">
        <x:v>Fire NOC shall remain valid.</x:v>
      </x:c>
      <x:c r="H182" s="30" t="str">
        <x:v>CORE</x:v>
      </x:c>
      <x:c r="I182" s="30" t="str">
        <x:v>No</x:v>
      </x:c>
      <x:c r="J182" s="30" t="str">
        <x:v>P-3 QUARANTINED: Generic State/local/permit/reference rows, penalty-only/fabricated DAMR extractions, and future-effective DPDP duties are not current production obligations.</x:v>
      </x:c>
    </x:row>
    <x:row r="183">
      <x:c r="A183" s="30" t="str">
        <x:v>PROV182</x:v>
      </x:c>
      <x:c r="B183" s="30" t="str">
        <x:v>LAW083</x:v>
      </x:c>
      <x:c r="C183" s="30"/>
      <x:c r="D183" s="30" t="str">
        <x:v>Statutory</x:v>
      </x:c>
      <x:c r="E183" s="30" t="str">
        <x:v>Condition 2</x:v>
      </x:c>
      <x:c r="F183" s="30" t="str">
        <x:v>Maintenance of Fire Protection Systems</x:v>
      </x:c>
      <x:c r="G183" s="30" t="str">
        <x:v>Fire safety equipment shall remain operational.</x:v>
      </x:c>
      <x:c r="H183" s="30" t="str">
        <x:v>CORE</x:v>
      </x:c>
      <x:c r="I183" s="30" t="str">
        <x:v>No</x:v>
      </x:c>
      <x:c r="J183" s="30" t="str">
        <x:v>P-3 QUARANTINED: Generic State/local/permit/reference rows, penalty-only/fabricated DAMR extractions, and future-effective DPDP duties are not current production obligations.</x:v>
      </x:c>
    </x:row>
    <x:row r="184">
      <x:c r="A184" s="30" t="str">
        <x:v>PROV183</x:v>
      </x:c>
      <x:c r="B184" s="30" t="str">
        <x:v>LAW083</x:v>
      </x:c>
      <x:c r="C184" s="30"/>
      <x:c r="D184" s="30" t="str">
        <x:v>Statutory</x:v>
      </x:c>
      <x:c r="E184" s="30" t="str">
        <x:v>Condition 3</x:v>
      </x:c>
      <x:c r="F184" s="30" t="str">
        <x:v>Conduct Periodic Fire Safety Inspection</x:v>
      </x:c>
      <x:c r="G184" s="30" t="str">
        <x:v>Internal inspection of fire safety systems.</x:v>
      </x:c>
      <x:c r="H184" s="30" t="str">
        <x:v>CORE</x:v>
      </x:c>
      <x:c r="I184" s="30" t="str">
        <x:v>No</x:v>
      </x:c>
      <x:c r="J184" s="30" t="str">
        <x:v>P-3 QUARANTINED: Generic State/local/permit/reference rows, penalty-only/fabricated DAMR extractions, and future-effective DPDP duties are not current production obligations.</x:v>
      </x:c>
    </x:row>
    <x:row r="185">
      <x:c r="A185" s="30" t="str">
        <x:v>PROV184</x:v>
      </x:c>
      <x:c r="B185" s="30" t="str">
        <x:v>LAW083</x:v>
      </x:c>
      <x:c r="C185" s="30"/>
      <x:c r="D185" s="30" t="str">
        <x:v>Statutory</x:v>
      </x:c>
      <x:c r="E185" s="30" t="str">
        <x:v>Condition 4</x:v>
      </x:c>
      <x:c r="F185" s="30" t="str">
        <x:v>Emergency Exit Accessibility</x:v>
      </x:c>
      <x:c r="G185" s="30" t="str">
        <x:v>Emergency exits shall remain unobstructed.</x:v>
      </x:c>
      <x:c r="H185" s="30" t="str">
        <x:v>CORE</x:v>
      </x:c>
      <x:c r="I185" s="30" t="str">
        <x:v>No</x:v>
      </x:c>
      <x:c r="J185" s="30" t="str">
        <x:v>P-3 QUARANTINED: Generic State/local/permit/reference rows, penalty-only/fabricated DAMR extractions, and future-effective DPDP duties are not current production obligations.</x:v>
      </x:c>
    </x:row>
    <x:row r="186">
      <x:c r="A186" s="30" t="str">
        <x:v>PROV185</x:v>
      </x:c>
      <x:c r="B186" s="30" t="str">
        <x:v>LAW083</x:v>
      </x:c>
      <x:c r="C186" s="30"/>
      <x:c r="D186" s="30" t="str">
        <x:v>Statutory</x:v>
      </x:c>
      <x:c r="E186" s="30" t="str">
        <x:v>Condition 5</x:v>
      </x:c>
      <x:c r="F186" s="30" t="str">
        <x:v>Fire Safety Training</x:v>
      </x:c>
      <x:c r="G186" s="30" t="str">
        <x:v>Employees shall receive fire safety training.</x:v>
      </x:c>
      <x:c r="H186" s="30" t="str">
        <x:v>CORE</x:v>
      </x:c>
      <x:c r="I186" s="30" t="str">
        <x:v>No</x:v>
      </x:c>
      <x:c r="J186" s="30" t="str">
        <x:v>P-3 QUARANTINED: Generic State/local/permit/reference rows, penalty-only/fabricated DAMR extractions, and future-effective DPDP duties are not current production obligations.</x:v>
      </x:c>
    </x:row>
    <x:row r="187">
      <x:c r="A187" s="30" t="str">
        <x:v>PROV186</x:v>
      </x:c>
      <x:c r="B187" s="30" t="str">
        <x:v>LAW084</x:v>
      </x:c>
      <x:c r="C187" s="30"/>
      <x:c r="D187" s="30" t="str">
        <x:v>Statutory</x:v>
      </x:c>
      <x:c r="E187" s="30" t="str">
        <x:v>Condition 1</x:v>
      </x:c>
      <x:c r="F187" s="30" t="str">
        <x:v>Maintain Valid Trade Licence</x:v>
      </x:c>
      <x:c r="G187" s="30" t="str">
        <x:v>Trade licence validity.</x:v>
      </x:c>
      <x:c r="H187" s="30" t="str">
        <x:v>CORE</x:v>
      </x:c>
      <x:c r="I187" s="30" t="str">
        <x:v>No</x:v>
      </x:c>
      <x:c r="J187" s="30" t="str">
        <x:v>P-3 QUARANTINED: Generic State/local/permit/reference rows, penalty-only/fabricated DAMR extractions, and future-effective DPDP duties are not current production obligations.</x:v>
      </x:c>
    </x:row>
    <x:row r="188">
      <x:c r="A188" s="30" t="str">
        <x:v>PROV187</x:v>
      </x:c>
      <x:c r="B188" s="30" t="str">
        <x:v>LAW084</x:v>
      </x:c>
      <x:c r="C188" s="30"/>
      <x:c r="D188" s="30" t="str">
        <x:v>Statutory</x:v>
      </x:c>
      <x:c r="E188" s="30" t="str">
        <x:v>Condition 2</x:v>
      </x:c>
      <x:c r="F188" s="30" t="str">
        <x:v>Compliance with Trade Licence Conditions</x:v>
      </x:c>
      <x:c r="G188" s="30" t="str">
        <x:v>Ongoing compliance with licence terms.</x:v>
      </x:c>
      <x:c r="H188" s="30" t="str">
        <x:v>CORE</x:v>
      </x:c>
      <x:c r="I188" s="30" t="str">
        <x:v>No</x:v>
      </x:c>
      <x:c r="J188" s="30" t="str">
        <x:v>P-3 QUARANTINED: Generic State/local/permit/reference rows, penalty-only/fabricated DAMR extractions, and future-effective DPDP duties are not current production obligations.</x:v>
      </x:c>
    </x:row>
    <x:row r="189">
      <x:c r="A189" s="30" t="str">
        <x:v>PROV188</x:v>
      </x:c>
      <x:c r="B189" s="30" t="str">
        <x:v>LAW084</x:v>
      </x:c>
      <x:c r="C189" s="30"/>
      <x:c r="D189" s="30" t="str">
        <x:v>Statutory</x:v>
      </x:c>
      <x:c r="E189" s="30" t="str">
        <x:v>Condition 3</x:v>
      </x:c>
      <x:c r="F189" s="30" t="str">
        <x:v>Display of Trade Licence</x:v>
      </x:c>
      <x:c r="G189" s="30" t="str">
        <x:v>Trade licence displayed prominently.</x:v>
      </x:c>
      <x:c r="H189" s="30" t="str">
        <x:v>CORE</x:v>
      </x:c>
      <x:c r="I189" s="30" t="str">
        <x:v>No</x:v>
      </x:c>
      <x:c r="J189" s="30" t="str">
        <x:v>P-3 QUARANTINED: Generic State/local/permit/reference rows, penalty-only/fabricated DAMR extractions, and future-effective DPDP duties are not current production obligations.</x:v>
      </x:c>
    </x:row>
    <x:row r="190">
      <x:c r="A190" s="30" t="str">
        <x:v>PROV189</x:v>
      </x:c>
      <x:c r="B190" s="30" t="str">
        <x:v>LAW085</x:v>
      </x:c>
      <x:c r="C190" s="30"/>
      <x:c r="D190" s="30" t="str">
        <x:v>Statutory</x:v>
      </x:c>
      <x:c r="E190" s="30" t="str">
        <x:v>Building Rule 1</x:v>
      </x:c>
      <x:c r="F190" s="30" t="str">
        <x:v>Occupancy Compliance</x:v>
      </x:c>
      <x:c r="G190" s="30" t="str">
        <x:v>Building occupancy as approved.</x:v>
      </x:c>
      <x:c r="H190" s="30" t="str">
        <x:v>CORE</x:v>
      </x:c>
      <x:c r="I190" s="30" t="str">
        <x:v>No</x:v>
      </x:c>
      <x:c r="J190" s="30" t="str">
        <x:v>P-3 QUARANTINED: Generic State/local/permit/reference rows, penalty-only/fabricated DAMR extractions, and future-effective DPDP duties are not current production obligations.</x:v>
      </x:c>
    </x:row>
    <x:row r="191">
      <x:c r="A191" s="30" t="str">
        <x:v>PROV190</x:v>
      </x:c>
      <x:c r="B191" s="30" t="str">
        <x:v>LAW085</x:v>
      </x:c>
      <x:c r="C191" s="30"/>
      <x:c r="D191" s="30" t="str">
        <x:v>Statutory</x:v>
      </x:c>
      <x:c r="E191" s="30" t="str">
        <x:v>Building Rule 2</x:v>
      </x:c>
      <x:c r="F191" s="30" t="str">
        <x:v>Structural Safety Compliance</x:v>
      </x:c>
      <x:c r="G191" s="30" t="str">
        <x:v>Structural safety maintained.</x:v>
      </x:c>
      <x:c r="H191" s="30" t="str">
        <x:v>CORE</x:v>
      </x:c>
      <x:c r="I191" s="30" t="str">
        <x:v>No</x:v>
      </x:c>
      <x:c r="J191" s="30" t="str">
        <x:v>P-3 QUARANTINED: Generic State/local/permit/reference rows, penalty-only/fabricated DAMR extractions, and future-effective DPDP duties are not current production obligations.</x:v>
      </x:c>
    </x:row>
    <x:row r="192">
      <x:c r="A192" s="30" t="str">
        <x:v>PROV191</x:v>
      </x:c>
      <x:c r="B192" s="30" t="str">
        <x:v>LAW085</x:v>
      </x:c>
      <x:c r="C192" s="30"/>
      <x:c r="D192" s="30" t="str">
        <x:v>Statutory</x:v>
      </x:c>
      <x:c r="E192" s="30" t="str">
        <x:v>Building Rule 3</x:v>
      </x:c>
      <x:c r="F192" s="30" t="str">
        <x:v>Mandatory Signage Requirements</x:v>
      </x:c>
      <x:c r="G192" s="30" t="str">
        <x:v>Display mandatory safety and operational signage.</x:v>
      </x:c>
      <x:c r="H192" s="30" t="str">
        <x:v>CORE</x:v>
      </x:c>
      <x:c r="I192" s="30" t="str">
        <x:v>No</x:v>
      </x:c>
      <x:c r="J192" s="30" t="str">
        <x:v>P-3 QUARANTINED: Generic State/local/permit/reference rows, penalty-only/fabricated DAMR extractions, and future-effective DPDP duties are not current production obligations.</x:v>
      </x:c>
    </x:row>
    <x:row r="193">
      <x:c r="A193" s="30" t="str">
        <x:v>PROV192</x:v>
      </x:c>
      <x:c r="B193" s="30" t="str">
        <x:v>LAW086</x:v>
      </x:c>
      <x:c r="C193" s="30"/>
      <x:c r="D193" s="30" t="str">
        <x:v>Statutory</x:v>
      </x:c>
      <x:c r="E193" s="30" t="str">
        <x:v>Guideline 4</x:v>
      </x:c>
      <x:c r="F193" s="30" t="str">
        <x:v>Conditions for a valid, non-misleading advertisement</x:v>
      </x:c>
      <x:c r="G193" s="30" t="str">
        <x:v>Ensure claims are truthful, honest, adequately substantiated and do not mislead by implication, omission, exaggeration or ambiguity.</x:v>
      </x:c>
      <x:c r="H193" s="30" t="str">
        <x:v>CORE</x:v>
      </x:c>
      <x:c r="I193" s="30" t="str">
        <x:v>Yes</x:v>
      </x:c>
      <x:c r="J193" s="30"/>
    </x:row>
    <x:row r="194">
      <x:c r="A194" s="30" t="str">
        <x:v>PROV193</x:v>
      </x:c>
      <x:c r="B194" s="30" t="str">
        <x:v>LAW086</x:v>
      </x:c>
      <x:c r="C194" s="30"/>
      <x:c r="D194" s="30" t="str">
        <x:v>Statutory</x:v>
      </x:c>
      <x:c r="E194" s="30" t="str">
        <x:v>Guideline 10</x:v>
      </x:c>
      <x:c r="F194" s="30" t="str">
        <x:v>Clear and non-contradictory disclaimers</x:v>
      </x:c>
      <x:c r="G194" s="30" t="str">
        <x:v>A disclaimer must not conceal material information or contradict the main claim and must be clear and prominent.</x:v>
      </x:c>
      <x:c r="H194" s="30" t="str">
        <x:v>CORE</x:v>
      </x:c>
      <x:c r="I194" s="30" t="str">
        <x:v>Yes</x:v>
      </x:c>
      <x:c r="J194" s="30"/>
    </x:row>
    <x:row r="195">
      <x:c r="A195" s="30" t="str">
        <x:v>PROV194</x:v>
      </x:c>
      <x:c r="B195" s="30" t="str">
        <x:v>LAW086</x:v>
      </x:c>
      <x:c r="C195" s="30"/>
      <x:c r="D195" s="30" t="str">
        <x:v>Statutory</x:v>
      </x:c>
      <x:c r="E195" s="30" t="str">
        <x:v>Guidelines 9 and 13</x:v>
      </x:c>
      <x:c r="F195" s="30" t="str">
        <x:v>Legally permitted advertising and endorsement due diligence</x:v>
      </x:c>
      <x:c r="G195" s="30" t="str">
        <x:v>Do not advertise a product/service prohibited by law; endorsers apply the prescribed due diligence where relevant.</x:v>
      </x:c>
      <x:c r="H195" s="30" t="str">
        <x:v>CORE</x:v>
      </x:c>
      <x:c r="I195" s="30" t="str">
        <x:v>Yes</x:v>
      </x:c>
      <x:c r="J195" s="30"/>
    </x:row>
    <x:row r="196">
      <x:c r="A196" s="30" t="str">
        <x:v>PROV195</x:v>
      </x:c>
      <x:c r="B196" s="30" t="str">
        <x:v>LAW087</x:v>
      </x:c>
      <x:c r="C196" s="30"/>
      <x:c r="D196" s="30" t="str">
        <x:v>Statutory</x:v>
      </x:c>
      <x:c r="E196" s="30" t="str">
        <x:v>Section 3; Schedule</x:v>
      </x:c>
      <x:c r="F196" s="30" t="str">
        <x:v>Prohibited drug advertisements for scheduled diseases/conditions</x:v>
      </x:c>
      <x:c r="G196" s="30" t="str">
        <x:v>Do not advertise a drug for the specified purposes/diseases or conditions covered by section 3 and the Schedule.</x:v>
      </x:c>
      <x:c r="H196" s="30" t="str">
        <x:v>CORE</x:v>
      </x:c>
      <x:c r="I196" s="30" t="str">
        <x:v>Yes</x:v>
      </x:c>
      <x:c r="J196" s="30"/>
    </x:row>
    <x:row r="197">
      <x:c r="A197" s="30" t="str">
        <x:v>PROV196</x:v>
      </x:c>
      <x:c r="B197" s="30" t="str">
        <x:v>LAW087</x:v>
      </x:c>
      <x:c r="C197" s="30"/>
      <x:c r="D197" s="30" t="str">
        <x:v>Statutory</x:v>
      </x:c>
      <x:c r="E197" s="30" t="str">
        <x:v>Section 4</x:v>
      </x:c>
      <x:c r="F197" s="30" t="str">
        <x:v>Prohibition of misleading drug advertisements</x:v>
      </x:c>
      <x:c r="G197" s="30" t="str">
        <x:v>Do not give a false impression, make a false claim or otherwise make a materially false/misleading drug advertisement.</x:v>
      </x:c>
      <x:c r="H197" s="30" t="str">
        <x:v>CORE</x:v>
      </x:c>
      <x:c r="I197" s="30" t="str">
        <x:v>Yes</x:v>
      </x:c>
      <x:c r="J197" s="30"/>
    </x:row>
    <x:row r="198">
      <x:c r="A198" s="30" t="str">
        <x:v>PROV197</x:v>
      </x:c>
      <x:c r="B198" s="30" t="str">
        <x:v>LAW087</x:v>
      </x:c>
      <x:c r="C198" s="30"/>
      <x:c r="D198" s="30" t="str">
        <x:v>Statutory</x:v>
      </x:c>
      <x:c r="E198" s="30" t="str">
        <x:v>Section 7</x:v>
      </x:c>
      <x:c r="F198" s="30" t="str">
        <x:v>Penalty for Contravention</x:v>
      </x:c>
      <x:c r="G198" s="30" t="str">
        <x:v>Penalty provisions.</x:v>
      </x:c>
      <x:c r="H198" s="30" t="str">
        <x:v>CORE</x:v>
      </x:c>
      <x:c r="I198" s="30" t="str">
        <x:v>No</x:v>
      </x:c>
      <x:c r="J198" s="30" t="str">
        <x:v>P-3 QUARANTINED: Generic State/local/permit/reference rows, penalty-only/fabricated DAMR extractions, and future-effective DPDP duties are not current production obligations.</x:v>
      </x:c>
    </x:row>
    <x:row r="199">
      <x:c r="A199" s="30" t="str">
        <x:v>PROV198</x:v>
      </x:c>
      <x:c r="B199" s="30" t="str">
        <x:v>LAW088</x:v>
      </x:c>
      <x:c r="C199" s="30"/>
      <x:c r="D199" s="30" t="str">
        <x:v>Statutory</x:v>
      </x:c>
      <x:c r="E199" s="30" t="str">
        <x:v>Rule 3</x:v>
      </x:c>
      <x:c r="F199" s="30" t="str">
        <x:v>Form and Manner of Advertisement Compliance</x:v>
      </x:c>
      <x:c r="G199" s="30" t="str">
        <x:v>Compliance with prescribed advertisement rules.</x:v>
      </x:c>
      <x:c r="H199" s="30" t="str">
        <x:v>CORE</x:v>
      </x:c>
      <x:c r="I199" s="30" t="str">
        <x:v>No</x:v>
      </x:c>
      <x:c r="J199" s="30" t="str">
        <x:v>P-3 QUARANTINED: Generic State/local/permit/reference rows, penalty-only/fabricated DAMR extractions, and future-effective DPDP duties are not current production obligations.</x:v>
      </x:c>
    </x:row>
    <x:row r="200">
      <x:c r="A200" s="30" t="str">
        <x:v>PROV199</x:v>
      </x:c>
      <x:c r="B200" s="30" t="str">
        <x:v>LAW088</x:v>
      </x:c>
      <x:c r="C200" s="30"/>
      <x:c r="D200" s="30" t="str">
        <x:v>Statutory</x:v>
      </x:c>
      <x:c r="E200" s="30" t="str">
        <x:v>Rule 4</x:v>
      </x:c>
      <x:c r="F200" s="30" t="str">
        <x:v>Record of Promotional Material</x:v>
      </x:c>
      <x:c r="G200" s="30" t="str">
        <x:v>Maintain copies of promotional materials.</x:v>
      </x:c>
      <x:c r="H200" s="30" t="str">
        <x:v>CORE</x:v>
      </x:c>
      <x:c r="I200" s="30" t="str">
        <x:v>No</x:v>
      </x:c>
      <x:c r="J200" s="30" t="str">
        <x:v>P-3 QUARANTINED: Generic State/local/permit/reference rows, penalty-only/fabricated DAMR extractions, and future-effective DPDP duties are not current production obligations.</x:v>
      </x:c>
    </x:row>
    <x:row r="201">
      <x:c r="A201" s="30" t="str">
        <x:v>PROV200</x:v>
      </x:c>
      <x:c r="B201" s="30" t="str">
        <x:v>LAW088</x:v>
      </x:c>
      <x:c r="C201" s="30"/>
      <x:c r="D201" s="30" t="str">
        <x:v>Statutory</x:v>
      </x:c>
      <x:c r="E201" s="30" t="str">
        <x:v>Rule 5</x:v>
      </x:c>
      <x:c r="F201" s="30" t="str">
        <x:v>Production of Advertisement Records During Inspection</x:v>
      </x:c>
      <x:c r="G201" s="30" t="str">
        <x:v>Records to be produced before competent authority.</x:v>
      </x:c>
      <x:c r="H201" s="30" t="str">
        <x:v>CORE</x:v>
      </x:c>
      <x:c r="I201" s="30" t="str">
        <x:v>No</x:v>
      </x:c>
      <x:c r="J201" s="30" t="str">
        <x:v>P-3 QUARANTINED: Generic State/local/permit/reference rows, penalty-only/fabricated DAMR extractions, and future-effective DPDP duties are not current production obligations.</x:v>
      </x:c>
    </x:row>
    <x:row r="202">
      <x:c r="A202" s="30" t="str">
        <x:v>PROV201</x:v>
      </x:c>
      <x:c r="B202" s="30" t="str">
        <x:v>LAW089</x:v>
      </x:c>
      <x:c r="C202" s="30"/>
      <x:c r="D202" s="30" t="str">
        <x:v>Statutory</x:v>
      </x:c>
      <x:c r="E202" s="30" t="str">
        <x:v>Section 22</x:v>
      </x:c>
      <x:c r="F202" s="30" t="str">
        <x:v>Compliance with Disaster Management Directions</x:v>
      </x:c>
      <x:c r="G202" s="30" t="str">
        <x:v>Comply with directions issued by competent authorities during disasters.</x:v>
      </x:c>
      <x:c r="H202" s="30" t="str">
        <x:v>CORE</x:v>
      </x:c>
      <x:c r="I202" s="30" t="str">
        <x:v>No</x:v>
      </x:c>
      <x:c r="J202" s="30" t="str">
        <x:v>P-4 QUARANTINED: penalty/enabling provision, duplicate internal control, generic State/event/source placeholder, or non-pharmacy-role requirement. Legacy ID retained for traceability.</x:v>
      </x:c>
    </x:row>
    <x:row r="203">
      <x:c r="A203" s="30" t="str">
        <x:v>PROV202</x:v>
      </x:c>
      <x:c r="B203" s="30" t="str">
        <x:v>LAW089</x:v>
      </x:c>
      <x:c r="C203" s="30"/>
      <x:c r="D203" s="30" t="str">
        <x:v>Statutory</x:v>
      </x:c>
      <x:c r="E203" s="30" t="str">
        <x:v>Section 24</x:v>
      </x:c>
      <x:c r="F203" s="30" t="str">
        <x:v>Implementation of State Disaster Management Directions</x:v>
      </x:c>
      <x:c r="G203" s="30" t="str">
        <x:v>Follow State Disaster Management Authority instructions.</x:v>
      </x:c>
      <x:c r="H203" s="30" t="str">
        <x:v>CORE</x:v>
      </x:c>
      <x:c r="I203" s="30" t="str">
        <x:v>No</x:v>
      </x:c>
      <x:c r="J203" s="30" t="str">
        <x:v>P-4 QUARANTINED: penalty/enabling provision, duplicate internal control, generic State/event/source placeholder, or non-pharmacy-role requirement. Legacy ID retained for traceability.</x:v>
      </x:c>
    </x:row>
    <x:row r="204">
      <x:c r="A204" s="30" t="str">
        <x:v>PROV203</x:v>
      </x:c>
      <x:c r="B204" s="30" t="str">
        <x:v>LAW089</x:v>
      </x:c>
      <x:c r="C204" s="30"/>
      <x:c r="D204" s="30" t="str">
        <x:v>Statutory</x:v>
      </x:c>
      <x:c r="E204" s="30" t="str">
        <x:v>Section 30</x:v>
      </x:c>
      <x:c r="F204" s="30" t="str">
        <x:v>District Authority Directions</x:v>
      </x:c>
      <x:c r="G204" s="30" t="str">
        <x:v>Comply with district-level emergency directions.</x:v>
      </x:c>
      <x:c r="H204" s="30" t="str">
        <x:v>CORE</x:v>
      </x:c>
      <x:c r="I204" s="30" t="str">
        <x:v>No</x:v>
      </x:c>
      <x:c r="J204" s="30" t="str">
        <x:v>P-4 QUARANTINED: penalty/enabling provision, duplicate internal control, generic State/event/source placeholder, or non-pharmacy-role requirement. Legacy ID retained for traceability.</x:v>
      </x:c>
    </x:row>
    <x:row r="205">
      <x:c r="A205" s="30" t="str">
        <x:v>PROV204</x:v>
      </x:c>
      <x:c r="B205" s="30" t="str">
        <x:v>LAW090</x:v>
      </x:c>
      <x:c r="C205" s="30"/>
      <x:c r="D205" s="30" t="str">
        <x:v>Statutory</x:v>
      </x:c>
      <x:c r="E205" s="30" t="str">
        <x:v>Section 2</x:v>
      </x:c>
      <x:c r="F205" s="30" t="str">
        <x:v>Compliance with Epidemic Control Measures</x:v>
      </x:c>
      <x:c r="G205" s="30" t="str">
        <x:v>Implement Government-issued epidemic control measures.</x:v>
      </x:c>
      <x:c r="H205" s="30" t="str">
        <x:v>CORE</x:v>
      </x:c>
      <x:c r="I205" s="30" t="str">
        <x:v>No</x:v>
      </x:c>
      <x:c r="J205" s="30" t="str">
        <x:v>P-4 QUARANTINED: penalty/enabling provision, duplicate internal control, generic State/event/source placeholder, or non-pharmacy-role requirement. Legacy ID retained for traceability.</x:v>
      </x:c>
    </x:row>
    <x:row r="206">
      <x:c r="A206" s="30" t="str">
        <x:v>PROV205</x:v>
      </x:c>
      <x:c r="B206" s="30" t="str">
        <x:v>LAW090</x:v>
      </x:c>
      <x:c r="C206" s="30"/>
      <x:c r="D206" s="30" t="str">
        <x:v>Statutory</x:v>
      </x:c>
      <x:c r="E206" s="30" t="str">
        <x:v>Section 2A</x:v>
      </x:c>
      <x:c r="F206" s="30" t="str">
        <x:v>Compliance with Central Government Regulations</x:v>
      </x:c>
      <x:c r="G206" s="30" t="str">
        <x:v>Follow Central Government epidemic-related regulations.</x:v>
      </x:c>
      <x:c r="H206" s="30" t="str">
        <x:v>CORE</x:v>
      </x:c>
      <x:c r="I206" s="30" t="str">
        <x:v>No</x:v>
      </x:c>
      <x:c r="J206" s="30" t="str">
        <x:v>P-4 QUARANTINED: penalty/enabling provision, duplicate internal control, generic State/event/source placeholder, or non-pharmacy-role requirement. Legacy ID retained for traceability.</x:v>
      </x:c>
    </x:row>
    <x:row r="207">
      <x:c r="A207" s="30" t="str">
        <x:v>PROV206</x:v>
      </x:c>
      <x:c r="B207" s="30" t="str">
        <x:v>LAW091</x:v>
      </x:c>
      <x:c r="C207" s="30"/>
      <x:c r="D207" s="30" t="str">
        <x:v>Statutory</x:v>
      </x:c>
      <x:c r="E207" s="30" t="str">
        <x:v>Clause 1</x:v>
      </x:c>
      <x:c r="F207" s="30" t="str">
        <x:v>Compliance with National Pharmaceutical Policy</x:v>
      </x:c>
      <x:c r="G207" s="30" t="str">
        <x:v>Align operations with applicable policy provisions.</x:v>
      </x:c>
      <x:c r="H207" s="30" t="str">
        <x:v>CORE</x:v>
      </x:c>
      <x:c r="I207" s="30" t="str">
        <x:v>No</x:v>
      </x:c>
      <x:c r="J207" s="30" t="str">
        <x:v>P-4 QUARANTINED: penalty/enabling provision, duplicate internal control, generic State/event/source placeholder, or non-pharmacy-role requirement. Legacy ID retained for traceability.</x:v>
      </x:c>
    </x:row>
    <x:row r="208">
      <x:c r="A208" s="30" t="str">
        <x:v>PROV207</x:v>
      </x:c>
      <x:c r="B208" s="30" t="str">
        <x:v>LAW091</x:v>
      </x:c>
      <x:c r="C208" s="30"/>
      <x:c r="D208" s="30" t="str">
        <x:v>Statutory</x:v>
      </x:c>
      <x:c r="E208" s="30" t="str">
        <x:v>Clause 2</x:v>
      </x:c>
      <x:c r="F208" s="30" t="str">
        <x:v>Availability of Essential Medicines</x:v>
      </x:c>
      <x:c r="G208" s="30" t="str">
        <x:v>Support availability of essential medicines.</x:v>
      </x:c>
      <x:c r="H208" s="30" t="str">
        <x:v>CORE</x:v>
      </x:c>
      <x:c r="I208" s="30" t="str">
        <x:v>No</x:v>
      </x:c>
      <x:c r="J208" s="30" t="str">
        <x:v>P-4 QUARANTINED: penalty/enabling provision, duplicate internal control, generic State/event/source placeholder, or non-pharmacy-role requirement. Legacy ID retained for traceability.</x:v>
      </x:c>
    </x:row>
    <x:row r="209">
      <x:c r="A209" s="30" t="str">
        <x:v>PROV208</x:v>
      </x:c>
      <x:c r="B209" s="30" t="str">
        <x:v>LAW092</x:v>
      </x:c>
      <x:c r="C209" s="30"/>
      <x:c r="D209" s="30" t="str">
        <x:v>Statutory</x:v>
      </x:c>
      <x:c r="E209" s="30" t="str">
        <x:v>Order 1</x:v>
      </x:c>
      <x:c r="F209" s="30" t="str">
        <x:v>Compliance with Essential Medicine Price Orders</x:v>
      </x:c>
      <x:c r="G209" s="30" t="str">
        <x:v>Sell notified medicines at approved prices.</x:v>
      </x:c>
      <x:c r="H209" s="30" t="str">
        <x:v>CORE</x:v>
      </x:c>
      <x:c r="I209" s="30" t="str">
        <x:v>No</x:v>
      </x:c>
      <x:c r="J209" s="30" t="str">
        <x:v>P-4 QUARANTINED: penalty/enabling provision, duplicate internal control, generic State/event/source placeholder, or non-pharmacy-role requirement. Legacy ID retained for traceability.</x:v>
      </x:c>
    </x:row>
    <x:row r="210">
      <x:c r="A210" s="30" t="str">
        <x:v>PROV209</x:v>
      </x:c>
      <x:c r="B210" s="30" t="str">
        <x:v>LAW092</x:v>
      </x:c>
      <x:c r="C210" s="30"/>
      <x:c r="D210" s="30" t="str">
        <x:v>Statutory</x:v>
      </x:c>
      <x:c r="E210" s="30" t="str">
        <x:v>Order 2</x:v>
      </x:c>
      <x:c r="F210" s="30" t="str">
        <x:v>Display of Revised Price List</x:v>
      </x:c>
      <x:c r="G210" s="30" t="str">
        <x:v>Display updated price list after notification.</x:v>
      </x:c>
      <x:c r="H210" s="30" t="str">
        <x:v>CORE</x:v>
      </x:c>
      <x:c r="I210" s="30" t="str">
        <x:v>No</x:v>
      </x:c>
      <x:c r="J210" s="30" t="str">
        <x:v>P-4 QUARANTINED: penalty/enabling provision, duplicate internal control, generic State/event/source placeholder, or non-pharmacy-role requirement. Legacy ID retained for traceability.</x:v>
      </x:c>
    </x:row>
    <x:row r="211">
      <x:c r="A211" s="30" t="str">
        <x:v>PROV210</x:v>
      </x:c>
      <x:c r="B211" s="30" t="str">
        <x:v>LAW093</x:v>
      </x:c>
      <x:c r="C211" s="30"/>
      <x:c r="D211" s="30" t="str">
        <x:v>Statutory</x:v>
      </x:c>
      <x:c r="E211" s="30" t="str">
        <x:v>Standard 1</x:v>
      </x:c>
      <x:c r="F211" s="30" t="str">
        <x:v>Compliance with Applicable BIS Standards</x:v>
      </x:c>
      <x:c r="G211" s="30" t="str">
        <x:v>Applicable where BIS standards are mandatory.</x:v>
      </x:c>
      <x:c r="H211" s="30" t="str">
        <x:v>CORE</x:v>
      </x:c>
      <x:c r="I211" s="30" t="str">
        <x:v>No</x:v>
      </x:c>
      <x:c r="J211" s="30" t="str">
        <x:v>P-3 QUARANTINED: Generic State/local/permit/reference rows, penalty-only/fabricated DAMR extractions, and future-effective DPDP duties are not current production obligations.</x:v>
      </x:c>
    </x:row>
    <x:row r="212">
      <x:c r="A212" s="30" t="str">
        <x:v>PROV211</x:v>
      </x:c>
      <x:c r="B212" s="30" t="str">
        <x:v>LAW093</x:v>
      </x:c>
      <x:c r="C212" s="30"/>
      <x:c r="D212" s="30" t="str">
        <x:v>Statutory</x:v>
      </x:c>
      <x:c r="E212" s="30" t="str">
        <x:v>Standard 2</x:v>
      </x:c>
      <x:c r="F212" s="30" t="str">
        <x:v>Maintenance of BIS-certified Equipment</x:v>
      </x:c>
      <x:c r="G212" s="30" t="str">
        <x:v>Maintain equipment meeting prescribed standards.</x:v>
      </x:c>
      <x:c r="H212" s="30" t="str">
        <x:v>CORE</x:v>
      </x:c>
      <x:c r="I212" s="30" t="str">
        <x:v>No</x:v>
      </x:c>
      <x:c r="J212" s="30" t="str">
        <x:v>P-3 QUARANTINED: Generic State/local/permit/reference rows, penalty-only/fabricated DAMR extractions, and future-effective DPDP duties are not current production obligations.</x:v>
      </x:c>
    </x:row>
    <x:row r="213">
      <x:c r="A213" s="30" t="str">
        <x:v>PROV212</x:v>
      </x:c>
      <x:c r="B213" s="30" t="str">
        <x:v>LAW035</x:v>
      </x:c>
      <x:c r="C213" s="30"/>
      <x:c r="D213" s="30" t="str">
        <x:v>Statutory</x:v>
      </x:c>
      <x:c r="E213" s="30" t="str">
        <x:v>OSHWC Code sections 16-18; 2026 Central Rules</x:v>
      </x:c>
      <x:c r="F213" s="30" t="str">
        <x:v>Employer workplace safety and health duties</x:v>
      </x:c>
      <x:c r="G213" s="30" t="str">
        <x:v>Where the Code applies, maintain a hazard-controlled workplace, provide required information/instruction and comply with notified safety/health standards.</x:v>
      </x:c>
      <x:c r="H213" s="30" t="str">
        <x:v>CORE</x:v>
      </x:c>
      <x:c r="I213" s="30" t="str">
        <x:v>Yes</x:v>
      </x:c>
      <x:c r="J213" s="30" t="str">
        <x:v>P-3 normalized; coverage/appropriate-government trigger must be documented.</x:v>
      </x:c>
    </x:row>
    <x:row r="214">
      <x:c r="A214" s="30" t="str">
        <x:v>PROV213</x:v>
      </x:c>
      <x:c r="B214" s="30" t="str">
        <x:v>LAW094</x:v>
      </x:c>
      <x:c r="C214" s="30"/>
      <x:c r="D214" s="30" t="str">
        <x:v>Statutory</x:v>
      </x:c>
      <x:c r="E214" s="30" t="str">
        <x:v>OSHWC Code sections 24-25; 2026 Central Rules</x:v>
      </x:c>
      <x:c r="F214" s="30" t="str">
        <x:v>Welfare, working-time and employee information controls</x:v>
      </x:c>
      <x:c r="G214" s="30" t="str">
        <x:v>Where applicable, implement the covered welfare, working-time and employee information/appointment-letter controls.</x:v>
      </x:c>
      <x:c r="H214" s="30" t="str">
        <x:v>CORE</x:v>
      </x:c>
      <x:c r="I214" s="30" t="str">
        <x:v>Yes</x:v>
      </x:c>
      <x:c r="J214" s="30" t="str">
        <x:v>P-3 normalized; no generic Rule 2 citation.</x:v>
      </x:c>
    </x:row>
    <x:row r="215">
      <x:c r="A215" s="30" t="str">
        <x:v>PROV214</x:v>
      </x:c>
      <x:c r="B215" s="30" t="str">
        <x:v>LAW094</x:v>
      </x:c>
      <x:c r="C215" s="30"/>
      <x:c r="D215" s="30" t="str">
        <x:v>Statutory</x:v>
      </x:c>
      <x:c r="E215" s="30" t="str">
        <x:v>OSHWC Code and 2026 Central Rules — applicable notice/accident provisions</x:v>
      </x:c>
      <x:c r="F215" s="30" t="str">
        <x:v>Occupational accident and dangerous-occurrence reporting</x:v>
      </x:c>
      <x:c r="G215" s="30" t="str">
        <x:v>Report and record only the accidents/dangerous occurrences and timelines prescribed for the covered establishment.</x:v>
      </x:c>
      <x:c r="H215" s="30" t="str">
        <x:v>CORE</x:v>
      </x:c>
      <x:c r="I215" s="30" t="str">
        <x:v>Yes</x:v>
      </x:c>
      <x:c r="J215" s="30" t="str">
        <x:v>P-3 normalized; event based.</x:v>
      </x:c>
    </x:row>
    <x:row r="216">
      <x:c r="A216" s="30" t="str">
        <x:v>PROV215</x:v>
      </x:c>
      <x:c r="B216" s="30" t="str">
        <x:v>LAW095</x:v>
      </x:c>
      <x:c r="C216" s="30"/>
      <x:c r="D216" s="30" t="str">
        <x:v>Best Practice</x:v>
      </x:c>
      <x:c r="E216" s="30" t="str">
        <x:v>Clause 1</x:v>
      </x:c>
      <x:c r="F216" s="30" t="str">
        <x:v>Temperature Mapping of Storage Areas</x:v>
      </x:c>
      <x:c r="G216" s="30" t="str">
        <x:v>Conduct temperature mapping before use.</x:v>
      </x:c>
      <x:c r="H216" s="30" t="str">
        <x:v>CORE</x:v>
      </x:c>
      <x:c r="I216" s="30" t="str">
        <x:v>Yes</x:v>
      </x:c>
      <x:c r="J216" s="30" t="str">
        <x:v>P-4 reclassified as non-statutory guidance/internal implementation. Binding obligations remain under separately mapped law, licence or exact direction.</x:v>
      </x:c>
    </x:row>
    <x:row r="217">
      <x:c r="A217" s="30" t="str">
        <x:v>PROV216</x:v>
      </x:c>
      <x:c r="B217" s="30" t="str">
        <x:v>LAW095</x:v>
      </x:c>
      <x:c r="C217" s="30"/>
      <x:c r="D217" s="30" t="str">
        <x:v>Best Practice</x:v>
      </x:c>
      <x:c r="E217" s="30" t="str">
        <x:v>Clause 2</x:v>
      </x:c>
      <x:c r="F217" s="30" t="str">
        <x:v>Periodic Revalidation of Temperature Mapping</x:v>
      </x:c>
      <x:c r="G217" s="30" t="str">
        <x:v>Repeat mapping after significant changes.</x:v>
      </x:c>
      <x:c r="H217" s="30" t="str">
        <x:v>CORE</x:v>
      </x:c>
      <x:c r="I217" s="30" t="str">
        <x:v>Yes</x:v>
      </x:c>
      <x:c r="J217" s="30" t="str">
        <x:v>P-4 reclassified as non-statutory guidance/internal implementation. Binding obligations remain under separately mapped law, licence or exact direction.</x:v>
      </x:c>
    </x:row>
    <x:row r="218">
      <x:c r="A218" s="30" t="str">
        <x:v>PROV217</x:v>
      </x:c>
      <x:c r="B218" s="30" t="str">
        <x:v>LAW095</x:v>
      </x:c>
      <x:c r="C218" s="30"/>
      <x:c r="D218" s="30" t="str">
        <x:v>Best Practice</x:v>
      </x:c>
      <x:c r="E218" s="30" t="str">
        <x:v>Clause 3</x:v>
      </x:c>
      <x:c r="F218" s="30" t="str">
        <x:v>Documentation of Temperature Mapping Studies</x:v>
      </x:c>
      <x:c r="G218" s="30" t="str">
        <x:v>Maintain mapping reports and validation records.</x:v>
      </x:c>
      <x:c r="H218" s="30" t="str">
        <x:v>CORE</x:v>
      </x:c>
      <x:c r="I218" s="30" t="str">
        <x:v>Yes</x:v>
      </x:c>
      <x:c r="J218" s="30" t="str">
        <x:v>P-4 reclassified as non-statutory guidance/internal implementation. Binding obligations remain under separately mapped law, licence or exact direction.</x:v>
      </x:c>
    </x:row>
    <x:row r="219">
      <x:c r="A219" s="30" t="str">
        <x:v>PROV218</x:v>
      </x:c>
      <x:c r="B219" s="30" t="str">
        <x:v>LAW096</x:v>
      </x:c>
      <x:c r="C219" s="30"/>
      <x:c r="D219" s="30" t="str">
        <x:v>Best Practice</x:v>
      </x:c>
      <x:c r="E219" s="30" t="str">
        <x:v>Clause 1</x:v>
      </x:c>
      <x:c r="F219" s="30" t="str">
        <x:v>Calibration of Measuring Instruments</x:v>
      </x:c>
      <x:c r="G219" s="30" t="str">
        <x:v>Periodic calibration of critical instruments.</x:v>
      </x:c>
      <x:c r="H219" s="30" t="str">
        <x:v>CORE</x:v>
      </x:c>
      <x:c r="I219" s="30" t="str">
        <x:v>Yes</x:v>
      </x:c>
      <x:c r="J219" s="30" t="str">
        <x:v>P-4 reclassified as non-statutory guidance/internal implementation. Binding obligations remain under separately mapped law, licence or exact direction.</x:v>
      </x:c>
    </x:row>
    <x:row r="220">
      <x:c r="A220" s="30" t="str">
        <x:v>PROV219</x:v>
      </x:c>
      <x:c r="B220" s="30" t="str">
        <x:v>LAW096</x:v>
      </x:c>
      <x:c r="C220" s="30"/>
      <x:c r="D220" s="30" t="str">
        <x:v>Best Practice</x:v>
      </x:c>
      <x:c r="E220" s="30" t="str">
        <x:v>Clause 2</x:v>
      </x:c>
      <x:c r="F220" s="30" t="str">
        <x:v>Equipment Qualification</x:v>
      </x:c>
      <x:c r="G220" s="30" t="str">
        <x:v>Qualification of equipment before operational use.</x:v>
      </x:c>
      <x:c r="H220" s="30" t="str">
        <x:v>CORE</x:v>
      </x:c>
      <x:c r="I220" s="30" t="str">
        <x:v>Yes</x:v>
      </x:c>
      <x:c r="J220" s="30" t="str">
        <x:v>P-4 reclassified as non-statutory guidance/internal implementation. Binding obligations remain under separately mapped law, licence or exact direction.</x:v>
      </x:c>
    </x:row>
    <x:row r="221">
      <x:c r="A221" s="30" t="str">
        <x:v>PROV220</x:v>
      </x:c>
      <x:c r="B221" s="30" t="str">
        <x:v>LAW096</x:v>
      </x:c>
      <x:c r="C221" s="30"/>
      <x:c r="D221" s="30" t="str">
        <x:v>Best Practice</x:v>
      </x:c>
      <x:c r="E221" s="30" t="str">
        <x:v>Clause 3</x:v>
      </x:c>
      <x:c r="F221" s="30" t="str">
        <x:v>Preventive Maintenance Programme</x:v>
      </x:c>
      <x:c r="G221" s="30" t="str">
        <x:v>Scheduled preventive maintenance of equipment.</x:v>
      </x:c>
      <x:c r="H221" s="30" t="str">
        <x:v>CORE</x:v>
      </x:c>
      <x:c r="I221" s="30" t="str">
        <x:v>Yes</x:v>
      </x:c>
      <x:c r="J221" s="30" t="str">
        <x:v>P-4 reclassified as non-statutory guidance/internal implementation. Binding obligations remain under separately mapped law, licence or exact direction.</x:v>
      </x:c>
    </x:row>
    <x:row r="222">
      <x:c r="A222" s="30" t="str">
        <x:v>PROV221</x:v>
      </x:c>
      <x:c r="B222" s="30" t="str">
        <x:v>LAW096</x:v>
      </x:c>
      <x:c r="C222" s="30"/>
      <x:c r="D222" s="30" t="str">
        <x:v>Best Practice</x:v>
      </x:c>
      <x:c r="E222" s="30" t="str">
        <x:v>Clause 4</x:v>
      </x:c>
      <x:c r="F222" s="30" t="str">
        <x:v>Calibration Records</x:v>
      </x:c>
      <x:c r="G222" s="30" t="str">
        <x:v>Maintain calibration certificates and records.</x:v>
      </x:c>
      <x:c r="H222" s="30" t="str">
        <x:v>CORE</x:v>
      </x:c>
      <x:c r="I222" s="30" t="str">
        <x:v>Yes</x:v>
      </x:c>
      <x:c r="J222" s="30" t="str">
        <x:v>P-4 reclassified as non-statutory guidance/internal implementation. Binding obligations remain under separately mapped law, licence or exact direction.</x:v>
      </x:c>
    </x:row>
    <x:row r="223">
      <x:c r="A223" s="30" t="str">
        <x:v>PROV222</x:v>
      </x:c>
      <x:c r="B223" s="30" t="str">
        <x:v>LAW096</x:v>
      </x:c>
      <x:c r="C223" s="30"/>
      <x:c r="D223" s="30" t="str">
        <x:v>Best Practice</x:v>
      </x:c>
      <x:c r="E223" s="30" t="str">
        <x:v>Clause 5</x:v>
      </x:c>
      <x:c r="F223" s="30" t="str">
        <x:v>Equipment Performance Verification</x:v>
      </x:c>
      <x:c r="G223" s="30" t="str">
        <x:v>Verify equipment performance after maintenance.</x:v>
      </x:c>
      <x:c r="H223" s="30" t="str">
        <x:v>CORE</x:v>
      </x:c>
      <x:c r="I223" s="30" t="str">
        <x:v>Yes</x:v>
      </x:c>
      <x:c r="J223" s="30" t="str">
        <x:v>P-4 reclassified as non-statutory guidance/internal implementation. Binding obligations remain under separately mapped law, licence or exact direction.</x:v>
      </x:c>
    </x:row>
    <x:row r="224">
      <x:c r="A224" s="30" t="str">
        <x:v>PROV223</x:v>
      </x:c>
      <x:c r="B224" s="30" t="str">
        <x:v>LAW096</x:v>
      </x:c>
      <x:c r="C224" s="30"/>
      <x:c r="D224" s="30" t="str">
        <x:v>Best Practice</x:v>
      </x:c>
      <x:c r="E224" s="30" t="str">
        <x:v>Clause 6</x:v>
      </x:c>
      <x:c r="F224" s="30" t="str">
        <x:v>Identification of Out-of-Calibration Equipment</x:v>
      </x:c>
      <x:c r="G224" s="30" t="str">
        <x:v>Segregate and identify equipment pending calibration.</x:v>
      </x:c>
      <x:c r="H224" s="30" t="str">
        <x:v>CORE</x:v>
      </x:c>
      <x:c r="I224" s="30" t="str">
        <x:v>Yes</x:v>
      </x:c>
      <x:c r="J224" s="30" t="str">
        <x:v>P-4 reclassified as non-statutory guidance/internal implementation. Binding obligations remain under separately mapped law, licence or exact direction.</x:v>
      </x:c>
    </x:row>
    <x:row r="225">
      <x:c r="A225" s="30" t="str">
        <x:v>PROV224</x:v>
      </x:c>
      <x:c r="B225" s="30" t="str">
        <x:v>LAW096</x:v>
      </x:c>
      <x:c r="C225" s="30"/>
      <x:c r="D225" s="30" t="str">
        <x:v>Best Practice</x:v>
      </x:c>
      <x:c r="E225" s="30" t="str">
        <x:v>Clause 7</x:v>
      </x:c>
      <x:c r="F225" s="30" t="str">
        <x:v>Calibration Traceability</x:v>
      </x:c>
      <x:c r="G225" s="30" t="str">
        <x:v>Calibration traceable to recognized standards.</x:v>
      </x:c>
      <x:c r="H225" s="30" t="str">
        <x:v>CORE</x:v>
      </x:c>
      <x:c r="I225" s="30" t="str">
        <x:v>Yes</x:v>
      </x:c>
      <x:c r="J225" s="30" t="str">
        <x:v>P-4 reclassified as non-statutory guidance/internal implementation. Binding obligations remain under separately mapped law, licence or exact direction.</x:v>
      </x:c>
    </x:row>
    <x:row r="226">
      <x:c r="A226" s="30" t="str">
        <x:v>PROV225</x:v>
      </x:c>
      <x:c r="B226" s="30" t="str">
        <x:v>LAW096</x:v>
      </x:c>
      <x:c r="C226" s="30"/>
      <x:c r="D226" s="30" t="str">
        <x:v>Best Practice</x:v>
      </x:c>
      <x:c r="E226" s="30" t="str">
        <x:v>Clause 8</x:v>
      </x:c>
      <x:c r="F226" s="30" t="str">
        <x:v>Review of Calibration Programme</x:v>
      </x:c>
      <x:c r="G226" s="30" t="str">
        <x:v>Periodic management review of calibration effectiveness.</x:v>
      </x:c>
      <x:c r="H226" s="30" t="str">
        <x:v>CORE</x:v>
      </x:c>
      <x:c r="I226" s="30" t="str">
        <x:v>Yes</x:v>
      </x:c>
      <x:c r="J226" s="30" t="str">
        <x:v>P-4 reclassified as non-statutory guidance/internal implementation. Binding obligations remain under separately mapped law, licence or exact direction.</x:v>
      </x:c>
    </x:row>
    <x:row r="227">
      <x:c r="A227" s="30" t="str">
        <x:v>PROV226</x:v>
      </x:c>
      <x:c r="B227" s="30" t="str">
        <x:v>LAW097</x:v>
      </x:c>
      <x:c r="C227" s="30"/>
      <x:c r="D227" s="30" t="str">
        <x:v>Statutory</x:v>
      </x:c>
      <x:c r="E227" s="30" t="str">
        <x:v>CERT-In Directions, clause (i)</x:v>
      </x:c>
      <x:c r="F227" s="30" t="str">
        <x:v>ICT system clock synchronisation</x:v>
      </x:c>
      <x:c r="G227" s="30" t="str">
        <x:v>Connect ICT system clocks to NIC/NPL traceable NTP servers or another accurate time source traceable to them.</x:v>
      </x:c>
      <x:c r="H227" s="30" t="str">
        <x:v>CORE</x:v>
      </x:c>
      <x:c r="I227" s="30" t="str">
        <x:v>Yes</x:v>
      </x:c>
      <x:c r="J227" s="30"/>
    </x:row>
    <x:row r="228">
      <x:c r="A228" s="30" t="str">
        <x:v>PROV227</x:v>
      </x:c>
      <x:c r="B228" s="30" t="str">
        <x:v>LAW097</x:v>
      </x:c>
      <x:c r="C228" s="30"/>
      <x:c r="D228" s="30" t="str">
        <x:v>Statutory</x:v>
      </x:c>
      <x:c r="E228" s="30" t="str">
        <x:v>CERT-In Directions, clause (ii) and Annexure I</x:v>
      </x:c>
      <x:c r="F228" s="30" t="str">
        <x:v>Report specified cyber incidents within six hours</x:v>
      </x:c>
      <x:c r="G228" s="30" t="str">
        <x:v>Report an Annexure I cyber incident to CERT-In within six hours of noticing it or being informed.</x:v>
      </x:c>
      <x:c r="H228" s="30" t="str">
        <x:v>CORE</x:v>
      </x:c>
      <x:c r="I228" s="30" t="str">
        <x:v>Yes</x:v>
      </x:c>
      <x:c r="J228" s="30"/>
    </x:row>
    <x:row r="229">
      <x:c r="A229" s="30" t="str">
        <x:v>PROV228</x:v>
      </x:c>
      <x:c r="B229" s="30" t="str">
        <x:v>LAW097</x:v>
      </x:c>
      <x:c r="C229" s="30"/>
      <x:c r="D229" s="30" t="str">
        <x:v>Statutory</x:v>
      </x:c>
      <x:c r="E229" s="30" t="str">
        <x:v>CERT-In Directions, clause (iv)</x:v>
      </x:c>
      <x:c r="F229" s="30" t="str">
        <x:v>Secure ICT log retention for 180 days within India</x:v>
      </x:c>
      <x:c r="G229" s="30" t="str">
        <x:v>Enable logs for ICT systems, retain them securely for a rolling 180 days within Indian jurisdiction and provide them to CERT-In when lawfully required.</x:v>
      </x:c>
      <x:c r="H229" s="30" t="str">
        <x:v>CORE</x:v>
      </x:c>
      <x:c r="I229" s="30" t="str">
        <x:v>Yes</x:v>
      </x:c>
      <x:c r="J229" s="30"/>
    </x:row>
    <x:row r="230">
      <x:c r="A230" s="30" t="str">
        <x:v>PROV229</x:v>
      </x:c>
      <x:c r="B230" s="30" t="str">
        <x:v>LAW097</x:v>
      </x:c>
      <x:c r="C230" s="30"/>
      <x:c r="D230" s="30" t="str">
        <x:v>Statutory</x:v>
      </x:c>
      <x:c r="E230" s="30" t="str">
        <x:v>CERT-In Directions, clause (v)</x:v>
      </x:c>
      <x:c r="F230" s="30" t="str">
        <x:v>CERT-In point of contact</x:v>
      </x:c>
      <x:c r="G230" s="30" t="str">
        <x:v>Designate and communicate the prescribed point-of-contact information to CERT-In and keep it current.</x:v>
      </x:c>
      <x:c r="H230" s="30" t="str">
        <x:v>CORE</x:v>
      </x:c>
      <x:c r="I230" s="30" t="str">
        <x:v>Yes</x:v>
      </x:c>
      <x:c r="J230" s="30"/>
    </x:row>
    <x:row r="231">
      <x:c r="A231" s="30" t="str">
        <x:v>PROV230</x:v>
      </x:c>
      <x:c r="B231" s="30" t="str">
        <x:v>LAW098</x:v>
      </x:c>
      <x:c r="C231" s="30"/>
      <x:c r="D231" s="30" t="str">
        <x:v>Statutory</x:v>
      </x:c>
      <x:c r="E231" s="30" t="str">
        <x:v>DPDP Rule 3 — future substantive commencement</x:v>
      </x:c>
      <x:c r="F231" s="30" t="str">
        <x:v>Itemised DPDP notice — future-effective</x:v>
      </x:c>
      <x:c r="G231" s="30" t="str">
        <x:v>Future rule specifying an independently understandable notice with itemised data/purpose and rights routes.</x:v>
      </x:c>
      <x:c r="H231" s="30" t="str">
        <x:v>CORE</x:v>
      </x:c>
      <x:c r="I231" s="30" t="str">
        <x:v>No</x:v>
      </x:c>
      <x:c r="J231" s="30" t="str">
        <x:v>P-3 QUARANTINED: Generic State/local/permit/reference rows, penalty-only/fabricated DAMR extractions, and future-effective DPDP duties are not current production obligations.</x:v>
      </x:c>
    </x:row>
    <x:row r="232">
      <x:c r="A232" s="30" t="str">
        <x:v>PROV231</x:v>
      </x:c>
      <x:c r="B232" s="30" t="str">
        <x:v>LAW098</x:v>
      </x:c>
      <x:c r="C232" s="30"/>
      <x:c r="D232" s="30" t="str">
        <x:v>Statutory</x:v>
      </x:c>
      <x:c r="E232" s="30" t="str">
        <x:v>DPDP Rule 6 — future substantive commencement</x:v>
      </x:c>
      <x:c r="F232" s="30" t="str">
        <x:v>Reasonable security safeguards — future-effective</x:v>
      </x:c>
      <x:c r="G232" s="30" t="str">
        <x:v>Future minimum security-safeguard rule for Data Fiduciaries.</x:v>
      </x:c>
      <x:c r="H232" s="30" t="str">
        <x:v>CORE</x:v>
      </x:c>
      <x:c r="I232" s="30" t="str">
        <x:v>No</x:v>
      </x:c>
      <x:c r="J232" s="30" t="str">
        <x:v>P-3 QUARANTINED: Generic State/local/permit/reference rows, penalty-only/fabricated DAMR extractions, and future-effective DPDP duties are not current production obligations.</x:v>
      </x:c>
    </x:row>
    <x:row r="233">
      <x:c r="A233" s="30" t="str">
        <x:v>PROV232</x:v>
      </x:c>
      <x:c r="B233" s="30" t="str">
        <x:v>LAW098</x:v>
      </x:c>
      <x:c r="C233" s="30"/>
      <x:c r="D233" s="30" t="str">
        <x:v>Statutory</x:v>
      </x:c>
      <x:c r="E233" s="30" t="str">
        <x:v>DPDP Rule 7 — future substantive commencement</x:v>
      </x:c>
      <x:c r="F233" s="30" t="str">
        <x:v>Personal data breach intimation — future-effective</x:v>
      </x:c>
      <x:c r="G233" s="30" t="str">
        <x:v>Future staged intimation content/timing to affected Data Principals and the Board.</x:v>
      </x:c>
      <x:c r="H233" s="30" t="str">
        <x:v>CORE</x:v>
      </x:c>
      <x:c r="I233" s="30" t="str">
        <x:v>No</x:v>
      </x:c>
      <x:c r="J233" s="30" t="str">
        <x:v>P-3 QUARANTINED: Generic State/local/permit/reference rows, penalty-only/fabricated DAMR extractions, and future-effective DPDP duties are not current production obligations.</x:v>
      </x:c>
    </x:row>
    <x:row r="234">
      <x:c r="A234" s="30" t="str">
        <x:v>PROV233</x:v>
      </x:c>
      <x:c r="B234" s="30" t="str">
        <x:v>LAW098</x:v>
      </x:c>
      <x:c r="C234" s="30"/>
      <x:c r="D234" s="30" t="str">
        <x:v>Statutory</x:v>
      </x:c>
      <x:c r="E234" s="30" t="str">
        <x:v>DPDP Rule 13 — future substantive commencement</x:v>
      </x:c>
      <x:c r="F234" s="30" t="str">
        <x:v>Published rights and grievance mechanism — future-effective</x:v>
      </x:c>
      <x:c r="G234" s="30" t="str">
        <x:v>Future publication and handling mechanism for Data Principal rights/grievances.</x:v>
      </x:c>
      <x:c r="H234" s="30" t="str">
        <x:v>CORE</x:v>
      </x:c>
      <x:c r="I234" s="30" t="str">
        <x:v>No</x:v>
      </x:c>
      <x:c r="J234" s="30" t="str">
        <x:v>P-3 QUARANTINED: Generic State/local/permit/reference rows, penalty-only/fabricated DAMR extractions, and future-effective DPDP duties are not current production obligations.</x:v>
      </x:c>
    </x:row>
    <x:row r="235">
      <x:c r="A235" s="30" t="str">
        <x:v>PROV234</x:v>
      </x:c>
      <x:c r="B235" s="30" t="str">
        <x:v>LAW098</x:v>
      </x:c>
      <x:c r="C235" s="30"/>
      <x:c r="D235" s="30" t="str">
        <x:v>Statutory</x:v>
      </x:c>
      <x:c r="E235" s="30" t="str">
        <x:v>DPDP Rules 8-12 — future/role conditional</x:v>
      </x:c>
      <x:c r="F235" s="30" t="str">
        <x:v>Erasure/contact/child-data and significant-fiduciary controls — future-effective</x:v>
      </x:c>
      <x:c r="G235" s="30" t="str">
        <x:v>Future controls activated by the exact data/child/significant-fiduciary role.</x:v>
      </x:c>
      <x:c r="H235" s="30" t="str">
        <x:v>CORE</x:v>
      </x:c>
      <x:c r="I235" s="30" t="str">
        <x:v>No</x:v>
      </x:c>
      <x:c r="J235" s="30" t="str">
        <x:v>P-3 QUARANTINED: Generic State/local/permit/reference rows, penalty-only/fabricated DAMR extractions, and future-effective DPDP duties are not current production obligations.</x:v>
      </x:c>
    </x:row>
    <x:row r="236">
      <x:c r="A236" s="30" t="str">
        <x:v>PROV235</x:v>
      </x:c>
      <x:c r="B236" s="30" t="str">
        <x:v>LAW098</x:v>
      </x:c>
      <x:c r="C236" s="30"/>
      <x:c r="D236" s="30" t="str">
        <x:v>Statutory</x:v>
      </x:c>
      <x:c r="E236" s="30" t="str">
        <x:v>DPDP Rules 3-16 — future substantive family</x:v>
      </x:c>
      <x:c r="F236" s="30" t="str">
        <x:v>DPDP implementation records — future readiness</x:v>
      </x:c>
      <x:c r="G236" s="30" t="str">
        <x:v>Future evidence set derived from the exact commenced rule; no generic current Rule 6 breach-register duty exists.</x:v>
      </x:c>
      <x:c r="H236" s="30" t="str">
        <x:v>CORE</x:v>
      </x:c>
      <x:c r="I236" s="30" t="str">
        <x:v>No</x:v>
      </x:c>
      <x:c r="J236" s="30" t="str">
        <x:v>P-3 QUARANTINED: Generic State/local/permit/reference rows, penalty-only/fabricated DAMR extractions, and future-effective DPDP duties are not current production obligations.</x:v>
      </x:c>
    </x:row>
    <x:row r="237">
      <x:c r="A237" s="30" t="str">
        <x:v>PROV236</x:v>
      </x:c>
      <x:c r="B237" s="30" t="str">
        <x:v>LAW099</x:v>
      </x:c>
      <x:c r="C237" s="30"/>
      <x:c r="D237" s="30" t="str">
        <x:v>Best Practice</x:v>
      </x:c>
      <x:c r="E237" s="30" t="str">
        <x:v>IR-08</x:v>
      </x:c>
      <x:c r="F237" s="30" t="str">
        <x:v>Continuous Inspection Readiness</x:v>
      </x:c>
      <x:c r="G237" s="30" t="str">
        <x:v>Maintain pharmacy operations in a state of inspection readiness.</x:v>
      </x:c>
      <x:c r="H237" s="30" t="str">
        <x:v>CORE</x:v>
      </x:c>
      <x:c r="I237" s="30" t="str">
        <x:v>Yes</x:v>
      </x:c>
      <x:c r="J237" s="30" t="str">
        <x:v>P-3 RECLASSIFIED: optional internal governance; not a statutory provision.</x:v>
      </x:c>
    </x:row>
    <x:row r="238">
      <x:c r="A238" s="30" t="str">
        <x:v>PROV237</x:v>
      </x:c>
      <x:c r="B238" s="30" t="str">
        <x:v>LAW099</x:v>
      </x:c>
      <x:c r="C238" s="30"/>
      <x:c r="D238" s="30" t="str">
        <x:v>Best Practice</x:v>
      </x:c>
      <x:c r="E238" s="30" t="str">
        <x:v>IR-09</x:v>
      </x:c>
      <x:c r="F238" s="30" t="str">
        <x:v>Availability of Statutory Documents</x:v>
      </x:c>
      <x:c r="G238" s="30" t="str">
        <x:v>Ensure licences, approvals and statutory records are readily available.</x:v>
      </x:c>
      <x:c r="H238" s="30" t="str">
        <x:v>CORE</x:v>
      </x:c>
      <x:c r="I238" s="30" t="str">
        <x:v>Yes</x:v>
      </x:c>
      <x:c r="J238" s="30" t="str">
        <x:v>P-3 RECLASSIFIED: optional internal governance; not a statutory provision.</x:v>
      </x:c>
    </x:row>
    <x:row r="239">
      <x:c r="A239" s="30" t="str">
        <x:v>PROV238</x:v>
      </x:c>
      <x:c r="B239" s="30" t="str">
        <x:v>LAW099</x:v>
      </x:c>
      <x:c r="C239" s="30"/>
      <x:c r="D239" s="30" t="str">
        <x:v>Best Practice</x:v>
      </x:c>
      <x:c r="E239" s="30" t="str">
        <x:v>IR-10</x:v>
      </x:c>
      <x:c r="F239" s="30" t="str">
        <x:v>Maintenance of Approved Standard Operating Procedures</x:v>
      </x:c>
      <x:c r="G239" s="30" t="str">
        <x:v>Maintain current approved SOPs for regulated activities.</x:v>
      </x:c>
      <x:c r="H239" s="30" t="str">
        <x:v>CORE</x:v>
      </x:c>
      <x:c r="I239" s="30" t="str">
        <x:v>Yes</x:v>
      </x:c>
      <x:c r="J239" s="30" t="str">
        <x:v>P-3 RECLASSIFIED: optional internal governance; not a statutory provision.</x:v>
      </x:c>
    </x:row>
    <x:row r="240">
      <x:c r="A240" s="30" t="str">
        <x:v>PROV239</x:v>
      </x:c>
      <x:c r="B240" s="30" t="str">
        <x:v>LAW099</x:v>
      </x:c>
      <x:c r="C240" s="30"/>
      <x:c r="D240" s="30" t="str">
        <x:v>Best Practice</x:v>
      </x:c>
      <x:c r="E240" s="30" t="str">
        <x:v>IR-11</x:v>
      </x:c>
      <x:c r="F240" s="30" t="str">
        <x:v>Response to Regulatory Inspection Observations</x:v>
      </x:c>
      <x:c r="G240" s="30" t="str">
        <x:v>Respond to inspection findings within prescribed timelines.</x:v>
      </x:c>
      <x:c r="H240" s="30" t="str">
        <x:v>CORE</x:v>
      </x:c>
      <x:c r="I240" s="30" t="str">
        <x:v>Yes</x:v>
      </x:c>
      <x:c r="J240" s="30" t="str">
        <x:v>P-3 RECLASSIFIED: optional internal governance; not a statutory provision.</x:v>
      </x:c>
    </x:row>
    <x:row r="241">
      <x:c r="A241" s="30" t="str">
        <x:v>PROV240</x:v>
      </x:c>
      <x:c r="B241" s="30" t="str">
        <x:v>LAW099</x:v>
      </x:c>
      <x:c r="C241" s="30"/>
      <x:c r="D241" s="30" t="str">
        <x:v>Best Practice</x:v>
      </x:c>
      <x:c r="E241" s="30" t="str">
        <x:v>IR-12</x:v>
      </x:c>
      <x:c r="F241" s="30" t="str">
        <x:v>Corrective and Preventive Action Following Inspection</x:v>
      </x:c>
      <x:c r="G241" s="30" t="str">
        <x:v>Implement CAPA arising from inspections.</x:v>
      </x:c>
      <x:c r="H241" s="30" t="str">
        <x:v>CORE</x:v>
      </x:c>
      <x:c r="I241" s="30" t="str">
        <x:v>Yes</x:v>
      </x:c>
      <x:c r="J241" s="30" t="str">
        <x:v>P-3 RECLASSIFIED: optional internal governance; not a statutory provision.</x:v>
      </x:c>
    </x:row>
    <x:row r="242">
      <x:c r="A242" s="30" t="str">
        <x:v>PROV241</x:v>
      </x:c>
      <x:c r="B242" s="30" t="str">
        <x:v>LAW099</x:v>
      </x:c>
      <x:c r="C242" s="30"/>
      <x:c r="D242" s="30" t="str">
        <x:v>Best Practice</x:v>
      </x:c>
      <x:c r="E242" s="30" t="str">
        <x:v>IR-13</x:v>
      </x:c>
      <x:c r="F242" s="30" t="str">
        <x:v>Periodic Internal Compliance Review</x:v>
      </x:c>
      <x:c r="G242" s="30" t="str">
        <x:v>Conduct structured internal compliance reviews.</x:v>
      </x:c>
      <x:c r="H242" s="30" t="str">
        <x:v>CORE</x:v>
      </x:c>
      <x:c r="I242" s="30" t="str">
        <x:v>Yes</x:v>
      </x:c>
      <x:c r="J242" s="30" t="str">
        <x:v>P-3 RECLASSIFIED: optional internal governance; not a statutory provision.</x:v>
      </x:c>
    </x:row>
    <x:row r="243">
      <x:c r="A243" s="30" t="str">
        <x:v>PROV242</x:v>
      </x:c>
      <x:c r="B243" s="30" t="str">
        <x:v>LAW099</x:v>
      </x:c>
      <x:c r="C243" s="30"/>
      <x:c r="D243" s="30" t="str">
        <x:v>Best Practice</x:v>
      </x:c>
      <x:c r="E243" s="30" t="str">
        <x:v>GOV-19</x:v>
      </x:c>
      <x:c r="F243" s="30" t="str">
        <x:v>Enterprise Compliance Governance Framework</x:v>
      </x:c>
      <x:c r="G243" s="30" t="str">
        <x:v>Establish governance framework for regulatory compliance.</x:v>
      </x:c>
      <x:c r="H243" s="30" t="str">
        <x:v>CORE</x:v>
      </x:c>
      <x:c r="I243" s="30" t="str">
        <x:v>Yes</x:v>
      </x:c>
      <x:c r="J243" s="30" t="str">
        <x:v>P-3 RECLASSIFIED: optional internal governance; not a statutory provision.</x:v>
      </x:c>
    </x:row>
    <x:row r="244">
      <x:c r="A244" s="30" t="str">
        <x:v>PROV243</x:v>
      </x:c>
      <x:c r="B244" s="30" t="str">
        <x:v>LAW099</x:v>
      </x:c>
      <x:c r="C244" s="30"/>
      <x:c r="D244" s="30" t="str">
        <x:v>Best Practice</x:v>
      </x:c>
      <x:c r="E244" s="30" t="str">
        <x:v>GOV-20</x:v>
      </x:c>
      <x:c r="F244" s="30" t="str">
        <x:v>Compliance Roles and Responsibilities</x:v>
      </x:c>
      <x:c r="G244" s="30" t="str">
        <x:v>Assign compliance ownership and accountability.</x:v>
      </x:c>
      <x:c r="H244" s="30" t="str">
        <x:v>CORE</x:v>
      </x:c>
      <x:c r="I244" s="30" t="str">
        <x:v>Yes</x:v>
      </x:c>
      <x:c r="J244" s="30" t="str">
        <x:v>P-3 RECLASSIFIED: optional internal governance; not a statutory provision.</x:v>
      </x:c>
    </x:row>
    <x:row r="245">
      <x:c r="A245" s="30" t="str">
        <x:v>PROV244</x:v>
      </x:c>
      <x:c r="B245" s="30" t="str">
        <x:v>LAW099</x:v>
      </x:c>
      <x:c r="C245" s="30"/>
      <x:c r="D245" s="30" t="str">
        <x:v>Best Practice</x:v>
      </x:c>
      <x:c r="E245" s="30" t="str">
        <x:v>GOV-21</x:v>
      </x:c>
      <x:c r="F245" s="30" t="str">
        <x:v>Regulatory Change Management Programme</x:v>
      </x:c>
      <x:c r="G245" s="30" t="str">
        <x:v>Monitor, assess and implement regulatory changes.</x:v>
      </x:c>
      <x:c r="H245" s="30" t="str">
        <x:v>CORE</x:v>
      </x:c>
      <x:c r="I245" s="30" t="str">
        <x:v>Yes</x:v>
      </x:c>
      <x:c r="J245" s="30" t="str">
        <x:v>P-3 RECLASSIFIED: optional internal governance; not a statutory provision.</x:v>
      </x:c>
    </x:row>
    <x:row r="246">
      <x:c r="A246" s="30" t="str">
        <x:v>PROV245</x:v>
      </x:c>
      <x:c r="B246" s="30" t="str">
        <x:v>LAW099</x:v>
      </x:c>
      <x:c r="C246" s="30"/>
      <x:c r="D246" s="30" t="str">
        <x:v>Best Practice</x:v>
      </x:c>
      <x:c r="E246" s="30" t="str">
        <x:v>GOV-22</x:v>
      </x:c>
      <x:c r="F246" s="30" t="str">
        <x:v>Enterprise Compliance Calendar</x:v>
      </x:c>
      <x:c r="G246" s="30" t="str">
        <x:v>Maintain centralized compliance calendar.</x:v>
      </x:c>
      <x:c r="H246" s="30" t="str">
        <x:v>CORE</x:v>
      </x:c>
      <x:c r="I246" s="30" t="str">
        <x:v>Yes</x:v>
      </x:c>
      <x:c r="J246" s="30" t="str">
        <x:v>P-3 RECLASSIFIED: optional internal governance; not a statutory provision.</x:v>
      </x:c>
    </x:row>
    <x:row r="247">
      <x:c r="A247" s="30" t="str">
        <x:v>PROV246</x:v>
      </x:c>
      <x:c r="B247" s="30" t="str">
        <x:v>LAW099</x:v>
      </x:c>
      <x:c r="C247" s="30"/>
      <x:c r="D247" s="30" t="str">
        <x:v>Best Practice</x:v>
      </x:c>
      <x:c r="E247" s="30" t="str">
        <x:v>GOV-23</x:v>
      </x:c>
      <x:c r="F247" s="30" t="str">
        <x:v>Compliance Reporting to Management</x:v>
      </x:c>
      <x:c r="G247" s="30" t="str">
        <x:v>Periodic compliance reporting to management.</x:v>
      </x:c>
      <x:c r="H247" s="30" t="str">
        <x:v>CORE</x:v>
      </x:c>
      <x:c r="I247" s="30" t="str">
        <x:v>Yes</x:v>
      </x:c>
      <x:c r="J247" s="30" t="str">
        <x:v>P-3 RECLASSIFIED: optional internal governance; not a statutory provision.</x:v>
      </x:c>
    </x:row>
    <x:row r="248">
      <x:c r="A248" s="30" t="str">
        <x:v>PROV247</x:v>
      </x:c>
      <x:c r="B248" s="30" t="str">
        <x:v>LAW099</x:v>
      </x:c>
      <x:c r="C248" s="30"/>
      <x:c r="D248" s="30" t="str">
        <x:v>Best Practice</x:v>
      </x:c>
      <x:c r="E248" s="30" t="str">
        <x:v>GOV-24</x:v>
      </x:c>
      <x:c r="F248" s="30" t="str">
        <x:v>Enterprise Regulatory Risk Assessment</x:v>
      </x:c>
      <x:c r="G248" s="30" t="str">
        <x:v>Identify, assess and review regulatory risks.</x:v>
      </x:c>
      <x:c r="H248" s="30" t="str">
        <x:v>CORE</x:v>
      </x:c>
      <x:c r="I248" s="30" t="str">
        <x:v>Yes</x:v>
      </x:c>
      <x:c r="J248" s="30" t="str">
        <x:v>P-3 RECLASSIFIED: optional internal governance; not a statutory provision.</x:v>
      </x:c>
    </x:row>
    <x:row r="249">
      <x:c r="A249" s="30" t="str">
        <x:v>PROV248</x:v>
      </x:c>
      <x:c r="B249" s="30" t="str">
        <x:v>LAW099</x:v>
      </x:c>
      <x:c r="C249" s="30"/>
      <x:c r="D249" s="30" t="str">
        <x:v>Best Practice</x:v>
      </x:c>
      <x:c r="E249" s="30" t="str">
        <x:v>GOV-25</x:v>
      </x:c>
      <x:c r="F249" s="30" t="str">
        <x:v>Internal Compliance Audit Programme</x:v>
      </x:c>
      <x:c r="G249" s="30" t="str">
        <x:v>Conduct risk-based internal compliance audits.</x:v>
      </x:c>
      <x:c r="H249" s="30" t="str">
        <x:v>CORE</x:v>
      </x:c>
      <x:c r="I249" s="30" t="str">
        <x:v>Yes</x:v>
      </x:c>
      <x:c r="J249" s="30" t="str">
        <x:v>P-3 RECLASSIFIED: optional internal governance; not a statutory provision.</x:v>
      </x:c>
    </x:row>
    <x:row r="250">
      <x:c r="A250" s="30" t="str">
        <x:v>PROV249</x:v>
      </x:c>
      <x:c r="B250" s="30" t="str">
        <x:v>LAW099</x:v>
      </x:c>
      <x:c r="C250" s="30"/>
      <x:c r="D250" s="30" t="str">
        <x:v>Best Practice</x:v>
      </x:c>
      <x:c r="E250" s="30" t="str">
        <x:v>GOV-26</x:v>
      </x:c>
      <x:c r="F250" s="30" t="str">
        <x:v>Regulatory Document Control</x:v>
      </x:c>
      <x:c r="G250" s="30" t="str">
        <x:v>Maintain controlled regulatory documentation.</x:v>
      </x:c>
      <x:c r="H250" s="30" t="str">
        <x:v>CORE</x:v>
      </x:c>
      <x:c r="I250" s="30" t="str">
        <x:v>Yes</x:v>
      </x:c>
      <x:c r="J250" s="30" t="str">
        <x:v>P-3 RECLASSIFIED: optional internal governance; not a statutory provision.</x:v>
      </x:c>
    </x:row>
    <x:row r="251">
      <x:c r="A251" s="30" t="str">
        <x:v>PROV250</x:v>
      </x:c>
      <x:c r="B251" s="30" t="str">
        <x:v>LAW099</x:v>
      </x:c>
      <x:c r="C251" s="30"/>
      <x:c r="D251" s="30" t="str">
        <x:v>Best Practice</x:v>
      </x:c>
      <x:c r="E251" s="30" t="str">
        <x:v>GOV-27</x:v>
      </x:c>
      <x:c r="F251" s="30" t="str">
        <x:v>Continual Improvement of Compliance Management System</x:v>
      </x:c>
      <x:c r="G251" s="30" t="str">
        <x:v>Review and continually improve the compliance framework.</x:v>
      </x:c>
      <x:c r="H251" s="30" t="str">
        <x:v>CORE</x:v>
      </x:c>
      <x:c r="I251" s="30" t="str">
        <x:v>Yes</x:v>
      </x:c>
      <x:c r="J251" s="30" t="str">
        <x:v>P-3 RECLASSIFIED: optional internal governance; not a statutory provision.</x:v>
      </x:c>
    </x:row>
    <x:row r="252">
      <x:c r="A252" s="30" t="str">
        <x:v>PROV251</x:v>
      </x:c>
      <x:c r="B252" s="30" t="str">
        <x:v>LAW099</x:v>
      </x:c>
      <x:c r="C252" s="30"/>
      <x:c r="D252" s="30" t="str">
        <x:v>Best Practice</x:v>
      </x:c>
      <x:c r="E252" s="30" t="str">
        <x:v>IR-01</x:v>
      </x:c>
      <x:c r="F252" s="30" t="str">
        <x:v>Maintain Inspection Readiness at All Times</x:v>
      </x:c>
      <x:c r="G252" s="30" t="str">
        <x:v>Pharmacy shall remain inspection-ready throughout the licence period.</x:v>
      </x:c>
      <x:c r="H252" s="30" t="str">
        <x:v>CORE</x:v>
      </x:c>
      <x:c r="I252" s="30" t="str">
        <x:v>No</x:v>
      </x:c>
      <x:c r="J252" s="30" t="str">
        <x:v>P-4 QUARANTINED: penalty/enabling provision, duplicate internal control, generic State/event/source placeholder, or non-pharmacy-role requirement. Legacy ID retained for traceability.</x:v>
      </x:c>
    </x:row>
    <x:row r="253">
      <x:c r="A253" s="30" t="str">
        <x:v>PROV252</x:v>
      </x:c>
      <x:c r="B253" s="30" t="str">
        <x:v>LAW099</x:v>
      </x:c>
      <x:c r="C253" s="30"/>
      <x:c r="D253" s="30" t="str">
        <x:v>Best Practice</x:v>
      </x:c>
      <x:c r="E253" s="30" t="str">
        <x:v>IR-02</x:v>
      </x:c>
      <x:c r="F253" s="30" t="str">
        <x:v>Availability of Statutory Records During Inspection</x:v>
      </x:c>
      <x:c r="G253" s="30" t="str">
        <x:v>All statutory records shall be readily available.</x:v>
      </x:c>
      <x:c r="H253" s="30" t="str">
        <x:v>CORE</x:v>
      </x:c>
      <x:c r="I253" s="30" t="str">
        <x:v>No</x:v>
      </x:c>
      <x:c r="J253" s="30" t="str">
        <x:v>P-4 QUARANTINED: penalty/enabling provision, duplicate internal control, generic State/event/source placeholder, or non-pharmacy-role requirement. Legacy ID retained for traceability.</x:v>
      </x:c>
    </x:row>
    <x:row r="254">
      <x:c r="A254" s="30" t="str">
        <x:v>PROV253</x:v>
      </x:c>
      <x:c r="B254" s="30" t="str">
        <x:v>LAW099</x:v>
      </x:c>
      <x:c r="C254" s="30"/>
      <x:c r="D254" s="30" t="str">
        <x:v>Best Practice</x:v>
      </x:c>
      <x:c r="E254" s="30" t="str">
        <x:v>IR-03</x:v>
      </x:c>
      <x:c r="F254" s="30" t="str">
        <x:v>Availability of Licences for Verification</x:v>
      </x:c>
      <x:c r="G254" s="30" t="str">
        <x:v>Original licences shall be available for inspection.</x:v>
      </x:c>
      <x:c r="H254" s="30" t="str">
        <x:v>CORE</x:v>
      </x:c>
      <x:c r="I254" s="30" t="str">
        <x:v>No</x:v>
      </x:c>
      <x:c r="J254" s="30" t="str">
        <x:v>P-4 QUARANTINED: penalty/enabling provision, duplicate internal control, generic State/event/source placeholder, or non-pharmacy-role requirement. Legacy ID retained for traceability.</x:v>
      </x:c>
    </x:row>
    <x:row r="255">
      <x:c r="A255" s="30" t="str">
        <x:v>PROV254</x:v>
      </x:c>
      <x:c r="B255" s="30" t="str">
        <x:v>LAW099</x:v>
      </x:c>
      <x:c r="C255" s="30"/>
      <x:c r="D255" s="30" t="str">
        <x:v>Best Practice</x:v>
      </x:c>
      <x:c r="E255" s="30" t="str">
        <x:v>IR-04</x:v>
      </x:c>
      <x:c r="F255" s="30" t="str">
        <x:v>Availability of Standard Operating Procedures</x:v>
      </x:c>
      <x:c r="G255" s="30" t="str">
        <x:v>Current approved SOPs shall be available.</x:v>
      </x:c>
      <x:c r="H255" s="30" t="str">
        <x:v>CORE</x:v>
      </x:c>
      <x:c r="I255" s="30" t="str">
        <x:v>No</x:v>
      </x:c>
      <x:c r="J255" s="30" t="str">
        <x:v>P-4 QUARANTINED: penalty/enabling provision, duplicate internal control, generic State/event/source placeholder, or non-pharmacy-role requirement. Legacy ID retained for traceability.</x:v>
      </x:c>
    </x:row>
    <x:row r="256">
      <x:c r="A256" s="30" t="str">
        <x:v>PROV255</x:v>
      </x:c>
      <x:c r="B256" s="30" t="str">
        <x:v>LAW099</x:v>
      </x:c>
      <x:c r="C256" s="30"/>
      <x:c r="D256" s="30" t="str">
        <x:v>Best Practice</x:v>
      </x:c>
      <x:c r="E256" s="30" t="str">
        <x:v>IR-05</x:v>
      </x:c>
      <x:c r="F256" s="30" t="str">
        <x:v>Regulatory Inspection Response Procedure</x:v>
      </x:c>
      <x:c r="G256" s="30" t="str">
        <x:v>Inspection observations shall be responded to within prescribed timelines.</x:v>
      </x:c>
      <x:c r="H256" s="30" t="str">
        <x:v>CORE</x:v>
      </x:c>
      <x:c r="I256" s="30" t="str">
        <x:v>No</x:v>
      </x:c>
      <x:c r="J256" s="30" t="str">
        <x:v>P-4 QUARANTINED: penalty/enabling provision, duplicate internal control, generic State/event/source placeholder, or non-pharmacy-role requirement. Legacy ID retained for traceability.</x:v>
      </x:c>
    </x:row>
    <x:row r="257">
      <x:c r="A257" s="30" t="str">
        <x:v>PROV256</x:v>
      </x:c>
      <x:c r="B257" s="30" t="str">
        <x:v>LAW099</x:v>
      </x:c>
      <x:c r="C257" s="30"/>
      <x:c r="D257" s="30" t="str">
        <x:v>Best Practice</x:v>
      </x:c>
      <x:c r="E257" s="30" t="str">
        <x:v>IR-06</x:v>
      </x:c>
      <x:c r="F257" s="30" t="str">
        <x:v>Corrective Action Following Inspection</x:v>
      </x:c>
      <x:c r="G257" s="30" t="str">
        <x:v>CAPA shall be implemented for inspection observations.</x:v>
      </x:c>
      <x:c r="H257" s="30" t="str">
        <x:v>CORE</x:v>
      </x:c>
      <x:c r="I257" s="30" t="str">
        <x:v>No</x:v>
      </x:c>
      <x:c r="J257" s="30" t="str">
        <x:v>P-4 QUARANTINED: penalty/enabling provision, duplicate internal control, generic State/event/source placeholder, or non-pharmacy-role requirement. Legacy ID retained for traceability.</x:v>
      </x:c>
    </x:row>
    <x:row r="258">
      <x:c r="A258" s="30" t="str">
        <x:v>PROV257</x:v>
      </x:c>
      <x:c r="B258" s="30" t="str">
        <x:v>LAW099</x:v>
      </x:c>
      <x:c r="C258" s="30"/>
      <x:c r="D258" s="30" t="str">
        <x:v>Best Practice</x:v>
      </x:c>
      <x:c r="E258" s="30" t="str">
        <x:v>IR-07</x:v>
      </x:c>
      <x:c r="F258" s="30" t="str">
        <x:v>Periodic Internal Compliance Review</x:v>
      </x:c>
      <x:c r="G258" s="30" t="str">
        <x:v>Conduct internal reviews before regulatory inspections.</x:v>
      </x:c>
      <x:c r="H258" s="30" t="str">
        <x:v>CORE</x:v>
      </x:c>
      <x:c r="I258" s="30" t="str">
        <x:v>No</x:v>
      </x:c>
      <x:c r="J258" s="30" t="str">
        <x:v>P-4 QUARANTINED: penalty/enabling provision, duplicate internal control, generic State/event/source placeholder, or non-pharmacy-role requirement. Legacy ID retained for traceability.</x:v>
      </x:c>
    </x:row>
    <x:row r="259">
      <x:c r="A259" s="30" t="str">
        <x:v>PROV258</x:v>
      </x:c>
      <x:c r="B259" s="30" t="str">
        <x:v>LAW099</x:v>
      </x:c>
      <x:c r="C259" s="30"/>
      <x:c r="D259" s="30" t="str">
        <x:v>Best Practice</x:v>
      </x:c>
      <x:c r="E259" s="30" t="str">
        <x:v>GOV-01</x:v>
      </x:c>
      <x:c r="F259" s="30" t="str">
        <x:v>Establish Enterprise Compliance Framework</x:v>
      </x:c>
      <x:c r="G259" s="30" t="str">
        <x:v>Organization shall maintain an enterprise compliance framework.</x:v>
      </x:c>
      <x:c r="H259" s="30" t="str">
        <x:v>CORE</x:v>
      </x:c>
      <x:c r="I259" s="30" t="str">
        <x:v>No</x:v>
      </x:c>
      <x:c r="J259" s="30" t="str">
        <x:v>P-4 QUARANTINED: penalty/enabling provision, duplicate internal control, generic State/event/source placeholder, or non-pharmacy-role requirement. Legacy ID retained for traceability.</x:v>
      </x:c>
    </x:row>
    <x:row r="260">
      <x:c r="A260" s="30" t="str">
        <x:v>PROV259</x:v>
      </x:c>
      <x:c r="B260" s="30" t="str">
        <x:v>LAW099</x:v>
      </x:c>
      <x:c r="C260" s="30"/>
      <x:c r="D260" s="30" t="str">
        <x:v>Best Practice</x:v>
      </x:c>
      <x:c r="E260" s="30" t="str">
        <x:v>GOV-02</x:v>
      </x:c>
      <x:c r="F260" s="30" t="str">
        <x:v>Compliance Responsibility Assignment</x:v>
      </x:c>
      <x:c r="G260" s="30" t="str">
        <x:v>Define compliance ownership and accountability.</x:v>
      </x:c>
      <x:c r="H260" s="30" t="str">
        <x:v>CORE</x:v>
      </x:c>
      <x:c r="I260" s="30" t="str">
        <x:v>No</x:v>
      </x:c>
      <x:c r="J260" s="30" t="str">
        <x:v>P-4 QUARANTINED: penalty/enabling provision, duplicate internal control, generic State/event/source placeholder, or non-pharmacy-role requirement. Legacy ID retained for traceability.</x:v>
      </x:c>
    </x:row>
    <x:row r="261">
      <x:c r="A261" s="30" t="str">
        <x:v>PROV260</x:v>
      </x:c>
      <x:c r="B261" s="30" t="str">
        <x:v>LAW099</x:v>
      </x:c>
      <x:c r="C261" s="30"/>
      <x:c r="D261" s="30" t="str">
        <x:v>Best Practice</x:v>
      </x:c>
      <x:c r="E261" s="30" t="str">
        <x:v>GOV-03</x:v>
      </x:c>
      <x:c r="F261" s="30" t="str">
        <x:v>Regulatory Change Management</x:v>
      </x:c>
      <x:c r="G261" s="30" t="str">
        <x:v>Monitor and implement regulatory changes.</x:v>
      </x:c>
      <x:c r="H261" s="30" t="str">
        <x:v>CORE</x:v>
      </x:c>
      <x:c r="I261" s="30" t="str">
        <x:v>No</x:v>
      </x:c>
      <x:c r="J261" s="30" t="str">
        <x:v>P-4 QUARANTINED: penalty/enabling provision, duplicate internal control, generic State/event/source placeholder, or non-pharmacy-role requirement. Legacy ID retained for traceability.</x:v>
      </x:c>
    </x:row>
    <x:row r="262">
      <x:c r="A262" s="30" t="str">
        <x:v>PROV261</x:v>
      </x:c>
      <x:c r="B262" s="30" t="str">
        <x:v>LAW099</x:v>
      </x:c>
      <x:c r="C262" s="30"/>
      <x:c r="D262" s="30" t="str">
        <x:v>Best Practice</x:v>
      </x:c>
      <x:c r="E262" s="30" t="str">
        <x:v>GOV-04</x:v>
      </x:c>
      <x:c r="F262" s="30" t="str">
        <x:v>Enterprise Compliance Calendar</x:v>
      </x:c>
      <x:c r="G262" s="30" t="str">
        <x:v>Maintain a regulatory compliance calendar.</x:v>
      </x:c>
      <x:c r="H262" s="30" t="str">
        <x:v>CORE</x:v>
      </x:c>
      <x:c r="I262" s="30" t="str">
        <x:v>No</x:v>
      </x:c>
      <x:c r="J262" s="30" t="str">
        <x:v>P-4 QUARANTINED: penalty/enabling provision, duplicate internal control, generic State/event/source placeholder, or non-pharmacy-role requirement. Legacy ID retained for traceability.</x:v>
      </x:c>
    </x:row>
    <x:row r="263">
      <x:c r="A263" s="30" t="str">
        <x:v>PROV262</x:v>
      </x:c>
      <x:c r="B263" s="30" t="str">
        <x:v>LAW099</x:v>
      </x:c>
      <x:c r="C263" s="30"/>
      <x:c r="D263" s="30" t="str">
        <x:v>Best Practice</x:v>
      </x:c>
      <x:c r="E263" s="30" t="str">
        <x:v>GOV-05</x:v>
      </x:c>
      <x:c r="F263" s="30" t="str">
        <x:v>Enterprise Compliance Reporting</x:v>
      </x:c>
      <x:c r="G263" s="30" t="str">
        <x:v>Periodic reporting to management.</x:v>
      </x:c>
      <x:c r="H263" s="30" t="str">
        <x:v>CORE</x:v>
      </x:c>
      <x:c r="I263" s="30" t="str">
        <x:v>No</x:v>
      </x:c>
      <x:c r="J263" s="30" t="str">
        <x:v>P-4 QUARANTINED: penalty/enabling provision, duplicate internal control, generic State/event/source placeholder, or non-pharmacy-role requirement. Legacy ID retained for traceability.</x:v>
      </x:c>
    </x:row>
    <x:row r="264">
      <x:c r="A264" s="30" t="str">
        <x:v>PROV263</x:v>
      </x:c>
      <x:c r="B264" s="30" t="str">
        <x:v>LAW099</x:v>
      </x:c>
      <x:c r="C264" s="30"/>
      <x:c r="D264" s="30" t="str">
        <x:v>Best Practice</x:v>
      </x:c>
      <x:c r="E264" s="30" t="str">
        <x:v>GOV-06</x:v>
      </x:c>
      <x:c r="F264" s="30" t="str">
        <x:v>Regulatory Risk Assessment</x:v>
      </x:c>
      <x:c r="G264" s="30" t="str">
        <x:v>Periodic identification and assessment of regulatory risks.</x:v>
      </x:c>
      <x:c r="H264" s="30" t="str">
        <x:v>CORE</x:v>
      </x:c>
      <x:c r="I264" s="30" t="str">
        <x:v>No</x:v>
      </x:c>
      <x:c r="J264" s="30" t="str">
        <x:v>P-4 QUARANTINED: penalty/enabling provision, duplicate internal control, generic State/event/source placeholder, or non-pharmacy-role requirement. Legacy ID retained for traceability.</x:v>
      </x:c>
    </x:row>
    <x:row r="265">
      <x:c r="A265" s="30" t="str">
        <x:v>PROV264</x:v>
      </x:c>
      <x:c r="B265" s="30" t="str">
        <x:v>LAW099</x:v>
      </x:c>
      <x:c r="C265" s="30"/>
      <x:c r="D265" s="30" t="str">
        <x:v>Best Practice</x:v>
      </x:c>
      <x:c r="E265" s="30" t="str">
        <x:v>GOV-07</x:v>
      </x:c>
      <x:c r="F265" s="30" t="str">
        <x:v>Compliance Monitoring Programme</x:v>
      </x:c>
      <x:c r="G265" s="30" t="str">
        <x:v>Continuous monitoring of compliance obligations.</x:v>
      </x:c>
      <x:c r="H265" s="30" t="str">
        <x:v>CORE</x:v>
      </x:c>
      <x:c r="I265" s="30" t="str">
        <x:v>No</x:v>
      </x:c>
      <x:c r="J265" s="30" t="str">
        <x:v>P-4 QUARANTINED: penalty/enabling provision, duplicate internal control, generic State/event/source placeholder, or non-pharmacy-role requirement. Legacy ID retained for traceability.</x:v>
      </x:c>
    </x:row>
    <x:row r="266">
      <x:c r="A266" s="30" t="str">
        <x:v>PROV265</x:v>
      </x:c>
      <x:c r="B266" s="30" t="str">
        <x:v>LAW099</x:v>
      </x:c>
      <x:c r="C266" s="30"/>
      <x:c r="D266" s="30" t="str">
        <x:v>Best Practice</x:v>
      </x:c>
      <x:c r="E266" s="30" t="str">
        <x:v>GOV-08</x:v>
      </x:c>
      <x:c r="F266" s="30" t="str">
        <x:v>Regulatory Document Control</x:v>
      </x:c>
      <x:c r="G266" s="30" t="str">
        <x:v>Controlled management of regulatory documents.</x:v>
      </x:c>
      <x:c r="H266" s="30" t="str">
        <x:v>CORE</x:v>
      </x:c>
      <x:c r="I266" s="30" t="str">
        <x:v>No</x:v>
      </x:c>
      <x:c r="J266" s="30" t="str">
        <x:v>P-4 QUARANTINED: penalty/enabling provision, duplicate internal control, generic State/event/source placeholder, or non-pharmacy-role requirement. Legacy ID retained for traceability.</x:v>
      </x:c>
    </x:row>
    <x:row r="267">
      <x:c r="A267" s="30" t="str">
        <x:v>PROV266</x:v>
      </x:c>
      <x:c r="B267" s="30" t="str">
        <x:v>LAW099</x:v>
      </x:c>
      <x:c r="C267" s="30"/>
      <x:c r="D267" s="30" t="str">
        <x:v>Best Practice</x:v>
      </x:c>
      <x:c r="E267" s="30" t="str">
        <x:v>GOV-09</x:v>
      </x:c>
      <x:c r="F267" s="30" t="str">
        <x:v>Record Retention Governance</x:v>
      </x:c>
      <x:c r="G267" s="30" t="str">
        <x:v>Enterprise-wide record retention policy.</x:v>
      </x:c>
      <x:c r="H267" s="30" t="str">
        <x:v>CORE</x:v>
      </x:c>
      <x:c r="I267" s="30" t="str">
        <x:v>No</x:v>
      </x:c>
      <x:c r="J267" s="30" t="str">
        <x:v>P-4 QUARANTINED: penalty/enabling provision, duplicate internal control, generic State/event/source placeholder, or non-pharmacy-role requirement. Legacy ID retained for traceability.</x:v>
      </x:c>
    </x:row>
    <x:row r="268">
      <x:c r="A268" s="30" t="str">
        <x:v>PROV267</x:v>
      </x:c>
      <x:c r="B268" s="30" t="str">
        <x:v>LAW099</x:v>
      </x:c>
      <x:c r="C268" s="30"/>
      <x:c r="D268" s="30" t="str">
        <x:v>Best Practice</x:v>
      </x:c>
      <x:c r="E268" s="30" t="str">
        <x:v>GOV-10</x:v>
      </x:c>
      <x:c r="F268" s="30" t="str">
        <x:v>Management Review of Compliance</x:v>
      </x:c>
      <x:c r="G268" s="30" t="str">
        <x:v>Periodic management review meetings.</x:v>
      </x:c>
      <x:c r="H268" s="30" t="str">
        <x:v>CORE</x:v>
      </x:c>
      <x:c r="I268" s="30" t="str">
        <x:v>No</x:v>
      </x:c>
      <x:c r="J268" s="30" t="str">
        <x:v>P-4 QUARANTINED: penalty/enabling provision, duplicate internal control, generic State/event/source placeholder, or non-pharmacy-role requirement. Legacy ID retained for traceability.</x:v>
      </x:c>
    </x:row>
    <x:row r="269">
      <x:c r="A269" s="30" t="str">
        <x:v>PROV268</x:v>
      </x:c>
      <x:c r="B269" s="30" t="str">
        <x:v>LAW099</x:v>
      </x:c>
      <x:c r="C269" s="30"/>
      <x:c r="D269" s="30" t="str">
        <x:v>Best Practice</x:v>
      </x:c>
      <x:c r="E269" s="30" t="str">
        <x:v>GOV-11</x:v>
      </x:c>
      <x:c r="F269" s="30" t="str">
        <x:v>Compliance Training Programme</x:v>
      </x:c>
      <x:c r="G269" s="30" t="str">
        <x:v>Regular regulatory training for employees.</x:v>
      </x:c>
      <x:c r="H269" s="30" t="str">
        <x:v>CORE</x:v>
      </x:c>
      <x:c r="I269" s="30" t="str">
        <x:v>No</x:v>
      </x:c>
      <x:c r="J269" s="30" t="str">
        <x:v>P-4 QUARANTINED: penalty/enabling provision, duplicate internal control, generic State/event/source placeholder, or non-pharmacy-role requirement. Legacy ID retained for traceability.</x:v>
      </x:c>
    </x:row>
    <x:row r="270">
      <x:c r="A270" s="30" t="str">
        <x:v>PROV269</x:v>
      </x:c>
      <x:c r="B270" s="30" t="str">
        <x:v>LAW099</x:v>
      </x:c>
      <x:c r="C270" s="30"/>
      <x:c r="D270" s="30" t="str">
        <x:v>Best Practice</x:v>
      </x:c>
      <x:c r="E270" s="30" t="str">
        <x:v>GOV-12</x:v>
      </x:c>
      <x:c r="F270" s="30" t="str">
        <x:v>Vendor Compliance Management</x:v>
      </x:c>
      <x:c r="G270" s="30" t="str">
        <x:v>Monitor regulatory compliance of vendors.</x:v>
      </x:c>
      <x:c r="H270" s="30" t="str">
        <x:v>CORE</x:v>
      </x:c>
      <x:c r="I270" s="30" t="str">
        <x:v>No</x:v>
      </x:c>
      <x:c r="J270" s="30" t="str">
        <x:v>P-4 QUARANTINED: penalty/enabling provision, duplicate internal control, generic State/event/source placeholder, or non-pharmacy-role requirement. Legacy ID retained for traceability.</x:v>
      </x:c>
    </x:row>
    <x:row r="271">
      <x:c r="A271" s="30" t="str">
        <x:v>PROV270</x:v>
      </x:c>
      <x:c r="B271" s="30" t="str">
        <x:v>LAW099</x:v>
      </x:c>
      <x:c r="C271" s="30"/>
      <x:c r="D271" s="30" t="str">
        <x:v>Best Practice</x:v>
      </x:c>
      <x:c r="E271" s="30" t="str">
        <x:v>GOV-13</x:v>
      </x:c>
      <x:c r="F271" s="30" t="str">
        <x:v>Third-Party Due Diligence</x:v>
      </x:c>
      <x:c r="G271" s="30" t="str">
        <x:v>Evaluate regulatory risks associated with third parties.</x:v>
      </x:c>
      <x:c r="H271" s="30" t="str">
        <x:v>CORE</x:v>
      </x:c>
      <x:c r="I271" s="30" t="str">
        <x:v>No</x:v>
      </x:c>
      <x:c r="J271" s="30" t="str">
        <x:v>P-4 QUARANTINED: penalty/enabling provision, duplicate internal control, generic State/event/source placeholder, or non-pharmacy-role requirement. Legacy ID retained for traceability.</x:v>
      </x:c>
    </x:row>
    <x:row r="272">
      <x:c r="A272" s="30" t="str">
        <x:v>PROV271</x:v>
      </x:c>
      <x:c r="B272" s="30" t="str">
        <x:v>LAW099</x:v>
      </x:c>
      <x:c r="C272" s="30"/>
      <x:c r="D272" s="30" t="str">
        <x:v>Best Practice</x:v>
      </x:c>
      <x:c r="E272" s="30" t="str">
        <x:v>GOV-14</x:v>
      </x:c>
      <x:c r="F272" s="30" t="str">
        <x:v>Business Continuity Planning</x:v>
      </x:c>
      <x:c r="G272" s="30" t="str">
        <x:v>Maintain business continuity arrangements for pharmacy operations.</x:v>
      </x:c>
      <x:c r="H272" s="30" t="str">
        <x:v>CORE</x:v>
      </x:c>
      <x:c r="I272" s="30" t="str">
        <x:v>No</x:v>
      </x:c>
      <x:c r="J272" s="30" t="str">
        <x:v>P-4 QUARANTINED: penalty/enabling provision, duplicate internal control, generic State/event/source placeholder, or non-pharmacy-role requirement. Legacy ID retained for traceability.</x:v>
      </x:c>
    </x:row>
    <x:row r="273">
      <x:c r="A273" s="30" t="str">
        <x:v>PROV272</x:v>
      </x:c>
      <x:c r="B273" s="30" t="str">
        <x:v>LAW099</x:v>
      </x:c>
      <x:c r="C273" s="30"/>
      <x:c r="D273" s="30" t="str">
        <x:v>Best Practice</x:v>
      </x:c>
      <x:c r="E273" s="30" t="str">
        <x:v>GOV-15</x:v>
      </x:c>
      <x:c r="F273" s="30" t="str">
        <x:v>Incident &amp; Breach Reporting</x:v>
      </x:c>
      <x:c r="G273" s="30" t="str">
        <x:v>Report regulatory breaches and significant incidents.</x:v>
      </x:c>
      <x:c r="H273" s="30" t="str">
        <x:v>CORE</x:v>
      </x:c>
      <x:c r="I273" s="30" t="str">
        <x:v>No</x:v>
      </x:c>
      <x:c r="J273" s="30" t="str">
        <x:v>P-4 QUARANTINED: penalty/enabling provision, duplicate internal control, generic State/event/source placeholder, or non-pharmacy-role requirement. Legacy ID retained for traceability.</x:v>
      </x:c>
    </x:row>
    <x:row r="274">
      <x:c r="A274" s="30" t="str">
        <x:v>PROV273</x:v>
      </x:c>
      <x:c r="B274" s="30" t="str">
        <x:v>LAW099</x:v>
      </x:c>
      <x:c r="C274" s="30"/>
      <x:c r="D274" s="30" t="str">
        <x:v>Best Practice</x:v>
      </x:c>
      <x:c r="E274" s="30" t="str">
        <x:v>GOV-16</x:v>
      </x:c>
      <x:c r="F274" s="30" t="str">
        <x:v>Corrective &amp; Preventive Action Governance</x:v>
      </x:c>
      <x:c r="G274" s="30" t="str">
        <x:v>Enterprise CAPA governance process.</x:v>
      </x:c>
      <x:c r="H274" s="30" t="str">
        <x:v>CORE</x:v>
      </x:c>
      <x:c r="I274" s="30" t="str">
        <x:v>No</x:v>
      </x:c>
      <x:c r="J274" s="30" t="str">
        <x:v>P-4 QUARANTINED: penalty/enabling provision, duplicate internal control, generic State/event/source placeholder, or non-pharmacy-role requirement. Legacy ID retained for traceability.</x:v>
      </x:c>
    </x:row>
    <x:row r="275">
      <x:c r="A275" s="30" t="str">
        <x:v>PROV274</x:v>
      </x:c>
      <x:c r="B275" s="30" t="str">
        <x:v>LAW099</x:v>
      </x:c>
      <x:c r="C275" s="30"/>
      <x:c r="D275" s="30" t="str">
        <x:v>Best Practice</x:v>
      </x:c>
      <x:c r="E275" s="30" t="str">
        <x:v>GOV-17</x:v>
      </x:c>
      <x:c r="F275" s="30" t="str">
        <x:v>Internal Audit Programme</x:v>
      </x:c>
      <x:c r="G275" s="30" t="str">
        <x:v>Risk-based internal audit of pharmacy operations.</x:v>
      </x:c>
      <x:c r="H275" s="30" t="str">
        <x:v>CORE</x:v>
      </x:c>
      <x:c r="I275" s="30" t="str">
        <x:v>No</x:v>
      </x:c>
      <x:c r="J275" s="30" t="str">
        <x:v>P-4 QUARANTINED: penalty/enabling provision, duplicate internal control, generic State/event/source placeholder, or non-pharmacy-role requirement. Legacy ID retained for traceability.</x:v>
      </x:c>
    </x:row>
    <x:row r="276">
      <x:c r="A276" s="30" t="str">
        <x:v>PROV275</x:v>
      </x:c>
      <x:c r="B276" s="30" t="str">
        <x:v>LAW099</x:v>
      </x:c>
      <x:c r="C276" s="30"/>
      <x:c r="D276" s="30" t="str">
        <x:v>Best Practice</x:v>
      </x:c>
      <x:c r="E276" s="30" t="str">
        <x:v>GOV-18</x:v>
      </x:c>
      <x:c r="F276" s="30" t="str">
        <x:v>Continuous Improvement Programme</x:v>
      </x:c>
      <x:c r="G276" s="30" t="str">
        <x:v>Periodic review and enhancement of the compliance management system.</x:v>
      </x:c>
      <x:c r="H276" s="30" t="str">
        <x:v>CORE</x:v>
      </x:c>
      <x:c r="I276" s="30" t="str">
        <x:v>No</x:v>
      </x:c>
      <x:c r="J276" s="30" t="str">
        <x:v>P-4 QUARANTINED: penalty/enabling provision, duplicate internal control, generic State/event/source placeholder, or non-pharmacy-role requirement. Legacy ID retained for traceability.</x:v>
      </x:c>
    </x:row>
    <x:row r="277">
      <x:c r="A277" s="30" t="str">
        <x:v>RPROV001</x:v>
      </x:c>
      <x:c r="B277" s="30" t="str">
        <x:v>LAW099</x:v>
      </x:c>
      <x:c r="C277" s="30" t="str">
        <x:v>SUB001</x:v>
      </x:c>
      <x:c r="D277" s="30" t="str">
        <x:v>Best Practice</x:v>
      </x:c>
      <x:c r="E277" s="30" t="str">
        <x:v>Internal control — no independent statutory force; apply the separately mapped underlying law where applicable</x:v>
      </x:c>
      <x:c r="F277" s="30" t="str">
        <x:v>Verification Prior to Home Delivery</x:v>
      </x:c>
      <x:c r="G277" s="30" t="str">
        <x:v>Before dispatching medicines for home delivery, the pharmacy shall verify the prescription validity, patient identity, delivery address, and pharmacist authorization. A documented verification record shall be maintained for every delivery transaction.</x:v>
      </x:c>
      <x:c r="H277" s="30" t="str">
        <x:v>RETAIL</x:v>
      </x:c>
      <x:c r="I277" s="30" t="str">
        <x:v>Yes</x:v>
      </x:c>
      <x:c r="J277" s="30" t="str">
        <x:v>P-4 reparented to the canonical internal-control framework; approved sub-sector and Origin preserved.</x:v>
      </x:c>
    </x:row>
    <x:row r="278">
      <x:c r="A278" s="30" t="str">
        <x:v>RPROV002</x:v>
      </x:c>
      <x:c r="B278" s="30" t="str">
        <x:v>LAW099</x:v>
      </x:c>
      <x:c r="C278" s="30" t="str">
        <x:v>SUB001</x:v>
      </x:c>
      <x:c r="D278" s="30" t="str">
        <x:v>Best Practice</x:v>
      </x:c>
      <x:c r="E278" s="30" t="str">
        <x:v>Internal control — no independent statutory force; apply the separately mapped underlying law where applicable</x:v>
      </x:c>
      <x:c r="F278" s="30" t="str">
        <x:v>Click &amp; Collect Medicine Handover</x:v>
      </x:c>
      <x:c r="G278" s="30" t="str">
        <x:v>Medicines reserved through Click &amp; Collect shall be handed over only after verifying the order reference, customer identity, prescription (where applicable), and pharmacist approval before release.</x:v>
      </x:c>
      <x:c r="H278" s="30" t="str">
        <x:v>RETAIL</x:v>
      </x:c>
      <x:c r="I278" s="30" t="str">
        <x:v>Yes</x:v>
      </x:c>
      <x:c r="J278" s="30" t="str">
        <x:v>P-4 reparented to the canonical internal-control framework; approved sub-sector and Origin preserved.</x:v>
      </x:c>
    </x:row>
    <x:row r="279">
      <x:c r="A279" s="30" t="str">
        <x:v>RPROV003</x:v>
      </x:c>
      <x:c r="B279" s="30" t="str">
        <x:v>LAW099</x:v>
      </x:c>
      <x:c r="C279" s="30" t="str">
        <x:v>SUB001</x:v>
      </x:c>
      <x:c r="D279" s="30" t="str">
        <x:v>Best Practice</x:v>
      </x:c>
      <x:c r="E279" s="30" t="str">
        <x:v>Internal control — no independent statutory force; apply the separately mapped underlying law where applicable</x:v>
      </x:c>
      <x:c r="F279" s="30" t="str">
        <x:v>OTC Merchandising Controls</x:v>
      </x:c>
      <x:c r="G279" s="30" t="str">
        <x:v>Over-the-counter medicines shall be displayed in accordance with applicable legal restrictions, ensuring prescription-only medicines remain inaccessible to self-selection by customers.</x:v>
      </x:c>
      <x:c r="H279" s="30" t="str">
        <x:v>RETAIL</x:v>
      </x:c>
      <x:c r="I279" s="30" t="str">
        <x:v>Yes</x:v>
      </x:c>
      <x:c r="J279" s="30" t="str">
        <x:v>P-4 reparented to the canonical internal-control framework; approved sub-sector and Origin preserved.</x:v>
      </x:c>
    </x:row>
    <x:row r="280">
      <x:c r="A280" s="30" t="str">
        <x:v>RPROV004</x:v>
      </x:c>
      <x:c r="B280" s="30" t="str">
        <x:v>LAW099</x:v>
      </x:c>
      <x:c r="C280" s="30" t="str">
        <x:v>SUB001</x:v>
      </x:c>
      <x:c r="D280" s="30" t="str">
        <x:v>Best Practice</x:v>
      </x:c>
      <x:c r="E280" s="30" t="str">
        <x:v>Internal control — no independent statutory force; apply the separately mapped underlying law where applicable</x:v>
      </x:c>
      <x:c r="F280" s="30" t="str">
        <x:v>Customer Grievance Display Requirements</x:v>
      </x:c>
      <x:c r="G280" s="30" t="str">
        <x:v>Every retail pharmacy shall prominently display customer grievance contact details, complaint escalation channels, and applicable consumer information as required by law.</x:v>
      </x:c>
      <x:c r="H280" s="30" t="str">
        <x:v>RETAIL</x:v>
      </x:c>
      <x:c r="I280" s="30" t="str">
        <x:v>Yes</x:v>
      </x:c>
      <x:c r="J280" s="30" t="str">
        <x:v>P-4 reparented to the canonical internal-control framework; approved sub-sector and Origin preserved.</x:v>
      </x:c>
    </x:row>
    <x:row r="281">
      <x:c r="A281" s="30" t="str">
        <x:v>RPROV005</x:v>
      </x:c>
      <x:c r="B281" s="30" t="str">
        <x:v>LAW099</x:v>
      </x:c>
      <x:c r="C281" s="30" t="str">
        <x:v>SUB001</x:v>
      </x:c>
      <x:c r="D281" s="30" t="str">
        <x:v>Best Practice</x:v>
      </x:c>
      <x:c r="E281" s="30" t="str">
        <x:v>Internal control — no independent statutory force; apply the separately mapped underlying law where applicable</x:v>
      </x:c>
      <x:c r="F281" s="30" t="str">
        <x:v>Billing Verification Before Medicine Handover</x:v>
      </x:c>
      <x:c r="G281" s="30" t="str">
        <x:v>Medicines shall not be handed over until billing accuracy, prescribed quantity, batch details, and payment validation have been completed and documented.</x:v>
      </x:c>
      <x:c r="H281" s="30" t="str">
        <x:v>RETAIL</x:v>
      </x:c>
      <x:c r="I281" s="30" t="str">
        <x:v>Yes</x:v>
      </x:c>
      <x:c r="J281" s="30" t="str">
        <x:v>P-4 reparented to the canonical internal-control framework; approved sub-sector and Origin preserved.</x:v>
      </x:c>
    </x:row>
    <x:row r="282">
      <x:c r="A282" s="30" t="str">
        <x:v>RPROV006</x:v>
      </x:c>
      <x:c r="B282" s="30" t="str">
        <x:v>LAW099</x:v>
      </x:c>
      <x:c r="C282" s="30" t="str">
        <x:v>SUB001</x:v>
      </x:c>
      <x:c r="D282" s="30" t="str">
        <x:v>Best Practice</x:v>
      </x:c>
      <x:c r="E282" s="30" t="str">
        <x:v>Internal control — no independent statutory force; apply the separately mapped underlying law where applicable</x:v>
      </x:c>
      <x:c r="F282" s="30" t="str">
        <x:v>Reserved Medicine Collection Process</x:v>
      </x:c>
      <x:c r="G282" s="30" t="str">
        <x:v>Medicines reserved for later collection shall be stored securely, labelled with customer identification, reservation period, and disposition requirements for uncollected medicines.</x:v>
      </x:c>
      <x:c r="H282" s="30" t="str">
        <x:v>RETAIL</x:v>
      </x:c>
      <x:c r="I282" s="30" t="str">
        <x:v>Yes</x:v>
      </x:c>
      <x:c r="J282" s="30" t="str">
        <x:v>P-4 reparented to the canonical internal-control framework; approved sub-sector and Origin preserved.</x:v>
      </x:c>
    </x:row>
    <x:row r="283">
      <x:c r="A283" s="30" t="str">
        <x:v>RPROV007</x:v>
      </x:c>
      <x:c r="B283" s="30" t="str">
        <x:v>LAW099</x:v>
      </x:c>
      <x:c r="C283" s="30" t="str">
        <x:v>SUB001</x:v>
      </x:c>
      <x:c r="D283" s="30" t="str">
        <x:v>Best Practice</x:v>
      </x:c>
      <x:c r="E283" s="30" t="str">
        <x:v>Internal control — no independent statutory force; apply the separately mapped underlying law where applicable</x:v>
      </x:c>
      <x:c r="F283" s="30" t="str">
        <x:v>Daily Shelf Inspection Controls</x:v>
      </x:c>
      <x:c r="G283" s="30" t="str">
        <x:v>A documented daily inspection shall verify product placement, expiry dates, storage conditions, damaged stock, and regulatory display compliance before commencement of business.</x:v>
      </x:c>
      <x:c r="H283" s="30" t="str">
        <x:v>RETAIL</x:v>
      </x:c>
      <x:c r="I283" s="30" t="str">
        <x:v>Yes</x:v>
      </x:c>
      <x:c r="J283" s="30" t="str">
        <x:v>P-4 reparented to the canonical internal-control framework; approved sub-sector and Origin preserved.</x:v>
      </x:c>
    </x:row>
    <x:row r="284">
      <x:c r="A284" s="30" t="str">
        <x:v>RPROV008</x:v>
      </x:c>
      <x:c r="B284" s="30" t="str">
        <x:v>LAW099</x:v>
      </x:c>
      <x:c r="C284" s="30" t="str">
        <x:v>SUB001</x:v>
      </x:c>
      <x:c r="D284" s="30" t="str">
        <x:v>Best Practice</x:v>
      </x:c>
      <x:c r="E284" s="30" t="str">
        <x:v>Internal control — no independent statutory force; apply the separately mapped underlying law where applicable</x:v>
      </x:c>
      <x:c r="F284" s="30" t="str">
        <x:v>Operating Hours and Pharmacist Availability Display</x:v>
      </x:c>
      <x:c r="G284" s="30" t="str">
        <x:v>The pharmacy shall prominently display business hours, pharmacist availability, licence details, and emergency contact information at customer entry points.</x:v>
      </x:c>
      <x:c r="H284" s="30" t="str">
        <x:v>RETAIL</x:v>
      </x:c>
      <x:c r="I284" s="30" t="str">
        <x:v>Yes</x:v>
      </x:c>
      <x:c r="J284" s="30" t="str">
        <x:v>P-4 reparented to the canonical internal-control framework; approved sub-sector and Origin preserved.</x:v>
      </x:c>
    </x:row>
    <x:row r="285">
      <x:c r="A285" s="30" t="str">
        <x:v>RPROV009</x:v>
      </x:c>
      <x:c r="B285" s="30" t="str">
        <x:v>LAW099</x:v>
      </x:c>
      <x:c r="C285" s="30" t="str">
        <x:v>SUB001</x:v>
      </x:c>
      <x:c r="D285" s="30" t="str">
        <x:v>Best Practice</x:v>
      </x:c>
      <x:c r="E285" s="30" t="str">
        <x:v>Internal control — no independent statutory force; apply the separately mapped underlying law where applicable</x:v>
      </x:c>
      <x:c r="F285" s="30" t="str">
        <x:v>Customer Returned Medicines Control</x:v>
      </x:c>
      <x:c r="G285" s="30" t="str">
        <x:v>Returned medicines shall be evaluated, documented, segregated, and disposed of or processed in accordance with applicable legal and quality requirements. Returned medicines shall not be reissued unless legally permissible and quality assured.</x:v>
      </x:c>
      <x:c r="H285" s="30" t="str">
        <x:v>RETAIL</x:v>
      </x:c>
      <x:c r="I285" s="30" t="str">
        <x:v>Yes</x:v>
      </x:c>
      <x:c r="J285" s="30" t="str">
        <x:v>P-4 reparented to the canonical internal-control framework; approved sub-sector and Origin preserved.</x:v>
      </x:c>
    </x:row>
    <x:row r="286">
      <x:c r="A286" s="30" t="str">
        <x:v>RPROV010</x:v>
      </x:c>
      <x:c r="B286" s="30" t="str">
        <x:v>LAW099</x:v>
      </x:c>
      <x:c r="C286" s="30" t="str">
        <x:v>SUB001</x:v>
      </x:c>
      <x:c r="D286" s="30" t="str">
        <x:v>Best Practice</x:v>
      </x:c>
      <x:c r="E286" s="30" t="str">
        <x:v>Internal control — no independent statutory force; apply the separately mapped underlying law where applicable</x:v>
      </x:c>
      <x:c r="F286" s="30" t="str">
        <x:v>High-Risk Medicine Counselling Checklist</x:v>
      </x:c>
      <x:c r="G286" s="30" t="str">
        <x:v>A pharmacist shall complete and document a standardized counselling checklist before dispensing identified high-risk medicines to patients.</x:v>
      </x:c>
      <x:c r="H286" s="30" t="str">
        <x:v>RETAIL</x:v>
      </x:c>
      <x:c r="I286" s="30" t="str">
        <x:v>Yes</x:v>
      </x:c>
      <x:c r="J286" s="30" t="str">
        <x:v>P-4 reparented to the canonical internal-control framework; approved sub-sector and Origin preserved.</x:v>
      </x:c>
    </x:row>
    <x:row r="287">
      <x:c r="A287" s="30" t="str">
        <x:v>RPROV011</x:v>
      </x:c>
      <x:c r="B287" s="30" t="str">
        <x:v>LAW099</x:v>
      </x:c>
      <x:c r="C287" s="30" t="str">
        <x:v>SUB001</x:v>
      </x:c>
      <x:c r="D287" s="30" t="str">
        <x:v>Best Practice</x:v>
      </x:c>
      <x:c r="E287" s="30" t="str">
        <x:v>Internal control — no independent statutory force; apply the separately mapped underlying law where applicable</x:v>
      </x:c>
      <x:c r="F287" s="30" t="str">
        <x:v>Prescription Validation Prior to Dispensing</x:v>
      </x:c>
      <x:c r="G287" s="30" t="str">
        <x:v>Every prescription shall be verified for authenticity, completeness, prescriber credentials, date of issue, and legal validity before medicines are dispensed. Any discrepancy shall be documented and resolved prior to dispensing.</x:v>
      </x:c>
      <x:c r="H287" s="30" t="str">
        <x:v>RETAIL</x:v>
      </x:c>
      <x:c r="I287" s="30" t="str">
        <x:v>Yes</x:v>
      </x:c>
      <x:c r="J287" s="30" t="str">
        <x:v>P-4 reparented to the canonical internal-control framework; approved sub-sector and Origin preserved.</x:v>
      </x:c>
    </x:row>
    <x:row r="288">
      <x:c r="A288" s="30" t="str">
        <x:v>RPROV012</x:v>
      </x:c>
      <x:c r="B288" s="30" t="str">
        <x:v>LAW099</x:v>
      </x:c>
      <x:c r="C288" s="30" t="str">
        <x:v>SUB001</x:v>
      </x:c>
      <x:c r="D288" s="30" t="str">
        <x:v>Best Practice</x:v>
      </x:c>
      <x:c r="E288" s="30" t="str">
        <x:v>Internal control — no independent statutory force; apply the separately mapped underlying law where applicable</x:v>
      </x:c>
      <x:c r="F288" s="30" t="str">
        <x:v>Continuous Pharmacist Supervision</x:v>
      </x:c>
      <x:c r="G288" s="30" t="str">
        <x:v>Dispensing operations shall be conducted only under the direct supervision of a registered pharmacist during all operating hours. Temporary absence shall trigger suspension of prescription dispensing activities.</x:v>
      </x:c>
      <x:c r="H288" s="30" t="str">
        <x:v>RETAIL</x:v>
      </x:c>
      <x:c r="I288" s="30" t="str">
        <x:v>Yes</x:v>
      </x:c>
      <x:c r="J288" s="30" t="str">
        <x:v>P-4 reparented to the canonical internal-control framework; approved sub-sector and Origin preserved.</x:v>
      </x:c>
    </x:row>
    <x:row r="289">
      <x:c r="A289" s="30" t="str">
        <x:v>RPROV013</x:v>
      </x:c>
      <x:c r="B289" s="30" t="str">
        <x:v>LAW099</x:v>
      </x:c>
      <x:c r="C289" s="30" t="str">
        <x:v>SUB001</x:v>
      </x:c>
      <x:c r="D289" s="30" t="str">
        <x:v>Best Practice</x:v>
      </x:c>
      <x:c r="E289" s="30" t="str">
        <x:v>Internal control — no independent statutory force; apply the separately mapped underlying law where applicable</x:v>
      </x:c>
      <x:c r="F289" s="30" t="str">
        <x:v>Electronic Prescription Record Retention</x:v>
      </x:c>
      <x:c r="G289" s="30" t="str">
        <x:v>Electronic copies of prescriptions received through approved channels shall be securely stored with audit trails, retrieval capability, and applicable retention requirements.</x:v>
      </x:c>
      <x:c r="H289" s="30" t="str">
        <x:v>RETAIL</x:v>
      </x:c>
      <x:c r="I289" s="30" t="str">
        <x:v>Yes</x:v>
      </x:c>
      <x:c r="J289" s="30" t="str">
        <x:v>P-4 reparented to the canonical internal-control framework; approved sub-sector and Origin preserved.</x:v>
      </x:c>
    </x:row>
    <x:row r="290">
      <x:c r="A290" s="30" t="str">
        <x:v>RPROV014</x:v>
      </x:c>
      <x:c r="B290" s="30" t="str">
        <x:v>LAW099</x:v>
      </x:c>
      <x:c r="C290" s="30" t="str">
        <x:v>SUB001</x:v>
      </x:c>
      <x:c r="D290" s="30" t="str">
        <x:v>Best Practice</x:v>
      </x:c>
      <x:c r="E290" s="30" t="str">
        <x:v>Internal control — no independent statutory force; apply the separately mapped underlying law where applicable</x:v>
      </x:c>
      <x:c r="F290" s="30" t="str">
        <x:v>Temperature Verification Before Dispensing</x:v>
      </x:c>
      <x:c r="G290" s="30" t="str">
        <x:v>Cold-chain medicines shall undergo documented temperature verification before being dispensed to confirm uninterrupted storage conditions throughout inventory holding.</x:v>
      </x:c>
      <x:c r="H290" s="30" t="str">
        <x:v>RETAIL</x:v>
      </x:c>
      <x:c r="I290" s="30" t="str">
        <x:v>Yes</x:v>
      </x:c>
      <x:c r="J290" s="30" t="str">
        <x:v>P-4 reparented to the canonical internal-control framework; approved sub-sector and Origin preserved.</x:v>
      </x:c>
    </x:row>
    <x:row r="291">
      <x:c r="A291" s="30" t="str">
        <x:v>RPROV015</x:v>
      </x:c>
      <x:c r="B291" s="30" t="str">
        <x:v>LAW099</x:v>
      </x:c>
      <x:c r="C291" s="30" t="str">
        <x:v>SUB001</x:v>
      </x:c>
      <x:c r="D291" s="30" t="str">
        <x:v>Best Practice</x:v>
      </x:c>
      <x:c r="E291" s="30" t="str">
        <x:v>Internal control — no independent statutory force; apply the separately mapped underlying law where applicable</x:v>
      </x:c>
      <x:c r="F291" s="30" t="str">
        <x:v>Batch-Level Dispensing Traceability</x:v>
      </x:c>
      <x:c r="G291" s="30" t="str">
        <x:v>Dispensing records shall capture medicine batch number, expiry date, dispensing pharmacist, and transaction reference to enable complete product traceability.</x:v>
      </x:c>
      <x:c r="H291" s="30" t="str">
        <x:v>RETAIL</x:v>
      </x:c>
      <x:c r="I291" s="30" t="str">
        <x:v>Yes</x:v>
      </x:c>
      <x:c r="J291" s="30" t="str">
        <x:v>P-4 reparented to the canonical internal-control framework; approved sub-sector and Origin preserved.</x:v>
      </x:c>
    </x:row>
    <x:row r="292">
      <x:c r="A292" s="30" t="str">
        <x:v>RPROV016</x:v>
      </x:c>
      <x:c r="B292" s="30" t="str">
        <x:v>LAW099</x:v>
      </x:c>
      <x:c r="C292" s="30" t="str">
        <x:v>SUB001</x:v>
      </x:c>
      <x:c r="D292" s="30" t="str">
        <x:v>Best Practice</x:v>
      </x:c>
      <x:c r="E292" s="30" t="str">
        <x:v>Internal control — no independent statutory force; apply the separately mapped underlying law where applicable</x:v>
      </x:c>
      <x:c r="F292" s="30" t="str">
        <x:v>Mandatory Consumer Rights Information</x:v>
      </x:c>
      <x:c r="G292" s="30" t="str">
        <x:v>Retail pharmacies shall display consumer rights, refund policy (where applicable), complaint mechanisms, and regulatory contact information in a clearly visible customer area.</x:v>
      </x:c>
      <x:c r="H292" s="30" t="str">
        <x:v>RETAIL</x:v>
      </x:c>
      <x:c r="I292" s="30" t="str">
        <x:v>Yes</x:v>
      </x:c>
      <x:c r="J292" s="30" t="str">
        <x:v>P-4 reparented to the canonical internal-control framework; approved sub-sector and Origin preserved.</x:v>
      </x:c>
    </x:row>
    <x:row r="293">
      <x:c r="A293" s="30" t="str">
        <x:v>RPROV017</x:v>
      </x:c>
      <x:c r="B293" s="30" t="str">
        <x:v>LAW099</x:v>
      </x:c>
      <x:c r="C293" s="30" t="str">
        <x:v>SUB001</x:v>
      </x:c>
      <x:c r="D293" s="30" t="str">
        <x:v>Best Practice</x:v>
      </x:c>
      <x:c r="E293" s="30" t="str">
        <x:v>Internal control — no independent statutory force; apply the separately mapped underlying law where applicable</x:v>
      </x:c>
      <x:c r="F293" s="30" t="str">
        <x:v>Segregated Storage of High-Risk Medicines</x:v>
      </x:c>
      <x:c r="G293" s="30" t="str">
        <x:v>Medicines classified as high-risk shall be physically segregated, clearly identified, and accessible only to authorized pharmacy personnel.</x:v>
      </x:c>
      <x:c r="H293" s="30" t="str">
        <x:v>RETAIL</x:v>
      </x:c>
      <x:c r="I293" s="30" t="str">
        <x:v>Yes</x:v>
      </x:c>
      <x:c r="J293" s="30" t="str">
        <x:v>P-4 reparented to the canonical internal-control framework; approved sub-sector and Origin preserved.</x:v>
      </x:c>
    </x:row>
    <x:row r="294">
      <x:c r="A294" s="30" t="str">
        <x:v>RPROV018</x:v>
      </x:c>
      <x:c r="B294" s="30" t="str">
        <x:v>LAW099</x:v>
      </x:c>
      <x:c r="C294" s="30" t="str">
        <x:v>SUB001</x:v>
      </x:c>
      <x:c r="D294" s="30" t="str">
        <x:v>Best Practice</x:v>
      </x:c>
      <x:c r="E294" s="30" t="str">
        <x:v>Internal control — no independent statutory force; apply the separately mapped underlying law where applicable</x:v>
      </x:c>
      <x:c r="F294" s="30" t="str">
        <x:v>Ethical Promotion of Medicines</x:v>
      </x:c>
      <x:c r="G294" s="30" t="str">
        <x:v>Promotional materials, discounts, and customer incentive programs shall comply with applicable legal requirements and shall not encourage inappropriate medicine consumption.</x:v>
      </x:c>
      <x:c r="H294" s="30" t="str">
        <x:v>RETAIL</x:v>
      </x:c>
      <x:c r="I294" s="30" t="str">
        <x:v>Yes</x:v>
      </x:c>
      <x:c r="J294" s="30" t="str">
        <x:v>P-4 reparented to the canonical internal-control framework; approved sub-sector and Origin preserved.</x:v>
      </x:c>
    </x:row>
    <x:row r="295">
      <x:c r="A295" s="30" t="str">
        <x:v>RPROV019</x:v>
      </x:c>
      <x:c r="B295" s="30" t="str">
        <x:v>LAW099</x:v>
      </x:c>
      <x:c r="C295" s="30" t="str">
        <x:v>SUB001</x:v>
      </x:c>
      <x:c r="D295" s="30" t="str">
        <x:v>Best Practice</x:v>
      </x:c>
      <x:c r="E295" s="30" t="str">
        <x:v>Internal control — no independent statutory force; apply the separately mapped underlying law where applicable</x:v>
      </x:c>
      <x:c r="F295" s="30" t="str">
        <x:v>Periodic Review of Restricted Medicines</x:v>
      </x:c>
      <x:c r="G295" s="30" t="str">
        <x:v>Restricted medicines shall undergo documented periodic stock reconciliation to detect shortages, excesses, unauthorized movement, or recording discrepancies.</x:v>
      </x:c>
      <x:c r="H295" s="30" t="str">
        <x:v>RETAIL</x:v>
      </x:c>
      <x:c r="I295" s="30" t="str">
        <x:v>Yes</x:v>
      </x:c>
      <x:c r="J295" s="30" t="str">
        <x:v>P-4 reparented to the canonical internal-control framework; approved sub-sector and Origin preserved.</x:v>
      </x:c>
    </x:row>
    <x:row r="296">
      <x:c r="A296" s="30" t="str">
        <x:v>RPROV020</x:v>
      </x:c>
      <x:c r="B296" s="30" t="str">
        <x:v>LAW099</x:v>
      </x:c>
      <x:c r="C296" s="30" t="str">
        <x:v>SUB001</x:v>
      </x:c>
      <x:c r="D296" s="30" t="str">
        <x:v>Best Practice</x:v>
      </x:c>
      <x:c r="E296" s="30" t="str">
        <x:v>Internal control — no independent statutory force; apply the separately mapped underlying law where applicable</x:v>
      </x:c>
      <x:c r="F296" s="30" t="str">
        <x:v>Protection of Patient Information</x:v>
      </x:c>
      <x:c r="G296" s="30" t="str">
        <x:v>Patient prescriptions, dispensing records, and personal information shall be protected against unauthorized access, disclosure, alteration, or misuse in accordance with applicable legal requirements.</x:v>
      </x:c>
      <x:c r="H296" s="30" t="str">
        <x:v>RETAIL</x:v>
      </x:c>
      <x:c r="I296" s="30" t="str">
        <x:v>Yes</x:v>
      </x:c>
      <x:c r="J296" s="30" t="str">
        <x:v>P-4 reparented to the canonical internal-control framework; approved sub-sector and Origin preserved.</x:v>
      </x:c>
    </x:row>
    <x:row r="297">
      <x:c r="A297" s="30" t="str">
        <x:v>RPROV021</x:v>
      </x:c>
      <x:c r="B297" s="30" t="str">
        <x:v>LAW099</x:v>
      </x:c>
      <x:c r="C297" s="30" t="str">
        <x:v>SUB001</x:v>
      </x:c>
      <x:c r="D297" s="30" t="str">
        <x:v>Best Practice</x:v>
      </x:c>
      <x:c r="E297" s="30" t="str">
        <x:v>Internal control — no independent statutory force; apply the separately mapped underlying law where applicable</x:v>
      </x:c>
      <x:c r="F297" s="30" t="str">
        <x:v>LASA Medicine Identification and Dispensing Controls</x:v>
      </x:c>
      <x:c r="G297" s="30" t="str">
        <x:v>Look-Alike and Sound-Alike (LASA) medicines shall be identified, segregated where feasible, and clearly labelled to minimize dispensing errors. Pharmacists shall perform an additional verification before dispensing LASA medicines.</x:v>
      </x:c>
      <x:c r="H297" s="30" t="str">
        <x:v>RETAIL</x:v>
      </x:c>
      <x:c r="I297" s="30" t="str">
        <x:v>Yes</x:v>
      </x:c>
      <x:c r="J297" s="30" t="str">
        <x:v>P-4 reparented to the canonical internal-control framework; approved sub-sector and Origin preserved.</x:v>
      </x:c>
    </x:row>
    <x:row r="298">
      <x:c r="A298" s="30" t="str">
        <x:v>RPROV022</x:v>
      </x:c>
      <x:c r="B298" s="30" t="str">
        <x:v>LAW099</x:v>
      </x:c>
      <x:c r="C298" s="30" t="str">
        <x:v>SUB001</x:v>
      </x:c>
      <x:c r="D298" s="30" t="str">
        <x:v>Best Practice</x:v>
      </x:c>
      <x:c r="E298" s="30" t="str">
        <x:v>Internal control — no independent statutory force; apply the separately mapped underlying law where applicable</x:v>
      </x:c>
      <x:c r="F298" s="30" t="str">
        <x:v>Near-Expiry Medicine Management</x:v>
      </x:c>
      <x:c r="G298" s="30" t="str">
        <x:v>Medicines approaching expiry within the organization-defined monitoring period shall be identified, segregated where necessary, monitored, and prioritized for compliant disposition to prevent accidental dispensing.</x:v>
      </x:c>
      <x:c r="H298" s="30" t="str">
        <x:v>RETAIL</x:v>
      </x:c>
      <x:c r="I298" s="30" t="str">
        <x:v>Yes</x:v>
      </x:c>
      <x:c r="J298" s="30" t="str">
        <x:v>P-4 reparented to the canonical internal-control framework; approved sub-sector and Origin preserved.</x:v>
      </x:c>
    </x:row>
    <x:row r="299">
      <x:c r="A299" s="30" t="str">
        <x:v>RPROV023</x:v>
      </x:c>
      <x:c r="B299" s="30" t="str">
        <x:v>LAW099</x:v>
      </x:c>
      <x:c r="C299" s="30" t="str">
        <x:v>SUB001</x:v>
      </x:c>
      <x:c r="D299" s="30" t="str">
        <x:v>Best Practice</x:v>
      </x:c>
      <x:c r="E299" s="30" t="str">
        <x:v>Internal control — no independent statutory force; apply the separately mapped underlying law where applicable</x:v>
      </x:c>
      <x:c r="F299" s="30" t="str">
        <x:v>Identity Verification for Restricted Medicines</x:v>
      </x:c>
      <x:c r="G299" s="30" t="str">
        <x:v>Customer identity shall be verified and recorded before dispensing medicines requiring statutory identity verification under applicable regulations.</x:v>
      </x:c>
      <x:c r="H299" s="30" t="str">
        <x:v>RETAIL</x:v>
      </x:c>
      <x:c r="I299" s="30" t="str">
        <x:v>Yes</x:v>
      </x:c>
      <x:c r="J299" s="30" t="str">
        <x:v>P-4 reparented to the canonical internal-control framework; approved sub-sector and Origin preserved.</x:v>
      </x:c>
    </x:row>
    <x:row r="300">
      <x:c r="A300" s="30" t="str">
        <x:v>RPROV024</x:v>
      </x:c>
      <x:c r="B300" s="30" t="str">
        <x:v>LAW099</x:v>
      </x:c>
      <x:c r="C300" s="30" t="str">
        <x:v>SUB001</x:v>
      </x:c>
      <x:c r="D300" s="30" t="str">
        <x:v>Best Practice</x:v>
      </x:c>
      <x:c r="E300" s="30" t="str">
        <x:v>Internal control — no independent statutory force; apply the separately mapped underlying law where applicable</x:v>
      </x:c>
      <x:c r="F300" s="30" t="str">
        <x:v>Daily Regulatory Readiness Verification</x:v>
      </x:c>
      <x:c r="G300" s="30" t="str">
        <x:v>Before commencement of business each day, the pharmacy shall verify licence display, pharmacist availability, refrigeration status, security controls, and system readiness using a documented checklist.</x:v>
      </x:c>
      <x:c r="H300" s="30" t="str">
        <x:v>RETAIL</x:v>
      </x:c>
      <x:c r="I300" s="30" t="str">
        <x:v>Yes</x:v>
      </x:c>
      <x:c r="J300" s="30" t="str">
        <x:v>P-4 reparented to the canonical internal-control framework; approved sub-sector and Origin preserved.</x:v>
      </x:c>
    </x:row>
    <x:row r="301">
      <x:c r="A301" s="30" t="str">
        <x:v>RPROV025</x:v>
      </x:c>
      <x:c r="B301" s="30" t="str">
        <x:v>LAW099</x:v>
      </x:c>
      <x:c r="C301" s="30" t="str">
        <x:v>SUB001</x:v>
      </x:c>
      <x:c r="D301" s="30" t="str">
        <x:v>Best Practice</x:v>
      </x:c>
      <x:c r="E301" s="30" t="str">
        <x:v>Internal control — no independent statutory force; apply the separately mapped underlying law where applicable</x:v>
      </x:c>
      <x:c r="F301" s="30" t="str">
        <x:v>Customer-Level Product Recall Traceability</x:v>
      </x:c>
      <x:c r="G301" s="30" t="str">
        <x:v>Dispensing records shall support identification of customers who received recalled medicines to enable timely notification, retrieval, and regulatory reporting.</x:v>
      </x:c>
      <x:c r="H301" s="30" t="str">
        <x:v>RETAIL</x:v>
      </x:c>
      <x:c r="I301" s="30" t="str">
        <x:v>Yes</x:v>
      </x:c>
      <x:c r="J301" s="30" t="str">
        <x:v>P-4 reparented to the canonical internal-control framework; approved sub-sector and Origin preserved.</x:v>
      </x:c>
    </x:row>
    <x:row r="302">
      <x:c r="A302" s="30" t="str">
        <x:v>RPROV026</x:v>
      </x:c>
      <x:c r="B302" s="30" t="str">
        <x:v>LAW099</x:v>
      </x:c>
      <x:c r="C302" s="30" t="str">
        <x:v>SUB001</x:v>
      </x:c>
      <x:c r="D302" s="30" t="str">
        <x:v>Best Practice</x:v>
      </x:c>
      <x:c r="E302" s="30" t="str">
        <x:v>Internal control — no independent statutory force; apply the separately mapped underlying law where applicable</x:v>
      </x:c>
      <x:c r="F302" s="30" t="str">
        <x:v>Dispensing System Audit Trail</x:v>
      </x:c>
      <x:c r="G302" s="30" t="str">
        <x:v>Electronic dispensing systems shall maintain immutable audit trails capturing creation, modification, cancellation, and approval of dispensing transactions with user identification and timestamps.</x:v>
      </x:c>
      <x:c r="H302" s="30" t="str">
        <x:v>RETAIL</x:v>
      </x:c>
      <x:c r="I302" s="30" t="str">
        <x:v>Yes</x:v>
      </x:c>
      <x:c r="J302" s="30" t="str">
        <x:v>P-4 reparented to the canonical internal-control framework; approved sub-sector and Origin preserved.</x:v>
      </x:c>
    </x:row>
    <x:row r="303">
      <x:c r="A303" s="30" t="str">
        <x:v>RPROV027</x:v>
      </x:c>
      <x:c r="B303" s="30" t="str">
        <x:v>LAW099</x:v>
      </x:c>
      <x:c r="C303" s="30" t="str">
        <x:v>SUB001</x:v>
      </x:c>
      <x:c r="D303" s="30" t="str">
        <x:v>Best Practice</x:v>
      </x:c>
      <x:c r="E303" s="30" t="str">
        <x:v>Internal control — no independent statutory force; apply the separately mapped underlying law where applicable</x:v>
      </x:c>
      <x:c r="F303" s="30" t="str">
        <x:v>Segregation of Saleable and Non-Saleable Stock</x:v>
      </x:c>
      <x:c r="G303" s="30" t="str">
        <x:v>Saleable, expired, damaged, recalled, returned, and quarantined medicines shall be physically segregated and clearly identified to prevent accidental dispensing.</x:v>
      </x:c>
      <x:c r="H303" s="30" t="str">
        <x:v>RETAIL</x:v>
      </x:c>
      <x:c r="I303" s="30" t="str">
        <x:v>Yes</x:v>
      </x:c>
      <x:c r="J303" s="30" t="str">
        <x:v>P-4 reparented to the canonical internal-control framework; approved sub-sector and Origin preserved.</x:v>
      </x:c>
    </x:row>
    <x:row r="304">
      <x:c r="A304" s="30" t="str">
        <x:v>RPROV028</x:v>
      </x:c>
      <x:c r="B304" s="30" t="str">
        <x:v>LAW099</x:v>
      </x:c>
      <x:c r="C304" s="30" t="str">
        <x:v>SUB001</x:v>
      </x:c>
      <x:c r="D304" s="30" t="str">
        <x:v>Best Practice</x:v>
      </x:c>
      <x:c r="E304" s="30" t="str">
        <x:v>Internal control — no independent statutory force; apply the separately mapped underlying law where applicable</x:v>
      </x:c>
      <x:c r="F304" s="30" t="str">
        <x:v>Pharmacy Surveillance and Record Retention</x:v>
      </x:c>
      <x:c r="G304" s="30" t="str">
        <x:v>Where surveillance systems are installed, CCTV recordings covering dispensing and storage areas shall be securely retained for the organization's approved retention period and made available during regulatory inspections when legally required.</x:v>
      </x:c>
      <x:c r="H304" s="30" t="str">
        <x:v>RETAIL</x:v>
      </x:c>
      <x:c r="I304" s="30" t="str">
        <x:v>Yes</x:v>
      </x:c>
      <x:c r="J304" s="30" t="str">
        <x:v>P-4 reparented to the canonical internal-control framework; approved sub-sector and Origin preserved.</x:v>
      </x:c>
    </x:row>
    <x:row r="305">
      <x:c r="A305" s="30" t="str">
        <x:v>RPROV029</x:v>
      </x:c>
      <x:c r="B305" s="30" t="str">
        <x:v>LAW099</x:v>
      </x:c>
      <x:c r="C305" s="30" t="str">
        <x:v>SUB001</x:v>
      </x:c>
      <x:c r="D305" s="30" t="str">
        <x:v>Best Practice</x:v>
      </x:c>
      <x:c r="E305" s="30" t="str">
        <x:v>Internal control — no independent statutory force; apply the separately mapped underlying law where applicable</x:v>
      </x:c>
      <x:c r="F305" s="30" t="str">
        <x:v>Mandatory Documentation of Clinical Intervention</x:v>
      </x:c>
      <x:c r="G305" s="30" t="str">
        <x:v>Any pharmacist intervention involving prescription clarification, dosage modification, therapeutic substitution (where legally permitted), or safety advice shall be documented with supporting rationale.</x:v>
      </x:c>
      <x:c r="H305" s="30" t="str">
        <x:v>RETAIL</x:v>
      </x:c>
      <x:c r="I305" s="30" t="str">
        <x:v>Yes</x:v>
      </x:c>
      <x:c r="J305" s="30" t="str">
        <x:v>P-4 reparented to the canonical internal-control framework; approved sub-sector and Origin preserved.</x:v>
      </x:c>
    </x:row>
    <x:row r="306">
      <x:c r="A306" s="30" t="str">
        <x:v>RPROV030</x:v>
      </x:c>
      <x:c r="B306" s="30" t="str">
        <x:v>LAW099</x:v>
      </x:c>
      <x:c r="C306" s="30" t="str">
        <x:v>SUB001</x:v>
      </x:c>
      <x:c r="D306" s="30" t="str">
        <x:v>Best Practice</x:v>
      </x:c>
      <x:c r="E306" s="30" t="str">
        <x:v>Internal control — no independent statutory force; apply the separately mapped underlying law where applicable</x:v>
      </x:c>
      <x:c r="F306" s="30" t="str">
        <x:v>End-of-Day Compliance Verification</x:v>
      </x:c>
      <x:c r="G306" s="30" t="str">
        <x:v>At the close of each business day, the pharmacy shall complete a documented verification covering controlled stock, refrigeration status, pending prescriptions, cash reconciliation, system backup, and security arrangements before premises are secured.</x:v>
      </x:c>
      <x:c r="H306" s="30" t="str">
        <x:v>RETAIL</x:v>
      </x:c>
      <x:c r="I306" s="30" t="str">
        <x:v>Yes</x:v>
      </x:c>
      <x:c r="J306" s="30" t="str">
        <x:v>P-4 reparented to the canonical internal-control framework; approved sub-sector and Origin preserved.</x:v>
      </x:c>
    </x:row>
    <x:row r="307">
      <x:c r="A307" s="30" t="str">
        <x:v>RPROV031</x:v>
      </x:c>
      <x:c r="B307" s="30" t="str">
        <x:v>LAW099</x:v>
      </x:c>
      <x:c r="C307" s="30" t="str">
        <x:v>SUB001</x:v>
      </x:c>
      <x:c r="D307" s="30" t="str">
        <x:v>Best Practice</x:v>
      </x:c>
      <x:c r="E307" s="30" t="str">
        <x:v>Internal control — no independent statutory force; apply the separately mapped underlying law where applicable</x:v>
      </x:c>
      <x:c r="F307" s="30" t="str">
        <x:v>Restricted Medicine Dispensing Authorization</x:v>
      </x:c>
      <x:c r="G307" s="30" t="str">
        <x:v>Narcotic, psychotropic, and other legally restricted medicines shall be dispensed only after verification of statutory authorization, prescription validity, patient identity, and mandatory register entries.</x:v>
      </x:c>
      <x:c r="H307" s="30" t="str">
        <x:v>RETAIL</x:v>
      </x:c>
      <x:c r="I307" s="30" t="str">
        <x:v>Yes</x:v>
      </x:c>
      <x:c r="J307" s="30" t="str">
        <x:v>P-4 reparented to the canonical internal-control framework; approved sub-sector and Origin preserved.</x:v>
      </x:c>
    </x:row>
    <x:row r="308">
      <x:c r="A308" s="30" t="str">
        <x:v>RPROV032</x:v>
      </x:c>
      <x:c r="B308" s="30" t="str">
        <x:v>LAW099</x:v>
      </x:c>
      <x:c r="C308" s="30" t="str">
        <x:v>SUB001</x:v>
      </x:c>
      <x:c r="D308" s="30" t="str">
        <x:v>Best Practice</x:v>
      </x:c>
      <x:c r="E308" s="30" t="str">
        <x:v>Internal control — no independent statutory force; apply the separately mapped underlying law where applicable</x:v>
      </x:c>
      <x:c r="F308" s="30" t="str">
        <x:v>Prescription Prioritization Controls</x:v>
      </x:c>
      <x:c r="G308" s="30" t="str">
        <x:v>The pharmacy shall establish documented criteria for prioritizing emergency, elderly, pediatric, and time-sensitive prescriptions while ensuring dispensing accuracy is not compromised.</x:v>
      </x:c>
      <x:c r="H308" s="30" t="str">
        <x:v>RETAIL</x:v>
      </x:c>
      <x:c r="I308" s="30" t="str">
        <x:v>Yes</x:v>
      </x:c>
      <x:c r="J308" s="30" t="str">
        <x:v>P-4 reparented to the canonical internal-control framework; approved sub-sector and Origin preserved.</x:v>
      </x:c>
    </x:row>
    <x:row r="309">
      <x:c r="A309" s="30" t="str">
        <x:v>RPROV033</x:v>
      </x:c>
      <x:c r="B309" s="30" t="str">
        <x:v>LAW099</x:v>
      </x:c>
      <x:c r="C309" s="30" t="str">
        <x:v>SUB001</x:v>
      </x:c>
      <x:c r="D309" s="30" t="str">
        <x:v>Best Practice</x:v>
      </x:c>
      <x:c r="E309" s="30" t="str">
        <x:v>Internal control — no independent statutory force; apply the separately mapped underlying law where applicable</x:v>
      </x:c>
      <x:c r="F309" s="30" t="str">
        <x:v>Customer Notification for Medicine Availability</x:v>
      </x:c>
      <x:c r="G309" s="30" t="str">
        <x:v>Customers opting for digital communication shall receive notifications regarding medicine availability, order readiness, or delays through approved communication channels while maintaining confidentiality.</x:v>
      </x:c>
      <x:c r="H309" s="30" t="str">
        <x:v>RETAIL</x:v>
      </x:c>
      <x:c r="I309" s="30" t="str">
        <x:v>Yes</x:v>
      </x:c>
      <x:c r="J309" s="30" t="str">
        <x:v>P-4 reparented to the canonical internal-control framework; approved sub-sector and Origin preserved.</x:v>
      </x:c>
    </x:row>
    <x:row r="310">
      <x:c r="A310" s="30" t="str">
        <x:v>RPROV034</x:v>
      </x:c>
      <x:c r="B310" s="30" t="str">
        <x:v>LAW099</x:v>
      </x:c>
      <x:c r="C310" s="30" t="str">
        <x:v>SUB001</x:v>
      </x:c>
      <x:c r="D310" s="30" t="str">
        <x:v>Best Practice</x:v>
      </x:c>
      <x:c r="E310" s="30" t="str">
        <x:v>Internal control — no independent statutory force; apply the separately mapped underlying law where applicable</x:v>
      </x:c>
      <x:c r="F310" s="30" t="str">
        <x:v>Documentation of Generic Substitution</x:v>
      </x:c>
      <x:c r="G310" s="30" t="str">
        <x:v>Where legally permitted, substitution with an equivalent generic medicine shall be documented, including pharmacist justification, patient communication, and applicable prescriber requirements.</x:v>
      </x:c>
      <x:c r="H310" s="30" t="str">
        <x:v>RETAIL</x:v>
      </x:c>
      <x:c r="I310" s="30" t="str">
        <x:v>Yes</x:v>
      </x:c>
      <x:c r="J310" s="30" t="str">
        <x:v>P-4 reparented to the canonical internal-control framework; approved sub-sector and Origin preserved.</x:v>
      </x:c>
    </x:row>
    <x:row r="311">
      <x:c r="A311" s="30" t="str">
        <x:v>RPROV035</x:v>
      </x:c>
      <x:c r="B311" s="30" t="str">
        <x:v>LAW099</x:v>
      </x:c>
      <x:c r="C311" s="30" t="str">
        <x:v>SUB001</x:v>
      </x:c>
      <x:c r="D311" s="30" t="str">
        <x:v>Best Practice</x:v>
      </x:c>
      <x:c r="E311" s="30" t="str">
        <x:v>Internal control — no independent statutory force; apply the separately mapped underlying law where applicable</x:v>
      </x:c>
      <x:c r="F311" s="30" t="str">
        <x:v>Cold Storage Deviation Response</x:v>
      </x:c>
      <x:c r="G311" s="30" t="str">
        <x:v>Temperature excursions affecting refrigerated medicines shall trigger documented corrective actions, product assessment, pharmacist review, and disposition decisions before products are dispensed.</x:v>
      </x:c>
      <x:c r="H311" s="30" t="str">
        <x:v>RETAIL</x:v>
      </x:c>
      <x:c r="I311" s="30" t="str">
        <x:v>Yes</x:v>
      </x:c>
      <x:c r="J311" s="30" t="str">
        <x:v>P-4 reparented to the canonical internal-control framework; approved sub-sector and Origin preserved.</x:v>
      </x:c>
    </x:row>
    <x:row r="312">
      <x:c r="A312" s="30" t="str">
        <x:v>RPROV036</x:v>
      </x:c>
      <x:c r="B312" s="30" t="str">
        <x:v>LAW099</x:v>
      </x:c>
      <x:c r="C312" s="30" t="str">
        <x:v>SUB001</x:v>
      </x:c>
      <x:c r="D312" s="30" t="str">
        <x:v>Best Practice</x:v>
      </x:c>
      <x:c r="E312" s="30" t="str">
        <x:v>Internal control — no independent statutory force; apply the separately mapped underlying law where applicable</x:v>
      </x:c>
      <x:c r="F312" s="30" t="str">
        <x:v>Safe Customer Waiting Environment</x:v>
      </x:c>
      <x:c r="G312" s="30" t="str">
        <x:v>Customer waiting areas shall be maintained in a safe, hygienic, accessible, and organized condition to support orderly pharmacy operations and regulatory expectations.</x:v>
      </x:c>
      <x:c r="H312" s="30" t="str">
        <x:v>RETAIL</x:v>
      </x:c>
      <x:c r="I312" s="30" t="str">
        <x:v>Yes</x:v>
      </x:c>
      <x:c r="J312" s="30" t="str">
        <x:v>P-4 reparented to the canonical internal-control framework; approved sub-sector and Origin preserved.</x:v>
      </x:c>
    </x:row>
    <x:row r="313">
      <x:c r="A313" s="30" t="str">
        <x:v>RPROV037</x:v>
      </x:c>
      <x:c r="B313" s="30" t="str">
        <x:v>LAW099</x:v>
      </x:c>
      <x:c r="C313" s="30" t="str">
        <x:v>SUB001</x:v>
      </x:c>
      <x:c r="D313" s="30" t="str">
        <x:v>Best Practice</x:v>
      </x:c>
      <x:c r="E313" s="30" t="str">
        <x:v>Internal control — no independent statutory force; apply the separately mapped underlying law where applicable</x:v>
      </x:c>
      <x:c r="F313" s="30" t="str">
        <x:v>Temporary Verbal Prescription Controls</x:v>
      </x:c>
      <x:c r="G313" s="30" t="str">
        <x:v>Verbal prescriptions shall only be accepted where legally permissible and shall be documented, verified, and subsequently supported by the required written or electronic prescription within prescribed timelines.</x:v>
      </x:c>
      <x:c r="H313" s="30" t="str">
        <x:v>RETAIL</x:v>
      </x:c>
      <x:c r="I313" s="30" t="str">
        <x:v>Yes</x:v>
      </x:c>
      <x:c r="J313" s="30" t="str">
        <x:v>P-4 reparented to the canonical internal-control framework; approved sub-sector and Origin preserved.</x:v>
      </x:c>
    </x:row>
    <x:row r="314">
      <x:c r="A314" s="30" t="str">
        <x:v>RPROV038</x:v>
      </x:c>
      <x:c r="B314" s="30" t="str">
        <x:v>LAW099</x:v>
      </x:c>
      <x:c r="C314" s="30" t="str">
        <x:v>SUB001</x:v>
      </x:c>
      <x:c r="D314" s="30" t="str">
        <x:v>Best Practice</x:v>
      </x:c>
      <x:c r="E314" s="30" t="str">
        <x:v>Internal control — no independent statutory force; apply the separately mapped underlying law where applicable</x:v>
      </x:c>
      <x:c r="F314" s="30" t="str">
        <x:v>Pharmacy System Access Controls</x:v>
      </x:c>
      <x:c r="G314" s="30" t="str">
        <x:v>Access to pharmacy dispensing systems shall be protected through unique user accounts, secure authentication, password management, and periodic access reviews. Shared credentials shall be prohibited.</x:v>
      </x:c>
      <x:c r="H314" s="30" t="str">
        <x:v>RETAIL</x:v>
      </x:c>
      <x:c r="I314" s="30" t="str">
        <x:v>Yes</x:v>
      </x:c>
      <x:c r="J314" s="30" t="str">
        <x:v>P-4 reparented to the canonical internal-control framework; approved sub-sector and Origin preserved.</x:v>
      </x:c>
    </x:row>
    <x:row r="315">
      <x:c r="A315" s="30" t="str">
        <x:v>RPROV039</x:v>
      </x:c>
      <x:c r="B315" s="30" t="str">
        <x:v>LAW099</x:v>
      </x:c>
      <x:c r="C315" s="30" t="str">
        <x:v>SUB001</x:v>
      </x:c>
      <x:c r="D315" s="30" t="str">
        <x:v>Best Practice</x:v>
      </x:c>
      <x:c r="E315" s="30" t="str">
        <x:v>Internal control — no independent statutory force; apply the separately mapped underlying law where applicable</x:v>
      </x:c>
      <x:c r="F315" s="30" t="str">
        <x:v>Customer Feedback Management</x:v>
      </x:c>
      <x:c r="G315" s="30" t="str">
        <x:v>Customer feedback relating to dispensing quality, service delivery, medicine availability, or compliance concerns shall be documented, reviewed, investigated where appropriate, and closed with corrective actions.</x:v>
      </x:c>
      <x:c r="H315" s="30" t="str">
        <x:v>RETAIL</x:v>
      </x:c>
      <x:c r="I315" s="30" t="str">
        <x:v>Yes</x:v>
      </x:c>
      <x:c r="J315" s="30" t="str">
        <x:v>P-4 reparented to the canonical internal-control framework; approved sub-sector and Origin preserved.</x:v>
      </x:c>
    </x:row>
    <x:row r="316">
      <x:c r="A316" s="30" t="str">
        <x:v>RPROV040</x:v>
      </x:c>
      <x:c r="B316" s="30" t="str">
        <x:v>LAW099</x:v>
      </x:c>
      <x:c r="C316" s="30" t="str">
        <x:v>SUB001</x:v>
      </x:c>
      <x:c r="D316" s="30" t="str">
        <x:v>Best Practice</x:v>
      </x:c>
      <x:c r="E316" s="30" t="str">
        <x:v>Internal control — no independent statutory force; apply the separately mapped underlying law where applicable</x:v>
      </x:c>
      <x:c r="F316" s="30" t="str">
        <x:v>Monthly Retail Pharmacy Compliance Review</x:v>
      </x:c>
      <x:c r="G316" s="30" t="str">
        <x:v>Retail pharmacies shall conduct documented monthly self-assessments covering ...</x:v>
      </x:c>
      <x:c r="H316" s="30" t="str">
        <x:v>RETAIL</x:v>
      </x:c>
      <x:c r="I316" s="30" t="str">
        <x:v>Yes</x:v>
      </x:c>
      <x:c r="J316" s="30" t="str">
        <x:v>P-4 reparented to the canonical internal-control framework; approved sub-sector and Origin preserved.</x:v>
      </x:c>
    </x:row>
    <x:row r="317">
      <x:c r="A317" s="30" t="str">
        <x:v>RPROV041</x:v>
      </x:c>
      <x:c r="B317" s="30" t="str">
        <x:v>LAW099</x:v>
      </x:c>
      <x:c r="C317" s="30" t="str">
        <x:v>SUB001</x:v>
      </x:c>
      <x:c r="D317" s="30" t="str">
        <x:v>Best Practice</x:v>
      </x:c>
      <x:c r="E317" s="30" t="str">
        <x:v>Internal control — no independent statutory force; apply the separately mapped underlying law where applicable</x:v>
      </x:c>
      <x:c r="F317" s="30" t="str">
        <x:v>Essential Medicine Stock Availability</x:v>
      </x:c>
      <x:c r="G317" s="30" t="str">
        <x:v>Retail pharmacies shall maintain adequate stock levels of essential medicines...</x:v>
      </x:c>
      <x:c r="H317" s="30" t="str">
        <x:v>RETAIL</x:v>
      </x:c>
      <x:c r="I317" s="30" t="str">
        <x:v>Yes</x:v>
      </x:c>
      <x:c r="J317" s="30" t="str">
        <x:v>P-4 reparented to the canonical internal-control framework; approved sub-sector and Origin preserved.</x:v>
      </x:c>
    </x:row>
    <x:row r="318">
      <x:c r="A318" s="30" t="str">
        <x:v>RPROV042</x:v>
      </x:c>
      <x:c r="B318" s="30" t="str">
        <x:v>LAW099</x:v>
      </x:c>
      <x:c r="C318" s="30" t="str">
        <x:v>SUB001</x:v>
      </x:c>
      <x:c r="D318" s="30" t="str">
        <x:v>Best Practice</x:v>
      </x:c>
      <x:c r="E318" s="30" t="str">
        <x:v>Internal control — no independent statutory force; apply the separately mapped underlying law where applicable</x:v>
      </x:c>
      <x:c r="F318" s="30" t="str">
        <x:v>Cancelled Prescription Management</x:v>
      </x:c>
      <x:c r="G318" s="30" t="str">
        <x:v>Cancelled, voided, or withdrawn prescriptions shall be documented with the re...</x:v>
      </x:c>
      <x:c r="H318" s="30" t="str">
        <x:v>RETAIL</x:v>
      </x:c>
      <x:c r="I318" s="30" t="str">
        <x:v>Yes</x:v>
      </x:c>
      <x:c r="J318" s="30" t="str">
        <x:v>P-4 reparented to the canonical internal-control framework; approved sub-sector and Origin preserved.</x:v>
      </x:c>
    </x:row>
    <x:row r="319">
      <x:c r="A319" s="30" t="str">
        <x:v>RPROV043</x:v>
      </x:c>
      <x:c r="B319" s="30" t="str">
        <x:v>LAW099</x:v>
      </x:c>
      <x:c r="C319" s="30" t="str">
        <x:v>SUB001</x:v>
      </x:c>
      <x:c r="D319" s="30" t="str">
        <x:v>Best Practice</x:v>
      </x:c>
      <x:c r="E319" s="30" t="str">
        <x:v>Internal control — no independent statutory force; apply the separately mapped underlying law where applicable</x:v>
      </x:c>
      <x:c r="F319" s="30" t="str">
        <x:v>Barcode-Based Dispensing Verification</x:v>
      </x:c>
      <x:c r="G319" s="30" t="str">
        <x:v>Pharmacies using barcode technology shall verify medicine identity, batch, an...</x:v>
      </x:c>
      <x:c r="H319" s="30" t="str">
        <x:v>RETAIL</x:v>
      </x:c>
      <x:c r="I319" s="30" t="str">
        <x:v>Yes</x:v>
      </x:c>
      <x:c r="J319" s="30" t="str">
        <x:v>P-4 reparented to the canonical internal-control framework; approved sub-sector and Origin preserved.</x:v>
      </x:c>
    </x:row>
    <x:row r="320">
      <x:c r="A320" s="30" t="str">
        <x:v>RPROV044</x:v>
      </x:c>
      <x:c r="B320" s="30" t="str">
        <x:v>LAW099</x:v>
      </x:c>
      <x:c r="C320" s="30" t="str">
        <x:v>SUB001</x:v>
      </x:c>
      <x:c r="D320" s="30" t="str">
        <x:v>Best Practice</x:v>
      </x:c>
      <x:c r="E320" s="30" t="str">
        <x:v>Internal control — no independent statutory force; apply the separately mapped underlying law where applicable</x:v>
      </x:c>
      <x:c r="F320" s="30" t="str">
        <x:v>Damaged Medicine Isolation Procedure</x:v>
      </x:c>
      <x:c r="G320" s="30" t="str">
        <x:v>Medicines found damaged, contaminated, or suspected to have compromised quali...</x:v>
      </x:c>
      <x:c r="H320" s="30" t="str">
        <x:v>RETAIL</x:v>
      </x:c>
      <x:c r="I320" s="30" t="str">
        <x:v>Yes</x:v>
      </x:c>
      <x:c r="J320" s="30" t="str">
        <x:v>P-4 reparented to the canonical internal-control framework; approved sub-sector and Origin preserved.</x:v>
      </x:c>
    </x:row>
    <x:row r="321">
      <x:c r="A321" s="30" t="str">
        <x:v>RPROV045</x:v>
      </x:c>
      <x:c r="B321" s="30" t="str">
        <x:v>LAW099</x:v>
      </x:c>
      <x:c r="C321" s="30" t="str">
        <x:v>SUB001</x:v>
      </x:c>
      <x:c r="D321" s="30" t="str">
        <x:v>Best Practice</x:v>
      </x:c>
      <x:c r="E321" s="30" t="str">
        <x:v>Internal control — no independent statutory force; apply the separately mapped underlying law where applicable</x:v>
      </x:c>
      <x:c r="F321" s="30" t="str">
        <x:v>Pharmacy Emergency Response Readiness</x:v>
      </x:c>
      <x:c r="G321" s="30" t="str">
        <x:v>Retail pharmacies shall maintain documented emergency procedures for fire, po...</x:v>
      </x:c>
      <x:c r="H321" s="30" t="str">
        <x:v>RETAIL</x:v>
      </x:c>
      <x:c r="I321" s="30" t="str">
        <x:v>Yes</x:v>
      </x:c>
      <x:c r="J321" s="30" t="str">
        <x:v>P-4 reparented to the canonical internal-control framework; approved sub-sector and Origin preserved.</x:v>
      </x:c>
    </x:row>
    <x:row r="322">
      <x:c r="A322" s="30" t="str">
        <x:v>RPROV046</x:v>
      </x:c>
      <x:c r="B322" s="30" t="str">
        <x:v>LAW099</x:v>
      </x:c>
      <x:c r="C322" s="30" t="str">
        <x:v>SUB001</x:v>
      </x:c>
      <x:c r="D322" s="30" t="str">
        <x:v>Best Practice</x:v>
      </x:c>
      <x:c r="E322" s="30" t="str">
        <x:v>Internal control — no independent statutory force; apply the separately mapped underlying law where applicable</x:v>
      </x:c>
      <x:c r="F322" s="30" t="str">
        <x:v>Accessibility for Customers</x:v>
      </x:c>
      <x:c r="G322" s="30" t="str">
        <x:v>Pharmacy premises shall provide reasonable accessibility for elderly persons,...</x:v>
      </x:c>
      <x:c r="H322" s="30" t="str">
        <x:v>RETAIL</x:v>
      </x:c>
      <x:c r="I322" s="30" t="str">
        <x:v>Yes</x:v>
      </x:c>
      <x:c r="J322" s="30" t="str">
        <x:v>P-4 reparented to the canonical internal-control framework; approved sub-sector and Origin preserved.</x:v>
      </x:c>
    </x:row>
    <x:row r="323">
      <x:c r="A323" s="30" t="str">
        <x:v>RPROV047</x:v>
      </x:c>
      <x:c r="B323" s="30" t="str">
        <x:v>LAW099</x:v>
      </x:c>
      <x:c r="C323" s="30" t="str">
        <x:v>SUB001</x:v>
      </x:c>
      <x:c r="D323" s="30" t="str">
        <x:v>Best Practice</x:v>
      </x:c>
      <x:c r="E323" s="30" t="str">
        <x:v>Internal control — no independent statutory force; apply the separately mapped underlying law where applicable</x:v>
      </x:c>
      <x:c r="F323" s="30" t="str">
        <x:v>Medicine Shortage Communication Process</x:v>
      </x:c>
      <x:c r="G323" s="30" t="str">
        <x:v>Medicine shortages affecting customer prescriptions shall be documented, comm...</x:v>
      </x:c>
      <x:c r="H323" s="30" t="str">
        <x:v>RETAIL</x:v>
      </x:c>
      <x:c r="I323" s="30" t="str">
        <x:v>Yes</x:v>
      </x:c>
      <x:c r="J323" s="30" t="str">
        <x:v>P-4 reparented to the canonical internal-control framework; approved sub-sector and Origin preserved.</x:v>
      </x:c>
    </x:row>
    <x:row r="324">
      <x:c r="A324" s="30" t="str">
        <x:v>RPROV048</x:v>
      </x:c>
      <x:c r="B324" s="30" t="str">
        <x:v>LAW099</x:v>
      </x:c>
      <x:c r="C324" s="30" t="str">
        <x:v>SUB001</x:v>
      </x:c>
      <x:c r="D324" s="30" t="str">
        <x:v>Best Practice</x:v>
      </x:c>
      <x:c r="E324" s="30" t="str">
        <x:v>Internal control — no independent statutory force; apply the separately mapped underlying law where applicable</x:v>
      </x:c>
      <x:c r="F324" s="30" t="str">
        <x:v>Pharmacy Data Backup and Recovery</x:v>
      </x:c>
      <x:c r="G324" s="30" t="str">
        <x:v>Electronic pharmacy records shall be backed up at defined intervals, protecte...</x:v>
      </x:c>
      <x:c r="H324" s="30" t="str">
        <x:v>RETAIL</x:v>
      </x:c>
      <x:c r="I324" s="30" t="str">
        <x:v>Yes</x:v>
      </x:c>
      <x:c r="J324" s="30" t="str">
        <x:v>P-4 reparented to the canonical internal-control framework; approved sub-sector and Origin preserved.</x:v>
      </x:c>
    </x:row>
    <x:row r="325">
      <x:c r="A325" s="30" t="str">
        <x:v>RPROV049</x:v>
      </x:c>
      <x:c r="B325" s="30" t="str">
        <x:v>LAW099</x:v>
      </x:c>
      <x:c r="C325" s="30" t="str">
        <x:v>SUB001</x:v>
      </x:c>
      <x:c r="D325" s="30" t="str">
        <x:v>Best Practice</x:v>
      </x:c>
      <x:c r="E325" s="30" t="str">
        <x:v>Internal control — no independent statutory force; apply the separately mapped underlying law where applicable</x:v>
      </x:c>
      <x:c r="F325" s="30" t="str">
        <x:v>Display of Public Health Notices</x:v>
      </x:c>
      <x:c r="G325" s="30" t="str">
        <x:v>Regulatory notices, medicine safety alerts, vaccination campaigns, and other ...</x:v>
      </x:c>
      <x:c r="H325" s="30" t="str">
        <x:v>RETAIL</x:v>
      </x:c>
      <x:c r="I325" s="30" t="str">
        <x:v>Yes</x:v>
      </x:c>
      <x:c r="J325" s="30" t="str">
        <x:v>P-4 reparented to the canonical internal-control framework; approved sub-sector and Origin preserved.</x:v>
      </x:c>
    </x:row>
    <x:row r="326">
      <x:c r="A326" s="30" t="str">
        <x:v>RPROV050</x:v>
      </x:c>
      <x:c r="B326" s="30" t="str">
        <x:v>LAW099</x:v>
      </x:c>
      <x:c r="C326" s="30" t="str">
        <x:v>SUB001</x:v>
      </x:c>
      <x:c r="D326" s="30" t="str">
        <x:v>Best Practice</x:v>
      </x:c>
      <x:c r="E326" s="30" t="str">
        <x:v>Internal control — no independent statutory force; apply the separately mapped underlying law where applicable</x:v>
      </x:c>
      <x:c r="F326" s="30" t="str">
        <x:v>Corrective and Preventive Action (CAPA) Management</x:v>
      </x:c>
      <x:c r="G326" s="30" t="str">
        <x:v>Compliance deficiencies identified through inspections, audits, complaints, i...</x:v>
      </x:c>
      <x:c r="H326" s="30" t="str">
        <x:v>RETAIL</x:v>
      </x:c>
      <x:c r="I326" s="30" t="str">
        <x:v>Yes</x:v>
      </x:c>
      <x:c r="J326" s="30" t="str">
        <x:v>P-4 reparented to the canonical internal-control framework; approved sub-sector and Origin preserved.</x:v>
      </x:c>
    </x:row>
    <x:row r="327">
      <x:c r="A327" s="30" t="str">
        <x:v>RPROV051</x:v>
      </x:c>
      <x:c r="B327" s="30" t="str">
        <x:v>LAW099</x:v>
      </x:c>
      <x:c r="C327" s="30" t="str">
        <x:v>SUB001</x:v>
      </x:c>
      <x:c r="D327" s="30" t="str">
        <x:v>Best Practice</x:v>
      </x:c>
      <x:c r="E327" s="30" t="str">
        <x:v>Internal control — no independent statutory force; apply the separately mapped underlying law where applicable</x:v>
      </x:c>
      <x:c r="F327" s="30" t="str">
        <x:v>Counterfeit Medicine Identification and Reporting</x:v>
      </x:c>
      <x:c r="G327" s="30" t="str">
        <x:v>Retail pharmacies shall establish procedures to identify suspected counterfei...</x:v>
      </x:c>
      <x:c r="H327" s="30" t="str">
        <x:v>RETAIL</x:v>
      </x:c>
      <x:c r="I327" s="30" t="str">
        <x:v>Yes</x:v>
      </x:c>
      <x:c r="J327" s="30" t="str">
        <x:v>P-4 reparented to the canonical internal-control framework; approved sub-sector and Origin preserved.</x:v>
      </x:c>
    </x:row>
    <x:row r="328">
      <x:c r="A328" s="30" t="str">
        <x:v>RPROV052</x:v>
      </x:c>
      <x:c r="B328" s="30" t="str">
        <x:v>LAW099</x:v>
      </x:c>
      <x:c r="C328" s="30" t="str">
        <x:v>SUB001</x:v>
      </x:c>
      <x:c r="D328" s="30" t="str">
        <x:v>Best Practice</x:v>
      </x:c>
      <x:c r="E328" s="30" t="str">
        <x:v>Internal control — no independent statutory force; apply the separately mapped underlying law where applicable</x:v>
      </x:c>
      <x:c r="F328" s="30" t="str">
        <x:v>Approved Supplier Procurement Controls</x:v>
      </x:c>
      <x:c r="G328" s="30" t="str">
        <x:v>Medicines shall be procured only from authorized and approved suppliers holdi...</x:v>
      </x:c>
      <x:c r="H328" s="30" t="str">
        <x:v>RETAIL</x:v>
      </x:c>
      <x:c r="I328" s="30" t="str">
        <x:v>Yes</x:v>
      </x:c>
      <x:c r="J328" s="30" t="str">
        <x:v>P-4 reparented to the canonical internal-control framework; approved sub-sector and Origin preserved.</x:v>
      </x:c>
    </x:row>
    <x:row r="329">
      <x:c r="A329" s="30" t="str">
        <x:v>RPROV053</x:v>
      </x:c>
      <x:c r="B329" s="30" t="str">
        <x:v>LAW099</x:v>
      </x:c>
      <x:c r="C329" s="30" t="str">
        <x:v>SUB001</x:v>
      </x:c>
      <x:c r="D329" s="30" t="str">
        <x:v>Best Practice</x:v>
      </x:c>
      <x:c r="E329" s="30" t="str">
        <x:v>Internal control — no independent statutory force; apply the separately mapped underlying law where applicable</x:v>
      </x:c>
      <x:c r="F329" s="30" t="str">
        <x:v>Electronic Invoice and Receipt Retention</x:v>
      </x:c>
      <x:c r="G329" s="30" t="str">
        <x:v>Electronic invoices, customer receipts, and billing records shall be securely...</x:v>
      </x:c>
      <x:c r="H329" s="30" t="str">
        <x:v>RETAIL</x:v>
      </x:c>
      <x:c r="I329" s="30" t="str">
        <x:v>Yes</x:v>
      </x:c>
      <x:c r="J329" s="30" t="str">
        <x:v>P-4 reparented to the canonical internal-control framework; approved sub-sector and Origin preserved.</x:v>
      </x:c>
    </x:row>
    <x:row r="330">
      <x:c r="A330" s="30" t="str">
        <x:v>RPROV054</x:v>
      </x:c>
      <x:c r="B330" s="30" t="str">
        <x:v>LAW099</x:v>
      </x:c>
      <x:c r="C330" s="30" t="str">
        <x:v>SUB001</x:v>
      </x:c>
      <x:c r="D330" s="30" t="str">
        <x:v>Best Practice</x:v>
      </x:c>
      <x:c r="E330" s="30" t="str">
        <x:v>Internal control — no independent statutory force; apply the separately mapped underlying law where applicable</x:v>
      </x:c>
      <x:c r="F330" s="30" t="str">
        <x:v>Supplier Recall Notification Handling</x:v>
      </x:c>
      <x:c r="G330" s="30" t="str">
        <x:v>Upon receiving a recall or safety alert from suppliers or regulators, the pha...</x:v>
      </x:c>
      <x:c r="H330" s="30" t="str">
        <x:v>RETAIL</x:v>
      </x:c>
      <x:c r="I330" s="30" t="str">
        <x:v>Yes</x:v>
      </x:c>
      <x:c r="J330" s="30" t="str">
        <x:v>P-4 reparented to the canonical internal-control framework; approved sub-sector and Origin preserved.</x:v>
      </x:c>
    </x:row>
    <x:row r="331">
      <x:c r="A331" s="30" t="str">
        <x:v>RPROV055</x:v>
      </x:c>
      <x:c r="B331" s="30" t="str">
        <x:v>LAW099</x:v>
      </x:c>
      <x:c r="C331" s="30" t="str">
        <x:v>SUB001</x:v>
      </x:c>
      <x:c r="D331" s="30" t="str">
        <x:v>Best Practice</x:v>
      </x:c>
      <x:c r="E331" s="30" t="str">
        <x:v>Internal control — no independent statutory force; apply the separately mapped underlying law where applicable</x:v>
      </x:c>
      <x:c r="F331" s="30" t="str">
        <x:v>Power Outage Response Procedure</x:v>
      </x:c>
      <x:c r="G331" s="30" t="str">
        <x:v>Retail pharmacies shall implement documented procedures to manage power failu...</x:v>
      </x:c>
      <x:c r="H331" s="30" t="str">
        <x:v>RETAIL</x:v>
      </x:c>
      <x:c r="I331" s="30" t="str">
        <x:v>Yes</x:v>
      </x:c>
      <x:c r="J331" s="30" t="str">
        <x:v>P-4 reparented to the canonical internal-control framework; approved sub-sector and Origin preserved.</x:v>
      </x:c>
    </x:row>
    <x:row r="332">
      <x:c r="A332" s="30" t="str">
        <x:v>RPROV056</x:v>
      </x:c>
      <x:c r="B332" s="30" t="str">
        <x:v>LAW099</x:v>
      </x:c>
      <x:c r="C332" s="30" t="str">
        <x:v>SUB001</x:v>
      </x:c>
      <x:c r="D332" s="30" t="str">
        <x:v>Best Practice</x:v>
      </x:c>
      <x:c r="E332" s="30" t="str">
        <x:v>Internal control — no independent statutory force; apply the separately mapped underlying law where applicable</x:v>
      </x:c>
      <x:c r="F332" s="30" t="str">
        <x:v>Community Health Awareness Participation</x:v>
      </x:c>
      <x:c r="G332" s="30" t="str">
        <x:v>Retail pharmacies participating in public health campaigns shall ensure activ...</x:v>
      </x:c>
      <x:c r="H332" s="30" t="str">
        <x:v>RETAIL</x:v>
      </x:c>
      <x:c r="I332" s="30" t="str">
        <x:v>Yes</x:v>
      </x:c>
      <x:c r="J332" s="30" t="str">
        <x:v>P-4 reparented to the canonical internal-control framework; approved sub-sector and Origin preserved.</x:v>
      </x:c>
    </x:row>
    <x:row r="333">
      <x:c r="A333" s="30" t="str">
        <x:v>RPROV057</x:v>
      </x:c>
      <x:c r="B333" s="30" t="str">
        <x:v>LAW099</x:v>
      </x:c>
      <x:c r="C333" s="30" t="str">
        <x:v>SUB001</x:v>
      </x:c>
      <x:c r="D333" s="30" t="str">
        <x:v>Best Practice</x:v>
      </x:c>
      <x:c r="E333" s="30" t="str">
        <x:v>Internal control — no independent statutory force; apply the separately mapped underlying law where applicable</x:v>
      </x:c>
      <x:c r="F333" s="30" t="str">
        <x:v>Daily Inventory Variance Review</x:v>
      </x:c>
      <x:c r="G333" s="30" t="str">
        <x:v>Inventory discrepancies identified during daily operations shall be investiga...</x:v>
      </x:c>
      <x:c r="H333" s="30" t="str">
        <x:v>RETAIL</x:v>
      </x:c>
      <x:c r="I333" s="30" t="str">
        <x:v>Yes</x:v>
      </x:c>
      <x:c r="J333" s="30" t="str">
        <x:v>P-4 reparented to the canonical internal-control framework; approved sub-sector and Origin preserved.</x:v>
      </x:c>
    </x:row>
    <x:row r="334">
      <x:c r="A334" s="30" t="str">
        <x:v>RPROV058</x:v>
      </x:c>
      <x:c r="B334" s="30" t="str">
        <x:v>LAW099</x:v>
      </x:c>
      <x:c r="C334" s="30" t="str">
        <x:v>SUB001</x:v>
      </x:c>
      <x:c r="D334" s="30" t="str">
        <x:v>Best Practice</x:v>
      </x:c>
      <x:c r="E334" s="30" t="str">
        <x:v>Internal control — no independent statutory force; apply the separately mapped underlying law where applicable</x:v>
      </x:c>
      <x:c r="F334" s="30" t="str">
        <x:v>Automatic Session Timeout Controls</x:v>
      </x:c>
      <x:c r="G334" s="30" t="str">
        <x:v>Pharmacy dispensing software shall automatically terminate inactive user sess...</x:v>
      </x:c>
      <x:c r="H334" s="30" t="str">
        <x:v>RETAIL</x:v>
      </x:c>
      <x:c r="I334" s="30" t="str">
        <x:v>Yes</x:v>
      </x:c>
      <x:c r="J334" s="30" t="str">
        <x:v>P-4 reparented to the canonical internal-control framework; approved sub-sector and Origin preserved.</x:v>
      </x:c>
    </x:row>
    <x:row r="335">
      <x:c r="A335" s="30" t="str">
        <x:v>RPROV059</x:v>
      </x:c>
      <x:c r="B335" s="30" t="str">
        <x:v>LAW099</x:v>
      </x:c>
      <x:c r="C335" s="30" t="str">
        <x:v>SUB001</x:v>
      </x:c>
      <x:c r="D335" s="30" t="str">
        <x:v>Best Practice</x:v>
      </x:c>
      <x:c r="E335" s="30" t="str">
        <x:v>Internal control — no independent statutory force; apply the separately mapped underlying law where applicable</x:v>
      </x:c>
      <x:c r="F335" s="30" t="str">
        <x:v>Medicine Safety Information Distribution</x:v>
      </x:c>
      <x:c r="G335" s="30" t="str">
        <x:v>Pharmacists shall provide customers with approved medicine safety information...</x:v>
      </x:c>
      <x:c r="H335" s="30" t="str">
        <x:v>RETAIL</x:v>
      </x:c>
      <x:c r="I335" s="30" t="str">
        <x:v>Yes</x:v>
      </x:c>
      <x:c r="J335" s="30" t="str">
        <x:v>P-4 reparented to the canonical internal-control framework; approved sub-sector and Origin preserved.</x:v>
      </x:c>
    </x:row>
    <x:row r="336">
      <x:c r="A336" s="30" t="str">
        <x:v>RPROV060</x:v>
      </x:c>
      <x:c r="B336" s="30" t="str">
        <x:v>LAW099</x:v>
      </x:c>
      <x:c r="C336" s="30" t="str">
        <x:v>SUB001</x:v>
      </x:c>
      <x:c r="D336" s="30" t="str">
        <x:v>Best Practice</x:v>
      </x:c>
      <x:c r="E336" s="30" t="str">
        <x:v>Internal control — no independent statutory force; apply the separately mapped underlying law where applicable</x:v>
      </x:c>
      <x:c r="F336" s="30" t="str">
        <x:v>Inspection Documentation Readiness</x:v>
      </x:c>
      <x:c r="G336" s="30" t="str">
        <x:v>Retail pharmacies shall maintain licences, registers, SOPs, training records,...</x:v>
      </x:c>
      <x:c r="H336" s="30" t="str">
        <x:v>RETAIL</x:v>
      </x:c>
      <x:c r="I336" s="30" t="str">
        <x:v>Yes</x:v>
      </x:c>
      <x:c r="J336" s="30" t="str">
        <x:v>P-4 reparented to the canonical internal-control framework; approved sub-sector and Origin preserved.</x:v>
      </x:c>
    </x:row>
    <x:row r="337">
      <x:c r="A337" s="30" t="str">
        <x:v>RPROV061</x:v>
      </x:c>
      <x:c r="B337" s="30" t="str">
        <x:v>LAW099</x:v>
      </x:c>
      <x:c r="C337" s="30" t="str">
        <x:v>SUB001</x:v>
      </x:c>
      <x:c r="D337" s="30" t="str">
        <x:v>Best Practice</x:v>
      </x:c>
      <x:c r="E337" s="30" t="str">
        <x:v>Internal control — no independent statutory force; apply the separately mapped underlying law where applicable</x:v>
      </x:c>
      <x:c r="F337" s="30" t="str">
        <x:v>Expired and Unusable Medicine Disposal</x:v>
      </x:c>
      <x:c r="G337" s="30" t="str">
        <x:v>Expired, damaged, recalled, contaminated, and otherwise unusable medicines sh...</x:v>
      </x:c>
      <x:c r="H337" s="30" t="str">
        <x:v>RETAIL</x:v>
      </x:c>
      <x:c r="I337" s="30" t="str">
        <x:v>Yes</x:v>
      </x:c>
      <x:c r="J337" s="30" t="str">
        <x:v>P-4 reparented to the canonical internal-control framework; approved sub-sector and Origin preserved.</x:v>
      </x:c>
    </x:row>
    <x:row r="338">
      <x:c r="A338" s="30" t="str">
        <x:v>RPROV062</x:v>
      </x:c>
      <x:c r="B338" s="30" t="str">
        <x:v>LAW099</x:v>
      </x:c>
      <x:c r="C338" s="30" t="str">
        <x:v>SUB001</x:v>
      </x:c>
      <x:c r="D338" s="30" t="str">
        <x:v>Best Practice</x:v>
      </x:c>
      <x:c r="E338" s="30" t="str">
        <x:v>Internal control — no independent statutory force; apply the separately mapped underlying law where applicable</x:v>
      </x:c>
      <x:c r="F338" s="30" t="str">
        <x:v>Periodic Competency Assessment of Pharmacy Staff</x:v>
      </x:c>
      <x:c r="G338" s="30" t="str">
        <x:v>All pharmacy personnel involved in dispensing, storage, inventory management,...</x:v>
      </x:c>
      <x:c r="H338" s="30" t="str">
        <x:v>RETAIL</x:v>
      </x:c>
      <x:c r="I338" s="30" t="str">
        <x:v>Yes</x:v>
      </x:c>
      <x:c r="J338" s="30" t="str">
        <x:v>P-4 reparented to the canonical internal-control framework; approved sub-sector and Origin preserved.</x:v>
      </x:c>
    </x:row>
    <x:row r="339">
      <x:c r="A339" s="30" t="str">
        <x:v>RPROV063</x:v>
      </x:c>
      <x:c r="B339" s="30" t="str">
        <x:v>LAW099</x:v>
      </x:c>
      <x:c r="C339" s="30" t="str">
        <x:v>SUB001</x:v>
      </x:c>
      <x:c r="D339" s="30" t="str">
        <x:v>Best Practice</x:v>
      </x:c>
      <x:c r="E339" s="30" t="str">
        <x:v>Internal control — no independent statutory force; apply the separately mapped underlying law where applicable</x:v>
      </x:c>
      <x:c r="F339" s="30" t="str">
        <x:v>Electronic Customer Consent Management</x:v>
      </x:c>
      <x:c r="G339" s="30" t="str">
        <x:v>Where customer consent is required for digital communications, electronic rec...</x:v>
      </x:c>
      <x:c r="H339" s="30" t="str">
        <x:v>RETAIL</x:v>
      </x:c>
      <x:c r="I339" s="30" t="str">
        <x:v>Yes</x:v>
      </x:c>
      <x:c r="J339" s="30" t="str">
        <x:v>P-4 reparented to the canonical internal-control framework; approved sub-sector and Origin preserved.</x:v>
      </x:c>
    </x:row>
    <x:row r="340">
      <x:c r="A340" s="30" t="str">
        <x:v>RPROV064</x:v>
      </x:c>
      <x:c r="B340" s="30" t="str">
        <x:v>LAW099</x:v>
      </x:c>
      <x:c r="C340" s="30" t="str">
        <x:v>SUB001</x:v>
      </x:c>
      <x:c r="D340" s="30" t="str">
        <x:v>Best Practice</x:v>
      </x:c>
      <x:c r="E340" s="30" t="str">
        <x:v>Internal control — no independent statutory force; apply the separately mapped underlying law where applicable</x:v>
      </x:c>
      <x:c r="F340" s="30" t="str">
        <x:v>Storage Area Environmental Monitoring</x:v>
      </x:c>
      <x:c r="G340" s="30" t="str">
        <x:v>Storage areas shall be routinely monitored for temperature, humidity, cleanli...</x:v>
      </x:c>
      <x:c r="H340" s="30" t="str">
        <x:v>RETAIL</x:v>
      </x:c>
      <x:c r="I340" s="30" t="str">
        <x:v>Yes</x:v>
      </x:c>
      <x:c r="J340" s="30" t="str">
        <x:v>P-4 reparented to the canonical internal-control framework; approved sub-sector and Origin preserved.</x:v>
      </x:c>
    </x:row>
    <x:row r="341">
      <x:c r="A341" s="30" t="str">
        <x:v>RPROV065</x:v>
      </x:c>
      <x:c r="B341" s="30" t="str">
        <x:v>LAW099</x:v>
      </x:c>
      <x:c r="C341" s="30" t="str">
        <x:v>SUB001</x:v>
      </x:c>
      <x:c r="D341" s="30" t="str">
        <x:v>Best Practice</x:v>
      </x:c>
      <x:c r="E341" s="30" t="str">
        <x:v>Internal control — no independent statutory force; apply the separately mapped underlying law where applicable</x:v>
      </x:c>
      <x:c r="F341" s="30" t="str">
        <x:v>Controlled Register Accuracy Verification</x:v>
      </x:c>
      <x:c r="G341" s="30" t="str">
        <x:v>Statutory registers relating to controlled medicines shall be reconciled agai...</x:v>
      </x:c>
      <x:c r="H341" s="30" t="str">
        <x:v>RETAIL</x:v>
      </x:c>
      <x:c r="I341" s="30" t="str">
        <x:v>Yes</x:v>
      </x:c>
      <x:c r="J341" s="30" t="str">
        <x:v>P-4 reparented to the canonical internal-control framework; approved sub-sector and Origin preserved.</x:v>
      </x:c>
    </x:row>
    <x:row r="342">
      <x:c r="A342" s="30" t="str">
        <x:v>RPROV066</x:v>
      </x:c>
      <x:c r="B342" s="30" t="str">
        <x:v>LAW099</x:v>
      </x:c>
      <x:c r="C342" s="30" t="str">
        <x:v>SUB001</x:v>
      </x:c>
      <x:c r="D342" s="30" t="str">
        <x:v>Best Practice</x:v>
      </x:c>
      <x:c r="E342" s="30" t="str">
        <x:v>Internal control — no independent statutory force; apply the separately mapped underlying law where applicable</x:v>
      </x:c>
      <x:c r="F342" s="30" t="str">
        <x:v>Customer Queue Transparency</x:v>
      </x:c>
      <x:c r="G342" s="30" t="str">
        <x:v>Customers shall be informed of expected waiting times, prescription processin...</x:v>
      </x:c>
      <x:c r="H342" s="30" t="str">
        <x:v>RETAIL</x:v>
      </x:c>
      <x:c r="I342" s="30" t="str">
        <x:v>Yes</x:v>
      </x:c>
      <x:c r="J342" s="30" t="str">
        <x:v>P-4 reparented to the canonical internal-control framework; approved sub-sector and Origin preserved.</x:v>
      </x:c>
    </x:row>
    <x:row r="343">
      <x:c r="A343" s="30" t="str">
        <x:v>RPROV067</x:v>
      </x:c>
      <x:c r="B343" s="30" t="str">
        <x:v>LAW099</x:v>
      </x:c>
      <x:c r="C343" s="30" t="str">
        <x:v>SUB001</x:v>
      </x:c>
      <x:c r="D343" s="30" t="str">
        <x:v>Best Practice</x:v>
      </x:c>
      <x:c r="E343" s="30" t="str">
        <x:v>Internal control — no independent statutory force; apply the separately mapped underlying law where applicable</x:v>
      </x:c>
      <x:c r="F343" s="30" t="str">
        <x:v>Pharmacy Operational Incident Reporting</x:v>
      </x:c>
      <x:c r="G343" s="30" t="str">
        <x:v>Operational incidents affecting medicine quality, dispensing accuracy, patien...</x:v>
      </x:c>
      <x:c r="H343" s="30" t="str">
        <x:v>RETAIL</x:v>
      </x:c>
      <x:c r="I343" s="30" t="str">
        <x:v>Yes</x:v>
      </x:c>
      <x:c r="J343" s="30" t="str">
        <x:v>P-4 reparented to the canonical internal-control framework; approved sub-sector and Origin preserved.</x:v>
      </x:c>
    </x:row>
    <x:row r="344">
      <x:c r="A344" s="30" t="str">
        <x:v>RPROV068</x:v>
      </x:c>
      <x:c r="B344" s="30" t="str">
        <x:v>LAW099</x:v>
      </x:c>
      <x:c r="C344" s="30" t="str">
        <x:v>SUB001</x:v>
      </x:c>
      <x:c r="D344" s="30" t="str">
        <x:v>Best Practice</x:v>
      </x:c>
      <x:c r="E344" s="30" t="str">
        <x:v>Internal control — no independent statutory force; apply the separately mapped underlying law where applicable</x:v>
      </x:c>
      <x:c r="F344" s="30" t="str">
        <x:v>Secure Use of Mobile Devices</x:v>
      </x:c>
      <x:c r="G344" s="30" t="str">
        <x:v>Mobile phones, tablets, and handheld devices used for pharmacy operations sha...</x:v>
      </x:c>
      <x:c r="H344" s="30" t="str">
        <x:v>RETAIL</x:v>
      </x:c>
      <x:c r="I344" s="30" t="str">
        <x:v>Yes</x:v>
      </x:c>
      <x:c r="J344" s="30" t="str">
        <x:v>P-4 reparented to the canonical internal-control framework; approved sub-sector and Origin preserved.</x:v>
      </x:c>
    </x:row>
    <x:row r="345">
      <x:c r="A345" s="30" t="str">
        <x:v>RPROV069</x:v>
      </x:c>
      <x:c r="B345" s="30" t="str">
        <x:v>LAW099</x:v>
      </x:c>
      <x:c r="C345" s="30" t="str">
        <x:v>SUB001</x:v>
      </x:c>
      <x:c r="D345" s="30" t="str">
        <x:v>Best Practice</x:v>
      </x:c>
      <x:c r="E345" s="30" t="str">
        <x:v>Internal control — no independent statutory force; apply the separately mapped underlying law where applicable</x:v>
      </x:c>
      <x:c r="F345" s="30" t="str">
        <x:v>Regulatory Complaint Escalation</x:v>
      </x:c>
      <x:c r="G345" s="30" t="str">
        <x:v>Complaints alleging legal, ethical, patient safety, or regulatory violations ...</x:v>
      </x:c>
      <x:c r="H345" s="30" t="str">
        <x:v>RETAIL</x:v>
      </x:c>
      <x:c r="I345" s="30" t="str">
        <x:v>Yes</x:v>
      </x:c>
      <x:c r="J345" s="30" t="str">
        <x:v>P-4 reparented to the canonical internal-control framework; approved sub-sector and Origin preserved.</x:v>
      </x:c>
    </x:row>
    <x:row r="346">
      <x:c r="A346" s="30" t="str">
        <x:v>RPROV070</x:v>
      </x:c>
      <x:c r="B346" s="30" t="str">
        <x:v>LAW099</x:v>
      </x:c>
      <x:c r="C346" s="30" t="str">
        <x:v>SUB001</x:v>
      </x:c>
      <x:c r="D346" s="30" t="str">
        <x:v>Best Practice</x:v>
      </x:c>
      <x:c r="E346" s="30" t="str">
        <x:v>Internal control — no independent statutory force; apply the separately mapped underlying law where applicable</x:v>
      </x:c>
      <x:c r="F346" s="30" t="str">
        <x:v>Annual Regulatory Compliance Certification</x:v>
      </x:c>
      <x:c r="G346" s="30" t="str">
        <x:v>Retail pharmacies shall perform an annual comprehensive compliance review cov...</x:v>
      </x:c>
      <x:c r="H346" s="30" t="str">
        <x:v>RETAIL</x:v>
      </x:c>
      <x:c r="I346" s="30" t="str">
        <x:v>Yes</x:v>
      </x:c>
      <x:c r="J346" s="30" t="str">
        <x:v>P-4 reparented to the canonical internal-control framework; approved sub-sector and Origin preserved.</x:v>
      </x:c>
    </x:row>
    <x:row r="347">
      <x:c r="A347" s="30" t="str">
        <x:v>RPROV071</x:v>
      </x:c>
      <x:c r="B347" s="30" t="str">
        <x:v>LAW099</x:v>
      </x:c>
      <x:c r="C347" s="30" t="str">
        <x:v>SUB001</x:v>
      </x:c>
      <x:c r="D347" s="30" t="str">
        <x:v>Best Practice</x:v>
      </x:c>
      <x:c r="E347" s="30" t="str">
        <x:v>Internal control — no independent statutory force; apply the separately mapped underlying law where applicable</x:v>
      </x:c>
      <x:c r="F347" s="30" t="str">
        <x:v>Periodic Supplier Licence Validation</x:v>
      </x:c>
      <x:c r="G347" s="30" t="str">
        <x:v>The pharmacy shall periodically verify that all medicine suppliers continue t...</x:v>
      </x:c>
      <x:c r="H347" s="30" t="str">
        <x:v>RETAIL</x:v>
      </x:c>
      <x:c r="I347" s="30" t="str">
        <x:v>Yes</x:v>
      </x:c>
      <x:c r="J347" s="30" t="str">
        <x:v>P-4 reparented to the canonical internal-control framework; approved sub-sector and Origin preserved.</x:v>
      </x:c>
    </x:row>
    <x:row r="348">
      <x:c r="A348" s="30" t="str">
        <x:v>RPROV072</x:v>
      </x:c>
      <x:c r="B348" s="30" t="str">
        <x:v>LAW099</x:v>
      </x:c>
      <x:c r="C348" s="30" t="str">
        <x:v>SUB001</x:v>
      </x:c>
      <x:c r="D348" s="30" t="str">
        <x:v>Best Practice</x:v>
      </x:c>
      <x:c r="E348" s="30" t="str">
        <x:v>Internal control — no independent statutory force; apply the separately mapped underlying law where applicable</x:v>
      </x:c>
      <x:c r="F348" s="30" t="str">
        <x:v>Physical Prescription Storage Controls</x:v>
      </x:c>
      <x:c r="G348" s="30" t="str">
        <x:v>Original paper prescriptions shall be securely stored, protected from deterio...</x:v>
      </x:c>
      <x:c r="H348" s="30" t="str">
        <x:v>RETAIL</x:v>
      </x:c>
      <x:c r="I348" s="30" t="str">
        <x:v>Yes</x:v>
      </x:c>
      <x:c r="J348" s="30" t="str">
        <x:v>P-4 reparented to the canonical internal-control framework; approved sub-sector and Origin preserved.</x:v>
      </x:c>
    </x:row>
    <x:row r="349">
      <x:c r="A349" s="30" t="str">
        <x:v>RPROV073</x:v>
      </x:c>
      <x:c r="B349" s="30" t="str">
        <x:v>LAW099</x:v>
      </x:c>
      <x:c r="C349" s="30" t="str">
        <x:v>SUB001</x:v>
      </x:c>
      <x:c r="D349" s="30" t="str">
        <x:v>Best Practice</x:v>
      </x:c>
      <x:c r="E349" s="30" t="str">
        <x:v>Internal control — no independent statutory force; apply the separately mapped underlying law where applicable</x:v>
      </x:c>
      <x:c r="F349" s="30" t="str">
        <x:v>Electronic Record Integrity Verification</x:v>
      </x:c>
      <x:c r="G349" s="30" t="str">
        <x:v>Electronic pharmacy records shall be protected against unauthorized alteratio...</x:v>
      </x:c>
      <x:c r="H349" s="30" t="str">
        <x:v>RETAIL</x:v>
      </x:c>
      <x:c r="I349" s="30" t="str">
        <x:v>Yes</x:v>
      </x:c>
      <x:c r="J349" s="30" t="str">
        <x:v>P-4 reparented to the canonical internal-control framework; approved sub-sector and Origin preserved.</x:v>
      </x:c>
    </x:row>
    <x:row r="350">
      <x:c r="A350" s="30" t="str">
        <x:v>RPROV074</x:v>
      </x:c>
      <x:c r="B350" s="30" t="str">
        <x:v>LAW099</x:v>
      </x:c>
      <x:c r="C350" s="30" t="str">
        <x:v>SUB001</x:v>
      </x:c>
      <x:c r="D350" s="30" t="str">
        <x:v>Best Practice</x:v>
      </x:c>
      <x:c r="E350" s="30" t="str">
        <x:v>Internal control — no independent statutory force; apply the separately mapped underlying law where applicable</x:v>
      </x:c>
      <x:c r="F350" s="30" t="str">
        <x:v>Secure Storage of High-Value Medicines</x:v>
      </x:c>
      <x:c r="G350" s="30" t="str">
        <x:v>High-value medicines shall be stored in secure access-controlled locations wi...</x:v>
      </x:c>
      <x:c r="H350" s="30" t="str">
        <x:v>RETAIL</x:v>
      </x:c>
      <x:c r="I350" s="30" t="str">
        <x:v>Yes</x:v>
      </x:c>
      <x:c r="J350" s="30" t="str">
        <x:v>P-4 reparented to the canonical internal-control framework; approved sub-sector and Origin preserved.</x:v>
      </x:c>
    </x:row>
    <x:row r="351">
      <x:c r="A351" s="30" t="str">
        <x:v>RPROV075</x:v>
      </x:c>
      <x:c r="B351" s="30" t="str">
        <x:v>LAW099</x:v>
      </x:c>
      <x:c r="C351" s="30" t="str">
        <x:v>SUB001</x:v>
      </x:c>
      <x:c r="D351" s="30" t="str">
        <x:v>Best Practice</x:v>
      </x:c>
      <x:c r="E351" s="30" t="str">
        <x:v>Internal control — no independent statutory force; apply the separately mapped underlying law where applicable</x:v>
      </x:c>
      <x:c r="F351" s="30" t="str">
        <x:v>Documentation of Pharmacist Counselling</x:v>
      </x:c>
      <x:c r="G351" s="30" t="str">
        <x:v>Pharmacist counselling provided to patients for medicines requiring special a...</x:v>
      </x:c>
      <x:c r="H351" s="30" t="str">
        <x:v>RETAIL</x:v>
      </x:c>
      <x:c r="I351" s="30" t="str">
        <x:v>Yes</x:v>
      </x:c>
      <x:c r="J351" s="30" t="str">
        <x:v>P-4 reparented to the canonical internal-control framework; approved sub-sector and Origin preserved.</x:v>
      </x:c>
    </x:row>
    <x:row r="352">
      <x:c r="A352" s="30" t="str">
        <x:v>RPROV076</x:v>
      </x:c>
      <x:c r="B352" s="30" t="str">
        <x:v>LAW099</x:v>
      </x:c>
      <x:c r="C352" s="30" t="str">
        <x:v>SUB001</x:v>
      </x:c>
      <x:c r="D352" s="30" t="str">
        <x:v>Best Practice</x:v>
      </x:c>
      <x:c r="E352" s="30" t="str">
        <x:v>Internal control — no independent statutory force; apply the separately mapped underlying law where applicable</x:v>
      </x:c>
      <x:c r="F352" s="30" t="str">
        <x:v>Pharmacy-Based Health Screening Governance</x:v>
      </x:c>
      <x:c r="G352" s="30" t="str">
        <x:v>Where pharmacies conduct health screening activities (e.g., blood pressure, b...</x:v>
      </x:c>
      <x:c r="H352" s="30" t="str">
        <x:v>RETAIL</x:v>
      </x:c>
      <x:c r="I352" s="30" t="str">
        <x:v>Yes</x:v>
      </x:c>
      <x:c r="J352" s="30" t="str">
        <x:v>P-4 reparented to the canonical internal-control framework; approved sub-sector and Origin preserved.</x:v>
      </x:c>
    </x:row>
    <x:row r="353">
      <x:c r="A353" s="30" t="str">
        <x:v>RPROV077</x:v>
      </x:c>
      <x:c r="B353" s="30" t="str">
        <x:v>LAW099</x:v>
      </x:c>
      <x:c r="C353" s="30" t="str">
        <x:v>SUB001</x:v>
      </x:c>
      <x:c r="D353" s="30" t="str">
        <x:v>Best Practice</x:v>
      </x:c>
      <x:c r="E353" s="30" t="str">
        <x:v>Internal control — no independent statutory force; apply the separately mapped underlying law where applicable</x:v>
      </x:c>
      <x:c r="F353" s="30" t="str">
        <x:v>Customer Recall Communication Procedure</x:v>
      </x:c>
      <x:c r="G353" s="30" t="str">
        <x:v>Customers affected by medicine recalls shall be informed promptly using avail...</x:v>
      </x:c>
      <x:c r="H353" s="30" t="str">
        <x:v>RETAIL</x:v>
      </x:c>
      <x:c r="I353" s="30" t="str">
        <x:v>Yes</x:v>
      </x:c>
      <x:c r="J353" s="30" t="str">
        <x:v>P-4 reparented to the canonical internal-control framework; approved sub-sector and Origin preserved.</x:v>
      </x:c>
    </x:row>
    <x:row r="354">
      <x:c r="A354" s="30" t="str">
        <x:v>RPROV078</x:v>
      </x:c>
      <x:c r="B354" s="30" t="str">
        <x:v>LAW099</x:v>
      </x:c>
      <x:c r="C354" s="30" t="str">
        <x:v>SUB001</x:v>
      </x:c>
      <x:c r="D354" s="30" t="str">
        <x:v>Best Practice</x:v>
      </x:c>
      <x:c r="E354" s="30" t="str">
        <x:v>Internal control — no independent statutory force; apply the separately mapped underlying law where applicable</x:v>
      </x:c>
      <x:c r="F354" s="30" t="str">
        <x:v>Pharmacy Network Protection Controls</x:v>
      </x:c>
      <x:c r="G354" s="30" t="str">
        <x:v>Pharmacy information systems shall be protected through firewalls, anti-malwa...</x:v>
      </x:c>
      <x:c r="H354" s="30" t="str">
        <x:v>RETAIL</x:v>
      </x:c>
      <x:c r="I354" s="30" t="str">
        <x:v>Yes</x:v>
      </x:c>
      <x:c r="J354" s="30" t="str">
        <x:v>P-4 reparented to the canonical internal-control framework; approved sub-sector and Origin preserved.</x:v>
      </x:c>
    </x:row>
    <x:row r="355">
      <x:c r="A355" s="30" t="str">
        <x:v>RPROV079</x:v>
      </x:c>
      <x:c r="B355" s="30" t="str">
        <x:v>LAW099</x:v>
      </x:c>
      <x:c r="C355" s="30" t="str">
        <x:v>SUB001</x:v>
      </x:c>
      <x:c r="D355" s="30" t="str">
        <x:v>Best Practice</x:v>
      </x:c>
      <x:c r="E355" s="30" t="str">
        <x:v>Internal control — no independent statutory force; apply the separately mapped underlying law where applicable</x:v>
      </x:c>
      <x:c r="F355" s="30" t="str">
        <x:v>Privacy During Medicine Dispensing</x:v>
      </x:c>
      <x:c r="G355" s="30" t="str">
        <x:v>Pharmacy layouts and dispensing procedures shall protect customer confidentia...</x:v>
      </x:c>
      <x:c r="H355" s="30" t="str">
        <x:v>RETAIL</x:v>
      </x:c>
      <x:c r="I355" s="30" t="str">
        <x:v>Yes</x:v>
      </x:c>
      <x:c r="J355" s="30" t="str">
        <x:v>P-4 reparented to the canonical internal-control framework; approved sub-sector and Origin preserved.</x:v>
      </x:c>
    </x:row>
    <x:row r="356">
      <x:c r="A356" s="30" t="str">
        <x:v>RPROV080</x:v>
      </x:c>
      <x:c r="B356" s="30" t="str">
        <x:v>LAW099</x:v>
      </x:c>
      <x:c r="C356" s="30" t="str">
        <x:v>SUB001</x:v>
      </x:c>
      <x:c r="D356" s="30" t="str">
        <x:v>Best Practice</x:v>
      </x:c>
      <x:c r="E356" s="30" t="str">
        <x:v>Internal control — no independent statutory force; apply the separately mapped underlying law where applicable</x:v>
      </x:c>
      <x:c r="F356" s="30" t="str">
        <x:v>Pharmacy Compliance KPI Monitoring</x:v>
      </x:c>
      <x:c r="G356" s="30" t="str">
        <x:v>Retail pharmacies shall establish measurable compliance indicators covering d...</x:v>
      </x:c>
      <x:c r="H356" s="30" t="str">
        <x:v>RETAIL</x:v>
      </x:c>
      <x:c r="I356" s="30" t="str">
        <x:v>Yes</x:v>
      </x:c>
      <x:c r="J356" s="30" t="str">
        <x:v>P-4 reparented to the canonical internal-control framework; approved sub-sector and Origin preserved.</x:v>
      </x:c>
    </x:row>
    <x:row r="357">
      <x:c r="A357" s="30" t="str">
        <x:v>RPROV081</x:v>
      </x:c>
      <x:c r="B357" s="30" t="str">
        <x:v>LAW099</x:v>
      </x:c>
      <x:c r="C357" s="30" t="str">
        <x:v>SUB001</x:v>
      </x:c>
      <x:c r="D357" s="30" t="str">
        <x:v>Best Practice</x:v>
      </x:c>
      <x:c r="E357" s="30" t="str">
        <x:v>Internal control — no independent statutory force; apply the separately mapped underlying law where applicable</x:v>
      </x:c>
      <x:c r="F357" s="30" t="str">
        <x:v>Procurement Documentation Verification</x:v>
      </x:c>
      <x:c r="G357" s="30" t="str">
        <x:v>Every medicine procurement transaction shall be supported by authenticated pu...</x:v>
      </x:c>
      <x:c r="H357" s="30" t="str">
        <x:v>RETAIL</x:v>
      </x:c>
      <x:c r="I357" s="30" t="str">
        <x:v>Yes</x:v>
      </x:c>
      <x:c r="J357" s="30" t="str">
        <x:v>P-4 reparented to the canonical internal-control framework; approved sub-sector and Origin preserved.</x:v>
      </x:c>
    </x:row>
    <x:row r="358">
      <x:c r="A358" s="30" t="str">
        <x:v>RPROV082</x:v>
      </x:c>
      <x:c r="B358" s="30" t="str">
        <x:v>LAW099</x:v>
      </x:c>
      <x:c r="C358" s="30" t="str">
        <x:v>SUB001</x:v>
      </x:c>
      <x:c r="D358" s="30" t="str">
        <x:v>Best Practice</x:v>
      </x:c>
      <x:c r="E358" s="30" t="str">
        <x:v>Internal control — no independent statutory force; apply the separately mapped underlying law where applicable</x:v>
      </x:c>
      <x:c r="F358" s="30" t="str">
        <x:v>Pharmacist Registration Validity Monitoring</x:v>
      </x:c>
      <x:c r="G358" s="30" t="str">
        <x:v>The pharmacy shall periodically verify that all employed pharmacists maintain...</x:v>
      </x:c>
      <x:c r="H358" s="30" t="str">
        <x:v>RETAIL</x:v>
      </x:c>
      <x:c r="I358" s="30" t="str">
        <x:v>Yes</x:v>
      </x:c>
      <x:c r="J358" s="30" t="str">
        <x:v>P-4 reparented to the canonical internal-control framework; approved sub-sector and Origin preserved.</x:v>
      </x:c>
    </x:row>
    <x:row r="359">
      <x:c r="A359" s="30" t="str">
        <x:v>RPROV083</x:v>
      </x:c>
      <x:c r="B359" s="30" t="str">
        <x:v>LAW099</x:v>
      </x:c>
      <x:c r="C359" s="30" t="str">
        <x:v>SUB001</x:v>
      </x:c>
      <x:c r="D359" s="30" t="str">
        <x:v>Best Practice</x:v>
      </x:c>
      <x:c r="E359" s="30" t="str">
        <x:v>Internal control — no independent statutory force; apply the separately mapped underlying law where applicable</x:v>
      </x:c>
      <x:c r="F359" s="30" t="str">
        <x:v>Automated Prescription Validation Rules</x:v>
      </x:c>
      <x:c r="G359" s="30" t="str">
        <x:v>Pharmacy management systems shall validate mandatory prescription fields befo...</x:v>
      </x:c>
      <x:c r="H359" s="30" t="str">
        <x:v>RETAIL</x:v>
      </x:c>
      <x:c r="I359" s="30" t="str">
        <x:v>Yes</x:v>
      </x:c>
      <x:c r="J359" s="30" t="str">
        <x:v>P-4 reparented to the canonical internal-control framework; approved sub-sector and Origin preserved.</x:v>
      </x:c>
    </x:row>
    <x:row r="360">
      <x:c r="A360" s="30" t="str">
        <x:v>RPROV084</x:v>
      </x:c>
      <x:c r="B360" s="30" t="str">
        <x:v>LAW099</x:v>
      </x:c>
      <x:c r="C360" s="30" t="str">
        <x:v>SUB001</x:v>
      </x:c>
      <x:c r="D360" s="30" t="str">
        <x:v>Best Practice</x:v>
      </x:c>
      <x:c r="E360" s="30" t="str">
        <x:v>Internal control — no independent statutory force; apply the separately mapped underlying law where applicable</x:v>
      </x:c>
      <x:c r="F360" s="30" t="str">
        <x:v>Recording Patient Allergy Information</x:v>
      </x:c>
      <x:c r="G360" s="30" t="str">
        <x:v>Where customer allergy information is voluntarily provided, pharmacies shall ...</x:v>
      </x:c>
      <x:c r="H360" s="30" t="str">
        <x:v>RETAIL</x:v>
      </x:c>
      <x:c r="I360" s="30" t="str">
        <x:v>Yes</x:v>
      </x:c>
      <x:c r="J360" s="30" t="str">
        <x:v>P-4 reparented to the canonical internal-control framework; approved sub-sector and Origin preserved.</x:v>
      </x:c>
    </x:row>
    <x:row r="361">
      <x:c r="A361" s="30" t="str">
        <x:v>RPROV085</x:v>
      </x:c>
      <x:c r="B361" s="30" t="str">
        <x:v>LAW099</x:v>
      </x:c>
      <x:c r="C361" s="30" t="str">
        <x:v>SUB001</x:v>
      </x:c>
      <x:c r="D361" s="30" t="str">
        <x:v>Best Practice</x:v>
      </x:c>
      <x:c r="E361" s="30" t="str">
        <x:v>Internal control — no independent statutory force; apply the separately mapped underlying law where applicable</x:v>
      </x:c>
      <x:c r="F361" s="30" t="str">
        <x:v>Incoming Medicine Quality Inspection</x:v>
      </x:c>
      <x:c r="G361" s="30" t="str">
        <x:v>Medicines received from suppliers shall be inspected for quantity, packaging ...</x:v>
      </x:c>
      <x:c r="H361" s="30" t="str">
        <x:v>RETAIL</x:v>
      </x:c>
      <x:c r="I361" s="30" t="str">
        <x:v>Yes</x:v>
      </x:c>
      <x:c r="J361" s="30" t="str">
        <x:v>P-4 reparented to the canonical internal-control framework; approved sub-sector and Origin preserved.</x:v>
      </x:c>
    </x:row>
    <x:row r="362">
      <x:c r="A362" s="30" t="str">
        <x:v>RPROV086</x:v>
      </x:c>
      <x:c r="B362" s="30" t="str">
        <x:v>LAW099</x:v>
      </x:c>
      <x:c r="C362" s="30" t="str">
        <x:v>SUB001</x:v>
      </x:c>
      <x:c r="D362" s="30" t="str">
        <x:v>Best Practice</x:v>
      </x:c>
      <x:c r="E362" s="30" t="str">
        <x:v>Internal control — no independent statutory force; apply the separately mapped underlying law where applicable</x:v>
      </x:c>
      <x:c r="F362" s="30" t="str">
        <x:v>Home Delivery Transaction Register</x:v>
      </x:c>
      <x:c r="G362" s="30" t="str">
        <x:v>Pharmacies providing home delivery shall maintain a register recording order ...</x:v>
      </x:c>
      <x:c r="H362" s="30" t="str">
        <x:v>RETAIL</x:v>
      </x:c>
      <x:c r="I362" s="30" t="str">
        <x:v>Yes</x:v>
      </x:c>
      <x:c r="J362" s="30" t="str">
        <x:v>P-4 reparented to the canonical internal-control framework; approved sub-sector and Origin preserved.</x:v>
      </x:c>
    </x:row>
    <x:row r="363">
      <x:c r="A363" s="30" t="str">
        <x:v>RPROV087</x:v>
      </x:c>
      <x:c r="B363" s="30" t="str">
        <x:v>LAW099</x:v>
      </x:c>
      <x:c r="C363" s="30" t="str">
        <x:v>SUB001</x:v>
      </x:c>
      <x:c r="D363" s="30" t="str">
        <x:v>Best Practice</x:v>
      </x:c>
      <x:c r="E363" s="30" t="str">
        <x:v>Internal control — no independent statutory force; apply the separately mapped underlying law where applicable</x:v>
      </x:c>
      <x:c r="F363" s="30" t="str">
        <x:v>Automated Expiry Alert Management</x:v>
      </x:c>
      <x:c r="G363" s="30" t="str">
        <x:v>Pharmacy inventory systems shall generate automated alerts for medicines appr...</x:v>
      </x:c>
      <x:c r="H363" s="30" t="str">
        <x:v>RETAIL</x:v>
      </x:c>
      <x:c r="I363" s="30" t="str">
        <x:v>Yes</x:v>
      </x:c>
      <x:c r="J363" s="30" t="str">
        <x:v>P-4 reparented to the canonical internal-control framework; approved sub-sector and Origin preserved.</x:v>
      </x:c>
    </x:row>
    <x:row r="364">
      <x:c r="A364" s="30" t="str">
        <x:v>RPROV088</x:v>
      </x:c>
      <x:c r="B364" s="30" t="str">
        <x:v>LAW099</x:v>
      </x:c>
      <x:c r="C364" s="30" t="str">
        <x:v>SUB001</x:v>
      </x:c>
      <x:c r="D364" s="30" t="str">
        <x:v>Best Practice</x:v>
      </x:c>
      <x:c r="E364" s="30" t="str">
        <x:v>Internal control — no independent statutory force; apply the separately mapped underlying law where applicable</x:v>
      </x:c>
      <x:c r="F364" s="30" t="str">
        <x:v>Role-Based System Authorization</x:v>
      </x:c>
      <x:c r="G364" s="30" t="str">
        <x:v>User access to pharmacy information systems shall be assigned according to de...</x:v>
      </x:c>
      <x:c r="H364" s="30" t="str">
        <x:v>RETAIL</x:v>
      </x:c>
      <x:c r="I364" s="30" t="str">
        <x:v>Yes</x:v>
      </x:c>
      <x:c r="J364" s="30" t="str">
        <x:v>P-4 reparented to the canonical internal-control framework; approved sub-sector and Origin preserved.</x:v>
      </x:c>
    </x:row>
    <x:row r="365">
      <x:c r="A365" s="30" t="str">
        <x:v>RPROV089</x:v>
      </x:c>
      <x:c r="B365" s="30" t="str">
        <x:v>LAW099</x:v>
      </x:c>
      <x:c r="C365" s="30" t="str">
        <x:v>SUB001</x:v>
      </x:c>
      <x:c r="D365" s="30" t="str">
        <x:v>Best Practice</x:v>
      </x:c>
      <x:c r="E365" s="30" t="str">
        <x:v>Internal control — no independent statutory force; apply the separately mapped underlying law where applicable</x:v>
      </x:c>
      <x:c r="F365" s="30" t="str">
        <x:v>Standardized Patient Information Leaflets</x:v>
      </x:c>
      <x:c r="G365" s="30" t="str">
        <x:v>Where patient information leaflets are supplied, the pharmacy shall ensure th...</x:v>
      </x:c>
      <x:c r="H365" s="30" t="str">
        <x:v>RETAIL</x:v>
      </x:c>
      <x:c r="I365" s="30" t="str">
        <x:v>Yes</x:v>
      </x:c>
      <x:c r="J365" s="30" t="str">
        <x:v>P-4 reparented to the canonical internal-control framework; approved sub-sector and Origin preserved.</x:v>
      </x:c>
    </x:row>
    <x:row r="366">
      <x:c r="A366" s="30" t="str">
        <x:v>RPROV090</x:v>
      </x:c>
      <x:c r="B366" s="30" t="str">
        <x:v>LAW099</x:v>
      </x:c>
      <x:c r="C366" s="30" t="str">
        <x:v>SUB001</x:v>
      </x:c>
      <x:c r="D366" s="30" t="str">
        <x:v>Best Practice</x:v>
      </x:c>
      <x:c r="E366" s="30" t="str">
        <x:v>Internal control — no independent statutory force; apply the separately mapped underlying law where applicable</x:v>
      </x:c>
      <x:c r="F366" s="30" t="str">
        <x:v>Periodic Retail Compliance Reporting</x:v>
      </x:c>
      <x:c r="G366" s="30" t="str">
        <x:v>Pharmacy management shall receive periodic reports summarizing compliance per...</x:v>
      </x:c>
      <x:c r="H366" s="30" t="str">
        <x:v>RETAIL</x:v>
      </x:c>
      <x:c r="I366" s="30" t="str">
        <x:v>Yes</x:v>
      </x:c>
      <x:c r="J366" s="30" t="str">
        <x:v>P-4 reparented to the canonical internal-control framework; approved sub-sector and Origin preserved.</x:v>
      </x:c>
    </x:row>
    <x:row r="367">
      <x:c r="A367" s="30" t="str">
        <x:v>RPROV091</x:v>
      </x:c>
      <x:c r="B367" s="30" t="str">
        <x:v>LAW099</x:v>
      </x:c>
      <x:c r="C367" s="30" t="str">
        <x:v>SUB001</x:v>
      </x:c>
      <x:c r="D367" s="30" t="str">
        <x:v>Best Practice</x:v>
      </x:c>
      <x:c r="E367" s="30" t="str">
        <x:v>Internal control — no independent statutory force; apply the separately mapped underlying law where applicable</x:v>
      </x:c>
      <x:c r="F367" s="30" t="str">
        <x:v>Reserved Stock Management</x:v>
      </x:c>
      <x:c r="G367" s="30" t="str">
        <x:v>Medicines reserved for customers shall be clearly identified, physically segr...</x:v>
      </x:c>
      <x:c r="H367" s="30" t="str">
        <x:v>RETAIL</x:v>
      </x:c>
      <x:c r="I367" s="30" t="str">
        <x:v>Yes</x:v>
      </x:c>
      <x:c r="J367" s="30" t="str">
        <x:v>P-4 reparented to the canonical internal-control framework; approved sub-sector and Origin preserved.</x:v>
      </x:c>
    </x:row>
    <x:row r="368">
      <x:c r="A368" s="30" t="str">
        <x:v>RPROV092</x:v>
      </x:c>
      <x:c r="B368" s="30" t="str">
        <x:v>LAW099</x:v>
      </x:c>
      <x:c r="C368" s="30" t="str">
        <x:v>SUB001</x:v>
      </x:c>
      <x:c r="D368" s="30" t="str">
        <x:v>Best Practice</x:v>
      </x:c>
      <x:c r="E368" s="30" t="str">
        <x:v>Internal control — no independent statutory force; apply the separately mapped underlying law where applicable</x:v>
      </x:c>
      <x:c r="F368" s="30" t="str">
        <x:v>Prescription Amendment Documentation</x:v>
      </x:c>
      <x:c r="G368" s="30" t="str">
        <x:v>Any amendment, clarification, or correction made to a prescription prior to d...</x:v>
      </x:c>
      <x:c r="H368" s="30" t="str">
        <x:v>RETAIL</x:v>
      </x:c>
      <x:c r="I368" s="30" t="str">
        <x:v>Yes</x:v>
      </x:c>
      <x:c r="J368" s="30" t="str">
        <x:v>P-4 reparented to the canonical internal-control framework; approved sub-sector and Origin preserved.</x:v>
      </x:c>
    </x:row>
    <x:row r="369">
      <x:c r="A369" s="30" t="str">
        <x:v>RPROV093</x:v>
      </x:c>
      <x:c r="B369" s="30" t="str">
        <x:v>LAW099</x:v>
      </x:c>
      <x:c r="C369" s="30" t="str">
        <x:v>SUB001</x:v>
      </x:c>
      <x:c r="D369" s="30" t="str">
        <x:v>Best Practice</x:v>
      </x:c>
      <x:c r="E369" s="30" t="str">
        <x:v>Internal control — no independent statutory force; apply the separately mapped underlying law where applicable</x:v>
      </x:c>
      <x:c r="F369" s="30" t="str">
        <x:v>Digital Prescription Queue Control</x:v>
      </x:c>
      <x:c r="G369" s="30" t="str">
        <x:v>Computerized dispensing systems shall maintain an auditable electronic queue ...</x:v>
      </x:c>
      <x:c r="H369" s="30" t="str">
        <x:v>RETAIL</x:v>
      </x:c>
      <x:c r="I369" s="30" t="str">
        <x:v>Yes</x:v>
      </x:c>
      <x:c r="J369" s="30" t="str">
        <x:v>P-4 reparented to the canonical internal-control framework; approved sub-sector and Origin preserved.</x:v>
      </x:c>
    </x:row>
    <x:row r="370">
      <x:c r="A370" s="30" t="str">
        <x:v>RPROV094</x:v>
      </x:c>
      <x:c r="B370" s="30" t="str">
        <x:v>LAW099</x:v>
      </x:c>
      <x:c r="C370" s="30" t="str">
        <x:v>SUB001</x:v>
      </x:c>
      <x:c r="D370" s="30" t="str">
        <x:v>Best Practice</x:v>
      </x:c>
      <x:c r="E370" s="30" t="str">
        <x:v>Internal control — no independent statutory force; apply the separately mapped underlying law where applicable</x:v>
      </x:c>
      <x:c r="F370" s="30" t="str">
        <x:v>Pharmacist Drug Interaction Review</x:v>
      </x:c>
      <x:c r="G370" s="30" t="str">
        <x:v>Pharmacists shall review available drug interaction alerts before dispensing ...</x:v>
      </x:c>
      <x:c r="H370" s="30" t="str">
        <x:v>RETAIL</x:v>
      </x:c>
      <x:c r="I370" s="30" t="str">
        <x:v>Yes</x:v>
      </x:c>
      <x:c r="J370" s="30" t="str">
        <x:v>P-4 reparented to the canonical internal-control framework; approved sub-sector and Origin preserved.</x:v>
      </x:c>
    </x:row>
    <x:row r="371">
      <x:c r="A371" s="30" t="str">
        <x:v>RPROV095</x:v>
      </x:c>
      <x:c r="B371" s="30" t="str">
        <x:v>LAW099</x:v>
      </x:c>
      <x:c r="C371" s="30" t="str">
        <x:v>SUB001</x:v>
      </x:c>
      <x:c r="D371" s="30" t="str">
        <x:v>Best Practice</x:v>
      </x:c>
      <x:c r="E371" s="30" t="str">
        <x:v>Internal control — no independent statutory force; apply the separately mapped underlying law where applicable</x:v>
      </x:c>
      <x:c r="F371" s="30" t="str">
        <x:v>Dispensing Label Accuracy Verification</x:v>
      </x:c>
      <x:c r="G371" s="30" t="str">
        <x:v>Every dispensed medicine label shall be verified for patient identification, ...</x:v>
      </x:c>
      <x:c r="H371" s="30" t="str">
        <x:v>RETAIL</x:v>
      </x:c>
      <x:c r="I371" s="30" t="str">
        <x:v>Yes</x:v>
      </x:c>
      <x:c r="J371" s="30" t="str">
        <x:v>P-4 reparented to the canonical internal-control framework; approved sub-sector and Origin preserved.</x:v>
      </x:c>
    </x:row>
    <x:row r="372">
      <x:c r="A372" s="30" t="str">
        <x:v>RPROV096</x:v>
      </x:c>
      <x:c r="B372" s="30" t="str">
        <x:v>LAW099</x:v>
      </x:c>
      <x:c r="C372" s="30" t="str">
        <x:v>SUB001</x:v>
      </x:c>
      <x:c r="D372" s="30" t="str">
        <x:v>Best Practice</x:v>
      </x:c>
      <x:c r="E372" s="30" t="str">
        <x:v>Internal control — no independent statutory force; apply the separately mapped underlying law where applicable</x:v>
      </x:c>
      <x:c r="F372" s="30" t="str">
        <x:v>Restricted Customer Access to Medicines</x:v>
      </x:c>
      <x:c r="G372" s="30" t="str">
        <x:v>Customer self-selection shall not be permitted for prescription-only or other...</x:v>
      </x:c>
      <x:c r="H372" s="30" t="str">
        <x:v>RETAIL</x:v>
      </x:c>
      <x:c r="I372" s="30" t="str">
        <x:v>Yes</x:v>
      </x:c>
      <x:c r="J372" s="30" t="str">
        <x:v>P-4 reparented to the canonical internal-control framework; approved sub-sector and Origin preserved.</x:v>
      </x:c>
    </x:row>
    <x:row r="373">
      <x:c r="A373" s="30" t="str">
        <x:v>RPROV097</x:v>
      </x:c>
      <x:c r="B373" s="30" t="str">
        <x:v>LAW099</x:v>
      </x:c>
      <x:c r="C373" s="30" t="str">
        <x:v>SUB001</x:v>
      </x:c>
      <x:c r="D373" s="30" t="str">
        <x:v>Best Practice</x:v>
      </x:c>
      <x:c r="E373" s="30" t="str">
        <x:v>Internal control — no independent statutory force; apply the separately mapped underlying law where applicable</x:v>
      </x:c>
      <x:c r="F373" s="30" t="str">
        <x:v>Dispensing Error Investigation</x:v>
      </x:c>
      <x:c r="G373" s="30" t="str">
        <x:v>Every dispensing error or near miss shall be investigated to determine root c...</x:v>
      </x:c>
      <x:c r="H373" s="30" t="str">
        <x:v>RETAIL</x:v>
      </x:c>
      <x:c r="I373" s="30" t="str">
        <x:v>Yes</x:v>
      </x:c>
      <x:c r="J373" s="30" t="str">
        <x:v>P-4 reparented to the canonical internal-control framework; approved sub-sector and Origin preserved.</x:v>
      </x:c>
    </x:row>
    <x:row r="374">
      <x:c r="A374" s="30" t="str">
        <x:v>RPROV098</x:v>
      </x:c>
      <x:c r="B374" s="30" t="str">
        <x:v>LAW099</x:v>
      </x:c>
      <x:c r="C374" s="30" t="str">
        <x:v>SUB001</x:v>
      </x:c>
      <x:c r="D374" s="30" t="str">
        <x:v>Best Practice</x:v>
      </x:c>
      <x:c r="E374" s="30" t="str">
        <x:v>Internal control — no independent statutory force; apply the separately mapped underlying law where applicable</x:v>
      </x:c>
      <x:c r="F374" s="30" t="str">
        <x:v>Pharmacy Application Availability Monitoring</x:v>
      </x:c>
      <x:c r="G374" s="30" t="str">
        <x:v>Pharmacy information systems shall be monitored for availability, failures, a...</x:v>
      </x:c>
      <x:c r="H374" s="30" t="str">
        <x:v>RETAIL</x:v>
      </x:c>
      <x:c r="I374" s="30" t="str">
        <x:v>Yes</x:v>
      </x:c>
      <x:c r="J374" s="30" t="str">
        <x:v>P-4 reparented to the canonical internal-control framework; approved sub-sector and Origin preserved.</x:v>
      </x:c>
    </x:row>
    <x:row r="375">
      <x:c r="A375" s="30" t="str">
        <x:v>RPROV099</x:v>
      </x:c>
      <x:c r="B375" s="30" t="str">
        <x:v>LAW099</x:v>
      </x:c>
      <x:c r="C375" s="30" t="str">
        <x:v>SUB001</x:v>
      </x:c>
      <x:c r="D375" s="30" t="str">
        <x:v>Best Practice</x:v>
      </x:c>
      <x:c r="E375" s="30" t="str">
        <x:v>Internal control — no independent statutory force; apply the separately mapped underlying law where applicable</x:v>
      </x:c>
      <x:c r="F375" s="30" t="str">
        <x:v>Regulatory Certificate Display Verification</x:v>
      </x:c>
      <x:c r="G375" s="30" t="str">
        <x:v>Statutory licences, pharmacist registration certificates, consumer notices, e...</x:v>
      </x:c>
      <x:c r="H375" s="30" t="str">
        <x:v>RETAIL</x:v>
      </x:c>
      <x:c r="I375" s="30" t="str">
        <x:v>Yes</x:v>
      </x:c>
      <x:c r="J375" s="30" t="str">
        <x:v>P-4 reparented to the canonical internal-control framework; approved sub-sector and Origin preserved.</x:v>
      </x:c>
    </x:row>
    <x:row r="376">
      <x:c r="A376" s="30" t="str">
        <x:v>RPROV100</x:v>
      </x:c>
      <x:c r="B376" s="30" t="str">
        <x:v>LAW099</x:v>
      </x:c>
      <x:c r="C376" s="30" t="str">
        <x:v>SUB001</x:v>
      </x:c>
      <x:c r="D376" s="30" t="str">
        <x:v>Best Practice</x:v>
      </x:c>
      <x:c r="E376" s="30" t="str">
        <x:v>Internal control — no independent statutory force; apply the separately mapped underlying law where applicable</x:v>
      </x:c>
      <x:c r="F376" s="30" t="str">
        <x:v>Retail Pharmacy Compliance Maturity Assessment</x:v>
      </x:c>
      <x:c r="G376" s="30" t="str">
        <x:v>Retail pharmacies shall perform an annual compliance maturity assessment eval...</x:v>
      </x:c>
      <x:c r="H376" s="30" t="str">
        <x:v>RETAIL</x:v>
      </x:c>
      <x:c r="I376" s="30" t="str">
        <x:v>Yes</x:v>
      </x:c>
      <x:c r="J376" s="30" t="str">
        <x:v>P-4 reparented to the canonical internal-control framework; approved sub-sector and Origin preserved.</x:v>
      </x:c>
    </x:row>
    <x:row r="377">
      <x:c r="A377" s="30" t="str">
        <x:v>RPROV101</x:v>
      </x:c>
      <x:c r="B377" s="30" t="str">
        <x:v>LAW099</x:v>
      </x:c>
      <x:c r="C377" s="30" t="str">
        <x:v>SUB001</x:v>
      </x:c>
      <x:c r="D377" s="30" t="str">
        <x:v>Best Practice</x:v>
      </x:c>
      <x:c r="E377" s="30" t="str">
        <x:v>Internal control — no independent statutory force; apply the separately mapped underlying law where applicable</x:v>
      </x:c>
      <x:c r="F377" s="30" t="str">
        <x:v>Customer Identity Record Maintenance</x:v>
      </x:c>
      <x:c r="G377" s="30" t="str">
        <x:v>Where identity verification is legally required, customer identity records sh...</x:v>
      </x:c>
      <x:c r="H377" s="30" t="str">
        <x:v>RETAIL</x:v>
      </x:c>
      <x:c r="I377" s="30" t="str">
        <x:v>Yes</x:v>
      </x:c>
      <x:c r="J377" s="30" t="str">
        <x:v>P-4 reparented to the canonical internal-control framework; approved sub-sector and Origin preserved.</x:v>
      </x:c>
    </x:row>
    <x:row r="378">
      <x:c r="A378" s="30" t="str">
        <x:v>RPROV102</x:v>
      </x:c>
      <x:c r="B378" s="30" t="str">
        <x:v>LAW099</x:v>
      </x:c>
      <x:c r="C378" s="30" t="str">
        <x:v>SUB001</x:v>
      </x:c>
      <x:c r="D378" s="30" t="str">
        <x:v>Best Practice</x:v>
      </x:c>
      <x:c r="E378" s="30" t="str">
        <x:v>Internal control — no independent statutory force; apply the separately mapped underlying law where applicable</x:v>
      </x:c>
      <x:c r="F378" s="30" t="str">
        <x:v>Revalidation of Delayed Prescriptions</x:v>
      </x:c>
      <x:c r="G378" s="30" t="str">
        <x:v>Prescriptions presented after the organization's defined validity review peri...</x:v>
      </x:c>
      <x:c r="H378" s="30" t="str">
        <x:v>RETAIL</x:v>
      </x:c>
      <x:c r="I378" s="30" t="str">
        <x:v>Yes</x:v>
      </x:c>
      <x:c r="J378" s="30" t="str">
        <x:v>P-4 reparented to the canonical internal-control framework; approved sub-sector and Origin preserved.</x:v>
      </x:c>
    </x:row>
    <x:row r="379">
      <x:c r="A379" s="30" t="str">
        <x:v>RPROV103</x:v>
      </x:c>
      <x:c r="B379" s="30" t="str">
        <x:v>LAW099</x:v>
      </x:c>
      <x:c r="C379" s="30" t="str">
        <x:v>SUB001</x:v>
      </x:c>
      <x:c r="D379" s="30" t="str">
        <x:v>Best Practice</x:v>
      </x:c>
      <x:c r="E379" s="30" t="str">
        <x:v>Internal control — no independent statutory force; apply the separately mapped underlying law where applicable</x:v>
      </x:c>
      <x:c r="F379" s="30" t="str">
        <x:v>Electronic Pharmacist Approval</x:v>
      </x:c>
      <x:c r="G379" s="30" t="str">
        <x:v>Electronic approval of dispensing transactions shall utilize authenticated ph...</x:v>
      </x:c>
      <x:c r="H379" s="30" t="str">
        <x:v>RETAIL</x:v>
      </x:c>
      <x:c r="I379" s="30" t="str">
        <x:v>Yes</x:v>
      </x:c>
      <x:c r="J379" s="30" t="str">
        <x:v>P-4 reparented to the canonical internal-control framework; approved sub-sector and Origin preserved.</x:v>
      </x:c>
    </x:row>
    <x:row r="380">
      <x:c r="A380" s="30" t="str">
        <x:v>RPROV104</x:v>
      </x:c>
      <x:c r="B380" s="30" t="str">
        <x:v>LAW099</x:v>
      </x:c>
      <x:c r="C380" s="30" t="str">
        <x:v>SUB001</x:v>
      </x:c>
      <x:c r="D380" s="30" t="str">
        <x:v>Best Practice</x:v>
      </x:c>
      <x:c r="E380" s="30" t="str">
        <x:v>Internal control — no independent statutory force; apply the separately mapped underlying law where applicable</x:v>
      </x:c>
      <x:c r="F380" s="30" t="str">
        <x:v>Returned Medicine Quality Assessment</x:v>
      </x:c>
      <x:c r="G380" s="30" t="str">
        <x:v>Medicines returned by customers shall undergo documented quality assessment b...</x:v>
      </x:c>
      <x:c r="H380" s="30" t="str">
        <x:v>RETAIL</x:v>
      </x:c>
      <x:c r="I380" s="30" t="str">
        <x:v>Yes</x:v>
      </x:c>
      <x:c r="J380" s="30" t="str">
        <x:v>P-4 reparented to the canonical internal-control framework; approved sub-sector and Origin preserved.</x:v>
      </x:c>
    </x:row>
    <x:row r="381">
      <x:c r="A381" s="30" t="str">
        <x:v>RPROV105</x:v>
      </x:c>
      <x:c r="B381" s="30" t="str">
        <x:v>LAW099</x:v>
      </x:c>
      <x:c r="C381" s="30" t="str">
        <x:v>SUB001</x:v>
      </x:c>
      <x:c r="D381" s="30" t="str">
        <x:v>Best Practice</x:v>
      </x:c>
      <x:c r="E381" s="30" t="str">
        <x:v>Internal control — no independent statutory force; apply the separately mapped underlying law where applicable</x:v>
      </x:c>
      <x:c r="F381" s="30" t="str">
        <x:v>Periodic Recall Readiness Testing</x:v>
      </x:c>
      <x:c r="G381" s="30" t="str">
        <x:v>Retail pharmacies shall periodically verify the effectiveness of product reca...</x:v>
      </x:c>
      <x:c r="H381" s="30" t="str">
        <x:v>RETAIL</x:v>
      </x:c>
      <x:c r="I381" s="30" t="str">
        <x:v>Yes</x:v>
      </x:c>
      <x:c r="J381" s="30" t="str">
        <x:v>P-4 reparented to the canonical internal-control framework; approved sub-sector and Origin preserved.</x:v>
      </x:c>
    </x:row>
    <x:row r="382">
      <x:c r="A382" s="30" t="str">
        <x:v>RPROV106</x:v>
      </x:c>
      <x:c r="B382" s="30" t="str">
        <x:v>LAW099</x:v>
      </x:c>
      <x:c r="C382" s="30" t="str">
        <x:v>SUB001</x:v>
      </x:c>
      <x:c r="D382" s="30" t="str">
        <x:v>Best Practice</x:v>
      </x:c>
      <x:c r="E382" s="30" t="str">
        <x:v>Internal control — no independent statutory force; apply the separately mapped underlying law where applicable</x:v>
      </x:c>
      <x:c r="F382" s="30" t="str">
        <x:v>Automated Reservation Expiry Notification</x:v>
      </x:c>
      <x:c r="G382" s="30" t="str">
        <x:v>Pharmacy systems shall automatically notify staff regarding uncollected reser...</x:v>
      </x:c>
      <x:c r="H382" s="30" t="str">
        <x:v>RETAIL</x:v>
      </x:c>
      <x:c r="I382" s="30" t="str">
        <x:v>Yes</x:v>
      </x:c>
      <x:c r="J382" s="30" t="str">
        <x:v>P-4 reparented to the canonical internal-control framework; approved sub-sector and Origin preserved.</x:v>
      </x:c>
    </x:row>
    <x:row r="383">
      <x:c r="A383" s="30" t="str">
        <x:v>RPROV107</x:v>
      </x:c>
      <x:c r="B383" s="30" t="str">
        <x:v>LAW099</x:v>
      </x:c>
      <x:c r="C383" s="30" t="str">
        <x:v>SUB001</x:v>
      </x:c>
      <x:c r="D383" s="30" t="str">
        <x:v>Best Practice</x:v>
      </x:c>
      <x:c r="E383" s="30" t="str">
        <x:v>Internal control — no independent statutory force; apply the separately mapped underlying law where applicable</x:v>
      </x:c>
      <x:c r="F383" s="30" t="str">
        <x:v>Inventory Adjustment Authorization</x:v>
      </x:c>
      <x:c r="G383" s="30" t="str">
        <x:v>Inventory adjustments resulting from shortages, damages, expiries, or reconci...</x:v>
      </x:c>
      <x:c r="H383" s="30" t="str">
        <x:v>RETAIL</x:v>
      </x:c>
      <x:c r="I383" s="30" t="str">
        <x:v>Yes</x:v>
      </x:c>
      <x:c r="J383" s="30" t="str">
        <x:v>P-4 reparented to the canonical internal-control framework; approved sub-sector and Origin preserved.</x:v>
      </x:c>
    </x:row>
    <x:row r="384">
      <x:c r="A384" s="30" t="str">
        <x:v>RPROV108</x:v>
      </x:c>
      <x:c r="B384" s="30" t="str">
        <x:v>LAW099</x:v>
      </x:c>
      <x:c r="C384" s="30" t="str">
        <x:v>SUB001</x:v>
      </x:c>
      <x:c r="D384" s="30" t="str">
        <x:v>Best Practice</x:v>
      </x:c>
      <x:c r="E384" s="30" t="str">
        <x:v>Internal control — no independent statutory force; apply the separately mapped underlying law where applicable</x:v>
      </x:c>
      <x:c r="F384" s="30" t="str">
        <x:v>Pharmacy Software Change Control</x:v>
      </x:c>
      <x:c r="G384" s="30" t="str">
        <x:v>Updates to pharmacy software affecting dispensing, billing, inventory, or pat...</x:v>
      </x:c>
      <x:c r="H384" s="30" t="str">
        <x:v>RETAIL</x:v>
      </x:c>
      <x:c r="I384" s="30" t="str">
        <x:v>Yes</x:v>
      </x:c>
      <x:c r="J384" s="30" t="str">
        <x:v>P-4 reparented to the canonical internal-control framework; approved sub-sector and Origin preserved.</x:v>
      </x:c>
    </x:row>
    <x:row r="385">
      <x:c r="A385" s="30" t="str">
        <x:v>RPROV109</x:v>
      </x:c>
      <x:c r="B385" s="30" t="str">
        <x:v>LAW099</x:v>
      </x:c>
      <x:c r="C385" s="30" t="str">
        <x:v>SUB001</x:v>
      </x:c>
      <x:c r="D385" s="30" t="str">
        <x:v>Best Practice</x:v>
      </x:c>
      <x:c r="E385" s="30" t="str">
        <x:v>Internal control — no independent statutory force; apply the separately mapped underlying law where applicable</x:v>
      </x:c>
      <x:c r="F385" s="30" t="str">
        <x:v>Regulatory Information Brochure Availability</x:v>
      </x:c>
      <x:c r="G385" s="30" t="str">
        <x:v>Approved brochures, medicine safety literature, and public awareness material...</x:v>
      </x:c>
      <x:c r="H385" s="30" t="str">
        <x:v>RETAIL</x:v>
      </x:c>
      <x:c r="I385" s="30" t="str">
        <x:v>Yes</x:v>
      </x:c>
      <x:c r="J385" s="30" t="str">
        <x:v>P-4 reparented to the canonical internal-control framework; approved sub-sector and Origin preserved.</x:v>
      </x:c>
    </x:row>
    <x:row r="386">
      <x:c r="A386" s="30" t="str">
        <x:v>RPROV110</x:v>
      </x:c>
      <x:c r="B386" s="30" t="str">
        <x:v>LAW099</x:v>
      </x:c>
      <x:c r="C386" s="30" t="str">
        <x:v>SUB001</x:v>
      </x:c>
      <x:c r="D386" s="30" t="str">
        <x:v>Best Practice</x:v>
      </x:c>
      <x:c r="E386" s="30" t="str">
        <x:v>Internal control — no independent statutory force; apply the separately mapped underlying law where applicable</x:v>
      </x:c>
      <x:c r="F386" s="30" t="str">
        <x:v>Quarterly Retail Compliance Management Review</x:v>
      </x:c>
      <x:c r="G386" s="30" t="str">
        <x:v>Senior management shall conduct documented quarterly reviews of retail pharma...</x:v>
      </x:c>
      <x:c r="H386" s="30" t="str">
        <x:v>RETAIL</x:v>
      </x:c>
      <x:c r="I386" s="30" t="str">
        <x:v>Yes</x:v>
      </x:c>
      <x:c r="J386" s="30" t="str">
        <x:v>P-4 reparented to the canonical internal-control framework; approved sub-sector and Origin preserved.</x:v>
      </x:c>
    </x:row>
    <x:row r="387">
      <x:c r="A387" s="30" t="str">
        <x:v>RPROV111</x:v>
      </x:c>
      <x:c r="B387" s="30" t="str">
        <x:v>LAW099</x:v>
      </x:c>
      <x:c r="C387" s="30" t="str">
        <x:v>SUB001</x:v>
      </x:c>
      <x:c r="D387" s="30" t="str">
        <x:v>Best Practice</x:v>
      </x:c>
      <x:c r="E387" s="30" t="str">
        <x:v>Internal control — no independent statutory force; apply the separately mapped underlying law where applicable</x:v>
      </x:c>
      <x:c r="F387" s="30" t="str">
        <x:v>Verification of Authorized Medicine Recipient</x:v>
      </x:c>
      <x:c r="G387" s="30" t="str">
        <x:v>Where medicines are collected by a representative, the pharmacy shall verify ...</x:v>
      </x:c>
      <x:c r="H387" s="30" t="str">
        <x:v>RETAIL</x:v>
      </x:c>
      <x:c r="I387" s="30" t="str">
        <x:v>Yes</x:v>
      </x:c>
      <x:c r="J387" s="30" t="str">
        <x:v>P-4 reparented to the canonical internal-control framework; approved sub-sector and Origin preserved.</x:v>
      </x:c>
    </x:row>
    <x:row r="388">
      <x:c r="A388" s="30" t="str">
        <x:v>RPROV112</x:v>
      </x:c>
      <x:c r="B388" s="30" t="str">
        <x:v>LAW099</x:v>
      </x:c>
      <x:c r="C388" s="30" t="str">
        <x:v>SUB001</x:v>
      </x:c>
      <x:c r="D388" s="30" t="str">
        <x:v>Best Practice</x:v>
      </x:c>
      <x:c r="E388" s="30" t="str">
        <x:v>Internal control — no independent statutory force; apply the separately mapped underlying law where applicable</x:v>
      </x:c>
      <x:c r="F388" s="30" t="str">
        <x:v>Illegible Prescription Handling Procedure</x:v>
      </x:c>
      <x:c r="G388" s="30" t="str">
        <x:v>Prescriptions that are incomplete, illegible, altered, or ambiguous shall not...</x:v>
      </x:c>
      <x:c r="H388" s="30" t="str">
        <x:v>RETAIL</x:v>
      </x:c>
      <x:c r="I388" s="30" t="str">
        <x:v>Yes</x:v>
      </x:c>
      <x:c r="J388" s="30" t="str">
        <x:v>P-4 reparented to the canonical internal-control framework; approved sub-sector and Origin preserved.</x:v>
      </x:c>
    </x:row>
    <x:row r="389">
      <x:c r="A389" s="30" t="str">
        <x:v>RPROV113</x:v>
      </x:c>
      <x:c r="B389" s="30" t="str">
        <x:v>LAW099</x:v>
      </x:c>
      <x:c r="C389" s="30" t="str">
        <x:v>SUB001</x:v>
      </x:c>
      <x:c r="D389" s="30" t="str">
        <x:v>Best Practice</x:v>
      </x:c>
      <x:c r="E389" s="30" t="str">
        <x:v>Internal control — no independent statutory force; apply the separately mapped underlying law where applicable</x:v>
      </x:c>
      <x:c r="F389" s="30" t="str">
        <x:v>Secure Electronic Pharmacy Archive</x:v>
      </x:c>
      <x:c r="G389" s="30" t="str">
        <x:v>Pharmacy electronic records shall be archived using secure storage mechanisms...</x:v>
      </x:c>
      <x:c r="H389" s="30" t="str">
        <x:v>RETAIL</x:v>
      </x:c>
      <x:c r="I389" s="30" t="str">
        <x:v>Yes</x:v>
      </x:c>
      <x:c r="J389" s="30" t="str">
        <x:v>P-4 reparented to the canonical internal-control framework; approved sub-sector and Origin preserved.</x:v>
      </x:c>
    </x:row>
    <x:row r="390">
      <x:c r="A390" s="30" t="str">
        <x:v>RPROV114</x:v>
      </x:c>
      <x:c r="B390" s="30" t="str">
        <x:v>LAW099</x:v>
      </x:c>
      <x:c r="C390" s="30" t="str">
        <x:v>SUB001</x:v>
      </x:c>
      <x:c r="D390" s="30" t="str">
        <x:v>Best Practice</x:v>
      </x:c>
      <x:c r="E390" s="30" t="str">
        <x:v>Internal control — no independent statutory force; apply the separately mapped underlying law where applicable</x:v>
      </x:c>
      <x:c r="F390" s="30" t="str">
        <x:v>Standardized Shelf Arrangement</x:v>
      </x:c>
      <x:c r="G390" s="30" t="str">
        <x:v>Medicines shall be arranged according to documented classification criteria t...</x:v>
      </x:c>
      <x:c r="H390" s="30" t="str">
        <x:v>RETAIL</x:v>
      </x:c>
      <x:c r="I390" s="30" t="str">
        <x:v>Yes</x:v>
      </x:c>
      <x:c r="J390" s="30" t="str">
        <x:v>P-4 reparented to the canonical internal-control framework; approved sub-sector and Origin preserved.</x:v>
      </x:c>
    </x:row>
    <x:row r="391">
      <x:c r="A391" s="30" t="str">
        <x:v>RPROV115</x:v>
      </x:c>
      <x:c r="B391" s="30" t="str">
        <x:v>LAW099</x:v>
      </x:c>
      <x:c r="C391" s="30" t="str">
        <x:v>SUB001</x:v>
      </x:c>
      <x:c r="D391" s="30" t="str">
        <x:v>Best Practice</x:v>
      </x:c>
      <x:c r="E391" s="30" t="str">
        <x:v>Internal control — no independent statutory force; apply the separately mapped underlying law where applicable</x:v>
      </x:c>
      <x:c r="F391" s="30" t="str">
        <x:v>Recall Closure Verification</x:v>
      </x:c>
      <x:c r="G391" s="30" t="str">
        <x:v>Upon completion of a product recall, the pharmacy shall verify recall effecti...</x:v>
      </x:c>
      <x:c r="H391" s="30" t="str">
        <x:v>RETAIL</x:v>
      </x:c>
      <x:c r="I391" s="30" t="str">
        <x:v>Yes</x:v>
      </x:c>
      <x:c r="J391" s="30" t="str">
        <x:v>P-4 reparented to the canonical internal-control framework; approved sub-sector and Origin preserved.</x:v>
      </x:c>
    </x:row>
    <x:row r="392">
      <x:c r="A392" s="30" t="str">
        <x:v>RPROV116</x:v>
      </x:c>
      <x:c r="B392" s="30" t="str">
        <x:v>LAW099</x:v>
      </x:c>
      <x:c r="C392" s="30" t="str">
        <x:v>SUB001</x:v>
      </x:c>
      <x:c r="D392" s="30" t="str">
        <x:v>Best Practice</x:v>
      </x:c>
      <x:c r="E392" s="30" t="str">
        <x:v>Internal control — no independent statutory force; apply the separately mapped underlying law where applicable</x:v>
      </x:c>
      <x:c r="F392" s="30" t="str">
        <x:v>Scheduled Medicine Collection Management</x:v>
      </x:c>
      <x:c r="G392" s="30" t="str">
        <x:v>Pharmacies offering scheduled medicine collection shall maintain appointment ...</x:v>
      </x:c>
      <x:c r="H392" s="30" t="str">
        <x:v>RETAIL</x:v>
      </x:c>
      <x:c r="I392" s="30" t="str">
        <x:v>Yes</x:v>
      </x:c>
      <x:c r="J392" s="30" t="str">
        <x:v>P-4 reparented to the canonical internal-control framework; approved sub-sector and Origin preserved.</x:v>
      </x:c>
    </x:row>
    <x:row r="393">
      <x:c r="A393" s="30" t="str">
        <x:v>RPROV117</x:v>
      </x:c>
      <x:c r="B393" s="30" t="str">
        <x:v>LAW099</x:v>
      </x:c>
      <x:c r="C393" s="30" t="str">
        <x:v>SUB001</x:v>
      </x:c>
      <x:c r="D393" s="30" t="str">
        <x:v>Best Practice</x:v>
      </x:c>
      <x:c r="E393" s="30" t="str">
        <x:v>Internal control — no independent statutory force; apply the separately mapped underlying law where applicable</x:v>
      </x:c>
      <x:c r="F393" s="30" t="str">
        <x:v>Inventory Exception Investigation</x:v>
      </x:c>
      <x:c r="G393" s="30" t="str">
        <x:v>Significant inventory anomalies including unexplained shortages, overages, da...</x:v>
      </x:c>
      <x:c r="H393" s="30" t="str">
        <x:v>RETAIL</x:v>
      </x:c>
      <x:c r="I393" s="30" t="str">
        <x:v>Yes</x:v>
      </x:c>
      <x:c r="J393" s="30" t="str">
        <x:v>P-4 reparented to the canonical internal-control framework; approved sub-sector and Origin preserved.</x:v>
      </x:c>
    </x:row>
    <x:row r="394">
      <x:c r="A394" s="30" t="str">
        <x:v>RPROV118</x:v>
      </x:c>
      <x:c r="B394" s="30" t="str">
        <x:v>LAW099</x:v>
      </x:c>
      <x:c r="C394" s="30" t="str">
        <x:v>SUB001</x:v>
      </x:c>
      <x:c r="D394" s="30" t="str">
        <x:v>Best Practice</x:v>
      </x:c>
      <x:c r="E394" s="30" t="str">
        <x:v>Internal control — no independent statutory force; apply the separately mapped underlying law where applicable</x:v>
      </x:c>
      <x:c r="F394" s="30" t="str">
        <x:v>Security Event Monitoring</x:v>
      </x:c>
      <x:c r="G394" s="30" t="str">
        <x:v>Pharmacy information systems shall monitor cybersecurity events including una...</x:v>
      </x:c>
      <x:c r="H394" s="30" t="str">
        <x:v>RETAIL</x:v>
      </x:c>
      <x:c r="I394" s="30" t="str">
        <x:v>Yes</x:v>
      </x:c>
      <x:c r="J394" s="30" t="str">
        <x:v>P-4 reparented to the canonical internal-control framework; approved sub-sector and Origin preserved.</x:v>
      </x:c>
    </x:row>
    <x:row r="395">
      <x:c r="A395" s="30" t="str">
        <x:v>RPROV119</x:v>
      </x:c>
      <x:c r="B395" s="30" t="str">
        <x:v>LAW099</x:v>
      </x:c>
      <x:c r="C395" s="30" t="str">
        <x:v>SUB001</x:v>
      </x:c>
      <x:c r="D395" s="30" t="str">
        <x:v>Best Practice</x:v>
      </x:c>
      <x:c r="E395" s="30" t="str">
        <x:v>Internal control — no independent statutory force; apply the separately mapped underlying law where applicable</x:v>
      </x:c>
      <x:c r="F395" s="30" t="str">
        <x:v>Medicine Safety Awareness Display</x:v>
      </x:c>
      <x:c r="G395" s="30" t="str">
        <x:v>Retail pharmacies shall display approved medicine safety awareness material, ...</x:v>
      </x:c>
      <x:c r="H395" s="30" t="str">
        <x:v>RETAIL</x:v>
      </x:c>
      <x:c r="I395" s="30" t="str">
        <x:v>Yes</x:v>
      </x:c>
      <x:c r="J395" s="30" t="str">
        <x:v>P-4 reparented to the canonical internal-control framework; approved sub-sector and Origin preserved.</x:v>
      </x:c>
    </x:row>
    <x:row r="396">
      <x:c r="A396" s="30" t="str">
        <x:v>RPROV120</x:v>
      </x:c>
      <x:c r="B396" s="30" t="str">
        <x:v>LAW099</x:v>
      </x:c>
      <x:c r="C396" s="30" t="str">
        <x:v>SUB001</x:v>
      </x:c>
      <x:c r="D396" s="30" t="str">
        <x:v>Best Practice</x:v>
      </x:c>
      <x:c r="E396" s="30" t="str">
        <x:v>Internal control — no independent statutory force; apply the separately mapped underlying law where applicable</x:v>
      </x:c>
      <x:c r="F396" s="30" t="str">
        <x:v>Annual Compliance Improvement Programme</x:v>
      </x:c>
      <x:c r="G396" s="30" t="str">
        <x:v>Based on audits, inspections, incidents, complaints, KPI reviews, and regulat...</x:v>
      </x:c>
      <x:c r="H396" s="30" t="str">
        <x:v>RETAIL</x:v>
      </x:c>
      <x:c r="I396" s="30" t="str">
        <x:v>Yes</x:v>
      </x:c>
      <x:c r="J396" s="30" t="str">
        <x:v>P-4 reparented to the canonical internal-control framework; approved sub-sector and Origin preserved.</x:v>
      </x:c>
    </x:row>
    <x:row r="397">
      <x:c r="A397" s="30" t="str">
        <x:v>RPROV121</x:v>
      </x:c>
      <x:c r="B397" s="30" t="str">
        <x:v>LAW099</x:v>
      </x:c>
      <x:c r="C397" s="30" t="str">
        <x:v>SUB001</x:v>
      </x:c>
      <x:c r="D397" s="30" t="str">
        <x:v>Best Practice</x:v>
      </x:c>
      <x:c r="E397" s="30" t="str">
        <x:v>Internal control — no independent statutory force; apply the separately mapped underlying law where applicable</x:v>
      </x:c>
      <x:c r="F397" s="30" t="str">
        <x:v>Secondary Verification for Restricted Medicines</x:v>
      </x:c>
      <x:c r="G397" s="30" t="str">
        <x:v>Dispensing of restricted medicines shall require an independent secondary ver...</x:v>
      </x:c>
      <x:c r="H397" s="30" t="str">
        <x:v>RETAIL</x:v>
      </x:c>
      <x:c r="I397" s="30" t="str">
        <x:v>Yes</x:v>
      </x:c>
      <x:c r="J397" s="30" t="str">
        <x:v>P-4 reparented to the canonical internal-control framework; approved sub-sector and Origin preserved.</x:v>
      </x:c>
    </x:row>
    <x:row r="398">
      <x:c r="A398" s="30" t="str">
        <x:v>RPROV122</x:v>
      </x:c>
      <x:c r="B398" s="30" t="str">
        <x:v>LAW099</x:v>
      </x:c>
      <x:c r="C398" s="30" t="str">
        <x:v>SUB001</x:v>
      </x:c>
      <x:c r="D398" s="30" t="str">
        <x:v>Best Practice</x:v>
      </x:c>
      <x:c r="E398" s="30" t="str">
        <x:v>Internal control — no independent statutory force; apply the separately mapped underlying law where applicable</x:v>
      </x:c>
      <x:c r="F398" s="30" t="str">
        <x:v>Mandatory Prescription Completeness Check</x:v>
      </x:c>
      <x:c r="G398" s="30" t="str">
        <x:v>Before processing any prescription, pharmacy personnel shall verify the prese...</x:v>
      </x:c>
      <x:c r="H398" s="30" t="str">
        <x:v>RETAIL</x:v>
      </x:c>
      <x:c r="I398" s="30" t="str">
        <x:v>Yes</x:v>
      </x:c>
      <x:c r="J398" s="30" t="str">
        <x:v>P-4 reparented to the canonical internal-control framework; approved sub-sector and Origin preserved.</x:v>
      </x:c>
    </x:row>
    <x:row r="399">
      <x:c r="A399" s="30" t="str">
        <x:v>RPROV123</x:v>
      </x:c>
      <x:c r="B399" s="30" t="str">
        <x:v>LAW099</x:v>
      </x:c>
      <x:c r="C399" s="30" t="str">
        <x:v>SUB001</x:v>
      </x:c>
      <x:c r="D399" s="30" t="str">
        <x:v>Best Practice</x:v>
      </x:c>
      <x:c r="E399" s="30" t="str">
        <x:v>Internal control — no independent statutory force; apply the separately mapped underlying law where applicable</x:v>
      </x:c>
      <x:c r="F399" s="30" t="str">
        <x:v>Dispensing System Activity Log Retention</x:v>
      </x:c>
      <x:c r="G399" s="30" t="str">
        <x:v>Dispensing system activity logs shall be retained in a secure, tamper-evident...</x:v>
      </x:c>
      <x:c r="H399" s="30" t="str">
        <x:v>RETAIL</x:v>
      </x:c>
      <x:c r="I399" s="30" t="str">
        <x:v>Yes</x:v>
      </x:c>
      <x:c r="J399" s="30" t="str">
        <x:v>P-4 reparented to the canonical internal-control framework; approved sub-sector and Origin preserved.</x:v>
      </x:c>
    </x:row>
    <x:row r="400">
      <x:c r="A400" s="30" t="str">
        <x:v>RPROV124</x:v>
      </x:c>
      <x:c r="B400" s="30" t="str">
        <x:v>LAW099</x:v>
      </x:c>
      <x:c r="C400" s="30" t="str">
        <x:v>SUB001</x:v>
      </x:c>
      <x:c r="D400" s="30" t="str">
        <x:v>Best Practice</x:v>
      </x:c>
      <x:c r="E400" s="30" t="str">
        <x:v>Internal control — no independent statutory force; apply the separately mapped underlying law where applicable</x:v>
      </x:c>
      <x:c r="F400" s="30" t="str">
        <x:v>Medicine Identification Prior to Dispensing</x:v>
      </x:c>
      <x:c r="G400" s="30" t="str">
        <x:v>Pharmacists shall verify medicine name, strength, dosage form, manufacturer, ...</x:v>
      </x:c>
      <x:c r="H400" s="30" t="str">
        <x:v>RETAIL</x:v>
      </x:c>
      <x:c r="I400" s="30" t="str">
        <x:v>Yes</x:v>
      </x:c>
      <x:c r="J400" s="30" t="str">
        <x:v>P-4 reparented to the canonical internal-control framework; approved sub-sector and Origin preserved.</x:v>
      </x:c>
    </x:row>
    <x:row r="401">
      <x:c r="A401" s="30" t="str">
        <x:v>RPROV125</x:v>
      </x:c>
      <x:c r="B401" s="30" t="str">
        <x:v>LAW099</x:v>
      </x:c>
      <x:c r="C401" s="30" t="str">
        <x:v>SUB001</x:v>
      </x:c>
      <x:c r="D401" s="30" t="str">
        <x:v>Best Practice</x:v>
      </x:c>
      <x:c r="E401" s="30" t="str">
        <x:v>Internal control — no independent statutory force; apply the separately mapped underlying law where applicable</x:v>
      </x:c>
      <x:c r="F401" s="30" t="str">
        <x:v>Escalation of Critical Product Recalls</x:v>
      </x:c>
      <x:c r="G401" s="30" t="str">
        <x:v>Critical product recalls involving patient safety risks shall be escalated im...</x:v>
      </x:c>
      <x:c r="H401" s="30" t="str">
        <x:v>RETAIL</x:v>
      </x:c>
      <x:c r="I401" s="30" t="str">
        <x:v>Yes</x:v>
      </x:c>
      <x:c r="J401" s="30" t="str">
        <x:v>P-4 reparented to the canonical internal-control framework; approved sub-sector and Origin preserved.</x:v>
      </x:c>
    </x:row>
    <x:row r="402">
      <x:c r="A402" s="30" t="str">
        <x:v>RPROV126</x:v>
      </x:c>
      <x:c r="B402" s="30" t="str">
        <x:v>LAW099</x:v>
      </x:c>
      <x:c r="C402" s="30" t="str">
        <x:v>SUB001</x:v>
      </x:c>
      <x:c r="D402" s="30" t="str">
        <x:v>Best Practice</x:v>
      </x:c>
      <x:c r="E402" s="30" t="str">
        <x:v>Internal control — no independent statutory force; apply the separately mapped underlying law where applicable</x:v>
      </x:c>
      <x:c r="F402" s="30" t="str">
        <x:v>Online Medicine Reservation Governance</x:v>
      </x:c>
      <x:c r="G402" s="30" t="str">
        <x:v>Online reservation requests shall be validated for medicine availability, pre...</x:v>
      </x:c>
      <x:c r="H402" s="30" t="str">
        <x:v>RETAIL</x:v>
      </x:c>
      <x:c r="I402" s="30" t="str">
        <x:v>Yes</x:v>
      </x:c>
      <x:c r="J402" s="30" t="str">
        <x:v>P-4 reparented to the canonical internal-control framework; approved sub-sector and Origin preserved.</x:v>
      </x:c>
    </x:row>
    <x:row r="403">
      <x:c r="A403" s="30" t="str">
        <x:v>RPROV127</x:v>
      </x:c>
      <x:c r="B403" s="30" t="str">
        <x:v>LAW099</x:v>
      </x:c>
      <x:c r="C403" s="30" t="str">
        <x:v>SUB001</x:v>
      </x:c>
      <x:c r="D403" s="30" t="str">
        <x:v>Best Practice</x:v>
      </x:c>
      <x:c r="E403" s="30" t="str">
        <x:v>Internal control — no independent statutory force; apply the separately mapped underlying law where applicable</x:v>
      </x:c>
      <x:c r="F403" s="30" t="str">
        <x:v>Management Review of Inventory Adjustments</x:v>
      </x:c>
      <x:c r="G403" s="30" t="str">
        <x:v>Significant inventory adjustments exceeding organizational thresholds shall b...</x:v>
      </x:c>
      <x:c r="H403" s="30" t="str">
        <x:v>RETAIL</x:v>
      </x:c>
      <x:c r="I403" s="30" t="str">
        <x:v>Yes</x:v>
      </x:c>
      <x:c r="J403" s="30" t="str">
        <x:v>P-4 reparented to the canonical internal-control framework; approved sub-sector and Origin preserved.</x:v>
      </x:c>
    </x:row>
    <x:row r="404">
      <x:c r="A404" s="30" t="str">
        <x:v>RPROV128</x:v>
      </x:c>
      <x:c r="B404" s="30" t="str">
        <x:v>LAW099</x:v>
      </x:c>
      <x:c r="C404" s="30" t="str">
        <x:v>SUB001</x:v>
      </x:c>
      <x:c r="D404" s="30" t="str">
        <x:v>Best Practice</x:v>
      </x:c>
      <x:c r="E404" s="30" t="str">
        <x:v>Internal control — no independent statutory force; apply the separately mapped underlying law where applicable</x:v>
      </x:c>
      <x:c r="F404" s="30" t="str">
        <x:v>Periodic Backup Restoration Testing</x:v>
      </x:c>
      <x:c r="G404" s="30" t="str">
        <x:v>Pharmacy information systems shall undergo periodic backup restoration testin...</x:v>
      </x:c>
      <x:c r="H404" s="30" t="str">
        <x:v>RETAIL</x:v>
      </x:c>
      <x:c r="I404" s="30" t="str">
        <x:v>Yes</x:v>
      </x:c>
      <x:c r="J404" s="30" t="str">
        <x:v>P-4 reparented to the canonical internal-control framework; approved sub-sector and Origin preserved.</x:v>
      </x:c>
    </x:row>
    <x:row r="405">
      <x:c r="A405" s="30" t="str">
        <x:v>RPROV129</x:v>
      </x:c>
      <x:c r="B405" s="30" t="str">
        <x:v>LAW099</x:v>
      </x:c>
      <x:c r="C405" s="30" t="str">
        <x:v>SUB001</x:v>
      </x:c>
      <x:c r="D405" s="30" t="str">
        <x:v>Best Practice</x:v>
      </x:c>
      <x:c r="E405" s="30" t="str">
        <x:v>Internal control — no independent statutory force; apply the separately mapped underlying law where applicable</x:v>
      </x:c>
      <x:c r="F405" s="30" t="str">
        <x:v>Community Medicine Safety Education</x:v>
      </x:c>
      <x:c r="G405" s="30" t="str">
        <x:v>Retail pharmacies conducting medicine awareness programmes shall ensure educa...</x:v>
      </x:c>
      <x:c r="H405" s="30" t="str">
        <x:v>RETAIL</x:v>
      </x:c>
      <x:c r="I405" s="30" t="str">
        <x:v>Yes</x:v>
      </x:c>
      <x:c r="J405" s="30" t="str">
        <x:v>P-4 reparented to the canonical internal-control framework; approved sub-sector and Origin preserved.</x:v>
      </x:c>
    </x:row>
    <x:row r="406">
      <x:c r="A406" s="30" t="str">
        <x:v>RPROV130</x:v>
      </x:c>
      <x:c r="B406" s="30" t="str">
        <x:v>LAW099</x:v>
      </x:c>
      <x:c r="C406" s="30" t="str">
        <x:v>SUB001</x:v>
      </x:c>
      <x:c r="D406" s="30" t="str">
        <x:v>Best Practice</x:v>
      </x:c>
      <x:c r="E406" s="30" t="str">
        <x:v>Internal control — no independent statutory force; apply the separately mapped underlying law where applicable</x:v>
      </x:c>
      <x:c r="F406" s="30" t="str">
        <x:v>Retail Pharmacy Compliance Risk Register</x:v>
      </x:c>
      <x:c r="G406" s="30" t="str">
        <x:v>Retail pharmacies shall maintain a compliance risk register identifying regul...</x:v>
      </x:c>
      <x:c r="H406" s="30" t="str">
        <x:v>RETAIL</x:v>
      </x:c>
      <x:c r="I406" s="30" t="str">
        <x:v>Yes</x:v>
      </x:c>
      <x:c r="J406" s="30" t="str">
        <x:v>P-4 reparented to the canonical internal-control framework; approved sub-sector and Origin preserved.</x:v>
      </x:c>
    </x:row>
    <x:row r="407">
      <x:c r="A407" s="30" t="str">
        <x:v>RPROV131</x:v>
      </x:c>
      <x:c r="B407" s="30" t="str">
        <x:v>LAW099</x:v>
      </x:c>
      <x:c r="C407" s="30" t="str">
        <x:v>SUB001</x:v>
      </x:c>
      <x:c r="D407" s="30" t="str">
        <x:v>Best Practice</x:v>
      </x:c>
      <x:c r="E407" s="30" t="str">
        <x:v>Internal control — no independent statutory force; apply the separately mapped underlying law where applicable</x:v>
      </x:c>
      <x:c r="F407" s="30" t="str">
        <x:v>Final Pharmacist Dispensing Authorization</x:v>
      </x:c>
      <x:c r="G407" s="30" t="str">
        <x:v>Before any prescription medicine is handed over to the customer, the responsi...</x:v>
      </x:c>
      <x:c r="H407" s="30" t="str">
        <x:v>RETAIL</x:v>
      </x:c>
      <x:c r="I407" s="30" t="str">
        <x:v>Yes</x:v>
      </x:c>
      <x:c r="J407" s="30" t="str">
        <x:v>P-4 reparented to the canonical internal-control framework; approved sub-sector and Origin preserved.</x:v>
      </x:c>
    </x:row>
    <x:row r="408">
      <x:c r="A408" s="30" t="str">
        <x:v>RPROV132</x:v>
      </x:c>
      <x:c r="B408" s="30" t="str">
        <x:v>LAW099</x:v>
      </x:c>
      <x:c r="C408" s="30" t="str">
        <x:v>SUB001</x:v>
      </x:c>
      <x:c r="D408" s="30" t="str">
        <x:v>Best Practice</x:v>
      </x:c>
      <x:c r="E408" s="30" t="str">
        <x:v>Internal control — no independent statutory force; apply the separately mapped underlying law where applicable</x:v>
      </x:c>
      <x:c r="F408" s="30" t="str">
        <x:v>Periodic Review of Prescription Records</x:v>
      </x:c>
      <x:c r="G408" s="30" t="str">
        <x:v>Stored prescriptions shall be periodically reviewed to verify completeness, r...</x:v>
      </x:c>
      <x:c r="H408" s="30" t="str">
        <x:v>RETAIL</x:v>
      </x:c>
      <x:c r="I408" s="30" t="str">
        <x:v>Yes</x:v>
      </x:c>
      <x:c r="J408" s="30" t="str">
        <x:v>P-4 reparented to the canonical internal-control framework; approved sub-sector and Origin preserved.</x:v>
      </x:c>
    </x:row>
    <x:row r="409">
      <x:c r="A409" s="30" t="str">
        <x:v>RPROV133</x:v>
      </x:c>
      <x:c r="B409" s="30" t="str">
        <x:v>LAW099</x:v>
      </x:c>
      <x:c r="C409" s="30" t="str">
        <x:v>SUB001</x:v>
      </x:c>
      <x:c r="D409" s="30" t="str">
        <x:v>Best Practice</x:v>
      </x:c>
      <x:c r="E409" s="30" t="str">
        <x:v>Internal control — no independent statutory force; apply the separately mapped underlying law where applicable</x:v>
      </x:c>
      <x:c r="F409" s="30" t="str">
        <x:v>Synchronization of Pharmacy Electronic Records</x:v>
      </x:c>
      <x:c r="G409" s="30" t="str">
        <x:v>Electronic dispensing, billing, inventory, and customer records shall remain ...</x:v>
      </x:c>
      <x:c r="H409" s="30" t="str">
        <x:v>RETAIL</x:v>
      </x:c>
      <x:c r="I409" s="30" t="str">
        <x:v>Yes</x:v>
      </x:c>
      <x:c r="J409" s="30" t="str">
        <x:v>P-4 reparented to the canonical internal-control framework; approved sub-sector and Origin preserved.</x:v>
      </x:c>
    </x:row>
    <x:row r="410">
      <x:c r="A410" s="30" t="str">
        <x:v>RPROV134</x:v>
      </x:c>
      <x:c r="B410" s="30" t="str">
        <x:v>LAW099</x:v>
      </x:c>
      <x:c r="C410" s="30" t="str">
        <x:v>SUB001</x:v>
      </x:c>
      <x:c r="D410" s="30" t="str">
        <x:v>Best Practice</x:v>
      </x:c>
      <x:c r="E410" s="30" t="str">
        <x:v>Internal control — no independent statutory force; apply the separately mapped underlying law where applicable</x:v>
      </x:c>
      <x:c r="F410" s="30" t="str">
        <x:v>Independent Medicine Selection Verification</x:v>
      </x:c>
      <x:c r="G410" s="30" t="str">
        <x:v>Before packaging medicines for dispensing, pharmacy personnel shall independe...</x:v>
      </x:c>
      <x:c r="H410" s="30" t="str">
        <x:v>RETAIL</x:v>
      </x:c>
      <x:c r="I410" s="30" t="str">
        <x:v>Yes</x:v>
      </x:c>
      <x:c r="J410" s="30" t="str">
        <x:v>P-4 reparented to the canonical internal-control framework; approved sub-sector and Origin preserved.</x:v>
      </x:c>
    </x:row>
    <x:row r="411">
      <x:c r="A411" s="30" t="str">
        <x:v>RPROV135</x:v>
      </x:c>
      <x:c r="B411" s="30" t="str">
        <x:v>LAW099</x:v>
      </x:c>
      <x:c r="C411" s="30" t="str">
        <x:v>SUB001</x:v>
      </x:c>
      <x:c r="D411" s="30" t="str">
        <x:v>Best Practice</x:v>
      </x:c>
      <x:c r="E411" s="30" t="str">
        <x:v>Internal control — no independent statutory force; apply the separately mapped underlying law where applicable</x:v>
      </x:c>
      <x:c r="F411" s="30" t="str">
        <x:v>Immediate Response to Critical Safety Alerts</x:v>
      </x:c>
      <x:c r="G411" s="30" t="str">
        <x:v>Safety alerts involving imminent patient risk shall trigger immediate suspens...</x:v>
      </x:c>
      <x:c r="H411" s="30" t="str">
        <x:v>RETAIL</x:v>
      </x:c>
      <x:c r="I411" s="30" t="str">
        <x:v>Yes</x:v>
      </x:c>
      <x:c r="J411" s="30" t="str">
        <x:v>P-4 reparented to the canonical internal-control framework; approved sub-sector and Origin preserved.</x:v>
      </x:c>
    </x:row>
    <x:row r="412">
      <x:c r="A412" s="30" t="str">
        <x:v>RPROV136</x:v>
      </x:c>
      <x:c r="B412" s="30" t="str">
        <x:v>LAW099</x:v>
      </x:c>
      <x:c r="C412" s="30" t="str">
        <x:v>SUB001</x:v>
      </x:c>
      <x:c r="D412" s="30" t="str">
        <x:v>Best Practice</x:v>
      </x:c>
      <x:c r="E412" s="30" t="str">
        <x:v>Internal control — no independent statutory force; apply the separately mapped underlying law where applicable</x:v>
      </x:c>
      <x:c r="F412" s="30" t="str">
        <x:v>Electronic Customer Token Management</x:v>
      </x:c>
      <x:c r="G412" s="30" t="str">
        <x:v>Where electronic token systems are used, token allocation, service sequence, ...</x:v>
      </x:c>
      <x:c r="H412" s="30" t="str">
        <x:v>RETAIL</x:v>
      </x:c>
      <x:c r="I412" s="30" t="str">
        <x:v>Yes</x:v>
      </x:c>
      <x:c r="J412" s="30" t="str">
        <x:v>P-4 reparented to the canonical internal-control framework; approved sub-sector and Origin preserved.</x:v>
      </x:c>
    </x:row>
    <x:row r="413">
      <x:c r="A413" s="30" t="str">
        <x:v>RPROV137</x:v>
      </x:c>
      <x:c r="B413" s="30" t="str">
        <x:v>LAW099</x:v>
      </x:c>
      <x:c r="C413" s="30" t="str">
        <x:v>SUB001</x:v>
      </x:c>
      <x:c r="D413" s="30" t="str">
        <x:v>Best Practice</x:v>
      </x:c>
      <x:c r="E413" s="30" t="str">
        <x:v>Internal control — no independent statutory force; apply the separately mapped underlying law where applicable</x:v>
      </x:c>
      <x:c r="F413" s="30" t="str">
        <x:v>Trend Analysis of Inventory Discrepancies</x:v>
      </x:c>
      <x:c r="G413" s="30" t="str">
        <x:v>Inventory discrepancies shall be periodically analyzed to identify recurring ...</x:v>
      </x:c>
      <x:c r="H413" s="30" t="str">
        <x:v>RETAIL</x:v>
      </x:c>
      <x:c r="I413" s="30" t="str">
        <x:v>Yes</x:v>
      </x:c>
      <x:c r="J413" s="30" t="str">
        <x:v>P-4 reparented to the canonical internal-control framework; approved sub-sector and Origin preserved.</x:v>
      </x:c>
    </x:row>
    <x:row r="414">
      <x:c r="A414" s="30" t="str">
        <x:v>RPROV138</x:v>
      </x:c>
      <x:c r="B414" s="30" t="str">
        <x:v>LAW099</x:v>
      </x:c>
      <x:c r="C414" s="30" t="str">
        <x:v>SUB001</x:v>
      </x:c>
      <x:c r="D414" s="30" t="str">
        <x:v>Best Practice</x:v>
      </x:c>
      <x:c r="E414" s="30" t="str">
        <x:v>Internal control — no independent statutory force; apply the separately mapped underlying law where applicable</x:v>
      </x:c>
      <x:c r="F414" s="30" t="str">
        <x:v>Pharmacy Cyber Incident Management</x:v>
      </x:c>
      <x:c r="G414" s="30" t="str">
        <x:v>Cybersecurity incidents affecting pharmacy operations shall be identified, cl...</x:v>
      </x:c>
      <x:c r="H414" s="30" t="str">
        <x:v>RETAIL</x:v>
      </x:c>
      <x:c r="I414" s="30" t="str">
        <x:v>Yes</x:v>
      </x:c>
      <x:c r="J414" s="30" t="str">
        <x:v>P-4 reparented to the canonical internal-control framework; approved sub-sector and Origin preserved.</x:v>
      </x:c>
    </x:row>
    <x:row r="415">
      <x:c r="A415" s="30" t="str">
        <x:v>RPROV139</x:v>
      </x:c>
      <x:c r="B415" s="30" t="str">
        <x:v>LAW099</x:v>
      </x:c>
      <x:c r="C415" s="30" t="str">
        <x:v>SUB001</x:v>
      </x:c>
      <x:c r="D415" s="30" t="str">
        <x:v>Best Practice</x:v>
      </x:c>
      <x:c r="E415" s="30" t="str">
        <x:v>Internal control — no independent statutory force; apply the separately mapped underlying law where applicable</x:v>
      </x:c>
      <x:c r="F415" s="30" t="str">
        <x:v>Safety Alert Communication to Customers</x:v>
      </x:c>
      <x:c r="G415" s="30" t="str">
        <x:v>Retail pharmacies shall communicate significant medicine safety advisories, p...</x:v>
      </x:c>
      <x:c r="H415" s="30" t="str">
        <x:v>RETAIL</x:v>
      </x:c>
      <x:c r="I415" s="30" t="str">
        <x:v>Yes</x:v>
      </x:c>
      <x:c r="J415" s="30" t="str">
        <x:v>P-4 reparented to the canonical internal-control framework; approved sub-sector and Origin preserved.</x:v>
      </x:c>
    </x:row>
    <x:row r="416">
      <x:c r="A416" s="30" t="str">
        <x:v>RPROV140</x:v>
      </x:c>
      <x:c r="B416" s="30" t="str">
        <x:v>LAW099</x:v>
      </x:c>
      <x:c r="C416" s="30" t="str">
        <x:v>SUB001</x:v>
      </x:c>
      <x:c r="D416" s="30" t="str">
        <x:v>Best Practice</x:v>
      </x:c>
      <x:c r="E416" s="30" t="str">
        <x:v>Internal control — no independent statutory force; apply the separately mapped underlying law where applicable</x:v>
      </x:c>
      <x:c r="F416" s="30" t="str">
        <x:v>Compliance Performance Dashboard</x:v>
      </x:c>
      <x:c r="G416" s="30" t="str">
        <x:v>Retail pharmacies shall maintain a compliance dashboard summarizing licensing...</x:v>
      </x:c>
      <x:c r="H416" s="30" t="str">
        <x:v>RETAIL</x:v>
      </x:c>
      <x:c r="I416" s="30" t="str">
        <x:v>Yes</x:v>
      </x:c>
      <x:c r="J416" s="30" t="str">
        <x:v>P-4 reparented to the canonical internal-control framework; approved sub-sector and Origin preserved.</x:v>
      </x:c>
    </x:row>
    <x:row r="417">
      <x:c r="A417" s="30" t="str">
        <x:v>RPROV141</x:v>
      </x:c>
      <x:c r="B417" s="30" t="str">
        <x:v>LAW099</x:v>
      </x:c>
      <x:c r="C417" s="30" t="str">
        <x:v>SUB001</x:v>
      </x:c>
      <x:c r="D417" s="30" t="str">
        <x:v>Best Practice</x:v>
      </x:c>
      <x:c r="E417" s="30" t="str">
        <x:v>Internal control — no independent statutory force; apply the separately mapped underlying law where applicable</x:v>
      </x:c>
      <x:c r="F417" s="30" t="str">
        <x:v>Daily Verification of Controlled Medicine Inventory</x:v>
      </x:c>
      <x:c r="G417" s="30" t="str">
        <x:v>Controlled and scheduled medicines shall be physically verified against inven...</x:v>
      </x:c>
      <x:c r="H417" s="30" t="str">
        <x:v>RETAIL</x:v>
      </x:c>
      <x:c r="I417" s="30" t="str">
        <x:v>Yes</x:v>
      </x:c>
      <x:c r="J417" s="30" t="str">
        <x:v>P-4 reparented to the canonical internal-control framework; approved sub-sector and Origin preserved.</x:v>
      </x:c>
    </x:row>
    <x:row r="418">
      <x:c r="A418" s="30" t="str">
        <x:v>RPROV142</x:v>
      </x:c>
      <x:c r="B418" s="30" t="str">
        <x:v>LAW099</x:v>
      </x:c>
      <x:c r="C418" s="30" t="str">
        <x:v>SUB001</x:v>
      </x:c>
      <x:c r="D418" s="30" t="str">
        <x:v>Best Practice</x:v>
      </x:c>
      <x:c r="E418" s="30" t="str">
        <x:v>Internal control — no independent statutory force; apply the separately mapped underlying law where applicable</x:v>
      </x:c>
      <x:c r="F418" s="30" t="str">
        <x:v>Automated Prescription Expiry Alerts</x:v>
      </x:c>
      <x:c r="G418" s="30" t="str">
        <x:v>Pharmacy systems shall generate alerts for prescriptions approaching statutor...</x:v>
      </x:c>
      <x:c r="H418" s="30" t="str">
        <x:v>RETAIL</x:v>
      </x:c>
      <x:c r="I418" s="30" t="str">
        <x:v>Yes</x:v>
      </x:c>
      <x:c r="J418" s="30" t="str">
        <x:v>P-4 reparented to the canonical internal-control framework; approved sub-sector and Origin preserved.</x:v>
      </x:c>
    </x:row>
    <x:row r="419">
      <x:c r="A419" s="30" t="str">
        <x:v>RPROV143</x:v>
      </x:c>
      <x:c r="B419" s="30" t="str">
        <x:v>LAW099</x:v>
      </x:c>
      <x:c r="C419" s="30" t="str">
        <x:v>SUB001</x:v>
      </x:c>
      <x:c r="D419" s="30" t="str">
        <x:v>Best Practice</x:v>
      </x:c>
      <x:c r="E419" s="30" t="str">
        <x:v>Internal control — no independent statutory force; apply the separately mapped underlying law where applicable</x:v>
      </x:c>
      <x:c r="F419" s="30" t="str">
        <x:v>Third-Party System Integration Governance</x:v>
      </x:c>
      <x:c r="G419" s="30" t="str">
        <x:v>Integration between pharmacy applications and external systems shall be autho...</x:v>
      </x:c>
      <x:c r="H419" s="30" t="str">
        <x:v>RETAIL</x:v>
      </x:c>
      <x:c r="I419" s="30" t="str">
        <x:v>Yes</x:v>
      </x:c>
      <x:c r="J419" s="30" t="str">
        <x:v>P-4 reparented to the canonical internal-control framework; approved sub-sector and Origin preserved.</x:v>
      </x:c>
    </x:row>
    <x:row r="420">
      <x:c r="A420" s="30" t="str">
        <x:v>RPROV144</x:v>
      </x:c>
      <x:c r="B420" s="30" t="str">
        <x:v>LAW099</x:v>
      </x:c>
      <x:c r="C420" s="30" t="str">
        <x:v>SUB001</x:v>
      </x:c>
      <x:c r="D420" s="30" t="str">
        <x:v>Best Practice</x:v>
      </x:c>
      <x:c r="E420" s="30" t="str">
        <x:v>Internal control — no independent statutory force; apply the separately mapped underlying law where applicable</x:v>
      </x:c>
      <x:c r="F420" s="30" t="str">
        <x:v>Dual Verification for High-Risk Dispensing</x:v>
      </x:c>
      <x:c r="G420" s="30" t="str">
        <x:v>Dispensing of medicines classified as high-risk by the organization shall req...</x:v>
      </x:c>
      <x:c r="H420" s="30" t="str">
        <x:v>RETAIL</x:v>
      </x:c>
      <x:c r="I420" s="30" t="str">
        <x:v>Yes</x:v>
      </x:c>
      <x:c r="J420" s="30" t="str">
        <x:v>P-4 reparented to the canonical internal-control framework; approved sub-sector and Origin preserved.</x:v>
      </x:c>
    </x:row>
    <x:row r="421">
      <x:c r="A421" s="30" t="str">
        <x:v>RPROV145</x:v>
      </x:c>
      <x:c r="B421" s="30" t="str">
        <x:v>LAW099</x:v>
      </x:c>
      <x:c r="C421" s="30" t="str">
        <x:v>SUB001</x:v>
      </x:c>
      <x:c r="D421" s="30" t="str">
        <x:v>Best Practice</x:v>
      </x:c>
      <x:c r="E421" s="30" t="str">
        <x:v>Internal control — no independent statutory force; apply the separately mapped underlying law where applicable</x:v>
      </x:c>
      <x:c r="F421" s="30" t="str">
        <x:v>Regulatory Alert Response Procedure</x:v>
      </x:c>
      <x:c r="G421" s="30" t="str">
        <x:v>Safety communications received from regulatory authorities shall be reviewed,...</x:v>
      </x:c>
      <x:c r="H421" s="30" t="str">
        <x:v>RETAIL</x:v>
      </x:c>
      <x:c r="I421" s="30" t="str">
        <x:v>Yes</x:v>
      </x:c>
      <x:c r="J421" s="30" t="str">
        <x:v>P-4 reparented to the canonical internal-control framework; approved sub-sector and Origin preserved.</x:v>
      </x:c>
    </x:row>
    <x:row r="422">
      <x:c r="A422" s="30" t="str">
        <x:v>RPROV146</x:v>
      </x:c>
      <x:c r="B422" s="30" t="str">
        <x:v>LAW099</x:v>
      </x:c>
      <x:c r="C422" s="30" t="str">
        <x:v>SUB001</x:v>
      </x:c>
      <x:c r="D422" s="30" t="str">
        <x:v>Best Practice</x:v>
      </x:c>
      <x:c r="E422" s="30" t="str">
        <x:v>Internal control — no independent statutory force; apply the separately mapped underlying law where applicable</x:v>
      </x:c>
      <x:c r="F422" s="30" t="str">
        <x:v>Digital Payment Reconciliation</x:v>
      </x:c>
      <x:c r="G422" s="30" t="str">
        <x:v>Electronic payment transactions shall be reconciled daily with billing record...</x:v>
      </x:c>
      <x:c r="H422" s="30" t="str">
        <x:v>RETAIL</x:v>
      </x:c>
      <x:c r="I422" s="30" t="str">
        <x:v>Yes</x:v>
      </x:c>
      <x:c r="J422" s="30" t="str">
        <x:v>P-4 reparented to the canonical internal-control framework; approved sub-sector and Origin preserved.</x:v>
      </x:c>
    </x:row>
    <x:row r="423">
      <x:c r="A423" s="30" t="str">
        <x:v>RPROV147</x:v>
      </x:c>
      <x:c r="B423" s="30" t="str">
        <x:v>LAW099</x:v>
      </x:c>
      <x:c r="C423" s="30" t="str">
        <x:v>SUB001</x:v>
      </x:c>
      <x:c r="D423" s="30" t="str">
        <x:v>Best Practice</x:v>
      </x:c>
      <x:c r="E423" s="30" t="str">
        <x:v>Internal control — no independent statutory force; apply the separately mapped underlying law where applicable</x:v>
      </x:c>
      <x:c r="F423" s="30" t="str">
        <x:v>Escalation of Critical Inventory Exceptions</x:v>
      </x:c>
      <x:c r="G423" s="30" t="str">
        <x:v>Inventory shortages, suspected theft, unexplained losses, or repeated discrep...</x:v>
      </x:c>
      <x:c r="H423" s="30" t="str">
        <x:v>RETAIL</x:v>
      </x:c>
      <x:c r="I423" s="30" t="str">
        <x:v>Yes</x:v>
      </x:c>
      <x:c r="J423" s="30" t="str">
        <x:v>P-4 reparented to the canonical internal-control framework; approved sub-sector and Origin preserved.</x:v>
      </x:c>
    </x:row>
    <x:row r="424">
      <x:c r="A424" s="30" t="str">
        <x:v>RPROV148</x:v>
      </x:c>
      <x:c r="B424" s="30" t="str">
        <x:v>LAW099</x:v>
      </x:c>
      <x:c r="C424" s="30" t="str">
        <x:v>SUB001</x:v>
      </x:c>
      <x:c r="D424" s="30" t="str">
        <x:v>Best Practice</x:v>
      </x:c>
      <x:c r="E424" s="30" t="str">
        <x:v>Internal control — no independent statutory force; apply the separately mapped underlying law where applicable</x:v>
      </x:c>
      <x:c r="F424" s="30" t="str">
        <x:v>Monitoring of Privileged User Activities</x:v>
      </x:c>
      <x:c r="G424" s="30" t="str">
        <x:v>Activities performed using privileged or administrative user accounts shall b...</x:v>
      </x:c>
      <x:c r="H424" s="30" t="str">
        <x:v>RETAIL</x:v>
      </x:c>
      <x:c r="I424" s="30" t="str">
        <x:v>Yes</x:v>
      </x:c>
      <x:c r="J424" s="30" t="str">
        <x:v>P-4 reparented to the canonical internal-control framework; approved sub-sector and Origin preserved.</x:v>
      </x:c>
    </x:row>
    <x:row r="425">
      <x:c r="A425" s="30" t="str">
        <x:v>RPROV149</x:v>
      </x:c>
      <x:c r="B425" s="30" t="str">
        <x:v>LAW099</x:v>
      </x:c>
      <x:c r="C425" s="30" t="str">
        <x:v>SUB001</x:v>
      </x:c>
      <x:c r="D425" s="30" t="str">
        <x:v>Best Practice</x:v>
      </x:c>
      <x:c r="E425" s="30" t="str">
        <x:v>Internal control — no independent statutory force; apply the separately mapped underlying law where applicable</x:v>
      </x:c>
      <x:c r="F425" s="30" t="str">
        <x:v>Seasonal Public Health Information Display</x:v>
      </x:c>
      <x:c r="G425" s="30" t="str">
        <x:v>Retail pharmacies shall display current public health advisories relating to ...</x:v>
      </x:c>
      <x:c r="H425" s="30" t="str">
        <x:v>RETAIL</x:v>
      </x:c>
      <x:c r="I425" s="30" t="str">
        <x:v>Yes</x:v>
      </x:c>
      <x:c r="J425" s="30" t="str">
        <x:v>P-4 reparented to the canonical internal-control framework; approved sub-sector and Origin preserved.</x:v>
      </x:c>
    </x:row>
    <x:row r="426">
      <x:c r="A426" s="30" t="str">
        <x:v>RPROV150</x:v>
      </x:c>
      <x:c r="B426" s="30" t="str">
        <x:v>LAW099</x:v>
      </x:c>
      <x:c r="C426" s="30" t="str">
        <x:v>SUB001</x:v>
      </x:c>
      <x:c r="D426" s="30" t="str">
        <x:v>Best Practice</x:v>
      </x:c>
      <x:c r="E426" s="30" t="str">
        <x:v>Internal control — no independent statutory force; apply the separately mapped underlying law where applicable</x:v>
      </x:c>
      <x:c r="F426" s="30" t="str">
        <x:v>Retail Pharmacy Regulatory Assurance Programme</x:v>
      </x:c>
      <x:c r="G426" s="30" t="str">
        <x:v>Retail pharmacies shall establish a documented regulatory assurance programme...</x:v>
      </x:c>
      <x:c r="H426" s="30" t="str">
        <x:v>RETAIL</x:v>
      </x:c>
      <x:c r="I426" s="30" t="str">
        <x:v>Yes</x:v>
      </x:c>
      <x:c r="J426" s="30" t="str">
        <x:v>P-4 reparented to the canonical internal-control framework; approved sub-sector and Origin preserved.</x:v>
      </x:c>
    </x:row>
    <x:row r="427">
      <x:c r="A427" s="30" t="str">
        <x:v>RPROV151</x:v>
      </x:c>
      <x:c r="B427" s="30" t="str">
        <x:v>LAW099</x:v>
      </x:c>
      <x:c r="C427" s="30" t="str">
        <x:v>SUB001</x:v>
      </x:c>
      <x:c r="D427" s="30" t="str">
        <x:v>Best Practice</x:v>
      </x:c>
      <x:c r="E427" s="30" t="str">
        <x:v>Internal control — no independent statutory force; apply the separately mapped underlying law where applicable</x:v>
      </x:c>
      <x:c r="F427" s="30" t="str">
        <x:v>Daily Review of Controlled Prescription Register</x:v>
      </x:c>
      <x:c r="G427" s="30" t="str">
        <x:v>The responsible pharmacist shall review the controlled prescription register ...</x:v>
      </x:c>
      <x:c r="H427" s="30" t="str">
        <x:v>RETAIL</x:v>
      </x:c>
      <x:c r="I427" s="30" t="str">
        <x:v>Yes</x:v>
      </x:c>
      <x:c r="J427" s="30" t="str">
        <x:v>P-4 reparented to the canonical internal-control framework; approved sub-sector and Origin preserved.</x:v>
      </x:c>
    </x:row>
    <x:row r="428">
      <x:c r="A428" s="30" t="str">
        <x:v>RPROV152</x:v>
      </x:c>
      <x:c r="B428" s="30" t="str">
        <x:v>LAW099</x:v>
      </x:c>
      <x:c r="C428" s="30" t="str">
        <x:v>SUB001</x:v>
      </x:c>
      <x:c r="D428" s="30" t="str">
        <x:v>Best Practice</x:v>
      </x:c>
      <x:c r="E428" s="30" t="str">
        <x:v>Internal control — no independent statutory force; apply the separately mapped underlying law where applicable</x:v>
      </x:c>
      <x:c r="F428" s="30" t="str">
        <x:v>Duplicate Prescription Verification</x:v>
      </x:c>
      <x:c r="G428" s="30" t="str">
        <x:v>Pharmacy personnel shall verify whether a prescription has already been dispe...</x:v>
      </x:c>
      <x:c r="H428" s="30" t="str">
        <x:v>RETAIL</x:v>
      </x:c>
      <x:c r="I428" s="30" t="str">
        <x:v>Yes</x:v>
      </x:c>
      <x:c r="J428" s="30" t="str">
        <x:v>P-4 reparented to the canonical internal-control framework; approved sub-sector and Origin preserved.</x:v>
      </x:c>
    </x:row>
    <x:row r="429">
      <x:c r="A429" s="30" t="str">
        <x:v>RPROV153</x:v>
      </x:c>
      <x:c r="B429" s="30" t="str">
        <x:v>LAW099</x:v>
      </x:c>
      <x:c r="C429" s="30" t="str">
        <x:v>SUB001</x:v>
      </x:c>
      <x:c r="D429" s="30" t="str">
        <x:v>Best Practice</x:v>
      </x:c>
      <x:c r="E429" s="30" t="str">
        <x:v>Internal control — no independent statutory force; apply the separately mapped underlying law where applicable</x:v>
      </x:c>
      <x:c r="F429" s="30" t="str">
        <x:v>Digital Dispensing Workflow Audit</x:v>
      </x:c>
      <x:c r="G429" s="30" t="str">
        <x:v>Electronic dispensing workflows shall maintain complete audit trails for pres...</x:v>
      </x:c>
      <x:c r="H429" s="30" t="str">
        <x:v>RETAIL</x:v>
      </x:c>
      <x:c r="I429" s="30" t="str">
        <x:v>Yes</x:v>
      </x:c>
      <x:c r="J429" s="30" t="str">
        <x:v>P-4 reparented to the canonical internal-control framework; approved sub-sector and Origin preserved.</x:v>
      </x:c>
    </x:row>
    <x:row r="430">
      <x:c r="A430" s="30" t="str">
        <x:v>RPROV154</x:v>
      </x:c>
      <x:c r="B430" s="30" t="str">
        <x:v>LAW099</x:v>
      </x:c>
      <x:c r="C430" s="30" t="str">
        <x:v>SUB001</x:v>
      </x:c>
      <x:c r="D430" s="30" t="str">
        <x:v>Best Practice</x:v>
      </x:c>
      <x:c r="E430" s="30" t="str">
        <x:v>Internal control — no independent statutory force; apply the separately mapped underlying law where applicable</x:v>
      </x:c>
      <x:c r="F430" s="30" t="str">
        <x:v>Final Medicine Quantity Verification</x:v>
      </x:c>
      <x:c r="G430" s="30" t="str">
        <x:v>Before medicines are handed over to customers, pharmacy personnel shall verif...</x:v>
      </x:c>
      <x:c r="H430" s="30" t="str">
        <x:v>RETAIL</x:v>
      </x:c>
      <x:c r="I430" s="30" t="str">
        <x:v>Yes</x:v>
      </x:c>
      <x:c r="J430" s="30" t="str">
        <x:v>P-4 reparented to the canonical internal-control framework; approved sub-sector and Origin preserved.</x:v>
      </x:c>
    </x:row>
    <x:row r="431">
      <x:c r="A431" s="30" t="str">
        <x:v>RPROV155</x:v>
      </x:c>
      <x:c r="B431" s="30" t="str">
        <x:v>LAW099</x:v>
      </x:c>
      <x:c r="C431" s="30" t="str">
        <x:v>SUB001</x:v>
      </x:c>
      <x:c r="D431" s="30" t="str">
        <x:v>Best Practice</x:v>
      </x:c>
      <x:c r="E431" s="30" t="str">
        <x:v>Internal control — no independent statutory force; apply the separately mapped underlying law where applicable</x:v>
      </x:c>
      <x:c r="F431" s="30" t="str">
        <x:v>Inspection Facilitation Procedure</x:v>
      </x:c>
      <x:c r="G431" s="30" t="str">
        <x:v>During regulatory inspections, pharmacies shall ensure timely production of s...</x:v>
      </x:c>
      <x:c r="H431" s="30" t="str">
        <x:v>RETAIL</x:v>
      </x:c>
      <x:c r="I431" s="30" t="str">
        <x:v>Yes</x:v>
      </x:c>
      <x:c r="J431" s="30" t="str">
        <x:v>P-4 reparented to the canonical internal-control framework; approved sub-sector and Origin preserved.</x:v>
      </x:c>
    </x:row>
    <x:row r="432">
      <x:c r="A432" s="30" t="str">
        <x:v>RPROV156</x:v>
      </x:c>
      <x:c r="B432" s="30" t="str">
        <x:v>LAW099</x:v>
      </x:c>
      <x:c r="C432" s="30" t="str">
        <x:v>SUB001</x:v>
      </x:c>
      <x:c r="D432" s="30" t="str">
        <x:v>Best Practice</x:v>
      </x:c>
      <x:c r="E432" s="30" t="str">
        <x:v>Internal control — no independent statutory force; apply the separately mapped underlying law where applicable</x:v>
      </x:c>
      <x:c r="F432" s="30" t="str">
        <x:v>Customer Self-Service Kiosk Governance</x:v>
      </x:c>
      <x:c r="G432" s="30" t="str">
        <x:v>Where self-service kiosks are deployed for order placement or prescription su...</x:v>
      </x:c>
      <x:c r="H432" s="30" t="str">
        <x:v>RETAIL</x:v>
      </x:c>
      <x:c r="I432" s="30" t="str">
        <x:v>Yes</x:v>
      </x:c>
      <x:c r="J432" s="30" t="str">
        <x:v>P-4 reparented to the canonical internal-control framework; approved sub-sector and Origin preserved.</x:v>
      </x:c>
    </x:row>
    <x:row r="433">
      <x:c r="A433" s="30" t="str">
        <x:v>RPROV157</x:v>
      </x:c>
      <x:c r="B433" s="30" t="str">
        <x:v>LAW099</x:v>
      </x:c>
      <x:c r="C433" s="30" t="str">
        <x:v>SUB001</x:v>
      </x:c>
      <x:c r="D433" s="30" t="str">
        <x:v>Best Practice</x:v>
      </x:c>
      <x:c r="E433" s="30" t="str">
        <x:v>Internal control — no independent statutory force; apply the separately mapped underlying law where applicable</x:v>
      </x:c>
      <x:c r="F433" s="30" t="str">
        <x:v>Root Cause Analysis for Inventory Loss</x:v>
      </x:c>
      <x:c r="G433" s="30" t="str">
        <x:v>Material inventory losses shall undergo documented root cause analysis to ide...</x:v>
      </x:c>
      <x:c r="H433" s="30" t="str">
        <x:v>RETAIL</x:v>
      </x:c>
      <x:c r="I433" s="30" t="str">
        <x:v>Yes</x:v>
      </x:c>
      <x:c r="J433" s="30" t="str">
        <x:v>P-4 reparented to the canonical internal-control framework; approved sub-sector and Origin preserved.</x:v>
      </x:c>
    </x:row>
    <x:row r="434">
      <x:c r="A434" s="30" t="str">
        <x:v>RPROV158</x:v>
      </x:c>
      <x:c r="B434" s="30" t="str">
        <x:v>LAW099</x:v>
      </x:c>
      <x:c r="C434" s="30" t="str">
        <x:v>SUB001</x:v>
      </x:c>
      <x:c r="D434" s="30" t="str">
        <x:v>Best Practice</x:v>
      </x:c>
      <x:c r="E434" s="30" t="str">
        <x:v>Internal control — no independent statutory force; apply the separately mapped underlying law where applicable</x:v>
      </x:c>
      <x:c r="F434" s="30" t="str">
        <x:v>Emergency Data Restoration Procedure</x:v>
      </x:c>
      <x:c r="G434" s="30" t="str">
        <x:v>Pharmacy systems shall have documented emergency data restoration procedures,...</x:v>
      </x:c>
      <x:c r="H434" s="30" t="str">
        <x:v>RETAIL</x:v>
      </x:c>
      <x:c r="I434" s="30" t="str">
        <x:v>Yes</x:v>
      </x:c>
      <x:c r="J434" s="30" t="str">
        <x:v>P-4 reparented to the canonical internal-control framework; approved sub-sector and Origin preserved.</x:v>
      </x:c>
    </x:row>
    <x:row r="435">
      <x:c r="A435" s="30" t="str">
        <x:v>RPROV159</x:v>
      </x:c>
      <x:c r="B435" s="30" t="str">
        <x:v>LAW099</x:v>
      </x:c>
      <x:c r="C435" s="30" t="str">
        <x:v>SUB001</x:v>
      </x:c>
      <x:c r="D435" s="30" t="str">
        <x:v>Best Practice</x:v>
      </x:c>
      <x:c r="E435" s="30" t="str">
        <x:v>Internal control — no independent statutory force; apply the separately mapped underlying law where applicable</x:v>
      </x:c>
      <x:c r="F435" s="30" t="str">
        <x:v>Community Health Outreach Programme</x:v>
      </x:c>
      <x:c r="G435" s="30" t="str">
        <x:v>Retail pharmacies conducting health awareness events shall obtain necessary a...</x:v>
      </x:c>
      <x:c r="H435" s="30" t="str">
        <x:v>RETAIL</x:v>
      </x:c>
      <x:c r="I435" s="30" t="str">
        <x:v>Yes</x:v>
      </x:c>
      <x:c r="J435" s="30" t="str">
        <x:v>P-4 reparented to the canonical internal-control framework; approved sub-sector and Origin preserved.</x:v>
      </x:c>
    </x:row>
    <x:row r="436">
      <x:c r="A436" s="30" t="str">
        <x:v>RPROV160</x:v>
      </x:c>
      <x:c r="B436" s="30" t="str">
        <x:v>LAW099</x:v>
      </x:c>
      <x:c r="C436" s="30" t="str">
        <x:v>SUB001</x:v>
      </x:c>
      <x:c r="D436" s="30" t="str">
        <x:v>Best Practice</x:v>
      </x:c>
      <x:c r="E436" s="30" t="str">
        <x:v>Internal control — no independent statutory force; apply the separately mapped underlying law where applicable</x:v>
      </x:c>
      <x:c r="F436" s="30" t="str">
        <x:v>Enterprise Pharmacy Compliance Monitoring Framework</x:v>
      </x:c>
      <x:c r="G436" s="30" t="str">
        <x:v>Retail pharmacies shall establish an enterprise compliance monitoring framewo...</x:v>
      </x:c>
      <x:c r="H436" s="30" t="str">
        <x:v>RETAIL</x:v>
      </x:c>
      <x:c r="I436" s="30" t="str">
        <x:v>Yes</x:v>
      </x:c>
      <x:c r="J436" s="30" t="str">
        <x:v>P-4 reparented to the canonical internal-control framework; approved sub-sector and Origin preserved.</x:v>
      </x:c>
    </x:row>
    <x:row r="437">
      <x:c r="A437" s="30" t="str">
        <x:v>RPROV161</x:v>
      </x:c>
      <x:c r="B437" s="30" t="str">
        <x:v>LAW099</x:v>
      </x:c>
      <x:c r="C437" s="30" t="str">
        <x:v>SUB001</x:v>
      </x:c>
      <x:c r="D437" s="30" t="str">
        <x:v>Best Practice</x:v>
      </x:c>
      <x:c r="E437" s="30" t="str">
        <x:v>Internal control — no independent statutory force; apply the separately mapped underlying law where applicable</x:v>
      </x:c>
      <x:c r="F437" s="30" t="str">
        <x:v>Suspected Prescription Fraud Management</x:v>
      </x:c>
      <x:c r="G437" s="30" t="str">
        <x:v>The pharmacy shall establish procedures to identify, document, investigate, a...</x:v>
      </x:c>
      <x:c r="H437" s="30" t="str">
        <x:v>RETAIL</x:v>
      </x:c>
      <x:c r="I437" s="30" t="str">
        <x:v>Yes</x:v>
      </x:c>
      <x:c r="J437" s="30" t="str">
        <x:v>P-4 reparented to the canonical internal-control framework; approved sub-sector and Origin preserved.</x:v>
      </x:c>
    </x:row>
    <x:row r="438">
      <x:c r="A438" s="30" t="str">
        <x:v>RPROV162</x:v>
      </x:c>
      <x:c r="B438" s="30" t="str">
        <x:v>LAW099</x:v>
      </x:c>
      <x:c r="C438" s="30" t="str">
        <x:v>SUB001</x:v>
      </x:c>
      <x:c r="D438" s="30" t="str">
        <x:v>Best Practice</x:v>
      </x:c>
      <x:c r="E438" s="30" t="str">
        <x:v>Internal control — no independent statutory force; apply the separately mapped underlying law where applicable</x:v>
      </x:c>
      <x:c r="F438" s="30" t="str">
        <x:v>Pharmacy Shift Handover Procedure</x:v>
      </x:c>
      <x:c r="G438" s="30" t="str">
        <x:v>At every shift change, pharmacists shall perform a documented handover coveri...</x:v>
      </x:c>
      <x:c r="H438" s="30" t="str">
        <x:v>RETAIL</x:v>
      </x:c>
      <x:c r="I438" s="30" t="str">
        <x:v>Yes</x:v>
      </x:c>
      <x:c r="J438" s="30" t="str">
        <x:v>P-4 reparented to the canonical internal-control framework; approved sub-sector and Origin preserved.</x:v>
      </x:c>
    </x:row>
    <x:row r="439">
      <x:c r="A439" s="30" t="str">
        <x:v>RPROV163</x:v>
      </x:c>
      <x:c r="B439" s="30" t="str">
        <x:v>LAW099</x:v>
      </x:c>
      <x:c r="C439" s="30" t="str">
        <x:v>SUB001</x:v>
      </x:c>
      <x:c r="D439" s="30" t="str">
        <x:v>Best Practice</x:v>
      </x:c>
      <x:c r="E439" s="30" t="str">
        <x:v>Internal control — no independent statutory force; apply the separately mapped underlying law where applicable</x:v>
      </x:c>
      <x:c r="F439" s="30" t="str">
        <x:v>Cloud-Based Pharmacy Data Governance</x:v>
      </x:c>
      <x:c r="G439" s="30" t="str">
        <x:v>Where pharmacy information is stored in cloud infrastructure, the organizatio...</x:v>
      </x:c>
      <x:c r="H439" s="30" t="str">
        <x:v>RETAIL</x:v>
      </x:c>
      <x:c r="I439" s="30" t="str">
        <x:v>Yes</x:v>
      </x:c>
      <x:c r="J439" s="30" t="str">
        <x:v>P-4 reparented to the canonical internal-control framework; approved sub-sector and Origin preserved.</x:v>
      </x:c>
    </x:row>
    <x:row r="440">
      <x:c r="A440" s="30" t="str">
        <x:v>RPROV164</x:v>
      </x:c>
      <x:c r="B440" s="30" t="str">
        <x:v>LAW099</x:v>
      </x:c>
      <x:c r="C440" s="30" t="str">
        <x:v>SUB001</x:v>
      </x:c>
      <x:c r="D440" s="30" t="str">
        <x:v>Best Practice</x:v>
      </x:c>
      <x:c r="E440" s="30" t="str">
        <x:v>Internal control — no independent statutory force; apply the separately mapped underlying law where applicable</x:v>
      </x:c>
      <x:c r="F440" s="30" t="str">
        <x:v>Verification Before Final Packaging</x:v>
      </x:c>
      <x:c r="G440" s="30" t="str">
        <x:v>Before medicines are packaged for customer delivery or collection, pharmacy p...</x:v>
      </x:c>
      <x:c r="H440" s="30" t="str">
        <x:v>RETAIL</x:v>
      </x:c>
      <x:c r="I440" s="30" t="str">
        <x:v>Yes</x:v>
      </x:c>
      <x:c r="J440" s="30" t="str">
        <x:v>P-4 reparented to the canonical internal-control framework; approved sub-sector and Origin preserved.</x:v>
      </x:c>
    </x:row>
    <x:row r="441">
      <x:c r="A441" s="30" t="str">
        <x:v>RPROV165</x:v>
      </x:c>
      <x:c r="B441" s="30" t="str">
        <x:v>LAW099</x:v>
      </x:c>
      <x:c r="C441" s="30" t="str">
        <x:v>SUB001</x:v>
      </x:c>
      <x:c r="D441" s="30" t="str">
        <x:v>Best Practice</x:v>
      </x:c>
      <x:c r="E441" s="30" t="str">
        <x:v>Internal control — no independent statutory force; apply the separately mapped underlying law where applicable</x:v>
      </x:c>
      <x:c r="F441" s="30" t="str">
        <x:v>Regulatory Observation Closure Management</x:v>
      </x:c>
      <x:c r="G441" s="30" t="str">
        <x:v>Observations raised during inspections shall be assigned to responsible perso...</x:v>
      </x:c>
      <x:c r="H441" s="30" t="str">
        <x:v>RETAIL</x:v>
      </x:c>
      <x:c r="I441" s="30" t="str">
        <x:v>Yes</x:v>
      </x:c>
      <x:c r="J441" s="30" t="str">
        <x:v>P-4 reparented to the canonical internal-control framework; approved sub-sector and Origin preserved.</x:v>
      </x:c>
    </x:row>
    <x:row r="442">
      <x:c r="A442" s="30" t="str">
        <x:v>RPROV166</x:v>
      </x:c>
      <x:c r="B442" s="30" t="str">
        <x:v>LAW099</x:v>
      </x:c>
      <x:c r="C442" s="30" t="str">
        <x:v>SUB001</x:v>
      </x:c>
      <x:c r="D442" s="30" t="str">
        <x:v>Best Practice</x:v>
      </x:c>
      <x:c r="E442" s="30" t="str">
        <x:v>Internal control — no independent statutory force; apply the separately mapped underlying law where applicable</x:v>
      </x:c>
      <x:c r="F442" s="30" t="str">
        <x:v>Customer Profile Management</x:v>
      </x:c>
      <x:c r="G442" s="30" t="str">
        <x:v>Where customer profiles are maintained electronically, pharmacies shall ensur...</x:v>
      </x:c>
      <x:c r="H442" s="30" t="str">
        <x:v>RETAIL</x:v>
      </x:c>
      <x:c r="I442" s="30" t="str">
        <x:v>Yes</x:v>
      </x:c>
      <x:c r="J442" s="30" t="str">
        <x:v>P-4 reparented to the canonical internal-control framework; approved sub-sector and Origin preserved.</x:v>
      </x:c>
    </x:row>
    <x:row r="443">
      <x:c r="A443" s="30" t="str">
        <x:v>RPROV167</x:v>
      </x:c>
      <x:c r="B443" s="30" t="str">
        <x:v>LAW099</x:v>
      </x:c>
      <x:c r="C443" s="30" t="str">
        <x:v>SUB001</x:v>
      </x:c>
      <x:c r="D443" s="30" t="str">
        <x:v>Best Practice</x:v>
      </x:c>
      <x:c r="E443" s="30" t="str">
        <x:v>Internal control — no independent statutory force; apply the separately mapped underlying law where applicable</x:v>
      </x:c>
      <x:c r="F443" s="30" t="str">
        <x:v>Inventory Accuracy Performance Monitoring</x:v>
      </x:c>
      <x:c r="G443" s="30" t="str">
        <x:v>Inventory accuracy shall be measured using defined KPIs, monitored periodical...</x:v>
      </x:c>
      <x:c r="H443" s="30" t="str">
        <x:v>RETAIL</x:v>
      </x:c>
      <x:c r="I443" s="30" t="str">
        <x:v>Yes</x:v>
      </x:c>
      <x:c r="J443" s="30" t="str">
        <x:v>P-4 reparented to the canonical internal-control framework; approved sub-sector and Origin preserved.</x:v>
      </x:c>
    </x:row>
    <x:row r="444">
      <x:c r="A444" s="30" t="str">
        <x:v>RPROV168</x:v>
      </x:c>
      <x:c r="B444" s="30" t="str">
        <x:v>LAW099</x:v>
      </x:c>
      <x:c r="C444" s="30" t="str">
        <x:v>SUB001</x:v>
      </x:c>
      <x:c r="D444" s="30" t="str">
        <x:v>Best Practice</x:v>
      </x:c>
      <x:c r="E444" s="30" t="str">
        <x:v>Internal control — no independent statutory force; apply the separately mapped underlying law where applicable</x:v>
      </x:c>
      <x:c r="F444" s="30" t="str">
        <x:v>Pharmacy System Security Updates</x:v>
      </x:c>
      <x:c r="G444" s="30" t="str">
        <x:v>Security patches addressing operating systems, pharmacy software, databases, ...</x:v>
      </x:c>
      <x:c r="H444" s="30" t="str">
        <x:v>RETAIL</x:v>
      </x:c>
      <x:c r="I444" s="30" t="str">
        <x:v>Yes</x:v>
      </x:c>
      <x:c r="J444" s="30" t="str">
        <x:v>P-4 reparented to the canonical internal-control framework; approved sub-sector and Origin preserved.</x:v>
      </x:c>
    </x:row>
    <x:row r="445">
      <x:c r="A445" s="30" t="str">
        <x:v>RPROV169</x:v>
      </x:c>
      <x:c r="B445" s="30" t="str">
        <x:v>LAW099</x:v>
      </x:c>
      <x:c r="C445" s="30" t="str">
        <x:v>SUB001</x:v>
      </x:c>
      <x:c r="D445" s="30" t="str">
        <x:v>Best Practice</x:v>
      </x:c>
      <x:c r="E445" s="30" t="str">
        <x:v>Internal control — no independent statutory force; apply the separately mapped underlying law where applicable</x:v>
      </x:c>
      <x:c r="F445" s="30" t="str">
        <x:v>Government Health Campaign Participation</x:v>
      </x:c>
      <x:c r="G445" s="30" t="str">
        <x:v>Participation in government-sponsored health awareness programmes shall be do...</x:v>
      </x:c>
      <x:c r="H445" s="30" t="str">
        <x:v>RETAIL</x:v>
      </x:c>
      <x:c r="I445" s="30" t="str">
        <x:v>Yes</x:v>
      </x:c>
      <x:c r="J445" s="30" t="str">
        <x:v>P-4 reparented to the canonical internal-control framework; approved sub-sector and Origin preserved.</x:v>
      </x:c>
    </x:row>
    <x:row r="446">
      <x:c r="A446" s="30" t="str">
        <x:v>RPROV170</x:v>
      </x:c>
      <x:c r="B446" s="30" t="str">
        <x:v>LAW099</x:v>
      </x:c>
      <x:c r="C446" s="30" t="str">
        <x:v>SUB001</x:v>
      </x:c>
      <x:c r="D446" s="30" t="str">
        <x:v>Best Practice</x:v>
      </x:c>
      <x:c r="E446" s="30" t="str">
        <x:v>Internal control — no independent statutory force; apply the separately mapped underlying law where applicable</x:v>
      </x:c>
      <x:c r="F446" s="30" t="str">
        <x:v>Retail Pharmacy Compliance Governance Framework</x:v>
      </x:c>
      <x:c r="G446" s="30" t="str">
        <x:v>The pharmacy shall maintain a documented governance framework defining compli...</x:v>
      </x:c>
      <x:c r="H446" s="30" t="str">
        <x:v>RETAIL</x:v>
      </x:c>
      <x:c r="I446" s="30" t="str">
        <x:v>Yes</x:v>
      </x:c>
      <x:c r="J446" s="30" t="str">
        <x:v>P-4 reparented to the canonical internal-control framework; approved sub-sector and Origin preserved.</x:v>
      </x:c>
    </x:row>
    <x:row r="447">
      <x:c r="A447" s="30" t="str">
        <x:v>RPROV171</x:v>
      </x:c>
      <x:c r="B447" s="30" t="str">
        <x:v>LAW099</x:v>
      </x:c>
      <x:c r="C447" s="30" t="str">
        <x:v>SUB001</x:v>
      </x:c>
      <x:c r="D447" s="30" t="str">
        <x:v>Best Practice</x:v>
      </x:c>
      <x:c r="E447" s="30" t="str">
        <x:v>Internal control — no independent statutory force; apply the separately mapped underlying law where applicable</x:v>
      </x:c>
      <x:c r="F447" s="30" t="str">
        <x:v>Prescription Exception Register</x:v>
      </x:c>
      <x:c r="G447" s="30" t="str">
        <x:v>All prescription exceptions including missing information, invalid prescripti...</x:v>
      </x:c>
      <x:c r="H447" s="30" t="str">
        <x:v>RETAIL</x:v>
      </x:c>
      <x:c r="I447" s="30" t="str">
        <x:v>Yes</x:v>
      </x:c>
      <x:c r="J447" s="30" t="str">
        <x:v>P-4 reparented to the canonical internal-control framework; approved sub-sector and Origin preserved.</x:v>
      </x:c>
    </x:row>
    <x:row r="448">
      <x:c r="A448" s="30" t="str">
        <x:v>RPROV172</x:v>
      </x:c>
      <x:c r="B448" s="30" t="str">
        <x:v>LAW099</x:v>
      </x:c>
      <x:c r="C448" s="30" t="str">
        <x:v>SUB001</x:v>
      </x:c>
      <x:c r="D448" s="30" t="str">
        <x:v>Best Practice</x:v>
      </x:c>
      <x:c r="E448" s="30" t="str">
        <x:v>Internal control — no independent statutory force; apply the separately mapped underlying law where applicable</x:v>
      </x:c>
      <x:c r="F448" s="30" t="str">
        <x:v>Alternate Pharmacist Coverage</x:v>
      </x:c>
      <x:c r="G448" s="30" t="str">
        <x:v>The pharmacy shall maintain documented arrangements to ensure uninterrupted a...</x:v>
      </x:c>
      <x:c r="H448" s="30" t="str">
        <x:v>RETAIL</x:v>
      </x:c>
      <x:c r="I448" s="30" t="str">
        <x:v>Yes</x:v>
      </x:c>
      <x:c r="J448" s="30" t="str">
        <x:v>P-4 reparented to the canonical internal-control framework; approved sub-sector and Origin preserved.</x:v>
      </x:c>
    </x:row>
    <x:row r="449">
      <x:c r="A449" s="30" t="str">
        <x:v>RPROV173</x:v>
      </x:c>
      <x:c r="B449" s="30" t="str">
        <x:v>LAW099</x:v>
      </x:c>
      <x:c r="C449" s="30" t="str">
        <x:v>SUB001</x:v>
      </x:c>
      <x:c r="D449" s="30" t="str">
        <x:v>Best Practice</x:v>
      </x:c>
      <x:c r="E449" s="30" t="str">
        <x:v>Internal control — no independent statutory force; apply the separately mapped underlying law where applicable</x:v>
      </x:c>
      <x:c r="F449" s="30" t="str">
        <x:v>Customer Communication Audit Log</x:v>
      </x:c>
      <x:c r="G449" s="30" t="str">
        <x:v>All automated customer notifications relating to prescriptions, reservations,...</x:v>
      </x:c>
      <x:c r="H449" s="30" t="str">
        <x:v>RETAIL</x:v>
      </x:c>
      <x:c r="I449" s="30" t="str">
        <x:v>Yes</x:v>
      </x:c>
      <x:c r="J449" s="30" t="str">
        <x:v>P-4 reparented to the canonical internal-control framework; approved sub-sector and Origin preserved.</x:v>
      </x:c>
    </x:row>
    <x:row r="450">
      <x:c r="A450" s="30" t="str">
        <x:v>RPROV174</x:v>
      </x:c>
      <x:c r="B450" s="30" t="str">
        <x:v>LAW099</x:v>
      </x:c>
      <x:c r="C450" s="30" t="str">
        <x:v>SUB001</x:v>
      </x:c>
      <x:c r="D450" s="30" t="str">
        <x:v>Best Practice</x:v>
      </x:c>
      <x:c r="E450" s="30" t="str">
        <x:v>Internal control — no independent statutory force; apply the separately mapped underlying law where applicable</x:v>
      </x:c>
      <x:c r="F450" s="30" t="str">
        <x:v>Controlled Access to Refrigerated Medicines</x:v>
      </x:c>
      <x:c r="G450" s="30" t="str">
        <x:v>Access to refrigerated medicine storage shall be restricted to authorized per...</x:v>
      </x:c>
      <x:c r="H450" s="30" t="str">
        <x:v>RETAIL</x:v>
      </x:c>
      <x:c r="I450" s="30" t="str">
        <x:v>Yes</x:v>
      </x:c>
      <x:c r="J450" s="30" t="str">
        <x:v>P-4 reparented to the canonical internal-control framework; approved sub-sector and Origin preserved.</x:v>
      </x:c>
    </x:row>
    <x:row r="451">
      <x:c r="A451" s="30" t="str">
        <x:v>RPROV175</x:v>
      </x:c>
      <x:c r="B451" s="30" t="str">
        <x:v>LAW099</x:v>
      </x:c>
      <x:c r="C451" s="30" t="str">
        <x:v>SUB001</x:v>
      </x:c>
      <x:c r="D451" s="30" t="str">
        <x:v>Best Practice</x:v>
      </x:c>
      <x:c r="E451" s="30" t="str">
        <x:v>Internal control — no independent statutory force; apply the separately mapped underlying law where applicable</x:v>
      </x:c>
      <x:c r="F451" s="30" t="str">
        <x:v>Pharmacy Emergency Contact Register</x:v>
      </x:c>
      <x:c r="G451" s="30" t="str">
        <x:v>The pharmacy shall maintain an up-to-date emergency contact register includin...</x:v>
      </x:c>
      <x:c r="H451" s="30" t="str">
        <x:v>RETAIL</x:v>
      </x:c>
      <x:c r="I451" s="30" t="str">
        <x:v>Yes</x:v>
      </x:c>
      <x:c r="J451" s="30" t="str">
        <x:v>P-4 reparented to the canonical internal-control framework; approved sub-sector and Origin preserved.</x:v>
      </x:c>
    </x:row>
    <x:row r="452">
      <x:c r="A452" s="30" t="str">
        <x:v>RPROV176</x:v>
      </x:c>
      <x:c r="B452" s="30" t="str">
        <x:v>LAW099</x:v>
      </x:c>
      <x:c r="C452" s="30" t="str">
        <x:v>SUB001</x:v>
      </x:c>
      <x:c r="D452" s="30" t="str">
        <x:v>Best Practice</x:v>
      </x:c>
      <x:c r="E452" s="30" t="str">
        <x:v>Internal control — no independent statutory force; apply the separately mapped underlying law where applicable</x:v>
      </x:c>
      <x:c r="F452" s="30" t="str">
        <x:v>Medicine Collection Appointment Tracking</x:v>
      </x:c>
      <x:c r="G452" s="30" t="str">
        <x:v>Digital appointment systems used for medicine collection shall record booking...</x:v>
      </x:c>
      <x:c r="H452" s="30" t="str">
        <x:v>RETAIL</x:v>
      </x:c>
      <x:c r="I452" s="30" t="str">
        <x:v>Yes</x:v>
      </x:c>
      <x:c r="J452" s="30" t="str">
        <x:v>P-4 reparented to the canonical internal-control framework; approved sub-sector and Origin preserved.</x:v>
      </x:c>
    </x:row>
    <x:row r="453">
      <x:c r="A453" s="30" t="str">
        <x:v>RPROV177</x:v>
      </x:c>
      <x:c r="B453" s="30" t="str">
        <x:v>LAW099</x:v>
      </x:c>
      <x:c r="C453" s="30" t="str">
        <x:v>SUB001</x:v>
      </x:c>
      <x:c r="D453" s="30" t="str">
        <x:v>Best Practice</x:v>
      </x:c>
      <x:c r="E453" s="30" t="str">
        <x:v>Internal control — no independent statutory force; apply the separately mapped underlying law where applicable</x:v>
      </x:c>
      <x:c r="F453" s="30" t="str">
        <x:v>Periodic Inventory Accuracy Audit</x:v>
      </x:c>
      <x:c r="G453" s="30" t="str">
        <x:v>Inventory accuracy audits shall be performed at defined intervals using sampl...</x:v>
      </x:c>
      <x:c r="H453" s="30" t="str">
        <x:v>RETAIL</x:v>
      </x:c>
      <x:c r="I453" s="30" t="str">
        <x:v>Yes</x:v>
      </x:c>
      <x:c r="J453" s="30" t="str">
        <x:v>P-4 reparented to the canonical internal-control framework; approved sub-sector and Origin preserved.</x:v>
      </x:c>
    </x:row>
    <x:row r="454">
      <x:c r="A454" s="30" t="str">
        <x:v>RPROV178</x:v>
      </x:c>
      <x:c r="B454" s="30" t="str">
        <x:v>LAW099</x:v>
      </x:c>
      <x:c r="C454" s="30" t="str">
        <x:v>SUB001</x:v>
      </x:c>
      <x:c r="D454" s="30" t="str">
        <x:v>Best Practice</x:v>
      </x:c>
      <x:c r="E454" s="30" t="str">
        <x:v>Internal control — no independent statutory force; apply the separately mapped underlying law where applicable</x:v>
      </x:c>
      <x:c r="F454" s="30" t="str">
        <x:v>Pharmacy System Configuration Control</x:v>
      </x:c>
      <x:c r="G454" s="30" t="str">
        <x:v>Changes to pharmacy system configuration affecting dispensing, billing, inven...</x:v>
      </x:c>
      <x:c r="H454" s="30" t="str">
        <x:v>RETAIL</x:v>
      </x:c>
      <x:c r="I454" s="30" t="str">
        <x:v>Yes</x:v>
      </x:c>
      <x:c r="J454" s="30" t="str">
        <x:v>P-4 reparented to the canonical internal-control framework; approved sub-sector and Origin preserved.</x:v>
      </x:c>
    </x:row>
    <x:row r="455">
      <x:c r="A455" s="30" t="str">
        <x:v>RPROV179</x:v>
      </x:c>
      <x:c r="B455" s="30" t="str">
        <x:v>LAW099</x:v>
      </x:c>
      <x:c r="C455" s="30" t="str">
        <x:v>SUB001</x:v>
      </x:c>
      <x:c r="D455" s="30" t="str">
        <x:v>Best Practice</x:v>
      </x:c>
      <x:c r="E455" s="30" t="str">
        <x:v>Internal control — no independent statutory force; apply the separately mapped underlying law where applicable</x:v>
      </x:c>
      <x:c r="F455" s="30" t="str">
        <x:v>Distribution of Approved Health Education Material</x:v>
      </x:c>
      <x:c r="G455" s="30" t="str">
        <x:v>Only approved and current medicine information, disease prevention guidance, ...</x:v>
      </x:c>
      <x:c r="H455" s="30" t="str">
        <x:v>RETAIL</x:v>
      </x:c>
      <x:c r="I455" s="30" t="str">
        <x:v>Yes</x:v>
      </x:c>
      <x:c r="J455" s="30" t="str">
        <x:v>P-4 reparented to the canonical internal-control framework; approved sub-sector and Origin preserved.</x:v>
      </x:c>
    </x:row>
    <x:row r="456">
      <x:c r="A456" s="30" t="str">
        <x:v>RPROV180</x:v>
      </x:c>
      <x:c r="B456" s="30" t="str">
        <x:v>LAW099</x:v>
      </x:c>
      <x:c r="C456" s="30" t="str">
        <x:v>SUB001</x:v>
      </x:c>
      <x:c r="D456" s="30" t="str">
        <x:v>Best Practice</x:v>
      </x:c>
      <x:c r="E456" s="30" t="str">
        <x:v>Internal control — no independent statutory force; apply the separately mapped underlying law where applicable</x:v>
      </x:c>
      <x:c r="F456" s="30" t="str">
        <x:v>Enterprise Compliance Oversight Review</x:v>
      </x:c>
      <x:c r="G456" s="30" t="str">
        <x:v>Pharmacy management shall conduct periodic oversight reviews of regulatory co...</x:v>
      </x:c>
      <x:c r="H456" s="30" t="str">
        <x:v>RETAIL</x:v>
      </x:c>
      <x:c r="I456" s="30" t="str">
        <x:v>Yes</x:v>
      </x:c>
      <x:c r="J456" s="30" t="str">
        <x:v>P-4 reparented to the canonical internal-control framework; approved sub-sector and Origin preserved.</x:v>
      </x:c>
    </x:row>
    <x:row r="457">
      <x:c r="A457" s="30" t="str">
        <x:v>RPROV181</x:v>
      </x:c>
      <x:c r="B457" s="30" t="str">
        <x:v>LAW099</x:v>
      </x:c>
      <x:c r="C457" s="30" t="str">
        <x:v>SUB001</x:v>
      </x:c>
      <x:c r="D457" s="30" t="str">
        <x:v>Best Practice</x:v>
      </x:c>
      <x:c r="E457" s="30" t="str">
        <x:v>Internal control — no independent statutory force; apply the separately mapped underlying law where applicable</x:v>
      </x:c>
      <x:c r="F457" s="30" t="str">
        <x:v>Prescription Processing Time Monitoring</x:v>
      </x:c>
      <x:c r="G457" s="30" t="str">
        <x:v>The pharmacy shall monitor prescription processing time from receipt to medic...</x:v>
      </x:c>
      <x:c r="H457" s="30" t="str">
        <x:v>RETAIL</x:v>
      </x:c>
      <x:c r="I457" s="30" t="str">
        <x:v>Yes</x:v>
      </x:c>
      <x:c r="J457" s="30" t="str">
        <x:v>P-4 reparented to the canonical internal-control framework; approved sub-sector and Origin preserved.</x:v>
      </x:c>
    </x:row>
    <x:row r="458">
      <x:c r="A458" s="30" t="str">
        <x:v>RPROV182</x:v>
      </x:c>
      <x:c r="B458" s="30" t="str">
        <x:v>LAW099</x:v>
      </x:c>
      <x:c r="C458" s="30" t="str">
        <x:v>SUB001</x:v>
      </x:c>
      <x:c r="D458" s="30" t="str">
        <x:v>Best Practice</x:v>
      </x:c>
      <x:c r="E458" s="30" t="str">
        <x:v>Internal control — no independent statutory force; apply the separately mapped underlying law where applicable</x:v>
      </x:c>
      <x:c r="F458" s="30" t="str">
        <x:v>Delegation of Non-Professional Activities</x:v>
      </x:c>
      <x:c r="G458" s="30" t="str">
        <x:v>Non-professional pharmacy activities may be delegated to trained personnel un...</x:v>
      </x:c>
      <x:c r="H458" s="30" t="str">
        <x:v>RETAIL</x:v>
      </x:c>
      <x:c r="I458" s="30" t="str">
        <x:v>Yes</x:v>
      </x:c>
      <x:c r="J458" s="30" t="str">
        <x:v>P-4 reparented to the canonical internal-control framework; approved sub-sector and Origin preserved.</x:v>
      </x:c>
    </x:row>
    <x:row r="459">
      <x:c r="A459" s="30" t="str">
        <x:v>RPROV183</x:v>
      </x:c>
      <x:c r="B459" s="30" t="str">
        <x:v>LAW099</x:v>
      </x:c>
      <x:c r="C459" s="30" t="str">
        <x:v>SUB001</x:v>
      </x:c>
      <x:c r="D459" s="30" t="str">
        <x:v>Best Practice</x:v>
      </x:c>
      <x:c r="E459" s="30" t="str">
        <x:v>Internal control — no independent statutory force; apply the separately mapped underlying law where applicable</x:v>
      </x:c>
      <x:c r="F459" s="30" t="str">
        <x:v>Interface Failure Monitoring</x:v>
      </x:c>
      <x:c r="G459" s="30" t="str">
        <x:v>Failures in electronic interfaces connecting dispensing, billing, inventory, ...</x:v>
      </x:c>
      <x:c r="H459" s="30" t="str">
        <x:v>RETAIL</x:v>
      </x:c>
      <x:c r="I459" s="30" t="str">
        <x:v>Yes</x:v>
      </x:c>
      <x:c r="J459" s="30" t="str">
        <x:v>P-4 reparented to the canonical internal-control framework; approved sub-sector and Origin preserved.</x:v>
      </x:c>
    </x:row>
    <x:row r="460">
      <x:c r="A460" s="30" t="str">
        <x:v>RPROV184</x:v>
      </x:c>
      <x:c r="B460" s="30" t="str">
        <x:v>LAW099</x:v>
      </x:c>
      <x:c r="C460" s="30" t="str">
        <x:v>SUB001</x:v>
      </x:c>
      <x:c r="D460" s="30" t="str">
        <x:v>Best Practice</x:v>
      </x:c>
      <x:c r="E460" s="30" t="str">
        <x:v>Internal control — no independent statutory force; apply the separately mapped underlying law where applicable</x:v>
      </x:c>
      <x:c r="F460" s="30" t="str">
        <x:v>Complete Dispensing Record Verification</x:v>
      </x:c>
      <x:c r="G460" s="30" t="str">
        <x:v>Before transaction closure, the dispensing record shall be verified for compl...</x:v>
      </x:c>
      <x:c r="H460" s="30" t="str">
        <x:v>RETAIL</x:v>
      </x:c>
      <x:c r="I460" s="30" t="str">
        <x:v>Yes</x:v>
      </x:c>
      <x:c r="J460" s="30" t="str">
        <x:v>P-4 reparented to the canonical internal-control framework; approved sub-sector and Origin preserved.</x:v>
      </x:c>
    </x:row>
    <x:row r="461">
      <x:c r="A461" s="30" t="str">
        <x:v>RPROV185</x:v>
      </x:c>
      <x:c r="B461" s="30" t="str">
        <x:v>LAW099</x:v>
      </x:c>
      <x:c r="C461" s="30" t="str">
        <x:v>SUB001</x:v>
      </x:c>
      <x:c r="D461" s="30" t="str">
        <x:v>Best Practice</x:v>
      </x:c>
      <x:c r="E461" s="30" t="str">
        <x:v>Internal control — no independent statutory force; apply the separately mapped underlying law where applicable</x:v>
      </x:c>
      <x:c r="F461" s="30" t="str">
        <x:v>Regulatory Communication Register Maintenance</x:v>
      </x:c>
      <x:c r="G461" s="30" t="str">
        <x:v>All communications received from regulatory authorities, professional council...</x:v>
      </x:c>
      <x:c r="H461" s="30" t="str">
        <x:v>RETAIL</x:v>
      </x:c>
      <x:c r="I461" s="30" t="str">
        <x:v>Yes</x:v>
      </x:c>
      <x:c r="J461" s="30" t="str">
        <x:v>P-4 reparented to the canonical internal-control framework; approved sub-sector and Origin preserved.</x:v>
      </x:c>
    </x:row>
    <x:row r="462">
      <x:c r="A462" s="30" t="str">
        <x:v>RPROV186</x:v>
      </x:c>
      <x:c r="B462" s="30" t="str">
        <x:v>LAW099</x:v>
      </x:c>
      <x:c r="C462" s="30" t="str">
        <x:v>SUB001</x:v>
      </x:c>
      <x:c r="D462" s="30" t="str">
        <x:v>Best Practice</x:v>
      </x:c>
      <x:c r="E462" s="30" t="str">
        <x:v>Internal control — no independent statutory force; apply the separately mapped underlying law where applicable</x:v>
      </x:c>
      <x:c r="F462" s="30" t="str">
        <x:v>Electronic Proof of Medicine Delivery</x:v>
      </x:c>
      <x:c r="G462" s="30" t="str">
        <x:v>Home delivery services shall capture electronic proof of delivery including r...</x:v>
      </x:c>
      <x:c r="H462" s="30" t="str">
        <x:v>RETAIL</x:v>
      </x:c>
      <x:c r="I462" s="30" t="str">
        <x:v>Yes</x:v>
      </x:c>
      <x:c r="J462" s="30" t="str">
        <x:v>P-4 reparented to the canonical internal-control framework; approved sub-sector and Origin preserved.</x:v>
      </x:c>
    </x:row>
    <x:row r="463">
      <x:c r="A463" s="30" t="str">
        <x:v>RPROV187</x:v>
      </x:c>
      <x:c r="B463" s="30" t="str">
        <x:v>LAW099</x:v>
      </x:c>
      <x:c r="C463" s="30" t="str">
        <x:v>SUB001</x:v>
      </x:c>
      <x:c r="D463" s="30" t="str">
        <x:v>Best Practice</x:v>
      </x:c>
      <x:c r="E463" s="30" t="str">
        <x:v>Internal control — no independent statutory force; apply the separately mapped underlying law where applicable</x:v>
      </x:c>
      <x:c r="F463" s="30" t="str">
        <x:v>Inventory Turnover Review</x:v>
      </x:c>
      <x:c r="G463" s="30" t="str">
        <x:v>Inventory turnover ratios, slow-moving medicines, dead stock, and overstock s...</x:v>
      </x:c>
      <x:c r="H463" s="30" t="str">
        <x:v>RETAIL</x:v>
      </x:c>
      <x:c r="I463" s="30" t="str">
        <x:v>Yes</x:v>
      </x:c>
      <x:c r="J463" s="30" t="str">
        <x:v>P-4 reparented to the canonical internal-control framework; approved sub-sector and Origin preserved.</x:v>
      </x:c>
    </x:row>
    <x:row r="464">
      <x:c r="A464" s="30" t="str">
        <x:v>RPROV188</x:v>
      </x:c>
      <x:c r="B464" s="30" t="str">
        <x:v>LAW099</x:v>
      </x:c>
      <x:c r="C464" s="30" t="str">
        <x:v>SUB001</x:v>
      </x:c>
      <x:c r="D464" s="30" t="str">
        <x:v>Best Practice</x:v>
      </x:c>
      <x:c r="E464" s="30" t="str">
        <x:v>Internal control — no independent statutory force; apply the separately mapped underlying law where applicable</x:v>
      </x:c>
      <x:c r="F464" s="30" t="str">
        <x:v>Pharmacy Application Health Monitoring</x:v>
      </x:c>
      <x:c r="G464" s="30" t="str">
        <x:v>Pharmacy software applications, databases, and supporting infrastructure shal...</x:v>
      </x:c>
      <x:c r="H464" s="30" t="str">
        <x:v>RETAIL</x:v>
      </x:c>
      <x:c r="I464" s="30" t="str">
        <x:v>Yes</x:v>
      </x:c>
      <x:c r="J464" s="30" t="str">
        <x:v>P-4 reparented to the canonical internal-control framework; approved sub-sector and Origin preserved.</x:v>
      </x:c>
    </x:row>
    <x:row r="465">
      <x:c r="A465" s="30" t="str">
        <x:v>RPROV189</x:v>
      </x:c>
      <x:c r="B465" s="30" t="str">
        <x:v>LAW099</x:v>
      </x:c>
      <x:c r="C465" s="30" t="str">
        <x:v>SUB001</x:v>
      </x:c>
      <x:c r="D465" s="30" t="str">
        <x:v>Best Practice</x:v>
      </x:c>
      <x:c r="E465" s="30" t="str">
        <x:v>Internal control — no independent statutory force; apply the separately mapped underlying law where applicable</x:v>
      </x:c>
      <x:c r="F465" s="30" t="str">
        <x:v>Collaboration with Public Health Authorities</x:v>
      </x:c>
      <x:c r="G465" s="30" t="str">
        <x:v>Retail pharmacies participating in public health initiatives shall maintain d...</x:v>
      </x:c>
      <x:c r="H465" s="30" t="str">
        <x:v>RETAIL</x:v>
      </x:c>
      <x:c r="I465" s="30" t="str">
        <x:v>Yes</x:v>
      </x:c>
      <x:c r="J465" s="30" t="str">
        <x:v>P-4 reparented to the canonical internal-control framework; approved sub-sector and Origin preserved.</x:v>
      </x:c>
    </x:row>
    <x:row r="466">
      <x:c r="A466" s="30" t="str">
        <x:v>RPROV190</x:v>
      </x:c>
      <x:c r="B466" s="30" t="str">
        <x:v>LAW099</x:v>
      </x:c>
      <x:c r="C466" s="30" t="str">
        <x:v>SUB001</x:v>
      </x:c>
      <x:c r="D466" s="30" t="str">
        <x:v>Best Practice</x:v>
      </x:c>
      <x:c r="E466" s="30" t="str">
        <x:v>Internal control — no independent statutory force; apply the separately mapped underlying law where applicable</x:v>
      </x:c>
      <x:c r="F466" s="30" t="str">
        <x:v>Retail Pharmacy Compliance Reporting Framework</x:v>
      </x:c>
      <x:c r="G466" s="30" t="str">
        <x:v>The pharmacy shall establish a structured compliance reporting framework defi...</x:v>
      </x:c>
      <x:c r="H466" s="30" t="str">
        <x:v>RETAIL</x:v>
      </x:c>
      <x:c r="I466" s="30" t="str">
        <x:v>Yes</x:v>
      </x:c>
      <x:c r="J466" s="30" t="str">
        <x:v>P-4 reparented to the canonical internal-control framework; approved sub-sector and Origin preserved.</x:v>
      </x:c>
    </x:row>
    <x:row r="467">
      <x:c r="A467" s="30" t="str">
        <x:v>RPROV191</x:v>
      </x:c>
      <x:c r="B467" s="30" t="str">
        <x:v>LAW099</x:v>
      </x:c>
      <x:c r="C467" s="30" t="str">
        <x:v>SUB001</x:v>
      </x:c>
      <x:c r="D467" s="30" t="str">
        <x:v>Best Practice</x:v>
      </x:c>
      <x:c r="E467" s="30" t="str">
        <x:v>Internal control — no independent statutory force; apply the separately mapped underlying law where applicable</x:v>
      </x:c>
      <x:c r="F467" s="30" t="str">
        <x:v>Prescription-to-Dispensing Reconciliation</x:v>
      </x:c>
      <x:c r="G467" s="30" t="str">
        <x:v>Every dispensed prescription shall be reconciled with the original prescripti...</x:v>
      </x:c>
      <x:c r="H467" s="30" t="str">
        <x:v>RETAIL</x:v>
      </x:c>
      <x:c r="I467" s="30" t="str">
        <x:v>Yes</x:v>
      </x:c>
      <x:c r="J467" s="30" t="str">
        <x:v>P-4 reparented to the canonical internal-control framework; approved sub-sector and Origin preserved.</x:v>
      </x:c>
    </x:row>
    <x:row r="468">
      <x:c r="A468" s="30" t="str">
        <x:v>RPROV192</x:v>
      </x:c>
      <x:c r="B468" s="30" t="str">
        <x:v>LAW099</x:v>
      </x:c>
      <x:c r="C468" s="30" t="str">
        <x:v>SUB001</x:v>
      </x:c>
      <x:c r="D468" s="30" t="str">
        <x:v>Best Practice</x:v>
      </x:c>
      <x:c r="E468" s="30" t="str">
        <x:v>Internal control — no independent statutory force; apply the separately mapped underlying law where applicable</x:v>
      </x:c>
      <x:c r="F468" s="30" t="str">
        <x:v>Pharmacist Workload Monitoring</x:v>
      </x:c>
      <x:c r="G468" s="30" t="str">
        <x:v>The pharmacy shall periodically monitor pharmacist workload, dispensing volum...</x:v>
      </x:c>
      <x:c r="H468" s="30" t="str">
        <x:v>RETAIL</x:v>
      </x:c>
      <x:c r="I468" s="30" t="str">
        <x:v>Yes</x:v>
      </x:c>
      <x:c r="J468" s="30" t="str">
        <x:v>P-4 reparented to the canonical internal-control framework; approved sub-sector and Origin preserved.</x:v>
      </x:c>
    </x:row>
    <x:row r="469">
      <x:c r="A469" s="30" t="str">
        <x:v>RPROV193</x:v>
      </x:c>
      <x:c r="B469" s="30" t="str">
        <x:v>LAW099</x:v>
      </x:c>
      <x:c r="C469" s="30" t="str">
        <x:v>SUB001</x:v>
      </x:c>
      <x:c r="D469" s="30" t="str">
        <x:v>Best Practice</x:v>
      </x:c>
      <x:c r="E469" s="30" t="str">
        <x:v>Internal control — no independent statutory force; apply the separately mapped underlying law where applicable</x:v>
      </x:c>
      <x:c r="F469" s="30" t="str">
        <x:v>Pharmacy Disaster Recovery Infrastructure</x:v>
      </x:c>
      <x:c r="G469" s="30" t="str">
        <x:v>Pharmacy information systems shall maintain documented disaster recovery arra...</x:v>
      </x:c>
      <x:c r="H469" s="30" t="str">
        <x:v>RETAIL</x:v>
      </x:c>
      <x:c r="I469" s="30" t="str">
        <x:v>Yes</x:v>
      </x:c>
      <x:c r="J469" s="30" t="str">
        <x:v>P-4 reparented to the canonical internal-control framework; approved sub-sector and Origin preserved.</x:v>
      </x:c>
    </x:row>
    <x:row r="470">
      <x:c r="A470" s="30" t="str">
        <x:v>RPROV194</x:v>
      </x:c>
      <x:c r="B470" s="30" t="str">
        <x:v>LAW099</x:v>
      </x:c>
      <x:c r="C470" s="30" t="str">
        <x:v>SUB001</x:v>
      </x:c>
      <x:c r="D470" s="30" t="str">
        <x:v>Best Practice</x:v>
      </x:c>
      <x:c r="E470" s="30" t="str">
        <x:v>Internal control — no independent statutory force; apply the separately mapped underlying law where applicable</x:v>
      </x:c>
      <x:c r="F470" s="30" t="str">
        <x:v>Customer Acknowledgement of Medicine Receipt</x:v>
      </x:c>
      <x:c r="G470" s="30" t="str">
        <x:v>Where operationally feasible, customer acknowledgement of medicine receipt sh...</x:v>
      </x:c>
      <x:c r="H470" s="30" t="str">
        <x:v>RETAIL</x:v>
      </x:c>
      <x:c r="I470" s="30" t="str">
        <x:v>Yes</x:v>
      </x:c>
      <x:c r="J470" s="30" t="str">
        <x:v>P-4 reparented to the canonical internal-control framework; approved sub-sector and Origin preserved.</x:v>
      </x:c>
    </x:row>
    <x:row r="471">
      <x:c r="A471" s="30" t="str">
        <x:v>RPROV195</x:v>
      </x:c>
      <x:c r="B471" s="30" t="str">
        <x:v>LAW099</x:v>
      </x:c>
      <x:c r="C471" s="30" t="str">
        <x:v>SUB001</x:v>
      </x:c>
      <x:c r="D471" s="30" t="str">
        <x:v>Best Practice</x:v>
      </x:c>
      <x:c r="E471" s="30" t="str">
        <x:v>Internal control — no independent statutory force; apply the separately mapped underlying law where applicable</x:v>
      </x:c>
      <x:c r="F471" s="30" t="str">
        <x:v>Timely Submission of Statutory Reports</x:v>
      </x:c>
      <x:c r="G471" s="30" t="str">
        <x:v>Statutory reports required by applicable pharmacy legislation or regulatory a...</x:v>
      </x:c>
      <x:c r="H471" s="30" t="str">
        <x:v>RETAIL</x:v>
      </x:c>
      <x:c r="I471" s="30" t="str">
        <x:v>Yes</x:v>
      </x:c>
      <x:c r="J471" s="30" t="str">
        <x:v>P-4 reparented to the canonical internal-control framework; approved sub-sector and Origin preserved.</x:v>
      </x:c>
    </x:row>
    <x:row r="472">
      <x:c r="A472" s="30" t="str">
        <x:v>RPROV196</x:v>
      </x:c>
      <x:c r="B472" s="30" t="str">
        <x:v>LAW099</x:v>
      </x:c>
      <x:c r="C472" s="30" t="str">
        <x:v>SUB001</x:v>
      </x:c>
      <x:c r="D472" s="30" t="str">
        <x:v>Best Practice</x:v>
      </x:c>
      <x:c r="E472" s="30" t="str">
        <x:v>Internal control — no independent statutory force; apply the separately mapped underlying law where applicable</x:v>
      </x:c>
      <x:c r="F472" s="30" t="str">
        <x:v>Customer Communication Preference Management</x:v>
      </x:c>
      <x:c r="G472" s="30" t="str">
        <x:v>Customer preferences for SMS, email, telephone, or other communication channe...</x:v>
      </x:c>
      <x:c r="H472" s="30" t="str">
        <x:v>RETAIL</x:v>
      </x:c>
      <x:c r="I472" s="30" t="str">
        <x:v>Yes</x:v>
      </x:c>
      <x:c r="J472" s="30" t="str">
        <x:v>P-4 reparented to the canonical internal-control framework; approved sub-sector and Origin preserved.</x:v>
      </x:c>
    </x:row>
    <x:row r="473">
      <x:c r="A473" s="30" t="str">
        <x:v>RPROV197</x:v>
      </x:c>
      <x:c r="B473" s="30" t="str">
        <x:v>LAW099</x:v>
      </x:c>
      <x:c r="C473" s="30" t="str">
        <x:v>SUB001</x:v>
      </x:c>
      <x:c r="D473" s="30" t="str">
        <x:v>Best Practice</x:v>
      </x:c>
      <x:c r="E473" s="30" t="str">
        <x:v>Internal control — no independent statutory force; apply the separately mapped underlying law where applicable</x:v>
      </x:c>
      <x:c r="F473" s="30" t="str">
        <x:v>Medicine Demand Forecasting</x:v>
      </x:c>
      <x:c r="G473" s="30" t="str">
        <x:v>Inventory planning shall incorporate historical sales, seasonal demand, regul...</x:v>
      </x:c>
      <x:c r="H473" s="30" t="str">
        <x:v>RETAIL</x:v>
      </x:c>
      <x:c r="I473" s="30" t="str">
        <x:v>Yes</x:v>
      </x:c>
      <x:c r="J473" s="30" t="str">
        <x:v>P-4 reparented to the canonical internal-control framework; approved sub-sector and Origin preserved.</x:v>
      </x:c>
    </x:row>
    <x:row r="474">
      <x:c r="A474" s="30" t="str">
        <x:v>RPROV198</x:v>
      </x:c>
      <x:c r="B474" s="30" t="str">
        <x:v>LAW099</x:v>
      </x:c>
      <x:c r="C474" s="30" t="str">
        <x:v>SUB001</x:v>
      </x:c>
      <x:c r="D474" s="30" t="str">
        <x:v>Best Practice</x:v>
      </x:c>
      <x:c r="E474" s="30" t="str">
        <x:v>Internal control — no independent statutory force; apply the separately mapped underlying law where applicable</x:v>
      </x:c>
      <x:c r="F474" s="30" t="str">
        <x:v>Pharmacy Database Integrity Management</x:v>
      </x:c>
      <x:c r="G474" s="30" t="str">
        <x:v>Pharmacy databases shall undergo periodic integrity checks, maintenance activ...</x:v>
      </x:c>
      <x:c r="H474" s="30" t="str">
        <x:v>RETAIL</x:v>
      </x:c>
      <x:c r="I474" s="30" t="str">
        <x:v>Yes</x:v>
      </x:c>
      <x:c r="J474" s="30" t="str">
        <x:v>P-4 reparented to the canonical internal-control framework; approved sub-sector and Origin preserved.</x:v>
      </x:c>
    </x:row>
    <x:row r="475">
      <x:c r="A475" s="30" t="str">
        <x:v>RPROV199</x:v>
      </x:c>
      <x:c r="B475" s="30" t="str">
        <x:v>LAW099</x:v>
      </x:c>
      <x:c r="C475" s="30" t="str">
        <x:v>SUB001</x:v>
      </x:c>
      <x:c r="D475" s="30" t="str">
        <x:v>Best Practice</x:v>
      </x:c>
      <x:c r="E475" s="30" t="str">
        <x:v>Internal control — no independent statutory force; apply the separately mapped underlying law where applicable</x:v>
      </x:c>
      <x:c r="F475" s="30" t="str">
        <x:v>Community Health Programme Evaluation</x:v>
      </x:c>
      <x:c r="G475" s="30" t="str">
        <x:v>Retail pharmacies participating in public health campaigns shall evaluate pro...</x:v>
      </x:c>
      <x:c r="H475" s="30" t="str">
        <x:v>RETAIL</x:v>
      </x:c>
      <x:c r="I475" s="30" t="str">
        <x:v>Yes</x:v>
      </x:c>
      <x:c r="J475" s="30" t="str">
        <x:v>P-4 reparented to the canonical internal-control framework; approved sub-sector and Origin preserved.</x:v>
      </x:c>
    </x:row>
    <x:row r="476">
      <x:c r="A476" s="30" t="str">
        <x:v>RPROV200</x:v>
      </x:c>
      <x:c r="B476" s="30" t="str">
        <x:v>LAW099</x:v>
      </x:c>
      <x:c r="C476" s="30" t="str">
        <x:v>SUB001</x:v>
      </x:c>
      <x:c r="D476" s="30" t="str">
        <x:v>Best Practice</x:v>
      </x:c>
      <x:c r="E476" s="30" t="str">
        <x:v>Internal control — no independent statutory force; apply the separately mapped underlying law where applicable</x:v>
      </x:c>
      <x:c r="F476" s="30" t="str">
        <x:v>Retail Pharmacy Regulatory Compliance Strategy</x:v>
      </x:c>
      <x:c r="G476" s="30" t="str">
        <x:v>The pharmacy shall maintain a documented long-term regulatory compliance stra...</x:v>
      </x:c>
      <x:c r="H476" s="30" t="str">
        <x:v>RETAIL</x:v>
      </x:c>
      <x:c r="I476" s="30" t="str">
        <x:v>Yes</x:v>
      </x:c>
      <x:c r="J476" s="30" t="str">
        <x:v>P-4 reparented to the canonical internal-control framework; approved sub-sector and Origin preserved.</x:v>
      </x:c>
    </x:row>
    <x:row r="477">
      <x:c r="A477" s="30" t="str">
        <x:v>RPROV201</x:v>
      </x:c>
      <x:c r="B477" s="30" t="str">
        <x:v>LAW099</x:v>
      </x:c>
      <x:c r="C477" s="30" t="str">
        <x:v>SUB001</x:v>
      </x:c>
      <x:c r="D477" s="30" t="str">
        <x:v>Best Practice</x:v>
      </x:c>
      <x:c r="E477" s="30" t="str">
        <x:v>Internal control — no independent statutory force; apply the separately mapped underlying law where applicable</x:v>
      </x:c>
      <x:c r="F477" s="30" t="str">
        <x:v>Peak Hour Dispensing Management</x:v>
      </x:c>
      <x:c r="G477" s="30" t="str">
        <x:v>The pharmacy shall establish procedures for managing peak customer volumes wi...</x:v>
      </x:c>
      <x:c r="H477" s="30" t="str">
        <x:v>RETAIL</x:v>
      </x:c>
      <x:c r="I477" s="30" t="str">
        <x:v>Yes</x:v>
      </x:c>
      <x:c r="J477" s="30" t="str">
        <x:v>P-4 reparented to the canonical internal-control framework; approved sub-sector and Origin preserved.</x:v>
      </x:c>
    </x:row>
    <x:row r="478">
      <x:c r="A478" s="30" t="str">
        <x:v>RPROV202</x:v>
      </x:c>
      <x:c r="B478" s="30" t="str">
        <x:v>LAW099</x:v>
      </x:c>
      <x:c r="C478" s="30" t="str">
        <x:v>SUB001</x:v>
      </x:c>
      <x:c r="D478" s="30" t="str">
        <x:v>Best Practice</x:v>
      </x:c>
      <x:c r="E478" s="30" t="str">
        <x:v>Internal control — no independent statutory force; apply the separately mapped underlying law where applicable</x:v>
      </x:c>
      <x:c r="F478" s="30" t="str">
        <x:v>Pharmacy Authorization Matrix</x:v>
      </x:c>
      <x:c r="G478" s="30" t="str">
        <x:v>A documented authorization matrix shall define personnel authorized to perfor...</x:v>
      </x:c>
      <x:c r="H478" s="30" t="str">
        <x:v>RETAIL</x:v>
      </x:c>
      <x:c r="I478" s="30" t="str">
        <x:v>Yes</x:v>
      </x:c>
      <x:c r="J478" s="30" t="str">
        <x:v>P-4 reparented to the canonical internal-control framework; approved sub-sector and Origin preserved.</x:v>
      </x:c>
    </x:row>
    <x:row r="479">
      <x:c r="A479" s="30" t="str">
        <x:v>RPROV203</x:v>
      </x:c>
      <x:c r="B479" s="30" t="str">
        <x:v>LAW099</x:v>
      </x:c>
      <x:c r="C479" s="30" t="str">
        <x:v>SUB001</x:v>
      </x:c>
      <x:c r="D479" s="30" t="str">
        <x:v>Best Practice</x:v>
      </x:c>
      <x:c r="E479" s="30" t="str">
        <x:v>Internal control — no independent statutory force; apply the separately mapped underlying law where applicable</x:v>
      </x:c>
      <x:c r="F479" s="30" t="str">
        <x:v>Secure API Authentication Controls</x:v>
      </x:c>
      <x:c r="G479" s="30" t="str">
        <x:v>All application programming interfaces (APIs) used by pharmacy systems shall ...</x:v>
      </x:c>
      <x:c r="H479" s="30" t="str">
        <x:v>RETAIL</x:v>
      </x:c>
      <x:c r="I479" s="30" t="str">
        <x:v>Yes</x:v>
      </x:c>
      <x:c r="J479" s="30" t="str">
        <x:v>P-4 reparented to the canonical internal-control framework; approved sub-sector and Origin preserved.</x:v>
      </x:c>
    </x:row>
    <x:row r="480">
      <x:c r="A480" s="30" t="str">
        <x:v>RPROV204</x:v>
      </x:c>
      <x:c r="B480" s="30" t="str">
        <x:v>LAW099</x:v>
      </x:c>
      <x:c r="C480" s="30" t="str">
        <x:v>SUB001</x:v>
      </x:c>
      <x:c r="D480" s="30" t="str">
        <x:v>Best Practice</x:v>
      </x:c>
      <x:c r="E480" s="30" t="str">
        <x:v>Internal control — no independent statutory force; apply the separately mapped underlying law where applicable</x:v>
      </x:c>
      <x:c r="F480" s="30" t="str">
        <x:v>Independent Dispensing Record Review</x:v>
      </x:c>
      <x:c r="G480" s="30" t="str">
        <x:v>Dispensing documentation shall undergo periodic independent review to verify ...</x:v>
      </x:c>
      <x:c r="H480" s="30" t="str">
        <x:v>RETAIL</x:v>
      </x:c>
      <x:c r="I480" s="30" t="str">
        <x:v>Yes</x:v>
      </x:c>
      <x:c r="J480" s="30" t="str">
        <x:v>P-4 reparented to the canonical internal-control framework; approved sub-sector and Origin preserved.</x:v>
      </x:c>
    </x:row>
    <x:row r="481">
      <x:c r="A481" s="30" t="str">
        <x:v>RPROV205</x:v>
      </x:c>
      <x:c r="B481" s="30" t="str">
        <x:v>LAW099</x:v>
      </x:c>
      <x:c r="C481" s="30" t="str">
        <x:v>SUB001</x:v>
      </x:c>
      <x:c r="D481" s="30" t="str">
        <x:v>Best Practice</x:v>
      </x:c>
      <x:c r="E481" s="30" t="str">
        <x:v>Internal control — no independent statutory force; apply the separately mapped underlying law where applicable</x:v>
      </x:c>
      <x:c r="F481" s="30" t="str">
        <x:v>Regulatory Action Plan Monitoring</x:v>
      </x:c>
      <x:c r="G481" s="30" t="str">
        <x:v>Action plans arising from regulatory inspections shall include assigned owner...</x:v>
      </x:c>
      <x:c r="H481" s="30" t="str">
        <x:v>RETAIL</x:v>
      </x:c>
      <x:c r="I481" s="30" t="str">
        <x:v>Yes</x:v>
      </x:c>
      <x:c r="J481" s="30" t="str">
        <x:v>P-4 reparented to the canonical internal-control framework; approved sub-sector and Origin preserved.</x:v>
      </x:c>
    </x:row>
    <x:row r="482">
      <x:c r="A482" s="30" t="str">
        <x:v>RPROV206</x:v>
      </x:c>
      <x:c r="B482" s="30" t="str">
        <x:v>LAW099</x:v>
      </x:c>
      <x:c r="C482" s="30" t="str">
        <x:v>SUB001</x:v>
      </x:c>
      <x:c r="D482" s="30" t="str">
        <x:v>Best Practice</x:v>
      </x:c>
      <x:c r="E482" s="30" t="str">
        <x:v>Internal control — no independent statutory force; apply the separately mapped underlying law where applicable</x:v>
      </x:c>
      <x:c r="F482" s="30" t="str">
        <x:v>Pharmacy Mobile Application Governance</x:v>
      </x:c>
      <x:c r="G482" s="30" t="str">
        <x:v>Mobile applications provided by the pharmacy shall ensure secure authenticati...</x:v>
      </x:c>
      <x:c r="H482" s="30" t="str">
        <x:v>RETAIL</x:v>
      </x:c>
      <x:c r="I482" s="30" t="str">
        <x:v>Yes</x:v>
      </x:c>
      <x:c r="J482" s="30" t="str">
        <x:v>P-4 reparented to the canonical internal-control framework; approved sub-sector and Origin preserved.</x:v>
      </x:c>
    </x:row>
    <x:row r="483">
      <x:c r="A483" s="30" t="str">
        <x:v>RPROV207</x:v>
      </x:c>
      <x:c r="B483" s="30" t="str">
        <x:v>LAW099</x:v>
      </x:c>
      <x:c r="C483" s="30" t="str">
        <x:v>SUB001</x:v>
      </x:c>
      <x:c r="D483" s="30" t="str">
        <x:v>Best Practice</x:v>
      </x:c>
      <x:c r="E483" s="30" t="str">
        <x:v>Internal control — no independent statutory force; apply the separately mapped underlying law where applicable</x:v>
      </x:c>
      <x:c r="F483" s="30" t="str">
        <x:v>Inventory Performance Analytics</x:v>
      </x:c>
      <x:c r="G483" s="30" t="str">
        <x:v>Inventory analytics shall identify stock ageing, fast-moving products, season...</x:v>
      </x:c>
      <x:c r="H483" s="30" t="str">
        <x:v>RETAIL</x:v>
      </x:c>
      <x:c r="I483" s="30" t="str">
        <x:v>Yes</x:v>
      </x:c>
      <x:c r="J483" s="30" t="str">
        <x:v>P-4 reparented to the canonical internal-control framework; approved sub-sector and Origin preserved.</x:v>
      </x:c>
    </x:row>
    <x:row r="484">
      <x:c r="A484" s="30" t="str">
        <x:v>RPROV208</x:v>
      </x:c>
      <x:c r="B484" s="30" t="str">
        <x:v>LAW099</x:v>
      </x:c>
      <x:c r="C484" s="30" t="str">
        <x:v>SUB001</x:v>
      </x:c>
      <x:c r="D484" s="30" t="str">
        <x:v>Best Practice</x:v>
      </x:c>
      <x:c r="E484" s="30" t="str">
        <x:v>Internal control — no independent statutory force; apply the separately mapped underlying law where applicable</x:v>
      </x:c>
      <x:c r="F484" s="30" t="str">
        <x:v>Pharmacy Infrastructure Availability Monitoring</x:v>
      </x:c>
      <x:c r="G484" s="30" t="str">
        <x:v>Servers, databases, storage, network connectivity, backup services, and suppo...</x:v>
      </x:c>
      <x:c r="H484" s="30" t="str">
        <x:v>RETAIL</x:v>
      </x:c>
      <x:c r="I484" s="30" t="str">
        <x:v>Yes</x:v>
      </x:c>
      <x:c r="J484" s="30" t="str">
        <x:v>P-4 reparented to the canonical internal-control framework; approved sub-sector and Origin preserved.</x:v>
      </x:c>
    </x:row>
    <x:row r="485">
      <x:c r="A485" s="30" t="str">
        <x:v>RPROV209</x:v>
      </x:c>
      <x:c r="B485" s="30" t="str">
        <x:v>LAW099</x:v>
      </x:c>
      <x:c r="C485" s="30" t="str">
        <x:v>SUB001</x:v>
      </x:c>
      <x:c r="D485" s="30" t="str">
        <x:v>Best Practice</x:v>
      </x:c>
      <x:c r="E485" s="30" t="str">
        <x:v>Internal control — no independent statutory force; apply the separately mapped underlying law where applicable</x:v>
      </x:c>
      <x:c r="F485" s="30" t="str">
        <x:v>Community Healthcare Collaboration</x:v>
      </x:c>
      <x:c r="G485" s="30" t="str">
        <x:v>Retail pharmacies collaborating with hospitals, clinics, NGOs, or public heal...</x:v>
      </x:c>
      <x:c r="H485" s="30" t="str">
        <x:v>RETAIL</x:v>
      </x:c>
      <x:c r="I485" s="30" t="str">
        <x:v>Yes</x:v>
      </x:c>
      <x:c r="J485" s="30" t="str">
        <x:v>P-4 reparented to the canonical internal-control framework; approved sub-sector and Origin preserved.</x:v>
      </x:c>
    </x:row>
    <x:row r="486">
      <x:c r="A486" s="30" t="str">
        <x:v>RPROV210</x:v>
      </x:c>
      <x:c r="B486" s="30" t="str">
        <x:v>LAW099</x:v>
      </x:c>
      <x:c r="C486" s="30" t="str">
        <x:v>SUB001</x:v>
      </x:c>
      <x:c r="D486" s="30" t="str">
        <x:v>Best Practice</x:v>
      </x:c>
      <x:c r="E486" s="30" t="str">
        <x:v>Internal control — no independent statutory force; apply the separately mapped underlying law where applicable</x:v>
      </x:c>
      <x:c r="F486" s="30" t="str">
        <x:v>Periodic Review of Compliance Programme</x:v>
      </x:c>
      <x:c r="G486" s="30" t="str">
        <x:v>The pharmacy shall perform periodic reviews of the overall compliance program...</x:v>
      </x:c>
      <x:c r="H486" s="30" t="str">
        <x:v>RETAIL</x:v>
      </x:c>
      <x:c r="I486" s="30" t="str">
        <x:v>Yes</x:v>
      </x:c>
      <x:c r="J486" s="30" t="str">
        <x:v>P-4 reparented to the canonical internal-control framework; approved sub-sector and Origin preserved.</x:v>
      </x:c>
    </x:row>
    <x:row r="487">
      <x:c r="A487" s="30" t="str">
        <x:v>RPROV211</x:v>
      </x:c>
      <x:c r="B487" s="30" t="str">
        <x:v>LAW099</x:v>
      </x:c>
      <x:c r="C487" s="30" t="str">
        <x:v>SUB001</x:v>
      </x:c>
      <x:c r="D487" s="30" t="str">
        <x:v>Best Practice</x:v>
      </x:c>
      <x:c r="E487" s="30" t="str">
        <x:v>Internal control — no independent statutory force; apply the separately mapped underlying law where applicable</x:v>
      </x:c>
      <x:c r="F487" s="30" t="str">
        <x:v>Pharmacy Operational Continuity Plan</x:v>
      </x:c>
      <x:c r="G487" s="30" t="str">
        <x:v>The pharmacy shall maintain a documented operational continuity plan addressi...</x:v>
      </x:c>
      <x:c r="H487" s="30" t="str">
        <x:v>RETAIL</x:v>
      </x:c>
      <x:c r="I487" s="30" t="str">
        <x:v>Yes</x:v>
      </x:c>
      <x:c r="J487" s="30" t="str">
        <x:v>P-4 reparented to the canonical internal-control framework; approved sub-sector and Origin preserved.</x:v>
      </x:c>
    </x:row>
    <x:row r="488">
      <x:c r="A488" s="30" t="str">
        <x:v>RPROV212</x:v>
      </x:c>
      <x:c r="B488" s="30" t="str">
        <x:v>LAW099</x:v>
      </x:c>
      <x:c r="C488" s="30" t="str">
        <x:v>SUB001</x:v>
      </x:c>
      <x:c r="D488" s="30" t="str">
        <x:v>Best Practice</x:v>
      </x:c>
      <x:c r="E488" s="30" t="str">
        <x:v>Internal control — no independent statutory force; apply the separately mapped underlying law where applicable</x:v>
      </x:c>
      <x:c r="F488" s="30" t="str">
        <x:v>Cross-Training of Pharmacy Personnel</x:v>
      </x:c>
      <x:c r="G488" s="30" t="str">
        <x:v>Pharmacy personnel shall receive documented cross-training for critical opera...</x:v>
      </x:c>
      <x:c r="H488" s="30" t="str">
        <x:v>RETAIL</x:v>
      </x:c>
      <x:c r="I488" s="30" t="str">
        <x:v>Yes</x:v>
      </x:c>
      <x:c r="J488" s="30" t="str">
        <x:v>P-4 reparented to the canonical internal-control framework; approved sub-sector and Origin preserved.</x:v>
      </x:c>
    </x:row>
    <x:row r="489">
      <x:c r="A489" s="30" t="str">
        <x:v>RPROV213</x:v>
      </x:c>
      <x:c r="B489" s="30" t="str">
        <x:v>LAW099</x:v>
      </x:c>
      <x:c r="C489" s="30" t="str">
        <x:v>SUB001</x:v>
      </x:c>
      <x:c r="D489" s="30" t="str">
        <x:v>Best Practice</x:v>
      </x:c>
      <x:c r="E489" s="30" t="str">
        <x:v>Internal control — no independent statutory force; apply the separately mapped underlying law where applicable</x:v>
      </x:c>
      <x:c r="F489" s="30" t="str">
        <x:v>Online Customer Portal Governance</x:v>
      </x:c>
      <x:c r="G489" s="30" t="str">
        <x:v>Online customer portals providing prescription status, medicine reservations,...</x:v>
      </x:c>
      <x:c r="H489" s="30" t="str">
        <x:v>RETAIL</x:v>
      </x:c>
      <x:c r="I489" s="30" t="str">
        <x:v>Yes</x:v>
      </x:c>
      <x:c r="J489" s="30" t="str">
        <x:v>P-4 reparented to the canonical internal-control framework; approved sub-sector and Origin preserved.</x:v>
      </x:c>
    </x:row>
    <x:row r="490">
      <x:c r="A490" s="30" t="str">
        <x:v>RPROV214</x:v>
      </x:c>
      <x:c r="B490" s="30" t="str">
        <x:v>LAW099</x:v>
      </x:c>
      <x:c r="C490" s="30" t="str">
        <x:v>SUB001</x:v>
      </x:c>
      <x:c r="D490" s="30" t="str">
        <x:v>Best Practice</x:v>
      </x:c>
      <x:c r="E490" s="30" t="str">
        <x:v>Internal control — no independent statutory force; apply the separately mapped underlying law where applicable</x:v>
      </x:c>
      <x:c r="F490" s="30" t="str">
        <x:v>Periodic Dispensing Quality Assessment</x:v>
      </x:c>
      <x:c r="G490" s="30" t="str">
        <x:v>Pharmacy management shall periodically assess dispensing quality through samp...</x:v>
      </x:c>
      <x:c r="H490" s="30" t="str">
        <x:v>RETAIL</x:v>
      </x:c>
      <x:c r="I490" s="30" t="str">
        <x:v>Yes</x:v>
      </x:c>
      <x:c r="J490" s="30" t="str">
        <x:v>P-4 reparented to the canonical internal-control framework; approved sub-sector and Origin preserved.</x:v>
      </x:c>
    </x:row>
    <x:row r="491">
      <x:c r="A491" s="30" t="str">
        <x:v>RPROV215</x:v>
      </x:c>
      <x:c r="B491" s="30" t="str">
        <x:v>LAW099</x:v>
      </x:c>
      <x:c r="C491" s="30" t="str">
        <x:v>SUB001</x:v>
      </x:c>
      <x:c r="D491" s="30" t="str">
        <x:v>Best Practice</x:v>
      </x:c>
      <x:c r="E491" s="30" t="str">
        <x:v>Internal control — no independent statutory force; apply the separately mapped underlying law where applicable</x:v>
      </x:c>
      <x:c r="F491" s="30" t="str">
        <x:v>Escalation of Significant Compliance Breaches</x:v>
      </x:c>
      <x:c r="G491" s="30" t="str">
        <x:v>Significant compliance breaches, repeated non-conformities, or incidents invo...</x:v>
      </x:c>
      <x:c r="H491" s="30" t="str">
        <x:v>RETAIL</x:v>
      </x:c>
      <x:c r="I491" s="30" t="str">
        <x:v>Yes</x:v>
      </x:c>
      <x:c r="J491" s="30" t="str">
        <x:v>P-4 reparented to the canonical internal-control framework; approved sub-sector and Origin preserved.</x:v>
      </x:c>
    </x:row>
    <x:row r="492">
      <x:c r="A492" s="30" t="str">
        <x:v>RPROV216</x:v>
      </x:c>
      <x:c r="B492" s="30" t="str">
        <x:v>LAW099</x:v>
      </x:c>
      <x:c r="C492" s="30" t="str">
        <x:v>SUB001</x:v>
      </x:c>
      <x:c r="D492" s="30" t="str">
        <x:v>Best Practice</x:v>
      </x:c>
      <x:c r="E492" s="30" t="str">
        <x:v>Internal control — no independent statutory force; apply the separately mapped underlying law where applicable</x:v>
      </x:c>
      <x:c r="F492" s="30" t="str">
        <x:v>Online Order Processing Controls</x:v>
      </x:c>
      <x:c r="G492" s="30" t="str">
        <x:v>Online medicine orders shall undergo validation of customer details, prescrip...</x:v>
      </x:c>
      <x:c r="H492" s="30" t="str">
        <x:v>RETAIL</x:v>
      </x:c>
      <x:c r="I492" s="30" t="str">
        <x:v>Yes</x:v>
      </x:c>
      <x:c r="J492" s="30" t="str">
        <x:v>P-4 reparented to the canonical internal-control framework; approved sub-sector and Origin preserved.</x:v>
      </x:c>
    </x:row>
    <x:row r="493">
      <x:c r="A493" s="30" t="str">
        <x:v>RPROV217</x:v>
      </x:c>
      <x:c r="B493" s="30" t="str">
        <x:v>LAW099</x:v>
      </x:c>
      <x:c r="C493" s="30" t="str">
        <x:v>SUB001</x:v>
      </x:c>
      <x:c r="D493" s="30" t="str">
        <x:v>Best Practice</x:v>
      </x:c>
      <x:c r="E493" s="30" t="str">
        <x:v>Internal control — no independent statutory force; apply the separately mapped underlying law where applicable</x:v>
      </x:c>
      <x:c r="F493" s="30" t="str">
        <x:v>Pharmacy Inventory Benchmark Review</x:v>
      </x:c>
      <x:c r="G493" s="30" t="str">
        <x:v>Inventory performance indicators shall be benchmarked periodically against or...</x:v>
      </x:c>
      <x:c r="H493" s="30" t="str">
        <x:v>RETAIL</x:v>
      </x:c>
      <x:c r="I493" s="30" t="str">
        <x:v>Yes</x:v>
      </x:c>
      <x:c r="J493" s="30" t="str">
        <x:v>P-4 reparented to the canonical internal-control framework; approved sub-sector and Origin preserved.</x:v>
      </x:c>
    </x:row>
    <x:row r="494">
      <x:c r="A494" s="30" t="str">
        <x:v>RPROV218</x:v>
      </x:c>
      <x:c r="B494" s="30" t="str">
        <x:v>LAW099</x:v>
      </x:c>
      <x:c r="C494" s="30" t="str">
        <x:v>SUB001</x:v>
      </x:c>
      <x:c r="D494" s="30" t="str">
        <x:v>Best Practice</x:v>
      </x:c>
      <x:c r="E494" s="30" t="str">
        <x:v>Internal control — no independent statutory force; apply the separately mapped underlying law where applicable</x:v>
      </x:c>
      <x:c r="F494" s="30" t="str">
        <x:v>Pharmacy Endpoint Protection</x:v>
      </x:c>
      <x:c r="G494" s="30" t="str">
        <x:v>All desktops, laptops, handheld devices, and other endpoints used for pharmac...</x:v>
      </x:c>
      <x:c r="H494" s="30" t="str">
        <x:v>RETAIL</x:v>
      </x:c>
      <x:c r="I494" s="30" t="str">
        <x:v>Yes</x:v>
      </x:c>
      <x:c r="J494" s="30" t="str">
        <x:v>P-4 reparented to the canonical internal-control framework; approved sub-sector and Origin preserved.</x:v>
      </x:c>
    </x:row>
    <x:row r="495">
      <x:c r="A495" s="30" t="str">
        <x:v>RPROV219</x:v>
      </x:c>
      <x:c r="B495" s="30" t="str">
        <x:v>LAW099</x:v>
      </x:c>
      <x:c r="C495" s="30" t="str">
        <x:v>SUB001</x:v>
      </x:c>
      <x:c r="D495" s="30" t="str">
        <x:v>Best Practice</x:v>
      </x:c>
      <x:c r="E495" s="30" t="str">
        <x:v>Internal control — no independent statutory force; apply the separately mapped underlying law where applicable</x:v>
      </x:c>
      <x:c r="F495" s="30" t="str">
        <x:v>Community Wellness Programme Governance</x:v>
      </x:c>
      <x:c r="G495" s="30" t="str">
        <x:v>Community wellness programmes conducted by the pharmacy shall be approved by ...</x:v>
      </x:c>
      <x:c r="H495" s="30" t="str">
        <x:v>RETAIL</x:v>
      </x:c>
      <x:c r="I495" s="30" t="str">
        <x:v>Yes</x:v>
      </x:c>
      <x:c r="J495" s="30" t="str">
        <x:v>P-4 reparented to the canonical internal-control framework; approved sub-sector and Origin preserved.</x:v>
      </x:c>
    </x:row>
    <x:row r="496">
      <x:c r="A496" s="30" t="str">
        <x:v>RPROV220</x:v>
      </x:c>
      <x:c r="B496" s="30" t="str">
        <x:v>LAW099</x:v>
      </x:c>
      <x:c r="C496" s="30" t="str">
        <x:v>SUB001</x:v>
      </x:c>
      <x:c r="D496" s="30" t="str">
        <x:v>Best Practice</x:v>
      </x:c>
      <x:c r="E496" s="30" t="str">
        <x:v>Internal control — no independent statutory force; apply the separately mapped underlying law where applicable</x:v>
      </x:c>
      <x:c r="F496" s="30" t="str">
        <x:v>Compliance Programme Effectiveness Assessment</x:v>
      </x:c>
      <x:c r="G496" s="30" t="str">
        <x:v>The effectiveness of the pharmacy compliance programme shall be evaluated usi...</x:v>
      </x:c>
      <x:c r="H496" s="30" t="str">
        <x:v>RETAIL</x:v>
      </x:c>
      <x:c r="I496" s="30" t="str">
        <x:v>Yes</x:v>
      </x:c>
      <x:c r="J496" s="30" t="str">
        <x:v>P-4 reparented to the canonical internal-control framework; approved sub-sector and Origin preserved.</x:v>
      </x:c>
    </x:row>
    <x:row r="497">
      <x:c r="A497" s="30" t="str">
        <x:v>RPROV221</x:v>
      </x:c>
      <x:c r="B497" s="30" t="str">
        <x:v>LAW099</x:v>
      </x:c>
      <x:c r="C497" s="30" t="str">
        <x:v>SUB001</x:v>
      </x:c>
      <x:c r="D497" s="30" t="str">
        <x:v>Best Practice</x:v>
      </x:c>
      <x:c r="E497" s="30" t="str">
        <x:v>Internal control — no independent statutory force; apply the separately mapped underlying law where applicable</x:v>
      </x:c>
      <x:c r="F497" s="30" t="str">
        <x:v>Seasonal Medicine Inventory Preparedness</x:v>
      </x:c>
      <x:c r="G497" s="30" t="str">
        <x:v>The pharmacy shall assess anticipated seasonal demand for medicines and maint...</x:v>
      </x:c>
      <x:c r="H497" s="30" t="str">
        <x:v>RETAIL</x:v>
      </x:c>
      <x:c r="I497" s="30" t="str">
        <x:v>Yes</x:v>
      </x:c>
      <x:c r="J497" s="30" t="str">
        <x:v>P-4 reparented to the canonical internal-control framework; approved sub-sector and Origin preserved.</x:v>
      </x:c>
    </x:row>
    <x:row r="498">
      <x:c r="A498" s="30" t="str">
        <x:v>RPROV222</x:v>
      </x:c>
      <x:c r="B498" s="30" t="str">
        <x:v>LAW099</x:v>
      </x:c>
      <x:c r="C498" s="30" t="str">
        <x:v>SUB001</x:v>
      </x:c>
      <x:c r="D498" s="30" t="str">
        <x:v>Best Practice</x:v>
      </x:c>
      <x:c r="E498" s="30" t="str">
        <x:v>Internal control — no independent statutory force; apply the separately mapped underlying law where applicable</x:v>
      </x:c>
      <x:c r="F498" s="30" t="str">
        <x:v>Temporary Pharmacy Personnel Controls</x:v>
      </x:c>
      <x:c r="G498" s="30" t="str">
        <x:v>Temporary, contract, or locum pharmacy personnel shall complete orientation, ...</x:v>
      </x:c>
      <x:c r="H498" s="30" t="str">
        <x:v>RETAIL</x:v>
      </x:c>
      <x:c r="I498" s="30" t="str">
        <x:v>Yes</x:v>
      </x:c>
      <x:c r="J498" s="30" t="str">
        <x:v>P-4 reparented to the canonical internal-control framework; approved sub-sector and Origin preserved.</x:v>
      </x:c>
    </x:row>
    <x:row r="499">
      <x:c r="A499" s="30" t="str">
        <x:v>RPROV223</x:v>
      </x:c>
      <x:c r="B499" s="30" t="str">
        <x:v>LAW099</x:v>
      </x:c>
      <x:c r="C499" s="30" t="str">
        <x:v>SUB001</x:v>
      </x:c>
      <x:c r="D499" s="30" t="str">
        <x:v>Best Practice</x:v>
      </x:c>
      <x:c r="E499" s="30" t="str">
        <x:v>Internal control — no independent statutory force; apply the separately mapped underlying law where applicable</x:v>
      </x:c>
      <x:c r="F499" s="30" t="str">
        <x:v>Digital Consent Withdrawal Management</x:v>
      </x:c>
      <x:c r="G499" s="30" t="str">
        <x:v>Customers shall be able to withdraw previously granted electronic consent for...</x:v>
      </x:c>
      <x:c r="H499" s="30" t="str">
        <x:v>RETAIL</x:v>
      </x:c>
      <x:c r="I499" s="30" t="str">
        <x:v>Yes</x:v>
      </x:c>
      <x:c r="J499" s="30" t="str">
        <x:v>P-4 reparented to the canonical internal-control framework; approved sub-sector and Origin preserved.</x:v>
      </x:c>
    </x:row>
    <x:row r="500">
      <x:c r="A500" s="30" t="str">
        <x:v>RPROV224</x:v>
      </x:c>
      <x:c r="B500" s="30" t="str">
        <x:v>LAW099</x:v>
      </x:c>
      <x:c r="C500" s="30" t="str">
        <x:v>SUB001</x:v>
      </x:c>
      <x:c r="D500" s="30" t="str">
        <x:v>Best Practice</x:v>
      </x:c>
      <x:c r="E500" s="30" t="str">
        <x:v>Internal control — no independent statutory force; apply the separately mapped underlying law where applicable</x:v>
      </x:c>
      <x:c r="F500" s="30" t="str">
        <x:v>Independent Dispensing Accuracy Audit</x:v>
      </x:c>
      <x:c r="G500" s="30" t="str">
        <x:v>Pharmacy management shall periodically audit dispensing accuracy through inde...</x:v>
      </x:c>
      <x:c r="H500" s="30" t="str">
        <x:v>RETAIL</x:v>
      </x:c>
      <x:c r="I500" s="30" t="str">
        <x:v>Yes</x:v>
      </x:c>
      <x:c r="J500" s="30" t="str">
        <x:v>P-4 reparented to the canonical internal-control framework; approved sub-sector and Origin preserved.</x:v>
      </x:c>
    </x:row>
    <x:row r="501">
      <x:c r="A501" s="30" t="str">
        <x:v>RPROV225</x:v>
      </x:c>
      <x:c r="B501" s="30" t="str">
        <x:v>LAW099</x:v>
      </x:c>
      <x:c r="C501" s="30" t="str">
        <x:v>SUB001</x:v>
      </x:c>
      <x:c r="D501" s="30" t="str">
        <x:v>Best Practice</x:v>
      </x:c>
      <x:c r="E501" s="30" t="str">
        <x:v>Internal control — no independent statutory force; apply the separately mapped underlying law where applicable</x:v>
      </x:c>
      <x:c r="F501" s="30" t="str">
        <x:v>Pharmacy Regulatory Change Implementation</x:v>
      </x:c>
      <x:c r="G501" s="30" t="str">
        <x:v>New or amended regulatory requirements affecting pharmacy operations shall be...</x:v>
      </x:c>
      <x:c r="H501" s="30" t="str">
        <x:v>RETAIL</x:v>
      </x:c>
      <x:c r="I501" s="30" t="str">
        <x:v>Yes</x:v>
      </x:c>
      <x:c r="J501" s="30" t="str">
        <x:v>P-4 reparented to the canonical internal-control framework; approved sub-sector and Origin preserved.</x:v>
      </x:c>
    </x:row>
    <x:row r="502">
      <x:c r="A502" s="30" t="str">
        <x:v>RPROV226</x:v>
      </x:c>
      <x:c r="B502" s="30" t="str">
        <x:v>LAW099</x:v>
      </x:c>
      <x:c r="C502" s="30" t="str">
        <x:v>SUB001</x:v>
      </x:c>
      <x:c r="D502" s="30" t="str">
        <x:v>Best Practice</x:v>
      </x:c>
      <x:c r="E502" s="30" t="str">
        <x:v>Internal control — no independent statutory force; apply the separately mapped underlying law where applicable</x:v>
      </x:c>
      <x:c r="F502" s="30" t="str">
        <x:v>Omnichannel Pharmacy Order Governance</x:v>
      </x:c>
      <x:c r="G502" s="30" t="str">
        <x:v>Orders originating from walk-in, telephone, website, mobile application, or p...</x:v>
      </x:c>
      <x:c r="H502" s="30" t="str">
        <x:v>RETAIL</x:v>
      </x:c>
      <x:c r="I502" s="30" t="str">
        <x:v>Yes</x:v>
      </x:c>
      <x:c r="J502" s="30" t="str">
        <x:v>P-4 reparented to the canonical internal-control framework; approved sub-sector and Origin preserved.</x:v>
      </x:c>
    </x:row>
    <x:row r="503">
      <x:c r="A503" s="30" t="str">
        <x:v>RPROV227</x:v>
      </x:c>
      <x:c r="B503" s="30" t="str">
        <x:v>LAW099</x:v>
      </x:c>
      <x:c r="C503" s="30" t="str">
        <x:v>SUB001</x:v>
      </x:c>
      <x:c r="D503" s="30" t="str">
        <x:v>Best Practice</x:v>
      </x:c>
      <x:c r="E503" s="30" t="str">
        <x:v>Internal control — no independent statutory force; apply the separately mapped underlying law where applicable</x:v>
      </x:c>
      <x:c r="F503" s="30" t="str">
        <x:v>Pharmacy Inventory Review Committee</x:v>
      </x:c>
      <x:c r="G503" s="30" t="str">
        <x:v>A designated committee or responsible management function shall periodically ...</x:v>
      </x:c>
      <x:c r="H503" s="30" t="str">
        <x:v>RETAIL</x:v>
      </x:c>
      <x:c r="I503" s="30" t="str">
        <x:v>Yes</x:v>
      </x:c>
      <x:c r="J503" s="30" t="str">
        <x:v>P-4 reparented to the canonical internal-control framework; approved sub-sector and Origin preserved.</x:v>
      </x:c>
    </x:row>
    <x:row r="504">
      <x:c r="A504" s="30" t="str">
        <x:v>RPROV228</x:v>
      </x:c>
      <x:c r="B504" s="30" t="str">
        <x:v>LAW099</x:v>
      </x:c>
      <x:c r="C504" s="30" t="str">
        <x:v>SUB001</x:v>
      </x:c>
      <x:c r="D504" s="30" t="str">
        <x:v>Best Practice</x:v>
      </x:c>
      <x:c r="E504" s="30" t="str">
        <x:v>Internal control — no independent statutory force; apply the separately mapped underlying law where applicable</x:v>
      </x:c>
      <x:c r="F504" s="30" t="str">
        <x:v>Pharmacy Cyber Resilience Programme</x:v>
      </x:c>
      <x:c r="G504" s="30" t="str">
        <x:v>The pharmacy shall maintain a cybersecurity resilience programme including pr...</x:v>
      </x:c>
      <x:c r="H504" s="30" t="str">
        <x:v>RETAIL</x:v>
      </x:c>
      <x:c r="I504" s="30" t="str">
        <x:v>Yes</x:v>
      </x:c>
      <x:c r="J504" s="30" t="str">
        <x:v>P-4 reparented to the canonical internal-control framework; approved sub-sector and Origin preserved.</x:v>
      </x:c>
    </x:row>
    <x:row r="505">
      <x:c r="A505" s="30" t="str">
        <x:v>RPROV229</x:v>
      </x:c>
      <x:c r="B505" s="30" t="str">
        <x:v>LAW099</x:v>
      </x:c>
      <x:c r="C505" s="30" t="str">
        <x:v>SUB001</x:v>
      </x:c>
      <x:c r="D505" s="30" t="str">
        <x:v>Best Practice</x:v>
      </x:c>
      <x:c r="E505" s="30" t="str">
        <x:v>Internal control — no independent statutory force; apply the separately mapped underlying law where applicable</x:v>
      </x:c>
      <x:c r="F505" s="30" t="str">
        <x:v>Public Health Activity Reporting</x:v>
      </x:c>
      <x:c r="G505" s="30" t="str">
        <x:v>Community health initiatives conducted by the pharmacy shall be documented wi...</x:v>
      </x:c>
      <x:c r="H505" s="30" t="str">
        <x:v>RETAIL</x:v>
      </x:c>
      <x:c r="I505" s="30" t="str">
        <x:v>Yes</x:v>
      </x:c>
      <x:c r="J505" s="30" t="str">
        <x:v>P-4 reparented to the canonical internal-control framework; approved sub-sector and Origin preserved.</x:v>
      </x:c>
    </x:row>
    <x:row r="506">
      <x:c r="A506" s="30" t="str">
        <x:v>RPROV230</x:v>
      </x:c>
      <x:c r="B506" s="30" t="str">
        <x:v>LAW099</x:v>
      </x:c>
      <x:c r="C506" s="30" t="str">
        <x:v>SUB001</x:v>
      </x:c>
      <x:c r="D506" s="30" t="str">
        <x:v>Best Practice</x:v>
      </x:c>
      <x:c r="E506" s="30" t="str">
        <x:v>Internal control — no independent statutory force; apply the separately mapped underlying law where applicable</x:v>
      </x:c>
      <x:c r="F506" s="30" t="str">
        <x:v>Integrated Compliance Governance Review</x:v>
      </x:c>
      <x:c r="G506" s="30" t="str">
        <x:v>Senior management shall periodically review the integrated compliance framewo...</x:v>
      </x:c>
      <x:c r="H506" s="30" t="str">
        <x:v>RETAIL</x:v>
      </x:c>
      <x:c r="I506" s="30" t="str">
        <x:v>Yes</x:v>
      </x:c>
      <x:c r="J506" s="30" t="str">
        <x:v>P-4 reparented to the canonical internal-control framework; approved sub-sector and Origin preserved.</x:v>
      </x:c>
    </x:row>
    <x:row r="507">
      <x:c r="A507" s="30" t="str">
        <x:v>RPROV231</x:v>
      </x:c>
      <x:c r="B507" s="30" t="str">
        <x:v>LAW099</x:v>
      </x:c>
      <x:c r="C507" s="30" t="str">
        <x:v>SUB001</x:v>
      </x:c>
      <x:c r="D507" s="30" t="str">
        <x:v>Best Practice</x:v>
      </x:c>
      <x:c r="E507" s="30" t="str">
        <x:v>Internal control — no independent statutory force; apply the separately mapped underlying law where applicable</x:v>
      </x:c>
      <x:c r="F507" s="30" t="str">
        <x:v>Pharmacy Business Continuity Exercise</x:v>
      </x:c>
      <x:c r="G507" s="30" t="str">
        <x:v>The pharmacy shall conduct periodic business continuity exercises covering di...</x:v>
      </x:c>
      <x:c r="H507" s="30" t="str">
        <x:v>RETAIL</x:v>
      </x:c>
      <x:c r="I507" s="30" t="str">
        <x:v>Yes</x:v>
      </x:c>
      <x:c r="J507" s="30" t="str">
        <x:v>P-4 reparented to the canonical internal-control framework; approved sub-sector and Origin preserved.</x:v>
      </x:c>
    </x:row>
    <x:row r="508">
      <x:c r="A508" s="30" t="str">
        <x:v>RPROV232</x:v>
      </x:c>
      <x:c r="B508" s="30" t="str">
        <x:v>LAW099</x:v>
      </x:c>
      <x:c r="C508" s="30" t="str">
        <x:v>SUB001</x:v>
      </x:c>
      <x:c r="D508" s="30" t="str">
        <x:v>Best Practice</x:v>
      </x:c>
      <x:c r="E508" s="30" t="str">
        <x:v>Internal control — no independent statutory force; apply the separately mapped underlying law where applicable</x:v>
      </x:c>
      <x:c r="F508" s="30" t="str">
        <x:v>Annual Pharmacy Compliance Declaration</x:v>
      </x:c>
      <x:c r="G508" s="30" t="str">
        <x:v>Pharmacy personnel shall annually acknowledge their understanding of applicab...</x:v>
      </x:c>
      <x:c r="H508" s="30" t="str">
        <x:v>RETAIL</x:v>
      </x:c>
      <x:c r="I508" s="30" t="str">
        <x:v>Yes</x:v>
      </x:c>
      <x:c r="J508" s="30" t="str">
        <x:v>P-4 reparented to the canonical internal-control framework; approved sub-sector and Origin preserved.</x:v>
      </x:c>
    </x:row>
    <x:row r="509">
      <x:c r="A509" s="30" t="str">
        <x:v>RPROV233</x:v>
      </x:c>
      <x:c r="B509" s="30" t="str">
        <x:v>LAW099</x:v>
      </x:c>
      <x:c r="C509" s="30" t="str">
        <x:v>SUB001</x:v>
      </x:c>
      <x:c r="D509" s="30" t="str">
        <x:v>Best Practice</x:v>
      </x:c>
      <x:c r="E509" s="30" t="str">
        <x:v>Internal control — no independent statutory force; apply the separately mapped underlying law where applicable</x:v>
      </x:c>
      <x:c r="F509" s="30" t="str">
        <x:v>Electronic Evidence Preservation Controls</x:v>
      </x:c>
      <x:c r="G509" s="30" t="str">
        <x:v>Electronic records associated with dispensing, inventory, customer communicat...</x:v>
      </x:c>
      <x:c r="H509" s="30" t="str">
        <x:v>RETAIL</x:v>
      </x:c>
      <x:c r="I509" s="30" t="str">
        <x:v>Yes</x:v>
      </x:c>
      <x:c r="J509" s="30" t="str">
        <x:v>P-4 reparented to the canonical internal-control framework; approved sub-sector and Origin preserved.</x:v>
      </x:c>
    </x:row>
    <x:row r="510">
      <x:c r="A510" s="30" t="str">
        <x:v>RPROV234</x:v>
      </x:c>
      <x:c r="B510" s="30" t="str">
        <x:v>LAW099</x:v>
      </x:c>
      <x:c r="C510" s="30" t="str">
        <x:v>SUB001</x:v>
      </x:c>
      <x:c r="D510" s="30" t="str">
        <x:v>Best Practice</x:v>
      </x:c>
      <x:c r="E510" s="30" t="str">
        <x:v>Internal control — no independent statutory force; apply the separately mapped underlying law where applicable</x:v>
      </x:c>
      <x:c r="F510" s="30" t="str">
        <x:v>Retail Pharmacy Internal Compliance Inspection</x:v>
      </x:c>
      <x:c r="G510" s="30" t="str">
        <x:v>Internal compliance inspections shall be conducted using standardized inspect...</x:v>
      </x:c>
      <x:c r="H510" s="30" t="str">
        <x:v>RETAIL</x:v>
      </x:c>
      <x:c r="I510" s="30" t="str">
        <x:v>Yes</x:v>
      </x:c>
      <x:c r="J510" s="30" t="str">
        <x:v>P-4 reparented to the canonical internal-control framework; approved sub-sector and Origin preserved.</x:v>
      </x:c>
    </x:row>
    <x:row r="511">
      <x:c r="A511" s="30" t="str">
        <x:v>RPROV235</x:v>
      </x:c>
      <x:c r="B511" s="30" t="str">
        <x:v>LAW099</x:v>
      </x:c>
      <x:c r="C511" s="30" t="str">
        <x:v>SUB001</x:v>
      </x:c>
      <x:c r="D511" s="30" t="str">
        <x:v>Best Practice</x:v>
      </x:c>
      <x:c r="E511" s="30" t="str">
        <x:v>Internal control — no independent statutory force; apply the separately mapped underlying law where applicable</x:v>
      </x:c>
      <x:c r="F511" s="30" t="str">
        <x:v>Regulatory Escalation Matrix</x:v>
      </x:c>
      <x:c r="G511" s="30" t="str">
        <x:v>The pharmacy shall maintain a documented escalation matrix defining reporting...</x:v>
      </x:c>
      <x:c r="H511" s="30" t="str">
        <x:v>RETAIL</x:v>
      </x:c>
      <x:c r="I511" s="30" t="str">
        <x:v>Yes</x:v>
      </x:c>
      <x:c r="J511" s="30" t="str">
        <x:v>P-4 reparented to the canonical internal-control framework; approved sub-sector and Origin preserved.</x:v>
      </x:c>
    </x:row>
    <x:row r="512">
      <x:c r="A512" s="30" t="str">
        <x:v>RPROV236</x:v>
      </x:c>
      <x:c r="B512" s="30" t="str">
        <x:v>LAW099</x:v>
      </x:c>
      <x:c r="C512" s="30" t="str">
        <x:v>SUB001</x:v>
      </x:c>
      <x:c r="D512" s="30" t="str">
        <x:v>Best Practice</x:v>
      </x:c>
      <x:c r="E512" s="30" t="str">
        <x:v>Internal control — no independent statutory force; apply the separately mapped underlying law where applicable</x:v>
      </x:c>
      <x:c r="F512" s="30" t="str">
        <x:v>Unified Customer Service Governance</x:v>
      </x:c>
      <x:c r="G512" s="30" t="str">
        <x:v>Customer interactions across physical stores, website, mobile application, te...</x:v>
      </x:c>
      <x:c r="H512" s="30" t="str">
        <x:v>RETAIL</x:v>
      </x:c>
      <x:c r="I512" s="30" t="str">
        <x:v>Yes</x:v>
      </x:c>
      <x:c r="J512" s="30" t="str">
        <x:v>P-4 reparented to the canonical internal-control framework; approved sub-sector and Origin preserved.</x:v>
      </x:c>
    </x:row>
    <x:row r="513">
      <x:c r="A513" s="30" t="str">
        <x:v>RPROV237</x:v>
      </x:c>
      <x:c r="B513" s="30" t="str">
        <x:v>LAW099</x:v>
      </x:c>
      <x:c r="C513" s="30" t="str">
        <x:v>SUB001</x:v>
      </x:c>
      <x:c r="D513" s="30" t="str">
        <x:v>Best Practice</x:v>
      </x:c>
      <x:c r="E513" s="30" t="str">
        <x:v>Internal control — no independent statutory force; apply the separately mapped underlying law where applicable</x:v>
      </x:c>
      <x:c r="F513" s="30" t="str">
        <x:v>Annual Inventory Governance Assessment</x:v>
      </x:c>
      <x:c r="G513" s="30" t="str">
        <x:v>Management shall annually evaluate inventory governance covering procurement,...</x:v>
      </x:c>
      <x:c r="H513" s="30" t="str">
        <x:v>RETAIL</x:v>
      </x:c>
      <x:c r="I513" s="30" t="str">
        <x:v>Yes</x:v>
      </x:c>
      <x:c r="J513" s="30" t="str">
        <x:v>P-4 reparented to the canonical internal-control framework; approved sub-sector and Origin preserved.</x:v>
      </x:c>
    </x:row>
    <x:row r="514">
      <x:c r="A514" s="30" t="str">
        <x:v>RPROV238</x:v>
      </x:c>
      <x:c r="B514" s="30" t="str">
        <x:v>LAW099</x:v>
      </x:c>
      <x:c r="C514" s="30" t="str">
        <x:v>SUB001</x:v>
      </x:c>
      <x:c r="D514" s="30" t="str">
        <x:v>Best Practice</x:v>
      </x:c>
      <x:c r="E514" s="30" t="str">
        <x:v>Internal control — no independent statutory force; apply the separately mapped underlying law where applicable</x:v>
      </x:c>
      <x:c r="F514" s="30" t="str">
        <x:v>Pharmacy Information Security Governance Review</x:v>
      </x:c>
      <x:c r="G514" s="30" t="str">
        <x:v>Pharmacy information security policies, risk assessments, cybersecurity contr...</x:v>
      </x:c>
      <x:c r="H514" s="30" t="str">
        <x:v>RETAIL</x:v>
      </x:c>
      <x:c r="I514" s="30" t="str">
        <x:v>Yes</x:v>
      </x:c>
      <x:c r="J514" s="30" t="str">
        <x:v>P-4 reparented to the canonical internal-control framework; approved sub-sector and Origin preserved.</x:v>
      </x:c>
    </x:row>
    <x:row r="515">
      <x:c r="A515" s="30" t="str">
        <x:v>RPROV239</x:v>
      </x:c>
      <x:c r="B515" s="30" t="str">
        <x:v>LAW099</x:v>
      </x:c>
      <x:c r="C515" s="30" t="str">
        <x:v>SUB001</x:v>
      </x:c>
      <x:c r="D515" s="30" t="str">
        <x:v>Best Practice</x:v>
      </x:c>
      <x:c r="E515" s="30" t="str">
        <x:v>Internal control — no independent statutory force; apply the separately mapped underlying law where applicable</x:v>
      </x:c>
      <x:c r="F515" s="30" t="str">
        <x:v>Community Healthcare Impact Assessment</x:v>
      </x:c>
      <x:c r="G515" s="30" t="str">
        <x:v>Community healthcare initiatives undertaken by the pharmacy shall be evaluate...</x:v>
      </x:c>
      <x:c r="H515" s="30" t="str">
        <x:v>RETAIL</x:v>
      </x:c>
      <x:c r="I515" s="30" t="str">
        <x:v>Yes</x:v>
      </x:c>
      <x:c r="J515" s="30" t="str">
        <x:v>P-4 reparented to the canonical internal-control framework; approved sub-sector and Origin preserved.</x:v>
      </x:c>
    </x:row>
    <x:row r="516">
      <x:c r="A516" s="30" t="str">
        <x:v>RPROV240</x:v>
      </x:c>
      <x:c r="B516" s="30" t="str">
        <x:v>LAW099</x:v>
      </x:c>
      <x:c r="C516" s="30" t="str">
        <x:v>SUB001</x:v>
      </x:c>
      <x:c r="D516" s="30" t="str">
        <x:v>Best Practice</x:v>
      </x:c>
      <x:c r="E516" s="30" t="str">
        <x:v>Internal control — no independent statutory force; apply the separately mapped underlying law where applicable</x:v>
      </x:c>
      <x:c r="F516" s="30" t="str">
        <x:v>Retail Pharmacy Regulatory Excellence Framework</x:v>
      </x:c>
      <x:c r="G516" s="30" t="str">
        <x:v>The pharmacy shall establish and maintain a Regulatory Excellence Framework integrating governance, legal compliance, patient safety, operational controls, inventory management, information security, quality management, audits, inspections, risk management, training, performance monitoring, and continuous improvement. The framework shall be reviewed annually by senior management to ensure sustained regulatory excellence.</x:v>
      </x:c>
      <x:c r="H516" s="30" t="str">
        <x:v>RETAIL</x:v>
      </x:c>
      <x:c r="I516" s="30" t="str">
        <x:v>Yes</x:v>
      </x:c>
      <x:c r="J516" s="30" t="str">
        <x:v>P-4 reparented to the canonical internal-control framework; approved sub-sector and Origin preserved.</x:v>
      </x:c>
    </x:row>
    <x:row r="517">
      <x:c r="A517" s="30" t="str">
        <x:v>WPROV001</x:v>
      </x:c>
      <x:c r="B517" s="30" t="str">
        <x:v>LAW099</x:v>
      </x:c>
      <x:c r="C517" s="30" t="str">
        <x:v>SUB002</x:v>
      </x:c>
      <x:c r="D517" s="30" t="str">
        <x:v>Best Practice</x:v>
      </x:c>
      <x:c r="E517" s="30" t="str">
        <x:v>Internal control — no independent statutory force; apply the separately mapped underlying law where applicable</x:v>
      </x:c>
      <x:c r="F517" s="30" t="str">
        <x:v>Warehouse Zoning</x:v>
      </x:c>
      <x:c r="G517" s="30" t="str">
        <x:v>Wholesale warehouses shall maintain physically segregated zones for quarantine, saleable stock, returned medicines, damaged stock and expired medicines with controlled access and identification.</x:v>
      </x:c>
      <x:c r="H517" s="30" t="str">
        <x:v>WHOLESALE</x:v>
      </x:c>
      <x:c r="I517" s="30" t="str">
        <x:v>Yes</x:v>
      </x:c>
      <x:c r="J517" s="30" t="str">
        <x:v>P-4 reparented to the canonical internal-control framework; approved sub-sector and Origin preserved.</x:v>
      </x:c>
    </x:row>
    <x:row r="518">
      <x:c r="A518" s="30" t="str">
        <x:v>WPROV002</x:v>
      </x:c>
      <x:c r="B518" s="30" t="str">
        <x:v>LAW099</x:v>
      </x:c>
      <x:c r="C518" s="30" t="str">
        <x:v>SUB002</x:v>
      </x:c>
      <x:c r="D518" s="30" t="str">
        <x:v>Best Practice</x:v>
      </x:c>
      <x:c r="E518" s="30" t="str">
        <x:v>Internal control — no independent statutory force; apply the separately mapped underlying law where applicable</x:v>
      </x:c>
      <x:c r="F518" s="30" t="str">
        <x:v>Dispatch Authorization</x:v>
      </x:c>
      <x:c r="G518" s="30" t="str">
        <x:v>Medicines shall be dispatched only after documented authorization by an authorized responsible person verifying order accuracy and regulatory compliance.</x:v>
      </x:c>
      <x:c r="H518" s="30" t="str">
        <x:v>WHOLESALE</x:v>
      </x:c>
      <x:c r="I518" s="30" t="str">
        <x:v>Yes</x:v>
      </x:c>
      <x:c r="J518" s="30" t="str">
        <x:v>P-4 reparented to the canonical internal-control framework; approved sub-sector and Origin preserved.</x:v>
      </x:c>
    </x:row>
    <x:row r="519">
      <x:c r="A519" s="30" t="str">
        <x:v>WPROV003</x:v>
      </x:c>
      <x:c r="B519" s="30" t="str">
        <x:v>LAW099</x:v>
      </x:c>
      <x:c r="C519" s="30" t="str">
        <x:v>SUB002</x:v>
      </x:c>
      <x:c r="D519" s="30" t="str">
        <x:v>Best Practice</x:v>
      </x:c>
      <x:c r="E519" s="30" t="str">
        <x:v>Internal control — no independent statutory force; apply the separately mapped underlying law where applicable</x:v>
      </x:c>
      <x:c r="F519" s="30" t="str">
        <x:v>Customer Licence Verification</x:v>
      </x:c>
      <x:c r="G519" s="30" t="str">
        <x:v>Supply shall be made only after validating the purchaser's applicable drug licence and maintaining verification evidence.</x:v>
      </x:c>
      <x:c r="H519" s="30" t="str">
        <x:v>WHOLESALE</x:v>
      </x:c>
      <x:c r="I519" s="30" t="str">
        <x:v>Yes</x:v>
      </x:c>
      <x:c r="J519" s="30" t="str">
        <x:v>P-4 reparented to the canonical internal-control framework; approved sub-sector and Origin preserved.</x:v>
      </x:c>
    </x:row>
    <x:row r="520">
      <x:c r="A520" s="30" t="str">
        <x:v>WPROV004</x:v>
      </x:c>
      <x:c r="B520" s="30" t="str">
        <x:v>LAW099</x:v>
      </x:c>
      <x:c r="C520" s="30" t="str">
        <x:v>SUB002</x:v>
      </x:c>
      <x:c r="D520" s="30" t="str">
        <x:v>Best Practice</x:v>
      </x:c>
      <x:c r="E520" s="30" t="str">
        <x:v>Internal control — no independent statutory force; apply the separately mapped underlying law where applicable</x:v>
      </x:c>
      <x:c r="F520" s="30" t="str">
        <x:v>Batch Traceability</x:v>
      </x:c>
      <x:c r="G520" s="30" t="str">
        <x:v>Every outward supply shall retain complete batch-level traceability from receipt through distribution.</x:v>
      </x:c>
      <x:c r="H520" s="30" t="str">
        <x:v>WHOLESALE</x:v>
      </x:c>
      <x:c r="I520" s="30" t="str">
        <x:v>Yes</x:v>
      </x:c>
      <x:c r="J520" s="30" t="str">
        <x:v>P-4 reparented to the canonical internal-control framework; approved sub-sector and Origin preserved.</x:v>
      </x:c>
    </x:row>
    <x:row r="521">
      <x:c r="A521" s="30" t="str">
        <x:v>WPROV005</x:v>
      </x:c>
      <x:c r="B521" s="30" t="str">
        <x:v>LAW099</x:v>
      </x:c>
      <x:c r="C521" s="30" t="str">
        <x:v>SUB002</x:v>
      </x:c>
      <x:c r="D521" s="30" t="str">
        <x:v>Best Practice</x:v>
      </x:c>
      <x:c r="E521" s="30" t="str">
        <x:v>Internal control — no independent statutory force; apply the separately mapped underlying law where applicable</x:v>
      </x:c>
      <x:c r="F521" s="30" t="str">
        <x:v>FEFO Distribution</x:v>
      </x:c>
      <x:c r="G521" s="30" t="str">
        <x:v>Stock shall be issued using First-Expiry-First-Out unless otherwise justified and documented.</x:v>
      </x:c>
      <x:c r="H521" s="30" t="str">
        <x:v>WHOLESALE</x:v>
      </x:c>
      <x:c r="I521" s="30" t="str">
        <x:v>Yes</x:v>
      </x:c>
      <x:c r="J521" s="30" t="str">
        <x:v>P-4 reparented to the canonical internal-control framework; approved sub-sector and Origin preserved.</x:v>
      </x:c>
    </x:row>
    <x:row r="522">
      <x:c r="A522" s="30" t="str">
        <x:v>WPROV006</x:v>
      </x:c>
      <x:c r="B522" s="30" t="str">
        <x:v>LAW099</x:v>
      </x:c>
      <x:c r="C522" s="30" t="str">
        <x:v>SUB002</x:v>
      </x:c>
      <x:c r="D522" s="30" t="str">
        <x:v>Best Practice</x:v>
      </x:c>
      <x:c r="E522" s="30" t="str">
        <x:v>Internal control — no independent statutory force; apply the separately mapped underlying law where applicable</x:v>
      </x:c>
      <x:c r="F522" s="30" t="str">
        <x:v>Temperature Mapping</x:v>
      </x:c>
      <x:c r="G522" s="30" t="str">
        <x:v>Storage areas shall undergo documented temperature mapping before operational use and after significant changes.</x:v>
      </x:c>
      <x:c r="H522" s="30" t="str">
        <x:v>WHOLESALE</x:v>
      </x:c>
      <x:c r="I522" s="30" t="str">
        <x:v>Yes</x:v>
      </x:c>
      <x:c r="J522" s="30" t="str">
        <x:v>P-4 reparented to the canonical internal-control framework; approved sub-sector and Origin preserved.</x:v>
      </x:c>
    </x:row>
    <x:row r="523">
      <x:c r="A523" s="30" t="str">
        <x:v>WPROV007</x:v>
      </x:c>
      <x:c r="B523" s="30" t="str">
        <x:v>LAW099</x:v>
      </x:c>
      <x:c r="C523" s="30" t="str">
        <x:v>SUB002</x:v>
      </x:c>
      <x:c r="D523" s="30" t="str">
        <x:v>Best Practice</x:v>
      </x:c>
      <x:c r="E523" s="30" t="str">
        <x:v>Internal control — no independent statutory force; apply the separately mapped underlying law where applicable</x:v>
      </x:c>
      <x:c r="F523" s="30" t="str">
        <x:v>Cold Chain Distribution</x:v>
      </x:c>
      <x:c r="G523" s="30" t="str">
        <x:v>Cold-chain medicines shall remain within validated temperature ranges throughout storage and transportation.</x:v>
      </x:c>
      <x:c r="H523" s="30" t="str">
        <x:v>WHOLESALE</x:v>
      </x:c>
      <x:c r="I523" s="30" t="str">
        <x:v>Yes</x:v>
      </x:c>
      <x:c r="J523" s="30" t="str">
        <x:v>P-4 reparented to the canonical internal-control framework; approved sub-sector and Origin preserved.</x:v>
      </x:c>
    </x:row>
    <x:row r="524">
      <x:c r="A524" s="30" t="str">
        <x:v>WPROV008</x:v>
      </x:c>
      <x:c r="B524" s="30" t="str">
        <x:v>LAW099</x:v>
      </x:c>
      <x:c r="C524" s="30" t="str">
        <x:v>SUB002</x:v>
      </x:c>
      <x:c r="D524" s="30" t="str">
        <x:v>Best Practice</x:v>
      </x:c>
      <x:c r="E524" s="30" t="str">
        <x:v>Internal control — no independent statutory force; apply the separately mapped underlying law where applicable</x:v>
      </x:c>
      <x:c r="F524" s="30" t="str">
        <x:v>Transport Vehicle Qualification</x:v>
      </x:c>
      <x:c r="G524" s="30" t="str">
        <x:v>Vehicles used for medicine distribution shall be qualified, maintained and documented for pharmaceutical transportation.</x:v>
      </x:c>
      <x:c r="H524" s="30" t="str">
        <x:v>WHOLESALE</x:v>
      </x:c>
      <x:c r="I524" s="30" t="str">
        <x:v>Yes</x:v>
      </x:c>
      <x:c r="J524" s="30" t="str">
        <x:v>P-4 reparented to the canonical internal-control framework; approved sub-sector and Origin preserved.</x:v>
      </x:c>
    </x:row>
    <x:row r="525">
      <x:c r="A525" s="30" t="str">
        <x:v>WPROV009</x:v>
      </x:c>
      <x:c r="B525" s="30" t="str">
        <x:v>LAW099</x:v>
      </x:c>
      <x:c r="C525" s="30" t="str">
        <x:v>SUB002</x:v>
      </x:c>
      <x:c r="D525" s="30" t="str">
        <x:v>Best Practice</x:v>
      </x:c>
      <x:c r="E525" s="30" t="str">
        <x:v>Internal control — no independent statutory force; apply the separately mapped underlying law where applicable</x:v>
      </x:c>
      <x:c r="F525" s="30" t="str">
        <x:v>Delivery Documentation</x:v>
      </x:c>
      <x:c r="G525" s="30" t="str">
        <x:v>Every dispatch shall include complete delivery documentation ensuring product identification and traceability.</x:v>
      </x:c>
      <x:c r="H525" s="30" t="str">
        <x:v>WHOLESALE</x:v>
      </x:c>
      <x:c r="I525" s="30" t="str">
        <x:v>Yes</x:v>
      </x:c>
      <x:c r="J525" s="30" t="str">
        <x:v>P-4 reparented to the canonical internal-control framework; approved sub-sector and Origin preserved.</x:v>
      </x:c>
    </x:row>
    <x:row r="526">
      <x:c r="A526" s="30" t="str">
        <x:v>WPROV010</x:v>
      </x:c>
      <x:c r="B526" s="30" t="str">
        <x:v>LAW099</x:v>
      </x:c>
      <x:c r="C526" s="30" t="str">
        <x:v>SUB002</x:v>
      </x:c>
      <x:c r="D526" s="30" t="str">
        <x:v>Best Practice</x:v>
      </x:c>
      <x:c r="E526" s="30" t="str">
        <x:v>Internal control — no independent statutory force; apply the separately mapped underlying law where applicable</x:v>
      </x:c>
      <x:c r="F526" s="30" t="str">
        <x:v>Returned Goods Assessment</x:v>
      </x:c>
      <x:c r="G526" s="30" t="str">
        <x:v>Returned medicines shall undergo documented quality assessment before restocking or disposal.</x:v>
      </x:c>
      <x:c r="H526" s="30" t="str">
        <x:v>WHOLESALE</x:v>
      </x:c>
      <x:c r="I526" s="30" t="str">
        <x:v>Yes</x:v>
      </x:c>
      <x:c r="J526" s="30" t="str">
        <x:v>P-4 reparented to the canonical internal-control framework; approved sub-sector and Origin preserved.</x:v>
      </x:c>
    </x:row>
    <x:row r="527">
      <x:c r="A527" s="30" t="str">
        <x:v>WPROV011</x:v>
      </x:c>
      <x:c r="B527" s="30" t="str">
        <x:v>LAW099</x:v>
      </x:c>
      <x:c r="C527" s="30" t="str">
        <x:v>SUB002</x:v>
      </x:c>
      <x:c r="D527" s="30" t="str">
        <x:v>Best Practice</x:v>
      </x:c>
      <x:c r="E527" s="30" t="str">
        <x:v>Internal control — no independent statutory force; apply the separately mapped underlying law where applicable</x:v>
      </x:c>
      <x:c r="F527" s="30" t="str">
        <x:v>Recall Coordination</x:v>
      </x:c>
      <x:c r="G527" s="30" t="str">
        <x:v>Wholesale pharmacies shall maintain documented procedures for rapid execution of product recalls.</x:v>
      </x:c>
      <x:c r="H527" s="30" t="str">
        <x:v>WHOLESALE</x:v>
      </x:c>
      <x:c r="I527" s="30" t="str">
        <x:v>Yes</x:v>
      </x:c>
      <x:c r="J527" s="30" t="str">
        <x:v>P-4 reparented to the canonical internal-control framework; approved sub-sector and Origin preserved.</x:v>
      </x:c>
    </x:row>
    <x:row r="528">
      <x:c r="A528" s="30" t="str">
        <x:v>WPROV012</x:v>
      </x:c>
      <x:c r="B528" s="30" t="str">
        <x:v>LAW099</x:v>
      </x:c>
      <x:c r="C528" s="30" t="str">
        <x:v>SUB002</x:v>
      </x:c>
      <x:c r="D528" s="30" t="str">
        <x:v>Best Practice</x:v>
      </x:c>
      <x:c r="E528" s="30" t="str">
        <x:v>Internal control — no independent statutory force; apply the separately mapped underlying law where applicable</x:v>
      </x:c>
      <x:c r="F528" s="30" t="str">
        <x:v>Supplier Qualification</x:v>
      </x:c>
      <x:c r="G528" s="30" t="str">
        <x:v>Medicines shall be procured only from approved and periodically evaluated suppliers.</x:v>
      </x:c>
      <x:c r="H528" s="30" t="str">
        <x:v>WHOLESALE</x:v>
      </x:c>
      <x:c r="I528" s="30" t="str">
        <x:v>Yes</x:v>
      </x:c>
      <x:c r="J528" s="30" t="str">
        <x:v>P-4 reparented to the canonical internal-control framework; approved sub-sector and Origin preserved.</x:v>
      </x:c>
    </x:row>
    <x:row r="529">
      <x:c r="A529" s="30" t="str">
        <x:v>WPROV013</x:v>
      </x:c>
      <x:c r="B529" s="30" t="str">
        <x:v>LAW099</x:v>
      </x:c>
      <x:c r="C529" s="30" t="str">
        <x:v>SUB002</x:v>
      </x:c>
      <x:c r="D529" s="30" t="str">
        <x:v>Best Practice</x:v>
      </x:c>
      <x:c r="E529" s="30" t="str">
        <x:v>Internal control — no independent statutory force; apply the separately mapped underlying law where applicable</x:v>
      </x:c>
      <x:c r="F529" s="30" t="str">
        <x:v>Complaint Escalation</x:v>
      </x:c>
      <x:c r="G529" s="30" t="str">
        <x:v>Distribution-related complaints shall be investigated, documented and escalated within defined timelines.</x:v>
      </x:c>
      <x:c r="H529" s="30" t="str">
        <x:v>WHOLESALE</x:v>
      </x:c>
      <x:c r="I529" s="30" t="str">
        <x:v>Yes</x:v>
      </x:c>
      <x:c r="J529" s="30" t="str">
        <x:v>P-4 reparented to the canonical internal-control framework; approved sub-sector and Origin preserved.</x:v>
      </x:c>
    </x:row>
    <x:row r="530">
      <x:c r="A530" s="30" t="str">
        <x:v>WPROV014</x:v>
      </x:c>
      <x:c r="B530" s="30" t="str">
        <x:v>LAW099</x:v>
      </x:c>
      <x:c r="C530" s="30" t="str">
        <x:v>SUB002</x:v>
      </x:c>
      <x:c r="D530" s="30" t="str">
        <x:v>Best Practice</x:v>
      </x:c>
      <x:c r="E530" s="30" t="str">
        <x:v>Internal control — no independent statutory force; apply the separately mapped underlying law where applicable</x:v>
      </x:c>
      <x:c r="F530" s="30" t="str">
        <x:v>Distribution Risk Assessment</x:v>
      </x:c>
      <x:c r="G530" s="30" t="str">
        <x:v>Periodic risk assessments shall be conducted for storage and distribution operations.</x:v>
      </x:c>
      <x:c r="H530" s="30" t="str">
        <x:v>WHOLESALE</x:v>
      </x:c>
      <x:c r="I530" s="30" t="str">
        <x:v>Yes</x:v>
      </x:c>
      <x:c r="J530" s="30" t="str">
        <x:v>P-4 reparented to the canonical internal-control framework; approved sub-sector and Origin preserved.</x:v>
      </x:c>
    </x:row>
    <x:row r="531">
      <x:c r="A531" s="30" t="str">
        <x:v>WPROV015</x:v>
      </x:c>
      <x:c r="B531" s="30" t="str">
        <x:v>LAW099</x:v>
      </x:c>
      <x:c r="C531" s="30" t="str">
        <x:v>SUB002</x:v>
      </x:c>
      <x:c r="D531" s="30" t="str">
        <x:v>Best Practice</x:v>
      </x:c>
      <x:c r="E531" s="30" t="str">
        <x:v>Internal control — no independent statutory force; apply the separately mapped underlying law where applicable</x:v>
      </x:c>
      <x:c r="F531" s="30" t="str">
        <x:v>Security of Warehouse</x:v>
      </x:c>
      <x:c r="G531" s="30" t="str">
        <x:v>Warehouses shall implement documented physical security and controlled access measures.</x:v>
      </x:c>
      <x:c r="H531" s="30" t="str">
        <x:v>WHOLESALE</x:v>
      </x:c>
      <x:c r="I531" s="30" t="str">
        <x:v>Yes</x:v>
      </x:c>
      <x:c r="J531" s="30" t="str">
        <x:v>P-4 reparented to the canonical internal-control framework; approved sub-sector and Origin preserved.</x:v>
      </x:c>
    </x:row>
    <x:row r="532">
      <x:c r="A532" s="30" t="str">
        <x:v>WPROV016</x:v>
      </x:c>
      <x:c r="B532" s="30" t="str">
        <x:v>LAW099</x:v>
      </x:c>
      <x:c r="C532" s="30" t="str">
        <x:v>SUB002</x:v>
      </x:c>
      <x:c r="D532" s="30" t="str">
        <x:v>Best Practice</x:v>
      </x:c>
      <x:c r="E532" s="30" t="str">
        <x:v>Internal control — no independent statutory force; apply the separately mapped underlying law where applicable</x:v>
      </x:c>
      <x:c r="F532" s="30" t="str">
        <x:v>Pest Control Verification</x:v>
      </x:c>
      <x:c r="G532" s="30" t="str">
        <x:v>Pest control activities shall be documented, reviewed and verified for effectiveness.</x:v>
      </x:c>
      <x:c r="H532" s="30" t="str">
        <x:v>WHOLESALE</x:v>
      </x:c>
      <x:c r="I532" s="30" t="str">
        <x:v>Yes</x:v>
      </x:c>
      <x:c r="J532" s="30" t="str">
        <x:v>P-4 reparented to the canonical internal-control framework; approved sub-sector and Origin preserved.</x:v>
      </x:c>
    </x:row>
    <x:row r="533">
      <x:c r="A533" s="30" t="str">
        <x:v>WPROV017</x:v>
      </x:c>
      <x:c r="B533" s="30" t="str">
        <x:v>LAW099</x:v>
      </x:c>
      <x:c r="C533" s="30" t="str">
        <x:v>SUB002</x:v>
      </x:c>
      <x:c r="D533" s="30" t="str">
        <x:v>Best Practice</x:v>
      </x:c>
      <x:c r="E533" s="30" t="str">
        <x:v>Internal control — no independent statutory force; apply the separately mapped underlying law where applicable</x:v>
      </x:c>
      <x:c r="F533" s="30" t="str">
        <x:v>Warehouse Cleaning Validation</x:v>
      </x:c>
      <x:c r="G533" s="30" t="str">
        <x:v>Cleaning procedures shall be documented and periodically validated for effectiveness.</x:v>
      </x:c>
      <x:c r="H533" s="30" t="str">
        <x:v>WHOLESALE</x:v>
      </x:c>
      <x:c r="I533" s="30" t="str">
        <x:v>Yes</x:v>
      </x:c>
      <x:c r="J533" s="30" t="str">
        <x:v>P-4 reparented to the canonical internal-control framework; approved sub-sector and Origin preserved.</x:v>
      </x:c>
    </x:row>
    <x:row r="534">
      <x:c r="A534" s="30" t="str">
        <x:v>WPROV018</x:v>
      </x:c>
      <x:c r="B534" s="30" t="str">
        <x:v>LAW099</x:v>
      </x:c>
      <x:c r="C534" s="30" t="str">
        <x:v>SUB002</x:v>
      </x:c>
      <x:c r="D534" s="30" t="str">
        <x:v>Best Practice</x:v>
      </x:c>
      <x:c r="E534" s="30" t="str">
        <x:v>Internal control — no independent statutory force; apply the separately mapped underlying law where applicable</x:v>
      </x:c>
      <x:c r="F534" s="30" t="str">
        <x:v>Inventory Reconciliation</x:v>
      </x:c>
      <x:c r="G534" s="30" t="str">
        <x:v>Periodic reconciliation shall identify shortages, excesses and discrepancies for investigation.</x:v>
      </x:c>
      <x:c r="H534" s="30" t="str">
        <x:v>WHOLESALE</x:v>
      </x:c>
      <x:c r="I534" s="30" t="str">
        <x:v>Yes</x:v>
      </x:c>
      <x:c r="J534" s="30" t="str">
        <x:v>P-4 reparented to the canonical internal-control framework; approved sub-sector and Origin preserved.</x:v>
      </x:c>
    </x:row>
    <x:row r="535">
      <x:c r="A535" s="30" t="str">
        <x:v>WPROV019</x:v>
      </x:c>
      <x:c r="B535" s="30" t="str">
        <x:v>LAW099</x:v>
      </x:c>
      <x:c r="C535" s="30" t="str">
        <x:v>SUB002</x:v>
      </x:c>
      <x:c r="D535" s="30" t="str">
        <x:v>Best Practice</x:v>
      </x:c>
      <x:c r="E535" s="30" t="str">
        <x:v>Internal control — no independent statutory force; apply the separately mapped underlying law where applicable</x:v>
      </x:c>
      <x:c r="F535" s="30" t="str">
        <x:v>Staff GDP Competency</x:v>
      </x:c>
      <x:c r="G535" s="30" t="str">
        <x:v>Personnel engaged in wholesale distribution shall receive documented GDP competency training.</x:v>
      </x:c>
      <x:c r="H535" s="30" t="str">
        <x:v>WHOLESALE</x:v>
      </x:c>
      <x:c r="I535" s="30" t="str">
        <x:v>Yes</x:v>
      </x:c>
      <x:c r="J535" s="30" t="str">
        <x:v>P-4 reparented to the canonical internal-control framework; approved sub-sector and Origin preserved.</x:v>
      </x:c>
    </x:row>
    <x:row r="536">
      <x:c r="A536" s="30" t="str">
        <x:v>WPROV020</x:v>
      </x:c>
      <x:c r="B536" s="30" t="str">
        <x:v>LAW099</x:v>
      </x:c>
      <x:c r="C536" s="30" t="str">
        <x:v>SUB002</x:v>
      </x:c>
      <x:c r="D536" s="30" t="str">
        <x:v>Best Practice</x:v>
      </x:c>
      <x:c r="E536" s="30" t="str">
        <x:v>Internal control — no independent statutory force; apply the separately mapped underlying law where applicable</x:v>
      </x:c>
      <x:c r="F536" s="30" t="str">
        <x:v>Distribution Quality Review</x:v>
      </x:c>
      <x:c r="G536" s="30" t="str">
        <x:v>Management shall periodically review distribution quality indicators and compliance performance.</x:v>
      </x:c>
      <x:c r="H536" s="30" t="str">
        <x:v>WHOLESALE</x:v>
      </x:c>
      <x:c r="I536" s="30" t="str">
        <x:v>Yes</x:v>
      </x:c>
      <x:c r="J536" s="30" t="str">
        <x:v>P-4 reparented to the canonical internal-control framework; approved sub-sector and Origin preserved.</x:v>
      </x:c>
    </x:row>
    <x:row r="537">
      <x:c r="A537" s="30" t="str">
        <x:v>HOSPROV001</x:v>
      </x:c>
      <x:c r="B537" s="30" t="str">
        <x:v>LAW099</x:v>
      </x:c>
      <x:c r="C537" s="30" t="str">
        <x:v>SUB003</x:v>
      </x:c>
      <x:c r="D537" s="30" t="str">
        <x:v>Best Practice</x:v>
      </x:c>
      <x:c r="E537" s="30" t="str">
        <x:v>Internal control — no independent statutory force; apply the separately mapped underlying law where applicable</x:v>
      </x:c>
      <x:c r="F537" s="30" t="str">
        <x:v>In-Patient Medication Order Verification</x:v>
      </x:c>
      <x:c r="G537" s="30" t="str">
        <x:v>Every inpatient medication order shall be verified by a registered pharmacist before dispensing.</x:v>
      </x:c>
      <x:c r="H537" s="30" t="str">
        <x:v>HOSPITAL</x:v>
      </x:c>
      <x:c r="I537" s="30" t="str">
        <x:v>Yes</x:v>
      </x:c>
      <x:c r="J537" s="30" t="str">
        <x:v>P-4 reparented to the canonical internal-control framework; approved sub-sector and Origin preserved.</x:v>
      </x:c>
    </x:row>
    <x:row r="538">
      <x:c r="A538" s="30" t="str">
        <x:v>HOSPROV002</x:v>
      </x:c>
      <x:c r="B538" s="30" t="str">
        <x:v>LAW099</x:v>
      </x:c>
      <x:c r="C538" s="30" t="str">
        <x:v>SUB003</x:v>
      </x:c>
      <x:c r="D538" s="30" t="str">
        <x:v>Best Practice</x:v>
      </x:c>
      <x:c r="E538" s="30" t="str">
        <x:v>Internal control — no independent statutory force; apply the separately mapped underlying law where applicable</x:v>
      </x:c>
      <x:c r="F538" s="30" t="str">
        <x:v>Ward Stock Management</x:v>
      </x:c>
      <x:c r="G538" s="30" t="str">
        <x:v>Ward medicine stock shall be controlled through documented issue, return and reconciliation procedures.</x:v>
      </x:c>
      <x:c r="H538" s="30" t="str">
        <x:v>HOSPITAL</x:v>
      </x:c>
      <x:c r="I538" s="30" t="str">
        <x:v>Yes</x:v>
      </x:c>
      <x:c r="J538" s="30" t="str">
        <x:v>P-4 reparented to the canonical internal-control framework; approved sub-sector and Origin preserved.</x:v>
      </x:c>
    </x:row>
    <x:row r="539">
      <x:c r="A539" s="30" t="str">
        <x:v>HOSPROV003</x:v>
      </x:c>
      <x:c r="B539" s="30" t="str">
        <x:v>LAW099</x:v>
      </x:c>
      <x:c r="C539" s="30" t="str">
        <x:v>SUB003</x:v>
      </x:c>
      <x:c r="D539" s="30" t="str">
        <x:v>Best Practice</x:v>
      </x:c>
      <x:c r="E539" s="30" t="str">
        <x:v>Internal control — no independent statutory force; apply the separately mapped underlying law where applicable</x:v>
      </x:c>
      <x:c r="F539" s="30" t="str">
        <x:v>Patient-Specific Dispensing</x:v>
      </x:c>
      <x:c r="G539" s="30" t="str">
        <x:v>Medicines shall be dispensed against individual patient medication orders with complete traceability.</x:v>
      </x:c>
      <x:c r="H539" s="30" t="str">
        <x:v>HOSPITAL</x:v>
      </x:c>
      <x:c r="I539" s="30" t="str">
        <x:v>Yes</x:v>
      </x:c>
      <x:c r="J539" s="30" t="str">
        <x:v>P-4 reparented to the canonical internal-control framework; approved sub-sector and Origin preserved.</x:v>
      </x:c>
    </x:row>
    <x:row r="540">
      <x:c r="A540" s="30" t="str">
        <x:v>HOSPROV004</x:v>
      </x:c>
      <x:c r="B540" s="30" t="str">
        <x:v>LAW099</x:v>
      </x:c>
      <x:c r="C540" s="30" t="str">
        <x:v>SUB003</x:v>
      </x:c>
      <x:c r="D540" s="30" t="str">
        <x:v>Best Practice</x:v>
      </x:c>
      <x:c r="E540" s="30" t="str">
        <x:v>Internal control — no independent statutory force; apply the separately mapped underlying law where applicable</x:v>
      </x:c>
      <x:c r="F540" s="30" t="str">
        <x:v>Crash Cart Medication Control</x:v>
      </x:c>
      <x:c r="G540" s="30" t="str">
        <x:v>Emergency crash cart medicines shall be inspected, replenished and documented periodically.</x:v>
      </x:c>
      <x:c r="H540" s="30" t="str">
        <x:v>HOSPITAL</x:v>
      </x:c>
      <x:c r="I540" s="30" t="str">
        <x:v>Yes</x:v>
      </x:c>
      <x:c r="J540" s="30" t="str">
        <x:v>P-4 reparented to the canonical internal-control framework; approved sub-sector and Origin preserved.</x:v>
      </x:c>
    </x:row>
    <x:row r="541">
      <x:c r="A541" s="30" t="str">
        <x:v>HOSPROV005</x:v>
      </x:c>
      <x:c r="B541" s="30" t="str">
        <x:v>LAW099</x:v>
      </x:c>
      <x:c r="C541" s="30" t="str">
        <x:v>SUB003</x:v>
      </x:c>
      <x:c r="D541" s="30" t="str">
        <x:v>Best Practice</x:v>
      </x:c>
      <x:c r="E541" s="30" t="str">
        <x:v>Internal control — no independent statutory force; apply the separately mapped underlying law where applicable</x:v>
      </x:c>
      <x:c r="F541" s="30" t="str">
        <x:v>High-Alert Medicine Management</x:v>
      </x:c>
      <x:c r="G541" s="30" t="str">
        <x:v>High-alert medicines shall be separately identified, stored and monitored.</x:v>
      </x:c>
      <x:c r="H541" s="30" t="str">
        <x:v>HOSPITAL</x:v>
      </x:c>
      <x:c r="I541" s="30" t="str">
        <x:v>Yes</x:v>
      </x:c>
      <x:c r="J541" s="30" t="str">
        <x:v>P-4 reparented to the canonical internal-control framework; approved sub-sector and Origin preserved.</x:v>
      </x:c>
    </x:row>
    <x:row r="542">
      <x:c r="A542" s="30" t="str">
        <x:v>HOSPROV006</x:v>
      </x:c>
      <x:c r="B542" s="30" t="str">
        <x:v>LAW099</x:v>
      </x:c>
      <x:c r="C542" s="30" t="str">
        <x:v>SUB003</x:v>
      </x:c>
      <x:c r="D542" s="30" t="str">
        <x:v>Best Practice</x:v>
      </x:c>
      <x:c r="E542" s="30" t="str">
        <x:v>Internal control — no independent statutory force; apply the separately mapped underlying law where applicable</x:v>
      </x:c>
      <x:c r="F542" s="30" t="str">
        <x:v>Narcotic Issue Register</x:v>
      </x:c>
      <x:c r="G542" s="30" t="str">
        <x:v>Controlled medicines issued to wards shall be recorded in dedicated narcotic registers.</x:v>
      </x:c>
      <x:c r="H542" s="30" t="str">
        <x:v>HOSPITAL</x:v>
      </x:c>
      <x:c r="I542" s="30" t="str">
        <x:v>Yes</x:v>
      </x:c>
      <x:c r="J542" s="30" t="str">
        <x:v>P-4 reparented to the canonical internal-control framework; approved sub-sector and Origin preserved.</x:v>
      </x:c>
    </x:row>
    <x:row r="543">
      <x:c r="A543" s="30" t="str">
        <x:v>HOSPROV007</x:v>
      </x:c>
      <x:c r="B543" s="30" t="str">
        <x:v>LAW099</x:v>
      </x:c>
      <x:c r="C543" s="30" t="str">
        <x:v>SUB003</x:v>
      </x:c>
      <x:c r="D543" s="30" t="str">
        <x:v>Best Practice</x:v>
      </x:c>
      <x:c r="E543" s="30" t="str">
        <x:v>Internal control — no independent statutory force; apply the separately mapped underlying law where applicable</x:v>
      </x:c>
      <x:c r="F543" s="30" t="str">
        <x:v>Medication Administration Record Support</x:v>
      </x:c>
      <x:c r="G543" s="30" t="str">
        <x:v>Pharmacy shall maintain traceability between dispensed medicines and MAR records.</x:v>
      </x:c>
      <x:c r="H543" s="30" t="str">
        <x:v>HOSPITAL</x:v>
      </x:c>
      <x:c r="I543" s="30" t="str">
        <x:v>Yes</x:v>
      </x:c>
      <x:c r="J543" s="30" t="str">
        <x:v>P-4 reparented to the canonical internal-control framework; approved sub-sector and Origin preserved.</x:v>
      </x:c>
    </x:row>
    <x:row r="544">
      <x:c r="A544" s="30" t="str">
        <x:v>HOSPROV008</x:v>
      </x:c>
      <x:c r="B544" s="30" t="str">
        <x:v>LAW099</x:v>
      </x:c>
      <x:c r="C544" s="30" t="str">
        <x:v>SUB003</x:v>
      </x:c>
      <x:c r="D544" s="30" t="str">
        <x:v>Best Practice</x:v>
      </x:c>
      <x:c r="E544" s="30" t="str">
        <x:v>Internal control — no independent statutory force; apply the separately mapped underlying law where applicable</x:v>
      </x:c>
      <x:c r="F544" s="30" t="str">
        <x:v>Medication Error Reporting</x:v>
      </x:c>
      <x:c r="G544" s="30" t="str">
        <x:v>Medication errors shall be documented, investigated and corrective actions implemented.</x:v>
      </x:c>
      <x:c r="H544" s="30" t="str">
        <x:v>HOSPITAL</x:v>
      </x:c>
      <x:c r="I544" s="30" t="str">
        <x:v>Yes</x:v>
      </x:c>
      <x:c r="J544" s="30" t="str">
        <x:v>P-4 reparented to the canonical internal-control framework; approved sub-sector and Origin preserved.</x:v>
      </x:c>
    </x:row>
    <x:row r="545">
      <x:c r="A545" s="30" t="str">
        <x:v>HOSPROV009</x:v>
      </x:c>
      <x:c r="B545" s="30" t="str">
        <x:v>LAW099</x:v>
      </x:c>
      <x:c r="C545" s="30" t="str">
        <x:v>SUB003</x:v>
      </x:c>
      <x:c r="D545" s="30" t="str">
        <x:v>Best Practice</x:v>
      </x:c>
      <x:c r="E545" s="30" t="str">
        <x:v>Internal control — no independent statutory force; apply the separately mapped underlying law where applicable</x:v>
      </x:c>
      <x:c r="F545" s="30" t="str">
        <x:v>LASA Medicine Control</x:v>
      </x:c>
      <x:c r="G545" s="30" t="str">
        <x:v>Look-Alike Sound-Alike medicines shall be identified and managed through documented controls.</x:v>
      </x:c>
      <x:c r="H545" s="30" t="str">
        <x:v>HOSPITAL</x:v>
      </x:c>
      <x:c r="I545" s="30" t="str">
        <x:v>Yes</x:v>
      </x:c>
      <x:c r="J545" s="30" t="str">
        <x:v>P-4 reparented to the canonical internal-control framework; approved sub-sector and Origin preserved.</x:v>
      </x:c>
    </x:row>
    <x:row r="546">
      <x:c r="A546" s="30" t="str">
        <x:v>HOSPROV010</x:v>
      </x:c>
      <x:c r="B546" s="30" t="str">
        <x:v>LAW099</x:v>
      </x:c>
      <x:c r="C546" s="30" t="str">
        <x:v>SUB003</x:v>
      </x:c>
      <x:c r="D546" s="30" t="str">
        <x:v>Best Practice</x:v>
      </x:c>
      <x:c r="E546" s="30" t="str">
        <x:v>Internal control — no independent statutory force; apply the separately mapped underlying law where applicable</x:v>
      </x:c>
      <x:c r="F546" s="30" t="str">
        <x:v>ADR Reporting</x:v>
      </x:c>
      <x:c r="G546" s="30" t="str">
        <x:v>Suspected adverse drug reactions shall be documented and reported through pharmacovigilance procedures.</x:v>
      </x:c>
      <x:c r="H546" s="30" t="str">
        <x:v>HOSPITAL</x:v>
      </x:c>
      <x:c r="I546" s="30" t="str">
        <x:v>Yes</x:v>
      </x:c>
      <x:c r="J546" s="30" t="str">
        <x:v>P-4 reparented to the canonical internal-control framework; approved sub-sector and Origin preserved.</x:v>
      </x:c>
    </x:row>
    <x:row r="547">
      <x:c r="A547" s="30" t="str">
        <x:v>HOSPROV011</x:v>
      </x:c>
      <x:c r="B547" s="30" t="str">
        <x:v>LAW099</x:v>
      </x:c>
      <x:c r="C547" s="30" t="str">
        <x:v>SUB003</x:v>
      </x:c>
      <x:c r="D547" s="30" t="str">
        <x:v>Best Practice</x:v>
      </x:c>
      <x:c r="E547" s="30" t="str">
        <x:v>Internal control — no independent statutory force; apply the separately mapped underlying law where applicable</x:v>
      </x:c>
      <x:c r="F547" s="30" t="str">
        <x:v>Antibiotic Stewardship Support</x:v>
      </x:c>
      <x:c r="G547" s="30" t="str">
        <x:v>Pharmacy shall support antibiotic stewardship through prescription monitoring.</x:v>
      </x:c>
      <x:c r="H547" s="30" t="str">
        <x:v>HOSPITAL</x:v>
      </x:c>
      <x:c r="I547" s="30" t="str">
        <x:v>Yes</x:v>
      </x:c>
      <x:c r="J547" s="30" t="str">
        <x:v>P-4 reparented to the canonical internal-control framework; approved sub-sector and Origin preserved.</x:v>
      </x:c>
    </x:row>
    <x:row r="548">
      <x:c r="A548" s="30" t="str">
        <x:v>HOSPROV012</x:v>
      </x:c>
      <x:c r="B548" s="30" t="str">
        <x:v>LAW099</x:v>
      </x:c>
      <x:c r="C548" s="30" t="str">
        <x:v>SUB003</x:v>
      </x:c>
      <x:c r="D548" s="30" t="str">
        <x:v>Best Practice</x:v>
      </x:c>
      <x:c r="E548" s="30" t="str">
        <x:v>Internal control — no independent statutory force; apply the separately mapped underlying law where applicable</x:v>
      </x:c>
      <x:c r="F548" s="30" t="str">
        <x:v>Clinical Pharmacist Intervention Documentation</x:v>
      </x:c>
      <x:c r="G548" s="30" t="str">
        <x:v>Pharmacist interventions shall be documented and communicated to treating clinicians.</x:v>
      </x:c>
      <x:c r="H548" s="30" t="str">
        <x:v>HOSPITAL</x:v>
      </x:c>
      <x:c r="I548" s="30" t="str">
        <x:v>Yes</x:v>
      </x:c>
      <x:c r="J548" s="30" t="str">
        <x:v>P-4 reparented to the canonical internal-control framework; approved sub-sector and Origin preserved.</x:v>
      </x:c>
    </x:row>
    <x:row r="549">
      <x:c r="A549" s="30" t="str">
        <x:v>HOSPROV013</x:v>
      </x:c>
      <x:c r="B549" s="30" t="str">
        <x:v>LAW099</x:v>
      </x:c>
      <x:c r="C549" s="30" t="str">
        <x:v>SUB003</x:v>
      </x:c>
      <x:c r="D549" s="30" t="str">
        <x:v>Best Practice</x:v>
      </x:c>
      <x:c r="E549" s="30" t="str">
        <x:v>Internal control — no independent statutory force; apply the separately mapped underlying law where applicable</x:v>
      </x:c>
      <x:c r="F549" s="30" t="str">
        <x:v>Medication Return from Wards</x:v>
      </x:c>
      <x:c r="G549" s="30" t="str">
        <x:v>Returned medicines from wards shall be assessed before reuse or disposal.</x:v>
      </x:c>
      <x:c r="H549" s="30" t="str">
        <x:v>HOSPITAL</x:v>
      </x:c>
      <x:c r="I549" s="30" t="str">
        <x:v>Yes</x:v>
      </x:c>
      <x:c r="J549" s="30" t="str">
        <x:v>P-4 reparented to the canonical internal-control framework; approved sub-sector and Origin preserved.</x:v>
      </x:c>
    </x:row>
    <x:row r="550">
      <x:c r="A550" s="30" t="str">
        <x:v>HOSPROV014</x:v>
      </x:c>
      <x:c r="B550" s="30" t="str">
        <x:v>LAW099</x:v>
      </x:c>
      <x:c r="C550" s="30" t="str">
        <x:v>SUB003</x:v>
      </x:c>
      <x:c r="D550" s="30" t="str">
        <x:v>Best Practice</x:v>
      </x:c>
      <x:c r="E550" s="30" t="str">
        <x:v>Internal control — no independent statutory force; apply the separately mapped underlying law where applicable</x:v>
      </x:c>
      <x:c r="F550" s="30" t="str">
        <x:v>Inter-Ward Medicine Transfer Control</x:v>
      </x:c>
      <x:c r="G550" s="30" t="str">
        <x:v>Medicine transfers between wards shall be documented and authorized.</x:v>
      </x:c>
      <x:c r="H550" s="30" t="str">
        <x:v>HOSPITAL</x:v>
      </x:c>
      <x:c r="I550" s="30" t="str">
        <x:v>Yes</x:v>
      </x:c>
      <x:c r="J550" s="30" t="str">
        <x:v>P-4 reparented to the canonical internal-control framework; approved sub-sector and Origin preserved.</x:v>
      </x:c>
    </x:row>
    <x:row r="551">
      <x:c r="A551" s="30" t="str">
        <x:v>HOSPROV015</x:v>
      </x:c>
      <x:c r="B551" s="30" t="str">
        <x:v>LAW099</x:v>
      </x:c>
      <x:c r="C551" s="30" t="str">
        <x:v>SUB003</x:v>
      </x:c>
      <x:c r="D551" s="30" t="str">
        <x:v>Best Practice</x:v>
      </x:c>
      <x:c r="E551" s="30" t="str">
        <x:v>Internal control — no independent statutory force; apply the separately mapped underlying law where applicable</x:v>
      </x:c>
      <x:c r="F551" s="30" t="str">
        <x:v>Refrigerated Medicine Monitoring</x:v>
      </x:c>
      <x:c r="G551" s="30" t="str">
        <x:v>Refrigerated medicines shall be continuously temperature monitored within hospital pharmacies.</x:v>
      </x:c>
      <x:c r="H551" s="30" t="str">
        <x:v>HOSPITAL</x:v>
      </x:c>
      <x:c r="I551" s="30" t="str">
        <x:v>Yes</x:v>
      </x:c>
      <x:c r="J551" s="30" t="str">
        <x:v>P-4 reparented to the canonical internal-control framework; approved sub-sector and Origin preserved.</x:v>
      </x:c>
    </x:row>
    <x:row r="552">
      <x:c r="A552" s="30" t="str">
        <x:v>HOSPROV016</x:v>
      </x:c>
      <x:c r="B552" s="30" t="str">
        <x:v>LAW099</x:v>
      </x:c>
      <x:c r="C552" s="30" t="str">
        <x:v>SUB003</x:v>
      </x:c>
      <x:c r="D552" s="30" t="str">
        <x:v>Best Practice</x:v>
      </x:c>
      <x:c r="E552" s="30" t="str">
        <x:v>Internal control — no independent statutory force; apply the separately mapped underlying law where applicable</x:v>
      </x:c>
      <x:c r="F552" s="30" t="str">
        <x:v>Floor Stock Audit</x:v>
      </x:c>
      <x:c r="G552" s="30" t="str">
        <x:v>Periodic audits shall be conducted for ward floor stock medicines.</x:v>
      </x:c>
      <x:c r="H552" s="30" t="str">
        <x:v>HOSPITAL</x:v>
      </x:c>
      <x:c r="I552" s="30" t="str">
        <x:v>Yes</x:v>
      </x:c>
      <x:c r="J552" s="30" t="str">
        <x:v>P-4 reparented to the canonical internal-control framework; approved sub-sector and Origin preserved.</x:v>
      </x:c>
    </x:row>
    <x:row r="553">
      <x:c r="A553" s="30" t="str">
        <x:v>HOSPROV017</x:v>
      </x:c>
      <x:c r="B553" s="30" t="str">
        <x:v>LAW099</x:v>
      </x:c>
      <x:c r="C553" s="30" t="str">
        <x:v>SUB003</x:v>
      </x:c>
      <x:c r="D553" s="30" t="str">
        <x:v>Best Practice</x:v>
      </x:c>
      <x:c r="E553" s="30" t="str">
        <x:v>Internal control — no independent statutory force; apply the separately mapped underlying law where applicable</x:v>
      </x:c>
      <x:c r="F553" s="30" t="str">
        <x:v>Emergency Medicine Availability</x:v>
      </x:c>
      <x:c r="G553" s="30" t="str">
        <x:v>Critical emergency medicines shall remain continuously available and monitored.</x:v>
      </x:c>
      <x:c r="H553" s="30" t="str">
        <x:v>HOSPITAL</x:v>
      </x:c>
      <x:c r="I553" s="30" t="str">
        <x:v>Yes</x:v>
      </x:c>
      <x:c r="J553" s="30" t="str">
        <x:v>P-4 reparented to the canonical internal-control framework; approved sub-sector and Origin preserved.</x:v>
      </x:c>
    </x:row>
    <x:row r="554">
      <x:c r="A554" s="30" t="str">
        <x:v>HOSPROV018</x:v>
      </x:c>
      <x:c r="B554" s="30" t="str">
        <x:v>LAW099</x:v>
      </x:c>
      <x:c r="C554" s="30" t="str">
        <x:v>SUB003</x:v>
      </x:c>
      <x:c r="D554" s="30" t="str">
        <x:v>Best Practice</x:v>
      </x:c>
      <x:c r="E554" s="30" t="str">
        <x:v>Internal control — no independent statutory force; apply the separately mapped underlying law where applicable</x:v>
      </x:c>
      <x:c r="F554" s="30" t="str">
        <x:v>Patient Discharge Medication Reconciliation</x:v>
      </x:c>
      <x:c r="G554" s="30" t="str">
        <x:v>Pharmacy shall reconcile discharge medicines with inpatient therapy before discharge.</x:v>
      </x:c>
      <x:c r="H554" s="30" t="str">
        <x:v>HOSPITAL</x:v>
      </x:c>
      <x:c r="I554" s="30" t="str">
        <x:v>Yes</x:v>
      </x:c>
      <x:c r="J554" s="30" t="str">
        <x:v>P-4 reparented to the canonical internal-control framework; approved sub-sector and Origin preserved.</x:v>
      </x:c>
    </x:row>
    <x:row r="555">
      <x:c r="A555" s="30" t="str">
        <x:v>HOSPROV019</x:v>
      </x:c>
      <x:c r="B555" s="30" t="str">
        <x:v>LAW099</x:v>
      </x:c>
      <x:c r="C555" s="30" t="str">
        <x:v>SUB003</x:v>
      </x:c>
      <x:c r="D555" s="30" t="str">
        <x:v>Best Practice</x:v>
      </x:c>
      <x:c r="E555" s="30" t="str">
        <x:v>Internal control — no independent statutory force; apply the separately mapped underlying law where applicable</x:v>
      </x:c>
      <x:c r="F555" s="30" t="str">
        <x:v>Investigational Medicine Accountability</x:v>
      </x:c>
      <x:c r="G555" s="30" t="str">
        <x:v>Investigational medicines shall be separately controlled with documented accountability.</x:v>
      </x:c>
      <x:c r="H555" s="30" t="str">
        <x:v>HOSPITAL</x:v>
      </x:c>
      <x:c r="I555" s="30" t="str">
        <x:v>Yes</x:v>
      </x:c>
      <x:c r="J555" s="30" t="str">
        <x:v>P-4 reparented to the canonical internal-control framework; approved sub-sector and Origin preserved.</x:v>
      </x:c>
    </x:row>
    <x:row r="556">
      <x:c r="A556" s="30" t="str">
        <x:v>HOSPROV020</x:v>
      </x:c>
      <x:c r="B556" s="30" t="str">
        <x:v>LAW099</x:v>
      </x:c>
      <x:c r="C556" s="30" t="str">
        <x:v>SUB003</x:v>
      </x:c>
      <x:c r="D556" s="30" t="str">
        <x:v>Best Practice</x:v>
      </x:c>
      <x:c r="E556" s="30" t="str">
        <x:v>Internal control — no independent statutory force; apply the separately mapped underlying law where applicable</x:v>
      </x:c>
      <x:c r="F556" s="30" t="str">
        <x:v>Medication Storage in Patient Care Areas</x:v>
      </x:c>
      <x:c r="G556" s="30" t="str">
        <x:v>Medicines stored in patient care areas shall comply with documented storage and security requirements.</x:v>
      </x:c>
      <x:c r="H556" s="30" t="str">
        <x:v>HOSPITAL</x:v>
      </x:c>
      <x:c r="I556" s="30" t="str">
        <x:v>Yes</x:v>
      </x:c>
      <x:c r="J556" s="30" t="str">
        <x:v>P-4 reparented to the canonical internal-control framework; approved sub-sector and Origin preserved.</x:v>
      </x:c>
    </x:row>
    <x:row r="557">
      <x:c r="A557" s="30" t="str">
        <x:v>HOSPROV021</x:v>
      </x:c>
      <x:c r="B557" s="30" t="str">
        <x:v>LAW099</x:v>
      </x:c>
      <x:c r="C557" s="30" t="str">
        <x:v>SUB003</x:v>
      </x:c>
      <x:c r="D557" s="30" t="str">
        <x:v>Best Practice</x:v>
      </x:c>
      <x:c r="E557" s="30" t="str">
        <x:v>Internal control — no independent statutory force; apply the separately mapped underlying law where applicable</x:v>
      </x:c>
      <x:c r="F557" s="30" t="str">
        <x:v>Antimicrobial Stewardship Monitoring</x:v>
      </x:c>
      <x:c r="G557" s="30" t="str">
        <x:v>Pharmacy shall monitor restricted antimicrobial usage and support stewardship committees through documented reviews.</x:v>
      </x:c>
      <x:c r="H557" s="30" t="str">
        <x:v>HOSPITAL</x:v>
      </x:c>
      <x:c r="I557" s="30" t="str">
        <x:v>Yes</x:v>
      </x:c>
      <x:c r="J557" s="30" t="str">
        <x:v>P-4 reparented to the canonical internal-control framework; approved sub-sector and Origin preserved.</x:v>
      </x:c>
    </x:row>
    <x:row r="558">
      <x:c r="A558" s="30" t="str">
        <x:v>HOSPROV022</x:v>
      </x:c>
      <x:c r="B558" s="30" t="str">
        <x:v>LAW099</x:v>
      </x:c>
      <x:c r="C558" s="30" t="str">
        <x:v>SUB003</x:v>
      </x:c>
      <x:c r="D558" s="30" t="str">
        <x:v>Best Practice</x:v>
      </x:c>
      <x:c r="E558" s="30" t="str">
        <x:v>Internal control — no independent statutory force; apply the separately mapped underlying law where applicable</x:v>
      </x:c>
      <x:c r="F558" s="30" t="str">
        <x:v>Patient-Owned Medicines Management</x:v>
      </x:c>
      <x:c r="G558" s="30" t="str">
        <x:v>Patient-owned medicines shall be verified, documented and controlled before inpatient use.</x:v>
      </x:c>
      <x:c r="H558" s="30" t="str">
        <x:v>HOSPITAL</x:v>
      </x:c>
      <x:c r="I558" s="30" t="str">
        <x:v>Yes</x:v>
      </x:c>
      <x:c r="J558" s="30" t="str">
        <x:v>P-4 reparented to the canonical internal-control framework; approved sub-sector and Origin preserved.</x:v>
      </x:c>
    </x:row>
    <x:row r="559">
      <x:c r="A559" s="30" t="str">
        <x:v>HOSPROV023</x:v>
      </x:c>
      <x:c r="B559" s="30" t="str">
        <x:v>LAW099</x:v>
      </x:c>
      <x:c r="C559" s="30" t="str">
        <x:v>SUB003</x:v>
      </x:c>
      <x:c r="D559" s="30" t="str">
        <x:v>Best Practice</x:v>
      </x:c>
      <x:c r="E559" s="30" t="str">
        <x:v>Internal control — no independent statutory force; apply the separately mapped underlying law where applicable</x:v>
      </x:c>
      <x:c r="F559" s="30" t="str">
        <x:v>Investigational Drug Storage</x:v>
      </x:c>
      <x:c r="G559" s="30" t="str">
        <x:v>Investigational medicinal products shall be stored separately with controlled access and documented accountability.</x:v>
      </x:c>
      <x:c r="H559" s="30" t="str">
        <x:v>HOSPITAL</x:v>
      </x:c>
      <x:c r="I559" s="30" t="str">
        <x:v>Yes</x:v>
      </x:c>
      <x:c r="J559" s="30" t="str">
        <x:v>P-4 reparented to the canonical internal-control framework; approved sub-sector and Origin preserved.</x:v>
      </x:c>
    </x:row>
    <x:row r="560">
      <x:c r="A560" s="30" t="str">
        <x:v>HOSPROV024</x:v>
      </x:c>
      <x:c r="B560" s="30" t="str">
        <x:v>LAW099</x:v>
      </x:c>
      <x:c r="C560" s="30" t="str">
        <x:v>SUB003</x:v>
      </x:c>
      <x:c r="D560" s="30" t="str">
        <x:v>Best Practice</x:v>
      </x:c>
      <x:c r="E560" s="30" t="str">
        <x:v>Internal control — no independent statutory force; apply the separately mapped underlying law where applicable</x:v>
      </x:c>
      <x:c r="F560" s="30" t="str">
        <x:v>Clinical Trial Drug Accountability</x:v>
      </x:c>
      <x:c r="G560" s="30" t="str">
        <x:v>Receipt, dispensing, return and destruction of investigational medicines shall be fully documented.</x:v>
      </x:c>
      <x:c r="H560" s="30" t="str">
        <x:v>HOSPITAL</x:v>
      </x:c>
      <x:c r="I560" s="30" t="str">
        <x:v>Yes</x:v>
      </x:c>
      <x:c r="J560" s="30" t="str">
        <x:v>P-4 reparented to the canonical internal-control framework; approved sub-sector and Origin preserved.</x:v>
      </x:c>
    </x:row>
    <x:row r="561">
      <x:c r="A561" s="30" t="str">
        <x:v>HOSPROV025</x:v>
      </x:c>
      <x:c r="B561" s="30" t="str">
        <x:v>LAW099</x:v>
      </x:c>
      <x:c r="C561" s="30" t="str">
        <x:v>SUB003</x:v>
      </x:c>
      <x:c r="D561" s="30" t="str">
        <x:v>Best Practice</x:v>
      </x:c>
      <x:c r="E561" s="30" t="str">
        <x:v>Internal control — no independent statutory force; apply the separately mapped underlying law where applicable</x:v>
      </x:c>
      <x:c r="F561" s="30" t="str">
        <x:v>Blood Product Storage Control</x:v>
      </x:c>
      <x:c r="G561" s="30" t="str">
        <x:v>Blood products shall be stored, monitored and issued under validated conditions.</x:v>
      </x:c>
      <x:c r="H561" s="30" t="str">
        <x:v>HOSPITAL</x:v>
      </x:c>
      <x:c r="I561" s="30" t="str">
        <x:v>Yes</x:v>
      </x:c>
      <x:c r="J561" s="30" t="str">
        <x:v>P-4 reparented to the canonical internal-control framework; approved sub-sector and Origin preserved.</x:v>
      </x:c>
    </x:row>
    <x:row r="562">
      <x:c r="A562" s="30" t="str">
        <x:v>HOSPROV026</x:v>
      </x:c>
      <x:c r="B562" s="30" t="str">
        <x:v>LAW099</x:v>
      </x:c>
      <x:c r="C562" s="30" t="str">
        <x:v>SUB003</x:v>
      </x:c>
      <x:c r="D562" s="30" t="str">
        <x:v>Best Practice</x:v>
      </x:c>
      <x:c r="E562" s="30" t="str">
        <x:v>Internal control — no independent statutory force; apply the separately mapped underlying law where applicable</x:v>
      </x:c>
      <x:c r="F562" s="30" t="str">
        <x:v>Vaccine Cold Chain Management</x:v>
      </x:c>
      <x:c r="G562" s="30" t="str">
        <x:v>Vaccines shall remain within validated cold-chain conditions throughout storage and handling.</x:v>
      </x:c>
      <x:c r="H562" s="30" t="str">
        <x:v>HOSPITAL</x:v>
      </x:c>
      <x:c r="I562" s="30" t="str">
        <x:v>Yes</x:v>
      </x:c>
      <x:c r="J562" s="30" t="str">
        <x:v>P-4 reparented to the canonical internal-control framework; approved sub-sector and Origin preserved.</x:v>
      </x:c>
    </x:row>
    <x:row r="563">
      <x:c r="A563" s="30" t="str">
        <x:v>HOSPROV027</x:v>
      </x:c>
      <x:c r="B563" s="30" t="str">
        <x:v>LAW099</x:v>
      </x:c>
      <x:c r="C563" s="30" t="str">
        <x:v>SUB003</x:v>
      </x:c>
      <x:c r="D563" s="30" t="str">
        <x:v>Best Practice</x:v>
      </x:c>
      <x:c r="E563" s="30" t="str">
        <x:v>Internal control — no independent statutory force; apply the separately mapped underlying law where applicable</x:v>
      </x:c>
      <x:c r="F563" s="30" t="str">
        <x:v>Satellite Pharmacy Governance</x:v>
      </x:c>
      <x:c r="G563" s="30" t="str">
        <x:v>Satellite pharmacies shall operate under centralized pharmacy governance and documented SOPs.</x:v>
      </x:c>
      <x:c r="H563" s="30" t="str">
        <x:v>HOSPITAL</x:v>
      </x:c>
      <x:c r="I563" s="30" t="str">
        <x:v>Yes</x:v>
      </x:c>
      <x:c r="J563" s="30" t="str">
        <x:v>P-4 reparented to the canonical internal-control framework; approved sub-sector and Origin preserved.</x:v>
      </x:c>
    </x:row>
    <x:row r="564">
      <x:c r="A564" s="30" t="str">
        <x:v>HOSPROV028</x:v>
      </x:c>
      <x:c r="B564" s="30" t="str">
        <x:v>LAW099</x:v>
      </x:c>
      <x:c r="C564" s="30" t="str">
        <x:v>SUB003</x:v>
      </x:c>
      <x:c r="D564" s="30" t="str">
        <x:v>Best Practice</x:v>
      </x:c>
      <x:c r="E564" s="30" t="str">
        <x:v>Internal control — no independent statutory force; apply the separately mapped underlying law where applicable</x:v>
      </x:c>
      <x:c r="F564" s="30" t="str">
        <x:v>Automated Dispensing Cabinet Control</x:v>
      </x:c>
      <x:c r="G564" s="30" t="str">
        <x:v>Automated dispensing cabinets shall be access-controlled, reconciled and periodically audited.</x:v>
      </x:c>
      <x:c r="H564" s="30" t="str">
        <x:v>HOSPITAL</x:v>
      </x:c>
      <x:c r="I564" s="30" t="str">
        <x:v>Yes</x:v>
      </x:c>
      <x:c r="J564" s="30" t="str">
        <x:v>P-4 reparented to the canonical internal-control framework; approved sub-sector and Origin preserved.</x:v>
      </x:c>
    </x:row>
    <x:row r="565">
      <x:c r="A565" s="30" t="str">
        <x:v>HOSPROV029</x:v>
      </x:c>
      <x:c r="B565" s="30" t="str">
        <x:v>LAW099</x:v>
      </x:c>
      <x:c r="C565" s="30" t="str">
        <x:v>SUB003</x:v>
      </x:c>
      <x:c r="D565" s="30" t="str">
        <x:v>Best Practice</x:v>
      </x:c>
      <x:c r="E565" s="30" t="str">
        <x:v>Internal control — no independent statutory force; apply the separately mapped underlying law where applicable</x:v>
      </x:c>
      <x:c r="F565" s="30" t="str">
        <x:v>Medication Safety Programme</x:v>
      </x:c>
      <x:c r="G565" s="30" t="str">
        <x:v>Pharmacy shall maintain a structured medication safety programme with continuous monitoring.</x:v>
      </x:c>
      <x:c r="H565" s="30" t="str">
        <x:v>HOSPITAL</x:v>
      </x:c>
      <x:c r="I565" s="30" t="str">
        <x:v>Yes</x:v>
      </x:c>
      <x:c r="J565" s="30" t="str">
        <x:v>P-4 reparented to the canonical internal-control framework; approved sub-sector and Origin preserved.</x:v>
      </x:c>
    </x:row>
    <x:row r="566">
      <x:c r="A566" s="30" t="str">
        <x:v>HOSPROV030</x:v>
      </x:c>
      <x:c r="B566" s="30" t="str">
        <x:v>LAW099</x:v>
      </x:c>
      <x:c r="C566" s="30" t="str">
        <x:v>SUB003</x:v>
      </x:c>
      <x:c r="D566" s="30" t="str">
        <x:v>Best Practice</x:v>
      </x:c>
      <x:c r="E566" s="30" t="str">
        <x:v>Internal control — no independent statutory force; apply the separately mapped underlying law where applicable</x:v>
      </x:c>
      <x:c r="F566" s="30" t="str">
        <x:v>Hospital Formulary Management</x:v>
      </x:c>
      <x:c r="G566" s="30" t="str">
        <x:v>Hospital formulary shall be periodically reviewed, approved and communicated.</x:v>
      </x:c>
      <x:c r="H566" s="30" t="str">
        <x:v>HOSPITAL</x:v>
      </x:c>
      <x:c r="I566" s="30" t="str">
        <x:v>Yes</x:v>
      </x:c>
      <x:c r="J566" s="30" t="str">
        <x:v>P-4 reparented to the canonical internal-control framework; approved sub-sector and Origin preserved.</x:v>
      </x:c>
    </x:row>
    <x:row r="567">
      <x:c r="A567" s="30" t="str">
        <x:v>HOSPROV031</x:v>
      </x:c>
      <x:c r="B567" s="30" t="str">
        <x:v>LAW099</x:v>
      </x:c>
      <x:c r="C567" s="30" t="str">
        <x:v>SUB003</x:v>
      </x:c>
      <x:c r="D567" s="30" t="str">
        <x:v>Best Practice</x:v>
      </x:c>
      <x:c r="E567" s="30" t="str">
        <x:v>Internal control — no independent statutory force; apply the separately mapped underlying law where applicable</x:v>
      </x:c>
      <x:c r="F567" s="30" t="str">
        <x:v>Drug Shortage Management</x:v>
      </x:c>
      <x:c r="G567" s="30" t="str">
        <x:v>Pharmacy shall maintain documented procedures for identifying and managing drug shortages.</x:v>
      </x:c>
      <x:c r="H567" s="30" t="str">
        <x:v>HOSPITAL</x:v>
      </x:c>
      <x:c r="I567" s="30" t="str">
        <x:v>Yes</x:v>
      </x:c>
      <x:c r="J567" s="30" t="str">
        <x:v>P-4 reparented to the canonical internal-control framework; approved sub-sector and Origin preserved.</x:v>
      </x:c>
    </x:row>
    <x:row r="568">
      <x:c r="A568" s="30" t="str">
        <x:v>HOSPROV032</x:v>
      </x:c>
      <x:c r="B568" s="30" t="str">
        <x:v>LAW099</x:v>
      </x:c>
      <x:c r="C568" s="30" t="str">
        <x:v>SUB003</x:v>
      </x:c>
      <x:c r="D568" s="30" t="str">
        <x:v>Best Practice</x:v>
      </x:c>
      <x:c r="E568" s="30" t="str">
        <x:v>Internal control — no independent statutory force; apply the separately mapped underlying law where applicable</x:v>
      </x:c>
      <x:c r="F568" s="30" t="str">
        <x:v>Emergency Pharmaceutical Preparedness</x:v>
      </x:c>
      <x:c r="G568" s="30" t="str">
        <x:v>Emergency medicine inventory shall support disaster preparedness plans.</x:v>
      </x:c>
      <x:c r="H568" s="30" t="str">
        <x:v>HOSPITAL</x:v>
      </x:c>
      <x:c r="I568" s="30" t="str">
        <x:v>Yes</x:v>
      </x:c>
      <x:c r="J568" s="30" t="str">
        <x:v>P-4 reparented to the canonical internal-control framework; approved sub-sector and Origin preserved.</x:v>
      </x:c>
    </x:row>
    <x:row r="569">
      <x:c r="A569" s="30" t="str">
        <x:v>HOSPROV033</x:v>
      </x:c>
      <x:c r="B569" s="30" t="str">
        <x:v>LAW099</x:v>
      </x:c>
      <x:c r="C569" s="30" t="str">
        <x:v>SUB003</x:v>
      </x:c>
      <x:c r="D569" s="30" t="str">
        <x:v>Best Practice</x:v>
      </x:c>
      <x:c r="E569" s="30" t="str">
        <x:v>Internal control — no independent statutory force; apply the separately mapped underlying law where applicable</x:v>
      </x:c>
      <x:c r="F569" s="30" t="str">
        <x:v>Outsourced Pharmacy Service Oversight</x:v>
      </x:c>
      <x:c r="G569" s="30" t="str">
        <x:v>Outsourced pharmacy services shall be governed through documented agreements and performance monitoring.</x:v>
      </x:c>
      <x:c r="H569" s="30" t="str">
        <x:v>HOSPITAL</x:v>
      </x:c>
      <x:c r="I569" s="30" t="str">
        <x:v>Yes</x:v>
      </x:c>
      <x:c r="J569" s="30" t="str">
        <x:v>P-4 reparented to the canonical internal-control framework; approved sub-sector and Origin preserved.</x:v>
      </x:c>
    </x:row>
    <x:row r="570">
      <x:c r="A570" s="30" t="str">
        <x:v>HOSPROV034</x:v>
      </x:c>
      <x:c r="B570" s="30" t="str">
        <x:v>LAW099</x:v>
      </x:c>
      <x:c r="C570" s="30" t="str">
        <x:v>SUB003</x:v>
      </x:c>
      <x:c r="D570" s="30" t="str">
        <x:v>Best Practice</x:v>
      </x:c>
      <x:c r="E570" s="30" t="str">
        <x:v>Internal control — no independent statutory force; apply the separately mapped underlying law where applicable</x:v>
      </x:c>
      <x:c r="F570" s="30" t="str">
        <x:v>Telepharmacy Service Governance</x:v>
      </x:c>
      <x:c r="G570" s="30" t="str">
        <x:v>Telepharmacy services shall comply with approved SOPs, authentication and documentation requirements.</x:v>
      </x:c>
      <x:c r="H570" s="30" t="str">
        <x:v>HOSPITAL</x:v>
      </x:c>
      <x:c r="I570" s="30" t="str">
        <x:v>Yes</x:v>
      </x:c>
      <x:c r="J570" s="30" t="str">
        <x:v>P-4 reparented to the canonical internal-control framework; approved sub-sector and Origin preserved.</x:v>
      </x:c>
    </x:row>
    <x:row r="571">
      <x:c r="A571" s="30" t="str">
        <x:v>HOSPROV035</x:v>
      </x:c>
      <x:c r="B571" s="30" t="str">
        <x:v>LAW099</x:v>
      </x:c>
      <x:c r="C571" s="30" t="str">
        <x:v>SUB003</x:v>
      </x:c>
      <x:c r="D571" s="30" t="str">
        <x:v>Best Practice</x:v>
      </x:c>
      <x:c r="E571" s="30" t="str">
        <x:v>Internal control — no independent statutory force; apply the separately mapped underlying law where applicable</x:v>
      </x:c>
      <x:c r="F571" s="30" t="str">
        <x:v>Hazardous Medicine Handling</x:v>
      </x:c>
      <x:c r="G571" s="30" t="str">
        <x:v>Hazardous medicines shall be stored, prepared and disposed of using approved safety procedures.</x:v>
      </x:c>
      <x:c r="H571" s="30" t="str">
        <x:v>HOSPITAL</x:v>
      </x:c>
      <x:c r="I571" s="30" t="str">
        <x:v>Yes</x:v>
      </x:c>
      <x:c r="J571" s="30" t="str">
        <x:v>P-4 reparented to the canonical internal-control framework; approved sub-sector and Origin preserved.</x:v>
      </x:c>
    </x:row>
    <x:row r="572">
      <x:c r="A572" s="30" t="str">
        <x:v>HOSPROV036</x:v>
      </x:c>
      <x:c r="B572" s="30" t="str">
        <x:v>LAW099</x:v>
      </x:c>
      <x:c r="C572" s="30" t="str">
        <x:v>SUB003</x:v>
      </x:c>
      <x:c r="D572" s="30" t="str">
        <x:v>Best Practice</x:v>
      </x:c>
      <x:c r="E572" s="30" t="str">
        <x:v>Internal control — no independent statutory force; apply the separately mapped underlying law where applicable</x:v>
      </x:c>
      <x:c r="F572" s="30" t="str">
        <x:v>Pharmacist Credentialing</x:v>
      </x:c>
      <x:c r="G572" s="30" t="str">
        <x:v>Clinical pharmacists shall possess documented competency, credentialing and privilege records.</x:v>
      </x:c>
      <x:c r="H572" s="30" t="str">
        <x:v>HOSPITAL</x:v>
      </x:c>
      <x:c r="I572" s="30" t="str">
        <x:v>Yes</x:v>
      </x:c>
      <x:c r="J572" s="30" t="str">
        <x:v>P-4 reparented to the canonical internal-control framework; approved sub-sector and Origin preserved.</x:v>
      </x:c>
    </x:row>
    <x:row r="573">
      <x:c r="A573" s="30" t="str">
        <x:v>HOSPROV037</x:v>
      </x:c>
      <x:c r="B573" s="30" t="str">
        <x:v>LAW099</x:v>
      </x:c>
      <x:c r="C573" s="30" t="str">
        <x:v>SUB003</x:v>
      </x:c>
      <x:c r="D573" s="30" t="str">
        <x:v>Best Practice</x:v>
      </x:c>
      <x:c r="E573" s="30" t="str">
        <x:v>Internal control — no independent statutory force; apply the separately mapped underlying law where applicable</x:v>
      </x:c>
      <x:c r="F573" s="30" t="str">
        <x:v>Pharmacy KPI Monitoring</x:v>
      </x:c>
      <x:c r="G573" s="30" t="str">
        <x:v>Pharmacy quality indicators shall be monitored, analysed and reported periodically.</x:v>
      </x:c>
      <x:c r="H573" s="30" t="str">
        <x:v>HOSPITAL</x:v>
      </x:c>
      <x:c r="I573" s="30" t="str">
        <x:v>Yes</x:v>
      </x:c>
      <x:c r="J573" s="30" t="str">
        <x:v>P-4 reparented to the canonical internal-control framework; approved sub-sector and Origin preserved.</x:v>
      </x:c>
    </x:row>
    <x:row r="574">
      <x:c r="A574" s="30" t="str">
        <x:v>HOSPROV038</x:v>
      </x:c>
      <x:c r="B574" s="30" t="str">
        <x:v>LAW099</x:v>
      </x:c>
      <x:c r="C574" s="30" t="str">
        <x:v>SUB003</x:v>
      </x:c>
      <x:c r="D574" s="30" t="str">
        <x:v>Best Practice</x:v>
      </x:c>
      <x:c r="E574" s="30" t="str">
        <x:v>Internal control — no independent statutory force; apply the separately mapped underlying law where applicable</x:v>
      </x:c>
      <x:c r="F574" s="30" t="str">
        <x:v>Pharmacy Governance Committee</x:v>
      </x:c>
      <x:c r="G574" s="30" t="str">
        <x:v>Pharmacy governance committee shall periodically review pharmacy quality, safety and compliance.</x:v>
      </x:c>
      <x:c r="H574" s="30" t="str">
        <x:v>HOSPITAL</x:v>
      </x:c>
      <x:c r="I574" s="30" t="str">
        <x:v>Yes</x:v>
      </x:c>
      <x:c r="J574" s="30" t="str">
        <x:v>P-4 reparented to the canonical internal-control framework; approved sub-sector and Origin preserved.</x:v>
      </x:c>
    </x:row>
    <x:row r="575">
      <x:c r="A575" s="30" t="str">
        <x:v>HOSPROV039</x:v>
      </x:c>
      <x:c r="B575" s="30" t="str">
        <x:v>LAW099</x:v>
      </x:c>
      <x:c r="C575" s="30" t="str">
        <x:v>SUB003</x:v>
      </x:c>
      <x:c r="D575" s="30" t="str">
        <x:v>Best Practice</x:v>
      </x:c>
      <x:c r="E575" s="30" t="str">
        <x:v>Internal control — no independent statutory force; apply the separately mapped underlying law where applicable</x:v>
      </x:c>
      <x:c r="F575" s="30" t="str">
        <x:v>Medication Safety Indicators</x:v>
      </x:c>
      <x:c r="G575" s="30" t="str">
        <x:v>Medication safety indicators shall be monitored with documented corrective actions.</x:v>
      </x:c>
      <x:c r="H575" s="30" t="str">
        <x:v>HOSPITAL</x:v>
      </x:c>
      <x:c r="I575" s="30" t="str">
        <x:v>Yes</x:v>
      </x:c>
      <x:c r="J575" s="30" t="str">
        <x:v>P-4 reparented to the canonical internal-control framework; approved sub-sector and Origin preserved.</x:v>
      </x:c>
    </x:row>
    <x:row r="576">
      <x:c r="A576" s="30" t="str">
        <x:v>HOSPROV040</x:v>
      </x:c>
      <x:c r="B576" s="30" t="str">
        <x:v>LAW099</x:v>
      </x:c>
      <x:c r="C576" s="30" t="str">
        <x:v>SUB003</x:v>
      </x:c>
      <x:c r="D576" s="30" t="str">
        <x:v>Best Practice</x:v>
      </x:c>
      <x:c r="E576" s="30" t="str">
        <x:v>Internal control — no independent statutory force; apply the separately mapped underlying law where applicable</x:v>
      </x:c>
      <x:c r="F576" s="30" t="str">
        <x:v>Hospital Pharmacy Quality Management System</x:v>
      </x:c>
      <x:c r="G576" s="30" t="str">
        <x:v>Pharmacy shall maintain a documented quality management system with periodic management review.</x:v>
      </x:c>
      <x:c r="H576" s="30" t="str">
        <x:v>HOSPITAL</x:v>
      </x:c>
      <x:c r="I576" s="30" t="str">
        <x:v>Yes</x:v>
      </x:c>
      <x:c r="J576" s="30" t="str">
        <x:v>P-4 reparented to the canonical internal-control framework; approved sub-sector and Origin preserved.</x:v>
      </x:c>
    </x:row>
    <x:row r="577">
      <x:c r="A577" s="30" t="str">
        <x:v>CPROV001</x:v>
      </x:c>
      <x:c r="B577" s="30" t="str">
        <x:v>LAW099</x:v>
      </x:c>
      <x:c r="C577" s="30" t="str">
        <x:v>SUB004</x:v>
      </x:c>
      <x:c r="D577" s="30" t="str">
        <x:v>Best Practice</x:v>
      </x:c>
      <x:c r="E577" s="30" t="str">
        <x:v>Internal control — no independent statutory force; apply the separately mapped underlying law where applicable</x:v>
      </x:c>
      <x:c r="F577" s="30" t="str">
        <x:v>Centralized SOP Governance</x:v>
      </x:c>
      <x:c r="G577" s="30" t="str">
        <x:v>All pharmacy branches shall operate under centrally approved and version-controlled SOPs.</x:v>
      </x:c>
      <x:c r="H577" s="30" t="str">
        <x:v>CHAIN</x:v>
      </x:c>
      <x:c r="I577" s="30" t="str">
        <x:v>Yes</x:v>
      </x:c>
      <x:c r="J577" s="30" t="str">
        <x:v>P-4 reparented to the canonical internal-control framework; approved sub-sector and Origin preserved.</x:v>
      </x:c>
    </x:row>
    <x:row r="578">
      <x:c r="A578" s="30" t="str">
        <x:v>CPROV002</x:v>
      </x:c>
      <x:c r="B578" s="30" t="str">
        <x:v>LAW099</x:v>
      </x:c>
      <x:c r="C578" s="30" t="str">
        <x:v>SUB004</x:v>
      </x:c>
      <x:c r="D578" s="30" t="str">
        <x:v>Best Practice</x:v>
      </x:c>
      <x:c r="E578" s="30" t="str">
        <x:v>Internal control — no independent statutory force; apply the separately mapped underlying law where applicable</x:v>
      </x:c>
      <x:c r="F578" s="30" t="str">
        <x:v>Multi-Branch Licence Compliance</x:v>
      </x:c>
      <x:c r="G578" s="30" t="str">
        <x:v>Every branch shall maintain and periodically verify the validity of its applicable licences and approvals.</x:v>
      </x:c>
      <x:c r="H578" s="30" t="str">
        <x:v>CHAIN</x:v>
      </x:c>
      <x:c r="I578" s="30" t="str">
        <x:v>Yes</x:v>
      </x:c>
      <x:c r="J578" s="30" t="str">
        <x:v>P-4 reparented to the canonical internal-control framework; approved sub-sector and Origin preserved.</x:v>
      </x:c>
    </x:row>
    <x:row r="579">
      <x:c r="A579" s="30" t="str">
        <x:v>CPROV003</x:v>
      </x:c>
      <x:c r="B579" s="30" t="str">
        <x:v>LAW099</x:v>
      </x:c>
      <x:c r="C579" s="30" t="str">
        <x:v>SUB004</x:v>
      </x:c>
      <x:c r="D579" s="30" t="str">
        <x:v>Best Practice</x:v>
      </x:c>
      <x:c r="E579" s="30" t="str">
        <x:v>Internal control — no independent statutory force; apply the separately mapped underlying law where applicable</x:v>
      </x:c>
      <x:c r="F579" s="30" t="str">
        <x:v>Central Procurement Governance</x:v>
      </x:c>
      <x:c r="G579" s="30" t="str">
        <x:v>Procurement shall be centrally governed using approved suppliers and standardized purchasing procedures.</x:v>
      </x:c>
      <x:c r="H579" s="30" t="str">
        <x:v>CHAIN</x:v>
      </x:c>
      <x:c r="I579" s="30" t="str">
        <x:v>Yes</x:v>
      </x:c>
      <x:c r="J579" s="30" t="str">
        <x:v>P-4 reparented to the canonical internal-control framework; approved sub-sector and Origin preserved.</x:v>
      </x:c>
    </x:row>
    <x:row r="580">
      <x:c r="A580" s="30" t="str">
        <x:v>CPROV004</x:v>
      </x:c>
      <x:c r="B580" s="30" t="str">
        <x:v>LAW099</x:v>
      </x:c>
      <x:c r="C580" s="30" t="str">
        <x:v>SUB004</x:v>
      </x:c>
      <x:c r="D580" s="30" t="str">
        <x:v>Best Practice</x:v>
      </x:c>
      <x:c r="E580" s="30" t="str">
        <x:v>Internal control — no independent statutory force; apply the separately mapped underlying law where applicable</x:v>
      </x:c>
      <x:c r="F580" s="30" t="str">
        <x:v>Branch Inventory Standardization</x:v>
      </x:c>
      <x:c r="G580" s="30" t="str">
        <x:v>Inventory management standards shall be consistently implemented across all branches.</x:v>
      </x:c>
      <x:c r="H580" s="30" t="str">
        <x:v>CHAIN</x:v>
      </x:c>
      <x:c r="I580" s="30" t="str">
        <x:v>Yes</x:v>
      </x:c>
      <x:c r="J580" s="30" t="str">
        <x:v>P-4 reparented to the canonical internal-control framework; approved sub-sector and Origin preserved.</x:v>
      </x:c>
    </x:row>
    <x:row r="581">
      <x:c r="A581" s="30" t="str">
        <x:v>CPROV005</x:v>
      </x:c>
      <x:c r="B581" s="30" t="str">
        <x:v>LAW099</x:v>
      </x:c>
      <x:c r="C581" s="30" t="str">
        <x:v>SUB004</x:v>
      </x:c>
      <x:c r="D581" s="30" t="str">
        <x:v>Best Practice</x:v>
      </x:c>
      <x:c r="E581" s="30" t="str">
        <x:v>Internal control — no independent statutory force; apply the separately mapped underlying law where applicable</x:v>
      </x:c>
      <x:c r="F581" s="30" t="str">
        <x:v>Inter-Branch Stock Transfer Control</x:v>
      </x:c>
      <x:c r="G581" s="30" t="str">
        <x:v>Medicine transfers between branches shall be authorized, documented and fully traceable.</x:v>
      </x:c>
      <x:c r="H581" s="30" t="str">
        <x:v>CHAIN</x:v>
      </x:c>
      <x:c r="I581" s="30" t="str">
        <x:v>Yes</x:v>
      </x:c>
      <x:c r="J581" s="30" t="str">
        <x:v>P-4 reparented to the canonical internal-control framework; approved sub-sector and Origin preserved.</x:v>
      </x:c>
    </x:row>
    <x:row r="582">
      <x:c r="A582" s="30" t="str">
        <x:v>CPROV006</x:v>
      </x:c>
      <x:c r="B582" s="30" t="str">
        <x:v>LAW099</x:v>
      </x:c>
      <x:c r="C582" s="30" t="str">
        <x:v>SUB004</x:v>
      </x:c>
      <x:c r="D582" s="30" t="str">
        <x:v>Best Practice</x:v>
      </x:c>
      <x:c r="E582" s="30" t="str">
        <x:v>Internal control — no independent statutory force; apply the separately mapped underlying law where applicable</x:v>
      </x:c>
      <x:c r="F582" s="30" t="str">
        <x:v>Corporate Recall Coordination</x:v>
      </x:c>
      <x:c r="G582" s="30" t="str">
        <x:v>Product recalls shall be centrally coordinated with documented execution across every branch.</x:v>
      </x:c>
      <x:c r="H582" s="30" t="str">
        <x:v>CHAIN</x:v>
      </x:c>
      <x:c r="I582" s="30" t="str">
        <x:v>Yes</x:v>
      </x:c>
      <x:c r="J582" s="30" t="str">
        <x:v>P-4 reparented to the canonical internal-control framework; approved sub-sector and Origin preserved.</x:v>
      </x:c>
    </x:row>
    <x:row r="583">
      <x:c r="A583" s="30" t="str">
        <x:v>CPROV007</x:v>
      </x:c>
      <x:c r="B583" s="30" t="str">
        <x:v>LAW099</x:v>
      </x:c>
      <x:c r="C583" s="30" t="str">
        <x:v>SUB004</x:v>
      </x:c>
      <x:c r="D583" s="30" t="str">
        <x:v>Best Practice</x:v>
      </x:c>
      <x:c r="E583" s="30" t="str">
        <x:v>Internal control — no independent statutory force; apply the separately mapped underlying law where applicable</x:v>
      </x:c>
      <x:c r="F583" s="30" t="str">
        <x:v>Central Complaint Management</x:v>
      </x:c>
      <x:c r="G583" s="30" t="str">
        <x:v>Customer complaints shall be managed through a centralized complaint management system.</x:v>
      </x:c>
      <x:c r="H583" s="30" t="str">
        <x:v>CHAIN</x:v>
      </x:c>
      <x:c r="I583" s="30" t="str">
        <x:v>Yes</x:v>
      </x:c>
      <x:c r="J583" s="30" t="str">
        <x:v>P-4 reparented to the canonical internal-control framework; approved sub-sector and Origin preserved.</x:v>
      </x:c>
    </x:row>
    <x:row r="584">
      <x:c r="A584" s="30" t="str">
        <x:v>CPROV008</x:v>
      </x:c>
      <x:c r="B584" s="30" t="str">
        <x:v>LAW099</x:v>
      </x:c>
      <x:c r="C584" s="30" t="str">
        <x:v>SUB004</x:v>
      </x:c>
      <x:c r="D584" s="30" t="str">
        <x:v>Best Practice</x:v>
      </x:c>
      <x:c r="E584" s="30" t="str">
        <x:v>Internal control — no independent statutory force; apply the separately mapped underlying law where applicable</x:v>
      </x:c>
      <x:c r="F584" s="30" t="str">
        <x:v>Corporate CAPA Programme</x:v>
      </x:c>
      <x:c r="G584" s="30" t="str">
        <x:v>Corrective and Preventive Actions shall be centrally monitored until closure.</x:v>
      </x:c>
      <x:c r="H584" s="30" t="str">
        <x:v>CHAIN</x:v>
      </x:c>
      <x:c r="I584" s="30" t="str">
        <x:v>Yes</x:v>
      </x:c>
      <x:c r="J584" s="30" t="str">
        <x:v>P-4 reparented to the canonical internal-control framework; approved sub-sector and Origin preserved.</x:v>
      </x:c>
    </x:row>
    <x:row r="585">
      <x:c r="A585" s="30" t="str">
        <x:v>CPROV009</x:v>
      </x:c>
      <x:c r="B585" s="30" t="str">
        <x:v>LAW099</x:v>
      </x:c>
      <x:c r="C585" s="30" t="str">
        <x:v>SUB004</x:v>
      </x:c>
      <x:c r="D585" s="30" t="str">
        <x:v>Best Practice</x:v>
      </x:c>
      <x:c r="E585" s="30" t="str">
        <x:v>Internal control — no independent statutory force; apply the separately mapped underlying law where applicable</x:v>
      </x:c>
      <x:c r="F585" s="30" t="str">
        <x:v>Branch Audit Programme</x:v>
      </x:c>
      <x:c r="G585" s="30" t="str">
        <x:v>Every branch shall undergo periodic internal compliance audits using standardized audit protocols.</x:v>
      </x:c>
      <x:c r="H585" s="30" t="str">
        <x:v>CHAIN</x:v>
      </x:c>
      <x:c r="I585" s="30" t="str">
        <x:v>Yes</x:v>
      </x:c>
      <x:c r="J585" s="30" t="str">
        <x:v>P-4 reparented to the canonical internal-control framework; approved sub-sector and Origin preserved.</x:v>
      </x:c>
    </x:row>
    <x:row r="586">
      <x:c r="A586" s="30" t="str">
        <x:v>CPROV010</x:v>
      </x:c>
      <x:c r="B586" s="30" t="str">
        <x:v>LAW099</x:v>
      </x:c>
      <x:c r="C586" s="30" t="str">
        <x:v>SUB004</x:v>
      </x:c>
      <x:c r="D586" s="30" t="str">
        <x:v>Best Practice</x:v>
      </x:c>
      <x:c r="E586" s="30" t="str">
        <x:v>Internal control — no independent statutory force; apply the separately mapped underlying law where applicable</x:v>
      </x:c>
      <x:c r="F586" s="30" t="str">
        <x:v>Central Training Management</x:v>
      </x:c>
      <x:c r="G586" s="30" t="str">
        <x:v>Employee regulatory and GDP training shall be centrally managed and monitored.</x:v>
      </x:c>
      <x:c r="H586" s="30" t="str">
        <x:v>CHAIN</x:v>
      </x:c>
      <x:c r="I586" s="30" t="str">
        <x:v>Yes</x:v>
      </x:c>
      <x:c r="J586" s="30" t="str">
        <x:v>P-4 reparented to the canonical internal-control framework; approved sub-sector and Origin preserved.</x:v>
      </x:c>
    </x:row>
    <x:row r="587">
      <x:c r="A587" s="30" t="str">
        <x:v>CPROV011</x:v>
      </x:c>
      <x:c r="B587" s="30" t="str">
        <x:v>LAW099</x:v>
      </x:c>
      <x:c r="C587" s="30" t="str">
        <x:v>SUB004</x:v>
      </x:c>
      <x:c r="D587" s="30" t="str">
        <x:v>Best Practice</x:v>
      </x:c>
      <x:c r="E587" s="30" t="str">
        <x:v>Internal control — no independent statutory force; apply the separately mapped underlying law where applicable</x:v>
      </x:c>
      <x:c r="F587" s="30" t="str">
        <x:v>Enterprise KPI Monitoring</x:v>
      </x:c>
      <x:c r="G587" s="30" t="str">
        <x:v>Corporate pharmacy KPIs shall be monitored across all branches.</x:v>
      </x:c>
      <x:c r="H587" s="30" t="str">
        <x:v>CHAIN</x:v>
      </x:c>
      <x:c r="I587" s="30" t="str">
        <x:v>Yes</x:v>
      </x:c>
      <x:c r="J587" s="30" t="str">
        <x:v>P-4 reparented to the canonical internal-control framework; approved sub-sector and Origin preserved.</x:v>
      </x:c>
    </x:row>
    <x:row r="588">
      <x:c r="A588" s="30" t="str">
        <x:v>CPROV012</x:v>
      </x:c>
      <x:c r="B588" s="30" t="str">
        <x:v>LAW099</x:v>
      </x:c>
      <x:c r="C588" s="30" t="str">
        <x:v>SUB004</x:v>
      </x:c>
      <x:c r="D588" s="30" t="str">
        <x:v>Best Practice</x:v>
      </x:c>
      <x:c r="E588" s="30" t="str">
        <x:v>Internal control — no independent statutory force; apply the separately mapped underlying law where applicable</x:v>
      </x:c>
      <x:c r="F588" s="30" t="str">
        <x:v>Branch Compliance Dashboard</x:v>
      </x:c>
      <x:c r="G588" s="30" t="str">
        <x:v>Compliance status of every branch shall be centrally monitored and reported.</x:v>
      </x:c>
      <x:c r="H588" s="30" t="str">
        <x:v>CHAIN</x:v>
      </x:c>
      <x:c r="I588" s="30" t="str">
        <x:v>Yes</x:v>
      </x:c>
      <x:c r="J588" s="30" t="str">
        <x:v>P-4 reparented to the canonical internal-control framework; approved sub-sector and Origin preserved.</x:v>
      </x:c>
    </x:row>
    <x:row r="589">
      <x:c r="A589" s="30" t="str">
        <x:v>CPROV013</x:v>
      </x:c>
      <x:c r="B589" s="30" t="str">
        <x:v>LAW099</x:v>
      </x:c>
      <x:c r="C589" s="30" t="str">
        <x:v>SUB004</x:v>
      </x:c>
      <x:c r="D589" s="30" t="str">
        <x:v>Best Practice</x:v>
      </x:c>
      <x:c r="E589" s="30" t="str">
        <x:v>Internal control — no independent statutory force; apply the separately mapped underlying law where applicable</x:v>
      </x:c>
      <x:c r="F589" s="30" t="str">
        <x:v>Enterprise Document Control</x:v>
      </x:c>
      <x:c r="G589" s="30" t="str">
        <x:v>Regulatory documents and SOPs shall be maintained under centralized document control.</x:v>
      </x:c>
      <x:c r="H589" s="30" t="str">
        <x:v>CHAIN</x:v>
      </x:c>
      <x:c r="I589" s="30" t="str">
        <x:v>Yes</x:v>
      </x:c>
      <x:c r="J589" s="30" t="str">
        <x:v>P-4 reparented to the canonical internal-control framework; approved sub-sector and Origin preserved.</x:v>
      </x:c>
    </x:row>
    <x:row r="590">
      <x:c r="A590" s="30" t="str">
        <x:v>CPROV014</x:v>
      </x:c>
      <x:c r="B590" s="30" t="str">
        <x:v>LAW099</x:v>
      </x:c>
      <x:c r="C590" s="30" t="str">
        <x:v>SUB004</x:v>
      </x:c>
      <x:c r="D590" s="30" t="str">
        <x:v>Best Practice</x:v>
      </x:c>
      <x:c r="E590" s="30" t="str">
        <x:v>Internal control — no independent statutory force; apply the separately mapped underlying law where applicable</x:v>
      </x:c>
      <x:c r="F590" s="30" t="str">
        <x:v>Branch Temperature Monitoring</x:v>
      </x:c>
      <x:c r="G590" s="30" t="str">
        <x:v>Temperature monitoring shall be standardized and centrally reviewed across branches.</x:v>
      </x:c>
      <x:c r="H590" s="30" t="str">
        <x:v>CHAIN</x:v>
      </x:c>
      <x:c r="I590" s="30" t="str">
        <x:v>Yes</x:v>
      </x:c>
      <x:c r="J590" s="30" t="str">
        <x:v>P-4 reparented to the canonical internal-control framework; approved sub-sector and Origin preserved.</x:v>
      </x:c>
    </x:row>
    <x:row r="591">
      <x:c r="A591" s="30" t="str">
        <x:v>CPROV015</x:v>
      </x:c>
      <x:c r="B591" s="30" t="str">
        <x:v>LAW099</x:v>
      </x:c>
      <x:c r="C591" s="30" t="str">
        <x:v>SUB004</x:v>
      </x:c>
      <x:c r="D591" s="30" t="str">
        <x:v>Best Practice</x:v>
      </x:c>
      <x:c r="E591" s="30" t="str">
        <x:v>Internal control — no independent statutory force; apply the separately mapped underlying law where applicable</x:v>
      </x:c>
      <x:c r="F591" s="30" t="str">
        <x:v>Central Vendor Performance Review</x:v>
      </x:c>
      <x:c r="G591" s="30" t="str">
        <x:v>Supplier performance shall be periodically evaluated at the enterprise level.</x:v>
      </x:c>
      <x:c r="H591" s="30" t="str">
        <x:v>CHAIN</x:v>
      </x:c>
      <x:c r="I591" s="30" t="str">
        <x:v>Yes</x:v>
      </x:c>
      <x:c r="J591" s="30" t="str">
        <x:v>P-4 reparented to the canonical internal-control framework; approved sub-sector and Origin preserved.</x:v>
      </x:c>
    </x:row>
    <x:row r="592">
      <x:c r="A592" s="30" t="str">
        <x:v>CPROV016</x:v>
      </x:c>
      <x:c r="B592" s="30" t="str">
        <x:v>LAW099</x:v>
      </x:c>
      <x:c r="C592" s="30" t="str">
        <x:v>SUB004</x:v>
      </x:c>
      <x:c r="D592" s="30" t="str">
        <x:v>Best Practice</x:v>
      </x:c>
      <x:c r="E592" s="30" t="str">
        <x:v>Internal control — no independent statutory force; apply the separately mapped underlying law where applicable</x:v>
      </x:c>
      <x:c r="F592" s="30" t="str">
        <x:v>Corporate Risk Register</x:v>
      </x:c>
      <x:c r="G592" s="30" t="str">
        <x:v>Enterprise pharmacy risks shall be maintained in a centralized risk register.</x:v>
      </x:c>
      <x:c r="H592" s="30" t="str">
        <x:v>CHAIN</x:v>
      </x:c>
      <x:c r="I592" s="30" t="str">
        <x:v>Yes</x:v>
      </x:c>
      <x:c r="J592" s="30" t="str">
        <x:v>P-4 reparented to the canonical internal-control framework; approved sub-sector and Origin preserved.</x:v>
      </x:c>
    </x:row>
    <x:row r="593">
      <x:c r="A593" s="30" t="str">
        <x:v>CPROV017</x:v>
      </x:c>
      <x:c r="B593" s="30" t="str">
        <x:v>LAW099</x:v>
      </x:c>
      <x:c r="C593" s="30" t="str">
        <x:v>SUB004</x:v>
      </x:c>
      <x:c r="D593" s="30" t="str">
        <x:v>Best Practice</x:v>
      </x:c>
      <x:c r="E593" s="30" t="str">
        <x:v>Internal control — no independent statutory force; apply the separately mapped underlying law where applicable</x:v>
      </x:c>
      <x:c r="F593" s="30" t="str">
        <x:v>Franchise Compliance Oversight</x:v>
      </x:c>
      <x:c r="G593" s="30" t="str">
        <x:v>Franchise-operated pharmacies shall comply with corporate regulatory standards and periodic reviews.</x:v>
      </x:c>
      <x:c r="H593" s="30" t="str">
        <x:v>CHAIN</x:v>
      </x:c>
      <x:c r="I593" s="30" t="str">
        <x:v>Yes</x:v>
      </x:c>
      <x:c r="J593" s="30" t="str">
        <x:v>P-4 reparented to the canonical internal-control framework; approved sub-sector and Origin preserved.</x:v>
      </x:c>
    </x:row>
    <x:row r="594">
      <x:c r="A594" s="30" t="str">
        <x:v>CPROV018</x:v>
      </x:c>
      <x:c r="B594" s="30" t="str">
        <x:v>LAW099</x:v>
      </x:c>
      <x:c r="C594" s="30" t="str">
        <x:v>SUB004</x:v>
      </x:c>
      <x:c r="D594" s="30" t="str">
        <x:v>Best Practice</x:v>
      </x:c>
      <x:c r="E594" s="30" t="str">
        <x:v>Internal control — no independent statutory force; apply the separately mapped underlying law where applicable</x:v>
      </x:c>
      <x:c r="F594" s="30" t="str">
        <x:v>Pharmacy Business Continuity Planning</x:v>
      </x:c>
      <x:c r="G594" s="30" t="str">
        <x:v>Chain pharmacies shall maintain documented business continuity and disaster recovery procedures.</x:v>
      </x:c>
      <x:c r="H594" s="30" t="str">
        <x:v>CHAIN</x:v>
      </x:c>
      <x:c r="I594" s="30" t="str">
        <x:v>Yes</x:v>
      </x:c>
      <x:c r="J594" s="30" t="str">
        <x:v>P-4 reparented to the canonical internal-control framework; approved sub-sector and Origin preserved.</x:v>
      </x:c>
    </x:row>
    <x:row r="595">
      <x:c r="A595" s="30" t="str">
        <x:v>CPROV019</x:v>
      </x:c>
      <x:c r="B595" s="30" t="str">
        <x:v>LAW099</x:v>
      </x:c>
      <x:c r="C595" s="30" t="str">
        <x:v>SUB004</x:v>
      </x:c>
      <x:c r="D595" s="30" t="str">
        <x:v>Best Practice</x:v>
      </x:c>
      <x:c r="E595" s="30" t="str">
        <x:v>Internal control — no independent statutory force; apply the separately mapped underlying law where applicable</x:v>
      </x:c>
      <x:c r="F595" s="30" t="str">
        <x:v>Central Regulatory Reporting</x:v>
      </x:c>
      <x:c r="G595" s="30" t="str">
        <x:v>Regulatory reporting obligations shall be coordinated centrally for all branches.</x:v>
      </x:c>
      <x:c r="H595" s="30" t="str">
        <x:v>CHAIN</x:v>
      </x:c>
      <x:c r="I595" s="30" t="str">
        <x:v>Yes</x:v>
      </x:c>
      <x:c r="J595" s="30" t="str">
        <x:v>P-4 reparented to the canonical internal-control framework; approved sub-sector and Origin preserved.</x:v>
      </x:c>
    </x:row>
    <x:row r="596">
      <x:c r="A596" s="30" t="str">
        <x:v>CPROV020</x:v>
      </x:c>
      <x:c r="B596" s="30" t="str">
        <x:v>LAW099</x:v>
      </x:c>
      <x:c r="C596" s="30" t="str">
        <x:v>SUB004</x:v>
      </x:c>
      <x:c r="D596" s="30" t="str">
        <x:v>Best Practice</x:v>
      </x:c>
      <x:c r="E596" s="30" t="str">
        <x:v>Internal control — no independent statutory force; apply the separately mapped underlying law where applicable</x:v>
      </x:c>
      <x:c r="F596" s="30" t="str">
        <x:v>Enterprise Pharmacy Quality Review</x:v>
      </x:c>
      <x:c r="G596" s="30" t="str">
        <x:v>Senior management shall periodically review enterprise pharmacy quality, compliance and performance.</x:v>
      </x:c>
      <x:c r="H596" s="30" t="str">
        <x:v>CHAIN</x:v>
      </x:c>
      <x:c r="I596" s="30" t="str">
        <x:v>Yes</x:v>
      </x:c>
      <x:c r="J596" s="30" t="str">
        <x:v>P-4 reparented to the canonical internal-control framework; approved sub-sector and Origin preserved.</x:v>
      </x:c>
    </x:row>
    <x:row r="597">
      <x:c r="A597" s="30" t="str">
        <x:v>EPROV001</x:v>
      </x:c>
      <x:c r="B597" s="30" t="str">
        <x:v>LAW099</x:v>
      </x:c>
      <x:c r="C597" s="30" t="str">
        <x:v>SUB005</x:v>
      </x:c>
      <x:c r="D597" s="30" t="str">
        <x:v>Best Practice</x:v>
      </x:c>
      <x:c r="E597" s="30" t="str">
        <x:v>Internal control — no independent statutory force; apply the separately mapped underlying law where applicable</x:v>
      </x:c>
      <x:c r="F597" s="30" t="str">
        <x:v>Electronic Prescription Validation</x:v>
      </x:c>
      <x:c r="G597" s="30" t="str">
        <x:v>Dispensing shall occur only after validation of digitally submitted prescriptions by a registered pharmacist.</x:v>
      </x:c>
      <x:c r="H597" s="30" t="str">
        <x:v>EPHARMACY</x:v>
      </x:c>
      <x:c r="I597" s="30" t="str">
        <x:v>Yes</x:v>
      </x:c>
      <x:c r="J597" s="30" t="str">
        <x:v>P-4 reparented to the canonical internal-control framework; approved sub-sector and Origin preserved.</x:v>
      </x:c>
    </x:row>
    <x:row r="598">
      <x:c r="A598" s="30" t="str">
        <x:v>EPROV002</x:v>
      </x:c>
      <x:c r="B598" s="30" t="str">
        <x:v>LAW099</x:v>
      </x:c>
      <x:c r="C598" s="30" t="str">
        <x:v>SUB005</x:v>
      </x:c>
      <x:c r="D598" s="30" t="str">
        <x:v>Best Practice</x:v>
      </x:c>
      <x:c r="E598" s="30" t="str">
        <x:v>Internal control — no independent statutory force; apply the separately mapped underlying law where applicable</x:v>
      </x:c>
      <x:c r="F598" s="30" t="str">
        <x:v>Customer Identity Verification</x:v>
      </x:c>
      <x:c r="G598" s="30" t="str">
        <x:v>Customer identity shall be verified before order fulfillment for prescription medicines.</x:v>
      </x:c>
      <x:c r="H598" s="30" t="str">
        <x:v>EPHARMACY</x:v>
      </x:c>
      <x:c r="I598" s="30" t="str">
        <x:v>Yes</x:v>
      </x:c>
      <x:c r="J598" s="30" t="str">
        <x:v>P-4 reparented to the canonical internal-control framework; approved sub-sector and Origin preserved.</x:v>
      </x:c>
    </x:row>
    <x:row r="599">
      <x:c r="A599" s="30" t="str">
        <x:v>EPROV003</x:v>
      </x:c>
      <x:c r="B599" s="30" t="str">
        <x:v>LAW099</x:v>
      </x:c>
      <x:c r="C599" s="30" t="str">
        <x:v>SUB005</x:v>
      </x:c>
      <x:c r="D599" s="30" t="str">
        <x:v>Best Practice</x:v>
      </x:c>
      <x:c r="E599" s="30" t="str">
        <x:v>Internal control — no independent statutory force; apply the separately mapped underlying law where applicable</x:v>
      </x:c>
      <x:c r="F599" s="30" t="str">
        <x:v>Online Pharmacist Approval</x:v>
      </x:c>
      <x:c r="G599" s="30" t="str">
        <x:v>Every prescription order shall receive documented approval from a registered pharmacist before dispatch.</x:v>
      </x:c>
      <x:c r="H599" s="30" t="str">
        <x:v>EPHARMACY</x:v>
      </x:c>
      <x:c r="I599" s="30" t="str">
        <x:v>Yes</x:v>
      </x:c>
      <x:c r="J599" s="30" t="str">
        <x:v>P-4 reparented to the canonical internal-control framework; approved sub-sector and Origin preserved.</x:v>
      </x:c>
    </x:row>
    <x:row r="600">
      <x:c r="A600" s="30" t="str">
        <x:v>EPROV004</x:v>
      </x:c>
      <x:c r="B600" s="30" t="str">
        <x:v>LAW099</x:v>
      </x:c>
      <x:c r="C600" s="30" t="str">
        <x:v>SUB005</x:v>
      </x:c>
      <x:c r="D600" s="30" t="str">
        <x:v>Best Practice</x:v>
      </x:c>
      <x:c r="E600" s="30" t="str">
        <x:v>Internal control — no independent statutory force; apply the separately mapped underlying law where applicable</x:v>
      </x:c>
      <x:c r="F600" s="30" t="str">
        <x:v>Telemedicine Integration</x:v>
      </x:c>
      <x:c r="G600" s="30" t="str">
        <x:v>Orders generated through teleconsultation shall retain linkage with the originating consultation.</x:v>
      </x:c>
      <x:c r="H600" s="30" t="str">
        <x:v>EPHARMACY</x:v>
      </x:c>
      <x:c r="I600" s="30" t="str">
        <x:v>Yes</x:v>
      </x:c>
      <x:c r="J600" s="30" t="str">
        <x:v>P-4 reparented to the canonical internal-control framework; approved sub-sector and Origin preserved.</x:v>
      </x:c>
    </x:row>
    <x:row r="601">
      <x:c r="A601" s="30" t="str">
        <x:v>EPROV005</x:v>
      </x:c>
      <x:c r="B601" s="30" t="str">
        <x:v>LAW099</x:v>
      </x:c>
      <x:c r="C601" s="30" t="str">
        <x:v>SUB005</x:v>
      </x:c>
      <x:c r="D601" s="30" t="str">
        <x:v>Best Practice</x:v>
      </x:c>
      <x:c r="E601" s="30" t="str">
        <x:v>Internal control — no independent statutory force; apply the separately mapped underlying law where applicable</x:v>
      </x:c>
      <x:c r="F601" s="30" t="str">
        <x:v>Electronic Consent Management</x:v>
      </x:c>
      <x:c r="G601" s="30" t="str">
        <x:v>Customer consent for data processing shall be obtained and retained electronically.</x:v>
      </x:c>
      <x:c r="H601" s="30" t="str">
        <x:v>EPHARMACY</x:v>
      </x:c>
      <x:c r="I601" s="30" t="str">
        <x:v>Yes</x:v>
      </x:c>
      <x:c r="J601" s="30" t="str">
        <x:v>P-4 reparented to the canonical internal-control framework; approved sub-sector and Origin preserved.</x:v>
      </x:c>
    </x:row>
    <x:row r="602">
      <x:c r="A602" s="30" t="str">
        <x:v>EPROV006</x:v>
      </x:c>
      <x:c r="B602" s="30" t="str">
        <x:v>LAW099</x:v>
      </x:c>
      <x:c r="C602" s="30" t="str">
        <x:v>SUB005</x:v>
      </x:c>
      <x:c r="D602" s="30" t="str">
        <x:v>Best Practice</x:v>
      </x:c>
      <x:c r="E602" s="30" t="str">
        <x:v>Internal control — no independent statutory force; apply the separately mapped underlying law where applicable</x:v>
      </x:c>
      <x:c r="F602" s="30" t="str">
        <x:v>Electronic Record Retention</x:v>
      </x:c>
      <x:c r="G602" s="30" t="str">
        <x:v>Prescription, dispensing and transaction records shall be securely retained electronically.</x:v>
      </x:c>
      <x:c r="H602" s="30" t="str">
        <x:v>EPHARMACY</x:v>
      </x:c>
      <x:c r="I602" s="30" t="str">
        <x:v>Yes</x:v>
      </x:c>
      <x:c r="J602" s="30" t="str">
        <x:v>P-4 reparented to the canonical internal-control framework; approved sub-sector and Origin preserved.</x:v>
      </x:c>
    </x:row>
    <x:row r="603">
      <x:c r="A603" s="30" t="str">
        <x:v>EPROV007</x:v>
      </x:c>
      <x:c r="B603" s="30" t="str">
        <x:v>LAW099</x:v>
      </x:c>
      <x:c r="C603" s="30" t="str">
        <x:v>SUB005</x:v>
      </x:c>
      <x:c r="D603" s="30" t="str">
        <x:v>Best Practice</x:v>
      </x:c>
      <x:c r="E603" s="30" t="str">
        <x:v>Internal control — no independent statutory force; apply the separately mapped underlying law where applicable</x:v>
      </x:c>
      <x:c r="F603" s="30" t="str">
        <x:v>Online Order Validation</x:v>
      </x:c>
      <x:c r="G603" s="30" t="str">
        <x:v>Orders shall undergo automated validation for completeness before processing.</x:v>
      </x:c>
      <x:c r="H603" s="30" t="str">
        <x:v>EPHARMACY</x:v>
      </x:c>
      <x:c r="I603" s="30" t="str">
        <x:v>Yes</x:v>
      </x:c>
      <x:c r="J603" s="30" t="str">
        <x:v>P-4 reparented to the canonical internal-control framework; approved sub-sector and Origin preserved.</x:v>
      </x:c>
    </x:row>
    <x:row r="604">
      <x:c r="A604" s="30" t="str">
        <x:v>EPROV008</x:v>
      </x:c>
      <x:c r="B604" s="30" t="str">
        <x:v>LAW099</x:v>
      </x:c>
      <x:c r="C604" s="30" t="str">
        <x:v>SUB005</x:v>
      </x:c>
      <x:c r="D604" s="30" t="str">
        <x:v>Best Practice</x:v>
      </x:c>
      <x:c r="E604" s="30" t="str">
        <x:v>Internal control — no independent statutory force; apply the separately mapped underlying law where applicable</x:v>
      </x:c>
      <x:c r="F604" s="30" t="str">
        <x:v>Secure Payment Processing</x:v>
      </x:c>
      <x:c r="G604" s="30" t="str">
        <x:v>Online payment processing shall use secure, encrypted payment gateways.</x:v>
      </x:c>
      <x:c r="H604" s="30" t="str">
        <x:v>EPHARMACY</x:v>
      </x:c>
      <x:c r="I604" s="30" t="str">
        <x:v>Yes</x:v>
      </x:c>
      <x:c r="J604" s="30" t="str">
        <x:v>P-4 reparented to the canonical internal-control framework; approved sub-sector and Origin preserved.</x:v>
      </x:c>
    </x:row>
    <x:row r="605">
      <x:c r="A605" s="30" t="str">
        <x:v>EPROV009</x:v>
      </x:c>
      <x:c r="B605" s="30" t="str">
        <x:v>LAW099</x:v>
      </x:c>
      <x:c r="C605" s="30" t="str">
        <x:v>SUB005</x:v>
      </x:c>
      <x:c r="D605" s="30" t="str">
        <x:v>Best Practice</x:v>
      </x:c>
      <x:c r="E605" s="30" t="str">
        <x:v>Internal control — no independent statutory force; apply the separately mapped underlying law where applicable</x:v>
      </x:c>
      <x:c r="F605" s="30" t="str">
        <x:v>Cybersecurity Controls</x:v>
      </x:c>
      <x:c r="G605" s="30" t="str">
        <x:v>E-pharmacy systems shall implement layered cybersecurity controls and continuous monitoring.</x:v>
      </x:c>
      <x:c r="H605" s="30" t="str">
        <x:v>EPHARMACY</x:v>
      </x:c>
      <x:c r="I605" s="30" t="str">
        <x:v>Yes</x:v>
      </x:c>
      <x:c r="J605" s="30" t="str">
        <x:v>P-4 reparented to the canonical internal-control framework; approved sub-sector and Origin preserved.</x:v>
      </x:c>
    </x:row>
    <x:row r="606">
      <x:c r="A606" s="30" t="str">
        <x:v>EPROV010</x:v>
      </x:c>
      <x:c r="B606" s="30" t="str">
        <x:v>LAW099</x:v>
      </x:c>
      <x:c r="C606" s="30" t="str">
        <x:v>SUB005</x:v>
      </x:c>
      <x:c r="D606" s="30" t="str">
        <x:v>Best Practice</x:v>
      </x:c>
      <x:c r="E606" s="30" t="str">
        <x:v>Internal control — no independent statutory force; apply the separately mapped underlying law where applicable</x:v>
      </x:c>
      <x:c r="F606" s="30" t="str">
        <x:v>Personal Data Protection</x:v>
      </x:c>
      <x:c r="G606" s="30" t="str">
        <x:v>Personal data shall be collected, processed and stored using approved security controls.</x:v>
      </x:c>
      <x:c r="H606" s="30" t="str">
        <x:v>EPHARMACY</x:v>
      </x:c>
      <x:c r="I606" s="30" t="str">
        <x:v>Yes</x:v>
      </x:c>
      <x:c r="J606" s="30" t="str">
        <x:v>P-4 reparented to the canonical internal-control framework; approved sub-sector and Origin preserved.</x:v>
      </x:c>
    </x:row>
    <x:row r="607">
      <x:c r="A607" s="30" t="str">
        <x:v>EPROV011</x:v>
      </x:c>
      <x:c r="B607" s="30" t="str">
        <x:v>LAW099</x:v>
      </x:c>
      <x:c r="C607" s="30" t="str">
        <x:v>SUB005</x:v>
      </x:c>
      <x:c r="D607" s="30" t="str">
        <x:v>Best Practice</x:v>
      </x:c>
      <x:c r="E607" s="30" t="str">
        <x:v>Internal control — no independent statutory force; apply the separately mapped underlying law where applicable</x:v>
      </x:c>
      <x:c r="F607" s="30" t="str">
        <x:v>Privacy Notice Management</x:v>
      </x:c>
      <x:c r="G607" s="30" t="str">
        <x:v>Privacy notices shall be published, version-controlled and acknowledged by users where applicable.</x:v>
      </x:c>
      <x:c r="H607" s="30" t="str">
        <x:v>EPHARMACY</x:v>
      </x:c>
      <x:c r="I607" s="30" t="str">
        <x:v>Yes</x:v>
      </x:c>
      <x:c r="J607" s="30" t="str">
        <x:v>P-4 reparented to the canonical internal-control framework; approved sub-sector and Origin preserved.</x:v>
      </x:c>
    </x:row>
    <x:row r="608">
      <x:c r="A608" s="30" t="str">
        <x:v>EPROV012</x:v>
      </x:c>
      <x:c r="B608" s="30" t="str">
        <x:v>LAW099</x:v>
      </x:c>
      <x:c r="C608" s="30" t="str">
        <x:v>SUB005</x:v>
      </x:c>
      <x:c r="D608" s="30" t="str">
        <x:v>Best Practice</x:v>
      </x:c>
      <x:c r="E608" s="30" t="str">
        <x:v>Internal control — no independent statutory force; apply the separately mapped underlying law where applicable</x:v>
      </x:c>
      <x:c r="F608" s="30" t="str">
        <x:v>Audit Logging</x:v>
      </x:c>
      <x:c r="G608" s="30" t="str">
        <x:v>Critical system activities shall generate immutable audit logs.</x:v>
      </x:c>
      <x:c r="H608" s="30" t="str">
        <x:v>EPHARMACY</x:v>
      </x:c>
      <x:c r="I608" s="30" t="str">
        <x:v>Yes</x:v>
      </x:c>
      <x:c r="J608" s="30" t="str">
        <x:v>P-4 reparented to the canonical internal-control framework; approved sub-sector and Origin preserved.</x:v>
      </x:c>
    </x:row>
    <x:row r="609">
      <x:c r="A609" s="30" t="str">
        <x:v>EPROV013</x:v>
      </x:c>
      <x:c r="B609" s="30" t="str">
        <x:v>LAW099</x:v>
      </x:c>
      <x:c r="C609" s="30" t="str">
        <x:v>SUB005</x:v>
      </x:c>
      <x:c r="D609" s="30" t="str">
        <x:v>Best Practice</x:v>
      </x:c>
      <x:c r="E609" s="30" t="str">
        <x:v>Internal control — no independent statutory force; apply the separately mapped underlying law where applicable</x:v>
      </x:c>
      <x:c r="F609" s="30" t="str">
        <x:v>Courier Partner Qualification</x:v>
      </x:c>
      <x:c r="G609" s="30" t="str">
        <x:v>Courier partners transporting medicines shall be qualified and periodically evaluated.</x:v>
      </x:c>
      <x:c r="H609" s="30" t="str">
        <x:v>EPHARMACY</x:v>
      </x:c>
      <x:c r="I609" s="30" t="str">
        <x:v>Yes</x:v>
      </x:c>
      <x:c r="J609" s="30" t="str">
        <x:v>P-4 reparented to the canonical internal-control framework; approved sub-sector and Origin preserved.</x:v>
      </x:c>
    </x:row>
    <x:row r="610">
      <x:c r="A610" s="30" t="str">
        <x:v>EPROV014</x:v>
      </x:c>
      <x:c r="B610" s="30" t="str">
        <x:v>LAW099</x:v>
      </x:c>
      <x:c r="C610" s="30" t="str">
        <x:v>SUB005</x:v>
      </x:c>
      <x:c r="D610" s="30" t="str">
        <x:v>Best Practice</x:v>
      </x:c>
      <x:c r="E610" s="30" t="str">
        <x:v>Internal control — no independent statutory force; apply the separately mapped underlying law where applicable</x:v>
      </x:c>
      <x:c r="F610" s="30" t="str">
        <x:v>Delivery Chain Traceability</x:v>
      </x:c>
      <x:c r="G610" s="30" t="str">
        <x:v>Every online order shall be traceable from order confirmation through delivery.</x:v>
      </x:c>
      <x:c r="H610" s="30" t="str">
        <x:v>EPHARMACY</x:v>
      </x:c>
      <x:c r="I610" s="30" t="str">
        <x:v>Yes</x:v>
      </x:c>
      <x:c r="J610" s="30" t="str">
        <x:v>P-4 reparented to the canonical internal-control framework; approved sub-sector and Origin preserved.</x:v>
      </x:c>
    </x:row>
    <x:row r="611">
      <x:c r="A611" s="30" t="str">
        <x:v>EPROV015</x:v>
      </x:c>
      <x:c r="B611" s="30" t="str">
        <x:v>LAW099</x:v>
      </x:c>
      <x:c r="C611" s="30" t="str">
        <x:v>SUB005</x:v>
      </x:c>
      <x:c r="D611" s="30" t="str">
        <x:v>Best Practice</x:v>
      </x:c>
      <x:c r="E611" s="30" t="str">
        <x:v>Internal control — no independent statutory force; apply the separately mapped underlying law where applicable</x:v>
      </x:c>
      <x:c r="F611" s="30" t="str">
        <x:v>Cold Chain Delivery Monitoring</x:v>
      </x:c>
      <x:c r="G611" s="30" t="str">
        <x:v>Temperature-sensitive medicines shall be monitored throughout transportation.</x:v>
      </x:c>
      <x:c r="H611" s="30" t="str">
        <x:v>EPHARMACY</x:v>
      </x:c>
      <x:c r="I611" s="30" t="str">
        <x:v>Yes</x:v>
      </x:c>
      <x:c r="J611" s="30" t="str">
        <x:v>P-4 reparented to the canonical internal-control framework; approved sub-sector and Origin preserved.</x:v>
      </x:c>
    </x:row>
    <x:row r="612">
      <x:c r="A612" s="30" t="str">
        <x:v>EPROV016</x:v>
      </x:c>
      <x:c r="B612" s="30" t="str">
        <x:v>LAW099</x:v>
      </x:c>
      <x:c r="C612" s="30" t="str">
        <x:v>SUB005</x:v>
      </x:c>
      <x:c r="D612" s="30" t="str">
        <x:v>Best Practice</x:v>
      </x:c>
      <x:c r="E612" s="30" t="str">
        <x:v>Internal control — no independent statutory force; apply the separately mapped underlying law where applicable</x:v>
      </x:c>
      <x:c r="F612" s="30" t="str">
        <x:v>Online Complaint Management</x:v>
      </x:c>
      <x:c r="G612" s="30" t="str">
        <x:v>Customer complaints shall be managed through a centralized digital workflow.</x:v>
      </x:c>
      <x:c r="H612" s="30" t="str">
        <x:v>EPHARMACY</x:v>
      </x:c>
      <x:c r="I612" s="30" t="str">
        <x:v>Yes</x:v>
      </x:c>
      <x:c r="J612" s="30" t="str">
        <x:v>P-4 reparented to the canonical internal-control framework; approved sub-sector and Origin preserved.</x:v>
      </x:c>
    </x:row>
    <x:row r="613">
      <x:c r="A613" s="30" t="str">
        <x:v>EPROV017</x:v>
      </x:c>
      <x:c r="B613" s="30" t="str">
        <x:v>LAW099</x:v>
      </x:c>
      <x:c r="C613" s="30" t="str">
        <x:v>SUB005</x:v>
      </x:c>
      <x:c r="D613" s="30" t="str">
        <x:v>Best Practice</x:v>
      </x:c>
      <x:c r="E613" s="30" t="str">
        <x:v>Internal control — no independent statutory force; apply the separately mapped underlying law where applicable</x:v>
      </x:c>
      <x:c r="F613" s="30" t="str">
        <x:v>Fake Prescription Detection</x:v>
      </x:c>
      <x:c r="G613" s="30" t="str">
        <x:v>Automated and manual controls shall identify suspected forged prescriptions.</x:v>
      </x:c>
      <x:c r="H613" s="30" t="str">
        <x:v>EPHARMACY</x:v>
      </x:c>
      <x:c r="I613" s="30" t="str">
        <x:v>Yes</x:v>
      </x:c>
      <x:c r="J613" s="30" t="str">
        <x:v>P-4 reparented to the canonical internal-control framework; approved sub-sector and Origin preserved.</x:v>
      </x:c>
    </x:row>
    <x:row r="614">
      <x:c r="A614" s="30" t="str">
        <x:v>EPROV018</x:v>
      </x:c>
      <x:c r="B614" s="30" t="str">
        <x:v>LAW099</x:v>
      </x:c>
      <x:c r="C614" s="30" t="str">
        <x:v>SUB005</x:v>
      </x:c>
      <x:c r="D614" s="30" t="str">
        <x:v>Best Practice</x:v>
      </x:c>
      <x:c r="E614" s="30" t="str">
        <x:v>Internal control — no independent statutory force; apply the separately mapped underlying law where applicable</x:v>
      </x:c>
      <x:c r="F614" s="30" t="str">
        <x:v>Online Fraud Monitoring</x:v>
      </x:c>
      <x:c r="G614" s="30" t="str">
        <x:v>Digital transactions shall be continuously monitored for fraudulent activity.</x:v>
      </x:c>
      <x:c r="H614" s="30" t="str">
        <x:v>EPHARMACY</x:v>
      </x:c>
      <x:c r="I614" s="30" t="str">
        <x:v>Yes</x:v>
      </x:c>
      <x:c r="J614" s="30" t="str">
        <x:v>P-4 reparented to the canonical internal-control framework; approved sub-sector and Origin preserved.</x:v>
      </x:c>
    </x:row>
    <x:row r="615">
      <x:c r="A615" s="30" t="str">
        <x:v>EPROV019</x:v>
      </x:c>
      <x:c r="B615" s="30" t="str">
        <x:v>LAW099</x:v>
      </x:c>
      <x:c r="C615" s="30" t="str">
        <x:v>SUB005</x:v>
      </x:c>
      <x:c r="D615" s="30" t="str">
        <x:v>Best Practice</x:v>
      </x:c>
      <x:c r="E615" s="30" t="str">
        <x:v>Internal control — no independent statutory force; apply the separately mapped underlying law where applicable</x:v>
      </x:c>
      <x:c r="F615" s="30" t="str">
        <x:v>Electronic Consultation Record Linkage</x:v>
      </x:c>
      <x:c r="G615" s="30" t="str">
        <x:v>Dispensing records shall retain linkage to consultation records where applicable.</x:v>
      </x:c>
      <x:c r="H615" s="30" t="str">
        <x:v>EPHARMACY</x:v>
      </x:c>
      <x:c r="I615" s="30" t="str">
        <x:v>Yes</x:v>
      </x:c>
      <x:c r="J615" s="30" t="str">
        <x:v>P-4 reparented to the canonical internal-control framework; approved sub-sector and Origin preserved.</x:v>
      </x:c>
    </x:row>
    <x:row r="616">
      <x:c r="A616" s="30" t="str">
        <x:v>EPROV020</x:v>
      </x:c>
      <x:c r="B616" s="30" t="str">
        <x:v>LAW099</x:v>
      </x:c>
      <x:c r="C616" s="30" t="str">
        <x:v>SUB005</x:v>
      </x:c>
      <x:c r="D616" s="30" t="str">
        <x:v>Best Practice</x:v>
      </x:c>
      <x:c r="E616" s="30" t="str">
        <x:v>Internal control — no independent statutory force; apply the separately mapped underlying law where applicable</x:v>
      </x:c>
      <x:c r="F616" s="30" t="str">
        <x:v>Digital Governance Framework</x:v>
      </x:c>
      <x:c r="G616" s="30" t="str">
        <x:v>The e-pharmacy shall maintain an enterprise digital governance framework covering compliance, security and quality.</x:v>
      </x:c>
      <x:c r="H616" s="30" t="str">
        <x:v>EPHARMACY</x:v>
      </x:c>
      <x:c r="I616" s="30" t="str">
        <x:v>Yes</x:v>
      </x:c>
      <x:c r="J616" s="30" t="str">
        <x:v>P-4 reparented to the canonical internal-control framework; approved sub-sector and Origin preserved.</x:v>
      </x:c>
    </x:row>
    <x:row r="617">
      <x:c r="A617" s="30" t="str">
        <x:v>EPROV021</x:v>
      </x:c>
      <x:c r="B617" s="30" t="str">
        <x:v>LAW099</x:v>
      </x:c>
      <x:c r="C617" s="30" t="str">
        <x:v>SUB005</x:v>
      </x:c>
      <x:c r="D617" s="30" t="str">
        <x:v>Best Practice</x:v>
      </x:c>
      <x:c r="E617" s="30" t="str">
        <x:v>Internal control — no independent statutory force; apply the separately mapped underlying law where applicable</x:v>
      </x:c>
      <x:c r="F617" s="30" t="str">
        <x:v>Multi-Factor Authentication</x:v>
      </x:c>
      <x:c r="G617" s="30" t="str">
        <x:v>Administrative and privileged user access shall require multi-factor authentication.</x:v>
      </x:c>
      <x:c r="H617" s="30" t="str">
        <x:v>EPHARMACY</x:v>
      </x:c>
      <x:c r="I617" s="30" t="str">
        <x:v>Yes</x:v>
      </x:c>
      <x:c r="J617" s="30" t="str">
        <x:v>P-4 reparented to the canonical internal-control framework; approved sub-sector and Origin preserved.</x:v>
      </x:c>
    </x:row>
    <x:row r="618">
      <x:c r="A618" s="30" t="str">
        <x:v>EPROV022</x:v>
      </x:c>
      <x:c r="B618" s="30" t="str">
        <x:v>LAW099</x:v>
      </x:c>
      <x:c r="C618" s="30" t="str">
        <x:v>SUB005</x:v>
      </x:c>
      <x:c r="D618" s="30" t="str">
        <x:v>Best Practice</x:v>
      </x:c>
      <x:c r="E618" s="30" t="str">
        <x:v>Internal control — no independent statutory force; apply the separately mapped underlying law where applicable</x:v>
      </x:c>
      <x:c r="F618" s="30" t="str">
        <x:v>Role-Based Access Control</x:v>
      </x:c>
      <x:c r="G618" s="30" t="str">
        <x:v>System access shall be granted based on predefined user roles and least privilege.</x:v>
      </x:c>
      <x:c r="H618" s="30" t="str">
        <x:v>EPHARMACY</x:v>
      </x:c>
      <x:c r="I618" s="30" t="str">
        <x:v>Yes</x:v>
      </x:c>
      <x:c r="J618" s="30" t="str">
        <x:v>P-4 reparented to the canonical internal-control framework; approved sub-sector and Origin preserved.</x:v>
      </x:c>
    </x:row>
    <x:row r="619">
      <x:c r="A619" s="30" t="str">
        <x:v>EPROV023</x:v>
      </x:c>
      <x:c r="B619" s="30" t="str">
        <x:v>LAW099</x:v>
      </x:c>
      <x:c r="C619" s="30" t="str">
        <x:v>SUB005</x:v>
      </x:c>
      <x:c r="D619" s="30" t="str">
        <x:v>Best Practice</x:v>
      </x:c>
      <x:c r="E619" s="30" t="str">
        <x:v>Internal control — no independent statutory force; apply the separately mapped underlying law where applicable</x:v>
      </x:c>
      <x:c r="F619" s="30" t="str">
        <x:v>Data Encryption</x:v>
      </x:c>
      <x:c r="G619" s="30" t="str">
        <x:v>Sensitive customer and prescription data shall be encrypted both in transit and at rest.</x:v>
      </x:c>
      <x:c r="H619" s="30" t="str">
        <x:v>EPHARMACY</x:v>
      </x:c>
      <x:c r="I619" s="30" t="str">
        <x:v>Yes</x:v>
      </x:c>
      <x:c r="J619" s="30" t="str">
        <x:v>P-4 reparented to the canonical internal-control framework; approved sub-sector and Origin preserved.</x:v>
      </x:c>
    </x:row>
    <x:row r="620">
      <x:c r="A620" s="30" t="str">
        <x:v>EPROV024</x:v>
      </x:c>
      <x:c r="B620" s="30" t="str">
        <x:v>LAW099</x:v>
      </x:c>
      <x:c r="C620" s="30" t="str">
        <x:v>SUB005</x:v>
      </x:c>
      <x:c r="D620" s="30" t="str">
        <x:v>Best Practice</x:v>
      </x:c>
      <x:c r="E620" s="30" t="str">
        <x:v>Internal control — no independent statutory force; apply the separately mapped underlying law where applicable</x:v>
      </x:c>
      <x:c r="F620" s="30" t="str">
        <x:v>Backup &amp; Disaster Recovery</x:v>
      </x:c>
      <x:c r="G620" s="30" t="str">
        <x:v>Business-critical systems shall maintain tested backup and disaster recovery procedures.</x:v>
      </x:c>
      <x:c r="H620" s="30" t="str">
        <x:v>EPHARMACY</x:v>
      </x:c>
      <x:c r="I620" s="30" t="str">
        <x:v>Yes</x:v>
      </x:c>
      <x:c r="J620" s="30" t="str">
        <x:v>P-4 reparented to the canonical internal-control framework; approved sub-sector and Origin preserved.</x:v>
      </x:c>
    </x:row>
    <x:row r="621">
      <x:c r="A621" s="30" t="str">
        <x:v>EPROV025</x:v>
      </x:c>
      <x:c r="B621" s="30" t="str">
        <x:v>LAW099</x:v>
      </x:c>
      <x:c r="C621" s="30" t="str">
        <x:v>SUB005</x:v>
      </x:c>
      <x:c r="D621" s="30" t="str">
        <x:v>Best Practice</x:v>
      </x:c>
      <x:c r="E621" s="30" t="str">
        <x:v>Internal control — no independent statutory force; apply the separately mapped underlying law where applicable</x:v>
      </x:c>
      <x:c r="F621" s="30" t="str">
        <x:v>Security Incident Response</x:v>
      </x:c>
      <x:c r="G621" s="30" t="str">
        <x:v>Information security incidents shall be documented, investigated and resolved through an approved response process.</x:v>
      </x:c>
      <x:c r="H621" s="30" t="str">
        <x:v>EPHARMACY</x:v>
      </x:c>
      <x:c r="I621" s="30" t="str">
        <x:v>Yes</x:v>
      </x:c>
      <x:c r="J621" s="30" t="str">
        <x:v>P-4 reparented to the canonical internal-control framework; approved sub-sector and Origin preserved.</x:v>
      </x:c>
    </x:row>
    <x:row r="622">
      <x:c r="A622" s="30" t="str">
        <x:v>EPROV026</x:v>
      </x:c>
      <x:c r="B622" s="30" t="str">
        <x:v>LAW099</x:v>
      </x:c>
      <x:c r="C622" s="30" t="str">
        <x:v>SUB005</x:v>
      </x:c>
      <x:c r="D622" s="30" t="str">
        <x:v>Best Practice</x:v>
      </x:c>
      <x:c r="E622" s="30" t="str">
        <x:v>Internal control — no independent statutory force; apply the separately mapped underlying law where applicable</x:v>
      </x:c>
      <x:c r="F622" s="30" t="str">
        <x:v>Customer Data Retention</x:v>
      </x:c>
      <x:c r="G622" s="30" t="str">
        <x:v>Personal data shall be retained only for approved business and legal purposes.</x:v>
      </x:c>
      <x:c r="H622" s="30" t="str">
        <x:v>EPHARMACY</x:v>
      </x:c>
      <x:c r="I622" s="30" t="str">
        <x:v>Yes</x:v>
      </x:c>
      <x:c r="J622" s="30" t="str">
        <x:v>P-4 reparented to the canonical internal-control framework; approved sub-sector and Origin preserved.</x:v>
      </x:c>
    </x:row>
    <x:row r="623">
      <x:c r="A623" s="30" t="str">
        <x:v>EPROV027</x:v>
      </x:c>
      <x:c r="B623" s="30" t="str">
        <x:v>LAW099</x:v>
      </x:c>
      <x:c r="C623" s="30" t="str">
        <x:v>SUB005</x:v>
      </x:c>
      <x:c r="D623" s="30" t="str">
        <x:v>Best Practice</x:v>
      </x:c>
      <x:c r="E623" s="30" t="str">
        <x:v>Internal control — no independent statutory force; apply the separately mapped underlying law where applicable</x:v>
      </x:c>
      <x:c r="F623" s="30" t="str">
        <x:v>Customer Data Deletion</x:v>
      </x:c>
      <x:c r="G623" s="30" t="str">
        <x:v>Customer personal data shall be securely deleted upon expiry of retention or approved request.</x:v>
      </x:c>
      <x:c r="H623" s="30" t="str">
        <x:v>EPHARMACY</x:v>
      </x:c>
      <x:c r="I623" s="30" t="str">
        <x:v>Yes</x:v>
      </x:c>
      <x:c r="J623" s="30" t="str">
        <x:v>P-4 reparented to the canonical internal-control framework; approved sub-sector and Origin preserved.</x:v>
      </x:c>
    </x:row>
    <x:row r="624">
      <x:c r="A624" s="30" t="str">
        <x:v>EPROV028</x:v>
      </x:c>
      <x:c r="B624" s="30" t="str">
        <x:v>LAW099</x:v>
      </x:c>
      <x:c r="C624" s="30" t="str">
        <x:v>SUB005</x:v>
      </x:c>
      <x:c r="D624" s="30" t="str">
        <x:v>Best Practice</x:v>
      </x:c>
      <x:c r="E624" s="30" t="str">
        <x:v>Internal control — no independent statutory force; apply the separately mapped underlying law where applicable</x:v>
      </x:c>
      <x:c r="F624" s="30" t="str">
        <x:v>Third-Party Application Governance</x:v>
      </x:c>
      <x:c r="G624" s="30" t="str">
        <x:v>External technology providers shall undergo security and compliance assessment before integration.</x:v>
      </x:c>
      <x:c r="H624" s="30" t="str">
        <x:v>EPHARMACY</x:v>
      </x:c>
      <x:c r="I624" s="30" t="str">
        <x:v>Yes</x:v>
      </x:c>
      <x:c r="J624" s="30" t="str">
        <x:v>P-4 reparented to the canonical internal-control framework; approved sub-sector and Origin preserved.</x:v>
      </x:c>
    </x:row>
    <x:row r="625">
      <x:c r="A625" s="30" t="str">
        <x:v>EPROV029</x:v>
      </x:c>
      <x:c r="B625" s="30" t="str">
        <x:v>LAW099</x:v>
      </x:c>
      <x:c r="C625" s="30" t="str">
        <x:v>SUB005</x:v>
      </x:c>
      <x:c r="D625" s="30" t="str">
        <x:v>Best Practice</x:v>
      </x:c>
      <x:c r="E625" s="30" t="str">
        <x:v>Internal control — no independent statutory force; apply the separately mapped underlying law where applicable</x:v>
      </x:c>
      <x:c r="F625" s="30" t="str">
        <x:v>API Security Management</x:v>
      </x:c>
      <x:c r="G625" s="30" t="str">
        <x:v>APIs shall implement authentication, authorization, rate limiting and monitoring controls.</x:v>
      </x:c>
      <x:c r="H625" s="30" t="str">
        <x:v>EPHARMACY</x:v>
      </x:c>
      <x:c r="I625" s="30" t="str">
        <x:v>Yes</x:v>
      </x:c>
      <x:c r="J625" s="30" t="str">
        <x:v>P-4 reparented to the canonical internal-control framework; approved sub-sector and Origin preserved.</x:v>
      </x:c>
    </x:row>
    <x:row r="626">
      <x:c r="A626" s="30" t="str">
        <x:v>EPROV030</x:v>
      </x:c>
      <x:c r="B626" s="30" t="str">
        <x:v>LAW099</x:v>
      </x:c>
      <x:c r="C626" s="30" t="str">
        <x:v>SUB005</x:v>
      </x:c>
      <x:c r="D626" s="30" t="str">
        <x:v>Best Practice</x:v>
      </x:c>
      <x:c r="E626" s="30" t="str">
        <x:v>Internal control — no independent statutory force; apply the separately mapped underlying law where applicable</x:v>
      </x:c>
      <x:c r="F626" s="30" t="str">
        <x:v>Secure Software Development Lifecycle</x:v>
      </x:c>
      <x:c r="G626" s="30" t="str">
        <x:v>Application development shall follow secure SDLC practices with security testing before deployment.</x:v>
      </x:c>
      <x:c r="H626" s="30" t="str">
        <x:v>EPHARMACY</x:v>
      </x:c>
      <x:c r="I626" s="30" t="str">
        <x:v>Yes</x:v>
      </x:c>
      <x:c r="J626" s="30" t="str">
        <x:v>P-4 reparented to the canonical internal-control framework; approved sub-sector and Origin preserved.</x:v>
      </x:c>
    </x:row>
    <x:row r="627">
      <x:c r="A627" s="30" t="str">
        <x:v>EPROV031</x:v>
      </x:c>
      <x:c r="B627" s="30" t="str">
        <x:v>LAW099</x:v>
      </x:c>
      <x:c r="C627" s="30" t="str">
        <x:v>SUB005</x:v>
      </x:c>
      <x:c r="D627" s="30" t="str">
        <x:v>Best Practice</x:v>
      </x:c>
      <x:c r="E627" s="30" t="str">
        <x:v>Internal control — no independent statutory force; apply the separately mapped underlying law where applicable</x:v>
      </x:c>
      <x:c r="F627" s="30" t="str">
        <x:v>Vulnerability Assessment &amp; Penetration Testing</x:v>
      </x:c>
      <x:c r="G627" s="30" t="str">
        <x:v>Critical systems shall undergo periodic vulnerability assessment and penetration testing.</x:v>
      </x:c>
      <x:c r="H627" s="30" t="str">
        <x:v>EPHARMACY</x:v>
      </x:c>
      <x:c r="I627" s="30" t="str">
        <x:v>Yes</x:v>
      </x:c>
      <x:c r="J627" s="30" t="str">
        <x:v>P-4 reparented to the canonical internal-control framework; approved sub-sector and Origin preserved.</x:v>
      </x:c>
    </x:row>
    <x:row r="628">
      <x:c r="A628" s="30" t="str">
        <x:v>EPROV032</x:v>
      </x:c>
      <x:c r="B628" s="30" t="str">
        <x:v>LAW099</x:v>
      </x:c>
      <x:c r="C628" s="30" t="str">
        <x:v>SUB005</x:v>
      </x:c>
      <x:c r="D628" s="30" t="str">
        <x:v>Best Practice</x:v>
      </x:c>
      <x:c r="E628" s="30" t="str">
        <x:v>Internal control — no independent statutory force; apply the separately mapped underlying law where applicable</x:v>
      </x:c>
      <x:c r="F628" s="30" t="str">
        <x:v>Security Event Monitoring</x:v>
      </x:c>
      <x:c r="G628" s="30" t="str">
        <x:v>Security events shall be centrally monitored and investigated.</x:v>
      </x:c>
      <x:c r="H628" s="30" t="str">
        <x:v>EPHARMACY</x:v>
      </x:c>
      <x:c r="I628" s="30" t="str">
        <x:v>Yes</x:v>
      </x:c>
      <x:c r="J628" s="30" t="str">
        <x:v>P-4 reparented to the canonical internal-control framework; approved sub-sector and Origin preserved.</x:v>
      </x:c>
    </x:row>
    <x:row r="629">
      <x:c r="A629" s="30" t="str">
        <x:v>EPROV033</x:v>
      </x:c>
      <x:c r="B629" s="30" t="str">
        <x:v>LAW099</x:v>
      </x:c>
      <x:c r="C629" s="30" t="str">
        <x:v>SUB005</x:v>
      </x:c>
      <x:c r="D629" s="30" t="str">
        <x:v>Best Practice</x:v>
      </x:c>
      <x:c r="E629" s="30" t="str">
        <x:v>Internal control — no independent statutory force; apply the separately mapped underlying law where applicable</x:v>
      </x:c>
      <x:c r="F629" s="30" t="str">
        <x:v>Duplicate Order Detection</x:v>
      </x:c>
      <x:c r="G629" s="30" t="str">
        <x:v>Automated controls shall identify duplicate or abnormal prescription orders.</x:v>
      </x:c>
      <x:c r="H629" s="30" t="str">
        <x:v>EPHARMACY</x:v>
      </x:c>
      <x:c r="I629" s="30" t="str">
        <x:v>Yes</x:v>
      </x:c>
      <x:c r="J629" s="30" t="str">
        <x:v>P-4 reparented to the canonical internal-control framework; approved sub-sector and Origin preserved.</x:v>
      </x:c>
    </x:row>
    <x:row r="630">
      <x:c r="A630" s="30" t="str">
        <x:v>EPROV034</x:v>
      </x:c>
      <x:c r="B630" s="30" t="str">
        <x:v>LAW099</x:v>
      </x:c>
      <x:c r="C630" s="30" t="str">
        <x:v>SUB005</x:v>
      </x:c>
      <x:c r="D630" s="30" t="str">
        <x:v>Best Practice</x:v>
      </x:c>
      <x:c r="E630" s="30" t="str">
        <x:v>Internal control — no independent statutory force; apply the separately mapped underlying law where applicable</x:v>
      </x:c>
      <x:c r="F630" s="30" t="str">
        <x:v>Controlled Medicine Restrictions</x:v>
      </x:c>
      <x:c r="G630" s="30" t="str">
        <x:v>Online sale of restricted medicines shall comply with applicable statutory restrictions.</x:v>
      </x:c>
      <x:c r="H630" s="30" t="str">
        <x:v>EPHARMACY</x:v>
      </x:c>
      <x:c r="I630" s="30" t="str">
        <x:v>Yes</x:v>
      </x:c>
      <x:c r="J630" s="30" t="str">
        <x:v>P-4 reparented to the canonical internal-control framework; approved sub-sector and Origin preserved.</x:v>
      </x:c>
    </x:row>
    <x:row r="631">
      <x:c r="A631" s="30" t="str">
        <x:v>EPROV035</x:v>
      </x:c>
      <x:c r="B631" s="30" t="str">
        <x:v>LAW099</x:v>
      </x:c>
      <x:c r="C631" s="30" t="str">
        <x:v>SUB005</x:v>
      </x:c>
      <x:c r="D631" s="30" t="str">
        <x:v>Best Practice</x:v>
      </x:c>
      <x:c r="E631" s="30" t="str">
        <x:v>Internal control — no independent statutory force; apply the separately mapped underlying law where applicable</x:v>
      </x:c>
      <x:c r="F631" s="30" t="str">
        <x:v>Customer Refund Governance</x:v>
      </x:c>
      <x:c r="G631" s="30" t="str">
        <x:v>Refunds and cancellations shall follow documented approval workflows and audit trails.</x:v>
      </x:c>
      <x:c r="H631" s="30" t="str">
        <x:v>EPHARMACY</x:v>
      </x:c>
      <x:c r="I631" s="30" t="str">
        <x:v>Yes</x:v>
      </x:c>
      <x:c r="J631" s="30" t="str">
        <x:v>P-4 reparented to the canonical internal-control framework; approved sub-sector and Origin preserved.</x:v>
      </x:c>
    </x:row>
    <x:row r="632">
      <x:c r="A632" s="30" t="str">
        <x:v>EPROV036</x:v>
      </x:c>
      <x:c r="B632" s="30" t="str">
        <x:v>LAW099</x:v>
      </x:c>
      <x:c r="C632" s="30" t="str">
        <x:v>SUB005</x:v>
      </x:c>
      <x:c r="D632" s="30" t="str">
        <x:v>Best Practice</x:v>
      </x:c>
      <x:c r="E632" s="30" t="str">
        <x:v>Internal control — no independent statutory force; apply the separately mapped underlying law where applicable</x:v>
      </x:c>
      <x:c r="F632" s="30" t="str">
        <x:v>Customer Notification Management</x:v>
      </x:c>
      <x:c r="G632" s="30" t="str">
        <x:v>Customers shall receive automated notifications for order status and regulatory events.</x:v>
      </x:c>
      <x:c r="H632" s="30" t="str">
        <x:v>EPHARMACY</x:v>
      </x:c>
      <x:c r="I632" s="30" t="str">
        <x:v>Yes</x:v>
      </x:c>
      <x:c r="J632" s="30" t="str">
        <x:v>P-4 reparented to the canonical internal-control framework; approved sub-sector and Origin preserved.</x:v>
      </x:c>
    </x:row>
    <x:row r="633">
      <x:c r="A633" s="30" t="str">
        <x:v>EPROV037</x:v>
      </x:c>
      <x:c r="B633" s="30" t="str">
        <x:v>LAW099</x:v>
      </x:c>
      <x:c r="C633" s="30" t="str">
        <x:v>SUB005</x:v>
      </x:c>
      <x:c r="D633" s="30" t="str">
        <x:v>Best Practice</x:v>
      </x:c>
      <x:c r="E633" s="30" t="str">
        <x:v>Internal control — no independent statutory force; apply the separately mapped underlying law where applicable</x:v>
      </x:c>
      <x:c r="F633" s="30" t="str">
        <x:v>Digital Document Authenticity</x:v>
      </x:c>
      <x:c r="G633" s="30" t="str">
        <x:v>Electronically generated regulatory documents shall support authenticity and integrity verification.</x:v>
      </x:c>
      <x:c r="H633" s="30" t="str">
        <x:v>EPHARMACY</x:v>
      </x:c>
      <x:c r="I633" s="30" t="str">
        <x:v>Yes</x:v>
      </x:c>
      <x:c r="J633" s="30" t="str">
        <x:v>P-4 reparented to the canonical internal-control framework; approved sub-sector and Origin preserved.</x:v>
      </x:c>
    </x:row>
    <x:row r="634">
      <x:c r="A634" s="30" t="str">
        <x:v>EPROV038</x:v>
      </x:c>
      <x:c r="B634" s="30" t="str">
        <x:v>LAW099</x:v>
      </x:c>
      <x:c r="C634" s="30" t="str">
        <x:v>SUB005</x:v>
      </x:c>
      <x:c r="D634" s="30" t="str">
        <x:v>Best Practice</x:v>
      </x:c>
      <x:c r="E634" s="30" t="str">
        <x:v>Internal control — no independent statutory force; apply the separately mapped underlying law where applicable</x:v>
      </x:c>
      <x:c r="F634" s="30" t="str">
        <x:v>Compliance Analytics</x:v>
      </x:c>
      <x:c r="G634" s="30" t="str">
        <x:v>Enterprise compliance analytics shall identify emerging regulatory risks.</x:v>
      </x:c>
      <x:c r="H634" s="30" t="str">
        <x:v>EPHARMACY</x:v>
      </x:c>
      <x:c r="I634" s="30" t="str">
        <x:v>Yes</x:v>
      </x:c>
      <x:c r="J634" s="30" t="str">
        <x:v>P-4 reparented to the canonical internal-control framework; approved sub-sector and Origin preserved.</x:v>
      </x:c>
    </x:row>
    <x:row r="635">
      <x:c r="A635" s="30" t="str">
        <x:v>EPROV039</x:v>
      </x:c>
      <x:c r="B635" s="30" t="str">
        <x:v>LAW099</x:v>
      </x:c>
      <x:c r="C635" s="30" t="str">
        <x:v>SUB005</x:v>
      </x:c>
      <x:c r="D635" s="30" t="str">
        <x:v>Best Practice</x:v>
      </x:c>
      <x:c r="E635" s="30" t="str">
        <x:v>Internal control — no independent statutory force; apply the separately mapped underlying law where applicable</x:v>
      </x:c>
      <x:c r="F635" s="30" t="str">
        <x:v>Digital Service Availability</x:v>
      </x:c>
      <x:c r="G635" s="30" t="str">
        <x:v>Critical customer-facing systems shall meet defined service availability objectives.</x:v>
      </x:c>
      <x:c r="H635" s="30" t="str">
        <x:v>EPHARMACY</x:v>
      </x:c>
      <x:c r="I635" s="30" t="str">
        <x:v>Yes</x:v>
      </x:c>
      <x:c r="J635" s="30" t="str">
        <x:v>P-4 reparented to the canonical internal-control framework; approved sub-sector and Origin preserved.</x:v>
      </x:c>
    </x:row>
    <x:row r="636">
      <x:c r="A636" s="30" t="str">
        <x:v>EPROV040</x:v>
      </x:c>
      <x:c r="B636" s="30" t="str">
        <x:v>LAW099</x:v>
      </x:c>
      <x:c r="C636" s="30" t="str">
        <x:v>SUB005</x:v>
      </x:c>
      <x:c r="D636" s="30" t="str">
        <x:v>Best Practice</x:v>
      </x:c>
      <x:c r="E636" s="30" t="str">
        <x:v>Internal control — no independent statutory force; apply the separately mapped underlying law where applicable</x:v>
      </x:c>
      <x:c r="F636" s="30" t="str">
        <x:v>Digital Compliance Governance Committee</x:v>
      </x:c>
      <x:c r="G636" s="30" t="str">
        <x:v>A governance committee shall periodically review cybersecurity, privacy, compliance and digital risks.</x:v>
      </x:c>
      <x:c r="H636" s="30" t="str">
        <x:v>EPHARMACY</x:v>
      </x:c>
      <x:c r="I636" s="30" t="str">
        <x:v>Yes</x:v>
      </x:c>
      <x:c r="J636" s="30" t="str">
        <x:v>P-4 reparented to the canonical internal-control framework; approved sub-sector and Origin preserved.</x:v>
      </x:c>
    </x:row>
    <x:row r="637">
      <x:c r="A637" s="30" t="str">
        <x:v>EPROV041</x:v>
      </x:c>
      <x:c r="B637" s="30" t="str">
        <x:v>LAW099</x:v>
      </x:c>
      <x:c r="C637" s="30" t="str">
        <x:v>SUB005</x:v>
      </x:c>
      <x:c r="D637" s="30" t="str">
        <x:v>Best Practice</x:v>
      </x:c>
      <x:c r="E637" s="30" t="str">
        <x:v>Internal control — no independent statutory force; apply the separately mapped underlying law where applicable</x:v>
      </x:c>
      <x:c r="F637" s="30" t="str">
        <x:v>Online Grievance Redressal</x:v>
      </x:c>
      <x:c r="G637" s="30" t="str">
        <x:v>The e-pharmacy shall maintain an online grievance redressal mechanism with defined escalation timelines.</x:v>
      </x:c>
      <x:c r="H637" s="30" t="str">
        <x:v>EPHARMACY</x:v>
      </x:c>
      <x:c r="I637" s="30" t="str">
        <x:v>Yes</x:v>
      </x:c>
      <x:c r="J637" s="30" t="str">
        <x:v>P-4 reparented to the canonical internal-control framework; approved sub-sector and Origin preserved.</x:v>
      </x:c>
    </x:row>
    <x:row r="638">
      <x:c r="A638" s="30" t="str">
        <x:v>EPROV042</x:v>
      </x:c>
      <x:c r="B638" s="30" t="str">
        <x:v>LAW099</x:v>
      </x:c>
      <x:c r="C638" s="30" t="str">
        <x:v>SUB005</x:v>
      </x:c>
      <x:c r="D638" s="30" t="str">
        <x:v>Best Practice</x:v>
      </x:c>
      <x:c r="E638" s="30" t="str">
        <x:v>Internal control — no independent statutory force; apply the separately mapped underlying law where applicable</x:v>
      </x:c>
      <x:c r="F638" s="30" t="str">
        <x:v>Marketplace Seller Controls</x:v>
      </x:c>
      <x:c r="G638" s="30" t="str">
        <x:v>Third-party sellers on the platform shall be verified, approved and periodically monitored.</x:v>
      </x:c>
      <x:c r="H638" s="30" t="str">
        <x:v>EPHARMACY</x:v>
      </x:c>
      <x:c r="I638" s="30" t="str">
        <x:v>Yes</x:v>
      </x:c>
      <x:c r="J638" s="30" t="str">
        <x:v>P-4 reparented to the canonical internal-control framework; approved sub-sector and Origin preserved.</x:v>
      </x:c>
    </x:row>
    <x:row r="639">
      <x:c r="A639" s="30" t="str">
        <x:v>EPROV043</x:v>
      </x:c>
      <x:c r="B639" s="30" t="str">
        <x:v>LAW099</x:v>
      </x:c>
      <x:c r="C639" s="30" t="str">
        <x:v>SUB005</x:v>
      </x:c>
      <x:c r="D639" s="30" t="str">
        <x:v>Best Practice</x:v>
      </x:c>
      <x:c r="E639" s="30" t="str">
        <x:v>Internal control — no independent statutory force; apply the separately mapped underlying law where applicable</x:v>
      </x:c>
      <x:c r="F639" s="30" t="str">
        <x:v>Online Medicine Advertisement Control</x:v>
      </x:c>
      <x:c r="G639" s="30" t="str">
        <x:v>Online medicine advertisements and promotional content shall be reviewed before publication.</x:v>
      </x:c>
      <x:c r="H639" s="30" t="str">
        <x:v>EPHARMACY</x:v>
      </x:c>
      <x:c r="I639" s="30" t="str">
        <x:v>Yes</x:v>
      </x:c>
      <x:c r="J639" s="30" t="str">
        <x:v>P-4 reparented to the canonical internal-control framework; approved sub-sector and Origin preserved.</x:v>
      </x:c>
    </x:row>
    <x:row r="640">
      <x:c r="A640" s="30" t="str">
        <x:v>EPROV044</x:v>
      </x:c>
      <x:c r="B640" s="30" t="str">
        <x:v>LAW099</x:v>
      </x:c>
      <x:c r="C640" s="30" t="str">
        <x:v>SUB005</x:v>
      </x:c>
      <x:c r="D640" s="30" t="str">
        <x:v>Best Practice</x:v>
      </x:c>
      <x:c r="E640" s="30" t="str">
        <x:v>Internal control — no independent statutory force; apply the separately mapped underlying law where applicable</x:v>
      </x:c>
      <x:c r="F640" s="30" t="str">
        <x:v>Search Result and Recommendation Controls</x:v>
      </x:c>
      <x:c r="G640" s="30" t="str">
        <x:v>Medicine search results and recommendation algorithms shall avoid unsafe or inappropriate product promotion.</x:v>
      </x:c>
      <x:c r="H640" s="30" t="str">
        <x:v>EPHARMACY</x:v>
      </x:c>
      <x:c r="I640" s="30" t="str">
        <x:v>Yes</x:v>
      </x:c>
      <x:c r="J640" s="30" t="str">
        <x:v>P-4 reparented to the canonical internal-control framework; approved sub-sector and Origin preserved.</x:v>
      </x:c>
    </x:row>
    <x:row r="641">
      <x:c r="A641" s="30" t="str">
        <x:v>EPROV045</x:v>
      </x:c>
      <x:c r="B641" s="30" t="str">
        <x:v>LAW099</x:v>
      </x:c>
      <x:c r="C641" s="30" t="str">
        <x:v>SUB005</x:v>
      </x:c>
      <x:c r="D641" s="30" t="str">
        <x:v>Best Practice</x:v>
      </x:c>
      <x:c r="E641" s="30" t="str">
        <x:v>Internal control — no independent statutory force; apply the separately mapped underlying law where applicable</x:v>
      </x:c>
      <x:c r="F641" s="30" t="str">
        <x:v>Order Cancellation Control</x:v>
      </x:c>
      <x:c r="G641" s="30" t="str">
        <x:v>Prescription medicine order cancellations shall be documented with reasons and approval trail where applicable.</x:v>
      </x:c>
      <x:c r="H641" s="30" t="str">
        <x:v>EPHARMACY</x:v>
      </x:c>
      <x:c r="I641" s="30" t="str">
        <x:v>Yes</x:v>
      </x:c>
      <x:c r="J641" s="30" t="str">
        <x:v>P-4 reparented to the canonical internal-control framework; approved sub-sector and Origin preserved.</x:v>
      </x:c>
    </x:row>
    <x:row r="642">
      <x:c r="A642" s="30" t="str">
        <x:v>EPROV046</x:v>
      </x:c>
      <x:c r="B642" s="30" t="str">
        <x:v>LAW099</x:v>
      </x:c>
      <x:c r="C642" s="30" t="str">
        <x:v>SUB005</x:v>
      </x:c>
      <x:c r="D642" s="30" t="str">
        <x:v>Best Practice</x:v>
      </x:c>
      <x:c r="E642" s="30" t="str">
        <x:v>Internal control — no independent statutory force; apply the separately mapped underlying law where applicable</x:v>
      </x:c>
      <x:c r="F642" s="30" t="str">
        <x:v>Online Medicine Return Control</x:v>
      </x:c>
      <x:c r="G642" s="30" t="str">
        <x:v>Medicine returns shall be accepted only under approved conditions and documented through a controlled workflow.</x:v>
      </x:c>
      <x:c r="H642" s="30" t="str">
        <x:v>EPHARMACY</x:v>
      </x:c>
      <x:c r="I642" s="30" t="str">
        <x:v>Yes</x:v>
      </x:c>
      <x:c r="J642" s="30" t="str">
        <x:v>P-4 reparented to the canonical internal-control framework; approved sub-sector and Origin preserved.</x:v>
      </x:c>
    </x:row>
    <x:row r="643">
      <x:c r="A643" s="30" t="str">
        <x:v>EPROV047</x:v>
      </x:c>
      <x:c r="B643" s="30" t="str">
        <x:v>LAW099</x:v>
      </x:c>
      <x:c r="C643" s="30" t="str">
        <x:v>SUB005</x:v>
      </x:c>
      <x:c r="D643" s="30" t="str">
        <x:v>Best Practice</x:v>
      </x:c>
      <x:c r="E643" s="30" t="str">
        <x:v>Internal control — no independent statutory force; apply the separately mapped underlying law where applicable</x:v>
      </x:c>
      <x:c r="F643" s="30" t="str">
        <x:v>Failed Delivery and Reattempt Control</x:v>
      </x:c>
      <x:c r="G643" s="30" t="str">
        <x:v>Failed deliveries and reattempts shall be documented with status updates and product integrity verification.</x:v>
      </x:c>
      <x:c r="H643" s="30" t="str">
        <x:v>EPHARMACY</x:v>
      </x:c>
      <x:c r="I643" s="30" t="str">
        <x:v>Yes</x:v>
      </x:c>
      <x:c r="J643" s="30" t="str">
        <x:v>P-4 reparented to the canonical internal-control framework; approved sub-sector and Origin preserved.</x:v>
      </x:c>
    </x:row>
    <x:row r="644">
      <x:c r="A644" s="30" t="str">
        <x:v>EPROV048</x:v>
      </x:c>
      <x:c r="B644" s="30" t="str">
        <x:v>LAW099</x:v>
      </x:c>
      <x:c r="C644" s="30" t="str">
        <x:v>SUB005</x:v>
      </x:c>
      <x:c r="D644" s="30" t="str">
        <x:v>Best Practice</x:v>
      </x:c>
      <x:c r="E644" s="30" t="str">
        <x:v>Internal control — no independent statutory force; apply the separately mapped underlying law where applicable</x:v>
      </x:c>
      <x:c r="F644" s="30" t="str">
        <x:v>Digital Product Information Accuracy</x:v>
      </x:c>
      <x:c r="G644" s="30" t="str">
        <x:v>Product information displayed on the e-pharmacy platform shall be accurate, approved and periodically reviewed.</x:v>
      </x:c>
      <x:c r="H644" s="30" t="str">
        <x:v>EPHARMACY</x:v>
      </x:c>
      <x:c r="I644" s="30" t="str">
        <x:v>Yes</x:v>
      </x:c>
      <x:c r="J644" s="30" t="str">
        <x:v>P-4 reparented to the canonical internal-control framework; approved sub-sector and Origin preserved.</x:v>
      </x:c>
    </x:row>
    <x:row r="645">
      <x:c r="A645" s="30" t="str">
        <x:v>EPROV049</x:v>
      </x:c>
      <x:c r="B645" s="30" t="str">
        <x:v>LAW099</x:v>
      </x:c>
      <x:c r="C645" s="30" t="str">
        <x:v>SUB005</x:v>
      </x:c>
      <x:c r="D645" s="30" t="str">
        <x:v>Best Practice</x:v>
      </x:c>
      <x:c r="E645" s="30" t="str">
        <x:v>Internal control — no independent statutory force; apply the separately mapped underlying law where applicable</x:v>
      </x:c>
      <x:c r="F645" s="30" t="str">
        <x:v>Platform Transaction Audit Trail</x:v>
      </x:c>
      <x:c r="G645" s="30" t="str">
        <x:v>End-to-end platform transaction records shall be auditable, tamper-resistant and retrievable.</x:v>
      </x:c>
      <x:c r="H645" s="30" t="str">
        <x:v>EPHARMACY</x:v>
      </x:c>
      <x:c r="I645" s="30" t="str">
        <x:v>Yes</x:v>
      </x:c>
      <x:c r="J645" s="30" t="str">
        <x:v>P-4 reparented to the canonical internal-control framework; approved sub-sector and Origin preserved.</x:v>
      </x:c>
    </x:row>
    <x:row r="646">
      <x:c r="A646" s="30" t="str">
        <x:v>EPROV050</x:v>
      </x:c>
      <x:c r="B646" s="30" t="str">
        <x:v>LAW099</x:v>
      </x:c>
      <x:c r="C646" s="30" t="str">
        <x:v>SUB005</x:v>
      </x:c>
      <x:c r="D646" s="30" t="str">
        <x:v>Best Practice</x:v>
      </x:c>
      <x:c r="E646" s="30" t="str">
        <x:v>Internal control — no independent statutory force; apply the separately mapped underlying law where applicable</x:v>
      </x:c>
      <x:c r="F646" s="30" t="str">
        <x:v>E-Pharmacy Regulatory Compliance Review</x:v>
      </x:c>
      <x:c r="G646" s="30" t="str">
        <x:v>Senior management shall periodically review e-pharmacy regulatory, privacy, cybersecurity and operational compliance.</x:v>
      </x:c>
      <x:c r="H646" s="30" t="str">
        <x:v>EPHARMACY</x:v>
      </x:c>
      <x:c r="I646" s="30" t="str">
        <x:v>Yes</x:v>
      </x:c>
      <x:c r="J646" s="30" t="str">
        <x:v>P-4 reparented to the canonical internal-control framework; approved sub-sector and Origin preserved.</x:v>
      </x:c>
    </x:row>
    <x:row r="647">
      <x:c r="A647" s="30" t="str">
        <x:v>IPROV001</x:v>
      </x:c>
      <x:c r="B647" s="30" t="str">
        <x:v>LAW099</x:v>
      </x:c>
      <x:c r="C647" s="30" t="str">
        <x:v>SUB006</x:v>
      </x:c>
      <x:c r="D647" s="30" t="str">
        <x:v>Best Practice</x:v>
      </x:c>
      <x:c r="E647" s="30" t="str">
        <x:v>Internal control — no independent statutory force; apply the separately mapped underlying law where applicable</x:v>
      </x:c>
      <x:c r="F647" s="30" t="str">
        <x:v>Institutional Customer Authorization Verification</x:v>
      </x:c>
      <x:c r="G647" s="30" t="str">
        <x:v>Medicines shall be supplied only to verified and authorized institutional departments, units or facilities.</x:v>
      </x:c>
      <x:c r="H647" s="30" t="str">
        <x:v>INSTITUTIONAL</x:v>
      </x:c>
      <x:c r="I647" s="30" t="str">
        <x:v>Yes</x:v>
      </x:c>
      <x:c r="J647" s="30" t="str">
        <x:v>P-4 reparented to the canonical internal-control framework; approved sub-sector and Origin preserved.</x:v>
      </x:c>
    </x:row>
    <x:row r="648">
      <x:c r="A648" s="30" t="str">
        <x:v>IPROV002</x:v>
      </x:c>
      <x:c r="B648" s="30" t="str">
        <x:v>LAW099</x:v>
      </x:c>
      <x:c r="C648" s="30" t="str">
        <x:v>SUB006</x:v>
      </x:c>
      <x:c r="D648" s="30" t="str">
        <x:v>Best Practice</x:v>
      </x:c>
      <x:c r="E648" s="30" t="str">
        <x:v>Internal control — no independent statutory force; apply the separately mapped underlying law where applicable</x:v>
      </x:c>
      <x:c r="F648" s="30" t="str">
        <x:v>Bulk Medicine Requisition Approval</x:v>
      </x:c>
      <x:c r="G648" s="30" t="str">
        <x:v>Bulk medicine requisitions shall be approved by authorized institutional personnel before issue.</x:v>
      </x:c>
      <x:c r="H648" s="30" t="str">
        <x:v>INSTITUTIONAL</x:v>
      </x:c>
      <x:c r="I648" s="30" t="str">
        <x:v>Yes</x:v>
      </x:c>
      <x:c r="J648" s="30" t="str">
        <x:v>P-4 reparented to the canonical internal-control framework; approved sub-sector and Origin preserved.</x:v>
      </x:c>
    </x:row>
    <x:row r="649">
      <x:c r="A649" s="30" t="str">
        <x:v>IPROV003</x:v>
      </x:c>
      <x:c r="B649" s="30" t="str">
        <x:v>LAW099</x:v>
      </x:c>
      <x:c r="C649" s="30" t="str">
        <x:v>SUB006</x:v>
      </x:c>
      <x:c r="D649" s="30" t="str">
        <x:v>Best Practice</x:v>
      </x:c>
      <x:c r="E649" s="30" t="str">
        <x:v>Internal control — no independent statutory force; apply the separately mapped underlying law where applicable</x:v>
      </x:c>
      <x:c r="F649" s="30" t="str">
        <x:v>Department-Level Medicine Traceability</x:v>
      </x:c>
      <x:c r="G649" s="30" t="str">
        <x:v>Medicine issues to institutional departments shall maintain complete batch and quantity traceability.</x:v>
      </x:c>
      <x:c r="H649" s="30" t="str">
        <x:v>INSTITUTIONAL</x:v>
      </x:c>
      <x:c r="I649" s="30" t="str">
        <x:v>Yes</x:v>
      </x:c>
      <x:c r="J649" s="30" t="str">
        <x:v>P-4 reparented to the canonical internal-control framework; approved sub-sector and Origin preserved.</x:v>
      </x:c>
    </x:row>
    <x:row r="650">
      <x:c r="A650" s="30" t="str">
        <x:v>IPROV004</x:v>
      </x:c>
      <x:c r="B650" s="30" t="str">
        <x:v>LAW099</x:v>
      </x:c>
      <x:c r="C650" s="30" t="str">
        <x:v>SUB006</x:v>
      </x:c>
      <x:c r="D650" s="30" t="str">
        <x:v>Best Practice</x:v>
      </x:c>
      <x:c r="E650" s="30" t="str">
        <x:v>Internal control — no independent statutory force; apply the separately mapped underlying law where applicable</x:v>
      </x:c>
      <x:c r="F650" s="30" t="str">
        <x:v>Department Inventory Reconciliation</x:v>
      </x:c>
      <x:c r="G650" s="30" t="str">
        <x:v>Department medicine inventories shall be periodically reconciled with pharmacy issue records.</x:v>
      </x:c>
      <x:c r="H650" s="30" t="str">
        <x:v>INSTITUTIONAL</x:v>
      </x:c>
      <x:c r="I650" s="30" t="str">
        <x:v>Yes</x:v>
      </x:c>
      <x:c r="J650" s="30" t="str">
        <x:v>P-4 reparented to the canonical internal-control framework; approved sub-sector and Origin preserved.</x:v>
      </x:c>
    </x:row>
    <x:row r="651">
      <x:c r="A651" s="30" t="str">
        <x:v>IPROV005</x:v>
      </x:c>
      <x:c r="B651" s="30" t="str">
        <x:v>LAW099</x:v>
      </x:c>
      <x:c r="C651" s="30" t="str">
        <x:v>SUB006</x:v>
      </x:c>
      <x:c r="D651" s="30" t="str">
        <x:v>Best Practice</x:v>
      </x:c>
      <x:c r="E651" s="30" t="str">
        <x:v>Internal control — no independent statutory force; apply the separately mapped underlying law where applicable</x:v>
      </x:c>
      <x:c r="F651" s="30" t="str">
        <x:v>Return of Unused Institutional Medicines</x:v>
      </x:c>
      <x:c r="G651" s="30" t="str">
        <x:v>Unused institutional medicines shall be returned, inspected and documented before reuse or disposal.</x:v>
      </x:c>
      <x:c r="H651" s="30" t="str">
        <x:v>INSTITUTIONAL</x:v>
      </x:c>
      <x:c r="I651" s="30" t="str">
        <x:v>Yes</x:v>
      </x:c>
      <x:c r="J651" s="30" t="str">
        <x:v>P-4 reparented to the canonical internal-control framework; approved sub-sector and Origin preserved.</x:v>
      </x:c>
    </x:row>
    <x:row r="652">
      <x:c r="A652" s="30" t="str">
        <x:v>IPROV006</x:v>
      </x:c>
      <x:c r="B652" s="30" t="str">
        <x:v>LAW099</x:v>
      </x:c>
      <x:c r="C652" s="30" t="str">
        <x:v>SUB006</x:v>
      </x:c>
      <x:c r="D652" s="30" t="str">
        <x:v>Best Practice</x:v>
      </x:c>
      <x:c r="E652" s="30" t="str">
        <x:v>Internal control — no independent statutory force; apply the separately mapped underlying law where applicable</x:v>
      </x:c>
      <x:c r="F652" s="30" t="str">
        <x:v>Institutional Emergency Medicine Stock</x:v>
      </x:c>
      <x:c r="G652" s="30" t="str">
        <x:v>Emergency medicine stock shall be maintained and periodically verified for institutional readiness.</x:v>
      </x:c>
      <x:c r="H652" s="30" t="str">
        <x:v>INSTITUTIONAL</x:v>
      </x:c>
      <x:c r="I652" s="30" t="str">
        <x:v>Yes</x:v>
      </x:c>
      <x:c r="J652" s="30" t="str">
        <x:v>P-4 reparented to the canonical internal-control framework; approved sub-sector and Origin preserved.</x:v>
      </x:c>
    </x:row>
    <x:row r="653">
      <x:c r="A653" s="30" t="str">
        <x:v>IPROV007</x:v>
      </x:c>
      <x:c r="B653" s="30" t="str">
        <x:v>LAW099</x:v>
      </x:c>
      <x:c r="C653" s="30" t="str">
        <x:v>SUB006</x:v>
      </x:c>
      <x:c r="D653" s="30" t="str">
        <x:v>Best Practice</x:v>
      </x:c>
      <x:c r="E653" s="30" t="str">
        <x:v>Internal control — no independent statutory force; apply the separately mapped underlying law where applicable</x:v>
      </x:c>
      <x:c r="F653" s="30" t="str">
        <x:v>Controlled Medicine Issue and Reconciliation</x:v>
      </x:c>
      <x:c r="G653" s="30" t="str">
        <x:v>Controlled medicines issued to institutional units shall be recorded and reconciled periodically.</x:v>
      </x:c>
      <x:c r="H653" s="30" t="str">
        <x:v>INSTITUTIONAL</x:v>
      </x:c>
      <x:c r="I653" s="30" t="str">
        <x:v>Yes</x:v>
      </x:c>
      <x:c r="J653" s="30" t="str">
        <x:v>P-4 reparented to the canonical internal-control framework; approved sub-sector and Origin preserved.</x:v>
      </x:c>
    </x:row>
    <x:row r="654">
      <x:c r="A654" s="30" t="str">
        <x:v>IPROV008</x:v>
      </x:c>
      <x:c r="B654" s="30" t="str">
        <x:v>LAW099</x:v>
      </x:c>
      <x:c r="C654" s="30" t="str">
        <x:v>SUB006</x:v>
      </x:c>
      <x:c r="D654" s="30" t="str">
        <x:v>Best Practice</x:v>
      </x:c>
      <x:c r="E654" s="30" t="str">
        <x:v>Internal control — no independent statutory force; apply the separately mapped underlying law where applicable</x:v>
      </x:c>
      <x:c r="F654" s="30" t="str">
        <x:v>Institutional Supply Contract Governance</x:v>
      </x:c>
      <x:c r="G654" s="30" t="str">
        <x:v>Institutional medicine supply arrangements shall be governed through documented contracts or approved service terms.</x:v>
      </x:c>
      <x:c r="H654" s="30" t="str">
        <x:v>INSTITUTIONAL</x:v>
      </x:c>
      <x:c r="I654" s="30" t="str">
        <x:v>Yes</x:v>
      </x:c>
      <x:c r="J654" s="30" t="str">
        <x:v>P-4 reparented to the canonical internal-control framework; approved sub-sector and Origin preserved.</x:v>
      </x:c>
    </x:row>
    <x:row r="655">
      <x:c r="A655" s="30" t="str">
        <x:v>IPROV009</x:v>
      </x:c>
      <x:c r="B655" s="30" t="str">
        <x:v>LAW099</x:v>
      </x:c>
      <x:c r="C655" s="30" t="str">
        <x:v>SUB006</x:v>
      </x:c>
      <x:c r="D655" s="30" t="str">
        <x:v>Best Practice</x:v>
      </x:c>
      <x:c r="E655" s="30" t="str">
        <x:v>Internal control — no independent statutory force; apply the separately mapped underlying law where applicable</x:v>
      </x:c>
      <x:c r="F655" s="30" t="str">
        <x:v>Institutional Pharmacy Compliance Monitoring</x:v>
      </x:c>
      <x:c r="G655" s="30" t="str">
        <x:v>Institutional pharmacy compliance shall be periodically monitored using defined compliance checks.</x:v>
      </x:c>
      <x:c r="H655" s="30" t="str">
        <x:v>INSTITUTIONAL</x:v>
      </x:c>
      <x:c r="I655" s="30" t="str">
        <x:v>Yes</x:v>
      </x:c>
      <x:c r="J655" s="30" t="str">
        <x:v>P-4 reparented to the canonical internal-control framework; approved sub-sector and Origin preserved.</x:v>
      </x:c>
    </x:row>
    <x:row r="656">
      <x:c r="A656" s="30" t="str">
        <x:v>IPROV010</x:v>
      </x:c>
      <x:c r="B656" s="30" t="str">
        <x:v>LAW099</x:v>
      </x:c>
      <x:c r="C656" s="30" t="str">
        <x:v>SUB006</x:v>
      </x:c>
      <x:c r="D656" s="30" t="str">
        <x:v>Best Practice</x:v>
      </x:c>
      <x:c r="E656" s="30" t="str">
        <x:v>Internal control — no independent statutory force; apply the separately mapped underlying law where applicable</x:v>
      </x:c>
      <x:c r="F656" s="30" t="str">
        <x:v>Institutional Pharmacy Governance Review</x:v>
      </x:c>
      <x:c r="G656" s="30" t="str">
        <x:v>Institutional pharmacy performance, quality and compliance shall be reviewed by responsible management periodically.</x:v>
      </x:c>
      <x:c r="H656" s="30" t="str">
        <x:v>INSTITUTIONAL</x:v>
      </x:c>
      <x:c r="I656" s="30" t="str">
        <x:v>Yes</x:v>
      </x:c>
      <x:c r="J656" s="30" t="str">
        <x:v>P-4 reparented to the canonical internal-control framework; approved sub-sector and Origin preserved.</x:v>
      </x:c>
    </x:row>
    <x:row r="657">
      <x:c r="A657" s="30" t="str">
        <x:v>IPROV011</x:v>
      </x:c>
      <x:c r="B657" s="30" t="str">
        <x:v>LAW099</x:v>
      </x:c>
      <x:c r="C657" s="30" t="str">
        <x:v>SUB006</x:v>
      </x:c>
      <x:c r="D657" s="30" t="str">
        <x:v>Best Practice</x:v>
      </x:c>
      <x:c r="E657" s="30" t="str">
        <x:v>Internal control — no independent statutory force; apply the separately mapped underlying law where applicable</x:v>
      </x:c>
      <x:c r="F657" s="30" t="str">
        <x:v>Institutional Recall Management</x:v>
      </x:c>
      <x:c r="G657" s="30" t="str">
        <x:v>Product recalls shall be communicated, tracked and closed across all affected institutional departments.</x:v>
      </x:c>
      <x:c r="H657" s="30" t="str">
        <x:v>INSTITUTIONAL</x:v>
      </x:c>
      <x:c r="I657" s="30" t="str">
        <x:v>Yes</x:v>
      </x:c>
      <x:c r="J657" s="30" t="str">
        <x:v>P-4 reparented to the canonical internal-control framework; approved sub-sector and Origin preserved.</x:v>
      </x:c>
    </x:row>
    <x:row r="658">
      <x:c r="A658" s="30" t="str">
        <x:v>IPROV012</x:v>
      </x:c>
      <x:c r="B658" s="30" t="str">
        <x:v>LAW099</x:v>
      </x:c>
      <x:c r="C658" s="30" t="str">
        <x:v>SUB006</x:v>
      </x:c>
      <x:c r="D658" s="30" t="str">
        <x:v>Best Practice</x:v>
      </x:c>
      <x:c r="E658" s="30" t="str">
        <x:v>Internal control — no independent statutory force; apply the separately mapped underlying law where applicable</x:v>
      </x:c>
      <x:c r="F658" s="30" t="str">
        <x:v>Institutional Formulary Verification</x:v>
      </x:c>
      <x:c r="G658" s="30" t="str">
        <x:v>Institutional medicine supply shall be verified against approved formulary or authorized medicine list where applicable.</x:v>
      </x:c>
      <x:c r="H658" s="30" t="str">
        <x:v>INSTITUTIONAL</x:v>
      </x:c>
      <x:c r="I658" s="30" t="str">
        <x:v>Yes</x:v>
      </x:c>
      <x:c r="J658" s="30" t="str">
        <x:v>P-4 reparented to the canonical internal-control framework; approved sub-sector and Origin preserved.</x:v>
      </x:c>
    </x:row>
    <x:row r="659">
      <x:c r="A659" s="30" t="str">
        <x:v>IPROV013</x:v>
      </x:c>
      <x:c r="B659" s="30" t="str">
        <x:v>LAW099</x:v>
      </x:c>
      <x:c r="C659" s="30" t="str">
        <x:v>SUB006</x:v>
      </x:c>
      <x:c r="D659" s="30" t="str">
        <x:v>Best Practice</x:v>
      </x:c>
      <x:c r="E659" s="30" t="str">
        <x:v>Internal control — no independent statutory force; apply the separately mapped underlying law where applicable</x:v>
      </x:c>
      <x:c r="F659" s="30" t="str">
        <x:v>Inter-Department Medicine Transfer Control</x:v>
      </x:c>
      <x:c r="G659" s="30" t="str">
        <x:v>Medicine transfers between institutional departments shall be authorized, documented and traceable.</x:v>
      </x:c>
      <x:c r="H659" s="30" t="str">
        <x:v>INSTITUTIONAL</x:v>
      </x:c>
      <x:c r="I659" s="30" t="str">
        <x:v>Yes</x:v>
      </x:c>
      <x:c r="J659" s="30" t="str">
        <x:v>P-4 reparented to the canonical internal-control framework; approved sub-sector and Origin preserved.</x:v>
      </x:c>
    </x:row>
    <x:row r="660">
      <x:c r="A660" s="30" t="str">
        <x:v>IPROV014</x:v>
      </x:c>
      <x:c r="B660" s="30" t="str">
        <x:v>LAW099</x:v>
      </x:c>
      <x:c r="C660" s="30" t="str">
        <x:v>SUB006</x:v>
      </x:c>
      <x:c r="D660" s="30" t="str">
        <x:v>Best Practice</x:v>
      </x:c>
      <x:c r="E660" s="30" t="str">
        <x:v>Internal control — no independent statutory force; apply the separately mapped underlying law where applicable</x:v>
      </x:c>
      <x:c r="F660" s="30" t="str">
        <x:v>Near-Expiry Medicine Redistribution</x:v>
      </x:c>
      <x:c r="G660" s="30" t="str">
        <x:v>Near-expiry medicines shall be identified, reviewed and redistributed only under approved controls.</x:v>
      </x:c>
      <x:c r="H660" s="30" t="str">
        <x:v>INSTITUTIONAL</x:v>
      </x:c>
      <x:c r="I660" s="30" t="str">
        <x:v>Yes</x:v>
      </x:c>
      <x:c r="J660" s="30" t="str">
        <x:v>P-4 reparented to the canonical internal-control framework; approved sub-sector and Origin preserved.</x:v>
      </x:c>
    </x:row>
    <x:row r="661">
      <x:c r="A661" s="30" t="str">
        <x:v>IPROV015</x:v>
      </x:c>
      <x:c r="B661" s="30" t="str">
        <x:v>LAW099</x:v>
      </x:c>
      <x:c r="C661" s="30" t="str">
        <x:v>SUB006</x:v>
      </x:c>
      <x:c r="D661" s="30" t="str">
        <x:v>Best Practice</x:v>
      </x:c>
      <x:c r="E661" s="30" t="str">
        <x:v>Internal control — no independent statutory force; apply the separately mapped underlying law where applicable</x:v>
      </x:c>
      <x:c r="F661" s="30" t="str">
        <x:v>Institutional Vendor Performance Review</x:v>
      </x:c>
      <x:c r="G661" s="30" t="str">
        <x:v>Vendors supplying institutional pharmacies shall be periodically evaluated for quality, timeliness and compliance.</x:v>
      </x:c>
      <x:c r="H661" s="30" t="str">
        <x:v>INSTITUTIONAL</x:v>
      </x:c>
      <x:c r="I661" s="30" t="str">
        <x:v>Yes</x:v>
      </x:c>
      <x:c r="J661" s="30" t="str">
        <x:v>P-4 reparented to the canonical internal-control framework; approved sub-sector and Origin preserved.</x:v>
      </x:c>
    </x:row>
    <x:row r="662">
      <x:c r="A662" s="30" t="str">
        <x:v>IPROV016</x:v>
      </x:c>
      <x:c r="B662" s="30" t="str">
        <x:v>LAW099</x:v>
      </x:c>
      <x:c r="C662" s="30" t="str">
        <x:v>SUB006</x:v>
      </x:c>
      <x:c r="D662" s="30" t="str">
        <x:v>Best Practice</x:v>
      </x:c>
      <x:c r="E662" s="30" t="str">
        <x:v>Internal control — no independent statutory force; apply the separately mapped underlying law where applicable</x:v>
      </x:c>
      <x:c r="F662" s="30" t="str">
        <x:v>Institutional Pharmacy Emergency Preparedness</x:v>
      </x:c>
      <x:c r="G662" s="30" t="str">
        <x:v>Institutional pharmacy shall maintain documented emergency preparedness procedures for medicine continuity.</x:v>
      </x:c>
      <x:c r="H662" s="30" t="str">
        <x:v>INSTITUTIONAL</x:v>
      </x:c>
      <x:c r="I662" s="30" t="str">
        <x:v>Yes</x:v>
      </x:c>
      <x:c r="J662" s="30" t="str">
        <x:v>P-4 reparented to the canonical internal-control framework; approved sub-sector and Origin preserved.</x:v>
      </x:c>
    </x:row>
    <x:row r="663">
      <x:c r="A663" s="30" t="str">
        <x:v>IPROV017</x:v>
      </x:c>
      <x:c r="B663" s="30" t="str">
        <x:v>LAW099</x:v>
      </x:c>
      <x:c r="C663" s="30" t="str">
        <x:v>SUB006</x:v>
      </x:c>
      <x:c r="D663" s="30" t="str">
        <x:v>Best Practice</x:v>
      </x:c>
      <x:c r="E663" s="30" t="str">
        <x:v>Internal control — no independent statutory force; apply the separately mapped underlying law where applicable</x:v>
      </x:c>
      <x:c r="F663" s="30" t="str">
        <x:v>Institutional Compliance Reporting</x:v>
      </x:c>
      <x:c r="G663" s="30" t="str">
        <x:v>Institutional pharmacy compliance status shall be periodically reported to designated management.</x:v>
      </x:c>
      <x:c r="H663" s="30" t="str">
        <x:v>INSTITUTIONAL</x:v>
      </x:c>
      <x:c r="I663" s="30" t="str">
        <x:v>Yes</x:v>
      </x:c>
      <x:c r="J663" s="30" t="str">
        <x:v>P-4 reparented to the canonical internal-control framework; approved sub-sector and Origin preserved.</x:v>
      </x:c>
    </x:row>
    <x:row r="664">
      <x:c r="A664" s="30" t="str">
        <x:v>IPROV018</x:v>
      </x:c>
      <x:c r="B664" s="30" t="str">
        <x:v>LAW099</x:v>
      </x:c>
      <x:c r="C664" s="30" t="str">
        <x:v>SUB006</x:v>
      </x:c>
      <x:c r="D664" s="30" t="str">
        <x:v>Best Practice</x:v>
      </x:c>
      <x:c r="E664" s="30" t="str">
        <x:v>Internal control — no independent statutory force; apply the separately mapped underlying law where applicable</x:v>
      </x:c>
      <x:c r="F664" s="30" t="str">
        <x:v>Institutional Pharmacy Staff Competency</x:v>
      </x:c>
      <x:c r="G664" s="30" t="str">
        <x:v>Institutional pharmacy personnel shall maintain documented training and competency records.</x:v>
      </x:c>
      <x:c r="H664" s="30" t="str">
        <x:v>INSTITUTIONAL</x:v>
      </x:c>
      <x:c r="I664" s="30" t="str">
        <x:v>Yes</x:v>
      </x:c>
      <x:c r="J664" s="30" t="str">
        <x:v>P-4 reparented to the canonical internal-control framework; approved sub-sector and Origin preserved.</x:v>
      </x:c>
    </x:row>
    <x:row r="665">
      <x:c r="A665" s="30" t="str">
        <x:v>IPROV019</x:v>
      </x:c>
      <x:c r="B665" s="30" t="str">
        <x:v>LAW099</x:v>
      </x:c>
      <x:c r="C665" s="30" t="str">
        <x:v>SUB006</x:v>
      </x:c>
      <x:c r="D665" s="30" t="str">
        <x:v>Best Practice</x:v>
      </x:c>
      <x:c r="E665" s="30" t="str">
        <x:v>Internal control — no independent statutory force; apply the separately mapped underlying law where applicable</x:v>
      </x:c>
      <x:c r="F665" s="30" t="str">
        <x:v>Institutional Pharmacy Quality Assurance Review</x:v>
      </x:c>
      <x:c r="G665" s="30" t="str">
        <x:v>Institutional pharmacy shall conduct periodic quality assurance reviews of dispensing, storage and distribution activities.</x:v>
      </x:c>
      <x:c r="H665" s="30" t="str">
        <x:v>INSTITUTIONAL</x:v>
      </x:c>
      <x:c r="I665" s="30" t="str">
        <x:v>Yes</x:v>
      </x:c>
      <x:c r="J665" s="30" t="str">
        <x:v>P-4 reparented to the canonical internal-control framework; approved sub-sector and Origin preserved.</x:v>
      </x:c>
    </x:row>
    <x:row r="666">
      <x:c r="A666" s="30" t="str">
        <x:v>IPROV020</x:v>
      </x:c>
      <x:c r="B666" s="30" t="str">
        <x:v>LAW099</x:v>
      </x:c>
      <x:c r="C666" s="30" t="str">
        <x:v>SUB006</x:v>
      </x:c>
      <x:c r="D666" s="30" t="str">
        <x:v>Best Practice</x:v>
      </x:c>
      <x:c r="E666" s="30" t="str">
        <x:v>Internal control — no independent statutory force; apply the separately mapped underlying law where applicable</x:v>
      </x:c>
      <x:c r="F666" s="30" t="str">
        <x:v>Institutional Compliance Maturity Assessment</x:v>
      </x:c>
      <x:c r="G666" s="30" t="str">
        <x:v>Institutional pharmacy shall periodically assess compliance maturity and implement improvement actions.</x:v>
      </x:c>
      <x:c r="H666" s="30" t="str">
        <x:v>INSTITUTIONAL</x:v>
      </x:c>
      <x:c r="I666" s="30" t="str">
        <x:v>Yes</x:v>
      </x:c>
      <x:c r="J666" s="30" t="str">
        <x:v>P-4 reparented to the canonical internal-control framework; approved sub-sector and Origin preserved.</x:v>
      </x:c>
    </x:row>
    <x:row r="667">
      <x:c r="A667" s="30" t="str">
        <x:v>SPROV001</x:v>
      </x:c>
      <x:c r="B667" s="30" t="str">
        <x:v>LAW099</x:v>
      </x:c>
      <x:c r="C667" s="30" t="str">
        <x:v>SUB007</x:v>
      </x:c>
      <x:c r="D667" s="30" t="str">
        <x:v>Best Practice</x:v>
      </x:c>
      <x:c r="E667" s="30" t="str">
        <x:v>Internal control — no independent statutory force; apply the separately mapped underlying law where applicable</x:v>
      </x:c>
      <x:c r="F667" s="30" t="str">
        <x:v>Oncology Medicine Handling</x:v>
      </x:c>
      <x:c r="G667" s="30" t="str">
        <x:v>Cytotoxic and oncology medicines shall be received, stored, prepared, dispensed and disposed of using approved hazardous medicine handling procedures.</x:v>
      </x:c>
      <x:c r="H667" s="30" t="str">
        <x:v>SPECIALIZED</x:v>
      </x:c>
      <x:c r="I667" s="30" t="str">
        <x:v>Yes</x:v>
      </x:c>
      <x:c r="J667" s="30" t="str">
        <x:v>P-4 reparented to the canonical internal-control framework; approved sub-sector and Origin preserved.</x:v>
      </x:c>
    </x:row>
    <x:row r="668">
      <x:c r="A668" s="30" t="str">
        <x:v>SPROV002</x:v>
      </x:c>
      <x:c r="B668" s="30" t="str">
        <x:v>LAW099</x:v>
      </x:c>
      <x:c r="C668" s="30" t="str">
        <x:v>SUB007</x:v>
      </x:c>
      <x:c r="D668" s="30" t="str">
        <x:v>Best Practice</x:v>
      </x:c>
      <x:c r="E668" s="30" t="str">
        <x:v>Internal control — no independent statutory force; apply the separately mapped underlying law where applicable</x:v>
      </x:c>
      <x:c r="F668" s="30" t="str">
        <x:v>Hazardous Medicine Storage</x:v>
      </x:c>
      <x:c r="G668" s="30" t="str">
        <x:v>Hazardous medicines shall be segregated, labelled and stored in designated secured areas.</x:v>
      </x:c>
      <x:c r="H668" s="30" t="str">
        <x:v>SPECIALIZED</x:v>
      </x:c>
      <x:c r="I668" s="30" t="str">
        <x:v>Yes</x:v>
      </x:c>
      <x:c r="J668" s="30" t="str">
        <x:v>P-4 reparented to the canonical internal-control framework; approved sub-sector and Origin preserved.</x:v>
      </x:c>
    </x:row>
    <x:row r="669">
      <x:c r="A669" s="30" t="str">
        <x:v>SPROV003</x:v>
      </x:c>
      <x:c r="B669" s="30" t="str">
        <x:v>LAW099</x:v>
      </x:c>
      <x:c r="C669" s="30" t="str">
        <x:v>SUB007</x:v>
      </x:c>
      <x:c r="D669" s="30" t="str">
        <x:v>Best Practice</x:v>
      </x:c>
      <x:c r="E669" s="30" t="str">
        <x:v>Internal control — no independent statutory force; apply the separately mapped underlying law where applicable</x:v>
      </x:c>
      <x:c r="F669" s="30" t="str">
        <x:v>Specialty Cold Chain Qualification</x:v>
      </x:c>
      <x:c r="G669" s="30" t="str">
        <x:v>Cold-chain facilities used for specialty medicines shall be qualified and periodically validated.</x:v>
      </x:c>
      <x:c r="H669" s="30" t="str">
        <x:v>SPECIALIZED</x:v>
      </x:c>
      <x:c r="I669" s="30" t="str">
        <x:v>Yes</x:v>
      </x:c>
      <x:c r="J669" s="30" t="str">
        <x:v>P-4 reparented to the canonical internal-control framework; approved sub-sector and Origin preserved.</x:v>
      </x:c>
    </x:row>
    <x:row r="670">
      <x:c r="A670" s="30" t="str">
        <x:v>SPROV004</x:v>
      </x:c>
      <x:c r="B670" s="30" t="str">
        <x:v>LAW099</x:v>
      </x:c>
      <x:c r="C670" s="30" t="str">
        <x:v>SUB007</x:v>
      </x:c>
      <x:c r="D670" s="30" t="str">
        <x:v>Best Practice</x:v>
      </x:c>
      <x:c r="E670" s="30" t="str">
        <x:v>Internal control — no independent statutory force; apply the separately mapped underlying law where applicable</x:v>
      </x:c>
      <x:c r="F670" s="30" t="str">
        <x:v>Controlled Medicine Inventory Reconciliation</x:v>
      </x:c>
      <x:c r="G670" s="30" t="str">
        <x:v>Controlled medicines shall undergo independent inventory reconciliation at defined intervals.</x:v>
      </x:c>
      <x:c r="H670" s="30" t="str">
        <x:v>SPECIALIZED</x:v>
      </x:c>
      <x:c r="I670" s="30" t="str">
        <x:v>Yes</x:v>
      </x:c>
      <x:c r="J670" s="30" t="str">
        <x:v>P-4 reparented to the canonical internal-control framework; approved sub-sector and Origin preserved.</x:v>
      </x:c>
    </x:row>
    <x:row r="671">
      <x:c r="A671" s="30" t="str">
        <x:v>SPROV005</x:v>
      </x:c>
      <x:c r="B671" s="30" t="str">
        <x:v>LAW099</x:v>
      </x:c>
      <x:c r="C671" s="30" t="str">
        <x:v>SUB007</x:v>
      </x:c>
      <x:c r="D671" s="30" t="str">
        <x:v>Best Practice</x:v>
      </x:c>
      <x:c r="E671" s="30" t="str">
        <x:v>Internal control — no independent statutory force; apply the separately mapped underlying law where applicable</x:v>
      </x:c>
      <x:c r="F671" s="30" t="str">
        <x:v>High-Risk Medicine Verification</x:v>
      </x:c>
      <x:c r="G671" s="30" t="str">
        <x:v>High-risk medicines shall undergo independent verification before dispensing.</x:v>
      </x:c>
      <x:c r="H671" s="30" t="str">
        <x:v>SPECIALIZED</x:v>
      </x:c>
      <x:c r="I671" s="30" t="str">
        <x:v>Yes</x:v>
      </x:c>
      <x:c r="J671" s="30" t="str">
        <x:v>P-4 reparented to the canonical internal-control framework; approved sub-sector and Origin preserved.</x:v>
      </x:c>
    </x:row>
    <x:row r="672">
      <x:c r="A672" s="30" t="str">
        <x:v>SPROV006</x:v>
      </x:c>
      <x:c r="B672" s="30" t="str">
        <x:v>LAW099</x:v>
      </x:c>
      <x:c r="C672" s="30" t="str">
        <x:v>SUB007</x:v>
      </x:c>
      <x:c r="D672" s="30" t="str">
        <x:v>Best Practice</x:v>
      </x:c>
      <x:c r="E672" s="30" t="str">
        <x:v>Internal control — no independent statutory force; apply the separately mapped underlying law where applicable</x:v>
      </x:c>
      <x:c r="F672" s="30" t="str">
        <x:v>Vaccine Temperature Excursion Management</x:v>
      </x:c>
      <x:c r="G672" s="30" t="str">
        <x:v>Temperature excursions affecting vaccines shall be immediately investigated and documented.</x:v>
      </x:c>
      <x:c r="H672" s="30" t="str">
        <x:v>SPECIALIZED</x:v>
      </x:c>
      <x:c r="I672" s="30" t="str">
        <x:v>Yes</x:v>
      </x:c>
      <x:c r="J672" s="30" t="str">
        <x:v>P-4 reparented to the canonical internal-control framework; approved sub-sector and Origin preserved.</x:v>
      </x:c>
    </x:row>
    <x:row r="673">
      <x:c r="A673" s="30" t="str">
        <x:v>SPROV007</x:v>
      </x:c>
      <x:c r="B673" s="30" t="str">
        <x:v>LAW099</x:v>
      </x:c>
      <x:c r="C673" s="30" t="str">
        <x:v>SUB007</x:v>
      </x:c>
      <x:c r="D673" s="30" t="str">
        <x:v>Best Practice</x:v>
      </x:c>
      <x:c r="E673" s="30" t="str">
        <x:v>Internal control — no independent statutory force; apply the separately mapped underlying law where applicable</x:v>
      </x:c>
      <x:c r="F673" s="30" t="str">
        <x:v>Biologics Batch Traceability</x:v>
      </x:c>
      <x:c r="G673" s="30" t="str">
        <x:v>Complete batch traceability shall be maintained for all biologic medicines.</x:v>
      </x:c>
      <x:c r="H673" s="30" t="str">
        <x:v>SPECIALIZED</x:v>
      </x:c>
      <x:c r="I673" s="30" t="str">
        <x:v>Yes</x:v>
      </x:c>
      <x:c r="J673" s="30" t="str">
        <x:v>P-4 reparented to the canonical internal-control framework; approved sub-sector and Origin preserved.</x:v>
      </x:c>
    </x:row>
    <x:row r="674">
      <x:c r="A674" s="30" t="str">
        <x:v>SPROV008</x:v>
      </x:c>
      <x:c r="B674" s="30" t="str">
        <x:v>LAW099</x:v>
      </x:c>
      <x:c r="C674" s="30" t="str">
        <x:v>SUB007</x:v>
      </x:c>
      <x:c r="D674" s="30" t="str">
        <x:v>Best Practice</x:v>
      </x:c>
      <x:c r="E674" s="30" t="str">
        <x:v>Internal control — no independent statutory force; apply the separately mapped underlying law where applicable</x:v>
      </x:c>
      <x:c r="F674" s="30" t="str">
        <x:v>Investigational Medicine Accountability</x:v>
      </x:c>
      <x:c r="G674" s="30" t="str">
        <x:v>Investigational medicines shall be received, stored, dispensed and returned under documented accountability procedures.</x:v>
      </x:c>
      <x:c r="H674" s="30" t="str">
        <x:v>SPECIALIZED</x:v>
      </x:c>
      <x:c r="I674" s="30" t="str">
        <x:v>Yes</x:v>
      </x:c>
      <x:c r="J674" s="30" t="str">
        <x:v>P-4 reparented to the canonical internal-control framework; approved sub-sector and Origin preserved.</x:v>
      </x:c>
    </x:row>
    <x:row r="675">
      <x:c r="A675" s="30" t="str">
        <x:v>SPROV009</x:v>
      </x:c>
      <x:c r="B675" s="30" t="str">
        <x:v>LAW099</x:v>
      </x:c>
      <x:c r="C675" s="30" t="str">
        <x:v>SUB007</x:v>
      </x:c>
      <x:c r="D675" s="30" t="str">
        <x:v>Best Practice</x:v>
      </x:c>
      <x:c r="E675" s="30" t="str">
        <x:v>Internal control — no independent statutory force; apply the separately mapped underlying law where applicable</x:v>
      </x:c>
      <x:c r="F675" s="30" t="str">
        <x:v>Hazardous Pharmaceutical Waste Management</x:v>
      </x:c>
      <x:c r="G675" s="30" t="str">
        <x:v>Hazardous pharmaceutical waste shall be segregated and disposed of through approved biomedical waste procedures.</x:v>
      </x:c>
      <x:c r="H675" s="30" t="str">
        <x:v>SPECIALIZED</x:v>
      </x:c>
      <x:c r="I675" s="30" t="str">
        <x:v>Yes</x:v>
      </x:c>
      <x:c r="J675" s="30" t="str">
        <x:v>P-4 reparented to the canonical internal-control framework; approved sub-sector and Origin preserved.</x:v>
      </x:c>
    </x:row>
    <x:row r="676">
      <x:c r="A676" s="30" t="str">
        <x:v>SPROV010</x:v>
      </x:c>
      <x:c r="B676" s="30" t="str">
        <x:v>LAW099</x:v>
      </x:c>
      <x:c r="C676" s="30" t="str">
        <x:v>SUB007</x:v>
      </x:c>
      <x:c r="D676" s="30" t="str">
        <x:v>Best Practice</x:v>
      </x:c>
      <x:c r="E676" s="30" t="str">
        <x:v>Internal control — no independent statutory force; apply the separately mapped underlying law where applicable</x:v>
      </x:c>
      <x:c r="F676" s="30" t="str">
        <x:v>Specialty Pharmacy Staff Competency</x:v>
      </x:c>
      <x:c r="G676" s="30" t="str">
        <x:v>Personnel handling specialty medicines shall demonstrate documented competency before independent practice.</x:v>
      </x:c>
      <x:c r="H676" s="30" t="str">
        <x:v>SPECIALIZED</x:v>
      </x:c>
      <x:c r="I676" s="30" t="str">
        <x:v>Yes</x:v>
      </x:c>
      <x:c r="J676" s="30" t="str">
        <x:v>P-4 reparented to the canonical internal-control framework; approved sub-sector and Origin preserved.</x:v>
      </x:c>
    </x:row>
    <x:row r="677">
      <x:c r="A677" s="30" t="str">
        <x:v>SPROV011</x:v>
      </x:c>
      <x:c r="B677" s="30" t="str">
        <x:v>LAW099</x:v>
      </x:c>
      <x:c r="C677" s="30" t="str">
        <x:v>SUB007</x:v>
      </x:c>
      <x:c r="D677" s="30" t="str">
        <x:v>Best Practice</x:v>
      </x:c>
      <x:c r="E677" s="30" t="str">
        <x:v>Internal control — no independent statutory force; apply the separately mapped underlying law where applicable</x:v>
      </x:c>
      <x:c r="F677" s="30" t="str">
        <x:v>Radiopharmaceutical Management</x:v>
      </x:c>
      <x:c r="G677" s="30" t="str">
        <x:v>Radiopharmaceuticals shall be handled in accordance with approved radiation safety and pharmacy procedures.</x:v>
      </x:c>
      <x:c r="H677" s="30" t="str">
        <x:v>SPECIALIZED</x:v>
      </x:c>
      <x:c r="I677" s="30" t="str">
        <x:v>Yes</x:v>
      </x:c>
      <x:c r="J677" s="30" t="str">
        <x:v>P-4 reparented to the canonical internal-control framework; approved sub-sector and Origin preserved.</x:v>
      </x:c>
    </x:row>
    <x:row r="678">
      <x:c r="A678" s="30" t="str">
        <x:v>SPROV012</x:v>
      </x:c>
      <x:c r="B678" s="30" t="str">
        <x:v>LAW099</x:v>
      </x:c>
      <x:c r="C678" s="30" t="str">
        <x:v>SUB007</x:v>
      </x:c>
      <x:c r="D678" s="30" t="str">
        <x:v>Best Practice</x:v>
      </x:c>
      <x:c r="E678" s="30" t="str">
        <x:v>Internal control — no independent statutory force; apply the separately mapped underlying law where applicable</x:v>
      </x:c>
      <x:c r="F678" s="30" t="str">
        <x:v>Controlled Medicine Physical Verification</x:v>
      </x:c>
      <x:c r="G678" s="30" t="str">
        <x:v>Independent physical verification of controlled medicines shall be conducted periodically.</x:v>
      </x:c>
      <x:c r="H678" s="30" t="str">
        <x:v>SPECIALIZED</x:v>
      </x:c>
      <x:c r="I678" s="30" t="str">
        <x:v>Yes</x:v>
      </x:c>
      <x:c r="J678" s="30" t="str">
        <x:v>P-4 reparented to the canonical internal-control framework; approved sub-sector and Origin preserved.</x:v>
      </x:c>
    </x:row>
    <x:row r="679">
      <x:c r="A679" s="30" t="str">
        <x:v>SPROV013</x:v>
      </x:c>
      <x:c r="B679" s="30" t="str">
        <x:v>LAW099</x:v>
      </x:c>
      <x:c r="C679" s="30" t="str">
        <x:v>SUB007</x:v>
      </x:c>
      <x:c r="D679" s="30" t="str">
        <x:v>Best Practice</x:v>
      </x:c>
      <x:c r="E679" s="30" t="str">
        <x:v>Internal control — no independent statutory force; apply the separately mapped underlying law where applicable</x:v>
      </x:c>
      <x:c r="F679" s="30" t="str">
        <x:v>High-Value Specialty Medicine Governance</x:v>
      </x:c>
      <x:c r="G679" s="30" t="str">
        <x:v>High-value specialty medicines shall be subject to enhanced inventory controls and approval.</x:v>
      </x:c>
      <x:c r="H679" s="30" t="str">
        <x:v>SPECIALIZED</x:v>
      </x:c>
      <x:c r="I679" s="30" t="str">
        <x:v>Yes</x:v>
      </x:c>
      <x:c r="J679" s="30" t="str">
        <x:v>P-4 reparented to the canonical internal-control framework; approved sub-sector and Origin preserved.</x:v>
      </x:c>
    </x:row>
    <x:row r="680">
      <x:c r="A680" s="30" t="str">
        <x:v>SPROV014</x:v>
      </x:c>
      <x:c r="B680" s="30" t="str">
        <x:v>LAW099</x:v>
      </x:c>
      <x:c r="C680" s="30" t="str">
        <x:v>SUB007</x:v>
      </x:c>
      <x:c r="D680" s="30" t="str">
        <x:v>Best Practice</x:v>
      </x:c>
      <x:c r="E680" s="30" t="str">
        <x:v>Internal control — no independent statutory force; apply the separately mapped underlying law where applicable</x:v>
      </x:c>
      <x:c r="F680" s="30" t="str">
        <x:v>Temperature Excursion Investigation</x:v>
      </x:c>
      <x:c r="G680" s="30" t="str">
        <x:v>Every temperature excursion shall be investigated, risk assessed and disposition documented.</x:v>
      </x:c>
      <x:c r="H680" s="30" t="str">
        <x:v>SPECIALIZED</x:v>
      </x:c>
      <x:c r="I680" s="30" t="str">
        <x:v>Yes</x:v>
      </x:c>
      <x:c r="J680" s="30" t="str">
        <x:v>P-4 reparented to the canonical internal-control framework; approved sub-sector and Origin preserved.</x:v>
      </x:c>
    </x:row>
    <x:row r="681">
      <x:c r="A681" s="30" t="str">
        <x:v>SPROV015</x:v>
      </x:c>
      <x:c r="B681" s="30" t="str">
        <x:v>LAW099</x:v>
      </x:c>
      <x:c r="C681" s="30" t="str">
        <x:v>SUB007</x:v>
      </x:c>
      <x:c r="D681" s="30" t="str">
        <x:v>Best Practice</x:v>
      </x:c>
      <x:c r="E681" s="30" t="str">
        <x:v>Internal control — no independent statutory force; apply the separately mapped underlying law where applicable</x:v>
      </x:c>
      <x:c r="F681" s="30" t="str">
        <x:v>Specialty Pharmacovigilance</x:v>
      </x:c>
      <x:c r="G681" s="30" t="str">
        <x:v>Adverse events associated with specialty medicines shall be monitored, documented and escalated.</x:v>
      </x:c>
      <x:c r="H681" s="30" t="str">
        <x:v>SPECIALIZED</x:v>
      </x:c>
      <x:c r="I681" s="30" t="str">
        <x:v>Yes</x:v>
      </x:c>
      <x:c r="J681" s="30" t="str">
        <x:v>P-4 reparented to the canonical internal-control framework; approved sub-sector and Origin preserved.</x:v>
      </x:c>
    </x:row>
    <x:row r="682">
      <x:c r="A682" s="30" t="str">
        <x:v>SPROV016</x:v>
      </x:c>
      <x:c r="B682" s="30" t="str">
        <x:v>LAW099</x:v>
      </x:c>
      <x:c r="C682" s="30" t="str">
        <x:v>SUB007</x:v>
      </x:c>
      <x:c r="D682" s="30" t="str">
        <x:v>Best Practice</x:v>
      </x:c>
      <x:c r="E682" s="30" t="str">
        <x:v>Internal control — no independent statutory force; apply the separately mapped underlying law where applicable</x:v>
      </x:c>
      <x:c r="F682" s="30" t="str">
        <x:v>Manufacturer Safety Communication</x:v>
      </x:c>
      <x:c r="G682" s="30" t="str">
        <x:v>Manufacturer safety alerts shall be reviewed and implemented promptly where applicable.</x:v>
      </x:c>
      <x:c r="H682" s="30" t="str">
        <x:v>SPECIALIZED</x:v>
      </x:c>
      <x:c r="I682" s="30" t="str">
        <x:v>Yes</x:v>
      </x:c>
      <x:c r="J682" s="30" t="str">
        <x:v>P-4 reparented to the canonical internal-control framework; approved sub-sector and Origin preserved.</x:v>
      </x:c>
    </x:row>
    <x:row r="683">
      <x:c r="A683" s="30" t="str">
        <x:v>SPROV017</x:v>
      </x:c>
      <x:c r="B683" s="30" t="str">
        <x:v>LAW099</x:v>
      </x:c>
      <x:c r="C683" s="30" t="str">
        <x:v>SUB007</x:v>
      </x:c>
      <x:c r="D683" s="30" t="str">
        <x:v>Best Practice</x:v>
      </x:c>
      <x:c r="E683" s="30" t="str">
        <x:v>Internal control — no independent statutory force; apply the separately mapped underlying law where applicable</x:v>
      </x:c>
      <x:c r="F683" s="30" t="str">
        <x:v>Specialty Medicine Documentation</x:v>
      </x:c>
      <x:c r="G683" s="30" t="str">
        <x:v>Complete documentation shall be maintained for specialty medicine receipt, preparation and dispensing.</x:v>
      </x:c>
      <x:c r="H683" s="30" t="str">
        <x:v>SPECIALIZED</x:v>
      </x:c>
      <x:c r="I683" s="30" t="str">
        <x:v>Yes</x:v>
      </x:c>
      <x:c r="J683" s="30" t="str">
        <x:v>P-4 reparented to the canonical internal-control framework; approved sub-sector and Origin preserved.</x:v>
      </x:c>
    </x:row>
    <x:row r="684">
      <x:c r="A684" s="30" t="str">
        <x:v>SPROV018</x:v>
      </x:c>
      <x:c r="B684" s="30" t="str">
        <x:v>LAW099</x:v>
      </x:c>
      <x:c r="C684" s="30" t="str">
        <x:v>SUB007</x:v>
      </x:c>
      <x:c r="D684" s="30" t="str">
        <x:v>Best Practice</x:v>
      </x:c>
      <x:c r="E684" s="30" t="str">
        <x:v>Internal control — no independent statutory force; apply the separately mapped underlying law where applicable</x:v>
      </x:c>
      <x:c r="F684" s="30" t="str">
        <x:v>Specialty Patient Counselling</x:v>
      </x:c>
      <x:c r="G684" s="30" t="str">
        <x:v>Patients receiving specialty medicines shall receive documented counselling before dispensing.</x:v>
      </x:c>
      <x:c r="H684" s="30" t="str">
        <x:v>SPECIALIZED</x:v>
      </x:c>
      <x:c r="I684" s="30" t="str">
        <x:v>Yes</x:v>
      </x:c>
      <x:c r="J684" s="30" t="str">
        <x:v>P-4 reparented to the canonical internal-control framework; approved sub-sector and Origin preserved.</x:v>
      </x:c>
    </x:row>
    <x:row r="685">
      <x:c r="A685" s="30" t="str">
        <x:v>SPROV019</x:v>
      </x:c>
      <x:c r="B685" s="30" t="str">
        <x:v>LAW099</x:v>
      </x:c>
      <x:c r="C685" s="30" t="str">
        <x:v>SUB007</x:v>
      </x:c>
      <x:c r="D685" s="30" t="str">
        <x:v>Best Practice</x:v>
      </x:c>
      <x:c r="E685" s="30" t="str">
        <x:v>Internal control — no independent statutory force; apply the separately mapped underlying law where applicable</x:v>
      </x:c>
      <x:c r="F685" s="30" t="str">
        <x:v>Priority Recall Management</x:v>
      </x:c>
      <x:c r="G685" s="30" t="str">
        <x:v>Specialty medicines subject to recall shall receive expedited retrieval and notification.</x:v>
      </x:c>
      <x:c r="H685" s="30" t="str">
        <x:v>SPECIALIZED</x:v>
      </x:c>
      <x:c r="I685" s="30" t="str">
        <x:v>Yes</x:v>
      </x:c>
      <x:c r="J685" s="30" t="str">
        <x:v>P-4 reparented to the canonical internal-control framework; approved sub-sector and Origin preserved.</x:v>
      </x:c>
    </x:row>
    <x:row r="686">
      <x:c r="A686" s="30" t="str">
        <x:v>SPROV020</x:v>
      </x:c>
      <x:c r="B686" s="30" t="str">
        <x:v>LAW099</x:v>
      </x:c>
      <x:c r="C686" s="30" t="str">
        <x:v>SUB007</x:v>
      </x:c>
      <x:c r="D686" s="30" t="str">
        <x:v>Best Practice</x:v>
      </x:c>
      <x:c r="E686" s="30" t="str">
        <x:v>Internal control — no independent statutory force; apply the separately mapped underlying law where applicable</x:v>
      </x:c>
      <x:c r="F686" s="30" t="str">
        <x:v>Specialty Pharmacy Quality Assurance</x:v>
      </x:c>
      <x:c r="G686" s="30" t="str">
        <x:v>Specialty pharmacy operations shall undergo periodic quality assurance review.</x:v>
      </x:c>
      <x:c r="H686" s="30" t="str">
        <x:v>SPECIALIZED</x:v>
      </x:c>
      <x:c r="I686" s="30" t="str">
        <x:v>Yes</x:v>
      </x:c>
      <x:c r="J686" s="30" t="str">
        <x:v>P-4 reparented to the canonical internal-control framework; approved sub-sector and Origin preserved.</x:v>
      </x:c>
    </x:row>
    <x:row r="687">
      <x:c r="A687" s="30" t="str">
        <x:v>SPROV021</x:v>
      </x:c>
      <x:c r="B687" s="30" t="str">
        <x:v>LAW099</x:v>
      </x:c>
      <x:c r="C687" s="30" t="str">
        <x:v>SUB007</x:v>
      </x:c>
      <x:c r="D687" s="30" t="str">
        <x:v>Best Practice</x:v>
      </x:c>
      <x:c r="E687" s="30" t="str">
        <x:v>Internal control — no independent statutory force; apply the separately mapped underlying law where applicable</x:v>
      </x:c>
      <x:c r="F687" s="30" t="str">
        <x:v>Compassionate Use Medicine Governance</x:v>
      </x:c>
      <x:c r="G687" s="30" t="str">
        <x:v>Medicines supplied under compassionate use programmes shall be approved, documented and monitored in accordance with applicable regulatory and institutional requirements.</x:v>
      </x:c>
      <x:c r="H687" s="30" t="str">
        <x:v>SPECIALIZED</x:v>
      </x:c>
      <x:c r="I687" s="30" t="str">
        <x:v>Yes</x:v>
      </x:c>
      <x:c r="J687" s="30" t="str">
        <x:v>P-4 reparented to the canonical internal-control framework; approved sub-sector and Origin preserved.</x:v>
      </x:c>
    </x:row>
    <x:row r="688">
      <x:c r="A688" s="30" t="str">
        <x:v>SPROV022</x:v>
      </x:c>
      <x:c r="B688" s="30" t="str">
        <x:v>LAW099</x:v>
      </x:c>
      <x:c r="C688" s="30" t="str">
        <x:v>SUB007</x:v>
      </x:c>
      <x:c r="D688" s="30" t="str">
        <x:v>Best Practice</x:v>
      </x:c>
      <x:c r="E688" s="30" t="str">
        <x:v>Internal control — no independent statutory force; apply the separately mapped underlying law where applicable</x:v>
      </x:c>
      <x:c r="F688" s="30" t="str">
        <x:v>Medicine Shortage Allocation</x:v>
      </x:c>
      <x:c r="G688" s="30" t="str">
        <x:v>Allocation of scarce specialty medicines shall follow documented prioritization and approval criteria.</x:v>
      </x:c>
      <x:c r="H688" s="30" t="str">
        <x:v>SPECIALIZED</x:v>
      </x:c>
      <x:c r="I688" s="30" t="str">
        <x:v>Yes</x:v>
      </x:c>
      <x:c r="J688" s="30" t="str">
        <x:v>P-4 reparented to the canonical internal-control framework; approved sub-sector and Origin preserved.</x:v>
      </x:c>
    </x:row>
    <x:row r="689">
      <x:c r="A689" s="30" t="str">
        <x:v>SPROV023</x:v>
      </x:c>
      <x:c r="B689" s="30" t="str">
        <x:v>LAW099</x:v>
      </x:c>
      <x:c r="C689" s="30" t="str">
        <x:v>SUB007</x:v>
      </x:c>
      <x:c r="D689" s="30" t="str">
        <x:v>Best Practice</x:v>
      </x:c>
      <x:c r="E689" s="30" t="str">
        <x:v>Internal control — no independent statutory force; apply the separately mapped underlying law where applicable</x:v>
      </x:c>
      <x:c r="F689" s="30" t="str">
        <x:v>Multidisciplinary Clinical Coordination</x:v>
      </x:c>
      <x:c r="G689" s="30" t="str">
        <x:v>Dispensing of specialty medicines shall involve documented coordination with the treating multidisciplinary clinical team where applicable.</x:v>
      </x:c>
      <x:c r="H689" s="30" t="str">
        <x:v>SPECIALIZED</x:v>
      </x:c>
      <x:c r="I689" s="30" t="str">
        <x:v>Yes</x:v>
      </x:c>
      <x:c r="J689" s="30" t="str">
        <x:v>P-4 reparented to the canonical internal-control framework; approved sub-sector and Origin preserved.</x:v>
      </x:c>
    </x:row>
    <x:row r="690">
      <x:c r="A690" s="30" t="str">
        <x:v>SPROV024</x:v>
      </x:c>
      <x:c r="B690" s="30" t="str">
        <x:v>LAW099</x:v>
      </x:c>
      <x:c r="C690" s="30" t="str">
        <x:v>SUB007</x:v>
      </x:c>
      <x:c r="D690" s="30" t="str">
        <x:v>Best Practice</x:v>
      </x:c>
      <x:c r="E690" s="30" t="str">
        <x:v>Internal control — no independent statutory force; apply the separately mapped underlying law where applicable</x:v>
      </x:c>
      <x:c r="F690" s="30" t="str">
        <x:v>Manufacturer Patient Support Programme Governance</x:v>
      </x:c>
      <x:c r="G690" s="30" t="str">
        <x:v>Participation in manufacturer-sponsored patient support programmes shall be documented, monitored and periodically reviewed.</x:v>
      </x:c>
      <x:c r="H690" s="30" t="str">
        <x:v>SPECIALIZED</x:v>
      </x:c>
      <x:c r="I690" s="30" t="str">
        <x:v>Yes</x:v>
      </x:c>
      <x:c r="J690" s="30" t="str">
        <x:v>P-4 reparented to the canonical internal-control framework; approved sub-sector and Origin preserved.</x:v>
      </x:c>
    </x:row>
    <x:row r="691">
      <x:c r="A691" s="30" t="str">
        <x:v>SPROV025</x:v>
      </x:c>
      <x:c r="B691" s="30" t="str">
        <x:v>LAW099</x:v>
      </x:c>
      <x:c r="C691" s="30" t="str">
        <x:v>SUB007</x:v>
      </x:c>
      <x:c r="D691" s="30" t="str">
        <x:v>Best Practice</x:v>
      </x:c>
      <x:c r="E691" s="30" t="str">
        <x:v>Internal control — no independent statutory force; apply the separately mapped underlying law where applicable</x:v>
      </x:c>
      <x:c r="F691" s="30" t="str">
        <x:v>Controlled-Access Medicine Authorization</x:v>
      </x:c>
      <x:c r="G691" s="30" t="str">
        <x:v>Supply of restricted specialty medicines shall require documented authorization before dispensing.</x:v>
      </x:c>
      <x:c r="H691" s="30" t="str">
        <x:v>SPECIALIZED</x:v>
      </x:c>
      <x:c r="I691" s="30" t="str">
        <x:v>Yes</x:v>
      </x:c>
      <x:c r="J691" s="30" t="str">
        <x:v>P-4 reparented to the canonical internal-control framework; approved sub-sector and Origin preserved.</x:v>
      </x:c>
    </x:row>
    <x:row r="692">
      <x:c r="A692" s="30" t="str">
        <x:v>SPROV026</x:v>
      </x:c>
      <x:c r="B692" s="30" t="str">
        <x:v>LAW099</x:v>
      </x:c>
      <x:c r="C692" s="30" t="str">
        <x:v>SUB007</x:v>
      </x:c>
      <x:c r="D692" s="30" t="str">
        <x:v>Best Practice</x:v>
      </x:c>
      <x:c r="E692" s="30" t="str">
        <x:v>Internal control — no independent statutory force; apply the separately mapped underlying law where applicable</x:v>
      </x:c>
      <x:c r="F692" s="30" t="str">
        <x:v>High-Value Inventory Governance</x:v>
      </x:c>
      <x:c r="G692" s="30" t="str">
        <x:v>High-value specialty medicines shall be subject to enhanced monitoring, approval and inventory verification controls.</x:v>
      </x:c>
      <x:c r="H692" s="30" t="str">
        <x:v>SPECIALIZED</x:v>
      </x:c>
      <x:c r="I692" s="30" t="str">
        <x:v>Yes</x:v>
      </x:c>
      <x:c r="J692" s="30" t="str">
        <x:v>P-4 reparented to the canonical internal-control framework; approved sub-sector and Origin preserved.</x:v>
      </x:c>
    </x:row>
    <x:row r="693">
      <x:c r="A693" s="30" t="str">
        <x:v>SPROV027</x:v>
      </x:c>
      <x:c r="B693" s="30" t="str">
        <x:v>LAW099</x:v>
      </x:c>
      <x:c r="C693" s="30" t="str">
        <x:v>SUB007</x:v>
      </x:c>
      <x:c r="D693" s="30" t="str">
        <x:v>Best Practice</x:v>
      </x:c>
      <x:c r="E693" s="30" t="str">
        <x:v>Internal control — no independent statutory force; apply the separately mapped underlying law where applicable</x:v>
      </x:c>
      <x:c r="F693" s="30" t="str">
        <x:v>Specialty Compliance KPI Framework</x:v>
      </x:c>
      <x:c r="G693" s="30" t="str">
        <x:v>Key compliance indicators shall be defined, monitored and reported for specialty pharmacy operations.</x:v>
      </x:c>
      <x:c r="H693" s="30" t="str">
        <x:v>SPECIALIZED</x:v>
      </x:c>
      <x:c r="I693" s="30" t="str">
        <x:v>Yes</x:v>
      </x:c>
      <x:c r="J693" s="30" t="str">
        <x:v>P-4 reparented to the canonical internal-control framework; approved sub-sector and Origin preserved.</x:v>
      </x:c>
    </x:row>
    <x:row r="694">
      <x:c r="A694" s="30" t="str">
        <x:v>SPROV028</x:v>
      </x:c>
      <x:c r="B694" s="30" t="str">
        <x:v>LAW099</x:v>
      </x:c>
      <x:c r="C694" s="30" t="str">
        <x:v>SUB007</x:v>
      </x:c>
      <x:c r="D694" s="30" t="str">
        <x:v>Best Practice</x:v>
      </x:c>
      <x:c r="E694" s="30" t="str">
        <x:v>Internal control — no independent statutory force; apply the separately mapped underlying law where applicable</x:v>
      </x:c>
      <x:c r="F694" s="30" t="str">
        <x:v>Executive Oversight of Specialty Pharmacy</x:v>
      </x:c>
      <x:c r="G694" s="30" t="str">
        <x:v>Executive management shall periodically review specialty pharmacy risks, quality indicators and regulatory compliance.</x:v>
      </x:c>
      <x:c r="H694" s="30" t="str">
        <x:v>SPECIALIZED</x:v>
      </x:c>
      <x:c r="I694" s="30" t="str">
        <x:v>Yes</x:v>
      </x:c>
      <x:c r="J694" s="30" t="str">
        <x:v>P-4 reparented to the canonical internal-control framework; approved sub-sector and Origin preserved.</x:v>
      </x:c>
    </x:row>
    <x:row r="695">
      <x:c r="A695" s="30" t="str">
        <x:v>SPROV029</x:v>
      </x:c>
      <x:c r="B695" s="30" t="str">
        <x:v>LAW099</x:v>
      </x:c>
      <x:c r="C695" s="30" t="str">
        <x:v>SUB007</x:v>
      </x:c>
      <x:c r="D695" s="30" t="str">
        <x:v>Best Practice</x:v>
      </x:c>
      <x:c r="E695" s="30" t="str">
        <x:v>Internal control — no independent statutory force; apply the separately mapped underlying law where applicable</x:v>
      </x:c>
      <x:c r="F695" s="30" t="str">
        <x:v>Specialty Pharmacy Continuous Improvement</x:v>
      </x:c>
      <x:c r="G695" s="30" t="str">
        <x:v>Corrective and preventive actions arising from audits, incidents and quality reviews shall be monitored to closure.</x:v>
      </x:c>
      <x:c r="H695" s="30" t="str">
        <x:v>SPECIALIZED</x:v>
      </x:c>
      <x:c r="I695" s="30" t="str">
        <x:v>Yes</x:v>
      </x:c>
      <x:c r="J695" s="30" t="str">
        <x:v>P-4 reparented to the canonical internal-control framework; approved sub-sector and Origin preserved.</x:v>
      </x:c>
    </x:row>
    <x:row r="696">
      <x:c r="A696" s="30" t="str">
        <x:v>SPROV030</x:v>
      </x:c>
      <x:c r="B696" s="30" t="str">
        <x:v>LAW099</x:v>
      </x:c>
      <x:c r="C696" s="30" t="str">
        <x:v>SUB007</x:v>
      </x:c>
      <x:c r="D696" s="30" t="str">
        <x:v>Best Practice</x:v>
      </x:c>
      <x:c r="E696" s="30" t="str">
        <x:v>Internal control — no independent statutory force; apply the separately mapped underlying law where applicable</x:v>
      </x:c>
      <x:c r="F696" s="30" t="str">
        <x:v>Annual Specialty Pharmacy Compliance Maturity Assessment</x:v>
      </x:c>
      <x:c r="G696" s="30" t="str">
        <x:v>A formal annual assessment of specialty pharmacy compliance maturity shall be performed with documented improvement plans.</x:v>
      </x:c>
      <x:c r="H696" s="30" t="str">
        <x:v>SPECIALIZED</x:v>
      </x:c>
      <x:c r="I696" s="30" t="str">
        <x:v>Yes</x:v>
      </x:c>
      <x:c r="J696" s="30" t="str">
        <x:v>P-4 reparented to the canonical internal-control framework; approved sub-sector and Origin preserved.</x:v>
      </x:c>
    </x:row>
    <x:row r="697">
      <x:c r="A697" s="30" t="str">
        <x:v>HOMPROV001</x:v>
      </x:c>
      <x:c r="B697" s="30" t="str">
        <x:v>LAW099</x:v>
      </x:c>
      <x:c r="C697" s="30" t="str">
        <x:v>SUB008</x:v>
      </x:c>
      <x:c r="D697" s="30" t="str">
        <x:v>Best Practice</x:v>
      </x:c>
      <x:c r="E697" s="30" t="str">
        <x:v>Internal control — no independent statutory force; apply the separately mapped underlying law where applicable</x:v>
      </x:c>
      <x:c r="F697" s="30" t="str">
        <x:v>Homeopathic Medicine Classification Verification</x:v>
      </x:c>
      <x:c r="G697" s="30" t="str">
        <x:v>Homeopathic medicines shall be classified and stored according to approved pharmacopoeial classifications and product categories.</x:v>
      </x:c>
      <x:c r="H697" s="30" t="str">
        <x:v>HOMEOPATHIC</x:v>
      </x:c>
      <x:c r="I697" s="30" t="str">
        <x:v>Yes</x:v>
      </x:c>
      <x:c r="J697" s="30" t="str">
        <x:v>P-4 reparented to the canonical internal-control framework; approved sub-sector and Origin preserved.</x:v>
      </x:c>
    </x:row>
    <x:row r="698">
      <x:c r="A698" s="30" t="str">
        <x:v>HOMPROV002</x:v>
      </x:c>
      <x:c r="B698" s="30" t="str">
        <x:v>LAW099</x:v>
      </x:c>
      <x:c r="C698" s="30" t="str">
        <x:v>SUB008</x:v>
      </x:c>
      <x:c r="D698" s="30" t="str">
        <x:v>Best Practice</x:v>
      </x:c>
      <x:c r="E698" s="30" t="str">
        <x:v>Internal control — no independent statutory force; apply the separately mapped underlying law where applicable</x:v>
      </x:c>
      <x:c r="F698" s="30" t="str">
        <x:v>Mother Tincture Storage Management</x:v>
      </x:c>
      <x:c r="G698" s="30" t="str">
        <x:v>Mother tinctures shall be stored separately under prescribed environmental conditions with documented inventory control.</x:v>
      </x:c>
      <x:c r="H698" s="30" t="str">
        <x:v>HOMEOPATHIC</x:v>
      </x:c>
      <x:c r="I698" s="30" t="str">
        <x:v>Yes</x:v>
      </x:c>
      <x:c r="J698" s="30" t="str">
        <x:v>P-4 reparented to the canonical internal-control framework; approved sub-sector and Origin preserved.</x:v>
      </x:c>
    </x:row>
    <x:row r="699">
      <x:c r="A699" s="30" t="str">
        <x:v>HOMPROV003</x:v>
      </x:c>
      <x:c r="B699" s="30" t="str">
        <x:v>LAW099</x:v>
      </x:c>
      <x:c r="C699" s="30" t="str">
        <x:v>SUB008</x:v>
      </x:c>
      <x:c r="D699" s="30" t="str">
        <x:v>Best Practice</x:v>
      </x:c>
      <x:c r="E699" s="30" t="str">
        <x:v>Internal control — no independent statutory force; apply the separately mapped underlying law where applicable</x:v>
      </x:c>
      <x:c r="F699" s="30" t="str">
        <x:v>Potency Identification and Segregation</x:v>
      </x:c>
      <x:c r="G699" s="30" t="str">
        <x:v>Medicines of different potencies shall be clearly identified and segregated to prevent dispensing errors.</x:v>
      </x:c>
      <x:c r="H699" s="30" t="str">
        <x:v>HOMEOPATHIC</x:v>
      </x:c>
      <x:c r="I699" s="30" t="str">
        <x:v>Yes</x:v>
      </x:c>
      <x:c r="J699" s="30" t="str">
        <x:v>P-4 reparented to the canonical internal-control framework; approved sub-sector and Origin preserved.</x:v>
      </x:c>
    </x:row>
    <x:row r="700">
      <x:c r="A700" s="30" t="str">
        <x:v>HOMPROV004</x:v>
      </x:c>
      <x:c r="B700" s="30" t="str">
        <x:v>LAW099</x:v>
      </x:c>
      <x:c r="C700" s="30" t="str">
        <x:v>SUB008</x:v>
      </x:c>
      <x:c r="D700" s="30" t="str">
        <x:v>Best Practice</x:v>
      </x:c>
      <x:c r="E700" s="30" t="str">
        <x:v>Internal control — no independent statutory force; apply the separately mapped underlying law where applicable</x:v>
      </x:c>
      <x:c r="F700" s="30" t="str">
        <x:v>Dilution Preparation Controls</x:v>
      </x:c>
      <x:c r="G700" s="30" t="str">
        <x:v>Homeopathic dilutions shall be prepared and documented using approved procedures with complete traceability.</x:v>
      </x:c>
      <x:c r="H700" s="30" t="str">
        <x:v>HOMEOPATHIC</x:v>
      </x:c>
      <x:c r="I700" s="30" t="str">
        <x:v>Yes</x:v>
      </x:c>
      <x:c r="J700" s="30" t="str">
        <x:v>P-4 reparented to the canonical internal-control framework; approved sub-sector and Origin preserved.</x:v>
      </x:c>
    </x:row>
    <x:row r="701">
      <x:c r="A701" s="30" t="str">
        <x:v>HOMPROV005</x:v>
      </x:c>
      <x:c r="B701" s="30" t="str">
        <x:v>LAW099</x:v>
      </x:c>
      <x:c r="C701" s="30" t="str">
        <x:v>SUB008</x:v>
      </x:c>
      <x:c r="D701" s="30" t="str">
        <x:v>Best Practice</x:v>
      </x:c>
      <x:c r="E701" s="30" t="str">
        <x:v>Internal control — no independent statutory force; apply the separately mapped underlying law where applicable</x:v>
      </x:c>
      <x:c r="F701" s="30" t="str">
        <x:v>Homeopathic Dispensing Traceability</x:v>
      </x:c>
      <x:c r="G701" s="30" t="str">
        <x:v>Dispensing records shall maintain complete traceability of medicine, potency, batch and patient details.</x:v>
      </x:c>
      <x:c r="H701" s="30" t="str">
        <x:v>HOMEOPATHIC</x:v>
      </x:c>
      <x:c r="I701" s="30" t="str">
        <x:v>Yes</x:v>
      </x:c>
      <x:c r="J701" s="30" t="str">
        <x:v>P-4 reparented to the canonical internal-control framework; approved sub-sector and Origin preserved.</x:v>
      </x:c>
    </x:row>
    <x:row r="702">
      <x:c r="A702" s="30" t="str">
        <x:v>HOMPROV006</x:v>
      </x:c>
      <x:c r="B702" s="30" t="str">
        <x:v>LAW099</x:v>
      </x:c>
      <x:c r="C702" s="30" t="str">
        <x:v>SUB008</x:v>
      </x:c>
      <x:c r="D702" s="30" t="str">
        <x:v>Best Practice</x:v>
      </x:c>
      <x:c r="E702" s="30" t="str">
        <x:v>Internal control — no independent statutory force; apply the separately mapped underlying law where applicable</x:v>
      </x:c>
      <x:c r="F702" s="30" t="str">
        <x:v>Homeopathic Label Verification</x:v>
      </x:c>
      <x:c r="G702" s="30" t="str">
        <x:v>Homeopathic medicine labels shall be verified for medicine name, potency, batch number and usage instructions before dispensing.</x:v>
      </x:c>
      <x:c r="H702" s="30" t="str">
        <x:v>HOMEOPATHIC</x:v>
      </x:c>
      <x:c r="I702" s="30" t="str">
        <x:v>Yes</x:v>
      </x:c>
      <x:c r="J702" s="30" t="str">
        <x:v>P-4 reparented to the canonical internal-control framework; approved sub-sector and Origin preserved.</x:v>
      </x:c>
    </x:row>
    <x:row r="703">
      <x:c r="A703" s="30" t="str">
        <x:v>HOMPROV007</x:v>
      </x:c>
      <x:c r="B703" s="30" t="str">
        <x:v>LAW099</x:v>
      </x:c>
      <x:c r="C703" s="30" t="str">
        <x:v>SUB008</x:v>
      </x:c>
      <x:c r="D703" s="30" t="str">
        <x:v>Best Practice</x:v>
      </x:c>
      <x:c r="E703" s="30" t="str">
        <x:v>Internal control — no independent statutory force; apply the separately mapped underlying law where applicable</x:v>
      </x:c>
      <x:c r="F703" s="30" t="str">
        <x:v>Homeopathic Stock Rotation</x:v>
      </x:c>
      <x:c r="G703" s="30" t="str">
        <x:v>Homeopathic medicines shall be rotated using approved inventory management principles to minimize expiry and deterioration.</x:v>
      </x:c>
      <x:c r="H703" s="30" t="str">
        <x:v>HOMEOPATHIC</x:v>
      </x:c>
      <x:c r="I703" s="30" t="str">
        <x:v>Yes</x:v>
      </x:c>
      <x:c r="J703" s="30" t="str">
        <x:v>P-4 reparented to the canonical internal-control framework; approved sub-sector and Origin preserved.</x:v>
      </x:c>
    </x:row>
    <x:row r="704">
      <x:c r="A704" s="30" t="str">
        <x:v>HOMPROV008</x:v>
      </x:c>
      <x:c r="B704" s="30" t="str">
        <x:v>LAW099</x:v>
      </x:c>
      <x:c r="C704" s="30" t="str">
        <x:v>SUB008</x:v>
      </x:c>
      <x:c r="D704" s="30" t="str">
        <x:v>Best Practice</x:v>
      </x:c>
      <x:c r="E704" s="30" t="str">
        <x:v>Internal control — no independent statutory force; apply the separately mapped underlying law where applicable</x:v>
      </x:c>
      <x:c r="F704" s="30" t="str">
        <x:v>Homeopathic Expiry Monitoring</x:v>
      </x:c>
      <x:c r="G704" s="30" t="str">
        <x:v>Expiry status of homeopathic medicines shall be reviewed periodically with documented corrective actions.</x:v>
      </x:c>
      <x:c r="H704" s="30" t="str">
        <x:v>HOMEOPATHIC</x:v>
      </x:c>
      <x:c r="I704" s="30" t="str">
        <x:v>Yes</x:v>
      </x:c>
      <x:c r="J704" s="30" t="str">
        <x:v>P-4 reparented to the canonical internal-control framework; approved sub-sector and Origin preserved.</x:v>
      </x:c>
    </x:row>
    <x:row r="705">
      <x:c r="A705" s="30" t="str">
        <x:v>HOMPROV009</x:v>
      </x:c>
      <x:c r="B705" s="30" t="str">
        <x:v>LAW099</x:v>
      </x:c>
      <x:c r="C705" s="30" t="str">
        <x:v>SUB008</x:v>
      </x:c>
      <x:c r="D705" s="30" t="str">
        <x:v>Best Practice</x:v>
      </x:c>
      <x:c r="E705" s="30" t="str">
        <x:v>Internal control — no independent statutory force; apply the separately mapped underlying law where applicable</x:v>
      </x:c>
      <x:c r="F705" s="30" t="str">
        <x:v>Cross-Contamination Prevention</x:v>
      </x:c>
      <x:c r="G705" s="30" t="str">
        <x:v>Procedures shall prevent cross-contamination during storage, preparation and dispensing of homeopathic medicines.</x:v>
      </x:c>
      <x:c r="H705" s="30" t="str">
        <x:v>HOMEOPATHIC</x:v>
      </x:c>
      <x:c r="I705" s="30" t="str">
        <x:v>Yes</x:v>
      </x:c>
      <x:c r="J705" s="30" t="str">
        <x:v>P-4 reparented to the canonical internal-control framework; approved sub-sector and Origin preserved.</x:v>
      </x:c>
    </x:row>
    <x:row r="706">
      <x:c r="A706" s="30" t="str">
        <x:v>HOMPROV010</x:v>
      </x:c>
      <x:c r="B706" s="30" t="str">
        <x:v>LAW099</x:v>
      </x:c>
      <x:c r="C706" s="30" t="str">
        <x:v>SUB008</x:v>
      </x:c>
      <x:c r="D706" s="30" t="str">
        <x:v>Best Practice</x:v>
      </x:c>
      <x:c r="E706" s="30" t="str">
        <x:v>Internal control — no independent statutory force; apply the separately mapped underlying law where applicable</x:v>
      </x:c>
      <x:c r="F706" s="30" t="str">
        <x:v>Storage Environment Monitoring</x:v>
      </x:c>
      <x:c r="G706" s="30" t="str">
        <x:v>Storage temperature, humidity and cleanliness shall be monitored and documented periodically.</x:v>
      </x:c>
      <x:c r="H706" s="30" t="str">
        <x:v>HOMEOPATHIC</x:v>
      </x:c>
      <x:c r="I706" s="30" t="str">
        <x:v>Yes</x:v>
      </x:c>
      <x:c r="J706" s="30" t="str">
        <x:v>P-4 reparented to the canonical internal-control framework; approved sub-sector and Origin preserved.</x:v>
      </x:c>
    </x:row>
    <x:row r="707">
      <x:c r="A707" s="30" t="str">
        <x:v>HOMPROV011</x:v>
      </x:c>
      <x:c r="B707" s="30" t="str">
        <x:v>LAW099</x:v>
      </x:c>
      <x:c r="C707" s="30" t="str">
        <x:v>SUB008</x:v>
      </x:c>
      <x:c r="D707" s="30" t="str">
        <x:v>Best Practice</x:v>
      </x:c>
      <x:c r="E707" s="30" t="str">
        <x:v>Internal control — no independent statutory force; apply the separately mapped underlying law where applicable</x:v>
      </x:c>
      <x:c r="F707" s="30" t="str">
        <x:v>Homeopathic Batch Traceability</x:v>
      </x:c>
      <x:c r="G707" s="30" t="str">
        <x:v>Complete batch traceability shall be maintained for homeopathic medicines throughout receipt, storage and dispensing.</x:v>
      </x:c>
      <x:c r="H707" s="30" t="str">
        <x:v>HOMEOPATHIC</x:v>
      </x:c>
      <x:c r="I707" s="30" t="str">
        <x:v>Yes</x:v>
      </x:c>
      <x:c r="J707" s="30" t="str">
        <x:v>P-4 reparented to the canonical internal-control framework; approved sub-sector and Origin preserved.</x:v>
      </x:c>
    </x:row>
    <x:row r="708">
      <x:c r="A708" s="30" t="str">
        <x:v>HOMPROV012</x:v>
      </x:c>
      <x:c r="B708" s="30" t="str">
        <x:v>LAW099</x:v>
      </x:c>
      <x:c r="C708" s="30" t="str">
        <x:v>SUB008</x:v>
      </x:c>
      <x:c r="D708" s="30" t="str">
        <x:v>Best Practice</x:v>
      </x:c>
      <x:c r="E708" s="30" t="str">
        <x:v>Internal control — no independent statutory force; apply the separately mapped underlying law where applicable</x:v>
      </x:c>
      <x:c r="F708" s="30" t="str">
        <x:v>Homeopathic Patient Counselling</x:v>
      </x:c>
      <x:c r="G708" s="30" t="str">
        <x:v>Patients shall receive documented counselling on dosage, administration and storage of homeopathic medicines.</x:v>
      </x:c>
      <x:c r="H708" s="30" t="str">
        <x:v>HOMEOPATHIC</x:v>
      </x:c>
      <x:c r="I708" s="30" t="str">
        <x:v>Yes</x:v>
      </x:c>
      <x:c r="J708" s="30" t="str">
        <x:v>P-4 reparented to the canonical internal-control framework; approved sub-sector and Origin preserved.</x:v>
      </x:c>
    </x:row>
    <x:row r="709">
      <x:c r="A709" s="30" t="str">
        <x:v>HOMPROV013</x:v>
      </x:c>
      <x:c r="B709" s="30" t="str">
        <x:v>LAW099</x:v>
      </x:c>
      <x:c r="C709" s="30" t="str">
        <x:v>SUB008</x:v>
      </x:c>
      <x:c r="D709" s="30" t="str">
        <x:v>Best Practice</x:v>
      </x:c>
      <x:c r="E709" s="30" t="str">
        <x:v>Internal control — no independent statutory force; apply the separately mapped underlying law where applicable</x:v>
      </x:c>
      <x:c r="F709" s="30" t="str">
        <x:v>Homeopathic Dispensing Documentation</x:v>
      </x:c>
      <x:c r="G709" s="30" t="str">
        <x:v>Homeopathic dispensing documentation shall be complete, accurate and readily retrievable for audit purposes.</x:v>
      </x:c>
      <x:c r="H709" s="30" t="str">
        <x:v>HOMEOPATHIC</x:v>
      </x:c>
      <x:c r="I709" s="30" t="str">
        <x:v>Yes</x:v>
      </x:c>
      <x:c r="J709" s="30" t="str">
        <x:v>P-4 reparented to the canonical internal-control framework; approved sub-sector and Origin preserved.</x:v>
      </x:c>
    </x:row>
    <x:row r="710">
      <x:c r="A710" s="30" t="str">
        <x:v>HOMPROV014</x:v>
      </x:c>
      <x:c r="B710" s="30" t="str">
        <x:v>LAW099</x:v>
      </x:c>
      <x:c r="C710" s="30" t="str">
        <x:v>SUB008</x:v>
      </x:c>
      <x:c r="D710" s="30" t="str">
        <x:v>Best Practice</x:v>
      </x:c>
      <x:c r="E710" s="30" t="str">
        <x:v>Internal control — no independent statutory force; apply the separately mapped underlying law where applicable</x:v>
      </x:c>
      <x:c r="F710" s="30" t="str">
        <x:v>Homeopathic Complaint Handling</x:v>
      </x:c>
      <x:c r="G710" s="30" t="str">
        <x:v>Product quality complaints shall be investigated, documented and resolved through approved procedures.</x:v>
      </x:c>
      <x:c r="H710" s="30" t="str">
        <x:v>HOMEOPATHIC</x:v>
      </x:c>
      <x:c r="I710" s="30" t="str">
        <x:v>Yes</x:v>
      </x:c>
      <x:c r="J710" s="30" t="str">
        <x:v>P-4 reparented to the canonical internal-control framework; approved sub-sector and Origin preserved.</x:v>
      </x:c>
    </x:row>
    <x:row r="711">
      <x:c r="A711" s="30" t="str">
        <x:v>HOMPROV015</x:v>
      </x:c>
      <x:c r="B711" s="30" t="str">
        <x:v>LAW099</x:v>
      </x:c>
      <x:c r="C711" s="30" t="str">
        <x:v>SUB008</x:v>
      </x:c>
      <x:c r="D711" s="30" t="str">
        <x:v>Best Practice</x:v>
      </x:c>
      <x:c r="E711" s="30" t="str">
        <x:v>Internal control — no independent statutory force; apply the separately mapped underlying law where applicable</x:v>
      </x:c>
      <x:c r="F711" s="30" t="str">
        <x:v>Homeopathic Product Recall Management</x:v>
      </x:c>
      <x:c r="G711" s="30" t="str">
        <x:v>Homeopathic product recalls shall be executed promptly with documented communication and effectiveness verification.</x:v>
      </x:c>
      <x:c r="H711" s="30" t="str">
        <x:v>HOMEOPATHIC</x:v>
      </x:c>
      <x:c r="I711" s="30" t="str">
        <x:v>Yes</x:v>
      </x:c>
      <x:c r="J711" s="30" t="str">
        <x:v>P-4 reparented to the canonical internal-control framework; approved sub-sector and Origin preserved.</x:v>
      </x:c>
    </x:row>
    <x:row r="712">
      <x:c r="A712" s="30" t="str">
        <x:v>HOMPROV016</x:v>
      </x:c>
      <x:c r="B712" s="30" t="str">
        <x:v>LAW099</x:v>
      </x:c>
      <x:c r="C712" s="30" t="str">
        <x:v>SUB008</x:v>
      </x:c>
      <x:c r="D712" s="30" t="str">
        <x:v>Best Practice</x:v>
      </x:c>
      <x:c r="E712" s="30" t="str">
        <x:v>Internal control — no independent statutory force; apply the separately mapped underlying law where applicable</x:v>
      </x:c>
      <x:c r="F712" s="30" t="str">
        <x:v>Homeopathic Supplier Qualification</x:v>
      </x:c>
      <x:c r="G712" s="30" t="str">
        <x:v>Suppliers of homeopathic medicines shall undergo documented qualification and periodic evaluation.</x:v>
      </x:c>
      <x:c r="H712" s="30" t="str">
        <x:v>HOMEOPATHIC</x:v>
      </x:c>
      <x:c r="I712" s="30" t="str">
        <x:v>Yes</x:v>
      </x:c>
      <x:c r="J712" s="30" t="str">
        <x:v>P-4 reparented to the canonical internal-control framework; approved sub-sector and Origin preserved.</x:v>
      </x:c>
    </x:row>
    <x:row r="713">
      <x:c r="A713" s="30" t="str">
        <x:v>HOMPROV017</x:v>
      </x:c>
      <x:c r="B713" s="30" t="str">
        <x:v>LAW099</x:v>
      </x:c>
      <x:c r="C713" s="30" t="str">
        <x:v>SUB008</x:v>
      </x:c>
      <x:c r="D713" s="30" t="str">
        <x:v>Best Practice</x:v>
      </x:c>
      <x:c r="E713" s="30" t="str">
        <x:v>Internal control — no independent statutory force; apply the separately mapped underlying law where applicable</x:v>
      </x:c>
      <x:c r="F713" s="30" t="str">
        <x:v>Homeopathic Pharmacy Staff Competency</x:v>
      </x:c>
      <x:c r="G713" s="30" t="str">
        <x:v>Staff handling homeopathic medicines shall complete role-based competency assessment and continuing education.</x:v>
      </x:c>
      <x:c r="H713" s="30" t="str">
        <x:v>HOMEOPATHIC</x:v>
      </x:c>
      <x:c r="I713" s="30" t="str">
        <x:v>Yes</x:v>
      </x:c>
      <x:c r="J713" s="30" t="str">
        <x:v>P-4 reparented to the canonical internal-control framework; approved sub-sector and Origin preserved.</x:v>
      </x:c>
    </x:row>
    <x:row r="714">
      <x:c r="A714" s="30" t="str">
        <x:v>HOMPROV018</x:v>
      </x:c>
      <x:c r="B714" s="30" t="str">
        <x:v>LAW099</x:v>
      </x:c>
      <x:c r="C714" s="30" t="str">
        <x:v>SUB008</x:v>
      </x:c>
      <x:c r="D714" s="30" t="str">
        <x:v>Best Practice</x:v>
      </x:c>
      <x:c r="E714" s="30" t="str">
        <x:v>Internal control — no independent statutory force; apply the separately mapped underlying law where applicable</x:v>
      </x:c>
      <x:c r="F714" s="30" t="str">
        <x:v>Homeopathic Quality Assurance Review</x:v>
      </x:c>
      <x:c r="G714" s="30" t="str">
        <x:v>Homeopathic pharmacy operations shall undergo periodic quality assurance reviews covering storage, preparation and dispensing.</x:v>
      </x:c>
      <x:c r="H714" s="30" t="str">
        <x:v>HOMEOPATHIC</x:v>
      </x:c>
      <x:c r="I714" s="30" t="str">
        <x:v>Yes</x:v>
      </x:c>
      <x:c r="J714" s="30" t="str">
        <x:v>P-4 reparented to the canonical internal-control framework; approved sub-sector and Origin preserved.</x:v>
      </x:c>
    </x:row>
    <x:row r="715">
      <x:c r="A715" s="30" t="str">
        <x:v>HOMPROV019</x:v>
      </x:c>
      <x:c r="B715" s="30" t="str">
        <x:v>LAW099</x:v>
      </x:c>
      <x:c r="C715" s="30" t="str">
        <x:v>SUB008</x:v>
      </x:c>
      <x:c r="D715" s="30" t="str">
        <x:v>Best Practice</x:v>
      </x:c>
      <x:c r="E715" s="30" t="str">
        <x:v>Internal control — no independent statutory force; apply the separately mapped underlying law where applicable</x:v>
      </x:c>
      <x:c r="F715" s="30" t="str">
        <x:v>Homeopathic Regulatory Compliance Monitoring</x:v>
      </x:c>
      <x:c r="G715" s="30" t="str">
        <x:v>Regulatory compliance shall be monitored periodically with corrective actions documented and tracked.</x:v>
      </x:c>
      <x:c r="H715" s="30" t="str">
        <x:v>HOMEOPATHIC</x:v>
      </x:c>
      <x:c r="I715" s="30" t="str">
        <x:v>Yes</x:v>
      </x:c>
      <x:c r="J715" s="30" t="str">
        <x:v>P-4 reparented to the canonical internal-control framework; approved sub-sector and Origin preserved.</x:v>
      </x:c>
    </x:row>
    <x:row r="716">
      <x:c r="A716" s="30" t="str">
        <x:v>HOMPROV020</x:v>
      </x:c>
      <x:c r="B716" s="30" t="str">
        <x:v>LAW099</x:v>
      </x:c>
      <x:c r="C716" s="30" t="str">
        <x:v>SUB008</x:v>
      </x:c>
      <x:c r="D716" s="30" t="str">
        <x:v>Best Practice</x:v>
      </x:c>
      <x:c r="E716" s="30" t="str">
        <x:v>Internal control — no independent statutory force; apply the separately mapped underlying law where applicable</x:v>
      </x:c>
      <x:c r="F716" s="30" t="str">
        <x:v>Homeopathic Governance &amp; Compliance Maturity Assessment</x:v>
      </x:c>
      <x:c r="G716" s="30" t="str">
        <x:v>Homeopathic pharmacy management shall conduct an annual governance review and compliance maturity assessment with documented improvement plans.</x:v>
      </x:c>
      <x:c r="H716" s="30" t="str">
        <x:v>HOMEOPATHIC</x:v>
      </x:c>
      <x:c r="I716" s="30" t="str">
        <x:v>Yes</x:v>
      </x:c>
      <x:c r="J716" s="30" t="str">
        <x:v>P-4 reparented to the canonical internal-control framework; approved sub-sector and Origin preserved.</x:v>
      </x:c>
    </x:row>
    <x:row r="717">
      <x:c r="A717" s="30" t="str">
        <x:v>APROV001</x:v>
      </x:c>
      <x:c r="B717" s="30" t="str">
        <x:v>LAW099</x:v>
      </x:c>
      <x:c r="C717" s="30" t="str">
        <x:v>SUB009</x:v>
      </x:c>
      <x:c r="D717" s="30" t="str">
        <x:v>Best Practice</x:v>
      </x:c>
      <x:c r="E717" s="30" t="str">
        <x:v>Internal control — no independent statutory force; apply the separately mapped underlying law where applicable</x:v>
      </x:c>
      <x:c r="F717" s="30" t="str">
        <x:v>AYUSH Medicine Classification Verification</x:v>
      </x:c>
      <x:c r="G717" s="30" t="str">
        <x:v>AYUSH medicines shall be classified according to the applicable AYUSH system (Ayurveda, Siddha, Unani, Yoga &amp; Naturopathy, Sowa-Rigpa or Homoeopathy where applicable) and stored accordingly.</x:v>
      </x:c>
      <x:c r="H717" s="30" t="str">
        <x:v>AYUSH</x:v>
      </x:c>
      <x:c r="I717" s="30" t="str">
        <x:v>Yes</x:v>
      </x:c>
      <x:c r="J717" s="30" t="str">
        <x:v>P-4 reparented to the canonical internal-control framework; approved sub-sector and Origin preserved.</x:v>
      </x:c>
    </x:row>
    <x:row r="718">
      <x:c r="A718" s="30" t="str">
        <x:v>APROV002</x:v>
      </x:c>
      <x:c r="B718" s="30" t="str">
        <x:v>LAW099</x:v>
      </x:c>
      <x:c r="C718" s="30" t="str">
        <x:v>SUB009</x:v>
      </x:c>
      <x:c r="D718" s="30" t="str">
        <x:v>Best Practice</x:v>
      </x:c>
      <x:c r="E718" s="30" t="str">
        <x:v>Internal control — no independent statutory force; apply the separately mapped underlying law where applicable</x:v>
      </x:c>
      <x:c r="F718" s="30" t="str">
        <x:v>Licensed AYUSH Manufacturer Verification</x:v>
      </x:c>
      <x:c r="G718" s="30" t="str">
        <x:v>Procurement shall be restricted to licensed AYUSH manufacturers and authorized distributors with documented verification.</x:v>
      </x:c>
      <x:c r="H718" s="30" t="str">
        <x:v>AYUSH</x:v>
      </x:c>
      <x:c r="I718" s="30" t="str">
        <x:v>Yes</x:v>
      </x:c>
      <x:c r="J718" s="30" t="str">
        <x:v>P-4 reparented to the canonical internal-control framework; approved sub-sector and Origin preserved.</x:v>
      </x:c>
    </x:row>
    <x:row r="719">
      <x:c r="A719" s="30" t="str">
        <x:v>APROV003</x:v>
      </x:c>
      <x:c r="B719" s="30" t="str">
        <x:v>LAW099</x:v>
      </x:c>
      <x:c r="C719" s="30" t="str">
        <x:v>SUB009</x:v>
      </x:c>
      <x:c r="D719" s="30" t="str">
        <x:v>Best Practice</x:v>
      </x:c>
      <x:c r="E719" s="30" t="str">
        <x:v>Internal control — no independent statutory force; apply the separately mapped underlying law where applicable</x:v>
      </x:c>
      <x:c r="F719" s="30" t="str">
        <x:v>Herbal, Mineral &amp; Natural Raw Material Traceability</x:v>
      </x:c>
      <x:c r="G719" s="30" t="str">
        <x:v>Complete traceability shall be maintained for herbal, mineral and natural-origin medicinal products received and dispensed.</x:v>
      </x:c>
      <x:c r="H719" s="30" t="str">
        <x:v>AYUSH</x:v>
      </x:c>
      <x:c r="I719" s="30" t="str">
        <x:v>Yes</x:v>
      </x:c>
      <x:c r="J719" s="30" t="str">
        <x:v>P-4 reparented to the canonical internal-control framework; approved sub-sector and Origin preserved.</x:v>
      </x:c>
    </x:row>
    <x:row r="720">
      <x:c r="A720" s="30" t="str">
        <x:v>APROV004</x:v>
      </x:c>
      <x:c r="B720" s="30" t="str">
        <x:v>LAW099</x:v>
      </x:c>
      <x:c r="C720" s="30" t="str">
        <x:v>SUB009</x:v>
      </x:c>
      <x:c r="D720" s="30" t="str">
        <x:v>Best Practice</x:v>
      </x:c>
      <x:c r="E720" s="30" t="str">
        <x:v>Internal control — no independent statutory force; apply the separately mapped underlying law where applicable</x:v>
      </x:c>
      <x:c r="F720" s="30" t="str">
        <x:v>AYUSH Medicine Storage Management</x:v>
      </x:c>
      <x:c r="G720" s="30" t="str">
        <x:v>AYUSH medicines shall be stored under prescribed environmental conditions appropriate to their dosage form and composition.</x:v>
      </x:c>
      <x:c r="H720" s="30" t="str">
        <x:v>AYUSH</x:v>
      </x:c>
      <x:c r="I720" s="30" t="str">
        <x:v>Yes</x:v>
      </x:c>
      <x:c r="J720" s="30" t="str">
        <x:v>P-4 reparented to the canonical internal-control framework; approved sub-sector and Origin preserved.</x:v>
      </x:c>
    </x:row>
    <x:row r="721">
      <x:c r="A721" s="30" t="str">
        <x:v>APROV005</x:v>
      </x:c>
      <x:c r="B721" s="30" t="str">
        <x:v>LAW099</x:v>
      </x:c>
      <x:c r="C721" s="30" t="str">
        <x:v>SUB009</x:v>
      </x:c>
      <x:c r="D721" s="30" t="str">
        <x:v>Best Practice</x:v>
      </x:c>
      <x:c r="E721" s="30" t="str">
        <x:v>Internal control — no independent statutory force; apply the separately mapped underlying law where applicable</x:v>
      </x:c>
      <x:c r="F721" s="30" t="str">
        <x:v>AYUSH Labelling Compliance</x:v>
      </x:c>
      <x:c r="G721" s="30" t="str">
        <x:v>Labels shall comply with applicable AYUSH regulatory requirements including formulation name, batch number, expiry and usage instructions.</x:v>
      </x:c>
      <x:c r="H721" s="30" t="str">
        <x:v>AYUSH</x:v>
      </x:c>
      <x:c r="I721" s="30" t="str">
        <x:v>Yes</x:v>
      </x:c>
      <x:c r="J721" s="30" t="str">
        <x:v>P-4 reparented to the canonical internal-control framework; approved sub-sector and Origin preserved.</x:v>
      </x:c>
    </x:row>
    <x:row r="722">
      <x:c r="A722" s="30" t="str">
        <x:v>APROV006</x:v>
      </x:c>
      <x:c r="B722" s="30" t="str">
        <x:v>LAW099</x:v>
      </x:c>
      <x:c r="C722" s="30" t="str">
        <x:v>SUB009</x:v>
      </x:c>
      <x:c r="D722" s="30" t="str">
        <x:v>Best Practice</x:v>
      </x:c>
      <x:c r="E722" s="30" t="str">
        <x:v>Internal control — no independent statutory force; apply the separately mapped underlying law where applicable</x:v>
      </x:c>
      <x:c r="F722" s="30" t="str">
        <x:v>Traditional Dosage Form Dispensing</x:v>
      </x:c>
      <x:c r="G722" s="30" t="str">
        <x:v>Churnas, decoctions, oils, ghritas, bhasmas and other traditional dosage forms shall be dispensed using approved procedures.</x:v>
      </x:c>
      <x:c r="H722" s="30" t="str">
        <x:v>AYUSH</x:v>
      </x:c>
      <x:c r="I722" s="30" t="str">
        <x:v>Yes</x:v>
      </x:c>
      <x:c r="J722" s="30" t="str">
        <x:v>P-4 reparented to the canonical internal-control framework; approved sub-sector and Origin preserved.</x:v>
      </x:c>
    </x:row>
    <x:row r="723">
      <x:c r="A723" s="30" t="str">
        <x:v>APROV007</x:v>
      </x:c>
      <x:c r="B723" s="30" t="str">
        <x:v>LAW099</x:v>
      </x:c>
      <x:c r="C723" s="30" t="str">
        <x:v>SUB009</x:v>
      </x:c>
      <x:c r="D723" s="30" t="str">
        <x:v>Best Practice</x:v>
      </x:c>
      <x:c r="E723" s="30" t="str">
        <x:v>Internal control — no independent statutory force; apply the separately mapped underlying law where applicable</x:v>
      </x:c>
      <x:c r="F723" s="30" t="str">
        <x:v>AYUSH Patient Counselling</x:v>
      </x:c>
      <x:c r="G723" s="30" t="str">
        <x:v>Patients shall receive documented counselling regarding dosage, dietary restrictions, administration and storage of AYUSH medicines.</x:v>
      </x:c>
      <x:c r="H723" s="30" t="str">
        <x:v>AYUSH</x:v>
      </x:c>
      <x:c r="I723" s="30" t="str">
        <x:v>Yes</x:v>
      </x:c>
      <x:c r="J723" s="30" t="str">
        <x:v>P-4 reparented to the canonical internal-control framework; approved sub-sector and Origin preserved.</x:v>
      </x:c>
    </x:row>
    <x:row r="724">
      <x:c r="A724" s="30" t="str">
        <x:v>APROV008</x:v>
      </x:c>
      <x:c r="B724" s="30" t="str">
        <x:v>LAW099</x:v>
      </x:c>
      <x:c r="C724" s="30" t="str">
        <x:v>SUB009</x:v>
      </x:c>
      <x:c r="D724" s="30" t="str">
        <x:v>Best Practice</x:v>
      </x:c>
      <x:c r="E724" s="30" t="str">
        <x:v>Internal control — no independent statutory force; apply the separately mapped underlying law where applicable</x:v>
      </x:c>
      <x:c r="F724" s="30" t="str">
        <x:v>Classical Formulation Documentation</x:v>
      </x:c>
      <x:c r="G724" s="30" t="str">
        <x:v>Classical and proprietary AYUSH formulations shall be documented with complete formulation references where applicable.</x:v>
      </x:c>
      <x:c r="H724" s="30" t="str">
        <x:v>AYUSH</x:v>
      </x:c>
      <x:c r="I724" s="30" t="str">
        <x:v>Yes</x:v>
      </x:c>
      <x:c r="J724" s="30" t="str">
        <x:v>P-4 reparented to the canonical internal-control framework; approved sub-sector and Origin preserved.</x:v>
      </x:c>
    </x:row>
    <x:row r="725">
      <x:c r="A725" s="30" t="str">
        <x:v>APROV009</x:v>
      </x:c>
      <x:c r="B725" s="30" t="str">
        <x:v>LAW099</x:v>
      </x:c>
      <x:c r="C725" s="30" t="str">
        <x:v>SUB009</x:v>
      </x:c>
      <x:c r="D725" s="30" t="str">
        <x:v>Best Practice</x:v>
      </x:c>
      <x:c r="E725" s="30" t="str">
        <x:v>Internal control — no independent statutory force; apply the separately mapped underlying law where applicable</x:v>
      </x:c>
      <x:c r="F725" s="30" t="str">
        <x:v>AYUSH Quality Assurance Programme</x:v>
      </x:c>
      <x:c r="G725" s="30" t="str">
        <x:v>A documented quality assurance programme shall monitor procurement, storage, dispensing and documentation of AYUSH medicines.</x:v>
      </x:c>
      <x:c r="H725" s="30" t="str">
        <x:v>AYUSH</x:v>
      </x:c>
      <x:c r="I725" s="30" t="str">
        <x:v>Yes</x:v>
      </x:c>
      <x:c r="J725" s="30" t="str">
        <x:v>P-4 reparented to the canonical internal-control framework; approved sub-sector and Origin preserved.</x:v>
      </x:c>
    </x:row>
    <x:row r="726">
      <x:c r="A726" s="30" t="str">
        <x:v>APROV010</x:v>
      </x:c>
      <x:c r="B726" s="30" t="str">
        <x:v>LAW099</x:v>
      </x:c>
      <x:c r="C726" s="30" t="str">
        <x:v>SUB009</x:v>
      </x:c>
      <x:c r="D726" s="30" t="str">
        <x:v>Best Practice</x:v>
      </x:c>
      <x:c r="E726" s="30" t="str">
        <x:v>Internal control — no independent statutory force; apply the separately mapped underlying law where applicable</x:v>
      </x:c>
      <x:c r="F726" s="30" t="str">
        <x:v>AYUSH Regulatory Monitoring</x:v>
      </x:c>
      <x:c r="G726" s="30" t="str">
        <x:v>Regulatory updates relating to AYUSH medicines shall be periodically reviewed and implemented.</x:v>
      </x:c>
      <x:c r="H726" s="30" t="str">
        <x:v>AYUSH</x:v>
      </x:c>
      <x:c r="I726" s="30" t="str">
        <x:v>Yes</x:v>
      </x:c>
      <x:c r="J726" s="30" t="str">
        <x:v>P-4 reparented to the canonical internal-control framework; approved sub-sector and Origin preserved.</x:v>
      </x:c>
    </x:row>
    <x:row r="727">
      <x:c r="A727" s="30" t="str">
        <x:v>APROV011</x:v>
      </x:c>
      <x:c r="B727" s="30" t="str">
        <x:v>LAW099</x:v>
      </x:c>
      <x:c r="C727" s="30" t="str">
        <x:v>SUB009</x:v>
      </x:c>
      <x:c r="D727" s="30" t="str">
        <x:v>Best Practice</x:v>
      </x:c>
      <x:c r="E727" s="30" t="str">
        <x:v>Internal control — no independent statutory force; apply the separately mapped underlying law where applicable</x:v>
      </x:c>
      <x:c r="F727" s="30" t="str">
        <x:v>AYUSH Product Recall Management</x:v>
      </x:c>
      <x:c r="G727" s="30" t="str">
        <x:v>AYUSH medicine recalls shall be executed using documented recall procedures with effectiveness verification.</x:v>
      </x:c>
      <x:c r="H727" s="30" t="str">
        <x:v>AYUSH</x:v>
      </x:c>
      <x:c r="I727" s="30" t="str">
        <x:v>Yes</x:v>
      </x:c>
      <x:c r="J727" s="30" t="str">
        <x:v>P-4 reparented to the canonical internal-control framework; approved sub-sector and Origin preserved.</x:v>
      </x:c>
    </x:row>
    <x:row r="728">
      <x:c r="A728" s="30" t="str">
        <x:v>APROV012</x:v>
      </x:c>
      <x:c r="B728" s="30" t="str">
        <x:v>LAW099</x:v>
      </x:c>
      <x:c r="C728" s="30" t="str">
        <x:v>SUB009</x:v>
      </x:c>
      <x:c r="D728" s="30" t="str">
        <x:v>Best Practice</x:v>
      </x:c>
      <x:c r="E728" s="30" t="str">
        <x:v>Internal control — no independent statutory force; apply the separately mapped underlying law where applicable</x:v>
      </x:c>
      <x:c r="F728" s="30" t="str">
        <x:v>AYUSH Expiry Monitoring &amp; Segregation</x:v>
      </x:c>
      <x:c r="G728" s="30" t="str">
        <x:v>Expired AYUSH medicines shall be segregated immediately and disposed of through approved procedures.</x:v>
      </x:c>
      <x:c r="H728" s="30" t="str">
        <x:v>AYUSH</x:v>
      </x:c>
      <x:c r="I728" s="30" t="str">
        <x:v>Yes</x:v>
      </x:c>
      <x:c r="J728" s="30" t="str">
        <x:v>P-4 reparented to the canonical internal-control framework; approved sub-sector and Origin preserved.</x:v>
      </x:c>
    </x:row>
    <x:row r="729">
      <x:c r="A729" s="30" t="str">
        <x:v>APROV013</x:v>
      </x:c>
      <x:c r="B729" s="30" t="str">
        <x:v>LAW099</x:v>
      </x:c>
      <x:c r="C729" s="30" t="str">
        <x:v>SUB009</x:v>
      </x:c>
      <x:c r="D729" s="30" t="str">
        <x:v>Best Practice</x:v>
      </x:c>
      <x:c r="E729" s="30" t="str">
        <x:v>Internal control — no independent statutory force; apply the separately mapped underlying law where applicable</x:v>
      </x:c>
      <x:c r="F729" s="30" t="str">
        <x:v>AYUSH Practitioner Prescription Verification</x:v>
      </x:c>
      <x:c r="G729" s="30" t="str">
        <x:v>Prescriptions issued by authorized AYUSH practitioners shall be verified before dispensing prescription-only medicines where applicable.</x:v>
      </x:c>
      <x:c r="H729" s="30" t="str">
        <x:v>AYUSH</x:v>
      </x:c>
      <x:c r="I729" s="30" t="str">
        <x:v>Yes</x:v>
      </x:c>
      <x:c r="J729" s="30" t="str">
        <x:v>P-4 reparented to the canonical internal-control framework; approved sub-sector and Origin preserved.</x:v>
      </x:c>
    </x:row>
    <x:row r="730">
      <x:c r="A730" s="30" t="str">
        <x:v>APROV014</x:v>
      </x:c>
      <x:c r="B730" s="30" t="str">
        <x:v>LAW099</x:v>
      </x:c>
      <x:c r="C730" s="30" t="str">
        <x:v>SUB009</x:v>
      </x:c>
      <x:c r="D730" s="30" t="str">
        <x:v>Best Practice</x:v>
      </x:c>
      <x:c r="E730" s="30" t="str">
        <x:v>Internal control — no independent statutory force; apply the separately mapped underlying law where applicable</x:v>
      </x:c>
      <x:c r="F730" s="30" t="str">
        <x:v>AYUSH Dispensing Documentation</x:v>
      </x:c>
      <x:c r="G730" s="30" t="str">
        <x:v>Complete dispensing documentation shall be maintained for all AYUSH medicines supplied to patients.</x:v>
      </x:c>
      <x:c r="H730" s="30" t="str">
        <x:v>AYUSH</x:v>
      </x:c>
      <x:c r="I730" s="30" t="str">
        <x:v>Yes</x:v>
      </x:c>
      <x:c r="J730" s="30" t="str">
        <x:v>P-4 reparented to the canonical internal-control framework; approved sub-sector and Origin preserved.</x:v>
      </x:c>
    </x:row>
    <x:row r="731">
      <x:c r="A731" s="30" t="str">
        <x:v>APROV015</x:v>
      </x:c>
      <x:c r="B731" s="30" t="str">
        <x:v>LAW099</x:v>
      </x:c>
      <x:c r="C731" s="30" t="str">
        <x:v>SUB009</x:v>
      </x:c>
      <x:c r="D731" s="30" t="str">
        <x:v>Best Practice</x:v>
      </x:c>
      <x:c r="E731" s="30" t="str">
        <x:v>Internal control — no independent statutory force; apply the separately mapped underlying law where applicable</x:v>
      </x:c>
      <x:c r="F731" s="30" t="str">
        <x:v>AYUSH Pharmacy Staff Competency</x:v>
      </x:c>
      <x:c r="G731" s="30" t="str">
        <x:v>Personnel handling AYUSH medicines shall undergo documented competency assessment and continuing professional education.</x:v>
      </x:c>
      <x:c r="H731" s="30" t="str">
        <x:v>AYUSH</x:v>
      </x:c>
      <x:c r="I731" s="30" t="str">
        <x:v>Yes</x:v>
      </x:c>
      <x:c r="J731" s="30" t="str">
        <x:v>P-4 reparented to the canonical internal-control framework; approved sub-sector and Origin preserved.</x:v>
      </x:c>
    </x:row>
    <x:row r="732">
      <x:c r="A732" s="30" t="str">
        <x:v>APROV016</x:v>
      </x:c>
      <x:c r="B732" s="30" t="str">
        <x:v>LAW099</x:v>
      </x:c>
      <x:c r="C732" s="30" t="str">
        <x:v>SUB009</x:v>
      </x:c>
      <x:c r="D732" s="30" t="str">
        <x:v>Best Practice</x:v>
      </x:c>
      <x:c r="E732" s="30" t="str">
        <x:v>Internal control — no independent statutory force; apply the separately mapped underlying law where applicable</x:v>
      </x:c>
      <x:c r="F732" s="30" t="str">
        <x:v>AYUSH Supplier Performance Review</x:v>
      </x:c>
      <x:c r="G732" s="30" t="str">
        <x:v>Supplier performance shall be periodically evaluated using documented quality and compliance criteria.</x:v>
      </x:c>
      <x:c r="H732" s="30" t="str">
        <x:v>AYUSH</x:v>
      </x:c>
      <x:c r="I732" s="30" t="str">
        <x:v>Yes</x:v>
      </x:c>
      <x:c r="J732" s="30" t="str">
        <x:v>P-4 reparented to the canonical internal-control framework; approved sub-sector and Origin preserved.</x:v>
      </x:c>
    </x:row>
    <x:row r="733">
      <x:c r="A733" s="30" t="str">
        <x:v>APROV017</x:v>
      </x:c>
      <x:c r="B733" s="30" t="str">
        <x:v>LAW099</x:v>
      </x:c>
      <x:c r="C733" s="30" t="str">
        <x:v>SUB009</x:v>
      </x:c>
      <x:c r="D733" s="30" t="str">
        <x:v>Best Practice</x:v>
      </x:c>
      <x:c r="E733" s="30" t="str">
        <x:v>Internal control — no independent statutory force; apply the separately mapped underlying law where applicable</x:v>
      </x:c>
      <x:c r="F733" s="30" t="str">
        <x:v>AYUSH Compliance Reporting</x:v>
      </x:c>
      <x:c r="G733" s="30" t="str">
        <x:v>Periodic compliance reports covering AYUSH pharmacy operations shall be prepared and reviewed by management.</x:v>
      </x:c>
      <x:c r="H733" s="30" t="str">
        <x:v>AYUSH</x:v>
      </x:c>
      <x:c r="I733" s="30" t="str">
        <x:v>Yes</x:v>
      </x:c>
      <x:c r="J733" s="30" t="str">
        <x:v>P-4 reparented to the canonical internal-control framework; approved sub-sector and Origin preserved.</x:v>
      </x:c>
    </x:row>
    <x:row r="734">
      <x:c r="A734" s="30" t="str">
        <x:v>APROV018</x:v>
      </x:c>
      <x:c r="B734" s="30" t="str">
        <x:v>LAW099</x:v>
      </x:c>
      <x:c r="C734" s="30" t="str">
        <x:v>SUB009</x:v>
      </x:c>
      <x:c r="D734" s="30" t="str">
        <x:v>Best Practice</x:v>
      </x:c>
      <x:c r="E734" s="30" t="str">
        <x:v>Internal control — no independent statutory force; apply the separately mapped underlying law where applicable</x:v>
      </x:c>
      <x:c r="F734" s="30" t="str">
        <x:v>AYUSH Continuous Improvement Programme</x:v>
      </x:c>
      <x:c r="G734" s="30" t="str">
        <x:v>Corrective and preventive actions arising from audits and reviews shall be tracked through completion.</x:v>
      </x:c>
      <x:c r="H734" s="30" t="str">
        <x:v>AYUSH</x:v>
      </x:c>
      <x:c r="I734" s="30" t="str">
        <x:v>Yes</x:v>
      </x:c>
      <x:c r="J734" s="30" t="str">
        <x:v>P-4 reparented to the canonical internal-control framework; approved sub-sector and Origin preserved.</x:v>
      </x:c>
    </x:row>
    <x:row r="735">
      <x:c r="A735" s="30" t="str">
        <x:v>APROV019</x:v>
      </x:c>
      <x:c r="B735" s="30" t="str">
        <x:v>LAW099</x:v>
      </x:c>
      <x:c r="C735" s="30" t="str">
        <x:v>SUB009</x:v>
      </x:c>
      <x:c r="D735" s="30" t="str">
        <x:v>Best Practice</x:v>
      </x:c>
      <x:c r="E735" s="30" t="str">
        <x:v>Internal control — no independent statutory force; apply the separately mapped underlying law where applicable</x:v>
      </x:c>
      <x:c r="F735" s="30" t="str">
        <x:v>AYUSH Internal Quality Review</x:v>
      </x:c>
      <x:c r="G735" s="30" t="str">
        <x:v>Internal quality reviews shall evaluate storage, dispensing, documentation and regulatory compliance.</x:v>
      </x:c>
      <x:c r="H735" s="30" t="str">
        <x:v>AYUSH</x:v>
      </x:c>
      <x:c r="I735" s="30" t="str">
        <x:v>Yes</x:v>
      </x:c>
      <x:c r="J735" s="30" t="str">
        <x:v>P-4 reparented to the canonical internal-control framework; approved sub-sector and Origin preserved.</x:v>
      </x:c>
    </x:row>
    <x:row r="736">
      <x:c r="A736" s="30" t="str">
        <x:v>APROV020</x:v>
      </x:c>
      <x:c r="B736" s="30" t="str">
        <x:v>LAW099</x:v>
      </x:c>
      <x:c r="C736" s="30" t="str">
        <x:v>SUB009</x:v>
      </x:c>
      <x:c r="D736" s="30" t="str">
        <x:v>Best Practice</x:v>
      </x:c>
      <x:c r="E736" s="30" t="str">
        <x:v>Internal control — no independent statutory force; apply the separately mapped underlying law where applicable</x:v>
      </x:c>
      <x:c r="F736" s="30" t="str">
        <x:v>Annual AYUSH Pharmacy Governance &amp; Compliance Maturity Assessment</x:v>
      </x:c>
      <x:c r="G736" s="30" t="str">
        <x:v>AYUSH pharmacy management shall perform an annual governance and compliance maturity assessment with documented improvement plans.</x:v>
      </x:c>
      <x:c r="H736" s="30" t="str">
        <x:v>AYUSH</x:v>
      </x:c>
      <x:c r="I736" s="30" t="str">
        <x:v>Yes</x:v>
      </x:c>
      <x:c r="J736" s="30" t="str">
        <x:v>P-4 reparented to the canonical internal-control framework; approved sub-sector and Origin preserved.</x:v>
      </x:c>
    </x:row>
    <x:row r="737">
      <x:c r="A737" s="33" t="str">
        <x:v>PROV276</x:v>
      </x:c>
      <x:c r="B737" s="33" t="str">
        <x:v>LAW002</x:v>
      </x:c>
      <x:c r="C737" s="33"/>
      <x:c r="D737" s="33" t="str">
        <x:v>Statutory</x:v>
      </x:c>
      <x:c r="E737" s="33" t="str">
        <x:v>Rule 65(16); Form 35</x:v>
      </x:c>
      <x:c r="F737" s="33" t="str">
        <x:v>Inspection Book</x:v>
      </x:c>
      <x:c r="G737" s="33" t="str">
        <x:v>Maintain the Form 35 Inspection Book for an Inspector's impressions and defects.</x:v>
      </x:c>
      <x:c r="H737" s="33" t="str">
        <x:v>CORE</x:v>
      </x:c>
      <x:c r="I737" s="33" t="str">
        <x:v>Yes</x:v>
      </x:c>
      <x:c r="J737" s="33" t="str">
        <x:v>P-2 ADD — missing operational control.</x:v>
      </x:c>
    </x:row>
    <x:row r="738">
      <x:c r="A738" s="33" t="str">
        <x:v>PROV277</x:v>
      </x:c>
      <x:c r="B738" s="33" t="str">
        <x:v>LAW002</x:v>
      </x:c>
      <x:c r="C738" s="33"/>
      <x:c r="D738" s="33" t="str">
        <x:v>Statutory</x:v>
      </x:c>
      <x:c r="E738" s="33" t="str">
        <x:v>Rule 65(17)</x:v>
      </x:c>
      <x:c r="F738" s="33" t="str">
        <x:v>Expired or label-direction-violating stock</x:v>
      </x:c>
      <x:c r="G738" s="33" t="str">
        <x:v>Do not sell expired/non-conforming stock; segregate pending return/disposal and mark cartons 'Not for sale'.</x:v>
      </x:c>
      <x:c r="H738" s="33" t="str">
        <x:v>CORE</x:v>
      </x:c>
      <x:c r="I738" s="33" t="str">
        <x:v>Yes</x:v>
      </x:c>
      <x:c r="J738" s="33" t="str">
        <x:v>P-2 ADD — missing operational control.</x:v>
      </x:c>
    </x:row>
    <x:row r="739">
      <x:c r="A739" s="33" t="str">
        <x:v>PROV278</x:v>
      </x:c>
      <x:c r="B739" s="33" t="str">
        <x:v>LAW002</x:v>
      </x:c>
      <x:c r="C739" s="33"/>
      <x:c r="D739" s="33" t="str">
        <x:v>Statutory</x:v>
      </x:c>
      <x:c r="E739" s="33" t="str">
        <x:v>Rule 65(18)</x:v>
      </x:c>
      <x:c r="F739" s="33" t="str">
        <x:v>Free samples and scheme-specific stock</x:v>
      </x:c>
      <x:c r="G739" s="33" t="str">
        <x:v>Do not sell/stock prohibited free-sample or scheme-marked stock except within the express authorized exceptions and segregation records.</x:v>
      </x:c>
      <x:c r="H739" s="33" t="str">
        <x:v>CORE</x:v>
      </x:c>
      <x:c r="I739" s="33" t="str">
        <x:v>Yes</x:v>
      </x:c>
      <x:c r="J739" s="33" t="str">
        <x:v>P-2 ADD — missing operational control.</x:v>
      </x:c>
    </x:row>
    <x:row r="740">
      <x:c r="A740" s="33" t="str">
        <x:v>PROV279</x:v>
      </x:c>
      <x:c r="B740" s="33" t="str">
        <x:v>LAW002</x:v>
      </x:c>
      <x:c r="C740" s="33" t="str">
        <x:v>SUB001</x:v>
      </x:c>
      <x:c r="D740" s="33" t="str">
        <x:v>Statutory</x:v>
      </x:c>
      <x:c r="E740" s="33" t="str">
        <x:v>Rule 65(19)</x:v>
      </x:c>
      <x:c r="F740" s="33" t="str">
        <x:v>Retail supply from a container other than the manufacturer's pack</x:v>
      </x:c>
      <x:c r="G740" s="33" t="str">
        <x:v>Such supply requires a registered pharmacist's direct supervision and a wrapper label stating drug, quantity and dealer name/address.</x:v>
      </x:c>
      <x:c r="H740" s="33" t="str">
        <x:v>CORE</x:v>
      </x:c>
      <x:c r="I740" s="33" t="str">
        <x:v>Yes</x:v>
      </x:c>
      <x:c r="J740" s="33" t="str">
        <x:v>P-2 ADD — missing operational control.</x:v>
      </x:c>
    </x:row>
    <x:row r="741">
      <x:c r="A741" s="33" t="str">
        <x:v>PROV280</x:v>
      </x:c>
      <x:c r="B741" s="33" t="str">
        <x:v>LAW002</x:v>
      </x:c>
      <x:c r="C741" s="33" t="str">
        <x:v>SUB007</x:v>
      </x:c>
      <x:c r="D741" s="33" t="str">
        <x:v>Statutory</x:v>
      </x:c>
      <x:c r="E741" s="33" t="str">
        <x:v>Rule 65(20)</x:v>
      </x:c>
      <x:c r="F741" s="33" t="str">
        <x:v>Veterinary medicines labelling and segregation</x:v>
      </x:c>
      <x:c r="G741" s="33" t="str">
        <x:v>Label 'Not for human use—for treatment of animals only' and store in dedicated or segregated restricted space.</x:v>
      </x:c>
      <x:c r="H741" s="33" t="str">
        <x:v>CORE</x:v>
      </x:c>
      <x:c r="I741" s="33" t="str">
        <x:v>Yes</x:v>
      </x:c>
      <x:c r="J741" s="33" t="str">
        <x:v>P-2 ADD — conditional specialized control.</x:v>
      </x:c>
    </x:row>
    <x:row r="742">
      <x:c r="A742" s="33" t="str">
        <x:v>PROV281</x:v>
      </x:c>
      <x:c r="B742" s="33" t="str">
        <x:v>LAW002</x:v>
      </x:c>
      <x:c r="C742" s="33"/>
      <x:c r="D742" s="33" t="str">
        <x:v>Statutory</x:v>
      </x:c>
      <x:c r="E742" s="33" t="str">
        <x:v>Rule 65B</x:v>
      </x:c>
      <x:c r="F742" s="33" t="str">
        <x:v>Inspection for verification of compliance</x:v>
      </x:c>
      <x:c r="G742" s="33" t="str">
        <x:v>Licensed premises are subject to inspection at least once in three years or as needed under a risk-based approach.</x:v>
      </x:c>
      <x:c r="H742" s="33" t="str">
        <x:v>CORE</x:v>
      </x:c>
      <x:c r="I742" s="33" t="str">
        <x:v>Yes</x:v>
      </x:c>
      <x:c r="J742" s="33" t="str">
        <x:v>P-2 ADD — inspection readiness control.</x:v>
      </x:c>
    </x:row>
    <x:row r="743">
      <x:c r="A743" s="33" t="str">
        <x:v>PROV282</x:v>
      </x:c>
      <x:c r="B743" s="33" t="str">
        <x:v>LAW002</x:v>
      </x:c>
      <x:c r="C743" s="33"/>
      <x:c r="D743" s="33" t="str">
        <x:v>Statutory</x:v>
      </x:c>
      <x:c r="E743" s="33" t="str">
        <x:v>Conditions in Forms 20, 20A, 20B, 20F, 20G, 21, 21A and 21B</x:v>
      </x:c>
      <x:c r="F743" s="33" t="str">
        <x:v>Licence display and material licence-condition changes</x:v>
      </x:c>
      <x:c r="G743" s="33" t="str">
        <x:v>Display the licence and comply with form-specific duties for qualified/competent staff, authorized drugs and constitution changes.</x:v>
      </x:c>
      <x:c r="H743" s="33" t="str">
        <x:v>CORE</x:v>
      </x:c>
      <x:c r="I743" s="33" t="str">
        <x:v>Yes</x:v>
      </x:c>
      <x:c r="J743" s="33" t="str">
        <x:v>P-2 ADD — licence-form conditions are not Rule 67.</x:v>
      </x:c>
    </x:row>
    <x:row r="744">
      <x:c r="A744" s="33" t="str">
        <x:v>PROV283</x:v>
      </x:c>
      <x:c r="B744" s="33" t="str">
        <x:v>LAW002</x:v>
      </x:c>
      <x:c r="C744" s="33"/>
      <x:c r="D744" s="33" t="str">
        <x:v>Statutory</x:v>
      </x:c>
      <x:c r="E744" s="33" t="str">
        <x:v>Rules 66, 66A and 66B</x:v>
      </x:c>
      <x:c r="F744" s="33" t="str">
        <x:v>Suspension, cancellation, disposal and debarment</x:v>
      </x:c>
      <x:c r="G744" s="33" t="str">
        <x:v>Respond to licence enforcement, dispose of stock only with permission after cancellation, and do not submit misleading/fake/fabricated licence material.</x:v>
      </x:c>
      <x:c r="H744" s="33" t="str">
        <x:v>CORE</x:v>
      </x:c>
      <x:c r="I744" s="33" t="str">
        <x:v>Yes</x:v>
      </x:c>
      <x:c r="J744" s="33" t="str">
        <x:v>P-2 ADD — includes G.S.R. 706(E), 30-07-2026.</x:v>
      </x:c>
    </x:row>
    <x:row r="745">
      <x:c r="A745" s="33" t="str">
        <x:v>PROV284</x:v>
      </x:c>
      <x:c r="B745" s="33" t="str">
        <x:v>LAW002</x:v>
      </x:c>
      <x:c r="C745" s="33" t="str">
        <x:v>SUB001</x:v>
      </x:c>
      <x:c r="D745" s="33" t="str">
        <x:v>Statutory</x:v>
      </x:c>
      <x:c r="E745" s="33" t="str">
        <x:v>Rules 62A and 62B; Forms 20A and 21A</x:v>
      </x:c>
      <x:c r="F745" s="33" t="str">
        <x:v>Restricted retail sale licences</x:v>
      </x:c>
      <x:c r="G745" s="33" t="str">
        <x:v>Restricted licences are conditional, discretionary and limited to drugs not requiring qualified-person supervision.</x:v>
      </x:c>
      <x:c r="H745" s="33" t="str">
        <x:v>CORE</x:v>
      </x:c>
      <x:c r="I745" s="33" t="str">
        <x:v>Yes</x:v>
      </x:c>
      <x:c r="J745" s="33" t="str">
        <x:v>P-2 ADD — conditional licence class.</x:v>
      </x:c>
    </x:row>
    <x:row r="746">
      <x:c r="A746" s="33" t="str">
        <x:v>PROV285</x:v>
      </x:c>
      <x:c r="B746" s="33" t="str">
        <x:v>LAW002</x:v>
      </x:c>
      <x:c r="C746" s="33" t="str">
        <x:v>SUB002</x:v>
      </x:c>
      <x:c r="D746" s="33" t="str">
        <x:v>Statutory</x:v>
      </x:c>
      <x:c r="E746" s="33" t="str">
        <x:v>Rules 62C and 62D; Forms 19AA, 20BB and 21BB</x:v>
      </x:c>
      <x:c r="F746" s="33" t="str">
        <x:v>Wholesale sale/distribution from a motor vehicle</x:v>
      </x:c>
      <x:c r="G746" s="33" t="str">
        <x:v>Use the prescribed application and vehicle licence forms where a covered wholesale/distribution vehicle activity exists.</x:v>
      </x:c>
      <x:c r="H746" s="33" t="str">
        <x:v>CORE</x:v>
      </x:c>
      <x:c r="I746" s="33" t="str">
        <x:v>Yes</x:v>
      </x:c>
      <x:c r="J746" s="33" t="str">
        <x:v>P-2 ADD — conditional wholesale activity.</x:v>
      </x:c>
    </x:row>
    <x:row r="747">
      <x:c r="A747" s="33" t="str">
        <x:v>PROV286</x:v>
      </x:c>
      <x:c r="B747" s="33" t="str">
        <x:v>LAW002</x:v>
      </x:c>
      <x:c r="C747" s="33" t="str">
        <x:v>SUB008</x:v>
      </x:c>
      <x:c r="D747" s="33" t="str">
        <x:v>Statutory</x:v>
      </x:c>
      <x:c r="E747" s="33" t="str">
        <x:v>Rules 67A-67F; Forms 19B, 20C and 20D</x:v>
      </x:c>
      <x:c r="F747" s="33" t="str">
        <x:v>Homoeopathic retail/wholesale sale licensing</x:v>
      </x:c>
      <x:c r="G747" s="33" t="str">
        <x:v>Obtain the correct homeopathic sale licence for each place and maintain required premises and competent-person conditions.</x:v>
      </x:c>
      <x:c r="H747" s="33" t="str">
        <x:v>CORE</x:v>
      </x:c>
      <x:c r="I747" s="33" t="str">
        <x:v>Yes</x:v>
      </x:c>
      <x:c r="J747" s="33" t="str">
        <x:v>P-2 ADD — approved Homeopathic Pharmacy sub-sector.</x:v>
      </x:c>
    </x:row>
    <x:row r="748">
      <x:c r="A748" s="33" t="str">
        <x:v>PROV287</x:v>
      </x:c>
      <x:c r="B748" s="33" t="str">
        <x:v>LAW002</x:v>
      </x:c>
      <x:c r="C748" s="33" t="str">
        <x:v>SUB008</x:v>
      </x:c>
      <x:c r="D748" s="33" t="str">
        <x:v>Statutory</x:v>
      </x:c>
      <x:c r="E748" s="33" t="str">
        <x:v>Rule 67G</x:v>
      </x:c>
      <x:c r="F748" s="33" t="str">
        <x:v>Conditions of Homoeopathic sale licence</x:v>
      </x:c>
      <x:c r="G748" s="33" t="str">
        <x:v>Maintain clean premises, qualified supervision/sealed-pack conditions, permit inspection and maintain alcohol-containing medicine purchase/sale records.</x:v>
      </x:c>
      <x:c r="H748" s="33" t="str">
        <x:v>CORE</x:v>
      </x:c>
      <x:c r="I748" s="33" t="str">
        <x:v>Yes</x:v>
      </x:c>
      <x:c r="J748" s="33" t="str">
        <x:v>P-2 ADD — approved Homeopathic Pharmacy sub-sector.</x:v>
      </x:c>
    </x:row>
    <x:row r="749">
      <x:c r="A749" s="33" t="str">
        <x:v>PROV288</x:v>
      </x:c>
      <x:c r="B749" s="33" t="str">
        <x:v>LAW002</x:v>
      </x:c>
      <x:c r="C749" s="33" t="str">
        <x:v>SUB008</x:v>
      </x:c>
      <x:c r="D749" s="33" t="str">
        <x:v>Statutory</x:v>
      </x:c>
      <x:c r="E749" s="33" t="str">
        <x:v>Rule 67H</x:v>
      </x:c>
      <x:c r="F749" s="33" t="str">
        <x:v>Cancellation and suspension of Homoeopathic sale licence</x:v>
      </x:c>
      <x:c r="G749" s="33" t="str">
        <x:v>Comply with licence conditions and enforcement orders; preserve appeal documentation where used.</x:v>
      </x:c>
      <x:c r="H749" s="33" t="str">
        <x:v>CORE</x:v>
      </x:c>
      <x:c r="I749" s="33" t="str">
        <x:v>Yes</x:v>
      </x:c>
      <x:c r="J749" s="33" t="str">
        <x:v>P-2 ADD — approved Homeopathic Pharmacy sub-sector.</x:v>
      </x:c>
    </x:row>
    <x:row r="750">
      <x:c r="A750" s="33" t="str">
        <x:v>PROV289</x:v>
      </x:c>
      <x:c r="B750" s="33" t="str">
        <x:v>LAW002</x:v>
      </x:c>
      <x:c r="C750" s="33" t="str">
        <x:v>SUB001</x:v>
      </x:c>
      <x:c r="D750" s="33" t="str">
        <x:v>Statutory</x:v>
      </x:c>
      <x:c r="E750" s="33" t="str">
        <x:v>Rule 64(1); Schedule N</x:v>
      </x:c>
      <x:c r="F750" s="33" t="str">
        <x:v>Minimum equipment and pharmacy-premises standards</x:v>
      </x:c>
      <x:c r="G750" s="33" t="str">
        <x:v>A pharmacy licensed in Form 20/21 must satisfy the applicable Schedule N entrance, premises, furniture/apparatus and equipment requirements.</x:v>
      </x:c>
      <x:c r="H750" s="33" t="str">
        <x:v>CORE</x:v>
      </x:c>
      <x:c r="I750" s="33" t="str">
        <x:v>Yes</x:v>
      </x:c>
      <x:c r="J750" s="33" t="str">
        <x:v>P-2 ADD — Schedule N was missing from production controls.</x:v>
      </x:c>
    </x:row>
    <x:row r="751">
      <x:c r="A751" s="33" t="str">
        <x:v>PROV290</x:v>
      </x:c>
      <x:c r="B751" s="33" t="str">
        <x:v>LAW002</x:v>
      </x:c>
      <x:c r="C751" s="33" t="str">
        <x:v>SUB006</x:v>
      </x:c>
      <x:c r="D751" s="33" t="str">
        <x:v>Statutory</x:v>
      </x:c>
      <x:c r="E751" s="33" t="str">
        <x:v>Rule 65(9)(b)</x:v>
      </x:c>
      <x:c r="F751" s="33" t="str">
        <x:v>Signed institutional orders for Schedule H/H1/X supply</x:v>
      </x:c>
      <x:c r="G751" s="33" t="str">
        <x:v>Supply to RMPs, hospitals, dispensaries and nursing homes only against signed written orders retained for two years.</x:v>
      </x:c>
      <x:c r="H751" s="33" t="str">
        <x:v>CORE</x:v>
      </x:c>
      <x:c r="I751" s="33" t="str">
        <x:v>Yes</x:v>
      </x:c>
      <x:c r="J751" s="33" t="str">
        <x:v>P-2 ADD — institutional control.</x:v>
      </x:c>
    </x:row>
    <x:row r="752">
      <x:c r="A752" s="33" t="str">
        <x:v>PROV291</x:v>
      </x:c>
      <x:c r="B752" s="33" t="str">
        <x:v>LAW044</x:v>
      </x:c>
      <x:c r="C752" s="33"/>
      <x:c r="D752" s="33" t="str">
        <x:v>Statutory</x:v>
      </x:c>
      <x:c r="E752" s="33" t="str">
        <x:v>Rule 5</x:v>
      </x:c>
      <x:c r="F752" s="33" t="str">
        <x:v>Duties of every solid-waste generator</x:v>
      </x:c>
      <x:c r="G752" s="33" t="str">
        <x:v>Segregate at source into wet, dry, sanitary and special-care streams; hand over segregated waste to authorised collectors; prevent littering/burning/dumping; pay applicable user fees and keep other regulated waste streams separate.</x:v>
      </x:c>
      <x:c r="H752" s="33" t="str">
        <x:v>CORE</x:v>
      </x:c>
      <x:c r="I752" s="33" t="str">
        <x:v>Yes</x:v>
      </x:c>
      <x:c r="J752" s="33" t="str">
        <x:v>P-3 current from 01-04-2026.</x:v>
      </x:c>
    </x:row>
    <x:row r="753">
      <x:c r="A753" s="33" t="str">
        <x:v>PROV292</x:v>
      </x:c>
      <x:c r="B753" s="33" t="str">
        <x:v>LAW044</x:v>
      </x:c>
      <x:c r="C753" s="33"/>
      <x:c r="D753" s="33" t="str">
        <x:v>Statutory</x:v>
      </x:c>
      <x:c r="E753" s="33" t="str">
        <x:v>Rule 6; Rule 3 bulk-waste-generator definition</x:v>
      </x:c>
      <x:c r="F753" s="33" t="str">
        <x:v>Additional duties of a bulk waste generator</x:v>
      </x:c>
      <x:c r="G753" s="33" t="str">
        <x:v>If any threshold is met (floor area at least 20,000 sqm, water at least 40,000 L/day, or solid waste at least 100 kg/day), register/report and arrange wet-waste processing/EBWGR and authorised channelisation as prescribed.</x:v>
      </x:c>
      <x:c r="H753" s="33" t="str">
        <x:v>CORE</x:v>
      </x:c>
      <x:c r="I753" s="33" t="str">
        <x:v>Yes</x:v>
      </x:c>
      <x:c r="J753" s="33" t="str">
        <x:v>P-3 threshold is disjunctive: any one criterion.</x:v>
      </x:c>
    </x:row>
    <x:row r="754">
      <x:c r="A754" s="33" t="str">
        <x:v>PROV293</x:v>
      </x:c>
      <x:c r="B754" s="33" t="str">
        <x:v>LAW042</x:v>
      </x:c>
      <x:c r="C754" s="33"/>
      <x:c r="D754" s="33" t="str">
        <x:v>Statutory</x:v>
      </x:c>
      <x:c r="E754" s="33" t="str">
        <x:v>Rules 8 and 14</x:v>
      </x:c>
      <x:c r="F754" s="33" t="str">
        <x:v>Plastic-waste generator and retailer duties</x:v>
      </x:c>
      <x:c r="G754" s="33" t="str">
        <x:v>Minimise and segregate plastic waste, prevent littering, hand it to the authorised channel and, as retailer, do not provide commodities in non-compliant carry bags/plastic sheets/packaging.</x:v>
      </x:c>
      <x:c r="H754" s="33" t="str">
        <x:v>CORE</x:v>
      </x:c>
      <x:c r="I754" s="33" t="str">
        <x:v>Yes</x:v>
      </x:c>
      <x:c r="J754" s="33" t="str">
        <x:v>P-3 excludes PIBO EPR unless that separate role exists.</x:v>
      </x:c>
    </x:row>
    <x:row r="755">
      <x:c r="A755" s="33" t="str">
        <x:v>PROV294</x:v>
      </x:c>
      <x:c r="B755" s="33" t="str">
        <x:v>LAW102</x:v>
      </x:c>
      <x:c r="C755" s="33"/>
      <x:c r="D755" s="33" t="str">
        <x:v>Statutory</x:v>
      </x:c>
      <x:c r="E755" s="33" t="str">
        <x:v>Rule 5</x:v>
      </x:c>
      <x:c r="F755" s="33" t="str">
        <x:v>Waste-battery consumer duty</x:v>
      </x:c>
      <x:c r="G755" s="33" t="str">
        <x:v>Discard waste batteries separately from other waste and deliver them to an entity engaged in collection, refurbishing or recycling for environmentally sound management.</x:v>
      </x:c>
      <x:c r="H755" s="33" t="str">
        <x:v>CORE</x:v>
      </x:c>
      <x:c r="I755" s="33" t="str">
        <x:v>Yes</x:v>
      </x:c>
      <x:c r="J755" s="33" t="str">
        <x:v>P-3 consumer role only; producer EPR excluded absent producer role.</x:v>
      </x:c>
    </x:row>
    <x:row r="756">
      <x:c r="A756" s="33" t="str">
        <x:v>PROV295</x:v>
      </x:c>
      <x:c r="B756" s="33" t="str">
        <x:v>LAW043</x:v>
      </x:c>
      <x:c r="C756" s="33"/>
      <x:c r="D756" s="33" t="str">
        <x:v>Statutory</x:v>
      </x:c>
      <x:c r="E756" s="33" t="str">
        <x:v>Rule 8; bulk-consumer definition</x:v>
      </x:c>
      <x:c r="F756" s="33" t="str">
        <x:v>E-waste bulk-consumer channelisation</x:v>
      </x:c>
      <x:c r="G756" s="33" t="str">
        <x:v>A bulk consumer using at least 1,000 units of Schedule I EEE in a financial year hands e-waste only to a registered producer, refurbisher or recycler.</x:v>
      </x:c>
      <x:c r="H756" s="33" t="str">
        <x:v>CORE</x:v>
      </x:c>
      <x:c r="I756" s="33" t="str">
        <x:v>Yes</x:v>
      </x:c>
      <x:c r="J756" s="33" t="str">
        <x:v>P-3 threshold/role conditional; no invented annual return.</x:v>
      </x:c>
    </x:row>
    <x:row r="757">
      <x:c r="A757" s="33" t="str">
        <x:v>PROV296</x:v>
      </x:c>
      <x:c r="B757" s="33" t="str">
        <x:v>LAW103</x:v>
      </x:c>
      <x:c r="C757" s="33"/>
      <x:c r="D757" s="33" t="str">
        <x:v>Statutory</x:v>
      </x:c>
      <x:c r="E757" s="33" t="str">
        <x:v>Rules 4, 6, 8 and 19-20</x:v>
      </x:c>
      <x:c r="F757" s="33" t="str">
        <x:v>Hazardous/other-waste occupier authorization, storage and movement</x:v>
      </x:c>
      <x:c r="G757" s="33" t="str">
        <x:v>If scheduled/characterised hazardous or other waste is generated, obtain authorization, manage it safely, observe storage limits and use the prescribed authorised movement/manifest channel.</x:v>
      </x:c>
      <x:c r="H757" s="33" t="str">
        <x:v>CORE</x:v>
      </x:c>
      <x:c r="I757" s="33" t="str">
        <x:v>Yes</x:v>
      </x:c>
      <x:c r="J757" s="33" t="str">
        <x:v>P-3 activity/waste-characterisation conditional.</x:v>
      </x:c>
    </x:row>
    <x:row r="758">
      <x:c r="A758" s="33" t="str">
        <x:v>PROV297</x:v>
      </x:c>
      <x:c r="B758" s="33" t="str">
        <x:v>LAW104</x:v>
      </x:c>
      <x:c r="C758" s="33"/>
      <x:c r="D758" s="33" t="str">
        <x:v>Statutory</x:v>
      </x:c>
      <x:c r="E758" s="33" t="str">
        <x:v>Sections 25-26; current consent/exemption notifications</x:v>
      </x:c>
      <x:c r="F758" s="33" t="str">
        <x:v>Water pollution consent before establishing or discharging</x:v>
      </x:c>
      <x:c r="G758" s="33" t="str">
        <x:v>Obtain the applicable consent before establishing/taking steps for an industry, operation, process or outlet/discharge that remains covered after exemptions and State classification.</x:v>
      </x:c>
      <x:c r="H758" s="33" t="str">
        <x:v>CORE</x:v>
      </x:c>
      <x:c r="I758" s="33" t="str">
        <x:v>Yes</x:v>
      </x:c>
      <x:c r="J758" s="33" t="str">
        <x:v>P-3 does not assume ordinary retail pharmacy is covered.</x:v>
      </x:c>
    </x:row>
    <x:row r="759">
      <x:c r="A759" s="33" t="str">
        <x:v>PROV298</x:v>
      </x:c>
      <x:c r="B759" s="33" t="str">
        <x:v>LAW105</x:v>
      </x:c>
      <x:c r="C759" s="33"/>
      <x:c r="D759" s="33" t="str">
        <x:v>Statutory</x:v>
      </x:c>
      <x:c r="E759" s="33" t="str">
        <x:v>Section 21; current consent/exemption notifications</x:v>
      </x:c>
      <x:c r="F759" s="33" t="str">
        <x:v>Air pollution consent for a covered industrial plant/emission source</x:v>
      </x:c>
      <x:c r="G759" s="33" t="str">
        <x:v>Obtain the applicable consent before establishing/operating a covered industrial plant in a control area after exemptions and State classification.</x:v>
      </x:c>
      <x:c r="H759" s="33" t="str">
        <x:v>CORE</x:v>
      </x:c>
      <x:c r="I759" s="33" t="str">
        <x:v>Yes</x:v>
      </x:c>
      <x:c r="J759" s="33" t="str">
        <x:v>P-3 does not assume ordinary retail pharmacy is covered.</x:v>
      </x:c>
    </x:row>
    <x:row r="760">
      <x:c r="A760" s="33" t="str">
        <x:v>PROV299</x:v>
      </x:c>
      <x:c r="B760" s="33" t="str">
        <x:v>LAW106</x:v>
      </x:c>
      <x:c r="C760" s="33"/>
      <x:c r="D760" s="33" t="str">
        <x:v>Statutory</x:v>
      </x:c>
      <x:c r="E760" s="33" t="str">
        <x:v>Duties of waste generator under the 2025 Rules</x:v>
      </x:c>
      <x:c r="F760" s="33" t="str">
        <x:v>Construction and demolition waste generator duties</x:v>
      </x:c>
      <x:c r="G760" s="33" t="str">
        <x:v>During construction, renovation, demolition or excavation, segregate/store C&amp;D waste and follow the local collection/processing plan and authorised handover requirements.</x:v>
      </x:c>
      <x:c r="H760" s="33" t="str">
        <x:v>CORE</x:v>
      </x:c>
      <x:c r="I760" s="33" t="str">
        <x:v>Yes</x:v>
      </x:c>
      <x:c r="J760" s="33" t="str">
        <x:v>P-3 event/activity conditional; effective 01-04-2026.</x:v>
      </x:c>
    </x:row>
    <x:row r="761">
      <x:c r="A761" s="33" t="str">
        <x:v>PROV300</x:v>
      </x:c>
      <x:c r="B761" s="33" t="str">
        <x:v>LAW034</x:v>
      </x:c>
      <x:c r="C761" s="33"/>
      <x:c r="D761" s="33" t="str">
        <x:v>Statutory</x:v>
      </x:c>
      <x:c r="E761" s="33" t="str">
        <x:v>Code on Wages sections 3 and 5-6; 2026 Rules</x:v>
      </x:c>
      <x:c r="F761" s="33" t="str">
        <x:v>Non-discrimination and minimum-wage floor</x:v>
      </x:c>
      <x:c r="G761" s="33" t="str">
        <x:v>Do not discriminate in wages/recruitment on prohibited gender grounds and pay at least the applicable notified minimum wage.</x:v>
      </x:c>
      <x:c r="H761" s="33" t="str">
        <x:v>CORE</x:v>
      </x:c>
      <x:c r="I761" s="33" t="str">
        <x:v>Yes</x:v>
      </x:c>
      <x:c r="J761" s="33" t="str">
        <x:v>P-3 current Code control; exact wage notification/jurisdiction required.</x:v>
      </x:c>
    </x:row>
    <x:row r="762">
      <x:c r="A762" s="33" t="str">
        <x:v>PROV301</x:v>
      </x:c>
      <x:c r="B762" s="33" t="str">
        <x:v>LAW034</x:v>
      </x:c>
      <x:c r="C762" s="33"/>
      <x:c r="D762" s="33" t="str">
        <x:v>Statutory</x:v>
      </x:c>
      <x:c r="E762" s="33" t="str">
        <x:v>Code on Wages sections 15, 17-18; 2026 Rules</x:v>
      </x:c>
      <x:c r="F762" s="33" t="str">
        <x:v>Wage period, timely payment and permitted deductions</x:v>
      </x:c>
      <x:c r="G762" s="33" t="str">
        <x:v>Fix a permitted wage period, pay within the statutory time and make only authorised deductions within the permitted limits.</x:v>
      </x:c>
      <x:c r="H762" s="33" t="str">
        <x:v>CORE</x:v>
      </x:c>
      <x:c r="I762" s="33" t="str">
        <x:v>Yes</x:v>
      </x:c>
      <x:c r="J762" s="33" t="str">
        <x:v>P-3 current Code control.</x:v>
      </x:c>
    </x:row>
    <x:row r="763">
      <x:c r="A763" s="33" t="str">
        <x:v>PROV302</x:v>
      </x:c>
      <x:c r="B763" s="33" t="str">
        <x:v>LAW109</x:v>
      </x:c>
      <x:c r="C763" s="33"/>
      <x:c r="D763" s="33" t="str">
        <x:v>Statutory</x:v>
      </x:c>
      <x:c r="E763" s="33" t="str">
        <x:v>Code on Wages section 50; Code on Wages (Central) Rules, 2026</x:v>
      </x:c>
      <x:c r="F763" s="33" t="str">
        <x:v>Wage records, wage slips and notices</x:v>
      </x:c>
      <x:c r="G763" s="33" t="str">
        <x:v>Maintain prescribed wage/attendance/deduction/overtime records, issue wage slips and display notices where the Central Rules apply; attach State rules otherwise.</x:v>
      </x:c>
      <x:c r="H763" s="33" t="str">
        <x:v>CORE</x:v>
      </x:c>
      <x:c r="I763" s="33" t="str">
        <x:v>Yes</x:v>
      </x:c>
      <x:c r="J763" s="33" t="str">
        <x:v>P-3 jurisdiction conditional at the rules layer.</x:v>
      </x:c>
    </x:row>
  </x:sheetData>
  <x:pageMargins left="0.7" right="0.7" top="0.75" bottom="0.75" header="0.3" footer="0.3"/>
  <x:tableParts count="1">
    <x:tablePart xmlns:r="http://schemas.openxmlformats.org/officeDocument/2006/relationships" r:id="Rdd292d7d4d904c0d"/>
  </x:tableParts>
</x:worksheet>
</file>

<file path=xl/worksheets/sheet9.xml><?xml version="1.0" encoding="utf-8"?>
<x:worksheet xmlns:x="http://schemas.openxmlformats.org/spreadsheetml/2006/main">
  <x:sheetFormatPr baseColWidth="8" defaultRowHeight="15"/>
  <x:cols>
    <x:col min="1" max="1" width="10" customWidth="1"/>
    <x:col min="2" max="2" width="14" customWidth="1"/>
    <x:col min="3" max="3" width="20" customWidth="1"/>
    <x:col min="4" max="4" width="10" customWidth="1"/>
    <x:col min="5" max="5" width="44" customWidth="1"/>
  </x:cols>
  <x:sheetData>
    <x:row r="1" ht="28" customHeight="1">
      <x:c r="A1" s="31" t="str">
        <x:v>Map ID</x:v>
      </x:c>
      <x:c r="B1" s="31" t="str">
        <x:v>Provision ID</x:v>
      </x:c>
      <x:c r="C1" s="31" t="str">
        <x:v>Compliance Area ID</x:v>
      </x:c>
      <x:c r="D1" s="31" t="str">
        <x:v>Active</x:v>
      </x:c>
      <x:c r="E1" s="31" t="str">
        <x:v>Remarks</x:v>
      </x:c>
    </x:row>
    <x:row r="2">
      <x:c r="A2" s="30" t="str">
        <x:v>PPCM001</x:v>
      </x:c>
      <x:c r="B2" s="30" t="str">
        <x:v>PROV001</x:v>
      </x:c>
      <x:c r="C2" s="30" t="str">
        <x:v>CA015</x:v>
      </x:c>
      <x:c r="D2" s="30" t="str">
        <x:v>Yes</x:v>
      </x:c>
      <x:c r="E2" s="30" t="str">
        <x:v>Sale of prescription medicines.</x:v>
      </x:c>
    </x:row>
    <x:row r="3">
      <x:c r="A3" s="30" t="str">
        <x:v>PPCM002</x:v>
      </x:c>
      <x:c r="B3" s="30" t="str">
        <x:v>PROV001</x:v>
      </x:c>
      <x:c r="C3" s="30" t="str">
        <x:v>CA017</x:v>
      </x:c>
      <x:c r="D3" s="30" t="str">
        <x:v>Yes</x:v>
      </x:c>
      <x:c r="E3" s="30" t="str">
        <x:v>Compliance relating to Schedule drugs.</x:v>
      </x:c>
    </x:row>
    <x:row r="4">
      <x:c r="A4" s="30" t="str">
        <x:v>PPCM003</x:v>
      </x:c>
      <x:c r="B4" s="30" t="str">
        <x:v>PROV002</x:v>
      </x:c>
      <x:c r="C4" s="30" t="str">
        <x:v>CA019</x:v>
      </x:c>
      <x:c r="D4" s="30" t="str">
        <x:v>Yes</x:v>
      </x:c>
      <x:c r="E4" s="30" t="str">
        <x:v>Traceability and statutory records.</x:v>
      </x:c>
    </x:row>
    <x:row r="5">
      <x:c r="A5" s="30" t="str">
        <x:v>PPCM004</x:v>
      </x:c>
      <x:c r="B5" s="30" t="str">
        <x:v>PROV003</x:v>
      </x:c>
      <x:c r="C5" s="30" t="str">
        <x:v>CA019</x:v>
      </x:c>
      <x:c r="D5" s="30" t="str">
        <x:v>Yes</x:v>
      </x:c>
      <x:c r="E5" s="30" t="str">
        <x:v>Maintenance of statutory records.</x:v>
      </x:c>
    </x:row>
    <x:row r="6">
      <x:c r="A6" s="30" t="str">
        <x:v>PPCM005</x:v>
      </x:c>
      <x:c r="B6" s="30" t="str">
        <x:v>PROV003</x:v>
      </x:c>
      <x:c r="C6" s="30" t="str">
        <x:v>CA020</x:v>
      </x:c>
      <x:c r="D6" s="30" t="str">
        <x:v>Yes</x:v>
      </x:c>
      <x:c r="E6" s="30" t="str">
        <x:v>Record retention requirements.</x:v>
      </x:c>
    </x:row>
    <x:row r="7">
      <x:c r="A7" s="30" t="str">
        <x:v>PPCM006</x:v>
      </x:c>
      <x:c r="B7" s="30" t="str">
        <x:v>PROV004</x:v>
      </x:c>
      <x:c r="C7" s="30" t="str">
        <x:v>CA077</x:v>
      </x:c>
      <x:c r="D7" s="30" t="str">
        <x:v>Yes</x:v>
      </x:c>
      <x:c r="E7" s="30" t="str">
        <x:v>Drug Inspector inspection powers.</x:v>
      </x:c>
    </x:row>
    <x:row r="8">
      <x:c r="A8" s="30" t="str">
        <x:v>PPCM007</x:v>
      </x:c>
      <x:c r="B8" s="30" t="str">
        <x:v>PROV005</x:v>
      </x:c>
      <x:c r="C8" s="30" t="str">
        <x:v>CA078</x:v>
      </x:c>
      <x:c r="D8" s="30" t="str">
        <x:v>Yes</x:v>
      </x:c>
      <x:c r="E8" s="30" t="str">
        <x:v>Inspection procedures and sampling.</x:v>
      </x:c>
    </x:row>
    <x:row r="9">
      <x:c r="A9" s="30" t="str">
        <x:v>PPCM008</x:v>
      </x:c>
      <x:c r="B9" s="30" t="str">
        <x:v>PROV006</x:v>
      </x:c>
      <x:c r="C9" s="30" t="str">
        <x:v>CA090</x:v>
      </x:c>
      <x:c r="D9" s="30" t="str">
        <x:v>Yes</x:v>
      </x:c>
      <x:c r="E9" s="30" t="str">
        <x:v>Non-compliance and enforcement actions.</x:v>
      </x:c>
    </x:row>
    <x:row r="10">
      <x:c r="A10" s="30" t="str">
        <x:v>PPCM009</x:v>
      </x:c>
      <x:c r="B10" s="30" t="str">
        <x:v>PROV006</x:v>
      </x:c>
      <x:c r="C10" s="30" t="str">
        <x:v>CA092</x:v>
      </x:c>
      <x:c r="D10" s="30" t="str">
        <x:v>Yes</x:v>
      </x:c>
      <x:c r="E10" s="30" t="str">
        <x:v>Non-conformance management.</x:v>
      </x:c>
    </x:row>
    <x:row r="11">
      <x:c r="A11" s="30" t="str">
        <x:v>PPCM010</x:v>
      </x:c>
      <x:c r="B11" s="30" t="str">
        <x:v>PROV007</x:v>
      </x:c>
      <x:c r="C11" s="30" t="str">
        <x:v>CA023</x:v>
      </x:c>
      <x:c r="D11" s="30" t="str">
        <x:v>Yes</x:v>
      </x:c>
      <x:c r="E11" s="30" t="str">
        <x:v>Cosmetics complaint handling.</x:v>
      </x:c>
    </x:row>
    <x:row r="12">
      <x:c r="A12" s="30" t="str">
        <x:v>PPCM011</x:v>
      </x:c>
      <x:c r="B12" s="30" t="str">
        <x:v>PROV008</x:v>
      </x:c>
      <x:c r="C12" s="30" t="str">
        <x:v>CA019</x:v>
      </x:c>
      <x:c r="D12" s="30" t="str">
        <x:v>Yes</x:v>
      </x:c>
      <x:c r="E12" s="30" t="str">
        <x:v>Information disclosure records.</x:v>
      </x:c>
    </x:row>
    <x:row r="13">
      <x:c r="A13" s="30" t="str">
        <x:v>PPCM012</x:v>
      </x:c>
      <x:c r="B13" s="30" t="str">
        <x:v>PROV009</x:v>
      </x:c>
      <x:c r="C13" s="30" t="str">
        <x:v>CA020</x:v>
      </x:c>
      <x:c r="D13" s="30" t="str">
        <x:v>Yes</x:v>
      </x:c>
      <x:c r="E13" s="30" t="str">
        <x:v>Document preservation obligations.</x:v>
      </x:c>
    </x:row>
    <x:row r="14">
      <x:c r="A14" s="30" t="str">
        <x:v>PPCM013</x:v>
      </x:c>
      <x:c r="B14" s="30" t="str">
        <x:v>PROV010</x:v>
      </x:c>
      <x:c r="C14" s="30" t="str">
        <x:v>CA079</x:v>
      </x:c>
      <x:c r="D14" s="30" t="str">
        <x:v>Yes</x:v>
      </x:c>
      <x:c r="E14" s="30" t="str">
        <x:v>Regulatory proceedings.</x:v>
      </x:c>
    </x:row>
    <x:row r="15">
      <x:c r="A15" s="30" t="str">
        <x:v>PPCM014</x:v>
      </x:c>
      <x:c r="B15" s="30" t="str">
        <x:v>PROV011</x:v>
      </x:c>
      <x:c r="C15" s="30" t="str">
        <x:v>CA002</x:v>
      </x:c>
      <x:c r="D15" s="30" t="str">
        <x:v>Yes</x:v>
      </x:c>
      <x:c r="E15" s="30" t="str">
        <x:v>Drug licence application.</x:v>
      </x:c>
    </x:row>
    <x:row r="16">
      <x:c r="A16" s="30" t="str">
        <x:v>PPCM015</x:v>
      </x:c>
      <x:c r="B16" s="30" t="str">
        <x:v>PROV012</x:v>
      </x:c>
      <x:c r="C16" s="30" t="str">
        <x:v>CA002</x:v>
      </x:c>
      <x:c r="D16" s="30" t="str">
        <x:v>Yes</x:v>
      </x:c>
      <x:c r="E16" s="30" t="str">
        <x:v>Grant of licence.</x:v>
      </x:c>
    </x:row>
    <x:row r="17">
      <x:c r="A17" s="30" t="str">
        <x:v>PPCM016</x:v>
      </x:c>
      <x:c r="B17" s="30" t="str">
        <x:v>PROV013</x:v>
      </x:c>
      <x:c r="C17" s="30" t="str">
        <x:v>CA002</x:v>
      </x:c>
      <x:c r="D17" s="30" t="str">
        <x:v>Yes</x:v>
      </x:c>
      <x:c r="E17" s="30" t="str">
        <x:v>Retail licence conditions.</x:v>
      </x:c>
    </x:row>
    <x:row r="18">
      <x:c r="A18" s="30" t="str">
        <x:v>PPCM017</x:v>
      </x:c>
      <x:c r="B18" s="30" t="str">
        <x:v>PROV014</x:v>
      </x:c>
      <x:c r="C18" s="30" t="str">
        <x:v>CA015</x:v>
      </x:c>
      <x:c r="D18" s="30" t="str">
        <x:v>Yes</x:v>
      </x:c>
      <x:c r="E18" s="30" t="str">
        <x:v>Dispensing of medicines.</x:v>
      </x:c>
    </x:row>
    <x:row r="19">
      <x:c r="A19" s="30" t="str">
        <x:v>PPCM018</x:v>
      </x:c>
      <x:c r="B19" s="30" t="str">
        <x:v>PROV014</x:v>
      </x:c>
      <x:c r="C19" s="30" t="str">
        <x:v>CA017</x:v>
      </x:c>
      <x:c r="D19" s="30" t="str">
        <x:v>Yes</x:v>
      </x:c>
      <x:c r="E19" s="30" t="str">
        <x:v>Controlled drug dispensing.</x:v>
      </x:c>
    </x:row>
    <x:row r="20">
      <x:c r="A20" s="30" t="str">
        <x:v>PPCM019</x:v>
      </x:c>
      <x:c r="B20" s="30" t="str">
        <x:v>PROV014</x:v>
      </x:c>
      <x:c r="C20" s="30" t="str">
        <x:v>CA019</x:v>
      </x:c>
      <x:c r="D20" s="30" t="str">
        <x:v>Yes</x:v>
      </x:c>
      <x:c r="E20" s="30" t="str">
        <x:v>Sale register maintenance.</x:v>
      </x:c>
    </x:row>
    <x:row r="21">
      <x:c r="A21" s="30" t="str">
        <x:v>PPCM020</x:v>
      </x:c>
      <x:c r="B21" s="30" t="str">
        <x:v>PROV014</x:v>
      </x:c>
      <x:c r="C21" s="30" t="str">
        <x:v>CA063</x:v>
      </x:c>
      <x:c r="D21" s="30" t="str">
        <x:v>No</x:v>
      </x:c>
      <x:c r="E21" s="30" t="str">
        <x:v>P-2 retired: display control moved to licence-form conditions and PROV282.</x:v>
      </x:c>
    </x:row>
    <x:row r="22">
      <x:c r="A22" s="30" t="str">
        <x:v>PPCM021</x:v>
      </x:c>
      <x:c r="B22" s="30" t="str">
        <x:v>PROV015</x:v>
      </x:c>
      <x:c r="C22" s="30" t="str">
        <x:v>CA003</x:v>
      </x:c>
      <x:c r="D22" s="30" t="str">
        <x:v>Yes</x:v>
      </x:c>
      <x:c r="E22" s="30" t="str">
        <x:v>Registered pharmacist supervision under Rule 65(1)-(2).</x:v>
      </x:c>
    </x:row>
    <x:row r="23">
      <x:c r="A23" s="30" t="str">
        <x:v>PPCM022</x:v>
      </x:c>
      <x:c r="B23" s="30" t="str">
        <x:v>PROV016</x:v>
      </x:c>
      <x:c r="C23" s="30" t="str">
        <x:v>CA019</x:v>
      </x:c>
      <x:c r="D23" s="30" t="str">
        <x:v>Yes</x:v>
      </x:c>
      <x:c r="E23" s="30" t="str">
        <x:v>Rule 65 prescription/retail/wholesale records.</x:v>
      </x:c>
    </x:row>
    <x:row r="24">
      <x:c r="A24" s="30" t="str">
        <x:v>PPCM023</x:v>
      </x:c>
      <x:c r="B24" s="30" t="str">
        <x:v>PROV017</x:v>
      </x:c>
      <x:c r="C24" s="30" t="str">
        <x:v>CA020</x:v>
      </x:c>
      <x:c r="D24" s="30" t="str">
        <x:v>Yes</x:v>
      </x:c>
      <x:c r="E24" s="30" t="str">
        <x:v>Rule 65 production and retention of records.</x:v>
      </x:c>
    </x:row>
    <x:row r="25">
      <x:c r="A25" s="30" t="str">
        <x:v>PPCM024</x:v>
      </x:c>
      <x:c r="B25" s="30" t="str">
        <x:v>PROV018</x:v>
      </x:c>
      <x:c r="C25" s="30" t="str">
        <x:v>CA067</x:v>
      </x:c>
      <x:c r="D25" s="30" t="str">
        <x:v>Yes</x:v>
      </x:c>
      <x:c r="E25" s="30" t="str">
        <x:v>Labelling compliance.</x:v>
      </x:c>
    </x:row>
    <x:row r="26">
      <x:c r="A26" s="30" t="str">
        <x:v>PPCM025</x:v>
      </x:c>
      <x:c r="B26" s="30" t="str">
        <x:v>PROV018</x:v>
      </x:c>
      <x:c r="C26" s="30" t="str">
        <x:v>CA015</x:v>
      </x:c>
      <x:c r="D26" s="30" t="str">
        <x:v>Yes</x:v>
      </x:c>
      <x:c r="E26" s="30" t="str">
        <x:v>Labelling before dispensing.</x:v>
      </x:c>
    </x:row>
    <x:row r="27">
      <x:c r="A27" s="30" t="str">
        <x:v>PPCM026</x:v>
      </x:c>
      <x:c r="B27" s="30" t="str">
        <x:v>PROV019</x:v>
      </x:c>
      <x:c r="C27" s="30" t="str">
        <x:v>CA067</x:v>
      </x:c>
      <x:c r="D27" s="30" t="str">
        <x:v>Yes</x:v>
      </x:c>
      <x:c r="E27" s="30" t="str">
        <x:v>Rule 95 prohibition on sale unless labelled.</x:v>
      </x:c>
    </x:row>
    <x:row r="28">
      <x:c r="A28" s="30" t="str">
        <x:v>PPCM027</x:v>
      </x:c>
      <x:c r="B28" s="30" t="str">
        <x:v>PROV020</x:v>
      </x:c>
      <x:c r="C28" s="30" t="str">
        <x:v>CA017</x:v>
      </x:c>
      <x:c r="D28" s="30" t="str">
        <x:v>Yes</x:v>
      </x:c>
      <x:c r="E28" s="30" t="str">
        <x:v>Schedule H medicines.</x:v>
      </x:c>
    </x:row>
    <x:row r="29">
      <x:c r="A29" s="30" t="str">
        <x:v>PPCM028</x:v>
      </x:c>
      <x:c r="B29" s="30" t="str">
        <x:v>PROV020</x:v>
      </x:c>
      <x:c r="C29" s="30" t="str">
        <x:v>CA015</x:v>
      </x:c>
      <x:c r="D29" s="30" t="str">
        <x:v>Yes</x:v>
      </x:c>
      <x:c r="E29" s="30" t="str">
        <x:v>Prescription dispensing.</x:v>
      </x:c>
    </x:row>
    <x:row r="30">
      <x:c r="A30" s="30" t="str">
        <x:v>PPCM029</x:v>
      </x:c>
      <x:c r="B30" s="30" t="str">
        <x:v>PROV021</x:v>
      </x:c>
      <x:c r="C30" s="30" t="str">
        <x:v>CA017</x:v>
      </x:c>
      <x:c r="D30" s="30" t="str">
        <x:v>Yes</x:v>
      </x:c>
      <x:c r="E30" s="30" t="str">
        <x:v>Schedule H1 medicines.</x:v>
      </x:c>
    </x:row>
    <x:row r="31">
      <x:c r="A31" s="30" t="str">
        <x:v>PPCM030</x:v>
      </x:c>
      <x:c r="B31" s="30" t="str">
        <x:v>PROV021</x:v>
      </x:c>
      <x:c r="C31" s="30" t="str">
        <x:v>CA019</x:v>
      </x:c>
      <x:c r="D31" s="30" t="str">
        <x:v>Yes</x:v>
      </x:c>
      <x:c r="E31" s="30" t="str">
        <x:v>Schedule H1 register.</x:v>
      </x:c>
    </x:row>
    <x:row r="32">
      <x:c r="A32" s="30" t="str">
        <x:v>PPCM031</x:v>
      </x:c>
      <x:c r="B32" s="30" t="str">
        <x:v>PROV022</x:v>
      </x:c>
      <x:c r="C32" s="30" t="str">
        <x:v>CA027</x:v>
      </x:c>
      <x:c r="D32" s="30" t="str">
        <x:v>Yes</x:v>
      </x:c>
      <x:c r="E32" s="30" t="str">
        <x:v>Schedule X compliance.</x:v>
      </x:c>
    </x:row>
    <x:row r="33">
      <x:c r="A33" s="30" t="str">
        <x:v>PPCM032</x:v>
      </x:c>
      <x:c r="B33" s="30" t="str">
        <x:v>PROV022</x:v>
      </x:c>
      <x:c r="C33" s="30" t="str">
        <x:v>CA028</x:v>
      </x:c>
      <x:c r="D33" s="30" t="str">
        <x:v>Yes</x:v>
      </x:c>
      <x:c r="E33" s="30" t="str">
        <x:v>Schedule X statutory records.</x:v>
      </x:c>
    </x:row>
    <x:row r="34">
      <x:c r="A34" s="30" t="str">
        <x:v>PPCM033</x:v>
      </x:c>
      <x:c r="B34" s="30" t="str">
        <x:v>PROV023</x:v>
      </x:c>
      <x:c r="C34" s="30" t="str">
        <x:v>CA067</x:v>
      </x:c>
      <x:c r="D34" s="30" t="str">
        <x:v>Yes</x:v>
      </x:c>
      <x:c r="E34" s="30" t="str">
        <x:v>Mandatory cautionary labelling.</x:v>
      </x:c>
    </x:row>
    <x:row r="35">
      <x:c r="A35" s="30" t="str">
        <x:v>PPCM034</x:v>
      </x:c>
      <x:c r="B35" s="30" t="str">
        <x:v>PROV024</x:v>
      </x:c>
      <x:c r="C35" s="30" t="str">
        <x:v>CA002</x:v>
      </x:c>
      <x:c r="D35" s="30" t="str">
        <x:v>Yes</x:v>
      </x:c>
      <x:c r="E35" s="30" t="str">
        <x:v>Schedule K exemption applicability control.</x:v>
      </x:c>
    </x:row>
    <x:row r="36">
      <x:c r="A36" s="30" t="str">
        <x:v>PPCM035</x:v>
      </x:c>
      <x:c r="B36" s="30" t="str">
        <x:v>PROV025</x:v>
      </x:c>
      <x:c r="C36" s="30" t="str">
        <x:v>CA067</x:v>
      </x:c>
      <x:c r="D36" s="30" t="str">
        <x:v>Yes</x:v>
      </x:c>
      <x:c r="E36" s="30" t="str">
        <x:v>Packaging declarations.</x:v>
      </x:c>
    </x:row>
    <x:row r="37">
      <x:c r="A37" s="30" t="str">
        <x:v>PPCM036</x:v>
      </x:c>
      <x:c r="B37" s="30" t="str">
        <x:v>PROV025</x:v>
      </x:c>
      <x:c r="C37" s="30" t="str">
        <x:v>CA007</x:v>
      </x:c>
      <x:c r="D37" s="30" t="str">
        <x:v>Yes</x:v>
      </x:c>
      <x:c r="E37" s="30" t="str">
        <x:v>Storage before sale.</x:v>
      </x:c>
    </x:row>
    <x:row r="38">
      <x:c r="A38" s="30" t="str">
        <x:v>PPCM037</x:v>
      </x:c>
      <x:c r="B38" s="30" t="str">
        <x:v>PROV026</x:v>
      </x:c>
      <x:c r="C38" s="30" t="str">
        <x:v>CA003</x:v>
      </x:c>
      <x:c r="D38" s="30" t="str">
        <x:v>Yes</x:v>
      </x:c>
      <x:c r="E38" s="30" t="str">
        <x:v>Pharmacist registration.</x:v>
      </x:c>
    </x:row>
    <x:row r="39">
      <x:c r="A39" s="30" t="str">
        <x:v>PPCM038</x:v>
      </x:c>
      <x:c r="B39" s="30" t="str">
        <x:v>PROV027</x:v>
      </x:c>
      <x:c r="C39" s="30" t="str">
        <x:v>CA003</x:v>
      </x:c>
      <x:c r="D39" s="30" t="str">
        <x:v>Yes</x:v>
      </x:c>
      <x:c r="E39" s="30" t="str">
        <x:v>State register of pharmacists.</x:v>
      </x:c>
    </x:row>
    <x:row r="40">
      <x:c r="A40" s="30" t="str">
        <x:v>PPCM039</x:v>
      </x:c>
      <x:c r="B40" s="30" t="str">
        <x:v>PROV028</x:v>
      </x:c>
      <x:c r="C40" s="30" t="str">
        <x:v>CA003</x:v>
      </x:c>
      <x:c r="D40" s="30" t="str">
        <x:v>Yes</x:v>
      </x:c>
      <x:c r="E40" s="30" t="str">
        <x:v>Registered pharmacist engagement.</x:v>
      </x:c>
    </x:row>
    <x:row r="41">
      <x:c r="A41" s="30" t="str">
        <x:v>PPCM040</x:v>
      </x:c>
      <x:c r="B41" s="30" t="str">
        <x:v>PROV028</x:v>
      </x:c>
      <x:c r="C41" s="30" t="str">
        <x:v>CA015</x:v>
      </x:c>
      <x:c r="D41" s="30" t="str">
        <x:v>Yes</x:v>
      </x:c>
      <x:c r="E41" s="30" t="str">
        <x:v>Dispensing under pharmacist supervision.</x:v>
      </x:c>
    </x:row>
    <x:row r="42">
      <x:c r="A42" s="30" t="str">
        <x:v>PPCM041</x:v>
      </x:c>
      <x:c r="B42" s="30" t="str">
        <x:v>PROV029</x:v>
      </x:c>
      <x:c r="C42" s="30" t="str">
        <x:v>CA049</x:v>
      </x:c>
      <x:c r="D42" s="30" t="str">
        <x:v>Yes</x:v>
      </x:c>
      <x:c r="E42" s="30" t="str">
        <x:v>Professional competency.</x:v>
      </x:c>
    </x:row>
    <x:row r="43">
      <x:c r="A43" s="30" t="str">
        <x:v>PPCM042</x:v>
      </x:c>
      <x:c r="B43" s="30" t="str">
        <x:v>PROV030</x:v>
      </x:c>
      <x:c r="C43" s="30" t="str">
        <x:v>CA049</x:v>
      </x:c>
      <x:c r="D43" s="30" t="str">
        <x:v>Yes</x:v>
      </x:c>
      <x:c r="E43" s="30" t="str">
        <x:v>Continuing professional education.</x:v>
      </x:c>
    </x:row>
    <x:row r="44">
      <x:c r="A44" s="30" t="str">
        <x:v>PPCM043</x:v>
      </x:c>
      <x:c r="B44" s="30" t="str">
        <x:v>PROV031</x:v>
      </x:c>
      <x:c r="C44" s="30" t="str">
        <x:v>CA030</x:v>
      </x:c>
      <x:c r="D44" s="30" t="str">
        <x:v>Yes</x:v>
      </x:c>
      <x:c r="E44" s="30" t="str">
        <x:v>Ceiling price compliance.</x:v>
      </x:c>
    </x:row>
    <x:row r="45">
      <x:c r="A45" s="30" t="str">
        <x:v>PPCM044</x:v>
      </x:c>
      <x:c r="B45" s="30" t="str">
        <x:v>PROV032</x:v>
      </x:c>
      <x:c r="C45" s="30" t="str">
        <x:v>CA031</x:v>
      </x:c>
      <x:c r="D45" s="30" t="str">
        <x:v>Yes</x:v>
      </x:c>
      <x:c r="E45" s="30" t="str">
        <x:v>Retail price calculation.</x:v>
      </x:c>
    </x:row>
    <x:row r="46">
      <x:c r="A46" s="30" t="str">
        <x:v>PPCM045</x:v>
      </x:c>
      <x:c r="B46" s="30" t="str">
        <x:v>PROV033</x:v>
      </x:c>
      <x:c r="C46" s="30" t="str">
        <x:v>CA063</x:v>
      </x:c>
      <x:c r="D46" s="30" t="str">
        <x:v>Yes</x:v>
      </x:c>
      <x:c r="E46" s="30" t="str">
        <x:v>Display of price list.</x:v>
      </x:c>
    </x:row>
    <x:row r="47">
      <x:c r="A47" s="30" t="str">
        <x:v>PPCM046</x:v>
      </x:c>
      <x:c r="B47" s="30" t="str">
        <x:v>PROV034</x:v>
      </x:c>
      <x:c r="C47" s="30" t="str">
        <x:v>CA019</x:v>
      </x:c>
      <x:c r="D47" s="30" t="str">
        <x:v>Yes</x:v>
      </x:c>
      <x:c r="E47" s="30" t="str">
        <x:v>Price records.</x:v>
      </x:c>
    </x:row>
    <x:row r="48">
      <x:c r="A48" s="30" t="str">
        <x:v>PPCM047</x:v>
      </x:c>
      <x:c r="B48" s="30" t="str">
        <x:v>PROV035</x:v>
      </x:c>
      <x:c r="C48" s="30" t="str">
        <x:v>CA084</x:v>
      </x:c>
      <x:c r="D48" s="30" t="str">
        <x:v>Yes</x:v>
      </x:c>
      <x:c r="E48" s="30" t="str">
        <x:v>Regulatory reporting to NPPA.</x:v>
      </x:c>
    </x:row>
    <x:row r="49">
      <x:c r="A49" s="30" t="str">
        <x:v>PPCM048</x:v>
      </x:c>
      <x:c r="B49" s="30" t="str">
        <x:v>PROV036</x:v>
      </x:c>
      <x:c r="C49" s="30" t="str">
        <x:v>CA026</x:v>
      </x:c>
      <x:c r="D49" s="30" t="str">
        <x:v>Yes</x:v>
      </x:c>
      <x:c r="E49" s="30" t="str">
        <x:v>NDPS compliance.</x:v>
      </x:c>
    </x:row>
    <x:row r="50">
      <x:c r="A50" s="30" t="str">
        <x:v>PPCM049</x:v>
      </x:c>
      <x:c r="B50" s="30" t="str">
        <x:v>PROV036</x:v>
      </x:c>
      <x:c r="C50" s="30" t="str">
        <x:v>CA027</x:v>
      </x:c>
      <x:c r="D50" s="30" t="str">
        <x:v>Yes</x:v>
      </x:c>
      <x:c r="E50" s="30" t="str">
        <x:v>Controlled narcotic medicines.</x:v>
      </x:c>
    </x:row>
    <x:row r="51">
      <x:c r="A51" s="30" t="str">
        <x:v>PPCM050</x:v>
      </x:c>
      <x:c r="B51" s="30" t="str">
        <x:v>RPROV001</x:v>
      </x:c>
      <x:c r="C51" s="30" t="str">
        <x:v>CA064</x:v>
      </x:c>
      <x:c r="D51" s="30" t="str">
        <x:v>Yes</x:v>
      </x:c>
      <x:c r="E51" s="30"/>
    </x:row>
    <x:row r="52">
      <x:c r="A52" s="30" t="str">
        <x:v>PPCM051</x:v>
      </x:c>
      <x:c r="B52" s="30" t="str">
        <x:v>RPROV002</x:v>
      </x:c>
      <x:c r="C52" s="30" t="str">
        <x:v>CA033</x:v>
      </x:c>
      <x:c r="D52" s="30" t="str">
        <x:v>Yes</x:v>
      </x:c>
      <x:c r="E52" s="30"/>
    </x:row>
    <x:row r="53">
      <x:c r="A53" s="30" t="str">
        <x:v>PPCM052</x:v>
      </x:c>
      <x:c r="B53" s="30" t="str">
        <x:v>RPROV003</x:v>
      </x:c>
      <x:c r="C53" s="30" t="str">
        <x:v>CA009</x:v>
      </x:c>
      <x:c r="D53" s="30" t="str">
        <x:v>Yes</x:v>
      </x:c>
      <x:c r="E53" s="30"/>
    </x:row>
    <x:row r="54">
      <x:c r="A54" s="30" t="str">
        <x:v>PPCM053</x:v>
      </x:c>
      <x:c r="B54" s="30" t="str">
        <x:v>RPROV004</x:v>
      </x:c>
      <x:c r="C54" s="30" t="str">
        <x:v>CA009</x:v>
      </x:c>
      <x:c r="D54" s="30" t="str">
        <x:v>Yes</x:v>
      </x:c>
      <x:c r="E54" s="30"/>
    </x:row>
    <x:row r="55">
      <x:c r="A55" s="30" t="str">
        <x:v>PPCM054</x:v>
      </x:c>
      <x:c r="B55" s="30" t="str">
        <x:v>RPROV005</x:v>
      </x:c>
      <x:c r="C55" s="30" t="str">
        <x:v>CA012</x:v>
      </x:c>
      <x:c r="D55" s="30" t="str">
        <x:v>Yes</x:v>
      </x:c>
      <x:c r="E55" s="30"/>
    </x:row>
    <x:row r="56">
      <x:c r="A56" s="30" t="str">
        <x:v>PPCM055</x:v>
      </x:c>
      <x:c r="B56" s="30" t="str">
        <x:v>RPROV006</x:v>
      </x:c>
      <x:c r="C56" s="30" t="str">
        <x:v>CA012</x:v>
      </x:c>
      <x:c r="D56" s="30" t="str">
        <x:v>Yes</x:v>
      </x:c>
      <x:c r="E56" s="30"/>
    </x:row>
    <x:row r="57">
      <x:c r="A57" s="30" t="str">
        <x:v>PPCM056</x:v>
      </x:c>
      <x:c r="B57" s="30" t="str">
        <x:v>RPROV007</x:v>
      </x:c>
      <x:c r="C57" s="30" t="str">
        <x:v>CA056</x:v>
      </x:c>
      <x:c r="D57" s="30" t="str">
        <x:v>Yes</x:v>
      </x:c>
      <x:c r="E57" s="30"/>
    </x:row>
    <x:row r="58">
      <x:c r="A58" s="30" t="str">
        <x:v>PPCM057</x:v>
      </x:c>
      <x:c r="B58" s="30" t="str">
        <x:v>RPROV008</x:v>
      </x:c>
      <x:c r="C58" s="30" t="str">
        <x:v>CA018</x:v>
      </x:c>
      <x:c r="D58" s="30" t="str">
        <x:v>Yes</x:v>
      </x:c>
      <x:c r="E58" s="30"/>
    </x:row>
    <x:row r="59">
      <x:c r="A59" s="30" t="str">
        <x:v>PPCM058</x:v>
      </x:c>
      <x:c r="B59" s="30" t="str">
        <x:v>RPROV009</x:v>
      </x:c>
      <x:c r="C59" s="30" t="str">
        <x:v>CA063</x:v>
      </x:c>
      <x:c r="D59" s="30" t="str">
        <x:v>Yes</x:v>
      </x:c>
      <x:c r="E59" s="30"/>
    </x:row>
    <x:row r="60">
      <x:c r="A60" s="30" t="str">
        <x:v>PPCM059</x:v>
      </x:c>
      <x:c r="B60" s="30" t="str">
        <x:v>RPROV010</x:v>
      </x:c>
      <x:c r="C60" s="30" t="str">
        <x:v>CA044</x:v>
      </x:c>
      <x:c r="D60" s="30" t="str">
        <x:v>Yes</x:v>
      </x:c>
      <x:c r="E60" s="30"/>
    </x:row>
    <x:row r="61">
      <x:c r="A61" s="30" t="str">
        <x:v>PPCM060</x:v>
      </x:c>
      <x:c r="B61" s="30" t="str">
        <x:v>RPROV011</x:v>
      </x:c>
      <x:c r="C61" s="30" t="str">
        <x:v>CA028</x:v>
      </x:c>
      <x:c r="D61" s="30" t="str">
        <x:v>Yes</x:v>
      </x:c>
      <x:c r="E61" s="30"/>
    </x:row>
    <x:row r="62">
      <x:c r="A62" s="30" t="str">
        <x:v>PPCM061</x:v>
      </x:c>
      <x:c r="B62" s="30" t="str">
        <x:v>RPROV012</x:v>
      </x:c>
      <x:c r="C62" s="30" t="str">
        <x:v>CA003</x:v>
      </x:c>
      <x:c r="D62" s="30" t="str">
        <x:v>Yes</x:v>
      </x:c>
      <x:c r="E62" s="30"/>
    </x:row>
    <x:row r="63">
      <x:c r="A63" s="30" t="str">
        <x:v>PPCM062</x:v>
      </x:c>
      <x:c r="B63" s="30" t="str">
        <x:v>RPROV013</x:v>
      </x:c>
      <x:c r="C63" s="30" t="str">
        <x:v>CA033</x:v>
      </x:c>
      <x:c r="D63" s="30" t="str">
        <x:v>Yes</x:v>
      </x:c>
      <x:c r="E63" s="30"/>
    </x:row>
    <x:row r="64">
      <x:c r="A64" s="30" t="str">
        <x:v>PPCM063</x:v>
      </x:c>
      <x:c r="B64" s="30" t="str">
        <x:v>RPROV014</x:v>
      </x:c>
      <x:c r="C64" s="30" t="str">
        <x:v>CA077</x:v>
      </x:c>
      <x:c r="D64" s="30" t="str">
        <x:v>Yes</x:v>
      </x:c>
      <x:c r="E64" s="30"/>
    </x:row>
    <x:row r="65">
      <x:c r="A65" s="30" t="str">
        <x:v>PPCM064</x:v>
      </x:c>
      <x:c r="B65" s="30" t="str">
        <x:v>RPROV015</x:v>
      </x:c>
      <x:c r="C65" s="30" t="str">
        <x:v>CA064</x:v>
      </x:c>
      <x:c r="D65" s="30" t="str">
        <x:v>Yes</x:v>
      </x:c>
      <x:c r="E65" s="30"/>
    </x:row>
    <x:row r="66">
      <x:c r="A66" s="30" t="str">
        <x:v>PPCM065</x:v>
      </x:c>
      <x:c r="B66" s="30" t="str">
        <x:v>RPROV016</x:v>
      </x:c>
      <x:c r="C66" s="30" t="str">
        <x:v>CA033</x:v>
      </x:c>
      <x:c r="D66" s="30" t="str">
        <x:v>Yes</x:v>
      </x:c>
      <x:c r="E66" s="30"/>
    </x:row>
    <x:row r="67">
      <x:c r="A67" s="30" t="str">
        <x:v>PPCM066</x:v>
      </x:c>
      <x:c r="B67" s="30" t="str">
        <x:v>RPROV017</x:v>
      </x:c>
      <x:c r="C67" s="30" t="str">
        <x:v>CA020</x:v>
      </x:c>
      <x:c r="D67" s="30" t="str">
        <x:v>Yes</x:v>
      </x:c>
      <x:c r="E67" s="30"/>
    </x:row>
    <x:row r="68">
      <x:c r="A68" s="30" t="str">
        <x:v>PPCM067</x:v>
      </x:c>
      <x:c r="B68" s="30" t="str">
        <x:v>RPROV018</x:v>
      </x:c>
      <x:c r="C68" s="30" t="str">
        <x:v>CA033</x:v>
      </x:c>
      <x:c r="D68" s="30" t="str">
        <x:v>Yes</x:v>
      </x:c>
      <x:c r="E68" s="30"/>
    </x:row>
    <x:row r="69">
      <x:c r="A69" s="30" t="str">
        <x:v>PPCM068</x:v>
      </x:c>
      <x:c r="B69" s="30" t="str">
        <x:v>RPROV019</x:v>
      </x:c>
      <x:c r="C69" s="30" t="str">
        <x:v>CA077</x:v>
      </x:c>
      <x:c r="D69" s="30" t="str">
        <x:v>Yes</x:v>
      </x:c>
      <x:c r="E69" s="30"/>
    </x:row>
    <x:row r="70">
      <x:c r="A70" s="30" t="str">
        <x:v>PPCM069</x:v>
      </x:c>
      <x:c r="B70" s="30" t="str">
        <x:v>RPROV020</x:v>
      </x:c>
      <x:c r="C70" s="30" t="str">
        <x:v>CA087</x:v>
      </x:c>
      <x:c r="D70" s="30" t="str">
        <x:v>Yes</x:v>
      </x:c>
      <x:c r="E70" s="30"/>
    </x:row>
    <x:row r="71">
      <x:c r="A71" s="30" t="str">
        <x:v>PPCM070</x:v>
      </x:c>
      <x:c r="B71" s="30" t="str">
        <x:v>RPROV021</x:v>
      </x:c>
      <x:c r="C71" s="30" t="str">
        <x:v>CA033</x:v>
      </x:c>
      <x:c r="D71" s="30" t="str">
        <x:v>Yes</x:v>
      </x:c>
      <x:c r="E71" s="30"/>
    </x:row>
    <x:row r="72">
      <x:c r="A72" s="30" t="str">
        <x:v>PPCM071</x:v>
      </x:c>
      <x:c r="B72" s="30" t="str">
        <x:v>RPROV022</x:v>
      </x:c>
      <x:c r="C72" s="30" t="str">
        <x:v>CA056</x:v>
      </x:c>
      <x:c r="D72" s="30" t="str">
        <x:v>Yes</x:v>
      </x:c>
      <x:c r="E72" s="30"/>
    </x:row>
    <x:row r="73">
      <x:c r="A73" s="30" t="str">
        <x:v>PPCM072</x:v>
      </x:c>
      <x:c r="B73" s="30" t="str">
        <x:v>RPROV023</x:v>
      </x:c>
      <x:c r="C73" s="30" t="str">
        <x:v>CA033</x:v>
      </x:c>
      <x:c r="D73" s="30" t="str">
        <x:v>Yes</x:v>
      </x:c>
      <x:c r="E73" s="30"/>
    </x:row>
    <x:row r="74">
      <x:c r="A74" s="30" t="str">
        <x:v>PPCM073</x:v>
      </x:c>
      <x:c r="B74" s="30" t="str">
        <x:v>RPROV024</x:v>
      </x:c>
      <x:c r="C74" s="30" t="str">
        <x:v>CA030</x:v>
      </x:c>
      <x:c r="D74" s="30" t="str">
        <x:v>Yes</x:v>
      </x:c>
      <x:c r="E74" s="30"/>
    </x:row>
    <x:row r="75">
      <x:c r="A75" s="30" t="str">
        <x:v>PPCM074</x:v>
      </x:c>
      <x:c r="B75" s="30" t="str">
        <x:v>RPROV025</x:v>
      </x:c>
      <x:c r="C75" s="30" t="str">
        <x:v>CA020</x:v>
      </x:c>
      <x:c r="D75" s="30" t="str">
        <x:v>Yes</x:v>
      </x:c>
      <x:c r="E75" s="30"/>
    </x:row>
    <x:row r="76">
      <x:c r="A76" s="30" t="str">
        <x:v>PPCM075</x:v>
      </x:c>
      <x:c r="B76" s="30" t="str">
        <x:v>RPROV026</x:v>
      </x:c>
      <x:c r="C76" s="30" t="str">
        <x:v>CA033</x:v>
      </x:c>
      <x:c r="D76" s="30" t="str">
        <x:v>Yes</x:v>
      </x:c>
      <x:c r="E76" s="30"/>
    </x:row>
    <x:row r="77">
      <x:c r="A77" s="30" t="str">
        <x:v>PPCM076</x:v>
      </x:c>
      <x:c r="B77" s="30" t="str">
        <x:v>RPROV027</x:v>
      </x:c>
      <x:c r="C77" s="30" t="str">
        <x:v>CA008</x:v>
      </x:c>
      <x:c r="D77" s="30" t="str">
        <x:v>Yes</x:v>
      </x:c>
      <x:c r="E77" s="30"/>
    </x:row>
    <x:row r="78">
      <x:c r="A78" s="30" t="str">
        <x:v>PPCM077</x:v>
      </x:c>
      <x:c r="B78" s="30" t="str">
        <x:v>RPROV028</x:v>
      </x:c>
      <x:c r="C78" s="30" t="str">
        <x:v>CA033</x:v>
      </x:c>
      <x:c r="D78" s="30" t="str">
        <x:v>Yes</x:v>
      </x:c>
      <x:c r="E78" s="30"/>
    </x:row>
    <x:row r="79">
      <x:c r="A79" s="30" t="str">
        <x:v>PPCM078</x:v>
      </x:c>
      <x:c r="B79" s="30" t="str">
        <x:v>RPROV029</x:v>
      </x:c>
      <x:c r="C79" s="30" t="str">
        <x:v>CA098</x:v>
      </x:c>
      <x:c r="D79" s="30" t="str">
        <x:v>Yes</x:v>
      </x:c>
      <x:c r="E79" s="30"/>
    </x:row>
    <x:row r="80">
      <x:c r="A80" s="30" t="str">
        <x:v>PPCM079</x:v>
      </x:c>
      <x:c r="B80" s="30" t="str">
        <x:v>RPROV030</x:v>
      </x:c>
      <x:c r="C80" s="30" t="str">
        <x:v>CA072</x:v>
      </x:c>
      <x:c r="D80" s="30" t="str">
        <x:v>Yes</x:v>
      </x:c>
      <x:c r="E80" s="30"/>
    </x:row>
    <x:row r="81">
      <x:c r="A81" s="30" t="str">
        <x:v>PPCM080</x:v>
      </x:c>
      <x:c r="B81" s="30" t="str">
        <x:v>RPROV031</x:v>
      </x:c>
      <x:c r="C81" s="30" t="str">
        <x:v>CA004</x:v>
      </x:c>
      <x:c r="D81" s="30" t="str">
        <x:v>Yes</x:v>
      </x:c>
      <x:c r="E81" s="30"/>
    </x:row>
    <x:row r="82">
      <x:c r="A82" s="30" t="str">
        <x:v>PPCM081</x:v>
      </x:c>
      <x:c r="B82" s="30" t="str">
        <x:v>RPROV032</x:v>
      </x:c>
      <x:c r="C82" s="30" t="str">
        <x:v>CA044</x:v>
      </x:c>
      <x:c r="D82" s="30" t="str">
        <x:v>Yes</x:v>
      </x:c>
      <x:c r="E82" s="30"/>
    </x:row>
    <x:row r="83">
      <x:c r="A83" s="30" t="str">
        <x:v>PPCM082</x:v>
      </x:c>
      <x:c r="B83" s="30" t="str">
        <x:v>RPROV033</x:v>
      </x:c>
      <x:c r="C83" s="30" t="str">
        <x:v>CA033</x:v>
      </x:c>
      <x:c r="D83" s="30" t="str">
        <x:v>Yes</x:v>
      </x:c>
      <x:c r="E83" s="30"/>
    </x:row>
    <x:row r="84">
      <x:c r="A84" s="30" t="str">
        <x:v>PPCM083</x:v>
      </x:c>
      <x:c r="B84" s="30" t="str">
        <x:v>RPROV034</x:v>
      </x:c>
      <x:c r="C84" s="30" t="str">
        <x:v>CA009</x:v>
      </x:c>
      <x:c r="D84" s="30" t="str">
        <x:v>Yes</x:v>
      </x:c>
      <x:c r="E84" s="30"/>
    </x:row>
    <x:row r="85">
      <x:c r="A85" s="30" t="str">
        <x:v>PPCM084</x:v>
      </x:c>
      <x:c r="B85" s="30" t="str">
        <x:v>RPROV035</x:v>
      </x:c>
      <x:c r="C85" s="30" t="str">
        <x:v>CA063</x:v>
      </x:c>
      <x:c r="D85" s="30" t="str">
        <x:v>Yes</x:v>
      </x:c>
      <x:c r="E85" s="30"/>
    </x:row>
    <x:row r="86">
      <x:c r="A86" s="30" t="str">
        <x:v>PPCM085</x:v>
      </x:c>
      <x:c r="B86" s="30" t="str">
        <x:v>RPROV036</x:v>
      </x:c>
      <x:c r="C86" s="30" t="str">
        <x:v>CA065</x:v>
      </x:c>
      <x:c r="D86" s="30" t="str">
        <x:v>Yes</x:v>
      </x:c>
      <x:c r="E86" s="30"/>
    </x:row>
    <x:row r="87">
      <x:c r="A87" s="30" t="str">
        <x:v>PPCM086</x:v>
      </x:c>
      <x:c r="B87" s="30" t="str">
        <x:v>RPROV037</x:v>
      </x:c>
      <x:c r="C87" s="30" t="str">
        <x:v>CA064</x:v>
      </x:c>
      <x:c r="D87" s="30" t="str">
        <x:v>Yes</x:v>
      </x:c>
      <x:c r="E87" s="30"/>
    </x:row>
    <x:row r="88">
      <x:c r="A88" s="30" t="str">
        <x:v>PPCM087</x:v>
      </x:c>
      <x:c r="B88" s="30" t="str">
        <x:v>RPROV038</x:v>
      </x:c>
      <x:c r="C88" s="30" t="str">
        <x:v>CA044</x:v>
      </x:c>
      <x:c r="D88" s="30" t="str">
        <x:v>Yes</x:v>
      </x:c>
      <x:c r="E88" s="30"/>
    </x:row>
    <x:row r="89">
      <x:c r="A89" s="30" t="str">
        <x:v>PPCM088</x:v>
      </x:c>
      <x:c r="B89" s="30" t="str">
        <x:v>RPROV039</x:v>
      </x:c>
      <x:c r="C89" s="30" t="str">
        <x:v>CA033</x:v>
      </x:c>
      <x:c r="D89" s="30" t="str">
        <x:v>Yes</x:v>
      </x:c>
      <x:c r="E89" s="30"/>
    </x:row>
    <x:row r="90">
      <x:c r="A90" s="30" t="str">
        <x:v>PPCM089</x:v>
      </x:c>
      <x:c r="B90" s="30" t="str">
        <x:v>RPROV040</x:v>
      </x:c>
      <x:c r="C90" s="30" t="str">
        <x:v>CA007</x:v>
      </x:c>
      <x:c r="D90" s="30" t="str">
        <x:v>Yes</x:v>
      </x:c>
      <x:c r="E90" s="30"/>
    </x:row>
    <x:row r="91">
      <x:c r="A91" s="30" t="str">
        <x:v>PPCM090</x:v>
      </x:c>
      <x:c r="B91" s="30" t="str">
        <x:v>RPROV041</x:v>
      </x:c>
      <x:c r="C91" s="30" t="str">
        <x:v>CA042</x:v>
      </x:c>
      <x:c r="D91" s="30" t="str">
        <x:v>Yes</x:v>
      </x:c>
      <x:c r="E91" s="30"/>
    </x:row>
    <x:row r="92">
      <x:c r="A92" s="30" t="str">
        <x:v>PPCM091</x:v>
      </x:c>
      <x:c r="B92" s="30" t="str">
        <x:v>RPROV042</x:v>
      </x:c>
      <x:c r="C92" s="30" t="str">
        <x:v>CA084</x:v>
      </x:c>
      <x:c r="D92" s="30" t="str">
        <x:v>Yes</x:v>
      </x:c>
      <x:c r="E92" s="30"/>
    </x:row>
    <x:row r="93">
      <x:c r="A93" s="30" t="str">
        <x:v>PPCM092</x:v>
      </x:c>
      <x:c r="B93" s="30" t="str">
        <x:v>RPROV043</x:v>
      </x:c>
      <x:c r="C93" s="30" t="str">
        <x:v>CA072</x:v>
      </x:c>
      <x:c r="D93" s="30" t="str">
        <x:v>Yes</x:v>
      </x:c>
      <x:c r="E93" s="30"/>
    </x:row>
    <x:row r="94">
      <x:c r="A94" s="30" t="str">
        <x:v>PPCM093</x:v>
      </x:c>
      <x:c r="B94" s="30" t="str">
        <x:v>RPROV044</x:v>
      </x:c>
      <x:c r="C94" s="30" t="str">
        <x:v>CA056</x:v>
      </x:c>
      <x:c r="D94" s="30" t="str">
        <x:v>Yes</x:v>
      </x:c>
      <x:c r="E94" s="30"/>
    </x:row>
    <x:row r="95">
      <x:c r="A95" s="30" t="str">
        <x:v>PPCM094</x:v>
      </x:c>
      <x:c r="B95" s="30" t="str">
        <x:v>RPROV045</x:v>
      </x:c>
      <x:c r="C95" s="30" t="str">
        <x:v>CA072</x:v>
      </x:c>
      <x:c r="D95" s="30" t="str">
        <x:v>Yes</x:v>
      </x:c>
      <x:c r="E95" s="30"/>
    </x:row>
    <x:row r="96">
      <x:c r="A96" s="30" t="str">
        <x:v>PPCM095</x:v>
      </x:c>
      <x:c r="B96" s="30" t="str">
        <x:v>RPROV046</x:v>
      </x:c>
      <x:c r="C96" s="30" t="str">
        <x:v>CA033</x:v>
      </x:c>
      <x:c r="D96" s="30" t="str">
        <x:v>Yes</x:v>
      </x:c>
      <x:c r="E96" s="30"/>
    </x:row>
    <x:row r="97">
      <x:c r="A97" s="30" t="str">
        <x:v>PPCM096</x:v>
      </x:c>
      <x:c r="B97" s="30" t="str">
        <x:v>RPROV047</x:v>
      </x:c>
      <x:c r="C97" s="30" t="str">
        <x:v>CA084</x:v>
      </x:c>
      <x:c r="D97" s="30" t="str">
        <x:v>Yes</x:v>
      </x:c>
      <x:c r="E97" s="30"/>
    </x:row>
    <x:row r="98">
      <x:c r="A98" s="30" t="str">
        <x:v>PPCM097</x:v>
      </x:c>
      <x:c r="B98" s="30" t="str">
        <x:v>RPROV048</x:v>
      </x:c>
      <x:c r="C98" s="30" t="str">
        <x:v>CA009</x:v>
      </x:c>
      <x:c r="D98" s="30" t="str">
        <x:v>Yes</x:v>
      </x:c>
      <x:c r="E98" s="30"/>
    </x:row>
    <x:row r="99">
      <x:c r="A99" s="30" t="str">
        <x:v>PPCM098</x:v>
      </x:c>
      <x:c r="B99" s="30" t="str">
        <x:v>RPROV049</x:v>
      </x:c>
      <x:c r="C99" s="30" t="str">
        <x:v>CA033</x:v>
      </x:c>
      <x:c r="D99" s="30" t="str">
        <x:v>Yes</x:v>
      </x:c>
      <x:c r="E99" s="30"/>
    </x:row>
    <x:row r="100">
      <x:c r="A100" s="30" t="str">
        <x:v>PPCM099</x:v>
      </x:c>
      <x:c r="B100" s="30" t="str">
        <x:v>RPROV050</x:v>
      </x:c>
      <x:c r="C100" s="30" t="str">
        <x:v>CA014</x:v>
      </x:c>
      <x:c r="D100" s="30" t="str">
        <x:v>Yes</x:v>
      </x:c>
      <x:c r="E100" s="30"/>
    </x:row>
    <x:row r="101">
      <x:c r="A101" s="30" t="str">
        <x:v>PPCM100</x:v>
      </x:c>
      <x:c r="B101" s="30" t="str">
        <x:v>RPROV051</x:v>
      </x:c>
      <x:c r="C101" s="30" t="str">
        <x:v>CA044</x:v>
      </x:c>
      <x:c r="D101" s="30" t="str">
        <x:v>Yes</x:v>
      </x:c>
      <x:c r="E101" s="30"/>
    </x:row>
    <x:row r="102">
      <x:c r="A102" s="30" t="str">
        <x:v>PPCM101</x:v>
      </x:c>
      <x:c r="B102" s="30" t="str">
        <x:v>RPROV052</x:v>
      </x:c>
      <x:c r="C102" s="30" t="str">
        <x:v>CA003</x:v>
      </x:c>
      <x:c r="D102" s="30" t="str">
        <x:v>Yes</x:v>
      </x:c>
      <x:c r="E102" s="30"/>
    </x:row>
    <x:row r="103">
      <x:c r="A103" s="30" t="str">
        <x:v>PPCM102</x:v>
      </x:c>
      <x:c r="B103" s="30" t="str">
        <x:v>RPROV053</x:v>
      </x:c>
      <x:c r="C103" s="30" t="str">
        <x:v>CA072</x:v>
      </x:c>
      <x:c r="D103" s="30" t="str">
        <x:v>Yes</x:v>
      </x:c>
      <x:c r="E103" s="30"/>
    </x:row>
    <x:row r="104">
      <x:c r="A104" s="30" t="str">
        <x:v>PPCM103</x:v>
      </x:c>
      <x:c r="B104" s="30" t="str">
        <x:v>RPROV054</x:v>
      </x:c>
      <x:c r="C104" s="30" t="str">
        <x:v>CA038</x:v>
      </x:c>
      <x:c r="D104" s="30" t="str">
        <x:v>Yes</x:v>
      </x:c>
      <x:c r="E104" s="30"/>
    </x:row>
    <x:row r="105">
      <x:c r="A105" s="30" t="str">
        <x:v>PPCM104</x:v>
      </x:c>
      <x:c r="B105" s="30" t="str">
        <x:v>RPROV055</x:v>
      </x:c>
      <x:c r="C105" s="30" t="str">
        <x:v>CA071</x:v>
      </x:c>
      <x:c r="D105" s="30" t="str">
        <x:v>Yes</x:v>
      </x:c>
      <x:c r="E105" s="30"/>
    </x:row>
    <x:row r="106">
      <x:c r="A106" s="30" t="str">
        <x:v>PPCM105</x:v>
      </x:c>
      <x:c r="B106" s="30" t="str">
        <x:v>RPROV056</x:v>
      </x:c>
      <x:c r="C106" s="30" t="str">
        <x:v>CA033</x:v>
      </x:c>
      <x:c r="D106" s="30" t="str">
        <x:v>Yes</x:v>
      </x:c>
      <x:c r="E106" s="30"/>
    </x:row>
    <x:row r="107">
      <x:c r="A107" s="30" t="str">
        <x:v>PPCM106</x:v>
      </x:c>
      <x:c r="B107" s="30" t="str">
        <x:v>RPROV057</x:v>
      </x:c>
      <x:c r="C107" s="30" t="str">
        <x:v>CA030</x:v>
      </x:c>
      <x:c r="D107" s="30" t="str">
        <x:v>Yes</x:v>
      </x:c>
      <x:c r="E107" s="30"/>
    </x:row>
    <x:row r="108">
      <x:c r="A108" s="30" t="str">
        <x:v>PPCM107</x:v>
      </x:c>
      <x:c r="B108" s="30" t="str">
        <x:v>RPROV058</x:v>
      </x:c>
      <x:c r="C108" s="30" t="str">
        <x:v>CA008</x:v>
      </x:c>
      <x:c r="D108" s="30" t="str">
        <x:v>Yes</x:v>
      </x:c>
      <x:c r="E108" s="30"/>
    </x:row>
    <x:row r="109">
      <x:c r="A109" s="30" t="str">
        <x:v>PPCM108</x:v>
      </x:c>
      <x:c r="B109" s="30" t="str">
        <x:v>RPROV059</x:v>
      </x:c>
      <x:c r="C109" s="30" t="str">
        <x:v>CA033</x:v>
      </x:c>
      <x:c r="D109" s="30" t="str">
        <x:v>Yes</x:v>
      </x:c>
      <x:c r="E109" s="30"/>
    </x:row>
    <x:row r="110">
      <x:c r="A110" s="30" t="str">
        <x:v>PPCM109</x:v>
      </x:c>
      <x:c r="B110" s="30" t="str">
        <x:v>RPROV060</x:v>
      </x:c>
      <x:c r="C110" s="30" t="str">
        <x:v>CA008</x:v>
      </x:c>
      <x:c r="D110" s="30" t="str">
        <x:v>Yes</x:v>
      </x:c>
      <x:c r="E110" s="30"/>
    </x:row>
    <x:row r="111">
      <x:c r="A111" s="30" t="str">
        <x:v>PPCM110</x:v>
      </x:c>
      <x:c r="B111" s="30" t="str">
        <x:v>RPROV061</x:v>
      </x:c>
      <x:c r="C111" s="30" t="str">
        <x:v>CA041</x:v>
      </x:c>
      <x:c r="D111" s="30" t="str">
        <x:v>Yes</x:v>
      </x:c>
      <x:c r="E111" s="30"/>
    </x:row>
    <x:row r="112">
      <x:c r="A112" s="30" t="str">
        <x:v>PPCM111</x:v>
      </x:c>
      <x:c r="B112" s="30" t="str">
        <x:v>RPROV062</x:v>
      </x:c>
      <x:c r="C112" s="30" t="str">
        <x:v>CA010</x:v>
      </x:c>
      <x:c r="D112" s="30" t="str">
        <x:v>Yes</x:v>
      </x:c>
      <x:c r="E112" s="30"/>
    </x:row>
    <x:row r="113">
      <x:c r="A113" s="30" t="str">
        <x:v>PPCM112</x:v>
      </x:c>
      <x:c r="B113" s="30" t="str">
        <x:v>RPROV063</x:v>
      </x:c>
      <x:c r="C113" s="30" t="str">
        <x:v>CA033</x:v>
      </x:c>
      <x:c r="D113" s="30" t="str">
        <x:v>Yes</x:v>
      </x:c>
      <x:c r="E113" s="30"/>
    </x:row>
    <x:row r="114">
      <x:c r="A114" s="30" t="str">
        <x:v>PPCM113</x:v>
      </x:c>
      <x:c r="B114" s="30" t="str">
        <x:v>RPROV064</x:v>
      </x:c>
      <x:c r="C114" s="30" t="str">
        <x:v>CA020</x:v>
      </x:c>
      <x:c r="D114" s="30" t="str">
        <x:v>Yes</x:v>
      </x:c>
      <x:c r="E114" s="30"/>
    </x:row>
    <x:row r="115">
      <x:c r="A115" s="30" t="str">
        <x:v>PPCM114</x:v>
      </x:c>
      <x:c r="B115" s="30" t="str">
        <x:v>RPROV065</x:v>
      </x:c>
      <x:c r="C115" s="30" t="str">
        <x:v>CA064</x:v>
      </x:c>
      <x:c r="D115" s="30" t="str">
        <x:v>Yes</x:v>
      </x:c>
      <x:c r="E115" s="30"/>
    </x:row>
    <x:row r="116">
      <x:c r="A116" s="30" t="str">
        <x:v>PPCM115</x:v>
      </x:c>
      <x:c r="B116" s="30" t="str">
        <x:v>RPROV066</x:v>
      </x:c>
      <x:c r="C116" s="30" t="str">
        <x:v>CA033</x:v>
      </x:c>
      <x:c r="D116" s="30" t="str">
        <x:v>Yes</x:v>
      </x:c>
      <x:c r="E116" s="30"/>
    </x:row>
    <x:row r="117">
      <x:c r="A117" s="30" t="str">
        <x:v>PPCM116</x:v>
      </x:c>
      <x:c r="B117" s="30" t="str">
        <x:v>RPROV067</x:v>
      </x:c>
      <x:c r="C117" s="30" t="str">
        <x:v>CA043</x:v>
      </x:c>
      <x:c r="D117" s="30" t="str">
        <x:v>Yes</x:v>
      </x:c>
      <x:c r="E117" s="30"/>
    </x:row>
    <x:row r="118">
      <x:c r="A118" s="30" t="str">
        <x:v>PPCM117</x:v>
      </x:c>
      <x:c r="B118" s="30" t="str">
        <x:v>RPROV068</x:v>
      </x:c>
      <x:c r="C118" s="30" t="str">
        <x:v>CA044</x:v>
      </x:c>
      <x:c r="D118" s="30" t="str">
        <x:v>Yes</x:v>
      </x:c>
      <x:c r="E118" s="30"/>
    </x:row>
    <x:row r="119">
      <x:c r="A119" s="30" t="str">
        <x:v>PPCM118</x:v>
      </x:c>
      <x:c r="B119" s="30" t="str">
        <x:v>RPROV069</x:v>
      </x:c>
      <x:c r="C119" s="30" t="str">
        <x:v>CA033</x:v>
      </x:c>
      <x:c r="D119" s="30" t="str">
        <x:v>Yes</x:v>
      </x:c>
      <x:c r="E119" s="30"/>
    </x:row>
    <x:row r="120">
      <x:c r="A120" s="30" t="str">
        <x:v>PPCM119</x:v>
      </x:c>
      <x:c r="B120" s="30" t="str">
        <x:v>RPROV070</x:v>
      </x:c>
      <x:c r="C120" s="30" t="str">
        <x:v>CA033</x:v>
      </x:c>
      <x:c r="D120" s="30" t="str">
        <x:v>Yes</x:v>
      </x:c>
      <x:c r="E120" s="30"/>
    </x:row>
    <x:row r="121">
      <x:c r="A121" s="30" t="str">
        <x:v>PPCM120</x:v>
      </x:c>
      <x:c r="B121" s="30" t="str">
        <x:v>RPROV071</x:v>
      </x:c>
      <x:c r="C121" s="30" t="str">
        <x:v>CA041</x:v>
      </x:c>
      <x:c r="D121" s="30" t="str">
        <x:v>Yes</x:v>
      </x:c>
      <x:c r="E121" s="30"/>
    </x:row>
    <x:row r="122">
      <x:c r="A122" s="30" t="str">
        <x:v>PPCM121</x:v>
      </x:c>
      <x:c r="B122" s="30" t="str">
        <x:v>RPROV072</x:v>
      </x:c>
      <x:c r="C122" s="30" t="str">
        <x:v>CA015</x:v>
      </x:c>
      <x:c r="D122" s="30" t="str">
        <x:v>Yes</x:v>
      </x:c>
      <x:c r="E122" s="30"/>
    </x:row>
    <x:row r="123">
      <x:c r="A123" s="30" t="str">
        <x:v>PPCM122</x:v>
      </x:c>
      <x:c r="B123" s="30" t="str">
        <x:v>RPROV073</x:v>
      </x:c>
      <x:c r="C123" s="30" t="str">
        <x:v>CA033</x:v>
      </x:c>
      <x:c r="D123" s="30" t="str">
        <x:v>Yes</x:v>
      </x:c>
      <x:c r="E123" s="30"/>
    </x:row>
    <x:row r="124">
      <x:c r="A124" s="30" t="str">
        <x:v>PPCM123</x:v>
      </x:c>
      <x:c r="B124" s="30" t="str">
        <x:v>RPROV074</x:v>
      </x:c>
      <x:c r="C124" s="30" t="str">
        <x:v>CA020</x:v>
      </x:c>
      <x:c r="D124" s="30" t="str">
        <x:v>Yes</x:v>
      </x:c>
      <x:c r="E124" s="30"/>
    </x:row>
    <x:row r="125">
      <x:c r="A125" s="30" t="str">
        <x:v>PPCM124</x:v>
      </x:c>
      <x:c r="B125" s="30" t="str">
        <x:v>RPROV075</x:v>
      </x:c>
      <x:c r="C125" s="30" t="str">
        <x:v>CA009</x:v>
      </x:c>
      <x:c r="D125" s="30" t="str">
        <x:v>Yes</x:v>
      </x:c>
      <x:c r="E125" s="30"/>
    </x:row>
    <x:row r="126">
      <x:c r="A126" s="30" t="str">
        <x:v>PPCM125</x:v>
      </x:c>
      <x:c r="B126" s="30" t="str">
        <x:v>RPROV076</x:v>
      </x:c>
      <x:c r="C126" s="30" t="str">
        <x:v>CA033</x:v>
      </x:c>
      <x:c r="D126" s="30" t="str">
        <x:v>Yes</x:v>
      </x:c>
      <x:c r="E126" s="30"/>
    </x:row>
    <x:row r="127">
      <x:c r="A127" s="30" t="str">
        <x:v>PPCM126</x:v>
      </x:c>
      <x:c r="B127" s="30" t="str">
        <x:v>RPROV077</x:v>
      </x:c>
      <x:c r="C127" s="30" t="str">
        <x:v>CA005</x:v>
      </x:c>
      <x:c r="D127" s="30" t="str">
        <x:v>Yes</x:v>
      </x:c>
      <x:c r="E127" s="30"/>
    </x:row>
    <x:row r="128">
      <x:c r="A128" s="30" t="str">
        <x:v>PPCM127</x:v>
      </x:c>
      <x:c r="B128" s="30" t="str">
        <x:v>RPROV078</x:v>
      </x:c>
      <x:c r="C128" s="30" t="str">
        <x:v>CA020</x:v>
      </x:c>
      <x:c r="D128" s="30" t="str">
        <x:v>Yes</x:v>
      </x:c>
      <x:c r="E128" s="30"/>
    </x:row>
    <x:row r="129">
      <x:c r="A129" s="30" t="str">
        <x:v>PPCM128</x:v>
      </x:c>
      <x:c r="B129" s="30" t="str">
        <x:v>RPROV079</x:v>
      </x:c>
      <x:c r="C129" s="30" t="str">
        <x:v>CA071</x:v>
      </x:c>
      <x:c r="D129" s="30" t="str">
        <x:v>Yes</x:v>
      </x:c>
      <x:c r="E129" s="30"/>
    </x:row>
    <x:row r="130">
      <x:c r="A130" s="30" t="str">
        <x:v>PPCM129</x:v>
      </x:c>
      <x:c r="B130" s="30" t="str">
        <x:v>RPROV080</x:v>
      </x:c>
      <x:c r="C130" s="30" t="str">
        <x:v>CA008</x:v>
      </x:c>
      <x:c r="D130" s="30" t="str">
        <x:v>Yes</x:v>
      </x:c>
      <x:c r="E130" s="30"/>
    </x:row>
    <x:row r="131">
      <x:c r="A131" s="30" t="str">
        <x:v>PPCM130</x:v>
      </x:c>
      <x:c r="B131" s="30" t="str">
        <x:v>RPROV081</x:v>
      </x:c>
      <x:c r="C131" s="30" t="str">
        <x:v>CA077</x:v>
      </x:c>
      <x:c r="D131" s="30" t="str">
        <x:v>Yes</x:v>
      </x:c>
      <x:c r="E131" s="30"/>
    </x:row>
    <x:row r="132">
      <x:c r="A132" s="30" t="str">
        <x:v>PPCM131</x:v>
      </x:c>
      <x:c r="B132" s="30" t="str">
        <x:v>RPROV082</x:v>
      </x:c>
      <x:c r="C132" s="30" t="str">
        <x:v>CA002</x:v>
      </x:c>
      <x:c r="D132" s="30" t="str">
        <x:v>Yes</x:v>
      </x:c>
      <x:c r="E132" s="30"/>
    </x:row>
    <x:row r="133">
      <x:c r="A133" s="30" t="str">
        <x:v>PPCM132</x:v>
      </x:c>
      <x:c r="B133" s="30" t="str">
        <x:v>RPROV083</x:v>
      </x:c>
      <x:c r="C133" s="30" t="str">
        <x:v>CA034</x:v>
      </x:c>
      <x:c r="D133" s="30" t="str">
        <x:v>Yes</x:v>
      </x:c>
      <x:c r="E133" s="30"/>
    </x:row>
    <x:row r="134">
      <x:c r="A134" s="30" t="str">
        <x:v>PPCM133</x:v>
      </x:c>
      <x:c r="B134" s="30" t="str">
        <x:v>RPROV084</x:v>
      </x:c>
      <x:c r="C134" s="30" t="str">
        <x:v>CA064</x:v>
      </x:c>
      <x:c r="D134" s="30" t="str">
        <x:v>Yes</x:v>
      </x:c>
      <x:c r="E134" s="30"/>
    </x:row>
    <x:row r="135">
      <x:c r="A135" s="30" t="str">
        <x:v>PPCM134</x:v>
      </x:c>
      <x:c r="B135" s="30" t="str">
        <x:v>RPROV085</x:v>
      </x:c>
      <x:c r="C135" s="30" t="str">
        <x:v>CA072</x:v>
      </x:c>
      <x:c r="D135" s="30" t="str">
        <x:v>Yes</x:v>
      </x:c>
      <x:c r="E135" s="30"/>
    </x:row>
    <x:row r="136">
      <x:c r="A136" s="30" t="str">
        <x:v>PPCM135</x:v>
      </x:c>
      <x:c r="B136" s="30" t="str">
        <x:v>RPROV086</x:v>
      </x:c>
      <x:c r="C136" s="30" t="str">
        <x:v>CA035</x:v>
      </x:c>
      <x:c r="D136" s="30" t="str">
        <x:v>Yes</x:v>
      </x:c>
      <x:c r="E136" s="30"/>
    </x:row>
    <x:row r="137">
      <x:c r="A137" s="30" t="str">
        <x:v>PPCM136</x:v>
      </x:c>
      <x:c r="B137" s="30" t="str">
        <x:v>RPROV087</x:v>
      </x:c>
      <x:c r="C137" s="30" t="str">
        <x:v>CA097</x:v>
      </x:c>
      <x:c r="D137" s="30" t="str">
        <x:v>Yes</x:v>
      </x:c>
      <x:c r="E137" s="30"/>
    </x:row>
    <x:row r="138">
      <x:c r="A138" s="30" t="str">
        <x:v>PPCM137</x:v>
      </x:c>
      <x:c r="B138" s="30" t="str">
        <x:v>RPROV088</x:v>
      </x:c>
      <x:c r="C138" s="30" t="str">
        <x:v>CA044</x:v>
      </x:c>
      <x:c r="D138" s="30" t="str">
        <x:v>Yes</x:v>
      </x:c>
      <x:c r="E138" s="30"/>
    </x:row>
    <x:row r="139">
      <x:c r="A139" s="30" t="str">
        <x:v>PPCM138</x:v>
      </x:c>
      <x:c r="B139" s="30" t="str">
        <x:v>RPROV089</x:v>
      </x:c>
      <x:c r="C139" s="30" t="str">
        <x:v>CA033</x:v>
      </x:c>
      <x:c r="D139" s="30" t="str">
        <x:v>Yes</x:v>
      </x:c>
      <x:c r="E139" s="30"/>
    </x:row>
    <x:row r="140">
      <x:c r="A140" s="30" t="str">
        <x:v>PPCM139</x:v>
      </x:c>
      <x:c r="B140" s="30" t="str">
        <x:v>RPROV090</x:v>
      </x:c>
      <x:c r="C140" s="30" t="str">
        <x:v>CA012</x:v>
      </x:c>
      <x:c r="D140" s="30" t="str">
        <x:v>Yes</x:v>
      </x:c>
      <x:c r="E140" s="30"/>
    </x:row>
    <x:row r="141">
      <x:c r="A141" s="30" t="str">
        <x:v>PPCM140</x:v>
      </x:c>
      <x:c r="B141" s="30" t="str">
        <x:v>RPROV091</x:v>
      </x:c>
      <x:c r="C141" s="30" t="str">
        <x:v>CA043</x:v>
      </x:c>
      <x:c r="D141" s="30" t="str">
        <x:v>Yes</x:v>
      </x:c>
      <x:c r="E141" s="30"/>
    </x:row>
    <x:row r="142">
      <x:c r="A142" s="30" t="str">
        <x:v>PPCM141</x:v>
      </x:c>
      <x:c r="B142" s="30" t="str">
        <x:v>RPROV092</x:v>
      </x:c>
      <x:c r="C142" s="30" t="str">
        <x:v>CA003</x:v>
      </x:c>
      <x:c r="D142" s="30" t="str">
        <x:v>Yes</x:v>
      </x:c>
      <x:c r="E142" s="30"/>
    </x:row>
    <x:row r="143">
      <x:c r="A143" s="30" t="str">
        <x:v>PPCM142</x:v>
      </x:c>
      <x:c r="B143" s="30" t="str">
        <x:v>RPROV093</x:v>
      </x:c>
      <x:c r="C143" s="30" t="str">
        <x:v>CA033</x:v>
      </x:c>
      <x:c r="D143" s="30" t="str">
        <x:v>Yes</x:v>
      </x:c>
      <x:c r="E143" s="30"/>
    </x:row>
    <x:row r="144">
      <x:c r="A144" s="30" t="str">
        <x:v>PPCM143</x:v>
      </x:c>
      <x:c r="B144" s="30" t="str">
        <x:v>RPROV094</x:v>
      </x:c>
      <x:c r="C144" s="30" t="str">
        <x:v>CA064</x:v>
      </x:c>
      <x:c r="D144" s="30" t="str">
        <x:v>Yes</x:v>
      </x:c>
      <x:c r="E144" s="30"/>
    </x:row>
    <x:row r="145">
      <x:c r="A145" s="30" t="str">
        <x:v>PPCM144</x:v>
      </x:c>
      <x:c r="B145" s="30" t="str">
        <x:v>RPROV095</x:v>
      </x:c>
      <x:c r="C145" s="30" t="str">
        <x:v>CA083</x:v>
      </x:c>
      <x:c r="D145" s="30" t="str">
        <x:v>Yes</x:v>
      </x:c>
      <x:c r="E145" s="30"/>
    </x:row>
    <x:row r="146">
      <x:c r="A146" s="30" t="str">
        <x:v>PPCM145</x:v>
      </x:c>
      <x:c r="B146" s="30" t="str">
        <x:v>RPROV096</x:v>
      </x:c>
      <x:c r="C146" s="30" t="str">
        <x:v>CA007</x:v>
      </x:c>
      <x:c r="D146" s="30" t="str">
        <x:v>Yes</x:v>
      </x:c>
      <x:c r="E146" s="30"/>
    </x:row>
    <x:row r="147">
      <x:c r="A147" s="30" t="str">
        <x:v>PPCM146</x:v>
      </x:c>
      <x:c r="B147" s="30" t="str">
        <x:v>RPROV097</x:v>
      </x:c>
      <x:c r="C147" s="30" t="str">
        <x:v>CA083</x:v>
      </x:c>
      <x:c r="D147" s="30" t="str">
        <x:v>Yes</x:v>
      </x:c>
      <x:c r="E147" s="30"/>
    </x:row>
    <x:row r="148">
      <x:c r="A148" s="30" t="str">
        <x:v>PPCM147</x:v>
      </x:c>
      <x:c r="B148" s="30" t="str">
        <x:v>RPROV098</x:v>
      </x:c>
      <x:c r="C148" s="30" t="str">
        <x:v>CA009</x:v>
      </x:c>
      <x:c r="D148" s="30" t="str">
        <x:v>Yes</x:v>
      </x:c>
      <x:c r="E148" s="30"/>
    </x:row>
    <x:row r="149">
      <x:c r="A149" s="30" t="str">
        <x:v>PPCM148</x:v>
      </x:c>
      <x:c r="B149" s="30" t="str">
        <x:v>RPROV099</x:v>
      </x:c>
      <x:c r="C149" s="30" t="str">
        <x:v>CA018</x:v>
      </x:c>
      <x:c r="D149" s="30" t="str">
        <x:v>Yes</x:v>
      </x:c>
      <x:c r="E149" s="30"/>
    </x:row>
    <x:row r="150">
      <x:c r="A150" s="30" t="str">
        <x:v>PPCM149</x:v>
      </x:c>
      <x:c r="B150" s="30" t="str">
        <x:v>RPROV100</x:v>
      </x:c>
      <x:c r="C150" s="30" t="str">
        <x:v>CA033</x:v>
      </x:c>
      <x:c r="D150" s="30" t="str">
        <x:v>Yes</x:v>
      </x:c>
      <x:c r="E150" s="30"/>
    </x:row>
    <x:row r="151">
      <x:c r="A151" s="30" t="str">
        <x:v>PPCM150</x:v>
      </x:c>
      <x:c r="B151" s="30" t="str">
        <x:v>RPROV101</x:v>
      </x:c>
      <x:c r="C151" s="30" t="str">
        <x:v>CA040</x:v>
      </x:c>
      <x:c r="D151" s="30" t="str">
        <x:v>Yes</x:v>
      </x:c>
      <x:c r="E151" s="30"/>
    </x:row>
    <x:row r="152">
      <x:c r="A152" s="30" t="str">
        <x:v>PPCM151</x:v>
      </x:c>
      <x:c r="B152" s="30" t="str">
        <x:v>RPROV102</x:v>
      </x:c>
      <x:c r="C152" s="30" t="str">
        <x:v>CA049</x:v>
      </x:c>
      <x:c r="D152" s="30" t="str">
        <x:v>Yes</x:v>
      </x:c>
      <x:c r="E152" s="30"/>
    </x:row>
    <x:row r="153">
      <x:c r="A153" s="30" t="str">
        <x:v>PPCM152</x:v>
      </x:c>
      <x:c r="B153" s="30" t="str">
        <x:v>RPROV103</x:v>
      </x:c>
      <x:c r="C153" s="30" t="str">
        <x:v>CA033</x:v>
      </x:c>
      <x:c r="D153" s="30" t="str">
        <x:v>Yes</x:v>
      </x:c>
      <x:c r="E153" s="30"/>
    </x:row>
    <x:row r="154">
      <x:c r="A154" s="30" t="str">
        <x:v>PPCM153</x:v>
      </x:c>
      <x:c r="B154" s="30" t="str">
        <x:v>RPROV104</x:v>
      </x:c>
      <x:c r="C154" s="30" t="str">
        <x:v>CA056</x:v>
      </x:c>
      <x:c r="D154" s="30" t="str">
        <x:v>Yes</x:v>
      </x:c>
      <x:c r="E154" s="30"/>
    </x:row>
    <x:row r="155">
      <x:c r="A155" s="30" t="str">
        <x:v>PPCM154</x:v>
      </x:c>
      <x:c r="B155" s="30" t="str">
        <x:v>RPROV105</x:v>
      </x:c>
      <x:c r="C155" s="30" t="str">
        <x:v>CA072</x:v>
      </x:c>
      <x:c r="D155" s="30" t="str">
        <x:v>Yes</x:v>
      </x:c>
      <x:c r="E155" s="30"/>
    </x:row>
    <x:row r="156">
      <x:c r="A156" s="30" t="str">
        <x:v>PPCM155</x:v>
      </x:c>
      <x:c r="B156" s="30" t="str">
        <x:v>RPROV106</x:v>
      </x:c>
      <x:c r="C156" s="30" t="str">
        <x:v>CA033</x:v>
      </x:c>
      <x:c r="D156" s="30" t="str">
        <x:v>Yes</x:v>
      </x:c>
      <x:c r="E156" s="30"/>
    </x:row>
    <x:row r="157">
      <x:c r="A157" s="30" t="str">
        <x:v>PPCM156</x:v>
      </x:c>
      <x:c r="B157" s="30" t="str">
        <x:v>RPROV107</x:v>
      </x:c>
      <x:c r="C157" s="30" t="str">
        <x:v>CA096</x:v>
      </x:c>
      <x:c r="D157" s="30" t="str">
        <x:v>Yes</x:v>
      </x:c>
      <x:c r="E157" s="30"/>
    </x:row>
    <x:row r="158">
      <x:c r="A158" s="30" t="str">
        <x:v>PPCM157</x:v>
      </x:c>
      <x:c r="B158" s="30" t="str">
        <x:v>RPROV108</x:v>
      </x:c>
      <x:c r="C158" s="30" t="str">
        <x:v>CA009</x:v>
      </x:c>
      <x:c r="D158" s="30" t="str">
        <x:v>Yes</x:v>
      </x:c>
      <x:c r="E158" s="30"/>
    </x:row>
    <x:row r="159">
      <x:c r="A159" s="30" t="str">
        <x:v>PPCM158</x:v>
      </x:c>
      <x:c r="B159" s="30" t="str">
        <x:v>RPROV109</x:v>
      </x:c>
      <x:c r="C159" s="30" t="str">
        <x:v>CA033</x:v>
      </x:c>
      <x:c r="D159" s="30" t="str">
        <x:v>Yes</x:v>
      </x:c>
      <x:c r="E159" s="30"/>
    </x:row>
    <x:row r="160">
      <x:c r="A160" s="30" t="str">
        <x:v>PPCM159</x:v>
      </x:c>
      <x:c r="B160" s="30" t="str">
        <x:v>RPROV110</x:v>
      </x:c>
      <x:c r="C160" s="30" t="str">
        <x:v>CA018</x:v>
      </x:c>
      <x:c r="D160" s="30" t="str">
        <x:v>Yes</x:v>
      </x:c>
      <x:c r="E160" s="30"/>
    </x:row>
    <x:row r="161">
      <x:c r="A161" s="30" t="str">
        <x:v>PPCM160</x:v>
      </x:c>
      <x:c r="B161" s="30" t="str">
        <x:v>RPROV111</x:v>
      </x:c>
      <x:c r="C161" s="30" t="str">
        <x:v>CA040</x:v>
      </x:c>
      <x:c r="D161" s="30" t="str">
        <x:v>Yes</x:v>
      </x:c>
      <x:c r="E161" s="30"/>
    </x:row>
    <x:row r="162">
      <x:c r="A162" s="30" t="str">
        <x:v>PPCM161</x:v>
      </x:c>
      <x:c r="B162" s="30" t="str">
        <x:v>RPROV112</x:v>
      </x:c>
      <x:c r="C162" s="30" t="str">
        <x:v>CA021</x:v>
      </x:c>
      <x:c r="D162" s="30" t="str">
        <x:v>Yes</x:v>
      </x:c>
      <x:c r="E162" s="30"/>
    </x:row>
    <x:row r="163">
      <x:c r="A163" s="30" t="str">
        <x:v>PPCM162</x:v>
      </x:c>
      <x:c r="B163" s="30" t="str">
        <x:v>RPROV113</x:v>
      </x:c>
      <x:c r="C163" s="30" t="str">
        <x:v>CA072</x:v>
      </x:c>
      <x:c r="D163" s="30" t="str">
        <x:v>Yes</x:v>
      </x:c>
      <x:c r="E163" s="30"/>
    </x:row>
    <x:row r="164">
      <x:c r="A164" s="30" t="str">
        <x:v>PPCM163</x:v>
      </x:c>
      <x:c r="B164" s="30" t="str">
        <x:v>RPROV114</x:v>
      </x:c>
      <x:c r="C164" s="30" t="str">
        <x:v>CA056</x:v>
      </x:c>
      <x:c r="D164" s="30" t="str">
        <x:v>Yes</x:v>
      </x:c>
      <x:c r="E164" s="30"/>
    </x:row>
    <x:row r="165">
      <x:c r="A165" s="30" t="str">
        <x:v>PPCM164</x:v>
      </x:c>
      <x:c r="B165" s="30" t="str">
        <x:v>RPROV115</x:v>
      </x:c>
      <x:c r="C165" s="30" t="str">
        <x:v>CA072</x:v>
      </x:c>
      <x:c r="D165" s="30" t="str">
        <x:v>Yes</x:v>
      </x:c>
      <x:c r="E165" s="30"/>
    </x:row>
    <x:row r="166">
      <x:c r="A166" s="30" t="str">
        <x:v>PPCM165</x:v>
      </x:c>
      <x:c r="B166" s="30" t="str">
        <x:v>RPROV116</x:v>
      </x:c>
      <x:c r="C166" s="30" t="str">
        <x:v>CA033</x:v>
      </x:c>
      <x:c r="D166" s="30" t="str">
        <x:v>Yes</x:v>
      </x:c>
      <x:c r="E166" s="30"/>
    </x:row>
    <x:row r="167">
      <x:c r="A167" s="30" t="str">
        <x:v>PPCM166</x:v>
      </x:c>
      <x:c r="B167" s="30" t="str">
        <x:v>RPROV117</x:v>
      </x:c>
      <x:c r="C167" s="30" t="str">
        <x:v>CA099</x:v>
      </x:c>
      <x:c r="D167" s="30" t="str">
        <x:v>Yes</x:v>
      </x:c>
      <x:c r="E167" s="30"/>
    </x:row>
    <x:row r="168">
      <x:c r="A168" s="30" t="str">
        <x:v>PPCM167</x:v>
      </x:c>
      <x:c r="B168" s="30" t="str">
        <x:v>RPROV118</x:v>
      </x:c>
      <x:c r="C168" s="30" t="str">
        <x:v>CA009</x:v>
      </x:c>
      <x:c r="D168" s="30" t="str">
        <x:v>Yes</x:v>
      </x:c>
      <x:c r="E168" s="30"/>
    </x:row>
    <x:row r="169">
      <x:c r="A169" s="30" t="str">
        <x:v>PPCM168</x:v>
      </x:c>
      <x:c r="B169" s="30" t="str">
        <x:v>RPROV119</x:v>
      </x:c>
      <x:c r="C169" s="30" t="str">
        <x:v>CA033</x:v>
      </x:c>
      <x:c r="D169" s="30" t="str">
        <x:v>Yes</x:v>
      </x:c>
      <x:c r="E169" s="30"/>
    </x:row>
    <x:row r="170">
      <x:c r="A170" s="30" t="str">
        <x:v>PPCM169</x:v>
      </x:c>
      <x:c r="B170" s="30" t="str">
        <x:v>RPROV120</x:v>
      </x:c>
      <x:c r="C170" s="30" t="str">
        <x:v>CA033</x:v>
      </x:c>
      <x:c r="D170" s="30" t="str">
        <x:v>Yes</x:v>
      </x:c>
      <x:c r="E170" s="30"/>
    </x:row>
    <x:row r="171">
      <x:c r="A171" s="30" t="str">
        <x:v>PPCM170</x:v>
      </x:c>
      <x:c r="B171" s="30" t="str">
        <x:v>RPROV121</x:v>
      </x:c>
      <x:c r="C171" s="30" t="str">
        <x:v>CA063</x:v>
      </x:c>
      <x:c r="D171" s="30" t="str">
        <x:v>Yes</x:v>
      </x:c>
      <x:c r="E171" s="30"/>
    </x:row>
    <x:row r="172">
      <x:c r="A172" s="30" t="str">
        <x:v>PPCM171</x:v>
      </x:c>
      <x:c r="B172" s="30" t="str">
        <x:v>RPROV122</x:v>
      </x:c>
      <x:c r="C172" s="30" t="str">
        <x:v>CA071</x:v>
      </x:c>
      <x:c r="D172" s="30" t="str">
        <x:v>Yes</x:v>
      </x:c>
      <x:c r="E172" s="30"/>
    </x:row>
    <x:row r="173">
      <x:c r="A173" s="30" t="str">
        <x:v>PPCM172</x:v>
      </x:c>
      <x:c r="B173" s="30" t="str">
        <x:v>RPROV123</x:v>
      </x:c>
      <x:c r="C173" s="30" t="str">
        <x:v>CA033</x:v>
      </x:c>
      <x:c r="D173" s="30" t="str">
        <x:v>Yes</x:v>
      </x:c>
      <x:c r="E173" s="30"/>
    </x:row>
    <x:row r="174">
      <x:c r="A174" s="30" t="str">
        <x:v>PPCM173</x:v>
      </x:c>
      <x:c r="B174" s="30" t="str">
        <x:v>RPROV124</x:v>
      </x:c>
      <x:c r="C174" s="30" t="str">
        <x:v>CA038</x:v>
      </x:c>
      <x:c r="D174" s="30" t="str">
        <x:v>Yes</x:v>
      </x:c>
      <x:c r="E174" s="30"/>
    </x:row>
    <x:row r="175">
      <x:c r="A175" s="30" t="str">
        <x:v>PPCM174</x:v>
      </x:c>
      <x:c r="B175" s="30" t="str">
        <x:v>RPROV125</x:v>
      </x:c>
      <x:c r="C175" s="30" t="str">
        <x:v>CA071</x:v>
      </x:c>
      <x:c r="D175" s="30" t="str">
        <x:v>Yes</x:v>
      </x:c>
      <x:c r="E175" s="30"/>
    </x:row>
    <x:row r="176">
      <x:c r="A176" s="30" t="str">
        <x:v>PPCM175</x:v>
      </x:c>
      <x:c r="B176" s="30" t="str">
        <x:v>RPROV126</x:v>
      </x:c>
      <x:c r="C176" s="30" t="str">
        <x:v>CA033</x:v>
      </x:c>
      <x:c r="D176" s="30" t="str">
        <x:v>Yes</x:v>
      </x:c>
      <x:c r="E176" s="30"/>
    </x:row>
    <x:row r="177">
      <x:c r="A177" s="30" t="str">
        <x:v>PPCM176</x:v>
      </x:c>
      <x:c r="B177" s="30" t="str">
        <x:v>RPROV127</x:v>
      </x:c>
      <x:c r="C177" s="30" t="str">
        <x:v>CA100</x:v>
      </x:c>
      <x:c r="D177" s="30" t="str">
        <x:v>Yes</x:v>
      </x:c>
      <x:c r="E177" s="30"/>
    </x:row>
    <x:row r="178">
      <x:c r="A178" s="30" t="str">
        <x:v>PPCM177</x:v>
      </x:c>
      <x:c r="B178" s="30" t="str">
        <x:v>RPROV128</x:v>
      </x:c>
      <x:c r="C178" s="30" t="str">
        <x:v>CA009</x:v>
      </x:c>
      <x:c r="D178" s="30" t="str">
        <x:v>Yes</x:v>
      </x:c>
      <x:c r="E178" s="30"/>
    </x:row>
    <x:row r="179">
      <x:c r="A179" s="30" t="str">
        <x:v>PPCM178</x:v>
      </x:c>
      <x:c r="B179" s="30" t="str">
        <x:v>RPROV129</x:v>
      </x:c>
      <x:c r="C179" s="30" t="str">
        <x:v>CA033</x:v>
      </x:c>
      <x:c r="D179" s="30" t="str">
        <x:v>Yes</x:v>
      </x:c>
      <x:c r="E179" s="30"/>
    </x:row>
    <x:row r="180">
      <x:c r="A180" s="30" t="str">
        <x:v>PPCM179</x:v>
      </x:c>
      <x:c r="B180" s="30" t="str">
        <x:v>RPROV130</x:v>
      </x:c>
      <x:c r="C180" s="30" t="str">
        <x:v>CA033</x:v>
      </x:c>
      <x:c r="D180" s="30" t="str">
        <x:v>Yes</x:v>
      </x:c>
      <x:c r="E180" s="30"/>
    </x:row>
    <x:row r="181">
      <x:c r="A181" s="30" t="str">
        <x:v>PPCM180</x:v>
      </x:c>
      <x:c r="B181" s="30" t="str">
        <x:v>RPROV131</x:v>
      </x:c>
      <x:c r="C181" s="30" t="str">
        <x:v>CA005</x:v>
      </x:c>
      <x:c r="D181" s="30" t="str">
        <x:v>Yes</x:v>
      </x:c>
      <x:c r="E181" s="30"/>
    </x:row>
    <x:row r="182">
      <x:c r="A182" s="30" t="str">
        <x:v>PPCM181</x:v>
      </x:c>
      <x:c r="B182" s="30" t="str">
        <x:v>RPROV132</x:v>
      </x:c>
      <x:c r="C182" s="30" t="str">
        <x:v>CA049</x:v>
      </x:c>
      <x:c r="D182" s="30" t="str">
        <x:v>Yes</x:v>
      </x:c>
      <x:c r="E182" s="30"/>
    </x:row>
    <x:row r="183">
      <x:c r="A183" s="30" t="str">
        <x:v>PPCM182</x:v>
      </x:c>
      <x:c r="B183" s="30" t="str">
        <x:v>RPROV133</x:v>
      </x:c>
      <x:c r="C183" s="30" t="str">
        <x:v>CA033</x:v>
      </x:c>
      <x:c r="D183" s="30" t="str">
        <x:v>Yes</x:v>
      </x:c>
      <x:c r="E183" s="30"/>
    </x:row>
    <x:row r="184">
      <x:c r="A184" s="30" t="str">
        <x:v>PPCM183</x:v>
      </x:c>
      <x:c r="B184" s="30" t="str">
        <x:v>RPROV134</x:v>
      </x:c>
      <x:c r="C184" s="30" t="str">
        <x:v>CA043</x:v>
      </x:c>
      <x:c r="D184" s="30" t="str">
        <x:v>Yes</x:v>
      </x:c>
      <x:c r="E184" s="30"/>
    </x:row>
    <x:row r="185">
      <x:c r="A185" s="30" t="str">
        <x:v>PPCM184</x:v>
      </x:c>
      <x:c r="B185" s="30" t="str">
        <x:v>RPROV135</x:v>
      </x:c>
      <x:c r="C185" s="30" t="str">
        <x:v>CA071</x:v>
      </x:c>
      <x:c r="D185" s="30" t="str">
        <x:v>Yes</x:v>
      </x:c>
      <x:c r="E185" s="30"/>
    </x:row>
    <x:row r="186">
      <x:c r="A186" s="30" t="str">
        <x:v>PPCM185</x:v>
      </x:c>
      <x:c r="B186" s="30" t="str">
        <x:v>RPROV136</x:v>
      </x:c>
      <x:c r="C186" s="30" t="str">
        <x:v>CA033</x:v>
      </x:c>
      <x:c r="D186" s="30" t="str">
        <x:v>Yes</x:v>
      </x:c>
      <x:c r="E186" s="30"/>
    </x:row>
    <x:row r="187">
      <x:c r="A187" s="30" t="str">
        <x:v>PPCM186</x:v>
      </x:c>
      <x:c r="B187" s="30" t="str">
        <x:v>RPROV137</x:v>
      </x:c>
      <x:c r="C187" s="30" t="str">
        <x:v>CA088</x:v>
      </x:c>
      <x:c r="D187" s="30" t="str">
        <x:v>Yes</x:v>
      </x:c>
      <x:c r="E187" s="30"/>
    </x:row>
    <x:row r="188">
      <x:c r="A188" s="30" t="str">
        <x:v>PPCM187</x:v>
      </x:c>
      <x:c r="B188" s="30" t="str">
        <x:v>RPROV138</x:v>
      </x:c>
      <x:c r="C188" s="30" t="str">
        <x:v>CA009</x:v>
      </x:c>
      <x:c r="D188" s="30" t="str">
        <x:v>Yes</x:v>
      </x:c>
      <x:c r="E188" s="30"/>
    </x:row>
    <x:row r="189">
      <x:c r="A189" s="30" t="str">
        <x:v>PPCM188</x:v>
      </x:c>
      <x:c r="B189" s="30" t="str">
        <x:v>RPROV139</x:v>
      </x:c>
      <x:c r="C189" s="30" t="str">
        <x:v>CA033</x:v>
      </x:c>
      <x:c r="D189" s="30" t="str">
        <x:v>Yes</x:v>
      </x:c>
      <x:c r="E189" s="30"/>
    </x:row>
    <x:row r="190">
      <x:c r="A190" s="30" t="str">
        <x:v>PPCM189</x:v>
      </x:c>
      <x:c r="B190" s="30" t="str">
        <x:v>RPROV140</x:v>
      </x:c>
      <x:c r="C190" s="30" t="str">
        <x:v>CA012</x:v>
      </x:c>
      <x:c r="D190" s="30" t="str">
        <x:v>Yes</x:v>
      </x:c>
      <x:c r="E190" s="30"/>
    </x:row>
    <x:row r="191">
      <x:c r="A191" s="30" t="str">
        <x:v>PPCM190</x:v>
      </x:c>
      <x:c r="B191" s="30" t="str">
        <x:v>RPROV141</x:v>
      </x:c>
      <x:c r="C191" s="30" t="str">
        <x:v>CA064</x:v>
      </x:c>
      <x:c r="D191" s="30" t="str">
        <x:v>Yes</x:v>
      </x:c>
      <x:c r="E191" s="30"/>
    </x:row>
    <x:row r="192">
      <x:c r="A192" s="30" t="str">
        <x:v>PPCM191</x:v>
      </x:c>
      <x:c r="B192" s="30" t="str">
        <x:v>RPROV142</x:v>
      </x:c>
      <x:c r="C192" s="30" t="str">
        <x:v>CA021</x:v>
      </x:c>
      <x:c r="D192" s="30" t="str">
        <x:v>Yes</x:v>
      </x:c>
      <x:c r="E192" s="30"/>
    </x:row>
    <x:row r="193">
      <x:c r="A193" s="30" t="str">
        <x:v>PPCM192</x:v>
      </x:c>
      <x:c r="B193" s="30" t="str">
        <x:v>RPROV143</x:v>
      </x:c>
      <x:c r="C193" s="30" t="str">
        <x:v>CA033</x:v>
      </x:c>
      <x:c r="D193" s="30" t="str">
        <x:v>Yes</x:v>
      </x:c>
      <x:c r="E193" s="30"/>
    </x:row>
    <x:row r="194">
      <x:c r="A194" s="30" t="str">
        <x:v>PPCM193</x:v>
      </x:c>
      <x:c r="B194" s="30" t="str">
        <x:v>RPROV144</x:v>
      </x:c>
      <x:c r="C194" s="30" t="str">
        <x:v>CA090</x:v>
      </x:c>
      <x:c r="D194" s="30" t="str">
        <x:v>Yes</x:v>
      </x:c>
      <x:c r="E194" s="30"/>
    </x:row>
    <x:row r="195">
      <x:c r="A195" s="30" t="str">
        <x:v>PPCM194</x:v>
      </x:c>
      <x:c r="B195" s="30" t="str">
        <x:v>RPROV145</x:v>
      </x:c>
      <x:c r="C195" s="30" t="str">
        <x:v>CA071</x:v>
      </x:c>
      <x:c r="D195" s="30" t="str">
        <x:v>Yes</x:v>
      </x:c>
      <x:c r="E195" s="30"/>
    </x:row>
    <x:row r="196">
      <x:c r="A196" s="30" t="str">
        <x:v>PPCM195</x:v>
      </x:c>
      <x:c r="B196" s="30" t="str">
        <x:v>RPROV146</x:v>
      </x:c>
      <x:c r="C196" s="30" t="str">
        <x:v>CA033</x:v>
      </x:c>
      <x:c r="D196" s="30" t="str">
        <x:v>Yes</x:v>
      </x:c>
      <x:c r="E196" s="30"/>
    </x:row>
    <x:row r="197">
      <x:c r="A197" s="30" t="str">
        <x:v>PPCM196</x:v>
      </x:c>
      <x:c r="B197" s="30" t="str">
        <x:v>RPROV147</x:v>
      </x:c>
      <x:c r="C197" s="30" t="str">
        <x:v>CA086</x:v>
      </x:c>
      <x:c r="D197" s="30" t="str">
        <x:v>Yes</x:v>
      </x:c>
      <x:c r="E197" s="30"/>
    </x:row>
    <x:row r="198">
      <x:c r="A198" s="30" t="str">
        <x:v>PPCM197</x:v>
      </x:c>
      <x:c r="B198" s="30" t="str">
        <x:v>RPROV148</x:v>
      </x:c>
      <x:c r="C198" s="30" t="str">
        <x:v>CA044</x:v>
      </x:c>
      <x:c r="D198" s="30" t="str">
        <x:v>Yes</x:v>
      </x:c>
      <x:c r="E198" s="30"/>
    </x:row>
    <x:row r="199">
      <x:c r="A199" s="30" t="str">
        <x:v>PPCM198</x:v>
      </x:c>
      <x:c r="B199" s="30" t="str">
        <x:v>RPROV149</x:v>
      </x:c>
      <x:c r="C199" s="30" t="str">
        <x:v>CA018</x:v>
      </x:c>
      <x:c r="D199" s="30" t="str">
        <x:v>Yes</x:v>
      </x:c>
      <x:c r="E199" s="30"/>
    </x:row>
    <x:row r="200">
      <x:c r="A200" s="30" t="str">
        <x:v>PPCM199</x:v>
      </x:c>
      <x:c r="B200" s="30" t="str">
        <x:v>RPROV150</x:v>
      </x:c>
      <x:c r="C200" s="30" t="str">
        <x:v>CA049</x:v>
      </x:c>
      <x:c r="D200" s="30" t="str">
        <x:v>Yes</x:v>
      </x:c>
      <x:c r="E200" s="30"/>
    </x:row>
    <x:row r="201">
      <x:c r="A201" s="30" t="str">
        <x:v>PPCM200</x:v>
      </x:c>
      <x:c r="B201" s="30" t="str">
        <x:v>RPROV151</x:v>
      </x:c>
      <x:c r="C201" s="30" t="str">
        <x:v>CA004</x:v>
      </x:c>
      <x:c r="D201" s="30" t="str">
        <x:v>Yes</x:v>
      </x:c>
      <x:c r="E201" s="30"/>
    </x:row>
    <x:row r="202">
      <x:c r="A202" s="30" t="str">
        <x:v>PPCM201</x:v>
      </x:c>
      <x:c r="B202" s="30" t="str">
        <x:v>RPROV152</x:v>
      </x:c>
      <x:c r="C202" s="30" t="str">
        <x:v>CA084</x:v>
      </x:c>
      <x:c r="D202" s="30" t="str">
        <x:v>Yes</x:v>
      </x:c>
      <x:c r="E202" s="30"/>
    </x:row>
    <x:row r="203">
      <x:c r="A203" s="30" t="str">
        <x:v>PPCM202</x:v>
      </x:c>
      <x:c r="B203" s="30" t="str">
        <x:v>RPROV153</x:v>
      </x:c>
      <x:c r="C203" s="30" t="str">
        <x:v>CA033</x:v>
      </x:c>
      <x:c r="D203" s="30" t="str">
        <x:v>Yes</x:v>
      </x:c>
      <x:c r="E203" s="30"/>
    </x:row>
    <x:row r="204">
      <x:c r="A204" s="30" t="str">
        <x:v>PPCM203</x:v>
      </x:c>
      <x:c r="B204" s="30" t="str">
        <x:v>RPROV154</x:v>
      </x:c>
      <x:c r="C204" s="30" t="str">
        <x:v>CA077</x:v>
      </x:c>
      <x:c r="D204" s="30" t="str">
        <x:v>Yes</x:v>
      </x:c>
      <x:c r="E204" s="30"/>
    </x:row>
    <x:row r="205">
      <x:c r="A205" s="30" t="str">
        <x:v>PPCM204</x:v>
      </x:c>
      <x:c r="B205" s="30" t="str">
        <x:v>RPROV155</x:v>
      </x:c>
      <x:c r="C205" s="30" t="str">
        <x:v>CA071</x:v>
      </x:c>
      <x:c r="D205" s="30" t="str">
        <x:v>Yes</x:v>
      </x:c>
      <x:c r="E205" s="30"/>
    </x:row>
    <x:row r="206">
      <x:c r="A206" s="30" t="str">
        <x:v>PPCM205</x:v>
      </x:c>
      <x:c r="B206" s="30" t="str">
        <x:v>RPROV156</x:v>
      </x:c>
      <x:c r="C206" s="30" t="str">
        <x:v>CA033</x:v>
      </x:c>
      <x:c r="D206" s="30" t="str">
        <x:v>Yes</x:v>
      </x:c>
      <x:c r="E206" s="30"/>
    </x:row>
    <x:row r="207">
      <x:c r="A207" s="30" t="str">
        <x:v>PPCM206</x:v>
      </x:c>
      <x:c r="B207" s="30" t="str">
        <x:v>RPROV157</x:v>
      </x:c>
      <x:c r="C207" s="30" t="str">
        <x:v>CA083</x:v>
      </x:c>
      <x:c r="D207" s="30" t="str">
        <x:v>Yes</x:v>
      </x:c>
      <x:c r="E207" s="30"/>
    </x:row>
    <x:row r="208">
      <x:c r="A208" s="30" t="str">
        <x:v>PPCM207</x:v>
      </x:c>
      <x:c r="B208" s="30" t="str">
        <x:v>RPROV158</x:v>
      </x:c>
      <x:c r="C208" s="30" t="str">
        <x:v>CA063</x:v>
      </x:c>
      <x:c r="D208" s="30" t="str">
        <x:v>Yes</x:v>
      </x:c>
      <x:c r="E208" s="30"/>
    </x:row>
    <x:row r="209">
      <x:c r="A209" s="30" t="str">
        <x:v>PPCM208</x:v>
      </x:c>
      <x:c r="B209" s="30" t="str">
        <x:v>RPROV159</x:v>
      </x:c>
      <x:c r="C209" s="30" t="str">
        <x:v>CA033</x:v>
      </x:c>
      <x:c r="D209" s="30" t="str">
        <x:v>Yes</x:v>
      </x:c>
      <x:c r="E209" s="30"/>
    </x:row>
    <x:row r="210">
      <x:c r="A210" s="30" t="str">
        <x:v>PPCM209</x:v>
      </x:c>
      <x:c r="B210" s="30" t="str">
        <x:v>RPROV160</x:v>
      </x:c>
      <x:c r="C210" s="30" t="str">
        <x:v>CA018</x:v>
      </x:c>
      <x:c r="D210" s="30" t="str">
        <x:v>Yes</x:v>
      </x:c>
      <x:c r="E210" s="30"/>
    </x:row>
    <x:row r="211">
      <x:c r="A211" s="30" t="str">
        <x:v>PPCM210</x:v>
      </x:c>
      <x:c r="B211" s="30" t="str">
        <x:v>RPROV161</x:v>
      </x:c>
      <x:c r="C211" s="30" t="str">
        <x:v>CA084</x:v>
      </x:c>
      <x:c r="D211" s="30" t="str">
        <x:v>Yes</x:v>
      </x:c>
      <x:c r="E211" s="30"/>
    </x:row>
    <x:row r="212">
      <x:c r="A212" s="30" t="str">
        <x:v>PPCM211</x:v>
      </x:c>
      <x:c r="B212" s="30" t="str">
        <x:v>RPROV162</x:v>
      </x:c>
      <x:c r="C212" s="30" t="str">
        <x:v>CA019</x:v>
      </x:c>
      <x:c r="D212" s="30" t="str">
        <x:v>Yes</x:v>
      </x:c>
      <x:c r="E212" s="30"/>
    </x:row>
    <x:row r="213">
      <x:c r="A213" s="30" t="str">
        <x:v>PPCM212</x:v>
      </x:c>
      <x:c r="B213" s="30" t="str">
        <x:v>RPROV163</x:v>
      </x:c>
      <x:c r="C213" s="30" t="str">
        <x:v>CA033</x:v>
      </x:c>
      <x:c r="D213" s="30" t="str">
        <x:v>Yes</x:v>
      </x:c>
      <x:c r="E213" s="30"/>
    </x:row>
    <x:row r="214">
      <x:c r="A214" s="30" t="str">
        <x:v>PPCM213</x:v>
      </x:c>
      <x:c r="B214" s="30" t="str">
        <x:v>RPROV164</x:v>
      </x:c>
      <x:c r="C214" s="30" t="str">
        <x:v>CA043</x:v>
      </x:c>
      <x:c r="D214" s="30" t="str">
        <x:v>Yes</x:v>
      </x:c>
      <x:c r="E214" s="30"/>
    </x:row>
    <x:row r="215">
      <x:c r="A215" s="30" t="str">
        <x:v>PPCM214</x:v>
      </x:c>
      <x:c r="B215" s="30" t="str">
        <x:v>RPROV165</x:v>
      </x:c>
      <x:c r="C215" s="30" t="str">
        <x:v>CA071</x:v>
      </x:c>
      <x:c r="D215" s="30" t="str">
        <x:v>Yes</x:v>
      </x:c>
      <x:c r="E215" s="30"/>
    </x:row>
    <x:row r="216">
      <x:c r="A216" s="30" t="str">
        <x:v>PPCM215</x:v>
      </x:c>
      <x:c r="B216" s="30" t="str">
        <x:v>RPROV166</x:v>
      </x:c>
      <x:c r="C216" s="30" t="str">
        <x:v>CA033</x:v>
      </x:c>
      <x:c r="D216" s="30" t="str">
        <x:v>Yes</x:v>
      </x:c>
      <x:c r="E216" s="30"/>
    </x:row>
    <x:row r="217">
      <x:c r="A217" s="30" t="str">
        <x:v>PPCM216</x:v>
      </x:c>
      <x:c r="B217" s="30" t="str">
        <x:v>RPROV167</x:v>
      </x:c>
      <x:c r="C217" s="30" t="str">
        <x:v>CA097</x:v>
      </x:c>
      <x:c r="D217" s="30" t="str">
        <x:v>Yes</x:v>
      </x:c>
      <x:c r="E217" s="30"/>
    </x:row>
    <x:row r="218">
      <x:c r="A218" s="30" t="str">
        <x:v>PPCM217</x:v>
      </x:c>
      <x:c r="B218" s="30" t="str">
        <x:v>RPROV168</x:v>
      </x:c>
      <x:c r="C218" s="30" t="str">
        <x:v>CA030</x:v>
      </x:c>
      <x:c r="D218" s="30" t="str">
        <x:v>Yes</x:v>
      </x:c>
      <x:c r="E218" s="30"/>
    </x:row>
    <x:row r="219">
      <x:c r="A219" s="30" t="str">
        <x:v>PPCM218</x:v>
      </x:c>
      <x:c r="B219" s="30" t="str">
        <x:v>RPROV169</x:v>
      </x:c>
      <x:c r="C219" s="30" t="str">
        <x:v>CA033</x:v>
      </x:c>
      <x:c r="D219" s="30" t="str">
        <x:v>Yes</x:v>
      </x:c>
      <x:c r="E219" s="30"/>
    </x:row>
    <x:row r="220">
      <x:c r="A220" s="30" t="str">
        <x:v>PPCM219</x:v>
      </x:c>
      <x:c r="B220" s="30" t="str">
        <x:v>RPROV170</x:v>
      </x:c>
      <x:c r="C220" s="30" t="str">
        <x:v>CA018</x:v>
      </x:c>
      <x:c r="D220" s="30" t="str">
        <x:v>Yes</x:v>
      </x:c>
      <x:c r="E220" s="30"/>
    </x:row>
    <x:row r="221">
      <x:c r="A221" s="30" t="str">
        <x:v>PPCM220</x:v>
      </x:c>
      <x:c r="B221" s="30" t="str">
        <x:v>RPROV171</x:v>
      </x:c>
      <x:c r="C221" s="30" t="str">
        <x:v>CA077</x:v>
      </x:c>
      <x:c r="D221" s="30" t="str">
        <x:v>Yes</x:v>
      </x:c>
      <x:c r="E221" s="30"/>
    </x:row>
    <x:row r="222">
      <x:c r="A222" s="30" t="str">
        <x:v>PPCM221</x:v>
      </x:c>
      <x:c r="B222" s="30" t="str">
        <x:v>RPROV172</x:v>
      </x:c>
      <x:c r="C222" s="30" t="str">
        <x:v>CA002</x:v>
      </x:c>
      <x:c r="D222" s="30" t="str">
        <x:v>Yes</x:v>
      </x:c>
      <x:c r="E222" s="30"/>
    </x:row>
    <x:row r="223">
      <x:c r="A223" s="30" t="str">
        <x:v>PPCM222</x:v>
      </x:c>
      <x:c r="B223" s="30" t="str">
        <x:v>RPROV173</x:v>
      </x:c>
      <x:c r="C223" s="30" t="str">
        <x:v>CA035</x:v>
      </x:c>
      <x:c r="D223" s="30" t="str">
        <x:v>Yes</x:v>
      </x:c>
      <x:c r="E223" s="30"/>
    </x:row>
    <x:row r="224">
      <x:c r="A224" s="30" t="str">
        <x:v>PPCM223</x:v>
      </x:c>
      <x:c r="B224" s="30" t="str">
        <x:v>RPROV174</x:v>
      </x:c>
      <x:c r="C224" s="30" t="str">
        <x:v>CA056</x:v>
      </x:c>
      <x:c r="D224" s="30" t="str">
        <x:v>Yes</x:v>
      </x:c>
      <x:c r="E224" s="30"/>
    </x:row>
    <x:row r="225">
      <x:c r="A225" s="30" t="str">
        <x:v>PPCM224</x:v>
      </x:c>
      <x:c r="B225" s="30" t="str">
        <x:v>RPROV175</x:v>
      </x:c>
      <x:c r="C225" s="30" t="str">
        <x:v>CA072</x:v>
      </x:c>
      <x:c r="D225" s="30" t="str">
        <x:v>Yes</x:v>
      </x:c>
      <x:c r="E225" s="30"/>
    </x:row>
    <x:row r="226">
      <x:c r="A226" s="30" t="str">
        <x:v>PPCM225</x:v>
      </x:c>
      <x:c r="B226" s="30" t="str">
        <x:v>RPROV176</x:v>
      </x:c>
      <x:c r="C226" s="30" t="str">
        <x:v>CA033</x:v>
      </x:c>
      <x:c r="D226" s="30" t="str">
        <x:v>Yes</x:v>
      </x:c>
      <x:c r="E226" s="30"/>
    </x:row>
    <x:row r="227">
      <x:c r="A227" s="30" t="str">
        <x:v>PPCM226</x:v>
      </x:c>
      <x:c r="B227" s="30" t="str">
        <x:v>RPROV177</x:v>
      </x:c>
      <x:c r="C227" s="30" t="str">
        <x:v>CA089</x:v>
      </x:c>
      <x:c r="D227" s="30" t="str">
        <x:v>Yes</x:v>
      </x:c>
      <x:c r="E227" s="30"/>
    </x:row>
    <x:row r="228">
      <x:c r="A228" s="30" t="str">
        <x:v>PPCM227</x:v>
      </x:c>
      <x:c r="B228" s="30" t="str">
        <x:v>RPROV178</x:v>
      </x:c>
      <x:c r="C228" s="30" t="str">
        <x:v>CA030</x:v>
      </x:c>
      <x:c r="D228" s="30" t="str">
        <x:v>Yes</x:v>
      </x:c>
      <x:c r="E228" s="30"/>
    </x:row>
    <x:row r="229">
      <x:c r="A229" s="30" t="str">
        <x:v>PPCM228</x:v>
      </x:c>
      <x:c r="B229" s="30" t="str">
        <x:v>RPROV179</x:v>
      </x:c>
      <x:c r="C229" s="30" t="str">
        <x:v>CA033</x:v>
      </x:c>
      <x:c r="D229" s="30" t="str">
        <x:v>Yes</x:v>
      </x:c>
      <x:c r="E229" s="30"/>
    </x:row>
    <x:row r="230">
      <x:c r="A230" s="30" t="str">
        <x:v>PPCM229</x:v>
      </x:c>
      <x:c r="B230" s="30" t="str">
        <x:v>RPROV180</x:v>
      </x:c>
      <x:c r="C230" s="30" t="str">
        <x:v>CA018</x:v>
      </x:c>
      <x:c r="D230" s="30" t="str">
        <x:v>Yes</x:v>
      </x:c>
      <x:c r="E230" s="30"/>
    </x:row>
    <x:row r="231">
      <x:c r="A231" s="30" t="str">
        <x:v>PPCM230</x:v>
      </x:c>
      <x:c r="B231" s="30" t="str">
        <x:v>RPROV181</x:v>
      </x:c>
      <x:c r="C231" s="30" t="str">
        <x:v>CA003</x:v>
      </x:c>
      <x:c r="D231" s="30" t="str">
        <x:v>Yes</x:v>
      </x:c>
      <x:c r="E231" s="30"/>
    </x:row>
    <x:row r="232">
      <x:c r="A232" s="30" t="str">
        <x:v>PPCM231</x:v>
      </x:c>
      <x:c r="B232" s="30" t="str">
        <x:v>RPROV182</x:v>
      </x:c>
      <x:c r="C232" s="30" t="str">
        <x:v>CA012</x:v>
      </x:c>
      <x:c r="D232" s="30" t="str">
        <x:v>Yes</x:v>
      </x:c>
      <x:c r="E232" s="30"/>
    </x:row>
    <x:row r="233">
      <x:c r="A233" s="30" t="str">
        <x:v>PPCM232</x:v>
      </x:c>
      <x:c r="B233" s="30" t="str">
        <x:v>RPROV183</x:v>
      </x:c>
      <x:c r="C233" s="30" t="str">
        <x:v>CA072</x:v>
      </x:c>
      <x:c r="D233" s="30" t="str">
        <x:v>Yes</x:v>
      </x:c>
      <x:c r="E233" s="30"/>
    </x:row>
    <x:row r="234">
      <x:c r="A234" s="30" t="str">
        <x:v>PPCM233</x:v>
      </x:c>
      <x:c r="B234" s="30" t="str">
        <x:v>RPROV184</x:v>
      </x:c>
      <x:c r="C234" s="30" t="str">
        <x:v>CA064</x:v>
      </x:c>
      <x:c r="D234" s="30" t="str">
        <x:v>Yes</x:v>
      </x:c>
      <x:c r="E234" s="30"/>
    </x:row>
    <x:row r="235">
      <x:c r="A235" s="30" t="str">
        <x:v>PPCM234</x:v>
      </x:c>
      <x:c r="B235" s="30" t="str">
        <x:v>RPROV185</x:v>
      </x:c>
      <x:c r="C235" s="30" t="str">
        <x:v>CA071</x:v>
      </x:c>
      <x:c r="D235" s="30" t="str">
        <x:v>Yes</x:v>
      </x:c>
      <x:c r="E235" s="30"/>
    </x:row>
    <x:row r="236">
      <x:c r="A236" s="30" t="str">
        <x:v>PPCM235</x:v>
      </x:c>
      <x:c r="B236" s="30" t="str">
        <x:v>RPROV186</x:v>
      </x:c>
      <x:c r="C236" s="30" t="str">
        <x:v>CA033</x:v>
      </x:c>
      <x:c r="D236" s="30" t="str">
        <x:v>Yes</x:v>
      </x:c>
      <x:c r="E236" s="30"/>
    </x:row>
    <x:row r="237">
      <x:c r="A237" s="30" t="str">
        <x:v>PPCM236</x:v>
      </x:c>
      <x:c r="B237" s="30" t="str">
        <x:v>RPROV187</x:v>
      </x:c>
      <x:c r="C237" s="30" t="str">
        <x:v>CA012</x:v>
      </x:c>
      <x:c r="D237" s="30" t="str">
        <x:v>Yes</x:v>
      </x:c>
      <x:c r="E237" s="30"/>
    </x:row>
    <x:row r="238">
      <x:c r="A238" s="30" t="str">
        <x:v>PPCM237</x:v>
      </x:c>
      <x:c r="B238" s="30" t="str">
        <x:v>RPROV188</x:v>
      </x:c>
      <x:c r="C238" s="30" t="str">
        <x:v>CA030</x:v>
      </x:c>
      <x:c r="D238" s="30" t="str">
        <x:v>Yes</x:v>
      </x:c>
      <x:c r="E238" s="30"/>
    </x:row>
    <x:row r="239">
      <x:c r="A239" s="30" t="str">
        <x:v>PPCM238</x:v>
      </x:c>
      <x:c r="B239" s="30" t="str">
        <x:v>RPROV189</x:v>
      </x:c>
      <x:c r="C239" s="30" t="str">
        <x:v>CA033</x:v>
      </x:c>
      <x:c r="D239" s="30" t="str">
        <x:v>Yes</x:v>
      </x:c>
      <x:c r="E239" s="30"/>
    </x:row>
    <x:row r="240">
      <x:c r="A240" s="30" t="str">
        <x:v>PPCM239</x:v>
      </x:c>
      <x:c r="B240" s="30" t="str">
        <x:v>RPROV190</x:v>
      </x:c>
      <x:c r="C240" s="30" t="str">
        <x:v>CA020</x:v>
      </x:c>
      <x:c r="D240" s="30" t="str">
        <x:v>Yes</x:v>
      </x:c>
      <x:c r="E240" s="30"/>
    </x:row>
    <x:row r="241">
      <x:c r="A241" s="30" t="str">
        <x:v>PPCM240</x:v>
      </x:c>
      <x:c r="B241" s="30" t="str">
        <x:v>RPROV191</x:v>
      </x:c>
      <x:c r="C241" s="30" t="str">
        <x:v>CA002</x:v>
      </x:c>
      <x:c r="D241" s="30" t="str">
        <x:v>Yes</x:v>
      </x:c>
      <x:c r="E241" s="30"/>
    </x:row>
    <x:row r="242">
      <x:c r="A242" s="30" t="str">
        <x:v>PPCM241</x:v>
      </x:c>
      <x:c r="B242" s="30" t="str">
        <x:v>RPROV192</x:v>
      </x:c>
      <x:c r="C242" s="30" t="str">
        <x:v>CA019</x:v>
      </x:c>
      <x:c r="D242" s="30" t="str">
        <x:v>Yes</x:v>
      </x:c>
      <x:c r="E242" s="30"/>
    </x:row>
    <x:row r="243">
      <x:c r="A243" s="30" t="str">
        <x:v>PPCM242</x:v>
      </x:c>
      <x:c r="B243" s="30" t="str">
        <x:v>RPROV193</x:v>
      </x:c>
      <x:c r="C243" s="30" t="str">
        <x:v>CA033</x:v>
      </x:c>
      <x:c r="D243" s="30" t="str">
        <x:v>Yes</x:v>
      </x:c>
      <x:c r="E243" s="30"/>
    </x:row>
    <x:row r="244">
      <x:c r="A244" s="30" t="str">
        <x:v>PPCM243</x:v>
      </x:c>
      <x:c r="B244" s="30" t="str">
        <x:v>RPROV194</x:v>
      </x:c>
      <x:c r="C244" s="30" t="str">
        <x:v>CA020</x:v>
      </x:c>
      <x:c r="D244" s="30" t="str">
        <x:v>Yes</x:v>
      </x:c>
      <x:c r="E244" s="30"/>
    </x:row>
    <x:row r="245">
      <x:c r="A245" s="30" t="str">
        <x:v>PPCM244</x:v>
      </x:c>
      <x:c r="B245" s="30" t="str">
        <x:v>RPROV195</x:v>
      </x:c>
      <x:c r="C245" s="30" t="str">
        <x:v>CA077</x:v>
      </x:c>
      <x:c r="D245" s="30" t="str">
        <x:v>Yes</x:v>
      </x:c>
      <x:c r="E245" s="30"/>
    </x:row>
    <x:row r="246">
      <x:c r="A246" s="30" t="str">
        <x:v>PPCM245</x:v>
      </x:c>
      <x:c r="B246" s="30" t="str">
        <x:v>RPROV196</x:v>
      </x:c>
      <x:c r="C246" s="30" t="str">
        <x:v>CA033</x:v>
      </x:c>
      <x:c r="D246" s="30" t="str">
        <x:v>Yes</x:v>
      </x:c>
      <x:c r="E246" s="30"/>
    </x:row>
    <x:row r="247">
      <x:c r="A247" s="30" t="str">
        <x:v>PPCM246</x:v>
      </x:c>
      <x:c r="B247" s="30" t="str">
        <x:v>RPROV197</x:v>
      </x:c>
      <x:c r="C247" s="30" t="str">
        <x:v>CA033</x:v>
      </x:c>
      <x:c r="D247" s="30" t="str">
        <x:v>Yes</x:v>
      </x:c>
      <x:c r="E247" s="30"/>
    </x:row>
    <x:row r="248">
      <x:c r="A248" s="30" t="str">
        <x:v>PPCM247</x:v>
      </x:c>
      <x:c r="B248" s="30" t="str">
        <x:v>RPROV198</x:v>
      </x:c>
      <x:c r="C248" s="30" t="str">
        <x:v>CA009</x:v>
      </x:c>
      <x:c r="D248" s="30" t="str">
        <x:v>Yes</x:v>
      </x:c>
      <x:c r="E248" s="30"/>
    </x:row>
    <x:row r="249">
      <x:c r="A249" s="30" t="str">
        <x:v>PPCM248</x:v>
      </x:c>
      <x:c r="B249" s="30" t="str">
        <x:v>RPROV199</x:v>
      </x:c>
      <x:c r="C249" s="30" t="str">
        <x:v>CA018</x:v>
      </x:c>
      <x:c r="D249" s="30" t="str">
        <x:v>Yes</x:v>
      </x:c>
      <x:c r="E249" s="30"/>
    </x:row>
    <x:row r="250">
      <x:c r="A250" s="30" t="str">
        <x:v>PPCM249</x:v>
      </x:c>
      <x:c r="B250" s="30" t="str">
        <x:v>RPROV200</x:v>
      </x:c>
      <x:c r="C250" s="30" t="str">
        <x:v>CA033</x:v>
      </x:c>
      <x:c r="D250" s="30" t="str">
        <x:v>Yes</x:v>
      </x:c>
      <x:c r="E250" s="30"/>
    </x:row>
    <x:row r="251">
      <x:c r="A251" s="30" t="str">
        <x:v>PPCM250</x:v>
      </x:c>
      <x:c r="B251" s="30" t="str">
        <x:v>RPROV201</x:v>
      </x:c>
      <x:c r="C251" s="30" t="str">
        <x:v>CA010</x:v>
      </x:c>
      <x:c r="D251" s="30" t="str">
        <x:v>Yes</x:v>
      </x:c>
      <x:c r="E251" s="30"/>
    </x:row>
    <x:row r="252">
      <x:c r="A252" s="30" t="str">
        <x:v>PPCM251</x:v>
      </x:c>
      <x:c r="B252" s="30" t="str">
        <x:v>RPROV202</x:v>
      </x:c>
      <x:c r="C252" s="30" t="str">
        <x:v>CA008</x:v>
      </x:c>
      <x:c r="D252" s="30" t="str">
        <x:v>Yes</x:v>
      </x:c>
      <x:c r="E252" s="30"/>
    </x:row>
    <x:row r="253">
      <x:c r="A253" s="30" t="str">
        <x:v>PPCM252</x:v>
      </x:c>
      <x:c r="B253" s="30" t="str">
        <x:v>RPROV203</x:v>
      </x:c>
      <x:c r="C253" s="30" t="str">
        <x:v>CA033</x:v>
      </x:c>
      <x:c r="D253" s="30" t="str">
        <x:v>Yes</x:v>
      </x:c>
      <x:c r="E253" s="30"/>
    </x:row>
    <x:row r="254">
      <x:c r="A254" s="30" t="str">
        <x:v>PPCM253</x:v>
      </x:c>
      <x:c r="B254" s="30" t="str">
        <x:v>RPROV204</x:v>
      </x:c>
      <x:c r="C254" s="30" t="str">
        <x:v>CA043</x:v>
      </x:c>
      <x:c r="D254" s="30" t="str">
        <x:v>Yes</x:v>
      </x:c>
      <x:c r="E254" s="30"/>
    </x:row>
    <x:row r="255">
      <x:c r="A255" s="30" t="str">
        <x:v>PPCM254</x:v>
      </x:c>
      <x:c r="B255" s="30" t="str">
        <x:v>RPROV205</x:v>
      </x:c>
      <x:c r="C255" s="30" t="str">
        <x:v>CA019</x:v>
      </x:c>
      <x:c r="D255" s="30" t="str">
        <x:v>Yes</x:v>
      </x:c>
      <x:c r="E255" s="30"/>
    </x:row>
    <x:row r="256">
      <x:c r="A256" s="30" t="str">
        <x:v>PPCM255</x:v>
      </x:c>
      <x:c r="B256" s="30" t="str">
        <x:v>RPROV206</x:v>
      </x:c>
      <x:c r="C256" s="30" t="str">
        <x:v>CA033</x:v>
      </x:c>
      <x:c r="D256" s="30" t="str">
        <x:v>Yes</x:v>
      </x:c>
      <x:c r="E256" s="30"/>
    </x:row>
    <x:row r="257">
      <x:c r="A257" s="30" t="str">
        <x:v>PPCM256</x:v>
      </x:c>
      <x:c r="B257" s="30" t="str">
        <x:v>RPROV207</x:v>
      </x:c>
      <x:c r="C257" s="30" t="str">
        <x:v>CA012</x:v>
      </x:c>
      <x:c r="D257" s="30" t="str">
        <x:v>Yes</x:v>
      </x:c>
      <x:c r="E257" s="30"/>
    </x:row>
    <x:row r="258">
      <x:c r="A258" s="30" t="str">
        <x:v>PPCM257</x:v>
      </x:c>
      <x:c r="B258" s="30" t="str">
        <x:v>RPROV208</x:v>
      </x:c>
      <x:c r="C258" s="30" t="str">
        <x:v>CA009</x:v>
      </x:c>
      <x:c r="D258" s="30" t="str">
        <x:v>Yes</x:v>
      </x:c>
      <x:c r="E258" s="30"/>
    </x:row>
    <x:row r="259">
      <x:c r="A259" s="30" t="str">
        <x:v>PPCM258</x:v>
      </x:c>
      <x:c r="B259" s="30" t="str">
        <x:v>RPROV209</x:v>
      </x:c>
      <x:c r="C259" s="30" t="str">
        <x:v>CA033</x:v>
      </x:c>
      <x:c r="D259" s="30" t="str">
        <x:v>Yes</x:v>
      </x:c>
      <x:c r="E259" s="30"/>
    </x:row>
    <x:row r="260">
      <x:c r="A260" s="30" t="str">
        <x:v>PPCM259</x:v>
      </x:c>
      <x:c r="B260" s="30" t="str">
        <x:v>RPROV210</x:v>
      </x:c>
      <x:c r="C260" s="30" t="str">
        <x:v>CA033</x:v>
      </x:c>
      <x:c r="D260" s="30" t="str">
        <x:v>Yes</x:v>
      </x:c>
      <x:c r="E260" s="30"/>
    </x:row>
    <x:row r="261">
      <x:c r="A261" s="30" t="str">
        <x:v>PPCM260</x:v>
      </x:c>
      <x:c r="B261" s="30" t="str">
        <x:v>RPROV211</x:v>
      </x:c>
      <x:c r="C261" s="30" t="str">
        <x:v>CA008</x:v>
      </x:c>
      <x:c r="D261" s="30" t="str">
        <x:v>Yes</x:v>
      </x:c>
      <x:c r="E261" s="30"/>
    </x:row>
    <x:row r="262">
      <x:c r="A262" s="30" t="str">
        <x:v>PPCM261</x:v>
      </x:c>
      <x:c r="B262" s="30" t="str">
        <x:v>RPROV212</x:v>
      </x:c>
      <x:c r="C262" s="30" t="str">
        <x:v>CA012</x:v>
      </x:c>
      <x:c r="D262" s="30" t="str">
        <x:v>Yes</x:v>
      </x:c>
      <x:c r="E262" s="30"/>
    </x:row>
    <x:row r="263">
      <x:c r="A263" s="30" t="str">
        <x:v>PPCM262</x:v>
      </x:c>
      <x:c r="B263" s="30" t="str">
        <x:v>RPROV213</x:v>
      </x:c>
      <x:c r="C263" s="30" t="str">
        <x:v>CA033</x:v>
      </x:c>
      <x:c r="D263" s="30" t="str">
        <x:v>Yes</x:v>
      </x:c>
      <x:c r="E263" s="30"/>
    </x:row>
    <x:row r="264">
      <x:c r="A264" s="30" t="str">
        <x:v>PPCM263</x:v>
      </x:c>
      <x:c r="B264" s="30" t="str">
        <x:v>RPROV214</x:v>
      </x:c>
      <x:c r="C264" s="30" t="str">
        <x:v>CA044</x:v>
      </x:c>
      <x:c r="D264" s="30" t="str">
        <x:v>Yes</x:v>
      </x:c>
      <x:c r="E264" s="30"/>
    </x:row>
    <x:row r="265">
      <x:c r="A265" s="30" t="str">
        <x:v>PPCM264</x:v>
      </x:c>
      <x:c r="B265" s="30" t="str">
        <x:v>RPROV215</x:v>
      </x:c>
      <x:c r="C265" s="30" t="str">
        <x:v>CA096</x:v>
      </x:c>
      <x:c r="D265" s="30" t="str">
        <x:v>Yes</x:v>
      </x:c>
      <x:c r="E265" s="30"/>
    </x:row>
    <x:row r="266">
      <x:c r="A266" s="30" t="str">
        <x:v>PPCM265</x:v>
      </x:c>
      <x:c r="B266" s="30" t="str">
        <x:v>RPROV216</x:v>
      </x:c>
      <x:c r="C266" s="30" t="str">
        <x:v>CA033</x:v>
      </x:c>
      <x:c r="D266" s="30" t="str">
        <x:v>Yes</x:v>
      </x:c>
      <x:c r="E266" s="30"/>
    </x:row>
    <x:row r="267">
      <x:c r="A267" s="30" t="str">
        <x:v>PPCM266</x:v>
      </x:c>
      <x:c r="B267" s="30" t="str">
        <x:v>RPROV217</x:v>
      </x:c>
      <x:c r="C267" s="30" t="str">
        <x:v>CA012</x:v>
      </x:c>
      <x:c r="D267" s="30" t="str">
        <x:v>Yes</x:v>
      </x:c>
      <x:c r="E267" s="30"/>
    </x:row>
    <x:row r="268">
      <x:c r="A268" s="30" t="str">
        <x:v>PPCM267</x:v>
      </x:c>
      <x:c r="B268" s="30" t="str">
        <x:v>RPROV218</x:v>
      </x:c>
      <x:c r="C268" s="30" t="str">
        <x:v>CA044</x:v>
      </x:c>
      <x:c r="D268" s="30" t="str">
        <x:v>Yes</x:v>
      </x:c>
      <x:c r="E268" s="30"/>
    </x:row>
    <x:row r="269">
      <x:c r="A269" s="30" t="str">
        <x:v>PPCM268</x:v>
      </x:c>
      <x:c r="B269" s="30" t="str">
        <x:v>RPROV219</x:v>
      </x:c>
      <x:c r="C269" s="30" t="str">
        <x:v>CA033</x:v>
      </x:c>
      <x:c r="D269" s="30" t="str">
        <x:v>Yes</x:v>
      </x:c>
      <x:c r="E269" s="30"/>
    </x:row>
    <x:row r="270">
      <x:c r="A270" s="30" t="str">
        <x:v>PPCM269</x:v>
      </x:c>
      <x:c r="B270" s="30" t="str">
        <x:v>RPROV220</x:v>
      </x:c>
      <x:c r="C270" s="30" t="str">
        <x:v>CA018</x:v>
      </x:c>
      <x:c r="D270" s="30" t="str">
        <x:v>Yes</x:v>
      </x:c>
      <x:c r="E270" s="30"/>
    </x:row>
    <x:row r="271">
      <x:c r="A271" s="30" t="str">
        <x:v>PPCM270</x:v>
      </x:c>
      <x:c r="B271" s="30" t="str">
        <x:v>RPROV221</x:v>
      </x:c>
      <x:c r="C271" s="30" t="str">
        <x:v>CA024</x:v>
      </x:c>
      <x:c r="D271" s="30" t="str">
        <x:v>Yes</x:v>
      </x:c>
      <x:c r="E271" s="30"/>
    </x:row>
    <x:row r="272">
      <x:c r="A272" s="30" t="str">
        <x:v>PPCM271</x:v>
      </x:c>
      <x:c r="B272" s="30" t="str">
        <x:v>RPROV222</x:v>
      </x:c>
      <x:c r="C272" s="30" t="str">
        <x:v>CA002</x:v>
      </x:c>
      <x:c r="D272" s="30" t="str">
        <x:v>Yes</x:v>
      </x:c>
      <x:c r="E272" s="30"/>
    </x:row>
    <x:row r="273">
      <x:c r="A273" s="30" t="str">
        <x:v>PPCM272</x:v>
      </x:c>
      <x:c r="B273" s="30" t="str">
        <x:v>RPROV223</x:v>
      </x:c>
      <x:c r="C273" s="30" t="str">
        <x:v>CA033</x:v>
      </x:c>
      <x:c r="D273" s="30" t="str">
        <x:v>Yes</x:v>
      </x:c>
      <x:c r="E273" s="30"/>
    </x:row>
    <x:row r="274">
      <x:c r="A274" s="30" t="str">
        <x:v>PPCM273</x:v>
      </x:c>
      <x:c r="B274" s="30" t="str">
        <x:v>RPROV224</x:v>
      </x:c>
      <x:c r="C274" s="30" t="str">
        <x:v>CA044</x:v>
      </x:c>
      <x:c r="D274" s="30" t="str">
        <x:v>Yes</x:v>
      </x:c>
      <x:c r="E274" s="30"/>
    </x:row>
    <x:row r="275">
      <x:c r="A275" s="30" t="str">
        <x:v>PPCM274</x:v>
      </x:c>
      <x:c r="B275" s="30" t="str">
        <x:v>RPROV225</x:v>
      </x:c>
      <x:c r="C275" s="30" t="str">
        <x:v>CA097</x:v>
      </x:c>
      <x:c r="D275" s="30" t="str">
        <x:v>Yes</x:v>
      </x:c>
      <x:c r="E275" s="30"/>
    </x:row>
    <x:row r="276">
      <x:c r="A276" s="30" t="str">
        <x:v>PPCM275</x:v>
      </x:c>
      <x:c r="B276" s="30" t="str">
        <x:v>RPROV226</x:v>
      </x:c>
      <x:c r="C276" s="30" t="str">
        <x:v>CA033</x:v>
      </x:c>
      <x:c r="D276" s="30" t="str">
        <x:v>Yes</x:v>
      </x:c>
      <x:c r="E276" s="30"/>
    </x:row>
    <x:row r="277">
      <x:c r="A277" s="30" t="str">
        <x:v>PPCM276</x:v>
      </x:c>
      <x:c r="B277" s="30" t="str">
        <x:v>RPROV227</x:v>
      </x:c>
      <x:c r="C277" s="30" t="str">
        <x:v>CA012</x:v>
      </x:c>
      <x:c r="D277" s="30" t="str">
        <x:v>Yes</x:v>
      </x:c>
      <x:c r="E277" s="30"/>
    </x:row>
    <x:row r="278">
      <x:c r="A278" s="30" t="str">
        <x:v>PPCM277</x:v>
      </x:c>
      <x:c r="B278" s="30" t="str">
        <x:v>RPROV228</x:v>
      </x:c>
      <x:c r="C278" s="30" t="str">
        <x:v>CA044</x:v>
      </x:c>
      <x:c r="D278" s="30" t="str">
        <x:v>Yes</x:v>
      </x:c>
      <x:c r="E278" s="30"/>
    </x:row>
    <x:row r="279">
      <x:c r="A279" s="30" t="str">
        <x:v>PPCM278</x:v>
      </x:c>
      <x:c r="B279" s="30" t="str">
        <x:v>RPROV229</x:v>
      </x:c>
      <x:c r="C279" s="30" t="str">
        <x:v>CA033</x:v>
      </x:c>
      <x:c r="D279" s="30" t="str">
        <x:v>Yes</x:v>
      </x:c>
      <x:c r="E279" s="30"/>
    </x:row>
    <x:row r="280">
      <x:c r="A280" s="30" t="str">
        <x:v>PPCM279</x:v>
      </x:c>
      <x:c r="B280" s="30" t="str">
        <x:v>RPROV230</x:v>
      </x:c>
      <x:c r="C280" s="30" t="str">
        <x:v>CA072</x:v>
      </x:c>
      <x:c r="D280" s="30" t="str">
        <x:v>Yes</x:v>
      </x:c>
      <x:c r="E280" s="30"/>
    </x:row>
    <x:row r="281">
      <x:c r="A281" s="30" t="str">
        <x:v>PPCM280</x:v>
      </x:c>
      <x:c r="B281" s="30" t="str">
        <x:v>RPROV231</x:v>
      </x:c>
      <x:c r="C281" s="30" t="str">
        <x:v>CA024</x:v>
      </x:c>
      <x:c r="D281" s="30" t="str">
        <x:v>Yes</x:v>
      </x:c>
      <x:c r="E281" s="30"/>
    </x:row>
    <x:row r="282">
      <x:c r="A282" s="30" t="str">
        <x:v>PPCM281</x:v>
      </x:c>
      <x:c r="B282" s="30" t="str">
        <x:v>RPROV232</x:v>
      </x:c>
      <x:c r="C282" s="30" t="str">
        <x:v>CA009</x:v>
      </x:c>
      <x:c r="D282" s="30" t="str">
        <x:v>Yes</x:v>
      </x:c>
      <x:c r="E282" s="30"/>
    </x:row>
    <x:row r="283">
      <x:c r="A283" s="30" t="str">
        <x:v>PPCM282</x:v>
      </x:c>
      <x:c r="B283" s="30" t="str">
        <x:v>RPROV233</x:v>
      </x:c>
      <x:c r="C283" s="30" t="str">
        <x:v>CA033</x:v>
      </x:c>
      <x:c r="D283" s="30" t="str">
        <x:v>Yes</x:v>
      </x:c>
      <x:c r="E283" s="30"/>
    </x:row>
    <x:row r="284">
      <x:c r="A284" s="30" t="str">
        <x:v>PPCM283</x:v>
      </x:c>
      <x:c r="B284" s="30" t="str">
        <x:v>RPROV234</x:v>
      </x:c>
      <x:c r="C284" s="30" t="str">
        <x:v>CA030</x:v>
      </x:c>
      <x:c r="D284" s="30" t="str">
        <x:v>Yes</x:v>
      </x:c>
      <x:c r="E284" s="30"/>
    </x:row>
    <x:row r="285">
      <x:c r="A285" s="30" t="str">
        <x:v>PPCM284</x:v>
      </x:c>
      <x:c r="B285" s="30" t="str">
        <x:v>RPROV235</x:v>
      </x:c>
      <x:c r="C285" s="30" t="str">
        <x:v>CA098</x:v>
      </x:c>
      <x:c r="D285" s="30" t="str">
        <x:v>Yes</x:v>
      </x:c>
      <x:c r="E285" s="30"/>
    </x:row>
    <x:row r="286">
      <x:c r="A286" s="30" t="str">
        <x:v>PPCM285</x:v>
      </x:c>
      <x:c r="B286" s="30" t="str">
        <x:v>RPROV236</x:v>
      </x:c>
      <x:c r="C286" s="30" t="str">
        <x:v>CA033</x:v>
      </x:c>
      <x:c r="D286" s="30" t="str">
        <x:v>Yes</x:v>
      </x:c>
      <x:c r="E286" s="30"/>
    </x:row>
    <x:row r="287">
      <x:c r="A287" s="30" t="str">
        <x:v>PPCM286</x:v>
      </x:c>
      <x:c r="B287" s="30" t="str">
        <x:v>RPROV237</x:v>
      </x:c>
      <x:c r="C287" s="30" t="str">
        <x:v>CA072</x:v>
      </x:c>
      <x:c r="D287" s="30" t="str">
        <x:v>Yes</x:v>
      </x:c>
      <x:c r="E287" s="30"/>
    </x:row>
    <x:row r="288">
      <x:c r="A288" s="30" t="str">
        <x:v>PPCM287</x:v>
      </x:c>
      <x:c r="B288" s="30" t="str">
        <x:v>RPROV238</x:v>
      </x:c>
      <x:c r="C288" s="30" t="str">
        <x:v>CA044</x:v>
      </x:c>
      <x:c r="D288" s="30" t="str">
        <x:v>Yes</x:v>
      </x:c>
      <x:c r="E288" s="30"/>
    </x:row>
    <x:row r="289">
      <x:c r="A289" s="30" t="str">
        <x:v>PPCM288</x:v>
      </x:c>
      <x:c r="B289" s="30" t="str">
        <x:v>RPROV239</x:v>
      </x:c>
      <x:c r="C289" s="30" t="str">
        <x:v>CA018</x:v>
      </x:c>
      <x:c r="D289" s="30" t="str">
        <x:v>Yes</x:v>
      </x:c>
      <x:c r="E289" s="30"/>
    </x:row>
    <x:row r="290">
      <x:c r="A290" s="30" t="str">
        <x:v>PPCM289</x:v>
      </x:c>
      <x:c r="B290" s="30" t="str">
        <x:v>RPROV240</x:v>
      </x:c>
      <x:c r="C290" s="30" t="str">
        <x:v>CA033</x:v>
      </x:c>
      <x:c r="D290" s="30" t="str">
        <x:v>Yes</x:v>
      </x:c>
      <x:c r="E290" s="30"/>
    </x:row>
    <x:row r="291">
      <x:c r="A291" s="30" t="str">
        <x:v>PPCM290</x:v>
      </x:c>
      <x:c r="B291" s="30" t="str">
        <x:v>WPROV001</x:v>
      </x:c>
      <x:c r="C291" s="30" t="str">
        <x:v>CA008</x:v>
      </x:c>
      <x:c r="D291" s="30" t="str">
        <x:v>Yes</x:v>
      </x:c>
      <x:c r="E291" s="30"/>
    </x:row>
    <x:row r="292">
      <x:c r="A292" s="30" t="str">
        <x:v>PPCM291</x:v>
      </x:c>
      <x:c r="B292" s="30" t="str">
        <x:v>WPROV002</x:v>
      </x:c>
      <x:c r="C292" s="30" t="str">
        <x:v>CA084</x:v>
      </x:c>
      <x:c r="D292" s="30" t="str">
        <x:v>Yes</x:v>
      </x:c>
      <x:c r="E292" s="30"/>
    </x:row>
    <x:row r="293">
      <x:c r="A293" s="30" t="str">
        <x:v>PPCM292</x:v>
      </x:c>
      <x:c r="B293" s="30" t="str">
        <x:v>WPROV003</x:v>
      </x:c>
      <x:c r="C293" s="30" t="str">
        <x:v>CA084</x:v>
      </x:c>
      <x:c r="D293" s="30" t="str">
        <x:v>Yes</x:v>
      </x:c>
      <x:c r="E293" s="30"/>
    </x:row>
    <x:row r="294">
      <x:c r="A294" s="30" t="str">
        <x:v>PPCM293</x:v>
      </x:c>
      <x:c r="B294" s="30" t="str">
        <x:v>WPROV004</x:v>
      </x:c>
      <x:c r="C294" s="30" t="str">
        <x:v>CA049</x:v>
      </x:c>
      <x:c r="D294" s="30" t="str">
        <x:v>Yes</x:v>
      </x:c>
      <x:c r="E294" s="30"/>
    </x:row>
    <x:row r="295">
      <x:c r="A295" s="30" t="str">
        <x:v>PPCM294</x:v>
      </x:c>
      <x:c r="B295" s="30" t="str">
        <x:v>WPROV005</x:v>
      </x:c>
      <x:c r="C295" s="30" t="str">
        <x:v>CA021</x:v>
      </x:c>
      <x:c r="D295" s="30" t="str">
        <x:v>Yes</x:v>
      </x:c>
      <x:c r="E295" s="30"/>
    </x:row>
    <x:row r="296">
      <x:c r="A296" s="30" t="str">
        <x:v>PPCM295</x:v>
      </x:c>
      <x:c r="B296" s="30" t="str">
        <x:v>WPROV006</x:v>
      </x:c>
      <x:c r="C296" s="30" t="str">
        <x:v>CA049</x:v>
      </x:c>
      <x:c r="D296" s="30" t="str">
        <x:v>Yes</x:v>
      </x:c>
      <x:c r="E296" s="30"/>
    </x:row>
    <x:row r="297">
      <x:c r="A297" s="30" t="str">
        <x:v>PPCM296</x:v>
      </x:c>
      <x:c r="B297" s="30" t="str">
        <x:v>WPROV007</x:v>
      </x:c>
      <x:c r="C297" s="30" t="str">
        <x:v>CA056</x:v>
      </x:c>
      <x:c r="D297" s="30" t="str">
        <x:v>Yes</x:v>
      </x:c>
      <x:c r="E297" s="30"/>
    </x:row>
    <x:row r="298">
      <x:c r="A298" s="30" t="str">
        <x:v>PPCM297</x:v>
      </x:c>
      <x:c r="B298" s="30" t="str">
        <x:v>WPROV008</x:v>
      </x:c>
      <x:c r="C298" s="30" t="str">
        <x:v>CA056</x:v>
      </x:c>
      <x:c r="D298" s="30" t="str">
        <x:v>Yes</x:v>
      </x:c>
      <x:c r="E298" s="30"/>
    </x:row>
    <x:row r="299">
      <x:c r="A299" s="30" t="str">
        <x:v>PPCM298</x:v>
      </x:c>
      <x:c r="B299" s="30" t="str">
        <x:v>WPROV009</x:v>
      </x:c>
      <x:c r="C299" s="30" t="str">
        <x:v>CA063</x:v>
      </x:c>
      <x:c r="D299" s="30" t="str">
        <x:v>Yes</x:v>
      </x:c>
      <x:c r="E299" s="30"/>
    </x:row>
    <x:row r="300">
      <x:c r="A300" s="30" t="str">
        <x:v>PPCM299</x:v>
      </x:c>
      <x:c r="B300" s="30" t="str">
        <x:v>WPROV010</x:v>
      </x:c>
      <x:c r="C300" s="30" t="str">
        <x:v>CA077</x:v>
      </x:c>
      <x:c r="D300" s="30" t="str">
        <x:v>Yes</x:v>
      </x:c>
      <x:c r="E300" s="30"/>
    </x:row>
    <x:row r="301">
      <x:c r="A301" s="30" t="str">
        <x:v>PPCM300</x:v>
      </x:c>
      <x:c r="B301" s="30" t="str">
        <x:v>WPROV011</x:v>
      </x:c>
      <x:c r="C301" s="30" t="str">
        <x:v>CA056</x:v>
      </x:c>
      <x:c r="D301" s="30" t="str">
        <x:v>Yes</x:v>
      </x:c>
      <x:c r="E301" s="30"/>
    </x:row>
    <x:row r="302">
      <x:c r="A302" s="30" t="str">
        <x:v>PPCM301</x:v>
      </x:c>
      <x:c r="B302" s="30" t="str">
        <x:v>WPROV012</x:v>
      </x:c>
      <x:c r="C302" s="30" t="str">
        <x:v>CA038</x:v>
      </x:c>
      <x:c r="D302" s="30" t="str">
        <x:v>Yes</x:v>
      </x:c>
      <x:c r="E302" s="30"/>
    </x:row>
    <x:row r="303">
      <x:c r="A303" s="30" t="str">
        <x:v>PPCM302</x:v>
      </x:c>
      <x:c r="B303" s="30" t="str">
        <x:v>WPROV013</x:v>
      </x:c>
      <x:c r="C303" s="30" t="str">
        <x:v>CA038</x:v>
      </x:c>
      <x:c r="D303" s="30" t="str">
        <x:v>Yes</x:v>
      </x:c>
      <x:c r="E303" s="30"/>
    </x:row>
    <x:row r="304">
      <x:c r="A304" s="30" t="str">
        <x:v>PPCM303</x:v>
      </x:c>
      <x:c r="B304" s="30" t="str">
        <x:v>WPROV014</x:v>
      </x:c>
      <x:c r="C304" s="30" t="str">
        <x:v>CA077</x:v>
      </x:c>
      <x:c r="D304" s="30" t="str">
        <x:v>Yes</x:v>
      </x:c>
      <x:c r="E304" s="30"/>
    </x:row>
    <x:row r="305">
      <x:c r="A305" s="30" t="str">
        <x:v>PPCM304</x:v>
      </x:c>
      <x:c r="B305" s="30" t="str">
        <x:v>WPROV015</x:v>
      </x:c>
      <x:c r="C305" s="30" t="str">
        <x:v>CA042</x:v>
      </x:c>
      <x:c r="D305" s="30" t="str">
        <x:v>Yes</x:v>
      </x:c>
      <x:c r="E305" s="30"/>
    </x:row>
    <x:row r="306">
      <x:c r="A306" s="30" t="str">
        <x:v>PPCM305</x:v>
      </x:c>
      <x:c r="B306" s="30" t="str">
        <x:v>WPROV016</x:v>
      </x:c>
      <x:c r="C306" s="30" t="str">
        <x:v>CA043</x:v>
      </x:c>
      <x:c r="D306" s="30" t="str">
        <x:v>Yes</x:v>
      </x:c>
      <x:c r="E306" s="30"/>
    </x:row>
    <x:row r="307">
      <x:c r="A307" s="30" t="str">
        <x:v>PPCM306</x:v>
      </x:c>
      <x:c r="B307" s="30" t="str">
        <x:v>WPROV017</x:v>
      </x:c>
      <x:c r="C307" s="30" t="str">
        <x:v>CA004</x:v>
      </x:c>
      <x:c r="D307" s="30" t="str">
        <x:v>Yes</x:v>
      </x:c>
      <x:c r="E307" s="30"/>
    </x:row>
    <x:row r="308">
      <x:c r="A308" s="30" t="str">
        <x:v>PPCM307</x:v>
      </x:c>
      <x:c r="B308" s="30" t="str">
        <x:v>WPROV018</x:v>
      </x:c>
      <x:c r="C308" s="30" t="str">
        <x:v>CA063</x:v>
      </x:c>
      <x:c r="D308" s="30" t="str">
        <x:v>Yes</x:v>
      </x:c>
      <x:c r="E308" s="30"/>
    </x:row>
    <x:row r="309">
      <x:c r="A309" s="30" t="str">
        <x:v>PPCM308</x:v>
      </x:c>
      <x:c r="B309" s="30" t="str">
        <x:v>WPROV019</x:v>
      </x:c>
      <x:c r="C309" s="30" t="str">
        <x:v>CA005</x:v>
      </x:c>
      <x:c r="D309" s="30" t="str">
        <x:v>Yes</x:v>
      </x:c>
      <x:c r="E309" s="30"/>
    </x:row>
    <x:row r="310">
      <x:c r="A310" s="30" t="str">
        <x:v>PPCM309</x:v>
      </x:c>
      <x:c r="B310" s="30" t="str">
        <x:v>WPROV020</x:v>
      </x:c>
      <x:c r="C310" s="30" t="str">
        <x:v>CA064</x:v>
      </x:c>
      <x:c r="D310" s="30" t="str">
        <x:v>Yes</x:v>
      </x:c>
      <x:c r="E310" s="30"/>
    </x:row>
    <x:row r="311">
      <x:c r="A311" s="30" t="str">
        <x:v>PPCM310</x:v>
      </x:c>
      <x:c r="B311" s="30" t="str">
        <x:v>HOSPROV001</x:v>
      </x:c>
      <x:c r="C311" s="30" t="str">
        <x:v>CA064</x:v>
      </x:c>
      <x:c r="D311" s="30" t="str">
        <x:v>Yes</x:v>
      </x:c>
      <x:c r="E311" s="30"/>
    </x:row>
    <x:row r="312">
      <x:c r="A312" s="30" t="str">
        <x:v>PPCM311</x:v>
      </x:c>
      <x:c r="B312" s="30" t="str">
        <x:v>HOSPROV002</x:v>
      </x:c>
      <x:c r="C312" s="30" t="str">
        <x:v>CA064</x:v>
      </x:c>
      <x:c r="D312" s="30" t="str">
        <x:v>Yes</x:v>
      </x:c>
      <x:c r="E312" s="30"/>
    </x:row>
    <x:row r="313">
      <x:c r="A313" s="30" t="str">
        <x:v>PPCM312</x:v>
      </x:c>
      <x:c r="B313" s="30" t="str">
        <x:v>HOSPROV003</x:v>
      </x:c>
      <x:c r="C313" s="30" t="str">
        <x:v>CA064</x:v>
      </x:c>
      <x:c r="D313" s="30" t="str">
        <x:v>Yes</x:v>
      </x:c>
      <x:c r="E313" s="30"/>
    </x:row>
    <x:row r="314">
      <x:c r="A314" s="30" t="str">
        <x:v>PPCM313</x:v>
      </x:c>
      <x:c r="B314" s="30" t="str">
        <x:v>HOSPROV004</x:v>
      </x:c>
      <x:c r="C314" s="30" t="str">
        <x:v>CA064</x:v>
      </x:c>
      <x:c r="D314" s="30" t="str">
        <x:v>Yes</x:v>
      </x:c>
      <x:c r="E314" s="30"/>
    </x:row>
    <x:row r="315">
      <x:c r="A315" s="30" t="str">
        <x:v>PPCM314</x:v>
      </x:c>
      <x:c r="B315" s="30" t="str">
        <x:v>HOSPROV005</x:v>
      </x:c>
      <x:c r="C315" s="30" t="str">
        <x:v>CA090</x:v>
      </x:c>
      <x:c r="D315" s="30" t="str">
        <x:v>Yes</x:v>
      </x:c>
      <x:c r="E315" s="30"/>
    </x:row>
    <x:row r="316">
      <x:c r="A316" s="30" t="str">
        <x:v>PPCM315</x:v>
      </x:c>
      <x:c r="B316" s="30" t="str">
        <x:v>HOSPROV006</x:v>
      </x:c>
      <x:c r="C316" s="30" t="str">
        <x:v>CA064</x:v>
      </x:c>
      <x:c r="D316" s="30" t="str">
        <x:v>Yes</x:v>
      </x:c>
      <x:c r="E316" s="30"/>
    </x:row>
    <x:row r="317">
      <x:c r="A317" s="30" t="str">
        <x:v>PPCM316</x:v>
      </x:c>
      <x:c r="B317" s="30" t="str">
        <x:v>HOSPROV007</x:v>
      </x:c>
      <x:c r="C317" s="30" t="str">
        <x:v>CA020</x:v>
      </x:c>
      <x:c r="D317" s="30" t="str">
        <x:v>Yes</x:v>
      </x:c>
      <x:c r="E317" s="30"/>
    </x:row>
    <x:row r="318">
      <x:c r="A318" s="30" t="str">
        <x:v>PPCM317</x:v>
      </x:c>
      <x:c r="B318" s="30" t="str">
        <x:v>HOSPROV008</x:v>
      </x:c>
      <x:c r="C318" s="30" t="str">
        <x:v>CA077</x:v>
      </x:c>
      <x:c r="D318" s="30" t="str">
        <x:v>Yes</x:v>
      </x:c>
      <x:c r="E318" s="30"/>
    </x:row>
    <x:row r="319">
      <x:c r="A319" s="30" t="str">
        <x:v>PPCM318</x:v>
      </x:c>
      <x:c r="B319" s="30" t="str">
        <x:v>HOSPROV009</x:v>
      </x:c>
      <x:c r="C319" s="30" t="str">
        <x:v>CA043</x:v>
      </x:c>
      <x:c r="D319" s="30" t="str">
        <x:v>Yes</x:v>
      </x:c>
      <x:c r="E319" s="30"/>
    </x:row>
    <x:row r="320">
      <x:c r="A320" s="30" t="str">
        <x:v>PPCM319</x:v>
      </x:c>
      <x:c r="B320" s="30" t="str">
        <x:v>HOSPROV010</x:v>
      </x:c>
      <x:c r="C320" s="30" t="str">
        <x:v>CA043</x:v>
      </x:c>
      <x:c r="D320" s="30" t="str">
        <x:v>Yes</x:v>
      </x:c>
      <x:c r="E320" s="30"/>
    </x:row>
    <x:row r="321">
      <x:c r="A321" s="30" t="str">
        <x:v>PPCM320</x:v>
      </x:c>
      <x:c r="B321" s="30" t="str">
        <x:v>HOSPROV011</x:v>
      </x:c>
      <x:c r="C321" s="30" t="str">
        <x:v>CA043</x:v>
      </x:c>
      <x:c r="D321" s="30" t="str">
        <x:v>Yes</x:v>
      </x:c>
      <x:c r="E321" s="30"/>
    </x:row>
    <x:row r="322">
      <x:c r="A322" s="30" t="str">
        <x:v>PPCM321</x:v>
      </x:c>
      <x:c r="B322" s="30" t="str">
        <x:v>HOSPROV012</x:v>
      </x:c>
      <x:c r="C322" s="30" t="str">
        <x:v>CA044</x:v>
      </x:c>
      <x:c r="D322" s="30" t="str">
        <x:v>Yes</x:v>
      </x:c>
      <x:c r="E322" s="30"/>
    </x:row>
    <x:row r="323">
      <x:c r="A323" s="30" t="str">
        <x:v>PPCM322</x:v>
      </x:c>
      <x:c r="B323" s="30" t="str">
        <x:v>HOSPROV013</x:v>
      </x:c>
      <x:c r="C323" s="30" t="str">
        <x:v>CA044</x:v>
      </x:c>
      <x:c r="D323" s="30" t="str">
        <x:v>Yes</x:v>
      </x:c>
      <x:c r="E323" s="30"/>
    </x:row>
    <x:row r="324">
      <x:c r="A324" s="30" t="str">
        <x:v>PPCM323</x:v>
      </x:c>
      <x:c r="B324" s="30" t="str">
        <x:v>HOSPROV014</x:v>
      </x:c>
      <x:c r="C324" s="30" t="str">
        <x:v>CA030</x:v>
      </x:c>
      <x:c r="D324" s="30" t="str">
        <x:v>Yes</x:v>
      </x:c>
      <x:c r="E324" s="30"/>
    </x:row>
    <x:row r="325">
      <x:c r="A325" s="30" t="str">
        <x:v>PPCM324</x:v>
      </x:c>
      <x:c r="B325" s="30" t="str">
        <x:v>HOSPROV015</x:v>
      </x:c>
      <x:c r="C325" s="30" t="str">
        <x:v>CA030</x:v>
      </x:c>
      <x:c r="D325" s="30" t="str">
        <x:v>Yes</x:v>
      </x:c>
      <x:c r="E325" s="30"/>
    </x:row>
    <x:row r="326">
      <x:c r="A326" s="30" t="str">
        <x:v>PPCM325</x:v>
      </x:c>
      <x:c r="B326" s="30" t="str">
        <x:v>HOSPROV016</x:v>
      </x:c>
      <x:c r="C326" s="30" t="str">
        <x:v>CA030</x:v>
      </x:c>
      <x:c r="D326" s="30" t="str">
        <x:v>Yes</x:v>
      </x:c>
      <x:c r="E326" s="30"/>
    </x:row>
    <x:row r="327">
      <x:c r="A327" s="30" t="str">
        <x:v>PPCM326</x:v>
      </x:c>
      <x:c r="B327" s="30" t="str">
        <x:v>HOSPROV017</x:v>
      </x:c>
      <x:c r="C327" s="30" t="str">
        <x:v>CA063</x:v>
      </x:c>
      <x:c r="D327" s="30" t="str">
        <x:v>Yes</x:v>
      </x:c>
      <x:c r="E327" s="30"/>
    </x:row>
    <x:row r="328">
      <x:c r="A328" s="30" t="str">
        <x:v>PPCM327</x:v>
      </x:c>
      <x:c r="B328" s="30" t="str">
        <x:v>HOSPROV018</x:v>
      </x:c>
      <x:c r="C328" s="30" t="str">
        <x:v>CA009</x:v>
      </x:c>
      <x:c r="D328" s="30" t="str">
        <x:v>Yes</x:v>
      </x:c>
      <x:c r="E328" s="30"/>
    </x:row>
    <x:row r="329">
      <x:c r="A329" s="30" t="str">
        <x:v>PPCM328</x:v>
      </x:c>
      <x:c r="B329" s="30" t="str">
        <x:v>HOSPROV019</x:v>
      </x:c>
      <x:c r="C329" s="30" t="str">
        <x:v>CA009</x:v>
      </x:c>
      <x:c r="D329" s="30" t="str">
        <x:v>Yes</x:v>
      </x:c>
      <x:c r="E329" s="30"/>
    </x:row>
    <x:row r="330">
      <x:c r="A330" s="30" t="str">
        <x:v>PPCM329</x:v>
      </x:c>
      <x:c r="B330" s="30" t="str">
        <x:v>HOSPROV020</x:v>
      </x:c>
      <x:c r="C330" s="30" t="str">
        <x:v>CA044</x:v>
      </x:c>
      <x:c r="D330" s="30" t="str">
        <x:v>Yes</x:v>
      </x:c>
      <x:c r="E330" s="30"/>
    </x:row>
    <x:row r="331">
      <x:c r="A331" s="30" t="str">
        <x:v>PPCM330</x:v>
      </x:c>
      <x:c r="B331" s="30" t="str">
        <x:v>HOSPROV021</x:v>
      </x:c>
      <x:c r="C331" s="30" t="str">
        <x:v>CA044</x:v>
      </x:c>
      <x:c r="D331" s="30" t="str">
        <x:v>Yes</x:v>
      </x:c>
      <x:c r="E331" s="30"/>
    </x:row>
    <x:row r="332">
      <x:c r="A332" s="30" t="str">
        <x:v>PPCM331</x:v>
      </x:c>
      <x:c r="B332" s="30" t="str">
        <x:v>HOSPROV022</x:v>
      </x:c>
      <x:c r="C332" s="30" t="str">
        <x:v>CA044</x:v>
      </x:c>
      <x:c r="D332" s="30" t="str">
        <x:v>Yes</x:v>
      </x:c>
      <x:c r="E332" s="30"/>
    </x:row>
    <x:row r="333">
      <x:c r="A333" s="30" t="str">
        <x:v>PPCM332</x:v>
      </x:c>
      <x:c r="B333" s="30" t="str">
        <x:v>HOSPROV023</x:v>
      </x:c>
      <x:c r="C333" s="30" t="str">
        <x:v>CA008</x:v>
      </x:c>
      <x:c r="D333" s="30" t="str">
        <x:v>Yes</x:v>
      </x:c>
      <x:c r="E333" s="30"/>
    </x:row>
    <x:row r="334">
      <x:c r="A334" s="30" t="str">
        <x:v>PPCM333</x:v>
      </x:c>
      <x:c r="B334" s="30" t="str">
        <x:v>HOSPROV024</x:v>
      </x:c>
      <x:c r="C334" s="30" t="str">
        <x:v>CA008</x:v>
      </x:c>
      <x:c r="D334" s="30" t="str">
        <x:v>Yes</x:v>
      </x:c>
      <x:c r="E334" s="30"/>
    </x:row>
    <x:row r="335">
      <x:c r="A335" s="30" t="str">
        <x:v>PPCM334</x:v>
      </x:c>
      <x:c r="B335" s="30" t="str">
        <x:v>HOSPROV025</x:v>
      </x:c>
      <x:c r="C335" s="30" t="str">
        <x:v>CA020</x:v>
      </x:c>
      <x:c r="D335" s="30" t="str">
        <x:v>Yes</x:v>
      </x:c>
      <x:c r="E335" s="30"/>
    </x:row>
    <x:row r="336">
      <x:c r="A336" s="30" t="str">
        <x:v>PPCM335</x:v>
      </x:c>
      <x:c r="B336" s="30" t="str">
        <x:v>HOSPROV026</x:v>
      </x:c>
      <x:c r="C336" s="30" t="str">
        <x:v>CA009</x:v>
      </x:c>
      <x:c r="D336" s="30" t="str">
        <x:v>Yes</x:v>
      </x:c>
      <x:c r="E336" s="30"/>
    </x:row>
    <x:row r="337">
      <x:c r="A337" s="30" t="str">
        <x:v>PPCM336</x:v>
      </x:c>
      <x:c r="B337" s="30" t="str">
        <x:v>HOSPROV027</x:v>
      </x:c>
      <x:c r="C337" s="30" t="str">
        <x:v>CA009</x:v>
      </x:c>
      <x:c r="D337" s="30" t="str">
        <x:v>Yes</x:v>
      </x:c>
      <x:c r="E337" s="30"/>
    </x:row>
    <x:row r="338">
      <x:c r="A338" s="30" t="str">
        <x:v>PPCM337</x:v>
      </x:c>
      <x:c r="B338" s="30" t="str">
        <x:v>HOSPROV028</x:v>
      </x:c>
      <x:c r="C338" s="30" t="str">
        <x:v>CA009</x:v>
      </x:c>
      <x:c r="D338" s="30" t="str">
        <x:v>Yes</x:v>
      </x:c>
      <x:c r="E338" s="30"/>
    </x:row>
    <x:row r="339">
      <x:c r="A339" s="30" t="str">
        <x:v>PPCM338</x:v>
      </x:c>
      <x:c r="B339" s="30" t="str">
        <x:v>HOSPROV029</x:v>
      </x:c>
      <x:c r="C339" s="30" t="str">
        <x:v>CA020</x:v>
      </x:c>
      <x:c r="D339" s="30" t="str">
        <x:v>Yes</x:v>
      </x:c>
      <x:c r="E339" s="30"/>
    </x:row>
    <x:row r="340">
      <x:c r="A340" s="30" t="str">
        <x:v>PPCM339</x:v>
      </x:c>
      <x:c r="B340" s="30" t="str">
        <x:v>HOSPROV030</x:v>
      </x:c>
      <x:c r="C340" s="30" t="str">
        <x:v>CA009</x:v>
      </x:c>
      <x:c r="D340" s="30" t="str">
        <x:v>Yes</x:v>
      </x:c>
      <x:c r="E340" s="30"/>
    </x:row>
    <x:row r="341">
      <x:c r="A341" s="30" t="str">
        <x:v>PPCM340</x:v>
      </x:c>
      <x:c r="B341" s="30" t="str">
        <x:v>HOSPROV031</x:v>
      </x:c>
      <x:c r="C341" s="30" t="str">
        <x:v>CA009</x:v>
      </x:c>
      <x:c r="D341" s="30" t="str">
        <x:v>Yes</x:v>
      </x:c>
      <x:c r="E341" s="30"/>
    </x:row>
    <x:row r="342">
      <x:c r="A342" s="30" t="str">
        <x:v>PPCM341</x:v>
      </x:c>
      <x:c r="B342" s="30" t="str">
        <x:v>HOSPROV032</x:v>
      </x:c>
      <x:c r="C342" s="30" t="str">
        <x:v>CA009</x:v>
      </x:c>
      <x:c r="D342" s="30" t="str">
        <x:v>Yes</x:v>
      </x:c>
      <x:c r="E342" s="30"/>
    </x:row>
    <x:row r="343">
      <x:c r="A343" s="30" t="str">
        <x:v>PPCM342</x:v>
      </x:c>
      <x:c r="B343" s="30" t="str">
        <x:v>HOSPROV033</x:v>
      </x:c>
      <x:c r="C343" s="30" t="str">
        <x:v>CA083</x:v>
      </x:c>
      <x:c r="D343" s="30" t="str">
        <x:v>Yes</x:v>
      </x:c>
      <x:c r="E343" s="30"/>
    </x:row>
    <x:row r="344">
      <x:c r="A344" s="30" t="str">
        <x:v>PPCM343</x:v>
      </x:c>
      <x:c r="B344" s="30" t="str">
        <x:v>HOSPROV034</x:v>
      </x:c>
      <x:c r="C344" s="30" t="str">
        <x:v>CA072</x:v>
      </x:c>
      <x:c r="D344" s="30" t="str">
        <x:v>Yes</x:v>
      </x:c>
      <x:c r="E344" s="30"/>
    </x:row>
    <x:row r="345">
      <x:c r="A345" s="30" t="str">
        <x:v>PPCM344</x:v>
      </x:c>
      <x:c r="B345" s="30" t="str">
        <x:v>HOSPROV035</x:v>
      </x:c>
      <x:c r="C345" s="30" t="str">
        <x:v>CA072</x:v>
      </x:c>
      <x:c r="D345" s="30" t="str">
        <x:v>Yes</x:v>
      </x:c>
      <x:c r="E345" s="30"/>
    </x:row>
    <x:row r="346">
      <x:c r="A346" s="30" t="str">
        <x:v>PPCM345</x:v>
      </x:c>
      <x:c r="B346" s="30" t="str">
        <x:v>HOSPROV036</x:v>
      </x:c>
      <x:c r="C346" s="30" t="str">
        <x:v>CA072</x:v>
      </x:c>
      <x:c r="D346" s="30" t="str">
        <x:v>Yes</x:v>
      </x:c>
      <x:c r="E346" s="30"/>
    </x:row>
    <x:row r="347">
      <x:c r="A347" s="30" t="str">
        <x:v>PPCM346</x:v>
      </x:c>
      <x:c r="B347" s="30" t="str">
        <x:v>HOSPROV037</x:v>
      </x:c>
      <x:c r="C347" s="30" t="str">
        <x:v>CA072</x:v>
      </x:c>
      <x:c r="D347" s="30" t="str">
        <x:v>Yes</x:v>
      </x:c>
      <x:c r="E347" s="30"/>
    </x:row>
    <x:row r="348">
      <x:c r="A348" s="30" t="str">
        <x:v>PPCM347</x:v>
      </x:c>
      <x:c r="B348" s="30" t="str">
        <x:v>HOSPROV038</x:v>
      </x:c>
      <x:c r="C348" s="30" t="str">
        <x:v>CA071</x:v>
      </x:c>
      <x:c r="D348" s="30" t="str">
        <x:v>Yes</x:v>
      </x:c>
      <x:c r="E348" s="30"/>
    </x:row>
    <x:row r="349">
      <x:c r="A349" s="30" t="str">
        <x:v>PPCM348</x:v>
      </x:c>
      <x:c r="B349" s="30" t="str">
        <x:v>HOSPROV039</x:v>
      </x:c>
      <x:c r="C349" s="30" t="str">
        <x:v>CA071</x:v>
      </x:c>
      <x:c r="D349" s="30" t="str">
        <x:v>Yes</x:v>
      </x:c>
      <x:c r="E349" s="30"/>
    </x:row>
    <x:row r="350">
      <x:c r="A350" s="30" t="str">
        <x:v>PPCM349</x:v>
      </x:c>
      <x:c r="B350" s="30" t="str">
        <x:v>HOSPROV040</x:v>
      </x:c>
      <x:c r="C350" s="30" t="str">
        <x:v>CA071</x:v>
      </x:c>
      <x:c r="D350" s="30" t="str">
        <x:v>Yes</x:v>
      </x:c>
      <x:c r="E350" s="30"/>
    </x:row>
    <x:row r="351">
      <x:c r="A351" s="30" t="str">
        <x:v>PPCM350</x:v>
      </x:c>
      <x:c r="B351" s="30" t="str">
        <x:v>CPROV001</x:v>
      </x:c>
      <x:c r="C351" s="30" t="str">
        <x:v>CA071</x:v>
      </x:c>
      <x:c r="D351" s="30" t="str">
        <x:v>Yes</x:v>
      </x:c>
      <x:c r="E351" s="30"/>
    </x:row>
    <x:row r="352">
      <x:c r="A352" s="30" t="str">
        <x:v>PPCM351</x:v>
      </x:c>
      <x:c r="B352" s="30" t="str">
        <x:v>CPROV002</x:v>
      </x:c>
      <x:c r="C352" s="30" t="str">
        <x:v>CA071</x:v>
      </x:c>
      <x:c r="D352" s="30" t="str">
        <x:v>Yes</x:v>
      </x:c>
      <x:c r="E352" s="30"/>
    </x:row>
    <x:row r="353">
      <x:c r="A353" s="30" t="str">
        <x:v>PPCM352</x:v>
      </x:c>
      <x:c r="B353" s="30" t="str">
        <x:v>CPROV003</x:v>
      </x:c>
      <x:c r="C353" s="30" t="str">
        <x:v>CA071</x:v>
      </x:c>
      <x:c r="D353" s="30" t="str">
        <x:v>Yes</x:v>
      </x:c>
      <x:c r="E353" s="30"/>
    </x:row>
    <x:row r="354">
      <x:c r="A354" s="30" t="str">
        <x:v>PPCM353</x:v>
      </x:c>
      <x:c r="B354" s="30" t="str">
        <x:v>CPROV004</x:v>
      </x:c>
      <x:c r="C354" s="30" t="str">
        <x:v>CA077</x:v>
      </x:c>
      <x:c r="D354" s="30" t="str">
        <x:v>Yes</x:v>
      </x:c>
      <x:c r="E354" s="30"/>
    </x:row>
    <x:row r="355">
      <x:c r="A355" s="30" t="str">
        <x:v>PPCM354</x:v>
      </x:c>
      <x:c r="B355" s="30" t="str">
        <x:v>CPROV005</x:v>
      </x:c>
      <x:c r="C355" s="30" t="str">
        <x:v>CA019</x:v>
      </x:c>
      <x:c r="D355" s="30" t="str">
        <x:v>Yes</x:v>
      </x:c>
      <x:c r="E355" s="30"/>
    </x:row>
    <x:row r="356">
      <x:c r="A356" s="30" t="str">
        <x:v>PPCM355</x:v>
      </x:c>
      <x:c r="B356" s="30" t="str">
        <x:v>CPROV006</x:v>
      </x:c>
      <x:c r="C356" s="30" t="str">
        <x:v>CA096</x:v>
      </x:c>
      <x:c r="D356" s="30" t="str">
        <x:v>Yes</x:v>
      </x:c>
      <x:c r="E356" s="30"/>
    </x:row>
    <x:row r="357">
      <x:c r="A357" s="30" t="str">
        <x:v>PPCM356</x:v>
      </x:c>
      <x:c r="B357" s="30" t="str">
        <x:v>CPROV007</x:v>
      </x:c>
      <x:c r="C357" s="30" t="str">
        <x:v>CA097</x:v>
      </x:c>
      <x:c r="D357" s="30" t="str">
        <x:v>Yes</x:v>
      </x:c>
      <x:c r="E357" s="30"/>
    </x:row>
    <x:row r="358">
      <x:c r="A358" s="30" t="str">
        <x:v>PPCM357</x:v>
      </x:c>
      <x:c r="B358" s="30" t="str">
        <x:v>CPROV008</x:v>
      </x:c>
      <x:c r="C358" s="30" t="str">
        <x:v>CA098</x:v>
      </x:c>
      <x:c r="D358" s="30" t="str">
        <x:v>Yes</x:v>
      </x:c>
      <x:c r="E358" s="30"/>
    </x:row>
    <x:row r="359">
      <x:c r="A359" s="30" t="str">
        <x:v>PPCM358</x:v>
      </x:c>
      <x:c r="B359" s="30" t="str">
        <x:v>CPROV009</x:v>
      </x:c>
      <x:c r="C359" s="30" t="str">
        <x:v>CA083</x:v>
      </x:c>
      <x:c r="D359" s="30" t="str">
        <x:v>Yes</x:v>
      </x:c>
      <x:c r="E359" s="30"/>
    </x:row>
    <x:row r="360">
      <x:c r="A360" s="30" t="str">
        <x:v>PPCM359</x:v>
      </x:c>
      <x:c r="B360" s="30" t="str">
        <x:v>CPROV010</x:v>
      </x:c>
      <x:c r="C360" s="30" t="str">
        <x:v>CA099</x:v>
      </x:c>
      <x:c r="D360" s="30" t="str">
        <x:v>Yes</x:v>
      </x:c>
      <x:c r="E360" s="30"/>
    </x:row>
    <x:row r="361">
      <x:c r="A361" s="30" t="str">
        <x:v>PPCM360</x:v>
      </x:c>
      <x:c r="B361" s="30" t="str">
        <x:v>CPROV011</x:v>
      </x:c>
      <x:c r="C361" s="30" t="str">
        <x:v>CA100</x:v>
      </x:c>
      <x:c r="D361" s="30" t="str">
        <x:v>Yes</x:v>
      </x:c>
      <x:c r="E361" s="30"/>
    </x:row>
    <x:row r="362">
      <x:c r="A362" s="30" t="str">
        <x:v>PPCM361</x:v>
      </x:c>
      <x:c r="B362" s="30" t="str">
        <x:v>CPROV012</x:v>
      </x:c>
      <x:c r="C362" s="30" t="str">
        <x:v>CA084</x:v>
      </x:c>
      <x:c r="D362" s="30" t="str">
        <x:v>Yes</x:v>
      </x:c>
      <x:c r="E362" s="30"/>
    </x:row>
    <x:row r="363">
      <x:c r="A363" s="30" t="str">
        <x:v>PPCM362</x:v>
      </x:c>
      <x:c r="B363" s="30" t="str">
        <x:v>CPROV013</x:v>
      </x:c>
      <x:c r="C363" s="30" t="str">
        <x:v>CA088</x:v>
      </x:c>
      <x:c r="D363" s="30" t="str">
        <x:v>Yes</x:v>
      </x:c>
      <x:c r="E363" s="30"/>
    </x:row>
    <x:row r="364">
      <x:c r="A364" s="30" t="str">
        <x:v>PPCM363</x:v>
      </x:c>
      <x:c r="B364" s="30" t="str">
        <x:v>CPROV014</x:v>
      </x:c>
      <x:c r="C364" s="30" t="str">
        <x:v>CA086</x:v>
      </x:c>
      <x:c r="D364" s="30" t="str">
        <x:v>Yes</x:v>
      </x:c>
      <x:c r="E364" s="30"/>
    </x:row>
    <x:row r="365">
      <x:c r="A365" s="30" t="str">
        <x:v>PPCM364</x:v>
      </x:c>
      <x:c r="B365" s="30" t="str">
        <x:v>CPROV015</x:v>
      </x:c>
      <x:c r="C365" s="30" t="str">
        <x:v>CA087</x:v>
      </x:c>
      <x:c r="D365" s="30" t="str">
        <x:v>Yes</x:v>
      </x:c>
      <x:c r="E365" s="30"/>
    </x:row>
    <x:row r="366">
      <x:c r="A366" s="30" t="str">
        <x:v>PPCM365</x:v>
      </x:c>
      <x:c r="B366" s="30" t="str">
        <x:v>CPROV016</x:v>
      </x:c>
      <x:c r="C366" s="30" t="str">
        <x:v>CA083</x:v>
      </x:c>
      <x:c r="D366" s="30" t="str">
        <x:v>Yes</x:v>
      </x:c>
      <x:c r="E366" s="30"/>
    </x:row>
    <x:row r="367">
      <x:c r="A367" s="30" t="str">
        <x:v>PPCM366</x:v>
      </x:c>
      <x:c r="B367" s="30" t="str">
        <x:v>CPROV017</x:v>
      </x:c>
      <x:c r="C367" s="30" t="str">
        <x:v>CA097</x:v>
      </x:c>
      <x:c r="D367" s="30" t="str">
        <x:v>Yes</x:v>
      </x:c>
      <x:c r="E367" s="30"/>
    </x:row>
    <x:row r="368">
      <x:c r="A368" s="30" t="str">
        <x:v>PPCM367</x:v>
      </x:c>
      <x:c r="B368" s="30" t="str">
        <x:v>CPROV018</x:v>
      </x:c>
      <x:c r="C368" s="30" t="str">
        <x:v>CA089</x:v>
      </x:c>
      <x:c r="D368" s="30" t="str">
        <x:v>Yes</x:v>
      </x:c>
      <x:c r="E368" s="30"/>
    </x:row>
    <x:row r="369">
      <x:c r="A369" s="30" t="str">
        <x:v>PPCM368</x:v>
      </x:c>
      <x:c r="B369" s="30" t="str">
        <x:v>CPROV019</x:v>
      </x:c>
      <x:c r="C369" s="30" t="str">
        <x:v>CA018</x:v>
      </x:c>
      <x:c r="D369" s="30" t="str">
        <x:v>Yes</x:v>
      </x:c>
      <x:c r="E369" s="30"/>
    </x:row>
    <x:row r="370">
      <x:c r="A370" s="30" t="str">
        <x:v>PPCM369</x:v>
      </x:c>
      <x:c r="B370" s="30" t="str">
        <x:v>CPROV020</x:v>
      </x:c>
      <x:c r="C370" s="30" t="str">
        <x:v>CA018</x:v>
      </x:c>
      <x:c r="D370" s="30" t="str">
        <x:v>Yes</x:v>
      </x:c>
      <x:c r="E370" s="30"/>
    </x:row>
    <x:row r="371">
      <x:c r="A371" s="30" t="str">
        <x:v>PPCM370</x:v>
      </x:c>
      <x:c r="B371" s="30" t="str">
        <x:v>EPROV001</x:v>
      </x:c>
      <x:c r="C371" s="30" t="str">
        <x:v>CA034</x:v>
      </x:c>
      <x:c r="D371" s="30" t="str">
        <x:v>Yes</x:v>
      </x:c>
      <x:c r="E371" s="30"/>
    </x:row>
    <x:row r="372">
      <x:c r="A372" s="30" t="str">
        <x:v>PPCM371</x:v>
      </x:c>
      <x:c r="B372" s="30" t="str">
        <x:v>EPROV002</x:v>
      </x:c>
      <x:c r="C372" s="30" t="str">
        <x:v>CA033</x:v>
      </x:c>
      <x:c r="D372" s="30" t="str">
        <x:v>Yes</x:v>
      </x:c>
      <x:c r="E372" s="30"/>
    </x:row>
    <x:row r="373">
      <x:c r="A373" s="30" t="str">
        <x:v>PPCM372</x:v>
      </x:c>
      <x:c r="B373" s="30" t="str">
        <x:v>EPROV003</x:v>
      </x:c>
      <x:c r="C373" s="30" t="str">
        <x:v>CA033</x:v>
      </x:c>
      <x:c r="D373" s="30" t="str">
        <x:v>Yes</x:v>
      </x:c>
      <x:c r="E373" s="30"/>
    </x:row>
    <x:row r="374">
      <x:c r="A374" s="30" t="str">
        <x:v>PPCM373</x:v>
      </x:c>
      <x:c r="B374" s="30" t="str">
        <x:v>EPROV004</x:v>
      </x:c>
      <x:c r="C374" s="30" t="str">
        <x:v>CA033</x:v>
      </x:c>
      <x:c r="D374" s="30" t="str">
        <x:v>Yes</x:v>
      </x:c>
      <x:c r="E374" s="30"/>
    </x:row>
    <x:row r="375">
      <x:c r="A375" s="30" t="str">
        <x:v>PPCM374</x:v>
      </x:c>
      <x:c r="B375" s="30" t="str">
        <x:v>EPROV005</x:v>
      </x:c>
      <x:c r="C375" s="30" t="str">
        <x:v>CA033</x:v>
      </x:c>
      <x:c r="D375" s="30" t="str">
        <x:v>Yes</x:v>
      </x:c>
      <x:c r="E375" s="30"/>
    </x:row>
    <x:row r="376">
      <x:c r="A376" s="30" t="str">
        <x:v>PPCM375</x:v>
      </x:c>
      <x:c r="B376" s="30" t="str">
        <x:v>EPROV006</x:v>
      </x:c>
      <x:c r="C376" s="30" t="str">
        <x:v>CA033</x:v>
      </x:c>
      <x:c r="D376" s="30" t="str">
        <x:v>Yes</x:v>
      </x:c>
      <x:c r="E376" s="30"/>
    </x:row>
    <x:row r="377">
      <x:c r="A377" s="30" t="str">
        <x:v>PPCM376</x:v>
      </x:c>
      <x:c r="B377" s="30" t="str">
        <x:v>EPROV007</x:v>
      </x:c>
      <x:c r="C377" s="30" t="str">
        <x:v>CA033</x:v>
      </x:c>
      <x:c r="D377" s="30" t="str">
        <x:v>Yes</x:v>
      </x:c>
      <x:c r="E377" s="30"/>
    </x:row>
    <x:row r="378">
      <x:c r="A378" s="30" t="str">
        <x:v>PPCM377</x:v>
      </x:c>
      <x:c r="B378" s="30" t="str">
        <x:v>EPROV008</x:v>
      </x:c>
      <x:c r="C378" s="30" t="str">
        <x:v>CA033</x:v>
      </x:c>
      <x:c r="D378" s="30" t="str">
        <x:v>Yes</x:v>
      </x:c>
      <x:c r="E378" s="30"/>
    </x:row>
    <x:row r="379">
      <x:c r="A379" s="30" t="str">
        <x:v>PPCM378</x:v>
      </x:c>
      <x:c r="B379" s="30" t="str">
        <x:v>EPROV009</x:v>
      </x:c>
      <x:c r="C379" s="30" t="str">
        <x:v>CA033</x:v>
      </x:c>
      <x:c r="D379" s="30" t="str">
        <x:v>Yes</x:v>
      </x:c>
      <x:c r="E379" s="30"/>
    </x:row>
    <x:row r="380">
      <x:c r="A380" s="30" t="str">
        <x:v>PPCM379</x:v>
      </x:c>
      <x:c r="B380" s="30" t="str">
        <x:v>EPROV010</x:v>
      </x:c>
      <x:c r="C380" s="30" t="str">
        <x:v>CA033</x:v>
      </x:c>
      <x:c r="D380" s="30" t="str">
        <x:v>Yes</x:v>
      </x:c>
      <x:c r="E380" s="30"/>
    </x:row>
    <x:row r="381">
      <x:c r="A381" s="30" t="str">
        <x:v>PPCM380</x:v>
      </x:c>
      <x:c r="B381" s="30" t="str">
        <x:v>EPROV011</x:v>
      </x:c>
      <x:c r="C381" s="30" t="str">
        <x:v>CA033</x:v>
      </x:c>
      <x:c r="D381" s="30" t="str">
        <x:v>Yes</x:v>
      </x:c>
      <x:c r="E381" s="30"/>
    </x:row>
    <x:row r="382">
      <x:c r="A382" s="30" t="str">
        <x:v>PPCM381</x:v>
      </x:c>
      <x:c r="B382" s="30" t="str">
        <x:v>EPROV012</x:v>
      </x:c>
      <x:c r="C382" s="30" t="str">
        <x:v>CA033</x:v>
      </x:c>
      <x:c r="D382" s="30" t="str">
        <x:v>Yes</x:v>
      </x:c>
      <x:c r="E382" s="30"/>
    </x:row>
    <x:row r="383">
      <x:c r="A383" s="30" t="str">
        <x:v>PPCM382</x:v>
      </x:c>
      <x:c r="B383" s="30" t="str">
        <x:v>EPROV013</x:v>
      </x:c>
      <x:c r="C383" s="30" t="str">
        <x:v>CA033</x:v>
      </x:c>
      <x:c r="D383" s="30" t="str">
        <x:v>Yes</x:v>
      </x:c>
      <x:c r="E383" s="30"/>
    </x:row>
    <x:row r="384">
      <x:c r="A384" s="30" t="str">
        <x:v>PPCM383</x:v>
      </x:c>
      <x:c r="B384" s="30" t="str">
        <x:v>EPROV014</x:v>
      </x:c>
      <x:c r="C384" s="30" t="str">
        <x:v>CA033</x:v>
      </x:c>
      <x:c r="D384" s="30" t="str">
        <x:v>Yes</x:v>
      </x:c>
      <x:c r="E384" s="30"/>
    </x:row>
    <x:row r="385">
      <x:c r="A385" s="30" t="str">
        <x:v>PPCM384</x:v>
      </x:c>
      <x:c r="B385" s="30" t="str">
        <x:v>EPROV015</x:v>
      </x:c>
      <x:c r="C385" s="30" t="str">
        <x:v>CA033</x:v>
      </x:c>
      <x:c r="D385" s="30" t="str">
        <x:v>Yes</x:v>
      </x:c>
      <x:c r="E385" s="30"/>
    </x:row>
    <x:row r="386">
      <x:c r="A386" s="30" t="str">
        <x:v>PPCM385</x:v>
      </x:c>
      <x:c r="B386" s="30" t="str">
        <x:v>EPROV016</x:v>
      </x:c>
      <x:c r="C386" s="30" t="str">
        <x:v>CA033</x:v>
      </x:c>
      <x:c r="D386" s="30" t="str">
        <x:v>Yes</x:v>
      </x:c>
      <x:c r="E386" s="30"/>
    </x:row>
    <x:row r="387">
      <x:c r="A387" s="30" t="str">
        <x:v>PPCM386</x:v>
      </x:c>
      <x:c r="B387" s="30" t="str">
        <x:v>EPROV017</x:v>
      </x:c>
      <x:c r="C387" s="30" t="str">
        <x:v>CA033</x:v>
      </x:c>
      <x:c r="D387" s="30" t="str">
        <x:v>Yes</x:v>
      </x:c>
      <x:c r="E387" s="30"/>
    </x:row>
    <x:row r="388">
      <x:c r="A388" s="30" t="str">
        <x:v>PPCM387</x:v>
      </x:c>
      <x:c r="B388" s="30" t="str">
        <x:v>EPROV018</x:v>
      </x:c>
      <x:c r="C388" s="30" t="str">
        <x:v>CA033</x:v>
      </x:c>
      <x:c r="D388" s="30" t="str">
        <x:v>Yes</x:v>
      </x:c>
      <x:c r="E388" s="30"/>
    </x:row>
    <x:row r="389">
      <x:c r="A389" s="30" t="str">
        <x:v>PPCM388</x:v>
      </x:c>
      <x:c r="B389" s="30" t="str">
        <x:v>EPROV019</x:v>
      </x:c>
      <x:c r="C389" s="30" t="str">
        <x:v>CA033</x:v>
      </x:c>
      <x:c r="D389" s="30" t="str">
        <x:v>Yes</x:v>
      </x:c>
      <x:c r="E389" s="30"/>
    </x:row>
    <x:row r="390">
      <x:c r="A390" s="30" t="str">
        <x:v>PPCM389</x:v>
      </x:c>
      <x:c r="B390" s="30" t="str">
        <x:v>EPROV020</x:v>
      </x:c>
      <x:c r="C390" s="30" t="str">
        <x:v>CA033</x:v>
      </x:c>
      <x:c r="D390" s="30" t="str">
        <x:v>Yes</x:v>
      </x:c>
      <x:c r="E390" s="30"/>
    </x:row>
    <x:row r="391">
      <x:c r="A391" s="30" t="str">
        <x:v>PPCM390</x:v>
      </x:c>
      <x:c r="B391" s="30" t="str">
        <x:v>EPROV021</x:v>
      </x:c>
      <x:c r="C391" s="30" t="str">
        <x:v>CA033</x:v>
      </x:c>
      <x:c r="D391" s="30" t="str">
        <x:v>Yes</x:v>
      </x:c>
      <x:c r="E391" s="30"/>
    </x:row>
    <x:row r="392">
      <x:c r="A392" s="30" t="str">
        <x:v>PPCM391</x:v>
      </x:c>
      <x:c r="B392" s="30" t="str">
        <x:v>EPROV022</x:v>
      </x:c>
      <x:c r="C392" s="30" t="str">
        <x:v>CA033</x:v>
      </x:c>
      <x:c r="D392" s="30" t="str">
        <x:v>Yes</x:v>
      </x:c>
      <x:c r="E392" s="30"/>
    </x:row>
    <x:row r="393">
      <x:c r="A393" s="30" t="str">
        <x:v>PPCM392</x:v>
      </x:c>
      <x:c r="B393" s="30" t="str">
        <x:v>EPROV023</x:v>
      </x:c>
      <x:c r="C393" s="30" t="str">
        <x:v>CA033</x:v>
      </x:c>
      <x:c r="D393" s="30" t="str">
        <x:v>Yes</x:v>
      </x:c>
      <x:c r="E393" s="30"/>
    </x:row>
    <x:row r="394">
      <x:c r="A394" s="30" t="str">
        <x:v>PPCM393</x:v>
      </x:c>
      <x:c r="B394" s="30" t="str">
        <x:v>EPROV024</x:v>
      </x:c>
      <x:c r="C394" s="30" t="str">
        <x:v>CA008</x:v>
      </x:c>
      <x:c r="D394" s="30" t="str">
        <x:v>Yes</x:v>
      </x:c>
      <x:c r="E394" s="30"/>
    </x:row>
    <x:row r="395">
      <x:c r="A395" s="30" t="str">
        <x:v>PPCM394</x:v>
      </x:c>
      <x:c r="B395" s="30" t="str">
        <x:v>EPROV025</x:v>
      </x:c>
      <x:c r="C395" s="30" t="str">
        <x:v>CA008</x:v>
      </x:c>
      <x:c r="D395" s="30" t="str">
        <x:v>Yes</x:v>
      </x:c>
      <x:c r="E395" s="30"/>
    </x:row>
    <x:row r="396">
      <x:c r="A396" s="30" t="str">
        <x:v>PPCM395</x:v>
      </x:c>
      <x:c r="B396" s="30" t="str">
        <x:v>EPROV026</x:v>
      </x:c>
      <x:c r="C396" s="30" t="str">
        <x:v>CA009</x:v>
      </x:c>
      <x:c r="D396" s="30" t="str">
        <x:v>Yes</x:v>
      </x:c>
      <x:c r="E396" s="30"/>
    </x:row>
    <x:row r="397">
      <x:c r="A397" s="30" t="str">
        <x:v>PPCM396</x:v>
      </x:c>
      <x:c r="B397" s="30" t="str">
        <x:v>EPROV027</x:v>
      </x:c>
      <x:c r="C397" s="30" t="str">
        <x:v>CA010</x:v>
      </x:c>
      <x:c r="D397" s="30" t="str">
        <x:v>Yes</x:v>
      </x:c>
      <x:c r="E397" s="30"/>
    </x:row>
    <x:row r="398">
      <x:c r="A398" s="30" t="str">
        <x:v>PPCM397</x:v>
      </x:c>
      <x:c r="B398" s="30" t="str">
        <x:v>EPROV028</x:v>
      </x:c>
      <x:c r="C398" s="30" t="str">
        <x:v>CA019</x:v>
      </x:c>
      <x:c r="D398" s="30" t="str">
        <x:v>Yes</x:v>
      </x:c>
      <x:c r="E398" s="30"/>
    </x:row>
    <x:row r="399">
      <x:c r="A399" s="30" t="str">
        <x:v>PPCM398</x:v>
      </x:c>
      <x:c r="B399" s="30" t="str">
        <x:v>EPROV029</x:v>
      </x:c>
      <x:c r="C399" s="30" t="str">
        <x:v>CA010</x:v>
      </x:c>
      <x:c r="D399" s="30" t="str">
        <x:v>Yes</x:v>
      </x:c>
      <x:c r="E399" s="30"/>
    </x:row>
    <x:row r="400">
      <x:c r="A400" s="30" t="str">
        <x:v>PPCM399</x:v>
      </x:c>
      <x:c r="B400" s="30" t="str">
        <x:v>EPROV030</x:v>
      </x:c>
      <x:c r="C400" s="30" t="str">
        <x:v>CA019</x:v>
      </x:c>
      <x:c r="D400" s="30" t="str">
        <x:v>Yes</x:v>
      </x:c>
      <x:c r="E400" s="30"/>
    </x:row>
    <x:row r="401">
      <x:c r="A401" s="30" t="str">
        <x:v>PPCM400</x:v>
      </x:c>
      <x:c r="B401" s="30" t="str">
        <x:v>EPROV031</x:v>
      </x:c>
      <x:c r="C401" s="30" t="str">
        <x:v>CA012</x:v>
      </x:c>
      <x:c r="D401" s="30" t="str">
        <x:v>Yes</x:v>
      </x:c>
      <x:c r="E401" s="30"/>
    </x:row>
    <x:row r="402">
      <x:c r="A402" s="30" t="str">
        <x:v>PPCM401</x:v>
      </x:c>
      <x:c r="B402" s="30" t="str">
        <x:v>EPROV032</x:v>
      </x:c>
      <x:c r="C402" s="30" t="str">
        <x:v>CA002</x:v>
      </x:c>
      <x:c r="D402" s="30" t="str">
        <x:v>Yes</x:v>
      </x:c>
      <x:c r="E402" s="30"/>
    </x:row>
    <x:row r="403">
      <x:c r="A403" s="30" t="str">
        <x:v>PPCM402</x:v>
      </x:c>
      <x:c r="B403" s="30" t="str">
        <x:v>EPROV033</x:v>
      </x:c>
      <x:c r="C403" s="30" t="str">
        <x:v>CA002</x:v>
      </x:c>
      <x:c r="D403" s="30" t="str">
        <x:v>Yes</x:v>
      </x:c>
      <x:c r="E403" s="30"/>
    </x:row>
    <x:row r="404">
      <x:c r="A404" s="30" t="str">
        <x:v>PPCM403</x:v>
      </x:c>
      <x:c r="B404" s="30" t="str">
        <x:v>EPROV034</x:v>
      </x:c>
      <x:c r="C404" s="30" t="str">
        <x:v>CA002</x:v>
      </x:c>
      <x:c r="D404" s="30" t="str">
        <x:v>Yes</x:v>
      </x:c>
      <x:c r="E404" s="30"/>
    </x:row>
    <x:row r="405">
      <x:c r="A405" s="30" t="str">
        <x:v>PPCM404</x:v>
      </x:c>
      <x:c r="B405" s="30" t="str">
        <x:v>EPROV035</x:v>
      </x:c>
      <x:c r="C405" s="30" t="str">
        <x:v>CA003</x:v>
      </x:c>
      <x:c r="D405" s="30" t="str">
        <x:v>Yes</x:v>
      </x:c>
      <x:c r="E405" s="30"/>
    </x:row>
    <x:row r="406">
      <x:c r="A406" s="30" t="str">
        <x:v>PPCM405</x:v>
      </x:c>
      <x:c r="B406" s="30" t="str">
        <x:v>EPROV036</x:v>
      </x:c>
      <x:c r="C406" s="30" t="str">
        <x:v>CA077</x:v>
      </x:c>
      <x:c r="D406" s="30" t="str">
        <x:v>Yes</x:v>
      </x:c>
      <x:c r="E406" s="30"/>
    </x:row>
    <x:row r="407">
      <x:c r="A407" s="30" t="str">
        <x:v>PPCM406</x:v>
      </x:c>
      <x:c r="B407" s="30" t="str">
        <x:v>EPROV037</x:v>
      </x:c>
      <x:c r="C407" s="30" t="str">
        <x:v>CA084</x:v>
      </x:c>
      <x:c r="D407" s="30" t="str">
        <x:v>Yes</x:v>
      </x:c>
      <x:c r="E407" s="30"/>
    </x:row>
    <x:row r="408">
      <x:c r="A408" s="30" t="str">
        <x:v>PPCM407</x:v>
      </x:c>
      <x:c r="B408" s="30" t="str">
        <x:v>EPROV038</x:v>
      </x:c>
      <x:c r="C408" s="30" t="str">
        <x:v>CA084</x:v>
      </x:c>
      <x:c r="D408" s="30" t="str">
        <x:v>Yes</x:v>
      </x:c>
      <x:c r="E408" s="30"/>
    </x:row>
    <x:row r="409">
      <x:c r="A409" s="30" t="str">
        <x:v>PPCM408</x:v>
      </x:c>
      <x:c r="B409" s="30" t="str">
        <x:v>EPROV039</x:v>
      </x:c>
      <x:c r="C409" s="30" t="str">
        <x:v>CA084</x:v>
      </x:c>
      <x:c r="D409" s="30" t="str">
        <x:v>Yes</x:v>
      </x:c>
      <x:c r="E409" s="30"/>
    </x:row>
    <x:row r="410">
      <x:c r="A410" s="30" t="str">
        <x:v>PPCM409</x:v>
      </x:c>
      <x:c r="B410" s="30" t="str">
        <x:v>EPROV040</x:v>
      </x:c>
      <x:c r="C410" s="30" t="str">
        <x:v>CA003</x:v>
      </x:c>
      <x:c r="D410" s="30" t="str">
        <x:v>Yes</x:v>
      </x:c>
      <x:c r="E410" s="30"/>
    </x:row>
    <x:row r="411">
      <x:c r="A411" s="30" t="str">
        <x:v>PPCM410</x:v>
      </x:c>
      <x:c r="B411" s="30" t="str">
        <x:v>EPROV041</x:v>
      </x:c>
      <x:c r="C411" s="30" t="str">
        <x:v>CA003</x:v>
      </x:c>
      <x:c r="D411" s="30" t="str">
        <x:v>Yes</x:v>
      </x:c>
      <x:c r="E411" s="30"/>
    </x:row>
    <x:row r="412">
      <x:c r="A412" s="30" t="str">
        <x:v>PPCM411</x:v>
      </x:c>
      <x:c r="B412" s="30" t="str">
        <x:v>EPROV042</x:v>
      </x:c>
      <x:c r="C412" s="30" t="str">
        <x:v>CA049</x:v>
      </x:c>
      <x:c r="D412" s="30" t="str">
        <x:v>Yes</x:v>
      </x:c>
      <x:c r="E412" s="30"/>
    </x:row>
    <x:row r="413">
      <x:c r="A413" s="30" t="str">
        <x:v>PPCM412</x:v>
      </x:c>
      <x:c r="B413" s="30" t="str">
        <x:v>EPROV043</x:v>
      </x:c>
      <x:c r="C413" s="30" t="str">
        <x:v>CA021</x:v>
      </x:c>
      <x:c r="D413" s="30" t="str">
        <x:v>Yes</x:v>
      </x:c>
      <x:c r="E413" s="30"/>
    </x:row>
    <x:row r="414">
      <x:c r="A414" s="30" t="str">
        <x:v>PPCM413</x:v>
      </x:c>
      <x:c r="B414" s="30" t="str">
        <x:v>EPROV044</x:v>
      </x:c>
      <x:c r="C414" s="30" t="str">
        <x:v>CA015</x:v>
      </x:c>
      <x:c r="D414" s="30" t="str">
        <x:v>Yes</x:v>
      </x:c>
      <x:c r="E414" s="30"/>
    </x:row>
    <x:row r="415">
      <x:c r="A415" s="30" t="str">
        <x:v>PPCM414</x:v>
      </x:c>
      <x:c r="B415" s="30" t="str">
        <x:v>EPROV045</x:v>
      </x:c>
      <x:c r="C415" s="30" t="str">
        <x:v>CA021</x:v>
      </x:c>
      <x:c r="D415" s="30" t="str">
        <x:v>Yes</x:v>
      </x:c>
      <x:c r="E415" s="30"/>
    </x:row>
    <x:row r="416">
      <x:c r="A416" s="30" t="str">
        <x:v>PPCM415</x:v>
      </x:c>
      <x:c r="B416" s="30" t="str">
        <x:v>EPROV046</x:v>
      </x:c>
      <x:c r="C416" s="30" t="str">
        <x:v>CA071</x:v>
      </x:c>
      <x:c r="D416" s="30" t="str">
        <x:v>Yes</x:v>
      </x:c>
      <x:c r="E416" s="30"/>
    </x:row>
    <x:row r="417">
      <x:c r="A417" s="30" t="str">
        <x:v>PPCM416</x:v>
      </x:c>
      <x:c r="B417" s="30" t="str">
        <x:v>EPROV047</x:v>
      </x:c>
      <x:c r="C417" s="30" t="str">
        <x:v>CA049</x:v>
      </x:c>
      <x:c r="D417" s="30" t="str">
        <x:v>Yes</x:v>
      </x:c>
      <x:c r="E417" s="30"/>
    </x:row>
    <x:row r="418">
      <x:c r="A418" s="30" t="str">
        <x:v>PPCM417</x:v>
      </x:c>
      <x:c r="B418" s="30" t="str">
        <x:v>EPROV048</x:v>
      </x:c>
      <x:c r="C418" s="30" t="str">
        <x:v>CA056</x:v>
      </x:c>
      <x:c r="D418" s="30" t="str">
        <x:v>Yes</x:v>
      </x:c>
      <x:c r="E418" s="30"/>
    </x:row>
    <x:row r="419">
      <x:c r="A419" s="30" t="str">
        <x:v>PPCM418</x:v>
      </x:c>
      <x:c r="B419" s="30" t="str">
        <x:v>EPROV049</x:v>
      </x:c>
      <x:c r="C419" s="30" t="str">
        <x:v>CA056</x:v>
      </x:c>
      <x:c r="D419" s="30" t="str">
        <x:v>Yes</x:v>
      </x:c>
      <x:c r="E419" s="30"/>
    </x:row>
    <x:row r="420">
      <x:c r="A420" s="30" t="str">
        <x:v>PPCM419</x:v>
      </x:c>
      <x:c r="B420" s="30" t="str">
        <x:v>EPROV050</x:v>
      </x:c>
      <x:c r="C420" s="30" t="str">
        <x:v>CA020</x:v>
      </x:c>
      <x:c r="D420" s="30" t="str">
        <x:v>Yes</x:v>
      </x:c>
      <x:c r="E420" s="30"/>
    </x:row>
    <x:row r="421">
      <x:c r="A421" s="30" t="str">
        <x:v>PPCM420</x:v>
      </x:c>
      <x:c r="B421" s="30" t="str">
        <x:v>IPROV001</x:v>
      </x:c>
      <x:c r="C421" s="30" t="str">
        <x:v>CA056</x:v>
      </x:c>
      <x:c r="D421" s="30" t="str">
        <x:v>Yes</x:v>
      </x:c>
      <x:c r="E421" s="30"/>
    </x:row>
    <x:row r="422">
      <x:c r="A422" s="30" t="str">
        <x:v>PPCM421</x:v>
      </x:c>
      <x:c r="B422" s="30" t="str">
        <x:v>IPROV002</x:v>
      </x:c>
      <x:c r="C422" s="30" t="str">
        <x:v>CA063</x:v>
      </x:c>
      <x:c r="D422" s="30" t="str">
        <x:v>Yes</x:v>
      </x:c>
      <x:c r="E422" s="30"/>
    </x:row>
    <x:row r="423">
      <x:c r="A423" s="30" t="str">
        <x:v>PPCM422</x:v>
      </x:c>
      <x:c r="B423" s="30" t="str">
        <x:v>IPROV003</x:v>
      </x:c>
      <x:c r="C423" s="30" t="str">
        <x:v>CA020</x:v>
      </x:c>
      <x:c r="D423" s="30" t="str">
        <x:v>Yes</x:v>
      </x:c>
      <x:c r="E423" s="30"/>
    </x:row>
    <x:row r="424">
      <x:c r="A424" s="30" t="str">
        <x:v>PPCM423</x:v>
      </x:c>
      <x:c r="B424" s="30" t="str">
        <x:v>IPROV004</x:v>
      </x:c>
      <x:c r="C424" s="30" t="str">
        <x:v>CA077</x:v>
      </x:c>
      <x:c r="D424" s="30" t="str">
        <x:v>Yes</x:v>
      </x:c>
      <x:c r="E424" s="30"/>
    </x:row>
    <x:row r="425">
      <x:c r="A425" s="30" t="str">
        <x:v>PPCM424</x:v>
      </x:c>
      <x:c r="B425" s="30" t="str">
        <x:v>IPROV005</x:v>
      </x:c>
      <x:c r="C425" s="30" t="str">
        <x:v>CA056</x:v>
      </x:c>
      <x:c r="D425" s="30" t="str">
        <x:v>Yes</x:v>
      </x:c>
      <x:c r="E425" s="30"/>
    </x:row>
    <x:row r="426">
      <x:c r="A426" s="30" t="str">
        <x:v>PPCM425</x:v>
      </x:c>
      <x:c r="B426" s="30" t="str">
        <x:v>IPROV006</x:v>
      </x:c>
      <x:c r="C426" s="30" t="str">
        <x:v>CA056</x:v>
      </x:c>
      <x:c r="D426" s="30" t="str">
        <x:v>Yes</x:v>
      </x:c>
      <x:c r="E426" s="30"/>
    </x:row>
    <x:row r="427">
      <x:c r="A427" s="30" t="str">
        <x:v>PPCM426</x:v>
      </x:c>
      <x:c r="B427" s="30" t="str">
        <x:v>IPROV007</x:v>
      </x:c>
      <x:c r="C427" s="30" t="str">
        <x:v>CA038</x:v>
      </x:c>
      <x:c r="D427" s="30" t="str">
        <x:v>Yes</x:v>
      </x:c>
      <x:c r="E427" s="30"/>
    </x:row>
    <x:row r="428">
      <x:c r="A428" s="30" t="str">
        <x:v>PPCM427</x:v>
      </x:c>
      <x:c r="B428" s="30" t="str">
        <x:v>IPROV008</x:v>
      </x:c>
      <x:c r="C428" s="30" t="str">
        <x:v>CA038</x:v>
      </x:c>
      <x:c r="D428" s="30" t="str">
        <x:v>Yes</x:v>
      </x:c>
      <x:c r="E428" s="30"/>
    </x:row>
    <x:row r="429">
      <x:c r="A429" s="30" t="str">
        <x:v>PPCM428</x:v>
      </x:c>
      <x:c r="B429" s="30" t="str">
        <x:v>IPROV009</x:v>
      </x:c>
      <x:c r="C429" s="30" t="str">
        <x:v>CA040</x:v>
      </x:c>
      <x:c r="D429" s="30" t="str">
        <x:v>Yes</x:v>
      </x:c>
      <x:c r="E429" s="30"/>
    </x:row>
    <x:row r="430">
      <x:c r="A430" s="30" t="str">
        <x:v>PPCM429</x:v>
      </x:c>
      <x:c r="B430" s="30" t="str">
        <x:v>IPROV010</x:v>
      </x:c>
      <x:c r="C430" s="30" t="str">
        <x:v>CA040</x:v>
      </x:c>
      <x:c r="D430" s="30" t="str">
        <x:v>Yes</x:v>
      </x:c>
      <x:c r="E430" s="30"/>
    </x:row>
    <x:row r="431">
      <x:c r="A431" s="30" t="str">
        <x:v>PPCM430</x:v>
      </x:c>
      <x:c r="B431" s="30" t="str">
        <x:v>IPROV011</x:v>
      </x:c>
      <x:c r="C431" s="30" t="str">
        <x:v>CA077</x:v>
      </x:c>
      <x:c r="D431" s="30" t="str">
        <x:v>Yes</x:v>
      </x:c>
      <x:c r="E431" s="30"/>
    </x:row>
    <x:row r="432">
      <x:c r="A432" s="30" t="str">
        <x:v>PPCM431</x:v>
      </x:c>
      <x:c r="B432" s="30" t="str">
        <x:v>IPROV012</x:v>
      </x:c>
      <x:c r="C432" s="30" t="str">
        <x:v>CA041</x:v>
      </x:c>
      <x:c r="D432" s="30" t="str">
        <x:v>Yes</x:v>
      </x:c>
      <x:c r="E432" s="30"/>
    </x:row>
    <x:row r="433">
      <x:c r="A433" s="30" t="str">
        <x:v>PPCM432</x:v>
      </x:c>
      <x:c r="B433" s="30" t="str">
        <x:v>IPROV013</x:v>
      </x:c>
      <x:c r="C433" s="30" t="str">
        <x:v>CA042</x:v>
      </x:c>
      <x:c r="D433" s="30" t="str">
        <x:v>Yes</x:v>
      </x:c>
      <x:c r="E433" s="30"/>
    </x:row>
    <x:row r="434">
      <x:c r="A434" s="30" t="str">
        <x:v>PPCM433</x:v>
      </x:c>
      <x:c r="B434" s="30" t="str">
        <x:v>IPROV014</x:v>
      </x:c>
      <x:c r="C434" s="30" t="str">
        <x:v>CA041</x:v>
      </x:c>
      <x:c r="D434" s="30" t="str">
        <x:v>Yes</x:v>
      </x:c>
      <x:c r="E434" s="30"/>
    </x:row>
    <x:row r="435">
      <x:c r="A435" s="30" t="str">
        <x:v>PPCM434</x:v>
      </x:c>
      <x:c r="B435" s="30" t="str">
        <x:v>IPROV015</x:v>
      </x:c>
      <x:c r="C435" s="30" t="str">
        <x:v>CA043</x:v>
      </x:c>
      <x:c r="D435" s="30" t="str">
        <x:v>Yes</x:v>
      </x:c>
      <x:c r="E435" s="30"/>
    </x:row>
    <x:row r="436">
      <x:c r="A436" s="30" t="str">
        <x:v>PPCM435</x:v>
      </x:c>
      <x:c r="B436" s="30" t="str">
        <x:v>IPROV016</x:v>
      </x:c>
      <x:c r="C436" s="30" t="str">
        <x:v>CA044</x:v>
      </x:c>
      <x:c r="D436" s="30" t="str">
        <x:v>Yes</x:v>
      </x:c>
      <x:c r="E436" s="30"/>
    </x:row>
    <x:row r="437">
      <x:c r="A437" s="30" t="str">
        <x:v>PPCM436</x:v>
      </x:c>
      <x:c r="B437" s="30" t="str">
        <x:v>IPROV017</x:v>
      </x:c>
      <x:c r="C437" s="30" t="str">
        <x:v>CA004</x:v>
      </x:c>
      <x:c r="D437" s="30" t="str">
        <x:v>Yes</x:v>
      </x:c>
      <x:c r="E437" s="30"/>
    </x:row>
    <x:row r="438">
      <x:c r="A438" s="30" t="str">
        <x:v>PPCM437</x:v>
      </x:c>
      <x:c r="B438" s="30" t="str">
        <x:v>IPROV018</x:v>
      </x:c>
      <x:c r="C438" s="30" t="str">
        <x:v>CA004</x:v>
      </x:c>
      <x:c r="D438" s="30" t="str">
        <x:v>Yes</x:v>
      </x:c>
      <x:c r="E438" s="30"/>
    </x:row>
    <x:row r="439">
      <x:c r="A439" s="30" t="str">
        <x:v>PPCM438</x:v>
      </x:c>
      <x:c r="B439" s="30" t="str">
        <x:v>IPROV019</x:v>
      </x:c>
      <x:c r="C439" s="30" t="str">
        <x:v>CA063</x:v>
      </x:c>
      <x:c r="D439" s="30" t="str">
        <x:v>Yes</x:v>
      </x:c>
      <x:c r="E439" s="30"/>
    </x:row>
    <x:row r="440">
      <x:c r="A440" s="30" t="str">
        <x:v>PPCM439</x:v>
      </x:c>
      <x:c r="B440" s="30" t="str">
        <x:v>IPROV020</x:v>
      </x:c>
      <x:c r="C440" s="30" t="str">
        <x:v>CA005</x:v>
      </x:c>
      <x:c r="D440" s="30" t="str">
        <x:v>Yes</x:v>
      </x:c>
      <x:c r="E440" s="30"/>
    </x:row>
    <x:row r="441">
      <x:c r="A441" s="30" t="str">
        <x:v>PPCM440</x:v>
      </x:c>
      <x:c r="B441" s="30" t="str">
        <x:v>SPROV001</x:v>
      </x:c>
      <x:c r="C441" s="30" t="str">
        <x:v>CA005</x:v>
      </x:c>
      <x:c r="D441" s="30" t="str">
        <x:v>Yes</x:v>
      </x:c>
      <x:c r="E441" s="30"/>
    </x:row>
    <x:row r="442">
      <x:c r="A442" s="30" t="str">
        <x:v>PPCM441</x:v>
      </x:c>
      <x:c r="B442" s="30" t="str">
        <x:v>SPROV002</x:v>
      </x:c>
      <x:c r="C442" s="30" t="str">
        <x:v>CA063</x:v>
      </x:c>
      <x:c r="D442" s="30" t="str">
        <x:v>Yes</x:v>
      </x:c>
      <x:c r="E442" s="30"/>
    </x:row>
    <x:row r="443">
      <x:c r="A443" s="30" t="str">
        <x:v>PPCM442</x:v>
      </x:c>
      <x:c r="B443" s="30" t="str">
        <x:v>SPROV003</x:v>
      </x:c>
      <x:c r="C443" s="30" t="str">
        <x:v>CA064</x:v>
      </x:c>
      <x:c r="D443" s="30" t="str">
        <x:v>Yes</x:v>
      </x:c>
      <x:c r="E443" s="30"/>
    </x:row>
    <x:row r="444">
      <x:c r="A444" s="30" t="str">
        <x:v>PPCM443</x:v>
      </x:c>
      <x:c r="B444" s="30" t="str">
        <x:v>SPROV004</x:v>
      </x:c>
      <x:c r="C444" s="30" t="str">
        <x:v>CA064</x:v>
      </x:c>
      <x:c r="D444" s="30" t="str">
        <x:v>Yes</x:v>
      </x:c>
      <x:c r="E444" s="30"/>
    </x:row>
    <x:row r="445">
      <x:c r="A445" s="30" t="str">
        <x:v>PPCM444</x:v>
      </x:c>
      <x:c r="B445" s="30" t="str">
        <x:v>SPROV005</x:v>
      </x:c>
      <x:c r="C445" s="30" t="str">
        <x:v>CA064</x:v>
      </x:c>
      <x:c r="D445" s="30" t="str">
        <x:v>Yes</x:v>
      </x:c>
      <x:c r="E445" s="30"/>
    </x:row>
    <x:row r="446">
      <x:c r="A446" s="30" t="str">
        <x:v>PPCM445</x:v>
      </x:c>
      <x:c r="B446" s="30" t="str">
        <x:v>SPROV006</x:v>
      </x:c>
      <x:c r="C446" s="30" t="str">
        <x:v>CA064</x:v>
      </x:c>
      <x:c r="D446" s="30" t="str">
        <x:v>Yes</x:v>
      </x:c>
      <x:c r="E446" s="30"/>
    </x:row>
    <x:row r="447">
      <x:c r="A447" s="30" t="str">
        <x:v>PPCM446</x:v>
      </x:c>
      <x:c r="B447" s="30" t="str">
        <x:v>SPROV007</x:v>
      </x:c>
      <x:c r="C447" s="30" t="str">
        <x:v>CA064</x:v>
      </x:c>
      <x:c r="D447" s="30" t="str">
        <x:v>Yes</x:v>
      </x:c>
      <x:c r="E447" s="30"/>
    </x:row>
    <x:row r="448">
      <x:c r="A448" s="30" t="str">
        <x:v>PPCM447</x:v>
      </x:c>
      <x:c r="B448" s="30" t="str">
        <x:v>SPROV008</x:v>
      </x:c>
      <x:c r="C448" s="30" t="str">
        <x:v>CA090</x:v>
      </x:c>
      <x:c r="D448" s="30" t="str">
        <x:v>Yes</x:v>
      </x:c>
      <x:c r="E448" s="30"/>
    </x:row>
    <x:row r="449">
      <x:c r="A449" s="30" t="str">
        <x:v>PPCM448</x:v>
      </x:c>
      <x:c r="B449" s="30" t="str">
        <x:v>SPROV009</x:v>
      </x:c>
      <x:c r="C449" s="30" t="str">
        <x:v>CA064</x:v>
      </x:c>
      <x:c r="D449" s="30" t="str">
        <x:v>Yes</x:v>
      </x:c>
      <x:c r="E449" s="30"/>
    </x:row>
    <x:row r="450">
      <x:c r="A450" s="30" t="str">
        <x:v>PPCM449</x:v>
      </x:c>
      <x:c r="B450" s="30" t="str">
        <x:v>SPROV010</x:v>
      </x:c>
      <x:c r="C450" s="30" t="str">
        <x:v>CA020</x:v>
      </x:c>
      <x:c r="D450" s="30" t="str">
        <x:v>Yes</x:v>
      </x:c>
      <x:c r="E450" s="30"/>
    </x:row>
    <x:row r="451">
      <x:c r="A451" s="30" t="str">
        <x:v>PPCM450</x:v>
      </x:c>
      <x:c r="B451" s="30" t="str">
        <x:v>SPROV011</x:v>
      </x:c>
      <x:c r="C451" s="30" t="str">
        <x:v>CA077</x:v>
      </x:c>
      <x:c r="D451" s="30" t="str">
        <x:v>Yes</x:v>
      </x:c>
      <x:c r="E451" s="30"/>
    </x:row>
    <x:row r="452">
      <x:c r="A452" s="30" t="str">
        <x:v>PPCM451</x:v>
      </x:c>
      <x:c r="B452" s="30" t="str">
        <x:v>SPROV012</x:v>
      </x:c>
      <x:c r="C452" s="30" t="str">
        <x:v>CA043</x:v>
      </x:c>
      <x:c r="D452" s="30" t="str">
        <x:v>Yes</x:v>
      </x:c>
      <x:c r="E452" s="30"/>
    </x:row>
    <x:row r="453">
      <x:c r="A453" s="30" t="str">
        <x:v>PPCM452</x:v>
      </x:c>
      <x:c r="B453" s="30" t="str">
        <x:v>SPROV013</x:v>
      </x:c>
      <x:c r="C453" s="30" t="str">
        <x:v>CA043</x:v>
      </x:c>
      <x:c r="D453" s="30" t="str">
        <x:v>Yes</x:v>
      </x:c>
      <x:c r="E453" s="30"/>
    </x:row>
    <x:row r="454">
      <x:c r="A454" s="30" t="str">
        <x:v>PPCM453</x:v>
      </x:c>
      <x:c r="B454" s="30" t="str">
        <x:v>SPROV014</x:v>
      </x:c>
      <x:c r="C454" s="30" t="str">
        <x:v>CA043</x:v>
      </x:c>
      <x:c r="D454" s="30" t="str">
        <x:v>Yes</x:v>
      </x:c>
      <x:c r="E454" s="30"/>
    </x:row>
    <x:row r="455">
      <x:c r="A455" s="30" t="str">
        <x:v>PPCM454</x:v>
      </x:c>
      <x:c r="B455" s="30" t="str">
        <x:v>SPROV015</x:v>
      </x:c>
      <x:c r="C455" s="30" t="str">
        <x:v>CA044</x:v>
      </x:c>
      <x:c r="D455" s="30" t="str">
        <x:v>Yes</x:v>
      </x:c>
      <x:c r="E455" s="30"/>
    </x:row>
    <x:row r="456">
      <x:c r="A456" s="30" t="str">
        <x:v>PPCM455</x:v>
      </x:c>
      <x:c r="B456" s="30" t="str">
        <x:v>SPROV016</x:v>
      </x:c>
      <x:c r="C456" s="30" t="str">
        <x:v>CA044</x:v>
      </x:c>
      <x:c r="D456" s="30" t="str">
        <x:v>Yes</x:v>
      </x:c>
      <x:c r="E456" s="30"/>
    </x:row>
    <x:row r="457">
      <x:c r="A457" s="30" t="str">
        <x:v>PPCM456</x:v>
      </x:c>
      <x:c r="B457" s="30" t="str">
        <x:v>SPROV017</x:v>
      </x:c>
      <x:c r="C457" s="30" t="str">
        <x:v>CA030</x:v>
      </x:c>
      <x:c r="D457" s="30" t="str">
        <x:v>Yes</x:v>
      </x:c>
      <x:c r="E457" s="30"/>
    </x:row>
    <x:row r="458">
      <x:c r="A458" s="30" t="str">
        <x:v>PPCM457</x:v>
      </x:c>
      <x:c r="B458" s="30" t="str">
        <x:v>SPROV018</x:v>
      </x:c>
      <x:c r="C458" s="30" t="str">
        <x:v>CA030</x:v>
      </x:c>
      <x:c r="D458" s="30" t="str">
        <x:v>Yes</x:v>
      </x:c>
      <x:c r="E458" s="30"/>
    </x:row>
    <x:row r="459">
      <x:c r="A459" s="30" t="str">
        <x:v>PPCM458</x:v>
      </x:c>
      <x:c r="B459" s="30" t="str">
        <x:v>SPROV019</x:v>
      </x:c>
      <x:c r="C459" s="30" t="str">
        <x:v>CA030</x:v>
      </x:c>
      <x:c r="D459" s="30" t="str">
        <x:v>Yes</x:v>
      </x:c>
      <x:c r="E459" s="30"/>
    </x:row>
    <x:row r="460">
      <x:c r="A460" s="30" t="str">
        <x:v>PPCM459</x:v>
      </x:c>
      <x:c r="B460" s="30" t="str">
        <x:v>SPROV020</x:v>
      </x:c>
      <x:c r="C460" s="30" t="str">
        <x:v>CA063</x:v>
      </x:c>
      <x:c r="D460" s="30" t="str">
        <x:v>Yes</x:v>
      </x:c>
      <x:c r="E460" s="30"/>
    </x:row>
    <x:row r="461">
      <x:c r="A461" s="30" t="str">
        <x:v>PPCM460</x:v>
      </x:c>
      <x:c r="B461" s="30" t="str">
        <x:v>SPROV021</x:v>
      </x:c>
      <x:c r="C461" s="30" t="str">
        <x:v>CA009</x:v>
      </x:c>
      <x:c r="D461" s="30" t="str">
        <x:v>Yes</x:v>
      </x:c>
      <x:c r="E461" s="30"/>
    </x:row>
    <x:row r="462">
      <x:c r="A462" s="30" t="str">
        <x:v>PPCM461</x:v>
      </x:c>
      <x:c r="B462" s="30" t="str">
        <x:v>SPROV022</x:v>
      </x:c>
      <x:c r="C462" s="30" t="str">
        <x:v>CA009</x:v>
      </x:c>
      <x:c r="D462" s="30" t="str">
        <x:v>Yes</x:v>
      </x:c>
      <x:c r="E462" s="30"/>
    </x:row>
    <x:row r="463">
      <x:c r="A463" s="30" t="str">
        <x:v>PPCM462</x:v>
      </x:c>
      <x:c r="B463" s="30" t="str">
        <x:v>SPROV023</x:v>
      </x:c>
      <x:c r="C463" s="30" t="str">
        <x:v>CA044</x:v>
      </x:c>
      <x:c r="D463" s="30" t="str">
        <x:v>Yes</x:v>
      </x:c>
      <x:c r="E463" s="30"/>
    </x:row>
    <x:row r="464">
      <x:c r="A464" s="30" t="str">
        <x:v>PPCM463</x:v>
      </x:c>
      <x:c r="B464" s="30" t="str">
        <x:v>SPROV024</x:v>
      </x:c>
      <x:c r="C464" s="30" t="str">
        <x:v>CA044</x:v>
      </x:c>
      <x:c r="D464" s="30" t="str">
        <x:v>Yes</x:v>
      </x:c>
      <x:c r="E464" s="30"/>
    </x:row>
    <x:row r="465">
      <x:c r="A465" s="30" t="str">
        <x:v>PPCM464</x:v>
      </x:c>
      <x:c r="B465" s="30" t="str">
        <x:v>SPROV025</x:v>
      </x:c>
      <x:c r="C465" s="30" t="str">
        <x:v>CA044</x:v>
      </x:c>
      <x:c r="D465" s="30" t="str">
        <x:v>Yes</x:v>
      </x:c>
      <x:c r="E465" s="30"/>
    </x:row>
    <x:row r="466">
      <x:c r="A466" s="30" t="str">
        <x:v>PPCM465</x:v>
      </x:c>
      <x:c r="B466" s="30" t="str">
        <x:v>SPROV026</x:v>
      </x:c>
      <x:c r="C466" s="30" t="str">
        <x:v>CA008</x:v>
      </x:c>
      <x:c r="D466" s="30" t="str">
        <x:v>Yes</x:v>
      </x:c>
      <x:c r="E466" s="30"/>
    </x:row>
    <x:row r="467">
      <x:c r="A467" s="30" t="str">
        <x:v>PPCM466</x:v>
      </x:c>
      <x:c r="B467" s="30" t="str">
        <x:v>SPROV027</x:v>
      </x:c>
      <x:c r="C467" s="30" t="str">
        <x:v>CA008</x:v>
      </x:c>
      <x:c r="D467" s="30" t="str">
        <x:v>Yes</x:v>
      </x:c>
      <x:c r="E467" s="30"/>
    </x:row>
    <x:row r="468">
      <x:c r="A468" s="30" t="str">
        <x:v>PPCM467</x:v>
      </x:c>
      <x:c r="B468" s="30" t="str">
        <x:v>SPROV028</x:v>
      </x:c>
      <x:c r="C468" s="30" t="str">
        <x:v>CA020</x:v>
      </x:c>
      <x:c r="D468" s="30" t="str">
        <x:v>Yes</x:v>
      </x:c>
      <x:c r="E468" s="30"/>
    </x:row>
    <x:row r="469">
      <x:c r="A469" s="30" t="str">
        <x:v>PPCM468</x:v>
      </x:c>
      <x:c r="B469" s="30" t="str">
        <x:v>SPROV029</x:v>
      </x:c>
      <x:c r="C469" s="30" t="str">
        <x:v>CA009</x:v>
      </x:c>
      <x:c r="D469" s="30" t="str">
        <x:v>Yes</x:v>
      </x:c>
      <x:c r="E469" s="30"/>
    </x:row>
    <x:row r="470">
      <x:c r="A470" s="30" t="str">
        <x:v>PPCM469</x:v>
      </x:c>
      <x:c r="B470" s="30" t="str">
        <x:v>SPROV030</x:v>
      </x:c>
      <x:c r="C470" s="30" t="str">
        <x:v>CA009</x:v>
      </x:c>
      <x:c r="D470" s="30" t="str">
        <x:v>Yes</x:v>
      </x:c>
      <x:c r="E470" s="30"/>
    </x:row>
    <x:row r="471">
      <x:c r="A471" s="30" t="str">
        <x:v>PPCM470</x:v>
      </x:c>
      <x:c r="B471" s="30" t="str">
        <x:v>HOMPROV001</x:v>
      </x:c>
      <x:c r="C471" s="30" t="str">
        <x:v>CA009</x:v>
      </x:c>
      <x:c r="D471" s="30" t="str">
        <x:v>Yes</x:v>
      </x:c>
      <x:c r="E471" s="30"/>
    </x:row>
    <x:row r="472">
      <x:c r="A472" s="30" t="str">
        <x:v>PPCM471</x:v>
      </x:c>
      <x:c r="B472" s="30" t="str">
        <x:v>HOMPROV002</x:v>
      </x:c>
      <x:c r="C472" s="30" t="str">
        <x:v>CA020</x:v>
      </x:c>
      <x:c r="D472" s="30" t="str">
        <x:v>Yes</x:v>
      </x:c>
      <x:c r="E472" s="30"/>
    </x:row>
    <x:row r="473">
      <x:c r="A473" s="30" t="str">
        <x:v>PPCM472</x:v>
      </x:c>
      <x:c r="B473" s="30" t="str">
        <x:v>HOMPROV003</x:v>
      </x:c>
      <x:c r="C473" s="30" t="str">
        <x:v>CA009</x:v>
      </x:c>
      <x:c r="D473" s="30" t="str">
        <x:v>Yes</x:v>
      </x:c>
      <x:c r="E473" s="30"/>
    </x:row>
    <x:row r="474">
      <x:c r="A474" s="30" t="str">
        <x:v>PPCM473</x:v>
      </x:c>
      <x:c r="B474" s="30" t="str">
        <x:v>HOMPROV004</x:v>
      </x:c>
      <x:c r="C474" s="30" t="str">
        <x:v>CA009</x:v>
      </x:c>
      <x:c r="D474" s="30" t="str">
        <x:v>Yes</x:v>
      </x:c>
      <x:c r="E474" s="30"/>
    </x:row>
    <x:row r="475">
      <x:c r="A475" s="30" t="str">
        <x:v>PPCM474</x:v>
      </x:c>
      <x:c r="B475" s="30" t="str">
        <x:v>HOMPROV005</x:v>
      </x:c>
      <x:c r="C475" s="30" t="str">
        <x:v>CA009</x:v>
      </x:c>
      <x:c r="D475" s="30" t="str">
        <x:v>Yes</x:v>
      </x:c>
      <x:c r="E475" s="30"/>
    </x:row>
    <x:row r="476">
      <x:c r="A476" s="30" t="str">
        <x:v>PPCM475</x:v>
      </x:c>
      <x:c r="B476" s="30" t="str">
        <x:v>HOMPROV006</x:v>
      </x:c>
      <x:c r="C476" s="30" t="str">
        <x:v>CA083</x:v>
      </x:c>
      <x:c r="D476" s="30" t="str">
        <x:v>Yes</x:v>
      </x:c>
      <x:c r="E476" s="30"/>
    </x:row>
    <x:row r="477">
      <x:c r="A477" s="30" t="str">
        <x:v>PPCM476</x:v>
      </x:c>
      <x:c r="B477" s="30" t="str">
        <x:v>HOMPROV007</x:v>
      </x:c>
      <x:c r="C477" s="30" t="str">
        <x:v>CA072</x:v>
      </x:c>
      <x:c r="D477" s="30" t="str">
        <x:v>Yes</x:v>
      </x:c>
      <x:c r="E477" s="30"/>
    </x:row>
    <x:row r="478">
      <x:c r="A478" s="30" t="str">
        <x:v>PPCM477</x:v>
      </x:c>
      <x:c r="B478" s="30" t="str">
        <x:v>HOMPROV008</x:v>
      </x:c>
      <x:c r="C478" s="30" t="str">
        <x:v>CA072</x:v>
      </x:c>
      <x:c r="D478" s="30" t="str">
        <x:v>Yes</x:v>
      </x:c>
      <x:c r="E478" s="30"/>
    </x:row>
    <x:row r="479">
      <x:c r="A479" s="30" t="str">
        <x:v>PPCM478</x:v>
      </x:c>
      <x:c r="B479" s="30" t="str">
        <x:v>HOMPROV009</x:v>
      </x:c>
      <x:c r="C479" s="30" t="str">
        <x:v>CA072</x:v>
      </x:c>
      <x:c r="D479" s="30" t="str">
        <x:v>Yes</x:v>
      </x:c>
      <x:c r="E479" s="30"/>
    </x:row>
    <x:row r="480">
      <x:c r="A480" s="30" t="str">
        <x:v>PPCM479</x:v>
      </x:c>
      <x:c r="B480" s="30" t="str">
        <x:v>HOMPROV010</x:v>
      </x:c>
      <x:c r="C480" s="30" t="str">
        <x:v>CA072</x:v>
      </x:c>
      <x:c r="D480" s="30" t="str">
        <x:v>Yes</x:v>
      </x:c>
      <x:c r="E480" s="30"/>
    </x:row>
    <x:row r="481">
      <x:c r="A481" s="30" t="str">
        <x:v>PPCM480</x:v>
      </x:c>
      <x:c r="B481" s="30" t="str">
        <x:v>HOMPROV011</x:v>
      </x:c>
      <x:c r="C481" s="30" t="str">
        <x:v>CA071</x:v>
      </x:c>
      <x:c r="D481" s="30" t="str">
        <x:v>Yes</x:v>
      </x:c>
      <x:c r="E481" s="30"/>
    </x:row>
    <x:row r="482">
      <x:c r="A482" s="30" t="str">
        <x:v>PPCM481</x:v>
      </x:c>
      <x:c r="B482" s="30" t="str">
        <x:v>HOMPROV012</x:v>
      </x:c>
      <x:c r="C482" s="30" t="str">
        <x:v>CA071</x:v>
      </x:c>
      <x:c r="D482" s="30" t="str">
        <x:v>Yes</x:v>
      </x:c>
      <x:c r="E482" s="30"/>
    </x:row>
    <x:row r="483">
      <x:c r="A483" s="30" t="str">
        <x:v>PPCM482</x:v>
      </x:c>
      <x:c r="B483" s="30" t="str">
        <x:v>HOMPROV013</x:v>
      </x:c>
      <x:c r="C483" s="30" t="str">
        <x:v>CA071</x:v>
      </x:c>
      <x:c r="D483" s="30" t="str">
        <x:v>Yes</x:v>
      </x:c>
      <x:c r="E483" s="30"/>
    </x:row>
    <x:row r="484">
      <x:c r="A484" s="30" t="str">
        <x:v>PPCM483</x:v>
      </x:c>
      <x:c r="B484" s="30" t="str">
        <x:v>HOMPROV014</x:v>
      </x:c>
      <x:c r="C484" s="30" t="str">
        <x:v>CA071</x:v>
      </x:c>
      <x:c r="D484" s="30" t="str">
        <x:v>Yes</x:v>
      </x:c>
      <x:c r="E484" s="30"/>
    </x:row>
    <x:row r="485">
      <x:c r="A485" s="30" t="str">
        <x:v>PPCM484</x:v>
      </x:c>
      <x:c r="B485" s="30" t="str">
        <x:v>HOMPROV015</x:v>
      </x:c>
      <x:c r="C485" s="30" t="str">
        <x:v>CA071</x:v>
      </x:c>
      <x:c r="D485" s="30" t="str">
        <x:v>Yes</x:v>
      </x:c>
      <x:c r="E485" s="30"/>
    </x:row>
    <x:row r="486">
      <x:c r="A486" s="30" t="str">
        <x:v>PPCM485</x:v>
      </x:c>
      <x:c r="B486" s="30" t="str">
        <x:v>HOMPROV016</x:v>
      </x:c>
      <x:c r="C486" s="30" t="str">
        <x:v>CA071</x:v>
      </x:c>
      <x:c r="D486" s="30" t="str">
        <x:v>Yes</x:v>
      </x:c>
      <x:c r="E486" s="30"/>
    </x:row>
    <x:row r="487">
      <x:c r="A487" s="30" t="str">
        <x:v>PPCM486</x:v>
      </x:c>
      <x:c r="B487" s="30" t="str">
        <x:v>HOMPROV017</x:v>
      </x:c>
      <x:c r="C487" s="30" t="str">
        <x:v>CA077</x:v>
      </x:c>
      <x:c r="D487" s="30" t="str">
        <x:v>Yes</x:v>
      </x:c>
      <x:c r="E487" s="30"/>
    </x:row>
    <x:row r="488">
      <x:c r="A488" s="30" t="str">
        <x:v>PPCM487</x:v>
      </x:c>
      <x:c r="B488" s="30" t="str">
        <x:v>HOMPROV018</x:v>
      </x:c>
      <x:c r="C488" s="30" t="str">
        <x:v>CA019</x:v>
      </x:c>
      <x:c r="D488" s="30" t="str">
        <x:v>Yes</x:v>
      </x:c>
      <x:c r="E488" s="30"/>
    </x:row>
    <x:row r="489">
      <x:c r="A489" s="30" t="str">
        <x:v>PPCM488</x:v>
      </x:c>
      <x:c r="B489" s="30" t="str">
        <x:v>HOMPROV019</x:v>
      </x:c>
      <x:c r="C489" s="30" t="str">
        <x:v>CA096</x:v>
      </x:c>
      <x:c r="D489" s="30" t="str">
        <x:v>Yes</x:v>
      </x:c>
      <x:c r="E489" s="30"/>
    </x:row>
    <x:row r="490">
      <x:c r="A490" s="30" t="str">
        <x:v>PPCM489</x:v>
      </x:c>
      <x:c r="B490" s="30" t="str">
        <x:v>HOMPROV020</x:v>
      </x:c>
      <x:c r="C490" s="30" t="str">
        <x:v>CA097</x:v>
      </x:c>
      <x:c r="D490" s="30" t="str">
        <x:v>Yes</x:v>
      </x:c>
      <x:c r="E490" s="30"/>
    </x:row>
    <x:row r="491">
      <x:c r="A491" s="30" t="str">
        <x:v>PPCM490</x:v>
      </x:c>
      <x:c r="B491" s="30" t="str">
        <x:v>APROV001</x:v>
      </x:c>
      <x:c r="C491" s="30" t="str">
        <x:v>CA098</x:v>
      </x:c>
      <x:c r="D491" s="30" t="str">
        <x:v>Yes</x:v>
      </x:c>
      <x:c r="E491" s="30"/>
    </x:row>
    <x:row r="492">
      <x:c r="A492" s="30" t="str">
        <x:v>PPCM491</x:v>
      </x:c>
      <x:c r="B492" s="30" t="str">
        <x:v>APROV002</x:v>
      </x:c>
      <x:c r="C492" s="30" t="str">
        <x:v>CA083</x:v>
      </x:c>
      <x:c r="D492" s="30" t="str">
        <x:v>Yes</x:v>
      </x:c>
      <x:c r="E492" s="30"/>
    </x:row>
    <x:row r="493">
      <x:c r="A493" s="30" t="str">
        <x:v>PPCM492</x:v>
      </x:c>
      <x:c r="B493" s="30" t="str">
        <x:v>APROV003</x:v>
      </x:c>
      <x:c r="C493" s="30" t="str">
        <x:v>CA099</x:v>
      </x:c>
      <x:c r="D493" s="30" t="str">
        <x:v>Yes</x:v>
      </x:c>
      <x:c r="E493" s="30"/>
    </x:row>
    <x:row r="494">
      <x:c r="A494" s="30" t="str">
        <x:v>PPCM493</x:v>
      </x:c>
      <x:c r="B494" s="30" t="str">
        <x:v>APROV004</x:v>
      </x:c>
      <x:c r="C494" s="30" t="str">
        <x:v>CA100</x:v>
      </x:c>
      <x:c r="D494" s="30" t="str">
        <x:v>Yes</x:v>
      </x:c>
      <x:c r="E494" s="30"/>
    </x:row>
    <x:row r="495">
      <x:c r="A495" s="30" t="str">
        <x:v>PPCM494</x:v>
      </x:c>
      <x:c r="B495" s="30" t="str">
        <x:v>APROV005</x:v>
      </x:c>
      <x:c r="C495" s="30" t="str">
        <x:v>CA084</x:v>
      </x:c>
      <x:c r="D495" s="30" t="str">
        <x:v>Yes</x:v>
      </x:c>
      <x:c r="E495" s="30"/>
    </x:row>
    <x:row r="496">
      <x:c r="A496" s="30" t="str">
        <x:v>PPCM495</x:v>
      </x:c>
      <x:c r="B496" s="30" t="str">
        <x:v>APROV006</x:v>
      </x:c>
      <x:c r="C496" s="30" t="str">
        <x:v>CA088</x:v>
      </x:c>
      <x:c r="D496" s="30" t="str">
        <x:v>Yes</x:v>
      </x:c>
      <x:c r="E496" s="30"/>
    </x:row>
    <x:row r="497">
      <x:c r="A497" s="30" t="str">
        <x:v>PPCM496</x:v>
      </x:c>
      <x:c r="B497" s="30" t="str">
        <x:v>APROV007</x:v>
      </x:c>
      <x:c r="C497" s="30" t="str">
        <x:v>CA086</x:v>
      </x:c>
      <x:c r="D497" s="30" t="str">
        <x:v>Yes</x:v>
      </x:c>
      <x:c r="E497" s="30"/>
    </x:row>
    <x:row r="498">
      <x:c r="A498" s="30" t="str">
        <x:v>PPCM497</x:v>
      </x:c>
      <x:c r="B498" s="30" t="str">
        <x:v>APROV008</x:v>
      </x:c>
      <x:c r="C498" s="30" t="str">
        <x:v>CA087</x:v>
      </x:c>
      <x:c r="D498" s="30" t="str">
        <x:v>Yes</x:v>
      </x:c>
      <x:c r="E498" s="30"/>
    </x:row>
    <x:row r="499">
      <x:c r="A499" s="30" t="str">
        <x:v>PPCM498</x:v>
      </x:c>
      <x:c r="B499" s="30" t="str">
        <x:v>APROV009</x:v>
      </x:c>
      <x:c r="C499" s="30" t="str">
        <x:v>CA083</x:v>
      </x:c>
      <x:c r="D499" s="30" t="str">
        <x:v>Yes</x:v>
      </x:c>
      <x:c r="E499" s="30"/>
    </x:row>
    <x:row r="500">
      <x:c r="A500" s="30" t="str">
        <x:v>PPCM499</x:v>
      </x:c>
      <x:c r="B500" s="30" t="str">
        <x:v>APROV010</x:v>
      </x:c>
      <x:c r="C500" s="30" t="str">
        <x:v>CA097</x:v>
      </x:c>
      <x:c r="D500" s="30" t="str">
        <x:v>Yes</x:v>
      </x:c>
      <x:c r="E500" s="30"/>
    </x:row>
    <x:row r="501">
      <x:c r="A501" s="30" t="str">
        <x:v>PPCM500</x:v>
      </x:c>
      <x:c r="B501" s="30" t="str">
        <x:v>APROV011</x:v>
      </x:c>
      <x:c r="C501" s="30" t="str">
        <x:v>CA089</x:v>
      </x:c>
      <x:c r="D501" s="30" t="str">
        <x:v>Yes</x:v>
      </x:c>
      <x:c r="E501" s="30"/>
    </x:row>
    <x:row r="502">
      <x:c r="A502" s="30" t="str">
        <x:v>PPCM501</x:v>
      </x:c>
      <x:c r="B502" s="30" t="str">
        <x:v>APROV012</x:v>
      </x:c>
      <x:c r="C502" s="30" t="str">
        <x:v>CA033</x:v>
      </x:c>
      <x:c r="D502" s="30" t="str">
        <x:v>Yes</x:v>
      </x:c>
      <x:c r="E502" s="30"/>
    </x:row>
    <x:row r="503">
      <x:c r="A503" s="30" t="str">
        <x:v>PPCM502</x:v>
      </x:c>
      <x:c r="B503" s="30" t="str">
        <x:v>APROV013</x:v>
      </x:c>
      <x:c r="C503" s="30" t="str">
        <x:v>CA033</x:v>
      </x:c>
      <x:c r="D503" s="30" t="str">
        <x:v>Yes</x:v>
      </x:c>
      <x:c r="E503" s="30"/>
    </x:row>
    <x:row r="504">
      <x:c r="A504" s="30" t="str">
        <x:v>PPCM503</x:v>
      </x:c>
      <x:c r="B504" s="30" t="str">
        <x:v>APROV014</x:v>
      </x:c>
      <x:c r="C504" s="30" t="str">
        <x:v>CA014</x:v>
      </x:c>
      <x:c r="D504" s="30" t="str">
        <x:v>Yes</x:v>
      </x:c>
      <x:c r="E504" s="30"/>
    </x:row>
    <x:row r="505">
      <x:c r="A505" s="30" t="str">
        <x:v>PPCM504</x:v>
      </x:c>
      <x:c r="B505" s="30" t="str">
        <x:v>APROV015</x:v>
      </x:c>
      <x:c r="C505" s="30" t="str">
        <x:v>CA018</x:v>
      </x:c>
      <x:c r="D505" s="30" t="str">
        <x:v>Yes</x:v>
      </x:c>
      <x:c r="E505" s="30"/>
    </x:row>
    <x:row r="506">
      <x:c r="A506" s="30" t="str">
        <x:v>PPCM505</x:v>
      </x:c>
      <x:c r="B506" s="30" t="str">
        <x:v>APROV016</x:v>
      </x:c>
      <x:c r="C506" s="30" t="str">
        <x:v>CA018</x:v>
      </x:c>
      <x:c r="D506" s="30" t="str">
        <x:v>Yes</x:v>
      </x:c>
      <x:c r="E506" s="30"/>
    </x:row>
    <x:row r="507">
      <x:c r="A507" s="30" t="str">
        <x:v>PPCM506</x:v>
      </x:c>
      <x:c r="B507" s="30" t="str">
        <x:v>APROV017</x:v>
      </x:c>
      <x:c r="C507" s="30" t="str">
        <x:v>CA014</x:v>
      </x:c>
      <x:c r="D507" s="30" t="str">
        <x:v>Yes</x:v>
      </x:c>
      <x:c r="E507" s="30"/>
    </x:row>
    <x:row r="508">
      <x:c r="A508" s="30" t="str">
        <x:v>PPCM507</x:v>
      </x:c>
      <x:c r="B508" s="30" t="str">
        <x:v>APROV018</x:v>
      </x:c>
      <x:c r="C508" s="30" t="str">
        <x:v>CA021</x:v>
      </x:c>
      <x:c r="D508" s="30" t="str">
        <x:v>Yes</x:v>
      </x:c>
      <x:c r="E508" s="30"/>
    </x:row>
    <x:row r="509">
      <x:c r="A509" s="30" t="str">
        <x:v>PPCM508</x:v>
      </x:c>
      <x:c r="B509" s="30" t="str">
        <x:v>APROV019</x:v>
      </x:c>
      <x:c r="C509" s="30" t="str">
        <x:v>CA007</x:v>
      </x:c>
      <x:c r="D509" s="30" t="str">
        <x:v>Yes</x:v>
      </x:c>
      <x:c r="E509" s="30"/>
    </x:row>
    <x:row r="510">
      <x:c r="A510" s="30" t="str">
        <x:v>PPCM509</x:v>
      </x:c>
      <x:c r="B510" s="30" t="str">
        <x:v>APROV020</x:v>
      </x:c>
      <x:c r="C510" s="30" t="str">
        <x:v>CA018</x:v>
      </x:c>
      <x:c r="D510" s="30" t="str">
        <x:v>Yes</x:v>
      </x:c>
      <x:c r="E510" s="30"/>
    </x:row>
    <x:row r="511">
      <x:c r="A511" s="33" t="str">
        <x:v>PPCM510</x:v>
      </x:c>
      <x:c r="B511" s="33" t="str">
        <x:v>PROV111</x:v>
      </x:c>
      <x:c r="C511" s="33" t="str">
        <x:v>CA002</x:v>
      </x:c>
      <x:c r="D511" s="33" t="str">
        <x:v>Yes</x:v>
      </x:c>
      <x:c r="E511" s="33" t="str">
        <x:v>Separate-place licence.</x:v>
      </x:c>
    </x:row>
    <x:row r="512">
      <x:c r="A512" s="33" t="str">
        <x:v>PPCM511</x:v>
      </x:c>
      <x:c r="B512" s="33" t="str">
        <x:v>PROV112</x:v>
      </x:c>
      <x:c r="C512" s="33" t="str">
        <x:v>CA002</x:v>
      </x:c>
      <x:c r="D512" s="33" t="str">
        <x:v>Yes</x:v>
      </x:c>
      <x:c r="E512" s="33" t="str">
        <x:v>Licence retention fee.</x:v>
      </x:c>
    </x:row>
    <x:row r="513">
      <x:c r="A513" s="33" t="str">
        <x:v>PPCM512</x:v>
      </x:c>
      <x:c r="B513" s="33" t="str">
        <x:v>PROV113</x:v>
      </x:c>
      <x:c r="C513" s="33" t="str">
        <x:v>CA002</x:v>
      </x:c>
      <x:c r="D513" s="33" t="str">
        <x:v>Yes</x:v>
      </x:c>
      <x:c r="E513" s="33" t="str">
        <x:v>Rule 65A licensing information.</x:v>
      </x:c>
    </x:row>
    <x:row r="514">
      <x:c r="A514" s="33" t="str">
        <x:v>PPCM513</x:v>
      </x:c>
      <x:c r="B514" s="33" t="str">
        <x:v>PROV114</x:v>
      </x:c>
      <x:c r="C514" s="33" t="str">
        <x:v>CA019</x:v>
      </x:c>
      <x:c r="D514" s="33" t="str">
        <x:v>Yes</x:v>
      </x:c>
      <x:c r="E514" s="33" t="str">
        <x:v>Schedule H1 register.</x:v>
      </x:c>
    </x:row>
    <x:row r="515">
      <x:c r="A515" s="33" t="str">
        <x:v>PPCM514</x:v>
      </x:c>
      <x:c r="B515" s="33" t="str">
        <x:v>PROV115</x:v>
      </x:c>
      <x:c r="C515" s="33" t="str">
        <x:v>CA020</x:v>
      </x:c>
      <x:c r="D515" s="33" t="str">
        <x:v>Yes</x:v>
      </x:c>
      <x:c r="E515" s="33" t="str">
        <x:v>Wholesale memo retention.</x:v>
      </x:c>
    </x:row>
    <x:row r="516">
      <x:c r="A516" s="33" t="str">
        <x:v>PPCM515</x:v>
      </x:c>
      <x:c r="B516" s="33" t="str">
        <x:v>PROV116</x:v>
      </x:c>
      <x:c r="C516" s="33" t="str">
        <x:v>CA012</x:v>
      </x:c>
      <x:c r="D516" s="33" t="str">
        <x:v>Yes</x:v>
      </x:c>
      <x:c r="E516" s="33" t="str">
        <x:v>Best-practice inventory/dispensing review.</x:v>
      </x:c>
    </x:row>
    <x:row r="517">
      <x:c r="A517" s="33" t="str">
        <x:v>PPCM516</x:v>
      </x:c>
      <x:c r="B517" s="33" t="str">
        <x:v>PROV117</x:v>
      </x:c>
      <x:c r="C517" s="33" t="str">
        <x:v>CA027</x:v>
      </x:c>
      <x:c r="D517" s="33" t="str">
        <x:v>Yes</x:v>
      </x:c>
      <x:c r="E517" s="33" t="str">
        <x:v>Schedule X storage.</x:v>
      </x:c>
    </x:row>
    <x:row r="518">
      <x:c r="A518" s="33" t="str">
        <x:v>PPCM517</x:v>
      </x:c>
      <x:c r="B518" s="33" t="str">
        <x:v>PROV118</x:v>
      </x:c>
      <x:c r="C518" s="33" t="str">
        <x:v>CA028</x:v>
      </x:c>
      <x:c r="D518" s="33" t="str">
        <x:v>Yes</x:v>
      </x:c>
      <x:c r="E518" s="33" t="str">
        <x:v>Schedule X register.</x:v>
      </x:c>
    </x:row>
    <x:row r="519">
      <x:c r="A519" s="33" t="str">
        <x:v>PPCM518</x:v>
      </x:c>
      <x:c r="B519" s="33" t="str">
        <x:v>PROV119</x:v>
      </x:c>
      <x:c r="C519" s="33" t="str">
        <x:v>CA015</x:v>
      </x:c>
      <x:c r="D519" s="33" t="str">
        <x:v>Yes</x:v>
      </x:c>
      <x:c r="E519" s="33" t="str">
        <x:v>Prescription particulars and dispensing controls.</x:v>
      </x:c>
    </x:row>
    <x:row r="520">
      <x:c r="A520" s="33" t="str">
        <x:v>PPCM519</x:v>
      </x:c>
      <x:c r="B520" s="33" t="str">
        <x:v>PROV276</x:v>
      </x:c>
      <x:c r="C520" s="33" t="str">
        <x:v>CA078</x:v>
      </x:c>
      <x:c r="D520" s="33" t="str">
        <x:v>Yes</x:v>
      </x:c>
      <x:c r="E520" s="33" t="str">
        <x:v>Inspection Book.</x:v>
      </x:c>
    </x:row>
    <x:row r="521">
      <x:c r="A521" s="33" t="str">
        <x:v>PPCM520</x:v>
      </x:c>
      <x:c r="B521" s="33" t="str">
        <x:v>PROV277</x:v>
      </x:c>
      <x:c r="C521" s="33" t="str">
        <x:v>CA013</x:v>
      </x:c>
      <x:c r="D521" s="33" t="str">
        <x:v>Yes</x:v>
      </x:c>
      <x:c r="E521" s="33" t="str">
        <x:v>Expired stock.</x:v>
      </x:c>
    </x:row>
    <x:row r="522">
      <x:c r="A522" s="33" t="str">
        <x:v>PPCM521</x:v>
      </x:c>
      <x:c r="B522" s="33" t="str">
        <x:v>PROV278</x:v>
      </x:c>
      <x:c r="C522" s="33" t="str">
        <x:v>CA012</x:v>
      </x:c>
      <x:c r="D522" s="33" t="str">
        <x:v>Yes</x:v>
      </x:c>
      <x:c r="E522" s="33" t="str">
        <x:v>Free sample/scheme stock.</x:v>
      </x:c>
    </x:row>
    <x:row r="523">
      <x:c r="A523" s="33" t="str">
        <x:v>PPCM522</x:v>
      </x:c>
      <x:c r="B523" s="33" t="str">
        <x:v>PROV279</x:v>
      </x:c>
      <x:c r="C523" s="33" t="str">
        <x:v>CA015</x:v>
      </x:c>
      <x:c r="D523" s="33" t="str">
        <x:v>Yes</x:v>
      </x:c>
      <x:c r="E523" s="33" t="str">
        <x:v>Retail supply outside manufacturer pack.</x:v>
      </x:c>
    </x:row>
    <x:row r="524">
      <x:c r="A524" s="33" t="str">
        <x:v>PPCM523</x:v>
      </x:c>
      <x:c r="B524" s="33" t="str">
        <x:v>PROV280</x:v>
      </x:c>
      <x:c r="C524" s="33" t="str">
        <x:v>CA007</x:v>
      </x:c>
      <x:c r="D524" s="33" t="str">
        <x:v>Yes</x:v>
      </x:c>
      <x:c r="E524" s="33" t="str">
        <x:v>Veterinary segregation.</x:v>
      </x:c>
    </x:row>
    <x:row r="525">
      <x:c r="A525" s="33" t="str">
        <x:v>PPCM524</x:v>
      </x:c>
      <x:c r="B525" s="33" t="str">
        <x:v>PROV281</x:v>
      </x:c>
      <x:c r="C525" s="33" t="str">
        <x:v>CA077</x:v>
      </x:c>
      <x:c r="D525" s="33" t="str">
        <x:v>Yes</x:v>
      </x:c>
      <x:c r="E525" s="33" t="str">
        <x:v>Inspection readiness.</x:v>
      </x:c>
    </x:row>
    <x:row r="526">
      <x:c r="A526" s="33" t="str">
        <x:v>PPCM525</x:v>
      </x:c>
      <x:c r="B526" s="33" t="str">
        <x:v>PROV282</x:v>
      </x:c>
      <x:c r="C526" s="33" t="str">
        <x:v>CA063</x:v>
      </x:c>
      <x:c r="D526" s="33" t="str">
        <x:v>Yes</x:v>
      </x:c>
      <x:c r="E526" s="33" t="str">
        <x:v>Licence display and change conditions.</x:v>
      </x:c>
    </x:row>
    <x:row r="527">
      <x:c r="A527" s="33" t="str">
        <x:v>PPCM526</x:v>
      </x:c>
      <x:c r="B527" s="33" t="str">
        <x:v>PROV283</x:v>
      </x:c>
      <x:c r="C527" s="33" t="str">
        <x:v>CA080</x:v>
      </x:c>
      <x:c r="D527" s="33" t="str">
        <x:v>Yes</x:v>
      </x:c>
      <x:c r="E527" s="33" t="str">
        <x:v>Enforcement/debarment/disposal.</x:v>
      </x:c>
    </x:row>
    <x:row r="528">
      <x:c r="A528" s="33" t="str">
        <x:v>PPCM527</x:v>
      </x:c>
      <x:c r="B528" s="33" t="str">
        <x:v>PROV284</x:v>
      </x:c>
      <x:c r="C528" s="33" t="str">
        <x:v>CA002</x:v>
      </x:c>
      <x:c r="D528" s="33" t="str">
        <x:v>Yes</x:v>
      </x:c>
      <x:c r="E528" s="33" t="str">
        <x:v>Restricted licence.</x:v>
      </x:c>
    </x:row>
    <x:row r="529">
      <x:c r="A529" s="33" t="str">
        <x:v>PPCM528</x:v>
      </x:c>
      <x:c r="B529" s="33" t="str">
        <x:v>PROV285</x:v>
      </x:c>
      <x:c r="C529" s="33" t="str">
        <x:v>CA002</x:v>
      </x:c>
      <x:c r="D529" s="33" t="str">
        <x:v>Yes</x:v>
      </x:c>
      <x:c r="E529" s="33" t="str">
        <x:v>Motor-vehicle wholesale licence.</x:v>
      </x:c>
    </x:row>
    <x:row r="530">
      <x:c r="A530" s="33" t="str">
        <x:v>PPCM529</x:v>
      </x:c>
      <x:c r="B530" s="33" t="str">
        <x:v>PROV286</x:v>
      </x:c>
      <x:c r="C530" s="33" t="str">
        <x:v>CA002</x:v>
      </x:c>
      <x:c r="D530" s="33" t="str">
        <x:v>Yes</x:v>
      </x:c>
      <x:c r="E530" s="33" t="str">
        <x:v>Homeopathic licensing.</x:v>
      </x:c>
    </x:row>
    <x:row r="531">
      <x:c r="A531" s="33" t="str">
        <x:v>PPCM530</x:v>
      </x:c>
      <x:c r="B531" s="33" t="str">
        <x:v>PROV287</x:v>
      </x:c>
      <x:c r="C531" s="33" t="str">
        <x:v>CA019</x:v>
      </x:c>
      <x:c r="D531" s="33" t="str">
        <x:v>Yes</x:v>
      </x:c>
      <x:c r="E531" s="33" t="str">
        <x:v>Homeopathic records/conditions.</x:v>
      </x:c>
    </x:row>
    <x:row r="532">
      <x:c r="A532" s="33" t="str">
        <x:v>PPCM531</x:v>
      </x:c>
      <x:c r="B532" s="33" t="str">
        <x:v>PROV288</x:v>
      </x:c>
      <x:c r="C532" s="33" t="str">
        <x:v>CA080</x:v>
      </x:c>
      <x:c r="D532" s="33" t="str">
        <x:v>Yes</x:v>
      </x:c>
      <x:c r="E532" s="33" t="str">
        <x:v>Homeopathic enforcement.</x:v>
      </x:c>
    </x:row>
    <x:row r="533">
      <x:c r="A533" s="33" t="str">
        <x:v>PPCM532</x:v>
      </x:c>
      <x:c r="B533" s="33" t="str">
        <x:v>PROV289</x:v>
      </x:c>
      <x:c r="C533" s="33" t="str">
        <x:v>CA006</x:v>
      </x:c>
      <x:c r="D533" s="33" t="str">
        <x:v>Yes</x:v>
      </x:c>
      <x:c r="E533" s="33" t="str">
        <x:v>Schedule N.</x:v>
      </x:c>
    </x:row>
    <x:row r="534">
      <x:c r="A534" s="33" t="str">
        <x:v>PPCM533</x:v>
      </x:c>
      <x:c r="B534" s="33" t="str">
        <x:v>PROV290</x:v>
      </x:c>
      <x:c r="C534" s="33" t="str">
        <x:v>CA020</x:v>
      </x:c>
      <x:c r="D534" s="33" t="str">
        <x:v>Yes</x:v>
      </x:c>
      <x:c r="E534" s="33" t="str">
        <x:v>Institutional signed orders.</x:v>
      </x:c>
    </x:row>
    <x:row r="535">
      <x:c r="A535" s="33" t="str">
        <x:v>PPCM534</x:v>
      </x:c>
      <x:c r="B535" s="33" t="str">
        <x:v>PROV291</x:v>
      </x:c>
      <x:c r="C535" s="33" t="str">
        <x:v>CA039</x:v>
      </x:c>
      <x:c r="D535" s="33" t="str">
        <x:v>Yes</x:v>
      </x:c>
      <x:c r="E535" s="33" t="str">
        <x:v>Solid-waste segregation and authorised handover.</x:v>
      </x:c>
    </x:row>
    <x:row r="536">
      <x:c r="A536" s="33" t="str">
        <x:v>PPCM535</x:v>
      </x:c>
      <x:c r="B536" s="33" t="str">
        <x:v>PROV292</x:v>
      </x:c>
      <x:c r="C536" s="33" t="str">
        <x:v>CA039</x:v>
      </x:c>
      <x:c r="D536" s="33" t="str">
        <x:v>Yes</x:v>
      </x:c>
      <x:c r="E536" s="33" t="str">
        <x:v>Bulk-waste-generator controls.</x:v>
      </x:c>
    </x:row>
    <x:row r="537">
      <x:c r="A537" s="33" t="str">
        <x:v>PPCM536</x:v>
      </x:c>
      <x:c r="B537" s="33" t="str">
        <x:v>PROV293</x:v>
      </x:c>
      <x:c r="C537" s="33" t="str">
        <x:v>CA039</x:v>
      </x:c>
      <x:c r="D537" s="33" t="str">
        <x:v>Yes</x:v>
      </x:c>
      <x:c r="E537" s="33" t="str">
        <x:v>Plastic waste and compliant retail carry-bag controls.</x:v>
      </x:c>
    </x:row>
    <x:row r="538">
      <x:c r="A538" s="33" t="str">
        <x:v>PPCM537</x:v>
      </x:c>
      <x:c r="B538" s="33" t="str">
        <x:v>PROV294</x:v>
      </x:c>
      <x:c r="C538" s="33" t="str">
        <x:v>CA039</x:v>
      </x:c>
      <x:c r="D538" s="33" t="str">
        <x:v>Yes</x:v>
      </x:c>
      <x:c r="E538" s="33" t="str">
        <x:v>Waste-battery consumer channelisation.</x:v>
      </x:c>
    </x:row>
    <x:row r="539">
      <x:c r="A539" s="33" t="str">
        <x:v>PPCM538</x:v>
      </x:c>
      <x:c r="B539" s="33" t="str">
        <x:v>PROV295</x:v>
      </x:c>
      <x:c r="C539" s="33" t="str">
        <x:v>CA039</x:v>
      </x:c>
      <x:c r="D539" s="33" t="str">
        <x:v>Yes</x:v>
      </x:c>
      <x:c r="E539" s="33" t="str">
        <x:v>Bulk-consumer e-waste channelisation.</x:v>
      </x:c>
    </x:row>
    <x:row r="540">
      <x:c r="A540" s="33" t="str">
        <x:v>PPCM539</x:v>
      </x:c>
      <x:c r="B540" s="33" t="str">
        <x:v>PROV296</x:v>
      </x:c>
      <x:c r="C540" s="33" t="str">
        <x:v>CA039</x:v>
      </x:c>
      <x:c r="D540" s="33" t="str">
        <x:v>Yes</x:v>
      </x:c>
      <x:c r="E540" s="33" t="str">
        <x:v>Hazardous-waste occupier controls.</x:v>
      </x:c>
    </x:row>
    <x:row r="541">
      <x:c r="A541" s="33" t="str">
        <x:v>PPCM540</x:v>
      </x:c>
      <x:c r="B541" s="33" t="str">
        <x:v>PROV297</x:v>
      </x:c>
      <x:c r="C541" s="33" t="str">
        <x:v>CA040</x:v>
      </x:c>
      <x:c r="D541" s="33" t="str">
        <x:v>Yes</x:v>
      </x:c>
      <x:c r="E541" s="33" t="str">
        <x:v>Conditional Water Act consent.</x:v>
      </x:c>
    </x:row>
    <x:row r="542">
      <x:c r="A542" s="33" t="str">
        <x:v>PPCM541</x:v>
      </x:c>
      <x:c r="B542" s="33" t="str">
        <x:v>PROV298</x:v>
      </x:c>
      <x:c r="C542" s="33" t="str">
        <x:v>CA040</x:v>
      </x:c>
      <x:c r="D542" s="33" t="str">
        <x:v>Yes</x:v>
      </x:c>
      <x:c r="E542" s="33" t="str">
        <x:v>Conditional Air Act consent.</x:v>
      </x:c>
    </x:row>
    <x:row r="543">
      <x:c r="A543" s="33" t="str">
        <x:v>PPCM542</x:v>
      </x:c>
      <x:c r="B543" s="33" t="str">
        <x:v>PROV299</x:v>
      </x:c>
      <x:c r="C543" s="33" t="str">
        <x:v>CA039</x:v>
      </x:c>
      <x:c r="D543" s="33" t="str">
        <x:v>Yes</x:v>
      </x:c>
      <x:c r="E543" s="33" t="str">
        <x:v>Event-based C&amp;D waste control.</x:v>
      </x:c>
    </x:row>
    <x:row r="544">
      <x:c r="A544" s="33" t="str">
        <x:v>PPCM543</x:v>
      </x:c>
      <x:c r="B544" s="33" t="str">
        <x:v>PROV300</x:v>
      </x:c>
      <x:c r="C544" s="33" t="str">
        <x:v>CA048</x:v>
      </x:c>
      <x:c r="D544" s="33" t="str">
        <x:v>Yes</x:v>
      </x:c>
      <x:c r="E544" s="33" t="str">
        <x:v>Minimum wage/non-discrimination.</x:v>
      </x:c>
    </x:row>
    <x:row r="545">
      <x:c r="A545" s="33" t="str">
        <x:v>PPCM544</x:v>
      </x:c>
      <x:c r="B545" s="33" t="str">
        <x:v>PROV301</x:v>
      </x:c>
      <x:c r="C545" s="33" t="str">
        <x:v>CA048</x:v>
      </x:c>
      <x:c r="D545" s="33" t="str">
        <x:v>Yes</x:v>
      </x:c>
      <x:c r="E545" s="33" t="str">
        <x:v>Timely wage payment/deductions.</x:v>
      </x:c>
    </x:row>
    <x:row r="546">
      <x:c r="A546" s="33" t="str">
        <x:v>PPCM545</x:v>
      </x:c>
      <x:c r="B546" s="33" t="str">
        <x:v>PROV302</x:v>
      </x:c>
      <x:c r="C546" s="33" t="str">
        <x:v>CA046</x:v>
      </x:c>
      <x:c r="D546" s="33" t="str">
        <x:v>Yes</x:v>
      </x:c>
      <x:c r="E546" s="33" t="str">
        <x:v>Wage records/notices.</x:v>
      </x:c>
    </x:row>
  </x:sheetData>
  <x:pageMargins left="0.7" right="0.7" top="0.75" bottom="0.75" header="0.3" footer="0.3"/>
  <x:tableParts count="1">
    <x:tablePart xmlns:r="http://schemas.openxmlformats.org/officeDocument/2006/relationships" r:id="R69556935a72a4faa"/>
  </x:tableParts>
</x:worksheet>
</file>

<file path=xl/worksheets/sheet10.xml><?xml version="1.0" encoding="utf-8"?>
<x:worksheet xmlns:x="http://schemas.openxmlformats.org/spreadsheetml/2006/main">
  <x:sheetFormatPr baseColWidth="8" defaultRowHeight="15"/>
  <x:cols>
    <x:col min="1" max="1" width="15" customWidth="1"/>
    <x:col min="2" max="2" width="14" customWidth="1"/>
    <x:col min="3" max="3" width="20" customWidth="1"/>
    <x:col min="4" max="4" width="48" customWidth="1"/>
    <x:col min="5" max="5" width="22" customWidth="1"/>
    <x:col min="6" max="6" width="15" customWidth="1"/>
    <x:col min="7" max="7" width="13" customWidth="1"/>
    <x:col min="8" max="8" width="24" customWidth="1"/>
    <x:col min="9" max="9" width="24" customWidth="1"/>
    <x:col min="10" max="10" width="24" customWidth="1"/>
    <x:col min="11" max="11" width="10" customWidth="1"/>
    <x:col min="12" max="12" width="10" customWidth="1"/>
    <x:col min="13" max="13" width="10" customWidth="1"/>
    <x:col min="14" max="14" width="42" customWidth="1"/>
  </x:cols>
  <x:sheetData>
    <x:row r="1" ht="28" customHeight="1">
      <x:c r="A1" s="31" t="str">
        <x:v>Compliance ID</x:v>
      </x:c>
      <x:c r="B1" s="31" t="str">
        <x:v>Provision ID</x:v>
      </x:c>
      <x:c r="C1" s="31" t="str">
        <x:v>Compliance Area ID</x:v>
      </x:c>
      <x:c r="D1" s="31" t="str">
        <x:v>Compliance Requirement</x:v>
      </x:c>
      <x:c r="E1" s="31" t="str">
        <x:v>Compliance Objective</x:v>
      </x:c>
      <x:c r="F1" s="31" t="str">
        <x:v>Applicability</x:v>
      </x:c>
      <x:c r="G1" s="31" t="str">
        <x:v>Frequency</x:v>
      </x:c>
      <x:c r="H1" s="31" t="str">
        <x:v>Due Timeline</x:v>
      </x:c>
      <x:c r="I1" s="31" t="str">
        <x:v>Responsible Person</x:v>
      </x:c>
      <x:c r="J1" s="31" t="str">
        <x:v>Non-Compliance Consequence</x:v>
      </x:c>
      <x:c r="K1" s="31" t="str">
        <x:v>Priority</x:v>
      </x:c>
      <x:c r="L1" s="31" t="str">
        <x:v>Origin</x:v>
      </x:c>
      <x:c r="M1" s="31" t="str">
        <x:v>Active</x:v>
      </x:c>
      <x:c r="N1" s="31" t="str">
        <x:v>Remarks</x:v>
      </x:c>
    </x:row>
    <x:row r="2">
      <x:c r="A2" s="30" t="str">
        <x:v>COMP001</x:v>
      </x:c>
      <x:c r="B2" s="30" t="str">
        <x:v>PROV001</x:v>
      </x:c>
      <x:c r="C2" s="30" t="str">
        <x:v>CA015</x:v>
      </x:c>
      <x:c r="D2" s="30" t="str">
        <x:v>Ensure that no drug is sold, stocked, exhibited or distributed in violation of the Drugs and Cosmetics Act.</x:v>
      </x:c>
      <x:c r="E2" s="30"/>
      <x:c r="F2" s="30" t="str">
        <x:v>Mandatory</x:v>
      </x:c>
      <x:c r="G2" s="30" t="str">
        <x:v>Continuous</x:v>
      </x:c>
      <x:c r="H2" s="30" t="str">
        <x:v>Throughout business operations</x:v>
      </x:c>
      <x:c r="I2" s="30" t="str">
        <x:v>Registered Pharmacist / Pharmacy Manager</x:v>
      </x:c>
      <x:c r="J2" s="30" t="str">
        <x:v>Licence suspension, prosecution, monetary penalty</x:v>
      </x:c>
      <x:c r="K2" s="30"/>
      <x:c r="L2" s="30" t="str">
        <x:v>CORE</x:v>
      </x:c>
      <x:c r="M2" s="30" t="str">
        <x:v>Yes</x:v>
      </x:c>
      <x:c r="N2" s="30" t="str">
        <x:v>Core statutory obligation</x:v>
      </x:c>
    </x:row>
    <x:row r="3">
      <x:c r="A3" s="30" t="str">
        <x:v>COMP002</x:v>
      </x:c>
      <x:c r="B3" s="30" t="str">
        <x:v>PROV002</x:v>
      </x:c>
      <x:c r="C3" s="30" t="str">
        <x:v>CA019</x:v>
      </x:c>
      <x:c r="D3" s="30" t="str">
        <x:v>Maintain documentary evidence identifying the source of procurement for every drug supplied or stocked.</x:v>
      </x:c>
      <x:c r="E3" s="30"/>
      <x:c r="F3" s="30" t="str">
        <x:v>Mandatory</x:v>
      </x:c>
      <x:c r="G3" s="30" t="str">
        <x:v>Continuous</x:v>
      </x:c>
      <x:c r="H3" s="30" t="str">
        <x:v>At the time of procurement</x:v>
      </x:c>
      <x:c r="I3" s="30" t="str">
        <x:v>Pharmacy Manager</x:v>
      </x:c>
      <x:c r="J3" s="30" t="str">
        <x:v>Regulatory action during inspection</x:v>
      </x:c>
      <x:c r="K3" s="30"/>
      <x:c r="L3" s="30" t="str">
        <x:v>CORE</x:v>
      </x:c>
      <x:c r="M3" s="30" t="str">
        <x:v>Yes</x:v>
      </x:c>
      <x:c r="N3" s="30" t="str">
        <x:v>Traceability requirement</x:v>
      </x:c>
    </x:row>
    <x:row r="4">
      <x:c r="A4" s="30" t="str">
        <x:v>COMP003</x:v>
      </x:c>
      <x:c r="B4" s="30" t="str">
        <x:v>PROV003</x:v>
      </x:c>
      <x:c r="C4" s="30" t="str">
        <x:v>CA019</x:v>
      </x:c>
      <x:c r="D4" s="30" t="str">
        <x:v>Maintain all statutory registers and records in the prescribed manner.</x:v>
      </x:c>
      <x:c r="E4" s="30"/>
      <x:c r="F4" s="30" t="str">
        <x:v>Mandatory</x:v>
      </x:c>
      <x:c r="G4" s="30" t="str">
        <x:v>Continuous</x:v>
      </x:c>
      <x:c r="H4" s="30" t="str">
        <x:v>Ongoing</x:v>
      </x:c>
      <x:c r="I4" s="30" t="str">
        <x:v>Registered Pharmacist</x:v>
      </x:c>
      <x:c r="J4" s="30" t="str">
        <x:v>Inspection observations and penalties</x:v>
      </x:c>
      <x:c r="K4" s="30"/>
      <x:c r="L4" s="30" t="str">
        <x:v>CORE</x:v>
      </x:c>
      <x:c r="M4" s="30" t="str">
        <x:v>Yes</x:v>
      </x:c>
      <x:c r="N4" s="30" t="str">
        <x:v>Includes physical and electronic records</x:v>
      </x:c>
    </x:row>
    <x:row r="5">
      <x:c r="A5" s="30" t="str">
        <x:v>COMP004</x:v>
      </x:c>
      <x:c r="B5" s="30" t="str">
        <x:v>PROV003</x:v>
      </x:c>
      <x:c r="C5" s="30" t="str">
        <x:v>CA020</x:v>
      </x:c>
      <x:c r="D5" s="30" t="str">
        <x:v>Preserve statutory records for the period prescribed under applicable law.</x:v>
      </x:c>
      <x:c r="E5" s="30"/>
      <x:c r="F5" s="30" t="str">
        <x:v>Mandatory</x:v>
      </x:c>
      <x:c r="G5" s="30" t="str">
        <x:v>Continuous</x:v>
      </x:c>
      <x:c r="H5" s="30" t="str">
        <x:v>Throughout retention period</x:v>
      </x:c>
      <x:c r="I5" s="30" t="str">
        <x:v>Compliance Officer</x:v>
      </x:c>
      <x:c r="J5" s="30" t="str">
        <x:v>Failure during regulatory inspection</x:v>
      </x:c>
      <x:c r="K5" s="30"/>
      <x:c r="L5" s="30" t="str">
        <x:v>CORE</x:v>
      </x:c>
      <x:c r="M5" s="30" t="str">
        <x:v>Yes</x:v>
      </x:c>
      <x:c r="N5" s="30" t="str">
        <x:v>Record retention policy applies</x:v>
      </x:c>
    </x:row>
    <x:row r="6">
      <x:c r="A6" s="30" t="str">
        <x:v>COMP005</x:v>
      </x:c>
      <x:c r="B6" s="30" t="str">
        <x:v>PROV004</x:v>
      </x:c>
      <x:c r="C6" s="30" t="str">
        <x:v>CA077</x:v>
      </x:c>
      <x:c r="D6" s="30" t="str">
        <x:v>Facilitate inspection by Drug Inspectors and provide access to licensed premises.</x:v>
      </x:c>
      <x:c r="E6" s="30"/>
      <x:c r="F6" s="30" t="str">
        <x:v>Mandatory</x:v>
      </x:c>
      <x:c r="G6" s="30" t="str">
        <x:v>Event Based</x:v>
      </x:c>
      <x:c r="H6" s="30" t="str">
        <x:v>During inspection</x:v>
      </x:c>
      <x:c r="I6" s="30" t="str">
        <x:v>Pharmacy Manager</x:v>
      </x:c>
      <x:c r="J6" s="30" t="str">
        <x:v>Inspection observations, legal action</x:v>
      </x:c>
      <x:c r="K6" s="30"/>
      <x:c r="L6" s="30" t="str">
        <x:v>CORE</x:v>
      </x:c>
      <x:c r="M6" s="30" t="str">
        <x:v>Yes</x:v>
      </x:c>
      <x:c r="N6" s="30" t="str">
        <x:v>Regulatory inspection readiness</x:v>
      </x:c>
    </x:row>
    <x:row r="7">
      <x:c r="A7" s="30" t="str">
        <x:v>COMP006</x:v>
      </x:c>
      <x:c r="B7" s="30" t="str">
        <x:v>PROV005</x:v>
      </x:c>
      <x:c r="C7" s="30" t="str">
        <x:v>CA078</x:v>
      </x:c>
      <x:c r="D7" s="30" t="str">
        <x:v>Cooperate during sample collection and inspection procedures carried out by Drug Inspectors.</x:v>
      </x:c>
      <x:c r="E7" s="30"/>
      <x:c r="F7" s="30" t="str">
        <x:v>Mandatory</x:v>
      </x:c>
      <x:c r="G7" s="30" t="str">
        <x:v>Event Based</x:v>
      </x:c>
      <x:c r="H7" s="30" t="str">
        <x:v>During inspection</x:v>
      </x:c>
      <x:c r="I7" s="30" t="str">
        <x:v>Registered Pharmacist</x:v>
      </x:c>
      <x:c r="J7" s="30" t="str">
        <x:v>Regulatory action</x:v>
      </x:c>
      <x:c r="K7" s="30"/>
      <x:c r="L7" s="30" t="str">
        <x:v>CORE</x:v>
      </x:c>
      <x:c r="M7" s="30" t="str">
        <x:v>Yes</x:v>
      </x:c>
      <x:c r="N7" s="30" t="str">
        <x:v>Sampling procedures</x:v>
      </x:c>
    </x:row>
    <x:row r="8">
      <x:c r="A8" s="30" t="str">
        <x:v>COMP007</x:v>
      </x:c>
      <x:c r="B8" s="30" t="str">
        <x:v>PROV001</x:v>
      </x:c>
      <x:c r="C8" s="30" t="str">
        <x:v>CA090</x:v>
      </x:c>
      <x:c r="D8" s="30" t="str">
        <x:v>Prevent sale, stock, exhibition, offer for sale or distribution of drugs in contravention of Section 18.</x:v>
      </x:c>
      <x:c r="E8" s="30"/>
      <x:c r="F8" s="30" t="str">
        <x:v>Mandatory</x:v>
      </x:c>
      <x:c r="G8" s="30" t="str">
        <x:v>Continuous</x:v>
      </x:c>
      <x:c r="H8" s="30" t="str">
        <x:v>Continuous</x:v>
      </x:c>
      <x:c r="I8" s="30" t="str">
        <x:v>Pharmacy Owner</x:v>
      </x:c>
      <x:c r="J8" s="30" t="str">
        <x:v>Criminal prosecution and penalties</x:v>
      </x:c>
      <x:c r="K8" s="30"/>
      <x:c r="L8" s="30" t="str">
        <x:v>CORE</x:v>
      </x:c>
      <x:c r="M8" s="30" t="str">
        <x:v>Yes</x:v>
      </x:c>
      <x:c r="N8" s="30" t="str">
        <x:v>P-4 reparented from penalty Section 27 to the substantive prohibition.</x:v>
      </x:c>
    </x:row>
    <x:row r="9">
      <x:c r="A9" s="30" t="str">
        <x:v>COMP008</x:v>
      </x:c>
      <x:c r="B9" s="30" t="str">
        <x:v>PROV106</x:v>
      </x:c>
      <x:c r="C9" s="30" t="str">
        <x:v>CA023</x:v>
      </x:c>
      <x:c r="D9" s="30" t="str">
        <x:v>Ensure every cosmetic offered for sale or distribution complies with Rule 33 and the applicable origin, licensing, quality and labelling requirements.</x:v>
      </x:c>
      <x:c r="E9" s="30"/>
      <x:c r="F9" s="30" t="str">
        <x:v>Conditional</x:v>
      </x:c>
      <x:c r="G9" s="30" t="str">
        <x:v>Continuous</x:v>
      </x:c>
      <x:c r="H9" s="30" t="str">
        <x:v>Prior to sale</x:v>
      </x:c>
      <x:c r="I9" s="30" t="str">
        <x:v>Store Manager</x:v>
      </x:c>
      <x:c r="J9" s="30" t="str">
        <x:v>Seizure, prosecution</x:v>
      </x:c>
      <x:c r="K9" s="30"/>
      <x:c r="L9" s="30" t="str">
        <x:v>CORE</x:v>
      </x:c>
      <x:c r="M9" s="30" t="str">
        <x:v>Yes</x:v>
      </x:c>
      <x:c r="N9" s="30" t="str">
        <x:v>P-4 reparented from penalty Section 27A to Cosmetics Rules Rule 33.</x:v>
      </x:c>
    </x:row>
    <x:row r="10">
      <x:c r="A10" s="30" t="str">
        <x:v>COMP009</x:v>
      </x:c>
      <x:c r="B10" s="30" t="str">
        <x:v>PROV002</x:v>
      </x:c>
      <x:c r="C10" s="30" t="str">
        <x:v>CA019</x:v>
      </x:c>
      <x:c r="D10" s="30" t="str">
        <x:v>Furnish manufacturer/source information lawfully required under Section 18A.</x:v>
      </x:c>
      <x:c r="E10" s="30"/>
      <x:c r="F10" s="30" t="str">
        <x:v>Mandatory</x:v>
      </x:c>
      <x:c r="G10" s="30" t="str">
        <x:v>Event Based</x:v>
      </x:c>
      <x:c r="H10" s="30" t="str">
        <x:v>Within prescribed timeline</x:v>
      </x:c>
      <x:c r="I10" s="30" t="str">
        <x:v>Compliance Officer</x:v>
      </x:c>
      <x:c r="J10" s="30" t="str">
        <x:v>Penalty for non-disclosure</x:v>
      </x:c>
      <x:c r="K10" s="30"/>
      <x:c r="L10" s="30" t="str">
        <x:v>CORE</x:v>
      </x:c>
      <x:c r="M10" s="30" t="str">
        <x:v>Yes</x:v>
      </x:c>
      <x:c r="N10" s="30" t="str">
        <x:v>P-4 reparented from penalty Section 28 to the substantive information duty.</x:v>
      </x:c>
    </x:row>
    <x:row r="11">
      <x:c r="A11" s="30" t="str">
        <x:v>COMP010</x:v>
      </x:c>
      <x:c r="B11" s="30" t="str">
        <x:v>PROV003</x:v>
      </x:c>
      <x:c r="C11" s="30" t="str">
        <x:v>CA020</x:v>
      </x:c>
      <x:c r="D11" s="30" t="str">
        <x:v>Maintain prescribed records and furnish information required under Section 18B.</x:v>
      </x:c>
      <x:c r="E11" s="30"/>
      <x:c r="F11" s="30" t="str">
        <x:v>Mandatory</x:v>
      </x:c>
      <x:c r="G11" s="30" t="str">
        <x:v>Continuous</x:v>
      </x:c>
      <x:c r="H11" s="30" t="str">
        <x:v>Ongoing</x:v>
      </x:c>
      <x:c r="I11" s="30" t="str">
        <x:v>Pharmacy Manager</x:v>
      </x:c>
      <x:c r="J11" s="30" t="str">
        <x:v>Inspection non-conformance</x:v>
      </x:c>
      <x:c r="K11" s="30"/>
      <x:c r="L11" s="30" t="str">
        <x:v>CORE</x:v>
      </x:c>
      <x:c r="M11" s="30" t="str">
        <x:v>Yes</x:v>
      </x:c>
      <x:c r="N11" s="30" t="str">
        <x:v>P-4 reparented from penalty Section 28A to the substantive record duty.</x:v>
      </x:c>
    </x:row>
    <x:row r="12">
      <x:c r="A12" s="30" t="str">
        <x:v>COMP011</x:v>
      </x:c>
      <x:c r="B12" s="30" t="str">
        <x:v>PROV011</x:v>
      </x:c>
      <x:c r="C12" s="30" t="str">
        <x:v>CA002</x:v>
      </x:c>
      <x:c r="D12" s="30" t="str">
        <x:v>Apply to the competent State licensing authority in Form 19, 19A or 19C, as applicable, before commencing the corresponding sale/stock/distribution activity; follow the prescribed duplicate-licence process where required.</x:v>
      </x:c>
      <x:c r="E12" s="30" t="str">
        <x:v>Accurate implementation of the cited Drugs Rules control.</x:v>
      </x:c>
      <x:c r="F12" s="30" t="str">
        <x:v>Mandatory</x:v>
      </x:c>
      <x:c r="G12" s="30" t="str">
        <x:v>Event Based</x:v>
      </x:c>
      <x:c r="H12" s="30" t="str">
        <x:v>Before commencement or duplicate request</x:v>
      </x:c>
      <x:c r="I12" s="30" t="str">
        <x:v>Pharmacy Owner</x:v>
      </x:c>
      <x:c r="J12" s="30" t="str">
        <x:v>Unlicensed activity; seizure, prosecution or licence action</x:v>
      </x:c>
      <x:c r="K12" s="30" t="str">
        <x:v>High</x:v>
      </x:c>
      <x:c r="L12" s="30" t="str">
        <x:v>CORE</x:v>
      </x:c>
      <x:c r="M12" s="30" t="str">
        <x:v>Yes</x:v>
      </x:c>
      <x:c r="N12" s="30" t="str">
        <x:v>P-2 authoritative normalization; exact rule/schedule/form basis recorded.</x:v>
      </x:c>
    </x:row>
    <x:row r="13">
      <x:c r="A13" s="30" t="str">
        <x:v>COMP012</x:v>
      </x:c>
      <x:c r="B13" s="30" t="str">
        <x:v>PROV012</x:v>
      </x:c>
      <x:c r="C13" s="30" t="str">
        <x:v>CA002</x:v>
      </x:c>
      <x:c r="D13" s="30" t="str">
        <x:v>Hold and operate under the licence form(s) matching the drug category and retail/wholesale activity: Forms 20/20A/20B, 21/21A/21B or 20F/20G as applicable.</x:v>
      </x:c>
      <x:c r="E13" s="30" t="str">
        <x:v>Accurate implementation of the cited Drugs Rules control.</x:v>
      </x:c>
      <x:c r="F13" s="30" t="str">
        <x:v>Mandatory</x:v>
      </x:c>
      <x:c r="G13" s="30" t="str">
        <x:v>Continuous</x:v>
      </x:c>
      <x:c r="H13" s="30" t="str">
        <x:v>Throughout operations</x:v>
      </x:c>
      <x:c r="I13" s="30" t="str">
        <x:v>Pharmacy Owner</x:v>
      </x:c>
      <x:c r="J13" s="30" t="str">
        <x:v>Activity outside licence scope; suspension or cancellation</x:v>
      </x:c>
      <x:c r="K13" s="30" t="str">
        <x:v>Critical</x:v>
      </x:c>
      <x:c r="L13" s="30" t="str">
        <x:v>CORE</x:v>
      </x:c>
      <x:c r="M13" s="30" t="str">
        <x:v>Yes</x:v>
      </x:c>
      <x:c r="N13" s="30" t="str">
        <x:v>P-2 authoritative normalization; exact rule/schedule/form basis recorded.</x:v>
      </x:c>
    </x:row>
    <x:row r="14">
      <x:c r="A14" s="30" t="str">
        <x:v>COMP013</x:v>
      </x:c>
      <x:c r="B14" s="30" t="str">
        <x:v>PROV013</x:v>
      </x:c>
      <x:c r="C14" s="30" t="str">
        <x:v>CA006</x:v>
      </x:c>
      <x:c r="D14" s="30" t="str">
        <x:v>Maintain the premises area, storage accommodation, competent-person control and Schedule N conditions on which the sale licence was granted.</x:v>
      </x:c>
      <x:c r="E14" s="30" t="str">
        <x:v>Accurate implementation of the cited Drugs Rules control.</x:v>
      </x:c>
      <x:c r="F14" s="30" t="str">
        <x:v>Mandatory</x:v>
      </x:c>
      <x:c r="G14" s="30" t="str">
        <x:v>Continuous</x:v>
      </x:c>
      <x:c r="H14" s="30" t="str">
        <x:v>Throughout licence validity</x:v>
      </x:c>
      <x:c r="I14" s="30" t="str">
        <x:v>Pharmacy Manager</x:v>
      </x:c>
      <x:c r="J14" s="30" t="str">
        <x:v>Licence refusal, suspension or cancellation</x:v>
      </x:c>
      <x:c r="K14" s="30" t="str">
        <x:v>High</x:v>
      </x:c>
      <x:c r="L14" s="30" t="str">
        <x:v>CORE</x:v>
      </x:c>
      <x:c r="M14" s="30" t="str">
        <x:v>Yes</x:v>
      </x:c>
      <x:c r="N14" s="30" t="str">
        <x:v>P-2 authoritative normalization; exact rule/schedule/form basis recorded.</x:v>
      </x:c>
    </x:row>
    <x:row r="15">
      <x:c r="A15" s="30" t="str">
        <x:v>COMP014</x:v>
      </x:c>
      <x:c r="B15" s="30" t="str">
        <x:v>PROV014</x:v>
      </x:c>
      <x:c r="C15" s="30" t="str">
        <x:v>CA015</x:v>
      </x:c>
      <x:c r="D15" s="30" t="str">
        <x:v>Do not sell Schedule H, H1 or X drugs by retail except on and in accordance with a prescription of a Registered Medical Practitioner.</x:v>
      </x:c>
      <x:c r="E15" s="30" t="str">
        <x:v>Accurate implementation of the cited Drugs Rules control.</x:v>
      </x:c>
      <x:c r="F15" s="30" t="str">
        <x:v>Mandatory</x:v>
      </x:c>
      <x:c r="G15" s="30" t="str">
        <x:v>Continuous</x:v>
      </x:c>
      <x:c r="H15" s="30" t="str">
        <x:v>At each applicable sale</x:v>
      </x:c>
      <x:c r="I15" s="30" t="str">
        <x:v>Registered Pharmacist</x:v>
      </x:c>
      <x:c r="J15" s="30" t="str">
        <x:v>Licence action and prosecution</x:v>
      </x:c>
      <x:c r="K15" s="30" t="str">
        <x:v>Critical</x:v>
      </x:c>
      <x:c r="L15" s="30" t="str">
        <x:v>CORE</x:v>
      </x:c>
      <x:c r="M15" s="30" t="str">
        <x:v>Yes</x:v>
      </x:c>
      <x:c r="N15" s="30" t="str">
        <x:v>P-2 authoritative normalization; exact rule/schedule/form basis recorded.</x:v>
      </x:c>
    </x:row>
    <x:row r="16">
      <x:c r="A16" s="30" t="str">
        <x:v>COMP015</x:v>
      </x:c>
      <x:c r="B16" s="30" t="str">
        <x:v>PROV015</x:v>
      </x:c>
      <x:c r="C16" s="30" t="str">
        <x:v>CA003</x:v>
      </x:c>
      <x:c r="D16" s="30" t="str">
        <x:v>Ensure compounding and non-wholesale supply of a drug on prescription is performed by or under the personal supervision of a registered pharmacist.</x:v>
      </x:c>
      <x:c r="E16" s="30" t="str">
        <x:v>Accurate implementation of the cited Drugs Rules control.</x:v>
      </x:c>
      <x:c r="F16" s="30" t="str">
        <x:v>Mandatory</x:v>
      </x:c>
      <x:c r="G16" s="30" t="str">
        <x:v>Continuous</x:v>
      </x:c>
      <x:c r="H16" s="30" t="str">
        <x:v>At each applicable transaction</x:v>
      </x:c>
      <x:c r="I16" s="30" t="str">
        <x:v>Registered Pharmacist</x:v>
      </x:c>
      <x:c r="J16" s="30" t="str">
        <x:v>Licence action and patient-safety exposure</x:v>
      </x:c>
      <x:c r="K16" s="30" t="str">
        <x:v>Critical</x:v>
      </x:c>
      <x:c r="L16" s="30" t="str">
        <x:v>CORE</x:v>
      </x:c>
      <x:c r="M16" s="30" t="str">
        <x:v>Yes</x:v>
      </x:c>
      <x:c r="N16" s="30" t="str">
        <x:v>P-2 authoritative normalization; exact rule/schedule/form basis recorded.</x:v>
      </x:c>
    </x:row>
    <x:row r="17">
      <x:c r="A17" s="30" t="str">
        <x:v>COMP016</x:v>
      </x:c>
      <x:c r="B17" s="30" t="str">
        <x:v>PROV016</x:v>
      </x:c>
      <x:c r="C17" s="30" t="str">
        <x:v>CA019</x:v>
      </x:c>
      <x:c r="D17" s="30" t="str">
        <x:v>Maintain the applicable prescription register/memo and complete retail and wholesale sale/purchase records with the particulars required by Rule 65(3)-(5).</x:v>
      </x:c>
      <x:c r="E17" s="30" t="str">
        <x:v>Accurate implementation of the cited Drugs Rules control.</x:v>
      </x:c>
      <x:c r="F17" s="30" t="str">
        <x:v>Mandatory</x:v>
      </x:c>
      <x:c r="G17" s="30" t="str">
        <x:v>Continuous</x:v>
      </x:c>
      <x:c r="H17" s="30" t="str">
        <x:v>At each applicable transaction</x:v>
      </x:c>
      <x:c r="I17" s="30" t="str">
        <x:v>Registered Pharmacist / Competent Person</x:v>
      </x:c>
      <x:c r="J17" s="30" t="str">
        <x:v>Inspection finding, suspension or prosecution</x:v>
      </x:c>
      <x:c r="K17" s="30" t="str">
        <x:v>High</x:v>
      </x:c>
      <x:c r="L17" s="30" t="str">
        <x:v>CORE</x:v>
      </x:c>
      <x:c r="M17" s="30" t="str">
        <x:v>Yes</x:v>
      </x:c>
      <x:c r="N17" s="30" t="str">
        <x:v>P-2 authoritative normalization; exact rule/schedule/form basis recorded.</x:v>
      </x:c>
    </x:row>
    <x:row r="18">
      <x:c r="A18" s="30" t="str">
        <x:v>COMP017</x:v>
      </x:c>
      <x:c r="B18" s="30" t="str">
        <x:v>PROV017</x:v>
      </x:c>
      <x:c r="C18" s="30" t="str">
        <x:v>CA020</x:v>
      </x:c>
      <x:c r="D18" s="30" t="str">
        <x:v>Produce Rule 65 registers and records to an Inspector on demand and preserve them for at least two years from the last entry unless a specific three-year or transaction-based period applies.</x:v>
      </x:c>
      <x:c r="E18" s="30" t="str">
        <x:v>Accurate implementation of the cited Drugs Rules control.</x:v>
      </x:c>
      <x:c r="F18" s="30" t="str">
        <x:v>Mandatory</x:v>
      </x:c>
      <x:c r="G18" s="30" t="str">
        <x:v>Continuous</x:v>
      </x:c>
      <x:c r="H18" s="30" t="str">
        <x:v>Throughout the applicable retention period</x:v>
      </x:c>
      <x:c r="I18" s="30" t="str">
        <x:v>Pharmacy Manager</x:v>
      </x:c>
      <x:c r="J18" s="30" t="str">
        <x:v>Adverse inspection and licence action</x:v>
      </x:c>
      <x:c r="K18" s="30" t="str">
        <x:v>High</x:v>
      </x:c>
      <x:c r="L18" s="30" t="str">
        <x:v>CORE</x:v>
      </x:c>
      <x:c r="M18" s="30" t="str">
        <x:v>Yes</x:v>
      </x:c>
      <x:c r="N18" s="30" t="str">
        <x:v>P-2 authoritative normalization; exact rule/schedule/form basis recorded.</x:v>
      </x:c>
    </x:row>
    <x:row r="19">
      <x:c r="A19" s="30" t="str">
        <x:v>COMP018</x:v>
      </x:c>
      <x:c r="B19" s="30" t="str">
        <x:v>PROV018</x:v>
      </x:c>
      <x:c r="C19" s="30" t="str">
        <x:v>CA067</x:v>
      </x:c>
      <x:c r="D19" s="30" t="str">
        <x:v>Before sale, verify that Schedule G, H, H1 and X medicines bear the applicable Rule 97 symbol, caution or warning on the label.</x:v>
      </x:c>
      <x:c r="E19" s="30" t="str">
        <x:v>Accurate implementation of the cited Drugs Rules control.</x:v>
      </x:c>
      <x:c r="F19" s="30" t="str">
        <x:v>Mandatory</x:v>
      </x:c>
      <x:c r="G19" s="30" t="str">
        <x:v>Continuous</x:v>
      </x:c>
      <x:c r="H19" s="30" t="str">
        <x:v>Before acceptance and sale</x:v>
      </x:c>
      <x:c r="I19" s="30" t="str">
        <x:v>Store Manager</x:v>
      </x:c>
      <x:c r="J19" s="30" t="str">
        <x:v>Sale of non-compliantly labelled drugs; seizure or prosecution</x:v>
      </x:c>
      <x:c r="K19" s="30" t="str">
        <x:v>High</x:v>
      </x:c>
      <x:c r="L19" s="30" t="str">
        <x:v>CORE</x:v>
      </x:c>
      <x:c r="M19" s="30" t="str">
        <x:v>Yes</x:v>
      </x:c>
      <x:c r="N19" s="30" t="str">
        <x:v>P-2 authoritative normalization; exact rule/schedule/form basis recorded.</x:v>
      </x:c>
    </x:row>
    <x:row r="20">
      <x:c r="A20" s="30" t="str">
        <x:v>COMP019</x:v>
      </x:c>
      <x:c r="B20" s="30" t="str">
        <x:v>PROV019</x:v>
      </x:c>
      <x:c r="C20" s="30" t="str">
        <x:v>CA067</x:v>
      </x:c>
      <x:c r="D20" s="30" t="str">
        <x:v>Do not sell or distribute any drug that is not labelled in accordance with the Drugs Rules.</x:v>
      </x:c>
      <x:c r="E20" s="30" t="str">
        <x:v>Accurate implementation of the cited Drugs Rules control.</x:v>
      </x:c>
      <x:c r="F20" s="30" t="str">
        <x:v>Mandatory</x:v>
      </x:c>
      <x:c r="G20" s="30" t="str">
        <x:v>Continuous</x:v>
      </x:c>
      <x:c r="H20" s="30" t="str">
        <x:v>Before sale or distribution</x:v>
      </x:c>
      <x:c r="I20" s="30" t="str">
        <x:v>Store Manager</x:v>
      </x:c>
      <x:c r="J20" s="30" t="str">
        <x:v>Seizure, prosecution and licence action</x:v>
      </x:c>
      <x:c r="K20" s="30" t="str">
        <x:v>Critical</x:v>
      </x:c>
      <x:c r="L20" s="30" t="str">
        <x:v>CORE</x:v>
      </x:c>
      <x:c r="M20" s="30" t="str">
        <x:v>Yes</x:v>
      </x:c>
      <x:c r="N20" s="30" t="str">
        <x:v>P-2 authoritative normalization; exact rule/schedule/form basis recorded.</x:v>
      </x:c>
    </x:row>
    <x:row r="21">
      <x:c r="A21" s="30" t="str">
        <x:v>COMP020</x:v>
      </x:c>
      <x:c r="B21" s="30" t="str">
        <x:v>PROV020</x:v>
      </x:c>
      <x:c r="C21" s="30" t="str">
        <x:v>CA017</x:v>
      </x:c>
      <x:c r="D21" s="30" t="str">
        <x:v>For Schedule H prescriptions, observe the authorized repeat/interval directions, annotate seller name/address and dispensing date, and do not substitute another preparation.</x:v>
      </x:c>
      <x:c r="E21" s="30" t="str">
        <x:v>Accurate implementation of the cited Drugs Rules control.</x:v>
      </x:c>
      <x:c r="F21" s="30" t="str">
        <x:v>Mandatory</x:v>
      </x:c>
      <x:c r="G21" s="30" t="str">
        <x:v>Continuous</x:v>
      </x:c>
      <x:c r="H21" s="30" t="str">
        <x:v>At dispensing</x:v>
      </x:c>
      <x:c r="I21" s="30" t="str">
        <x:v>Registered Pharmacist</x:v>
      </x:c>
      <x:c r="J21" s="30" t="str">
        <x:v>Prescription-control breach and patient-safety risk</x:v>
      </x:c>
      <x:c r="K21" s="30" t="str">
        <x:v>High</x:v>
      </x:c>
      <x:c r="L21" s="30" t="str">
        <x:v>CORE</x:v>
      </x:c>
      <x:c r="M21" s="30" t="str">
        <x:v>Yes</x:v>
      </x:c>
      <x:c r="N21" s="30" t="str">
        <x:v>P-2 authoritative normalization; exact rule/schedule/form basis recorded.</x:v>
      </x:c>
    </x:row>
    <x:row r="22">
      <x:c r="A22" s="30" t="str">
        <x:v>COMP021</x:v>
      </x:c>
      <x:c r="B22" s="30" t="str">
        <x:v>PROV021</x:v>
      </x:c>
      <x:c r="C22" s="30" t="str">
        <x:v>CA017</x:v>
      </x:c>
      <x:c r="D22" s="30" t="str">
        <x:v>Maintain a current Schedule H1 product classification and route every H1 sale through the prescription and special-register controls.</x:v>
      </x:c>
      <x:c r="E22" s="30" t="str">
        <x:v>Accurate implementation of the cited Drugs Rules control.</x:v>
      </x:c>
      <x:c r="F22" s="30" t="str">
        <x:v>Mandatory</x:v>
      </x:c>
      <x:c r="G22" s="30" t="str">
        <x:v>Continuous</x:v>
      </x:c>
      <x:c r="H22" s="30" t="str">
        <x:v>At procurement and sale</x:v>
      </x:c>
      <x:c r="I22" s="30" t="str">
        <x:v>Registered Pharmacist</x:v>
      </x:c>
      <x:c r="J22" s="30" t="str">
        <x:v>Misclassification and unrecorded controlled sale</x:v>
      </x:c>
      <x:c r="K22" s="30" t="str">
        <x:v>Critical</x:v>
      </x:c>
      <x:c r="L22" s="30" t="str">
        <x:v>CORE</x:v>
      </x:c>
      <x:c r="M22" s="30" t="str">
        <x:v>Yes</x:v>
      </x:c>
      <x:c r="N22" s="30" t="str">
        <x:v>P-2 authoritative normalization; exact rule/schedule/form basis recorded.</x:v>
      </x:c>
    </x:row>
    <x:row r="23">
      <x:c r="A23" s="30" t="str">
        <x:v>COMP022</x:v>
      </x:c>
      <x:c r="B23" s="30" t="str">
        <x:v>PROV022</x:v>
      </x:c>
      <x:c r="C23" s="30" t="str">
        <x:v>CA027</x:v>
      </x:c>
      <x:c r="D23" s="30" t="str">
        <x:v>For each Schedule X retail sale, obtain the prescription in duplicate and retain one copy for two years; enforce all Schedule X prescription controls.</x:v>
      </x:c>
      <x:c r="E23" s="30" t="str">
        <x:v>Accurate implementation of the cited Drugs Rules control.</x:v>
      </x:c>
      <x:c r="F23" s="30" t="str">
        <x:v>Conditional</x:v>
      </x:c>
      <x:c r="G23" s="30" t="str">
        <x:v>Continuous</x:v>
      </x:c>
      <x:c r="H23" s="30" t="str">
        <x:v>At each Schedule X sale and for two years</x:v>
      </x:c>
      <x:c r="I23" s="30" t="str">
        <x:v>Registered Pharmacist</x:v>
      </x:c>
      <x:c r="J23" s="30" t="str">
        <x:v>Serious licence action and prosecution</x:v>
      </x:c>
      <x:c r="K23" s="30" t="str">
        <x:v>Critical</x:v>
      </x:c>
      <x:c r="L23" s="30" t="str">
        <x:v>CORE</x:v>
      </x:c>
      <x:c r="M23" s="30" t="str">
        <x:v>Yes</x:v>
      </x:c>
      <x:c r="N23" s="30" t="str">
        <x:v>P-2 authoritative normalization; exact rule/schedule/form basis recorded.</x:v>
      </x:c>
    </x:row>
    <x:row r="24">
      <x:c r="A24" s="30" t="str">
        <x:v>COMP023</x:v>
      </x:c>
      <x:c r="B24" s="30" t="str">
        <x:v>PROV023</x:v>
      </x:c>
      <x:c r="C24" s="30" t="str">
        <x:v>CA067</x:v>
      </x:c>
      <x:c r="D24" s="30" t="str">
        <x:v>Do not accept or sell Schedule G medicine unless it carries the prescribed medical-supervision caution.</x:v>
      </x:c>
      <x:c r="E24" s="30" t="str">
        <x:v>Accurate implementation of the cited Drugs Rules control.</x:v>
      </x:c>
      <x:c r="F24" s="30" t="str">
        <x:v>Conditional</x:v>
      </x:c>
      <x:c r="G24" s="30" t="str">
        <x:v>Continuous</x:v>
      </x:c>
      <x:c r="H24" s="30" t="str">
        <x:v>Before sale</x:v>
      </x:c>
      <x:c r="I24" s="30" t="str">
        <x:v>Store Manager</x:v>
      </x:c>
      <x:c r="J24" s="30" t="str">
        <x:v>Labelling violation and seizure</x:v>
      </x:c>
      <x:c r="K24" s="30" t="str">
        <x:v>High</x:v>
      </x:c>
      <x:c r="L24" s="30" t="str">
        <x:v>CORE</x:v>
      </x:c>
      <x:c r="M24" s="30" t="str">
        <x:v>Yes</x:v>
      </x:c>
      <x:c r="N24" s="30" t="str">
        <x:v>P-2 authoritative normalization; exact rule/schedule/form basis recorded.</x:v>
      </x:c>
    </x:row>
    <x:row r="25">
      <x:c r="A25" s="30" t="str">
        <x:v>COMP024</x:v>
      </x:c>
      <x:c r="B25" s="30" t="str">
        <x:v>PROV024</x:v>
      </x:c>
      <x:c r="C25" s="30" t="str">
        <x:v>CA002</x:v>
      </x:c>
      <x:c r="D25" s="30" t="str">
        <x:v>Claim a Schedule K exemption only where the exact drug class, exempted provision and stated conditions are satisfied and documented.</x:v>
      </x:c>
      <x:c r="E25" s="30" t="str">
        <x:v>Accurate implementation of the cited Drugs Rules control.</x:v>
      </x:c>
      <x:c r="F25" s="30" t="str">
        <x:v>Conditional</x:v>
      </x:c>
      <x:c r="G25" s="30" t="str">
        <x:v>Continuous</x:v>
      </x:c>
      <x:c r="H25" s="30" t="str">
        <x:v>Before relying on an exemption</x:v>
      </x:c>
      <x:c r="I25" s="30" t="str">
        <x:v>Pharmacy Owner</x:v>
      </x:c>
      <x:c r="J25" s="30" t="str">
        <x:v>Unlicensed or otherwise unlawful activity</x:v>
      </x:c>
      <x:c r="K25" s="30" t="str">
        <x:v>High</x:v>
      </x:c>
      <x:c r="L25" s="30" t="str">
        <x:v>CORE</x:v>
      </x:c>
      <x:c r="M25" s="30" t="str">
        <x:v>Yes</x:v>
      </x:c>
      <x:c r="N25" s="30" t="str">
        <x:v>P-2 authoritative normalization; exact rule/schedule/form basis recorded.</x:v>
      </x:c>
    </x:row>
    <x:row r="26">
      <x:c r="A26" s="30" t="str">
        <x:v>COMP025</x:v>
      </x:c>
      <x:c r="B26" s="30" t="str">
        <x:v>PROV025</x:v>
      </x:c>
      <x:c r="C26" s="30" t="str">
        <x:v>CA067</x:v>
      </x:c>
      <x:c r="D26" s="30" t="str">
        <x:v>Where Schedule H2 formulations are stocked, verify readily apparent presence and readability of the mandated barcode/QR-code label before acceptance or sale; primary liability remains with the manufacturer.</x:v>
      </x:c>
      <x:c r="E26" s="30" t="str">
        <x:v>Accurate implementation of the cited Drugs Rules control.</x:v>
      </x:c>
      <x:c r="F26" s="30" t="str">
        <x:v>Conditional</x:v>
      </x:c>
      <x:c r="G26" s="30" t="str">
        <x:v>Continuous</x:v>
      </x:c>
      <x:c r="H26" s="30" t="str">
        <x:v>At goods receipt and sale</x:v>
      </x:c>
      <x:c r="I26" s="30" t="str">
        <x:v>Store Manager</x:v>
      </x:c>
      <x:c r="J26" s="30" t="str">
        <x:v>Non-compliant labelled stock and traceability failure</x:v>
      </x:c>
      <x:c r="K26" s="30" t="str">
        <x:v>Medium</x:v>
      </x:c>
      <x:c r="L26" s="30" t="str">
        <x:v>CORE</x:v>
      </x:c>
      <x:c r="M26" s="30" t="str">
        <x:v>Yes</x:v>
      </x:c>
      <x:c r="N26" s="30" t="str">
        <x:v>P-2 authoritative normalization; exact rule/schedule/form basis recorded.</x:v>
      </x:c>
    </x:row>
    <x:row r="27">
      <x:c r="A27" s="30" t="str">
        <x:v>COMP026</x:v>
      </x:c>
      <x:c r="B27" s="30" t="str">
        <x:v>PROV026</x:v>
      </x:c>
      <x:c r="C27" s="30" t="str">
        <x:v>CA003</x:v>
      </x:c>
      <x:c r="D27" s="30" t="str">
        <x:v>Ensure only pharmacists whose names appear in the State Register are engaged in professional pharmacy practice.</x:v>
      </x:c>
      <x:c r="E27" s="30"/>
      <x:c r="F27" s="30" t="str">
        <x:v>Mandatory</x:v>
      </x:c>
      <x:c r="G27" s="30" t="str">
        <x:v>Continuous</x:v>
      </x:c>
      <x:c r="H27" s="30" t="str">
        <x:v>Throughout employment</x:v>
      </x:c>
      <x:c r="I27" s="30" t="str">
        <x:v>Pharmacy Owner</x:v>
      </x:c>
      <x:c r="J27" s="30" t="str">
        <x:v>Regulatory action by Pharmacy Council</x:v>
      </x:c>
      <x:c r="K27" s="30"/>
      <x:c r="L27" s="30" t="str">
        <x:v>CORE</x:v>
      </x:c>
      <x:c r="M27" s="30" t="str">
        <x:v>Yes</x:v>
      </x:c>
      <x:c r="N27" s="30" t="str">
        <x:v>Pharmacist registration verification</x:v>
      </x:c>
    </x:row>
    <x:row r="28">
      <x:c r="A28" s="30" t="str">
        <x:v>COMP027</x:v>
      </x:c>
      <x:c r="B28" s="30" t="str">
        <x:v>PROV027</x:v>
      </x:c>
      <x:c r="C28" s="30" t="str">
        <x:v>CA003</x:v>
      </x:c>
      <x:c r="D28" s="30" t="str">
        <x:v>Verify and retain evidence of each practising pharmacist's current State Register entry as an internal control supporting the operative registration and dispensing duties.</x:v>
      </x:c>
      <x:c r="E28" s="30"/>
      <x:c r="F28" s="30" t="str">
        <x:v>Optional</x:v>
      </x:c>
      <x:c r="G28" s="30" t="str">
        <x:v>Annual</x:v>
      </x:c>
      <x:c r="H28" s="30" t="str">
        <x:v>Before renewal of registration</x:v>
      </x:c>
      <x:c r="I28" s="30" t="str">
        <x:v>Compliance Officer</x:v>
      </x:c>
      <x:c r="J28" s="30" t="str">
        <x:v>Inspection observations</x:v>
      </x:c>
      <x:c r="K28" s="30"/>
      <x:c r="L28" s="30" t="str">
        <x:v>CORE</x:v>
      </x:c>
      <x:c r="M28" s="30" t="str">
        <x:v>Yes</x:v>
      </x:c>
      <x:c r="N28" s="30" t="str">
        <x:v>Best-practice employer verification; the pharmacist's statutory registration and Section 42 control remain mandatory.</x:v>
      </x:c>
    </x:row>
    <x:row r="29">
      <x:c r="A29" s="30" t="str">
        <x:v>COMP028</x:v>
      </x:c>
      <x:c r="B29" s="30" t="str">
        <x:v>PROV028</x:v>
      </x:c>
      <x:c r="C29" s="30" t="str">
        <x:v>CA003</x:v>
      </x:c>
      <x:c r="D29" s="30" t="str">
        <x:v>Ensure dispensing activities are carried out under the supervision of a Registered Pharmacist.</x:v>
      </x:c>
      <x:c r="E29" s="30"/>
      <x:c r="F29" s="30" t="str">
        <x:v>Mandatory</x:v>
      </x:c>
      <x:c r="G29" s="30" t="str">
        <x:v>Continuous</x:v>
      </x:c>
      <x:c r="H29" s="30" t="str">
        <x:v>During pharmacy operating hours</x:v>
      </x:c>
      <x:c r="I29" s="30" t="str">
        <x:v>Registered Pharmacist</x:v>
      </x:c>
      <x:c r="J29" s="30" t="str">
        <x:v>Suspension of licence / regulatory action</x:v>
      </x:c>
      <x:c r="K29" s="30"/>
      <x:c r="L29" s="30" t="str">
        <x:v>CORE</x:v>
      </x:c>
      <x:c r="M29" s="30" t="str">
        <x:v>Yes</x:v>
      </x:c>
      <x:c r="N29" s="30" t="str">
        <x:v>Core operational requirement</x:v>
      </x:c>
    </x:row>
    <x:row r="30">
      <x:c r="A30" s="30" t="str">
        <x:v>COMP029</x:v>
      </x:c>
      <x:c r="B30" s="30" t="str">
        <x:v>PROV029</x:v>
      </x:c>
      <x:c r="C30" s="30" t="str">
        <x:v>CA049</x:v>
      </x:c>
      <x:c r="D30" s="30" t="str">
        <x:v>Ensure pharmacists comply with the professional code of ethics and standards of conduct.</x:v>
      </x:c>
      <x:c r="E30" s="30"/>
      <x:c r="F30" s="30" t="str">
        <x:v>Mandatory</x:v>
      </x:c>
      <x:c r="G30" s="30" t="str">
        <x:v>Continuous</x:v>
      </x:c>
      <x:c r="H30" s="30" t="str">
        <x:v>Ongoing</x:v>
      </x:c>
      <x:c r="I30" s="30" t="str">
        <x:v>Chief Pharmacist</x:v>
      </x:c>
      <x:c r="J30" s="30" t="str">
        <x:v>Professional disciplinary proceedings</x:v>
      </x:c>
      <x:c r="K30" s="30"/>
      <x:c r="L30" s="30" t="str">
        <x:v>CORE</x:v>
      </x:c>
      <x:c r="M30" s="30" t="str">
        <x:v>Yes</x:v>
      </x:c>
      <x:c r="N30" s="30" t="str">
        <x:v>Professional ethics</x:v>
      </x:c>
    </x:row>
    <x:row r="31">
      <x:c r="A31" s="30" t="str">
        <x:v>COMP030</x:v>
      </x:c>
      <x:c r="B31" s="30" t="str">
        <x:v>PROV030</x:v>
      </x:c>
      <x:c r="C31" s="30" t="str">
        <x:v>CA049</x:v>
      </x:c>
      <x:c r="D31" s="30" t="str">
        <x:v>Maintain records of continuing professional education and competency development.</x:v>
      </x:c>
      <x:c r="E31" s="30"/>
      <x:c r="F31" s="30" t="str">
        <x:v>Conditional</x:v>
      </x:c>
      <x:c r="G31" s="30" t="str">
        <x:v>Annual</x:v>
      </x:c>
      <x:c r="H31" s="30" t="str">
        <x:v>As prescribed by the Pharmacy Council</x:v>
      </x:c>
      <x:c r="I31" s="30" t="str">
        <x:v>Registered Pharmacist</x:v>
      </x:c>
      <x:c r="J31" s="30" t="str">
        <x:v>Professional compliance observations</x:v>
      </x:c>
      <x:c r="K31" s="30"/>
      <x:c r="L31" s="30" t="str">
        <x:v>CORE</x:v>
      </x:c>
      <x:c r="M31" s="30" t="str">
        <x:v>Yes</x:v>
      </x:c>
      <x:c r="N31" s="30" t="str">
        <x:v>Continuing education</x:v>
      </x:c>
    </x:row>
    <x:row r="32">
      <x:c r="A32" s="30" t="str">
        <x:v>COMP031</x:v>
      </x:c>
      <x:c r="B32" s="30" t="str">
        <x:v>PROV031</x:v>
      </x:c>
      <x:c r="C32" s="30" t="str">
        <x:v>CA030</x:v>
      </x:c>
      <x:c r="D32" s="30" t="str">
        <x:v>Display the current scheduled-formulation price list and supplementary list conspicuously at the premises.</x:v>
      </x:c>
      <x:c r="E32" s="30"/>
      <x:c r="F32" s="30" t="str">
        <x:v>Conditional</x:v>
      </x:c>
      <x:c r="G32" s="30" t="str">
        <x:v>On notification / Continuous</x:v>
      </x:c>
      <x:c r="H32" s="30" t="str">
        <x:v>At every sale</x:v>
      </x:c>
      <x:c r="I32" s="30" t="str">
        <x:v>Pharmacy Manager</x:v>
      </x:c>
      <x:c r="J32" s="30" t="str">
        <x:v>Recovery of overcharged amount, penalty</x:v>
      </x:c>
      <x:c r="K32" s="30"/>
      <x:c r="L32" s="30" t="str">
        <x:v>CORE</x:v>
      </x:c>
      <x:c r="M32" s="30" t="str">
        <x:v>Yes</x:v>
      </x:c>
      <x:c r="N32" s="30" t="str">
        <x:v>Applicable to scheduled medicines</x:v>
      </x:c>
    </x:row>
    <x:row r="33">
      <x:c r="A33" s="30" t="str">
        <x:v>COMP032</x:v>
      </x:c>
      <x:c r="B33" s="30" t="str">
        <x:v>PROV032</x:v>
      </x:c>
      <x:c r="C33" s="30" t="str">
        <x:v>CA031</x:v>
      </x:c>
      <x:c r="D33" s="30" t="str">
        <x:v>Display the current non-scheduled-formulation price list conspicuously at the premises.</x:v>
      </x:c>
      <x:c r="E33" s="30"/>
      <x:c r="F33" s="30" t="str">
        <x:v>Conditional</x:v>
      </x:c>
      <x:c r="G33" s="30" t="str">
        <x:v>On revision / Continuous</x:v>
      </x:c>
      <x:c r="H33" s="30" t="str">
        <x:v>Before product sale</x:v>
      </x:c>
      <x:c r="I33" s="30" t="str">
        <x:v>Accounts Manager</x:v>
      </x:c>
      <x:c r="J33" s="30" t="str">
        <x:v>Regulatory action by NPPA</x:v>
      </x:c>
      <x:c r="K33" s="30"/>
      <x:c r="L33" s="30" t="str">
        <x:v>CORE</x:v>
      </x:c>
      <x:c r="M33" s="30" t="str">
        <x:v>Yes</x:v>
      </x:c>
      <x:c r="N33" s="30" t="str">
        <x:v>Price computation</x:v>
      </x:c>
    </x:row>
    <x:row r="34">
      <x:c r="A34" s="30" t="str">
        <x:v>COMP033</x:v>
      </x:c>
      <x:c r="B34" s="30" t="str">
        <x:v>PROV033</x:v>
      </x:c>
      <x:c r="C34" s="30" t="str">
        <x:v>CA063</x:v>
      </x:c>
      <x:c r="D34" s="30" t="str">
        <x:v>Do not sell a formulation above the lower of the current price-list price or label price, plus applicable local taxes.</x:v>
      </x:c>
      <x:c r="E34" s="30"/>
      <x:c r="F34" s="30" t="str">
        <x:v>Mandatory</x:v>
      </x:c>
      <x:c r="G34" s="30" t="str">
        <x:v>Per transaction</x:v>
      </x:c>
      <x:c r="H34" s="30" t="str">
        <x:v>Immediately after revision</x:v>
      </x:c>
      <x:c r="I34" s="30" t="str">
        <x:v>Pharmacy Manager</x:v>
      </x:c>
      <x:c r="J34" s="30" t="str">
        <x:v>Inspection observations</x:v>
      </x:c>
      <x:c r="K34" s="30"/>
      <x:c r="L34" s="30" t="str">
        <x:v>CORE</x:v>
      </x:c>
      <x:c r="M34" s="30" t="str">
        <x:v>Yes</x:v>
      </x:c>
      <x:c r="N34" s="30" t="str">
        <x:v>Public display requirement</x:v>
      </x:c>
    </x:row>
    <x:row r="35">
      <x:c r="A35" s="30" t="str">
        <x:v>COMP034</x:v>
      </x:c>
      <x:c r="B35" s="30" t="str">
        <x:v>PROV034</x:v>
      </x:c>
      <x:c r="C35" s="30" t="str">
        <x:v>CA019</x:v>
      </x:c>
      <x:c r="D35" s="30" t="str">
        <x:v>When selling a split quantity, charge no more than the pro-rata price for that quantity.</x:v>
      </x:c>
      <x:c r="E35" s="30"/>
      <x:c r="F35" s="30" t="str">
        <x:v>Conditional</x:v>
      </x:c>
      <x:c r="G35" s="30" t="str">
        <x:v>Per split-pack transaction</x:v>
      </x:c>
      <x:c r="H35" s="30" t="str">
        <x:v>Ongoing</x:v>
      </x:c>
      <x:c r="I35" s="30" t="str">
        <x:v>Accounts Manager</x:v>
      </x:c>
      <x:c r="J35" s="30" t="str">
        <x:v>Failure during inspection</x:v>
      </x:c>
      <x:c r="K35" s="30"/>
      <x:c r="L35" s="30" t="str">
        <x:v>CORE</x:v>
      </x:c>
      <x:c r="M35" s="30" t="str">
        <x:v>Yes</x:v>
      </x:c>
      <x:c r="N35" s="30" t="str">
        <x:v>Price documentation</x:v>
      </x:c>
    </x:row>
    <x:row r="36">
      <x:c r="A36" s="30" t="str">
        <x:v>COMP035</x:v>
      </x:c>
      <x:c r="B36" s="30" t="str">
        <x:v>PROV035</x:v>
      </x:c>
      <x:c r="C36" s="30" t="str">
        <x:v>CA084</x:v>
      </x:c>
      <x:c r="D36" s="30" t="str">
        <x:v>Do not withhold or refuse sale of a formulation that is available for sale to a customer.</x:v>
      </x:c>
      <x:c r="E36" s="30"/>
      <x:c r="F36" s="30" t="str">
        <x:v>Mandatory</x:v>
      </x:c>
      <x:c r="G36" s="30" t="str">
        <x:v>Per transaction</x:v>
      </x:c>
      <x:c r="H36" s="30" t="str">
        <x:v>As notified</x:v>
      </x:c>
      <x:c r="I36" s="30" t="str">
        <x:v>Compliance Officer</x:v>
      </x:c>
      <x:c r="J36" s="30" t="str">
        <x:v>Regulatory action</x:v>
      </x:c>
      <x:c r="K36" s="30"/>
      <x:c r="L36" s="30" t="str">
        <x:v>CORE</x:v>
      </x:c>
      <x:c r="M36" s="30" t="str">
        <x:v>Yes</x:v>
      </x:c>
      <x:c r="N36" s="30" t="str">
        <x:v>Reporting obligations</x:v>
      </x:c>
    </x:row>
    <x:row r="37">
      <x:c r="A37" s="30" t="str">
        <x:v>COMP036</x:v>
      </x:c>
      <x:c r="B37" s="30" t="str">
        <x:v>PROV036</x:v>
      </x:c>
      <x:c r="C37" s="30" t="str">
        <x:v>CA026</x:v>
      </x:c>
      <x:c r="D37" s="30" t="str">
        <x:v>Ensure narcotic and psychotropic substances are handled only as permitted under law.</x:v>
      </x:c>
      <x:c r="E37" s="30"/>
      <x:c r="F37" s="30" t="str">
        <x:v>Conditional</x:v>
      </x:c>
      <x:c r="G37" s="30" t="str">
        <x:v>Continuous</x:v>
      </x:c>
      <x:c r="H37" s="30" t="str">
        <x:v>Throughout operations</x:v>
      </x:c>
      <x:c r="I37" s="30" t="str">
        <x:v>Registered Pharmacist</x:v>
      </x:c>
      <x:c r="J37" s="30" t="str">
        <x:v>Criminal prosecution</x:v>
      </x:c>
      <x:c r="K37" s="30"/>
      <x:c r="L37" s="30" t="str">
        <x:v>CORE</x:v>
      </x:c>
      <x:c r="M37" s="30" t="str">
        <x:v>Yes</x:v>
      </x:c>
      <x:c r="N37" s="30" t="str">
        <x:v>NDPS compliance</x:v>
      </x:c>
    </x:row>
    <x:row r="38">
      <x:c r="A38" s="30" t="str">
        <x:v>COMP037</x:v>
      </x:c>
      <x:c r="B38" s="30" t="str">
        <x:v>PROV037</x:v>
      </x:c>
      <x:c r="C38" s="30" t="str">
        <x:v>CA026</x:v>
      </x:c>
      <x:c r="D38" s="30" t="str">
        <x:v>Comply with Central Government controls applicable to regulated substances.</x:v>
      </x:c>
      <x:c r="E38" s="30"/>
      <x:c r="F38" s="30" t="str">
        <x:v>Conditional</x:v>
      </x:c>
      <x:c r="G38" s="30" t="str">
        <x:v>Continuous</x:v>
      </x:c>
      <x:c r="H38" s="30" t="str">
        <x:v>Ongoing</x:v>
      </x:c>
      <x:c r="I38" s="30" t="str">
        <x:v>Pharmacy Owner</x:v>
      </x:c>
      <x:c r="J38" s="30" t="str">
        <x:v>Regulatory prosecution</x:v>
      </x:c>
      <x:c r="K38" s="30"/>
      <x:c r="L38" s="30" t="str">
        <x:v>CORE</x:v>
      </x:c>
      <x:c r="M38" s="30" t="str">
        <x:v>No</x:v>
      </x:c>
      <x:c r="N38" s="30" t="str">
        <x:v>P-4 QUARANTINED with inactive parent provision; legacy ID retained.</x:v>
      </x:c>
    </x:row>
    <x:row r="39">
      <x:c r="A39" s="30" t="str">
        <x:v>COMP038</x:v>
      </x:c>
      <x:c r="B39" s="30" t="str">
        <x:v>PROV038</x:v>
      </x:c>
      <x:c r="C39" s="30" t="str">
        <x:v>CA026</x:v>
      </x:c>
      <x:c r="D39" s="30" t="str">
        <x:v>Comply with State Government directions governing narcotic and psychotropic substances.</x:v>
      </x:c>
      <x:c r="E39" s="30"/>
      <x:c r="F39" s="30" t="str">
        <x:v>Conditional</x:v>
      </x:c>
      <x:c r="G39" s="30" t="str">
        <x:v>Continuous</x:v>
      </x:c>
      <x:c r="H39" s="30" t="str">
        <x:v>Ongoing</x:v>
      </x:c>
      <x:c r="I39" s="30" t="str">
        <x:v>Pharmacy Owner</x:v>
      </x:c>
      <x:c r="J39" s="30" t="str">
        <x:v>Regulatory action</x:v>
      </x:c>
      <x:c r="K39" s="30"/>
      <x:c r="L39" s="30" t="str">
        <x:v>CORE</x:v>
      </x:c>
      <x:c r="M39" s="30" t="str">
        <x:v>No</x:v>
      </x:c>
      <x:c r="N39" s="30" t="str">
        <x:v>P-4 QUARANTINED with inactive parent provision; legacy ID retained.</x:v>
      </x:c>
    </x:row>
    <x:row r="40">
      <x:c r="A40" s="30" t="str">
        <x:v>COMP039</x:v>
      </x:c>
      <x:c r="B40" s="30" t="str">
        <x:v>PROV039</x:v>
      </x:c>
      <x:c r="C40" s="30" t="str">
        <x:v>CA027</x:v>
      </x:c>
      <x:c r="D40" s="30" t="str">
        <x:v>Prevent unauthorized possession or storage of narcotic and psychotropic medicines.</x:v>
      </x:c>
      <x:c r="E40" s="30"/>
      <x:c r="F40" s="30" t="str">
        <x:v>Conditional</x:v>
      </x:c>
      <x:c r="G40" s="30" t="str">
        <x:v>Continuous</x:v>
      </x:c>
      <x:c r="H40" s="30" t="str">
        <x:v>Continuous</x:v>
      </x:c>
      <x:c r="I40" s="30" t="str">
        <x:v>Registered Pharmacist</x:v>
      </x:c>
      <x:c r="J40" s="30" t="str">
        <x:v>Criminal liability</x:v>
      </x:c>
      <x:c r="K40" s="30"/>
      <x:c r="L40" s="30" t="str">
        <x:v>CORE</x:v>
      </x:c>
      <x:c r="M40" s="30" t="str">
        <x:v>No</x:v>
      </x:c>
      <x:c r="N40" s="30" t="str">
        <x:v>P-4 QUARANTINED with inactive parent provision; legacy ID retained.</x:v>
      </x:c>
    </x:row>
    <x:row r="41">
      <x:c r="A41" s="30" t="str">
        <x:v>COMP040</x:v>
      </x:c>
      <x:c r="B41" s="30" t="str">
        <x:v>PROV040</x:v>
      </x:c>
      <x:c r="C41" s="30" t="str">
        <x:v>CA026</x:v>
      </x:c>
      <x:c r="D41" s="30" t="str">
        <x:v>Ensure compliance with both NDPS legislation and Drugs &amp; Cosmetics legislation where both apply.</x:v>
      </x:c>
      <x:c r="E41" s="30"/>
      <x:c r="F41" s="30" t="str">
        <x:v>Conditional</x:v>
      </x:c>
      <x:c r="G41" s="30" t="str">
        <x:v>Continuous</x:v>
      </x:c>
      <x:c r="H41" s="30" t="str">
        <x:v>Ongoing</x:v>
      </x:c>
      <x:c r="I41" s="30" t="str">
        <x:v>Compliance Officer</x:v>
      </x:c>
      <x:c r="J41" s="30" t="str">
        <x:v>Multi-law enforcement action</x:v>
      </x:c>
      <x:c r="K41" s="30"/>
      <x:c r="L41" s="30" t="str">
        <x:v>CORE</x:v>
      </x:c>
      <x:c r="M41" s="30" t="str">
        <x:v>No</x:v>
      </x:c>
      <x:c r="N41" s="30" t="str">
        <x:v>P-4 QUARANTINED with inactive parent provision; legacy ID retained.</x:v>
      </x:c>
    </x:row>
    <x:row r="42">
      <x:c r="A42" s="30" t="str">
        <x:v>COMP041</x:v>
      </x:c>
      <x:c r="B42" s="30" t="str">
        <x:v>PROV041</x:v>
      </x:c>
      <x:c r="C42" s="30" t="str">
        <x:v>CA027</x:v>
      </x:c>
      <x:c r="D42" s="30" t="str">
        <x:v>Possess Essential Narcotic Drugs only under authorization permitted by Rule 52A.</x:v>
      </x:c>
      <x:c r="E42" s="30"/>
      <x:c r="F42" s="30" t="str">
        <x:v>Conditional</x:v>
      </x:c>
      <x:c r="G42" s="30" t="str">
        <x:v>Continuous</x:v>
      </x:c>
      <x:c r="H42" s="30" t="str">
        <x:v>Before commencing activity</x:v>
      </x:c>
      <x:c r="I42" s="30" t="str">
        <x:v>Pharmacy Owner</x:v>
      </x:c>
      <x:c r="J42" s="30" t="str">
        <x:v>Licence cancellation / prosecution</x:v>
      </x:c>
      <x:c r="K42" s="30"/>
      <x:c r="L42" s="30" t="str">
        <x:v>CORE</x:v>
      </x:c>
      <x:c r="M42" s="30" t="str">
        <x:v>Yes</x:v>
      </x:c>
      <x:c r="N42" s="30" t="str">
        <x:v>END authorization</x:v>
      </x:c>
    </x:row>
    <x:row r="43">
      <x:c r="A43" s="30" t="str">
        <x:v>COMP042</x:v>
      </x:c>
      <x:c r="B43" s="30" t="str">
        <x:v>PROV042</x:v>
      </x:c>
      <x:c r="C43" s="30" t="str">
        <x:v>CA028</x:v>
      </x:c>
      <x:c r="D43" s="30" t="str">
        <x:v>Maintain the applicable State licence as a dealer or chemist for possession and sale of Essential Narcotic Drugs and comply with its conditions.</x:v>
      </x:c>
      <x:c r="E43" s="30"/>
      <x:c r="F43" s="30" t="str">
        <x:v>Conditional</x:v>
      </x:c>
      <x:c r="G43" s="30" t="str">
        <x:v>Continuous</x:v>
      </x:c>
      <x:c r="H43" s="30" t="str">
        <x:v>At every transaction</x:v>
      </x:c>
      <x:c r="I43" s="30" t="str">
        <x:v>Registered Pharmacist</x:v>
      </x:c>
      <x:c r="J43" s="30" t="str">
        <x:v>Inspection observations</x:v>
      </x:c>
      <x:c r="K43" s="30"/>
      <x:c r="L43" s="30" t="str">
        <x:v>CORE</x:v>
      </x:c>
      <x:c r="M43" s="30" t="str">
        <x:v>Yes</x:v>
      </x:c>
      <x:c r="N43" s="30" t="str">
        <x:v>Statutory register</x:v>
      </x:c>
    </x:row>
    <x:row r="44">
      <x:c r="A44" s="30" t="str">
        <x:v>COMP043</x:v>
      </x:c>
      <x:c r="B44" s="30" t="str">
        <x:v>PROV043</x:v>
      </x:c>
      <x:c r="C44" s="30" t="str">
        <x:v>CA027</x:v>
      </x:c>
      <x:c r="D44" s="30" t="str">
        <x:v>Sell an Essential Narcotic Drug only against a legally valid prescription and in accordance with the Drugs Rules, 1945.</x:v>
      </x:c>
      <x:c r="E44" s="30"/>
      <x:c r="F44" s="30" t="str">
        <x:v>Conditional</x:v>
      </x:c>
      <x:c r="G44" s="30" t="str">
        <x:v>Per transaction</x:v>
      </x:c>
      <x:c r="H44" s="30" t="str">
        <x:v>At every dispensing</x:v>
      </x:c>
      <x:c r="I44" s="30" t="str">
        <x:v>Registered Pharmacist</x:v>
      </x:c>
      <x:c r="J44" s="30" t="str">
        <x:v>Criminal prosecution</x:v>
      </x:c>
      <x:c r="K44" s="30"/>
      <x:c r="L44" s="30" t="str">
        <x:v>CORE</x:v>
      </x:c>
      <x:c r="M44" s="30" t="str">
        <x:v>Yes</x:v>
      </x:c>
      <x:c r="N44" s="30" t="str">
        <x:v>Prescription verification</x:v>
      </x:c>
    </x:row>
    <x:row r="45">
      <x:c r="A45" s="30" t="str">
        <x:v>COMP044</x:v>
      </x:c>
      <x:c r="B45" s="30" t="str">
        <x:v>PROV044</x:v>
      </x:c>
      <x:c r="C45" s="30" t="str">
        <x:v>CA027</x:v>
      </x:c>
      <x:c r="D45" s="30" t="str">
        <x:v>Ensure each applicable Essential Narcotic Drug consignment has the prescribed Form 3C documentation and retain supporting documents for two years.</x:v>
      </x:c>
      <x:c r="E45" s="30"/>
      <x:c r="F45" s="30" t="str">
        <x:v>Conditional</x:v>
      </x:c>
      <x:c r="G45" s="30" t="str">
        <x:v>Continuous</x:v>
      </x:c>
      <x:c r="H45" s="30" t="str">
        <x:v>Throughout storage</x:v>
      </x:c>
      <x:c r="I45" s="30" t="str">
        <x:v>Pharmacy Manager</x:v>
      </x:c>
      <x:c r="J45" s="30" t="str">
        <x:v>Serious regulatory action</x:v>
      </x:c>
      <x:c r="K45" s="30"/>
      <x:c r="L45" s="30" t="str">
        <x:v>CORE</x:v>
      </x:c>
      <x:c r="M45" s="30" t="str">
        <x:v>Yes</x:v>
      </x:c>
      <x:c r="N45" s="30" t="str">
        <x:v>Secure storage</x:v>
      </x:c>
    </x:row>
    <x:row r="46">
      <x:c r="A46" s="30" t="str">
        <x:v>COMP045</x:v>
      </x:c>
      <x:c r="B46" s="30" t="str">
        <x:v>PROV045</x:v>
      </x:c>
      <x:c r="C46" s="30" t="str">
        <x:v>CA039</x:v>
      </x:c>
      <x:c r="D46" s="30" t="str">
        <x:v>Complete the prescribed declaration/documentation and account-book entries for transmission of Essential Narcotic Drugs by post, courier, rail or road.</x:v>
      </x:c>
      <x:c r="E46" s="30"/>
      <x:c r="F46" s="30" t="str">
        <x:v>Conditional</x:v>
      </x:c>
      <x:c r="G46" s="30" t="str">
        <x:v>Per consignment</x:v>
      </x:c>
      <x:c r="H46" s="30" t="str">
        <x:v>At the time of disposal</x:v>
      </x:c>
      <x:c r="I46" s="30" t="str">
        <x:v>Registered Pharmacist</x:v>
      </x:c>
      <x:c r="J46" s="30" t="str">
        <x:v>Criminal liability</x:v>
      </x:c>
      <x:c r="K46" s="30"/>
      <x:c r="L46" s="30" t="str">
        <x:v>CORE</x:v>
      </x:c>
      <x:c r="M46" s="30" t="str">
        <x:v>Yes</x:v>
      </x:c>
      <x:c r="N46" s="30" t="str">
        <x:v>Controlled disposal</x:v>
      </x:c>
    </x:row>
    <x:row r="47">
      <x:c r="A47" s="30" t="str">
        <x:v>COMP046</x:v>
      </x:c>
      <x:c r="B47" s="30" t="str">
        <x:v>PROV046</x:v>
      </x:c>
      <x:c r="C47" s="30" t="str">
        <x:v>CA038</x:v>
      </x:c>
      <x:c r="D47" s="30" t="str">
        <x:v>If the establishment is a BMW occupier/generator, implement the Rule 4 occupier programme, including segregation governance, employee training/immunisation, barcoding/traceability where applicable and non-mixing controls.</x:v>
      </x:c>
      <x:c r="E47" s="30" t="str">
        <x:v>Safe and lawful bio-medical waste handling by a covered occupier.</x:v>
      </x:c>
      <x:c r="F47" s="30" t="str">
        <x:v>Conditional</x:v>
      </x:c>
      <x:c r="G47" s="30" t="str">
        <x:v>Continuous</x:v>
      </x:c>
      <x:c r="H47" s="30" t="str">
        <x:v>From first generation/handling of bio-medical waste</x:v>
      </x:c>
      <x:c r="I47" s="30" t="str">
        <x:v>Occupier / Facility Head</x:v>
      </x:c>
      <x:c r="J47" s="30" t="str">
        <x:v>Environmental enforcement, authorization action and health risk</x:v>
      </x:c>
      <x:c r="K47" s="30" t="str">
        <x:v>Critical</x:v>
      </x:c>
      <x:c r="L47" s="30" t="str">
        <x:v>CORE</x:v>
      </x:c>
      <x:c r="M47" s="30" t="str">
        <x:v>Yes</x:v>
      </x:c>
      <x:c r="N47" s="30" t="str">
        <x:v>P-3 normalized; not triggered by ordinary drug sale alone.</x:v>
      </x:c>
    </x:row>
    <x:row r="48">
      <x:c r="A48" s="30" t="str">
        <x:v>COMP047</x:v>
      </x:c>
      <x:c r="B48" s="30" t="str">
        <x:v>PROV047</x:v>
      </x:c>
      <x:c r="C48" s="30" t="str">
        <x:v>CA038</x:v>
      </x:c>
      <x:c r="D48" s="30" t="str">
        <x:v>Segregate BMW at the point of generation into the prescribed colour-coded bags/containers, label/package it and keep it separate from municipal waste.</x:v>
      </x:c>
      <x:c r="E48" s="30"/>
      <x:c r="F48" s="30" t="str">
        <x:v>Conditional</x:v>
      </x:c>
      <x:c r="G48" s="30" t="str">
        <x:v>Continuous</x:v>
      </x:c>
      <x:c r="H48" s="30" t="str">
        <x:v>At each generation event</x:v>
      </x:c>
      <x:c r="I48" s="30" t="str">
        <x:v>Occupier / BMW Nodal Officer</x:v>
      </x:c>
      <x:c r="J48" s="30" t="str">
        <x:v>Regulatory action</x:v>
      </x:c>
      <x:c r="K48" s="30" t="str">
        <x:v>Critical</x:v>
      </x:c>
      <x:c r="L48" s="30" t="str">
        <x:v>CORE</x:v>
      </x:c>
      <x:c r="M48" s="30" t="str">
        <x:v>Yes</x:v>
      </x:c>
      <x:c r="N48" s="30" t="str">
        <x:v>P-3 normalized.</x:v>
      </x:c>
    </x:row>
    <x:row r="49">
      <x:c r="A49" s="30" t="str">
        <x:v>COMP048</x:v>
      </x:c>
      <x:c r="B49" s="30" t="str">
        <x:v>PROV048</x:v>
      </x:c>
      <x:c r="C49" s="30" t="str">
        <x:v>CA038</x:v>
      </x:c>
      <x:c r="D49" s="30" t="str">
        <x:v>Transfer BMW only through the permitted treatment/disposal route, including the authorised common facility where required; do not use ordinary solid-waste disposal.</x:v>
      </x:c>
      <x:c r="E49" s="30"/>
      <x:c r="F49" s="30" t="str">
        <x:v>Conditional</x:v>
      </x:c>
      <x:c r="G49" s="30" t="str">
        <x:v>Continuous</x:v>
      </x:c>
      <x:c r="H49" s="30" t="str">
        <x:v>Within the permitted storage/collection cycle</x:v>
      </x:c>
      <x:c r="I49" s="30" t="str">
        <x:v>Occupier / BMW Nodal Officer</x:v>
      </x:c>
      <x:c r="J49" s="30" t="str">
        <x:v>Environmental prosecution</x:v>
      </x:c>
      <x:c r="K49" s="30" t="str">
        <x:v>Critical</x:v>
      </x:c>
      <x:c r="L49" s="30" t="str">
        <x:v>CORE</x:v>
      </x:c>
      <x:c r="M49" s="30" t="str">
        <x:v>Yes</x:v>
      </x:c>
      <x:c r="N49" s="30" t="str">
        <x:v>P-3 normalized.</x:v>
      </x:c>
    </x:row>
    <x:row r="50">
      <x:c r="A50" s="30" t="str">
        <x:v>COMP049</x:v>
      </x:c>
      <x:c r="B50" s="30" t="str">
        <x:v>PROV049</x:v>
      </x:c>
      <x:c r="C50" s="30" t="str">
        <x:v>CA040</x:v>
      </x:c>
      <x:c r="D50" s="30" t="str">
        <x:v>Maintain BMW records; submit Form IV annual report by 30 June for the preceding calendar year; report major accidents in the prescribed form/time.</x:v>
      </x:c>
      <x:c r="E50" s="30"/>
      <x:c r="F50" s="30" t="str">
        <x:v>Conditional</x:v>
      </x:c>
      <x:c r="G50" s="30" t="str">
        <x:v>Annual</x:v>
      </x:c>
      <x:c r="H50" s="30" t="str">
        <x:v>Records continuously; annual report by 30 June; accident reporting as prescribed</x:v>
      </x:c>
      <x:c r="I50" s="30" t="str">
        <x:v>Occupier / BMW Nodal Officer</x:v>
      </x:c>
      <x:c r="J50" s="30" t="str">
        <x:v>Regulatory penalties</x:v>
      </x:c>
      <x:c r="K50" s="30" t="str">
        <x:v>High</x:v>
      </x:c>
      <x:c r="L50" s="30" t="str">
        <x:v>CORE</x:v>
      </x:c>
      <x:c r="M50" s="30" t="str">
        <x:v>Yes</x:v>
      </x:c>
      <x:c r="N50" s="30" t="str">
        <x:v>P-3 normalized.</x:v>
      </x:c>
    </x:row>
    <x:row r="51">
      <x:c r="A51" s="30" t="str">
        <x:v>COMP050</x:v>
      </x:c>
      <x:c r="B51" s="30" t="str">
        <x:v>PROV050</x:v>
      </x:c>
      <x:c r="C51" s="30" t="str">
        <x:v>CA038</x:v>
      </x:c>
      <x:c r="D51" s="30" t="str">
        <x:v>Obtain and maintain BMW authorization in Form II from the prescribed authority before/while handling BMW, irrespective of quantity.</x:v>
      </x:c>
      <x:c r="E51" s="30"/>
      <x:c r="F51" s="30" t="str">
        <x:v>Conditional</x:v>
      </x:c>
      <x:c r="G51" s="30" t="str">
        <x:v>As Applicable</x:v>
      </x:c>
      <x:c r="H51" s="30" t="str">
        <x:v>Before covered handling and throughout authorization validity</x:v>
      </x:c>
      <x:c r="I51" s="30" t="str">
        <x:v>Occupier / Facility Head</x:v>
      </x:c>
      <x:c r="J51" s="30" t="str">
        <x:v>Inspection non-conformance</x:v>
      </x:c>
      <x:c r="K51" s="30" t="str">
        <x:v>Critical</x:v>
      </x:c>
      <x:c r="L51" s="30" t="str">
        <x:v>CORE</x:v>
      </x:c>
      <x:c r="M51" s="30" t="str">
        <x:v>Yes</x:v>
      </x:c>
      <x:c r="N51" s="30" t="str">
        <x:v>P-3 normalized; authorization is evidence under LAW018.</x:v>
      </x:c>
    </x:row>
    <x:row r="52">
      <x:c r="A52" s="30" t="str">
        <x:v>COMP051</x:v>
      </x:c>
      <x:c r="B52" s="30" t="str">
        <x:v>PROV051</x:v>
      </x:c>
      <x:c r="C52" s="30" t="str">
        <x:v>CA045</x:v>
      </x:c>
      <x:c r="D52" s="30" t="str">
        <x:v>Register the pharmacy establishment under the applicable State Shops &amp; Establishments Act before commencing operations.</x:v>
      </x:c>
      <x:c r="E52" s="30"/>
      <x:c r="F52" s="30" t="str">
        <x:v>Mandatory</x:v>
      </x:c>
      <x:c r="G52" s="30" t="str">
        <x:v>One Time</x:v>
      </x:c>
      <x:c r="H52" s="30" t="str">
        <x:v>Before commencement of business</x:v>
      </x:c>
      <x:c r="I52" s="30" t="str">
        <x:v>Pharmacy Owner</x:v>
      </x:c>
      <x:c r="J52" s="30" t="str">
        <x:v>Monetary penalty, closure notice</x:v>
      </x:c>
      <x:c r="K52" s="30"/>
      <x:c r="L52" s="30" t="str">
        <x:v>CORE</x:v>
      </x:c>
      <x:c r="M52" s="30" t="str">
        <x:v>No</x:v>
      </x:c>
      <x:c r="N52" s="30" t="str">
        <x:v>P-3 QUARANTINED: Generic State/local/permit/reference rows, penalty-only/fabricated DAMR extractions, and future-effective DPDP duties are not current production obligations.</x:v>
      </x:c>
    </x:row>
    <x:row r="53">
      <x:c r="A53" s="30" t="str">
        <x:v>COMP052</x:v>
      </x:c>
      <x:c r="B53" s="30" t="str">
        <x:v>PROV052</x:v>
      </x:c>
      <x:c r="C53" s="30" t="str">
        <x:v>CA047</x:v>
      </x:c>
      <x:c r="D53" s="30" t="str">
        <x:v>Ensure employees do not work beyond permissible working hours prescribed under applicable law.</x:v>
      </x:c>
      <x:c r="E53" s="30"/>
      <x:c r="F53" s="30" t="str">
        <x:v>Mandatory</x:v>
      </x:c>
      <x:c r="G53" s="30" t="str">
        <x:v>Daily</x:v>
      </x:c>
      <x:c r="H53" s="30" t="str">
        <x:v>Throughout operations</x:v>
      </x:c>
      <x:c r="I53" s="30" t="str">
        <x:v>HR Manager</x:v>
      </x:c>
      <x:c r="J53" s="30" t="str">
        <x:v>Labour inspection observations, penalties</x:v>
      </x:c>
      <x:c r="K53" s="30"/>
      <x:c r="L53" s="30" t="str">
        <x:v>CORE</x:v>
      </x:c>
      <x:c r="M53" s="30" t="str">
        <x:v>No</x:v>
      </x:c>
      <x:c r="N53" s="30" t="str">
        <x:v>P-3 QUARANTINED: Generic State/local/permit/reference rows, penalty-only/fabricated DAMR extractions, and future-effective DPDP duties are not current production obligations.</x:v>
      </x:c>
    </x:row>
    <x:row r="54">
      <x:c r="A54" s="30" t="str">
        <x:v>COMP053</x:v>
      </x:c>
      <x:c r="B54" s="30" t="str">
        <x:v>PROV053</x:v>
      </x:c>
      <x:c r="C54" s="30" t="str">
        <x:v>CA047</x:v>
      </x:c>
      <x:c r="D54" s="30" t="str">
        <x:v>Provide weekly holidays to employees as prescribed under the applicable Shops &amp; Establishments Act.</x:v>
      </x:c>
      <x:c r="E54" s="30"/>
      <x:c r="F54" s="30" t="str">
        <x:v>Mandatory</x:v>
      </x:c>
      <x:c r="G54" s="30" t="str">
        <x:v>Weekly</x:v>
      </x:c>
      <x:c r="H54" s="30" t="str">
        <x:v>Every week</x:v>
      </x:c>
      <x:c r="I54" s="30" t="str">
        <x:v>HR Manager</x:v>
      </x:c>
      <x:c r="J54" s="30" t="str">
        <x:v>Labour law violation</x:v>
      </x:c>
      <x:c r="K54" s="30"/>
      <x:c r="L54" s="30" t="str">
        <x:v>CORE</x:v>
      </x:c>
      <x:c r="M54" s="30" t="str">
        <x:v>No</x:v>
      </x:c>
      <x:c r="N54" s="30" t="str">
        <x:v>P-3 QUARANTINED: Generic State/local/permit/reference rows, penalty-only/fabricated DAMR extractions, and future-effective DPDP duties are not current production obligations.</x:v>
      </x:c>
    </x:row>
    <x:row r="55">
      <x:c r="A55" s="30" t="str">
        <x:v>COMP054</x:v>
      </x:c>
      <x:c r="B55" s="30" t="str">
        <x:v>PROV054</x:v>
      </x:c>
      <x:c r="C55" s="30" t="str">
        <x:v>CA046</x:v>
      </x:c>
      <x:c r="D55" s="30" t="str">
        <x:v>Maintain employee leave records in the prescribed format.</x:v>
      </x:c>
      <x:c r="E55" s="30"/>
      <x:c r="F55" s="30" t="str">
        <x:v>Mandatory</x:v>
      </x:c>
      <x:c r="G55" s="30" t="str">
        <x:v>Continuous</x:v>
      </x:c>
      <x:c r="H55" s="30" t="str">
        <x:v>At every leave transaction</x:v>
      </x:c>
      <x:c r="I55" s="30" t="str">
        <x:v>HR Manager</x:v>
      </x:c>
      <x:c r="J55" s="30" t="str">
        <x:v>Statutory non-compliance</x:v>
      </x:c>
      <x:c r="K55" s="30"/>
      <x:c r="L55" s="30" t="str">
        <x:v>CORE</x:v>
      </x:c>
      <x:c r="M55" s="30" t="str">
        <x:v>No</x:v>
      </x:c>
      <x:c r="N55" s="30" t="str">
        <x:v>P-3 QUARANTINED: Generic State/local/permit/reference rows, penalty-only/fabricated DAMR extractions, and future-effective DPDP duties are not current production obligations.</x:v>
      </x:c>
    </x:row>
    <x:row r="56">
      <x:c r="A56" s="30" t="str">
        <x:v>COMP055</x:v>
      </x:c>
      <x:c r="B56" s="30" t="str">
        <x:v>PROV055</x:v>
      </x:c>
      <x:c r="C56" s="30" t="str">
        <x:v>CA063</x:v>
      </x:c>
      <x:c r="D56" s="30" t="str">
        <x:v>Display statutory notices required under the Shops &amp; Establishments Act prominently at the premises.</x:v>
      </x:c>
      <x:c r="E56" s="30"/>
      <x:c r="F56" s="30" t="str">
        <x:v>Mandatory</x:v>
      </x:c>
      <x:c r="G56" s="30" t="str">
        <x:v>Continuous</x:v>
      </x:c>
      <x:c r="H56" s="30" t="str">
        <x:v>Throughout operations</x:v>
      </x:c>
      <x:c r="I56" s="30" t="str">
        <x:v>Pharmacy Manager</x:v>
      </x:c>
      <x:c r="J56" s="30" t="str">
        <x:v>Inspection observations</x:v>
      </x:c>
      <x:c r="K56" s="30"/>
      <x:c r="L56" s="30" t="str">
        <x:v>CORE</x:v>
      </x:c>
      <x:c r="M56" s="30" t="str">
        <x:v>No</x:v>
      </x:c>
      <x:c r="N56" s="30" t="str">
        <x:v>P-3 QUARANTINED: Generic State/local/permit/reference rows, penalty-only/fabricated DAMR extractions, and future-effective DPDP duties are not current production obligations.</x:v>
      </x:c>
    </x:row>
    <x:row r="57">
      <x:c r="A57" s="30" t="str">
        <x:v>COMP056</x:v>
      </x:c>
      <x:c r="B57" s="30" t="str">
        <x:v>PROV056</x:v>
      </x:c>
      <x:c r="C57" s="30" t="str">
        <x:v>CA048</x:v>
      </x:c>
      <x:c r="D57" s="30" t="str">
        <x:v>Assess current EPF coverage under the Social Security Code/notifications and complete registration when the establishment trigger is met.</x:v>
      </x:c>
      <x:c r="E57" s="30"/>
      <x:c r="F57" s="30" t="str">
        <x:v>Conditional</x:v>
      </x:c>
      <x:c r="G57" s="30" t="str">
        <x:v>Event Based</x:v>
      </x:c>
      <x:c r="H57" s="30" t="str">
        <x:v>On commencement and every threshold/status change</x:v>
      </x:c>
      <x:c r="I57" s="30" t="str">
        <x:v>HR Manager</x:v>
      </x:c>
      <x:c r="J57" s="30" t="str">
        <x:v>Interest, damages, prosecution</x:v>
      </x:c>
      <x:c r="K57" s="30"/>
      <x:c r="L57" s="30" t="str">
        <x:v>CORE</x:v>
      </x:c>
      <x:c r="M57" s="30" t="str">
        <x:v>Yes</x:v>
      </x:c>
      <x:c r="N57" s="30" t="str">
        <x:v>P-3 remapped to current Code.</x:v>
      </x:c>
    </x:row>
    <x:row r="58">
      <x:c r="A58" s="30" t="str">
        <x:v>COMP057</x:v>
      </x:c>
      <x:c r="B58" s="30" t="str">
        <x:v>PROV057</x:v>
      </x:c>
      <x:c r="C58" s="30" t="str">
        <x:v>CA048</x:v>
      </x:c>
      <x:c r="D58" s="30" t="str">
        <x:v>For covered employees, compute, deduct and remit provident-fund contributions under the current Code, 2026 Rules and applicable scheme/notifications.</x:v>
      </x:c>
      <x:c r="E58" s="30"/>
      <x:c r="F58" s="30" t="str">
        <x:v>Conditional</x:v>
      </x:c>
      <x:c r="G58" s="30" t="str">
        <x:v>Monthly</x:v>
      </x:c>
      <x:c r="H58" s="30" t="str">
        <x:v>Current prescribed monthly timeline</x:v>
      </x:c>
      <x:c r="I58" s="30" t="str">
        <x:v>Accounts Manager</x:v>
      </x:c>
      <x:c r="J58" s="30" t="str">
        <x:v>Interest, damages and penalties</x:v>
      </x:c>
      <x:c r="K58" s="30"/>
      <x:c r="L58" s="30" t="str">
        <x:v>CORE</x:v>
      </x:c>
      <x:c r="M58" s="30" t="str">
        <x:v>Yes</x:v>
      </x:c>
      <x:c r="N58" s="30" t="str">
        <x:v>P-3 current-law remap.</x:v>
      </x:c>
    </x:row>
    <x:row r="59">
      <x:c r="A59" s="30" t="str">
        <x:v>COMP058</x:v>
      </x:c>
      <x:c r="B59" s="30" t="str">
        <x:v>PROV058</x:v>
      </x:c>
      <x:c r="C59" s="30" t="str">
        <x:v>CA046</x:v>
      </x:c>
      <x:c r="D59" s="30" t="str">
        <x:v>Maintain complete EPF membership, wage, nomination, contribution and electronic filing records for covered employees.</x:v>
      </x:c>
      <x:c r="E59" s="30"/>
      <x:c r="F59" s="30" t="str">
        <x:v>Conditional</x:v>
      </x:c>
      <x:c r="G59" s="30" t="str">
        <x:v>Continuous</x:v>
      </x:c>
      <x:c r="H59" s="30" t="str">
        <x:v>Throughout coverage and prescribed retention</x:v>
      </x:c>
      <x:c r="I59" s="30" t="str">
        <x:v>HR Manager</x:v>
      </x:c>
      <x:c r="J59" s="30" t="str">
        <x:v>Inspection observations</x:v>
      </x:c>
      <x:c r="K59" s="30"/>
      <x:c r="L59" s="30" t="str">
        <x:v>CORE</x:v>
      </x:c>
      <x:c r="M59" s="30" t="str">
        <x:v>Yes</x:v>
      </x:c>
      <x:c r="N59" s="30" t="str">
        <x:v>P-3 current-law remap.</x:v>
      </x:c>
    </x:row>
    <x:row r="60">
      <x:c r="A60" s="30" t="str">
        <x:v>COMP059</x:v>
      </x:c>
      <x:c r="B60" s="30" t="str">
        <x:v>PROV059</x:v>
      </x:c>
      <x:c r="C60" s="30" t="str">
        <x:v>CA048</x:v>
      </x:c>
      <x:c r="D60" s="30" t="str">
        <x:v>Deposit EPF contributions and submit the applicable electronic return/challan within the current prescribed monthly timeline.</x:v>
      </x:c>
      <x:c r="E60" s="30"/>
      <x:c r="F60" s="30" t="str">
        <x:v>Conditional</x:v>
      </x:c>
      <x:c r="G60" s="30" t="str">
        <x:v>Monthly</x:v>
      </x:c>
      <x:c r="H60" s="30" t="str">
        <x:v>Current scheme/rule due date</x:v>
      </x:c>
      <x:c r="I60" s="30" t="str">
        <x:v>Accounts Manager</x:v>
      </x:c>
      <x:c r="J60" s="30" t="str">
        <x:v>Interest, damages</x:v>
      </x:c>
      <x:c r="K60" s="30"/>
      <x:c r="L60" s="30" t="str">
        <x:v>CORE</x:v>
      </x:c>
      <x:c r="M60" s="30" t="str">
        <x:v>Yes</x:v>
      </x:c>
      <x:c r="N60" s="30" t="str">
        <x:v>P-3 current-law remap; duplicate operational control retained for traceability.</x:v>
      </x:c>
    </x:row>
    <x:row r="61">
      <x:c r="A61" s="30" t="str">
        <x:v>COMP060</x:v>
      </x:c>
      <x:c r="B61" s="30" t="str">
        <x:v>PROV060</x:v>
      </x:c>
      <x:c r="C61" s="30" t="str">
        <x:v>CA046</x:v>
      </x:c>
      <x:c r="D61" s="30" t="str">
        <x:v>Preserve and produce applicable provident-fund records for the period prescribed by the current Code/Rules/scheme; do not rely on an unsupported generic period.</x:v>
      </x:c>
      <x:c r="E61" s="30"/>
      <x:c r="F61" s="30" t="str">
        <x:v>Conditional</x:v>
      </x:c>
      <x:c r="G61" s="30" t="str">
        <x:v>Continuous</x:v>
      </x:c>
      <x:c r="H61" s="30" t="str">
        <x:v>Prescribed retention period</x:v>
      </x:c>
      <x:c r="I61" s="30" t="str">
        <x:v>HR Manager</x:v>
      </x:c>
      <x:c r="J61" s="30" t="str">
        <x:v>Inspection observations</x:v>
      </x:c>
      <x:c r="K61" s="30"/>
      <x:c r="L61" s="30" t="str">
        <x:v>CORE</x:v>
      </x:c>
      <x:c r="M61" s="30" t="str">
        <x:v>Yes</x:v>
      </x:c>
      <x:c r="N61" s="30" t="str">
        <x:v>P-3 current-law remap.</x:v>
      </x:c>
    </x:row>
    <x:row r="62">
      <x:c r="A62" s="30" t="str">
        <x:v>COMP061</x:v>
      </x:c>
      <x:c r="B62" s="30" t="str">
        <x:v>PROV061</x:v>
      </x:c>
      <x:c r="C62" s="30" t="str">
        <x:v>CA048</x:v>
      </x:c>
      <x:c r="D62" s="30" t="str">
        <x:v>Assess current ESI coverage under the Social Security Code/notifications and register the establishment and covered employees when triggered.</x:v>
      </x:c>
      <x:c r="E62" s="30"/>
      <x:c r="F62" s="30" t="str">
        <x:v>Conditional</x:v>
      </x:c>
      <x:c r="G62" s="30" t="str">
        <x:v>Event Based</x:v>
      </x:c>
      <x:c r="H62" s="30" t="str">
        <x:v>On commencement and every threshold/status change</x:v>
      </x:c>
      <x:c r="I62" s="30" t="str">
        <x:v>HR Manager</x:v>
      </x:c>
      <x:c r="J62" s="30" t="str">
        <x:v>Penalty and prosecution</x:v>
      </x:c>
      <x:c r="K62" s="30"/>
      <x:c r="L62" s="30" t="str">
        <x:v>CORE</x:v>
      </x:c>
      <x:c r="M62" s="30" t="str">
        <x:v>Yes</x:v>
      </x:c>
      <x:c r="N62" s="30" t="str">
        <x:v>P-3 remapped to current Code.</x:v>
      </x:c>
    </x:row>
    <x:row r="63">
      <x:c r="A63" s="30" t="str">
        <x:v>COMP062</x:v>
      </x:c>
      <x:c r="B63" s="30" t="str">
        <x:v>PROV062</x:v>
      </x:c>
      <x:c r="C63" s="30" t="str">
        <x:v>CA048</x:v>
      </x:c>
      <x:c r="D63" s="30" t="str">
        <x:v>For covered employees, compute, deduct and remit ESI contributions within the current prescribed timeline.</x:v>
      </x:c>
      <x:c r="E63" s="30"/>
      <x:c r="F63" s="30" t="str">
        <x:v>Conditional</x:v>
      </x:c>
      <x:c r="G63" s="30" t="str">
        <x:v>Monthly</x:v>
      </x:c>
      <x:c r="H63" s="30" t="str">
        <x:v>Current prescribed contribution timeline</x:v>
      </x:c>
      <x:c r="I63" s="30" t="str">
        <x:v>Accounts Manager</x:v>
      </x:c>
      <x:c r="J63" s="30" t="str">
        <x:v>Interest and penalties</x:v>
      </x:c>
      <x:c r="K63" s="30"/>
      <x:c r="L63" s="30" t="str">
        <x:v>CORE</x:v>
      </x:c>
      <x:c r="M63" s="30" t="str">
        <x:v>Yes</x:v>
      </x:c>
      <x:c r="N63" s="30" t="str">
        <x:v>P-3 current-law remap.</x:v>
      </x:c>
    </x:row>
    <x:row r="64">
      <x:c r="A64" s="30" t="str">
        <x:v>COMP063</x:v>
      </x:c>
      <x:c r="B64" s="30" t="str">
        <x:v>PROV063</x:v>
      </x:c>
      <x:c r="C64" s="30" t="str">
        <x:v>CA046</x:v>
      </x:c>
      <x:c r="D64" s="30" t="str">
        <x:v>Maintain complete ESI registration, wage, contribution, accident and benefit-supporting records for covered employees.</x:v>
      </x:c>
      <x:c r="E64" s="30"/>
      <x:c r="F64" s="30" t="str">
        <x:v>Conditional</x:v>
      </x:c>
      <x:c r="G64" s="30" t="str">
        <x:v>Continuous</x:v>
      </x:c>
      <x:c r="H64" s="30" t="str">
        <x:v>Throughout coverage and prescribed retention</x:v>
      </x:c>
      <x:c r="I64" s="30" t="str">
        <x:v>HR Manager</x:v>
      </x:c>
      <x:c r="J64" s="30" t="str">
        <x:v>Inspection observations</x:v>
      </x:c>
      <x:c r="K64" s="30"/>
      <x:c r="L64" s="30" t="str">
        <x:v>CORE</x:v>
      </x:c>
      <x:c r="M64" s="30" t="str">
        <x:v>Yes</x:v>
      </x:c>
      <x:c r="N64" s="30" t="str">
        <x:v>P-3 current-law remap.</x:v>
      </x:c>
    </x:row>
    <x:row r="65">
      <x:c r="A65" s="30" t="str">
        <x:v>COMP064</x:v>
      </x:c>
      <x:c r="B65" s="30" t="str">
        <x:v>PROV064</x:v>
      </x:c>
      <x:c r="C65" s="30" t="str">
        <x:v>CA048</x:v>
      </x:c>
      <x:c r="D65" s="30" t="str">
        <x:v>Submit the applicable ESI electronic contribution filing/declaration at the frequency and due date prescribed for the establishment.</x:v>
      </x:c>
      <x:c r="E65" s="30"/>
      <x:c r="F65" s="30" t="str">
        <x:v>Conditional</x:v>
      </x:c>
      <x:c r="G65" s="30" t="str">
        <x:v>As Applicable</x:v>
      </x:c>
      <x:c r="H65" s="30" t="str">
        <x:v>Current prescribed due date</x:v>
      </x:c>
      <x:c r="I65" s="30" t="str">
        <x:v>HR Manager</x:v>
      </x:c>
      <x:c r="J65" s="30" t="str">
        <x:v>Penalties for delayed filing</x:v>
      </x:c>
      <x:c r="K65" s="30"/>
      <x:c r="L65" s="30" t="str">
        <x:v>CORE</x:v>
      </x:c>
      <x:c r="M65" s="30" t="str">
        <x:v>Yes</x:v>
      </x:c>
      <x:c r="N65" s="30" t="str">
        <x:v>P-3 removed the unsupported universal half-yearly return.</x:v>
      </x:c>
    </x:row>
    <x:row r="66">
      <x:c r="A66" s="30" t="str">
        <x:v>COMP065</x:v>
      </x:c>
      <x:c r="B66" s="30" t="str">
        <x:v>PROV065</x:v>
      </x:c>
      <x:c r="C66" s="30" t="str">
        <x:v>CA046</x:v>
      </x:c>
      <x:c r="D66" s="30" t="str">
        <x:v>Produce applicable EPF/ESI records to an authorised inspector-cum-facilitator or authority when lawfully demanded.</x:v>
      </x:c>
      <x:c r="E66" s="30"/>
      <x:c r="F66" s="30" t="str">
        <x:v>Conditional</x:v>
      </x:c>
      <x:c r="G66" s="30" t="str">
        <x:v>Event Based</x:v>
      </x:c>
      <x:c r="H66" s="30" t="str">
        <x:v>Within the lawful demand</x:v>
      </x:c>
      <x:c r="I66" s="30" t="str">
        <x:v>HR Manager</x:v>
      </x:c>
      <x:c r="J66" s="30" t="str">
        <x:v>Regulatory action</x:v>
      </x:c>
      <x:c r="K66" s="30"/>
      <x:c r="L66" s="30" t="str">
        <x:v>CORE</x:v>
      </x:c>
      <x:c r="M66" s="30" t="str">
        <x:v>Yes</x:v>
      </x:c>
      <x:c r="N66" s="30" t="str">
        <x:v>P-3 current-law remap.</x:v>
      </x:c>
    </x:row>
    <x:row r="67">
      <x:c r="A67" s="30" t="str">
        <x:v>COMP066</x:v>
      </x:c>
      <x:c r="B67" s="30" t="str">
        <x:v>PROV066</x:v>
      </x:c>
      <x:c r="C67" s="30" t="str">
        <x:v>CA052</x:v>
      </x:c>
      <x:c r="D67" s="30" t="str">
        <x:v>Assess CGST/SGST registration liability by turnover, compulsory-registration and voluntary-registration rules; register in each required State before/within the statutory timeline.</x:v>
      </x:c>
      <x:c r="E67" s="30"/>
      <x:c r="F67" s="30" t="str">
        <x:v>Conditional</x:v>
      </x:c>
      <x:c r="G67" s="30" t="str">
        <x:v>Event Based</x:v>
      </x:c>
      <x:c r="H67" s="30" t="str">
        <x:v>Within the applicable registration timeline</x:v>
      </x:c>
      <x:c r="I67" s="30" t="str">
        <x:v>Pharmacy Owner</x:v>
      </x:c>
      <x:c r="J67" s="30" t="str">
        <x:v>Penalty and tax demand</x:v>
      </x:c>
      <x:c r="K67" s="30"/>
      <x:c r="L67" s="30" t="str">
        <x:v>CORE</x:v>
      </x:c>
      <x:c r="M67" s="30" t="str">
        <x:v>Yes</x:v>
      </x:c>
      <x:c r="N67" s="30" t="str">
        <x:v>P-3 corrected universal-mandatory overstatement.</x:v>
      </x:c>
    </x:row>
    <x:row r="68">
      <x:c r="A68" s="30" t="str">
        <x:v>COMP067</x:v>
      </x:c>
      <x:c r="B68" s="30" t="str">
        <x:v>PROV067</x:v>
      </x:c>
      <x:c r="C68" s="30" t="str">
        <x:v>CA031</x:v>
      </x:c>
      <x:c r="D68" s="30" t="str">
        <x:v>Issue the correct GST tax invoice, bill of supply or credit/debit document with prescribed particulars for each applicable supply.</x:v>
      </x:c>
      <x:c r="E68" s="30"/>
      <x:c r="F68" s="30" t="str">
        <x:v>Conditional</x:v>
      </x:c>
      <x:c r="G68" s="30" t="str">
        <x:v>Continuous</x:v>
      </x:c>
      <x:c r="H68" s="30" t="str">
        <x:v>At/before the statutory time of supply/document issue</x:v>
      </x:c>
      <x:c r="I68" s="30" t="str">
        <x:v>Billing Executive</x:v>
      </x:c>
      <x:c r="J68" s="30" t="str">
        <x:v>GST penalty</x:v>
      </x:c>
      <x:c r="K68" s="30"/>
      <x:c r="L68" s="30" t="str">
        <x:v>CORE</x:v>
      </x:c>
      <x:c r="M68" s="30" t="str">
        <x:v>Yes</x:v>
      </x:c>
      <x:c r="N68" s="30" t="str">
        <x:v>P-3 normalized.</x:v>
      </x:c>
    </x:row>
    <x:row r="69">
      <x:c r="A69" s="30" t="str">
        <x:v>COMP068</x:v>
      </x:c>
      <x:c r="B69" s="30" t="str">
        <x:v>PROV068</x:v>
      </x:c>
      <x:c r="C69" s="30" t="str">
        <x:v>CA054</x:v>
      </x:c>
      <x:c r="D69" s="30" t="str">
        <x:v>Maintain the prescribed GST accounts, invoices, e-way/e-invoice records and supporting documents for the applicable retention period.</x:v>
      </x:c>
      <x:c r="E69" s="30"/>
      <x:c r="F69" s="30" t="str">
        <x:v>Conditional</x:v>
      </x:c>
      <x:c r="G69" s="30" t="str">
        <x:v>Continuous</x:v>
      </x:c>
      <x:c r="H69" s="30" t="str">
        <x:v>Throughout registration and retention</x:v>
      </x:c>
      <x:c r="I69" s="30" t="str">
        <x:v>Accounts Manager</x:v>
      </x:c>
      <x:c r="J69" s="30" t="str">
        <x:v>Penalties and audit observations</x:v>
      </x:c>
      <x:c r="K69" s="30"/>
      <x:c r="L69" s="30" t="str">
        <x:v>CORE</x:v>
      </x:c>
      <x:c r="M69" s="30" t="str">
        <x:v>Yes</x:v>
      </x:c>
      <x:c r="N69" s="30" t="str">
        <x:v>P-3 normalized.</x:v>
      </x:c>
    </x:row>
    <x:row r="70">
      <x:c r="A70" s="30" t="str">
        <x:v>COMP069</x:v>
      </x:c>
      <x:c r="B70" s="30" t="str">
        <x:v>PROV069</x:v>
      </x:c>
      <x:c r="C70" s="30" t="str">
        <x:v>CA052</x:v>
      </x:c>
      <x:c r="D70" s="30" t="str">
        <x:v>File only the GST returns/statements applicable to the taxpayer profile and scheme at the notified frequency and due date.</x:v>
      </x:c>
      <x:c r="E70" s="30"/>
      <x:c r="F70" s="30" t="str">
        <x:v>Conditional</x:v>
      </x:c>
      <x:c r="G70" s="30" t="str">
        <x:v>As Applicable</x:v>
      </x:c>
      <x:c r="H70" s="30" t="str">
        <x:v>Applicable return due date</x:v>
      </x:c>
      <x:c r="I70" s="30" t="str">
        <x:v>Accounts Manager</x:v>
      </x:c>
      <x:c r="J70" s="30" t="str">
        <x:v>Late fees, interest, penalties</x:v>
      </x:c>
      <x:c r="K70" s="30"/>
      <x:c r="L70" s="30" t="str">
        <x:v>CORE</x:v>
      </x:c>
      <x:c r="M70" s="30" t="str">
        <x:v>Yes</x:v>
      </x:c>
      <x:c r="N70" s="30" t="str">
        <x:v>P-3 removed unsupported universal monthly frequency.</x:v>
      </x:c>
    </x:row>
    <x:row r="71">
      <x:c r="A71" s="30" t="str">
        <x:v>COMP070</x:v>
      </x:c>
      <x:c r="B71" s="30" t="str">
        <x:v>PROV070</x:v>
      </x:c>
      <x:c r="C71" s="30" t="str">
        <x:v>CA052</x:v>
      </x:c>
      <x:c r="D71" s="30" t="str">
        <x:v>Discharge self-assessed GST, interest and other liability through the electronic ledgers by the due date applicable to the return/scheme.</x:v>
      </x:c>
      <x:c r="E71" s="30"/>
      <x:c r="F71" s="30" t="str">
        <x:v>Conditional</x:v>
      </x:c>
      <x:c r="G71" s="30" t="str">
        <x:v>As Applicable</x:v>
      </x:c>
      <x:c r="H71" s="30" t="str">
        <x:v>Applicable payment/return due date</x:v>
      </x:c>
      <x:c r="I71" s="30" t="str">
        <x:v>Accounts Manager</x:v>
      </x:c>
      <x:c r="J71" s="30" t="str">
        <x:v>Interest and recovery proceedings</x:v>
      </x:c>
      <x:c r="K71" s="30"/>
      <x:c r="L71" s="30" t="str">
        <x:v>CORE</x:v>
      </x:c>
      <x:c r="M71" s="30" t="str">
        <x:v>Yes</x:v>
      </x:c>
      <x:c r="N71" s="30" t="str">
        <x:v>P-3 normalized.</x:v>
      </x:c>
    </x:row>
    <x:row r="72">
      <x:c r="A72" s="30" t="str">
        <x:v>COMP071</x:v>
      </x:c>
      <x:c r="B72" s="30" t="str">
        <x:v>PROV071</x:v>
      </x:c>
      <x:c r="C72" s="30" t="str">
        <x:v>CA053</x:v>
      </x:c>
      <x:c r="D72" s="30" t="str">
        <x:v>File the return of income for Tax Year 2026-27 onward under section 263 of the Income-tax Act, 2025 using the applicable Income-tax Rules, 2026 form and due date.</x:v>
      </x:c>
      <x:c r="E72" s="30"/>
      <x:c r="F72" s="30" t="str">
        <x:v>Mandatory</x:v>
      </x:c>
      <x:c r="G72" s="30" t="str">
        <x:v>Annual</x:v>
      </x:c>
      <x:c r="H72" s="30" t="str">
        <x:v>Applicable section 263/Rules due date</x:v>
      </x:c>
      <x:c r="I72" s="30" t="str">
        <x:v>Finance Manager</x:v>
      </x:c>
      <x:c r="J72" s="30" t="str">
        <x:v>Interest, penalty, prosecution</x:v>
      </x:c>
      <x:c r="K72" s="30"/>
      <x:c r="L72" s="30" t="str">
        <x:v>CORE</x:v>
      </x:c>
      <x:c r="M72" s="30" t="str">
        <x:v>Yes</x:v>
      </x:c>
      <x:c r="N72" s="30" t="str">
        <x:v>P-3 current Act remap.</x:v>
      </x:c>
    </x:row>
    <x:row r="73">
      <x:c r="A73" s="30" t="str">
        <x:v>COMP072</x:v>
      </x:c>
      <x:c r="B73" s="30" t="str">
        <x:v>PROV072</x:v>
      </x:c>
      <x:c r="C73" s="30" t="str">
        <x:v>CA053</x:v>
      </x:c>
      <x:c r="D73" s="30" t="str">
        <x:v>Deduct, deposit and report salary withholding under the Income-tax Act, 2025 and Income-tax Rules, 2026 for payments governed by the new Act.</x:v>
      </x:c>
      <x:c r="E73" s="30"/>
      <x:c r="F73" s="30" t="str">
        <x:v>Conditional</x:v>
      </x:c>
      <x:c r="G73" s="30" t="str">
        <x:v>Monthly</x:v>
      </x:c>
      <x:c r="H73" s="30" t="str">
        <x:v>Rule 218/current prescribed timeline</x:v>
      </x:c>
      <x:c r="I73" s="30" t="str">
        <x:v>Accounts Manager</x:v>
      </x:c>
      <x:c r="J73" s="30" t="str">
        <x:v>Interest and penalties</x:v>
      </x:c>
      <x:c r="K73" s="30"/>
      <x:c r="L73" s="30" t="str">
        <x:v>CORE</x:v>
      </x:c>
      <x:c r="M73" s="30" t="str">
        <x:v>Yes</x:v>
      </x:c>
      <x:c r="N73" s="30" t="str">
        <x:v>P-3 current Act remap.</x:v>
      </x:c>
    </x:row>
    <x:row r="74">
      <x:c r="A74" s="30" t="str">
        <x:v>COMP073</x:v>
      </x:c>
      <x:c r="B74" s="30" t="str">
        <x:v>PROV073</x:v>
      </x:c>
      <x:c r="C74" s="30" t="str">
        <x:v>CA053</x:v>
      </x:c>
      <x:c r="D74" s="30" t="str">
        <x:v>For applicable payments/receipts on or after 1 April 2026, use the relevant section 393/394 table item, deduct/collect, deposit and report under the current Rules.</x:v>
      </x:c>
      <x:c r="E74" s="30"/>
      <x:c r="F74" s="30" t="str">
        <x:v>Conditional</x:v>
      </x:c>
      <x:c r="G74" s="30" t="str">
        <x:v>Monthly</x:v>
      </x:c>
      <x:c r="H74" s="30" t="str">
        <x:v>Current Rules due date</x:v>
      </x:c>
      <x:c r="I74" s="30" t="str">
        <x:v>Accounts Manager</x:v>
      </x:c>
      <x:c r="J74" s="30" t="str">
        <x:v>Interest, penalty</x:v>
      </x:c>
      <x:c r="K74" s="30"/>
      <x:c r="L74" s="30" t="str">
        <x:v>CORE</x:v>
      </x:c>
      <x:c r="M74" s="30" t="str">
        <x:v>Yes</x:v>
      </x:c>
      <x:c r="N74" s="30" t="str">
        <x:v>P-3 current Act remap.</x:v>
      </x:c>
    </x:row>
    <x:row r="75">
      <x:c r="A75" s="30" t="str">
        <x:v>COMP074</x:v>
      </x:c>
      <x:c r="B75" s="30" t="str">
        <x:v>PROV074</x:v>
      </x:c>
      <x:c r="C75" s="30" t="str">
        <x:v>CA054</x:v>
      </x:c>
      <x:c r="D75" s="30" t="str">
        <x:v>Maintain the books and documents required by the Income-tax Act, 2025 and Rules, 2026 for the entity/business profile.</x:v>
      </x:c>
      <x:c r="E75" s="30"/>
      <x:c r="F75" s="30" t="str">
        <x:v>Conditional</x:v>
      </x:c>
      <x:c r="G75" s="30" t="str">
        <x:v>Continuous</x:v>
      </x:c>
      <x:c r="H75" s="30" t="str">
        <x:v>Throughout the prescribed retention period</x:v>
      </x:c>
      <x:c r="I75" s="30" t="str">
        <x:v>Finance Manager</x:v>
      </x:c>
      <x:c r="J75" s="30" t="str">
        <x:v>Tax assessment issues</x:v>
      </x:c>
      <x:c r="K75" s="30"/>
      <x:c r="L75" s="30" t="str">
        <x:v>CORE</x:v>
      </x:c>
      <x:c r="M75" s="30" t="str">
        <x:v>Yes</x:v>
      </x:c>
      <x:c r="N75" s="30" t="str">
        <x:v>P-3 current Act remap.</x:v>
      </x:c>
    </x:row>
    <x:row r="76">
      <x:c r="A76" s="30" t="str">
        <x:v>COMP075</x:v>
      </x:c>
      <x:c r="B76" s="30" t="str">
        <x:v>PROV075</x:v>
      </x:c>
      <x:c r="C76" s="30" t="str">
        <x:v>CA054</x:v>
      </x:c>
      <x:c r="D76" s="30" t="str">
        <x:v>Obtain and furnish a tax-audit report only where the current statutory threshold/condition applies.</x:v>
      </x:c>
      <x:c r="E76" s="30"/>
      <x:c r="F76" s="30" t="str">
        <x:v>Conditional</x:v>
      </x:c>
      <x:c r="G76" s="30" t="str">
        <x:v>Annual</x:v>
      </x:c>
      <x:c r="H76" s="30" t="str">
        <x:v>Applicable audit-report due date</x:v>
      </x:c>
      <x:c r="I76" s="30" t="str">
        <x:v>Finance Manager</x:v>
      </x:c>
      <x:c r="J76" s="30" t="str">
        <x:v>Penalty under Income-tax Act</x:v>
      </x:c>
      <x:c r="K76" s="30"/>
      <x:c r="L76" s="30" t="str">
        <x:v>CORE</x:v>
      </x:c>
      <x:c r="M76" s="30" t="str">
        <x:v>Yes</x:v>
      </x:c>
      <x:c r="N76" s="30" t="str">
        <x:v>P-3 current Act remap.</x:v>
      </x:c>
    </x:row>
    <x:row r="77">
      <x:c r="A77" s="30" t="str">
        <x:v>COMP076</x:v>
      </x:c>
      <x:c r="B77" s="30" t="str">
        <x:v>PROV076</x:v>
      </x:c>
      <x:c r="C77" s="30" t="str">
        <x:v>CA057</x:v>
      </x:c>
      <x:c r="D77" s="30" t="str">
        <x:v>Maintain the Register of Members in the prescribed form and keep it updated.</x:v>
      </x:c>
      <x:c r="E77" s="30"/>
      <x:c r="F77" s="30" t="str">
        <x:v>Conditional</x:v>
      </x:c>
      <x:c r="G77" s="30" t="str">
        <x:v>Continuous</x:v>
      </x:c>
      <x:c r="H77" s="30" t="str">
        <x:v>Within prescribed timelines</x:v>
      </x:c>
      <x:c r="I77" s="30" t="str">
        <x:v>Company Secretary / Compliance Officer</x:v>
      </x:c>
      <x:c r="J77" s="30" t="str">
        <x:v>Penalty under Companies Act</x:v>
      </x:c>
      <x:c r="K77" s="30"/>
      <x:c r="L77" s="30" t="str">
        <x:v>CORE</x:v>
      </x:c>
      <x:c r="M77" s="30" t="str">
        <x:v>No</x:v>
      </x:c>
      <x:c r="N77" s="30" t="str">
        <x:v>Applicable to companies only | P-0 QUARANTINED: Common Companies Act content is owned by Common Corporate Core; legacy ID retained for migration traceability.</x:v>
      </x:c>
    </x:row>
    <x:row r="78">
      <x:c r="A78" s="30" t="str">
        <x:v>COMP077</x:v>
      </x:c>
      <x:c r="B78" s="30" t="str">
        <x:v>PROV077</x:v>
      </x:c>
      <x:c r="C78" s="30" t="str">
        <x:v>CA057</x:v>
      </x:c>
      <x:c r="D78" s="30" t="str">
        <x:v>File the Annual Return with the Registrar of Companies within the prescribed due date.</x:v>
      </x:c>
      <x:c r="E78" s="30"/>
      <x:c r="F78" s="30" t="str">
        <x:v>Conditional</x:v>
      </x:c>
      <x:c r="G78" s="30" t="str">
        <x:v>Annual</x:v>
      </x:c>
      <x:c r="H78" s="30" t="str">
        <x:v>Statutory due date</x:v>
      </x:c>
      <x:c r="I78" s="30" t="str">
        <x:v>Company Secretary</x:v>
      </x:c>
      <x:c r="J78" s="30" t="str">
        <x:v>Additional fees and penalties</x:v>
      </x:c>
      <x:c r="K78" s="30"/>
      <x:c r="L78" s="30" t="str">
        <x:v>CORE</x:v>
      </x:c>
      <x:c r="M78" s="30" t="str">
        <x:v>No</x:v>
      </x:c>
      <x:c r="N78" s="30" t="str">
        <x:v>Applicable to companies only | P-0 QUARANTINED: Common Companies Act content is owned by Common Corporate Core; legacy ID retained for migration traceability.</x:v>
      </x:c>
    </x:row>
    <x:row r="79">
      <x:c r="A79" s="30" t="str">
        <x:v>COMP078</x:v>
      </x:c>
      <x:c r="B79" s="30" t="str">
        <x:v>PROV078</x:v>
      </x:c>
      <x:c r="C79" s="30" t="str">
        <x:v>CA057</x:v>
      </x:c>
      <x:c r="D79" s="30" t="str">
        <x:v>Prepare financial statements in accordance with the Companies Act and applicable accounting standards.</x:v>
      </x:c>
      <x:c r="E79" s="30"/>
      <x:c r="F79" s="30" t="str">
        <x:v>Conditional</x:v>
      </x:c>
      <x:c r="G79" s="30" t="str">
        <x:v>Annual</x:v>
      </x:c>
      <x:c r="H79" s="30" t="str">
        <x:v>Before Board approval</x:v>
      </x:c>
      <x:c r="I79" s="30" t="str">
        <x:v>Finance Manager</x:v>
      </x:c>
      <x:c r="J79" s="30" t="str">
        <x:v>Regulatory action</x:v>
      </x:c>
      <x:c r="K79" s="30"/>
      <x:c r="L79" s="30" t="str">
        <x:v>CORE</x:v>
      </x:c>
      <x:c r="M79" s="30" t="str">
        <x:v>No</x:v>
      </x:c>
      <x:c r="N79" s="30" t="str">
        <x:v>Companies only | P-0 QUARANTINED: Common Companies Act content is owned by Common Corporate Core; legacy ID retained for migration traceability.</x:v>
      </x:c>
    </x:row>
    <x:row r="80">
      <x:c r="A80" s="30" t="str">
        <x:v>COMP079</x:v>
      </x:c>
      <x:c r="B80" s="30" t="str">
        <x:v>PROV079</x:v>
      </x:c>
      <x:c r="C80" s="30" t="str">
        <x:v>CA057</x:v>
      </x:c>
      <x:c r="D80" s="30" t="str">
        <x:v>Prepare and obtain approval of the Board's Report before annual filing.</x:v>
      </x:c>
      <x:c r="E80" s="30"/>
      <x:c r="F80" s="30" t="str">
        <x:v>Conditional</x:v>
      </x:c>
      <x:c r="G80" s="30" t="str">
        <x:v>Annual</x:v>
      </x:c>
      <x:c r="H80" s="30" t="str">
        <x:v>Before AGM</x:v>
      </x:c>
      <x:c r="I80" s="30" t="str">
        <x:v>Company Secretary</x:v>
      </x:c>
      <x:c r="J80" s="30" t="str">
        <x:v>Penalty on officers in default</x:v>
      </x:c>
      <x:c r="K80" s="30"/>
      <x:c r="L80" s="30" t="str">
        <x:v>CORE</x:v>
      </x:c>
      <x:c r="M80" s="30" t="str">
        <x:v>No</x:v>
      </x:c>
      <x:c r="N80" s="30" t="str">
        <x:v>Companies only | P-0 QUARANTINED: Common Companies Act content is owned by Common Corporate Core; legacy ID retained for migration traceability.</x:v>
      </x:c>
    </x:row>
    <x:row r="81">
      <x:c r="A81" s="30" t="str">
        <x:v>COMP080</x:v>
      </x:c>
      <x:c r="B81" s="30" t="str">
        <x:v>PROV080</x:v>
      </x:c>
      <x:c r="C81" s="30" t="str">
        <x:v>CA057</x:v>
      </x:c>
      <x:c r="D81" s="30" t="str">
        <x:v>File approved financial statements with the Registrar of Companies within prescribed timelines.</x:v>
      </x:c>
      <x:c r="E81" s="30"/>
      <x:c r="F81" s="30" t="str">
        <x:v>Conditional</x:v>
      </x:c>
      <x:c r="G81" s="30" t="str">
        <x:v>Annual</x:v>
      </x:c>
      <x:c r="H81" s="30" t="str">
        <x:v>Statutory due date</x:v>
      </x:c>
      <x:c r="I81" s="30" t="str">
        <x:v>Company Secretary</x:v>
      </x:c>
      <x:c r="J81" s="30" t="str">
        <x:v>Additional fees and penalties</x:v>
      </x:c>
      <x:c r="K81" s="30"/>
      <x:c r="L81" s="30" t="str">
        <x:v>CORE</x:v>
      </x:c>
      <x:c r="M81" s="30" t="str">
        <x:v>No</x:v>
      </x:c>
      <x:c r="N81" s="30" t="str">
        <x:v>Companies only | P-0 QUARANTINED: Common Companies Act content is owned by Common Corporate Core; legacy ID retained for migration traceability.</x:v>
      </x:c>
    </x:row>
    <x:row r="82">
      <x:c r="A82" s="30" t="str">
        <x:v>COMP081</x:v>
      </x:c>
      <x:c r="B82" s="30" t="str">
        <x:v>PROV081</x:v>
      </x:c>
      <x:c r="C82" s="30" t="str">
        <x:v>CA062</x:v>
      </x:c>
      <x:c r="D82" s="30" t="str">
        <x:v>Design consumer-facing sale and service practices to avoid unfair trade practices and respect the statutory consumer-rights baseline.</x:v>
      </x:c>
      <x:c r="E82" s="30"/>
      <x:c r="F82" s="30" t="str">
        <x:v>Mandatory</x:v>
      </x:c>
      <x:c r="G82" s="30" t="str">
        <x:v>Continuous</x:v>
      </x:c>
      <x:c r="H82" s="30" t="str">
        <x:v>Throughout operations</x:v>
      </x:c>
      <x:c r="I82" s="30" t="str">
        <x:v>Pharmacy Manager</x:v>
      </x:c>
      <x:c r="J82" s="30" t="str">
        <x:v>Consumer complaints and regulatory action</x:v>
      </x:c>
      <x:c r="K82" s="30"/>
      <x:c r="L82" s="30" t="str">
        <x:v>CORE</x:v>
      </x:c>
      <x:c r="M82" s="30" t="str">
        <x:v>Yes</x:v>
      </x:c>
      <x:c r="N82" s="30" t="str">
        <x:v>P-3 normalized as an operational control derived from the Act.</x:v>
      </x:c>
    </x:row>
    <x:row r="83">
      <x:c r="A83" s="30" t="str">
        <x:v>COMP082</x:v>
      </x:c>
      <x:c r="B83" s="30" t="str">
        <x:v>PROV082</x:v>
      </x:c>
      <x:c r="C83" s="30" t="str">
        <x:v>CA062</x:v>
      </x:c>
      <x:c r="D83" s="30" t="str">
        <x:v>Respond to a lawful CCPA investigation and implement an applicable recall, reimbursement, discontinuance or modification order.</x:v>
      </x:c>
      <x:c r="E83" s="30"/>
      <x:c r="F83" s="30" t="str">
        <x:v>Conditional</x:v>
      </x:c>
      <x:c r="G83" s="30" t="str">
        <x:v>Event Based</x:v>
      </x:c>
      <x:c r="H83" s="30" t="str">
        <x:v>Within the order/demand</x:v>
      </x:c>
      <x:c r="I83" s="30" t="str">
        <x:v>Compliance Officer</x:v>
      </x:c>
      <x:c r="J83" s="30" t="str">
        <x:v>Regulatory proceedings</x:v>
      </x:c>
      <x:c r="K83" s="30"/>
      <x:c r="L83" s="30" t="str">
        <x:v>CORE</x:v>
      </x:c>
      <x:c r="M83" s="30" t="str">
        <x:v>Yes</x:v>
      </x:c>
      <x:c r="N83" s="30" t="str">
        <x:v>P-3 corrected section ownership.</x:v>
      </x:c>
    </x:row>
    <x:row r="84">
      <x:c r="A84" s="30" t="str">
        <x:v>COMP083</x:v>
      </x:c>
      <x:c r="B84" s="30" t="str">
        <x:v>PROV083</x:v>
      </x:c>
      <x:c r="C84" s="30" t="str">
        <x:v>CA062</x:v>
      </x:c>
      <x:c r="D84" s="30" t="str">
        <x:v>Do not engage in a practice falling within section 2(47), including false representations, deceptive price claims or refusal to issue a bill where required.</x:v>
      </x:c>
      <x:c r="E84" s="30"/>
      <x:c r="F84" s="30" t="str">
        <x:v>Mandatory</x:v>
      </x:c>
      <x:c r="G84" s="30" t="str">
        <x:v>Continuous</x:v>
      </x:c>
      <x:c r="H84" s="30" t="str">
        <x:v>Ongoing</x:v>
      </x:c>
      <x:c r="I84" s="30" t="str">
        <x:v>Pharmacy Owner</x:v>
      </x:c>
      <x:c r="J84" s="30" t="str">
        <x:v>Consumer penalties</x:v>
      </x:c>
      <x:c r="K84" s="30"/>
      <x:c r="L84" s="30" t="str">
        <x:v>CORE</x:v>
      </x:c>
      <x:c r="M84" s="30" t="str">
        <x:v>Yes</x:v>
      </x:c>
      <x:c r="N84" s="30" t="str">
        <x:v>P-3 normalized.</x:v>
      </x:c>
    </x:row>
    <x:row r="85">
      <x:c r="A85" s="30" t="str">
        <x:v>COMP084</x:v>
      </x:c>
      <x:c r="B85" s="30" t="str">
        <x:v>PROV084</x:v>
      </x:c>
      <x:c r="C85" s="30" t="str">
        <x:v>CA064</x:v>
      </x:c>
      <x:c r="D85" s="30" t="str">
        <x:v>Do not cause a false or misleading advertisement and comply with any CCPA discontinuance/modification direction.</x:v>
      </x:c>
      <x:c r="E85" s="30"/>
      <x:c r="F85" s="30" t="str">
        <x:v>Conditional</x:v>
      </x:c>
      <x:c r="G85" s="30" t="str">
        <x:v>Continuous</x:v>
      </x:c>
      <x:c r="H85" s="30" t="str">
        <x:v>Before publication</x:v>
      </x:c>
      <x:c r="I85" s="30" t="str">
        <x:v>Marketing Manager</x:v>
      </x:c>
      <x:c r="J85" s="30" t="str">
        <x:v>Regulatory action</x:v>
      </x:c>
      <x:c r="K85" s="30"/>
      <x:c r="L85" s="30" t="str">
        <x:v>CORE</x:v>
      </x:c>
      <x:c r="M85" s="30" t="str">
        <x:v>Yes</x:v>
      </x:c>
      <x:c r="N85" s="30" t="str">
        <x:v>P-3 normalized.</x:v>
      </x:c>
    </x:row>
    <x:row r="86">
      <x:c r="A86" s="30" t="str">
        <x:v>COMP085</x:v>
      </x:c>
      <x:c r="B86" s="30" t="str">
        <x:v>PROV085</x:v>
      </x:c>
      <x:c r="C86" s="30" t="str">
        <x:v>CA065</x:v>
      </x:c>
      <x:c r="D86" s="30" t="str">
        <x:v>If operating in an e-commerce role, display required identity/seller information, appoint the prescribed grievance/nodal contact and operate the complaint mechanism under Rules 4-5.</x:v>
      </x:c>
      <x:c r="E86" s="30"/>
      <x:c r="F86" s="30" t="str">
        <x:v>Conditional</x:v>
      </x:c>
      <x:c r="G86" s="30" t="str">
        <x:v>Continuous</x:v>
      </x:c>
      <x:c r="H86" s="30" t="str">
        <x:v>Before and throughout e-commerce operation</x:v>
      </x:c>
      <x:c r="I86" s="30" t="str">
        <x:v>E-Pharmacy Compliance Officer</x:v>
      </x:c>
      <x:c r="J86" s="30" t="str">
        <x:v>Consumer complaints</x:v>
      </x:c>
      <x:c r="K86" s="30"/>
      <x:c r="L86" s="30" t="str">
        <x:v>CORE</x:v>
      </x:c>
      <x:c r="M86" s="30" t="str">
        <x:v>Yes</x:v>
      </x:c>
      <x:c r="N86" s="30" t="str">
        <x:v>P-3 remapped from a generic complaint-filing provision.</x:v>
      </x:c>
    </x:row>
    <x:row r="87">
      <x:c r="A87" s="30" t="str">
        <x:v>COMP086</x:v>
      </x:c>
      <x:c r="B87" s="30" t="str">
        <x:v>PROV086</x:v>
      </x:c>
      <x:c r="C87" s="30" t="str">
        <x:v>CA066</x:v>
      </x:c>
      <x:c r="D87" s="30" t="str">
        <x:v>Where a regulated weighing/measuring instrument is used, obtain verification/stamping and keep it valid before transactional use.</x:v>
      </x:c>
      <x:c r="E87" s="30"/>
      <x:c r="F87" s="30" t="str">
        <x:v>Conditional</x:v>
      </x:c>
      <x:c r="G87" s="30" t="str">
        <x:v>As Applicable</x:v>
      </x:c>
      <x:c r="H87" s="30" t="str">
        <x:v>Before first use and each prescribed re-verification</x:v>
      </x:c>
      <x:c r="I87" s="30" t="str">
        <x:v>Pharmacy Manager</x:v>
      </x:c>
      <x:c r="J87" s="30" t="str">
        <x:v>Penalty under Legal Metrology Act</x:v>
      </x:c>
      <x:c r="K87" s="30"/>
      <x:c r="L87" s="30" t="str">
        <x:v>CORE</x:v>
      </x:c>
      <x:c r="M87" s="30" t="str">
        <x:v>Yes</x:v>
      </x:c>
      <x:c r="N87" s="30" t="str">
        <x:v>P-3 normalized.</x:v>
      </x:c>
    </x:row>
    <x:row r="88">
      <x:c r="A88" s="30" t="str">
        <x:v>COMP087</x:v>
      </x:c>
      <x:c r="B88" s="30" t="str">
        <x:v>PROV087</x:v>
      </x:c>
      <x:c r="C88" s="30" t="str">
        <x:v>CA068</x:v>
      </x:c>
      <x:c r="D88" s="30" t="str">
        <x:v>Do not use a non-standard or required-but-unverified weight/measure; retain the verification certificate/stamp evidence.</x:v>
      </x:c>
      <x:c r="E88" s="30"/>
      <x:c r="F88" s="30" t="str">
        <x:v>Conditional</x:v>
      </x:c>
      <x:c r="G88" s="30" t="str">
        <x:v>Continuous</x:v>
      </x:c>
      <x:c r="H88" s="30" t="str">
        <x:v>Before expiry of verification</x:v>
      </x:c>
      <x:c r="I88" s="30" t="str">
        <x:v>Maintenance Manager</x:v>
      </x:c>
      <x:c r="J88" s="30" t="str">
        <x:v>Inspection observations</x:v>
      </x:c>
      <x:c r="K88" s="30"/>
      <x:c r="L88" s="30" t="str">
        <x:v>CORE</x:v>
      </x:c>
      <x:c r="M88" s="30" t="str">
        <x:v>Yes</x:v>
      </x:c>
      <x:c r="N88" s="30" t="str">
        <x:v>P-3 normalized.</x:v>
      </x:c>
    </x:row>
    <x:row r="89">
      <x:c r="A89" s="30" t="str">
        <x:v>COMP088</x:v>
      </x:c>
      <x:c r="B89" s="30" t="str">
        <x:v>PROV088</x:v>
      </x:c>
      <x:c r="C89" s="30" t="str">
        <x:v>CA066</x:v>
      </x:c>
      <x:c r="D89" s="30" t="str">
        <x:v>Permit lawful legal-metrology inspection and produce the covered instrument and records when required by an authorised officer.</x:v>
      </x:c>
      <x:c r="E89" s="30"/>
      <x:c r="F89" s="30" t="str">
        <x:v>Conditional</x:v>
      </x:c>
      <x:c r="G89" s="30" t="str">
        <x:v>Event Based</x:v>
      </x:c>
      <x:c r="H89" s="30" t="str">
        <x:v>On lawful demand</x:v>
      </x:c>
      <x:c r="I89" s="30" t="str">
        <x:v>Pharmacy Manager</x:v>
      </x:c>
      <x:c r="J89" s="30" t="str">
        <x:v>Penalty and prosecution</x:v>
      </x:c>
      <x:c r="K89" s="30"/>
      <x:c r="L89" s="30" t="str">
        <x:v>CORE</x:v>
      </x:c>
      <x:c r="M89" s="30" t="str">
        <x:v>Yes</x:v>
      </x:c>
      <x:c r="N89" s="30" t="str">
        <x:v>P-3 repurposed from penalty-only extraction.</x:v>
      </x:c>
    </x:row>
    <x:row r="90">
      <x:c r="A90" s="30" t="str">
        <x:v>COMP089</x:v>
      </x:c>
      <x:c r="B90" s="30" t="str">
        <x:v>PROV089</x:v>
      </x:c>
      <x:c r="C90" s="30" t="str">
        <x:v>CA067</x:v>
      </x:c>
      <x:c r="D90" s="30" t="str">
        <x:v>Do not sell, distribute, deliver, display or store for sale a pre-packaged commodity unless the package complies with the Act and Rules.</x:v>
      </x:c>
      <x:c r="E90" s="30"/>
      <x:c r="F90" s="30" t="str">
        <x:v>Mandatory</x:v>
      </x:c>
      <x:c r="G90" s="30" t="str">
        <x:v>Continuous</x:v>
      </x:c>
      <x:c r="H90" s="30" t="str">
        <x:v>Before stocking and sale</x:v>
      </x:c>
      <x:c r="I90" s="30" t="str">
        <x:v>Store Manager</x:v>
      </x:c>
      <x:c r="J90" s="30" t="str">
        <x:v>Product seizure</x:v>
      </x:c>
      <x:c r="K90" s="30"/>
      <x:c r="L90" s="30" t="str">
        <x:v>CORE</x:v>
      </x:c>
      <x:c r="M90" s="30" t="str">
        <x:v>Yes</x:v>
      </x:c>
      <x:c r="N90" s="30" t="str">
        <x:v>P-3 corrected retailer duty to Rule 18(1).</x:v>
      </x:c>
    </x:row>
    <x:row r="91">
      <x:c r="A91" s="30" t="str">
        <x:v>COMP090</x:v>
      </x:c>
      <x:c r="B91" s="30" t="str">
        <x:v>PROV090</x:v>
      </x:c>
      <x:c r="C91" s="30" t="str">
        <x:v>CA067</x:v>
      </x:c>
      <x:c r="D91" s="30" t="str">
        <x:v>Do not sell an applicable packaged commodity above its declared retail sale price.</x:v>
      </x:c>
      <x:c r="E91" s="30"/>
      <x:c r="F91" s="30" t="str">
        <x:v>Mandatory</x:v>
      </x:c>
      <x:c r="G91" s="30" t="str">
        <x:v>Continuous</x:v>
      </x:c>
      <x:c r="H91" s="30" t="str">
        <x:v>Before sale</x:v>
      </x:c>
      <x:c r="I91" s="30" t="str">
        <x:v>Store Manager</x:v>
      </x:c>
      <x:c r="J91" s="30" t="str">
        <x:v>Regulatory action</x:v>
      </x:c>
      <x:c r="K91" s="30"/>
      <x:c r="L91" s="30" t="str">
        <x:v>CORE</x:v>
      </x:c>
      <x:c r="M91" s="30" t="str">
        <x:v>Yes</x:v>
      </x:c>
      <x:c r="N91" s="30" t="str">
        <x:v>P-3 corrected to Rule 18(2).</x:v>
      </x:c>
    </x:row>
    <x:row r="92">
      <x:c r="A92" s="30" t="str">
        <x:v>COMP091</x:v>
      </x:c>
      <x:c r="B92" s="30" t="str">
        <x:v>PROV091</x:v>
      </x:c>
      <x:c r="C92" s="30" t="str">
        <x:v>CA031</x:v>
      </x:c>
      <x:c r="D92" s="30" t="str">
        <x:v>For e-commerce sale of applicable pre-packaged commodities, display the prescribed Rule 6 declarations on the digital/electronic network.</x:v>
      </x:c>
      <x:c r="E92" s="30"/>
      <x:c r="F92" s="30" t="str">
        <x:v>Conditional</x:v>
      </x:c>
      <x:c r="G92" s="30" t="str">
        <x:v>Continuous</x:v>
      </x:c>
      <x:c r="H92" s="30" t="str">
        <x:v>Before sale</x:v>
      </x:c>
      <x:c r="I92" s="30" t="str">
        <x:v>E-Pharmacy Compliance Officer</x:v>
      </x:c>
      <x:c r="J92" s="30" t="str">
        <x:v>Product seizure</x:v>
      </x:c>
      <x:c r="K92" s="30"/>
      <x:c r="L92" s="30" t="str">
        <x:v>CORE</x:v>
      </x:c>
      <x:c r="M92" s="30" t="str">
        <x:v>Yes</x:v>
      </x:c>
      <x:c r="N92" s="30" t="str">
        <x:v>P-3 corrected direct e-commerce duty.</x:v>
      </x:c>
    </x:row>
    <x:row r="93">
      <x:c r="A93" s="30" t="str">
        <x:v>COMP092</x:v>
      </x:c>
      <x:c r="B93" s="30" t="str">
        <x:v>PROV092</x:v>
      </x:c>
      <x:c r="C93" s="30" t="str">
        <x:v>CA071</x:v>
      </x:c>
      <x:c r="D93" s="30" t="str">
        <x:v>If handling SPDI, publish the prescribed privacy policy and operate a documented reasonable-security programme/standard with periodic review.</x:v>
      </x:c>
      <x:c r="E93" s="30"/>
      <x:c r="F93" s="30" t="str">
        <x:v>Conditional</x:v>
      </x:c>
      <x:c r="G93" s="30" t="str">
        <x:v>Continuous</x:v>
      </x:c>
      <x:c r="H93" s="30" t="str">
        <x:v>Ongoing</x:v>
      </x:c>
      <x:c r="I93" s="30" t="str">
        <x:v>IT Administrator</x:v>
      </x:c>
      <x:c r="J93" s="30" t="str">
        <x:v>Compensation and regulatory action</x:v>
      </x:c>
      <x:c r="K93" s="30"/>
      <x:c r="L93" s="30" t="str">
        <x:v>CORE</x:v>
      </x:c>
      <x:c r="M93" s="30" t="str">
        <x:v>Yes</x:v>
      </x:c>
      <x:c r="N93" s="30" t="str">
        <x:v>P-3 remapped to current SPDI Rules.</x:v>
      </x:c>
    </x:row>
    <x:row r="94">
      <x:c r="A94" s="30" t="str">
        <x:v>COMP093</x:v>
      </x:c>
      <x:c r="B94" s="30" t="str">
        <x:v>PROV093</x:v>
      </x:c>
      <x:c r="C94" s="30" t="str">
        <x:v>CA072</x:v>
      </x:c>
      <x:c r="D94" s="30" t="str">
        <x:v>For SPDI, obtain consent, give required collection information, limit purpose/retention and provide review/correction mechanisms.</x:v>
      </x:c>
      <x:c r="E94" s="30"/>
      <x:c r="F94" s="30" t="str">
        <x:v>Conditional</x:v>
      </x:c>
      <x:c r="G94" s="30" t="str">
        <x:v>Continuous</x:v>
      </x:c>
      <x:c r="H94" s="30" t="str">
        <x:v>Ongoing</x:v>
      </x:c>
      <x:c r="I94" s="30" t="str">
        <x:v>IT Administrator</x:v>
      </x:c>
      <x:c r="J94" s="30" t="str">
        <x:v>Criminal and regulatory consequences</x:v>
      </x:c>
      <x:c r="K94" s="30"/>
      <x:c r="L94" s="30" t="str">
        <x:v>CORE</x:v>
      </x:c>
      <x:c r="M94" s="30" t="str">
        <x:v>Yes</x:v>
      </x:c>
      <x:c r="N94" s="30" t="str">
        <x:v>P-3 corrected from a generic cyber-offence prevention control.</x:v>
      </x:c>
    </x:row>
    <x:row r="95">
      <x:c r="A95" s="30" t="str">
        <x:v>COMP094</x:v>
      </x:c>
      <x:c r="B95" s="30" t="str">
        <x:v>PROV094</x:v>
      </x:c>
      <x:c r="C95" s="30" t="str">
        <x:v>CA071</x:v>
      </x:c>
      <x:c r="D95" s="30" t="str">
        <x:v>Do not disclose SPDI without prior permission unless a Rule 6 exception applies; prevent unlawful contractual disclosure.</x:v>
      </x:c>
      <x:c r="E95" s="30"/>
      <x:c r="F95" s="30" t="str">
        <x:v>Conditional</x:v>
      </x:c>
      <x:c r="G95" s="30" t="str">
        <x:v>Continuous</x:v>
      </x:c>
      <x:c r="H95" s="30" t="str">
        <x:v>Ongoing</x:v>
      </x:c>
      <x:c r="I95" s="30" t="str">
        <x:v>All Employees</x:v>
      </x:c>
      <x:c r="J95" s="30" t="str">
        <x:v>Legal action and penalties</x:v>
      </x:c>
      <x:c r="K95" s="30"/>
      <x:c r="L95" s="30" t="str">
        <x:v>CORE</x:v>
      </x:c>
      <x:c r="M95" s="30" t="str">
        <x:v>Yes</x:v>
      </x:c>
      <x:c r="N95" s="30" t="str">
        <x:v>P-3 normalized.</x:v>
      </x:c>
    </x:row>
    <x:row r="96">
      <x:c r="A96" s="30" t="str">
        <x:v>COMP095</x:v>
      </x:c>
      <x:c r="B96" s="30" t="str">
        <x:v>PROV095</x:v>
      </x:c>
      <x:c r="C96" s="30" t="str">
        <x:v>CA069</x:v>
      </x:c>
      <x:c r="D96" s="30" t="str">
        <x:v>Apply intermediary due diligence only if the platform legally qualifies as an intermediary under current IT law.</x:v>
      </x:c>
      <x:c r="E96" s="30"/>
      <x:c r="F96" s="30" t="str">
        <x:v>Conditional</x:v>
      </x:c>
      <x:c r="G96" s="30" t="str">
        <x:v>Continuous</x:v>
      </x:c>
      <x:c r="H96" s="30" t="str">
        <x:v>Ongoing</x:v>
      </x:c>
      <x:c r="I96" s="30" t="str">
        <x:v>IT Administrator</x:v>
      </x:c>
      <x:c r="J96" s="30" t="str">
        <x:v>Loss of statutory protections</x:v>
      </x:c>
      <x:c r="K96" s="30"/>
      <x:c r="L96" s="30" t="str">
        <x:v>CORE</x:v>
      </x:c>
      <x:c r="M96" s="30" t="str">
        <x:v>Yes</x:v>
      </x:c>
      <x:c r="N96" s="30" t="str">
        <x:v>P-3 role trigger made explicit.</x:v>
      </x:c>
    </x:row>
    <x:row r="97">
      <x:c r="A97" s="30" t="str">
        <x:v>COMP096</x:v>
      </x:c>
      <x:c r="B97" s="30" t="str">
        <x:v>PROV096</x:v>
      </x:c>
      <x:c r="C97" s="30" t="str">
        <x:v>CA071</x:v>
      </x:c>
      <x:c r="D97" s="30" t="str">
        <x:v>Future DPDP lawful-processing readiness control; do not present as a current statutory obligation before substantive commencement.</x:v>
      </x:c>
      <x:c r="E97" s="30"/>
      <x:c r="F97" s="30" t="str">
        <x:v>Optional</x:v>
      </x:c>
      <x:c r="G97" s="30" t="str">
        <x:v>As Applicable</x:v>
      </x:c>
      <x:c r="H97" s="30" t="str">
        <x:v>At every processing activity</x:v>
      </x:c>
      <x:c r="I97" s="30" t="str">
        <x:v>Data Protection Officer</x:v>
      </x:c>
      <x:c r="J97" s="30" t="str">
        <x:v>Regulatory penalties</x:v>
      </x:c>
      <x:c r="K97" s="30"/>
      <x:c r="L97" s="30" t="str">
        <x:v>CORE</x:v>
      </x:c>
      <x:c r="M97" s="30" t="str">
        <x:v>No</x:v>
      </x:c>
      <x:c r="N97" s="30" t="str">
        <x:v>P-3 QUARANTINED: Generic State/local/permit/reference rows, penalty-only/fabricated DAMR extractions, and future-effective DPDP duties are not current production obligations.</x:v>
      </x:c>
    </x:row>
    <x:row r="98">
      <x:c r="A98" s="30" t="str">
        <x:v>COMP097</x:v>
      </x:c>
      <x:c r="B98" s="30" t="str">
        <x:v>PROV097</x:v>
      </x:c>
      <x:c r="C98" s="30" t="str">
        <x:v>CA071</x:v>
      </x:c>
      <x:c r="D98" s="30" t="str">
        <x:v>Future DPDP notice readiness control; do not present as current before substantive commencement.</x:v>
      </x:c>
      <x:c r="E98" s="30"/>
      <x:c r="F98" s="30" t="str">
        <x:v>Optional</x:v>
      </x:c>
      <x:c r="G98" s="30" t="str">
        <x:v>As Applicable</x:v>
      </x:c>
      <x:c r="H98" s="30" t="str">
        <x:v>Before data collection</x:v>
      </x:c>
      <x:c r="I98" s="30" t="str">
        <x:v>Data Protection Officer</x:v>
      </x:c>
      <x:c r="J98" s="30" t="str">
        <x:v>Regulatory action</x:v>
      </x:c>
      <x:c r="K98" s="30"/>
      <x:c r="L98" s="30" t="str">
        <x:v>CORE</x:v>
      </x:c>
      <x:c r="M98" s="30" t="str">
        <x:v>No</x:v>
      </x:c>
      <x:c r="N98" s="30" t="str">
        <x:v>P-3 QUARANTINED: Generic State/local/permit/reference rows, penalty-only/fabricated DAMR extractions, and future-effective DPDP duties are not current production obligations.</x:v>
      </x:c>
    </x:row>
    <x:row r="99">
      <x:c r="A99" s="30" t="str">
        <x:v>COMP098</x:v>
      </x:c>
      <x:c r="B99" s="30" t="str">
        <x:v>PROV098</x:v>
      </x:c>
      <x:c r="C99" s="30" t="str">
        <x:v>CA071</x:v>
      </x:c>
      <x:c r="D99" s="30" t="str">
        <x:v>Future Data Fiduciary safeguards/accuracy/erasure/breach readiness control; not current at the cutoff.</x:v>
      </x:c>
      <x:c r="E99" s="30"/>
      <x:c r="F99" s="30" t="str">
        <x:v>Optional</x:v>
      </x:c>
      <x:c r="G99" s="30" t="str">
        <x:v>As Applicable</x:v>
      </x:c>
      <x:c r="H99" s="30" t="str">
        <x:v>Ongoing</x:v>
      </x:c>
      <x:c r="I99" s="30" t="str">
        <x:v>Data Protection Officer</x:v>
      </x:c>
      <x:c r="J99" s="30" t="str">
        <x:v>Monetary penalties</x:v>
      </x:c>
      <x:c r="K99" s="30"/>
      <x:c r="L99" s="30" t="str">
        <x:v>CORE</x:v>
      </x:c>
      <x:c r="M99" s="30" t="str">
        <x:v>No</x:v>
      </x:c>
      <x:c r="N99" s="30" t="str">
        <x:v>P-3 QUARANTINED: Generic State/local/permit/reference rows, penalty-only/fabricated DAMR extractions, and future-effective DPDP duties are not current production obligations.</x:v>
      </x:c>
    </x:row>
    <x:row r="100">
      <x:c r="A100" s="30" t="str">
        <x:v>COMP099</x:v>
      </x:c>
      <x:c r="B100" s="30" t="str">
        <x:v>PROV099</x:v>
      </x:c>
      <x:c r="C100" s="30" t="str">
        <x:v>CA071</x:v>
      </x:c>
      <x:c r="D100" s="30" t="str">
        <x:v>Future Data Principal rights/grievance readiness control; not current at the cutoff.</x:v>
      </x:c>
      <x:c r="E100" s="30"/>
      <x:c r="F100" s="30" t="str">
        <x:v>Optional</x:v>
      </x:c>
      <x:c r="G100" s="30" t="str">
        <x:v>Event Based</x:v>
      </x:c>
      <x:c r="H100" s="30" t="str">
        <x:v>Within statutory timelines</x:v>
      </x:c>
      <x:c r="I100" s="30" t="str">
        <x:v>Data Protection Officer</x:v>
      </x:c>
      <x:c r="J100" s="30" t="str">
        <x:v>Regulatory penalties</x:v>
      </x:c>
      <x:c r="K100" s="30"/>
      <x:c r="L100" s="30" t="str">
        <x:v>CORE</x:v>
      </x:c>
      <x:c r="M100" s="30" t="str">
        <x:v>No</x:v>
      </x:c>
      <x:c r="N100" s="30" t="str">
        <x:v>P-3 QUARANTINED: Generic State/local/permit/reference rows, penalty-only/fabricated DAMR extractions, and future-effective DPDP duties are not current production obligations.</x:v>
      </x:c>
    </x:row>
    <x:row r="101">
      <x:c r="A101" s="30" t="str">
        <x:v>COMP100</x:v>
      </x:c>
      <x:c r="B101" s="30" t="str">
        <x:v>PROV100</x:v>
      </x:c>
      <x:c r="C101" s="30" t="str">
        <x:v>CA072</x:v>
      </x:c>
      <x:c r="D101" s="30" t="str">
        <x:v>Future section 8(6) breach-intimation readiness control; not current at the cutoff.</x:v>
      </x:c>
      <x:c r="E101" s="30"/>
      <x:c r="F101" s="30" t="str">
        <x:v>Optional</x:v>
      </x:c>
      <x:c r="G101" s="30" t="str">
        <x:v>Event Based</x:v>
      </x:c>
      <x:c r="H101" s="30" t="str">
        <x:v>Immediately / Within statutory timeline</x:v>
      </x:c>
      <x:c r="I101" s="30" t="str">
        <x:v>Data Protection Officer</x:v>
      </x:c>
      <x:c r="J101" s="30" t="str">
        <x:v>Significant monetary penalties</x:v>
      </x:c>
      <x:c r="K101" s="30"/>
      <x:c r="L101" s="30" t="str">
        <x:v>CORE</x:v>
      </x:c>
      <x:c r="M101" s="30" t="str">
        <x:v>No</x:v>
      </x:c>
      <x:c r="N101" s="30" t="str">
        <x:v>P-3 QUARANTINED: Generic State/local/permit/reference rows, penalty-only/fabricated DAMR extractions, and future-effective DPDP duties are not current production obligations.</x:v>
      </x:c>
    </x:row>
    <x:row r="102">
      <x:c r="A102" s="30" t="str">
        <x:v>COMP101</x:v>
      </x:c>
      <x:c r="B102" s="30" t="str">
        <x:v>PROV101</x:v>
      </x:c>
      <x:c r="C102" s="30" t="str">
        <x:v>CA009</x:v>
      </x:c>
      <x:c r="D102" s="30" t="str">
        <x:v>Hold the applicable Drugs Rules sale licence or, for an exclusive medical-device seller without that licence, obtain and maintain Form MD-42 registration.</x:v>
      </x:c>
      <x:c r="E102" s="30"/>
      <x:c r="F102" s="30" t="str">
        <x:v>Conditional</x:v>
      </x:c>
      <x:c r="G102" s="30" t="str">
        <x:v>Continuous</x:v>
      </x:c>
      <x:c r="H102" s="30" t="str">
        <x:v>Before commencement of activity</x:v>
      </x:c>
      <x:c r="I102" s="30" t="str">
        <x:v>Pharmacy Owner</x:v>
      </x:c>
      <x:c r="J102" s="30" t="str">
        <x:v>Licence suspension, regulatory action</x:v>
      </x:c>
      <x:c r="K102" s="30"/>
      <x:c r="L102" s="30" t="str">
        <x:v>CORE</x:v>
      </x:c>
      <x:c r="M102" s="30" t="str">
        <x:v>Yes</x:v>
      </x:c>
      <x:c r="N102" s="30" t="str">
        <x:v>Applicable where notified medical devices are handled</x:v>
      </x:c>
    </x:row>
    <x:row r="103">
      <x:c r="A103" s="30" t="str">
        <x:v>COMP102</x:v>
      </x:c>
      <x:c r="B103" s="30" t="str">
        <x:v>PROV102</x:v>
      </x:c>
      <x:c r="C103" s="30" t="str">
        <x:v>CA009</x:v>
      </x:c>
      <x:c r="D103" s="30" t="str">
        <x:v>Display the medical-device registration where applicable, maintain adequate premises and specified storage, and procure devices only from authorized sources.</x:v>
      </x:c>
      <x:c r="E103" s="30"/>
      <x:c r="F103" s="30" t="str">
        <x:v>Conditional</x:v>
      </x:c>
      <x:c r="G103" s="30" t="str">
        <x:v>Continuous</x:v>
      </x:c>
      <x:c r="H103" s="30" t="str">
        <x:v>Throughout licence validity</x:v>
      </x:c>
      <x:c r="I103" s="30" t="str">
        <x:v>Pharmacy Manager</x:v>
      </x:c>
      <x:c r="J103" s="30" t="str">
        <x:v>Regulatory action</x:v>
      </x:c>
      <x:c r="K103" s="30"/>
      <x:c r="L103" s="30" t="str">
        <x:v>CORE</x:v>
      </x:c>
      <x:c r="M103" s="30" t="str">
        <x:v>Yes</x:v>
      </x:c>
      <x:c r="N103" s="30" t="str">
        <x:v>Licence compliance</x:v>
      </x:c>
    </x:row>
    <x:row r="104">
      <x:c r="A104" s="30" t="str">
        <x:v>COMP103</x:v>
      </x:c>
      <x:c r="B104" s="30" t="str">
        <x:v>PROV103</x:v>
      </x:c>
      <x:c r="C104" s="30" t="str">
        <x:v>CA019</x:v>
      </x:c>
      <x:c r="D104" s="30" t="str">
        <x:v>Maintain medical-device purchase and sale records, provide inspection access, retain records for two years, and maintain the prescribed inspection book.</x:v>
      </x:c>
      <x:c r="E104" s="30"/>
      <x:c r="F104" s="30" t="str">
        <x:v>Conditional</x:v>
      </x:c>
      <x:c r="G104" s="30" t="str">
        <x:v>Continuous</x:v>
      </x:c>
      <x:c r="H104" s="30" t="str">
        <x:v>Ongoing</x:v>
      </x:c>
      <x:c r="I104" s="30" t="str">
        <x:v>Store Manager</x:v>
      </x:c>
      <x:c r="J104" s="30" t="str">
        <x:v>Inspection observations</x:v>
      </x:c>
      <x:c r="K104" s="30"/>
      <x:c r="L104" s="30" t="str">
        <x:v>CORE</x:v>
      </x:c>
      <x:c r="M104" s="30" t="str">
        <x:v>Yes</x:v>
      </x:c>
      <x:c r="N104" s="30" t="str">
        <x:v>Record maintenance</x:v>
      </x:c>
    </x:row>
    <x:row r="105">
      <x:c r="A105" s="30" t="str">
        <x:v>COMP104</x:v>
      </x:c>
      <x:c r="B105" s="30" t="str">
        <x:v>PROV104</x:v>
      </x:c>
      <x:c r="C105" s="30" t="str">
        <x:v>CA007</x:v>
      </x:c>
      <x:c r="D105" s="30" t="str">
        <x:v>Pay the prescribed retention fee every five years to maintain perpetual validity of Form MD-42 registration.</x:v>
      </x:c>
      <x:c r="E105" s="30"/>
      <x:c r="F105" s="30" t="str">
        <x:v>Conditional</x:v>
      </x:c>
      <x:c r="G105" s="30" t="str">
        <x:v>Every five years</x:v>
      </x:c>
      <x:c r="H105" s="30" t="str">
        <x:v>Throughout storage</x:v>
      </x:c>
      <x:c r="I105" s="30" t="str">
        <x:v>Store Manager</x:v>
      </x:c>
      <x:c r="J105" s="30" t="str">
        <x:v>Product deterioration, regulatory action</x:v>
      </x:c>
      <x:c r="K105" s="30"/>
      <x:c r="L105" s="30" t="str">
        <x:v>CORE</x:v>
      </x:c>
      <x:c r="M105" s="30" t="str">
        <x:v>Yes</x:v>
      </x:c>
      <x:c r="N105" s="30" t="str">
        <x:v>Storage controls</x:v>
      </x:c>
    </x:row>
    <x:row r="106">
      <x:c r="A106" s="30" t="str">
        <x:v>COMP105</x:v>
      </x:c>
      <x:c r="B106" s="30" t="str">
        <x:v>PROV105</x:v>
      </x:c>
      <x:c r="C106" s="30" t="str">
        <x:v>CA022</x:v>
      </x:c>
      <x:c r="D106" s="30" t="str">
        <x:v>Where Rule 88 applies, document supply to a hospital or similar institution through the prescribed delivery-challan process.</x:v>
      </x:c>
      <x:c r="E106" s="30"/>
      <x:c r="F106" s="30" t="str">
        <x:v>Conditional</x:v>
      </x:c>
      <x:c r="G106" s="30" t="str">
        <x:v>Per applicable supply</x:v>
      </x:c>
      <x:c r="H106" s="30" t="str">
        <x:v>Within prescribed timeline</x:v>
      </x:c>
      <x:c r="I106" s="30" t="str">
        <x:v>Compliance Officer</x:v>
      </x:c>
      <x:c r="J106" s="30" t="str">
        <x:v>Regulatory action</x:v>
      </x:c>
      <x:c r="K106" s="30"/>
      <x:c r="L106" s="30" t="str">
        <x:v>CORE</x:v>
      </x:c>
      <x:c r="M106" s="30" t="str">
        <x:v>Yes</x:v>
      </x:c>
      <x:c r="N106" s="30" t="str">
        <x:v>Vigilance reporting</x:v>
      </x:c>
    </x:row>
    <x:row r="107">
      <x:c r="A107" s="30" t="str">
        <x:v>COMP106</x:v>
      </x:c>
      <x:c r="B107" s="30" t="str">
        <x:v>PROV106</x:v>
      </x:c>
      <x:c r="C107" s="30" t="str">
        <x:v>CA016</x:v>
      </x:c>
      <x:c r="D107" s="30" t="str">
        <x:v>Do not sell or distribute a cosmetic unless the Rule 33 origin, licensing, quality and labelling conditions are satisfied.</x:v>
      </x:c>
      <x:c r="E107" s="30"/>
      <x:c r="F107" s="30" t="str">
        <x:v>Mandatory</x:v>
      </x:c>
      <x:c r="G107" s="30" t="str">
        <x:v>Continuous</x:v>
      </x:c>
      <x:c r="H107" s="30" t="str">
        <x:v>Before commencement</x:v>
      </x:c>
      <x:c r="I107" s="30" t="str">
        <x:v>Pharmacy Owner</x:v>
      </x:c>
      <x:c r="J107" s="30" t="str">
        <x:v>Regulatory action</x:v>
      </x:c>
      <x:c r="K107" s="30"/>
      <x:c r="L107" s="30" t="str">
        <x:v>CORE</x:v>
      </x:c>
      <x:c r="M107" s="30" t="str">
        <x:v>Yes</x:v>
      </x:c>
      <x:c r="N107" s="30" t="str">
        <x:v>Cosmetics licence</x:v>
      </x:c>
    </x:row>
    <x:row r="108">
      <x:c r="A108" s="30" t="str">
        <x:v>COMP107</x:v>
      </x:c>
      <x:c r="B108" s="30" t="str">
        <x:v>PROV107</x:v>
      </x:c>
      <x:c r="C108" s="30" t="str">
        <x:v>CA007</x:v>
      </x:c>
      <x:c r="D108" s="30" t="str">
        <x:v>Verify that cosmetics offered for sale or distribution bear the particulars required by Rule 34.</x:v>
      </x:c>
      <x:c r="E108" s="30"/>
      <x:c r="F108" s="30" t="str">
        <x:v>Mandatory</x:v>
      </x:c>
      <x:c r="G108" s="30" t="str">
        <x:v>Continuous</x:v>
      </x:c>
      <x:c r="H108" s="30" t="str">
        <x:v>Ongoing</x:v>
      </x:c>
      <x:c r="I108" s="30" t="str">
        <x:v>Store Manager</x:v>
      </x:c>
      <x:c r="J108" s="30" t="str">
        <x:v>Product quality issues</x:v>
      </x:c>
      <x:c r="K108" s="30"/>
      <x:c r="L108" s="30" t="str">
        <x:v>CORE</x:v>
      </x:c>
      <x:c r="M108" s="30" t="str">
        <x:v>Yes</x:v>
      </x:c>
      <x:c r="N108" s="30" t="str">
        <x:v>Storage compliance</x:v>
      </x:c>
    </x:row>
    <x:row r="109">
      <x:c r="A109" s="30" t="str">
        <x:v>COMP108</x:v>
      </x:c>
      <x:c r="B109" s="30" t="str">
        <x:v>PROV108</x:v>
      </x:c>
      <x:c r="C109" s="30" t="str">
        <x:v>CA067</x:v>
      </x:c>
      <x:c r="D109" s="30" t="str">
        <x:v>Do not alter, obliterate or deface mandatory cosmetic labelling.</x:v>
      </x:c>
      <x:c r="E109" s="30"/>
      <x:c r="F109" s="30" t="str">
        <x:v>Mandatory</x:v>
      </x:c>
      <x:c r="G109" s="30" t="str">
        <x:v>Continuous</x:v>
      </x:c>
      <x:c r="H109" s="30" t="str">
        <x:v>Before sale</x:v>
      </x:c>
      <x:c r="I109" s="30" t="str">
        <x:v>Store Manager</x:v>
      </x:c>
      <x:c r="J109" s="30" t="str">
        <x:v>Product seizure</x:v>
      </x:c>
      <x:c r="K109" s="30"/>
      <x:c r="L109" s="30" t="str">
        <x:v>CORE</x:v>
      </x:c>
      <x:c r="M109" s="30" t="str">
        <x:v>Yes</x:v>
      </x:c>
      <x:c r="N109" s="30" t="str">
        <x:v>Labelling compliance</x:v>
      </x:c>
    </x:row>
    <x:row r="110">
      <x:c r="A110" s="30" t="str">
        <x:v>COMP109</x:v>
      </x:c>
      <x:c r="B110" s="30" t="str">
        <x:v>PROV109</x:v>
      </x:c>
      <x:c r="C110" s="30" t="str">
        <x:v>CA019</x:v>
      </x:c>
      <x:c r="D110" s="30" t="str">
        <x:v>Do not sell or distribute a cosmetic bearing a false or misleading claim.</x:v>
      </x:c>
      <x:c r="E110" s="30"/>
      <x:c r="F110" s="30" t="str">
        <x:v>Mandatory</x:v>
      </x:c>
      <x:c r="G110" s="30" t="str">
        <x:v>Continuous</x:v>
      </x:c>
      <x:c r="H110" s="30" t="str">
        <x:v>Ongoing</x:v>
      </x:c>
      <x:c r="I110" s="30" t="str">
        <x:v>Store Manager</x:v>
      </x:c>
      <x:c r="J110" s="30" t="str">
        <x:v>Inspection observations</x:v>
      </x:c>
      <x:c r="K110" s="30"/>
      <x:c r="L110" s="30" t="str">
        <x:v>CORE</x:v>
      </x:c>
      <x:c r="M110" s="30" t="str">
        <x:v>Yes</x:v>
      </x:c>
      <x:c r="N110" s="30" t="str">
        <x:v>Record maintenance</x:v>
      </x:c>
    </x:row>
    <x:row r="111">
      <x:c r="A111" s="30" t="str">
        <x:v>COMP110</x:v>
      </x:c>
      <x:c r="B111" s="30" t="str">
        <x:v>PROV110</x:v>
      </x:c>
      <x:c r="C111" s="30" t="str">
        <x:v>CA022</x:v>
      </x:c>
      <x:c r="D111" s="30" t="str">
        <x:v>Sell or distribute only cosmetics that comply with the standards, quality and safety requirements in Rule 39.</x:v>
      </x:c>
      <x:c r="E111" s="30"/>
      <x:c r="F111" s="30" t="str">
        <x:v>Mandatory</x:v>
      </x:c>
      <x:c r="G111" s="30" t="str">
        <x:v>Continuous</x:v>
      </x:c>
      <x:c r="H111" s="30" t="str">
        <x:v>Immediately upon recall notice</x:v>
      </x:c>
      <x:c r="I111" s="30" t="str">
        <x:v>Pharmacy Manager</x:v>
      </x:c>
      <x:c r="J111" s="30" t="str">
        <x:v>Regulatory enforcement</x:v>
      </x:c>
      <x:c r="K111" s="30"/>
      <x:c r="L111" s="30" t="str">
        <x:v>CORE</x:v>
      </x:c>
      <x:c r="M111" s="30" t="str">
        <x:v>Yes</x:v>
      </x:c>
      <x:c r="N111" s="30" t="str">
        <x:v>Product recall</x:v>
      </x:c>
    </x:row>
    <x:row r="112">
      <x:c r="A112" s="30" t="str">
        <x:v>COMP111</x:v>
      </x:c>
      <x:c r="B112" s="30" t="str">
        <x:v>PROV111</x:v>
      </x:c>
      <x:c r="C112" s="30" t="str">
        <x:v>CA002</x:v>
      </x:c>
      <x:c r="D112" s="30" t="str">
        <x:v>Obtain and maintain a separate sale licence for each place where drugs are sold or stocked for sale, unless the specific itinerant-vendor proviso applies.</x:v>
      </x:c>
      <x:c r="E112" s="30" t="str">
        <x:v>Accurate implementation of the cited Drugs Rules control.</x:v>
      </x:c>
      <x:c r="F112" s="30" t="str">
        <x:v>Mandatory</x:v>
      </x:c>
      <x:c r="G112" s="30" t="str">
        <x:v>Continuous</x:v>
      </x:c>
      <x:c r="H112" s="30" t="str">
        <x:v>Before using each location</x:v>
      </x:c>
      <x:c r="I112" s="30" t="str">
        <x:v>Pharmacy Owner</x:v>
      </x:c>
      <x:c r="J112" s="30" t="str">
        <x:v>Unlicensed premises and licence action</x:v>
      </x:c>
      <x:c r="K112" s="30" t="str">
        <x:v>Critical</x:v>
      </x:c>
      <x:c r="L112" s="30" t="str">
        <x:v>CORE</x:v>
      </x:c>
      <x:c r="M112" s="30" t="str">
        <x:v>Yes</x:v>
      </x:c>
      <x:c r="N112" s="30" t="str">
        <x:v>P-2 authoritative normalization; exact rule/schedule/form basis recorded.</x:v>
      </x:c>
    </x:row>
    <x:row r="113">
      <x:c r="A113" s="30" t="str">
        <x:v>COMP112</x:v>
      </x:c>
      <x:c r="B113" s="30" t="str">
        <x:v>PROV112</x:v>
      </x:c>
      <x:c r="C113" s="30" t="str">
        <x:v>CA002</x:v>
      </x:c>
      <x:c r="D113" s="30" t="str">
        <x:v>Deposit the licence retention fee before the end of each succeeding five-year period; if delayed, apply the statutory late fee and prevent deemed cancellation.</x:v>
      </x:c>
      <x:c r="E113" s="30" t="str">
        <x:v>Accurate implementation of the cited Drugs Rules control.</x:v>
      </x:c>
      <x:c r="F113" s="30" t="str">
        <x:v>Mandatory</x:v>
      </x:c>
      <x:c r="G113" s="30" t="str">
        <x:v>As Applicable</x:v>
      </x:c>
      <x:c r="H113" s="30" t="str">
        <x:v>Before the five-year due date</x:v>
      </x:c>
      <x:c r="I113" s="30" t="str">
        <x:v>Pharmacy Owner</x:v>
      </x:c>
      <x:c r="J113" s="30" t="str">
        <x:v>Deemed cancellation of licence</x:v>
      </x:c>
      <x:c r="K113" s="30" t="str">
        <x:v>Critical</x:v>
      </x:c>
      <x:c r="L113" s="30" t="str">
        <x:v>CORE</x:v>
      </x:c>
      <x:c r="M113" s="30" t="str">
        <x:v>Yes</x:v>
      </x:c>
      <x:c r="N113" s="30" t="str">
        <x:v>P-2 authoritative normalization; exact rule/schedule/form basis recorded.</x:v>
      </x:c>
    </x:row>
    <x:row r="114">
      <x:c r="A114" s="30" t="str">
        <x:v>COMP113</x:v>
      </x:c>
      <x:c r="B114" s="30" t="str">
        <x:v>PROV113</x:v>
      </x:c>
      <x:c r="C114" s="30" t="str">
        <x:v>CA002</x:v>
      </x:c>
      <x:c r="D114" s="30" t="str">
        <x:v>Furnish documentary evidence of ownership/occupation, firm constitution or other relevant licence facts when demanded by the licensing authority.</x:v>
      </x:c>
      <x:c r="E114" s="30" t="str">
        <x:v>Accurate implementation of the cited Drugs Rules control.</x:v>
      </x:c>
      <x:c r="F114" s="30" t="str">
        <x:v>Mandatory</x:v>
      </x:c>
      <x:c r="G114" s="30" t="str">
        <x:v>Event Based</x:v>
      </x:c>
      <x:c r="H114" s="30" t="str">
        <x:v>Within the authority's demand</x:v>
      </x:c>
      <x:c r="I114" s="30" t="str">
        <x:v>Pharmacy Owner</x:v>
      </x:c>
      <x:c r="J114" s="30" t="str">
        <x:v>Refusal, suspension or enforcement action</x:v>
      </x:c>
      <x:c r="K114" s="30" t="str">
        <x:v>High</x:v>
      </x:c>
      <x:c r="L114" s="30" t="str">
        <x:v>CORE</x:v>
      </x:c>
      <x:c r="M114" s="30" t="str">
        <x:v>Yes</x:v>
      </x:c>
      <x:c r="N114" s="30" t="str">
        <x:v>P-2 authoritative normalization; exact rule/schedule/form basis recorded.</x:v>
      </x:c>
    </x:row>
    <x:row r="115">
      <x:c r="A115" s="30" t="str">
        <x:v>COMP114</x:v>
      </x:c>
      <x:c r="B115" s="30" t="str">
        <x:v>PROV114</x:v>
      </x:c>
      <x:c r="C115" s="30" t="str">
        <x:v>CA019</x:v>
      </x:c>
      <x:c r="D115" s="30" t="str">
        <x:v>Record each Schedule H1 supply in a separate register with prescriber, patient, drug and quantity details; retain for three years and keep open for inspection.</x:v>
      </x:c>
      <x:c r="E115" s="30" t="str">
        <x:v>Accurate implementation of the cited Drugs Rules control.</x:v>
      </x:c>
      <x:c r="F115" s="30" t="str">
        <x:v>Mandatory</x:v>
      </x:c>
      <x:c r="G115" s="30" t="str">
        <x:v>Continuous</x:v>
      </x:c>
      <x:c r="H115" s="30" t="str">
        <x:v>At each H1 supply; retain three years</x:v>
      </x:c>
      <x:c r="I115" s="30" t="str">
        <x:v>Registered Pharmacist</x:v>
      </x:c>
      <x:c r="J115" s="30" t="str">
        <x:v>Inspection finding and licence action</x:v>
      </x:c>
      <x:c r="K115" s="30" t="str">
        <x:v>Critical</x:v>
      </x:c>
      <x:c r="L115" s="30" t="str">
        <x:v>CORE</x:v>
      </x:c>
      <x:c r="M115" s="30" t="str">
        <x:v>Yes</x:v>
      </x:c>
      <x:c r="N115" s="30" t="str">
        <x:v>P-2 authoritative normalization; exact rule/schedule/form basis recorded.</x:v>
      </x:c>
    </x:row>
    <x:row r="116">
      <x:c r="A116" s="30" t="str">
        <x:v>COMP115</x:v>
      </x:c>
      <x:c r="B116" s="30" t="str">
        <x:v>PROV115</x:v>
      </x:c>
      <x:c r="C116" s="30" t="str">
        <x:v>CA020</x:v>
      </x:c>
      <x:c r="D116" s="30" t="str">
        <x:v>Preserve carbon copies of wholesale cash or credit memos for three years from the date of sale.</x:v>
      </x:c>
      <x:c r="E116" s="30" t="str">
        <x:v>Accurate implementation of the cited Drugs Rules control.</x:v>
      </x:c>
      <x:c r="F116" s="30" t="str">
        <x:v>Conditional</x:v>
      </x:c>
      <x:c r="G116" s="30" t="str">
        <x:v>Continuous</x:v>
      </x:c>
      <x:c r="H116" s="30" t="str">
        <x:v>Three years from each wholesale sale</x:v>
      </x:c>
      <x:c r="I116" s="30" t="str">
        <x:v>Competent Person</x:v>
      </x:c>
      <x:c r="J116" s="30" t="str">
        <x:v>Wholesale recordkeeping breach</x:v>
      </x:c>
      <x:c r="K116" s="30" t="str">
        <x:v>High</x:v>
      </x:c>
      <x:c r="L116" s="30" t="str">
        <x:v>CORE</x:v>
      </x:c>
      <x:c r="M116" s="30" t="str">
        <x:v>Yes</x:v>
      </x:c>
      <x:c r="N116" s="30" t="str">
        <x:v>P-2 authoritative normalization; exact rule/schedule/form basis recorded.</x:v>
      </x:c>
    </x:row>
    <x:row r="117">
      <x:c r="A117" s="30" t="str">
        <x:v>COMP116</x:v>
      </x:c>
      <x:c r="B117" s="30" t="str">
        <x:v>PROV116</x:v>
      </x:c>
      <x:c r="C117" s="30" t="str">
        <x:v>CA012</x:v>
      </x:c>
      <x:c r="D117" s="30" t="str">
        <x:v>Perform a documented risk-based review of Schedule H1/X dispensing and inventory movements to identify unusual patterns; this is an internal best-practice control, not a statutory monthly register duty.</x:v>
      </x:c>
      <x:c r="E117" s="30" t="str">
        <x:v>Accurate implementation of the cited Drugs Rules control.</x:v>
      </x:c>
      <x:c r="F117" s="30" t="str">
        <x:v>Optional</x:v>
      </x:c>
      <x:c r="G117" s="30" t="str">
        <x:v>Monthly</x:v>
      </x:c>
      <x:c r="H117" s="30" t="str">
        <x:v>Internal control cycle</x:v>
      </x:c>
      <x:c r="I117" s="30" t="str">
        <x:v>Pharmacy Manager</x:v>
      </x:c>
      <x:c r="J117" s="30" t="str">
        <x:v>Diversion or inventory anomalies may remain undetected</x:v>
      </x:c>
      <x:c r="K117" s="30" t="str">
        <x:v>Medium</x:v>
      </x:c>
      <x:c r="L117" s="30" t="str">
        <x:v>CORE</x:v>
      </x:c>
      <x:c r="M117" s="30" t="str">
        <x:v>Yes</x:v>
      </x:c>
      <x:c r="N117" s="30" t="str">
        <x:v>P-2 authoritative normalization; exact rule/schedule/form basis recorded.</x:v>
      </x:c>
    </x:row>
    <x:row r="118">
      <x:c r="A118" s="30" t="str">
        <x:v>COMP117</x:v>
      </x:c>
      <x:c r="B118" s="30" t="str">
        <x:v>PROV117</x:v>
      </x:c>
      <x:c r="C118" s="30" t="str">
        <x:v>CA027</x:v>
      </x:c>
      <x:c r="D118" s="30" t="str">
        <x:v>Store Schedule X substances under lock and key in dedicated storage or in a separated area accessible only to responsible persons.</x:v>
      </x:c>
      <x:c r="E118" s="30" t="str">
        <x:v>Accurate implementation of the cited Drugs Rules control.</x:v>
      </x:c>
      <x:c r="F118" s="30" t="str">
        <x:v>Conditional</x:v>
      </x:c>
      <x:c r="G118" s="30" t="str">
        <x:v>Continuous</x:v>
      </x:c>
      <x:c r="H118" s="30" t="str">
        <x:v>Throughout Schedule X storage</x:v>
      </x:c>
      <x:c r="I118" s="30" t="str">
        <x:v>Registered Pharmacist</x:v>
      </x:c>
      <x:c r="J118" s="30" t="str">
        <x:v>Serious licence action and diversion risk</x:v>
      </x:c>
      <x:c r="K118" s="30" t="str">
        <x:v>Critical</x:v>
      </x:c>
      <x:c r="L118" s="30" t="str">
        <x:v>CORE</x:v>
      </x:c>
      <x:c r="M118" s="30" t="str">
        <x:v>Yes</x:v>
      </x:c>
      <x:c r="N118" s="30" t="str">
        <x:v>P-2 authoritative normalization; exact rule/schedule/form basis recorded.</x:v>
      </x:c>
    </x:row>
    <x:row r="119">
      <x:c r="A119" s="30" t="str">
        <x:v>COMP118</x:v>
      </x:c>
      <x:c r="B119" s="30" t="str">
        <x:v>PROV118</x:v>
      </x:c>
      <x:c r="C119" s="30" t="str">
        <x:v>CA028</x:v>
      </x:c>
      <x:c r="D119" s="30" t="str">
        <x:v>Record Schedule X receipt and supply at the time of transaction in a bound, serially page-numbered, drug-wise register containing all particulars required by Rule 65(21).</x:v>
      </x:c>
      <x:c r="E119" s="30" t="str">
        <x:v>Accurate implementation of the cited Drugs Rules control.</x:v>
      </x:c>
      <x:c r="F119" s="30" t="str">
        <x:v>Conditional</x:v>
      </x:c>
      <x:c r="G119" s="30" t="str">
        <x:v>Continuous</x:v>
      </x:c>
      <x:c r="H119" s="30" t="str">
        <x:v>At each Schedule X transaction</x:v>
      </x:c>
      <x:c r="I119" s="30" t="str">
        <x:v>Registered Pharmacist</x:v>
      </x:c>
      <x:c r="J119" s="30" t="str">
        <x:v>Serious statutory-record breach</x:v>
      </x:c>
      <x:c r="K119" s="30" t="str">
        <x:v>Critical</x:v>
      </x:c>
      <x:c r="L119" s="30" t="str">
        <x:v>CORE</x:v>
      </x:c>
      <x:c r="M119" s="30" t="str">
        <x:v>Yes</x:v>
      </x:c>
      <x:c r="N119" s="30" t="str">
        <x:v>P-2 authoritative normalization; exact rule/schedule/form basis recorded.</x:v>
      </x:c>
    </x:row>
    <x:row r="120">
      <x:c r="A120" s="30" t="str">
        <x:v>COMP119</x:v>
      </x:c>
      <x:c r="B120" s="30" t="str">
        <x:v>PROV119</x:v>
      </x:c>
      <x:c r="C120" s="30" t="str">
        <x:v>CA015</x:v>
      </x:c>
      <x:c r="D120" s="30" t="str">
        <x:v>Before dispensing Schedule H/H1/X, verify the prescription is written, signed and dated, identifies the patient, amount and dose, follows repeat directions, is seller-annotated, and is not substituted.</x:v>
      </x:c>
      <x:c r="E120" s="30" t="str">
        <x:v>Accurate implementation of the cited Drugs Rules control.</x:v>
      </x:c>
      <x:c r="F120" s="30" t="str">
        <x:v>Mandatory</x:v>
      </x:c>
      <x:c r="G120" s="30" t="str">
        <x:v>Continuous</x:v>
      </x:c>
      <x:c r="H120" s="30" t="str">
        <x:v>Before and at dispensing</x:v>
      </x:c>
      <x:c r="I120" s="30" t="str">
        <x:v>Registered Pharmacist</x:v>
      </x:c>
      <x:c r="J120" s="30" t="str">
        <x:v>Prescription-control breach and patient-safety risk</x:v>
      </x:c>
      <x:c r="K120" s="30" t="str">
        <x:v>Critical</x:v>
      </x:c>
      <x:c r="L120" s="30" t="str">
        <x:v>CORE</x:v>
      </x:c>
      <x:c r="M120" s="30" t="str">
        <x:v>Yes</x:v>
      </x:c>
      <x:c r="N120" s="30" t="str">
        <x:v>P-2 authoritative normalization; exact rule/schedule/form basis recorded.</x:v>
      </x:c>
    </x:row>
    <x:row r="121">
      <x:c r="A121" s="30" t="str">
        <x:v>COMP120</x:v>
      </x:c>
      <x:c r="B121" s="30" t="str">
        <x:v>PROV120</x:v>
      </x:c>
      <x:c r="C121" s="30" t="str">
        <x:v>CA021</x:v>
      </x:c>
      <x:c r="D121" s="30" t="str">
        <x:v>Deliver pharmacy services in accordance with Good Pharmacy Practice principles.</x:v>
      </x:c>
      <x:c r="E121" s="30"/>
      <x:c r="F121" s="30" t="str">
        <x:v>Best Practice / Regulatory Expectation</x:v>
      </x:c>
      <x:c r="G121" s="30" t="str">
        <x:v>Continuous</x:v>
      </x:c>
      <x:c r="H121" s="30" t="str">
        <x:v>Throughout operations</x:v>
      </x:c>
      <x:c r="I121" s="30" t="str">
        <x:v>Chief Pharmacist</x:v>
      </x:c>
      <x:c r="J121" s="30" t="str">
        <x:v>Inspection observations</x:v>
      </x:c>
      <x:c r="K121" s="30"/>
      <x:c r="L121" s="30" t="str">
        <x:v>CORE</x:v>
      </x:c>
      <x:c r="M121" s="30" t="str">
        <x:v>Yes</x:v>
      </x:c>
      <x:c r="N121" s="30" t="str">
        <x:v>P-4 non-statutory guidance/internal implementation control; exact binding instrument remains separately mapped.</x:v>
      </x:c>
    </x:row>
    <x:row r="122">
      <x:c r="A122" s="30" t="str">
        <x:v>COMP121</x:v>
      </x:c>
      <x:c r="B122" s="30" t="str">
        <x:v>PROV121</x:v>
      </x:c>
      <x:c r="C122" s="30" t="str">
        <x:v>CA021</x:v>
      </x:c>
      <x:c r="D122" s="30" t="str">
        <x:v>Provide appropriate counselling to patients regarding medicine use, dosage and precautions.</x:v>
      </x:c>
      <x:c r="E122" s="30"/>
      <x:c r="F122" s="30" t="str">
        <x:v>Best Practice / Regulatory Expectation</x:v>
      </x:c>
      <x:c r="G122" s="30" t="str">
        <x:v>Continuous</x:v>
      </x:c>
      <x:c r="H122" s="30" t="str">
        <x:v>At every dispensing</x:v>
      </x:c>
      <x:c r="I122" s="30" t="str">
        <x:v>Registered Pharmacist</x:v>
      </x:c>
      <x:c r="J122" s="30" t="str">
        <x:v>Patient safety concerns</x:v>
      </x:c>
      <x:c r="K122" s="30"/>
      <x:c r="L122" s="30" t="str">
        <x:v>CORE</x:v>
      </x:c>
      <x:c r="M122" s="30" t="str">
        <x:v>Yes</x:v>
      </x:c>
      <x:c r="N122" s="30" t="str">
        <x:v>P-4 non-statutory guidance/internal implementation control; exact binding instrument remains separately mapped.</x:v>
      </x:c>
    </x:row>
    <x:row r="123">
      <x:c r="A123" s="30" t="str">
        <x:v>COMP122</x:v>
      </x:c>
      <x:c r="B123" s="30" t="str">
        <x:v>PROV122</x:v>
      </x:c>
      <x:c r="C123" s="30" t="str">
        <x:v>CA021</x:v>
      </x:c>
      <x:c r="D123" s="30" t="str">
        <x:v>Review each prescription for completeness, legality and appropriateness before dispensing.</x:v>
      </x:c>
      <x:c r="E123" s="30"/>
      <x:c r="F123" s="30" t="str">
        <x:v>Best Practice / Regulatory Expectation</x:v>
      </x:c>
      <x:c r="G123" s="30" t="str">
        <x:v>Continuous</x:v>
      </x:c>
      <x:c r="H123" s="30" t="str">
        <x:v>Prior to dispensing</x:v>
      </x:c>
      <x:c r="I123" s="30" t="str">
        <x:v>Registered Pharmacist</x:v>
      </x:c>
      <x:c r="J123" s="30" t="str">
        <x:v>Dispensing errors</x:v>
      </x:c>
      <x:c r="K123" s="30"/>
      <x:c r="L123" s="30" t="str">
        <x:v>CORE</x:v>
      </x:c>
      <x:c r="M123" s="30" t="str">
        <x:v>Yes</x:v>
      </x:c>
      <x:c r="N123" s="30" t="str">
        <x:v>P-4 non-statutory guidance/internal implementation control; exact binding instrument remains separately mapped.</x:v>
      </x:c>
    </x:row>
    <x:row r="124">
      <x:c r="A124" s="30" t="str">
        <x:v>COMP123</x:v>
      </x:c>
      <x:c r="B124" s="30" t="str">
        <x:v>PROV123</x:v>
      </x:c>
      <x:c r="C124" s="30" t="str">
        <x:v>CA011</x:v>
      </x:c>
      <x:c r="D124" s="30" t="str">
        <x:v>Procure medicines only from licensed and authorized suppliers.</x:v>
      </x:c>
      <x:c r="E124" s="30"/>
      <x:c r="F124" s="30" t="str">
        <x:v>Best Practice / Regulatory Expectation</x:v>
      </x:c>
      <x:c r="G124" s="30" t="str">
        <x:v>Continuous</x:v>
      </x:c>
      <x:c r="H124" s="30" t="str">
        <x:v>At every procurement</x:v>
      </x:c>
      <x:c r="I124" s="30" t="str">
        <x:v>Procurement Manager</x:v>
      </x:c>
      <x:c r="J124" s="30" t="str">
        <x:v>Procurement violations</x:v>
      </x:c>
      <x:c r="K124" s="30"/>
      <x:c r="L124" s="30" t="str">
        <x:v>CORE</x:v>
      </x:c>
      <x:c r="M124" s="30" t="str">
        <x:v>Yes</x:v>
      </x:c>
      <x:c r="N124" s="30" t="str">
        <x:v>P-4 non-statutory guidance/internal implementation control; exact binding instrument remains separately mapped.</x:v>
      </x:c>
    </x:row>
    <x:row r="125">
      <x:c r="A125" s="30" t="str">
        <x:v>COMP124</x:v>
      </x:c>
      <x:c r="B125" s="30" t="str">
        <x:v>PROV124</x:v>
      </x:c>
      <x:c r="C125" s="30" t="str">
        <x:v>CA012</x:v>
      </x:c>
      <x:c r="D125" s="30" t="str">
        <x:v>Maintain suitable transportation and distribution conditions to preserve product quality.</x:v>
      </x:c>
      <x:c r="E125" s="30"/>
      <x:c r="F125" s="30" t="str">
        <x:v>Best Practice / Regulatory Expectation</x:v>
      </x:c>
      <x:c r="G125" s="30" t="str">
        <x:v>Continuous</x:v>
      </x:c>
      <x:c r="H125" s="30" t="str">
        <x:v>During every distribution activity</x:v>
      </x:c>
      <x:c r="I125" s="30" t="str">
        <x:v>Logistics Manager</x:v>
      </x:c>
      <x:c r="J125" s="30" t="str">
        <x:v>Product quality deterioration</x:v>
      </x:c>
      <x:c r="K125" s="30"/>
      <x:c r="L125" s="30" t="str">
        <x:v>CORE</x:v>
      </x:c>
      <x:c r="M125" s="30" t="str">
        <x:v>Yes</x:v>
      </x:c>
      <x:c r="N125" s="30" t="str">
        <x:v>P-4 non-statutory guidance/internal implementation control; exact binding instrument remains separately mapped.</x:v>
      </x:c>
    </x:row>
    <x:row r="126">
      <x:c r="A126" s="30" t="str">
        <x:v>COMP125</x:v>
      </x:c>
      <x:c r="B126" s="30" t="str">
        <x:v>PROV125</x:v>
      </x:c>
      <x:c r="C126" s="30" t="str">
        <x:v>CA019</x:v>
      </x:c>
      <x:c r="D126" s="30" t="str">
        <x:v>Maintain complete and traceable distribution records for all pharmaceutical products.</x:v>
      </x:c>
      <x:c r="E126" s="30"/>
      <x:c r="F126" s="30" t="str">
        <x:v>Best Practice / Regulatory Expectation</x:v>
      </x:c>
      <x:c r="G126" s="30" t="str">
        <x:v>Continuous</x:v>
      </x:c>
      <x:c r="H126" s="30" t="str">
        <x:v>At every distribution transaction</x:v>
      </x:c>
      <x:c r="I126" s="30" t="str">
        <x:v>Logistics Manager</x:v>
      </x:c>
      <x:c r="J126" s="30" t="str">
        <x:v>Inability to trace product movement</x:v>
      </x:c>
      <x:c r="K126" s="30"/>
      <x:c r="L126" s="30" t="str">
        <x:v>CORE</x:v>
      </x:c>
      <x:c r="M126" s="30" t="str">
        <x:v>Yes</x:v>
      </x:c>
      <x:c r="N126" s="30" t="str">
        <x:v>P-4 non-statutory guidance/internal implementation control; exact binding instrument remains separately mapped.</x:v>
      </x:c>
    </x:row>
    <x:row r="127">
      <x:c r="A127" s="30" t="str">
        <x:v>COMP126</x:v>
      </x:c>
      <x:c r="B127" s="30" t="str">
        <x:v>PROV126</x:v>
      </x:c>
      <x:c r="C127" s="30" t="str">
        <x:v>CA007</x:v>
      </x:c>
      <x:c r="D127" s="30" t="str">
        <x:v>Continuously monitor and record storage temperature for all temperature-sensitive medicines.</x:v>
      </x:c>
      <x:c r="E127" s="30"/>
      <x:c r="F127" s="30" t="str">
        <x:v>Best Practice / Regulatory Expectation</x:v>
      </x:c>
      <x:c r="G127" s="30" t="str">
        <x:v>Continuous</x:v>
      </x:c>
      <x:c r="H127" s="30" t="str">
        <x:v>Throughout storage</x:v>
      </x:c>
      <x:c r="I127" s="30" t="str">
        <x:v>Store Manager</x:v>
      </x:c>
      <x:c r="J127" s="30" t="str">
        <x:v>Product quality deterioration, inspection observations</x:v>
      </x:c>
      <x:c r="K127" s="30"/>
      <x:c r="L127" s="30" t="str">
        <x:v>CORE</x:v>
      </x:c>
      <x:c r="M127" s="30" t="str">
        <x:v>Yes</x:v>
      </x:c>
      <x:c r="N127" s="30" t="str">
        <x:v>P-4 non-statutory guidance/internal implementation control; exact binding instrument remains separately mapped.</x:v>
      </x:c>
    </x:row>
    <x:row r="128">
      <x:c r="A128" s="30" t="str">
        <x:v>COMP127</x:v>
      </x:c>
      <x:c r="B128" s="30" t="str">
        <x:v>PROV127</x:v>
      </x:c>
      <x:c r="C128" s="30" t="str">
        <x:v>CA007</x:v>
      </x:c>
      <x:c r="D128" s="30" t="str">
        <x:v>Monitor and maintain humidity within prescribed limits where applicable.</x:v>
      </x:c>
      <x:c r="E128" s="30"/>
      <x:c r="F128" s="30" t="str">
        <x:v>Best Practice / Regulatory Expectation</x:v>
      </x:c>
      <x:c r="G128" s="30" t="str">
        <x:v>Daily</x:v>
      </x:c>
      <x:c r="H128" s="30" t="str">
        <x:v>Daily monitoring</x:v>
      </x:c>
      <x:c r="I128" s="30" t="str">
        <x:v>Store Manager</x:v>
      </x:c>
      <x:c r="J128" s="30" t="str">
        <x:v>Product degradation</x:v>
      </x:c>
      <x:c r="K128" s="30"/>
      <x:c r="L128" s="30" t="str">
        <x:v>CORE</x:v>
      </x:c>
      <x:c r="M128" s="30" t="str">
        <x:v>Yes</x:v>
      </x:c>
      <x:c r="N128" s="30" t="str">
        <x:v>P-4 non-statutory guidance/internal implementation control; exact binding instrument remains separately mapped.</x:v>
      </x:c>
    </x:row>
    <x:row r="129">
      <x:c r="A129" s="30" t="str">
        <x:v>COMP128</x:v>
      </x:c>
      <x:c r="B129" s="30" t="str">
        <x:v>PROV128</x:v>
      </x:c>
      <x:c r="C129" s="30" t="str">
        <x:v>CA012</x:v>
      </x:c>
      <x:c r="D129" s="30" t="str">
        <x:v>Follow the FEFO (First Expiry First Out) inventory management system for stock issuance.</x:v>
      </x:c>
      <x:c r="E129" s="30"/>
      <x:c r="F129" s="30" t="str">
        <x:v>Best Practice / Regulatory Expectation</x:v>
      </x:c>
      <x:c r="G129" s="30" t="str">
        <x:v>Continuous</x:v>
      </x:c>
      <x:c r="H129" s="30" t="str">
        <x:v>At every stock issue</x:v>
      </x:c>
      <x:c r="I129" s="30" t="str">
        <x:v>Store Manager</x:v>
      </x:c>
      <x:c r="J129" s="30" t="str">
        <x:v>Expired medicines may be dispensed</x:v>
      </x:c>
      <x:c r="K129" s="30"/>
      <x:c r="L129" s="30" t="str">
        <x:v>CORE</x:v>
      </x:c>
      <x:c r="M129" s="30" t="str">
        <x:v>Yes</x:v>
      </x:c>
      <x:c r="N129" s="30" t="str">
        <x:v>P-4 non-statutory guidance/internal implementation control; exact binding instrument remains separately mapped.</x:v>
      </x:c>
    </x:row>
    <x:row r="130">
      <x:c r="A130" s="30" t="str">
        <x:v>COMP129</x:v>
      </x:c>
      <x:c r="B130" s="30" t="str">
        <x:v>PROV129</x:v>
      </x:c>
      <x:c r="C130" s="30" t="str">
        <x:v>CA013</x:v>
      </x:c>
      <x:c r="D130" s="30" t="str">
        <x:v>Segregate expired, damaged, recalled and rejected medicines from saleable inventory immediately.</x:v>
      </x:c>
      <x:c r="E130" s="30"/>
      <x:c r="F130" s="30" t="str">
        <x:v>Best Practice / Regulatory Expectation</x:v>
      </x:c>
      <x:c r="G130" s="30" t="str">
        <x:v>Continuous</x:v>
      </x:c>
      <x:c r="H130" s="30" t="str">
        <x:v>Immediately upon identification</x:v>
      </x:c>
      <x:c r="I130" s="30" t="str">
        <x:v>Store Manager</x:v>
      </x:c>
      <x:c r="J130" s="30" t="str">
        <x:v>Regulatory action</x:v>
      </x:c>
      <x:c r="K130" s="30"/>
      <x:c r="L130" s="30" t="str">
        <x:v>CORE</x:v>
      </x:c>
      <x:c r="M130" s="30" t="str">
        <x:v>Yes</x:v>
      </x:c>
      <x:c r="N130" s="30" t="str">
        <x:v>P-4 non-statutory guidance/internal implementation control; exact binding instrument remains separately mapped.</x:v>
      </x:c>
    </x:row>
    <x:row r="131">
      <x:c r="A131" s="30" t="str">
        <x:v>COMP130</x:v>
      </x:c>
      <x:c r="B131" s="30" t="str">
        <x:v>PROV130</x:v>
      </x:c>
      <x:c r="C131" s="30" t="str">
        <x:v>CA007</x:v>
      </x:c>
      <x:c r="D131" s="30" t="str">
        <x:v>Maintain storage areas in a clean, hygienic and pest-free condition.</x:v>
      </x:c>
      <x:c r="E131" s="30"/>
      <x:c r="F131" s="30" t="str">
        <x:v>Best Practice / Regulatory Expectation</x:v>
      </x:c>
      <x:c r="G131" s="30" t="str">
        <x:v>Daily</x:v>
      </x:c>
      <x:c r="H131" s="30" t="str">
        <x:v>Daily housekeeping</x:v>
      </x:c>
      <x:c r="I131" s="30" t="str">
        <x:v>Store Manager</x:v>
      </x:c>
      <x:c r="J131" s="30" t="str">
        <x:v>Inspection observations</x:v>
      </x:c>
      <x:c r="K131" s="30"/>
      <x:c r="L131" s="30" t="str">
        <x:v>CORE</x:v>
      </x:c>
      <x:c r="M131" s="30" t="str">
        <x:v>Yes</x:v>
      </x:c>
      <x:c r="N131" s="30" t="str">
        <x:v>P-4 non-statutory guidance/internal implementation control; exact binding instrument remains separately mapped.</x:v>
      </x:c>
    </x:row>
    <x:row r="132">
      <x:c r="A132" s="30" t="str">
        <x:v>COMP131</x:v>
      </x:c>
      <x:c r="B132" s="30" t="str">
        <x:v>PROV131</x:v>
      </x:c>
      <x:c r="C132" s="30" t="str">
        <x:v>CA022</x:v>
      </x:c>
      <x:c r="D132" s="30" t="str">
        <x:v>Initiate product recall immediately upon receipt of recall notice or identification of defective products.</x:v>
      </x:c>
      <x:c r="E132" s="30"/>
      <x:c r="F132" s="30" t="str">
        <x:v>Best Practice / Regulatory Expectation</x:v>
      </x:c>
      <x:c r="G132" s="30" t="str">
        <x:v>Event Based</x:v>
      </x:c>
      <x:c r="H132" s="30" t="str">
        <x:v>Immediately</x:v>
      </x:c>
      <x:c r="I132" s="30" t="str">
        <x:v>Pharmacy Manager</x:v>
      </x:c>
      <x:c r="J132" s="30" t="str">
        <x:v>Regulatory action</x:v>
      </x:c>
      <x:c r="K132" s="30"/>
      <x:c r="L132" s="30" t="str">
        <x:v>CORE</x:v>
      </x:c>
      <x:c r="M132" s="30" t="str">
        <x:v>Yes</x:v>
      </x:c>
      <x:c r="N132" s="30" t="str">
        <x:v>P-4 non-statutory guidance/internal implementation control; exact binding instrument remains separately mapped.</x:v>
      </x:c>
    </x:row>
    <x:row r="133">
      <x:c r="A133" s="30" t="str">
        <x:v>COMP132</x:v>
      </x:c>
      <x:c r="B133" s="30" t="str">
        <x:v>PROV132</x:v>
      </x:c>
      <x:c r="C133" s="30" t="str">
        <x:v>CA022</x:v>
      </x:c>
      <x:c r="D133" s="30" t="str">
        <x:v>Classify recalled products according to the applicable recall category and risk level.</x:v>
      </x:c>
      <x:c r="E133" s="30"/>
      <x:c r="F133" s="30" t="str">
        <x:v>Best Practice / Regulatory Expectation</x:v>
      </x:c>
      <x:c r="G133" s="30" t="str">
        <x:v>Event Based</x:v>
      </x:c>
      <x:c r="H133" s="30" t="str">
        <x:v>At recall initiation</x:v>
      </x:c>
      <x:c r="I133" s="30" t="str">
        <x:v>Quality Assurance Officer</x:v>
      </x:c>
      <x:c r="J133" s="30" t="str">
        <x:v>Ineffective recall management</x:v>
      </x:c>
      <x:c r="K133" s="30"/>
      <x:c r="L133" s="30" t="str">
        <x:v>CORE</x:v>
      </x:c>
      <x:c r="M133" s="30" t="str">
        <x:v>Yes</x:v>
      </x:c>
      <x:c r="N133" s="30" t="str">
        <x:v>P-4 non-statutory guidance/internal implementation control; exact binding instrument remains separately mapped.</x:v>
      </x:c>
    </x:row>
    <x:row r="134">
      <x:c r="A134" s="30" t="str">
        <x:v>COMP133</x:v>
      </x:c>
      <x:c r="B134" s="30" t="str">
        <x:v>PROV133</x:v>
      </x:c>
      <x:c r="C134" s="30" t="str">
        <x:v>CA022</x:v>
      </x:c>
      <x:c r="D134" s="30" t="str">
        <x:v>Notify customers, distributors and regulatory authorities as required during product recall.</x:v>
      </x:c>
      <x:c r="E134" s="30"/>
      <x:c r="F134" s="30" t="str">
        <x:v>Best Practice / Regulatory Expectation</x:v>
      </x:c>
      <x:c r="G134" s="30" t="str">
        <x:v>Event Based</x:v>
      </x:c>
      <x:c r="H134" s="30" t="str">
        <x:v>Within prescribed timeline</x:v>
      </x:c>
      <x:c r="I134" s="30" t="str">
        <x:v>Compliance Officer</x:v>
      </x:c>
      <x:c r="J134" s="30" t="str">
        <x:v>Regulatory penalties</x:v>
      </x:c>
      <x:c r="K134" s="30"/>
      <x:c r="L134" s="30" t="str">
        <x:v>CORE</x:v>
      </x:c>
      <x:c r="M134" s="30" t="str">
        <x:v>Yes</x:v>
      </x:c>
      <x:c r="N134" s="30" t="str">
        <x:v>P-4 non-statutory guidance/internal implementation control; exact binding instrument remains separately mapped.</x:v>
      </x:c>
    </x:row>
    <x:row r="135">
      <x:c r="A135" s="30" t="str">
        <x:v>COMP134</x:v>
      </x:c>
      <x:c r="B135" s="30" t="str">
        <x:v>PROV134</x:v>
      </x:c>
      <x:c r="C135" s="30" t="str">
        <x:v>CA022</x:v>
      </x:c>
      <x:c r="D135" s="30" t="str">
        <x:v>Verify the effectiveness of product recall by reconciling quantities distributed and recovered.</x:v>
      </x:c>
      <x:c r="E135" s="30"/>
      <x:c r="F135" s="30" t="str">
        <x:v>Best Practice / Regulatory Expectation</x:v>
      </x:c>
      <x:c r="G135" s="30" t="str">
        <x:v>Event Based</x:v>
      </x:c>
      <x:c r="H135" s="30" t="str">
        <x:v>Before recall closure</x:v>
      </x:c>
      <x:c r="I135" s="30" t="str">
        <x:v>Quality Assurance Officer</x:v>
      </x:c>
      <x:c r="J135" s="30" t="str">
        <x:v>Recall deficiencies</x:v>
      </x:c>
      <x:c r="K135" s="30"/>
      <x:c r="L135" s="30" t="str">
        <x:v>CORE</x:v>
      </x:c>
      <x:c r="M135" s="30" t="str">
        <x:v>Yes</x:v>
      </x:c>
      <x:c r="N135" s="30" t="str">
        <x:v>P-4 non-statutory guidance/internal implementation control; exact binding instrument remains separately mapped.</x:v>
      </x:c>
    </x:row>
    <x:row r="136">
      <x:c r="A136" s="30" t="str">
        <x:v>COMP135</x:v>
      </x:c>
      <x:c r="B136" s="30" t="str">
        <x:v>PROV135</x:v>
      </x:c>
      <x:c r="C136" s="30" t="str">
        <x:v>CA022</x:v>
      </x:c>
      <x:c r="D136" s="30" t="str">
        <x:v>Maintain complete documentation supporting recall closure and regulatory reporting.</x:v>
      </x:c>
      <x:c r="E136" s="30"/>
      <x:c r="F136" s="30" t="str">
        <x:v>Best Practice / Regulatory Expectation</x:v>
      </x:c>
      <x:c r="G136" s="30" t="str">
        <x:v>Event Based</x:v>
      </x:c>
      <x:c r="H136" s="30" t="str">
        <x:v>Upon completion of recall</x:v>
      </x:c>
      <x:c r="I136" s="30" t="str">
        <x:v>Compliance Officer</x:v>
      </x:c>
      <x:c r="J136" s="30" t="str">
        <x:v>Inspection observations</x:v>
      </x:c>
      <x:c r="K136" s="30"/>
      <x:c r="L136" s="30" t="str">
        <x:v>CORE</x:v>
      </x:c>
      <x:c r="M136" s="30" t="str">
        <x:v>Yes</x:v>
      </x:c>
      <x:c r="N136" s="30" t="str">
        <x:v>P-4 non-statutory guidance/internal implementation control; exact binding instrument remains separately mapped.</x:v>
      </x:c>
    </x:row>
    <x:row r="137">
      <x:c r="A137" s="30" t="str">
        <x:v>COMP136</x:v>
      </x:c>
      <x:c r="B137" s="30" t="str">
        <x:v>PROV136</x:v>
      </x:c>
      <x:c r="C137" s="30" t="str">
        <x:v>CA023</x:v>
      </x:c>
      <x:c r="D137" s="30" t="str">
        <x:v>Establish a documented process for receiving product complaints from customers.</x:v>
      </x:c>
      <x:c r="E137" s="30"/>
      <x:c r="F137" s="30" t="str">
        <x:v>Best Practice / Regulatory Expectation</x:v>
      </x:c>
      <x:c r="G137" s="30" t="str">
        <x:v>Continuous</x:v>
      </x:c>
      <x:c r="H137" s="30" t="str">
        <x:v>Throughout operations</x:v>
      </x:c>
      <x:c r="I137" s="30" t="str">
        <x:v>Customer Service Manager</x:v>
      </x:c>
      <x:c r="J137" s="30" t="str">
        <x:v>Complaint handling deficiencies</x:v>
      </x:c>
      <x:c r="K137" s="30"/>
      <x:c r="L137" s="30" t="str">
        <x:v>CORE</x:v>
      </x:c>
      <x:c r="M137" s="30" t="str">
        <x:v>Yes</x:v>
      </x:c>
      <x:c r="N137" s="30" t="str">
        <x:v>P-4 non-statutory guidance/internal implementation control; exact binding instrument remains separately mapped.</x:v>
      </x:c>
    </x:row>
    <x:row r="138">
      <x:c r="A138" s="30" t="str">
        <x:v>COMP137</x:v>
      </x:c>
      <x:c r="B138" s="30" t="str">
        <x:v>PROV137</x:v>
      </x:c>
      <x:c r="C138" s="30" t="str">
        <x:v>CA023</x:v>
      </x:c>
      <x:c r="D138" s="30" t="str">
        <x:v>Investigate every product complaint and document findings appropriately.</x:v>
      </x:c>
      <x:c r="E138" s="30"/>
      <x:c r="F138" s="30" t="str">
        <x:v>Best Practice / Regulatory Expectation</x:v>
      </x:c>
      <x:c r="G138" s="30" t="str">
        <x:v>Event Based</x:v>
      </x:c>
      <x:c r="H138" s="30" t="str">
        <x:v>Immediately after complaint receipt</x:v>
      </x:c>
      <x:c r="I138" s="30" t="str">
        <x:v>Quality Assurance Officer</x:v>
      </x:c>
      <x:c r="J138" s="30" t="str">
        <x:v>Repeated quality failures</x:v>
      </x:c>
      <x:c r="K138" s="30"/>
      <x:c r="L138" s="30" t="str">
        <x:v>CORE</x:v>
      </x:c>
      <x:c r="M138" s="30" t="str">
        <x:v>Yes</x:v>
      </x:c>
      <x:c r="N138" s="30" t="str">
        <x:v>P-4 non-statutory guidance/internal implementation control; exact binding instrument remains separately mapped.</x:v>
      </x:c>
    </x:row>
    <x:row r="139">
      <x:c r="A139" s="30" t="str">
        <x:v>COMP138</x:v>
      </x:c>
      <x:c r="B139" s="30" t="str">
        <x:v>PROV138</x:v>
      </x:c>
      <x:c r="C139" s="30" t="str">
        <x:v>CA023</x:v>
      </x:c>
      <x:c r="D139" s="30" t="str">
        <x:v>Maintain a complaint register and supporting investigation records.</x:v>
      </x:c>
      <x:c r="E139" s="30"/>
      <x:c r="F139" s="30" t="str">
        <x:v>Best Practice / Regulatory Expectation</x:v>
      </x:c>
      <x:c r="G139" s="30" t="str">
        <x:v>Continuous</x:v>
      </x:c>
      <x:c r="H139" s="30" t="str">
        <x:v>At every complaint</x:v>
      </x:c>
      <x:c r="I139" s="30" t="str">
        <x:v>Quality Assurance Officer</x:v>
      </x:c>
      <x:c r="J139" s="30" t="str">
        <x:v>Inspection observations</x:v>
      </x:c>
      <x:c r="K139" s="30"/>
      <x:c r="L139" s="30" t="str">
        <x:v>CORE</x:v>
      </x:c>
      <x:c r="M139" s="30" t="str">
        <x:v>Yes</x:v>
      </x:c>
      <x:c r="N139" s="30" t="str">
        <x:v>P-4 non-statutory guidance/internal implementation control; exact binding instrument remains separately mapped.</x:v>
      </x:c>
    </x:row>
    <x:row r="140">
      <x:c r="A140" s="30" t="str">
        <x:v>COMP139</x:v>
      </x:c>
      <x:c r="B140" s="30" t="str">
        <x:v>PROV139</x:v>
      </x:c>
      <x:c r="C140" s="30" t="str">
        <x:v>CA023</x:v>
      </x:c>
      <x:c r="D140" s="30" t="str">
        <x:v>Close product complaints only after investigation, corrective action and documentation are completed.</x:v>
      </x:c>
      <x:c r="E140" s="30"/>
      <x:c r="F140" s="30" t="str">
        <x:v>Best Practice / Regulatory Expectation</x:v>
      </x:c>
      <x:c r="G140" s="30" t="str">
        <x:v>Event Based</x:v>
      </x:c>
      <x:c r="H140" s="30" t="str">
        <x:v>After investigation</x:v>
      </x:c>
      <x:c r="I140" s="30" t="str">
        <x:v>Quality Assurance Officer</x:v>
      </x:c>
      <x:c r="J140" s="30" t="str">
        <x:v>Audit observations</x:v>
      </x:c>
      <x:c r="K140" s="30"/>
      <x:c r="L140" s="30" t="str">
        <x:v>CORE</x:v>
      </x:c>
      <x:c r="M140" s="30" t="str">
        <x:v>Yes</x:v>
      </x:c>
      <x:c r="N140" s="30" t="str">
        <x:v>P-4 non-statutory guidance/internal implementation control; exact binding instrument remains separately mapped.</x:v>
      </x:c>
    </x:row>
    <x:row r="141">
      <x:c r="A141" s="30" t="str">
        <x:v>COMP140</x:v>
      </x:c>
      <x:c r="B141" s="30" t="str">
        <x:v>PROV140</x:v>
      </x:c>
      <x:c r="C141" s="30" t="str">
        <x:v>CA024</x:v>
      </x:c>
      <x:c r="D141" s="30" t="str">
        <x:v>Report suspected adverse drug reactions to the Pharmacovigilance Programme of India whenever required.</x:v>
      </x:c>
      <x:c r="E141" s="30"/>
      <x:c r="F141" s="30" t="str">
        <x:v>Best Practice / Regulatory Expectation</x:v>
      </x:c>
      <x:c r="G141" s="30" t="str">
        <x:v>Event Based</x:v>
      </x:c>
      <x:c r="H141" s="30" t="str">
        <x:v>Within prescribed timeline</x:v>
      </x:c>
      <x:c r="I141" s="30" t="str">
        <x:v>Registered Pharmacist</x:v>
      </x:c>
      <x:c r="J141" s="30" t="str">
        <x:v>Regulatory non-compliance</x:v>
      </x:c>
      <x:c r="K141" s="30"/>
      <x:c r="L141" s="30" t="str">
        <x:v>CORE</x:v>
      </x:c>
      <x:c r="M141" s="30" t="str">
        <x:v>Yes</x:v>
      </x:c>
      <x:c r="N141" s="30" t="str">
        <x:v>P-4 non-statutory guidance/internal implementation control; exact binding instrument remains separately mapped.</x:v>
      </x:c>
    </x:row>
    <x:row r="142">
      <x:c r="A142" s="30" t="str">
        <x:v>COMP141</x:v>
      </x:c>
      <x:c r="B142" s="30" t="str">
        <x:v>PROV141</x:v>
      </x:c>
      <x:c r="C142" s="30" t="str">
        <x:v>CA024</x:v>
      </x:c>
      <x:c r="D142" s="30" t="str">
        <x:v>Maintain complete documentation for every reported adverse drug reaction.</x:v>
      </x:c>
      <x:c r="E142" s="30"/>
      <x:c r="F142" s="30" t="str">
        <x:v>Best Practice / Regulatory Expectation</x:v>
      </x:c>
      <x:c r="G142" s="30" t="str">
        <x:v>Continuous</x:v>
      </x:c>
      <x:c r="H142" s="30" t="str">
        <x:v>At each reportable event</x:v>
      </x:c>
      <x:c r="I142" s="30" t="str">
        <x:v>Registered Pharmacist</x:v>
      </x:c>
      <x:c r="J142" s="30" t="str">
        <x:v>Inadequate pharmacovigilance records</x:v>
      </x:c>
      <x:c r="K142" s="30"/>
      <x:c r="L142" s="30" t="str">
        <x:v>CORE</x:v>
      </x:c>
      <x:c r="M142" s="30" t="str">
        <x:v>Yes</x:v>
      </x:c>
      <x:c r="N142" s="30" t="str">
        <x:v>P-4 non-statutory guidance/internal implementation control; exact binding instrument remains separately mapped.</x:v>
      </x:c>
    </x:row>
    <x:row r="143">
      <x:c r="A143" s="30" t="str">
        <x:v>COMP142</x:v>
      </x:c>
      <x:c r="B143" s="30" t="str">
        <x:v>PROV142</x:v>
      </x:c>
      <x:c r="C143" s="30" t="str">
        <x:v>CA024</x:v>
      </x:c>
      <x:c r="D143" s="30" t="str">
        <x:v>Escalate serious adverse drug reactions to the appropriate authority without delay.</x:v>
      </x:c>
      <x:c r="E143" s="30"/>
      <x:c r="F143" s="30" t="str">
        <x:v>Best Practice / Regulatory Expectation</x:v>
      </x:c>
      <x:c r="G143" s="30" t="str">
        <x:v>Event Based</x:v>
      </x:c>
      <x:c r="H143" s="30" t="str">
        <x:v>Immediately after identification</x:v>
      </x:c>
      <x:c r="I143" s="30" t="str">
        <x:v>Registered Pharmacist</x:v>
      </x:c>
      <x:c r="J143" s="30" t="str">
        <x:v>Patient safety risk</x:v>
      </x:c>
      <x:c r="K143" s="30"/>
      <x:c r="L143" s="30" t="str">
        <x:v>CORE</x:v>
      </x:c>
      <x:c r="M143" s="30" t="str">
        <x:v>Yes</x:v>
      </x:c>
      <x:c r="N143" s="30" t="str">
        <x:v>P-4 non-statutory guidance/internal implementation control; exact binding instrument remains separately mapped.</x:v>
      </x:c>
    </x:row>
    <x:row r="144">
      <x:c r="A144" s="30" t="str">
        <x:v>COMP143</x:v>
      </x:c>
      <x:c r="B144" s="30" t="str">
        <x:v>PROV143</x:v>
      </x:c>
      <x:c r="C144" s="30" t="str">
        <x:v>CA008</x:v>
      </x:c>
      <x:c r="D144" s="30" t="str">
        <x:v>Maintain vaccines and biological products within the prescribed cold chain temperature range.</x:v>
      </x:c>
      <x:c r="E144" s="30"/>
      <x:c r="F144" s="30" t="str">
        <x:v>Best Practice / Regulatory Expectation</x:v>
      </x:c>
      <x:c r="G144" s="30" t="str">
        <x:v>Continuous</x:v>
      </x:c>
      <x:c r="H144" s="30" t="str">
        <x:v>Throughout storage</x:v>
      </x:c>
      <x:c r="I144" s="30" t="str">
        <x:v>Cold Chain In-charge</x:v>
      </x:c>
      <x:c r="J144" s="30" t="str">
        <x:v>Product spoilage</x:v>
      </x:c>
      <x:c r="K144" s="30"/>
      <x:c r="L144" s="30" t="str">
        <x:v>CORE</x:v>
      </x:c>
      <x:c r="M144" s="30" t="str">
        <x:v>Yes</x:v>
      </x:c>
      <x:c r="N144" s="30" t="str">
        <x:v>P-4 non-statutory guidance/internal implementation control; exact binding instrument remains separately mapped.</x:v>
      </x:c>
    </x:row>
    <x:row r="145">
      <x:c r="A145" s="30" t="str">
        <x:v>COMP144</x:v>
      </x:c>
      <x:c r="B145" s="30" t="str">
        <x:v>PROV144</x:v>
      </x:c>
      <x:c r="C145" s="30" t="str">
        <x:v>CA008</x:v>
      </x:c>
      <x:c r="D145" s="30" t="str">
        <x:v>Record refrigerator temperatures at the prescribed frequency and retain logs for inspection.</x:v>
      </x:c>
      <x:c r="E145" s="30"/>
      <x:c r="F145" s="30" t="str">
        <x:v>Best Practice / Regulatory Expectation</x:v>
      </x:c>
      <x:c r="G145" s="30" t="str">
        <x:v>Daily</x:v>
      </x:c>
      <x:c r="H145" s="30" t="str">
        <x:v>At scheduled intervals</x:v>
      </x:c>
      <x:c r="I145" s="30" t="str">
        <x:v>Cold Chain In-charge</x:v>
      </x:c>
      <x:c r="J145" s="30" t="str">
        <x:v>Inspection observations</x:v>
      </x:c>
      <x:c r="K145" s="30"/>
      <x:c r="L145" s="30" t="str">
        <x:v>CORE</x:v>
      </x:c>
      <x:c r="M145" s="30" t="str">
        <x:v>Yes</x:v>
      </x:c>
      <x:c r="N145" s="30" t="str">
        <x:v>P-4 non-statutory guidance/internal implementation control; exact binding instrument remains separately mapped.</x:v>
      </x:c>
    </x:row>
    <x:row r="146">
      <x:c r="A146" s="30" t="str">
        <x:v>COMP145</x:v>
      </x:c>
      <x:c r="B146" s="30" t="str">
        <x:v>PROV145</x:v>
      </x:c>
      <x:c r="C146" s="30" t="str">
        <x:v>CA009</x:v>
      </x:c>
      <x:c r="D146" s="30" t="str">
        <x:v>Validate and periodically qualify cold chain equipment before operational use.</x:v>
      </x:c>
      <x:c r="E146" s="30"/>
      <x:c r="F146" s="30" t="str">
        <x:v>Best Practice / Regulatory Expectation</x:v>
      </x:c>
      <x:c r="G146" s="30" t="str">
        <x:v>Annual</x:v>
      </x:c>
      <x:c r="H146" s="30" t="str">
        <x:v>Before use and after major repairs</x:v>
      </x:c>
      <x:c r="I146" s="30" t="str">
        <x:v>Maintenance Manager</x:v>
      </x:c>
      <x:c r="J146" s="30" t="str">
        <x:v>Equipment qualification failure</x:v>
      </x:c>
      <x:c r="K146" s="30"/>
      <x:c r="L146" s="30" t="str">
        <x:v>CORE</x:v>
      </x:c>
      <x:c r="M146" s="30" t="str">
        <x:v>Yes</x:v>
      </x:c>
      <x:c r="N146" s="30" t="str">
        <x:v>P-4 non-statutory guidance/internal implementation control; exact binding instrument remains separately mapped.</x:v>
      </x:c>
    </x:row>
    <x:row r="147">
      <x:c r="A147" s="30" t="str">
        <x:v>COMP146</x:v>
      </x:c>
      <x:c r="B147" s="30" t="str">
        <x:v>PROV146</x:v>
      </x:c>
      <x:c r="C147" s="30" t="str">
        <x:v>CA010</x:v>
      </x:c>
      <x:c r="D147" s="30" t="str">
        <x:v>Obtain and maintain valid authorization before importing pharmaceutical products, where applicable.</x:v>
      </x:c>
      <x:c r="E147" s="30"/>
      <x:c r="F147" s="30" t="str">
        <x:v>Conditional</x:v>
      </x:c>
      <x:c r="G147" s="30" t="str">
        <x:v>Continuous</x:v>
      </x:c>
      <x:c r="H147" s="30" t="str">
        <x:v>Before import activity</x:v>
      </x:c>
      <x:c r="I147" s="30" t="str">
        <x:v>Import Compliance Officer</x:v>
      </x:c>
      <x:c r="J147" s="30" t="str">
        <x:v>Import licence suspension</x:v>
      </x:c>
      <x:c r="K147" s="30"/>
      <x:c r="L147" s="30" t="str">
        <x:v>CORE</x:v>
      </x:c>
      <x:c r="M147" s="30" t="str">
        <x:v>No</x:v>
      </x:c>
      <x:c r="N147" s="30" t="str">
        <x:v>P-4 QUARANTINED with inactive parent provision; legacy ID retained.</x:v>
      </x:c>
    </x:row>
    <x:row r="148">
      <x:c r="A148" s="30" t="str">
        <x:v>COMP147</x:v>
      </x:c>
      <x:c r="B148" s="30" t="str">
        <x:v>PROV147</x:v>
      </x:c>
      <x:c r="C148" s="30" t="str">
        <x:v>CA019</x:v>
      </x:c>
      <x:c r="D148" s="30" t="str">
        <x:v>Maintain complete import documentation and regulatory approvals for imported pharmaceutical products.</x:v>
      </x:c>
      <x:c r="E148" s="30"/>
      <x:c r="F148" s="30" t="str">
        <x:v>Conditional</x:v>
      </x:c>
      <x:c r="G148" s="30" t="str">
        <x:v>Continuous</x:v>
      </x:c>
      <x:c r="H148" s="30" t="str">
        <x:v>At every import transaction</x:v>
      </x:c>
      <x:c r="I148" s="30" t="str">
        <x:v>Import Compliance Officer</x:v>
      </x:c>
      <x:c r="J148" s="30" t="str">
        <x:v>Customs and regulatory action</x:v>
      </x:c>
      <x:c r="K148" s="30"/>
      <x:c r="L148" s="30" t="str">
        <x:v>CORE</x:v>
      </x:c>
      <x:c r="M148" s="30" t="str">
        <x:v>No</x:v>
      </x:c>
      <x:c r="N148" s="30" t="str">
        <x:v>P-4 QUARANTINED with inactive parent provision; legacy ID retained.</x:v>
      </x:c>
    </x:row>
    <x:row r="149">
      <x:c r="A149" s="30" t="str">
        <x:v>COMP148</x:v>
      </x:c>
      <x:c r="B149" s="30" t="str">
        <x:v>PROV148</x:v>
      </x:c>
      <x:c r="C149" s="30" t="str">
        <x:v>CA010</x:v>
      </x:c>
      <x:c r="D149" s="30" t="str">
        <x:v>Obtain export certification before exporting pharmaceutical products where required.</x:v>
      </x:c>
      <x:c r="E149" s="30"/>
      <x:c r="F149" s="30" t="str">
        <x:v>Conditional</x:v>
      </x:c>
      <x:c r="G149" s="30" t="str">
        <x:v>Event Based</x:v>
      </x:c>
      <x:c r="H149" s="30" t="str">
        <x:v>Before export</x:v>
      </x:c>
      <x:c r="I149" s="30" t="str">
        <x:v>Export Compliance Officer</x:v>
      </x:c>
      <x:c r="J149" s="30" t="str">
        <x:v>Export restrictions</x:v>
      </x:c>
      <x:c r="K149" s="30"/>
      <x:c r="L149" s="30" t="str">
        <x:v>CORE</x:v>
      </x:c>
      <x:c r="M149" s="30" t="str">
        <x:v>No</x:v>
      </x:c>
      <x:c r="N149" s="30" t="str">
        <x:v>P-4 QUARANTINED with inactive parent provision; legacy ID retained.</x:v>
      </x:c>
    </x:row>
    <x:row r="150">
      <x:c r="A150" s="30" t="str">
        <x:v>COMP149</x:v>
      </x:c>
      <x:c r="B150" s="30" t="str">
        <x:v>PROV149</x:v>
      </x:c>
      <x:c r="C150" s="30" t="str">
        <x:v>CA019</x:v>
      </x:c>
      <x:c r="D150" s="30" t="str">
        <x:v>Maintain complete export documentation for every export transaction.</x:v>
      </x:c>
      <x:c r="E150" s="30"/>
      <x:c r="F150" s="30" t="str">
        <x:v>Conditional</x:v>
      </x:c>
      <x:c r="G150" s="30" t="str">
        <x:v>Continuous</x:v>
      </x:c>
      <x:c r="H150" s="30" t="str">
        <x:v>At every export</x:v>
      </x:c>
      <x:c r="I150" s="30" t="str">
        <x:v>Export Compliance Officer</x:v>
      </x:c>
      <x:c r="J150" s="30" t="str">
        <x:v>Customs observations</x:v>
      </x:c>
      <x:c r="K150" s="30"/>
      <x:c r="L150" s="30" t="str">
        <x:v>CORE</x:v>
      </x:c>
      <x:c r="M150" s="30" t="str">
        <x:v>No</x:v>
      </x:c>
      <x:c r="N150" s="30" t="str">
        <x:v>P-4 QUARANTINED with inactive parent provision; legacy ID retained.</x:v>
      </x:c>
    </x:row>
    <x:row r="151">
      <x:c r="A151" s="30" t="str">
        <x:v>COMP150</x:v>
      </x:c>
      <x:c r="B151" s="30" t="str">
        <x:v>PROV150</x:v>
      </x:c>
      <x:c r="C151" s="30" t="str">
        <x:v>CA012</x:v>
      </x:c>
      <x:c r="D151" s="30" t="str">
        <x:v>Ensure complete traceability of exported pharmaceutical products throughout the distribution chain.</x:v>
      </x:c>
      <x:c r="E151" s="30"/>
      <x:c r="F151" s="30" t="str">
        <x:v>Conditional</x:v>
      </x:c>
      <x:c r="G151" s="30" t="str">
        <x:v>Continuous</x:v>
      </x:c>
      <x:c r="H151" s="30" t="str">
        <x:v>Throughout export lifecycle</x:v>
      </x:c>
      <x:c r="I151" s="30" t="str">
        <x:v>Export Compliance Officer</x:v>
      </x:c>
      <x:c r="J151" s="30" t="str">
        <x:v>Product recall challenges</x:v>
      </x:c>
      <x:c r="K151" s="30"/>
      <x:c r="L151" s="30" t="str">
        <x:v>CORE</x:v>
      </x:c>
      <x:c r="M151" s="30" t="str">
        <x:v>No</x:v>
      </x:c>
      <x:c r="N151" s="30" t="str">
        <x:v>P-4 QUARANTINED with inactive parent provision; legacy ID retained.</x:v>
      </x:c>
    </x:row>
    <x:row r="152">
      <x:c r="A152" s="30" t="str">
        <x:v>COMP151</x:v>
      </x:c>
      <x:c r="B152" s="30" t="str">
        <x:v>PROV151</x:v>
      </x:c>
      <x:c r="C152" s="30" t="str">
        <x:v>CA002</x:v>
      </x:c>
      <x:c r="D152" s="30" t="str">
        <x:v>Obtain a valid drug licence from the State Licensing Authority before commencing pharmacy operations.</x:v>
      </x:c>
      <x:c r="E152" s="30"/>
      <x:c r="F152" s="30" t="str">
        <x:v>Mandatory</x:v>
      </x:c>
      <x:c r="G152" s="30" t="str">
        <x:v>One Time</x:v>
      </x:c>
      <x:c r="H152" s="30" t="str">
        <x:v>Before commencement of business</x:v>
      </x:c>
      <x:c r="I152" s="30" t="str">
        <x:v>Pharmacy Owner</x:v>
      </x:c>
      <x:c r="J152" s="30" t="str">
        <x:v>Licence refusal, prohibition of business operations</x:v>
      </x:c>
      <x:c r="K152" s="30"/>
      <x:c r="L152" s="30" t="str">
        <x:v>CORE</x:v>
      </x:c>
      <x:c r="M152" s="30" t="str">
        <x:v>No</x:v>
      </x:c>
      <x:c r="N152" s="30" t="str">
        <x:v>P-4 QUARANTINED with inactive parent provision; legacy ID retained.</x:v>
      </x:c>
    </x:row>
    <x:row r="153">
      <x:c r="A153" s="30" t="str">
        <x:v>COMP152</x:v>
      </x:c>
      <x:c r="B153" s="30" t="str">
        <x:v>PROV152</x:v>
      </x:c>
      <x:c r="C153" s="30" t="str">
        <x:v>CA002</x:v>
      </x:c>
      <x:c r="D153" s="30" t="str">
        <x:v>Apply for renewal of the drug licence within the prescribed timeline before expiry.</x:v>
      </x:c>
      <x:c r="E153" s="30"/>
      <x:c r="F153" s="30" t="str">
        <x:v>Mandatory</x:v>
      </x:c>
      <x:c r="G153" s="30" t="str">
        <x:v>Event Based</x:v>
      </x:c>
      <x:c r="H153" s="30" t="str">
        <x:v>Before licence expiry</x:v>
      </x:c>
      <x:c r="I153" s="30" t="str">
        <x:v>Pharmacy Owner</x:v>
      </x:c>
      <x:c r="J153" s="30" t="str">
        <x:v>Expiry of licence, interruption of operations</x:v>
      </x:c>
      <x:c r="K153" s="30"/>
      <x:c r="L153" s="30" t="str">
        <x:v>CORE</x:v>
      </x:c>
      <x:c r="M153" s="30" t="str">
        <x:v>No</x:v>
      </x:c>
      <x:c r="N153" s="30" t="str">
        <x:v>P-4 QUARANTINED with inactive parent provision; legacy ID retained.</x:v>
      </x:c>
    </x:row>
    <x:row r="154">
      <x:c r="A154" s="30" t="str">
        <x:v>COMP153</x:v>
      </x:c>
      <x:c r="B154" s="30" t="str">
        <x:v>PROV153</x:v>
      </x:c>
      <x:c r="C154" s="30" t="str">
        <x:v>CA002</x:v>
      </x:c>
      <x:c r="D154" s="30" t="str">
        <x:v>Obtain approval for any amendment to the drug licence before implementing changes in licensed particulars.</x:v>
      </x:c>
      <x:c r="E154" s="30"/>
      <x:c r="F154" s="30" t="str">
        <x:v>Mandatory</x:v>
      </x:c>
      <x:c r="G154" s="30" t="str">
        <x:v>Event Based</x:v>
      </x:c>
      <x:c r="H154" s="30" t="str">
        <x:v>Before effecting change</x:v>
      </x:c>
      <x:c r="I154" s="30" t="str">
        <x:v>Pharmacy Owner</x:v>
      </x:c>
      <x:c r="J154" s="30" t="str">
        <x:v>Invalid licence particulars</x:v>
      </x:c>
      <x:c r="K154" s="30"/>
      <x:c r="L154" s="30" t="str">
        <x:v>CORE</x:v>
      </x:c>
      <x:c r="M154" s="30" t="str">
        <x:v>No</x:v>
      </x:c>
      <x:c r="N154" s="30" t="str">
        <x:v>P-4 QUARANTINED with inactive parent provision; legacy ID retained.</x:v>
      </x:c>
    </x:row>
    <x:row r="155">
      <x:c r="A155" s="30" t="str">
        <x:v>COMP154</x:v>
      </x:c>
      <x:c r="B155" s="30" t="str">
        <x:v>PROV154</x:v>
      </x:c>
      <x:c r="C155" s="30" t="str">
        <x:v>CA003</x:v>
      </x:c>
      <x:c r="D155" s="30" t="str">
        <x:v>Notify the Licensing Authority regarding any change in Registered Pharmacist or Competent Person within the prescribed period.</x:v>
      </x:c>
      <x:c r="E155" s="30"/>
      <x:c r="F155" s="30" t="str">
        <x:v>Mandatory</x:v>
      </x:c>
      <x:c r="G155" s="30" t="str">
        <x:v>Event Based</x:v>
      </x:c>
      <x:c r="H155" s="30" t="str">
        <x:v>Within prescribed timeline</x:v>
      </x:c>
      <x:c r="I155" s="30" t="str">
        <x:v>Pharmacy Owner</x:v>
      </x:c>
      <x:c r="J155" s="30" t="str">
        <x:v>Regulatory action</x:v>
      </x:c>
      <x:c r="K155" s="30"/>
      <x:c r="L155" s="30" t="str">
        <x:v>CORE</x:v>
      </x:c>
      <x:c r="M155" s="30" t="str">
        <x:v>No</x:v>
      </x:c>
      <x:c r="N155" s="30" t="str">
        <x:v>P-4 QUARANTINED with inactive parent provision; legacy ID retained.</x:v>
      </x:c>
    </x:row>
    <x:row r="156">
      <x:c r="A156" s="30" t="str">
        <x:v>COMP155</x:v>
      </x:c>
      <x:c r="B156" s="30" t="str">
        <x:v>PROV155</x:v>
      </x:c>
      <x:c r="C156" s="30" t="str">
        <x:v>CA077</x:v>
      </x:c>
      <x:c r="D156" s="30" t="str">
        <x:v>Ensure premises, equipment and documentation are ready for pre-licensing inspection.</x:v>
      </x:c>
      <x:c r="E156" s="30"/>
      <x:c r="F156" s="30" t="str">
        <x:v>Mandatory</x:v>
      </x:c>
      <x:c r="G156" s="30" t="str">
        <x:v>Event Based</x:v>
      </x:c>
      <x:c r="H156" s="30" t="str">
        <x:v>Before inspection</x:v>
      </x:c>
      <x:c r="I156" s="30" t="str">
        <x:v>Pharmacy Manager</x:v>
      </x:c>
      <x:c r="J156" s="30" t="str">
        <x:v>Delay or refusal of licence</x:v>
      </x:c>
      <x:c r="K156" s="30"/>
      <x:c r="L156" s="30" t="str">
        <x:v>CORE</x:v>
      </x:c>
      <x:c r="M156" s="30" t="str">
        <x:v>No</x:v>
      </x:c>
      <x:c r="N156" s="30" t="str">
        <x:v>P-4 QUARANTINED with inactive parent provision; legacy ID retained.</x:v>
      </x:c>
    </x:row>
    <x:row r="157">
      <x:c r="A157" s="30" t="str">
        <x:v>COMP156</x:v>
      </x:c>
      <x:c r="B157" s="30" t="str">
        <x:v>PROV156</x:v>
      </x:c>
      <x:c r="C157" s="30" t="str">
        <x:v>CA084</x:v>
      </x:c>
      <x:c r="D157" s="30" t="str">
        <x:v>Implement all State Drug Controller circulars applicable to pharmacy operations.</x:v>
      </x:c>
      <x:c r="E157" s="30"/>
      <x:c r="F157" s="30" t="str">
        <x:v>Mandatory</x:v>
      </x:c>
      <x:c r="G157" s="30" t="str">
        <x:v>As Notified</x:v>
      </x:c>
      <x:c r="H157" s="30" t="str">
        <x:v>Within timeline specified in circular</x:v>
      </x:c>
      <x:c r="I157" s="30" t="str">
        <x:v>Compliance Officer</x:v>
      </x:c>
      <x:c r="J157" s="30" t="str">
        <x:v>Regulatory observations</x:v>
      </x:c>
      <x:c r="K157" s="30"/>
      <x:c r="L157" s="30" t="str">
        <x:v>CORE</x:v>
      </x:c>
      <x:c r="M157" s="30" t="str">
        <x:v>No</x:v>
      </x:c>
      <x:c r="N157" s="30" t="str">
        <x:v>P-4 QUARANTINED with inactive parent provision; legacy ID retained.</x:v>
      </x:c>
    </x:row>
    <x:row r="158">
      <x:c r="A158" s="30" t="str">
        <x:v>COMP157</x:v>
      </x:c>
      <x:c r="B158" s="30" t="str">
        <x:v>PROV157</x:v>
      </x:c>
      <x:c r="C158" s="30" t="str">
        <x:v>CA084</x:v>
      </x:c>
      <x:c r="D158" s="30" t="str">
        <x:v>Implement operational directions issued by the State Drug Controller without delay.</x:v>
      </x:c>
      <x:c r="E158" s="30"/>
      <x:c r="F158" s="30" t="str">
        <x:v>Mandatory</x:v>
      </x:c>
      <x:c r="G158" s="30" t="str">
        <x:v>Event Based</x:v>
      </x:c>
      <x:c r="H158" s="30" t="str">
        <x:v>Immediately upon issuance</x:v>
      </x:c>
      <x:c r="I158" s="30" t="str">
        <x:v>Compliance Officer</x:v>
      </x:c>
      <x:c r="J158" s="30" t="str">
        <x:v>Regulatory enforcement</x:v>
      </x:c>
      <x:c r="K158" s="30"/>
      <x:c r="L158" s="30" t="str">
        <x:v>CORE</x:v>
      </x:c>
      <x:c r="M158" s="30" t="str">
        <x:v>No</x:v>
      </x:c>
      <x:c r="N158" s="30" t="str">
        <x:v>P-4 QUARANTINED with inactive parent provision; legacy ID retained.</x:v>
      </x:c>
    </x:row>
    <x:row r="159">
      <x:c r="A159" s="30" t="str">
        <x:v>COMP158</x:v>
      </x:c>
      <x:c r="B159" s="30" t="str">
        <x:v>PROV158</x:v>
      </x:c>
      <x:c r="C159" s="30" t="str">
        <x:v>CA084</x:v>
      </x:c>
      <x:c r="D159" s="30" t="str">
        <x:v>Submit reports, returns and information sought by the State Drug Controller within prescribed timelines.</x:v>
      </x:c>
      <x:c r="E159" s="30"/>
      <x:c r="F159" s="30" t="str">
        <x:v>Mandatory</x:v>
      </x:c>
      <x:c r="G159" s="30" t="str">
        <x:v>Event Based</x:v>
      </x:c>
      <x:c r="H159" s="30" t="str">
        <x:v>As specified by authority</x:v>
      </x:c>
      <x:c r="I159" s="30" t="str">
        <x:v>Compliance Officer</x:v>
      </x:c>
      <x:c r="J159" s="30" t="str">
        <x:v>Penalty, inspection observations</x:v>
      </x:c>
      <x:c r="K159" s="30"/>
      <x:c r="L159" s="30" t="str">
        <x:v>CORE</x:v>
      </x:c>
      <x:c r="M159" s="30" t="str">
        <x:v>No</x:v>
      </x:c>
      <x:c r="N159" s="30" t="str">
        <x:v>P-4 QUARANTINED with inactive parent provision; legacy ID retained.</x:v>
      </x:c>
    </x:row>
    <x:row r="160">
      <x:c r="A160" s="30" t="str">
        <x:v>COMP159</x:v>
      </x:c>
      <x:c r="B160" s="30" t="str">
        <x:v>PROV159</x:v>
      </x:c>
      <x:c r="C160" s="30" t="str">
        <x:v>CA003</x:v>
      </x:c>
      <x:c r="D160" s="30" t="str">
        <x:v>Ensure every practising pharmacist holds a valid registration with the State Pharmacy Council.</x:v>
      </x:c>
      <x:c r="E160" s="30"/>
      <x:c r="F160" s="30" t="str">
        <x:v>Mandatory</x:v>
      </x:c>
      <x:c r="G160" s="30" t="str">
        <x:v>Continuous</x:v>
      </x:c>
      <x:c r="H160" s="30" t="str">
        <x:v>Throughout employment</x:v>
      </x:c>
      <x:c r="I160" s="30" t="str">
        <x:v>Chief Pharmacist</x:v>
      </x:c>
      <x:c r="J160" s="30" t="str">
        <x:v>Professional disciplinary action</x:v>
      </x:c>
      <x:c r="K160" s="30"/>
      <x:c r="L160" s="30" t="str">
        <x:v>CORE</x:v>
      </x:c>
      <x:c r="M160" s="30" t="str">
        <x:v>No</x:v>
      </x:c>
      <x:c r="N160" s="30" t="str">
        <x:v>P-4 QUARANTINED with inactive parent provision; legacy ID retained.</x:v>
      </x:c>
    </x:row>
    <x:row r="161">
      <x:c r="A161" s="30" t="str">
        <x:v>COMP160</x:v>
      </x:c>
      <x:c r="B161" s="30" t="str">
        <x:v>PROV160</x:v>
      </x:c>
      <x:c r="C161" s="30" t="str">
        <x:v>CA003</x:v>
      </x:c>
      <x:c r="D161" s="30" t="str">
        <x:v>Monitor renewal due dates and ensure pharmacist registration remains valid.</x:v>
      </x:c>
      <x:c r="E161" s="30"/>
      <x:c r="F161" s="30" t="str">
        <x:v>Mandatory</x:v>
      </x:c>
      <x:c r="G161" s="30" t="str">
        <x:v>Annual</x:v>
      </x:c>
      <x:c r="H161" s="30" t="str">
        <x:v>Before registration expiry</x:v>
      </x:c>
      <x:c r="I161" s="30" t="str">
        <x:v>HR Manager / Chief Pharmacist</x:v>
      </x:c>
      <x:c r="J161" s="30" t="str">
        <x:v>Registration lapse</x:v>
      </x:c>
      <x:c r="K161" s="30"/>
      <x:c r="L161" s="30" t="str">
        <x:v>CORE</x:v>
      </x:c>
      <x:c r="M161" s="30" t="str">
        <x:v>No</x:v>
      </x:c>
      <x:c r="N161" s="30" t="str">
        <x:v>P-4 QUARANTINED with inactive parent provision; legacy ID retained.</x:v>
      </x:c>
    </x:row>
    <x:row r="162">
      <x:c r="A162" s="30" t="str">
        <x:v>COMP161</x:v>
      </x:c>
      <x:c r="B162" s="30" t="str">
        <x:v>PROV161</x:v>
      </x:c>
      <x:c r="C162" s="30" t="str">
        <x:v>CA049</x:v>
      </x:c>
      <x:c r="D162" s="30" t="str">
        <x:v>Ensure pharmacists adhere to professional ethics and standards prescribed by the State Pharmacy Council.</x:v>
      </x:c>
      <x:c r="E162" s="30"/>
      <x:c r="F162" s="30" t="str">
        <x:v>Mandatory</x:v>
      </x:c>
      <x:c r="G162" s="30" t="str">
        <x:v>Continuous</x:v>
      </x:c>
      <x:c r="H162" s="30" t="str">
        <x:v>Ongoing</x:v>
      </x:c>
      <x:c r="I162" s="30" t="str">
        <x:v>Chief Pharmacist</x:v>
      </x:c>
      <x:c r="J162" s="30" t="str">
        <x:v>Professional misconduct proceedings</x:v>
      </x:c>
      <x:c r="K162" s="30"/>
      <x:c r="L162" s="30" t="str">
        <x:v>CORE</x:v>
      </x:c>
      <x:c r="M162" s="30" t="str">
        <x:v>No</x:v>
      </x:c>
      <x:c r="N162" s="30" t="str">
        <x:v>P-4 QUARANTINED with inactive parent provision; legacy ID retained.</x:v>
      </x:c>
    </x:row>
    <x:row r="163">
      <x:c r="A163" s="30" t="str">
        <x:v>COMP162</x:v>
      </x:c>
      <x:c r="B163" s="30" t="str">
        <x:v>PROV162</x:v>
      </x:c>
      <x:c r="C163" s="30" t="str">
        <x:v>CA021</x:v>
      </x:c>
      <x:c r="D163" s="30" t="str">
        <x:v>Deliver pharmacy services in accordance with Pharmacy Practice Regulations.</x:v>
      </x:c>
      <x:c r="E163" s="30"/>
      <x:c r="F163" s="30" t="str">
        <x:v>Mandatory</x:v>
      </x:c>
      <x:c r="G163" s="30" t="str">
        <x:v>Continuous</x:v>
      </x:c>
      <x:c r="H163" s="30" t="str">
        <x:v>Throughout operations</x:v>
      </x:c>
      <x:c r="I163" s="30" t="str">
        <x:v>Chief Pharmacist</x:v>
      </x:c>
      <x:c r="J163" s="30" t="str">
        <x:v>Professional and regulatory observations</x:v>
      </x:c>
      <x:c r="K163" s="30"/>
      <x:c r="L163" s="30" t="str">
        <x:v>CORE</x:v>
      </x:c>
      <x:c r="M163" s="30" t="str">
        <x:v>Yes</x:v>
      </x:c>
      <x:c r="N163" s="30" t="str">
        <x:v>Pharmacy practice standards</x:v>
      </x:c>
    </x:row>
    <x:row r="164">
      <x:c r="A164" s="30" t="str">
        <x:v>COMP163</x:v>
      </x:c>
      <x:c r="B164" s="30" t="str">
        <x:v>PROV163</x:v>
      </x:c>
      <x:c r="C164" s="30" t="str">
        <x:v>CA015</x:v>
      </x:c>
      <x:c r="D164" s="30" t="str">
        <x:v>Review prescriptions for legality, completeness and clinical appropriateness before dispensing medicines.</x:v>
      </x:c>
      <x:c r="E164" s="30"/>
      <x:c r="F164" s="30" t="str">
        <x:v>Mandatory</x:v>
      </x:c>
      <x:c r="G164" s="30" t="str">
        <x:v>Continuous</x:v>
      </x:c>
      <x:c r="H164" s="30" t="str">
        <x:v>Prior to dispensing</x:v>
      </x:c>
      <x:c r="I164" s="30" t="str">
        <x:v>Registered Pharmacist</x:v>
      </x:c>
      <x:c r="J164" s="30" t="str">
        <x:v>Dispensing errors, regulatory action</x:v>
      </x:c>
      <x:c r="K164" s="30"/>
      <x:c r="L164" s="30" t="str">
        <x:v>CORE</x:v>
      </x:c>
      <x:c r="M164" s="30" t="str">
        <x:v>Yes</x:v>
      </x:c>
      <x:c r="N164" s="30" t="str">
        <x:v>Prescription review</x:v>
      </x:c>
    </x:row>
    <x:row r="165">
      <x:c r="A165" s="30" t="str">
        <x:v>COMP164</x:v>
      </x:c>
      <x:c r="B165" s="30" t="str">
        <x:v>PROV164</x:v>
      </x:c>
      <x:c r="C165" s="30" t="str">
        <x:v>CA021</x:v>
      </x:c>
      <x:c r="D165" s="30" t="str">
        <x:v>Provide appropriate patient counselling regarding dosage, storage, administration and precautions.</x:v>
      </x:c>
      <x:c r="E165" s="30"/>
      <x:c r="F165" s="30" t="str">
        <x:v>Best Practice / Regulatory Expectation</x:v>
      </x:c>
      <x:c r="G165" s="30" t="str">
        <x:v>Continuous</x:v>
      </x:c>
      <x:c r="H165" s="30" t="str">
        <x:v>At every dispensing</x:v>
      </x:c>
      <x:c r="I165" s="30" t="str">
        <x:v>Registered Pharmacist</x:v>
      </x:c>
      <x:c r="J165" s="30" t="str">
        <x:v>Reduced quality of patient care</x:v>
      </x:c>
      <x:c r="K165" s="30"/>
      <x:c r="L165" s="30" t="str">
        <x:v>CORE</x:v>
      </x:c>
      <x:c r="M165" s="30" t="str">
        <x:v>Yes</x:v>
      </x:c>
      <x:c r="N165" s="30" t="str">
        <x:v>Patient counselling</x:v>
      </x:c>
    </x:row>
    <x:row r="166">
      <x:c r="A166" s="30" t="str">
        <x:v>COMP165</x:v>
      </x:c>
      <x:c r="B166" s="30" t="str">
        <x:v>PROV165</x:v>
      </x:c>
      <x:c r="C166" s="30" t="str">
        <x:v>CA071</x:v>
      </x:c>
      <x:c r="D166" s="30" t="str">
        <x:v>Maintain confidentiality of patient records and prescription information.</x:v>
      </x:c>
      <x:c r="E166" s="30"/>
      <x:c r="F166" s="30" t="str">
        <x:v>Mandatory</x:v>
      </x:c>
      <x:c r="G166" s="30" t="str">
        <x:v>Continuous</x:v>
      </x:c>
      <x:c r="H166" s="30" t="str">
        <x:v>Throughout operations</x:v>
      </x:c>
      <x:c r="I166" s="30" t="str">
        <x:v>Registered Pharmacist</x:v>
      </x:c>
      <x:c r="J166" s="30" t="str">
        <x:v>Privacy breach, disciplinary action</x:v>
      </x:c>
      <x:c r="K166" s="30"/>
      <x:c r="L166" s="30" t="str">
        <x:v>CORE</x:v>
      </x:c>
      <x:c r="M166" s="30" t="str">
        <x:v>Yes</x:v>
      </x:c>
      <x:c r="N166" s="30" t="str">
        <x:v>Patient confidentiality</x:v>
      </x:c>
    </x:row>
    <x:row r="167">
      <x:c r="A167" s="30" t="str">
        <x:v>COMP166</x:v>
      </x:c>
      <x:c r="B167" s="30" t="str">
        <x:v>PROV166</x:v>
      </x:c>
      <x:c r="C167" s="30" t="str">
        <x:v>CA049</x:v>
      </x:c>
      <x:c r="D167" s="30" t="str">
        <x:v>Participate in professional development programmes to maintain competency.</x:v>
      </x:c>
      <x:c r="E167" s="30"/>
      <x:c r="F167" s="30" t="str">
        <x:v>Best Practice / Regulatory Expectation</x:v>
      </x:c>
      <x:c r="G167" s="30" t="str">
        <x:v>Annual</x:v>
      </x:c>
      <x:c r="H167" s="30" t="str">
        <x:v>As prescribed</x:v>
      </x:c>
      <x:c r="I167" s="30" t="str">
        <x:v>Registered Pharmacist</x:v>
      </x:c>
      <x:c r="J167" s="30" t="str">
        <x:v>Professional competency gaps</x:v>
      </x:c>
      <x:c r="K167" s="30"/>
      <x:c r="L167" s="30" t="str">
        <x:v>CORE</x:v>
      </x:c>
      <x:c r="M167" s="30" t="str">
        <x:v>Yes</x:v>
      </x:c>
      <x:c r="N167" s="30" t="str">
        <x:v>Continuing education</x:v>
      </x:c>
    </x:row>
    <x:row r="168">
      <x:c r="A168" s="30" t="str">
        <x:v>COMP167</x:v>
      </x:c>
      <x:c r="B168" s="30" t="str">
        <x:v>PROV167</x:v>
      </x:c>
      <x:c r="C168" s="30" t="str">
        <x:v>CA056</x:v>
      </x:c>
      <x:c r="D168" s="30" t="str">
        <x:v>Obtain clinical-establishment registration before operation where the establishment role and jurisdiction trigger apply.</x:v>
      </x:c>
      <x:c r="E168" s="30"/>
      <x:c r="F168" s="30" t="str">
        <x:v>Conditional</x:v>
      </x:c>
      <x:c r="G168" s="30" t="str">
        <x:v>One Time</x:v>
      </x:c>
      <x:c r="H168" s="30" t="str">
        <x:v>Before commencement</x:v>
      </x:c>
      <x:c r="I168" s="30" t="str">
        <x:v>Hospital Administrator</x:v>
      </x:c>
      <x:c r="J168" s="30" t="str">
        <x:v>Refusal of registration</x:v>
      </x:c>
      <x:c r="K168" s="30"/>
      <x:c r="L168" s="30" t="str">
        <x:v>CORE</x:v>
      </x:c>
      <x:c r="M168" s="30" t="str">
        <x:v>Yes</x:v>
      </x:c>
      <x:c r="N168" s="30" t="str">
        <x:v>Hospital pharmacy only</x:v>
      </x:c>
    </x:row>
    <x:row r="169">
      <x:c r="A169" s="30" t="str">
        <x:v>COMP168</x:v>
      </x:c>
      <x:c r="B169" s="30" t="str">
        <x:v>PROV168</x:v>
      </x:c>
      <x:c r="C169" s="30" t="str">
        <x:v>CA056</x:v>
      </x:c>
      <x:c r="D169" s="30" t="str">
        <x:v>Where the clinical-establishment overlay applies, maintain prescribed minimum standards, personnel, records/reporting and emergency-stabilization arrangements.</x:v>
      </x:c>
      <x:c r="E169" s="30"/>
      <x:c r="F169" s="30" t="str">
        <x:v>Conditional</x:v>
      </x:c>
      <x:c r="G169" s="30" t="str">
        <x:v>Continuous</x:v>
      </x:c>
      <x:c r="H169" s="30" t="str">
        <x:v>Throughout operations</x:v>
      </x:c>
      <x:c r="I169" s="30" t="str">
        <x:v>Hospital Administrator</x:v>
      </x:c>
      <x:c r="J169" s="30" t="str">
        <x:v>Regulatory deficiencies</x:v>
      </x:c>
      <x:c r="K169" s="30"/>
      <x:c r="L169" s="30" t="str">
        <x:v>CORE</x:v>
      </x:c>
      <x:c r="M169" s="30" t="str">
        <x:v>Yes</x:v>
      </x:c>
      <x:c r="N169" s="30" t="str">
        <x:v>Hospital pharmacy</x:v>
      </x:c>
    </x:row>
    <x:row r="170">
      <x:c r="A170" s="30" t="str">
        <x:v>COMP169</x:v>
      </x:c>
      <x:c r="B170" s="30" t="str">
        <x:v>PROV169</x:v>
      </x:c>
      <x:c r="C170" s="30" t="str">
        <x:v>CA020</x:v>
      </x:c>
      <x:c r="D170" s="30" t="str">
        <x:v>Display the registration certificate and complete applicable renewal/continuation requirements for the clinical establishment.</x:v>
      </x:c>
      <x:c r="E170" s="30"/>
      <x:c r="F170" s="30" t="str">
        <x:v>Conditional</x:v>
      </x:c>
      <x:c r="G170" s="30" t="str">
        <x:v>Continuous</x:v>
      </x:c>
      <x:c r="H170" s="30" t="str">
        <x:v>Ongoing</x:v>
      </x:c>
      <x:c r="I170" s="30" t="str">
        <x:v>Medical Records Officer</x:v>
      </x:c>
      <x:c r="J170" s="30" t="str">
        <x:v>Inspection observations</x:v>
      </x:c>
      <x:c r="K170" s="30"/>
      <x:c r="L170" s="30" t="str">
        <x:v>CORE</x:v>
      </x:c>
      <x:c r="M170" s="30" t="str">
        <x:v>Yes</x:v>
      </x:c>
      <x:c r="N170" s="30" t="str">
        <x:v>Clinical documentation</x:v>
      </x:c>
    </x:row>
    <x:row r="171">
      <x:c r="A171" s="30" t="str">
        <x:v>COMP170</x:v>
      </x:c>
      <x:c r="B171" s="30" t="str">
        <x:v>PROV170</x:v>
      </x:c>
      <x:c r="C171" s="30" t="str">
        <x:v>CA056</x:v>
      </x:c>
      <x:c r="D171" s="30" t="str">
        <x:v>Comply with State Clinical Establishment Rules applicable to hospital pharmacies.</x:v>
      </x:c>
      <x:c r="E171" s="30"/>
      <x:c r="F171" s="30" t="str">
        <x:v>Conditional</x:v>
      </x:c>
      <x:c r="G171" s="30" t="str">
        <x:v>Continuous</x:v>
      </x:c>
      <x:c r="H171" s="30" t="str">
        <x:v>Throughout operations</x:v>
      </x:c>
      <x:c r="I171" s="30" t="str">
        <x:v>Hospital Administrator</x:v>
      </x:c>
      <x:c r="J171" s="30" t="str">
        <x:v>Regulatory action</x:v>
      </x:c>
      <x:c r="K171" s="30"/>
      <x:c r="L171" s="30" t="str">
        <x:v>CORE</x:v>
      </x:c>
      <x:c r="M171" s="30" t="str">
        <x:v>No</x:v>
      </x:c>
      <x:c r="N171" s="30" t="str">
        <x:v>P-4 QUARANTINED with inactive parent provision; legacy ID retained.</x:v>
      </x:c>
    </x:row>
    <x:row r="172">
      <x:c r="A172" s="30" t="str">
        <x:v>COMP171</x:v>
      </x:c>
      <x:c r="B172" s="30" t="str">
        <x:v>PROV171</x:v>
      </x:c>
      <x:c r="C172" s="30" t="str">
        <x:v>CA063</x:v>
      </x:c>
      <x:c r="D172" s="30" t="str">
        <x:v>Display the Clinical Establishment Registration Certificate prominently at the premises.</x:v>
      </x:c>
      <x:c r="E172" s="30"/>
      <x:c r="F172" s="30" t="str">
        <x:v>Conditional</x:v>
      </x:c>
      <x:c r="G172" s="30" t="str">
        <x:v>Continuous</x:v>
      </x:c>
      <x:c r="H172" s="30" t="str">
        <x:v>Throughout registration validity</x:v>
      </x:c>
      <x:c r="I172" s="30" t="str">
        <x:v>Hospital Administrator</x:v>
      </x:c>
      <x:c r="J172" s="30" t="str">
        <x:v>Inspection observations</x:v>
      </x:c>
      <x:c r="K172" s="30"/>
      <x:c r="L172" s="30" t="str">
        <x:v>CORE</x:v>
      </x:c>
      <x:c r="M172" s="30" t="str">
        <x:v>No</x:v>
      </x:c>
      <x:c r="N172" s="30" t="str">
        <x:v>P-4 QUARANTINED with inactive parent provision; legacy ID retained.</x:v>
      </x:c>
    </x:row>
    <x:row r="173">
      <x:c r="A173" s="30" t="str">
        <x:v>COMP172</x:v>
      </x:c>
      <x:c r="B173" s="30" t="str">
        <x:v>PROV172</x:v>
      </x:c>
      <x:c r="C173" s="30" t="str">
        <x:v>CA020</x:v>
      </x:c>
      <x:c r="D173" s="30" t="str">
        <x:v>Retain clinical establishment records for the prescribed statutory period.</x:v>
      </x:c>
      <x:c r="E173" s="30"/>
      <x:c r="F173" s="30" t="str">
        <x:v>Conditional</x:v>
      </x:c>
      <x:c r="G173" s="30" t="str">
        <x:v>Continuous</x:v>
      </x:c>
      <x:c r="H173" s="30" t="str">
        <x:v>Throughout retention period</x:v>
      </x:c>
      <x:c r="I173" s="30" t="str">
        <x:v>Medical Records Officer</x:v>
      </x:c>
      <x:c r="J173" s="30" t="str">
        <x:v>Regulatory observations</x:v>
      </x:c>
      <x:c r="K173" s="30"/>
      <x:c r="L173" s="30" t="str">
        <x:v>CORE</x:v>
      </x:c>
      <x:c r="M173" s="30" t="str">
        <x:v>No</x:v>
      </x:c>
      <x:c r="N173" s="30" t="str">
        <x:v>P-4 QUARANTINED with inactive parent provision; legacy ID retained.</x:v>
      </x:c>
    </x:row>
    <x:row r="174">
      <x:c r="A174" s="30" t="str">
        <x:v>COMP173</x:v>
      </x:c>
      <x:c r="B174" s="30" t="str">
        <x:v>PROV173</x:v>
      </x:c>
      <x:c r="C174" s="30" t="str">
        <x:v>CA077</x:v>
      </x:c>
      <x:c r="D174" s="30" t="str">
        <x:v>Produce clinical establishment records during inspection by competent authorities.</x:v>
      </x:c>
      <x:c r="E174" s="30"/>
      <x:c r="F174" s="30" t="str">
        <x:v>Conditional</x:v>
      </x:c>
      <x:c r="G174" s="30" t="str">
        <x:v>Event Based</x:v>
      </x:c>
      <x:c r="H174" s="30" t="str">
        <x:v>During inspection</x:v>
      </x:c>
      <x:c r="I174" s="30" t="str">
        <x:v>Hospital Administrator</x:v>
      </x:c>
      <x:c r="J174" s="30" t="str">
        <x:v>Inspection deficiencies</x:v>
      </x:c>
      <x:c r="K174" s="30"/>
      <x:c r="L174" s="30" t="str">
        <x:v>CORE</x:v>
      </x:c>
      <x:c r="M174" s="30" t="str">
        <x:v>No</x:v>
      </x:c>
      <x:c r="N174" s="30" t="str">
        <x:v>P-4 QUARANTINED with inactive parent provision; legacy ID retained.</x:v>
      </x:c>
    </x:row>
    <x:row r="175">
      <x:c r="A175" s="30" t="str">
        <x:v>COMP174</x:v>
      </x:c>
      <x:c r="B175" s="30" t="str">
        <x:v>PROV174</x:v>
      </x:c>
      <x:c r="C175" s="30" t="str">
        <x:v>CA056</x:v>
      </x:c>
      <x:c r="D175" s="30" t="str">
        <x:v>Renew Clinical Establishment registration before expiry.</x:v>
      </x:c>
      <x:c r="E175" s="30"/>
      <x:c r="F175" s="30" t="str">
        <x:v>Conditional</x:v>
      </x:c>
      <x:c r="G175" s="30" t="str">
        <x:v>Event Based</x:v>
      </x:c>
      <x:c r="H175" s="30" t="str">
        <x:v>Before registration expiry</x:v>
      </x:c>
      <x:c r="I175" s="30" t="str">
        <x:v>Hospital Administrator</x:v>
      </x:c>
      <x:c r="J175" s="30" t="str">
        <x:v>Registration lapse</x:v>
      </x:c>
      <x:c r="K175" s="30"/>
      <x:c r="L175" s="30" t="str">
        <x:v>CORE</x:v>
      </x:c>
      <x:c r="M175" s="30" t="str">
        <x:v>No</x:v>
      </x:c>
      <x:c r="N175" s="30" t="str">
        <x:v>P-4 QUARANTINED with inactive parent provision; legacy ID retained.</x:v>
      </x:c>
    </x:row>
    <x:row r="176">
      <x:c r="A176" s="30" t="str">
        <x:v>COMP175</x:v>
      </x:c>
      <x:c r="B176" s="30" t="str">
        <x:v>PROV175</x:v>
      </x:c>
      <x:c r="C176" s="30" t="str">
        <x:v>CA056</x:v>
      </x:c>
      <x:c r="D176" s="30" t="str">
        <x:v>Notify the competent authority of any change in registration particulars within prescribed timelines.</x:v>
      </x:c>
      <x:c r="E176" s="30"/>
      <x:c r="F176" s="30" t="str">
        <x:v>Conditional</x:v>
      </x:c>
      <x:c r="G176" s="30" t="str">
        <x:v>Event Based</x:v>
      </x:c>
      <x:c r="H176" s="30" t="str">
        <x:v>Within prescribed timeline</x:v>
      </x:c>
      <x:c r="I176" s="30" t="str">
        <x:v>Hospital Administrator</x:v>
      </x:c>
      <x:c r="J176" s="30" t="str">
        <x:v>Regulatory non-compliance</x:v>
      </x:c>
      <x:c r="K176" s="30"/>
      <x:c r="L176" s="30" t="str">
        <x:v>CORE</x:v>
      </x:c>
      <x:c r="M176" s="30" t="str">
        <x:v>No</x:v>
      </x:c>
      <x:c r="N176" s="30" t="str">
        <x:v>P-4 QUARANTINED with inactive parent provision; legacy ID retained.</x:v>
      </x:c>
    </x:row>
    <x:row r="177">
      <x:c r="A177" s="30" t="str">
        <x:v>COMP176</x:v>
      </x:c>
      <x:c r="B177" s="30" t="str">
        <x:v>PROV176</x:v>
      </x:c>
      <x:c r="C177" s="30" t="str">
        <x:v>CA038</x:v>
      </x:c>
      <x:c r="D177" s="30" t="str">
        <x:v>Obtain and maintain a valid Biomedical Waste Authorization throughout pharmacy operations where applicable.</x:v>
      </x:c>
      <x:c r="E177" s="30"/>
      <x:c r="F177" s="30" t="str">
        <x:v>Conditional</x:v>
      </x:c>
      <x:c r="G177" s="30" t="str">
        <x:v>Continuous</x:v>
      </x:c>
      <x:c r="H177" s="30" t="str">
        <x:v>Before expiry of authorization</x:v>
      </x:c>
      <x:c r="I177" s="30" t="str">
        <x:v>Biomedical Waste In-charge</x:v>
      </x:c>
      <x:c r="J177" s="30" t="str">
        <x:v>Regulatory action, environmental penalties</x:v>
      </x:c>
      <x:c r="K177" s="30"/>
      <x:c r="L177" s="30" t="str">
        <x:v>CORE</x:v>
      </x:c>
      <x:c r="M177" s="30" t="str">
        <x:v>No</x:v>
      </x:c>
      <x:c r="N177" s="30" t="str">
        <x:v>P-3 QUARANTINED: Generic State/local/permit/reference rows, penalty-only/fabricated DAMR extractions, and future-effective DPDP duties are not current production obligations.</x:v>
      </x:c>
    </x:row>
    <x:row r="178">
      <x:c r="A178" s="30" t="str">
        <x:v>COMP177</x:v>
      </x:c>
      <x:c r="B178" s="30" t="str">
        <x:v>PROV177</x:v>
      </x:c>
      <x:c r="C178" s="30" t="str">
        <x:v>CA038</x:v>
      </x:c>
      <x:c r="D178" s="30" t="str">
        <x:v>Segregate biomedical waste at the point of generation using prescribed colour-coded containers.</x:v>
      </x:c>
      <x:c r="E178" s="30"/>
      <x:c r="F178" s="30" t="str">
        <x:v>Conditional</x:v>
      </x:c>
      <x:c r="G178" s="30" t="str">
        <x:v>Continuous</x:v>
      </x:c>
      <x:c r="H178" s="30" t="str">
        <x:v>At every waste generation event</x:v>
      </x:c>
      <x:c r="I178" s="30" t="str">
        <x:v>Biomedical Waste In-charge</x:v>
      </x:c>
      <x:c r="J178" s="30" t="str">
        <x:v>Inspection observations</x:v>
      </x:c>
      <x:c r="K178" s="30"/>
      <x:c r="L178" s="30" t="str">
        <x:v>CORE</x:v>
      </x:c>
      <x:c r="M178" s="30" t="str">
        <x:v>No</x:v>
      </x:c>
      <x:c r="N178" s="30" t="str">
        <x:v>P-3 QUARANTINED: Generic State/local/permit/reference rows, penalty-only/fabricated DAMR extractions, and future-effective DPDP duties are not current production obligations.</x:v>
      </x:c>
    </x:row>
    <x:row r="179">
      <x:c r="A179" s="30" t="str">
        <x:v>COMP178</x:v>
      </x:c>
      <x:c r="B179" s="30" t="str">
        <x:v>PROV178</x:v>
      </x:c>
      <x:c r="C179" s="30" t="str">
        <x:v>CA040</x:v>
      </x:c>
      <x:c r="D179" s="30" t="str">
        <x:v>Maintain biomedical waste registers and related documentation accurately.</x:v>
      </x:c>
      <x:c r="E179" s="30"/>
      <x:c r="F179" s="30" t="str">
        <x:v>Conditional</x:v>
      </x:c>
      <x:c r="G179" s="30" t="str">
        <x:v>Continuous</x:v>
      </x:c>
      <x:c r="H179" s="30" t="str">
        <x:v>At every disposal event</x:v>
      </x:c>
      <x:c r="I179" s="30" t="str">
        <x:v>Biomedical Waste In-charge</x:v>
      </x:c>
      <x:c r="J179" s="30" t="str">
        <x:v>Record deficiencies</x:v>
      </x:c>
      <x:c r="K179" s="30"/>
      <x:c r="L179" s="30" t="str">
        <x:v>CORE</x:v>
      </x:c>
      <x:c r="M179" s="30" t="str">
        <x:v>No</x:v>
      </x:c>
      <x:c r="N179" s="30" t="str">
        <x:v>P-3 QUARANTINED: Generic State/local/permit/reference rows, penalty-only/fabricated DAMR extractions, and future-effective DPDP duties are not current production obligations.</x:v>
      </x:c>
    </x:row>
    <x:row r="180">
      <x:c r="A180" s="30" t="str">
        <x:v>COMP179</x:v>
      </x:c>
      <x:c r="B180" s="30" t="str">
        <x:v>PROV179</x:v>
      </x:c>
      <x:c r="C180" s="30" t="str">
        <x:v>CA040</x:v>
      </x:c>
      <x:c r="D180" s="30" t="str">
        <x:v>Submit biomedical waste annual returns within prescribed timelines.</x:v>
      </x:c>
      <x:c r="E180" s="30"/>
      <x:c r="F180" s="30" t="str">
        <x:v>Conditional</x:v>
      </x:c>
      <x:c r="G180" s="30" t="str">
        <x:v>Annual</x:v>
      </x:c>
      <x:c r="H180" s="30" t="str">
        <x:v>Statutory due date</x:v>
      </x:c>
      <x:c r="I180" s="30" t="str">
        <x:v>Compliance Officer</x:v>
      </x:c>
      <x:c r="J180" s="30" t="str">
        <x:v>Environmental penalties</x:v>
      </x:c>
      <x:c r="K180" s="30"/>
      <x:c r="L180" s="30" t="str">
        <x:v>CORE</x:v>
      </x:c>
      <x:c r="M180" s="30" t="str">
        <x:v>No</x:v>
      </x:c>
      <x:c r="N180" s="30" t="str">
        <x:v>P-3 QUARANTINED: Generic State/local/permit/reference rows, penalty-only/fabricated DAMR extractions, and future-effective DPDP duties are not current production obligations.</x:v>
      </x:c>
    </x:row>
    <x:row r="181">
      <x:c r="A181" s="30" t="str">
        <x:v>COMP180</x:v>
      </x:c>
      <x:c r="B181" s="30" t="str">
        <x:v>PROV180</x:v>
      </x:c>
      <x:c r="C181" s="30" t="str">
        <x:v>CA077</x:v>
      </x:c>
      <x:c r="D181" s="30" t="str">
        <x:v>Produce biomedical waste authorization and records during regulatory inspections.</x:v>
      </x:c>
      <x:c r="E181" s="30"/>
      <x:c r="F181" s="30" t="str">
        <x:v>Conditional</x:v>
      </x:c>
      <x:c r="G181" s="30" t="str">
        <x:v>Event Based</x:v>
      </x:c>
      <x:c r="H181" s="30" t="str">
        <x:v>During inspection</x:v>
      </x:c>
      <x:c r="I181" s="30" t="str">
        <x:v>Biomedical Waste In-charge</x:v>
      </x:c>
      <x:c r="J181" s="30" t="str">
        <x:v>Inspection observations</x:v>
      </x:c>
      <x:c r="K181" s="30"/>
      <x:c r="L181" s="30" t="str">
        <x:v>CORE</x:v>
      </x:c>
      <x:c r="M181" s="30" t="str">
        <x:v>No</x:v>
      </x:c>
      <x:c r="N181" s="30" t="str">
        <x:v>P-3 QUARANTINED: Generic State/local/permit/reference rows, penalty-only/fabricated DAMR extractions, and future-effective DPDP duties are not current production obligations.</x:v>
      </x:c>
    </x:row>
    <x:row r="182">
      <x:c r="A182" s="30" t="str">
        <x:v>COMP181</x:v>
      </x:c>
      <x:c r="B182" s="30" t="str">
        <x:v>PROV181</x:v>
      </x:c>
      <x:c r="C182" s="30" t="str">
        <x:v>CA041</x:v>
      </x:c>
      <x:c r="D182" s="30" t="str">
        <x:v>Obtain and maintain a valid Fire No Objection Certificate where applicable.</x:v>
      </x:c>
      <x:c r="E182" s="30"/>
      <x:c r="F182" s="30" t="str">
        <x:v>Conditional</x:v>
      </x:c>
      <x:c r="G182" s="30" t="str">
        <x:v>Continuous</x:v>
      </x:c>
      <x:c r="H182" s="30" t="str">
        <x:v>Before expiry</x:v>
      </x:c>
      <x:c r="I182" s="30" t="str">
        <x:v>Facility Manager</x:v>
      </x:c>
      <x:c r="J182" s="30" t="str">
        <x:v>Closure notice, penalties</x:v>
      </x:c>
      <x:c r="K182" s="30"/>
      <x:c r="L182" s="30" t="str">
        <x:v>CORE</x:v>
      </x:c>
      <x:c r="M182" s="30" t="str">
        <x:v>No</x:v>
      </x:c>
      <x:c r="N182" s="30" t="str">
        <x:v>P-3 QUARANTINED: Generic State/local/permit/reference rows, penalty-only/fabricated DAMR extractions, and future-effective DPDP duties are not current production obligations.</x:v>
      </x:c>
    </x:row>
    <x:row r="183">
      <x:c r="A183" s="30" t="str">
        <x:v>COMP182</x:v>
      </x:c>
      <x:c r="B183" s="30" t="str">
        <x:v>PROV182</x:v>
      </x:c>
      <x:c r="C183" s="30" t="str">
        <x:v>CA042</x:v>
      </x:c>
      <x:c r="D183" s="30" t="str">
        <x:v>Maintain all fire protection equipment in operational condition and conduct periodic maintenance.</x:v>
      </x:c>
      <x:c r="E183" s="30"/>
      <x:c r="F183" s="30" t="str">
        <x:v>Conditional</x:v>
      </x:c>
      <x:c r="G183" s="30" t="str">
        <x:v>Monthly</x:v>
      </x:c>
      <x:c r="H183" s="30" t="str">
        <x:v>As per maintenance schedule</x:v>
      </x:c>
      <x:c r="I183" s="30" t="str">
        <x:v>Facility Manager</x:v>
      </x:c>
      <x:c r="J183" s="30" t="str">
        <x:v>Fire safety violations</x:v>
      </x:c>
      <x:c r="K183" s="30"/>
      <x:c r="L183" s="30" t="str">
        <x:v>CORE</x:v>
      </x:c>
      <x:c r="M183" s="30" t="str">
        <x:v>No</x:v>
      </x:c>
      <x:c r="N183" s="30" t="str">
        <x:v>P-3 QUARANTINED: Generic State/local/permit/reference rows, penalty-only/fabricated DAMR extractions, and future-effective DPDP duties are not current production obligations.</x:v>
      </x:c>
    </x:row>
    <x:row r="184">
      <x:c r="A184" s="30" t="str">
        <x:v>COMP183</x:v>
      </x:c>
      <x:c r="B184" s="30" t="str">
        <x:v>PROV183</x:v>
      </x:c>
      <x:c r="C184" s="30" t="str">
        <x:v>CA041</x:v>
      </x:c>
      <x:c r="D184" s="30" t="str">
        <x:v>Conduct periodic fire safety inspections and document corrective actions.</x:v>
      </x:c>
      <x:c r="E184" s="30"/>
      <x:c r="F184" s="30" t="str">
        <x:v>Conditional</x:v>
      </x:c>
      <x:c r="G184" s="30" t="str">
        <x:v>Quarterly</x:v>
      </x:c>
      <x:c r="H184" s="30" t="str">
        <x:v>As per internal schedule</x:v>
      </x:c>
      <x:c r="I184" s="30" t="str">
        <x:v>Safety Officer</x:v>
      </x:c>
      <x:c r="J184" s="30" t="str">
        <x:v>Increased fire risk</x:v>
      </x:c>
      <x:c r="K184" s="30"/>
      <x:c r="L184" s="30" t="str">
        <x:v>CORE</x:v>
      </x:c>
      <x:c r="M184" s="30" t="str">
        <x:v>No</x:v>
      </x:c>
      <x:c r="N184" s="30" t="str">
        <x:v>P-3 QUARANTINED: Generic State/local/permit/reference rows, penalty-only/fabricated DAMR extractions, and future-effective DPDP duties are not current production obligations.</x:v>
      </x:c>
    </x:row>
    <x:row r="185">
      <x:c r="A185" s="30" t="str">
        <x:v>COMP184</x:v>
      </x:c>
      <x:c r="B185" s="30" t="str">
        <x:v>PROV184</x:v>
      </x:c>
      <x:c r="C185" s="30" t="str">
        <x:v>CA043</x:v>
      </x:c>
      <x:c r="D185" s="30" t="str">
        <x:v>Ensure emergency exits remain clearly marked, accessible and unobstructed at all times.</x:v>
      </x:c>
      <x:c r="E185" s="30"/>
      <x:c r="F185" s="30" t="str">
        <x:v>Mandatory</x:v>
      </x:c>
      <x:c r="G185" s="30" t="str">
        <x:v>Daily</x:v>
      </x:c>
      <x:c r="H185" s="30" t="str">
        <x:v>Throughout operations</x:v>
      </x:c>
      <x:c r="I185" s="30" t="str">
        <x:v>Facility Manager</x:v>
      </x:c>
      <x:c r="J185" s="30" t="str">
        <x:v>Fire safety non-compliance</x:v>
      </x:c>
      <x:c r="K185" s="30"/>
      <x:c r="L185" s="30" t="str">
        <x:v>CORE</x:v>
      </x:c>
      <x:c r="M185" s="30" t="str">
        <x:v>No</x:v>
      </x:c>
      <x:c r="N185" s="30" t="str">
        <x:v>P-3 QUARANTINED: Generic State/local/permit/reference rows, penalty-only/fabricated DAMR extractions, and future-effective DPDP duties are not current production obligations.</x:v>
      </x:c>
    </x:row>
    <x:row r="186">
      <x:c r="A186" s="30" t="str">
        <x:v>COMP185</x:v>
      </x:c>
      <x:c r="B186" s="30" t="str">
        <x:v>PROV185</x:v>
      </x:c>
      <x:c r="C186" s="30" t="str">
        <x:v>CA044</x:v>
      </x:c>
      <x:c r="D186" s="30" t="str">
        <x:v>Provide fire safety training and emergency evacuation awareness to all employees.</x:v>
      </x:c>
      <x:c r="E186" s="30"/>
      <x:c r="F186" s="30" t="str">
        <x:v>Conditional</x:v>
      </x:c>
      <x:c r="G186" s="30" t="str">
        <x:v>Annual</x:v>
      </x:c>
      <x:c r="H186" s="30" t="str">
        <x:v>Annual training programme</x:v>
      </x:c>
      <x:c r="I186" s="30" t="str">
        <x:v>HR Manager / Safety Officer</x:v>
      </x:c>
      <x:c r="J186" s="30" t="str">
        <x:v>Safety deficiencies</x:v>
      </x:c>
      <x:c r="K186" s="30"/>
      <x:c r="L186" s="30" t="str">
        <x:v>CORE</x:v>
      </x:c>
      <x:c r="M186" s="30" t="str">
        <x:v>No</x:v>
      </x:c>
      <x:c r="N186" s="30" t="str">
        <x:v>P-3 QUARANTINED: Generic State/local/permit/reference rows, penalty-only/fabricated DAMR extractions, and future-effective DPDP duties are not current production obligations.</x:v>
      </x:c>
    </x:row>
    <x:row r="187">
      <x:c r="A187" s="30" t="str">
        <x:v>COMP186</x:v>
      </x:c>
      <x:c r="B187" s="30" t="str">
        <x:v>PROV186</x:v>
      </x:c>
      <x:c r="C187" s="30" t="str">
        <x:v>CA004</x:v>
      </x:c>
      <x:c r="D187" s="30" t="str">
        <x:v>Maintain a valid Trade Licence issued by the competent local authority.</x:v>
      </x:c>
      <x:c r="E187" s="30"/>
      <x:c r="F187" s="30" t="str">
        <x:v>Mandatory</x:v>
      </x:c>
      <x:c r="G187" s="30" t="str">
        <x:v>Continuous</x:v>
      </x:c>
      <x:c r="H187" s="30" t="str">
        <x:v>Before expiry</x:v>
      </x:c>
      <x:c r="I187" s="30" t="str">
        <x:v>Pharmacy Owner</x:v>
      </x:c>
      <x:c r="J187" s="30" t="str">
        <x:v>Business closure, penalties</x:v>
      </x:c>
      <x:c r="K187" s="30"/>
      <x:c r="L187" s="30" t="str">
        <x:v>CORE</x:v>
      </x:c>
      <x:c r="M187" s="30" t="str">
        <x:v>No</x:v>
      </x:c>
      <x:c r="N187" s="30" t="str">
        <x:v>P-3 QUARANTINED: Generic State/local/permit/reference rows, penalty-only/fabricated DAMR extractions, and future-effective DPDP duties are not current production obligations.</x:v>
      </x:c>
    </x:row>
    <x:row r="188">
      <x:c r="A188" s="30" t="str">
        <x:v>COMP187</x:v>
      </x:c>
      <x:c r="B188" s="30" t="str">
        <x:v>PROV187</x:v>
      </x:c>
      <x:c r="C188" s="30" t="str">
        <x:v>CA004</x:v>
      </x:c>
      <x:c r="D188" s="30" t="str">
        <x:v>Comply with all conditions attached to the Trade Licence.</x:v>
      </x:c>
      <x:c r="E188" s="30"/>
      <x:c r="F188" s="30" t="str">
        <x:v>Mandatory</x:v>
      </x:c>
      <x:c r="G188" s="30" t="str">
        <x:v>Continuous</x:v>
      </x:c>
      <x:c r="H188" s="30" t="str">
        <x:v>Throughout licence validity</x:v>
      </x:c>
      <x:c r="I188" s="30" t="str">
        <x:v>Pharmacy Owner</x:v>
      </x:c>
      <x:c r="J188" s="30" t="str">
        <x:v>Regulatory action</x:v>
      </x:c>
      <x:c r="K188" s="30"/>
      <x:c r="L188" s="30" t="str">
        <x:v>CORE</x:v>
      </x:c>
      <x:c r="M188" s="30" t="str">
        <x:v>No</x:v>
      </x:c>
      <x:c r="N188" s="30" t="str">
        <x:v>P-3 QUARANTINED: Generic State/local/permit/reference rows, penalty-only/fabricated DAMR extractions, and future-effective DPDP duties are not current production obligations.</x:v>
      </x:c>
    </x:row>
    <x:row r="189">
      <x:c r="A189" s="30" t="str">
        <x:v>COMP188</x:v>
      </x:c>
      <x:c r="B189" s="30" t="str">
        <x:v>PROV188</x:v>
      </x:c>
      <x:c r="C189" s="30" t="str">
        <x:v>CA063</x:v>
      </x:c>
      <x:c r="D189" s="30" t="str">
        <x:v>Display the Trade Licence prominently at the business premises.</x:v>
      </x:c>
      <x:c r="E189" s="30"/>
      <x:c r="F189" s="30" t="str">
        <x:v>Mandatory</x:v>
      </x:c>
      <x:c r="G189" s="30" t="str">
        <x:v>Continuous</x:v>
      </x:c>
      <x:c r="H189" s="30" t="str">
        <x:v>Throughout licence validity</x:v>
      </x:c>
      <x:c r="I189" s="30" t="str">
        <x:v>Pharmacy Manager</x:v>
      </x:c>
      <x:c r="J189" s="30" t="str">
        <x:v>Inspection observations</x:v>
      </x:c>
      <x:c r="K189" s="30"/>
      <x:c r="L189" s="30" t="str">
        <x:v>CORE</x:v>
      </x:c>
      <x:c r="M189" s="30" t="str">
        <x:v>No</x:v>
      </x:c>
      <x:c r="N189" s="30" t="str">
        <x:v>P-3 QUARANTINED: Generic State/local/permit/reference rows, penalty-only/fabricated DAMR extractions, and future-effective DPDP duties are not current production obligations.</x:v>
      </x:c>
    </x:row>
    <x:row r="190">
      <x:c r="A190" s="30" t="str">
        <x:v>COMP189</x:v>
      </x:c>
      <x:c r="B190" s="30" t="str">
        <x:v>PROV189</x:v>
      </x:c>
      <x:c r="C190" s="30" t="str">
        <x:v>CA005</x:v>
      </x:c>
      <x:c r="D190" s="30" t="str">
        <x:v>Use the premises only for approved occupancy and permitted pharmacy activities.</x:v>
      </x:c>
      <x:c r="E190" s="30"/>
      <x:c r="F190" s="30" t="str">
        <x:v>Mandatory</x:v>
      </x:c>
      <x:c r="G190" s="30" t="str">
        <x:v>Continuous</x:v>
      </x:c>
      <x:c r="H190" s="30" t="str">
        <x:v>Throughout occupancy</x:v>
      </x:c>
      <x:c r="I190" s="30" t="str">
        <x:v>Pharmacy Owner</x:v>
      </x:c>
      <x:c r="J190" s="30" t="str">
        <x:v>Municipal enforcement</x:v>
      </x:c>
      <x:c r="K190" s="30"/>
      <x:c r="L190" s="30" t="str">
        <x:v>CORE</x:v>
      </x:c>
      <x:c r="M190" s="30" t="str">
        <x:v>No</x:v>
      </x:c>
      <x:c r="N190" s="30" t="str">
        <x:v>P-3 QUARANTINED: Generic State/local/permit/reference rows, penalty-only/fabricated DAMR extractions, and future-effective DPDP duties are not current production obligations.</x:v>
      </x:c>
    </x:row>
    <x:row r="191">
      <x:c r="A191" s="30" t="str">
        <x:v>COMP190</x:v>
      </x:c>
      <x:c r="B191" s="30" t="str">
        <x:v>PROV190</x:v>
      </x:c>
      <x:c r="C191" s="30" t="str">
        <x:v>CA005</x:v>
      </x:c>
      <x:c r="D191" s="30" t="str">
        <x:v>Maintain the building in compliance with structural safety requirements prescribed by local authorities.</x:v>
      </x:c>
      <x:c r="E191" s="30"/>
      <x:c r="F191" s="30" t="str">
        <x:v>Conditional</x:v>
      </x:c>
      <x:c r="G191" s="30" t="str">
        <x:v>Annual</x:v>
      </x:c>
      <x:c r="H191" s="30" t="str">
        <x:v>Periodic inspection</x:v>
      </x:c>
      <x:c r="I191" s="30" t="str">
        <x:v>Facility Manager</x:v>
      </x:c>
      <x:c r="J191" s="30" t="str">
        <x:v>Safety violations</x:v>
      </x:c>
      <x:c r="K191" s="30"/>
      <x:c r="L191" s="30" t="str">
        <x:v>CORE</x:v>
      </x:c>
      <x:c r="M191" s="30" t="str">
        <x:v>No</x:v>
      </x:c>
      <x:c r="N191" s="30" t="str">
        <x:v>P-3 QUARANTINED: Generic State/local/permit/reference rows, penalty-only/fabricated DAMR extractions, and future-effective DPDP duties are not current production obligations.</x:v>
      </x:c>
    </x:row>
    <x:row r="192">
      <x:c r="A192" s="30" t="str">
        <x:v>COMP191</x:v>
      </x:c>
      <x:c r="B192" s="30" t="str">
        <x:v>PROV191</x:v>
      </x:c>
      <x:c r="C192" s="30" t="str">
        <x:v>CA063</x:v>
      </x:c>
      <x:c r="D192" s="30" t="str">
        <x:v>Display all mandatory statutory, safety and emergency signage at prescribed locations.</x:v>
      </x:c>
      <x:c r="E192" s="30"/>
      <x:c r="F192" s="30" t="str">
        <x:v>Mandatory</x:v>
      </x:c>
      <x:c r="G192" s="30" t="str">
        <x:v>Continuous</x:v>
      </x:c>
      <x:c r="H192" s="30" t="str">
        <x:v>Throughout operations</x:v>
      </x:c>
      <x:c r="I192" s="30" t="str">
        <x:v>Facility Manager</x:v>
      </x:c>
      <x:c r="J192" s="30" t="str">
        <x:v>Inspection observations</x:v>
      </x:c>
      <x:c r="K192" s="30"/>
      <x:c r="L192" s="30" t="str">
        <x:v>CORE</x:v>
      </x:c>
      <x:c r="M192" s="30" t="str">
        <x:v>No</x:v>
      </x:c>
      <x:c r="N192" s="30" t="str">
        <x:v>P-3 QUARANTINED: Generic State/local/permit/reference rows, penalty-only/fabricated DAMR extractions, and future-effective DPDP duties are not current production obligations.</x:v>
      </x:c>
    </x:row>
    <x:row r="193">
      <x:c r="A193" s="30" t="str">
        <x:v>COMP192</x:v>
      </x:c>
      <x:c r="B193" s="30" t="str">
        <x:v>PROV192</x:v>
      </x:c>
      <x:c r="C193" s="30" t="str">
        <x:v>CA064</x:v>
      </x:c>
      <x:c r="D193" s="30" t="str">
        <x:v>Before release, substantiate all objective claims and ensure the advertisement is truthful and not misleading by implication, omission, exaggeration or ambiguity.</x:v>
      </x:c>
      <x:c r="E193" s="30"/>
      <x:c r="F193" s="30" t="str">
        <x:v>Conditional</x:v>
      </x:c>
      <x:c r="G193" s="30" t="str">
        <x:v>Event Based</x:v>
      </x:c>
      <x:c r="H193" s="30" t="str">
        <x:v>Before publication</x:v>
      </x:c>
      <x:c r="I193" s="30" t="str">
        <x:v>Marketing Manager</x:v>
      </x:c>
      <x:c r="J193" s="30" t="str">
        <x:v>Consumer complaints, regulatory action</x:v>
      </x:c>
      <x:c r="K193" s="30"/>
      <x:c r="L193" s="30" t="str">
        <x:v>CORE</x:v>
      </x:c>
      <x:c r="M193" s="30" t="str">
        <x:v>Yes</x:v>
      </x:c>
      <x:c r="N193" s="30" t="str">
        <x:v>P-3 Guideline 4 normalization.</x:v>
      </x:c>
    </x:row>
    <x:row r="194">
      <x:c r="A194" s="30" t="str">
        <x:v>COMP193</x:v>
      </x:c>
      <x:c r="B194" s="30" t="str">
        <x:v>PROV193</x:v>
      </x:c>
      <x:c r="C194" s="30" t="str">
        <x:v>CA064</x:v>
      </x:c>
      <x:c r="D194" s="30" t="str">
        <x:v>Use only clear, prominent disclaimers that do not conceal material information or contradict the main claim.</x:v>
      </x:c>
      <x:c r="E194" s="30"/>
      <x:c r="F194" s="30" t="str">
        <x:v>Conditional</x:v>
      </x:c>
      <x:c r="G194" s="30" t="str">
        <x:v>Event Based</x:v>
      </x:c>
      <x:c r="H194" s="30" t="str">
        <x:v>Before publication</x:v>
      </x:c>
      <x:c r="I194" s="30" t="str">
        <x:v>Marketing Manager</x:v>
      </x:c>
      <x:c r="J194" s="30" t="str">
        <x:v>Regulatory action</x:v>
      </x:c>
      <x:c r="K194" s="30"/>
      <x:c r="L194" s="30" t="str">
        <x:v>CORE</x:v>
      </x:c>
      <x:c r="M194" s="30" t="str">
        <x:v>Yes</x:v>
      </x:c>
      <x:c r="N194" s="30" t="str">
        <x:v>P-3 Guideline 10 normalization.</x:v>
      </x:c>
    </x:row>
    <x:row r="195">
      <x:c r="A195" s="30" t="str">
        <x:v>COMP194</x:v>
      </x:c>
      <x:c r="B195" s="30" t="str">
        <x:v>PROV194</x:v>
      </x:c>
      <x:c r="C195" s="30" t="str">
        <x:v>CA064</x:v>
      </x:c>
      <x:c r="D195" s="30" t="str">
        <x:v>Do not advertise a product/service prohibited by law and document endorsement due diligence where an endorsement is used.</x:v>
      </x:c>
      <x:c r="E195" s="30"/>
      <x:c r="F195" s="30" t="str">
        <x:v>Conditional</x:v>
      </x:c>
      <x:c r="G195" s="30" t="str">
        <x:v>Event Based</x:v>
      </x:c>
      <x:c r="H195" s="30" t="str">
        <x:v>Before publication</x:v>
      </x:c>
      <x:c r="I195" s="30" t="str">
        <x:v>Digital Marketing Manager</x:v>
      </x:c>
      <x:c r="J195" s="30" t="str">
        <x:v>Regulatory action</x:v>
      </x:c>
      <x:c r="K195" s="30"/>
      <x:c r="L195" s="30" t="str">
        <x:v>CORE</x:v>
      </x:c>
      <x:c r="M195" s="30" t="str">
        <x:v>Yes</x:v>
      </x:c>
      <x:c r="N195" s="30" t="str">
        <x:v>P-3 normalized.</x:v>
      </x:c>
    </x:row>
    <x:row r="196">
      <x:c r="A196" s="30" t="str">
        <x:v>COMP195</x:v>
      </x:c>
      <x:c r="B196" s="30" t="str">
        <x:v>PROV195</x:v>
      </x:c>
      <x:c r="C196" s="30" t="str">
        <x:v>CA064</x:v>
      </x:c>
      <x:c r="D196" s="30" t="str">
        <x:v>Do not advertise a drug for the section 3/Schedule prohibited purposes, diseases or conditions.</x:v>
      </x:c>
      <x:c r="E196" s="30"/>
      <x:c r="F196" s="30" t="str">
        <x:v>Mandatory</x:v>
      </x:c>
      <x:c r="G196" s="30" t="str">
        <x:v>Continuous</x:v>
      </x:c>
      <x:c r="H196" s="30" t="str">
        <x:v>Before publication</x:v>
      </x:c>
      <x:c r="I196" s="30" t="str">
        <x:v>Marketing Manager</x:v>
      </x:c>
      <x:c r="J196" s="30" t="str">
        <x:v>Prosecution and penalties</x:v>
      </x:c>
      <x:c r="K196" s="30"/>
      <x:c r="L196" s="30" t="str">
        <x:v>CORE</x:v>
      </x:c>
      <x:c r="M196" s="30" t="str">
        <x:v>Yes</x:v>
      </x:c>
      <x:c r="N196" s="30" t="str">
        <x:v>P-3 normalized.</x:v>
      </x:c>
    </x:row>
    <x:row r="197">
      <x:c r="A197" s="30" t="str">
        <x:v>COMP196</x:v>
      </x:c>
      <x:c r="B197" s="30" t="str">
        <x:v>PROV196</x:v>
      </x:c>
      <x:c r="C197" s="30" t="str">
        <x:v>CA064</x:v>
      </x:c>
      <x:c r="D197" s="30" t="str">
        <x:v>Do not issue a drug advertisement that gives a false impression, makes a false claim or is otherwise materially false/misleading.</x:v>
      </x:c>
      <x:c r="E197" s="30"/>
      <x:c r="F197" s="30" t="str">
        <x:v>Mandatory</x:v>
      </x:c>
      <x:c r="G197" s="30" t="str">
        <x:v>Continuous</x:v>
      </x:c>
      <x:c r="H197" s="30" t="str">
        <x:v>Before publication</x:v>
      </x:c>
      <x:c r="I197" s="30" t="str">
        <x:v>Marketing Manager</x:v>
      </x:c>
      <x:c r="J197" s="30" t="str">
        <x:v>Regulatory enforcement</x:v>
      </x:c>
      <x:c r="K197" s="30"/>
      <x:c r="L197" s="30" t="str">
        <x:v>CORE</x:v>
      </x:c>
      <x:c r="M197" s="30" t="str">
        <x:v>Yes</x:v>
      </x:c>
      <x:c r="N197" s="30" t="str">
        <x:v>P-3 normalized.</x:v>
      </x:c>
    </x:row>
    <x:row r="198">
      <x:c r="A198" s="30" t="str">
        <x:v>COMP197</x:v>
      </x:c>
      <x:c r="B198" s="30" t="str">
        <x:v>PROV197</x:v>
      </x:c>
      <x:c r="C198" s="30" t="str">
        <x:v>CA090</x:v>
      </x:c>
      <x:c r="D198" s="30" t="str">
        <x:v>Immediately discontinue advertisements found to be in violation of applicable law.</x:v>
      </x:c>
      <x:c r="E198" s="30"/>
      <x:c r="F198" s="30" t="str">
        <x:v>Event Based</x:v>
      </x:c>
      <x:c r="G198" s="30" t="str">
        <x:v>Event Based</x:v>
      </x:c>
      <x:c r="H198" s="30" t="str">
        <x:v>Immediately upon identification</x:v>
      </x:c>
      <x:c r="I198" s="30" t="str">
        <x:v>Marketing Manager</x:v>
      </x:c>
      <x:c r="J198" s="30" t="str">
        <x:v>Prosecution and penalties</x:v>
      </x:c>
      <x:c r="K198" s="30"/>
      <x:c r="L198" s="30" t="str">
        <x:v>CORE</x:v>
      </x:c>
      <x:c r="M198" s="30" t="str">
        <x:v>No</x:v>
      </x:c>
      <x:c r="N198" s="30" t="str">
        <x:v>P-3 QUARANTINED: Generic State/local/permit/reference rows, penalty-only/fabricated DAMR extractions, and future-effective DPDP duties are not current production obligations.</x:v>
      </x:c>
    </x:row>
    <x:row r="199">
      <x:c r="A199" s="30" t="str">
        <x:v>COMP198</x:v>
      </x:c>
      <x:c r="B199" s="30" t="str">
        <x:v>PROV198</x:v>
      </x:c>
      <x:c r="C199" s="30" t="str">
        <x:v>CA064</x:v>
      </x:c>
      <x:c r="D199" s="30" t="str">
        <x:v>Prepare advertisements in accordance with prescribed statutory requirements.</x:v>
      </x:c>
      <x:c r="E199" s="30"/>
      <x:c r="F199" s="30" t="str">
        <x:v>Mandatory</x:v>
      </x:c>
      <x:c r="G199" s="30" t="str">
        <x:v>Before Publication</x:v>
      </x:c>
      <x:c r="H199" s="30" t="str">
        <x:v>Before release</x:v>
      </x:c>
      <x:c r="I199" s="30" t="str">
        <x:v>Marketing Manager</x:v>
      </x:c>
      <x:c r="J199" s="30" t="str">
        <x:v>Advertisement rejection</x:v>
      </x:c>
      <x:c r="K199" s="30"/>
      <x:c r="L199" s="30" t="str">
        <x:v>CORE</x:v>
      </x:c>
      <x:c r="M199" s="30" t="str">
        <x:v>No</x:v>
      </x:c>
      <x:c r="N199" s="30" t="str">
        <x:v>P-3 QUARANTINED: Generic State/local/permit/reference rows, penalty-only/fabricated DAMR extractions, and future-effective DPDP duties are not current production obligations.</x:v>
      </x:c>
    </x:row>
    <x:row r="200">
      <x:c r="A200" s="30" t="str">
        <x:v>COMP199</x:v>
      </x:c>
      <x:c r="B200" s="30" t="str">
        <x:v>PROV199</x:v>
      </x:c>
      <x:c r="C200" s="30" t="str">
        <x:v>CA020</x:v>
      </x:c>
      <x:c r="D200" s="30" t="str">
        <x:v>Maintain records of all published promotional and advertising materials.</x:v>
      </x:c>
      <x:c r="E200" s="30"/>
      <x:c r="F200" s="30" t="str">
        <x:v>Mandatory</x:v>
      </x:c>
      <x:c r="G200" s="30" t="str">
        <x:v>Continuous</x:v>
      </x:c>
      <x:c r="H200" s="30" t="str">
        <x:v>At every publication</x:v>
      </x:c>
      <x:c r="I200" s="30" t="str">
        <x:v>Marketing Manager</x:v>
      </x:c>
      <x:c r="J200" s="30" t="str">
        <x:v>Inspection observations</x:v>
      </x:c>
      <x:c r="K200" s="30"/>
      <x:c r="L200" s="30" t="str">
        <x:v>CORE</x:v>
      </x:c>
      <x:c r="M200" s="30" t="str">
        <x:v>No</x:v>
      </x:c>
      <x:c r="N200" s="30" t="str">
        <x:v>P-3 QUARANTINED: Generic State/local/permit/reference rows, penalty-only/fabricated DAMR extractions, and future-effective DPDP duties are not current production obligations.</x:v>
      </x:c>
    </x:row>
    <x:row r="201">
      <x:c r="A201" s="30" t="str">
        <x:v>COMP200</x:v>
      </x:c>
      <x:c r="B201" s="30" t="str">
        <x:v>PROV200</x:v>
      </x:c>
      <x:c r="C201" s="30" t="str">
        <x:v>CA077</x:v>
      </x:c>
      <x:c r="D201" s="30" t="str">
        <x:v>Produce advertisement records and approvals during regulatory inspections when requested.</x:v>
      </x:c>
      <x:c r="E201" s="30"/>
      <x:c r="F201" s="30" t="str">
        <x:v>Event Based</x:v>
      </x:c>
      <x:c r="G201" s="30" t="str">
        <x:v>Event Based</x:v>
      </x:c>
      <x:c r="H201" s="30" t="str">
        <x:v>During inspection</x:v>
      </x:c>
      <x:c r="I201" s="30" t="str">
        <x:v>Compliance Officer</x:v>
      </x:c>
      <x:c r="J201" s="30" t="str">
        <x:v>Regulatory action</x:v>
      </x:c>
      <x:c r="K201" s="30"/>
      <x:c r="L201" s="30" t="str">
        <x:v>CORE</x:v>
      </x:c>
      <x:c r="M201" s="30" t="str">
        <x:v>No</x:v>
      </x:c>
      <x:c r="N201" s="30" t="str">
        <x:v>P-3 QUARANTINED: Generic State/local/permit/reference rows, penalty-only/fabricated DAMR extractions, and future-effective DPDP duties are not current production obligations.</x:v>
      </x:c>
    </x:row>
    <x:row r="202">
      <x:c r="A202" s="30" t="str">
        <x:v>COMP201</x:v>
      </x:c>
      <x:c r="B202" s="30" t="str">
        <x:v>PROV201</x:v>
      </x:c>
      <x:c r="C202" s="30" t="str">
        <x:v>CA043</x:v>
      </x:c>
      <x:c r="D202" s="30" t="str">
        <x:v>Implement disaster management directions issued by competent authorities during emergencies.</x:v>
      </x:c>
      <x:c r="E202" s="30"/>
      <x:c r="F202" s="30" t="str">
        <x:v>Conditional</x:v>
      </x:c>
      <x:c r="G202" s="30" t="str">
        <x:v>Event Based</x:v>
      </x:c>
      <x:c r="H202" s="30" t="str">
        <x:v>Immediately upon notification</x:v>
      </x:c>
      <x:c r="I202" s="30" t="str">
        <x:v>Pharmacy Owner</x:v>
      </x:c>
      <x:c r="J202" s="30" t="str">
        <x:v>Regulatory action</x:v>
      </x:c>
      <x:c r="K202" s="30"/>
      <x:c r="L202" s="30" t="str">
        <x:v>CORE</x:v>
      </x:c>
      <x:c r="M202" s="30" t="str">
        <x:v>No</x:v>
      </x:c>
      <x:c r="N202" s="30" t="str">
        <x:v>P-4 QUARANTINED with inactive parent provision; legacy ID retained.</x:v>
      </x:c>
    </x:row>
    <x:row r="203">
      <x:c r="A203" s="30" t="str">
        <x:v>COMP202</x:v>
      </x:c>
      <x:c r="B203" s="30" t="str">
        <x:v>PROV202</x:v>
      </x:c>
      <x:c r="C203" s="30" t="str">
        <x:v>CA043</x:v>
      </x:c>
      <x:c r="D203" s="30" t="str">
        <x:v>Comply with State Disaster Management Authority directions affecting pharmacy operations.</x:v>
      </x:c>
      <x:c r="E203" s="30"/>
      <x:c r="F203" s="30" t="str">
        <x:v>Conditional</x:v>
      </x:c>
      <x:c r="G203" s="30" t="str">
        <x:v>Event Based</x:v>
      </x:c>
      <x:c r="H203" s="30" t="str">
        <x:v>As directed</x:v>
      </x:c>
      <x:c r="I203" s="30" t="str">
        <x:v>Compliance Officer</x:v>
      </x:c>
      <x:c r="J203" s="30" t="str">
        <x:v>Regulatory action</x:v>
      </x:c>
      <x:c r="K203" s="30"/>
      <x:c r="L203" s="30" t="str">
        <x:v>CORE</x:v>
      </x:c>
      <x:c r="M203" s="30" t="str">
        <x:v>No</x:v>
      </x:c>
      <x:c r="N203" s="30" t="str">
        <x:v>P-4 QUARANTINED with inactive parent provision; legacy ID retained.</x:v>
      </x:c>
    </x:row>
    <x:row r="204">
      <x:c r="A204" s="30" t="str">
        <x:v>COMP203</x:v>
      </x:c>
      <x:c r="B204" s="30" t="str">
        <x:v>PROV203</x:v>
      </x:c>
      <x:c r="C204" s="30" t="str">
        <x:v>CA043</x:v>
      </x:c>
      <x:c r="D204" s="30" t="str">
        <x:v>Implement directions issued by District Disaster Management Authorities during notified emergencies.</x:v>
      </x:c>
      <x:c r="E204" s="30"/>
      <x:c r="F204" s="30" t="str">
        <x:v>Conditional</x:v>
      </x:c>
      <x:c r="G204" s="30" t="str">
        <x:v>Event Based</x:v>
      </x:c>
      <x:c r="H204" s="30" t="str">
        <x:v>As directed</x:v>
      </x:c>
      <x:c r="I204" s="30" t="str">
        <x:v>Pharmacy Manager</x:v>
      </x:c>
      <x:c r="J204" s="30" t="str">
        <x:v>Administrative action</x:v>
      </x:c>
      <x:c r="K204" s="30"/>
      <x:c r="L204" s="30" t="str">
        <x:v>CORE</x:v>
      </x:c>
      <x:c r="M204" s="30" t="str">
        <x:v>No</x:v>
      </x:c>
      <x:c r="N204" s="30" t="str">
        <x:v>P-4 QUARANTINED with inactive parent provision; legacy ID retained.</x:v>
      </x:c>
    </x:row>
    <x:row r="205">
      <x:c r="A205" s="30" t="str">
        <x:v>COMP204</x:v>
      </x:c>
      <x:c r="B205" s="30" t="str">
        <x:v>PROV204</x:v>
      </x:c>
      <x:c r="C205" s="30" t="str">
        <x:v>CA044</x:v>
      </x:c>
      <x:c r="D205" s="30" t="str">
        <x:v>Implement epidemic control measures notified by Government authorities.</x:v>
      </x:c>
      <x:c r="E205" s="30"/>
      <x:c r="F205" s="30" t="str">
        <x:v>Conditional</x:v>
      </x:c>
      <x:c r="G205" s="30" t="str">
        <x:v>Event Based</x:v>
      </x:c>
      <x:c r="H205" s="30" t="str">
        <x:v>Immediately upon notification</x:v>
      </x:c>
      <x:c r="I205" s="30" t="str">
        <x:v>Pharmacy Owner</x:v>
      </x:c>
      <x:c r="J205" s="30" t="str">
        <x:v>Regulatory penalties</x:v>
      </x:c>
      <x:c r="K205" s="30"/>
      <x:c r="L205" s="30" t="str">
        <x:v>CORE</x:v>
      </x:c>
      <x:c r="M205" s="30" t="str">
        <x:v>No</x:v>
      </x:c>
      <x:c r="N205" s="30" t="str">
        <x:v>P-4 QUARANTINED with inactive parent provision; legacy ID retained.</x:v>
      </x:c>
    </x:row>
    <x:row r="206">
      <x:c r="A206" s="30" t="str">
        <x:v>COMP205</x:v>
      </x:c>
      <x:c r="B206" s="30" t="str">
        <x:v>PROV205</x:v>
      </x:c>
      <x:c r="C206" s="30" t="str">
        <x:v>CA044</x:v>
      </x:c>
      <x:c r="D206" s="30" t="str">
        <x:v>Comply with Central Government epidemic-related regulations applicable to pharmacy operations.</x:v>
      </x:c>
      <x:c r="E206" s="30"/>
      <x:c r="F206" s="30" t="str">
        <x:v>Conditional</x:v>
      </x:c>
      <x:c r="G206" s="30" t="str">
        <x:v>Event Based</x:v>
      </x:c>
      <x:c r="H206" s="30" t="str">
        <x:v>As notified</x:v>
      </x:c>
      <x:c r="I206" s="30" t="str">
        <x:v>Compliance Officer</x:v>
      </x:c>
      <x:c r="J206" s="30" t="str">
        <x:v>Regulatory enforcement</x:v>
      </x:c>
      <x:c r="K206" s="30"/>
      <x:c r="L206" s="30" t="str">
        <x:v>CORE</x:v>
      </x:c>
      <x:c r="M206" s="30" t="str">
        <x:v>No</x:v>
      </x:c>
      <x:c r="N206" s="30" t="str">
        <x:v>P-4 QUARANTINED with inactive parent provision; legacy ID retained.</x:v>
      </x:c>
    </x:row>
    <x:row r="207">
      <x:c r="A207" s="30" t="str">
        <x:v>COMP206</x:v>
      </x:c>
      <x:c r="B207" s="30" t="str">
        <x:v>PROV206</x:v>
      </x:c>
      <x:c r="C207" s="30" t="str">
        <x:v>CA030</x:v>
      </x:c>
      <x:c r="D207" s="30" t="str">
        <x:v>Align pharmacy operations with applicable provisions of the National Pharmaceutical Policy.</x:v>
      </x:c>
      <x:c r="E207" s="30"/>
      <x:c r="F207" s="30" t="str">
        <x:v>Best Practice / Regulatory Expectation</x:v>
      </x:c>
      <x:c r="G207" s="30" t="str">
        <x:v>Annual</x:v>
      </x:c>
      <x:c r="H207" s="30" t="str">
        <x:v>During policy review</x:v>
      </x:c>
      <x:c r="I207" s="30" t="str">
        <x:v>Compliance Officer</x:v>
      </x:c>
      <x:c r="J207" s="30" t="str">
        <x:v>Regulatory observations</x:v>
      </x:c>
      <x:c r="K207" s="30"/>
      <x:c r="L207" s="30" t="str">
        <x:v>CORE</x:v>
      </x:c>
      <x:c r="M207" s="30" t="str">
        <x:v>No</x:v>
      </x:c>
      <x:c r="N207" s="30" t="str">
        <x:v>P-4 QUARANTINED with inactive parent provision; legacy ID retained.</x:v>
      </x:c>
    </x:row>
    <x:row r="208">
      <x:c r="A208" s="30" t="str">
        <x:v>COMP207</x:v>
      </x:c>
      <x:c r="B208" s="30" t="str">
        <x:v>PROV207</x:v>
      </x:c>
      <x:c r="C208" s="30" t="str">
        <x:v>CA030</x:v>
      </x:c>
      <x:c r="D208" s="30" t="str">
        <x:v>Ensure availability of essential medicines in accordance with applicable Government policy.</x:v>
      </x:c>
      <x:c r="E208" s="30"/>
      <x:c r="F208" s="30" t="str">
        <x:v>Conditional</x:v>
      </x:c>
      <x:c r="G208" s="30" t="str">
        <x:v>Continuous</x:v>
      </x:c>
      <x:c r="H208" s="30" t="str">
        <x:v>Throughout operations</x:v>
      </x:c>
      <x:c r="I208" s="30" t="str">
        <x:v>Procurement Manager</x:v>
      </x:c>
      <x:c r="J208" s="30" t="str">
        <x:v>Public health observations</x:v>
      </x:c>
      <x:c r="K208" s="30"/>
      <x:c r="L208" s="30" t="str">
        <x:v>CORE</x:v>
      </x:c>
      <x:c r="M208" s="30" t="str">
        <x:v>No</x:v>
      </x:c>
      <x:c r="N208" s="30" t="str">
        <x:v>P-4 QUARANTINED with inactive parent provision; legacy ID retained.</x:v>
      </x:c>
    </x:row>
    <x:row r="209">
      <x:c r="A209" s="30" t="str">
        <x:v>COMP208</x:v>
      </x:c>
      <x:c r="B209" s="30" t="str">
        <x:v>PROV208</x:v>
      </x:c>
      <x:c r="C209" s="30" t="str">
        <x:v>CA030</x:v>
      </x:c>
      <x:c r="D209" s="30" t="str">
        <x:v>Sell notified essential medicines at Government-approved prices.</x:v>
      </x:c>
      <x:c r="E209" s="30"/>
      <x:c r="F209" s="30" t="str">
        <x:v>Conditional</x:v>
      </x:c>
      <x:c r="G209" s="30" t="str">
        <x:v>Continuous</x:v>
      </x:c>
      <x:c r="H209" s="30" t="str">
        <x:v>At every applicable sale</x:v>
      </x:c>
      <x:c r="I209" s="30" t="str">
        <x:v>Pharmacy Manager</x:v>
      </x:c>
      <x:c r="J209" s="30" t="str">
        <x:v>NPPA action, penalties</x:v>
      </x:c>
      <x:c r="K209" s="30"/>
      <x:c r="L209" s="30" t="str">
        <x:v>CORE</x:v>
      </x:c>
      <x:c r="M209" s="30" t="str">
        <x:v>No</x:v>
      </x:c>
      <x:c r="N209" s="30" t="str">
        <x:v>P-4 QUARANTINED with inactive parent provision; legacy ID retained.</x:v>
      </x:c>
    </x:row>
    <x:row r="210">
      <x:c r="A210" s="30" t="str">
        <x:v>COMP209</x:v>
      </x:c>
      <x:c r="B210" s="30" t="str">
        <x:v>PROV209</x:v>
      </x:c>
      <x:c r="C210" s="30" t="str">
        <x:v>CA063</x:v>
      </x:c>
      <x:c r="D210" s="30" t="str">
        <x:v>Display revised price lists immediately after notification by the competent authority.</x:v>
      </x:c>
      <x:c r="E210" s="30"/>
      <x:c r="F210" s="30" t="str">
        <x:v>Conditional</x:v>
      </x:c>
      <x:c r="G210" s="30" t="str">
        <x:v>As Notified</x:v>
      </x:c>
      <x:c r="H210" s="30" t="str">
        <x:v>Immediately after notification</x:v>
      </x:c>
      <x:c r="I210" s="30" t="str">
        <x:v>Pharmacy Manager</x:v>
      </x:c>
      <x:c r="J210" s="30" t="str">
        <x:v>Inspection observations</x:v>
      </x:c>
      <x:c r="K210" s="30"/>
      <x:c r="L210" s="30" t="str">
        <x:v>CORE</x:v>
      </x:c>
      <x:c r="M210" s="30" t="str">
        <x:v>No</x:v>
      </x:c>
      <x:c r="N210" s="30" t="str">
        <x:v>P-4 QUARANTINED with inactive parent provision; legacy ID retained.</x:v>
      </x:c>
    </x:row>
    <x:row r="211">
      <x:c r="A211" s="30" t="str">
        <x:v>COMP210</x:v>
      </x:c>
      <x:c r="B211" s="30" t="str">
        <x:v>PROV210</x:v>
      </x:c>
      <x:c r="C211" s="30" t="str">
        <x:v>CA009</x:v>
      </x:c>
      <x:c r="D211" s="30" t="str">
        <x:v>Use equipment conforming to applicable Bureau of Indian Standards wherever mandatory.</x:v>
      </x:c>
      <x:c r="E211" s="30"/>
      <x:c r="F211" s="30" t="str">
        <x:v>Conditional</x:v>
      </x:c>
      <x:c r="G211" s="30" t="str">
        <x:v>Continuous</x:v>
      </x:c>
      <x:c r="H211" s="30" t="str">
        <x:v>Before operational use</x:v>
      </x:c>
      <x:c r="I211" s="30" t="str">
        <x:v>Facility Manager</x:v>
      </x:c>
      <x:c r="J211" s="30" t="str">
        <x:v>Regulatory observations</x:v>
      </x:c>
      <x:c r="K211" s="30"/>
      <x:c r="L211" s="30" t="str">
        <x:v>CORE</x:v>
      </x:c>
      <x:c r="M211" s="30" t="str">
        <x:v>No</x:v>
      </x:c>
      <x:c r="N211" s="30" t="str">
        <x:v>P-3 QUARANTINED: Generic State/local/permit/reference rows, penalty-only/fabricated DAMR extractions, and future-effective DPDP duties are not current production obligations.</x:v>
      </x:c>
    </x:row>
    <x:row r="212">
      <x:c r="A212" s="30" t="str">
        <x:v>COMP211</x:v>
      </x:c>
      <x:c r="B212" s="30" t="str">
        <x:v>PROV211</x:v>
      </x:c>
      <x:c r="C212" s="30" t="str">
        <x:v>CA009</x:v>
      </x:c>
      <x:c r="D212" s="30" t="str">
        <x:v>Maintain BIS-certified equipment in safe and serviceable condition.</x:v>
      </x:c>
      <x:c r="E212" s="30"/>
      <x:c r="F212" s="30" t="str">
        <x:v>Conditional</x:v>
      </x:c>
      <x:c r="G212" s="30" t="str">
        <x:v>Quarterly</x:v>
      </x:c>
      <x:c r="H212" s="30" t="str">
        <x:v>As per maintenance schedule</x:v>
      </x:c>
      <x:c r="I212" s="30" t="str">
        <x:v>Maintenance Manager</x:v>
      </x:c>
      <x:c r="J212" s="30" t="str">
        <x:v>Equipment non-compliance</x:v>
      </x:c>
      <x:c r="K212" s="30"/>
      <x:c r="L212" s="30" t="str">
        <x:v>CORE</x:v>
      </x:c>
      <x:c r="M212" s="30" t="str">
        <x:v>No</x:v>
      </x:c>
      <x:c r="N212" s="30" t="str">
        <x:v>P-3 QUARANTINED: Generic State/local/permit/reference rows, penalty-only/fabricated DAMR extractions, and future-effective DPDP duties are not current production obligations.</x:v>
      </x:c>
    </x:row>
    <x:row r="213">
      <x:c r="A213" s="30" t="str">
        <x:v>COMP212</x:v>
      </x:c>
      <x:c r="B213" s="30" t="str">
        <x:v>PROV212</x:v>
      </x:c>
      <x:c r="C213" s="30" t="str">
        <x:v>CA044</x:v>
      </x:c>
      <x:c r="D213" s="30" t="str">
        <x:v>If the OSHWC Code applies, maintain the covered workplace-safety/health controls, provide required information/instruction and meet notified standards.</x:v>
      </x:c>
      <x:c r="E213" s="30"/>
      <x:c r="F213" s="30" t="str">
        <x:v>Conditional</x:v>
      </x:c>
      <x:c r="G213" s="30" t="str">
        <x:v>Continuous</x:v>
      </x:c>
      <x:c r="H213" s="30" t="str">
        <x:v>Throughout covered operations</x:v>
      </x:c>
      <x:c r="I213" s="30" t="str">
        <x:v>Safety Officer</x:v>
      </x:c>
      <x:c r="J213" s="30" t="str">
        <x:v>Occupational safety violations</x:v>
      </x:c>
      <x:c r="K213" s="30"/>
      <x:c r="L213" s="30" t="str">
        <x:v>CORE</x:v>
      </x:c>
      <x:c r="M213" s="30" t="str">
        <x:v>Yes</x:v>
      </x:c>
      <x:c r="N213" s="30" t="str">
        <x:v>P-3 coverage trigger added.</x:v>
      </x:c>
    </x:row>
    <x:row r="214">
      <x:c r="A214" s="30" t="str">
        <x:v>COMP213</x:v>
      </x:c>
      <x:c r="B214" s="30" t="str">
        <x:v>PROV213</x:v>
      </x:c>
      <x:c r="C214" s="30" t="str">
        <x:v>CA044</x:v>
      </x:c>
      <x:c r="D214" s="30" t="str">
        <x:v>If covered, implement the applicable welfare, working-time and employee information/appointment-letter controls under the Code and 2026 Rules.</x:v>
      </x:c>
      <x:c r="E214" s="30"/>
      <x:c r="F214" s="30" t="str">
        <x:v>Conditional</x:v>
      </x:c>
      <x:c r="G214" s="30" t="str">
        <x:v>Continuous</x:v>
      </x:c>
      <x:c r="H214" s="30" t="str">
        <x:v>Annual training programme</x:v>
      </x:c>
      <x:c r="I214" s="30" t="str">
        <x:v>HR Manager</x:v>
      </x:c>
      <x:c r="J214" s="30" t="str">
        <x:v>Safety deficiencies</x:v>
      </x:c>
      <x:c r="K214" s="30"/>
      <x:c r="L214" s="30" t="str">
        <x:v>CORE</x:v>
      </x:c>
      <x:c r="M214" s="30" t="str">
        <x:v>Yes</x:v>
      </x:c>
      <x:c r="N214" s="30" t="str">
        <x:v>P-3 corrected universal-mandatory overstatement.</x:v>
      </x:c>
    </x:row>
    <x:row r="215">
      <x:c r="A215" s="30" t="str">
        <x:v>COMP214</x:v>
      </x:c>
      <x:c r="B215" s="30" t="str">
        <x:v>PROV214</x:v>
      </x:c>
      <x:c r="C215" s="30" t="str">
        <x:v>CA044</x:v>
      </x:c>
      <x:c r="D215" s="30" t="str">
        <x:v>Report and record only the occupational accidents/dangerous occurrences prescribed for the covered establishment within the statutory timeline.</x:v>
      </x:c>
      <x:c r="E215" s="30"/>
      <x:c r="F215" s="30" t="str">
        <x:v>Conditional</x:v>
      </x:c>
      <x:c r="G215" s="30" t="str">
        <x:v>Event Based</x:v>
      </x:c>
      <x:c r="H215" s="30" t="str">
        <x:v>Immediately after occurrence</x:v>
      </x:c>
      <x:c r="I215" s="30" t="str">
        <x:v>Safety Officer</x:v>
      </x:c>
      <x:c r="J215" s="30" t="str">
        <x:v>Regulatory observations</x:v>
      </x:c>
      <x:c r="K215" s="30"/>
      <x:c r="L215" s="30" t="str">
        <x:v>CORE</x:v>
      </x:c>
      <x:c r="M215" s="30" t="str">
        <x:v>Yes</x:v>
      </x:c>
      <x:c r="N215" s="30" t="str">
        <x:v>P-3 normalized.</x:v>
      </x:c>
    </x:row>
    <x:row r="216">
      <x:c r="A216" s="30" t="str">
        <x:v>COMP215</x:v>
      </x:c>
      <x:c r="B216" s="30" t="str">
        <x:v>PROV215</x:v>
      </x:c>
      <x:c r="C216" s="30" t="str">
        <x:v>CA008</x:v>
      </x:c>
      <x:c r="D216" s="30" t="str">
        <x:v>Perform temperature mapping of storage areas before commissioning and after major modifications.</x:v>
      </x:c>
      <x:c r="E216" s="30"/>
      <x:c r="F216" s="30" t="str">
        <x:v>Best Practice / Regulatory Expectation</x:v>
      </x:c>
      <x:c r="G216" s="30" t="str">
        <x:v>Event Based</x:v>
      </x:c>
      <x:c r="H216" s="30" t="str">
        <x:v>Before operational use</x:v>
      </x:c>
      <x:c r="I216" s="30" t="str">
        <x:v>Quality Assurance Officer</x:v>
      </x:c>
      <x:c r="J216" s="30" t="str">
        <x:v>Product quality risk</x:v>
      </x:c>
      <x:c r="K216" s="30"/>
      <x:c r="L216" s="30" t="str">
        <x:v>CORE</x:v>
      </x:c>
      <x:c r="M216" s="30" t="str">
        <x:v>Yes</x:v>
      </x:c>
      <x:c r="N216" s="30" t="str">
        <x:v>P-4 non-statutory guidance/internal implementation control; exact binding instrument remains separately mapped.</x:v>
      </x:c>
    </x:row>
    <x:row r="217">
      <x:c r="A217" s="30" t="str">
        <x:v>COMP216</x:v>
      </x:c>
      <x:c r="B217" s="30" t="str">
        <x:v>PROV216</x:v>
      </x:c>
      <x:c r="C217" s="30" t="str">
        <x:v>CA008</x:v>
      </x:c>
      <x:c r="D217" s="30" t="str">
        <x:v>Revalidate temperature mapping periodically and after significant changes to storage conditions.</x:v>
      </x:c>
      <x:c r="E217" s="30"/>
      <x:c r="F217" s="30" t="str">
        <x:v>Best Practice / Regulatory Expectation</x:v>
      </x:c>
      <x:c r="G217" s="30" t="str">
        <x:v>Annual</x:v>
      </x:c>
      <x:c r="H217" s="30" t="str">
        <x:v>As per validation schedule</x:v>
      </x:c>
      <x:c r="I217" s="30" t="str">
        <x:v>Quality Assurance Officer</x:v>
      </x:c>
      <x:c r="J217" s="30" t="str">
        <x:v>Storage qualification failure</x:v>
      </x:c>
      <x:c r="K217" s="30"/>
      <x:c r="L217" s="30" t="str">
        <x:v>CORE</x:v>
      </x:c>
      <x:c r="M217" s="30" t="str">
        <x:v>Yes</x:v>
      </x:c>
      <x:c r="N217" s="30" t="str">
        <x:v>P-4 non-statutory guidance/internal implementation control; exact binding instrument remains separately mapped.</x:v>
      </x:c>
    </x:row>
    <x:row r="218">
      <x:c r="A218" s="30" t="str">
        <x:v>COMP217</x:v>
      </x:c>
      <x:c r="B218" s="30" t="str">
        <x:v>PROV217</x:v>
      </x:c>
      <x:c r="C218" s="30" t="str">
        <x:v>CA020</x:v>
      </x:c>
      <x:c r="D218" s="30" t="str">
        <x:v>Maintain temperature mapping reports, protocols and validation records.</x:v>
      </x:c>
      <x:c r="E218" s="30"/>
      <x:c r="F218" s="30" t="str">
        <x:v>Best Practice / Regulatory Expectation</x:v>
      </x:c>
      <x:c r="G218" s="30" t="str">
        <x:v>Continuous</x:v>
      </x:c>
      <x:c r="H218" s="30" t="str">
        <x:v>Throughout retention period</x:v>
      </x:c>
      <x:c r="I218" s="30" t="str">
        <x:v>Quality Assurance Officer</x:v>
      </x:c>
      <x:c r="J218" s="30" t="str">
        <x:v>Inspection observations</x:v>
      </x:c>
      <x:c r="K218" s="30"/>
      <x:c r="L218" s="30" t="str">
        <x:v>CORE</x:v>
      </x:c>
      <x:c r="M218" s="30" t="str">
        <x:v>Yes</x:v>
      </x:c>
      <x:c r="N218" s="30" t="str">
        <x:v>P-4 non-statutory guidance/internal implementation control; exact binding instrument remains separately mapped.</x:v>
      </x:c>
    </x:row>
    <x:row r="219">
      <x:c r="A219" s="30" t="str">
        <x:v>COMP218</x:v>
      </x:c>
      <x:c r="B219" s="30" t="str">
        <x:v>PROV218</x:v>
      </x:c>
      <x:c r="C219" s="30" t="str">
        <x:v>CA009</x:v>
      </x:c>
      <x:c r="D219" s="30" t="str">
        <x:v>Calibrate all critical measuring instruments at approved intervals.</x:v>
      </x:c>
      <x:c r="E219" s="30"/>
      <x:c r="F219" s="30" t="str">
        <x:v>Best Practice / Regulatory Expectation</x:v>
      </x:c>
      <x:c r="G219" s="30" t="str">
        <x:v>As Scheduled</x:v>
      </x:c>
      <x:c r="H219" s="30" t="str">
        <x:v>Before calibration due date</x:v>
      </x:c>
      <x:c r="I219" s="30" t="str">
        <x:v>Maintenance Manager</x:v>
      </x:c>
      <x:c r="J219" s="30" t="str">
        <x:v>Inaccurate measurements</x:v>
      </x:c>
      <x:c r="K219" s="30"/>
      <x:c r="L219" s="30" t="str">
        <x:v>CORE</x:v>
      </x:c>
      <x:c r="M219" s="30" t="str">
        <x:v>Yes</x:v>
      </x:c>
      <x:c r="N219" s="30" t="str">
        <x:v>P-4 non-statutory guidance/internal implementation control; exact binding instrument remains separately mapped.</x:v>
      </x:c>
    </x:row>
    <x:row r="220">
      <x:c r="A220" s="30" t="str">
        <x:v>COMP219</x:v>
      </x:c>
      <x:c r="B220" s="30" t="str">
        <x:v>PROV219</x:v>
      </x:c>
      <x:c r="C220" s="30" t="str">
        <x:v>CA009</x:v>
      </x:c>
      <x:c r="D220" s="30" t="str">
        <x:v>Qualify equipment before operational use and after major repairs where required.</x:v>
      </x:c>
      <x:c r="E220" s="30"/>
      <x:c r="F220" s="30" t="str">
        <x:v>Best Practice / Regulatory Expectation</x:v>
      </x:c>
      <x:c r="G220" s="30" t="str">
        <x:v>Event Based</x:v>
      </x:c>
      <x:c r="H220" s="30" t="str">
        <x:v>Before use</x:v>
      </x:c>
      <x:c r="I220" s="30" t="str">
        <x:v>Quality Assurance Officer</x:v>
      </x:c>
      <x:c r="J220" s="30" t="str">
        <x:v>Equipment qualification failure</x:v>
      </x:c>
      <x:c r="K220" s="30"/>
      <x:c r="L220" s="30" t="str">
        <x:v>CORE</x:v>
      </x:c>
      <x:c r="M220" s="30" t="str">
        <x:v>Yes</x:v>
      </x:c>
      <x:c r="N220" s="30" t="str">
        <x:v>P-4 non-statutory guidance/internal implementation control; exact binding instrument remains separately mapped.</x:v>
      </x:c>
    </x:row>
    <x:row r="221">
      <x:c r="A221" s="30" t="str">
        <x:v>COMP220</x:v>
      </x:c>
      <x:c r="B221" s="30" t="str">
        <x:v>PROV220</x:v>
      </x:c>
      <x:c r="C221" s="30" t="str">
        <x:v>CA009</x:v>
      </x:c>
      <x:c r="D221" s="30" t="str">
        <x:v>Implement a documented preventive maintenance programme for critical equipment.</x:v>
      </x:c>
      <x:c r="E221" s="30"/>
      <x:c r="F221" s="30" t="str">
        <x:v>Best Practice / Regulatory Expectation</x:v>
      </x:c>
      <x:c r="G221" s="30" t="str">
        <x:v>As Scheduled</x:v>
      </x:c>
      <x:c r="H221" s="30" t="str">
        <x:v>According to maintenance plan</x:v>
      </x:c>
      <x:c r="I221" s="30" t="str">
        <x:v>Maintenance Manager</x:v>
      </x:c>
      <x:c r="J221" s="30" t="str">
        <x:v>Equipment breakdown</x:v>
      </x:c>
      <x:c r="K221" s="30"/>
      <x:c r="L221" s="30" t="str">
        <x:v>CORE</x:v>
      </x:c>
      <x:c r="M221" s="30" t="str">
        <x:v>Yes</x:v>
      </x:c>
      <x:c r="N221" s="30" t="str">
        <x:v>P-4 non-statutory guidance/internal implementation control; exact binding instrument remains separately mapped.</x:v>
      </x:c>
    </x:row>
    <x:row r="222">
      <x:c r="A222" s="30" t="str">
        <x:v>COMP221</x:v>
      </x:c>
      <x:c r="B222" s="30" t="str">
        <x:v>PROV221</x:v>
      </x:c>
      <x:c r="C222" s="30" t="str">
        <x:v>CA020</x:v>
      </x:c>
      <x:c r="D222" s="30" t="str">
        <x:v>Maintain calibration certificates and calibration history for all critical instruments.</x:v>
      </x:c>
      <x:c r="E222" s="30"/>
      <x:c r="F222" s="30" t="str">
        <x:v>Best Practice / Regulatory Expectation</x:v>
      </x:c>
      <x:c r="G222" s="30" t="str">
        <x:v>Continuous</x:v>
      </x:c>
      <x:c r="H222" s="30" t="str">
        <x:v>After every calibration</x:v>
      </x:c>
      <x:c r="I222" s="30" t="str">
        <x:v>Maintenance Manager</x:v>
      </x:c>
      <x:c r="J222" s="30" t="str">
        <x:v>Inspection observations</x:v>
      </x:c>
      <x:c r="K222" s="30"/>
      <x:c r="L222" s="30" t="str">
        <x:v>CORE</x:v>
      </x:c>
      <x:c r="M222" s="30" t="str">
        <x:v>Yes</x:v>
      </x:c>
      <x:c r="N222" s="30" t="str">
        <x:v>P-4 non-statutory guidance/internal implementation control; exact binding instrument remains separately mapped.</x:v>
      </x:c>
    </x:row>
    <x:row r="223">
      <x:c r="A223" s="30" t="str">
        <x:v>COMP222</x:v>
      </x:c>
      <x:c r="B223" s="30" t="str">
        <x:v>PROV222</x:v>
      </x:c>
      <x:c r="C223" s="30" t="str">
        <x:v>CA009</x:v>
      </x:c>
      <x:c r="D223" s="30" t="str">
        <x:v>Verify equipment performance following maintenance or calibration activities.</x:v>
      </x:c>
      <x:c r="E223" s="30"/>
      <x:c r="F223" s="30" t="str">
        <x:v>Best Practice / Regulatory Expectation</x:v>
      </x:c>
      <x:c r="G223" s="30" t="str">
        <x:v>Event Based</x:v>
      </x:c>
      <x:c r="H223" s="30" t="str">
        <x:v>Before returning equipment to service</x:v>
      </x:c>
      <x:c r="I223" s="30" t="str">
        <x:v>Maintenance Manager</x:v>
      </x:c>
      <x:c r="J223" s="30" t="str">
        <x:v>Invalid measurement results</x:v>
      </x:c>
      <x:c r="K223" s="30"/>
      <x:c r="L223" s="30" t="str">
        <x:v>CORE</x:v>
      </x:c>
      <x:c r="M223" s="30" t="str">
        <x:v>Yes</x:v>
      </x:c>
      <x:c r="N223" s="30" t="str">
        <x:v>P-4 non-statutory guidance/internal implementation control; exact binding instrument remains separately mapped.</x:v>
      </x:c>
    </x:row>
    <x:row r="224">
      <x:c r="A224" s="30" t="str">
        <x:v>COMP223</x:v>
      </x:c>
      <x:c r="B224" s="30" t="str">
        <x:v>PROV223</x:v>
      </x:c>
      <x:c r="C224" s="30" t="str">
        <x:v>CA009</x:v>
      </x:c>
      <x:c r="D224" s="30" t="str">
        <x:v>Clearly identify and segregate equipment that is overdue for calibration or found to be defective.</x:v>
      </x:c>
      <x:c r="E224" s="30"/>
      <x:c r="F224" s="30" t="str">
        <x:v>Best Practice / Regulatory Expectation</x:v>
      </x:c>
      <x:c r="G224" s="30" t="str">
        <x:v>Continuous</x:v>
      </x:c>
      <x:c r="H224" s="30" t="str">
        <x:v>Immediately upon identification</x:v>
      </x:c>
      <x:c r="I224" s="30" t="str">
        <x:v>Maintenance Manager</x:v>
      </x:c>
      <x:c r="J224" s="30" t="str">
        <x:v>Product quality risk</x:v>
      </x:c>
      <x:c r="K224" s="30"/>
      <x:c r="L224" s="30" t="str">
        <x:v>CORE</x:v>
      </x:c>
      <x:c r="M224" s="30" t="str">
        <x:v>Yes</x:v>
      </x:c>
      <x:c r="N224" s="30" t="str">
        <x:v>P-4 non-statutory guidance/internal implementation control; exact binding instrument remains separately mapped.</x:v>
      </x:c>
    </x:row>
    <x:row r="225">
      <x:c r="A225" s="30" t="str">
        <x:v>COMP224</x:v>
      </x:c>
      <x:c r="B225" s="30" t="str">
        <x:v>PROV224</x:v>
      </x:c>
      <x:c r="C225" s="30" t="str">
        <x:v>CA009</x:v>
      </x:c>
      <x:c r="D225" s="30" t="str">
        <x:v>Ensure calibration is traceable to nationally or internationally recognized standards.</x:v>
      </x:c>
      <x:c r="E225" s="30"/>
      <x:c r="F225" s="30" t="str">
        <x:v>Best Practice / Regulatory Expectation</x:v>
      </x:c>
      <x:c r="G225" s="30" t="str">
        <x:v>At Each Calibration</x:v>
      </x:c>
      <x:c r="H225" s="30" t="str">
        <x:v>During every calibration</x:v>
      </x:c>
      <x:c r="I225" s="30" t="str">
        <x:v>Maintenance Manager</x:v>
      </x:c>
      <x:c r="J225" s="30" t="str">
        <x:v>Invalid calibration</x:v>
      </x:c>
      <x:c r="K225" s="30"/>
      <x:c r="L225" s="30" t="str">
        <x:v>CORE</x:v>
      </x:c>
      <x:c r="M225" s="30" t="str">
        <x:v>Yes</x:v>
      </x:c>
      <x:c r="N225" s="30" t="str">
        <x:v>P-4 non-statutory guidance/internal implementation control; exact binding instrument remains separately mapped.</x:v>
      </x:c>
    </x:row>
    <x:row r="226">
      <x:c r="A226" s="30" t="str">
        <x:v>COMP225</x:v>
      </x:c>
      <x:c r="B226" s="30" t="str">
        <x:v>PROV225</x:v>
      </x:c>
      <x:c r="C226" s="30" t="str">
        <x:v>CA083</x:v>
      </x:c>
      <x:c r="D226" s="30" t="str">
        <x:v>Periodically review the effectiveness of the calibration and maintenance programme.</x:v>
      </x:c>
      <x:c r="E226" s="30"/>
      <x:c r="F226" s="30" t="str">
        <x:v>Best Practice / Regulatory Expectation</x:v>
      </x:c>
      <x:c r="G226" s="30" t="str">
        <x:v>Annual</x:v>
      </x:c>
      <x:c r="H226" s="30" t="str">
        <x:v>During management review</x:v>
      </x:c>
      <x:c r="I226" s="30" t="str">
        <x:v>Quality Assurance Officer</x:v>
      </x:c>
      <x:c r="J226" s="30" t="str">
        <x:v>Internal audit observations</x:v>
      </x:c>
      <x:c r="K226" s="30"/>
      <x:c r="L226" s="30" t="str">
        <x:v>CORE</x:v>
      </x:c>
      <x:c r="M226" s="30" t="str">
        <x:v>Yes</x:v>
      </x:c>
      <x:c r="N226" s="30" t="str">
        <x:v>P-4 non-statutory guidance/internal implementation control; exact binding instrument remains separately mapped.</x:v>
      </x:c>
    </x:row>
    <x:row r="227">
      <x:c r="A227" s="30" t="str">
        <x:v>COMP226</x:v>
      </x:c>
      <x:c r="B227" s="30" t="str">
        <x:v>PROV226</x:v>
      </x:c>
      <x:c r="C227" s="30" t="str">
        <x:v>CA072</x:v>
      </x:c>
      <x:c r="D227" s="30" t="str">
        <x:v>Synchronise ICT system clocks to NIC/NPL traceable NTP servers or another accurate time source traceable to them.</x:v>
      </x:c>
      <x:c r="E227" s="30"/>
      <x:c r="F227" s="30" t="str">
        <x:v>Conditional</x:v>
      </x:c>
      <x:c r="G227" s="30" t="str">
        <x:v>Continuous</x:v>
      </x:c>
      <x:c r="H227" s="30" t="str">
        <x:v>Continuous while within the Directions</x:v>
      </x:c>
      <x:c r="I227" s="30" t="str">
        <x:v>IT Security Lead</x:v>
      </x:c>
      <x:c r="J227" s="30" t="str">
        <x:v>Cybersecurity incidents, regulatory observations</x:v>
      </x:c>
      <x:c r="K227" s="30"/>
      <x:c r="L227" s="30" t="str">
        <x:v>CORE</x:v>
      </x:c>
      <x:c r="M227" s="30" t="str">
        <x:v>Yes</x:v>
      </x:c>
      <x:c r="N227" s="30" t="str">
        <x:v>P-3 CERT-In clause (i).</x:v>
      </x:c>
    </x:row>
    <x:row r="228">
      <x:c r="A228" s="30" t="str">
        <x:v>COMP227</x:v>
      </x:c>
      <x:c r="B228" s="30" t="str">
        <x:v>PROV227</x:v>
      </x:c>
      <x:c r="C228" s="30" t="str">
        <x:v>CA072</x:v>
      </x:c>
      <x:c r="D228" s="30" t="str">
        <x:v>Report any specified Annexure I cyber incident to CERT-In within six hours of noticing it or being informed.</x:v>
      </x:c>
      <x:c r="E228" s="30"/>
      <x:c r="F228" s="30" t="str">
        <x:v>Conditional</x:v>
      </x:c>
      <x:c r="G228" s="30" t="str">
        <x:v>Event Based</x:v>
      </x:c>
      <x:c r="H228" s="30" t="str">
        <x:v>Within six hours</x:v>
      </x:c>
      <x:c r="I228" s="30" t="str">
        <x:v>CERT-In Point of Contact</x:v>
      </x:c>
      <x:c r="J228" s="30" t="str">
        <x:v>Regulatory action</x:v>
      </x:c>
      <x:c r="K228" s="30" t="str">
        <x:v>Critical</x:v>
      </x:c>
      <x:c r="L228" s="30" t="str">
        <x:v>CORE</x:v>
      </x:c>
      <x:c r="M228" s="30" t="str">
        <x:v>Yes</x:v>
      </x:c>
      <x:c r="N228" s="30" t="str">
        <x:v>P-3 CERT-In clause (ii).</x:v>
      </x:c>
    </x:row>
    <x:row r="229">
      <x:c r="A229" s="30" t="str">
        <x:v>COMP228</x:v>
      </x:c>
      <x:c r="B229" s="30" t="str">
        <x:v>PROV228</x:v>
      </x:c>
      <x:c r="C229" s="30" t="str">
        <x:v>CA072</x:v>
      </x:c>
      <x:c r="D229" s="30" t="str">
        <x:v>Enable ICT logs, retain them securely for a rolling 180 days within Indian jurisdiction and provide them to CERT-In when lawfully required.</x:v>
      </x:c>
      <x:c r="E229" s="30"/>
      <x:c r="F229" s="30" t="str">
        <x:v>Conditional</x:v>
      </x:c>
      <x:c r="G229" s="30" t="str">
        <x:v>Continuous</x:v>
      </x:c>
      <x:c r="H229" s="30" t="str">
        <x:v>Rolling 180 days</x:v>
      </x:c>
      <x:c r="I229" s="30" t="str">
        <x:v>IT Security Lead</x:v>
      </x:c>
      <x:c r="J229" s="30" t="str">
        <x:v>Unauthorized access</x:v>
      </x:c>
      <x:c r="K229" s="30" t="str">
        <x:v>High</x:v>
      </x:c>
      <x:c r="L229" s="30" t="str">
        <x:v>CORE</x:v>
      </x:c>
      <x:c r="M229" s="30" t="str">
        <x:v>Yes</x:v>
      </x:c>
      <x:c r="N229" s="30" t="str">
        <x:v>P-3 CERT-In clause (iv).</x:v>
      </x:c>
    </x:row>
    <x:row r="230">
      <x:c r="A230" s="30" t="str">
        <x:v>COMP229</x:v>
      </x:c>
      <x:c r="B230" s="30" t="str">
        <x:v>PROV229</x:v>
      </x:c>
      <x:c r="C230" s="30" t="str">
        <x:v>CA072</x:v>
      </x:c>
      <x:c r="D230" s="30" t="str">
        <x:v>Designate, communicate and keep current the prescribed CERT-In point-of-contact details.</x:v>
      </x:c>
      <x:c r="E230" s="30"/>
      <x:c r="F230" s="30" t="str">
        <x:v>Conditional</x:v>
      </x:c>
      <x:c r="G230" s="30" t="str">
        <x:v>As Applicable</x:v>
      </x:c>
      <x:c r="H230" s="30" t="str">
        <x:v>Before/while within scope; update on change</x:v>
      </x:c>
      <x:c r="I230" s="30" t="str">
        <x:v>IT Security Lead</x:v>
      </x:c>
      <x:c r="J230" s="30" t="str">
        <x:v>Increased cyber risk</x:v>
      </x:c>
      <x:c r="K230" s="30"/>
      <x:c r="L230" s="30" t="str">
        <x:v>CORE</x:v>
      </x:c>
      <x:c r="M230" s="30" t="str">
        <x:v>Yes</x:v>
      </x:c>
      <x:c r="N230" s="30" t="str">
        <x:v>P-3 CERT-In clause (v).</x:v>
      </x:c>
    </x:row>
    <x:row r="231">
      <x:c r="A231" s="30" t="str">
        <x:v>COMP230</x:v>
      </x:c>
      <x:c r="B231" s="30" t="str">
        <x:v>PROV230</x:v>
      </x:c>
      <x:c r="C231" s="30" t="str">
        <x:v>CA071</x:v>
      </x:c>
      <x:c r="D231" s="30" t="str">
        <x:v>Publish and maintain an up-to-date privacy notice describing personal data processing activities.</x:v>
      </x:c>
      <x:c r="E231" s="30"/>
      <x:c r="F231" s="30" t="str">
        <x:v>Optional</x:v>
      </x:c>
      <x:c r="G231" s="30" t="str">
        <x:v>As Applicable</x:v>
      </x:c>
      <x:c r="H231" s="30" t="str">
        <x:v>Upon significant policy changes</x:v>
      </x:c>
      <x:c r="I231" s="30" t="str">
        <x:v>Data Protection Officer</x:v>
      </x:c>
      <x:c r="J231" s="30" t="str">
        <x:v>Regulatory penalties</x:v>
      </x:c>
      <x:c r="K231" s="30"/>
      <x:c r="L231" s="30" t="str">
        <x:v>CORE</x:v>
      </x:c>
      <x:c r="M231" s="30" t="str">
        <x:v>No</x:v>
      </x:c>
      <x:c r="N231" s="30" t="str">
        <x:v>P-3 QUARANTINED: Generic State/local/permit/reference rows, penalty-only/fabricated DAMR extractions, and future-effective DPDP duties are not current production obligations.</x:v>
      </x:c>
    </x:row>
    <x:row r="232">
      <x:c r="A232" s="30" t="str">
        <x:v>COMP231</x:v>
      </x:c>
      <x:c r="B232" s="30" t="str">
        <x:v>PROV231</x:v>
      </x:c>
      <x:c r="C232" s="30" t="str">
        <x:v>CA071</x:v>
      </x:c>
      <x:c r="D232" s="30" t="str">
        <x:v>Obtain valid consent wherever consent is the lawful basis for processing personal data.</x:v>
      </x:c>
      <x:c r="E232" s="30"/>
      <x:c r="F232" s="30" t="str">
        <x:v>Optional</x:v>
      </x:c>
      <x:c r="G232" s="30" t="str">
        <x:v>As Applicable</x:v>
      </x:c>
      <x:c r="H232" s="30" t="str">
        <x:v>Before data collection</x:v>
      </x:c>
      <x:c r="I232" s="30" t="str">
        <x:v>Data Protection Officer</x:v>
      </x:c>
      <x:c r="J232" s="30" t="str">
        <x:v>DPDP non-compliance</x:v>
      </x:c>
      <x:c r="K232" s="30"/>
      <x:c r="L232" s="30" t="str">
        <x:v>CORE</x:v>
      </x:c>
      <x:c r="M232" s="30" t="str">
        <x:v>No</x:v>
      </x:c>
      <x:c r="N232" s="30" t="str">
        <x:v>P-3 QUARANTINED: Generic State/local/permit/reference rows, penalty-only/fabricated DAMR extractions, and future-effective DPDP duties are not current production obligations.</x:v>
      </x:c>
    </x:row>
    <x:row r="233">
      <x:c r="A233" s="30" t="str">
        <x:v>COMP232</x:v>
      </x:c>
      <x:c r="B233" s="30" t="str">
        <x:v>PROV232</x:v>
      </x:c>
      <x:c r="C233" s="30" t="str">
        <x:v>CA071</x:v>
      </x:c>
      <x:c r="D233" s="30" t="str">
        <x:v>Maintain records of consent and data processing activities where required.</x:v>
      </x:c>
      <x:c r="E233" s="30"/>
      <x:c r="F233" s="30" t="str">
        <x:v>Optional</x:v>
      </x:c>
      <x:c r="G233" s="30" t="str">
        <x:v>Event Based</x:v>
      </x:c>
      <x:c r="H233" s="30" t="str">
        <x:v>At every applicable transaction</x:v>
      </x:c>
      <x:c r="I233" s="30" t="str">
        <x:v>Data Protection Officer</x:v>
      </x:c>
      <x:c r="J233" s="30" t="str">
        <x:v>Regulatory observations</x:v>
      </x:c>
      <x:c r="K233" s="30"/>
      <x:c r="L233" s="30" t="str">
        <x:v>CORE</x:v>
      </x:c>
      <x:c r="M233" s="30" t="str">
        <x:v>No</x:v>
      </x:c>
      <x:c r="N233" s="30" t="str">
        <x:v>P-3 QUARANTINED: Generic State/local/permit/reference rows, penalty-only/fabricated DAMR extractions, and future-effective DPDP duties are not current production obligations.</x:v>
      </x:c>
    </x:row>
    <x:row r="234">
      <x:c r="A234" s="30" t="str">
        <x:v>COMP233</x:v>
      </x:c>
      <x:c r="B234" s="30" t="str">
        <x:v>PROV233</x:v>
      </x:c>
      <x:c r="C234" s="30" t="str">
        <x:v>CA071</x:v>
      </x:c>
      <x:c r="D234" s="30" t="str">
        <x:v>Process requests from Data Principals within the timelines prescribed under applicable law.</x:v>
      </x:c>
      <x:c r="E234" s="30"/>
      <x:c r="F234" s="30" t="str">
        <x:v>Optional</x:v>
      </x:c>
      <x:c r="G234" s="30" t="str">
        <x:v>Event Based</x:v>
      </x:c>
      <x:c r="H234" s="30" t="str">
        <x:v>Within statutory timeline</x:v>
      </x:c>
      <x:c r="I234" s="30" t="str">
        <x:v>Data Protection Officer</x:v>
      </x:c>
      <x:c r="J234" s="30" t="str">
        <x:v>Monetary penalties</x:v>
      </x:c>
      <x:c r="K234" s="30"/>
      <x:c r="L234" s="30" t="str">
        <x:v>CORE</x:v>
      </x:c>
      <x:c r="M234" s="30" t="str">
        <x:v>No</x:v>
      </x:c>
      <x:c r="N234" s="30" t="str">
        <x:v>P-3 QUARANTINED: Generic State/local/permit/reference rows, penalty-only/fabricated DAMR extractions, and future-effective DPDP duties are not current production obligations.</x:v>
      </x:c>
    </x:row>
    <x:row r="235">
      <x:c r="A235" s="30" t="str">
        <x:v>COMP234</x:v>
      </x:c>
      <x:c r="B235" s="30" t="str">
        <x:v>PROV234</x:v>
      </x:c>
      <x:c r="C235" s="30" t="str">
        <x:v>CA071</x:v>
      </x:c>
      <x:c r="D235" s="30" t="str">
        <x:v>Implement safeguards to prevent unauthorized disclosure or misuse of personal data.</x:v>
      </x:c>
      <x:c r="E235" s="30"/>
      <x:c r="F235" s="30" t="str">
        <x:v>Optional</x:v>
      </x:c>
      <x:c r="G235" s="30" t="str">
        <x:v>As Applicable</x:v>
      </x:c>
      <x:c r="H235" s="30" t="str">
        <x:v>Throughout operations</x:v>
      </x:c>
      <x:c r="I235" s="30" t="str">
        <x:v>Data Protection Officer</x:v>
      </x:c>
      <x:c r="J235" s="30" t="str">
        <x:v>Privacy breach</x:v>
      </x:c>
      <x:c r="K235" s="30"/>
      <x:c r="L235" s="30" t="str">
        <x:v>CORE</x:v>
      </x:c>
      <x:c r="M235" s="30" t="str">
        <x:v>No</x:v>
      </x:c>
      <x:c r="N235" s="30" t="str">
        <x:v>P-3 QUARANTINED: Generic State/local/permit/reference rows, penalty-only/fabricated DAMR extractions, and future-effective DPDP duties are not current production obligations.</x:v>
      </x:c>
    </x:row>
    <x:row r="236">
      <x:c r="A236" s="30" t="str">
        <x:v>COMP235</x:v>
      </x:c>
      <x:c r="B236" s="30" t="str">
        <x:v>PROV235</x:v>
      </x:c>
      <x:c r="C236" s="30" t="str">
        <x:v>CA071</x:v>
      </x:c>
      <x:c r="D236" s="30" t="str">
        <x:v>Maintain records of personal data breaches and corrective actions taken.</x:v>
      </x:c>
      <x:c r="E236" s="30"/>
      <x:c r="F236" s="30" t="str">
        <x:v>Optional</x:v>
      </x:c>
      <x:c r="G236" s="30" t="str">
        <x:v>As Applicable</x:v>
      </x:c>
      <x:c r="H236" s="30" t="str">
        <x:v>Immediately after breach resolution</x:v>
      </x:c>
      <x:c r="I236" s="30" t="str">
        <x:v>Data Protection Officer</x:v>
      </x:c>
      <x:c r="J236" s="30" t="str">
        <x:v>Regulatory action</x:v>
      </x:c>
      <x:c r="K236" s="30"/>
      <x:c r="L236" s="30" t="str">
        <x:v>CORE</x:v>
      </x:c>
      <x:c r="M236" s="30" t="str">
        <x:v>No</x:v>
      </x:c>
      <x:c r="N236" s="30" t="str">
        <x:v>P-3 QUARANTINED: Generic State/local/permit/reference rows, penalty-only/fabricated DAMR extractions, and future-effective DPDP duties are not current production obligations.</x:v>
      </x:c>
    </x:row>
    <x:row r="237">
      <x:c r="A237" s="30" t="str">
        <x:v>COMP236</x:v>
      </x:c>
      <x:c r="B237" s="30" t="str">
        <x:v>PROV236</x:v>
      </x:c>
      <x:c r="C237" s="30" t="str">
        <x:v>CA077</x:v>
      </x:c>
      <x:c r="D237" s="30" t="str">
        <x:v>Maintain pharmacy premises, records and operations in a state of inspection readiness at all times.</x:v>
      </x:c>
      <x:c r="E237" s="30"/>
      <x:c r="F237" s="30" t="str">
        <x:v>Optional</x:v>
      </x:c>
      <x:c r="G237" s="30" t="str">
        <x:v>Continuous</x:v>
      </x:c>
      <x:c r="H237" s="30" t="str">
        <x:v>Throughout operations</x:v>
      </x:c>
      <x:c r="I237" s="30" t="str">
        <x:v>Pharmacy Manager</x:v>
      </x:c>
      <x:c r="J237" s="30" t="str">
        <x:v>Reduced compliance assurance; no standalone statutory penalty</x:v>
      </x:c>
      <x:c r="K237" s="30"/>
      <x:c r="L237" s="30" t="str">
        <x:v>CORE</x:v>
      </x:c>
      <x:c r="M237" s="30" t="str">
        <x:v>Yes</x:v>
      </x:c>
      <x:c r="N237" s="30" t="str">
        <x:v>P-3 RECLASSIFIED: optional internal governance control under LAW099.</x:v>
      </x:c>
    </x:row>
    <x:row r="238">
      <x:c r="A238" s="30" t="str">
        <x:v>COMP237</x:v>
      </x:c>
      <x:c r="B238" s="30" t="str">
        <x:v>PROV237</x:v>
      </x:c>
      <x:c r="C238" s="30" t="str">
        <x:v>CA019</x:v>
      </x:c>
      <x:c r="D238" s="30" t="str">
        <x:v>Ensure statutory licences, approvals and registers are readily available for inspection.</x:v>
      </x:c>
      <x:c r="E238" s="30"/>
      <x:c r="F238" s="30" t="str">
        <x:v>Optional</x:v>
      </x:c>
      <x:c r="G238" s="30" t="str">
        <x:v>Continuous</x:v>
      </x:c>
      <x:c r="H238" s="30" t="str">
        <x:v>Throughout operations</x:v>
      </x:c>
      <x:c r="I238" s="30" t="str">
        <x:v>Compliance Officer</x:v>
      </x:c>
      <x:c r="J238" s="30" t="str">
        <x:v>Reduced compliance assurance; no standalone statutory penalty</x:v>
      </x:c>
      <x:c r="K238" s="30"/>
      <x:c r="L238" s="30" t="str">
        <x:v>CORE</x:v>
      </x:c>
      <x:c r="M238" s="30" t="str">
        <x:v>Yes</x:v>
      </x:c>
      <x:c r="N238" s="30" t="str">
        <x:v>P-3 RECLASSIFIED: optional internal governance control under LAW099.</x:v>
      </x:c>
    </x:row>
    <x:row r="239">
      <x:c r="A239" s="30" t="str">
        <x:v>COMP238</x:v>
      </x:c>
      <x:c r="B239" s="30" t="str">
        <x:v>PROV238</x:v>
      </x:c>
      <x:c r="C239" s="30" t="str">
        <x:v>CA096</x:v>
      </x:c>
      <x:c r="D239" s="30" t="str">
        <x:v>Maintain approved Standard Operating Procedures (SOPs) for all critical pharmacy processes.</x:v>
      </x:c>
      <x:c r="E239" s="30"/>
      <x:c r="F239" s="30" t="str">
        <x:v>Optional</x:v>
      </x:c>
      <x:c r="G239" s="30" t="str">
        <x:v>Continuous</x:v>
      </x:c>
      <x:c r="H239" s="30" t="str">
        <x:v>Ongoing</x:v>
      </x:c>
      <x:c r="I239" s="30" t="str">
        <x:v>Quality Assurance Officer</x:v>
      </x:c>
      <x:c r="J239" s="30" t="str">
        <x:v>Reduced compliance assurance; no standalone statutory penalty</x:v>
      </x:c>
      <x:c r="K239" s="30"/>
      <x:c r="L239" s="30" t="str">
        <x:v>CORE</x:v>
      </x:c>
      <x:c r="M239" s="30" t="str">
        <x:v>Yes</x:v>
      </x:c>
      <x:c r="N239" s="30" t="str">
        <x:v>P-3 RECLASSIFIED: optional internal governance control under LAW099.</x:v>
      </x:c>
    </x:row>
    <x:row r="240">
      <x:c r="A240" s="30" t="str">
        <x:v>COMP239</x:v>
      </x:c>
      <x:c r="B240" s="30" t="str">
        <x:v>PROV239</x:v>
      </x:c>
      <x:c r="C240" s="30" t="str">
        <x:v>CA097</x:v>
      </x:c>
      <x:c r="D240" s="30" t="str">
        <x:v>Review and respond to inspection observations within timelines prescribed by the authority.</x:v>
      </x:c>
      <x:c r="E240" s="30"/>
      <x:c r="F240" s="30" t="str">
        <x:v>Optional</x:v>
      </x:c>
      <x:c r="G240" s="30" t="str">
        <x:v>Event Based</x:v>
      </x:c>
      <x:c r="H240" s="30" t="str">
        <x:v>Within prescribed timeline</x:v>
      </x:c>
      <x:c r="I240" s="30" t="str">
        <x:v>Compliance Officer</x:v>
      </x:c>
      <x:c r="J240" s="30" t="str">
        <x:v>Reduced compliance assurance; no standalone statutory penalty</x:v>
      </x:c>
      <x:c r="K240" s="30"/>
      <x:c r="L240" s="30" t="str">
        <x:v>CORE</x:v>
      </x:c>
      <x:c r="M240" s="30" t="str">
        <x:v>Yes</x:v>
      </x:c>
      <x:c r="N240" s="30" t="str">
        <x:v>P-3 RECLASSIFIED: optional internal governance control under LAW099.</x:v>
      </x:c>
    </x:row>
    <x:row r="241">
      <x:c r="A241" s="30" t="str">
        <x:v>COMP240</x:v>
      </x:c>
      <x:c r="B241" s="30" t="str">
        <x:v>PROV240</x:v>
      </x:c>
      <x:c r="C241" s="30" t="str">
        <x:v>CA098</x:v>
      </x:c>
      <x:c r="D241" s="30" t="str">
        <x:v>Implement corrective and preventive actions (CAPA) for all regulatory inspection observations.</x:v>
      </x:c>
      <x:c r="E241" s="30"/>
      <x:c r="F241" s="30" t="str">
        <x:v>Optional</x:v>
      </x:c>
      <x:c r="G241" s="30" t="str">
        <x:v>Event Based</x:v>
      </x:c>
      <x:c r="H241" s="30" t="str">
        <x:v>As per CAPA plan</x:v>
      </x:c>
      <x:c r="I241" s="30" t="str">
        <x:v>Quality Assurance Officer</x:v>
      </x:c>
      <x:c r="J241" s="30" t="str">
        <x:v>Reduced compliance assurance; no standalone statutory penalty</x:v>
      </x:c>
      <x:c r="K241" s="30"/>
      <x:c r="L241" s="30" t="str">
        <x:v>CORE</x:v>
      </x:c>
      <x:c r="M241" s="30" t="str">
        <x:v>Yes</x:v>
      </x:c>
      <x:c r="N241" s="30" t="str">
        <x:v>P-3 RECLASSIFIED: optional internal governance control under LAW099.</x:v>
      </x:c>
    </x:row>
    <x:row r="242">
      <x:c r="A242" s="30" t="str">
        <x:v>COMP241</x:v>
      </x:c>
      <x:c r="B242" s="30" t="str">
        <x:v>PROV241</x:v>
      </x:c>
      <x:c r="C242" s="30" t="str">
        <x:v>CA083</x:v>
      </x:c>
      <x:c r="D242" s="30" t="str">
        <x:v>Conduct periodic internal compliance reviews covering all applicable pharmacy regulations.</x:v>
      </x:c>
      <x:c r="E242" s="30"/>
      <x:c r="F242" s="30" t="str">
        <x:v>Optional</x:v>
      </x:c>
      <x:c r="G242" s="30" t="str">
        <x:v>Quarterly</x:v>
      </x:c>
      <x:c r="H242" s="30" t="str">
        <x:v>As per audit calendar</x:v>
      </x:c>
      <x:c r="I242" s="30" t="str">
        <x:v>Internal Auditor</x:v>
      </x:c>
      <x:c r="J242" s="30" t="str">
        <x:v>Reduced compliance assurance; no standalone statutory penalty</x:v>
      </x:c>
      <x:c r="K242" s="30"/>
      <x:c r="L242" s="30" t="str">
        <x:v>CORE</x:v>
      </x:c>
      <x:c r="M242" s="30" t="str">
        <x:v>Yes</x:v>
      </x:c>
      <x:c r="N242" s="30" t="str">
        <x:v>P-3 RECLASSIFIED: optional internal governance control under LAW099.</x:v>
      </x:c>
    </x:row>
    <x:row r="243">
      <x:c r="A243" s="30" t="str">
        <x:v>COMP242</x:v>
      </x:c>
      <x:c r="B243" s="30" t="str">
        <x:v>PROV242</x:v>
      </x:c>
      <x:c r="C243" s="30" t="str">
        <x:v>CA099</x:v>
      </x:c>
      <x:c r="D243" s="30" t="str">
        <x:v>Establish and maintain an enterprise compliance governance framework.</x:v>
      </x:c>
      <x:c r="E243" s="30"/>
      <x:c r="F243" s="30" t="str">
        <x:v>Optional</x:v>
      </x:c>
      <x:c r="G243" s="30" t="str">
        <x:v>Continuous</x:v>
      </x:c>
      <x:c r="H243" s="30" t="str">
        <x:v>Throughout operations</x:v>
      </x:c>
      <x:c r="I243" s="30" t="str">
        <x:v>Compliance Head</x:v>
      </x:c>
      <x:c r="J243" s="30" t="str">
        <x:v>Reduced compliance assurance; no standalone statutory penalty</x:v>
      </x:c>
      <x:c r="K243" s="30"/>
      <x:c r="L243" s="30" t="str">
        <x:v>CORE</x:v>
      </x:c>
      <x:c r="M243" s="30" t="str">
        <x:v>Yes</x:v>
      </x:c>
      <x:c r="N243" s="30" t="str">
        <x:v>P-3 RECLASSIFIED: optional internal governance control under LAW099.</x:v>
      </x:c>
    </x:row>
    <x:row r="244">
      <x:c r="A244" s="30" t="str">
        <x:v>COMP243</x:v>
      </x:c>
      <x:c r="B244" s="30" t="str">
        <x:v>PROV243</x:v>
      </x:c>
      <x:c r="C244" s="30" t="str">
        <x:v>CA100</x:v>
      </x:c>
      <x:c r="D244" s="30" t="str">
        <x:v>Assign clear ownership and accountability for every regulatory compliance obligation.</x:v>
      </x:c>
      <x:c r="E244" s="30"/>
      <x:c r="F244" s="30" t="str">
        <x:v>Optional</x:v>
      </x:c>
      <x:c r="G244" s="30" t="str">
        <x:v>Continuous</x:v>
      </x:c>
      <x:c r="H244" s="30" t="str">
        <x:v>Upon role assignment</x:v>
      </x:c>
      <x:c r="I244" s="30" t="str">
        <x:v>Compliance Head</x:v>
      </x:c>
      <x:c r="J244" s="30" t="str">
        <x:v>Reduced compliance assurance; no standalone statutory penalty</x:v>
      </x:c>
      <x:c r="K244" s="30"/>
      <x:c r="L244" s="30" t="str">
        <x:v>CORE</x:v>
      </x:c>
      <x:c r="M244" s="30" t="str">
        <x:v>Yes</x:v>
      </x:c>
      <x:c r="N244" s="30" t="str">
        <x:v>P-3 RECLASSIFIED: optional internal governance control under LAW099.</x:v>
      </x:c>
    </x:row>
    <x:row r="245">
      <x:c r="A245" s="30" t="str">
        <x:v>COMP244</x:v>
      </x:c>
      <x:c r="B245" s="30" t="str">
        <x:v>PROV244</x:v>
      </x:c>
      <x:c r="C245" s="30" t="str">
        <x:v>CA084</x:v>
      </x:c>
      <x:c r="D245" s="30" t="str">
        <x:v>Monitor regulatory updates and assess their impact on pharmacy operations.</x:v>
      </x:c>
      <x:c r="E245" s="30"/>
      <x:c r="F245" s="30" t="str">
        <x:v>Optional</x:v>
      </x:c>
      <x:c r="G245" s="30" t="str">
        <x:v>Monthly</x:v>
      </x:c>
      <x:c r="H245" s="30" t="str">
        <x:v>Within defined review cycle</x:v>
      </x:c>
      <x:c r="I245" s="30" t="str">
        <x:v>Compliance Officer</x:v>
      </x:c>
      <x:c r="J245" s="30" t="str">
        <x:v>Reduced compliance assurance; no standalone statutory penalty</x:v>
      </x:c>
      <x:c r="K245" s="30"/>
      <x:c r="L245" s="30" t="str">
        <x:v>CORE</x:v>
      </x:c>
      <x:c r="M245" s="30" t="str">
        <x:v>Yes</x:v>
      </x:c>
      <x:c r="N245" s="30" t="str">
        <x:v>P-3 RECLASSIFIED: optional internal governance control under LAW099.</x:v>
      </x:c>
    </x:row>
    <x:row r="246">
      <x:c r="A246" s="30" t="str">
        <x:v>COMP245</x:v>
      </x:c>
      <x:c r="B246" s="30" t="str">
        <x:v>PROV245</x:v>
      </x:c>
      <x:c r="C246" s="30" t="str">
        <x:v>CA088</x:v>
      </x:c>
      <x:c r="D246" s="30" t="str">
        <x:v>Maintain a compliance calendar covering all statutory obligations and due dates.</x:v>
      </x:c>
      <x:c r="E246" s="30"/>
      <x:c r="F246" s="30" t="str">
        <x:v>Optional</x:v>
      </x:c>
      <x:c r="G246" s="30" t="str">
        <x:v>Continuous</x:v>
      </x:c>
      <x:c r="H246" s="30" t="str">
        <x:v>Ongoing</x:v>
      </x:c>
      <x:c r="I246" s="30" t="str">
        <x:v>Compliance Officer</x:v>
      </x:c>
      <x:c r="J246" s="30" t="str">
        <x:v>Reduced compliance assurance; no standalone statutory penalty</x:v>
      </x:c>
      <x:c r="K246" s="30"/>
      <x:c r="L246" s="30" t="str">
        <x:v>CORE</x:v>
      </x:c>
      <x:c r="M246" s="30" t="str">
        <x:v>Yes</x:v>
      </x:c>
      <x:c r="N246" s="30" t="str">
        <x:v>P-3 RECLASSIFIED: optional internal governance control under LAW099.</x:v>
      </x:c>
    </x:row>
    <x:row r="247">
      <x:c r="A247" s="30" t="str">
        <x:v>COMP246</x:v>
      </x:c>
      <x:c r="B247" s="30" t="str">
        <x:v>PROV246</x:v>
      </x:c>
      <x:c r="C247" s="30" t="str">
        <x:v>CA086</x:v>
      </x:c>
      <x:c r="D247" s="30" t="str">
        <x:v>Submit periodic compliance reports to senior management.</x:v>
      </x:c>
      <x:c r="E247" s="30"/>
      <x:c r="F247" s="30" t="str">
        <x:v>Optional</x:v>
      </x:c>
      <x:c r="G247" s="30" t="str">
        <x:v>Quarterly</x:v>
      </x:c>
      <x:c r="H247" s="30" t="str">
        <x:v>Management review meeting</x:v>
      </x:c>
      <x:c r="I247" s="30" t="str">
        <x:v>Compliance Head</x:v>
      </x:c>
      <x:c r="J247" s="30" t="str">
        <x:v>Reduced compliance assurance; no standalone statutory penalty</x:v>
      </x:c>
      <x:c r="K247" s="30"/>
      <x:c r="L247" s="30" t="str">
        <x:v>CORE</x:v>
      </x:c>
      <x:c r="M247" s="30" t="str">
        <x:v>Yes</x:v>
      </x:c>
      <x:c r="N247" s="30" t="str">
        <x:v>P-3 RECLASSIFIED: optional internal governance control under LAW099.</x:v>
      </x:c>
    </x:row>
    <x:row r="248">
      <x:c r="A248" s="30" t="str">
        <x:v>COMP247</x:v>
      </x:c>
      <x:c r="B248" s="30" t="str">
        <x:v>PROV247</x:v>
      </x:c>
      <x:c r="C248" s="30" t="str">
        <x:v>CA087</x:v>
      </x:c>
      <x:c r="D248" s="30" t="str">
        <x:v>Perform periodic regulatory risk assessments and document mitigation measures.</x:v>
      </x:c>
      <x:c r="E248" s="30"/>
      <x:c r="F248" s="30" t="str">
        <x:v>Optional</x:v>
      </x:c>
      <x:c r="G248" s="30" t="str">
        <x:v>Annual</x:v>
      </x:c>
      <x:c r="H248" s="30" t="str">
        <x:v>As per risk management plan</x:v>
      </x:c>
      <x:c r="I248" s="30" t="str">
        <x:v>Risk Manager</x:v>
      </x:c>
      <x:c r="J248" s="30" t="str">
        <x:v>Reduced compliance assurance; no standalone statutory penalty</x:v>
      </x:c>
      <x:c r="K248" s="30"/>
      <x:c r="L248" s="30" t="str">
        <x:v>CORE</x:v>
      </x:c>
      <x:c r="M248" s="30" t="str">
        <x:v>Yes</x:v>
      </x:c>
      <x:c r="N248" s="30" t="str">
        <x:v>P-3 RECLASSIFIED: optional internal governance control under LAW099.</x:v>
      </x:c>
    </x:row>
    <x:row r="249">
      <x:c r="A249" s="30" t="str">
        <x:v>COMP248</x:v>
      </x:c>
      <x:c r="B249" s="30" t="str">
        <x:v>PROV248</x:v>
      </x:c>
      <x:c r="C249" s="30" t="str">
        <x:v>CA083</x:v>
      </x:c>
      <x:c r="D249" s="30" t="str">
        <x:v>Conduct independent internal audits to evaluate regulatory compliance effectiveness.</x:v>
      </x:c>
      <x:c r="E249" s="30"/>
      <x:c r="F249" s="30" t="str">
        <x:v>Optional</x:v>
      </x:c>
      <x:c r="G249" s="30" t="str">
        <x:v>Annual</x:v>
      </x:c>
      <x:c r="H249" s="30" t="str">
        <x:v>Approved internal audit plan</x:v>
      </x:c>
      <x:c r="I249" s="30" t="str">
        <x:v>Internal Auditor</x:v>
      </x:c>
      <x:c r="J249" s="30" t="str">
        <x:v>Reduced compliance assurance; no standalone statutory penalty</x:v>
      </x:c>
      <x:c r="K249" s="30"/>
      <x:c r="L249" s="30" t="str">
        <x:v>CORE</x:v>
      </x:c>
      <x:c r="M249" s="30" t="str">
        <x:v>Yes</x:v>
      </x:c>
      <x:c r="N249" s="30" t="str">
        <x:v>P-3 RECLASSIFIED: optional internal governance control under LAW099.</x:v>
      </x:c>
    </x:row>
    <x:row r="250">
      <x:c r="A250" s="30" t="str">
        <x:v>COMP249</x:v>
      </x:c>
      <x:c r="B250" s="30" t="str">
        <x:v>PROV249</x:v>
      </x:c>
      <x:c r="C250" s="30" t="str">
        <x:v>CA097</x:v>
      </x:c>
      <x:c r="D250" s="30" t="str">
        <x:v>Maintain controlled regulatory documents with version control, approval history and archival records.</x:v>
      </x:c>
      <x:c r="E250" s="30"/>
      <x:c r="F250" s="30" t="str">
        <x:v>Optional</x:v>
      </x:c>
      <x:c r="G250" s="30" t="str">
        <x:v>Continuous</x:v>
      </x:c>
      <x:c r="H250" s="30" t="str">
        <x:v>Throughout document lifecycle</x:v>
      </x:c>
      <x:c r="I250" s="30" t="str">
        <x:v>Document Controller</x:v>
      </x:c>
      <x:c r="J250" s="30" t="str">
        <x:v>Reduced compliance assurance; no standalone statutory penalty</x:v>
      </x:c>
      <x:c r="K250" s="30"/>
      <x:c r="L250" s="30" t="str">
        <x:v>CORE</x:v>
      </x:c>
      <x:c r="M250" s="30" t="str">
        <x:v>Yes</x:v>
      </x:c>
      <x:c r="N250" s="30" t="str">
        <x:v>P-3 RECLASSIFIED: optional internal governance control under LAW099.</x:v>
      </x:c>
    </x:row>
    <x:row r="251">
      <x:c r="A251" s="30" t="str">
        <x:v>COMP250</x:v>
      </x:c>
      <x:c r="B251" s="30" t="str">
        <x:v>PROV250</x:v>
      </x:c>
      <x:c r="C251" s="30" t="str">
        <x:v>CA089</x:v>
      </x:c>
      <x:c r="D251" s="30" t="str">
        <x:v>Periodically review and improve the compliance management system through continual improvement initiatives.</x:v>
      </x:c>
      <x:c r="E251" s="30"/>
      <x:c r="F251" s="30" t="str">
        <x:v>Optional</x:v>
      </x:c>
      <x:c r="G251" s="30" t="str">
        <x:v>Annual</x:v>
      </x:c>
      <x:c r="H251" s="30" t="str">
        <x:v>Management review cycle</x:v>
      </x:c>
      <x:c r="I251" s="30" t="str">
        <x:v>Compliance Head</x:v>
      </x:c>
      <x:c r="J251" s="30" t="str">
        <x:v>Reduced compliance assurance; no standalone statutory penalty</x:v>
      </x:c>
      <x:c r="K251" s="30"/>
      <x:c r="L251" s="30" t="str">
        <x:v>CORE</x:v>
      </x:c>
      <x:c r="M251" s="30" t="str">
        <x:v>Yes</x:v>
      </x:c>
      <x:c r="N251" s="30" t="str">
        <x:v>P-3 RECLASSIFIED: optional internal governance control under LAW099.</x:v>
      </x:c>
    </x:row>
    <x:row r="252">
      <x:c r="A252" s="30" t="str">
        <x:v>RCOMP001</x:v>
      </x:c>
      <x:c r="B252" s="30" t="str">
        <x:v>RPROV001</x:v>
      </x:c>
      <x:c r="C252" s="30" t="str">
        <x:v>CA064</x:v>
      </x:c>
      <x:c r="D252" s="30" t="str">
        <x:v>Verify prescription validity, patient identity, delivery address, and pharmacist authorization before every home delivery.</x:v>
      </x:c>
      <x:c r="E252" s="30" t="str">
        <x:v>Ensure lawful and safe home delivery of medicines.</x:v>
      </x:c>
      <x:c r="F252" s="30" t="str">
        <x:v>Optional</x:v>
      </x:c>
      <x:c r="G252" s="30" t="str">
        <x:v>Every Home Delivery</x:v>
      </x:c>
      <x:c r="H252" s="30"/>
      <x:c r="I252" s="30" t="str">
        <x:v>Registered Pharmacist</x:v>
      </x:c>
      <x:c r="J252" s="30" t="str">
        <x:v>Dispensing without valid authorization; patient safety risk.</x:v>
      </x:c>
      <x:c r="K252" s="30" t="str">
        <x:v>High</x:v>
      </x:c>
      <x:c r="L252" s="30" t="str">
        <x:v>RETAIL</x:v>
      </x:c>
      <x:c r="M252" s="30" t="str">
        <x:v>Yes</x:v>
      </x:c>
      <x:c r="N252" s="30" t="str">
        <x:v>P-4 entity-specific internal control; no independent statutory force. Activate the exact underlying legal requirement separately.</x:v>
      </x:c>
    </x:row>
    <x:row r="253">
      <x:c r="A253" s="30" t="str">
        <x:v>RCOMP002</x:v>
      </x:c>
      <x:c r="B253" s="30" t="str">
        <x:v>RPROV002</x:v>
      </x:c>
      <x:c r="C253" s="30" t="str">
        <x:v>CA033</x:v>
      </x:c>
      <x:c r="D253" s="30" t="str">
        <x:v>Verify customer identity, order reference, and prescription requirements before releasing Click &amp; Collect orders.</x:v>
      </x:c>
      <x:c r="E253" s="30" t="str">
        <x:v>Prevent unauthorized collection of medicines.</x:v>
      </x:c>
      <x:c r="F253" s="30" t="str">
        <x:v>Optional</x:v>
      </x:c>
      <x:c r="G253" s="30" t="str">
        <x:v>Every Collection</x:v>
      </x:c>
      <x:c r="H253" s="30"/>
      <x:c r="I253" s="30" t="str">
        <x:v>Pharmacist / Dispensing Staff</x:v>
      </x:c>
      <x:c r="J253" s="30" t="str">
        <x:v>Unauthorized medicine release.</x:v>
      </x:c>
      <x:c r="K253" s="30" t="str">
        <x:v>Medium</x:v>
      </x:c>
      <x:c r="L253" s="30" t="str">
        <x:v>RETAIL</x:v>
      </x:c>
      <x:c r="M253" s="30" t="str">
        <x:v>Yes</x:v>
      </x:c>
      <x:c r="N253" s="30" t="str">
        <x:v>P-4 entity-specific internal control; no independent statutory force. Activate the exact underlying legal requirement separately.</x:v>
      </x:c>
    </x:row>
    <x:row r="254">
      <x:c r="A254" s="30" t="str">
        <x:v>RCOMP003</x:v>
      </x:c>
      <x:c r="B254" s="30" t="str">
        <x:v>RPROV003</x:v>
      </x:c>
      <x:c r="C254" s="30" t="str">
        <x:v>CA009</x:v>
      </x:c>
      <x:c r="D254" s="30" t="str">
        <x:v>Ensure prescription-only medicines remain inaccessible for self-selection and OTC displays comply with regulatory requirements.</x:v>
      </x:c>
      <x:c r="E254" s="30" t="str">
        <x:v>Prevent unlawful medicine access.</x:v>
      </x:c>
      <x:c r="F254" s="30" t="str">
        <x:v>Optional</x:v>
      </x:c>
      <x:c r="G254" s="30" t="str">
        <x:v>Daily</x:v>
      </x:c>
      <x:c r="H254" s="30"/>
      <x:c r="I254" s="30" t="str">
        <x:v>Pharmacist</x:v>
      </x:c>
      <x:c r="J254" s="30" t="str">
        <x:v>Regulatory non-compliance.</x:v>
      </x:c>
      <x:c r="K254" s="30" t="str">
        <x:v>Medium</x:v>
      </x:c>
      <x:c r="L254" s="30" t="str">
        <x:v>RETAIL</x:v>
      </x:c>
      <x:c r="M254" s="30" t="str">
        <x:v>Yes</x:v>
      </x:c>
      <x:c r="N254" s="30" t="str">
        <x:v>P-4 entity-specific internal control; no independent statutory force. Activate the exact underlying legal requirement separately.</x:v>
      </x:c>
    </x:row>
    <x:row r="255">
      <x:c r="A255" s="30" t="str">
        <x:v>RCOMP004</x:v>
      </x:c>
      <x:c r="B255" s="30" t="str">
        <x:v>RPROV004</x:v>
      </x:c>
      <x:c r="C255" s="30" t="str">
        <x:v>CA009</x:v>
      </x:c>
      <x:c r="D255" s="30" t="str">
        <x:v>Display customer grievance details, complaint mechanism, and mandatory consumer information prominently.</x:v>
      </x:c>
      <x:c r="E255" s="30" t="str">
        <x:v>Ensure customer awareness of grievance mechanisms.</x:v>
      </x:c>
      <x:c r="F255" s="30" t="str">
        <x:v>Optional</x:v>
      </x:c>
      <x:c r="G255" s="30" t="str">
        <x:v>Continuous</x:v>
      </x:c>
      <x:c r="H255" s="30"/>
      <x:c r="I255" s="30" t="str">
        <x:v>Pharmacy Manager</x:v>
      </x:c>
      <x:c r="J255" s="30" t="str">
        <x:v>Consumer complaints and inspection observations.</x:v>
      </x:c>
      <x:c r="K255" s="30" t="str">
        <x:v>Medium</x:v>
      </x:c>
      <x:c r="L255" s="30" t="str">
        <x:v>RETAIL</x:v>
      </x:c>
      <x:c r="M255" s="30" t="str">
        <x:v>Yes</x:v>
      </x:c>
      <x:c r="N255" s="30" t="str">
        <x:v>P-4 entity-specific internal control; no independent statutory force. Activate the exact underlying legal requirement separately.</x:v>
      </x:c>
    </x:row>
    <x:row r="256">
      <x:c r="A256" s="30" t="str">
        <x:v>RCOMP005</x:v>
      </x:c>
      <x:c r="B256" s="30" t="str">
        <x:v>RPROV005</x:v>
      </x:c>
      <x:c r="C256" s="30" t="str">
        <x:v>CA012</x:v>
      </x:c>
      <x:c r="D256" s="30" t="str">
        <x:v>Verify billing accuracy, batch details, prescribed quantity, and payment status before medicine handover.</x:v>
      </x:c>
      <x:c r="E256" s="30" t="str">
        <x:v>Prevent billing and dispensing errors.</x:v>
      </x:c>
      <x:c r="F256" s="30" t="str">
        <x:v>Optional</x:v>
      </x:c>
      <x:c r="G256" s="30" t="str">
        <x:v>Every Dispensing</x:v>
      </x:c>
      <x:c r="H256" s="30"/>
      <x:c r="I256" s="30" t="str">
        <x:v>Pharmacist / Cashier</x:v>
      </x:c>
      <x:c r="J256" s="30" t="str">
        <x:v>Financial loss and dispensing errors.</x:v>
      </x:c>
      <x:c r="K256" s="30" t="str">
        <x:v>Medium</x:v>
      </x:c>
      <x:c r="L256" s="30" t="str">
        <x:v>RETAIL</x:v>
      </x:c>
      <x:c r="M256" s="30" t="str">
        <x:v>Yes</x:v>
      </x:c>
      <x:c r="N256" s="30" t="str">
        <x:v>P-4 entity-specific internal control; no independent statutory force. Activate the exact underlying legal requirement separately.</x:v>
      </x:c>
    </x:row>
    <x:row r="257">
      <x:c r="A257" s="30" t="str">
        <x:v>RCOMP006</x:v>
      </x:c>
      <x:c r="B257" s="30" t="str">
        <x:v>RPROV006</x:v>
      </x:c>
      <x:c r="C257" s="30" t="str">
        <x:v>CA012</x:v>
      </x:c>
      <x:c r="D257" s="30" t="str">
        <x:v>Store reserved medicines separately with customer identification and reservation validity information.</x:v>
      </x:c>
      <x:c r="E257" s="30" t="str">
        <x:v>Prevent accidental sale of reserved medicines.</x:v>
      </x:c>
      <x:c r="F257" s="30" t="str">
        <x:v>Optional</x:v>
      </x:c>
      <x:c r="G257" s="30" t="str">
        <x:v>Every Reservation</x:v>
      </x:c>
      <x:c r="H257" s="30"/>
      <x:c r="I257" s="30" t="str">
        <x:v>Inventory Staff</x:v>
      </x:c>
      <x:c r="J257" s="30" t="str">
        <x:v>Customer dissatisfaction and inventory errors.</x:v>
      </x:c>
      <x:c r="K257" s="30" t="str">
        <x:v>Low</x:v>
      </x:c>
      <x:c r="L257" s="30" t="str">
        <x:v>RETAIL</x:v>
      </x:c>
      <x:c r="M257" s="30" t="str">
        <x:v>Yes</x:v>
      </x:c>
      <x:c r="N257" s="30" t="str">
        <x:v>P-4 entity-specific internal control; no independent statutory force. Activate the exact underlying legal requirement separately.</x:v>
      </x:c>
    </x:row>
    <x:row r="258">
      <x:c r="A258" s="30" t="str">
        <x:v>RCOMP007</x:v>
      </x:c>
      <x:c r="B258" s="30" t="str">
        <x:v>RPROV007</x:v>
      </x:c>
      <x:c r="C258" s="30" t="str">
        <x:v>CA056</x:v>
      </x:c>
      <x:c r="D258" s="30" t="str">
        <x:v>Perform documented shelf inspection for expiry, storage conditions, product placement, and damaged stock before opening.</x:v>
      </x:c>
      <x:c r="E258" s="30" t="str">
        <x:v>Maintain compliant retail display and storage.</x:v>
      </x:c>
      <x:c r="F258" s="30" t="str">
        <x:v>Optional</x:v>
      </x:c>
      <x:c r="G258" s="30" t="str">
        <x:v>Daily</x:v>
      </x:c>
      <x:c r="H258" s="30"/>
      <x:c r="I258" s="30" t="str">
        <x:v>Pharmacist</x:v>
      </x:c>
      <x:c r="J258" s="30" t="str">
        <x:v>Sale of expired or damaged medicines.</x:v>
      </x:c>
      <x:c r="K258" s="30" t="str">
        <x:v>Medium</x:v>
      </x:c>
      <x:c r="L258" s="30" t="str">
        <x:v>RETAIL</x:v>
      </x:c>
      <x:c r="M258" s="30" t="str">
        <x:v>Yes</x:v>
      </x:c>
      <x:c r="N258" s="30" t="str">
        <x:v>P-4 entity-specific internal control; no independent statutory force. Activate the exact underlying legal requirement separately.</x:v>
      </x:c>
    </x:row>
    <x:row r="259">
      <x:c r="A259" s="30" t="str">
        <x:v>RCOMP008</x:v>
      </x:c>
      <x:c r="B259" s="30" t="str">
        <x:v>RPROV008</x:v>
      </x:c>
      <x:c r="C259" s="30" t="str">
        <x:v>CA018</x:v>
      </x:c>
      <x:c r="D259" s="30" t="str">
        <x:v>Display operating hours, pharmacist availability, licence information, and emergency contacts prominently.</x:v>
      </x:c>
      <x:c r="E259" s="30" t="str">
        <x:v>Improve regulatory transparency.</x:v>
      </x:c>
      <x:c r="F259" s="30" t="str">
        <x:v>Optional</x:v>
      </x:c>
      <x:c r="G259" s="30" t="str">
        <x:v>Continuous</x:v>
      </x:c>
      <x:c r="H259" s="30"/>
      <x:c r="I259" s="30" t="str">
        <x:v>Pharmacy Manager</x:v>
      </x:c>
      <x:c r="J259" s="30" t="str">
        <x:v>Regulatory observations.</x:v>
      </x:c>
      <x:c r="K259" s="30" t="str">
        <x:v>Low</x:v>
      </x:c>
      <x:c r="L259" s="30" t="str">
        <x:v>RETAIL</x:v>
      </x:c>
      <x:c r="M259" s="30" t="str">
        <x:v>Yes</x:v>
      </x:c>
      <x:c r="N259" s="30" t="str">
        <x:v>P-4 entity-specific internal control; no independent statutory force. Activate the exact underlying legal requirement separately.</x:v>
      </x:c>
    </x:row>
    <x:row r="260">
      <x:c r="A260" s="30" t="str">
        <x:v>RCOMP009</x:v>
      </x:c>
      <x:c r="B260" s="30" t="str">
        <x:v>RPROV009</x:v>
      </x:c>
      <x:c r="C260" s="30" t="str">
        <x:v>CA063</x:v>
      </x:c>
      <x:c r="D260" s="30" t="str">
        <x:v>Segregate, document, evaluate, and dispose of returned medicines according to approved procedures.</x:v>
      </x:c>
      <x:c r="E260" s="30" t="str">
        <x:v>Prevent reissue of compromised medicines.</x:v>
      </x:c>
      <x:c r="F260" s="30" t="str">
        <x:v>Optional</x:v>
      </x:c>
      <x:c r="G260" s="30" t="str">
        <x:v>Every Return</x:v>
      </x:c>
      <x:c r="H260" s="30"/>
      <x:c r="I260" s="30" t="str">
        <x:v>Pharmacist</x:v>
      </x:c>
      <x:c r="J260" s="30" t="str">
        <x:v>Patient safety and quality risks.</x:v>
      </x:c>
      <x:c r="K260" s="30" t="str">
        <x:v>Medium</x:v>
      </x:c>
      <x:c r="L260" s="30" t="str">
        <x:v>RETAIL</x:v>
      </x:c>
      <x:c r="M260" s="30" t="str">
        <x:v>Yes</x:v>
      </x:c>
      <x:c r="N260" s="30" t="str">
        <x:v>P-4 entity-specific internal control; no independent statutory force. Activate the exact underlying legal requirement separately.</x:v>
      </x:c>
    </x:row>
    <x:row r="261">
      <x:c r="A261" s="30" t="str">
        <x:v>RCOMP010</x:v>
      </x:c>
      <x:c r="B261" s="30" t="str">
        <x:v>RPROV010</x:v>
      </x:c>
      <x:c r="C261" s="30" t="str">
        <x:v>CA044</x:v>
      </x:c>
      <x:c r="D261" s="30" t="str">
        <x:v>Complete pharmacist counselling checklist before dispensing identified high-risk medicines.</x:v>
      </x:c>
      <x:c r="E261" s="30" t="str">
        <x:v>Ensure patients understand safe medicine use.</x:v>
      </x:c>
      <x:c r="F261" s="30" t="str">
        <x:v>Optional</x:v>
      </x:c>
      <x:c r="G261" s="30" t="str">
        <x:v>Every Applicable Dispensing</x:v>
      </x:c>
      <x:c r="H261" s="30"/>
      <x:c r="I261" s="30" t="str">
        <x:v>Registered Pharmacist</x:v>
      </x:c>
      <x:c r="J261" s="30" t="str">
        <x:v>Medication misuse and adverse events.</x:v>
      </x:c>
      <x:c r="K261" s="30" t="str">
        <x:v>High</x:v>
      </x:c>
      <x:c r="L261" s="30" t="str">
        <x:v>RETAIL</x:v>
      </x:c>
      <x:c r="M261" s="30" t="str">
        <x:v>Yes</x:v>
      </x:c>
      <x:c r="N261" s="30" t="str">
        <x:v>P-4 entity-specific internal control; no independent statutory force. Activate the exact underlying legal requirement separately.</x:v>
      </x:c>
    </x:row>
    <x:row r="262">
      <x:c r="A262" s="30" t="str">
        <x:v>RCOMP011</x:v>
      </x:c>
      <x:c r="B262" s="30" t="str">
        <x:v>RPROV011</x:v>
      </x:c>
      <x:c r="C262" s="30" t="str">
        <x:v>CA028</x:v>
      </x:c>
      <x:c r="D262" s="30" t="str">
        <x:v>Verify prescription authenticity, prescriber credentials, prescription date, completeness, and legal validity before dispensing any prescription medicine.</x:v>
      </x:c>
      <x:c r="E262" s="30" t="str">
        <x:v>Prevent dispensing against invalid or fraudulent prescriptions.</x:v>
      </x:c>
      <x:c r="F262" s="30" t="str">
        <x:v>Optional</x:v>
      </x:c>
      <x:c r="G262" s="30" t="str">
        <x:v>Every Prescription</x:v>
      </x:c>
      <x:c r="H262" s="30"/>
      <x:c r="I262" s="30" t="str">
        <x:v>Registered Pharmacist</x:v>
      </x:c>
      <x:c r="J262" s="30" t="str">
        <x:v>Illegal dispensing, regulatory action, patient safety risk.</x:v>
      </x:c>
      <x:c r="K262" s="30" t="str">
        <x:v>High</x:v>
      </x:c>
      <x:c r="L262" s="30" t="str">
        <x:v>RETAIL</x:v>
      </x:c>
      <x:c r="M262" s="30" t="str">
        <x:v>Yes</x:v>
      </x:c>
      <x:c r="N262" s="30" t="str">
        <x:v>P-4 entity-specific internal control; no independent statutory force. Activate the exact underlying legal requirement separately.</x:v>
      </x:c>
    </x:row>
    <x:row r="263">
      <x:c r="A263" s="30" t="str">
        <x:v>RCOMP012</x:v>
      </x:c>
      <x:c r="B263" s="30" t="str">
        <x:v>RPROV012</x:v>
      </x:c>
      <x:c r="C263" s="30" t="str">
        <x:v>CA003</x:v>
      </x:c>
      <x:c r="D263" s="30" t="str">
        <x:v>Ensure a registered pharmacist is continuously available during pharmacy operating hours and suspend prescription dispensing in the absence of authorized supervision.</x:v>
      </x:c>
      <x:c r="E263" s="30" t="str">
        <x:v>Maintain statutory pharmacist supervision.</x:v>
      </x:c>
      <x:c r="F263" s="30" t="str">
        <x:v>Optional</x:v>
      </x:c>
      <x:c r="G263" s="30" t="str">
        <x:v>Continuous</x:v>
      </x:c>
      <x:c r="H263" s="30"/>
      <x:c r="I263" s="30" t="str">
        <x:v>Pharmacy Manager</x:v>
      </x:c>
      <x:c r="J263" s="30" t="str">
        <x:v>Licence violations and unlawful dispensing.</x:v>
      </x:c>
      <x:c r="K263" s="30" t="str">
        <x:v>High</x:v>
      </x:c>
      <x:c r="L263" s="30" t="str">
        <x:v>RETAIL</x:v>
      </x:c>
      <x:c r="M263" s="30" t="str">
        <x:v>Yes</x:v>
      </x:c>
      <x:c r="N263" s="30" t="str">
        <x:v>P-4 entity-specific internal control; no independent statutory force. Activate the exact underlying legal requirement separately.</x:v>
      </x:c>
    </x:row>
    <x:row r="264">
      <x:c r="A264" s="30" t="str">
        <x:v>RCOMP013</x:v>
      </x:c>
      <x:c r="B264" s="30" t="str">
        <x:v>RPROV013</x:v>
      </x:c>
      <x:c r="C264" s="30" t="str">
        <x:v>CA033</x:v>
      </x:c>
      <x:c r="D264" s="30" t="str">
        <x:v>Securely retain electronic prescriptions with audit trails, controlled access, backup, and statutory retention controls.</x:v>
      </x:c>
      <x:c r="E264" s="30" t="str">
        <x:v>Preserve integrity and availability of electronic prescriptions.</x:v>
      </x:c>
      <x:c r="F264" s="30" t="str">
        <x:v>Optional</x:v>
      </x:c>
      <x:c r="G264" s="30" t="str">
        <x:v>Continuous</x:v>
      </x:c>
      <x:c r="H264" s="30"/>
      <x:c r="I264" s="30" t="str">
        <x:v>IT Administrator / Pharmacist</x:v>
      </x:c>
      <x:c r="J264" s="30" t="str">
        <x:v>Data loss, privacy breaches, regulatory non-compliance.</x:v>
      </x:c>
      <x:c r="K264" s="30" t="str">
        <x:v>High</x:v>
      </x:c>
      <x:c r="L264" s="30" t="str">
        <x:v>RETAIL</x:v>
      </x:c>
      <x:c r="M264" s="30" t="str">
        <x:v>Yes</x:v>
      </x:c>
      <x:c r="N264" s="30" t="str">
        <x:v>P-4 entity-specific internal control; no independent statutory force. Activate the exact underlying legal requirement separately.</x:v>
      </x:c>
    </x:row>
    <x:row r="265">
      <x:c r="A265" s="30" t="str">
        <x:v>RCOMP014</x:v>
      </x:c>
      <x:c r="B265" s="30" t="str">
        <x:v>RPROV014</x:v>
      </x:c>
      <x:c r="C265" s="30" t="str">
        <x:v>CA077</x:v>
      </x:c>
      <x:c r="D265" s="30" t="str">
        <x:v>Verify documented cold-chain temperature compliance before dispensing refrigerated medicines. Medicines exposed to temperature deviations shall not be dispensed until assessed.</x:v>
      </x:c>
      <x:c r="E265" s="30" t="str">
        <x:v>Preserve medicine quality throughout dispensing.</x:v>
      </x:c>
      <x:c r="F265" s="30" t="str">
        <x:v>Optional</x:v>
      </x:c>
      <x:c r="G265" s="30" t="str">
        <x:v>Every Cold-Chain Dispensing</x:v>
      </x:c>
      <x:c r="H265" s="30"/>
      <x:c r="I265" s="30" t="str">
        <x:v>Pharmacist</x:v>
      </x:c>
      <x:c r="J265" s="30" t="str">
        <x:v>Reduced medicine efficacy and patient safety risk.</x:v>
      </x:c>
      <x:c r="K265" s="30" t="str">
        <x:v>High</x:v>
      </x:c>
      <x:c r="L265" s="30" t="str">
        <x:v>RETAIL</x:v>
      </x:c>
      <x:c r="M265" s="30" t="str">
        <x:v>Yes</x:v>
      </x:c>
      <x:c r="N265" s="30" t="str">
        <x:v>P-4 entity-specific internal control; no independent statutory force. Activate the exact underlying legal requirement separately.</x:v>
      </x:c>
    </x:row>
    <x:row r="266">
      <x:c r="A266" s="30" t="str">
        <x:v>RCOMP015</x:v>
      </x:c>
      <x:c r="B266" s="30" t="str">
        <x:v>RPROV015</x:v>
      </x:c>
      <x:c r="C266" s="30" t="str">
        <x:v>CA064</x:v>
      </x:c>
      <x:c r="D266" s="30" t="str">
        <x:v>Record batch number, expiry date, pharmacist identity, and transaction reference for every applicable dispensing transaction.</x:v>
      </x:c>
      <x:c r="E266" s="30" t="str">
        <x:v>Enable complete medicine traceability.</x:v>
      </x:c>
      <x:c r="F266" s="30" t="str">
        <x:v>Optional</x:v>
      </x:c>
      <x:c r="G266" s="30" t="str">
        <x:v>Every Applicable Dispensing</x:v>
      </x:c>
      <x:c r="H266" s="30"/>
      <x:c r="I266" s="30" t="str">
        <x:v>Pharmacist</x:v>
      </x:c>
      <x:c r="J266" s="30" t="str">
        <x:v>Recall failures and traceability deficiencies.</x:v>
      </x:c>
      <x:c r="K266" s="30" t="str">
        <x:v>High</x:v>
      </x:c>
      <x:c r="L266" s="30" t="str">
        <x:v>RETAIL</x:v>
      </x:c>
      <x:c r="M266" s="30" t="str">
        <x:v>Yes</x:v>
      </x:c>
      <x:c r="N266" s="30" t="str">
        <x:v>P-4 entity-specific internal control; no independent statutory force. Activate the exact underlying legal requirement separately.</x:v>
      </x:c>
    </x:row>
    <x:row r="267">
      <x:c r="A267" s="30" t="str">
        <x:v>RCOMP016</x:v>
      </x:c>
      <x:c r="B267" s="30" t="str">
        <x:v>RPROV016</x:v>
      </x:c>
      <x:c r="C267" s="30" t="str">
        <x:v>CA033</x:v>
      </x:c>
      <x:c r="D267" s="30" t="str">
        <x:v>Display customer rights, complaint procedures, refund information where applicable, and regulatory contact details prominently within the pharmacy.</x:v>
      </x:c>
      <x:c r="E267" s="30" t="str">
        <x:v>Promote customer awareness and transparency.</x:v>
      </x:c>
      <x:c r="F267" s="30" t="str">
        <x:v>Optional</x:v>
      </x:c>
      <x:c r="G267" s="30" t="str">
        <x:v>Continuous</x:v>
      </x:c>
      <x:c r="H267" s="30"/>
      <x:c r="I267" s="30" t="str">
        <x:v>Pharmacy Manager</x:v>
      </x:c>
      <x:c r="J267" s="30" t="str">
        <x:v>Consumer complaints and inspection findings.</x:v>
      </x:c>
      <x:c r="K267" s="30" t="str">
        <x:v>Medium</x:v>
      </x:c>
      <x:c r="L267" s="30" t="str">
        <x:v>RETAIL</x:v>
      </x:c>
      <x:c r="M267" s="30" t="str">
        <x:v>Yes</x:v>
      </x:c>
      <x:c r="N267" s="30" t="str">
        <x:v>P-4 entity-specific internal control; no independent statutory force. Activate the exact underlying legal requirement separately.</x:v>
      </x:c>
    </x:row>
    <x:row r="268">
      <x:c r="A268" s="30" t="str">
        <x:v>RCOMP017</x:v>
      </x:c>
      <x:c r="B268" s="30" t="str">
        <x:v>RPROV017</x:v>
      </x:c>
      <x:c r="C268" s="30" t="str">
        <x:v>CA020</x:v>
      </x:c>
      <x:c r="D268" s="30" t="str">
        <x:v>Segregate and control access to high-risk medicines using approved storage arrangements and authorized personnel only.</x:v>
      </x:c>
      <x:c r="E268" s="30" t="str">
        <x:v>Prevent unauthorized access and dispensing errors.</x:v>
      </x:c>
      <x:c r="F268" s="30" t="str">
        <x:v>Optional</x:v>
      </x:c>
      <x:c r="G268" s="30" t="str">
        <x:v>Continuous</x:v>
      </x:c>
      <x:c r="H268" s="30"/>
      <x:c r="I268" s="30" t="str">
        <x:v>Pharmacist / Storekeeper</x:v>
      </x:c>
      <x:c r="J268" s="30" t="str">
        <x:v>Patient safety incidents and inventory misuse.</x:v>
      </x:c>
      <x:c r="K268" s="30" t="str">
        <x:v>High</x:v>
      </x:c>
      <x:c r="L268" s="30" t="str">
        <x:v>RETAIL</x:v>
      </x:c>
      <x:c r="M268" s="30" t="str">
        <x:v>Yes</x:v>
      </x:c>
      <x:c r="N268" s="30" t="str">
        <x:v>P-4 entity-specific internal control; no independent statutory force. Activate the exact underlying legal requirement separately.</x:v>
      </x:c>
    </x:row>
    <x:row r="269">
      <x:c r="A269" s="30" t="str">
        <x:v>RCOMP018</x:v>
      </x:c>
      <x:c r="B269" s="30" t="str">
        <x:v>RPROV018</x:v>
      </x:c>
      <x:c r="C269" s="30" t="str">
        <x:v>CA033</x:v>
      </x:c>
      <x:c r="D269" s="30" t="str">
        <x:v>Ensure all promotional activities comply with applicable legal requirements and do not encourage irrational medicine use.</x:v>
      </x:c>
      <x:c r="E269" s="30" t="str">
        <x:v>Promote ethical pharmacy marketing practices.</x:v>
      </x:c>
      <x:c r="F269" s="30" t="str">
        <x:v>Optional</x:v>
      </x:c>
      <x:c r="G269" s="30" t="str">
        <x:v>Before Every Campaign</x:v>
      </x:c>
      <x:c r="H269" s="30"/>
      <x:c r="I269" s="30" t="str">
        <x:v>Pharmacy Manager</x:v>
      </x:c>
      <x:c r="J269" s="30" t="str">
        <x:v>Regulatory penalties and reputational damage.</x:v>
      </x:c>
      <x:c r="K269" s="30" t="str">
        <x:v>Medium</x:v>
      </x:c>
      <x:c r="L269" s="30" t="str">
        <x:v>RETAIL</x:v>
      </x:c>
      <x:c r="M269" s="30" t="str">
        <x:v>Yes</x:v>
      </x:c>
      <x:c r="N269" s="30" t="str">
        <x:v>P-4 entity-specific internal control; no independent statutory force. Activate the exact underlying legal requirement separately.</x:v>
      </x:c>
    </x:row>
    <x:row r="270">
      <x:c r="A270" s="30" t="str">
        <x:v>RCOMP019</x:v>
      </x:c>
      <x:c r="B270" s="30" t="str">
        <x:v>RPROV019</x:v>
      </x:c>
      <x:c r="C270" s="30" t="str">
        <x:v>CA077</x:v>
      </x:c>
      <x:c r="D270" s="30" t="str">
        <x:v>Perform periodic reconciliation of restricted medicine inventory and investigate all unexplained discrepancies promptly.</x:v>
      </x:c>
      <x:c r="E270" s="30" t="str">
        <x:v>Maintain accountability for restricted medicines.</x:v>
      </x:c>
      <x:c r="F270" s="30" t="str">
        <x:v>Optional</x:v>
      </x:c>
      <x:c r="G270" s="30" t="str">
        <x:v>Monthly</x:v>
      </x:c>
      <x:c r="H270" s="30"/>
      <x:c r="I270" s="30" t="str">
        <x:v>Pharmacist</x:v>
      </x:c>
      <x:c r="J270" s="30" t="str">
        <x:v>Diversion, regulatory violations, inventory loss.</x:v>
      </x:c>
      <x:c r="K270" s="30" t="str">
        <x:v>High</x:v>
      </x:c>
      <x:c r="L270" s="30" t="str">
        <x:v>RETAIL</x:v>
      </x:c>
      <x:c r="M270" s="30" t="str">
        <x:v>Yes</x:v>
      </x:c>
      <x:c r="N270" s="30" t="str">
        <x:v>P-4 entity-specific internal control; no independent statutory force. Activate the exact underlying legal requirement separately.</x:v>
      </x:c>
    </x:row>
    <x:row r="271">
      <x:c r="A271" s="30" t="str">
        <x:v>RCOMP020</x:v>
      </x:c>
      <x:c r="B271" s="30" t="str">
        <x:v>RPROV020</x:v>
      </x:c>
      <x:c r="C271" s="30" t="str">
        <x:v>CA087</x:v>
      </x:c>
      <x:c r="D271" s="30" t="str">
        <x:v>Protect patient information using role-based access, secure storage, audit logging, confidentiality controls, and controlled disclosure procedures.</x:v>
      </x:c>
      <x:c r="E271" s="30" t="str">
        <x:v>Safeguard patient privacy and confidential information.</x:v>
      </x:c>
      <x:c r="F271" s="30" t="str">
        <x:v>Optional</x:v>
      </x:c>
      <x:c r="G271" s="30" t="str">
        <x:v>Continuous</x:v>
      </x:c>
      <x:c r="H271" s="30"/>
      <x:c r="I271" s="30" t="str">
        <x:v>Pharmacy Manager / IT Administrator</x:v>
      </x:c>
      <x:c r="J271" s="30" t="str">
        <x:v>Privacy breaches, legal penalties, reputational damage.</x:v>
      </x:c>
      <x:c r="K271" s="30" t="str">
        <x:v>High</x:v>
      </x:c>
      <x:c r="L271" s="30" t="str">
        <x:v>RETAIL</x:v>
      </x:c>
      <x:c r="M271" s="30" t="str">
        <x:v>Yes</x:v>
      </x:c>
      <x:c r="N271" s="30" t="str">
        <x:v>P-4 entity-specific internal control; no independent statutory force. Activate the exact underlying legal requirement separately.</x:v>
      </x:c>
    </x:row>
    <x:row r="272">
      <x:c r="A272" s="30" t="str">
        <x:v>RCOMP021</x:v>
      </x:c>
      <x:c r="B272" s="30" t="str">
        <x:v>RPROV021</x:v>
      </x:c>
      <x:c r="C272" s="30" t="str">
        <x:v>CA033</x:v>
      </x:c>
      <x:c r="D272" s="30" t="str">
        <x:v>Maintain an approved Look-Alike Sound-Alike (LASA) medicine list, ensure appropriate labelling, segregation where feasible, and perform independent pharmacist verification before dispensing identified LASA medicines.</x:v>
      </x:c>
      <x:c r="E272" s="30" t="str">
        <x:v>Prevent dispensing errors involving LASA medicines.</x:v>
      </x:c>
      <x:c r="F272" s="30" t="str">
        <x:v>Optional</x:v>
      </x:c>
      <x:c r="G272" s="30" t="str">
        <x:v>Continuous</x:v>
      </x:c>
      <x:c r="H272" s="30"/>
      <x:c r="I272" s="30" t="str">
        <x:v>Registered Pharmacist</x:v>
      </x:c>
      <x:c r="J272" s="30" t="str">
        <x:v>Wrong medicine dispensing, patient harm, regulatory observations.</x:v>
      </x:c>
      <x:c r="K272" s="30" t="str">
        <x:v>High</x:v>
      </x:c>
      <x:c r="L272" s="30" t="str">
        <x:v>RETAIL</x:v>
      </x:c>
      <x:c r="M272" s="30" t="str">
        <x:v>Yes</x:v>
      </x:c>
      <x:c r="N272" s="30" t="str">
        <x:v>P-4 entity-specific internal control; no independent statutory force. Activate the exact underlying legal requirement separately.</x:v>
      </x:c>
    </x:row>
    <x:row r="273">
      <x:c r="A273" s="30" t="str">
        <x:v>RCOMP022</x:v>
      </x:c>
      <x:c r="B273" s="30" t="str">
        <x:v>RPROV022</x:v>
      </x:c>
      <x:c r="C273" s="30" t="str">
        <x:v>CA056</x:v>
      </x:c>
      <x:c r="D273" s="30" t="str">
        <x:v>Monitor medicines approaching expiry using predefined thresholds, segregate where required, prioritize stock rotation, and prevent dispensing of expired medicines.</x:v>
      </x:c>
      <x:c r="E273" s="30" t="str">
        <x:v>Ensure only valid medicines are dispensed.</x:v>
      </x:c>
      <x:c r="F273" s="30" t="str">
        <x:v>Optional</x:v>
      </x:c>
      <x:c r="G273" s="30" t="str">
        <x:v>Daily</x:v>
      </x:c>
      <x:c r="H273" s="30"/>
      <x:c r="I273" s="30" t="str">
        <x:v>Pharmacist / Inventory Staff</x:v>
      </x:c>
      <x:c r="J273" s="30" t="str">
        <x:v>Dispensing expired medicines, inventory losses.</x:v>
      </x:c>
      <x:c r="K273" s="30" t="str">
        <x:v>High</x:v>
      </x:c>
      <x:c r="L273" s="30" t="str">
        <x:v>RETAIL</x:v>
      </x:c>
      <x:c r="M273" s="30" t="str">
        <x:v>Yes</x:v>
      </x:c>
      <x:c r="N273" s="30" t="str">
        <x:v>P-4 entity-specific internal control; no independent statutory force. Activate the exact underlying legal requirement separately.</x:v>
      </x:c>
    </x:row>
    <x:row r="274">
      <x:c r="A274" s="30" t="str">
        <x:v>RCOMP023</x:v>
      </x:c>
      <x:c r="B274" s="30" t="str">
        <x:v>RPROV023</x:v>
      </x:c>
      <x:c r="C274" s="30" t="str">
        <x:v>CA033</x:v>
      </x:c>
      <x:c r="D274" s="30" t="str">
        <x:v>Verify and document customer identity before dispensing medicines requiring statutory identity verification under applicable regulations.</x:v>
      </x:c>
      <x:c r="E274" s="30" t="str">
        <x:v>Ensure compliance with identity verification requirements.</x:v>
      </x:c>
      <x:c r="F274" s="30" t="str">
        <x:v>Optional</x:v>
      </x:c>
      <x:c r="G274" s="30" t="str">
        <x:v>Every Applicable Dispensing</x:v>
      </x:c>
      <x:c r="H274" s="30"/>
      <x:c r="I274" s="30" t="str">
        <x:v>Registered Pharmacist</x:v>
      </x:c>
      <x:c r="J274" s="30" t="str">
        <x:v>Unauthorized dispensing and regulatory non-compliance.</x:v>
      </x:c>
      <x:c r="K274" s="30" t="str">
        <x:v>High</x:v>
      </x:c>
      <x:c r="L274" s="30" t="str">
        <x:v>RETAIL</x:v>
      </x:c>
      <x:c r="M274" s="30" t="str">
        <x:v>Yes</x:v>
      </x:c>
      <x:c r="N274" s="30" t="str">
        <x:v>P-4 entity-specific internal control; no independent statutory force. Activate the exact underlying legal requirement separately.</x:v>
      </x:c>
    </x:row>
    <x:row r="275">
      <x:c r="A275" s="30" t="str">
        <x:v>RCOMP024</x:v>
      </x:c>
      <x:c r="B275" s="30" t="str">
        <x:v>RPROV024</x:v>
      </x:c>
      <x:c r="C275" s="30" t="str">
        <x:v>CA030</x:v>
      </x:c>
      <x:c r="D275" s="30" t="str">
        <x:v>Complete the pharmacy opening checklist verifying licence display, pharmacist availability, refrigeration status, IT system readiness, security arrangements, and operational preparedness before opening to customers.</x:v>
      </x:c>
      <x:c r="E275" s="30" t="str">
        <x:v>Ensure operational readiness before commencement of business.</x:v>
      </x:c>
      <x:c r="F275" s="30" t="str">
        <x:v>Optional</x:v>
      </x:c>
      <x:c r="G275" s="30" t="str">
        <x:v>Daily</x:v>
      </x:c>
      <x:c r="H275" s="30"/>
      <x:c r="I275" s="30" t="str">
        <x:v>Pharmacy Manager</x:v>
      </x:c>
      <x:c r="J275" s="30" t="str">
        <x:v>Operational failures and inspection observations.</x:v>
      </x:c>
      <x:c r="K275" s="30" t="str">
        <x:v>Medium</x:v>
      </x:c>
      <x:c r="L275" s="30" t="str">
        <x:v>RETAIL</x:v>
      </x:c>
      <x:c r="M275" s="30" t="str">
        <x:v>Yes</x:v>
      </x:c>
      <x:c r="N275" s="30" t="str">
        <x:v>P-4 entity-specific internal control; no independent statutory force. Activate the exact underlying legal requirement separately.</x:v>
      </x:c>
    </x:row>
    <x:row r="276">
      <x:c r="A276" s="30" t="str">
        <x:v>RCOMP025</x:v>
      </x:c>
      <x:c r="B276" s="30" t="str">
        <x:v>RPROV025</x:v>
      </x:c>
      <x:c r="C276" s="30" t="str">
        <x:v>CA020</x:v>
      </x:c>
      <x:c r="D276" s="30" t="str">
        <x:v>Maintain customer-level dispensing records sufficient to identify recipients of recalled medicines and support prompt recall execution.</x:v>
      </x:c>
      <x:c r="E276" s="30" t="str">
        <x:v>Enable efficient product recall management.</x:v>
      </x:c>
      <x:c r="F276" s="30" t="str">
        <x:v>Optional</x:v>
      </x:c>
      <x:c r="G276" s="30" t="str">
        <x:v>Every Applicable Dispensing</x:v>
      </x:c>
      <x:c r="H276" s="30"/>
      <x:c r="I276" s="30" t="str">
        <x:v>Registered Pharmacist</x:v>
      </x:c>
      <x:c r="J276" s="30" t="str">
        <x:v>Delayed recalls and patient safety risks.</x:v>
      </x:c>
      <x:c r="K276" s="30" t="str">
        <x:v>High</x:v>
      </x:c>
      <x:c r="L276" s="30" t="str">
        <x:v>RETAIL</x:v>
      </x:c>
      <x:c r="M276" s="30" t="str">
        <x:v>Yes</x:v>
      </x:c>
      <x:c r="N276" s="30" t="str">
        <x:v>P-4 entity-specific internal control; no independent statutory force. Activate the exact underlying legal requirement separately.</x:v>
      </x:c>
    </x:row>
    <x:row r="277">
      <x:c r="A277" s="30" t="str">
        <x:v>RCOMP026</x:v>
      </x:c>
      <x:c r="B277" s="30" t="str">
        <x:v>RPROV026</x:v>
      </x:c>
      <x:c r="C277" s="30" t="str">
        <x:v>CA033</x:v>
      </x:c>
      <x:c r="D277" s="30" t="str">
        <x:v>Maintain immutable audit trails for all dispensing transactions, including creation, modification, cancellation, approvals, and user identification. Audit trails shall be protected against unauthorized alteration.</x:v>
      </x:c>
      <x:c r="E277" s="30" t="str">
        <x:v>Preserve accountability and traceability of electronic dispensing records.</x:v>
      </x:c>
      <x:c r="F277" s="30" t="str">
        <x:v>Optional</x:v>
      </x:c>
      <x:c r="G277" s="30" t="str">
        <x:v>Continuous</x:v>
      </x:c>
      <x:c r="H277" s="30"/>
      <x:c r="I277" s="30" t="str">
        <x:v>IT Administrator</x:v>
      </x:c>
      <x:c r="J277" s="30" t="str">
        <x:v>Data integrity failures and regulatory findings.</x:v>
      </x:c>
      <x:c r="K277" s="30" t="str">
        <x:v>High</x:v>
      </x:c>
      <x:c r="L277" s="30" t="str">
        <x:v>RETAIL</x:v>
      </x:c>
      <x:c r="M277" s="30" t="str">
        <x:v>Yes</x:v>
      </x:c>
      <x:c r="N277" s="30" t="str">
        <x:v>P-4 entity-specific internal control; no independent statutory force. Activate the exact underlying legal requirement separately.</x:v>
      </x:c>
    </x:row>
    <x:row r="278">
      <x:c r="A278" s="30" t="str">
        <x:v>RCOMP027</x:v>
      </x:c>
      <x:c r="B278" s="30" t="str">
        <x:v>RPROV027</x:v>
      </x:c>
      <x:c r="C278" s="30" t="str">
        <x:v>CA008</x:v>
      </x:c>
      <x:c r="D278" s="30" t="str">
        <x:v>Physically segregate saleable, expired, damaged, recalled, returned, and quarantined medicines using clearly identified storage locations and documented inventory controls.</x:v>
      </x:c>
      <x:c r="E278" s="30" t="str">
        <x:v>Prevent accidental dispensing of non-saleable medicines.</x:v>
      </x:c>
      <x:c r="F278" s="30" t="str">
        <x:v>Optional</x:v>
      </x:c>
      <x:c r="G278" s="30" t="str">
        <x:v>Continuous</x:v>
      </x:c>
      <x:c r="H278" s="30"/>
      <x:c r="I278" s="30" t="str">
        <x:v>Inventory Supervisor</x:v>
      </x:c>
      <x:c r="J278" s="30" t="str">
        <x:v>Patient safety incidents and inventory errors.</x:v>
      </x:c>
      <x:c r="K278" s="30" t="str">
        <x:v>High</x:v>
      </x:c>
      <x:c r="L278" s="30" t="str">
        <x:v>RETAIL</x:v>
      </x:c>
      <x:c r="M278" s="30" t="str">
        <x:v>Yes</x:v>
      </x:c>
      <x:c r="N278" s="30" t="str">
        <x:v>P-4 entity-specific internal control; no independent statutory force. Activate the exact underlying legal requirement separately.</x:v>
      </x:c>
    </x:row>
    <x:row r="279">
      <x:c r="A279" s="30" t="str">
        <x:v>RCOMP028</x:v>
      </x:c>
      <x:c r="B279" s="30" t="str">
        <x:v>RPROV028</x:v>
      </x:c>
      <x:c r="C279" s="30" t="str">
        <x:v>CA033</x:v>
      </x:c>
      <x:c r="D279" s="30" t="str">
        <x:v>Where CCTV systems are installed, retain recordings for the approved retention period, restrict unauthorized access, periodically verify system functionality, and make recordings available during authorized inspections where legally required.</x:v>
      </x:c>
      <x:c r="E279" s="30" t="str">
        <x:v>Protect pharmacy security and support investigations.</x:v>
      </x:c>
      <x:c r="F279" s="30" t="str">
        <x:v>Optional</x:v>
      </x:c>
      <x:c r="G279" s="30" t="str">
        <x:v>Continuous</x:v>
      </x:c>
      <x:c r="H279" s="30"/>
      <x:c r="I279" s="30" t="str">
        <x:v>Pharmacy Manager / IT Administrator</x:v>
      </x:c>
      <x:c r="J279" s="30" t="str">
        <x:v>Security incidents and evidentiary deficiencies.</x:v>
      </x:c>
      <x:c r="K279" s="30" t="str">
        <x:v>Medium</x:v>
      </x:c>
      <x:c r="L279" s="30" t="str">
        <x:v>RETAIL</x:v>
      </x:c>
      <x:c r="M279" s="30" t="str">
        <x:v>Yes</x:v>
      </x:c>
      <x:c r="N279" s="30" t="str">
        <x:v>P-4 entity-specific internal control; no independent statutory force. Activate the exact underlying legal requirement separately.</x:v>
      </x:c>
    </x:row>
    <x:row r="280">
      <x:c r="A280" s="30" t="str">
        <x:v>RCOMP029</x:v>
      </x:c>
      <x:c r="B280" s="30" t="str">
        <x:v>RPROV029</x:v>
      </x:c>
      <x:c r="C280" s="30" t="str">
        <x:v>CA098</x:v>
      </x:c>
      <x:c r="D280" s="30" t="str">
        <x:v>Document pharmacist interventions involving prescription clarification, dosage modification, therapeutic substitution, or clinical recommendations together with supporting justification and approvals where required.</x:v>
      </x:c>
      <x:c r="E280" s="30" t="str">
        <x:v>Ensure traceability of clinical decision-making.</x:v>
      </x:c>
      <x:c r="F280" s="30" t="str">
        <x:v>Optional</x:v>
      </x:c>
      <x:c r="G280" s="30" t="str">
        <x:v>Every Applicable Intervention</x:v>
      </x:c>
      <x:c r="H280" s="30"/>
      <x:c r="I280" s="30" t="str">
        <x:v>Registered Pharmacist</x:v>
      </x:c>
      <x:c r="J280" s="30" t="str">
        <x:v>Undocumented clinical decisions and patient safety risks.</x:v>
      </x:c>
      <x:c r="K280" s="30" t="str">
        <x:v>High</x:v>
      </x:c>
      <x:c r="L280" s="30" t="str">
        <x:v>RETAIL</x:v>
      </x:c>
      <x:c r="M280" s="30" t="str">
        <x:v>Yes</x:v>
      </x:c>
      <x:c r="N280" s="30" t="str">
        <x:v>P-4 entity-specific internal control; no independent statutory force. Activate the exact underlying legal requirement separately.</x:v>
      </x:c>
    </x:row>
    <x:row r="281">
      <x:c r="A281" s="30" t="str">
        <x:v>RCOMP030</x:v>
      </x:c>
      <x:c r="B281" s="30" t="str">
        <x:v>RPROV030</x:v>
      </x:c>
      <x:c r="C281" s="30" t="str">
        <x:v>CA072</x:v>
      </x:c>
      <x:c r="D281" s="30" t="str">
        <x:v>Complete end-of-day compliance verification covering controlled medicines, refrigeration, pending prescriptions, inventory security, cash reconciliation, IT backup status, and physical security before pharmacy closure.</x:v>
      </x:c>
      <x:c r="E281" s="30" t="str">
        <x:v>Ensure secure closure of pharmacy operations each day.</x:v>
      </x:c>
      <x:c r="F281" s="30" t="str">
        <x:v>Optional</x:v>
      </x:c>
      <x:c r="G281" s="30" t="str">
        <x:v>Daily</x:v>
      </x:c>
      <x:c r="H281" s="30"/>
      <x:c r="I281" s="30" t="str">
        <x:v>Pharmacy Manager / Registered Pharmacist</x:v>
      </x:c>
      <x:c r="J281" s="30" t="str">
        <x:v>Inventory loss, security incidents, operational failures.</x:v>
      </x:c>
      <x:c r="K281" s="30" t="str">
        <x:v>Medium</x:v>
      </x:c>
      <x:c r="L281" s="30" t="str">
        <x:v>RETAIL</x:v>
      </x:c>
      <x:c r="M281" s="30" t="str">
        <x:v>Yes</x:v>
      </x:c>
      <x:c r="N281" s="30" t="str">
        <x:v>P-4 entity-specific internal control; no independent statutory force. Activate the exact underlying legal requirement separately.</x:v>
      </x:c>
    </x:row>
    <x:row r="282">
      <x:c r="A282" s="30" t="str">
        <x:v>RCOMP031</x:v>
      </x:c>
      <x:c r="B282" s="30" t="str">
        <x:v>RPROV031</x:v>
      </x:c>
      <x:c r="C282" s="30" t="str">
        <x:v>CA004</x:v>
      </x:c>
      <x:c r="D282" s="30" t="str">
        <x:v>Verify statutory authorization, prescription validity, patient identity, mandatory register entries, and dispensing eligibility before issuing narcotic, psychotropic, or other restricted medicines.</x:v>
      </x:c>
      <x:c r="E282" s="30" t="str">
        <x:v>Ensure lawful dispensing of restricted medicines.</x:v>
      </x:c>
      <x:c r="F282" s="30" t="str">
        <x:v>Optional</x:v>
      </x:c>
      <x:c r="G282" s="30" t="str">
        <x:v>Every Applicable Dispensing</x:v>
      </x:c>
      <x:c r="H282" s="30"/>
      <x:c r="I282" s="30" t="str">
        <x:v>Registered Pharmacist</x:v>
      </x:c>
      <x:c r="J282" s="30" t="str">
        <x:v>Licence suspension, regulatory prosecution, patient safety risk.</x:v>
      </x:c>
      <x:c r="K282" s="30" t="str">
        <x:v>High</x:v>
      </x:c>
      <x:c r="L282" s="30" t="str">
        <x:v>RETAIL</x:v>
      </x:c>
      <x:c r="M282" s="30" t="str">
        <x:v>Yes</x:v>
      </x:c>
      <x:c r="N282" s="30" t="str">
        <x:v>P-4 entity-specific internal control; no independent statutory force. Activate the exact underlying legal requirement separately.</x:v>
      </x:c>
    </x:row>
    <x:row r="283">
      <x:c r="A283" s="30" t="str">
        <x:v>RCOMP032</x:v>
      </x:c>
      <x:c r="B283" s="30" t="str">
        <x:v>RPROV032</x:v>
      </x:c>
      <x:c r="C283" s="30" t="str">
        <x:v>CA044</x:v>
      </x:c>
      <x:c r="D283" s="30" t="str">
        <x:v>Prioritize emergency, pediatric, geriatric, and clinically urgent prescriptions using documented prioritization criteria without compromising dispensing accuracy or regulatory compliance.</x:v>
      </x:c>
      <x:c r="E283" s="30" t="str">
        <x:v>Ensure timely dispensing for priority patients.</x:v>
      </x:c>
      <x:c r="F283" s="30" t="str">
        <x:v>Optional</x:v>
      </x:c>
      <x:c r="G283" s="30" t="str">
        <x:v>Continuous</x:v>
      </x:c>
      <x:c r="H283" s="30"/>
      <x:c r="I283" s="30" t="str">
        <x:v>Pharmacy Manager / Pharmacist</x:v>
      </x:c>
      <x:c r="J283" s="30" t="str">
        <x:v>Treatment delays, patient complaints, dispensing errors.</x:v>
      </x:c>
      <x:c r="K283" s="30" t="str">
        <x:v>Medium</x:v>
      </x:c>
      <x:c r="L283" s="30" t="str">
        <x:v>RETAIL</x:v>
      </x:c>
      <x:c r="M283" s="30" t="str">
        <x:v>Yes</x:v>
      </x:c>
      <x:c r="N283" s="30" t="str">
        <x:v>P-4 entity-specific internal control; no independent statutory force. Activate the exact underlying legal requirement separately.</x:v>
      </x:c>
    </x:row>
    <x:row r="284">
      <x:c r="A284" s="30" t="str">
        <x:v>RCOMP033</x:v>
      </x:c>
      <x:c r="B284" s="30" t="str">
        <x:v>RPROV033</x:v>
      </x:c>
      <x:c r="C284" s="30" t="str">
        <x:v>CA033</x:v>
      </x:c>
      <x:c r="D284" s="30" t="str">
        <x:v>Obtain customer consent before sending SMS or digital notifications, protect confidential information, and maintain audit records of notifications transmitted.</x:v>
      </x:c>
      <x:c r="E284" s="30" t="str">
        <x:v>Ensure secure and compliant customer communication.</x:v>
      </x:c>
      <x:c r="F284" s="30" t="str">
        <x:v>Optional</x:v>
      </x:c>
      <x:c r="G284" s="30" t="str">
        <x:v>Every Notification</x:v>
      </x:c>
      <x:c r="H284" s="30"/>
      <x:c r="I284" s="30" t="str">
        <x:v>Pharmacy Manager</x:v>
      </x:c>
      <x:c r="J284" s="30" t="str">
        <x:v>Privacy breaches and regulatory non-compliance.</x:v>
      </x:c>
      <x:c r="K284" s="30" t="str">
        <x:v>Medium</x:v>
      </x:c>
      <x:c r="L284" s="30" t="str">
        <x:v>RETAIL</x:v>
      </x:c>
      <x:c r="M284" s="30" t="str">
        <x:v>Yes</x:v>
      </x:c>
      <x:c r="N284" s="30" t="str">
        <x:v>P-4 entity-specific internal control; no independent statutory force. Activate the exact underlying legal requirement separately.</x:v>
      </x:c>
    </x:row>
    <x:row r="285">
      <x:c r="A285" s="30" t="str">
        <x:v>RCOMP034</x:v>
      </x:c>
      <x:c r="B285" s="30" t="str">
        <x:v>RPROV034</x:v>
      </x:c>
      <x:c r="C285" s="30" t="str">
        <x:v>CA009</x:v>
      </x:c>
      <x:c r="D285" s="30" t="str">
        <x:v>Document every legally permitted generic substitution, including pharmacist justification, customer communication, and prescriber approval where applicable.</x:v>
      </x:c>
      <x:c r="E285" s="30" t="str">
        <x:v>Maintain traceability of generic substitutions.</x:v>
      </x:c>
      <x:c r="F285" s="30" t="str">
        <x:v>Optional</x:v>
      </x:c>
      <x:c r="G285" s="30" t="str">
        <x:v>Every Applicable Dispensing</x:v>
      </x:c>
      <x:c r="H285" s="30"/>
      <x:c r="I285" s="30" t="str">
        <x:v>Registered Pharmacist</x:v>
      </x:c>
      <x:c r="J285" s="30" t="str">
        <x:v>Regulatory observations and patient safety concerns.</x:v>
      </x:c>
      <x:c r="K285" s="30" t="str">
        <x:v>High</x:v>
      </x:c>
      <x:c r="L285" s="30" t="str">
        <x:v>RETAIL</x:v>
      </x:c>
      <x:c r="M285" s="30" t="str">
        <x:v>Yes</x:v>
      </x:c>
      <x:c r="N285" s="30" t="str">
        <x:v>P-4 entity-specific internal control; no independent statutory force. Activate the exact underlying legal requirement separately.</x:v>
      </x:c>
    </x:row>
    <x:row r="286">
      <x:c r="A286" s="30" t="str">
        <x:v>RCOMP035</x:v>
      </x:c>
      <x:c r="B286" s="30" t="str">
        <x:v>RPROV035</x:v>
      </x:c>
      <x:c r="C286" s="30" t="str">
        <x:v>CA063</x:v>
      </x:c>
      <x:c r="D286" s="30" t="str">
        <x:v>Investigate all refrigeration alarms and temperature excursions before dispensing affected medicines. Assess product suitability and document disposition decisions.</x:v>
      </x:c>
      <x:c r="E286" s="30" t="str">
        <x:v>Protect medicine quality during storage failures.</x:v>
      </x:c>
      <x:c r="F286" s="30" t="str">
        <x:v>Optional</x:v>
      </x:c>
      <x:c r="G286" s="30" t="str">
        <x:v>Every Temperature Excursion</x:v>
      </x:c>
      <x:c r="H286" s="30"/>
      <x:c r="I286" s="30" t="str">
        <x:v>Pharmacist</x:v>
      </x:c>
      <x:c r="J286" s="30" t="str">
        <x:v>Compromised medicine quality and patient harm.</x:v>
      </x:c>
      <x:c r="K286" s="30" t="str">
        <x:v>High</x:v>
      </x:c>
      <x:c r="L286" s="30" t="str">
        <x:v>RETAIL</x:v>
      </x:c>
      <x:c r="M286" s="30" t="str">
        <x:v>Yes</x:v>
      </x:c>
      <x:c r="N286" s="30" t="str">
        <x:v>P-4 entity-specific internal control; no independent statutory force. Activate the exact underlying legal requirement separately.</x:v>
      </x:c>
    </x:row>
    <x:row r="287">
      <x:c r="A287" s="30" t="str">
        <x:v>RCOMP036</x:v>
      </x:c>
      <x:c r="B287" s="30" t="str">
        <x:v>RPROV036</x:v>
      </x:c>
      <x:c r="C287" s="30" t="str">
        <x:v>CA065</x:v>
      </x:c>
      <x:c r="D287" s="30" t="str">
        <x:v>Maintain customer waiting areas in a clean, safe, hygienic, and accessible condition through documented inspections and housekeeping activities.</x:v>
      </x:c>
      <x:c r="E287" s="30" t="str">
        <x:v>Ensure customer safety and regulatory readiness.</x:v>
      </x:c>
      <x:c r="F287" s="30" t="str">
        <x:v>Optional</x:v>
      </x:c>
      <x:c r="G287" s="30" t="str">
        <x:v>Daily</x:v>
      </x:c>
      <x:c r="H287" s="30"/>
      <x:c r="I287" s="30" t="str">
        <x:v>Pharmacy Manager</x:v>
      </x:c>
      <x:c r="J287" s="30" t="str">
        <x:v>Customer injury, complaints, inspection observations.</x:v>
      </x:c>
      <x:c r="K287" s="30" t="str">
        <x:v>Low</x:v>
      </x:c>
      <x:c r="L287" s="30" t="str">
        <x:v>RETAIL</x:v>
      </x:c>
      <x:c r="M287" s="30" t="str">
        <x:v>Yes</x:v>
      </x:c>
      <x:c r="N287" s="30" t="str">
        <x:v>P-4 entity-specific internal control; no independent statutory force. Activate the exact underlying legal requirement separately.</x:v>
      </x:c>
    </x:row>
    <x:row r="288">
      <x:c r="A288" s="30" t="str">
        <x:v>RCOMP037</x:v>
      </x:c>
      <x:c r="B288" s="30" t="str">
        <x:v>RPROV037</x:v>
      </x:c>
      <x:c r="C288" s="30" t="str">
        <x:v>CA064</x:v>
      </x:c>
      <x:c r="D288" s="30" t="str">
        <x:v>Accept verbal prescriptions only where legally permitted, document pharmacist verification, obtain subsequent written or electronic confirmation within prescribed timelines, and maintain complete records.</x:v>
      </x:c>
      <x:c r="E288" s="30" t="str">
        <x:v>Ensure compliant handling of exceptional prescriptions.</x:v>
      </x:c>
      <x:c r="F288" s="30" t="str">
        <x:v>Optional</x:v>
      </x:c>
      <x:c r="G288" s="30" t="str">
        <x:v>Every Applicable Prescription</x:v>
      </x:c>
      <x:c r="H288" s="30"/>
      <x:c r="I288" s="30" t="str">
        <x:v>Registered Pharmacist</x:v>
      </x:c>
      <x:c r="J288" s="30" t="str">
        <x:v>Illegal dispensing and documentation deficiencies.</x:v>
      </x:c>
      <x:c r="K288" s="30" t="str">
        <x:v>High</x:v>
      </x:c>
      <x:c r="L288" s="30" t="str">
        <x:v>RETAIL</x:v>
      </x:c>
      <x:c r="M288" s="30" t="str">
        <x:v>Yes</x:v>
      </x:c>
      <x:c r="N288" s="30" t="str">
        <x:v>P-4 entity-specific internal control; no independent statutory force. Activate the exact underlying legal requirement separately.</x:v>
      </x:c>
    </x:row>
    <x:row r="289">
      <x:c r="A289" s="30" t="str">
        <x:v>RCOMP038</x:v>
      </x:c>
      <x:c r="B289" s="30" t="str">
        <x:v>RPROV038</x:v>
      </x:c>
      <x:c r="C289" s="30" t="str">
        <x:v>CA044</x:v>
      </x:c>
      <x:c r="D289" s="30" t="str">
        <x:v>Assign unique user accounts, prohibit shared credentials, periodically review user access, and immediately revoke unnecessary access rights for pharmacy information systems.</x:v>
      </x:c>
      <x:c r="E289" s="30" t="str">
        <x:v>Protect pharmacy systems from unauthorized access.</x:v>
      </x:c>
      <x:c r="F289" s="30" t="str">
        <x:v>Optional</x:v>
      </x:c>
      <x:c r="G289" s="30" t="str">
        <x:v>Quarterly Review / Continuous</x:v>
      </x:c>
      <x:c r="H289" s="30"/>
      <x:c r="I289" s="30" t="str">
        <x:v>IT Administrator</x:v>
      </x:c>
      <x:c r="J289" s="30" t="str">
        <x:v>Unauthorized access, cybersecurity incidents.</x:v>
      </x:c>
      <x:c r="K289" s="30" t="str">
        <x:v>High</x:v>
      </x:c>
      <x:c r="L289" s="30" t="str">
        <x:v>RETAIL</x:v>
      </x:c>
      <x:c r="M289" s="30" t="str">
        <x:v>Yes</x:v>
      </x:c>
      <x:c r="N289" s="30" t="str">
        <x:v>P-4 entity-specific internal control; no independent statutory force. Activate the exact underlying legal requirement separately.</x:v>
      </x:c>
    </x:row>
    <x:row r="290">
      <x:c r="A290" s="30" t="str">
        <x:v>RCOMP039</x:v>
      </x:c>
      <x:c r="B290" s="30" t="str">
        <x:v>RPROV039</x:v>
      </x:c>
      <x:c r="C290" s="30" t="str">
        <x:v>CA033</x:v>
      </x:c>
      <x:c r="D290" s="30" t="str">
        <x:v>Record, investigate, classify, and resolve customer feedback relating to dispensing quality, medicine availability, service delivery, and compliance. Monitor trends and implement corrective actions.</x:v>
      </x:c>
      <x:c r="E290" s="30" t="str">
        <x:v>Improve customer satisfaction and compliance performance.</x:v>
      </x:c>
      <x:c r="F290" s="30" t="str">
        <x:v>Optional</x:v>
      </x:c>
      <x:c r="G290" s="30" t="str">
        <x:v>Every Feedback Received</x:v>
      </x:c>
      <x:c r="H290" s="30"/>
      <x:c r="I290" s="30" t="str">
        <x:v>Pharmacy Manager</x:v>
      </x:c>
      <x:c r="J290" s="30" t="str">
        <x:v>Repeated complaints, reputational damage, regulatory concerns.</x:v>
      </x:c>
      <x:c r="K290" s="30" t="str">
        <x:v>Medium</x:v>
      </x:c>
      <x:c r="L290" s="30" t="str">
        <x:v>RETAIL</x:v>
      </x:c>
      <x:c r="M290" s="30" t="str">
        <x:v>Yes</x:v>
      </x:c>
      <x:c r="N290" s="30" t="str">
        <x:v>P-4 entity-specific internal control; no independent statutory force. Activate the exact underlying legal requirement separately.</x:v>
      </x:c>
    </x:row>
    <x:row r="291">
      <x:c r="A291" s="30" t="str">
        <x:v>RCOMP040</x:v>
      </x:c>
      <x:c r="B291" s="30" t="str">
        <x:v>RPROV040</x:v>
      </x:c>
      <x:c r="C291" s="30" t="str">
        <x:v>CA007</x:v>
      </x:c>
      <x:c r="D291" s="30" t="str">
        <x:v>Conduct monthly retail pharmacy self-assessments covering licensing, dispensing, storage, pharmacist supervision, documentation, inventory, IT controls, and regulatory compliance. Document findings and monitor corrective actions until closure.</x:v>
      </x:c>
      <x:c r="E291" s="30" t="str">
        <x:v>Continuously assess regulatory readiness.</x:v>
      </x:c>
      <x:c r="F291" s="30" t="str">
        <x:v>Optional</x:v>
      </x:c>
      <x:c r="G291" s="30" t="str">
        <x:v>Monthly</x:v>
      </x:c>
      <x:c r="H291" s="30"/>
      <x:c r="I291" s="30" t="str">
        <x:v>Pharmacy Manager / Compliance Officer</x:v>
      </x:c>
      <x:c r="J291" s="30" t="str">
        <x:v>Undetected compliance deficiencies.</x:v>
      </x:c>
      <x:c r="K291" s="30" t="str">
        <x:v>High</x:v>
      </x:c>
      <x:c r="L291" s="30" t="str">
        <x:v>RETAIL</x:v>
      </x:c>
      <x:c r="M291" s="30" t="str">
        <x:v>Yes</x:v>
      </x:c>
      <x:c r="N291" s="30" t="str">
        <x:v>P-4 entity-specific internal control; no independent statutory force. Activate the exact underlying legal requirement separately.</x:v>
      </x:c>
    </x:row>
    <x:row r="292">
      <x:c r="A292" s="30" t="str">
        <x:v>RCOMP041</x:v>
      </x:c>
      <x:c r="B292" s="30" t="str">
        <x:v>RPROV041</x:v>
      </x:c>
      <x:c r="C292" s="30" t="str">
        <x:v>CA042</x:v>
      </x:c>
      <x:c r="D292" s="30" t="str">
        <x:v>Maintain minimum stock levels for essential medicines based on regulatory requirements, consumption trends, and emergency demand. Review stock adequacy regularly and replenish shortages promptly.</x:v>
      </x:c>
      <x:c r="E292" s="30" t="str">
        <x:v>Ensure continuous availability of essential medicines.</x:v>
      </x:c>
      <x:c r="F292" s="30" t="str">
        <x:v>Optional</x:v>
      </x:c>
      <x:c r="G292" s="30" t="str">
        <x:v>Daily</x:v>
      </x:c>
      <x:c r="H292" s="30"/>
      <x:c r="I292" s="30" t="str">
        <x:v>Inventory Pharmacist</x:v>
      </x:c>
      <x:c r="J292" s="30" t="str">
        <x:v>Medicine shortages, patient safety risk, regulatory observations.</x:v>
      </x:c>
      <x:c r="K292" s="30" t="str">
        <x:v>High</x:v>
      </x:c>
      <x:c r="L292" s="30" t="str">
        <x:v>RETAIL</x:v>
      </x:c>
      <x:c r="M292" s="30" t="str">
        <x:v>Yes</x:v>
      </x:c>
      <x:c r="N292" s="30" t="str">
        <x:v>P-4 entity-specific internal control; no independent statutory force. Activate the exact underlying legal requirement separately.</x:v>
      </x:c>
    </x:row>
    <x:row r="293">
      <x:c r="A293" s="30" t="str">
        <x:v>RCOMP042</x:v>
      </x:c>
      <x:c r="B293" s="30" t="str">
        <x:v>RPROV042</x:v>
      </x:c>
      <x:c r="C293" s="30" t="str">
        <x:v>CA084</x:v>
      </x:c>
      <x:c r="D293" s="30" t="str">
        <x:v>Record cancelled, voided, or withdrawn prescriptions together with the reason, approving pharmacist, and supporting documentation. Prevent cancelled prescriptions from being dispensed.</x:v>
      </x:c>
      <x:c r="E293" s="30" t="str">
        <x:v>Ensure integrity of prescription cancellation process.</x:v>
      </x:c>
      <x:c r="F293" s="30" t="str">
        <x:v>Optional</x:v>
      </x:c>
      <x:c r="G293" s="30" t="str">
        <x:v>Every Cancellation</x:v>
      </x:c>
      <x:c r="H293" s="30"/>
      <x:c r="I293" s="30" t="str">
        <x:v>Registered Pharmacist</x:v>
      </x:c>
      <x:c r="J293" s="30" t="str">
        <x:v>Unauthorized dispensing and record inconsistencies.</x:v>
      </x:c>
      <x:c r="K293" s="30" t="str">
        <x:v>Medium</x:v>
      </x:c>
      <x:c r="L293" s="30" t="str">
        <x:v>RETAIL</x:v>
      </x:c>
      <x:c r="M293" s="30" t="str">
        <x:v>Yes</x:v>
      </x:c>
      <x:c r="N293" s="30" t="str">
        <x:v>P-4 entity-specific internal control; no independent statutory force. Activate the exact underlying legal requirement separately.</x:v>
      </x:c>
    </x:row>
    <x:row r="294">
      <x:c r="A294" s="30" t="str">
        <x:v>RCOMP043</x:v>
      </x:c>
      <x:c r="B294" s="30" t="str">
        <x:v>RPROV043</x:v>
      </x:c>
      <x:c r="C294" s="30" t="str">
        <x:v>CA072</x:v>
      </x:c>
      <x:c r="D294" s="30" t="str">
        <x:v>Verify medicine identity, batch number, and expiry using barcode scanning before dispensing wherever barcode systems are implemented. Investigate barcode mismatches before completion of dispensing.</x:v>
      </x:c>
      <x:c r="E294" s="30" t="str">
        <x:v>Reduce dispensing errors through barcode verification.</x:v>
      </x:c>
      <x:c r="F294" s="30" t="str">
        <x:v>Optional</x:v>
      </x:c>
      <x:c r="G294" s="30" t="str">
        <x:v>Every Barcode-Assisted Dispensing</x:v>
      </x:c>
      <x:c r="H294" s="30"/>
      <x:c r="I294" s="30" t="str">
        <x:v>Registered Pharmacist</x:v>
      </x:c>
      <x:c r="J294" s="30" t="str">
        <x:v>Wrong medicine dispensing and traceability failures.</x:v>
      </x:c>
      <x:c r="K294" s="30" t="str">
        <x:v>High</x:v>
      </x:c>
      <x:c r="L294" s="30" t="str">
        <x:v>RETAIL</x:v>
      </x:c>
      <x:c r="M294" s="30" t="str">
        <x:v>Yes</x:v>
      </x:c>
      <x:c r="N294" s="30" t="str">
        <x:v>P-4 entity-specific internal control; no independent statutory force. Activate the exact underlying legal requirement separately.</x:v>
      </x:c>
    </x:row>
    <x:row r="295">
      <x:c r="A295" s="30" t="str">
        <x:v>RCOMP044</x:v>
      </x:c>
      <x:c r="B295" s="30" t="str">
        <x:v>RPROV044</x:v>
      </x:c>
      <x:c r="C295" s="30" t="str">
        <x:v>CA056</x:v>
      </x:c>
      <x:c r="D295" s="30" t="str">
        <x:v>Immediately isolate damaged, contaminated, or suspected substandard medicines, prevent their dispensing, investigate the cause, and complete approved disposition procedures.</x:v>
      </x:c>
      <x:c r="E295" s="30" t="str">
        <x:v>Protect medicine quality and patient safety.</x:v>
      </x:c>
      <x:c r="F295" s="30" t="str">
        <x:v>Optional</x:v>
      </x:c>
      <x:c r="G295" s="30" t="str">
        <x:v>Every Occurrence</x:v>
      </x:c>
      <x:c r="H295" s="30"/>
      <x:c r="I295" s="30" t="str">
        <x:v>Pharmacist / Inventory Supervisor</x:v>
      </x:c>
      <x:c r="J295" s="30" t="str">
        <x:v>Distribution of compromised medicines.</x:v>
      </x:c>
      <x:c r="K295" s="30" t="str">
        <x:v>High</x:v>
      </x:c>
      <x:c r="L295" s="30" t="str">
        <x:v>RETAIL</x:v>
      </x:c>
      <x:c r="M295" s="30" t="str">
        <x:v>Yes</x:v>
      </x:c>
      <x:c r="N295" s="30" t="str">
        <x:v>P-4 entity-specific internal control; no independent statutory force. Activate the exact underlying legal requirement separately.</x:v>
      </x:c>
    </x:row>
    <x:row r="296">
      <x:c r="A296" s="30" t="str">
        <x:v>RCOMP045</x:v>
      </x:c>
      <x:c r="B296" s="30" t="str">
        <x:v>RPROV045</x:v>
      </x:c>
      <x:c r="C296" s="30" t="str">
        <x:v>CA072</x:v>
      </x:c>
      <x:c r="D296" s="30" t="str">
        <x:v>Maintain documented emergency response procedures covering fire, power failure, refrigeration failure, medical emergencies, evacuation, and business interruptions. Train staff periodically on emergency response responsibilities.</x:v>
      </x:c>
      <x:c r="E296" s="30" t="str">
        <x:v>Ensure preparedness for pharmacy emergencies.</x:v>
      </x:c>
      <x:c r="F296" s="30" t="str">
        <x:v>Optional</x:v>
      </x:c>
      <x:c r="G296" s="30" t="str">
        <x:v>Annual Review / After Major Changes</x:v>
      </x:c>
      <x:c r="H296" s="30"/>
      <x:c r="I296" s="30" t="str">
        <x:v>Pharmacy Manager</x:v>
      </x:c>
      <x:c r="J296" s="30" t="str">
        <x:v>Business interruption, patient safety risks, regulatory observations.</x:v>
      </x:c>
      <x:c r="K296" s="30" t="str">
        <x:v>High</x:v>
      </x:c>
      <x:c r="L296" s="30" t="str">
        <x:v>RETAIL</x:v>
      </x:c>
      <x:c r="M296" s="30" t="str">
        <x:v>Yes</x:v>
      </x:c>
      <x:c r="N296" s="30" t="str">
        <x:v>P-4 entity-specific internal control; no independent statutory force. Activate the exact underlying legal requirement separately.</x:v>
      </x:c>
    </x:row>
    <x:row r="297">
      <x:c r="A297" s="30" t="str">
        <x:v>RCOMP046</x:v>
      </x:c>
      <x:c r="B297" s="30" t="str">
        <x:v>RPROV046</x:v>
      </x:c>
      <x:c r="C297" s="30" t="str">
        <x:v>CA033</x:v>
      </x:c>
      <x:c r="D297" s="30" t="str">
        <x:v>Maintain reasonable accessibility for elderly persons, persons with disabilities, and customers with mobility limitations. Periodically inspect accessibility facilities and correct identified deficiencies.</x:v>
      </x:c>
      <x:c r="E297" s="30" t="str">
        <x:v>Promote inclusive customer access.</x:v>
      </x:c>
      <x:c r="F297" s="30" t="str">
        <x:v>Optional</x:v>
      </x:c>
      <x:c r="G297" s="30" t="str">
        <x:v>Quarterly</x:v>
      </x:c>
      <x:c r="H297" s="30"/>
      <x:c r="I297" s="30" t="str">
        <x:v>Pharmacy Manager</x:v>
      </x:c>
      <x:c r="J297" s="30" t="str">
        <x:v>Customer complaints and accessibility deficiencies.</x:v>
      </x:c>
      <x:c r="K297" s="30" t="str">
        <x:v>Medium</x:v>
      </x:c>
      <x:c r="L297" s="30" t="str">
        <x:v>RETAIL</x:v>
      </x:c>
      <x:c r="M297" s="30" t="str">
        <x:v>Yes</x:v>
      </x:c>
      <x:c r="N297" s="30" t="str">
        <x:v>P-4 entity-specific internal control; no independent statutory force. Activate the exact underlying legal requirement separately.</x:v>
      </x:c>
    </x:row>
    <x:row r="298">
      <x:c r="A298" s="30" t="str">
        <x:v>RCOMP047</x:v>
      </x:c>
      <x:c r="B298" s="30" t="str">
        <x:v>RPROV047</x:v>
      </x:c>
      <x:c r="C298" s="30" t="str">
        <x:v>CA084</x:v>
      </x:c>
      <x:c r="D298" s="30" t="str">
        <x:v>Document medicine shortages, communicate availability status to affected customers, evaluate suitable alternatives where legally permitted, and monitor resolution until supply is restored.</x:v>
      </x:c>
      <x:c r="E298" s="30" t="str">
        <x:v>Manage medicine shortages transparently and safely.</x:v>
      </x:c>
      <x:c r="F298" s="30" t="str">
        <x:v>Optional</x:v>
      </x:c>
      <x:c r="G298" s="30" t="str">
        <x:v>Every Shortage</x:v>
      </x:c>
      <x:c r="H298" s="30"/>
      <x:c r="I298" s="30" t="str">
        <x:v>Pharmacist</x:v>
      </x:c>
      <x:c r="J298" s="30" t="str">
        <x:v>Customer dissatisfaction, interrupted treatment, regulatory observations.</x:v>
      </x:c>
      <x:c r="K298" s="30" t="str">
        <x:v>Medium</x:v>
      </x:c>
      <x:c r="L298" s="30" t="str">
        <x:v>RETAIL</x:v>
      </x:c>
      <x:c r="M298" s="30" t="str">
        <x:v>Yes</x:v>
      </x:c>
      <x:c r="N298" s="30" t="str">
        <x:v>P-4 entity-specific internal control; no independent statutory force. Activate the exact underlying legal requirement separately.</x:v>
      </x:c>
    </x:row>
    <x:row r="299">
      <x:c r="A299" s="30" t="str">
        <x:v>RCOMP048</x:v>
      </x:c>
      <x:c r="B299" s="30" t="str">
        <x:v>RPROV048</x:v>
      </x:c>
      <x:c r="C299" s="30" t="str">
        <x:v>CA009</x:v>
      </x:c>
      <x:c r="D299" s="30" t="str">
        <x:v>Perform scheduled backups of electronic pharmacy records, verify backup completion, periodically test restoration, and protect backup media from unauthorized access or damage.</x:v>
      </x:c>
      <x:c r="E299" s="30" t="str">
        <x:v>Preserve availability and recoverability of pharmacy data.</x:v>
      </x:c>
      <x:c r="F299" s="30" t="str">
        <x:v>Optional</x:v>
      </x:c>
      <x:c r="G299" s="30" t="str">
        <x:v>Daily Backup / Periodic Restoration Testing</x:v>
      </x:c>
      <x:c r="H299" s="30"/>
      <x:c r="I299" s="30" t="str">
        <x:v>IT Administrator</x:v>
      </x:c>
      <x:c r="J299" s="30" t="str">
        <x:v>Data loss and business disruption.</x:v>
      </x:c>
      <x:c r="K299" s="30" t="str">
        <x:v>High</x:v>
      </x:c>
      <x:c r="L299" s="30" t="str">
        <x:v>RETAIL</x:v>
      </x:c>
      <x:c r="M299" s="30" t="str">
        <x:v>Yes</x:v>
      </x:c>
      <x:c r="N299" s="30" t="str">
        <x:v>P-4 entity-specific internal control; no independent statutory force. Activate the exact underlying legal requirement separately.</x:v>
      </x:c>
    </x:row>
    <x:row r="300">
      <x:c r="A300" s="30" t="str">
        <x:v>RCOMP049</x:v>
      </x:c>
      <x:c r="B300" s="30" t="str">
        <x:v>RPROV049</x:v>
      </x:c>
      <x:c r="C300" s="30" t="str">
        <x:v>CA033</x:v>
      </x:c>
      <x:c r="D300" s="30" t="str">
        <x:v>Display current regulatory notices, medicine safety alerts, vaccination campaigns, and public health advisories issued by competent authorities. Remove outdated notices promptly.</x:v>
      </x:c>
      <x:c r="E300" s="30" t="str">
        <x:v>Promote customer awareness of public health information.</x:v>
      </x:c>
      <x:c r="F300" s="30" t="str">
        <x:v>Optional</x:v>
      </x:c>
      <x:c r="G300" s="30" t="str">
        <x:v>Continuous</x:v>
      </x:c>
      <x:c r="H300" s="30"/>
      <x:c r="I300" s="30" t="str">
        <x:v>Pharmacy Manager</x:v>
      </x:c>
      <x:c r="J300" s="30" t="str">
        <x:v>Failure to communicate important public health information.</x:v>
      </x:c>
      <x:c r="K300" s="30" t="str">
        <x:v>Medium</x:v>
      </x:c>
      <x:c r="L300" s="30" t="str">
        <x:v>RETAIL</x:v>
      </x:c>
      <x:c r="M300" s="30" t="str">
        <x:v>Yes</x:v>
      </x:c>
      <x:c r="N300" s="30" t="str">
        <x:v>P-4 entity-specific internal control; no independent statutory force. Activate the exact underlying legal requirement separately.</x:v>
      </x:c>
    </x:row>
    <x:row r="301">
      <x:c r="A301" s="30" t="str">
        <x:v>RCOMP050</x:v>
      </x:c>
      <x:c r="B301" s="30" t="str">
        <x:v>RPROV050</x:v>
      </x:c>
      <x:c r="C301" s="30" t="str">
        <x:v>CA014</x:v>
      </x:c>
      <x:c r="D301" s="30" t="str">
        <x:v>Document, investigate, assign, monitor, verify, and formally close corrective and preventive actions arising from inspections, audits, complaints, incidents, dispensing errors, or compliance reviews.</x:v>
      </x:c>
      <x:c r="E301" s="30" t="str">
        <x:v>Ensure timely and effective closure of compliance deficiencies.</x:v>
      </x:c>
      <x:c r="F301" s="30" t="str">
        <x:v>Optional</x:v>
      </x:c>
      <x:c r="G301" s="30" t="str">
        <x:v>Continuous</x:v>
      </x:c>
      <x:c r="H301" s="30"/>
      <x:c r="I301" s="30" t="str">
        <x:v>Compliance Officer</x:v>
      </x:c>
      <x:c r="J301" s="30" t="str">
        <x:v>Recurring compliance failures and ineffective corrective actions.</x:v>
      </x:c>
      <x:c r="K301" s="30" t="str">
        <x:v>High</x:v>
      </x:c>
      <x:c r="L301" s="30" t="str">
        <x:v>RETAIL</x:v>
      </x:c>
      <x:c r="M301" s="30" t="str">
        <x:v>Yes</x:v>
      </x:c>
      <x:c r="N301" s="30" t="str">
        <x:v>P-4 entity-specific internal control; no independent statutory force. Activate the exact underlying legal requirement separately.</x:v>
      </x:c>
    </x:row>
    <x:row r="302">
      <x:c r="A302" s="30" t="str">
        <x:v>RCOMP051</x:v>
      </x:c>
      <x:c r="B302" s="30" t="str">
        <x:v>RPROV051</x:v>
      </x:c>
      <x:c r="C302" s="30" t="str">
        <x:v>CA044</x:v>
      </x:c>
      <x:c r="D302" s="30" t="str">
        <x:v>Identify, quarantine, investigate, and report suspected counterfeit medicines before they enter the dispensing process.</x:v>
      </x:c>
      <x:c r="E302" s="30" t="str">
        <x:v>Prevent supply of counterfeit medicines.</x:v>
      </x:c>
      <x:c r="F302" s="30" t="str">
        <x:v>Optional</x:v>
      </x:c>
      <x:c r="G302" s="30" t="str">
        <x:v>Every Receipt</x:v>
      </x:c>
      <x:c r="H302" s="30"/>
      <x:c r="I302" s="30" t="str">
        <x:v>Pharmacist</x:v>
      </x:c>
      <x:c r="J302" s="30" t="str">
        <x:v>Patient harm, regulatory action</x:v>
      </x:c>
      <x:c r="K302" s="30" t="str">
        <x:v>High</x:v>
      </x:c>
      <x:c r="L302" s="30" t="str">
        <x:v>RETAIL</x:v>
      </x:c>
      <x:c r="M302" s="30" t="str">
        <x:v>Yes</x:v>
      </x:c>
      <x:c r="N302" s="30" t="str">
        <x:v>P-4 entity-specific internal control; no independent statutory force. Activate the exact underlying legal requirement separately.</x:v>
      </x:c>
    </x:row>
    <x:row r="303">
      <x:c r="A303" s="30" t="str">
        <x:v>RCOMP052</x:v>
      </x:c>
      <x:c r="B303" s="30" t="str">
        <x:v>RPROV052</x:v>
      </x:c>
      <x:c r="C303" s="30" t="str">
        <x:v>CA003</x:v>
      </x:c>
      <x:c r="D303" s="30" t="str">
        <x:v>Procure medicines only from licensed and approved suppliers after validating regulatory approvals.</x:v>
      </x:c>
      <x:c r="E303" s="30" t="str">
        <x:v>Ensure legal procurement.</x:v>
      </x:c>
      <x:c r="F303" s="30" t="str">
        <x:v>Optional</x:v>
      </x:c>
      <x:c r="G303" s="30" t="str">
        <x:v>Every Procurement</x:v>
      </x:c>
      <x:c r="H303" s="30"/>
      <x:c r="I303" s="30" t="str">
        <x:v>Procurement Pharmacist</x:v>
      </x:c>
      <x:c r="J303" s="30" t="str">
        <x:v>Procurement violations</x:v>
      </x:c>
      <x:c r="K303" s="30" t="str">
        <x:v>High</x:v>
      </x:c>
      <x:c r="L303" s="30" t="str">
        <x:v>RETAIL</x:v>
      </x:c>
      <x:c r="M303" s="30" t="str">
        <x:v>Yes</x:v>
      </x:c>
      <x:c r="N303" s="30" t="str">
        <x:v>P-4 entity-specific internal control; no independent statutory force. Activate the exact underlying legal requirement separately.</x:v>
      </x:c>
    </x:row>
    <x:row r="304">
      <x:c r="A304" s="30" t="str">
        <x:v>RCOMP053</x:v>
      </x:c>
      <x:c r="B304" s="30" t="str">
        <x:v>RPROV053</x:v>
      </x:c>
      <x:c r="C304" s="30" t="str">
        <x:v>CA072</x:v>
      </x:c>
      <x:c r="D304" s="30" t="str">
        <x:v>Securely retain electronic invoices and receipts with audit trails and backup controls.</x:v>
      </x:c>
      <x:c r="E304" s="30" t="str">
        <x:v>Maintain statutory billing records.</x:v>
      </x:c>
      <x:c r="F304" s="30" t="str">
        <x:v>Optional</x:v>
      </x:c>
      <x:c r="G304" s="30" t="str">
        <x:v>Continuous</x:v>
      </x:c>
      <x:c r="H304" s="30"/>
      <x:c r="I304" s="30" t="str">
        <x:v>Accounts / IT</x:v>
      </x:c>
      <x:c r="J304" s="30" t="str">
        <x:v>Financial non-compliance</x:v>
      </x:c>
      <x:c r="K304" s="30" t="str">
        <x:v>Medium</x:v>
      </x:c>
      <x:c r="L304" s="30" t="str">
        <x:v>RETAIL</x:v>
      </x:c>
      <x:c r="M304" s="30" t="str">
        <x:v>Yes</x:v>
      </x:c>
      <x:c r="N304" s="30" t="str">
        <x:v>P-4 entity-specific internal control; no independent statutory force. Activate the exact underlying legal requirement separately.</x:v>
      </x:c>
    </x:row>
    <x:row r="305">
      <x:c r="A305" s="30" t="str">
        <x:v>RCOMP054</x:v>
      </x:c>
      <x:c r="B305" s="30" t="str">
        <x:v>RPROV054</x:v>
      </x:c>
      <x:c r="C305" s="30" t="str">
        <x:v>CA038</x:v>
      </x:c>
      <x:c r="D305" s="30" t="str">
        <x:v>Evaluate supplier recall notifications immediately and suspend dispensing of affected medicines until assessment is complete.</x:v>
      </x:c>
      <x:c r="E305" s="30" t="str">
        <x:v>Execute recalls effectively.</x:v>
      </x:c>
      <x:c r="F305" s="30" t="str">
        <x:v>Optional</x:v>
      </x:c>
      <x:c r="G305" s="30" t="str">
        <x:v>Every Recall</x:v>
      </x:c>
      <x:c r="H305" s="30"/>
      <x:c r="I305" s="30" t="str">
        <x:v>Pharmacist</x:v>
      </x:c>
      <x:c r="J305" s="30" t="str">
        <x:v>Patient safety</x:v>
      </x:c>
      <x:c r="K305" s="30" t="str">
        <x:v>High</x:v>
      </x:c>
      <x:c r="L305" s="30" t="str">
        <x:v>RETAIL</x:v>
      </x:c>
      <x:c r="M305" s="30" t="str">
        <x:v>Yes</x:v>
      </x:c>
      <x:c r="N305" s="30" t="str">
        <x:v>P-4 entity-specific internal control; no independent statutory force. Activate the exact underlying legal requirement separately.</x:v>
      </x:c>
    </x:row>
    <x:row r="306">
      <x:c r="A306" s="30" t="str">
        <x:v>RCOMP055</x:v>
      </x:c>
      <x:c r="B306" s="30" t="str">
        <x:v>RPROV055</x:v>
      </x:c>
      <x:c r="C306" s="30" t="str">
        <x:v>CA071</x:v>
      </x:c>
      <x:c r="D306" s="30" t="str">
        <x:v>Implement documented procedures for power failures affecting refrigeration, dispensing systems, and business continuity.</x:v>
      </x:c>
      <x:c r="E306" s="30" t="str">
        <x:v>Protect medicine quality and operations.</x:v>
      </x:c>
      <x:c r="F306" s="30" t="str">
        <x:v>Optional</x:v>
      </x:c>
      <x:c r="G306" s="30" t="str">
        <x:v>Every Incident</x:v>
      </x:c>
      <x:c r="H306" s="30"/>
      <x:c r="I306" s="30" t="str">
        <x:v>Pharmacy Manager</x:v>
      </x:c>
      <x:c r="J306" s="30" t="str">
        <x:v>Business disruption</x:v>
      </x:c>
      <x:c r="K306" s="30" t="str">
        <x:v>High</x:v>
      </x:c>
      <x:c r="L306" s="30" t="str">
        <x:v>RETAIL</x:v>
      </x:c>
      <x:c r="M306" s="30" t="str">
        <x:v>Yes</x:v>
      </x:c>
      <x:c r="N306" s="30" t="str">
        <x:v>P-4 entity-specific internal control; no independent statutory force. Activate the exact underlying legal requirement separately.</x:v>
      </x:c>
    </x:row>
    <x:row r="307">
      <x:c r="A307" s="30" t="str">
        <x:v>RCOMP056</x:v>
      </x:c>
      <x:c r="B307" s="30" t="str">
        <x:v>RPROV056</x:v>
      </x:c>
      <x:c r="C307" s="30" t="str">
        <x:v>CA033</x:v>
      </x:c>
      <x:c r="D307" s="30" t="str">
        <x:v>Conduct community health awareness programmes under pharmacist supervision using approved educational materials.</x:v>
      </x:c>
      <x:c r="E307" s="30" t="str">
        <x:v>Promote public health.</x:v>
      </x:c>
      <x:c r="F307" s="30" t="str">
        <x:v>Optional</x:v>
      </x:c>
      <x:c r="G307" s="30" t="str">
        <x:v>Every Campaign</x:v>
      </x:c>
      <x:c r="H307" s="30"/>
      <x:c r="I307" s="30" t="str">
        <x:v>Pharmacist</x:v>
      </x:c>
      <x:c r="J307" s="30" t="str">
        <x:v>Incorrect health advice</x:v>
      </x:c>
      <x:c r="K307" s="30" t="str">
        <x:v>Medium</x:v>
      </x:c>
      <x:c r="L307" s="30" t="str">
        <x:v>RETAIL</x:v>
      </x:c>
      <x:c r="M307" s="30" t="str">
        <x:v>Yes</x:v>
      </x:c>
      <x:c r="N307" s="30" t="str">
        <x:v>P-4 entity-specific internal control; no independent statutory force. Activate the exact underlying legal requirement separately.</x:v>
      </x:c>
    </x:row>
    <x:row r="308">
      <x:c r="A308" s="30" t="str">
        <x:v>RCOMP057</x:v>
      </x:c>
      <x:c r="B308" s="30" t="str">
        <x:v>RPROV057</x:v>
      </x:c>
      <x:c r="C308" s="30" t="str">
        <x:v>CA030</x:v>
      </x:c>
      <x:c r="D308" s="30" t="str">
        <x:v>Investigate all inventory variances, document root causes, obtain pharmacist approval, and implement corrective actions.</x:v>
      </x:c>
      <x:c r="E308" s="30" t="str">
        <x:v>Maintain inventory integrity.</x:v>
      </x:c>
      <x:c r="F308" s="30" t="str">
        <x:v>Optional</x:v>
      </x:c>
      <x:c r="G308" s="30" t="str">
        <x:v>Daily</x:v>
      </x:c>
      <x:c r="H308" s="30"/>
      <x:c r="I308" s="30" t="str">
        <x:v>Inventory Pharmacist</x:v>
      </x:c>
      <x:c r="J308" s="30" t="str">
        <x:v>Stock loss</x:v>
      </x:c>
      <x:c r="K308" s="30" t="str">
        <x:v>High</x:v>
      </x:c>
      <x:c r="L308" s="30" t="str">
        <x:v>RETAIL</x:v>
      </x:c>
      <x:c r="M308" s="30" t="str">
        <x:v>Yes</x:v>
      </x:c>
      <x:c r="N308" s="30" t="str">
        <x:v>P-4 entity-specific internal control; no independent statutory force. Activate the exact underlying legal requirement separately.</x:v>
      </x:c>
    </x:row>
    <x:row r="309">
      <x:c r="A309" s="30" t="str">
        <x:v>RCOMP058</x:v>
      </x:c>
      <x:c r="B309" s="30" t="str">
        <x:v>RPROV058</x:v>
      </x:c>
      <x:c r="C309" s="30" t="str">
        <x:v>CA008</x:v>
      </x:c>
      <x:c r="D309" s="30" t="str">
        <x:v>Configure automatic user session timeout for pharmacy software and periodically validate configuration.</x:v>
      </x:c>
      <x:c r="E309" s="30" t="str">
        <x:v>Prevent unauthorized system access.</x:v>
      </x:c>
      <x:c r="F309" s="30" t="str">
        <x:v>Optional</x:v>
      </x:c>
      <x:c r="G309" s="30" t="str">
        <x:v>Quarterly</x:v>
      </x:c>
      <x:c r="H309" s="30"/>
      <x:c r="I309" s="30" t="str">
        <x:v>IT Administrator</x:v>
      </x:c>
      <x:c r="J309" s="30" t="str">
        <x:v>Cybersecurity breach</x:v>
      </x:c>
      <x:c r="K309" s="30" t="str">
        <x:v>Medium</x:v>
      </x:c>
      <x:c r="L309" s="30" t="str">
        <x:v>RETAIL</x:v>
      </x:c>
      <x:c r="M309" s="30" t="str">
        <x:v>Yes</x:v>
      </x:c>
      <x:c r="N309" s="30" t="str">
        <x:v>P-4 entity-specific internal control; no independent statutory force. Activate the exact underlying legal requirement separately.</x:v>
      </x:c>
    </x:row>
    <x:row r="310">
      <x:c r="A310" s="30" t="str">
        <x:v>RCOMP059</x:v>
      </x:c>
      <x:c r="B310" s="30" t="str">
        <x:v>RPROV059</x:v>
      </x:c>
      <x:c r="C310" s="30" t="str">
        <x:v>CA033</x:v>
      </x:c>
      <x:c r="D310" s="30" t="str">
        <x:v>Provide approved medicine safety information, storage instructions, and disposal guidance to customers whenever applicable.</x:v>
      </x:c>
      <x:c r="E310" s="30" t="str">
        <x:v>Improve medicine safety awareness.</x:v>
      </x:c>
      <x:c r="F310" s="30" t="str">
        <x:v>Optional</x:v>
      </x:c>
      <x:c r="G310" s="30" t="str">
        <x:v>Every Applicable Dispensing</x:v>
      </x:c>
      <x:c r="H310" s="30"/>
      <x:c r="I310" s="30" t="str">
        <x:v>Pharmacist</x:v>
      </x:c>
      <x:c r="J310" s="30" t="str">
        <x:v>Medicine misuse</x:v>
      </x:c>
      <x:c r="K310" s="30" t="str">
        <x:v>Medium</x:v>
      </x:c>
      <x:c r="L310" s="30" t="str">
        <x:v>RETAIL</x:v>
      </x:c>
      <x:c r="M310" s="30" t="str">
        <x:v>Yes</x:v>
      </x:c>
      <x:c r="N310" s="30" t="str">
        <x:v>P-4 entity-specific internal control; no independent statutory force. Activate the exact underlying legal requirement separately.</x:v>
      </x:c>
    </x:row>
    <x:row r="311">
      <x:c r="A311" s="30" t="str">
        <x:v>RCOMP060</x:v>
      </x:c>
      <x:c r="B311" s="30" t="str">
        <x:v>RPROV060</x:v>
      </x:c>
      <x:c r="C311" s="30" t="str">
        <x:v>CA008</x:v>
      </x:c>
      <x:c r="D311" s="30" t="str">
        <x:v>Maintain all statutory documents, licences, SOPs, logs, and registers in inspection-ready condition.</x:v>
      </x:c>
      <x:c r="E311" s="30" t="str">
        <x:v>Ensure inspection readiness.</x:v>
      </x:c>
      <x:c r="F311" s="30" t="str">
        <x:v>Optional</x:v>
      </x:c>
      <x:c r="G311" s="30" t="str">
        <x:v>Continuous</x:v>
      </x:c>
      <x:c r="H311" s="30"/>
      <x:c r="I311" s="30" t="str">
        <x:v>Compliance Officer</x:v>
      </x:c>
      <x:c r="J311" s="30" t="str">
        <x:v>Inspection observations</x:v>
      </x:c>
      <x:c r="K311" s="30" t="str">
        <x:v>High</x:v>
      </x:c>
      <x:c r="L311" s="30" t="str">
        <x:v>RETAIL</x:v>
      </x:c>
      <x:c r="M311" s="30" t="str">
        <x:v>Yes</x:v>
      </x:c>
      <x:c r="N311" s="30" t="str">
        <x:v>P-4 entity-specific internal control; no independent statutory force. Activate the exact underlying legal requirement separately.</x:v>
      </x:c>
    </x:row>
    <x:row r="312">
      <x:c r="A312" s="30" t="str">
        <x:v>RCOMP061</x:v>
      </x:c>
      <x:c r="B312" s="30" t="str">
        <x:v>RPROV061</x:v>
      </x:c>
      <x:c r="C312" s="30" t="str">
        <x:v>CA041</x:v>
      </x:c>
      <x:c r="D312" s="30" t="str">
        <x:v>Dispose of expired, damaged, recalled, and unusable medicines only through approved disposal mechanisms with complete documentation.</x:v>
      </x:c>
      <x:c r="E312" s="30" t="str">
        <x:v>Ensure compliant medicine disposal.</x:v>
      </x:c>
      <x:c r="F312" s="30" t="str">
        <x:v>Optional</x:v>
      </x:c>
      <x:c r="G312" s="30" t="str">
        <x:v>Every Disposal</x:v>
      </x:c>
      <x:c r="H312" s="30"/>
      <x:c r="I312" s="30" t="str">
        <x:v>Pharmacist</x:v>
      </x:c>
      <x:c r="J312" s="30" t="str">
        <x:v>Environmental and regulatory violations</x:v>
      </x:c>
      <x:c r="K312" s="30" t="str">
        <x:v>High</x:v>
      </x:c>
      <x:c r="L312" s="30" t="str">
        <x:v>RETAIL</x:v>
      </x:c>
      <x:c r="M312" s="30" t="str">
        <x:v>Yes</x:v>
      </x:c>
      <x:c r="N312" s="30" t="str">
        <x:v>P-4 entity-specific internal control; no independent statutory force. Activate the exact underlying legal requirement separately.</x:v>
      </x:c>
    </x:row>
    <x:row r="313">
      <x:c r="A313" s="30" t="str">
        <x:v>RCOMP062</x:v>
      </x:c>
      <x:c r="B313" s="30" t="str">
        <x:v>RPROV062</x:v>
      </x:c>
      <x:c r="C313" s="30" t="str">
        <x:v>CA010</x:v>
      </x:c>
      <x:c r="D313" s="30" t="str">
        <x:v>Conduct documented competency assessments for pharmacy personnel at defined intervals.</x:v>
      </x:c>
      <x:c r="E313" s="30" t="str">
        <x:v>Maintain staff competency.</x:v>
      </x:c>
      <x:c r="F313" s="30" t="str">
        <x:v>Optional</x:v>
      </x:c>
      <x:c r="G313" s="30" t="str">
        <x:v>Annual</x:v>
      </x:c>
      <x:c r="H313" s="30"/>
      <x:c r="I313" s="30" t="str">
        <x:v>HR / Pharmacy Manager</x:v>
      </x:c>
      <x:c r="J313" s="30" t="str">
        <x:v>Operational errors</x:v>
      </x:c>
      <x:c r="K313" s="30" t="str">
        <x:v>Medium</x:v>
      </x:c>
      <x:c r="L313" s="30" t="str">
        <x:v>RETAIL</x:v>
      </x:c>
      <x:c r="M313" s="30" t="str">
        <x:v>Yes</x:v>
      </x:c>
      <x:c r="N313" s="30" t="str">
        <x:v>P-4 entity-specific internal control; no independent statutory force. Activate the exact underlying legal requirement separately.</x:v>
      </x:c>
    </x:row>
    <x:row r="314">
      <x:c r="A314" s="30" t="str">
        <x:v>RCOMP063</x:v>
      </x:c>
      <x:c r="B314" s="30" t="str">
        <x:v>RPROV063</x:v>
      </x:c>
      <x:c r="C314" s="30" t="str">
        <x:v>CA033</x:v>
      </x:c>
      <x:c r="D314" s="30" t="str">
        <x:v>Obtain, record, and manage electronic customer consent and withdrawal requests securely.</x:v>
      </x:c>
      <x:c r="E314" s="30" t="str">
        <x:v>Comply with privacy obligations.</x:v>
      </x:c>
      <x:c r="F314" s="30" t="str">
        <x:v>Optional</x:v>
      </x:c>
      <x:c r="G314" s="30" t="str">
        <x:v>Every Consent</x:v>
      </x:c>
      <x:c r="H314" s="30"/>
      <x:c r="I314" s="30" t="str">
        <x:v>Pharmacy Manager</x:v>
      </x:c>
      <x:c r="J314" s="30" t="str">
        <x:v>Privacy violations</x:v>
      </x:c>
      <x:c r="K314" s="30" t="str">
        <x:v>High</x:v>
      </x:c>
      <x:c r="L314" s="30" t="str">
        <x:v>RETAIL</x:v>
      </x:c>
      <x:c r="M314" s="30" t="str">
        <x:v>Yes</x:v>
      </x:c>
      <x:c r="N314" s="30" t="str">
        <x:v>P-4 entity-specific internal control; no independent statutory force. Activate the exact underlying legal requirement separately.</x:v>
      </x:c>
    </x:row>
    <x:row r="315">
      <x:c r="A315" s="30" t="str">
        <x:v>RCOMP064</x:v>
      </x:c>
      <x:c r="B315" s="30" t="str">
        <x:v>RPROV064</x:v>
      </x:c>
      <x:c r="C315" s="30" t="str">
        <x:v>CA020</x:v>
      </x:c>
      <x:c r="D315" s="30" t="str">
        <x:v>Monitor storage conditions including temperature, humidity, cleanliness, and pest control with documented corrective actions.</x:v>
      </x:c>
      <x:c r="E315" s="30" t="str">
        <x:v>Preserve medicine quality.</x:v>
      </x:c>
      <x:c r="F315" s="30" t="str">
        <x:v>Optional</x:v>
      </x:c>
      <x:c r="G315" s="30" t="str">
        <x:v>Daily</x:v>
      </x:c>
      <x:c r="H315" s="30"/>
      <x:c r="I315" s="30" t="str">
        <x:v>Store Pharmacist</x:v>
      </x:c>
      <x:c r="J315" s="30" t="str">
        <x:v>Product deterioration</x:v>
      </x:c>
      <x:c r="K315" s="30" t="str">
        <x:v>High</x:v>
      </x:c>
      <x:c r="L315" s="30" t="str">
        <x:v>RETAIL</x:v>
      </x:c>
      <x:c r="M315" s="30" t="str">
        <x:v>Yes</x:v>
      </x:c>
      <x:c r="N315" s="30" t="str">
        <x:v>P-4 entity-specific internal control; no independent statutory force. Activate the exact underlying legal requirement separately.</x:v>
      </x:c>
    </x:row>
    <x:row r="316">
      <x:c r="A316" s="30" t="str">
        <x:v>RCOMP065</x:v>
      </x:c>
      <x:c r="B316" s="30" t="str">
        <x:v>RPROV065</x:v>
      </x:c>
      <x:c r="C316" s="30" t="str">
        <x:v>CA064</x:v>
      </x:c>
      <x:c r="D316" s="30" t="str">
        <x:v>Reconcile statutory controlled medicine registers against physical stock and dispensing records.</x:v>
      </x:c>
      <x:c r="E316" s="30" t="str">
        <x:v>Maintain statutory register accuracy.</x:v>
      </x:c>
      <x:c r="F316" s="30" t="str">
        <x:v>Optional</x:v>
      </x:c>
      <x:c r="G316" s="30" t="str">
        <x:v>Monthly</x:v>
      </x:c>
      <x:c r="H316" s="30"/>
      <x:c r="I316" s="30" t="str">
        <x:v>Pharmacist</x:v>
      </x:c>
      <x:c r="J316" s="30" t="str">
        <x:v>Regulatory violations</x:v>
      </x:c>
      <x:c r="K316" s="30" t="str">
        <x:v>High</x:v>
      </x:c>
      <x:c r="L316" s="30" t="str">
        <x:v>RETAIL</x:v>
      </x:c>
      <x:c r="M316" s="30" t="str">
        <x:v>Yes</x:v>
      </x:c>
      <x:c r="N316" s="30" t="str">
        <x:v>P-4 entity-specific internal control; no independent statutory force. Activate the exact underlying legal requirement separately.</x:v>
      </x:c>
    </x:row>
    <x:row r="317">
      <x:c r="A317" s="30" t="str">
        <x:v>RCOMP066</x:v>
      </x:c>
      <x:c r="B317" s="30" t="str">
        <x:v>RPROV066</x:v>
      </x:c>
      <x:c r="C317" s="30" t="str">
        <x:v>CA033</x:v>
      </x:c>
      <x:c r="D317" s="30" t="str">
        <x:v>Inform customers regarding expected waiting time and service delays through approved communication channels.</x:v>
      </x:c>
      <x:c r="E317" s="30" t="str">
        <x:v>Improve customer experience.</x:v>
      </x:c>
      <x:c r="F317" s="30" t="str">
        <x:v>Optional</x:v>
      </x:c>
      <x:c r="G317" s="30" t="str">
        <x:v>Continuous</x:v>
      </x:c>
      <x:c r="H317" s="30"/>
      <x:c r="I317" s="30" t="str">
        <x:v>Front Counter Staff</x:v>
      </x:c>
      <x:c r="J317" s="30" t="str">
        <x:v>Customer dissatisfaction</x:v>
      </x:c>
      <x:c r="K317" s="30" t="str">
        <x:v>Low</x:v>
      </x:c>
      <x:c r="L317" s="30" t="str">
        <x:v>RETAIL</x:v>
      </x:c>
      <x:c r="M317" s="30" t="str">
        <x:v>Yes</x:v>
      </x:c>
      <x:c r="N317" s="30" t="str">
        <x:v>P-4 entity-specific internal control; no independent statutory force. Activate the exact underlying legal requirement separately.</x:v>
      </x:c>
    </x:row>
    <x:row r="318">
      <x:c r="A318" s="30" t="str">
        <x:v>RCOMP067</x:v>
      </x:c>
      <x:c r="B318" s="30" t="str">
        <x:v>RPROV067</x:v>
      </x:c>
      <x:c r="C318" s="30" t="str">
        <x:v>CA043</x:v>
      </x:c>
      <x:c r="D318" s="30" t="str">
        <x:v>Record, investigate, classify, and close operational incidents affecting pharmacy operations.</x:v>
      </x:c>
      <x:c r="E318" s="30" t="str">
        <x:v>Improve operational governance.</x:v>
      </x:c>
      <x:c r="F318" s="30" t="str">
        <x:v>Optional</x:v>
      </x:c>
      <x:c r="G318" s="30" t="str">
        <x:v>Every Incident</x:v>
      </x:c>
      <x:c r="H318" s="30"/>
      <x:c r="I318" s="30" t="str">
        <x:v>Compliance Officer</x:v>
      </x:c>
      <x:c r="J318" s="30" t="str">
        <x:v>Repeat operational failures</x:v>
      </x:c>
      <x:c r="K318" s="30" t="str">
        <x:v>High</x:v>
      </x:c>
      <x:c r="L318" s="30" t="str">
        <x:v>RETAIL</x:v>
      </x:c>
      <x:c r="M318" s="30" t="str">
        <x:v>Yes</x:v>
      </x:c>
      <x:c r="N318" s="30" t="str">
        <x:v>P-4 entity-specific internal control; no independent statutory force. Activate the exact underlying legal requirement separately.</x:v>
      </x:c>
    </x:row>
    <x:row r="319">
      <x:c r="A319" s="30" t="str">
        <x:v>RCOMP068</x:v>
      </x:c>
      <x:c r="B319" s="30" t="str">
        <x:v>RPROV068</x:v>
      </x:c>
      <x:c r="C319" s="30" t="str">
        <x:v>CA044</x:v>
      </x:c>
      <x:c r="D319" s="30" t="str">
        <x:v>Secure mobile devices used for pharmacy operations through authentication, encryption, and approved security controls.</x:v>
      </x:c>
      <x:c r="E319" s="30" t="str">
        <x:v>Protect pharmacy information.</x:v>
      </x:c>
      <x:c r="F319" s="30" t="str">
        <x:v>Optional</x:v>
      </x:c>
      <x:c r="G319" s="30" t="str">
        <x:v>Continuous</x:v>
      </x:c>
      <x:c r="H319" s="30"/>
      <x:c r="I319" s="30" t="str">
        <x:v>IT Administrator</x:v>
      </x:c>
      <x:c r="J319" s="30" t="str">
        <x:v>Information leakage</x:v>
      </x:c>
      <x:c r="K319" s="30" t="str">
        <x:v>Medium</x:v>
      </x:c>
      <x:c r="L319" s="30" t="str">
        <x:v>RETAIL</x:v>
      </x:c>
      <x:c r="M319" s="30" t="str">
        <x:v>Yes</x:v>
      </x:c>
      <x:c r="N319" s="30" t="str">
        <x:v>P-4 entity-specific internal control; no independent statutory force. Activate the exact underlying legal requirement separately.</x:v>
      </x:c>
    </x:row>
    <x:row r="320">
      <x:c r="A320" s="30" t="str">
        <x:v>RCOMP069</x:v>
      </x:c>
      <x:c r="B320" s="30" t="str">
        <x:v>RPROV069</x:v>
      </x:c>
      <x:c r="C320" s="30" t="str">
        <x:v>CA033</x:v>
      </x:c>
      <x:c r="D320" s="30" t="str">
        <x:v>Escalate regulatory complaints, investigate findings, implement CAPA, and monitor closure.</x:v>
      </x:c>
      <x:c r="E320" s="30" t="str">
        <x:v>Resolve regulatory complaints effectively.</x:v>
      </x:c>
      <x:c r="F320" s="30" t="str">
        <x:v>Optional</x:v>
      </x:c>
      <x:c r="G320" s="30" t="str">
        <x:v>Every Complaint</x:v>
      </x:c>
      <x:c r="H320" s="30"/>
      <x:c r="I320" s="30" t="str">
        <x:v>Compliance Officer</x:v>
      </x:c>
      <x:c r="J320" s="30" t="str">
        <x:v>Regulatory enforcement</x:v>
      </x:c>
      <x:c r="K320" s="30" t="str">
        <x:v>High</x:v>
      </x:c>
      <x:c r="L320" s="30" t="str">
        <x:v>RETAIL</x:v>
      </x:c>
      <x:c r="M320" s="30" t="str">
        <x:v>Yes</x:v>
      </x:c>
      <x:c r="N320" s="30" t="str">
        <x:v>P-4 entity-specific internal control; no independent statutory force. Activate the exact underlying legal requirement separately.</x:v>
      </x:c>
    </x:row>
    <x:row r="321">
      <x:c r="A321" s="30" t="str">
        <x:v>RCOMP070</x:v>
      </x:c>
      <x:c r="B321" s="30" t="str">
        <x:v>RPROV070</x:v>
      </x:c>
      <x:c r="C321" s="30" t="str">
        <x:v>CA033</x:v>
      </x:c>
      <x:c r="D321" s="30" t="str">
        <x:v>Conduct comprehensive annual regulatory compliance reviews covering governance, operations, IT, inventory, patient safety, and documentation.</x:v>
      </x:c>
      <x:c r="E321" s="30" t="str">
        <x:v>Maintain enterprise regulatory compliance.</x:v>
      </x:c>
      <x:c r="F321" s="30" t="str">
        <x:v>Optional</x:v>
      </x:c>
      <x:c r="G321" s="30" t="str">
        <x:v>Annual</x:v>
      </x:c>
      <x:c r="H321" s="30"/>
      <x:c r="I321" s="30" t="str">
        <x:v>Senior Management</x:v>
      </x:c>
      <x:c r="J321" s="30" t="str">
        <x:v>Enterprise compliance failures</x:v>
      </x:c>
      <x:c r="K321" s="30" t="str">
        <x:v>High</x:v>
      </x:c>
      <x:c r="L321" s="30" t="str">
        <x:v>RETAIL</x:v>
      </x:c>
      <x:c r="M321" s="30" t="str">
        <x:v>Yes</x:v>
      </x:c>
      <x:c r="N321" s="30" t="str">
        <x:v>P-4 entity-specific internal control; no independent statutory force. Activate the exact underlying legal requirement separately.</x:v>
      </x:c>
    </x:row>
    <x:row r="322">
      <x:c r="A322" s="30" t="str">
        <x:v>RCOMP071</x:v>
      </x:c>
      <x:c r="B322" s="30" t="str">
        <x:v>RPROV071</x:v>
      </x:c>
      <x:c r="C322" s="30" t="str">
        <x:v>CA041</x:v>
      </x:c>
      <x:c r="D322" s="30" t="str">
        <x:v>Verify supplier licences, registrations, and regulatory approvals before onboarding and periodically thereafter.</x:v>
      </x:c>
      <x:c r="E322" s="30" t="str">
        <x:v>Procure medicines only from compliant suppliers.</x:v>
      </x:c>
      <x:c r="F322" s="30" t="str">
        <x:v>Optional</x:v>
      </x:c>
      <x:c r="G322" s="30" t="str">
        <x:v>Annual / On Renewal</x:v>
      </x:c>
      <x:c r="H322" s="30"/>
      <x:c r="I322" s="30" t="str">
        <x:v>Procurement Pharmacist</x:v>
      </x:c>
      <x:c r="J322" s="30" t="str">
        <x:v>Procurement from unauthorized suppliers</x:v>
      </x:c>
      <x:c r="K322" s="30" t="str">
        <x:v>High</x:v>
      </x:c>
      <x:c r="L322" s="30" t="str">
        <x:v>RETAIL</x:v>
      </x:c>
      <x:c r="M322" s="30" t="str">
        <x:v>Yes</x:v>
      </x:c>
      <x:c r="N322" s="30" t="str">
        <x:v>P-4 entity-specific internal control; no independent statutory force. Activate the exact underlying legal requirement separately.</x:v>
      </x:c>
    </x:row>
    <x:row r="323">
      <x:c r="A323" s="30" t="str">
        <x:v>RCOMP072</x:v>
      </x:c>
      <x:c r="B323" s="30" t="str">
        <x:v>RPROV072</x:v>
      </x:c>
      <x:c r="C323" s="30" t="str">
        <x:v>CA015</x:v>
      </x:c>
      <x:c r="D323" s="30" t="str">
        <x:v>Securely retain original paper prescriptions for the prescribed statutory retention period with controlled access.</x:v>
      </x:c>
      <x:c r="E323" s="30" t="str">
        <x:v>Preserve prescription records.</x:v>
      </x:c>
      <x:c r="F323" s="30" t="str">
        <x:v>Optional</x:v>
      </x:c>
      <x:c r="G323" s="30" t="str">
        <x:v>Continuous</x:v>
      </x:c>
      <x:c r="H323" s="30"/>
      <x:c r="I323" s="30" t="str">
        <x:v>Pharmacist</x:v>
      </x:c>
      <x:c r="J323" s="30" t="str">
        <x:v>Missing statutory records</x:v>
      </x:c>
      <x:c r="K323" s="30" t="str">
        <x:v>Medium</x:v>
      </x:c>
      <x:c r="L323" s="30" t="str">
        <x:v>RETAIL</x:v>
      </x:c>
      <x:c r="M323" s="30" t="str">
        <x:v>Yes</x:v>
      </x:c>
      <x:c r="N323" s="30" t="str">
        <x:v>P-4 entity-specific internal control; no independent statutory force. Activate the exact underlying legal requirement separately.</x:v>
      </x:c>
    </x:row>
    <x:row r="324">
      <x:c r="A324" s="30" t="str">
        <x:v>RCOMP073</x:v>
      </x:c>
      <x:c r="B324" s="30" t="str">
        <x:v>RPROV073</x:v>
      </x:c>
      <x:c r="C324" s="30" t="str">
        <x:v>CA033</x:v>
      </x:c>
      <x:c r="D324" s="30" t="str">
        <x:v>Protect electronic pharmacy records from unauthorized alteration using audit logs, integrity verification, and access controls.</x:v>
      </x:c>
      <x:c r="E324" s="30" t="str">
        <x:v>Ensure integrity of digital records.</x:v>
      </x:c>
      <x:c r="F324" s="30" t="str">
        <x:v>Optional</x:v>
      </x:c>
      <x:c r="G324" s="30" t="str">
        <x:v>Continuous</x:v>
      </x:c>
      <x:c r="H324" s="30"/>
      <x:c r="I324" s="30" t="str">
        <x:v>IT Administrator</x:v>
      </x:c>
      <x:c r="J324" s="30" t="str">
        <x:v>Data manipulation</x:v>
      </x:c>
      <x:c r="K324" s="30" t="str">
        <x:v>High</x:v>
      </x:c>
      <x:c r="L324" s="30" t="str">
        <x:v>RETAIL</x:v>
      </x:c>
      <x:c r="M324" s="30" t="str">
        <x:v>Yes</x:v>
      </x:c>
      <x:c r="N324" s="30" t="str">
        <x:v>P-4 entity-specific internal control; no independent statutory force. Activate the exact underlying legal requirement separately.</x:v>
      </x:c>
    </x:row>
    <x:row r="325">
      <x:c r="A325" s="30" t="str">
        <x:v>RCOMP074</x:v>
      </x:c>
      <x:c r="B325" s="30" t="str">
        <x:v>RPROV074</x:v>
      </x:c>
      <x:c r="C325" s="30" t="str">
        <x:v>CA020</x:v>
      </x:c>
      <x:c r="D325" s="30" t="str">
        <x:v>Store high-value medicines in secure access-controlled storage and maintain documented issue records.</x:v>
      </x:c>
      <x:c r="E325" s="30" t="str">
        <x:v>Prevent theft and unauthorized access.</x:v>
      </x:c>
      <x:c r="F325" s="30" t="str">
        <x:v>Optional</x:v>
      </x:c>
      <x:c r="G325" s="30" t="str">
        <x:v>Continuous</x:v>
      </x:c>
      <x:c r="H325" s="30"/>
      <x:c r="I325" s="30" t="str">
        <x:v>Inventory Pharmacist</x:v>
      </x:c>
      <x:c r="J325" s="30" t="str">
        <x:v>Inventory theft</x:v>
      </x:c>
      <x:c r="K325" s="30" t="str">
        <x:v>High</x:v>
      </x:c>
      <x:c r="L325" s="30" t="str">
        <x:v>RETAIL</x:v>
      </x:c>
      <x:c r="M325" s="30" t="str">
        <x:v>Yes</x:v>
      </x:c>
      <x:c r="N325" s="30" t="str">
        <x:v>P-4 entity-specific internal control; no independent statutory force. Activate the exact underlying legal requirement separately.</x:v>
      </x:c>
    </x:row>
    <x:row r="326">
      <x:c r="A326" s="30" t="str">
        <x:v>RCOMP075</x:v>
      </x:c>
      <x:c r="B326" s="30" t="str">
        <x:v>RPROV075</x:v>
      </x:c>
      <x:c r="C326" s="30" t="str">
        <x:v>CA009</x:v>
      </x:c>
      <x:c r="D326" s="30" t="str">
        <x:v>Record pharmacist counselling provided for medicines requiring special administration or monitoring.</x:v>
      </x:c>
      <x:c r="E326" s="30" t="str">
        <x:v>Demonstrate patient counselling compliance.</x:v>
      </x:c>
      <x:c r="F326" s="30" t="str">
        <x:v>Optional</x:v>
      </x:c>
      <x:c r="G326" s="30" t="str">
        <x:v>Every Applicable Dispensing</x:v>
      </x:c>
      <x:c r="H326" s="30"/>
      <x:c r="I326" s="30" t="str">
        <x:v>Pharmacist</x:v>
      </x:c>
      <x:c r="J326" s="30" t="str">
        <x:v>Patient misuse of medicines</x:v>
      </x:c>
      <x:c r="K326" s="30" t="str">
        <x:v>High</x:v>
      </x:c>
      <x:c r="L326" s="30" t="str">
        <x:v>RETAIL</x:v>
      </x:c>
      <x:c r="M326" s="30" t="str">
        <x:v>Yes</x:v>
      </x:c>
      <x:c r="N326" s="30" t="str">
        <x:v>P-4 entity-specific internal control; no independent statutory force. Activate the exact underlying legal requirement separately.</x:v>
      </x:c>
    </x:row>
    <x:row r="327">
      <x:c r="A327" s="30" t="str">
        <x:v>RCOMP076</x:v>
      </x:c>
      <x:c r="B327" s="30" t="str">
        <x:v>RPROV076</x:v>
      </x:c>
      <x:c r="C327" s="30" t="str">
        <x:v>CA033</x:v>
      </x:c>
      <x:c r="D327" s="30" t="str">
        <x:v>Perform health screening activities using approved procedures, calibrated equipment, and qualified personnel.</x:v>
      </x:c>
      <x:c r="E327" s="30" t="str">
        <x:v>Deliver safe community health screening.</x:v>
      </x:c>
      <x:c r="F327" s="30" t="str">
        <x:v>Optional</x:v>
      </x:c>
      <x:c r="G327" s="30" t="str">
        <x:v>Every Screening</x:v>
      </x:c>
      <x:c r="H327" s="30"/>
      <x:c r="I327" s="30" t="str">
        <x:v>Pharmacist</x:v>
      </x:c>
      <x:c r="J327" s="30" t="str">
        <x:v>Incorrect screening results</x:v>
      </x:c>
      <x:c r="K327" s="30" t="str">
        <x:v>Medium</x:v>
      </x:c>
      <x:c r="L327" s="30" t="str">
        <x:v>RETAIL</x:v>
      </x:c>
      <x:c r="M327" s="30" t="str">
        <x:v>Yes</x:v>
      </x:c>
      <x:c r="N327" s="30" t="str">
        <x:v>P-4 entity-specific internal control; no independent statutory force. Activate the exact underlying legal requirement separately.</x:v>
      </x:c>
    </x:row>
    <x:row r="328">
      <x:c r="A328" s="30" t="str">
        <x:v>RCOMP077</x:v>
      </x:c>
      <x:c r="B328" s="30" t="str">
        <x:v>RPROV077</x:v>
      </x:c>
      <x:c r="C328" s="30" t="str">
        <x:v>CA005</x:v>
      </x:c>
      <x:c r="D328" s="30" t="str">
        <x:v>Notify affected customers promptly following medicine recalls and document communication attempts and outcomes.</x:v>
      </x:c>
      <x:c r="E328" s="30" t="str">
        <x:v>Complete recall communication effectively.</x:v>
      </x:c>
      <x:c r="F328" s="30" t="str">
        <x:v>Optional</x:v>
      </x:c>
      <x:c r="G328" s="30" t="str">
        <x:v>Every Recall</x:v>
      </x:c>
      <x:c r="H328" s="30"/>
      <x:c r="I328" s="30" t="str">
        <x:v>Pharmacist</x:v>
      </x:c>
      <x:c r="J328" s="30" t="str">
        <x:v>Delayed recall response</x:v>
      </x:c>
      <x:c r="K328" s="30" t="str">
        <x:v>High</x:v>
      </x:c>
      <x:c r="L328" s="30" t="str">
        <x:v>RETAIL</x:v>
      </x:c>
      <x:c r="M328" s="30" t="str">
        <x:v>Yes</x:v>
      </x:c>
      <x:c r="N328" s="30" t="str">
        <x:v>P-4 entity-specific internal control; no independent statutory force. Activate the exact underlying legal requirement separately.</x:v>
      </x:c>
    </x:row>
    <x:row r="329">
      <x:c r="A329" s="30" t="str">
        <x:v>RCOMP078</x:v>
      </x:c>
      <x:c r="B329" s="30" t="str">
        <x:v>RPROV078</x:v>
      </x:c>
      <x:c r="C329" s="30" t="str">
        <x:v>CA020</x:v>
      </x:c>
      <x:c r="D329" s="30" t="str">
        <x:v>Maintain firewalls, anti-malware, secure configurations, vulnerability assessments, and software patching for pharmacy IT systems.</x:v>
      </x:c>
      <x:c r="E329" s="30" t="str">
        <x:v>Protect pharmacy information systems.</x:v>
      </x:c>
      <x:c r="F329" s="30" t="str">
        <x:v>Optional</x:v>
      </x:c>
      <x:c r="G329" s="30" t="str">
        <x:v>Quarterly</x:v>
      </x:c>
      <x:c r="H329" s="30"/>
      <x:c r="I329" s="30" t="str">
        <x:v>IT Administrator</x:v>
      </x:c>
      <x:c r="J329" s="30" t="str">
        <x:v>Cybersecurity incidents</x:v>
      </x:c>
      <x:c r="K329" s="30" t="str">
        <x:v>High</x:v>
      </x:c>
      <x:c r="L329" s="30" t="str">
        <x:v>RETAIL</x:v>
      </x:c>
      <x:c r="M329" s="30" t="str">
        <x:v>Yes</x:v>
      </x:c>
      <x:c r="N329" s="30" t="str">
        <x:v>P-4 entity-specific internal control; no independent statutory force. Activate the exact underlying legal requirement separately.</x:v>
      </x:c>
    </x:row>
    <x:row r="330">
      <x:c r="A330" s="30" t="str">
        <x:v>RCOMP079</x:v>
      </x:c>
      <x:c r="B330" s="30" t="str">
        <x:v>RPROV079</x:v>
      </x:c>
      <x:c r="C330" s="30" t="str">
        <x:v>CA071</x:v>
      </x:c>
      <x:c r="D330" s="30" t="str">
        <x:v>Protect customer privacy during dispensing, counselling, and medicine handover through suitable physical and procedural controls.</x:v>
      </x:c>
      <x:c r="E330" s="30" t="str">
        <x:v>Maintain patient confidentiality.</x:v>
      </x:c>
      <x:c r="F330" s="30" t="str">
        <x:v>Optional</x:v>
      </x:c>
      <x:c r="G330" s="30" t="str">
        <x:v>Continuous</x:v>
      </x:c>
      <x:c r="H330" s="30"/>
      <x:c r="I330" s="30" t="str">
        <x:v>Pharmacist</x:v>
      </x:c>
      <x:c r="J330" s="30" t="str">
        <x:v>Confidentiality breaches</x:v>
      </x:c>
      <x:c r="K330" s="30" t="str">
        <x:v>Medium</x:v>
      </x:c>
      <x:c r="L330" s="30" t="str">
        <x:v>RETAIL</x:v>
      </x:c>
      <x:c r="M330" s="30" t="str">
        <x:v>Yes</x:v>
      </x:c>
      <x:c r="N330" s="30" t="str">
        <x:v>P-4 entity-specific internal control; no independent statutory force. Activate the exact underlying legal requirement separately.</x:v>
      </x:c>
    </x:row>
    <x:row r="331">
      <x:c r="A331" s="30" t="str">
        <x:v>RCOMP080</x:v>
      </x:c>
      <x:c r="B331" s="30" t="str">
        <x:v>RPROV080</x:v>
      </x:c>
      <x:c r="C331" s="30" t="str">
        <x:v>CA008</x:v>
      </x:c>
      <x:c r="D331" s="30" t="str">
        <x:v>Monitor compliance KPIs including dispensing accuracy, complaints, audit findings, inventory variance, and CAPA closure.</x:v>
      </x:c>
      <x:c r="E331" s="30" t="str">
        <x:v>Measure compliance performance.</x:v>
      </x:c>
      <x:c r="F331" s="30" t="str">
        <x:v>Optional</x:v>
      </x:c>
      <x:c r="G331" s="30" t="str">
        <x:v>Monthly</x:v>
      </x:c>
      <x:c r="H331" s="30"/>
      <x:c r="I331" s="30" t="str">
        <x:v>Compliance Officer</x:v>
      </x:c>
      <x:c r="J331" s="30" t="str">
        <x:v>Undetected compliance deterioration</x:v>
      </x:c>
      <x:c r="K331" s="30" t="str">
        <x:v>High</x:v>
      </x:c>
      <x:c r="L331" s="30" t="str">
        <x:v>RETAIL</x:v>
      </x:c>
      <x:c r="M331" s="30" t="str">
        <x:v>Yes</x:v>
      </x:c>
      <x:c r="N331" s="30" t="str">
        <x:v>P-4 entity-specific internal control; no independent statutory force. Activate the exact underlying legal requirement separately.</x:v>
      </x:c>
    </x:row>
    <x:row r="332">
      <x:c r="A332" s="30" t="str">
        <x:v>RCOMP081</x:v>
      </x:c>
      <x:c r="B332" s="30" t="str">
        <x:v>RPROV081</x:v>
      </x:c>
      <x:c r="C332" s="30" t="str">
        <x:v>CA077</x:v>
      </x:c>
      <x:c r="D332" s="30" t="str">
        <x:v>Verify procurement documentation before accepting medicine deliveries into inventory.</x:v>
      </x:c>
      <x:c r="E332" s="30" t="str">
        <x:v>Ensure procurement traceability.</x:v>
      </x:c>
      <x:c r="F332" s="30" t="str">
        <x:v>Optional</x:v>
      </x:c>
      <x:c r="G332" s="30" t="str">
        <x:v>Every Receipt</x:v>
      </x:c>
      <x:c r="H332" s="30"/>
      <x:c r="I332" s="30" t="str">
        <x:v>Procurement Pharmacist</x:v>
      </x:c>
      <x:c r="J332" s="30" t="str">
        <x:v>Inventory discrepancies</x:v>
      </x:c>
      <x:c r="K332" s="30" t="str">
        <x:v>High</x:v>
      </x:c>
      <x:c r="L332" s="30" t="str">
        <x:v>RETAIL</x:v>
      </x:c>
      <x:c r="M332" s="30" t="str">
        <x:v>Yes</x:v>
      </x:c>
      <x:c r="N332" s="30" t="str">
        <x:v>P-4 entity-specific internal control; no independent statutory force. Activate the exact underlying legal requirement separately.</x:v>
      </x:c>
    </x:row>
    <x:row r="333">
      <x:c r="A333" s="30" t="str">
        <x:v>RCOMP082</x:v>
      </x:c>
      <x:c r="B333" s="30" t="str">
        <x:v>RPROV082</x:v>
      </x:c>
      <x:c r="C333" s="30" t="str">
        <x:v>CA002</x:v>
      </x:c>
      <x:c r="D333" s="30" t="str">
        <x:v>Verify pharmacist registration validity and suspend duties where registration lapses.</x:v>
      </x:c>
      <x:c r="E333" s="30" t="str">
        <x:v>Ensure statutory pharmacist eligibility.</x:v>
      </x:c>
      <x:c r="F333" s="30" t="str">
        <x:v>Optional</x:v>
      </x:c>
      <x:c r="G333" s="30" t="str">
        <x:v>Monthly</x:v>
      </x:c>
      <x:c r="H333" s="30"/>
      <x:c r="I333" s="30" t="str">
        <x:v>HR / Pharmacy Manager</x:v>
      </x:c>
      <x:c r="J333" s="30" t="str">
        <x:v>Unlicensed practice</x:v>
      </x:c>
      <x:c r="K333" s="30" t="str">
        <x:v>High</x:v>
      </x:c>
      <x:c r="L333" s="30" t="str">
        <x:v>RETAIL</x:v>
      </x:c>
      <x:c r="M333" s="30" t="str">
        <x:v>Yes</x:v>
      </x:c>
      <x:c r="N333" s="30" t="str">
        <x:v>P-4 entity-specific internal control; no independent statutory force. Activate the exact underlying legal requirement separately.</x:v>
      </x:c>
    </x:row>
    <x:row r="334">
      <x:c r="A334" s="30" t="str">
        <x:v>RCOMP083</x:v>
      </x:c>
      <x:c r="B334" s="30" t="str">
        <x:v>RPROV083</x:v>
      </x:c>
      <x:c r="C334" s="30" t="str">
        <x:v>CA034</x:v>
      </x:c>
      <x:c r="D334" s="30" t="str">
        <x:v>Validate mandatory prescription fields electronically before prescription processing.</x:v>
      </x:c>
      <x:c r="E334" s="30" t="str">
        <x:v>Prevent incomplete prescription processing.</x:v>
      </x:c>
      <x:c r="F334" s="30" t="str">
        <x:v>Optional</x:v>
      </x:c>
      <x:c r="G334" s="30" t="str">
        <x:v>Every Electronic Prescription</x:v>
      </x:c>
      <x:c r="H334" s="30"/>
      <x:c r="I334" s="30" t="str">
        <x:v>IT System / Pharmacist</x:v>
      </x:c>
      <x:c r="J334" s="30" t="str">
        <x:v>Invalid prescriptions</x:v>
      </x:c>
      <x:c r="K334" s="30" t="str">
        <x:v>High</x:v>
      </x:c>
      <x:c r="L334" s="30" t="str">
        <x:v>RETAIL</x:v>
      </x:c>
      <x:c r="M334" s="30" t="str">
        <x:v>Yes</x:v>
      </x:c>
      <x:c r="N334" s="30" t="str">
        <x:v>P-4 entity-specific internal control; no independent statutory force. Activate the exact underlying legal requirement separately.</x:v>
      </x:c>
    </x:row>
    <x:row r="335">
      <x:c r="A335" s="30" t="str">
        <x:v>RCOMP084</x:v>
      </x:c>
      <x:c r="B335" s="30" t="str">
        <x:v>RPROV084</x:v>
      </x:c>
      <x:c r="C335" s="30" t="str">
        <x:v>CA064</x:v>
      </x:c>
      <x:c r="D335" s="30" t="str">
        <x:v>Record patient allergy information when voluntarily disclosed and generate dispensing alerts where applicable.</x:v>
      </x:c>
      <x:c r="E335" s="30" t="str">
        <x:v>Reduce adverse medicine reactions.</x:v>
      </x:c>
      <x:c r="F335" s="30" t="str">
        <x:v>Optional</x:v>
      </x:c>
      <x:c r="G335" s="30" t="str">
        <x:v>Every Applicable Patient</x:v>
      </x:c>
      <x:c r="H335" s="30"/>
      <x:c r="I335" s="30" t="str">
        <x:v>Pharmacist</x:v>
      </x:c>
      <x:c r="J335" s="30" t="str">
        <x:v>Medication safety incidents</x:v>
      </x:c>
      <x:c r="K335" s="30" t="str">
        <x:v>High</x:v>
      </x:c>
      <x:c r="L335" s="30" t="str">
        <x:v>RETAIL</x:v>
      </x:c>
      <x:c r="M335" s="30" t="str">
        <x:v>Yes</x:v>
      </x:c>
      <x:c r="N335" s="30" t="str">
        <x:v>P-4 entity-specific internal control; no independent statutory force. Activate the exact underlying legal requirement separately.</x:v>
      </x:c>
    </x:row>
    <x:row r="336">
      <x:c r="A336" s="30" t="str">
        <x:v>RCOMP085</x:v>
      </x:c>
      <x:c r="B336" s="30" t="str">
        <x:v>RPROV085</x:v>
      </x:c>
      <x:c r="C336" s="30" t="str">
        <x:v>CA072</x:v>
      </x:c>
      <x:c r="D336" s="30" t="str">
        <x:v>Inspect all received medicines for quantity, packaging integrity, batch number, expiry, and transport condition before inventory acceptance.</x:v>
      </x:c>
      <x:c r="E336" s="30" t="str">
        <x:v>Accept only compliant inventory.</x:v>
      </x:c>
      <x:c r="F336" s="30" t="str">
        <x:v>Optional</x:v>
      </x:c>
      <x:c r="G336" s="30" t="str">
        <x:v>Every Receipt</x:v>
      </x:c>
      <x:c r="H336" s="30"/>
      <x:c r="I336" s="30" t="str">
        <x:v>Inventory Pharmacist</x:v>
      </x:c>
      <x:c r="J336" s="30" t="str">
        <x:v>Acceptance of defective stock</x:v>
      </x:c>
      <x:c r="K336" s="30" t="str">
        <x:v>High</x:v>
      </x:c>
      <x:c r="L336" s="30" t="str">
        <x:v>RETAIL</x:v>
      </x:c>
      <x:c r="M336" s="30" t="str">
        <x:v>Yes</x:v>
      </x:c>
      <x:c r="N336" s="30" t="str">
        <x:v>P-4 entity-specific internal control; no independent statutory force. Activate the exact underlying legal requirement separately.</x:v>
      </x:c>
    </x:row>
    <x:row r="337">
      <x:c r="A337" s="30" t="str">
        <x:v>RCOMP086</x:v>
      </x:c>
      <x:c r="B337" s="30" t="str">
        <x:v>RPROV086</x:v>
      </x:c>
      <x:c r="C337" s="30" t="str">
        <x:v>CA035</x:v>
      </x:c>
      <x:c r="D337" s="30" t="str">
        <x:v>Maintain complete records for all home delivery transactions including customer acknowledgement and delivery details.</x:v>
      </x:c>
      <x:c r="E337" s="30" t="str">
        <x:v>Ensure traceability of medicine delivery.</x:v>
      </x:c>
      <x:c r="F337" s="30" t="str">
        <x:v>Optional</x:v>
      </x:c>
      <x:c r="G337" s="30" t="str">
        <x:v>Every Delivery</x:v>
      </x:c>
      <x:c r="H337" s="30"/>
      <x:c r="I337" s="30" t="str">
        <x:v>Delivery Coordinator</x:v>
      </x:c>
      <x:c r="J337" s="30" t="str">
        <x:v>Delivery disputes</x:v>
      </x:c>
      <x:c r="K337" s="30" t="str">
        <x:v>Medium</x:v>
      </x:c>
      <x:c r="L337" s="30" t="str">
        <x:v>RETAIL</x:v>
      </x:c>
      <x:c r="M337" s="30" t="str">
        <x:v>Yes</x:v>
      </x:c>
      <x:c r="N337" s="30" t="str">
        <x:v>P-4 entity-specific internal control; no independent statutory force. Activate the exact underlying legal requirement separately.</x:v>
      </x:c>
    </x:row>
    <x:row r="338">
      <x:c r="A338" s="30" t="str">
        <x:v>RCOMP087</x:v>
      </x:c>
      <x:c r="B338" s="30" t="str">
        <x:v>RPROV087</x:v>
      </x:c>
      <x:c r="C338" s="30" t="str">
        <x:v>CA097</x:v>
      </x:c>
      <x:c r="D338" s="30" t="str">
        <x:v>Review automated expiry alerts and implement timely stock rotation or disposal actions.</x:v>
      </x:c>
      <x:c r="E338" s="30" t="str">
        <x:v>Prevent expiry-related losses.</x:v>
      </x:c>
      <x:c r="F338" s="30" t="str">
        <x:v>Optional</x:v>
      </x:c>
      <x:c r="G338" s="30" t="str">
        <x:v>Weekly</x:v>
      </x:c>
      <x:c r="H338" s="30"/>
      <x:c r="I338" s="30" t="str">
        <x:v>Inventory Pharmacist</x:v>
      </x:c>
      <x:c r="J338" s="30" t="str">
        <x:v>Expired medicine dispensing</x:v>
      </x:c>
      <x:c r="K338" s="30" t="str">
        <x:v>Medium</x:v>
      </x:c>
      <x:c r="L338" s="30" t="str">
        <x:v>RETAIL</x:v>
      </x:c>
      <x:c r="M338" s="30" t="str">
        <x:v>Yes</x:v>
      </x:c>
      <x:c r="N338" s="30" t="str">
        <x:v>P-4 entity-specific internal control; no independent statutory force. Activate the exact underlying legal requirement separately.</x:v>
      </x:c>
    </x:row>
    <x:row r="339">
      <x:c r="A339" s="30" t="str">
        <x:v>RCOMP088</x:v>
      </x:c>
      <x:c r="B339" s="30" t="str">
        <x:v>RPROV088</x:v>
      </x:c>
      <x:c r="C339" s="30" t="str">
        <x:v>CA044</x:v>
      </x:c>
      <x:c r="D339" s="30" t="str">
        <x:v>Assign system privileges based on job roles and periodically review privileged access.</x:v>
      </x:c>
      <x:c r="E339" s="30" t="str">
        <x:v>Protect pharmacy information systems.</x:v>
      </x:c>
      <x:c r="F339" s="30" t="str">
        <x:v>Optional</x:v>
      </x:c>
      <x:c r="G339" s="30" t="str">
        <x:v>Quarterly</x:v>
      </x:c>
      <x:c r="H339" s="30"/>
      <x:c r="I339" s="30" t="str">
        <x:v>IT Administrator</x:v>
      </x:c>
      <x:c r="J339" s="30" t="str">
        <x:v>Unauthorized access</x:v>
      </x:c>
      <x:c r="K339" s="30" t="str">
        <x:v>High</x:v>
      </x:c>
      <x:c r="L339" s="30" t="str">
        <x:v>RETAIL</x:v>
      </x:c>
      <x:c r="M339" s="30" t="str">
        <x:v>Yes</x:v>
      </x:c>
      <x:c r="N339" s="30" t="str">
        <x:v>P-4 entity-specific internal control; no independent statutory force. Activate the exact underlying legal requirement separately.</x:v>
      </x:c>
    </x:row>
    <x:row r="340">
      <x:c r="A340" s="30" t="str">
        <x:v>RCOMP089</x:v>
      </x:c>
      <x:c r="B340" s="30" t="str">
        <x:v>RPROV089</x:v>
      </x:c>
      <x:c r="C340" s="30" t="str">
        <x:v>CA033</x:v>
      </x:c>
      <x:c r="D340" s="30" t="str">
        <x:v>Provide current patient information leaflets with applicable medicines and periodically review their accuracy.</x:v>
      </x:c>
      <x:c r="E340" s="30" t="str">
        <x:v>Improve patient education.</x:v>
      </x:c>
      <x:c r="F340" s="30" t="str">
        <x:v>Optional</x:v>
      </x:c>
      <x:c r="G340" s="30" t="str">
        <x:v>Every Applicable Dispensing</x:v>
      </x:c>
      <x:c r="H340" s="30"/>
      <x:c r="I340" s="30" t="str">
        <x:v>Pharmacist</x:v>
      </x:c>
      <x:c r="J340" s="30" t="str">
        <x:v>Improper medicine use</x:v>
      </x:c>
      <x:c r="K340" s="30" t="str">
        <x:v>Medium</x:v>
      </x:c>
      <x:c r="L340" s="30" t="str">
        <x:v>RETAIL</x:v>
      </x:c>
      <x:c r="M340" s="30" t="str">
        <x:v>Yes</x:v>
      </x:c>
      <x:c r="N340" s="30" t="str">
        <x:v>P-4 entity-specific internal control; no independent statutory force. Activate the exact underlying legal requirement separately.</x:v>
      </x:c>
    </x:row>
    <x:row r="341">
      <x:c r="A341" s="30" t="str">
        <x:v>RCOMP090</x:v>
      </x:c>
      <x:c r="B341" s="30" t="str">
        <x:v>RPROV090</x:v>
      </x:c>
      <x:c r="C341" s="30" t="str">
        <x:v>CA012</x:v>
      </x:c>
      <x:c r="D341" s="30" t="str">
        <x:v>Submit periodic compliance reports to management covering compliance performance, incidents, risks, audit findings, and corrective actions.</x:v>
      </x:c>
      <x:c r="E341" s="30" t="str">
        <x:v>Strengthen executive compliance oversight.</x:v>
      </x:c>
      <x:c r="F341" s="30" t="str">
        <x:v>Optional</x:v>
      </x:c>
      <x:c r="G341" s="30" t="str">
        <x:v>Monthly</x:v>
      </x:c>
      <x:c r="H341" s="30"/>
      <x:c r="I341" s="30" t="str">
        <x:v>Compliance Officer</x:v>
      </x:c>
      <x:c r="J341" s="30" t="str">
        <x:v>Weak governance oversight</x:v>
      </x:c>
      <x:c r="K341" s="30" t="str">
        <x:v>High</x:v>
      </x:c>
      <x:c r="L341" s="30" t="str">
        <x:v>RETAIL</x:v>
      </x:c>
      <x:c r="M341" s="30" t="str">
        <x:v>Yes</x:v>
      </x:c>
      <x:c r="N341" s="30" t="str">
        <x:v>P-4 entity-specific internal control; no independent statutory force. Activate the exact underlying legal requirement separately.</x:v>
      </x:c>
    </x:row>
    <x:row r="342">
      <x:c r="A342" s="30" t="str">
        <x:v>RCOMP091</x:v>
      </x:c>
      <x:c r="B342" s="30" t="str">
        <x:v>RPROV091</x:v>
      </x:c>
      <x:c r="C342" s="30" t="str">
        <x:v>CA043</x:v>
      </x:c>
      <x:c r="D342" s="30" t="str">
        <x:v>Reserve medicines only after confirming stock availability, customer details, reservation validity period, and prescription requirements where applicable.</x:v>
      </x:c>
      <x:c r="E342" s="30" t="str">
        <x:v>Ensure proper management of reserved medicines.</x:v>
      </x:c>
      <x:c r="F342" s="30" t="str">
        <x:v>Optional</x:v>
      </x:c>
      <x:c r="G342" s="30" t="str">
        <x:v>Every Reservation</x:v>
      </x:c>
      <x:c r="H342" s="30"/>
      <x:c r="I342" s="30" t="str">
        <x:v>Pharmacist / Inventory Staff</x:v>
      </x:c>
      <x:c r="J342" s="30" t="str">
        <x:v>Inventory conflicts and customer dissatisfaction</x:v>
      </x:c>
      <x:c r="K342" s="30" t="str">
        <x:v>Medium</x:v>
      </x:c>
      <x:c r="L342" s="30" t="str">
        <x:v>RETAIL</x:v>
      </x:c>
      <x:c r="M342" s="30" t="str">
        <x:v>Yes</x:v>
      </x:c>
      <x:c r="N342" s="30" t="str">
        <x:v>P-4 entity-specific internal control; no independent statutory force. Activate the exact underlying legal requirement separately.</x:v>
      </x:c>
    </x:row>
    <x:row r="343">
      <x:c r="A343" s="30" t="str">
        <x:v>RCOMP092</x:v>
      </x:c>
      <x:c r="B343" s="30" t="str">
        <x:v>RPROV092</x:v>
      </x:c>
      <x:c r="C343" s="30" t="str">
        <x:v>CA003</x:v>
      </x:c>
      <x:c r="D343" s="30" t="str">
        <x:v>Document every prescription amendment together with pharmacist verification, reason for amendment, prescriber communication where required, and supporting records.</x:v>
      </x:c>
      <x:c r="E343" s="30" t="str">
        <x:v>Maintain complete traceability of prescription modifications.</x:v>
      </x:c>
      <x:c r="F343" s="30" t="str">
        <x:v>Optional</x:v>
      </x:c>
      <x:c r="G343" s="30" t="str">
        <x:v>Every Amendment</x:v>
      </x:c>
      <x:c r="H343" s="30"/>
      <x:c r="I343" s="30" t="str">
        <x:v>Registered Pharmacist</x:v>
      </x:c>
      <x:c r="J343" s="30" t="str">
        <x:v>Unauthorized prescription alteration</x:v>
      </x:c>
      <x:c r="K343" s="30" t="str">
        <x:v>High</x:v>
      </x:c>
      <x:c r="L343" s="30" t="str">
        <x:v>RETAIL</x:v>
      </x:c>
      <x:c r="M343" s="30" t="str">
        <x:v>Yes</x:v>
      </x:c>
      <x:c r="N343" s="30" t="str">
        <x:v>P-4 entity-specific internal control; no independent statutory force. Activate the exact underlying legal requirement separately.</x:v>
      </x:c>
    </x:row>
    <x:row r="344">
      <x:c r="A344" s="30" t="str">
        <x:v>RCOMP093</x:v>
      </x:c>
      <x:c r="B344" s="30" t="str">
        <x:v>RPROV093</x:v>
      </x:c>
      <x:c r="C344" s="30" t="str">
        <x:v>CA033</x:v>
      </x:c>
      <x:c r="D344" s="30" t="str">
        <x:v>Maintain an auditable electronic prescription queue showing receipt time, pharmacist assignment, processing status, and completion details.</x:v>
      </x:c>
      <x:c r="E344" s="30" t="str">
        <x:v>Improve workflow visibility and auditability.</x:v>
      </x:c>
      <x:c r="F344" s="30" t="str">
        <x:v>Optional</x:v>
      </x:c>
      <x:c r="G344" s="30" t="str">
        <x:v>Continuous</x:v>
      </x:c>
      <x:c r="H344" s="30"/>
      <x:c r="I344" s="30" t="str">
        <x:v>Pharmacy Manager / IT Administrator</x:v>
      </x:c>
      <x:c r="J344" s="30" t="str">
        <x:v>Workflow delays and incomplete audit trails</x:v>
      </x:c>
      <x:c r="K344" s="30" t="str">
        <x:v>Medium</x:v>
      </x:c>
      <x:c r="L344" s="30" t="str">
        <x:v>RETAIL</x:v>
      </x:c>
      <x:c r="M344" s="30" t="str">
        <x:v>Yes</x:v>
      </x:c>
      <x:c r="N344" s="30" t="str">
        <x:v>P-4 entity-specific internal control; no independent statutory force. Activate the exact underlying legal requirement separately.</x:v>
      </x:c>
    </x:row>
    <x:row r="345">
      <x:c r="A345" s="30" t="str">
        <x:v>RCOMP094</x:v>
      </x:c>
      <x:c r="B345" s="30" t="str">
        <x:v>RPROV094</x:v>
      </x:c>
      <x:c r="C345" s="30" t="str">
        <x:v>CA064</x:v>
      </x:c>
      <x:c r="D345" s="30" t="str">
        <x:v>Review all clinically significant drug interaction alerts before dispensing and document pharmacist interventions where applicable.</x:v>
      </x:c>
      <x:c r="E345" s="30" t="str">
        <x:v>Reduce medication-related patient risks.</x:v>
      </x:c>
      <x:c r="F345" s="30" t="str">
        <x:v>Optional</x:v>
      </x:c>
      <x:c r="G345" s="30" t="str">
        <x:v>Every Applicable Dispensing</x:v>
      </x:c>
      <x:c r="H345" s="30"/>
      <x:c r="I345" s="30" t="str">
        <x:v>Registered Pharmacist</x:v>
      </x:c>
      <x:c r="J345" s="30" t="str">
        <x:v>Adverse drug interactions</x:v>
      </x:c>
      <x:c r="K345" s="30" t="str">
        <x:v>High</x:v>
      </x:c>
      <x:c r="L345" s="30" t="str">
        <x:v>RETAIL</x:v>
      </x:c>
      <x:c r="M345" s="30" t="str">
        <x:v>Yes</x:v>
      </x:c>
      <x:c r="N345" s="30" t="str">
        <x:v>P-4 entity-specific internal control; no independent statutory force. Activate the exact underlying legal requirement separately.</x:v>
      </x:c>
    </x:row>
    <x:row r="346">
      <x:c r="A346" s="30" t="str">
        <x:v>RCOMP095</x:v>
      </x:c>
      <x:c r="B346" s="30" t="str">
        <x:v>RPROV095</x:v>
      </x:c>
      <x:c r="C346" s="30" t="str">
        <x:v>CA083</x:v>
      </x:c>
      <x:c r="D346" s="30" t="str">
        <x:v>Verify dispensing labels for medicine identity, dosage instructions, patient details, quantity, and pharmacist approval before handover.</x:v>
      </x:c>
      <x:c r="E346" s="30" t="str">
        <x:v>Ensure accurate medicine labelling.</x:v>
      </x:c>
      <x:c r="F346" s="30" t="str">
        <x:v>Optional</x:v>
      </x:c>
      <x:c r="G346" s="30" t="str">
        <x:v>Every Dispensing</x:v>
      </x:c>
      <x:c r="H346" s="30"/>
      <x:c r="I346" s="30" t="str">
        <x:v>Pharmacist</x:v>
      </x:c>
      <x:c r="J346" s="30" t="str">
        <x:v>Labelling errors and patient harm</x:v>
      </x:c>
      <x:c r="K346" s="30" t="str">
        <x:v>High</x:v>
      </x:c>
      <x:c r="L346" s="30" t="str">
        <x:v>RETAIL</x:v>
      </x:c>
      <x:c r="M346" s="30" t="str">
        <x:v>Yes</x:v>
      </x:c>
      <x:c r="N346" s="30" t="str">
        <x:v>P-4 entity-specific internal control; no independent statutory force. Activate the exact underlying legal requirement separately.</x:v>
      </x:c>
    </x:row>
    <x:row r="347">
      <x:c r="A347" s="30" t="str">
        <x:v>RCOMP096</x:v>
      </x:c>
      <x:c r="B347" s="30" t="str">
        <x:v>RPROV096</x:v>
      </x:c>
      <x:c r="C347" s="30" t="str">
        <x:v>CA007</x:v>
      </x:c>
      <x:c r="D347" s="30" t="str">
        <x:v>Restrict customer self-access to prescription medicines through physical controls, pharmacist supervision, and periodic compliance inspections.</x:v>
      </x:c>
      <x:c r="E347" s="30" t="str">
        <x:v>Prevent unauthorized access to restricted medicines.</x:v>
      </x:c>
      <x:c r="F347" s="30" t="str">
        <x:v>Optional</x:v>
      </x:c>
      <x:c r="G347" s="30" t="str">
        <x:v>Continuous</x:v>
      </x:c>
      <x:c r="H347" s="30"/>
      <x:c r="I347" s="30" t="str">
        <x:v>Pharmacy Manager</x:v>
      </x:c>
      <x:c r="J347" s="30" t="str">
        <x:v>Regulatory violations</x:v>
      </x:c>
      <x:c r="K347" s="30" t="str">
        <x:v>High</x:v>
      </x:c>
      <x:c r="L347" s="30" t="str">
        <x:v>RETAIL</x:v>
      </x:c>
      <x:c r="M347" s="30" t="str">
        <x:v>Yes</x:v>
      </x:c>
      <x:c r="N347" s="30" t="str">
        <x:v>P-4 entity-specific internal control; no independent statutory force. Activate the exact underlying legal requirement separately.</x:v>
      </x:c>
    </x:row>
    <x:row r="348">
      <x:c r="A348" s="30" t="str">
        <x:v>RCOMP097</x:v>
      </x:c>
      <x:c r="B348" s="30" t="str">
        <x:v>RPROV097</x:v>
      </x:c>
      <x:c r="C348" s="30" t="str">
        <x:v>CA083</x:v>
      </x:c>
      <x:c r="D348" s="30" t="str">
        <x:v>Investigate every dispensing error or near miss, perform root cause analysis, implement CAPA, and monitor effectiveness until closure.</x:v>
      </x:c>
      <x:c r="E348" s="30" t="str">
        <x:v>Improve dispensing safety.</x:v>
      </x:c>
      <x:c r="F348" s="30" t="str">
        <x:v>Optional</x:v>
      </x:c>
      <x:c r="G348" s="30" t="str">
        <x:v>Every Incident</x:v>
      </x:c>
      <x:c r="H348" s="30"/>
      <x:c r="I348" s="30" t="str">
        <x:v>Pharmacist / Compliance Officer</x:v>
      </x:c>
      <x:c r="J348" s="30" t="str">
        <x:v>Repeat dispensing errors</x:v>
      </x:c>
      <x:c r="K348" s="30" t="str">
        <x:v>High</x:v>
      </x:c>
      <x:c r="L348" s="30" t="str">
        <x:v>RETAIL</x:v>
      </x:c>
      <x:c r="M348" s="30" t="str">
        <x:v>Yes</x:v>
      </x:c>
      <x:c r="N348" s="30" t="str">
        <x:v>P-4 entity-specific internal control; no independent statutory force. Activate the exact underlying legal requirement separately.</x:v>
      </x:c>
    </x:row>
    <x:row r="349">
      <x:c r="A349" s="30" t="str">
        <x:v>RCOMP098</x:v>
      </x:c>
      <x:c r="B349" s="30" t="str">
        <x:v>RPROV098</x:v>
      </x:c>
      <x:c r="C349" s="30" t="str">
        <x:v>CA009</x:v>
      </x:c>
      <x:c r="D349" s="30" t="str">
        <x:v>Monitor pharmacy application availability, investigate outages, document recovery actions, and review recurring failures.</x:v>
      </x:c>
      <x:c r="E349" s="30" t="str">
        <x:v>Maintain operational continuity of pharmacy systems.</x:v>
      </x:c>
      <x:c r="F349" s="30" t="str">
        <x:v>Optional</x:v>
      </x:c>
      <x:c r="G349" s="30" t="str">
        <x:v>Continuous</x:v>
      </x:c>
      <x:c r="H349" s="30"/>
      <x:c r="I349" s="30" t="str">
        <x:v>IT Administrator</x:v>
      </x:c>
      <x:c r="J349" s="30" t="str">
        <x:v>Service disruption</x:v>
      </x:c>
      <x:c r="K349" s="30" t="str">
        <x:v>Medium</x:v>
      </x:c>
      <x:c r="L349" s="30" t="str">
        <x:v>RETAIL</x:v>
      </x:c>
      <x:c r="M349" s="30" t="str">
        <x:v>Yes</x:v>
      </x:c>
      <x:c r="N349" s="30" t="str">
        <x:v>P-4 entity-specific internal control; no independent statutory force. Activate the exact underlying legal requirement separately.</x:v>
      </x:c>
    </x:row>
    <x:row r="350">
      <x:c r="A350" s="30" t="str">
        <x:v>RCOMP099</x:v>
      </x:c>
      <x:c r="B350" s="30" t="str">
        <x:v>RPROV099</x:v>
      </x:c>
      <x:c r="C350" s="30" t="str">
        <x:v>CA018</x:v>
      </x:c>
      <x:c r="D350" s="30" t="str">
        <x:v>Verify that statutory licences, pharmacist registrations, consumer notices, and mandatory public disclosures remain current and prominently displayed.</x:v>
      </x:c>
      <x:c r="E350" s="30" t="str">
        <x:v>Ensure regulatory display compliance.</x:v>
      </x:c>
      <x:c r="F350" s="30" t="str">
        <x:v>Optional</x:v>
      </x:c>
      <x:c r="G350" s="30" t="str">
        <x:v>Monthly</x:v>
      </x:c>
      <x:c r="H350" s="30"/>
      <x:c r="I350" s="30" t="str">
        <x:v>Pharmacy Manager</x:v>
      </x:c>
      <x:c r="J350" s="30" t="str">
        <x:v>Inspection observations</x:v>
      </x:c>
      <x:c r="K350" s="30" t="str">
        <x:v>Medium</x:v>
      </x:c>
      <x:c r="L350" s="30" t="str">
        <x:v>RETAIL</x:v>
      </x:c>
      <x:c r="M350" s="30" t="str">
        <x:v>Yes</x:v>
      </x:c>
      <x:c r="N350" s="30" t="str">
        <x:v>P-4 entity-specific internal control; no independent statutory force. Activate the exact underlying legal requirement separately.</x:v>
      </x:c>
    </x:row>
    <x:row r="351">
      <x:c r="A351" s="30" t="str">
        <x:v>RCOMP100</x:v>
      </x:c>
      <x:c r="B351" s="30" t="str">
        <x:v>RPROV100</x:v>
      </x:c>
      <x:c r="C351" s="30" t="str">
        <x:v>CA033</x:v>
      </x:c>
      <x:c r="D351" s="30" t="str">
        <x:v>Conduct an annual compliance maturity assessment covering governance, legal compliance, dispensing controls, inventory management, IT security, patient safety, and continuous improvement.</x:v>
      </x:c>
      <x:c r="E351" s="30" t="str">
        <x:v>Measure overall compliance maturity.</x:v>
      </x:c>
      <x:c r="F351" s="30" t="str">
        <x:v>Optional</x:v>
      </x:c>
      <x:c r="G351" s="30" t="str">
        <x:v>Annual</x:v>
      </x:c>
      <x:c r="H351" s="30"/>
      <x:c r="I351" s="30" t="str">
        <x:v>Senior Management</x:v>
      </x:c>
      <x:c r="J351" s="30" t="str">
        <x:v>Weak governance and unmanaged compliance risks</x:v>
      </x:c>
      <x:c r="K351" s="30" t="str">
        <x:v>High</x:v>
      </x:c>
      <x:c r="L351" s="30" t="str">
        <x:v>RETAIL</x:v>
      </x:c>
      <x:c r="M351" s="30" t="str">
        <x:v>Yes</x:v>
      </x:c>
      <x:c r="N351" s="30" t="str">
        <x:v>P-4 entity-specific internal control; no independent statutory force. Activate the exact underlying legal requirement separately.</x:v>
      </x:c>
    </x:row>
    <x:row r="352">
      <x:c r="A352" s="30" t="str">
        <x:v>RCOMP101</x:v>
      </x:c>
      <x:c r="B352" s="30" t="str">
        <x:v>RPROV101</x:v>
      </x:c>
      <x:c r="C352" s="30" t="str">
        <x:v>CA040</x:v>
      </x:c>
      <x:c r="D352" s="30" t="str">
        <x:v>Securely retain customer identity verification records where legally required and restrict access to authorized personnel only.</x:v>
      </x:c>
      <x:c r="E352" s="30" t="str">
        <x:v>Protect customer identity information.</x:v>
      </x:c>
      <x:c r="F352" s="30" t="str">
        <x:v>Optional</x:v>
      </x:c>
      <x:c r="G352" s="30" t="str">
        <x:v>Continuous</x:v>
      </x:c>
      <x:c r="H352" s="30"/>
      <x:c r="I352" s="30" t="str">
        <x:v>Pharmacist</x:v>
      </x:c>
      <x:c r="J352" s="30" t="str">
        <x:v>Privacy violations</x:v>
      </x:c>
      <x:c r="K352" s="30" t="str">
        <x:v>High</x:v>
      </x:c>
      <x:c r="L352" s="30" t="str">
        <x:v>RETAIL</x:v>
      </x:c>
      <x:c r="M352" s="30" t="str">
        <x:v>Yes</x:v>
      </x:c>
      <x:c r="N352" s="30" t="str">
        <x:v>P-4 entity-specific internal control; no independent statutory force. Activate the exact underlying legal requirement separately.</x:v>
      </x:c>
    </x:row>
    <x:row r="353">
      <x:c r="A353" s="30" t="str">
        <x:v>RCOMP102</x:v>
      </x:c>
      <x:c r="B353" s="30" t="str">
        <x:v>RPROV102</x:v>
      </x:c>
      <x:c r="C353" s="30" t="str">
        <x:v>CA049</x:v>
      </x:c>
      <x:c r="D353" s="30" t="str">
        <x:v>Revalidate prescriptions presented after the defined review period before dispensing and document pharmacist approval.</x:v>
      </x:c>
      <x:c r="E353" s="30" t="str">
        <x:v>Prevent dispensing using outdated prescriptions.</x:v>
      </x:c>
      <x:c r="F353" s="30" t="str">
        <x:v>Optional</x:v>
      </x:c>
      <x:c r="G353" s="30" t="str">
        <x:v>Every Applicable Prescription</x:v>
      </x:c>
      <x:c r="H353" s="30"/>
      <x:c r="I353" s="30" t="str">
        <x:v>Registered Pharmacist</x:v>
      </x:c>
      <x:c r="J353" s="30" t="str">
        <x:v>Invalid dispensing</x:v>
      </x:c>
      <x:c r="K353" s="30" t="str">
        <x:v>High</x:v>
      </x:c>
      <x:c r="L353" s="30" t="str">
        <x:v>RETAIL</x:v>
      </x:c>
      <x:c r="M353" s="30" t="str">
        <x:v>Yes</x:v>
      </x:c>
      <x:c r="N353" s="30" t="str">
        <x:v>P-4 entity-specific internal control; no independent statutory force. Activate the exact underlying legal requirement separately.</x:v>
      </x:c>
    </x:row>
    <x:row r="354">
      <x:c r="A354" s="30" t="str">
        <x:v>RCOMP103</x:v>
      </x:c>
      <x:c r="B354" s="30" t="str">
        <x:v>RPROV103</x:v>
      </x:c>
      <x:c r="C354" s="30" t="str">
        <x:v>CA033</x:v>
      </x:c>
      <x:c r="D354" s="30" t="str">
        <x:v>Use authenticated pharmacist credentials and tamper-evident audit trails for all electronic dispensing approvals.</x:v>
      </x:c>
      <x:c r="E354" s="30" t="str">
        <x:v>Ensure accountability for electronic approvals.</x:v>
      </x:c>
      <x:c r="F354" s="30" t="str">
        <x:v>Optional</x:v>
      </x:c>
      <x:c r="G354" s="30" t="str">
        <x:v>Every Electronic Approval</x:v>
      </x:c>
      <x:c r="H354" s="30"/>
      <x:c r="I354" s="30" t="str">
        <x:v>IT Administrator / Pharmacist</x:v>
      </x:c>
      <x:c r="J354" s="30" t="str">
        <x:v>Unauthorized approvals</x:v>
      </x:c>
      <x:c r="K354" s="30" t="str">
        <x:v>High</x:v>
      </x:c>
      <x:c r="L354" s="30" t="str">
        <x:v>RETAIL</x:v>
      </x:c>
      <x:c r="M354" s="30" t="str">
        <x:v>Yes</x:v>
      </x:c>
      <x:c r="N354" s="30" t="str">
        <x:v>P-4 entity-specific internal control; no independent statutory force. Activate the exact underlying legal requirement separately.</x:v>
      </x:c>
    </x:row>
    <x:row r="355">
      <x:c r="A355" s="30" t="str">
        <x:v>RCOMP104</x:v>
      </x:c>
      <x:c r="B355" s="30" t="str">
        <x:v>RPROV104</x:v>
      </x:c>
      <x:c r="C355" s="30" t="str">
        <x:v>CA056</x:v>
      </x:c>
      <x:c r="D355" s="30" t="str">
        <x:v>Assess all returned medicines for quality, integrity, storage history, and legal eligibility before determining disposal or quarantine actions.</x:v>
      </x:c>
      <x:c r="E355" s="30" t="str">
        <x:v>Prevent reissue of compromised medicines.</x:v>
      </x:c>
      <x:c r="F355" s="30" t="str">
        <x:v>Optional</x:v>
      </x:c>
      <x:c r="G355" s="30" t="str">
        <x:v>Every Return</x:v>
      </x:c>
      <x:c r="H355" s="30"/>
      <x:c r="I355" s="30" t="str">
        <x:v>Registered Pharmacist</x:v>
      </x:c>
      <x:c r="J355" s="30" t="str">
        <x:v>Patient safety risk</x:v>
      </x:c>
      <x:c r="K355" s="30" t="str">
        <x:v>High</x:v>
      </x:c>
      <x:c r="L355" s="30" t="str">
        <x:v>RETAIL</x:v>
      </x:c>
      <x:c r="M355" s="30" t="str">
        <x:v>Yes</x:v>
      </x:c>
      <x:c r="N355" s="30" t="str">
        <x:v>P-4 entity-specific internal control; no independent statutory force. Activate the exact underlying legal requirement separately.</x:v>
      </x:c>
    </x:row>
    <x:row r="356">
      <x:c r="A356" s="30" t="str">
        <x:v>RCOMP105</x:v>
      </x:c>
      <x:c r="B356" s="30" t="str">
        <x:v>RPROV105</x:v>
      </x:c>
      <x:c r="C356" s="30" t="str">
        <x:v>CA072</x:v>
      </x:c>
      <x:c r="D356" s="30" t="str">
        <x:v>Conduct documented mock recall exercises to validate inventory traceability, communication processes, and recall effectiveness.</x:v>
      </x:c>
      <x:c r="E356" s="30" t="str">
        <x:v>Verify recall preparedness.</x:v>
      </x:c>
      <x:c r="F356" s="30" t="str">
        <x:v>Optional</x:v>
      </x:c>
      <x:c r="G356" s="30" t="str">
        <x:v>Annual</x:v>
      </x:c>
      <x:c r="H356" s="30"/>
      <x:c r="I356" s="30" t="str">
        <x:v>Pharmacy Manager</x:v>
      </x:c>
      <x:c r="J356" s="30" t="str">
        <x:v>Ineffective recall execution</x:v>
      </x:c>
      <x:c r="K356" s="30" t="str">
        <x:v>High</x:v>
      </x:c>
      <x:c r="L356" s="30" t="str">
        <x:v>RETAIL</x:v>
      </x:c>
      <x:c r="M356" s="30" t="str">
        <x:v>Yes</x:v>
      </x:c>
      <x:c r="N356" s="30" t="str">
        <x:v>P-4 entity-specific internal control; no independent statutory force. Activate the exact underlying legal requirement separately.</x:v>
      </x:c>
    </x:row>
    <x:row r="357">
      <x:c r="A357" s="30" t="str">
        <x:v>RCOMP106</x:v>
      </x:c>
      <x:c r="B357" s="30" t="str">
        <x:v>RPROV106</x:v>
      </x:c>
      <x:c r="C357" s="30" t="str">
        <x:v>CA033</x:v>
      </x:c>
      <x:c r="D357" s="30" t="str">
        <x:v>Monitor reservation expiry alerts daily and release uncollected medicines back to inventory only after completing approved procedures.</x:v>
      </x:c>
      <x:c r="E357" s="30" t="str">
        <x:v>Optimize inventory utilization.</x:v>
      </x:c>
      <x:c r="F357" s="30" t="str">
        <x:v>Optional</x:v>
      </x:c>
      <x:c r="G357" s="30" t="str">
        <x:v>Daily</x:v>
      </x:c>
      <x:c r="H357" s="30"/>
      <x:c r="I357" s="30" t="str">
        <x:v>Inventory Staff</x:v>
      </x:c>
      <x:c r="J357" s="30" t="str">
        <x:v>Inventory blockage</x:v>
      </x:c>
      <x:c r="K357" s="30" t="str">
        <x:v>Medium</x:v>
      </x:c>
      <x:c r="L357" s="30" t="str">
        <x:v>RETAIL</x:v>
      </x:c>
      <x:c r="M357" s="30" t="str">
        <x:v>Yes</x:v>
      </x:c>
      <x:c r="N357" s="30" t="str">
        <x:v>P-4 entity-specific internal control; no independent statutory force. Activate the exact underlying legal requirement separately.</x:v>
      </x:c>
    </x:row>
    <x:row r="358">
      <x:c r="A358" s="30" t="str">
        <x:v>RCOMP107</x:v>
      </x:c>
      <x:c r="B358" s="30" t="str">
        <x:v>RPROV107</x:v>
      </x:c>
      <x:c r="C358" s="30" t="str">
        <x:v>CA096</x:v>
      </x:c>
      <x:c r="D358" s="30" t="str">
        <x:v>Authorize inventory adjustments only after documented investigation, justification, approval, and supporting evidence are completed.</x:v>
      </x:c>
      <x:c r="E358" s="30" t="str">
        <x:v>Maintain inventory accuracy and accountability.</x:v>
      </x:c>
      <x:c r="F358" s="30" t="str">
        <x:v>Optional</x:v>
      </x:c>
      <x:c r="G358" s="30" t="str">
        <x:v>Every Adjustment</x:v>
      </x:c>
      <x:c r="H358" s="30"/>
      <x:c r="I358" s="30" t="str">
        <x:v>Inventory Pharmacist</x:v>
      </x:c>
      <x:c r="J358" s="30" t="str">
        <x:v>Fraud and inventory discrepancies</x:v>
      </x:c>
      <x:c r="K358" s="30" t="str">
        <x:v>High</x:v>
      </x:c>
      <x:c r="L358" s="30" t="str">
        <x:v>RETAIL</x:v>
      </x:c>
      <x:c r="M358" s="30" t="str">
        <x:v>Yes</x:v>
      </x:c>
      <x:c r="N358" s="30" t="str">
        <x:v>P-4 entity-specific internal control; no independent statutory force. Activate the exact underlying legal requirement separately.</x:v>
      </x:c>
    </x:row>
    <x:row r="359">
      <x:c r="A359" s="30" t="str">
        <x:v>RCOMP108</x:v>
      </x:c>
      <x:c r="B359" s="30" t="str">
        <x:v>RPROV108</x:v>
      </x:c>
      <x:c r="C359" s="30" t="str">
        <x:v>CA009</x:v>
      </x:c>
      <x:c r="D359" s="30" t="str">
        <x:v>Evaluate, test, approve, implement, and document pharmacy software changes before deployment into production.</x:v>
      </x:c>
      <x:c r="E359" s="30" t="str">
        <x:v>Maintain controlled software changes.</x:v>
      </x:c>
      <x:c r="F359" s="30" t="str">
        <x:v>Optional</x:v>
      </x:c>
      <x:c r="G359" s="30" t="str">
        <x:v>Every Software Change</x:v>
      </x:c>
      <x:c r="H359" s="30"/>
      <x:c r="I359" s="30" t="str">
        <x:v>IT Administrator</x:v>
      </x:c>
      <x:c r="J359" s="30" t="str">
        <x:v>System failures and regulatory non-compliance</x:v>
      </x:c>
      <x:c r="K359" s="30" t="str">
        <x:v>High</x:v>
      </x:c>
      <x:c r="L359" s="30" t="str">
        <x:v>RETAIL</x:v>
      </x:c>
      <x:c r="M359" s="30" t="str">
        <x:v>Yes</x:v>
      </x:c>
      <x:c r="N359" s="30" t="str">
        <x:v>P-4 entity-specific internal control; no independent statutory force. Activate the exact underlying legal requirement separately.</x:v>
      </x:c>
    </x:row>
    <x:row r="360">
      <x:c r="A360" s="30" t="str">
        <x:v>RCOMP109</x:v>
      </x:c>
      <x:c r="B360" s="30" t="str">
        <x:v>RPROV109</x:v>
      </x:c>
      <x:c r="C360" s="30" t="str">
        <x:v>CA033</x:v>
      </x:c>
      <x:c r="D360" s="30" t="str">
        <x:v>Review all public education brochures periodically to ensure they remain approved, current, and consistent with regulatory guidance.</x:v>
      </x:c>
      <x:c r="E360" s="30" t="str">
        <x:v>Ensure accuracy of public health information.</x:v>
      </x:c>
      <x:c r="F360" s="30" t="str">
        <x:v>Optional</x:v>
      </x:c>
      <x:c r="G360" s="30" t="str">
        <x:v>Quarterly</x:v>
      </x:c>
      <x:c r="H360" s="30"/>
      <x:c r="I360" s="30" t="str">
        <x:v>Pharmacy Manager</x:v>
      </x:c>
      <x:c r="J360" s="30" t="str">
        <x:v>Distribution of outdated information</x:v>
      </x:c>
      <x:c r="K360" s="30" t="str">
        <x:v>Medium</x:v>
      </x:c>
      <x:c r="L360" s="30" t="str">
        <x:v>RETAIL</x:v>
      </x:c>
      <x:c r="M360" s="30" t="str">
        <x:v>Yes</x:v>
      </x:c>
      <x:c r="N360" s="30" t="str">
        <x:v>P-4 entity-specific internal control; no independent statutory force. Activate the exact underlying legal requirement separately.</x:v>
      </x:c>
    </x:row>
    <x:row r="361">
      <x:c r="A361" s="30" t="str">
        <x:v>RCOMP110</x:v>
      </x:c>
      <x:c r="B361" s="30" t="str">
        <x:v>RPROV110</x:v>
      </x:c>
      <x:c r="C361" s="30" t="str">
        <x:v>CA018</x:v>
      </x:c>
      <x:c r="D361" s="30" t="str">
        <x:v>Conduct quarterly management reviews covering regulatory changes, audit findings, inspections, incidents, complaints, CAPA status, compliance risks, and strategic improvement initiatives.</x:v>
      </x:c>
      <x:c r="E361" s="30" t="str">
        <x:v>Strengthen governance through executive oversight.</x:v>
      </x:c>
      <x:c r="F361" s="30" t="str">
        <x:v>Optional</x:v>
      </x:c>
      <x:c r="G361" s="30" t="str">
        <x:v>Quarterly</x:v>
      </x:c>
      <x:c r="H361" s="30"/>
      <x:c r="I361" s="30" t="str">
        <x:v>Senior Management</x:v>
      </x:c>
      <x:c r="J361" s="30" t="str">
        <x:v>Weak governance and delayed corrective actions</x:v>
      </x:c>
      <x:c r="K361" s="30" t="str">
        <x:v>High</x:v>
      </x:c>
      <x:c r="L361" s="30" t="str">
        <x:v>RETAIL</x:v>
      </x:c>
      <x:c r="M361" s="30" t="str">
        <x:v>Yes</x:v>
      </x:c>
      <x:c r="N361" s="30" t="str">
        <x:v>P-4 entity-specific internal control; no independent statutory force. Activate the exact underlying legal requirement separately.</x:v>
      </x:c>
    </x:row>
    <x:row r="362">
      <x:c r="A362" s="30" t="str">
        <x:v>RCOMP111</x:v>
      </x:c>
      <x:c r="B362" s="30" t="str">
        <x:v>RPROV111</x:v>
      </x:c>
      <x:c r="C362" s="30" t="str">
        <x:v>CA040</x:v>
      </x:c>
      <x:c r="D362" s="30" t="str">
        <x:v>Verify the identity and authorization of representatives collecting medicines on behalf of patients before medicine handover and retain supporting documentation where required.</x:v>
      </x:c>
      <x:c r="E362" s="30" t="str">
        <x:v>Prevent unauthorized collection of medicines.</x:v>
      </x:c>
      <x:c r="F362" s="30" t="str">
        <x:v>Optional</x:v>
      </x:c>
      <x:c r="G362" s="30" t="str">
        <x:v>Every Applicable Collection</x:v>
      </x:c>
      <x:c r="H362" s="30"/>
      <x:c r="I362" s="30" t="str">
        <x:v>Registered Pharmacist</x:v>
      </x:c>
      <x:c r="J362" s="30" t="str">
        <x:v>Unauthorized medicine release</x:v>
      </x:c>
      <x:c r="K362" s="30" t="str">
        <x:v>High</x:v>
      </x:c>
      <x:c r="L362" s="30" t="str">
        <x:v>RETAIL</x:v>
      </x:c>
      <x:c r="M362" s="30" t="str">
        <x:v>Yes</x:v>
      </x:c>
      <x:c r="N362" s="30" t="str">
        <x:v>P-4 entity-specific internal control; no independent statutory force. Activate the exact underlying legal requirement separately.</x:v>
      </x:c>
    </x:row>
    <x:row r="363">
      <x:c r="A363" s="30" t="str">
        <x:v>RCOMP112</x:v>
      </x:c>
      <x:c r="B363" s="30" t="str">
        <x:v>RPROV112</x:v>
      </x:c>
      <x:c r="C363" s="30" t="str">
        <x:v>CA021</x:v>
      </x:c>
      <x:c r="D363" s="30" t="str">
        <x:v>Review every illegible, incomplete, altered, or ambiguous prescription and obtain prescriber clarification before dispensing. Document the clarification received.</x:v>
      </x:c>
      <x:c r="E363" s="30" t="str">
        <x:v>Prevent dispensing errors due to unclear prescriptions.</x:v>
      </x:c>
      <x:c r="F363" s="30" t="str">
        <x:v>Optional</x:v>
      </x:c>
      <x:c r="G363" s="30" t="str">
        <x:v>Every Applicable Prescription</x:v>
      </x:c>
      <x:c r="H363" s="30"/>
      <x:c r="I363" s="30" t="str">
        <x:v>Registered Pharmacist</x:v>
      </x:c>
      <x:c r="J363" s="30" t="str">
        <x:v>Incorrect dispensing</x:v>
      </x:c>
      <x:c r="K363" s="30" t="str">
        <x:v>High</x:v>
      </x:c>
      <x:c r="L363" s="30" t="str">
        <x:v>RETAIL</x:v>
      </x:c>
      <x:c r="M363" s="30" t="str">
        <x:v>Yes</x:v>
      </x:c>
      <x:c r="N363" s="30" t="str">
        <x:v>P-4 entity-specific internal control; no independent statutory force. Activate the exact underlying legal requirement separately.</x:v>
      </x:c>
    </x:row>
    <x:row r="364">
      <x:c r="A364" s="30" t="str">
        <x:v>RCOMP113</x:v>
      </x:c>
      <x:c r="B364" s="30" t="str">
        <x:v>RPROV113</x:v>
      </x:c>
      <x:c r="C364" s="30" t="str">
        <x:v>CA072</x:v>
      </x:c>
      <x:c r="D364" s="30" t="str">
        <x:v>Archive electronic pharmacy records in secure storage with integrity protection, retrieval capability, backup, and statutory retention controls.</x:v>
      </x:c>
      <x:c r="E364" s="30" t="str">
        <x:v>Preserve long-term electronic records.</x:v>
      </x:c>
      <x:c r="F364" s="30" t="str">
        <x:v>Optional</x:v>
      </x:c>
      <x:c r="G364" s="30" t="str">
        <x:v>Continuous</x:v>
      </x:c>
      <x:c r="H364" s="30"/>
      <x:c r="I364" s="30" t="str">
        <x:v>IT Administrator</x:v>
      </x:c>
      <x:c r="J364" s="30" t="str">
        <x:v>Loss of regulatory evidence</x:v>
      </x:c>
      <x:c r="K364" s="30" t="str">
        <x:v>High</x:v>
      </x:c>
      <x:c r="L364" s="30" t="str">
        <x:v>RETAIL</x:v>
      </x:c>
      <x:c r="M364" s="30" t="str">
        <x:v>Yes</x:v>
      </x:c>
      <x:c r="N364" s="30" t="str">
        <x:v>P-4 entity-specific internal control; no independent statutory force. Activate the exact underlying legal requirement separately.</x:v>
      </x:c>
    </x:row>
    <x:row r="365">
      <x:c r="A365" s="30" t="str">
        <x:v>RCOMP114</x:v>
      </x:c>
      <x:c r="B365" s="30" t="str">
        <x:v>RPROV114</x:v>
      </x:c>
      <x:c r="C365" s="30" t="str">
        <x:v>CA056</x:v>
      </x:c>
      <x:c r="D365" s="30" t="str">
        <x:v>Organize medicine shelves according to approved classification standards and periodically verify correct placement to minimize dispensing errors.</x:v>
      </x:c>
      <x:c r="E365" s="30" t="str">
        <x:v>Improve dispensing efficiency and accuracy.</x:v>
      </x:c>
      <x:c r="F365" s="30" t="str">
        <x:v>Optional</x:v>
      </x:c>
      <x:c r="G365" s="30" t="str">
        <x:v>Weekly</x:v>
      </x:c>
      <x:c r="H365" s="30"/>
      <x:c r="I365" s="30" t="str">
        <x:v>Pharmacist</x:v>
      </x:c>
      <x:c r="J365" s="30" t="str">
        <x:v>Product selection errors</x:v>
      </x:c>
      <x:c r="K365" s="30" t="str">
        <x:v>Medium</x:v>
      </x:c>
      <x:c r="L365" s="30" t="str">
        <x:v>RETAIL</x:v>
      </x:c>
      <x:c r="M365" s="30" t="str">
        <x:v>Yes</x:v>
      </x:c>
      <x:c r="N365" s="30" t="str">
        <x:v>P-4 entity-specific internal control; no independent statutory force. Activate the exact underlying legal requirement separately.</x:v>
      </x:c>
    </x:row>
    <x:row r="366">
      <x:c r="A366" s="30" t="str">
        <x:v>RCOMP115</x:v>
      </x:c>
      <x:c r="B366" s="30" t="str">
        <x:v>RPROV115</x:v>
      </x:c>
      <x:c r="C366" s="30" t="str">
        <x:v>CA072</x:v>
      </x:c>
      <x:c r="D366" s="30" t="str">
        <x:v>Verify completion of every product recall, reconcile recovered inventory, document unresolved items, and obtain management approval before recall closure.</x:v>
      </x:c>
      <x:c r="E366" s="30" t="str">
        <x:v>Ensure effective recall completion.</x:v>
      </x:c>
      <x:c r="F366" s="30" t="str">
        <x:v>Optional</x:v>
      </x:c>
      <x:c r="G366" s="30" t="str">
        <x:v>Every Recall</x:v>
      </x:c>
      <x:c r="H366" s="30"/>
      <x:c r="I366" s="30" t="str">
        <x:v>Pharmacy Manager</x:v>
      </x:c>
      <x:c r="J366" s="30" t="str">
        <x:v>Incomplete recall execution</x:v>
      </x:c>
      <x:c r="K366" s="30" t="str">
        <x:v>High</x:v>
      </x:c>
      <x:c r="L366" s="30" t="str">
        <x:v>RETAIL</x:v>
      </x:c>
      <x:c r="M366" s="30" t="str">
        <x:v>Yes</x:v>
      </x:c>
      <x:c r="N366" s="30" t="str">
        <x:v>P-4 entity-specific internal control; no independent statutory force. Activate the exact underlying legal requirement separately.</x:v>
      </x:c>
    </x:row>
    <x:row r="367">
      <x:c r="A367" s="30" t="str">
        <x:v>RCOMP116</x:v>
      </x:c>
      <x:c r="B367" s="30" t="str">
        <x:v>RPROV116</x:v>
      </x:c>
      <x:c r="C367" s="30" t="str">
        <x:v>CA033</x:v>
      </x:c>
      <x:c r="D367" s="30" t="str">
        <x:v>Record medicine collection appointments, monitor attendance, follow up on missed appointments, and maintain appointment history for audit purposes.</x:v>
      </x:c>
      <x:c r="E367" s="30" t="str">
        <x:v>Improve operational planning and customer service.</x:v>
      </x:c>
      <x:c r="F367" s="30" t="str">
        <x:v>Optional</x:v>
      </x:c>
      <x:c r="G367" s="30" t="str">
        <x:v>Every Appointment</x:v>
      </x:c>
      <x:c r="H367" s="30"/>
      <x:c r="I367" s="30" t="str">
        <x:v>Front Desk / Pharmacist</x:v>
      </x:c>
      <x:c r="J367" s="30" t="str">
        <x:v>Missed collections and operational delays</x:v>
      </x:c>
      <x:c r="K367" s="30" t="str">
        <x:v>Medium</x:v>
      </x:c>
      <x:c r="L367" s="30" t="str">
        <x:v>RETAIL</x:v>
      </x:c>
      <x:c r="M367" s="30" t="str">
        <x:v>Yes</x:v>
      </x:c>
      <x:c r="N367" s="30" t="str">
        <x:v>P-4 entity-specific internal control; no independent statutory force. Activate the exact underlying legal requirement separately.</x:v>
      </x:c>
    </x:row>
    <x:row r="368">
      <x:c r="A368" s="30" t="str">
        <x:v>RCOMP117</x:v>
      </x:c>
      <x:c r="B368" s="30" t="str">
        <x:v>RPROV117</x:v>
      </x:c>
      <x:c r="C368" s="30" t="str">
        <x:v>CA099</x:v>
      </x:c>
      <x:c r="D368" s="30" t="str">
        <x:v>Investigate significant inventory anomalies, document findings, determine root causes, and implement corrective and preventive actions.</x:v>
      </x:c>
      <x:c r="E368" s="30" t="str">
        <x:v>Strengthen inventory governance.</x:v>
      </x:c>
      <x:c r="F368" s="30" t="str">
        <x:v>Optional</x:v>
      </x:c>
      <x:c r="G368" s="30" t="str">
        <x:v>Every Significant Variance</x:v>
      </x:c>
      <x:c r="H368" s="30"/>
      <x:c r="I368" s="30" t="str">
        <x:v>Inventory Pharmacist</x:v>
      </x:c>
      <x:c r="J368" s="30" t="str">
        <x:v>Inventory loss and fraud</x:v>
      </x:c>
      <x:c r="K368" s="30" t="str">
        <x:v>High</x:v>
      </x:c>
      <x:c r="L368" s="30" t="str">
        <x:v>RETAIL</x:v>
      </x:c>
      <x:c r="M368" s="30" t="str">
        <x:v>Yes</x:v>
      </x:c>
      <x:c r="N368" s="30" t="str">
        <x:v>P-4 entity-specific internal control; no independent statutory force. Activate the exact underlying legal requirement separately.</x:v>
      </x:c>
    </x:row>
    <x:row r="369">
      <x:c r="A369" s="30" t="str">
        <x:v>RCOMP118</x:v>
      </x:c>
      <x:c r="B369" s="30" t="str">
        <x:v>RPROV118</x:v>
      </x:c>
      <x:c r="C369" s="30" t="str">
        <x:v>CA009</x:v>
      </x:c>
      <x:c r="D369" s="30" t="str">
        <x:v>Monitor cybersecurity events, review security alerts, investigate incidents, and document response actions according to approved procedures.</x:v>
      </x:c>
      <x:c r="E369" s="30" t="str">
        <x:v>Protect pharmacy information assets.</x:v>
      </x:c>
      <x:c r="F369" s="30" t="str">
        <x:v>Optional</x:v>
      </x:c>
      <x:c r="G369" s="30" t="str">
        <x:v>Continuous</x:v>
      </x:c>
      <x:c r="H369" s="30"/>
      <x:c r="I369" s="30" t="str">
        <x:v>IT Administrator</x:v>
      </x:c>
      <x:c r="J369" s="30" t="str">
        <x:v>Cybersecurity incidents</x:v>
      </x:c>
      <x:c r="K369" s="30" t="str">
        <x:v>High</x:v>
      </x:c>
      <x:c r="L369" s="30" t="str">
        <x:v>RETAIL</x:v>
      </x:c>
      <x:c r="M369" s="30" t="str">
        <x:v>Yes</x:v>
      </x:c>
      <x:c r="N369" s="30" t="str">
        <x:v>P-4 entity-specific internal control; no independent statutory force. Activate the exact underlying legal requirement separately.</x:v>
      </x:c>
    </x:row>
    <x:row r="370">
      <x:c r="A370" s="30" t="str">
        <x:v>RCOMP119</x:v>
      </x:c>
      <x:c r="B370" s="30" t="str">
        <x:v>RPROV119</x:v>
      </x:c>
      <x:c r="C370" s="30" t="str">
        <x:v>CA033</x:v>
      </x:c>
      <x:c r="D370" s="30" t="str">
        <x:v>Display current medicine safety campaigns, antimicrobial stewardship guidance, adverse drug reaction reporting information, and public health advisories issued by competent authorities.</x:v>
      </x:c>
      <x:c r="E370" s="30" t="str">
        <x:v>Promote responsible medicine use.</x:v>
      </x:c>
      <x:c r="F370" s="30" t="str">
        <x:v>Optional</x:v>
      </x:c>
      <x:c r="G370" s="30" t="str">
        <x:v>Monthly Review</x:v>
      </x:c>
      <x:c r="H370" s="30"/>
      <x:c r="I370" s="30" t="str">
        <x:v>Pharmacy Manager</x:v>
      </x:c>
      <x:c r="J370" s="30" t="str">
        <x:v>Failure to communicate health advisories</x:v>
      </x:c>
      <x:c r="K370" s="30" t="str">
        <x:v>Medium</x:v>
      </x:c>
      <x:c r="L370" s="30" t="str">
        <x:v>RETAIL</x:v>
      </x:c>
      <x:c r="M370" s="30" t="str">
        <x:v>Yes</x:v>
      </x:c>
      <x:c r="N370" s="30" t="str">
        <x:v>P-4 entity-specific internal control; no independent statutory force. Activate the exact underlying legal requirement separately.</x:v>
      </x:c>
    </x:row>
    <x:row r="371">
      <x:c r="A371" s="30" t="str">
        <x:v>RCOMP120</x:v>
      </x:c>
      <x:c r="B371" s="30" t="str">
        <x:v>RPROV120</x:v>
      </x:c>
      <x:c r="C371" s="30" t="str">
        <x:v>CA033</x:v>
      </x:c>
      <x:c r="D371" s="30" t="str">
        <x:v>Prepare and implement an annual compliance improvement programme based on audits, inspections, incidents, complaints, KPIs, and regulatory changes. Monitor implementation progress.</x:v>
      </x:c>
      <x:c r="E371" s="30" t="str">
        <x:v>Drive continuous compliance improvement.</x:v>
      </x:c>
      <x:c r="F371" s="30" t="str">
        <x:v>Optional</x:v>
      </x:c>
      <x:c r="G371" s="30" t="str">
        <x:v>Annual / Quarterly Review</x:v>
      </x:c>
      <x:c r="H371" s="30"/>
      <x:c r="I371" s="30" t="str">
        <x:v>Compliance Officer</x:v>
      </x:c>
      <x:c r="J371" s="30" t="str">
        <x:v>Recurring compliance deficiencies</x:v>
      </x:c>
      <x:c r="K371" s="30" t="str">
        <x:v>High</x:v>
      </x:c>
      <x:c r="L371" s="30" t="str">
        <x:v>RETAIL</x:v>
      </x:c>
      <x:c r="M371" s="30" t="str">
        <x:v>Yes</x:v>
      </x:c>
      <x:c r="N371" s="30" t="str">
        <x:v>P-4 entity-specific internal control; no independent statutory force. Activate the exact underlying legal requirement separately.</x:v>
      </x:c>
    </x:row>
    <x:row r="372">
      <x:c r="A372" s="30" t="str">
        <x:v>RCOMP121</x:v>
      </x:c>
      <x:c r="B372" s="30" t="str">
        <x:v>RPROV121</x:v>
      </x:c>
      <x:c r="C372" s="30" t="str">
        <x:v>CA063</x:v>
      </x:c>
      <x:c r="D372" s="30" t="str">
        <x:v>Perform independent secondary verification before dispensing restricted medicines and document both verifier identities.</x:v>
      </x:c>
      <x:c r="E372" s="30" t="str">
        <x:v>Strengthen dispensing controls for restricted medicines.</x:v>
      </x:c>
      <x:c r="F372" s="30" t="str">
        <x:v>Optional</x:v>
      </x:c>
      <x:c r="G372" s="30" t="str">
        <x:v>Every Applicable Dispensing</x:v>
      </x:c>
      <x:c r="H372" s="30"/>
      <x:c r="I372" s="30" t="str">
        <x:v>Registered Pharmacist</x:v>
      </x:c>
      <x:c r="J372" s="30" t="str">
        <x:v>High-risk dispensing errors</x:v>
      </x:c>
      <x:c r="K372" s="30" t="str">
        <x:v>High</x:v>
      </x:c>
      <x:c r="L372" s="30" t="str">
        <x:v>RETAIL</x:v>
      </x:c>
      <x:c r="M372" s="30" t="str">
        <x:v>Yes</x:v>
      </x:c>
      <x:c r="N372" s="30" t="str">
        <x:v>P-4 entity-specific internal control; no independent statutory force. Activate the exact underlying legal requirement separately.</x:v>
      </x:c>
    </x:row>
    <x:row r="373">
      <x:c r="A373" s="30" t="str">
        <x:v>RCOMP122</x:v>
      </x:c>
      <x:c r="B373" s="30" t="str">
        <x:v>RPROV122</x:v>
      </x:c>
      <x:c r="C373" s="30" t="str">
        <x:v>CA071</x:v>
      </x:c>
      <x:c r="D373" s="30" t="str">
        <x:v>Verify completeness of all mandatory prescription particulars before processing and place incomplete prescriptions on hold until resolved.</x:v>
      </x:c>
      <x:c r="E373" s="30" t="str">
        <x:v>Ensure legally compliant prescription processing.</x:v>
      </x:c>
      <x:c r="F373" s="30" t="str">
        <x:v>Optional</x:v>
      </x:c>
      <x:c r="G373" s="30" t="str">
        <x:v>Every Prescription</x:v>
      </x:c>
      <x:c r="H373" s="30"/>
      <x:c r="I373" s="30" t="str">
        <x:v>Registered Pharmacist</x:v>
      </x:c>
      <x:c r="J373" s="30" t="str">
        <x:v>Regulatory non-compliance</x:v>
      </x:c>
      <x:c r="K373" s="30" t="str">
        <x:v>High</x:v>
      </x:c>
      <x:c r="L373" s="30" t="str">
        <x:v>RETAIL</x:v>
      </x:c>
      <x:c r="M373" s="30" t="str">
        <x:v>Yes</x:v>
      </x:c>
      <x:c r="N373" s="30" t="str">
        <x:v>P-4 entity-specific internal control; no independent statutory force. Activate the exact underlying legal requirement separately.</x:v>
      </x:c>
    </x:row>
    <x:row r="374">
      <x:c r="A374" s="30" t="str">
        <x:v>RCOMP123</x:v>
      </x:c>
      <x:c r="B374" s="30" t="str">
        <x:v>RPROV123</x:v>
      </x:c>
      <x:c r="C374" s="30" t="str">
        <x:v>CA033</x:v>
      </x:c>
      <x:c r="D374" s="30" t="str">
        <x:v>Retain dispensing system activity logs in secure, tamper-evident storage and make them available for audits and regulatory inspections.</x:v>
      </x:c>
      <x:c r="E374" s="30" t="str">
        <x:v>Preserve system auditability.</x:v>
      </x:c>
      <x:c r="F374" s="30" t="str">
        <x:v>Optional</x:v>
      </x:c>
      <x:c r="G374" s="30" t="str">
        <x:v>Continuous</x:v>
      </x:c>
      <x:c r="H374" s="30"/>
      <x:c r="I374" s="30" t="str">
        <x:v>IT Administrator</x:v>
      </x:c>
      <x:c r="J374" s="30" t="str">
        <x:v>Loss of audit evidence</x:v>
      </x:c>
      <x:c r="K374" s="30" t="str">
        <x:v>High</x:v>
      </x:c>
      <x:c r="L374" s="30" t="str">
        <x:v>RETAIL</x:v>
      </x:c>
      <x:c r="M374" s="30" t="str">
        <x:v>Yes</x:v>
      </x:c>
      <x:c r="N374" s="30" t="str">
        <x:v>P-4 entity-specific internal control; no independent statutory force. Activate the exact underlying legal requirement separately.</x:v>
      </x:c>
    </x:row>
    <x:row r="375">
      <x:c r="A375" s="30" t="str">
        <x:v>RCOMP124</x:v>
      </x:c>
      <x:c r="B375" s="30" t="str">
        <x:v>RPROV124</x:v>
      </x:c>
      <x:c r="C375" s="30" t="str">
        <x:v>CA038</x:v>
      </x:c>
      <x:c r="D375" s="30" t="str">
        <x:v>Verify medicine identity, strength, dosage form, manufacturer, batch number, and expiry before dispensing.</x:v>
      </x:c>
      <x:c r="E375" s="30" t="str">
        <x:v>Prevent product selection errors.</x:v>
      </x:c>
      <x:c r="F375" s="30" t="str">
        <x:v>Optional</x:v>
      </x:c>
      <x:c r="G375" s="30" t="str">
        <x:v>Every Dispensing</x:v>
      </x:c>
      <x:c r="H375" s="30"/>
      <x:c r="I375" s="30" t="str">
        <x:v>Registered Pharmacist</x:v>
      </x:c>
      <x:c r="J375" s="30" t="str">
        <x:v>Incorrect medicine dispensing</x:v>
      </x:c>
      <x:c r="K375" s="30" t="str">
        <x:v>High</x:v>
      </x:c>
      <x:c r="L375" s="30" t="str">
        <x:v>RETAIL</x:v>
      </x:c>
      <x:c r="M375" s="30" t="str">
        <x:v>Yes</x:v>
      </x:c>
      <x:c r="N375" s="30" t="str">
        <x:v>P-4 entity-specific internal control; no independent statutory force. Activate the exact underlying legal requirement separately.</x:v>
      </x:c>
    </x:row>
    <x:row r="376">
      <x:c r="A376" s="30" t="str">
        <x:v>RCOMP125</x:v>
      </x:c>
      <x:c r="B376" s="30" t="str">
        <x:v>RPROV125</x:v>
      </x:c>
      <x:c r="C376" s="30" t="str">
        <x:v>CA071</x:v>
      </x:c>
      <x:c r="D376" s="30" t="str">
        <x:v>Escalate critical product recalls immediately, notify management, document actions taken, and monitor completion until formal closure.</x:v>
      </x:c>
      <x:c r="E376" s="30" t="str">
        <x:v>Ensure timely management of critical recalls.</x:v>
      </x:c>
      <x:c r="F376" s="30" t="str">
        <x:v>Optional</x:v>
      </x:c>
      <x:c r="G376" s="30" t="str">
        <x:v>Every Critical Recall</x:v>
      </x:c>
      <x:c r="H376" s="30"/>
      <x:c r="I376" s="30" t="str">
        <x:v>Pharmacy Manager</x:v>
      </x:c>
      <x:c r="J376" s="30" t="str">
        <x:v>Patient safety incidents</x:v>
      </x:c>
      <x:c r="K376" s="30" t="str">
        <x:v>High</x:v>
      </x:c>
      <x:c r="L376" s="30" t="str">
        <x:v>RETAIL</x:v>
      </x:c>
      <x:c r="M376" s="30" t="str">
        <x:v>Yes</x:v>
      </x:c>
      <x:c r="N376" s="30" t="str">
        <x:v>P-4 entity-specific internal control; no independent statutory force. Activate the exact underlying legal requirement separately.</x:v>
      </x:c>
    </x:row>
    <x:row r="377">
      <x:c r="A377" s="30" t="str">
        <x:v>RCOMP126</x:v>
      </x:c>
      <x:c r="B377" s="30" t="str">
        <x:v>RPROV126</x:v>
      </x:c>
      <x:c r="C377" s="30" t="str">
        <x:v>CA033</x:v>
      </x:c>
      <x:c r="D377" s="30" t="str">
        <x:v>Validate online medicine reservations for prescription requirements, medicine availability, reservation validity, and customer identity before confirmation.</x:v>
      </x:c>
      <x:c r="E377" s="30" t="str">
        <x:v>Ensure compliant online reservation processing.</x:v>
      </x:c>
      <x:c r="F377" s="30" t="str">
        <x:v>Optional</x:v>
      </x:c>
      <x:c r="G377" s="30" t="str">
        <x:v>Every Reservation</x:v>
      </x:c>
      <x:c r="H377" s="30"/>
      <x:c r="I377" s="30" t="str">
        <x:v>Pharmacist</x:v>
      </x:c>
      <x:c r="J377" s="30" t="str">
        <x:v>Invalid reservations</x:v>
      </x:c>
      <x:c r="K377" s="30" t="str">
        <x:v>Medium</x:v>
      </x:c>
      <x:c r="L377" s="30" t="str">
        <x:v>RETAIL</x:v>
      </x:c>
      <x:c r="M377" s="30" t="str">
        <x:v>Yes</x:v>
      </x:c>
      <x:c r="N377" s="30" t="str">
        <x:v>P-4 entity-specific internal control; no independent statutory force. Activate the exact underlying legal requirement separately.</x:v>
      </x:c>
    </x:row>
    <x:row r="378">
      <x:c r="A378" s="30" t="str">
        <x:v>RCOMP127</x:v>
      </x:c>
      <x:c r="B378" s="30" t="str">
        <x:v>RPROV127</x:v>
      </x:c>
      <x:c r="C378" s="30" t="str">
        <x:v>CA100</x:v>
      </x:c>
      <x:c r="D378" s="30" t="str">
        <x:v>Review and approve inventory adjustments exceeding defined thresholds and document supporting investigations.</x:v>
      </x:c>
      <x:c r="E378" s="30" t="str">
        <x:v>Improve inventory governance.</x:v>
      </x:c>
      <x:c r="F378" s="30" t="str">
        <x:v>Optional</x:v>
      </x:c>
      <x:c r="G378" s="30" t="str">
        <x:v>Every Threshold Exception</x:v>
      </x:c>
      <x:c r="H378" s="30"/>
      <x:c r="I378" s="30" t="str">
        <x:v>Inventory Manager</x:v>
      </x:c>
      <x:c r="J378" s="30" t="str">
        <x:v>Inventory fraud and loss</x:v>
      </x:c>
      <x:c r="K378" s="30" t="str">
        <x:v>High</x:v>
      </x:c>
      <x:c r="L378" s="30" t="str">
        <x:v>RETAIL</x:v>
      </x:c>
      <x:c r="M378" s="30" t="str">
        <x:v>Yes</x:v>
      </x:c>
      <x:c r="N378" s="30" t="str">
        <x:v>P-4 entity-specific internal control; no independent statutory force. Activate the exact underlying legal requirement separately.</x:v>
      </x:c>
    </x:row>
    <x:row r="379">
      <x:c r="A379" s="30" t="str">
        <x:v>RCOMP128</x:v>
      </x:c>
      <x:c r="B379" s="30" t="str">
        <x:v>RPROV128</x:v>
      </x:c>
      <x:c r="C379" s="30" t="str">
        <x:v>CA009</x:v>
      </x:c>
      <x:c r="D379" s="30" t="str">
        <x:v>Perform scheduled backup restoration tests, document results, resolve failures, and obtain management approval following successful recovery validation.</x:v>
      </x:c>
      <x:c r="E379" s="30" t="str">
        <x:v>Verify backup reliability.</x:v>
      </x:c>
      <x:c r="F379" s="30" t="str">
        <x:v>Optional</x:v>
      </x:c>
      <x:c r="G379" s="30" t="str">
        <x:v>Semi-Annual</x:v>
      </x:c>
      <x:c r="H379" s="30"/>
      <x:c r="I379" s="30" t="str">
        <x:v>IT Administrator</x:v>
      </x:c>
      <x:c r="J379" s="30" t="str">
        <x:v>Data recovery failure</x:v>
      </x:c>
      <x:c r="K379" s="30" t="str">
        <x:v>High</x:v>
      </x:c>
      <x:c r="L379" s="30" t="str">
        <x:v>RETAIL</x:v>
      </x:c>
      <x:c r="M379" s="30" t="str">
        <x:v>Yes</x:v>
      </x:c>
      <x:c r="N379" s="30" t="str">
        <x:v>P-4 entity-specific internal control; no independent statutory force. Activate the exact underlying legal requirement separately.</x:v>
      </x:c>
    </x:row>
    <x:row r="380">
      <x:c r="A380" s="30" t="str">
        <x:v>RCOMP129</x:v>
      </x:c>
      <x:c r="B380" s="30" t="str">
        <x:v>RPROV129</x:v>
      </x:c>
      <x:c r="C380" s="30" t="str">
        <x:v>CA033</x:v>
      </x:c>
      <x:c r="D380" s="30" t="str">
        <x:v>Review community medicine awareness programme content before delivery to ensure scientific accuracy, regulatory compliance, and management approval.</x:v>
      </x:c>
      <x:c r="E380" s="30" t="str">
        <x:v>Deliver reliable public education.</x:v>
      </x:c>
      <x:c r="F380" s="30" t="str">
        <x:v>Optional</x:v>
      </x:c>
      <x:c r="G380" s="30" t="str">
        <x:v>Every Programme</x:v>
      </x:c>
      <x:c r="H380" s="30"/>
      <x:c r="I380" s="30" t="str">
        <x:v>Pharmacist</x:v>
      </x:c>
      <x:c r="J380" s="30" t="str">
        <x:v>Dissemination of inaccurate information</x:v>
      </x:c>
      <x:c r="K380" s="30" t="str">
        <x:v>Medium</x:v>
      </x:c>
      <x:c r="L380" s="30" t="str">
        <x:v>RETAIL</x:v>
      </x:c>
      <x:c r="M380" s="30" t="str">
        <x:v>Yes</x:v>
      </x:c>
      <x:c r="N380" s="30" t="str">
        <x:v>P-4 entity-specific internal control; no independent statutory force. Activate the exact underlying legal requirement separately.</x:v>
      </x:c>
    </x:row>
    <x:row r="381">
      <x:c r="A381" s="30" t="str">
        <x:v>RCOMP130</x:v>
      </x:c>
      <x:c r="B381" s="30" t="str">
        <x:v>RPROV130</x:v>
      </x:c>
      <x:c r="C381" s="30" t="str">
        <x:v>CA033</x:v>
      </x:c>
      <x:c r="D381" s="30" t="str">
        <x:v>Maintain a documented compliance risk register, periodically review risk ratings, monitor mitigation actions, and report significant risks to management.</x:v>
      </x:c>
      <x:c r="E381" s="30" t="str">
        <x:v>Implement structured compliance risk management.</x:v>
      </x:c>
      <x:c r="F381" s="30" t="str">
        <x:v>Optional</x:v>
      </x:c>
      <x:c r="G381" s="30" t="str">
        <x:v>Quarterly</x:v>
      </x:c>
      <x:c r="H381" s="30"/>
      <x:c r="I381" s="30" t="str">
        <x:v>Compliance Officer</x:v>
      </x:c>
      <x:c r="J381" s="30" t="str">
        <x:v>Unmanaged regulatory risks</x:v>
      </x:c>
      <x:c r="K381" s="30" t="str">
        <x:v>High</x:v>
      </x:c>
      <x:c r="L381" s="30" t="str">
        <x:v>RETAIL</x:v>
      </x:c>
      <x:c r="M381" s="30" t="str">
        <x:v>Yes</x:v>
      </x:c>
      <x:c r="N381" s="30" t="str">
        <x:v>P-4 entity-specific internal control; no independent statutory force. Activate the exact underlying legal requirement separately.</x:v>
      </x:c>
    </x:row>
    <x:row r="382">
      <x:c r="A382" s="30" t="str">
        <x:v>RCOMP131</x:v>
      </x:c>
      <x:c r="B382" s="30" t="str">
        <x:v>RPROV131</x:v>
      </x:c>
      <x:c r="C382" s="30" t="str">
        <x:v>CA005</x:v>
      </x:c>
      <x:c r="D382" s="30" t="str">
        <x:v>Obtain final pharmacist authorization before handing over any prescription medicine to the customer and record the authorization electronically or manually.</x:v>
      </x:c>
      <x:c r="E382" s="30" t="str">
        <x:v>Ensure lawful completion of dispensing.</x:v>
      </x:c>
      <x:c r="F382" s="30" t="str">
        <x:v>Optional</x:v>
      </x:c>
      <x:c r="G382" s="30" t="str">
        <x:v>Every Prescription</x:v>
      </x:c>
      <x:c r="H382" s="30"/>
      <x:c r="I382" s="30" t="str">
        <x:v>Registered Pharmacist</x:v>
      </x:c>
      <x:c r="J382" s="30" t="str">
        <x:v>Unauthorized dispensing</x:v>
      </x:c>
      <x:c r="K382" s="30" t="str">
        <x:v>High</x:v>
      </x:c>
      <x:c r="L382" s="30" t="str">
        <x:v>RETAIL</x:v>
      </x:c>
      <x:c r="M382" s="30" t="str">
        <x:v>Yes</x:v>
      </x:c>
      <x:c r="N382" s="30" t="str">
        <x:v>P-4 entity-specific internal control; no independent statutory force. Activate the exact underlying legal requirement separately.</x:v>
      </x:c>
    </x:row>
    <x:row r="383">
      <x:c r="A383" s="30" t="str">
        <x:v>RCOMP132</x:v>
      </x:c>
      <x:c r="B383" s="30" t="str">
        <x:v>RPROV132</x:v>
      </x:c>
      <x:c r="C383" s="30" t="str">
        <x:v>CA049</x:v>
      </x:c>
      <x:c r="D383" s="30" t="str">
        <x:v>Periodically review retained prescriptions for completeness, readability, retention compliance, and secure storage.</x:v>
      </x:c>
      <x:c r="E383" s="30" t="str">
        <x:v>Maintain compliant prescription records.</x:v>
      </x:c>
      <x:c r="F383" s="30" t="str">
        <x:v>Optional</x:v>
      </x:c>
      <x:c r="G383" s="30" t="str">
        <x:v>Quarterly</x:v>
      </x:c>
      <x:c r="H383" s="30"/>
      <x:c r="I383" s="30" t="str">
        <x:v>Pharmacy Manager</x:v>
      </x:c>
      <x:c r="J383" s="30" t="str">
        <x:v>Record retention deficiencies</x:v>
      </x:c>
      <x:c r="K383" s="30" t="str">
        <x:v>Medium</x:v>
      </x:c>
      <x:c r="L383" s="30" t="str">
        <x:v>RETAIL</x:v>
      </x:c>
      <x:c r="M383" s="30" t="str">
        <x:v>Yes</x:v>
      </x:c>
      <x:c r="N383" s="30" t="str">
        <x:v>P-4 entity-specific internal control; no independent statutory force. Activate the exact underlying legal requirement separately.</x:v>
      </x:c>
    </x:row>
    <x:row r="384">
      <x:c r="A384" s="30" t="str">
        <x:v>RCOMP133</x:v>
      </x:c>
      <x:c r="B384" s="30" t="str">
        <x:v>RPROV133</x:v>
      </x:c>
      <x:c r="C384" s="30" t="str">
        <x:v>CA033</x:v>
      </x:c>
      <x:c r="D384" s="30" t="str">
        <x:v>Monitor synchronization of dispensing, billing, inventory, and patient records across integrated pharmacy systems and investigate synchronization failures promptly.</x:v>
      </x:c>
      <x:c r="E384" s="30" t="str">
        <x:v>Ensure data consistency across systems.</x:v>
      </x:c>
      <x:c r="F384" s="30" t="str">
        <x:v>Optional</x:v>
      </x:c>
      <x:c r="G384" s="30" t="str">
        <x:v>Daily</x:v>
      </x:c>
      <x:c r="H384" s="30"/>
      <x:c r="I384" s="30" t="str">
        <x:v>IT Administrator</x:v>
      </x:c>
      <x:c r="J384" s="30" t="str">
        <x:v>Data inconsistency</x:v>
      </x:c>
      <x:c r="K384" s="30" t="str">
        <x:v>High</x:v>
      </x:c>
      <x:c r="L384" s="30" t="str">
        <x:v>RETAIL</x:v>
      </x:c>
      <x:c r="M384" s="30" t="str">
        <x:v>Yes</x:v>
      </x:c>
      <x:c r="N384" s="30" t="str">
        <x:v>P-4 entity-specific internal control; no independent statutory force. Activate the exact underlying legal requirement separately.</x:v>
      </x:c>
    </x:row>
    <x:row r="385">
      <x:c r="A385" s="30" t="str">
        <x:v>RCOMP134</x:v>
      </x:c>
      <x:c r="B385" s="30" t="str">
        <x:v>RPROV134</x:v>
      </x:c>
      <x:c r="C385" s="30" t="str">
        <x:v>CA043</x:v>
      </x:c>
      <x:c r="D385" s="30" t="str">
        <x:v>Perform independent verification of medicine selection before packaging by confirming product, strength, dosage form, batch number, expiry date, and quantity.</x:v>
      </x:c>
      <x:c r="E385" s="30" t="str">
        <x:v>Prevent medicine selection errors.</x:v>
      </x:c>
      <x:c r="F385" s="30" t="str">
        <x:v>Optional</x:v>
      </x:c>
      <x:c r="G385" s="30" t="str">
        <x:v>Every Dispensing</x:v>
      </x:c>
      <x:c r="H385" s="30"/>
      <x:c r="I385" s="30" t="str">
        <x:v>Registered Pharmacist</x:v>
      </x:c>
      <x:c r="J385" s="30" t="str">
        <x:v>Incorrect medicine dispensing</x:v>
      </x:c>
      <x:c r="K385" s="30" t="str">
        <x:v>High</x:v>
      </x:c>
      <x:c r="L385" s="30" t="str">
        <x:v>RETAIL</x:v>
      </x:c>
      <x:c r="M385" s="30" t="str">
        <x:v>Yes</x:v>
      </x:c>
      <x:c r="N385" s="30" t="str">
        <x:v>P-4 entity-specific internal control; no independent statutory force. Activate the exact underlying legal requirement separately.</x:v>
      </x:c>
    </x:row>
    <x:row r="386">
      <x:c r="A386" s="30" t="str">
        <x:v>RCOMP135</x:v>
      </x:c>
      <x:c r="B386" s="30" t="str">
        <x:v>RPROV135</x:v>
      </x:c>
      <x:c r="C386" s="30" t="str">
        <x:v>CA071</x:v>
      </x:c>
      <x:c r="D386" s="30" t="str">
        <x:v>Immediately suspend dispensing of medicines covered by critical regulatory safety alerts, quarantine affected stock, and document all response activities.</x:v>
      </x:c>
      <x:c r="E386" s="30" t="str">
        <x:v>Protect patients from unsafe medicines.</x:v>
      </x:c>
      <x:c r="F386" s="30" t="str">
        <x:v>Optional</x:v>
      </x:c>
      <x:c r="G386" s="30" t="str">
        <x:v>Every Critical Alert</x:v>
      </x:c>
      <x:c r="H386" s="30"/>
      <x:c r="I386" s="30" t="str">
        <x:v>Pharmacy Manager</x:v>
      </x:c>
      <x:c r="J386" s="30" t="str">
        <x:v>Patient harm and regulatory action</x:v>
      </x:c>
      <x:c r="K386" s="30" t="str">
        <x:v>High</x:v>
      </x:c>
      <x:c r="L386" s="30" t="str">
        <x:v>RETAIL</x:v>
      </x:c>
      <x:c r="M386" s="30" t="str">
        <x:v>Yes</x:v>
      </x:c>
      <x:c r="N386" s="30" t="str">
        <x:v>P-4 entity-specific internal control; no independent statutory force. Activate the exact underlying legal requirement separately.</x:v>
      </x:c>
    </x:row>
    <x:row r="387">
      <x:c r="A387" s="30" t="str">
        <x:v>RCOMP136</x:v>
      </x:c>
      <x:c r="B387" s="30" t="str">
        <x:v>RPROV136</x:v>
      </x:c>
      <x:c r="C387" s="30" t="str">
        <x:v>CA033</x:v>
      </x:c>
      <x:c r="D387" s="30" t="str">
        <x:v>Record token generation, customer calls, cancellations, queue sequence, and service completion within electronic token management systems.</x:v>
      </x:c>
      <x:c r="E387" s="30" t="str">
        <x:v>Maintain transparent customer queue management.</x:v>
      </x:c>
      <x:c r="F387" s="30" t="str">
        <x:v>Optional</x:v>
      </x:c>
      <x:c r="G387" s="30" t="str">
        <x:v>Continuous</x:v>
      </x:c>
      <x:c r="H387" s="30"/>
      <x:c r="I387" s="30" t="str">
        <x:v>Front Desk Staff</x:v>
      </x:c>
      <x:c r="J387" s="30" t="str">
        <x:v>Queue disputes</x:v>
      </x:c>
      <x:c r="K387" s="30" t="str">
        <x:v>Low</x:v>
      </x:c>
      <x:c r="L387" s="30" t="str">
        <x:v>RETAIL</x:v>
      </x:c>
      <x:c r="M387" s="30" t="str">
        <x:v>Yes</x:v>
      </x:c>
      <x:c r="N387" s="30" t="str">
        <x:v>P-4 entity-specific internal control; no independent statutory force. Activate the exact underlying legal requirement separately.</x:v>
      </x:c>
    </x:row>
    <x:row r="388">
      <x:c r="A388" s="30" t="str">
        <x:v>RCOMP137</x:v>
      </x:c>
      <x:c r="B388" s="30" t="str">
        <x:v>RPROV137</x:v>
      </x:c>
      <x:c r="C388" s="30" t="str">
        <x:v>CA088</x:v>
      </x:c>
      <x:c r="D388" s="30" t="str">
        <x:v>Analyze recurring inventory discrepancies, identify trends, determine systemic causes, and implement preventive measures.</x:v>
      </x:c>
      <x:c r="E388" s="30" t="str">
        <x:v>Improve inventory accuracy.</x:v>
      </x:c>
      <x:c r="F388" s="30" t="str">
        <x:v>Optional</x:v>
      </x:c>
      <x:c r="G388" s="30" t="str">
        <x:v>Monthly</x:v>
      </x:c>
      <x:c r="H388" s="30"/>
      <x:c r="I388" s="30" t="str">
        <x:v>Inventory Manager</x:v>
      </x:c>
      <x:c r="J388" s="30" t="str">
        <x:v>Recurring inventory loss</x:v>
      </x:c>
      <x:c r="K388" s="30" t="str">
        <x:v>High</x:v>
      </x:c>
      <x:c r="L388" s="30" t="str">
        <x:v>RETAIL</x:v>
      </x:c>
      <x:c r="M388" s="30" t="str">
        <x:v>Yes</x:v>
      </x:c>
      <x:c r="N388" s="30" t="str">
        <x:v>P-4 entity-specific internal control; no independent statutory force. Activate the exact underlying legal requirement separately.</x:v>
      </x:c>
    </x:row>
    <x:row r="389">
      <x:c r="A389" s="30" t="str">
        <x:v>RCOMP138</x:v>
      </x:c>
      <x:c r="B389" s="30" t="str">
        <x:v>RPROV138</x:v>
      </x:c>
      <x:c r="C389" s="30" t="str">
        <x:v>CA009</x:v>
      </x:c>
      <x:c r="D389" s="30" t="str">
        <x:v>Detect, classify, investigate, contain, and close cybersecurity incidents affecting pharmacy operations using approved response procedures.</x:v>
      </x:c>
      <x:c r="E389" s="30" t="str">
        <x:v>Minimize cybersecurity impact.</x:v>
      </x:c>
      <x:c r="F389" s="30" t="str">
        <x:v>Optional</x:v>
      </x:c>
      <x:c r="G389" s="30" t="str">
        <x:v>Every Incident</x:v>
      </x:c>
      <x:c r="H389" s="30"/>
      <x:c r="I389" s="30" t="str">
        <x:v>IT Administrator</x:v>
      </x:c>
      <x:c r="J389" s="30" t="str">
        <x:v>Data breaches</x:v>
      </x:c>
      <x:c r="K389" s="30" t="str">
        <x:v>High</x:v>
      </x:c>
      <x:c r="L389" s="30" t="str">
        <x:v>RETAIL</x:v>
      </x:c>
      <x:c r="M389" s="30" t="str">
        <x:v>Yes</x:v>
      </x:c>
      <x:c r="N389" s="30" t="str">
        <x:v>P-4 entity-specific internal control; no independent statutory force. Activate the exact underlying legal requirement separately.</x:v>
      </x:c>
    </x:row>
    <x:row r="390">
      <x:c r="A390" s="30" t="str">
        <x:v>RCOMP139</x:v>
      </x:c>
      <x:c r="B390" s="30" t="str">
        <x:v>RPROV139</x:v>
      </x:c>
      <x:c r="C390" s="30" t="str">
        <x:v>CA033</x:v>
      </x:c>
      <x:c r="D390" s="30" t="str">
        <x:v>Notify affected customers regarding significant medicine safety alerts using approved communication methods while maintaining patient confidentiality.</x:v>
      </x:c>
      <x:c r="E390" s="30" t="str">
        <x:v>Improve public safety communication.</x:v>
      </x:c>
      <x:c r="F390" s="30" t="str">
        <x:v>Optional</x:v>
      </x:c>
      <x:c r="G390" s="30" t="str">
        <x:v>Every Applicable Alert</x:v>
      </x:c>
      <x:c r="H390" s="30"/>
      <x:c r="I390" s="30" t="str">
        <x:v>Pharmacist</x:v>
      </x:c>
      <x:c r="J390" s="30" t="str">
        <x:v>Failure to notify customers</x:v>
      </x:c>
      <x:c r="K390" s="30" t="str">
        <x:v>High</x:v>
      </x:c>
      <x:c r="L390" s="30" t="str">
        <x:v>RETAIL</x:v>
      </x:c>
      <x:c r="M390" s="30" t="str">
        <x:v>Yes</x:v>
      </x:c>
      <x:c r="N390" s="30" t="str">
        <x:v>P-4 entity-specific internal control; no independent statutory force. Activate the exact underlying legal requirement separately.</x:v>
      </x:c>
    </x:row>
    <x:row r="391">
      <x:c r="A391" s="30" t="str">
        <x:v>RCOMP140</x:v>
      </x:c>
      <x:c r="B391" s="30" t="str">
        <x:v>RPROV140</x:v>
      </x:c>
      <x:c r="C391" s="30" t="str">
        <x:v>CA012</x:v>
      </x:c>
      <x:c r="D391" s="30" t="str">
        <x:v>Maintain and periodically review a compliance dashboard containing licensing, inspections, dispensing errors, CAPA status, audit observations, KPIs, and regulatory risks.</x:v>
      </x:c>
      <x:c r="E391" s="30" t="str">
        <x:v>Provide management visibility over compliance.</x:v>
      </x:c>
      <x:c r="F391" s="30" t="str">
        <x:v>Optional</x:v>
      </x:c>
      <x:c r="G391" s="30" t="str">
        <x:v>Monthly</x:v>
      </x:c>
      <x:c r="H391" s="30"/>
      <x:c r="I391" s="30" t="str">
        <x:v>Compliance Officer</x:v>
      </x:c>
      <x:c r="J391" s="30" t="str">
        <x:v>Weak governance</x:v>
      </x:c>
      <x:c r="K391" s="30" t="str">
        <x:v>High</x:v>
      </x:c>
      <x:c r="L391" s="30" t="str">
        <x:v>RETAIL</x:v>
      </x:c>
      <x:c r="M391" s="30" t="str">
        <x:v>Yes</x:v>
      </x:c>
      <x:c r="N391" s="30" t="str">
        <x:v>P-4 entity-specific internal control; no independent statutory force. Activate the exact underlying legal requirement separately.</x:v>
      </x:c>
    </x:row>
    <x:row r="392">
      <x:c r="A392" s="30" t="str">
        <x:v>RCOMP141</x:v>
      </x:c>
      <x:c r="B392" s="30" t="str">
        <x:v>RPROV141</x:v>
      </x:c>
      <x:c r="C392" s="30" t="str">
        <x:v>CA064</x:v>
      </x:c>
      <x:c r="D392" s="30" t="str">
        <x:v>Perform daily physical verification of controlled medicine inventory and investigate any discrepancies immediately.</x:v>
      </x:c>
      <x:c r="E392" s="30" t="str">
        <x:v>Prevent diversion of controlled medicines.</x:v>
      </x:c>
      <x:c r="F392" s="30" t="str">
        <x:v>Optional</x:v>
      </x:c>
      <x:c r="G392" s="30" t="str">
        <x:v>Daily</x:v>
      </x:c>
      <x:c r="H392" s="30"/>
      <x:c r="I392" s="30" t="str">
        <x:v>Registered Pharmacist</x:v>
      </x:c>
      <x:c r="J392" s="30" t="str">
        <x:v>Inventory diversion</x:v>
      </x:c>
      <x:c r="K392" s="30" t="str">
        <x:v>High</x:v>
      </x:c>
      <x:c r="L392" s="30" t="str">
        <x:v>RETAIL</x:v>
      </x:c>
      <x:c r="M392" s="30" t="str">
        <x:v>Yes</x:v>
      </x:c>
      <x:c r="N392" s="30" t="str">
        <x:v>P-4 entity-specific internal control; no independent statutory force. Activate the exact underlying legal requirement separately.</x:v>
      </x:c>
    </x:row>
    <x:row r="393">
      <x:c r="A393" s="30" t="str">
        <x:v>RCOMP142</x:v>
      </x:c>
      <x:c r="B393" s="30" t="str">
        <x:v>RPROV142</x:v>
      </x:c>
      <x:c r="C393" s="30" t="str">
        <x:v>CA021</x:v>
      </x:c>
      <x:c r="D393" s="30" t="str">
        <x:v>Configure prescription expiry alerts within pharmacy systems and review alerts before dispensing.</x:v>
      </x:c>
      <x:c r="E393" s="30" t="str">
        <x:v>Prevent dispensing against expired prescriptions.</x:v>
      </x:c>
      <x:c r="F393" s="30" t="str">
        <x:v>Optional</x:v>
      </x:c>
      <x:c r="G393" s="30" t="str">
        <x:v>Continuous</x:v>
      </x:c>
      <x:c r="H393" s="30"/>
      <x:c r="I393" s="30" t="str">
        <x:v>IT Administrator / Pharmacist</x:v>
      </x:c>
      <x:c r="J393" s="30" t="str">
        <x:v>Invalid dispensing</x:v>
      </x:c>
      <x:c r="K393" s="30" t="str">
        <x:v>High</x:v>
      </x:c>
      <x:c r="L393" s="30" t="str">
        <x:v>RETAIL</x:v>
      </x:c>
      <x:c r="M393" s="30" t="str">
        <x:v>Yes</x:v>
      </x:c>
      <x:c r="N393" s="30" t="str">
        <x:v>P-4 entity-specific internal control; no independent statutory force. Activate the exact underlying legal requirement separately.</x:v>
      </x:c>
    </x:row>
    <x:row r="394">
      <x:c r="A394" s="30" t="str">
        <x:v>RCOMP143</x:v>
      </x:c>
      <x:c r="B394" s="30" t="str">
        <x:v>RPROV143</x:v>
      </x:c>
      <x:c r="C394" s="30" t="str">
        <x:v>CA033</x:v>
      </x:c>
      <x:c r="D394" s="30" t="str">
        <x:v>Review, approve, secure, and periodically test API integrations exchanging pharmacy data with external systems.</x:v>
      </x:c>
      <x:c r="E394" s="30" t="str">
        <x:v>Protect integrated pharmacy systems.</x:v>
      </x:c>
      <x:c r="F394" s="30" t="str">
        <x:v>Optional</x:v>
      </x:c>
      <x:c r="G394" s="30" t="str">
        <x:v>Annual / After Changes</x:v>
      </x:c>
      <x:c r="H394" s="30"/>
      <x:c r="I394" s="30" t="str">
        <x:v>IT Administrator</x:v>
      </x:c>
      <x:c r="J394" s="30" t="str">
        <x:v>Information security breach</x:v>
      </x:c>
      <x:c r="K394" s="30" t="str">
        <x:v>High</x:v>
      </x:c>
      <x:c r="L394" s="30" t="str">
        <x:v>RETAIL</x:v>
      </x:c>
      <x:c r="M394" s="30" t="str">
        <x:v>Yes</x:v>
      </x:c>
      <x:c r="N394" s="30" t="str">
        <x:v>P-4 entity-specific internal control; no independent statutory force. Activate the exact underlying legal requirement separately.</x:v>
      </x:c>
    </x:row>
    <x:row r="395">
      <x:c r="A395" s="30" t="str">
        <x:v>RCOMP144</x:v>
      </x:c>
      <x:c r="B395" s="30" t="str">
        <x:v>RPROV144</x:v>
      </x:c>
      <x:c r="C395" s="30" t="str">
        <x:v>CA090</x:v>
      </x:c>
      <x:c r="D395" s="30" t="str">
        <x:v>Complete dual verification for all organization-defined high-risk medicines before customer handover.</x:v>
      </x:c>
      <x:c r="E395" s="30" t="str">
        <x:v>Reduce dispensing risks for high-risk medicines.</x:v>
      </x:c>
      <x:c r="F395" s="30" t="str">
        <x:v>Optional</x:v>
      </x:c>
      <x:c r="G395" s="30" t="str">
        <x:v>Every Applicable Dispensing</x:v>
      </x:c>
      <x:c r="H395" s="30"/>
      <x:c r="I395" s="30" t="str">
        <x:v>Two Authorized Pharmacy Personnel</x:v>
      </x:c>
      <x:c r="J395" s="30" t="str">
        <x:v>High-risk dispensing errors</x:v>
      </x:c>
      <x:c r="K395" s="30" t="str">
        <x:v>High</x:v>
      </x:c>
      <x:c r="L395" s="30" t="str">
        <x:v>RETAIL</x:v>
      </x:c>
      <x:c r="M395" s="30" t="str">
        <x:v>Yes</x:v>
      </x:c>
      <x:c r="N395" s="30" t="str">
        <x:v>P-4 entity-specific internal control; no independent statutory force. Activate the exact underlying legal requirement separately.</x:v>
      </x:c>
    </x:row>
    <x:row r="396">
      <x:c r="A396" s="30" t="str">
        <x:v>RCOMP145</x:v>
      </x:c>
      <x:c r="B396" s="30" t="str">
        <x:v>RPROV145</x:v>
      </x:c>
      <x:c r="C396" s="30" t="str">
        <x:v>CA071</x:v>
      </x:c>
      <x:c r="D396" s="30" t="str">
        <x:v>Evaluate all regulatory safety communications, determine operational impact, communicate required actions, and monitor implementation until completion.</x:v>
      </x:c>
      <x:c r="E396" s="30" t="str">
        <x:v>Ensure timely regulatory response.</x:v>
      </x:c>
      <x:c r="F396" s="30" t="str">
        <x:v>Optional</x:v>
      </x:c>
      <x:c r="G396" s="30" t="str">
        <x:v>Every Safety Communication</x:v>
      </x:c>
      <x:c r="H396" s="30"/>
      <x:c r="I396" s="30" t="str">
        <x:v>Compliance Officer</x:v>
      </x:c>
      <x:c r="J396" s="30" t="str">
        <x:v>Delayed regulatory compliance</x:v>
      </x:c>
      <x:c r="K396" s="30" t="str">
        <x:v>High</x:v>
      </x:c>
      <x:c r="L396" s="30" t="str">
        <x:v>RETAIL</x:v>
      </x:c>
      <x:c r="M396" s="30" t="str">
        <x:v>Yes</x:v>
      </x:c>
      <x:c r="N396" s="30" t="str">
        <x:v>P-4 entity-specific internal control; no independent statutory force. Activate the exact underlying legal requirement separately.</x:v>
      </x:c>
    </x:row>
    <x:row r="397">
      <x:c r="A397" s="30" t="str">
        <x:v>RCOMP146</x:v>
      </x:c>
      <x:c r="B397" s="30" t="str">
        <x:v>RPROV146</x:v>
      </x:c>
      <x:c r="C397" s="30" t="str">
        <x:v>CA033</x:v>
      </x:c>
      <x:c r="D397" s="30" t="str">
        <x:v>Reconcile all digital payment transactions daily and investigate failed, duplicate, reversed, or unmatched transactions.</x:v>
      </x:c>
      <x:c r="E397" s="30" t="str">
        <x:v>Maintain financial accuracy.</x:v>
      </x:c>
      <x:c r="F397" s="30" t="str">
        <x:v>Optional</x:v>
      </x:c>
      <x:c r="G397" s="30" t="str">
        <x:v>Daily</x:v>
      </x:c>
      <x:c r="H397" s="30"/>
      <x:c r="I397" s="30" t="str">
        <x:v>Accounts Officer</x:v>
      </x:c>
      <x:c r="J397" s="30" t="str">
        <x:v>Financial discrepancies</x:v>
      </x:c>
      <x:c r="K397" s="30" t="str">
        <x:v>Medium</x:v>
      </x:c>
      <x:c r="L397" s="30" t="str">
        <x:v>RETAIL</x:v>
      </x:c>
      <x:c r="M397" s="30" t="str">
        <x:v>Yes</x:v>
      </x:c>
      <x:c r="N397" s="30" t="str">
        <x:v>P-4 entity-specific internal control; no independent statutory force. Activate the exact underlying legal requirement separately.</x:v>
      </x:c>
    </x:row>
    <x:row r="398">
      <x:c r="A398" s="30" t="str">
        <x:v>RCOMP147</x:v>
      </x:c>
      <x:c r="B398" s="30" t="str">
        <x:v>RPROV147</x:v>
      </x:c>
      <x:c r="C398" s="30" t="str">
        <x:v>CA086</x:v>
      </x:c>
      <x:c r="D398" s="30" t="str">
        <x:v>Escalate significant inventory shortages, thefts, or unexplained losses according to the approved escalation matrix and monitor corrective actions.</x:v>
      </x:c>
      <x:c r="E398" s="30" t="str">
        <x:v>Strengthen inventory governance.</x:v>
      </x:c>
      <x:c r="F398" s="30" t="str">
        <x:v>Optional</x:v>
      </x:c>
      <x:c r="G398" s="30" t="str">
        <x:v>Every Significant Incident</x:v>
      </x:c>
      <x:c r="H398" s="30"/>
      <x:c r="I398" s="30" t="str">
        <x:v>Inventory Manager</x:v>
      </x:c>
      <x:c r="J398" s="30" t="str">
        <x:v>Inventory fraud</x:v>
      </x:c>
      <x:c r="K398" s="30" t="str">
        <x:v>High</x:v>
      </x:c>
      <x:c r="L398" s="30" t="str">
        <x:v>RETAIL</x:v>
      </x:c>
      <x:c r="M398" s="30" t="str">
        <x:v>Yes</x:v>
      </x:c>
      <x:c r="N398" s="30" t="str">
        <x:v>P-4 entity-specific internal control; no independent statutory force. Activate the exact underlying legal requirement separately.</x:v>
      </x:c>
    </x:row>
    <x:row r="399">
      <x:c r="A399" s="30" t="str">
        <x:v>RCOMP148</x:v>
      </x:c>
      <x:c r="B399" s="30" t="str">
        <x:v>RPROV148</x:v>
      </x:c>
      <x:c r="C399" s="30" t="str">
        <x:v>CA044</x:v>
      </x:c>
      <x:c r="D399" s="30" t="str">
        <x:v>Monitor privileged user activities, review administrative logs, investigate anomalies, and retain evidence of periodic reviews.</x:v>
      </x:c>
      <x:c r="E399" s="30" t="str">
        <x:v>Protect privileged system access.</x:v>
      </x:c>
      <x:c r="F399" s="30" t="str">
        <x:v>Optional</x:v>
      </x:c>
      <x:c r="G399" s="30" t="str">
        <x:v>Monthly</x:v>
      </x:c>
      <x:c r="H399" s="30"/>
      <x:c r="I399" s="30" t="str">
        <x:v>IT Administrator</x:v>
      </x:c>
      <x:c r="J399" s="30" t="str">
        <x:v>Unauthorized administrative activity</x:v>
      </x:c>
      <x:c r="K399" s="30" t="str">
        <x:v>High</x:v>
      </x:c>
      <x:c r="L399" s="30" t="str">
        <x:v>RETAIL</x:v>
      </x:c>
      <x:c r="M399" s="30" t="str">
        <x:v>Yes</x:v>
      </x:c>
      <x:c r="N399" s="30" t="str">
        <x:v>P-4 entity-specific internal control; no independent statutory force. Activate the exact underlying legal requirement separately.</x:v>
      </x:c>
    </x:row>
    <x:row r="400">
      <x:c r="A400" s="30" t="str">
        <x:v>RCOMP149</x:v>
      </x:c>
      <x:c r="B400" s="30" t="str">
        <x:v>RPROV149</x:v>
      </x:c>
      <x:c r="C400" s="30" t="str">
        <x:v>CA018</x:v>
      </x:c>
      <x:c r="D400" s="30" t="str">
        <x:v>Display current seasonal disease prevention, immunization, outbreak, and public health information issued by competent authorities.</x:v>
      </x:c>
      <x:c r="E400" s="30" t="str">
        <x:v>Improve community health awareness.</x:v>
      </x:c>
      <x:c r="F400" s="30" t="str">
        <x:v>Optional</x:v>
      </x:c>
      <x:c r="G400" s="30" t="str">
        <x:v>Monthly</x:v>
      </x:c>
      <x:c r="H400" s="30"/>
      <x:c r="I400" s="30" t="str">
        <x:v>Pharmacy Manager</x:v>
      </x:c>
      <x:c r="J400" s="30" t="str">
        <x:v>Outdated public information</x:v>
      </x:c>
      <x:c r="K400" s="30" t="str">
        <x:v>Medium</x:v>
      </x:c>
      <x:c r="L400" s="30" t="str">
        <x:v>RETAIL</x:v>
      </x:c>
      <x:c r="M400" s="30" t="str">
        <x:v>Yes</x:v>
      </x:c>
      <x:c r="N400" s="30" t="str">
        <x:v>P-4 entity-specific internal control; no independent statutory force. Activate the exact underlying legal requirement separately.</x:v>
      </x:c>
    </x:row>
    <x:row r="401">
      <x:c r="A401" s="30" t="str">
        <x:v>RCOMP150</x:v>
      </x:c>
      <x:c r="B401" s="30" t="str">
        <x:v>RPROV150</x:v>
      </x:c>
      <x:c r="C401" s="30" t="str">
        <x:v>CA049</x:v>
      </x:c>
      <x:c r="D401" s="30" t="str">
        <x:v>Maintain a documented Regulatory Assurance Programme covering compliance monitoring, audits, inspections, risk management, training, corrective actions, and continuous improvement.</x:v>
      </x:c>
      <x:c r="E401" s="30" t="str">
        <x:v>Sustain enterprise regulatory compliance.</x:v>
      </x:c>
      <x:c r="F401" s="30" t="str">
        <x:v>Optional</x:v>
      </x:c>
      <x:c r="G401" s="30" t="str">
        <x:v>Annual</x:v>
      </x:c>
      <x:c r="H401" s="30"/>
      <x:c r="I401" s="30" t="str">
        <x:v>Senior Management</x:v>
      </x:c>
      <x:c r="J401" s="30" t="str">
        <x:v>Enterprise compliance failure</x:v>
      </x:c>
      <x:c r="K401" s="30" t="str">
        <x:v>High</x:v>
      </x:c>
      <x:c r="L401" s="30" t="str">
        <x:v>RETAIL</x:v>
      </x:c>
      <x:c r="M401" s="30" t="str">
        <x:v>Yes</x:v>
      </x:c>
      <x:c r="N401" s="30" t="str">
        <x:v>P-4 entity-specific internal control; no independent statutory force. Activate the exact underlying legal requirement separately.</x:v>
      </x:c>
    </x:row>
    <x:row r="402">
      <x:c r="A402" s="30" t="str">
        <x:v>RCOMP151</x:v>
      </x:c>
      <x:c r="B402" s="30" t="str">
        <x:v>RPROV151</x:v>
      </x:c>
      <x:c r="C402" s="30" t="str">
        <x:v>CA004</x:v>
      </x:c>
      <x:c r="D402" s="30" t="str">
        <x:v>Review the Controlled Prescription Register daily to verify completeness, dispensing accuracy, statutory entries, and reconciliation with physical stock.</x:v>
      </x:c>
      <x:c r="E402" s="30" t="str">
        <x:v>Ensure integrity of controlled prescription records.</x:v>
      </x:c>
      <x:c r="F402" s="30" t="str">
        <x:v>Optional</x:v>
      </x:c>
      <x:c r="G402" s="30" t="str">
        <x:v>Daily</x:v>
      </x:c>
      <x:c r="H402" s="30"/>
      <x:c r="I402" s="30" t="str">
        <x:v>Registered Pharmacist</x:v>
      </x:c>
      <x:c r="J402" s="30" t="str">
        <x:v>Regulatory violations and inventory discrepancies</x:v>
      </x:c>
      <x:c r="K402" s="30" t="str">
        <x:v>High</x:v>
      </x:c>
      <x:c r="L402" s="30" t="str">
        <x:v>RETAIL</x:v>
      </x:c>
      <x:c r="M402" s="30" t="str">
        <x:v>Yes</x:v>
      </x:c>
      <x:c r="N402" s="30" t="str">
        <x:v>P-4 entity-specific internal control; no independent statutory force. Activate the exact underlying legal requirement separately.</x:v>
      </x:c>
    </x:row>
    <x:row r="403">
      <x:c r="A403" s="30" t="str">
        <x:v>RCOMP152</x:v>
      </x:c>
      <x:c r="B403" s="30" t="str">
        <x:v>RPROV152</x:v>
      </x:c>
      <x:c r="C403" s="30" t="str">
        <x:v>CA084</x:v>
      </x:c>
      <x:c r="D403" s="30" t="str">
        <x:v>Verify whether prescriptions have previously been dispensed wholly or partially before processing repeat requests. Document duplicate dispensing checks.</x:v>
      </x:c>
      <x:c r="E403" s="30" t="str">
        <x:v>Prevent duplicate dispensing.</x:v>
      </x:c>
      <x:c r="F403" s="30" t="str">
        <x:v>Optional</x:v>
      </x:c>
      <x:c r="G403" s="30" t="str">
        <x:v>Every Prescription</x:v>
      </x:c>
      <x:c r="H403" s="30"/>
      <x:c r="I403" s="30" t="str">
        <x:v>Registered Pharmacist</x:v>
      </x:c>
      <x:c r="J403" s="30" t="str">
        <x:v>Over-dispensing and patient safety incidents</x:v>
      </x:c>
      <x:c r="K403" s="30" t="str">
        <x:v>High</x:v>
      </x:c>
      <x:c r="L403" s="30" t="str">
        <x:v>RETAIL</x:v>
      </x:c>
      <x:c r="M403" s="30" t="str">
        <x:v>Yes</x:v>
      </x:c>
      <x:c r="N403" s="30" t="str">
        <x:v>P-4 entity-specific internal control; no independent statutory force. Activate the exact underlying legal requirement separately.</x:v>
      </x:c>
    </x:row>
    <x:row r="404">
      <x:c r="A404" s="30" t="str">
        <x:v>RCOMP153</x:v>
      </x:c>
      <x:c r="B404" s="30" t="str">
        <x:v>RPROV153</x:v>
      </x:c>
      <x:c r="C404" s="30" t="str">
        <x:v>CA033</x:v>
      </x:c>
      <x:c r="D404" s="30" t="str">
        <x:v>Maintain end-to-end electronic workflow audit trails covering prescription receipt, review, dispensing, billing, approval, and medicine handover.</x:v>
      </x:c>
      <x:c r="E404" s="30" t="str">
        <x:v>Ensure complete electronic transaction traceability.</x:v>
      </x:c>
      <x:c r="F404" s="30" t="str">
        <x:v>Optional</x:v>
      </x:c>
      <x:c r="G404" s="30" t="str">
        <x:v>Continuous</x:v>
      </x:c>
      <x:c r="H404" s="30"/>
      <x:c r="I404" s="30" t="str">
        <x:v>IT Administrator</x:v>
      </x:c>
      <x:c r="J404" s="30" t="str">
        <x:v>Missing audit evidence</x:v>
      </x:c>
      <x:c r="K404" s="30" t="str">
        <x:v>High</x:v>
      </x:c>
      <x:c r="L404" s="30" t="str">
        <x:v>RETAIL</x:v>
      </x:c>
      <x:c r="M404" s="30" t="str">
        <x:v>Yes</x:v>
      </x:c>
      <x:c r="N404" s="30" t="str">
        <x:v>P-4 entity-specific internal control; no independent statutory force. Activate the exact underlying legal requirement separately.</x:v>
      </x:c>
    </x:row>
    <x:row r="405">
      <x:c r="A405" s="30" t="str">
        <x:v>RCOMP154</x:v>
      </x:c>
      <x:c r="B405" s="30" t="str">
        <x:v>RPROV154</x:v>
      </x:c>
      <x:c r="C405" s="30" t="str">
        <x:v>CA077</x:v>
      </x:c>
      <x:c r="D405" s="30" t="str">
        <x:v>Verify dispensed medicine quantities against prescription, billing records, and physical stock before customer handover.</x:v>
      </x:c>
      <x:c r="E405" s="30" t="str">
        <x:v>Prevent quantity-related dispensing errors.</x:v>
      </x:c>
      <x:c r="F405" s="30" t="str">
        <x:v>Optional</x:v>
      </x:c>
      <x:c r="G405" s="30" t="str">
        <x:v>Every Dispensing</x:v>
      </x:c>
      <x:c r="H405" s="30"/>
      <x:c r="I405" s="30" t="str">
        <x:v>Pharmacist</x:v>
      </x:c>
      <x:c r="J405" s="30" t="str">
        <x:v>Incorrect quantity supplied</x:v>
      </x:c>
      <x:c r="K405" s="30" t="str">
        <x:v>High</x:v>
      </x:c>
      <x:c r="L405" s="30" t="str">
        <x:v>RETAIL</x:v>
      </x:c>
      <x:c r="M405" s="30" t="str">
        <x:v>Yes</x:v>
      </x:c>
      <x:c r="N405" s="30" t="str">
        <x:v>P-4 entity-specific internal control; no independent statutory force. Activate the exact underlying legal requirement separately.</x:v>
      </x:c>
    </x:row>
    <x:row r="406">
      <x:c r="A406" s="30" t="str">
        <x:v>RCOMP155</x:v>
      </x:c>
      <x:c r="B406" s="30" t="str">
        <x:v>RPROV155</x:v>
      </x:c>
      <x:c r="C406" s="30" t="str">
        <x:v>CA071</x:v>
      </x:c>
      <x:c r="D406" s="30" t="str">
        <x:v>Facilitate regulatory inspections by promptly producing requested records, documenting inspector observations, assigning responsibilities, and monitoring corrective actions until closure.</x:v>
      </x:c>
      <x:c r="E406" s="30" t="str">
        <x:v>Ensure inspection readiness and compliance.</x:v>
      </x:c>
      <x:c r="F406" s="30" t="str">
        <x:v>Optional</x:v>
      </x:c>
      <x:c r="G406" s="30" t="str">
        <x:v>Every Inspection</x:v>
      </x:c>
      <x:c r="H406" s="30"/>
      <x:c r="I406" s="30" t="str">
        <x:v>Pharmacy Manager</x:v>
      </x:c>
      <x:c r="J406" s="30" t="str">
        <x:v>Regulatory observations</x:v>
      </x:c>
      <x:c r="K406" s="30" t="str">
        <x:v>High</x:v>
      </x:c>
      <x:c r="L406" s="30" t="str">
        <x:v>RETAIL</x:v>
      </x:c>
      <x:c r="M406" s="30" t="str">
        <x:v>Yes</x:v>
      </x:c>
      <x:c r="N406" s="30" t="str">
        <x:v>P-4 entity-specific internal control; no independent statutory force. Activate the exact underlying legal requirement separately.</x:v>
      </x:c>
    </x:row>
    <x:row r="407">
      <x:c r="A407" s="30" t="str">
        <x:v>RCOMP156</x:v>
      </x:c>
      <x:c r="B407" s="30" t="str">
        <x:v>RPROV156</x:v>
      </x:c>
      <x:c r="C407" s="30" t="str">
        <x:v>CA033</x:v>
      </x:c>
      <x:c r="D407" s="30" t="str">
        <x:v>Authenticate users of pharmacy self-service kiosks, protect prescription confidentiality, validate transactions, and maintain complete audit logs.</x:v>
      </x:c>
      <x:c r="E407" s="30" t="str">
        <x:v>Secure digital customer interactions.</x:v>
      </x:c>
      <x:c r="F407" s="30" t="str">
        <x:v>Optional</x:v>
      </x:c>
      <x:c r="G407" s="30" t="str">
        <x:v>Every Transaction</x:v>
      </x:c>
      <x:c r="H407" s="30"/>
      <x:c r="I407" s="30" t="str">
        <x:v>IT Administrator</x:v>
      </x:c>
      <x:c r="J407" s="30" t="str">
        <x:v>Unauthorized access and privacy breaches</x:v>
      </x:c>
      <x:c r="K407" s="30" t="str">
        <x:v>Medium</x:v>
      </x:c>
      <x:c r="L407" s="30" t="str">
        <x:v>RETAIL</x:v>
      </x:c>
      <x:c r="M407" s="30" t="str">
        <x:v>Yes</x:v>
      </x:c>
      <x:c r="N407" s="30" t="str">
        <x:v>P-4 entity-specific internal control; no independent statutory force. Activate the exact underlying legal requirement separately.</x:v>
      </x:c>
    </x:row>
    <x:row r="408">
      <x:c r="A408" s="30" t="str">
        <x:v>RCOMP157</x:v>
      </x:c>
      <x:c r="B408" s="30" t="str">
        <x:v>RPROV157</x:v>
      </x:c>
      <x:c r="C408" s="30" t="str">
        <x:v>CA083</x:v>
      </x:c>
      <x:c r="D408" s="30" t="str">
        <x:v>Conduct documented root cause analysis for material inventory losses and implement corrective and preventive actions with management approval.</x:v>
      </x:c>
      <x:c r="E408" s="30" t="str">
        <x:v>Prevent recurrence of inventory losses.</x:v>
      </x:c>
      <x:c r="F408" s="30" t="str">
        <x:v>Optional</x:v>
      </x:c>
      <x:c r="G408" s="30" t="str">
        <x:v>Every Material Loss</x:v>
      </x:c>
      <x:c r="H408" s="30"/>
      <x:c r="I408" s="30" t="str">
        <x:v>Inventory Manager</x:v>
      </x:c>
      <x:c r="J408" s="30" t="str">
        <x:v>Financial loss and inventory fraud</x:v>
      </x:c>
      <x:c r="K408" s="30" t="str">
        <x:v>High</x:v>
      </x:c>
      <x:c r="L408" s="30" t="str">
        <x:v>RETAIL</x:v>
      </x:c>
      <x:c r="M408" s="30" t="str">
        <x:v>Yes</x:v>
      </x:c>
      <x:c r="N408" s="30" t="str">
        <x:v>P-4 entity-specific internal control; no independent statutory force. Activate the exact underlying legal requirement separately.</x:v>
      </x:c>
    </x:row>
    <x:row r="409">
      <x:c r="A409" s="30" t="str">
        <x:v>RCOMP158</x:v>
      </x:c>
      <x:c r="B409" s="30" t="str">
        <x:v>RPROV158</x:v>
      </x:c>
      <x:c r="C409" s="30" t="str">
        <x:v>CA063</x:v>
      </x:c>
      <x:c r="D409" s="30" t="str">
        <x:v>Validate emergency data restoration procedures through scheduled testing and verify restored data integrity before production use.</x:v>
      </x:c>
      <x:c r="E409" s="30" t="str">
        <x:v>Ensure recoverability of pharmacy systems.</x:v>
      </x:c>
      <x:c r="F409" s="30" t="str">
        <x:v>Optional</x:v>
      </x:c>
      <x:c r="G409" s="30" t="str">
        <x:v>Annual</x:v>
      </x:c>
      <x:c r="H409" s="30"/>
      <x:c r="I409" s="30" t="str">
        <x:v>IT Administrator</x:v>
      </x:c>
      <x:c r="J409" s="30" t="str">
        <x:v>Data loss and operational disruption</x:v>
      </x:c>
      <x:c r="K409" s="30" t="str">
        <x:v>High</x:v>
      </x:c>
      <x:c r="L409" s="30" t="str">
        <x:v>RETAIL</x:v>
      </x:c>
      <x:c r="M409" s="30" t="str">
        <x:v>Yes</x:v>
      </x:c>
      <x:c r="N409" s="30" t="str">
        <x:v>P-4 entity-specific internal control; no independent statutory force. Activate the exact underlying legal requirement separately.</x:v>
      </x:c>
    </x:row>
    <x:row r="410">
      <x:c r="A410" s="30" t="str">
        <x:v>RCOMP159</x:v>
      </x:c>
      <x:c r="B410" s="30" t="str">
        <x:v>RPROV159</x:v>
      </x:c>
      <x:c r="C410" s="30" t="str">
        <x:v>CA033</x:v>
      </x:c>
      <x:c r="D410" s="30" t="str">
        <x:v>Conduct community outreach programmes using approved educational content, qualified pharmacists, documented attendance, and post-event reporting.</x:v>
      </x:c>
      <x:c r="E410" s="30" t="str">
        <x:v>Deliver compliant public health programmes.</x:v>
      </x:c>
      <x:c r="F410" s="30" t="str">
        <x:v>Optional</x:v>
      </x:c>
      <x:c r="G410" s="30" t="str">
        <x:v>Every Programme</x:v>
      </x:c>
      <x:c r="H410" s="30"/>
      <x:c r="I410" s="30" t="str">
        <x:v>Pharmacist</x:v>
      </x:c>
      <x:c r="J410" s="30" t="str">
        <x:v>Incorrect public health messaging</x:v>
      </x:c>
      <x:c r="K410" s="30" t="str">
        <x:v>Medium</x:v>
      </x:c>
      <x:c r="L410" s="30" t="str">
        <x:v>RETAIL</x:v>
      </x:c>
      <x:c r="M410" s="30" t="str">
        <x:v>Yes</x:v>
      </x:c>
      <x:c r="N410" s="30" t="str">
        <x:v>P-4 entity-specific internal control; no independent statutory force. Activate the exact underlying legal requirement separately.</x:v>
      </x:c>
    </x:row>
    <x:row r="411">
      <x:c r="A411" s="30" t="str">
        <x:v>RCOMP160</x:v>
      </x:c>
      <x:c r="B411" s="30" t="str">
        <x:v>RPROV160</x:v>
      </x:c>
      <x:c r="C411" s="30" t="str">
        <x:v>CA018</x:v>
      </x:c>
      <x:c r="D411" s="30" t="str">
        <x:v>Operate an enterprise compliance monitoring framework using KPIs, audit results, complaints, incidents, inspections, and CAPA performance for management reporting.</x:v>
      </x:c>
      <x:c r="E411" s="30" t="str">
        <x:v>Monitor enterprise compliance performance.</x:v>
      </x:c>
      <x:c r="F411" s="30" t="str">
        <x:v>Optional</x:v>
      </x:c>
      <x:c r="G411" s="30" t="str">
        <x:v>Monthly</x:v>
      </x:c>
      <x:c r="H411" s="30"/>
      <x:c r="I411" s="30" t="str">
        <x:v>Compliance Officer</x:v>
      </x:c>
      <x:c r="J411" s="30" t="str">
        <x:v>Weak compliance oversight</x:v>
      </x:c>
      <x:c r="K411" s="30" t="str">
        <x:v>High</x:v>
      </x:c>
      <x:c r="L411" s="30" t="str">
        <x:v>RETAIL</x:v>
      </x:c>
      <x:c r="M411" s="30" t="str">
        <x:v>Yes</x:v>
      </x:c>
      <x:c r="N411" s="30" t="str">
        <x:v>P-4 entity-specific internal control; no independent statutory force. Activate the exact underlying legal requirement separately.</x:v>
      </x:c>
    </x:row>
    <x:row r="412">
      <x:c r="A412" s="30" t="str">
        <x:v>RCOMP161</x:v>
      </x:c>
      <x:c r="B412" s="30" t="str">
        <x:v>RPROV161</x:v>
      </x:c>
      <x:c r="C412" s="30" t="str">
        <x:v>CA084</x:v>
      </x:c>
      <x:c r="D412" s="30" t="str">
        <x:v>Investigate suspected forged, altered, duplicated, or fraudulent prescriptions before dispensing and escalate confirmed cases according to organizational procedures.</x:v>
      </x:c>
      <x:c r="E412" s="30" t="str">
        <x:v>Prevent fraudulent medicine supply.</x:v>
      </x:c>
      <x:c r="F412" s="30" t="str">
        <x:v>Optional</x:v>
      </x:c>
      <x:c r="G412" s="30" t="str">
        <x:v>Every Suspected Case</x:v>
      </x:c>
      <x:c r="H412" s="30"/>
      <x:c r="I412" s="30" t="str">
        <x:v>Registered Pharmacist</x:v>
      </x:c>
      <x:c r="J412" s="30" t="str">
        <x:v>Illegal dispensing</x:v>
      </x:c>
      <x:c r="K412" s="30" t="str">
        <x:v>High</x:v>
      </x:c>
      <x:c r="L412" s="30" t="str">
        <x:v>RETAIL</x:v>
      </x:c>
      <x:c r="M412" s="30" t="str">
        <x:v>Yes</x:v>
      </x:c>
      <x:c r="N412" s="30" t="str">
        <x:v>P-4 entity-specific internal control; no independent statutory force. Activate the exact underlying legal requirement separately.</x:v>
      </x:c>
    </x:row>
    <x:row r="413">
      <x:c r="A413" s="30" t="str">
        <x:v>RCOMP162</x:v>
      </x:c>
      <x:c r="B413" s="30" t="str">
        <x:v>RPROV162</x:v>
      </x:c>
      <x:c r="C413" s="30" t="str">
        <x:v>CA019</x:v>
      </x:c>
      <x:c r="D413" s="30" t="str">
        <x:v>Complete documented pharmacist shift handovers covering pending prescriptions, controlled medicines, incidents, temperature deviations, complaints, and unresolved compliance matters.</x:v>
      </x:c>
      <x:c r="E413" s="30" t="str">
        <x:v>Ensure operational continuity.</x:v>
      </x:c>
      <x:c r="F413" s="30" t="str">
        <x:v>Optional</x:v>
      </x:c>
      <x:c r="G413" s="30" t="str">
        <x:v>Every Shift</x:v>
      </x:c>
      <x:c r="H413" s="30"/>
      <x:c r="I413" s="30" t="str">
        <x:v>Registered Pharmacist</x:v>
      </x:c>
      <x:c r="J413" s="30" t="str">
        <x:v>Missed operational issues</x:v>
      </x:c>
      <x:c r="K413" s="30" t="str">
        <x:v>Medium</x:v>
      </x:c>
      <x:c r="L413" s="30" t="str">
        <x:v>RETAIL</x:v>
      </x:c>
      <x:c r="M413" s="30" t="str">
        <x:v>Yes</x:v>
      </x:c>
      <x:c r="N413" s="30" t="str">
        <x:v>P-4 entity-specific internal control; no independent statutory force. Activate the exact underlying legal requirement separately.</x:v>
      </x:c>
    </x:row>
    <x:row r="414">
      <x:c r="A414" s="30" t="str">
        <x:v>RCOMP163</x:v>
      </x:c>
      <x:c r="B414" s="30" t="str">
        <x:v>RPROV163</x:v>
      </x:c>
      <x:c r="C414" s="30" t="str">
        <x:v>CA033</x:v>
      </x:c>
      <x:c r="D414" s="30" t="str">
        <x:v>Protect pharmacy information stored in cloud environments using encryption, access controls, backup verification, contractual safeguards, and periodic compliance reviews.</x:v>
      </x:c>
      <x:c r="E414" s="30" t="str">
        <x:v>Secure cloud-hosted pharmacy information.</x:v>
      </x:c>
      <x:c r="F414" s="30" t="str">
        <x:v>Optional</x:v>
      </x:c>
      <x:c r="G414" s="30" t="str">
        <x:v>Annual</x:v>
      </x:c>
      <x:c r="H414" s="30"/>
      <x:c r="I414" s="30" t="str">
        <x:v>IT Administrator</x:v>
      </x:c>
      <x:c r="J414" s="30" t="str">
        <x:v>Information security breach</x:v>
      </x:c>
      <x:c r="K414" s="30" t="str">
        <x:v>High</x:v>
      </x:c>
      <x:c r="L414" s="30" t="str">
        <x:v>RETAIL</x:v>
      </x:c>
      <x:c r="M414" s="30" t="str">
        <x:v>Yes</x:v>
      </x:c>
      <x:c r="N414" s="30" t="str">
        <x:v>P-4 entity-specific internal control; no independent statutory force. Activate the exact underlying legal requirement separately.</x:v>
      </x:c>
    </x:row>
    <x:row r="415">
      <x:c r="A415" s="30" t="str">
        <x:v>RCOMP164</x:v>
      </x:c>
      <x:c r="B415" s="30" t="str">
        <x:v>RPROV164</x:v>
      </x:c>
      <x:c r="C415" s="30" t="str">
        <x:v>CA043</x:v>
      </x:c>
      <x:c r="D415" s="30" t="str">
        <x:v>Verify medicine packaging for correct product, quantity, labels, storage conditions, and supporting documentation before dispatch or customer collection.</x:v>
      </x:c>
      <x:c r="E415" s="30" t="str">
        <x:v>Ensure accurate medicine packaging.</x:v>
      </x:c>
      <x:c r="F415" s="30" t="str">
        <x:v>Optional</x:v>
      </x:c>
      <x:c r="G415" s="30" t="str">
        <x:v>Every Dispatch</x:v>
      </x:c>
      <x:c r="H415" s="30"/>
      <x:c r="I415" s="30" t="str">
        <x:v>Pharmacist</x:v>
      </x:c>
      <x:c r="J415" s="30" t="str">
        <x:v>Packaging errors</x:v>
      </x:c>
      <x:c r="K415" s="30" t="str">
        <x:v>High</x:v>
      </x:c>
      <x:c r="L415" s="30" t="str">
        <x:v>RETAIL</x:v>
      </x:c>
      <x:c r="M415" s="30" t="str">
        <x:v>Yes</x:v>
      </x:c>
      <x:c r="N415" s="30" t="str">
        <x:v>P-4 entity-specific internal control; no independent statutory force. Activate the exact underlying legal requirement separately.</x:v>
      </x:c>
    </x:row>
    <x:row r="416">
      <x:c r="A416" s="30" t="str">
        <x:v>RCOMP165</x:v>
      </x:c>
      <x:c r="B416" s="30" t="str">
        <x:v>RPROV165</x:v>
      </x:c>
      <x:c r="C416" s="30" t="str">
        <x:v>CA071</x:v>
      </x:c>
      <x:c r="D416" s="30" t="str">
        <x:v>Assign regulatory inspection observations to responsible personnel, monitor corrective actions, verify effectiveness, and formally close observations with management approval.</x:v>
      </x:c>
      <x:c r="E416" s="30" t="str">
        <x:v>Ensure timely inspection closure.</x:v>
      </x:c>
      <x:c r="F416" s="30" t="str">
        <x:v>Optional</x:v>
      </x:c>
      <x:c r="G416" s="30" t="str">
        <x:v>Every Inspection</x:v>
      </x:c>
      <x:c r="H416" s="30"/>
      <x:c r="I416" s="30" t="str">
        <x:v>Compliance Officer</x:v>
      </x:c>
      <x:c r="J416" s="30" t="str">
        <x:v>Repeat inspection findings</x:v>
      </x:c>
      <x:c r="K416" s="30" t="str">
        <x:v>High</x:v>
      </x:c>
      <x:c r="L416" s="30" t="str">
        <x:v>RETAIL</x:v>
      </x:c>
      <x:c r="M416" s="30" t="str">
        <x:v>Yes</x:v>
      </x:c>
      <x:c r="N416" s="30" t="str">
        <x:v>P-4 entity-specific internal control; no independent statutory force. Activate the exact underlying legal requirement separately.</x:v>
      </x:c>
    </x:row>
    <x:row r="417">
      <x:c r="A417" s="30" t="str">
        <x:v>RCOMP166</x:v>
      </x:c>
      <x:c r="B417" s="30" t="str">
        <x:v>RPROV166</x:v>
      </x:c>
      <x:c r="C417" s="30" t="str">
        <x:v>CA033</x:v>
      </x:c>
      <x:c r="D417" s="30" t="str">
        <x:v>Maintain accurate electronic customer profiles with periodic review, controlled access, and privacy safeguards in accordance with organizational policies.</x:v>
      </x:c>
      <x:c r="E417" s="30" t="str">
        <x:v>Protect customer information quality.</x:v>
      </x:c>
      <x:c r="F417" s="30" t="str">
        <x:v>Optional</x:v>
      </x:c>
      <x:c r="G417" s="30" t="str">
        <x:v>Quarterly</x:v>
      </x:c>
      <x:c r="H417" s="30"/>
      <x:c r="I417" s="30" t="str">
        <x:v>Pharmacy Manager</x:v>
      </x:c>
      <x:c r="J417" s="30" t="str">
        <x:v>Privacy breaches</x:v>
      </x:c>
      <x:c r="K417" s="30" t="str">
        <x:v>Medium</x:v>
      </x:c>
      <x:c r="L417" s="30" t="str">
        <x:v>RETAIL</x:v>
      </x:c>
      <x:c r="M417" s="30" t="str">
        <x:v>Yes</x:v>
      </x:c>
      <x:c r="N417" s="30" t="str">
        <x:v>P-4 entity-specific internal control; no independent statutory force. Activate the exact underlying legal requirement separately.</x:v>
      </x:c>
    </x:row>
    <x:row r="418">
      <x:c r="A418" s="30" t="str">
        <x:v>RCOMP167</x:v>
      </x:c>
      <x:c r="B418" s="30" t="str">
        <x:v>RPROV167</x:v>
      </x:c>
      <x:c r="C418" s="30" t="str">
        <x:v>CA097</x:v>
      </x:c>
      <x:c r="D418" s="30" t="str">
        <x:v>Measure inventory accuracy KPIs, review deviations against targets, investigate recurring issues, and implement documented improvements.</x:v>
      </x:c>
      <x:c r="E418" s="30" t="str">
        <x:v>Improve inventory accuracy performance.</x:v>
      </x:c>
      <x:c r="F418" s="30" t="str">
        <x:v>Optional</x:v>
      </x:c>
      <x:c r="G418" s="30" t="str">
        <x:v>Monthly</x:v>
      </x:c>
      <x:c r="H418" s="30"/>
      <x:c r="I418" s="30" t="str">
        <x:v>Inventory Manager</x:v>
      </x:c>
      <x:c r="J418" s="30" t="str">
        <x:v>Inventory inaccuracies</x:v>
      </x:c>
      <x:c r="K418" s="30" t="str">
        <x:v>Medium</x:v>
      </x:c>
      <x:c r="L418" s="30" t="str">
        <x:v>RETAIL</x:v>
      </x:c>
      <x:c r="M418" s="30" t="str">
        <x:v>Yes</x:v>
      </x:c>
      <x:c r="N418" s="30" t="str">
        <x:v>P-4 entity-specific internal control; no independent statutory force. Activate the exact underlying legal requirement separately.</x:v>
      </x:c>
    </x:row>
    <x:row r="419">
      <x:c r="A419" s="30" t="str">
        <x:v>RCOMP168</x:v>
      </x:c>
      <x:c r="B419" s="30" t="str">
        <x:v>RPROV168</x:v>
      </x:c>
      <x:c r="C419" s="30" t="str">
        <x:v>CA030</x:v>
      </x:c>
      <x:c r="D419" s="30" t="str">
        <x:v>Evaluate, approve, test, and deploy security patches for pharmacy software and supporting infrastructure according to defined risk timelines.</x:v>
      </x:c>
      <x:c r="E419" s="30" t="str">
        <x:v>Maintain secure pharmacy systems.</x:v>
      </x:c>
      <x:c r="F419" s="30" t="str">
        <x:v>Optional</x:v>
      </x:c>
      <x:c r="G419" s="30" t="str">
        <x:v>Monthly / Critical Updates</x:v>
      </x:c>
      <x:c r="H419" s="30"/>
      <x:c r="I419" s="30" t="str">
        <x:v>IT Administrator</x:v>
      </x:c>
      <x:c r="J419" s="30" t="str">
        <x:v>Cybersecurity vulnerabilities</x:v>
      </x:c>
      <x:c r="K419" s="30" t="str">
        <x:v>High</x:v>
      </x:c>
      <x:c r="L419" s="30" t="str">
        <x:v>RETAIL</x:v>
      </x:c>
      <x:c r="M419" s="30" t="str">
        <x:v>Yes</x:v>
      </x:c>
      <x:c r="N419" s="30" t="str">
        <x:v>P-4 entity-specific internal control; no independent statutory force. Activate the exact underlying legal requirement separately.</x:v>
      </x:c>
    </x:row>
    <x:row r="420">
      <x:c r="A420" s="30" t="str">
        <x:v>RCOMP169</x:v>
      </x:c>
      <x:c r="B420" s="30" t="str">
        <x:v>RPROV169</x:v>
      </x:c>
      <x:c r="C420" s="30" t="str">
        <x:v>CA033</x:v>
      </x:c>
      <x:c r="D420" s="30" t="str">
        <x:v>Document participation in government health campaigns, maintain programme approvals, attendance records, outcomes, and regulatory reporting where required.</x:v>
      </x:c>
      <x:c r="E420" s="30" t="str">
        <x:v>Demonstrate compliant participation in public health initiatives.</x:v>
      </x:c>
      <x:c r="F420" s="30" t="str">
        <x:v>Optional</x:v>
      </x:c>
      <x:c r="G420" s="30" t="str">
        <x:v>Every Campaign</x:v>
      </x:c>
      <x:c r="H420" s="30"/>
      <x:c r="I420" s="30" t="str">
        <x:v>Pharmacy Manager</x:v>
      </x:c>
      <x:c r="J420" s="30" t="str">
        <x:v>Regulatory non-compliance</x:v>
      </x:c>
      <x:c r="K420" s="30" t="str">
        <x:v>Medium</x:v>
      </x:c>
      <x:c r="L420" s="30" t="str">
        <x:v>RETAIL</x:v>
      </x:c>
      <x:c r="M420" s="30" t="str">
        <x:v>Yes</x:v>
      </x:c>
      <x:c r="N420" s="30" t="str">
        <x:v>P-4 entity-specific internal control; no independent statutory force. Activate the exact underlying legal requirement separately.</x:v>
      </x:c>
    </x:row>
    <x:row r="421">
      <x:c r="A421" s="30" t="str">
        <x:v>RCOMP170</x:v>
      </x:c>
      <x:c r="B421" s="30" t="str">
        <x:v>RPROV170</x:v>
      </x:c>
      <x:c r="C421" s="30" t="str">
        <x:v>CA018</x:v>
      </x:c>
      <x:c r="D421" s="30" t="str">
        <x:v>Maintain a documented Compliance Governance Framework defining reporting structures, responsibilities, delegated authorities, escalation procedures, committee oversight, and periodic governance reviews.</x:v>
      </x:c>
      <x:c r="E421" s="30" t="str">
        <x:v>Establish enterprise compliance governance.</x:v>
      </x:c>
      <x:c r="F421" s="30" t="str">
        <x:v>Optional</x:v>
      </x:c>
      <x:c r="G421" s="30" t="str">
        <x:v>Annual Review</x:v>
      </x:c>
      <x:c r="H421" s="30"/>
      <x:c r="I421" s="30" t="str">
        <x:v>Senior Management</x:v>
      </x:c>
      <x:c r="J421" s="30" t="str">
        <x:v>Governance deficiencies</x:v>
      </x:c>
      <x:c r="K421" s="30" t="str">
        <x:v>High</x:v>
      </x:c>
      <x:c r="L421" s="30" t="str">
        <x:v>RETAIL</x:v>
      </x:c>
      <x:c r="M421" s="30" t="str">
        <x:v>Yes</x:v>
      </x:c>
      <x:c r="N421" s="30" t="str">
        <x:v>P-4 entity-specific internal control; no independent statutory force. Activate the exact underlying legal requirement separately.</x:v>
      </x:c>
    </x:row>
    <x:row r="422">
      <x:c r="A422" s="30" t="str">
        <x:v>RCOMP171</x:v>
      </x:c>
      <x:c r="B422" s="30" t="str">
        <x:v>RPROV171</x:v>
      </x:c>
      <x:c r="C422" s="30" t="str">
        <x:v>CA077</x:v>
      </x:c>
      <x:c r="D422" s="30" t="str">
        <x:v>Record all prescription exceptions including incomplete prescriptions, stock shortages, patient refusals, substitutions, clarifications, and legal exceptions. Review unresolved exceptions periodically.</x:v>
      </x:c>
      <x:c r="E422" s="30" t="str">
        <x:v>Maintain complete prescription exception management.</x:v>
      </x:c>
      <x:c r="F422" s="30" t="str">
        <x:v>Optional</x:v>
      </x:c>
      <x:c r="G422" s="30" t="str">
        <x:v>Every Exception</x:v>
      </x:c>
      <x:c r="H422" s="30"/>
      <x:c r="I422" s="30" t="str">
        <x:v>Registered Pharmacist</x:v>
      </x:c>
      <x:c r="J422" s="30" t="str">
        <x:v>Undocumented dispensing deviations</x:v>
      </x:c>
      <x:c r="K422" s="30" t="str">
        <x:v>High</x:v>
      </x:c>
      <x:c r="L422" s="30" t="str">
        <x:v>RETAIL</x:v>
      </x:c>
      <x:c r="M422" s="30" t="str">
        <x:v>Yes</x:v>
      </x:c>
      <x:c r="N422" s="30" t="str">
        <x:v>P-4 entity-specific internal control; no independent statutory force. Activate the exact underlying legal requirement separately.</x:v>
      </x:c>
    </x:row>
    <x:row r="423">
      <x:c r="A423" s="30" t="str">
        <x:v>RCOMP172</x:v>
      </x:c>
      <x:c r="B423" s="30" t="str">
        <x:v>RPROV172</x:v>
      </x:c>
      <x:c r="C423" s="30" t="str">
        <x:v>CA002</x:v>
      </x:c>
      <x:c r="D423" s="30" t="str">
        <x:v>Maintain documented alternate pharmacist arrangements to ensure uninterrupted pharmacist supervision during leave, emergencies, and shift changes.</x:v>
      </x:c>
      <x:c r="E423" s="30" t="str">
        <x:v>Ensure continuous pharmacist availability.</x:v>
      </x:c>
      <x:c r="F423" s="30" t="str">
        <x:v>Optional</x:v>
      </x:c>
      <x:c r="G423" s="30" t="str">
        <x:v>Continuous</x:v>
      </x:c>
      <x:c r="H423" s="30"/>
      <x:c r="I423" s="30" t="str">
        <x:v>Pharmacy Manager</x:v>
      </x:c>
      <x:c r="J423" s="30" t="str">
        <x:v>Dispensing without pharmacist supervision</x:v>
      </x:c>
      <x:c r="K423" s="30" t="str">
        <x:v>High</x:v>
      </x:c>
      <x:c r="L423" s="30" t="str">
        <x:v>RETAIL</x:v>
      </x:c>
      <x:c r="M423" s="30" t="str">
        <x:v>Yes</x:v>
      </x:c>
      <x:c r="N423" s="30" t="str">
        <x:v>P-4 entity-specific internal control; no independent statutory force. Activate the exact underlying legal requirement separately.</x:v>
      </x:c>
    </x:row>
    <x:row r="424">
      <x:c r="A424" s="30" t="str">
        <x:v>RCOMP173</x:v>
      </x:c>
      <x:c r="B424" s="30" t="str">
        <x:v>RPROV173</x:v>
      </x:c>
      <x:c r="C424" s="30" t="str">
        <x:v>CA035</x:v>
      </x:c>
      <x:c r="D424" s="30" t="str">
        <x:v>Record all automated customer communications related to prescriptions, reservations, deliveries, recalls, and medicine availability with timestamps and delivery status.</x:v>
      </x:c>
      <x:c r="E424" s="30" t="str">
        <x:v>Ensure auditability of customer communications.</x:v>
      </x:c>
      <x:c r="F424" s="30" t="str">
        <x:v>Optional</x:v>
      </x:c>
      <x:c r="G424" s="30" t="str">
        <x:v>Continuous</x:v>
      </x:c>
      <x:c r="H424" s="30"/>
      <x:c r="I424" s="30" t="str">
        <x:v>IT Administrator</x:v>
      </x:c>
      <x:c r="J424" s="30" t="str">
        <x:v>Missing communication evidence</x:v>
      </x:c>
      <x:c r="K424" s="30" t="str">
        <x:v>Medium</x:v>
      </x:c>
      <x:c r="L424" s="30" t="str">
        <x:v>RETAIL</x:v>
      </x:c>
      <x:c r="M424" s="30" t="str">
        <x:v>Yes</x:v>
      </x:c>
      <x:c r="N424" s="30" t="str">
        <x:v>P-4 entity-specific internal control; no independent statutory force. Activate the exact underlying legal requirement separately.</x:v>
      </x:c>
    </x:row>
    <x:row r="425">
      <x:c r="A425" s="30" t="str">
        <x:v>RCOMP174</x:v>
      </x:c>
      <x:c r="B425" s="30" t="str">
        <x:v>RPROV174</x:v>
      </x:c>
      <x:c r="C425" s="30" t="str">
        <x:v>CA056</x:v>
      </x:c>
      <x:c r="D425" s="30" t="str">
        <x:v>Restrict refrigerated medicine storage access to authorized personnel and document maintenance, cleaning, temperature excursions, and repair activities.</x:v>
      </x:c>
      <x:c r="E425" s="30" t="str">
        <x:v>Protect cold-chain medicine integrity.</x:v>
      </x:c>
      <x:c r="F425" s="30" t="str">
        <x:v>Optional</x:v>
      </x:c>
      <x:c r="G425" s="30" t="str">
        <x:v>Continuous</x:v>
      </x:c>
      <x:c r="H425" s="30"/>
      <x:c r="I425" s="30" t="str">
        <x:v>Pharmacist</x:v>
      </x:c>
      <x:c r="J425" s="30" t="str">
        <x:v>Cold-chain failures</x:v>
      </x:c>
      <x:c r="K425" s="30" t="str">
        <x:v>High</x:v>
      </x:c>
      <x:c r="L425" s="30" t="str">
        <x:v>RETAIL</x:v>
      </x:c>
      <x:c r="M425" s="30" t="str">
        <x:v>Yes</x:v>
      </x:c>
      <x:c r="N425" s="30" t="str">
        <x:v>P-4 entity-specific internal control; no independent statutory force. Activate the exact underlying legal requirement separately.</x:v>
      </x:c>
    </x:row>
    <x:row r="426">
      <x:c r="A426" s="30" t="str">
        <x:v>RCOMP175</x:v>
      </x:c>
      <x:c r="B426" s="30" t="str">
        <x:v>RPROV175</x:v>
      </x:c>
      <x:c r="C426" s="30" t="str">
        <x:v>CA072</x:v>
      </x:c>
      <x:c r="D426" s="30" t="str">
        <x:v>Maintain current emergency contact details for pharmacists, management, refrigeration support, equipment vendors, emergency responders, and regulatory authorities. Review periodically.</x:v>
      </x:c>
      <x:c r="E426" s="30" t="str">
        <x:v>Improve emergency preparedness.</x:v>
      </x:c>
      <x:c r="F426" s="30" t="str">
        <x:v>Optional</x:v>
      </x:c>
      <x:c r="G426" s="30" t="str">
        <x:v>Quarterly</x:v>
      </x:c>
      <x:c r="H426" s="30"/>
      <x:c r="I426" s="30" t="str">
        <x:v>Pharmacy Manager</x:v>
      </x:c>
      <x:c r="J426" s="30" t="str">
        <x:v>Delayed emergency response</x:v>
      </x:c>
      <x:c r="K426" s="30" t="str">
        <x:v>Medium</x:v>
      </x:c>
      <x:c r="L426" s="30" t="str">
        <x:v>RETAIL</x:v>
      </x:c>
      <x:c r="M426" s="30" t="str">
        <x:v>Yes</x:v>
      </x:c>
      <x:c r="N426" s="30" t="str">
        <x:v>P-4 entity-specific internal control; no independent statutory force. Activate the exact underlying legal requirement separately.</x:v>
      </x:c>
    </x:row>
    <x:row r="427">
      <x:c r="A427" s="30" t="str">
        <x:v>RCOMP176</x:v>
      </x:c>
      <x:c r="B427" s="30" t="str">
        <x:v>RPROV176</x:v>
      </x:c>
      <x:c r="C427" s="30" t="str">
        <x:v>CA033</x:v>
      </x:c>
      <x:c r="D427" s="30" t="str">
        <x:v>Record appointment scheduling, cancellations, attendance, missed appointments, and follow-up actions for digital medicine collection services.</x:v>
      </x:c>
      <x:c r="E427" s="30" t="str">
        <x:v>Improve appointment management.</x:v>
      </x:c>
      <x:c r="F427" s="30" t="str">
        <x:v>Optional</x:v>
      </x:c>
      <x:c r="G427" s="30" t="str">
        <x:v>Every Appointment</x:v>
      </x:c>
      <x:c r="H427" s="30"/>
      <x:c r="I427" s="30" t="str">
        <x:v>Front Desk Staff</x:v>
      </x:c>
      <x:c r="J427" s="30" t="str">
        <x:v>Operational inefficiencies</x:v>
      </x:c>
      <x:c r="K427" s="30" t="str">
        <x:v>Low</x:v>
      </x:c>
      <x:c r="L427" s="30" t="str">
        <x:v>RETAIL</x:v>
      </x:c>
      <x:c r="M427" s="30" t="str">
        <x:v>Yes</x:v>
      </x:c>
      <x:c r="N427" s="30" t="str">
        <x:v>P-4 entity-specific internal control; no independent statutory force. Activate the exact underlying legal requirement separately.</x:v>
      </x:c>
    </x:row>
    <x:row r="428">
      <x:c r="A428" s="30" t="str">
        <x:v>RCOMP177</x:v>
      </x:c>
      <x:c r="B428" s="30" t="str">
        <x:v>RPROV177</x:v>
      </x:c>
      <x:c r="C428" s="30" t="str">
        <x:v>CA089</x:v>
      </x:c>
      <x:c r="D428" s="30" t="str">
        <x:v>Perform scheduled inventory accuracy audits using approved sampling or complete stock verification methods and resolve identified discrepancies.</x:v>
      </x:c>
      <x:c r="E428" s="30" t="str">
        <x:v>Verify inventory accuracy.</x:v>
      </x:c>
      <x:c r="F428" s="30" t="str">
        <x:v>Optional</x:v>
      </x:c>
      <x:c r="G428" s="30" t="str">
        <x:v>Quarterly</x:v>
      </x:c>
      <x:c r="H428" s="30"/>
      <x:c r="I428" s="30" t="str">
        <x:v>Inventory Manager</x:v>
      </x:c>
      <x:c r="J428" s="30" t="str">
        <x:v>Inventory inaccuracies</x:v>
      </x:c>
      <x:c r="K428" s="30" t="str">
        <x:v>High</x:v>
      </x:c>
      <x:c r="L428" s="30" t="str">
        <x:v>RETAIL</x:v>
      </x:c>
      <x:c r="M428" s="30" t="str">
        <x:v>Yes</x:v>
      </x:c>
      <x:c r="N428" s="30" t="str">
        <x:v>P-4 entity-specific internal control; no independent statutory force. Activate the exact underlying legal requirement separately.</x:v>
      </x:c>
    </x:row>
    <x:row r="429">
      <x:c r="A429" s="30" t="str">
        <x:v>RCOMP178</x:v>
      </x:c>
      <x:c r="B429" s="30" t="str">
        <x:v>RPROV178</x:v>
      </x:c>
      <x:c r="C429" s="30" t="str">
        <x:v>CA030</x:v>
      </x:c>
      <x:c r="D429" s="30" t="str">
        <x:v>Approve, test, document, and retain version history for all pharmacy system configuration changes affecting dispensing, inventory, billing, or regulatory reporting.</x:v>
      </x:c>
      <x:c r="E429" s="30" t="str">
        <x:v>Maintain controlled system configuration.</x:v>
      </x:c>
      <x:c r="F429" s="30" t="str">
        <x:v>Optional</x:v>
      </x:c>
      <x:c r="G429" s="30" t="str">
        <x:v>Every Configuration Change</x:v>
      </x:c>
      <x:c r="H429" s="30"/>
      <x:c r="I429" s="30" t="str">
        <x:v>IT Administrator</x:v>
      </x:c>
      <x:c r="J429" s="30" t="str">
        <x:v>System misconfiguration</x:v>
      </x:c>
      <x:c r="K429" s="30" t="str">
        <x:v>High</x:v>
      </x:c>
      <x:c r="L429" s="30" t="str">
        <x:v>RETAIL</x:v>
      </x:c>
      <x:c r="M429" s="30" t="str">
        <x:v>Yes</x:v>
      </x:c>
      <x:c r="N429" s="30" t="str">
        <x:v>P-4 entity-specific internal control; no independent statutory force. Activate the exact underlying legal requirement separately.</x:v>
      </x:c>
    </x:row>
    <x:row r="430">
      <x:c r="A430" s="30" t="str">
        <x:v>RCOMP179</x:v>
      </x:c>
      <x:c r="B430" s="30" t="str">
        <x:v>RPROV179</x:v>
      </x:c>
      <x:c r="C430" s="30" t="str">
        <x:v>CA033</x:v>
      </x:c>
      <x:c r="D430" s="30" t="str">
        <x:v>Review public health educational materials periodically and immediately remove obsolete, superseded, or unauthorized content.</x:v>
      </x:c>
      <x:c r="E430" s="30" t="str">
        <x:v>Ensure distribution of accurate public health information.</x:v>
      </x:c>
      <x:c r="F430" s="30" t="str">
        <x:v>Optional</x:v>
      </x:c>
      <x:c r="G430" s="30" t="str">
        <x:v>Quarterly</x:v>
      </x:c>
      <x:c r="H430" s="30"/>
      <x:c r="I430" s="30" t="str">
        <x:v>Pharmacy Manager</x:v>
      </x:c>
      <x:c r="J430" s="30" t="str">
        <x:v>Dissemination of outdated information</x:v>
      </x:c>
      <x:c r="K430" s="30" t="str">
        <x:v>Medium</x:v>
      </x:c>
      <x:c r="L430" s="30" t="str">
        <x:v>RETAIL</x:v>
      </x:c>
      <x:c r="M430" s="30" t="str">
        <x:v>Yes</x:v>
      </x:c>
      <x:c r="N430" s="30" t="str">
        <x:v>P-4 entity-specific internal control; no independent statutory force. Activate the exact underlying legal requirement separately.</x:v>
      </x:c>
    </x:row>
    <x:row r="431">
      <x:c r="A431" s="30" t="str">
        <x:v>RCOMP180</x:v>
      </x:c>
      <x:c r="B431" s="30" t="str">
        <x:v>RPROV180</x:v>
      </x:c>
      <x:c r="C431" s="30" t="str">
        <x:v>CA018</x:v>
      </x:c>
      <x:c r="D431" s="30" t="str">
        <x:v>Conduct executive compliance oversight meetings reviewing compliance performance, inspections, audits, risks, incidents, CAPA, and strategic regulatory initiatives.</x:v>
      </x:c>
      <x:c r="E431" s="30" t="str">
        <x:v>Strengthen enterprise governance.</x:v>
      </x:c>
      <x:c r="F431" s="30" t="str">
        <x:v>Optional</x:v>
      </x:c>
      <x:c r="G431" s="30" t="str">
        <x:v>Quarterly</x:v>
      </x:c>
      <x:c r="H431" s="30"/>
      <x:c r="I431" s="30" t="str">
        <x:v>Senior Management</x:v>
      </x:c>
      <x:c r="J431" s="30" t="str">
        <x:v>Weak management oversight</x:v>
      </x:c>
      <x:c r="K431" s="30" t="str">
        <x:v>High</x:v>
      </x:c>
      <x:c r="L431" s="30" t="str">
        <x:v>RETAIL</x:v>
      </x:c>
      <x:c r="M431" s="30" t="str">
        <x:v>Yes</x:v>
      </x:c>
      <x:c r="N431" s="30" t="str">
        <x:v>P-4 entity-specific internal control; no independent statutory force. Activate the exact underlying legal requirement separately.</x:v>
      </x:c>
    </x:row>
    <x:row r="432">
      <x:c r="A432" s="30" t="str">
        <x:v>RCOMP181</x:v>
      </x:c>
      <x:c r="B432" s="30" t="str">
        <x:v>RPROV181</x:v>
      </x:c>
      <x:c r="C432" s="30" t="str">
        <x:v>CA003</x:v>
      </x:c>
      <x:c r="D432" s="30" t="str">
        <x:v>Monitor prescription processing turnaround times, investigate significant delays, and implement workflow improvements.</x:v>
      </x:c>
      <x:c r="E432" s="30" t="str">
        <x:v>Improve prescription processing efficiency.</x:v>
      </x:c>
      <x:c r="F432" s="30" t="str">
        <x:v>Optional</x:v>
      </x:c>
      <x:c r="G432" s="30" t="str">
        <x:v>Monthly</x:v>
      </x:c>
      <x:c r="H432" s="30"/>
      <x:c r="I432" s="30" t="str">
        <x:v>Pharmacy Manager</x:v>
      </x:c>
      <x:c r="J432" s="30" t="str">
        <x:v>Customer dissatisfaction</x:v>
      </x:c>
      <x:c r="K432" s="30" t="str">
        <x:v>Medium</x:v>
      </x:c>
      <x:c r="L432" s="30" t="str">
        <x:v>RETAIL</x:v>
      </x:c>
      <x:c r="M432" s="30" t="str">
        <x:v>Yes</x:v>
      </x:c>
      <x:c r="N432" s="30" t="str">
        <x:v>P-4 entity-specific internal control; no independent statutory force. Activate the exact underlying legal requirement separately.</x:v>
      </x:c>
    </x:row>
    <x:row r="433">
      <x:c r="A433" s="30" t="str">
        <x:v>RCOMP182</x:v>
      </x:c>
      <x:c r="B433" s="30" t="str">
        <x:v>RPROV182</x:v>
      </x:c>
      <x:c r="C433" s="30" t="str">
        <x:v>CA012</x:v>
      </x:c>
      <x:c r="D433" s="30" t="str">
        <x:v>Ensure delegated pharmacy activities are limited to authorized personnel while pharmacists retain responsibility for professional decisions and dispensing authorization.</x:v>
      </x:c>
      <x:c r="E433" s="30" t="str">
        <x:v>Maintain lawful delegation practices.</x:v>
      </x:c>
      <x:c r="F433" s="30" t="str">
        <x:v>Optional</x:v>
      </x:c>
      <x:c r="G433" s="30" t="str">
        <x:v>Continuous</x:v>
      </x:c>
      <x:c r="H433" s="30"/>
      <x:c r="I433" s="30" t="str">
        <x:v>Pharmacy Manager</x:v>
      </x:c>
      <x:c r="J433" s="30" t="str">
        <x:v>Regulatory violations</x:v>
      </x:c>
      <x:c r="K433" s="30" t="str">
        <x:v>High</x:v>
      </x:c>
      <x:c r="L433" s="30" t="str">
        <x:v>RETAIL</x:v>
      </x:c>
      <x:c r="M433" s="30" t="str">
        <x:v>Yes</x:v>
      </x:c>
      <x:c r="N433" s="30" t="str">
        <x:v>P-4 entity-specific internal control; no independent statutory force. Activate the exact underlying legal requirement separately.</x:v>
      </x:c>
    </x:row>
    <x:row r="434">
      <x:c r="A434" s="30" t="str">
        <x:v>RCOMP183</x:v>
      </x:c>
      <x:c r="B434" s="30" t="str">
        <x:v>RPROV183</x:v>
      </x:c>
      <x:c r="C434" s="30" t="str">
        <x:v>CA072</x:v>
      </x:c>
      <x:c r="D434" s="30" t="str">
        <x:v>Continuously monitor electronic interfaces between dispensing, billing, inventory, laboratory, and payment systems. Investigate interface failures before completing affected transactions.</x:v>
      </x:c>
      <x:c r="E434" s="30" t="str">
        <x:v>Maintain integrity of integrated systems.</x:v>
      </x:c>
      <x:c r="F434" s="30" t="str">
        <x:v>Optional</x:v>
      </x:c>
      <x:c r="G434" s="30" t="str">
        <x:v>Continuous</x:v>
      </x:c>
      <x:c r="H434" s="30"/>
      <x:c r="I434" s="30" t="str">
        <x:v>IT Administrator</x:v>
      </x:c>
      <x:c r="J434" s="30" t="str">
        <x:v>Inconsistent transaction processing</x:v>
      </x:c>
      <x:c r="K434" s="30" t="str">
        <x:v>High</x:v>
      </x:c>
      <x:c r="L434" s="30" t="str">
        <x:v>RETAIL</x:v>
      </x:c>
      <x:c r="M434" s="30" t="str">
        <x:v>Yes</x:v>
      </x:c>
      <x:c r="N434" s="30" t="str">
        <x:v>P-4 entity-specific internal control; no independent statutory force. Activate the exact underlying legal requirement separately.</x:v>
      </x:c>
    </x:row>
    <x:row r="435">
      <x:c r="A435" s="30" t="str">
        <x:v>RCOMP184</x:v>
      </x:c>
      <x:c r="B435" s="30" t="str">
        <x:v>RPROV184</x:v>
      </x:c>
      <x:c r="C435" s="30" t="str">
        <x:v>CA064</x:v>
      </x:c>
      <x:c r="D435" s="30" t="str">
        <x:v>Verify completeness of dispensing documentation before transaction closure, including pharmacist approval, counselling, medicine details, and customer acknowledgement where applicable.</x:v>
      </x:c>
      <x:c r="E435" s="30" t="str">
        <x:v>Ensure complete dispensing documentation.</x:v>
      </x:c>
      <x:c r="F435" s="30" t="str">
        <x:v>Optional</x:v>
      </x:c>
      <x:c r="G435" s="30" t="str">
        <x:v>Every Dispensing</x:v>
      </x:c>
      <x:c r="H435" s="30"/>
      <x:c r="I435" s="30" t="str">
        <x:v>Registered Pharmacist</x:v>
      </x:c>
      <x:c r="J435" s="30" t="str">
        <x:v>Missing dispensing records</x:v>
      </x:c>
      <x:c r="K435" s="30" t="str">
        <x:v>High</x:v>
      </x:c>
      <x:c r="L435" s="30" t="str">
        <x:v>RETAIL</x:v>
      </x:c>
      <x:c r="M435" s="30" t="str">
        <x:v>Yes</x:v>
      </x:c>
      <x:c r="N435" s="30" t="str">
        <x:v>P-4 entity-specific internal control; no independent statutory force. Activate the exact underlying legal requirement separately.</x:v>
      </x:c>
    </x:row>
    <x:row r="436">
      <x:c r="A436" s="30" t="str">
        <x:v>RCOMP185</x:v>
      </x:c>
      <x:c r="B436" s="30" t="str">
        <x:v>RPROV185</x:v>
      </x:c>
      <x:c r="C436" s="30" t="str">
        <x:v>CA071</x:v>
      </x:c>
      <x:c r="D436" s="30" t="str">
        <x:v>Record every regulatory communication received, assign ownership, monitor implementation, and retain supporting documentation for audit purposes.</x:v>
      </x:c>
      <x:c r="E436" s="30" t="str">
        <x:v>Ensure effective regulatory communication management.</x:v>
      </x:c>
      <x:c r="F436" s="30" t="str">
        <x:v>Optional</x:v>
      </x:c>
      <x:c r="G436" s="30" t="str">
        <x:v>Every Communication</x:v>
      </x:c>
      <x:c r="H436" s="30"/>
      <x:c r="I436" s="30" t="str">
        <x:v>Compliance Officer</x:v>
      </x:c>
      <x:c r="J436" s="30" t="str">
        <x:v>Missed regulatory obligations</x:v>
      </x:c>
      <x:c r="K436" s="30" t="str">
        <x:v>High</x:v>
      </x:c>
      <x:c r="L436" s="30" t="str">
        <x:v>RETAIL</x:v>
      </x:c>
      <x:c r="M436" s="30" t="str">
        <x:v>Yes</x:v>
      </x:c>
      <x:c r="N436" s="30" t="str">
        <x:v>P-4 entity-specific internal control; no independent statutory force. Activate the exact underlying legal requirement separately.</x:v>
      </x:c>
    </x:row>
    <x:row r="437">
      <x:c r="A437" s="30" t="str">
        <x:v>RCOMP186</x:v>
      </x:c>
      <x:c r="B437" s="30" t="str">
        <x:v>RPROV186</x:v>
      </x:c>
      <x:c r="C437" s="30" t="str">
        <x:v>CA033</x:v>
      </x:c>
      <x:c r="D437" s="30" t="str">
        <x:v>Capture electronic proof of delivery including recipient identity, delivery timestamp, order reference, and delivery personnel details for home-delivered medicines.</x:v>
      </x:c>
      <x:c r="E437" s="30" t="str">
        <x:v>Verify successful medicine delivery.</x:v>
      </x:c>
      <x:c r="F437" s="30" t="str">
        <x:v>Optional</x:v>
      </x:c>
      <x:c r="G437" s="30" t="str">
        <x:v>Every Delivery</x:v>
      </x:c>
      <x:c r="H437" s="30"/>
      <x:c r="I437" s="30" t="str">
        <x:v>Delivery Coordinator</x:v>
      </x:c>
      <x:c r="J437" s="30" t="str">
        <x:v>Delivery disputes</x:v>
      </x:c>
      <x:c r="K437" s="30" t="str">
        <x:v>Medium</x:v>
      </x:c>
      <x:c r="L437" s="30" t="str">
        <x:v>RETAIL</x:v>
      </x:c>
      <x:c r="M437" s="30" t="str">
        <x:v>Yes</x:v>
      </x:c>
      <x:c r="N437" s="30" t="str">
        <x:v>P-4 entity-specific internal control; no independent statutory force. Activate the exact underlying legal requirement separately.</x:v>
      </x:c>
    </x:row>
    <x:row r="438">
      <x:c r="A438" s="30" t="str">
        <x:v>RCOMP187</x:v>
      </x:c>
      <x:c r="B438" s="30" t="str">
        <x:v>RPROV187</x:v>
      </x:c>
      <x:c r="C438" s="30" t="str">
        <x:v>CA012</x:v>
      </x:c>
      <x:c r="D438" s="30" t="str">
        <x:v>Review inventory turnover, slow-moving stock, dead stock, stock-outs, and overstock situations periodically to optimize inventory levels.</x:v>
      </x:c>
      <x:c r="E438" s="30" t="str">
        <x:v>Improve inventory performance.</x:v>
      </x:c>
      <x:c r="F438" s="30" t="str">
        <x:v>Optional</x:v>
      </x:c>
      <x:c r="G438" s="30" t="str">
        <x:v>Monthly</x:v>
      </x:c>
      <x:c r="H438" s="30"/>
      <x:c r="I438" s="30" t="str">
        <x:v>Inventory Manager</x:v>
      </x:c>
      <x:c r="J438" s="30" t="str">
        <x:v>Excess inventory losses</x:v>
      </x:c>
      <x:c r="K438" s="30" t="str">
        <x:v>Medium</x:v>
      </x:c>
      <x:c r="L438" s="30" t="str">
        <x:v>RETAIL</x:v>
      </x:c>
      <x:c r="M438" s="30" t="str">
        <x:v>Yes</x:v>
      </x:c>
      <x:c r="N438" s="30" t="str">
        <x:v>P-4 entity-specific internal control; no independent statutory force. Activate the exact underlying legal requirement separately.</x:v>
      </x:c>
    </x:row>
    <x:row r="439">
      <x:c r="A439" s="30" t="str">
        <x:v>RCOMP188</x:v>
      </x:c>
      <x:c r="B439" s="30" t="str">
        <x:v>RPROV188</x:v>
      </x:c>
      <x:c r="C439" s="30" t="str">
        <x:v>CA030</x:v>
      </x:c>
      <x:c r="D439" s="30" t="str">
        <x:v>Monitor application performance, database health, storage utilization, and service availability. Investigate and resolve significant IT performance issues.</x:v>
      </x:c>
      <x:c r="E439" s="30" t="str">
        <x:v>Maintain reliable pharmacy IT services.</x:v>
      </x:c>
      <x:c r="F439" s="30" t="str">
        <x:v>Optional</x:v>
      </x:c>
      <x:c r="G439" s="30" t="str">
        <x:v>Continuous</x:v>
      </x:c>
      <x:c r="H439" s="30"/>
      <x:c r="I439" s="30" t="str">
        <x:v>IT Administrator</x:v>
      </x:c>
      <x:c r="J439" s="30" t="str">
        <x:v>System outages</x:v>
      </x:c>
      <x:c r="K439" s="30" t="str">
        <x:v>High</x:v>
      </x:c>
      <x:c r="L439" s="30" t="str">
        <x:v>RETAIL</x:v>
      </x:c>
      <x:c r="M439" s="30" t="str">
        <x:v>Yes</x:v>
      </x:c>
      <x:c r="N439" s="30" t="str">
        <x:v>P-4 entity-specific internal control; no independent statutory force. Activate the exact underlying legal requirement separately.</x:v>
      </x:c>
    </x:row>
    <x:row r="440">
      <x:c r="A440" s="30" t="str">
        <x:v>RCOMP189</x:v>
      </x:c>
      <x:c r="B440" s="30" t="str">
        <x:v>RPROV189</x:v>
      </x:c>
      <x:c r="C440" s="30" t="str">
        <x:v>CA033</x:v>
      </x:c>
      <x:c r="D440" s="30" t="str">
        <x:v>Maintain documentation supporting collaboration with public health authorities including programme approvals, communications, implementation evidence, and required reports.</x:v>
      </x:c>
      <x:c r="E440" s="30" t="str">
        <x:v>Demonstrate compliant public health collaboration.</x:v>
      </x:c>
      <x:c r="F440" s="30" t="str">
        <x:v>Optional</x:v>
      </x:c>
      <x:c r="G440" s="30" t="str">
        <x:v>Every Programme</x:v>
      </x:c>
      <x:c r="H440" s="30"/>
      <x:c r="I440" s="30" t="str">
        <x:v>Pharmacy Manager</x:v>
      </x:c>
      <x:c r="J440" s="30" t="str">
        <x:v>Incomplete regulatory reporting</x:v>
      </x:c>
      <x:c r="K440" s="30" t="str">
        <x:v>Medium</x:v>
      </x:c>
      <x:c r="L440" s="30" t="str">
        <x:v>RETAIL</x:v>
      </x:c>
      <x:c r="M440" s="30" t="str">
        <x:v>Yes</x:v>
      </x:c>
      <x:c r="N440" s="30" t="str">
        <x:v>P-4 entity-specific internal control; no independent statutory force. Activate the exact underlying legal requirement separately.</x:v>
      </x:c>
    </x:row>
    <x:row r="441">
      <x:c r="A441" s="30" t="str">
        <x:v>RCOMP190</x:v>
      </x:c>
      <x:c r="B441" s="30" t="str">
        <x:v>RPROV190</x:v>
      </x:c>
      <x:c r="C441" s="30" t="str">
        <x:v>CA020</x:v>
      </x:c>
      <x:c r="D441" s="30" t="str">
        <x:v>Operate a structured compliance reporting framework defining reporting frequency, recipients, escalation criteria, report contents, review requirements, and retention controls.</x:v>
      </x:c>
      <x:c r="E441" s="30" t="str">
        <x:v>Standardize enterprise compliance reporting.</x:v>
      </x:c>
      <x:c r="F441" s="30" t="str">
        <x:v>Optional</x:v>
      </x:c>
      <x:c r="G441" s="30" t="str">
        <x:v>Monthly</x:v>
      </x:c>
      <x:c r="H441" s="30"/>
      <x:c r="I441" s="30" t="str">
        <x:v>Compliance Officer</x:v>
      </x:c>
      <x:c r="J441" s="30" t="str">
        <x:v>Weak governance reporting</x:v>
      </x:c>
      <x:c r="K441" s="30" t="str">
        <x:v>High</x:v>
      </x:c>
      <x:c r="L441" s="30" t="str">
        <x:v>RETAIL</x:v>
      </x:c>
      <x:c r="M441" s="30" t="str">
        <x:v>Yes</x:v>
      </x:c>
      <x:c r="N441" s="30" t="str">
        <x:v>P-4 entity-specific internal control; no independent statutory force. Activate the exact underlying legal requirement separately.</x:v>
      </x:c>
    </x:row>
    <x:row r="442">
      <x:c r="A442" s="30" t="str">
        <x:v>RCOMP191</x:v>
      </x:c>
      <x:c r="B442" s="30" t="str">
        <x:v>RPROV191</x:v>
      </x:c>
      <x:c r="C442" s="30" t="str">
        <x:v>CA002</x:v>
      </x:c>
      <x:c r="D442" s="30" t="str">
        <x:v>Reconcile every dispensed prescription with the original prescription, billing record, inventory transaction, and dispensed medicines before transaction closure.</x:v>
      </x:c>
      <x:c r="E442" s="30" t="str">
        <x:v>Ensure end-to-end dispensing integrity.</x:v>
      </x:c>
      <x:c r="F442" s="30" t="str">
        <x:v>Optional</x:v>
      </x:c>
      <x:c r="G442" s="30" t="str">
        <x:v>Every Dispensing</x:v>
      </x:c>
      <x:c r="H442" s="30"/>
      <x:c r="I442" s="30" t="str">
        <x:v>Registered Pharmacist</x:v>
      </x:c>
      <x:c r="J442" s="30" t="str">
        <x:v>Dispensing discrepancies and audit findings</x:v>
      </x:c>
      <x:c r="K442" s="30" t="str">
        <x:v>High</x:v>
      </x:c>
      <x:c r="L442" s="30" t="str">
        <x:v>RETAIL</x:v>
      </x:c>
      <x:c r="M442" s="30" t="str">
        <x:v>Yes</x:v>
      </x:c>
      <x:c r="N442" s="30" t="str">
        <x:v>P-4 entity-specific internal control; no independent statutory force. Activate the exact underlying legal requirement separately.</x:v>
      </x:c>
    </x:row>
    <x:row r="443">
      <x:c r="A443" s="30" t="str">
        <x:v>RCOMP192</x:v>
      </x:c>
      <x:c r="B443" s="30" t="str">
        <x:v>RPROV192</x:v>
      </x:c>
      <x:c r="C443" s="30" t="str">
        <x:v>CA019</x:v>
      </x:c>
      <x:c r="D443" s="30" t="str">
        <x:v>Monitor pharmacist workload, prescription volume, overtime, and staffing adequacy. Investigate workload conditions that may adversely affect dispensing quality.</x:v>
      </x:c>
      <x:c r="E443" s="30" t="str">
        <x:v>Reduce fatigue-related dispensing errors.</x:v>
      </x:c>
      <x:c r="F443" s="30" t="str">
        <x:v>Optional</x:v>
      </x:c>
      <x:c r="G443" s="30" t="str">
        <x:v>Monthly</x:v>
      </x:c>
      <x:c r="H443" s="30"/>
      <x:c r="I443" s="30" t="str">
        <x:v>Pharmacy Manager</x:v>
      </x:c>
      <x:c r="J443" s="30" t="str">
        <x:v>Increased dispensing errors</x:v>
      </x:c>
      <x:c r="K443" s="30" t="str">
        <x:v>Medium</x:v>
      </x:c>
      <x:c r="L443" s="30" t="str">
        <x:v>RETAIL</x:v>
      </x:c>
      <x:c r="M443" s="30" t="str">
        <x:v>Yes</x:v>
      </x:c>
      <x:c r="N443" s="30" t="str">
        <x:v>P-4 entity-specific internal control; no independent statutory force. Activate the exact underlying legal requirement separately.</x:v>
      </x:c>
    </x:row>
    <x:row r="444">
      <x:c r="A444" s="30" t="str">
        <x:v>RCOMP193</x:v>
      </x:c>
      <x:c r="B444" s="30" t="str">
        <x:v>RPROV193</x:v>
      </x:c>
      <x:c r="C444" s="30" t="str">
        <x:v>CA033</x:v>
      </x:c>
      <x:c r="D444" s="30" t="str">
        <x:v>Maintain documented disaster recovery infrastructure including alternate processing arrangements, recovery objectives, recovery testing, and management approval of disaster recovery plans.</x:v>
      </x:c>
      <x:c r="E444" s="30" t="str">
        <x:v>Ensure continuity of pharmacy IT services.</x:v>
      </x:c>
      <x:c r="F444" s="30" t="str">
        <x:v>Optional</x:v>
      </x:c>
      <x:c r="G444" s="30" t="str">
        <x:v>Annual</x:v>
      </x:c>
      <x:c r="H444" s="30"/>
      <x:c r="I444" s="30" t="str">
        <x:v>IT Administrator</x:v>
      </x:c>
      <x:c r="J444" s="30" t="str">
        <x:v>Extended IT outage</x:v>
      </x:c>
      <x:c r="K444" s="30" t="str">
        <x:v>High</x:v>
      </x:c>
      <x:c r="L444" s="30" t="str">
        <x:v>RETAIL</x:v>
      </x:c>
      <x:c r="M444" s="30" t="str">
        <x:v>Yes</x:v>
      </x:c>
      <x:c r="N444" s="30" t="str">
        <x:v>P-4 entity-specific internal control; no independent statutory force. Activate the exact underlying legal requirement separately.</x:v>
      </x:c>
    </x:row>
    <x:row r="445">
      <x:c r="A445" s="30" t="str">
        <x:v>RCOMP194</x:v>
      </x:c>
      <x:c r="B445" s="30" t="str">
        <x:v>RPROV194</x:v>
      </x:c>
      <x:c r="C445" s="30" t="str">
        <x:v>CA020</x:v>
      </x:c>
      <x:c r="D445" s="30" t="str">
        <x:v>Obtain and retain customer acknowledgement of medicine receipt for counter collection or home delivery whenever operationally feasible.</x:v>
      </x:c>
      <x:c r="E445" s="30" t="str">
        <x:v>Confirm successful medicine handover.</x:v>
      </x:c>
      <x:c r="F445" s="30" t="str">
        <x:v>Optional</x:v>
      </x:c>
      <x:c r="G445" s="30" t="str">
        <x:v>Every Applicable Transaction</x:v>
      </x:c>
      <x:c r="H445" s="30"/>
      <x:c r="I445" s="30" t="str">
        <x:v>Pharmacist / Delivery Coordinator</x:v>
      </x:c>
      <x:c r="J445" s="30" t="str">
        <x:v>Delivery disputes</x:v>
      </x:c>
      <x:c r="K445" s="30" t="str">
        <x:v>Medium</x:v>
      </x:c>
      <x:c r="L445" s="30" t="str">
        <x:v>RETAIL</x:v>
      </x:c>
      <x:c r="M445" s="30" t="str">
        <x:v>Yes</x:v>
      </x:c>
      <x:c r="N445" s="30" t="str">
        <x:v>P-4 entity-specific internal control; no independent statutory force. Activate the exact underlying legal requirement separately.</x:v>
      </x:c>
    </x:row>
    <x:row r="446">
      <x:c r="A446" s="30" t="str">
        <x:v>RCOMP195</x:v>
      </x:c>
      <x:c r="B446" s="30" t="str">
        <x:v>RPROV195</x:v>
      </x:c>
      <x:c r="C446" s="30" t="str">
        <x:v>CA077</x:v>
      </x:c>
      <x:c r="D446" s="30" t="str">
        <x:v>Prepare, review, approve, submit, and retain all statutory pharmacy reports within prescribed timelines together with supporting documentation.</x:v>
      </x:c>
      <x:c r="E446" s="30" t="str">
        <x:v>Ensure timely statutory reporting.</x:v>
      </x:c>
      <x:c r="F446" s="30" t="str">
        <x:v>Optional</x:v>
      </x:c>
      <x:c r="G446" s="30" t="str">
        <x:v>As Prescribed</x:v>
      </x:c>
      <x:c r="H446" s="30"/>
      <x:c r="I446" s="30" t="str">
        <x:v>Compliance Officer</x:v>
      </x:c>
      <x:c r="J446" s="30" t="str">
        <x:v>Regulatory penalties</x:v>
      </x:c>
      <x:c r="K446" s="30" t="str">
        <x:v>High</x:v>
      </x:c>
      <x:c r="L446" s="30" t="str">
        <x:v>RETAIL</x:v>
      </x:c>
      <x:c r="M446" s="30" t="str">
        <x:v>Yes</x:v>
      </x:c>
      <x:c r="N446" s="30" t="str">
        <x:v>P-4 entity-specific internal control; no independent statutory force. Activate the exact underlying legal requirement separately.</x:v>
      </x:c>
    </x:row>
    <x:row r="447">
      <x:c r="A447" s="30" t="str">
        <x:v>RCOMP196</x:v>
      </x:c>
      <x:c r="B447" s="30" t="str">
        <x:v>RPROV196</x:v>
      </x:c>
      <x:c r="C447" s="30" t="str">
        <x:v>CA033</x:v>
      </x:c>
      <x:c r="D447" s="30" t="str">
        <x:v>Record customer communication preferences and ensure notifications, reminders, recalls, and promotional communications comply with recorded preferences and applicable legal requirements.</x:v>
      </x:c>
      <x:c r="E447" s="30" t="str">
        <x:v>Respect customer communication preferences.</x:v>
      </x:c>
      <x:c r="F447" s="30" t="str">
        <x:v>Optional</x:v>
      </x:c>
      <x:c r="G447" s="30" t="str">
        <x:v>Every Preference Change</x:v>
      </x:c>
      <x:c r="H447" s="30"/>
      <x:c r="I447" s="30" t="str">
        <x:v>Pharmacy Manager</x:v>
      </x:c>
      <x:c r="J447" s="30" t="str">
        <x:v>Privacy complaints</x:v>
      </x:c>
      <x:c r="K447" s="30" t="str">
        <x:v>Medium</x:v>
      </x:c>
      <x:c r="L447" s="30" t="str">
        <x:v>RETAIL</x:v>
      </x:c>
      <x:c r="M447" s="30" t="str">
        <x:v>Yes</x:v>
      </x:c>
      <x:c r="N447" s="30" t="str">
        <x:v>P-4 entity-specific internal control; no independent statutory force. Activate the exact underlying legal requirement separately.</x:v>
      </x:c>
    </x:row>
    <x:row r="448">
      <x:c r="A448" s="30" t="str">
        <x:v>RCOMP197</x:v>
      </x:c>
      <x:c r="B448" s="30" t="str">
        <x:v>RPROV197</x:v>
      </x:c>
      <x:c r="C448" s="30" t="str">
        <x:v>CA033</x:v>
      </x:c>
      <x:c r="D448" s="30" t="str">
        <x:v>Review historical demand, seasonal trends, supplier lead times, and regulatory requirements before approving medicine procurement forecasts.</x:v>
      </x:c>
      <x:c r="E448" s="30" t="str">
        <x:v>Improve inventory forecasting accuracy.</x:v>
      </x:c>
      <x:c r="F448" s="30" t="str">
        <x:v>Optional</x:v>
      </x:c>
      <x:c r="G448" s="30" t="str">
        <x:v>Monthly</x:v>
      </x:c>
      <x:c r="H448" s="30"/>
      <x:c r="I448" s="30" t="str">
        <x:v>Inventory Manager</x:v>
      </x:c>
      <x:c r="J448" s="30" t="str">
        <x:v>Medicine shortages and overstocking</x:v>
      </x:c>
      <x:c r="K448" s="30" t="str">
        <x:v>Medium</x:v>
      </x:c>
      <x:c r="L448" s="30" t="str">
        <x:v>RETAIL</x:v>
      </x:c>
      <x:c r="M448" s="30" t="str">
        <x:v>Yes</x:v>
      </x:c>
      <x:c r="N448" s="30" t="str">
        <x:v>P-4 entity-specific internal control; no independent statutory force. Activate the exact underlying legal requirement separately.</x:v>
      </x:c>
    </x:row>
    <x:row r="449">
      <x:c r="A449" s="30" t="str">
        <x:v>RCOMP198</x:v>
      </x:c>
      <x:c r="B449" s="30" t="str">
        <x:v>RPROV198</x:v>
      </x:c>
      <x:c r="C449" s="30" t="str">
        <x:v>CA009</x:v>
      </x:c>
      <x:c r="D449" s="30" t="str">
        <x:v>Perform scheduled database maintenance, integrity verification, optimization, and validation activities while documenting all maintenance performed.</x:v>
      </x:c>
      <x:c r="E449" s="30" t="str">
        <x:v>Maintain reliable pharmacy databases.</x:v>
      </x:c>
      <x:c r="F449" s="30" t="str">
        <x:v>Optional</x:v>
      </x:c>
      <x:c r="G449" s="30" t="str">
        <x:v>Monthly</x:v>
      </x:c>
      <x:c r="H449" s="30"/>
      <x:c r="I449" s="30" t="str">
        <x:v>Database Administrator</x:v>
      </x:c>
      <x:c r="J449" s="30" t="str">
        <x:v>Database corruption</x:v>
      </x:c>
      <x:c r="K449" s="30" t="str">
        <x:v>Medium</x:v>
      </x:c>
      <x:c r="L449" s="30" t="str">
        <x:v>RETAIL</x:v>
      </x:c>
      <x:c r="M449" s="30" t="str">
        <x:v>Yes</x:v>
      </x:c>
      <x:c r="N449" s="30" t="str">
        <x:v>P-4 entity-specific internal control; no independent statutory force. Activate the exact underlying legal requirement separately.</x:v>
      </x:c>
    </x:row>
    <x:row r="450">
      <x:c r="A450" s="30" t="str">
        <x:v>RCOMP199</x:v>
      </x:c>
      <x:c r="B450" s="30" t="str">
        <x:v>RPROV199</x:v>
      </x:c>
      <x:c r="C450" s="30" t="str">
        <x:v>CA018</x:v>
      </x:c>
      <x:c r="D450" s="30" t="str">
        <x:v>Evaluate public health campaigns through participant feedback, programme outcomes, improvement opportunities, and documented management review.</x:v>
      </x:c>
      <x:c r="E450" s="30" t="str">
        <x:v>Improve community health initiatives.</x:v>
      </x:c>
      <x:c r="F450" s="30" t="str">
        <x:v>Optional</x:v>
      </x:c>
      <x:c r="G450" s="30" t="str">
        <x:v>After Every Campaign</x:v>
      </x:c>
      <x:c r="H450" s="30"/>
      <x:c r="I450" s="30" t="str">
        <x:v>Pharmacy Manager</x:v>
      </x:c>
      <x:c r="J450" s="30" t="str">
        <x:v>Ineffective awareness programmes</x:v>
      </x:c>
      <x:c r="K450" s="30" t="str">
        <x:v>Medium</x:v>
      </x:c>
      <x:c r="L450" s="30" t="str">
        <x:v>RETAIL</x:v>
      </x:c>
      <x:c r="M450" s="30" t="str">
        <x:v>Yes</x:v>
      </x:c>
      <x:c r="N450" s="30" t="str">
        <x:v>P-4 entity-specific internal control; no independent statutory force. Activate the exact underlying legal requirement separately.</x:v>
      </x:c>
    </x:row>
    <x:row r="451">
      <x:c r="A451" s="30" t="str">
        <x:v>RCOMP200</x:v>
      </x:c>
      <x:c r="B451" s="30" t="str">
        <x:v>RPROV200</x:v>
      </x:c>
      <x:c r="C451" s="30" t="str">
        <x:v>CA033</x:v>
      </x:c>
      <x:c r="D451" s="30" t="str">
        <x:v>Maintain a documented long-term regulatory compliance strategy aligned with enterprise objectives, regulatory developments, risk assessments, audits, inspections, and technology changes.</x:v>
      </x:c>
      <x:c r="E451" s="30" t="str">
        <x:v>Sustain enterprise compliance strategy.</x:v>
      </x:c>
      <x:c r="F451" s="30" t="str">
        <x:v>Optional</x:v>
      </x:c>
      <x:c r="G451" s="30" t="str">
        <x:v>Annual</x:v>
      </x:c>
      <x:c r="H451" s="30"/>
      <x:c r="I451" s="30" t="str">
        <x:v>Senior Management</x:v>
      </x:c>
      <x:c r="J451" s="30" t="str">
        <x:v>Strategic compliance gaps</x:v>
      </x:c>
      <x:c r="K451" s="30" t="str">
        <x:v>High</x:v>
      </x:c>
      <x:c r="L451" s="30" t="str">
        <x:v>RETAIL</x:v>
      </x:c>
      <x:c r="M451" s="30" t="str">
        <x:v>Yes</x:v>
      </x:c>
      <x:c r="N451" s="30" t="str">
        <x:v>P-4 entity-specific internal control; no independent statutory force. Activate the exact underlying legal requirement separately.</x:v>
      </x:c>
    </x:row>
    <x:row r="452">
      <x:c r="A452" s="30" t="str">
        <x:v>RCOMP201</x:v>
      </x:c>
      <x:c r="B452" s="30" t="str">
        <x:v>RPROV201</x:v>
      </x:c>
      <x:c r="C452" s="30" t="str">
        <x:v>CA010</x:v>
      </x:c>
      <x:c r="D452" s="30" t="str">
        <x:v>Monitor prescription turnaround time during peak business hours and implement staffing or workflow adjustments where service levels are exceeded.</x:v>
      </x:c>
      <x:c r="E452" s="30" t="str">
        <x:v>Maintain service quality during peak demand.</x:v>
      </x:c>
      <x:c r="F452" s="30" t="str">
        <x:v>Optional</x:v>
      </x:c>
      <x:c r="G452" s="30" t="str">
        <x:v>Daily</x:v>
      </x:c>
      <x:c r="H452" s="30"/>
      <x:c r="I452" s="30" t="str">
        <x:v>Pharmacy Manager</x:v>
      </x:c>
      <x:c r="J452" s="30" t="str">
        <x:v>Customer dissatisfaction</x:v>
      </x:c>
      <x:c r="K452" s="30" t="str">
        <x:v>Medium</x:v>
      </x:c>
      <x:c r="L452" s="30" t="str">
        <x:v>RETAIL</x:v>
      </x:c>
      <x:c r="M452" s="30" t="str">
        <x:v>Yes</x:v>
      </x:c>
      <x:c r="N452" s="30" t="str">
        <x:v>P-4 entity-specific internal control; no independent statutory force. Activate the exact underlying legal requirement separately.</x:v>
      </x:c>
    </x:row>
    <x:row r="453">
      <x:c r="A453" s="30" t="str">
        <x:v>RCOMP202</x:v>
      </x:c>
      <x:c r="B453" s="30" t="str">
        <x:v>RPROV202</x:v>
      </x:c>
      <x:c r="C453" s="30" t="str">
        <x:v>CA008</x:v>
      </x:c>
      <x:c r="D453" s="30" t="str">
        <x:v>Maintain and periodically review the pharmacy authorization matrix defining personnel approval limits, delegated authorities, and segregation of duties.</x:v>
      </x:c>
      <x:c r="E453" s="30" t="str">
        <x:v>Strengthen governance and accountability.</x:v>
      </x:c>
      <x:c r="F453" s="30" t="str">
        <x:v>Optional</x:v>
      </x:c>
      <x:c r="G453" s="30" t="str">
        <x:v>Annual</x:v>
      </x:c>
      <x:c r="H453" s="30"/>
      <x:c r="I453" s="30" t="str">
        <x:v>Compliance Officer</x:v>
      </x:c>
      <x:c r="J453" s="30" t="str">
        <x:v>Unauthorized approvals</x:v>
      </x:c>
      <x:c r="K453" s="30" t="str">
        <x:v>High</x:v>
      </x:c>
      <x:c r="L453" s="30" t="str">
        <x:v>RETAIL</x:v>
      </x:c>
      <x:c r="M453" s="30" t="str">
        <x:v>Yes</x:v>
      </x:c>
      <x:c r="N453" s="30" t="str">
        <x:v>P-4 entity-specific internal control; no independent statutory force. Activate the exact underlying legal requirement separately.</x:v>
      </x:c>
    </x:row>
    <x:row r="454">
      <x:c r="A454" s="30" t="str">
        <x:v>RCOMP203</x:v>
      </x:c>
      <x:c r="B454" s="30" t="str">
        <x:v>RPROV203</x:v>
      </x:c>
      <x:c r="C454" s="30" t="str">
        <x:v>CA033</x:v>
      </x:c>
      <x:c r="D454" s="30" t="str">
        <x:v>Secure APIs through authentication, encryption, audit logging, credential management, and periodic penetration testing.</x:v>
      </x:c>
      <x:c r="E454" s="30" t="str">
        <x:v>Protect integrated pharmacy applications.</x:v>
      </x:c>
      <x:c r="F454" s="30" t="str">
        <x:v>Optional</x:v>
      </x:c>
      <x:c r="G454" s="30" t="str">
        <x:v>Annual / After Major Changes</x:v>
      </x:c>
      <x:c r="H454" s="30"/>
      <x:c r="I454" s="30" t="str">
        <x:v>IT Administrator</x:v>
      </x:c>
      <x:c r="J454" s="30" t="str">
        <x:v>API compromise</x:v>
      </x:c>
      <x:c r="K454" s="30" t="str">
        <x:v>High</x:v>
      </x:c>
      <x:c r="L454" s="30" t="str">
        <x:v>RETAIL</x:v>
      </x:c>
      <x:c r="M454" s="30" t="str">
        <x:v>Yes</x:v>
      </x:c>
      <x:c r="N454" s="30" t="str">
        <x:v>P-4 entity-specific internal control; no independent statutory force. Activate the exact underlying legal requirement separately.</x:v>
      </x:c>
    </x:row>
    <x:row r="455">
      <x:c r="A455" s="30" t="str">
        <x:v>RCOMP204</x:v>
      </x:c>
      <x:c r="B455" s="30" t="str">
        <x:v>RPROV204</x:v>
      </x:c>
      <x:c r="C455" s="30" t="str">
        <x:v>CA043</x:v>
      </x:c>
      <x:c r="D455" s="30" t="str">
        <x:v>Conduct periodic independent reviews of dispensing documentation using approved sampling methodology and implement corrective actions for identified deficiencies.</x:v>
      </x:c>
      <x:c r="E455" s="30" t="str">
        <x:v>Verify dispensing documentation quality.</x:v>
      </x:c>
      <x:c r="F455" s="30" t="str">
        <x:v>Optional</x:v>
      </x:c>
      <x:c r="G455" s="30" t="str">
        <x:v>Monthly</x:v>
      </x:c>
      <x:c r="H455" s="30"/>
      <x:c r="I455" s="30" t="str">
        <x:v>Quality Assurance Pharmacist</x:v>
      </x:c>
      <x:c r="J455" s="30" t="str">
        <x:v>Documentation deficiencies</x:v>
      </x:c>
      <x:c r="K455" s="30" t="str">
        <x:v>Medium</x:v>
      </x:c>
      <x:c r="L455" s="30" t="str">
        <x:v>RETAIL</x:v>
      </x:c>
      <x:c r="M455" s="30" t="str">
        <x:v>Yes</x:v>
      </x:c>
      <x:c r="N455" s="30" t="str">
        <x:v>P-4 entity-specific internal control; no independent statutory force. Activate the exact underlying legal requirement separately.</x:v>
      </x:c>
    </x:row>
    <x:row r="456">
      <x:c r="A456" s="30" t="str">
        <x:v>RCOMP205</x:v>
      </x:c>
      <x:c r="B456" s="30" t="str">
        <x:v>RPROV205</x:v>
      </x:c>
      <x:c r="C456" s="30" t="str">
        <x:v>CA019</x:v>
      </x:c>
      <x:c r="D456" s="30" t="str">
        <x:v>Monitor implementation of regulatory inspection action plans, escalate overdue actions, verify completion evidence, and obtain formal management closure.</x:v>
      </x:c>
      <x:c r="E456" s="30" t="str">
        <x:v>Ensure effective regulatory action tracking.</x:v>
      </x:c>
      <x:c r="F456" s="30" t="str">
        <x:v>Optional</x:v>
      </x:c>
      <x:c r="G456" s="30" t="str">
        <x:v>Monthly</x:v>
      </x:c>
      <x:c r="H456" s="30"/>
      <x:c r="I456" s="30" t="str">
        <x:v>Compliance Officer</x:v>
      </x:c>
      <x:c r="J456" s="30" t="str">
        <x:v>Outstanding regulatory findings</x:v>
      </x:c>
      <x:c r="K456" s="30" t="str">
        <x:v>High</x:v>
      </x:c>
      <x:c r="L456" s="30" t="str">
        <x:v>RETAIL</x:v>
      </x:c>
      <x:c r="M456" s="30" t="str">
        <x:v>Yes</x:v>
      </x:c>
      <x:c r="N456" s="30" t="str">
        <x:v>P-4 entity-specific internal control; no independent statutory force. Activate the exact underlying legal requirement separately.</x:v>
      </x:c>
    </x:row>
    <x:row r="457">
      <x:c r="A457" s="30" t="str">
        <x:v>RCOMP206</x:v>
      </x:c>
      <x:c r="B457" s="30" t="str">
        <x:v>RPROV206</x:v>
      </x:c>
      <x:c r="C457" s="30" t="str">
        <x:v>CA033</x:v>
      </x:c>
      <x:c r="D457" s="30" t="str">
        <x:v>Operate pharmacy mobile applications using secure authentication, encrypted communication, audit logging, and periodic security assessments.</x:v>
      </x:c>
      <x:c r="E457" s="30" t="str">
        <x:v>Secure pharmacy mobile services.</x:v>
      </x:c>
      <x:c r="F457" s="30" t="str">
        <x:v>Optional</x:v>
      </x:c>
      <x:c r="G457" s="30" t="str">
        <x:v>Continuous</x:v>
      </x:c>
      <x:c r="H457" s="30"/>
      <x:c r="I457" s="30" t="str">
        <x:v>IT Administrator</x:v>
      </x:c>
      <x:c r="J457" s="30" t="str">
        <x:v>Unauthorized access</x:v>
      </x:c>
      <x:c r="K457" s="30" t="str">
        <x:v>High</x:v>
      </x:c>
      <x:c r="L457" s="30" t="str">
        <x:v>RETAIL</x:v>
      </x:c>
      <x:c r="M457" s="30" t="str">
        <x:v>Yes</x:v>
      </x:c>
      <x:c r="N457" s="30" t="str">
        <x:v>P-4 entity-specific internal control; no independent statutory force. Activate the exact underlying legal requirement separately.</x:v>
      </x:c>
    </x:row>
    <x:row r="458">
      <x:c r="A458" s="30" t="str">
        <x:v>RCOMP207</x:v>
      </x:c>
      <x:c r="B458" s="30" t="str">
        <x:v>RPROV207</x:v>
      </x:c>
      <x:c r="C458" s="30" t="str">
        <x:v>CA012</x:v>
      </x:c>
      <x:c r="D458" s="30" t="str">
        <x:v>Review inventory analytics including ageing stock, fast-moving items, stock-outs, procurement efficiency, and expiry trends. Document improvement actions.</x:v>
      </x:c>
      <x:c r="E458" s="30" t="str">
        <x:v>Optimize inventory management.</x:v>
      </x:c>
      <x:c r="F458" s="30" t="str">
        <x:v>Optional</x:v>
      </x:c>
      <x:c r="G458" s="30" t="str">
        <x:v>Monthly</x:v>
      </x:c>
      <x:c r="H458" s="30"/>
      <x:c r="I458" s="30" t="str">
        <x:v>Inventory Manager</x:v>
      </x:c>
      <x:c r="J458" s="30" t="str">
        <x:v>Inventory inefficiencies</x:v>
      </x:c>
      <x:c r="K458" s="30" t="str">
        <x:v>Medium</x:v>
      </x:c>
      <x:c r="L458" s="30" t="str">
        <x:v>RETAIL</x:v>
      </x:c>
      <x:c r="M458" s="30" t="str">
        <x:v>Yes</x:v>
      </x:c>
      <x:c r="N458" s="30" t="str">
        <x:v>P-4 entity-specific internal control; no independent statutory force. Activate the exact underlying legal requirement separately.</x:v>
      </x:c>
    </x:row>
    <x:row r="459">
      <x:c r="A459" s="30" t="str">
        <x:v>RCOMP208</x:v>
      </x:c>
      <x:c r="B459" s="30" t="str">
        <x:v>RPROV208</x:v>
      </x:c>
      <x:c r="C459" s="30" t="str">
        <x:v>CA009</x:v>
      </x:c>
      <x:c r="D459" s="30" t="str">
        <x:v>Continuously monitor servers, databases, storage, networks, and supporting infrastructure supporting pharmacy operations and resolve significant outages promptly.</x:v>
      </x:c>
      <x:c r="E459" s="30" t="str">
        <x:v>Maintain infrastructure availability.</x:v>
      </x:c>
      <x:c r="F459" s="30" t="str">
        <x:v>Optional</x:v>
      </x:c>
      <x:c r="G459" s="30" t="str">
        <x:v>Continuous</x:v>
      </x:c>
      <x:c r="H459" s="30"/>
      <x:c r="I459" s="30" t="str">
        <x:v>IT Administrator</x:v>
      </x:c>
      <x:c r="J459" s="30" t="str">
        <x:v>Operational downtime</x:v>
      </x:c>
      <x:c r="K459" s="30" t="str">
        <x:v>High</x:v>
      </x:c>
      <x:c r="L459" s="30" t="str">
        <x:v>RETAIL</x:v>
      </x:c>
      <x:c r="M459" s="30" t="str">
        <x:v>Yes</x:v>
      </x:c>
      <x:c r="N459" s="30" t="str">
        <x:v>P-4 entity-specific internal control; no independent statutory force. Activate the exact underlying legal requirement separately.</x:v>
      </x:c>
    </x:row>
    <x:row r="460">
      <x:c r="A460" s="30" t="str">
        <x:v>RCOMP209</x:v>
      </x:c>
      <x:c r="B460" s="30" t="str">
        <x:v>RPROV209</x:v>
      </x:c>
      <x:c r="C460" s="30" t="str">
        <x:v>CA033</x:v>
      </x:c>
      <x:c r="D460" s="30" t="str">
        <x:v>Document healthcare partnership agreements, confidentiality arrangements, programme responsibilities, compliance obligations, and periodic review outcomes.</x:v>
      </x:c>
      <x:c r="E460" s="30" t="str">
        <x:v>Govern collaborative healthcare initiatives.</x:v>
      </x:c>
      <x:c r="F460" s="30" t="str">
        <x:v>Optional</x:v>
      </x:c>
      <x:c r="G460" s="30" t="str">
        <x:v>Annual</x:v>
      </x:c>
      <x:c r="H460" s="30"/>
      <x:c r="I460" s="30" t="str">
        <x:v>Pharmacy Manager</x:v>
      </x:c>
      <x:c r="J460" s="30" t="str">
        <x:v>Partnership governance failures</x:v>
      </x:c>
      <x:c r="K460" s="30" t="str">
        <x:v>Medium</x:v>
      </x:c>
      <x:c r="L460" s="30" t="str">
        <x:v>RETAIL</x:v>
      </x:c>
      <x:c r="M460" s="30" t="str">
        <x:v>Yes</x:v>
      </x:c>
      <x:c r="N460" s="30" t="str">
        <x:v>P-4 entity-specific internal control; no independent statutory force. Activate the exact underlying legal requirement separately.</x:v>
      </x:c>
    </x:row>
    <x:row r="461">
      <x:c r="A461" s="30" t="str">
        <x:v>RCOMP210</x:v>
      </x:c>
      <x:c r="B461" s="30" t="str">
        <x:v>RPROV210</x:v>
      </x:c>
      <x:c r="C461" s="30" t="str">
        <x:v>CA033</x:v>
      </x:c>
      <x:c r="D461" s="30" t="str">
        <x:v>Perform comprehensive reviews of the pharmacy compliance programme covering regulatory updates, audit findings, risk assessments, technology changes, resource adequacy, and improvement initiatives.</x:v>
      </x:c>
      <x:c r="E461" s="30" t="str">
        <x:v>Maintain an effective enterprise compliance programme.</x:v>
      </x:c>
      <x:c r="F461" s="30" t="str">
        <x:v>Optional</x:v>
      </x:c>
      <x:c r="G461" s="30" t="str">
        <x:v>Annual</x:v>
      </x:c>
      <x:c r="H461" s="30"/>
      <x:c r="I461" s="30" t="str">
        <x:v>Senior Management</x:v>
      </x:c>
      <x:c r="J461" s="30" t="str">
        <x:v>Compliance programme deterioration</x:v>
      </x:c>
      <x:c r="K461" s="30" t="str">
        <x:v>High</x:v>
      </x:c>
      <x:c r="L461" s="30" t="str">
        <x:v>RETAIL</x:v>
      </x:c>
      <x:c r="M461" s="30" t="str">
        <x:v>Yes</x:v>
      </x:c>
      <x:c r="N461" s="30" t="str">
        <x:v>P-4 entity-specific internal control; no independent statutory force. Activate the exact underlying legal requirement separately.</x:v>
      </x:c>
    </x:row>
    <x:row r="462">
      <x:c r="A462" s="30" t="str">
        <x:v>RCOMP211</x:v>
      </x:c>
      <x:c r="B462" s="30" t="str">
        <x:v>RPROV211</x:v>
      </x:c>
      <x:c r="C462" s="30" t="str">
        <x:v>CA008</x:v>
      </x:c>
      <x:c r="D462" s="30" t="str">
        <x:v>Test the Pharmacy Operational Continuity Plan through simulated scenarios covering power failure, IT outage, supply disruption, workforce shortage, and emergency situations. Document corrective actions.</x:v>
      </x:c>
      <x:c r="E462" s="30" t="str">
        <x:v>Validate business continuity readiness.</x:v>
      </x:c>
      <x:c r="F462" s="30" t="str">
        <x:v>Optional</x:v>
      </x:c>
      <x:c r="G462" s="30" t="str">
        <x:v>Annual</x:v>
      </x:c>
      <x:c r="H462" s="30"/>
      <x:c r="I462" s="30" t="str">
        <x:v>Pharmacy Manager</x:v>
      </x:c>
      <x:c r="J462" s="30" t="str">
        <x:v>Operational disruption</x:v>
      </x:c>
      <x:c r="K462" s="30" t="str">
        <x:v>High</x:v>
      </x:c>
      <x:c r="L462" s="30" t="str">
        <x:v>RETAIL</x:v>
      </x:c>
      <x:c r="M462" s="30" t="str">
        <x:v>Yes</x:v>
      </x:c>
      <x:c r="N462" s="30" t="str">
        <x:v>P-4 entity-specific internal control; no independent statutory force. Activate the exact underlying legal requirement separately.</x:v>
      </x:c>
    </x:row>
    <x:row r="463">
      <x:c r="A463" s="30" t="str">
        <x:v>RCOMP212</x:v>
      </x:c>
      <x:c r="B463" s="30" t="str">
        <x:v>RPROV212</x:v>
      </x:c>
      <x:c r="C463" s="30" t="str">
        <x:v>CA012</x:v>
      </x:c>
      <x:c r="D463" s="30" t="str">
        <x:v>Cross-train pharmacy personnel on critical operational processes and periodically assess competency to ensure uninterrupted pharmacy services.</x:v>
      </x:c>
      <x:c r="E463" s="30" t="str">
        <x:v>Ensure operational resilience.</x:v>
      </x:c>
      <x:c r="F463" s="30" t="str">
        <x:v>Optional</x:v>
      </x:c>
      <x:c r="G463" s="30" t="str">
        <x:v>Annual</x:v>
      </x:c>
      <x:c r="H463" s="30"/>
      <x:c r="I463" s="30" t="str">
        <x:v>HR / Pharmacy Manager</x:v>
      </x:c>
      <x:c r="J463" s="30" t="str">
        <x:v>Operational dependency</x:v>
      </x:c>
      <x:c r="K463" s="30" t="str">
        <x:v>Medium</x:v>
      </x:c>
      <x:c r="L463" s="30" t="str">
        <x:v>RETAIL</x:v>
      </x:c>
      <x:c r="M463" s="30" t="str">
        <x:v>Yes</x:v>
      </x:c>
      <x:c r="N463" s="30" t="str">
        <x:v>P-4 entity-specific internal control; no independent statutory force. Activate the exact underlying legal requirement separately.</x:v>
      </x:c>
    </x:row>
    <x:row r="464">
      <x:c r="A464" s="30" t="str">
        <x:v>RCOMP213</x:v>
      </x:c>
      <x:c r="B464" s="30" t="str">
        <x:v>RPROV213</x:v>
      </x:c>
      <x:c r="C464" s="30" t="str">
        <x:v>CA033</x:v>
      </x:c>
      <x:c r="D464" s="30" t="str">
        <x:v>Secure customer portal access through multi-factor authentication where appropriate, encrypted communication, role-based authorization, and audit logging.</x:v>
      </x:c>
      <x:c r="E464" s="30" t="str">
        <x:v>Protect customer portal information.</x:v>
      </x:c>
      <x:c r="F464" s="30" t="str">
        <x:v>Optional</x:v>
      </x:c>
      <x:c r="G464" s="30" t="str">
        <x:v>Continuous</x:v>
      </x:c>
      <x:c r="H464" s="30"/>
      <x:c r="I464" s="30" t="str">
        <x:v>IT Administrator</x:v>
      </x:c>
      <x:c r="J464" s="30" t="str">
        <x:v>Unauthorized access</x:v>
      </x:c>
      <x:c r="K464" s="30" t="str">
        <x:v>High</x:v>
      </x:c>
      <x:c r="L464" s="30" t="str">
        <x:v>RETAIL</x:v>
      </x:c>
      <x:c r="M464" s="30" t="str">
        <x:v>Yes</x:v>
      </x:c>
      <x:c r="N464" s="30" t="str">
        <x:v>P-4 entity-specific internal control; no independent statutory force. Activate the exact underlying legal requirement separately.</x:v>
      </x:c>
    </x:row>
    <x:row r="465">
      <x:c r="A465" s="30" t="str">
        <x:v>RCOMP214</x:v>
      </x:c>
      <x:c r="B465" s="30" t="str">
        <x:v>RPROV214</x:v>
      </x:c>
      <x:c r="C465" s="30" t="str">
        <x:v>CA044</x:v>
      </x:c>
      <x:c r="D465" s="30" t="str">
        <x:v>Conduct periodic dispensing quality assessments using prescription sampling, customer feedback, dispensing error analysis, and compliance indicators. Implement improvement actions.</x:v>
      </x:c>
      <x:c r="E465" s="30" t="str">
        <x:v>Improve dispensing quality.</x:v>
      </x:c>
      <x:c r="F465" s="30" t="str">
        <x:v>Optional</x:v>
      </x:c>
      <x:c r="G465" s="30" t="str">
        <x:v>Quarterly</x:v>
      </x:c>
      <x:c r="H465" s="30"/>
      <x:c r="I465" s="30" t="str">
        <x:v>Quality Assurance Pharmacist</x:v>
      </x:c>
      <x:c r="J465" s="30" t="str">
        <x:v>Declining dispensing quality</x:v>
      </x:c>
      <x:c r="K465" s="30" t="str">
        <x:v>High</x:v>
      </x:c>
      <x:c r="L465" s="30" t="str">
        <x:v>RETAIL</x:v>
      </x:c>
      <x:c r="M465" s="30" t="str">
        <x:v>Yes</x:v>
      </x:c>
      <x:c r="N465" s="30" t="str">
        <x:v>P-4 entity-specific internal control; no independent statutory force. Activate the exact underlying legal requirement separately.</x:v>
      </x:c>
    </x:row>
    <x:row r="466">
      <x:c r="A466" s="30" t="str">
        <x:v>RCOMP215</x:v>
      </x:c>
      <x:c r="B466" s="30" t="str">
        <x:v>RPROV215</x:v>
      </x:c>
      <x:c r="C466" s="30" t="str">
        <x:v>CA096</x:v>
      </x:c>
      <x:c r="D466" s="30" t="str">
        <x:v>Escalate significant compliance breaches, patient safety incidents, and repeated non-conformities to senior management immediately and monitor corrective actions until closure.</x:v>
      </x:c>
      <x:c r="E466" s="30" t="str">
        <x:v>Strengthen compliance governance.</x:v>
      </x:c>
      <x:c r="F466" s="30" t="str">
        <x:v>Optional</x:v>
      </x:c>
      <x:c r="G466" s="30" t="str">
        <x:v>Every Significant Event</x:v>
      </x:c>
      <x:c r="H466" s="30"/>
      <x:c r="I466" s="30" t="str">
        <x:v>Compliance Officer</x:v>
      </x:c>
      <x:c r="J466" s="30" t="str">
        <x:v>Regulatory enforcement</x:v>
      </x:c>
      <x:c r="K466" s="30" t="str">
        <x:v>High</x:v>
      </x:c>
      <x:c r="L466" s="30" t="str">
        <x:v>RETAIL</x:v>
      </x:c>
      <x:c r="M466" s="30" t="str">
        <x:v>Yes</x:v>
      </x:c>
      <x:c r="N466" s="30" t="str">
        <x:v>P-4 entity-specific internal control; no independent statutory force. Activate the exact underlying legal requirement separately.</x:v>
      </x:c>
    </x:row>
    <x:row r="467">
      <x:c r="A467" s="30" t="str">
        <x:v>RCOMP216</x:v>
      </x:c>
      <x:c r="B467" s="30" t="str">
        <x:v>RPROV216</x:v>
      </x:c>
      <x:c r="C467" s="30" t="str">
        <x:v>CA033</x:v>
      </x:c>
      <x:c r="D467" s="30" t="str">
        <x:v>Validate online medicine orders for prescription requirements, payment confirmation, inventory availability, pharmacist approval, and customer identity before processing.</x:v>
      </x:c>
      <x:c r="E467" s="30" t="str">
        <x:v>Ensure compliant online order processing.</x:v>
      </x:c>
      <x:c r="F467" s="30" t="str">
        <x:v>Optional</x:v>
      </x:c>
      <x:c r="G467" s="30" t="str">
        <x:v>Every Online Order</x:v>
      </x:c>
      <x:c r="H467" s="30"/>
      <x:c r="I467" s="30" t="str">
        <x:v>Registered Pharmacist</x:v>
      </x:c>
      <x:c r="J467" s="30" t="str">
        <x:v>Invalid medicine supply</x:v>
      </x:c>
      <x:c r="K467" s="30" t="str">
        <x:v>High</x:v>
      </x:c>
      <x:c r="L467" s="30" t="str">
        <x:v>RETAIL</x:v>
      </x:c>
      <x:c r="M467" s="30" t="str">
        <x:v>Yes</x:v>
      </x:c>
      <x:c r="N467" s="30" t="str">
        <x:v>P-4 entity-specific internal control; no independent statutory force. Activate the exact underlying legal requirement separately.</x:v>
      </x:c>
    </x:row>
    <x:row r="468">
      <x:c r="A468" s="30" t="str">
        <x:v>RCOMP217</x:v>
      </x:c>
      <x:c r="B468" s="30" t="str">
        <x:v>RPROV217</x:v>
      </x:c>
      <x:c r="C468" s="30" t="str">
        <x:v>CA012</x:v>
      </x:c>
      <x:c r="D468" s="30" t="str">
        <x:v>Benchmark inventory KPIs against organizational targets and analyze deviations to identify opportunities for inventory optimization.</x:v>
      </x:c>
      <x:c r="E468" s="30" t="str">
        <x:v>Improve inventory efficiency.</x:v>
      </x:c>
      <x:c r="F468" s="30" t="str">
        <x:v>Optional</x:v>
      </x:c>
      <x:c r="G468" s="30" t="str">
        <x:v>Quarterly</x:v>
      </x:c>
      <x:c r="H468" s="30"/>
      <x:c r="I468" s="30" t="str">
        <x:v>Inventory Manager</x:v>
      </x:c>
      <x:c r="J468" s="30" t="str">
        <x:v>Inventory inefficiencies</x:v>
      </x:c>
      <x:c r="K468" s="30" t="str">
        <x:v>Medium</x:v>
      </x:c>
      <x:c r="L468" s="30" t="str">
        <x:v>RETAIL</x:v>
      </x:c>
      <x:c r="M468" s="30" t="str">
        <x:v>Yes</x:v>
      </x:c>
      <x:c r="N468" s="30" t="str">
        <x:v>P-4 entity-specific internal control; no independent statutory force. Activate the exact underlying legal requirement separately.</x:v>
      </x:c>
    </x:row>
    <x:row r="469">
      <x:c r="A469" s="30" t="str">
        <x:v>RCOMP218</x:v>
      </x:c>
      <x:c r="B469" s="30" t="str">
        <x:v>RPROV218</x:v>
      </x:c>
      <x:c r="C469" s="30" t="str">
        <x:v>CA044</x:v>
      </x:c>
      <x:c r="D469" s="30" t="str">
        <x:v>Ensure all pharmacy endpoints are protected using approved endpoint security software, encryption, centralized monitoring, and periodic compliance verification.</x:v>
      </x:c>
      <x:c r="E469" s="30" t="str">
        <x:v>Secure endpoint devices.</x:v>
      </x:c>
      <x:c r="F469" s="30" t="str">
        <x:v>Optional</x:v>
      </x:c>
      <x:c r="G469" s="30" t="str">
        <x:v>Monthly</x:v>
      </x:c>
      <x:c r="H469" s="30"/>
      <x:c r="I469" s="30" t="str">
        <x:v>IT Administrator</x:v>
      </x:c>
      <x:c r="J469" s="30" t="str">
        <x:v>Endpoint compromise</x:v>
      </x:c>
      <x:c r="K469" s="30" t="str">
        <x:v>High</x:v>
      </x:c>
      <x:c r="L469" s="30" t="str">
        <x:v>RETAIL</x:v>
      </x:c>
      <x:c r="M469" s="30" t="str">
        <x:v>Yes</x:v>
      </x:c>
      <x:c r="N469" s="30" t="str">
        <x:v>P-4 entity-specific internal control; no independent statutory force. Activate the exact underlying legal requirement separately.</x:v>
      </x:c>
    </x:row>
    <x:row r="470">
      <x:c r="A470" s="30" t="str">
        <x:v>RCOMP219</x:v>
      </x:c>
      <x:c r="B470" s="30" t="str">
        <x:v>RPROV219</x:v>
      </x:c>
      <x:c r="C470" s="30" t="str">
        <x:v>CA033</x:v>
      </x:c>
      <x:c r="D470" s="30" t="str">
        <x:v>Obtain management approval before conducting community wellness programmes and evaluate programme effectiveness following completion.</x:v>
      </x:c>
      <x:c r="E470" s="30" t="str">
        <x:v>Deliver compliant wellness programmes.</x:v>
      </x:c>
      <x:c r="F470" s="30" t="str">
        <x:v>Optional</x:v>
      </x:c>
      <x:c r="G470" s="30" t="str">
        <x:v>Every Programme</x:v>
      </x:c>
      <x:c r="H470" s="30"/>
      <x:c r="I470" s="30" t="str">
        <x:v>Pharmacy Manager</x:v>
      </x:c>
      <x:c r="J470" s="30" t="str">
        <x:v>Inadequate programme governance</x:v>
      </x:c>
      <x:c r="K470" s="30" t="str">
        <x:v>Medium</x:v>
      </x:c>
      <x:c r="L470" s="30" t="str">
        <x:v>RETAIL</x:v>
      </x:c>
      <x:c r="M470" s="30" t="str">
        <x:v>Yes</x:v>
      </x:c>
      <x:c r="N470" s="30" t="str">
        <x:v>P-4 entity-specific internal control; no independent statutory force. Activate the exact underlying legal requirement separately.</x:v>
      </x:c>
    </x:row>
    <x:row r="471">
      <x:c r="A471" s="30" t="str">
        <x:v>RCOMP220</x:v>
      </x:c>
      <x:c r="B471" s="30" t="str">
        <x:v>RPROV220</x:v>
      </x:c>
      <x:c r="C471" s="30" t="str">
        <x:v>CA018</x:v>
      </x:c>
      <x:c r="D471" s="30" t="str">
        <x:v>Evaluate the effectiveness of the pharmacy compliance programme using audit results, inspection outcomes, KPIs, incident trends, risk assessments, and CAPA performance.</x:v>
      </x:c>
      <x:c r="E471" s="30" t="str">
        <x:v>Measure compliance programme effectiveness.</x:v>
      </x:c>
      <x:c r="F471" s="30" t="str">
        <x:v>Optional</x:v>
      </x:c>
      <x:c r="G471" s="30" t="str">
        <x:v>Annual</x:v>
      </x:c>
      <x:c r="H471" s="30"/>
      <x:c r="I471" s="30" t="str">
        <x:v>Compliance Officer</x:v>
      </x:c>
      <x:c r="J471" s="30" t="str">
        <x:v>Weak compliance oversight</x:v>
      </x:c>
      <x:c r="K471" s="30" t="str">
        <x:v>High</x:v>
      </x:c>
      <x:c r="L471" s="30" t="str">
        <x:v>RETAIL</x:v>
      </x:c>
      <x:c r="M471" s="30" t="str">
        <x:v>Yes</x:v>
      </x:c>
      <x:c r="N471" s="30" t="str">
        <x:v>P-4 entity-specific internal control; no independent statutory force. Activate the exact underlying legal requirement separately.</x:v>
      </x:c>
    </x:row>
    <x:row r="472">
      <x:c r="A472" s="30" t="str">
        <x:v>RCOMP221</x:v>
      </x:c>
      <x:c r="B472" s="30" t="str">
        <x:v>RPROV221</x:v>
      </x:c>
      <x:c r="C472" s="30" t="str">
        <x:v>CA024</x:v>
      </x:c>
      <x:c r="D472" s="30" t="str">
        <x:v>Review seasonal medicine demand forecasts using historical trends, epidemiological information, and supplier lead times before approving procurement plans.</x:v>
      </x:c>
      <x:c r="E472" s="30" t="str">
        <x:v>Maintain seasonal medicine availability.</x:v>
      </x:c>
      <x:c r="F472" s="30" t="str">
        <x:v>Optional</x:v>
      </x:c>
      <x:c r="G472" s="30" t="str">
        <x:v>Quarterly / Seasonal</x:v>
      </x:c>
      <x:c r="H472" s="30"/>
      <x:c r="I472" s="30" t="str">
        <x:v>Inventory Manager</x:v>
      </x:c>
      <x:c r="J472" s="30" t="str">
        <x:v>Medicine shortages</x:v>
      </x:c>
      <x:c r="K472" s="30" t="str">
        <x:v>Medium</x:v>
      </x:c>
      <x:c r="L472" s="30" t="str">
        <x:v>RETAIL</x:v>
      </x:c>
      <x:c r="M472" s="30" t="str">
        <x:v>Yes</x:v>
      </x:c>
      <x:c r="N472" s="30" t="str">
        <x:v>P-4 entity-specific internal control; no independent statutory force. Activate the exact underlying legal requirement separately.</x:v>
      </x:c>
    </x:row>
    <x:row r="473">
      <x:c r="A473" s="30" t="str">
        <x:v>RCOMP222</x:v>
      </x:c>
      <x:c r="B473" s="30" t="str">
        <x:v>RPROV222</x:v>
      </x:c>
      <x:c r="C473" s="30" t="str">
        <x:v>CA002</x:v>
      </x:c>
      <x:c r="D473" s="30" t="str">
        <x:v>Verify competency, orientation, authorization, and regulatory awareness of temporary, contract, or locum pharmacy personnel before assigning operational duties.</x:v>
      </x:c>
      <x:c r="E473" s="30" t="str">
        <x:v>Ensure temporary staff competence.</x:v>
      </x:c>
      <x:c r="F473" s="30" t="str">
        <x:v>Optional</x:v>
      </x:c>
      <x:c r="G473" s="30" t="str">
        <x:v>Before Assignment</x:v>
      </x:c>
      <x:c r="H473" s="30"/>
      <x:c r="I473" s="30" t="str">
        <x:v>Pharmacy Manager</x:v>
      </x:c>
      <x:c r="J473" s="30" t="str">
        <x:v>Operational errors</x:v>
      </x:c>
      <x:c r="K473" s="30" t="str">
        <x:v>Medium</x:v>
      </x:c>
      <x:c r="L473" s="30" t="str">
        <x:v>RETAIL</x:v>
      </x:c>
      <x:c r="M473" s="30" t="str">
        <x:v>Yes</x:v>
      </x:c>
      <x:c r="N473" s="30" t="str">
        <x:v>P-4 entity-specific internal control; no independent statutory force. Activate the exact underlying legal requirement separately.</x:v>
      </x:c>
    </x:row>
    <x:row r="474">
      <x:c r="A474" s="30" t="str">
        <x:v>RCOMP223</x:v>
      </x:c>
      <x:c r="B474" s="30" t="str">
        <x:v>RPROV223</x:v>
      </x:c>
      <x:c r="C474" s="30" t="str">
        <x:v>CA033</x:v>
      </x:c>
      <x:c r="D474" s="30" t="str">
        <x:v>Record, process, and implement customer requests to withdraw electronic consent for communications or digital services while maintaining complete audit records.</x:v>
      </x:c>
      <x:c r="E474" s="30" t="str">
        <x:v>Respect customer privacy preferences.</x:v>
      </x:c>
      <x:c r="F474" s="30" t="str">
        <x:v>Optional</x:v>
      </x:c>
      <x:c r="G474" s="30" t="str">
        <x:v>Every Withdrawal Request</x:v>
      </x:c>
      <x:c r="H474" s="30"/>
      <x:c r="I474" s="30" t="str">
        <x:v>Pharmacy Manager</x:v>
      </x:c>
      <x:c r="J474" s="30" t="str">
        <x:v>Privacy non-compliance</x:v>
      </x:c>
      <x:c r="K474" s="30" t="str">
        <x:v>High</x:v>
      </x:c>
      <x:c r="L474" s="30" t="str">
        <x:v>RETAIL</x:v>
      </x:c>
      <x:c r="M474" s="30" t="str">
        <x:v>Yes</x:v>
      </x:c>
      <x:c r="N474" s="30" t="str">
        <x:v>P-4 entity-specific internal control; no independent statutory force. Activate the exact underlying legal requirement separately.</x:v>
      </x:c>
    </x:row>
    <x:row r="475">
      <x:c r="A475" s="30" t="str">
        <x:v>RCOMP224</x:v>
      </x:c>
      <x:c r="B475" s="30" t="str">
        <x:v>RPROV224</x:v>
      </x:c>
      <x:c r="C475" s="30" t="str">
        <x:v>CA044</x:v>
      </x:c>
      <x:c r="D475" s="30" t="str">
        <x:v>Conduct independent dispensing accuracy audits using statistically valid sampling techniques and monitor corrective actions for identified deficiencies.</x:v>
      </x:c>
      <x:c r="E475" s="30" t="str">
        <x:v>Improve dispensing accuracy.</x:v>
      </x:c>
      <x:c r="F475" s="30" t="str">
        <x:v>Optional</x:v>
      </x:c>
      <x:c r="G475" s="30" t="str">
        <x:v>Quarterly</x:v>
      </x:c>
      <x:c r="H475" s="30"/>
      <x:c r="I475" s="30" t="str">
        <x:v>Quality Assurance Pharmacist</x:v>
      </x:c>
      <x:c r="J475" s="30" t="str">
        <x:v>Undetected dispensing errors</x:v>
      </x:c>
      <x:c r="K475" s="30" t="str">
        <x:v>High</x:v>
      </x:c>
      <x:c r="L475" s="30" t="str">
        <x:v>RETAIL</x:v>
      </x:c>
      <x:c r="M475" s="30" t="str">
        <x:v>Yes</x:v>
      </x:c>
      <x:c r="N475" s="30" t="str">
        <x:v>P-4 entity-specific internal control; no independent statutory force. Activate the exact underlying legal requirement separately.</x:v>
      </x:c>
    </x:row>
    <x:row r="476">
      <x:c r="A476" s="30" t="str">
        <x:v>RCOMP225</x:v>
      </x:c>
      <x:c r="B476" s="30" t="str">
        <x:v>RPROV225</x:v>
      </x:c>
      <x:c r="C476" s="30" t="str">
        <x:v>CA097</x:v>
      </x:c>
      <x:c r="D476" s="30" t="str">
        <x:v>Assess every regulatory change for operational impact, assign implementation responsibilities, revise SOPs, train personnel, and verify implementation completion.</x:v>
      </x:c>
      <x:c r="E476" s="30" t="str">
        <x:v>Ensure timely implementation of regulatory changes.</x:v>
      </x:c>
      <x:c r="F476" s="30" t="str">
        <x:v>Optional</x:v>
      </x:c>
      <x:c r="G476" s="30" t="str">
        <x:v>Every Regulatory Change</x:v>
      </x:c>
      <x:c r="H476" s="30"/>
      <x:c r="I476" s="30" t="str">
        <x:v>Compliance Officer</x:v>
      </x:c>
      <x:c r="J476" s="30" t="str">
        <x:v>Non-compliance with new regulations</x:v>
      </x:c>
      <x:c r="K476" s="30" t="str">
        <x:v>High</x:v>
      </x:c>
      <x:c r="L476" s="30" t="str">
        <x:v>RETAIL</x:v>
      </x:c>
      <x:c r="M476" s="30" t="str">
        <x:v>Yes</x:v>
      </x:c>
      <x:c r="N476" s="30" t="str">
        <x:v>P-4 entity-specific internal control; no independent statutory force. Activate the exact underlying legal requirement separately.</x:v>
      </x:c>
    </x:row>
    <x:row r="477">
      <x:c r="A477" s="30" t="str">
        <x:v>RCOMP226</x:v>
      </x:c>
      <x:c r="B477" s="30" t="str">
        <x:v>RPROV226</x:v>
      </x:c>
      <x:c r="C477" s="30" t="str">
        <x:v>CA033</x:v>
      </x:c>
      <x:c r="D477" s="30" t="str">
        <x:v>Apply identical compliance controls to medicine orders received through walk-in, telephone, website, mobile application, or partner platforms.</x:v>
      </x:c>
      <x:c r="E477" s="30" t="str">
        <x:v>Standardize omnichannel order compliance.</x:v>
      </x:c>
      <x:c r="F477" s="30" t="str">
        <x:v>Optional</x:v>
      </x:c>
      <x:c r="G477" s="30" t="str">
        <x:v>Every Order</x:v>
      </x:c>
      <x:c r="H477" s="30"/>
      <x:c r="I477" s="30" t="str">
        <x:v>Pharmacy Manager</x:v>
      </x:c>
      <x:c r="J477" s="30" t="str">
        <x:v>Inconsistent compliance</x:v>
      </x:c>
      <x:c r="K477" s="30" t="str">
        <x:v>High</x:v>
      </x:c>
      <x:c r="L477" s="30" t="str">
        <x:v>RETAIL</x:v>
      </x:c>
      <x:c r="M477" s="30" t="str">
        <x:v>Yes</x:v>
      </x:c>
      <x:c r="N477" s="30" t="str">
        <x:v>P-4 entity-specific internal control; no independent statutory force. Activate the exact underlying legal requirement separately.</x:v>
      </x:c>
    </x:row>
    <x:row r="478">
      <x:c r="A478" s="30" t="str">
        <x:v>RCOMP227</x:v>
      </x:c>
      <x:c r="B478" s="30" t="str">
        <x:v>RPROV227</x:v>
      </x:c>
      <x:c r="C478" s="30" t="str">
        <x:v>CA012</x:v>
      </x:c>
      <x:c r="D478" s="30" t="str">
        <x:v>Convene the Inventory Review Committee periodically to review expiry trends, procurement performance, shortages, supplier performance, inventory risks, and improvement initiatives.</x:v>
      </x:c>
      <x:c r="E478" s="30" t="str">
        <x:v>Strengthen inventory governance.</x:v>
      </x:c>
      <x:c r="F478" s="30" t="str">
        <x:v>Optional</x:v>
      </x:c>
      <x:c r="G478" s="30" t="str">
        <x:v>Quarterly</x:v>
      </x:c>
      <x:c r="H478" s="30"/>
      <x:c r="I478" s="30" t="str">
        <x:v>Inventory Review Committee</x:v>
      </x:c>
      <x:c r="J478" s="30" t="str">
        <x:v>Inventory governance deficiencies</x:v>
      </x:c>
      <x:c r="K478" s="30" t="str">
        <x:v>Medium</x:v>
      </x:c>
      <x:c r="L478" s="30" t="str">
        <x:v>RETAIL</x:v>
      </x:c>
      <x:c r="M478" s="30" t="str">
        <x:v>Yes</x:v>
      </x:c>
      <x:c r="N478" s="30" t="str">
        <x:v>P-4 entity-specific internal control; no independent statutory force. Activate the exact underlying legal requirement separately.</x:v>
      </x:c>
    </x:row>
    <x:row r="479">
      <x:c r="A479" s="30" t="str">
        <x:v>RCOMP228</x:v>
      </x:c>
      <x:c r="B479" s="30" t="str">
        <x:v>RPROV228</x:v>
      </x:c>
      <x:c r="C479" s="30" t="str">
        <x:v>CA044</x:v>
      </x:c>
      <x:c r="D479" s="30" t="str">
        <x:v>Operate a cybersecurity resilience programme including vulnerability management, threat monitoring, incident response, disaster recovery, security awareness, and resilience testing.</x:v>
      </x:c>
      <x:c r="E479" s="30" t="str">
        <x:v>Improve cyber resilience.</x:v>
      </x:c>
      <x:c r="F479" s="30" t="str">
        <x:v>Optional</x:v>
      </x:c>
      <x:c r="G479" s="30" t="str">
        <x:v>Annual Review / Continuous Monitoring</x:v>
      </x:c>
      <x:c r="H479" s="30"/>
      <x:c r="I479" s="30" t="str">
        <x:v>IT Administrator</x:v>
      </x:c>
      <x:c r="J479" s="30" t="str">
        <x:v>Major cybersecurity incidents</x:v>
      </x:c>
      <x:c r="K479" s="30" t="str">
        <x:v>High</x:v>
      </x:c>
      <x:c r="L479" s="30" t="str">
        <x:v>RETAIL</x:v>
      </x:c>
      <x:c r="M479" s="30" t="str">
        <x:v>Yes</x:v>
      </x:c>
      <x:c r="N479" s="30" t="str">
        <x:v>P-4 entity-specific internal control; no independent statutory force. Activate the exact underlying legal requirement separately.</x:v>
      </x:c>
    </x:row>
    <x:row r="480">
      <x:c r="A480" s="30" t="str">
        <x:v>RCOMP229</x:v>
      </x:c>
      <x:c r="B480" s="30" t="str">
        <x:v>RPROV229</x:v>
      </x:c>
      <x:c r="C480" s="30" t="str">
        <x:v>CA033</x:v>
      </x:c>
      <x:c r="D480" s="30" t="str">
        <x:v>Prepare reports for community health programmes including objectives, participation statistics, outcomes, lessons learned, and regulatory submissions where applicable.</x:v>
      </x:c>
      <x:c r="E480" s="30" t="str">
        <x:v>Demonstrate public health programme effectiveness.</x:v>
      </x:c>
      <x:c r="F480" s="30" t="str">
        <x:v>Optional</x:v>
      </x:c>
      <x:c r="G480" s="30" t="str">
        <x:v>After Every Programme</x:v>
      </x:c>
      <x:c r="H480" s="30"/>
      <x:c r="I480" s="30" t="str">
        <x:v>Pharmacy Manager</x:v>
      </x:c>
      <x:c r="J480" s="30" t="str">
        <x:v>Incomplete programme documentation</x:v>
      </x:c>
      <x:c r="K480" s="30" t="str">
        <x:v>Medium</x:v>
      </x:c>
      <x:c r="L480" s="30" t="str">
        <x:v>RETAIL</x:v>
      </x:c>
      <x:c r="M480" s="30" t="str">
        <x:v>Yes</x:v>
      </x:c>
      <x:c r="N480" s="30" t="str">
        <x:v>P-4 entity-specific internal control; no independent statutory force. Activate the exact underlying legal requirement separately.</x:v>
      </x:c>
    </x:row>
    <x:row r="481">
      <x:c r="A481" s="30" t="str">
        <x:v>RCOMP230</x:v>
      </x:c>
      <x:c r="B481" s="30" t="str">
        <x:v>RPROV230</x:v>
      </x:c>
      <x:c r="C481" s="30" t="str">
        <x:v>CA072</x:v>
      </x:c>
      <x:c r="D481" s="30" t="str">
        <x:v>Conduct integrated governance reviews covering regulatory compliance, operational controls, inventory, patient safety, IT security, audits, inspections, risk management, and continuous improvement. Monitor action items until completion.</x:v>
      </x:c>
      <x:c r="E481" s="30" t="str">
        <x:v>Maintain integrated enterprise governance.</x:v>
      </x:c>
      <x:c r="F481" s="30" t="str">
        <x:v>Optional</x:v>
      </x:c>
      <x:c r="G481" s="30" t="str">
        <x:v>Semi-Annual</x:v>
      </x:c>
      <x:c r="H481" s="30"/>
      <x:c r="I481" s="30" t="str">
        <x:v>Senior Management</x:v>
      </x:c>
      <x:c r="J481" s="30" t="str">
        <x:v>Governance failures</x:v>
      </x:c>
      <x:c r="K481" s="30" t="str">
        <x:v>High</x:v>
      </x:c>
      <x:c r="L481" s="30" t="str">
        <x:v>RETAIL</x:v>
      </x:c>
      <x:c r="M481" s="30" t="str">
        <x:v>Yes</x:v>
      </x:c>
      <x:c r="N481" s="30" t="str">
        <x:v>P-4 entity-specific internal control; no independent statutory force. Activate the exact underlying legal requirement separately.</x:v>
      </x:c>
    </x:row>
    <x:row r="482">
      <x:c r="A482" s="30" t="str">
        <x:v>RCOMP231</x:v>
      </x:c>
      <x:c r="B482" s="30" t="str">
        <x:v>RPROV231</x:v>
      </x:c>
      <x:c r="C482" s="30" t="str">
        <x:v>CA024</x:v>
      </x:c>
      <x:c r="D482" s="30" t="str">
        <x:v>Conduct business continuity exercises covering dispensing operations, inventory management, IT systems, refrigeration, power failures, emergency communication, and customer services. Document lessons learned and corrective actions.</x:v>
      </x:c>
      <x:c r="E482" s="30" t="str">
        <x:v>Validate operational resilience.</x:v>
      </x:c>
      <x:c r="F482" s="30" t="str">
        <x:v>Optional</x:v>
      </x:c>
      <x:c r="G482" s="30" t="str">
        <x:v>Annual</x:v>
      </x:c>
      <x:c r="H482" s="30"/>
      <x:c r="I482" s="30" t="str">
        <x:v>Pharmacy Manager</x:v>
      </x:c>
      <x:c r="J482" s="30" t="str">
        <x:v>Service disruption during emergencies</x:v>
      </x:c>
      <x:c r="K482" s="30" t="str">
        <x:v>High</x:v>
      </x:c>
      <x:c r="L482" s="30" t="str">
        <x:v>RETAIL</x:v>
      </x:c>
      <x:c r="M482" s="30" t="str">
        <x:v>Yes</x:v>
      </x:c>
      <x:c r="N482" s="30" t="str">
        <x:v>P-4 entity-specific internal control; no independent statutory force. Activate the exact underlying legal requirement separately.</x:v>
      </x:c>
    </x:row>
    <x:row r="483">
      <x:c r="A483" s="30" t="str">
        <x:v>RCOMP232</x:v>
      </x:c>
      <x:c r="B483" s="30" t="str">
        <x:v>RPROV232</x:v>
      </x:c>
      <x:c r="C483" s="30" t="str">
        <x:v>CA009</x:v>
      </x:c>
      <x:c r="D483" s="30" t="str">
        <x:v>Obtain annual compliance declarations from all pharmacy personnel confirming adherence to regulatory obligations, SOPs, confidentiality requirements, ethical practices, and patient safety responsibilities.</x:v>
      </x:c>
      <x:c r="E483" s="30" t="str">
        <x:v>Reinforce employee compliance accountability.</x:v>
      </x:c>
      <x:c r="F483" s="30" t="str">
        <x:v>Optional</x:v>
      </x:c>
      <x:c r="G483" s="30" t="str">
        <x:v>Annual</x:v>
      </x:c>
      <x:c r="H483" s="30"/>
      <x:c r="I483" s="30" t="str">
        <x:v>HR / Compliance Officer</x:v>
      </x:c>
      <x:c r="J483" s="30" t="str">
        <x:v>Employee non-compliance</x:v>
      </x:c>
      <x:c r="K483" s="30" t="str">
        <x:v>Medium</x:v>
      </x:c>
      <x:c r="L483" s="30" t="str">
        <x:v>RETAIL</x:v>
      </x:c>
      <x:c r="M483" s="30" t="str">
        <x:v>Yes</x:v>
      </x:c>
      <x:c r="N483" s="30" t="str">
        <x:v>P-4 entity-specific internal control; no independent statutory force. Activate the exact underlying legal requirement separately.</x:v>
      </x:c>
    </x:row>
    <x:row r="484">
      <x:c r="A484" s="30" t="str">
        <x:v>RCOMP233</x:v>
      </x:c>
      <x:c r="B484" s="30" t="str">
        <x:v>RPROV233</x:v>
      </x:c>
      <x:c r="C484" s="30" t="str">
        <x:v>CA033</x:v>
      </x:c>
      <x:c r="D484" s="30" t="str">
        <x:v>Preserve electronic dispensing records, audit logs, approvals, communications, and inventory transactions in tamper-evident storage with controlled access and statutory retention controls.</x:v>
      </x:c>
      <x:c r="E484" s="30" t="str">
        <x:v>Maintain legally admissible electronic evidence.</x:v>
      </x:c>
      <x:c r="F484" s="30" t="str">
        <x:v>Optional</x:v>
      </x:c>
      <x:c r="G484" s="30" t="str">
        <x:v>Continuous</x:v>
      </x:c>
      <x:c r="H484" s="30"/>
      <x:c r="I484" s="30" t="str">
        <x:v>IT Administrator</x:v>
      </x:c>
      <x:c r="J484" s="30" t="str">
        <x:v>Loss of regulatory evidence</x:v>
      </x:c>
      <x:c r="K484" s="30" t="str">
        <x:v>High</x:v>
      </x:c>
      <x:c r="L484" s="30" t="str">
        <x:v>RETAIL</x:v>
      </x:c>
      <x:c r="M484" s="30" t="str">
        <x:v>Yes</x:v>
      </x:c>
      <x:c r="N484" s="30" t="str">
        <x:v>P-4 entity-specific internal control; no independent statutory force. Activate the exact underlying legal requirement separately.</x:v>
      </x:c>
    </x:row>
    <x:row r="485">
      <x:c r="A485" s="30" t="str">
        <x:v>RCOMP234</x:v>
      </x:c>
      <x:c r="B485" s="30" t="str">
        <x:v>RPROV234</x:v>
      </x:c>
      <x:c r="C485" s="30" t="str">
        <x:v>CA030</x:v>
      </x:c>
      <x:c r="D485" s="30" t="str">
        <x:v>Conduct standardized internal compliance inspections covering licences, pharmacist supervision, dispensing, storage, inventory, documentation, IT controls, customer safety, and regulatory obligations. Monitor corrective actions until closure.</x:v>
      </x:c>
      <x:c r="E485" s="30" t="str">
        <x:v>Verify ongoing regulatory compliance.</x:v>
      </x:c>
      <x:c r="F485" s="30" t="str">
        <x:v>Optional</x:v>
      </x:c>
      <x:c r="G485" s="30" t="str">
        <x:v>Quarterly</x:v>
      </x:c>
      <x:c r="H485" s="30"/>
      <x:c r="I485" s="30" t="str">
        <x:v>Internal Compliance Team</x:v>
      </x:c>
      <x:c r="J485" s="30" t="str">
        <x:v>Undetected compliance deficiencies</x:v>
      </x:c>
      <x:c r="K485" s="30" t="str">
        <x:v>High</x:v>
      </x:c>
      <x:c r="L485" s="30" t="str">
        <x:v>RETAIL</x:v>
      </x:c>
      <x:c r="M485" s="30" t="str">
        <x:v>Yes</x:v>
      </x:c>
      <x:c r="N485" s="30" t="str">
        <x:v>P-4 entity-specific internal control; no independent statutory force. Activate the exact underlying legal requirement separately.</x:v>
      </x:c>
    </x:row>
    <x:row r="486">
      <x:c r="A486" s="30" t="str">
        <x:v>RCOMP235</x:v>
      </x:c>
      <x:c r="B486" s="30" t="str">
        <x:v>RPROV235</x:v>
      </x:c>
      <x:c r="C486" s="30" t="str">
        <x:v>CA098</x:v>
      </x:c>
      <x:c r="D486" s="30" t="str">
        <x:v>Operate the Regulatory Escalation Matrix by classifying significant compliance events, notifying designated authorities, tracking escalations, and documenting management decisions through formal closure.</x:v>
      </x:c>
      <x:c r="E486" s="30" t="str">
        <x:v>Ensure timely escalation of regulatory events.</x:v>
      </x:c>
      <x:c r="F486" s="30" t="str">
        <x:v>Optional</x:v>
      </x:c>
      <x:c r="G486" s="30" t="str">
        <x:v>Every Significant Event</x:v>
      </x:c>
      <x:c r="H486" s="30"/>
      <x:c r="I486" s="30" t="str">
        <x:v>Compliance Officer</x:v>
      </x:c>
      <x:c r="J486" s="30" t="str">
        <x:v>Delayed escalation and regulatory action</x:v>
      </x:c>
      <x:c r="K486" s="30" t="str">
        <x:v>High</x:v>
      </x:c>
      <x:c r="L486" s="30" t="str">
        <x:v>RETAIL</x:v>
      </x:c>
      <x:c r="M486" s="30" t="str">
        <x:v>Yes</x:v>
      </x:c>
      <x:c r="N486" s="30" t="str">
        <x:v>P-4 entity-specific internal control; no independent statutory force. Activate the exact underlying legal requirement separately.</x:v>
      </x:c>
    </x:row>
    <x:row r="487">
      <x:c r="A487" s="30" t="str">
        <x:v>RCOMP236</x:v>
      </x:c>
      <x:c r="B487" s="30" t="str">
        <x:v>RPROV236</x:v>
      </x:c>
      <x:c r="C487" s="30" t="str">
        <x:v>CA033</x:v>
      </x:c>
      <x:c r="D487" s="30" t="str">
        <x:v>Apply consistent customer identity verification, complaint handling, documentation, privacy protection, and service quality standards across walk-in, website, mobile application, telephone, and home delivery channels.</x:v>
      </x:c>
      <x:c r="E487" s="30" t="str">
        <x:v>Standardize omnichannel customer compliance.</x:v>
      </x:c>
      <x:c r="F487" s="30" t="str">
        <x:v>Optional</x:v>
      </x:c>
      <x:c r="G487" s="30" t="str">
        <x:v>Continuous</x:v>
      </x:c>
      <x:c r="H487" s="30"/>
      <x:c r="I487" s="30" t="str">
        <x:v>Pharmacy Manager</x:v>
      </x:c>
      <x:c r="J487" s="30" t="str">
        <x:v>Inconsistent customer service</x:v>
      </x:c>
      <x:c r="K487" s="30" t="str">
        <x:v>Medium</x:v>
      </x:c>
      <x:c r="L487" s="30" t="str">
        <x:v>RETAIL</x:v>
      </x:c>
      <x:c r="M487" s="30" t="str">
        <x:v>Yes</x:v>
      </x:c>
      <x:c r="N487" s="30" t="str">
        <x:v>P-4 entity-specific internal control; no independent statutory force. Activate the exact underlying legal requirement separately.</x:v>
      </x:c>
    </x:row>
    <x:row r="488">
      <x:c r="A488" s="30" t="str">
        <x:v>RCOMP237</x:v>
      </x:c>
      <x:c r="B488" s="30" t="str">
        <x:v>RPROV237</x:v>
      </x:c>
      <x:c r="C488" s="30" t="str">
        <x:v>CA072</x:v>
      </x:c>
      <x:c r="D488" s="30" t="str">
        <x:v>Conduct annual inventory governance assessments covering procurement, storage, stock accuracy, expiry management, recalls, supplier performance, inventory security, analytics, and regulatory compliance.</x:v>
      </x:c>
      <x:c r="E488" s="30" t="str">
        <x:v>Strengthen strategic inventory governance.</x:v>
      </x:c>
      <x:c r="F488" s="30" t="str">
        <x:v>Optional</x:v>
      </x:c>
      <x:c r="G488" s="30" t="str">
        <x:v>Annual</x:v>
      </x:c>
      <x:c r="H488" s="30"/>
      <x:c r="I488" s="30" t="str">
        <x:v>Inventory Review Committee</x:v>
      </x:c>
      <x:c r="J488" s="30" t="str">
        <x:v>Weak inventory governance</x:v>
      </x:c>
      <x:c r="K488" s="30" t="str">
        <x:v>High</x:v>
      </x:c>
      <x:c r="L488" s="30" t="str">
        <x:v>RETAIL</x:v>
      </x:c>
      <x:c r="M488" s="30" t="str">
        <x:v>Yes</x:v>
      </x:c>
      <x:c r="N488" s="30" t="str">
        <x:v>P-4 entity-specific internal control; no independent statutory force. Activate the exact underlying legal requirement separately.</x:v>
      </x:c>
    </x:row>
    <x:row r="489">
      <x:c r="A489" s="30" t="str">
        <x:v>RCOMP238</x:v>
      </x:c>
      <x:c r="B489" s="30" t="str">
        <x:v>RPROV238</x:v>
      </x:c>
      <x:c r="C489" s="30" t="str">
        <x:v>CA044</x:v>
      </x:c>
      <x:c r="D489" s="30" t="str">
        <x:v>Perform annual management reviews of information security governance covering cybersecurity risks, access management, incident response, disaster recovery, audit findings, legal obligations, and improvement initiatives.</x:v>
      </x:c>
      <x:c r="E489" s="30" t="str">
        <x:v>Strengthen information security governance.</x:v>
      </x:c>
      <x:c r="F489" s="30" t="str">
        <x:v>Optional</x:v>
      </x:c>
      <x:c r="G489" s="30" t="str">
        <x:v>Annual</x:v>
      </x:c>
      <x:c r="H489" s="30"/>
      <x:c r="I489" s="30" t="str">
        <x:v>IT Administrator / Senior Management</x:v>
      </x:c>
      <x:c r="J489" s="30" t="str">
        <x:v>Information security failures</x:v>
      </x:c>
      <x:c r="K489" s="30" t="str">
        <x:v>High</x:v>
      </x:c>
      <x:c r="L489" s="30" t="str">
        <x:v>RETAIL</x:v>
      </x:c>
      <x:c r="M489" s="30" t="str">
        <x:v>Yes</x:v>
      </x:c>
      <x:c r="N489" s="30" t="str">
        <x:v>P-4 entity-specific internal control; no independent statutory force. Activate the exact underlying legal requirement separately.</x:v>
      </x:c>
    </x:row>
    <x:row r="490">
      <x:c r="A490" s="30" t="str">
        <x:v>RCOMP239</x:v>
      </x:c>
      <x:c r="B490" s="30" t="str">
        <x:v>RPROV239</x:v>
      </x:c>
      <x:c r="C490" s="30" t="str">
        <x:v>CA018</x:v>
      </x:c>
      <x:c r="D490" s="30" t="str">
        <x:v>Evaluate community healthcare initiatives by measuring participation, public benefit, regulatory compliance, programme outcomes, lessons learned, and opportunities for future improvement. Report results to management.</x:v>
      </x:c>
      <x:c r="E490" s="30" t="str">
        <x:v>Measure effectiveness of community healthcare programmes.</x:v>
      </x:c>
      <x:c r="F490" s="30" t="str">
        <x:v>Optional</x:v>
      </x:c>
      <x:c r="G490" s="30" t="str">
        <x:v>Annual / After Major Programme</x:v>
      </x:c>
      <x:c r="H490" s="30"/>
      <x:c r="I490" s="30" t="str">
        <x:v>Pharmacy Manager</x:v>
      </x:c>
      <x:c r="J490" s="30" t="str">
        <x:v>Ineffective public health initiatives</x:v>
      </x:c>
      <x:c r="K490" s="30" t="str">
        <x:v>Medium</x:v>
      </x:c>
      <x:c r="L490" s="30" t="str">
        <x:v>RETAIL</x:v>
      </x:c>
      <x:c r="M490" s="30" t="str">
        <x:v>Yes</x:v>
      </x:c>
      <x:c r="N490" s="30" t="str">
        <x:v>P-4 entity-specific internal control; no independent statutory force. Activate the exact underlying legal requirement separately.</x:v>
      </x:c>
    </x:row>
    <x:row r="491">
      <x:c r="A491" s="30" t="str">
        <x:v>RCOMP240</x:v>
      </x:c>
      <x:c r="B491" s="30" t="str">
        <x:v>RPROV240</x:v>
      </x:c>
      <x:c r="C491" s="30" t="str">
        <x:v>CA033</x:v>
      </x:c>
      <x:c r="D491" s="30" t="str">
        <x:v>Maintain and annually review the Retail Pharmacy Regulatory Excellence Framework integrating governance, legal compliance, patient safety, dispensing quality, inventory management, information security, audits, inspections, risk management, training, performance monitoring, regulatory reporting, and continuous improvement. Obtain formal senior management approval for each review cycle.</x:v>
      </x:c>
      <x:c r="E491" s="30" t="str">
        <x:v>Sustain enterprise-wide regulatory excellence.</x:v>
      </x:c>
      <x:c r="F491" s="30" t="str">
        <x:v>Optional</x:v>
      </x:c>
      <x:c r="G491" s="30" t="str">
        <x:v>Annual</x:v>
      </x:c>
      <x:c r="H491" s="30"/>
      <x:c r="I491" s="30" t="str">
        <x:v>Senior Management / Compliance Officer</x:v>
      </x:c>
      <x:c r="J491" s="30" t="str">
        <x:v>Enterprise-wide compliance failure</x:v>
      </x:c>
      <x:c r="K491" s="30" t="str">
        <x:v>High</x:v>
      </x:c>
      <x:c r="L491" s="30" t="str">
        <x:v>RETAIL</x:v>
      </x:c>
      <x:c r="M491" s="30" t="str">
        <x:v>Yes</x:v>
      </x:c>
      <x:c r="N491" s="30" t="str">
        <x:v>P-4 entity-specific internal control; no independent statutory force. Activate the exact underlying legal requirement separately.</x:v>
      </x:c>
    </x:row>
    <x:row r="492">
      <x:c r="A492" s="30" t="str">
        <x:v>WCOMP001</x:v>
      </x:c>
      <x:c r="B492" s="30" t="str">
        <x:v>WPROV001</x:v>
      </x:c>
      <x:c r="C492" s="30" t="str">
        <x:v>CA008</x:v>
      </x:c>
      <x:c r="D492" s="30" t="str">
        <x:v>Maintain segregated warehouse zones for quarantine, saleable, returned, damaged and expired medicines.</x:v>
      </x:c>
      <x:c r="E492" s="30" t="str">
        <x:v>Prevent stock mix-up and ensure GDP compliance.</x:v>
      </x:c>
      <x:c r="F492" s="30" t="str">
        <x:v>Optional</x:v>
      </x:c>
      <x:c r="G492" s="30" t="str">
        <x:v>Continuous</x:v>
      </x:c>
      <x:c r="H492" s="30"/>
      <x:c r="I492" s="30" t="str">
        <x:v>Warehouse Manager</x:v>
      </x:c>
      <x:c r="J492" s="30" t="str">
        <x:v>Regulatory action and inventory contamination.</x:v>
      </x:c>
      <x:c r="K492" s="30" t="str">
        <x:v>High</x:v>
      </x:c>
      <x:c r="L492" s="30" t="str">
        <x:v>WHOLESALE</x:v>
      </x:c>
      <x:c r="M492" s="30" t="str">
        <x:v>Yes</x:v>
      </x:c>
      <x:c r="N492" s="30" t="str">
        <x:v>P-4 entity-specific internal control; no independent statutory force. Activate the exact underlying legal requirement separately.</x:v>
      </x:c>
    </x:row>
    <x:row r="493">
      <x:c r="A493" s="30" t="str">
        <x:v>WCOMP002</x:v>
      </x:c>
      <x:c r="B493" s="30" t="str">
        <x:v>WPROV002</x:v>
      </x:c>
      <x:c r="C493" s="30" t="str">
        <x:v>CA084</x:v>
      </x:c>
      <x:c r="D493" s="30" t="str">
        <x:v>Authorize every wholesale dispatch before release.</x:v>
      </x:c>
      <x:c r="E493" s="30" t="str">
        <x:v>Ensure only compliant dispatches leave the warehouse.</x:v>
      </x:c>
      <x:c r="F493" s="30" t="str">
        <x:v>Optional</x:v>
      </x:c>
      <x:c r="G493" s="30" t="str">
        <x:v>Every Dispatch</x:v>
      </x:c>
      <x:c r="H493" s="30"/>
      <x:c r="I493" s="30" t="str">
        <x:v>Responsible Pharmacist</x:v>
      </x:c>
      <x:c r="J493" s="30" t="str">
        <x:v>Unauthorized medicine distribution.</x:v>
      </x:c>
      <x:c r="K493" s="30" t="str">
        <x:v>High</x:v>
      </x:c>
      <x:c r="L493" s="30" t="str">
        <x:v>WHOLESALE</x:v>
      </x:c>
      <x:c r="M493" s="30" t="str">
        <x:v>Yes</x:v>
      </x:c>
      <x:c r="N493" s="30" t="str">
        <x:v>P-4 entity-specific internal control; no independent statutory force. Activate the exact underlying legal requirement separately.</x:v>
      </x:c>
    </x:row>
    <x:row r="494">
      <x:c r="A494" s="30" t="str">
        <x:v>WCOMP003</x:v>
      </x:c>
      <x:c r="B494" s="30" t="str">
        <x:v>WPROV003</x:v>
      </x:c>
      <x:c r="C494" s="30" t="str">
        <x:v>CA084</x:v>
      </x:c>
      <x:c r="D494" s="30" t="str">
        <x:v>Verify purchaser drug licence before supplying medicines.</x:v>
      </x:c>
      <x:c r="E494" s="30" t="str">
        <x:v>Prevent supply to unauthorized entities.</x:v>
      </x:c>
      <x:c r="F494" s="30" t="str">
        <x:v>Optional</x:v>
      </x:c>
      <x:c r="G494" s="30" t="str">
        <x:v>Before Supply &amp; Periodic Review</x:v>
      </x:c>
      <x:c r="H494" s="30"/>
      <x:c r="I494" s="30" t="str">
        <x:v>Sales Manager</x:v>
      </x:c>
      <x:c r="J494" s="30" t="str">
        <x:v>Illegal distribution and licence violation.</x:v>
      </x:c>
      <x:c r="K494" s="30" t="str">
        <x:v>High</x:v>
      </x:c>
      <x:c r="L494" s="30" t="str">
        <x:v>WHOLESALE</x:v>
      </x:c>
      <x:c r="M494" s="30" t="str">
        <x:v>Yes</x:v>
      </x:c>
      <x:c r="N494" s="30" t="str">
        <x:v>P-4 entity-specific internal control; no independent statutory force. Activate the exact underlying legal requirement separately.</x:v>
      </x:c>
    </x:row>
    <x:row r="495">
      <x:c r="A495" s="30" t="str">
        <x:v>WCOMP004</x:v>
      </x:c>
      <x:c r="B495" s="30" t="str">
        <x:v>WPROV004</x:v>
      </x:c>
      <x:c r="C495" s="30" t="str">
        <x:v>CA049</x:v>
      </x:c>
      <x:c r="D495" s="30" t="str">
        <x:v>Maintain complete batch-level traceability for all inward and outward stock.</x:v>
      </x:c>
      <x:c r="E495" s="30" t="str">
        <x:v>Enable efficient product recall.</x:v>
      </x:c>
      <x:c r="F495" s="30" t="str">
        <x:v>Optional</x:v>
      </x:c>
      <x:c r="G495" s="30" t="str">
        <x:v>Continuous</x:v>
      </x:c>
      <x:c r="H495" s="30"/>
      <x:c r="I495" s="30" t="str">
        <x:v>Inventory Manager</x:v>
      </x:c>
      <x:c r="J495" s="30" t="str">
        <x:v>Recall failure and regulatory non-compliance.</x:v>
      </x:c>
      <x:c r="K495" s="30" t="str">
        <x:v>High</x:v>
      </x:c>
      <x:c r="L495" s="30" t="str">
        <x:v>WHOLESALE</x:v>
      </x:c>
      <x:c r="M495" s="30" t="str">
        <x:v>Yes</x:v>
      </x:c>
      <x:c r="N495" s="30" t="str">
        <x:v>P-4 entity-specific internal control; no independent statutory force. Activate the exact underlying legal requirement separately.</x:v>
      </x:c>
    </x:row>
    <x:row r="496">
      <x:c r="A496" s="30" t="str">
        <x:v>WCOMP005</x:v>
      </x:c>
      <x:c r="B496" s="30" t="str">
        <x:v>WPROV005</x:v>
      </x:c>
      <x:c r="C496" s="30" t="str">
        <x:v>CA021</x:v>
      </x:c>
      <x:c r="D496" s="30" t="str">
        <x:v>Issue medicines using FEFO principles.</x:v>
      </x:c>
      <x:c r="E496" s="30" t="str">
        <x:v>Reduce expiry losses and ensure product quality.</x:v>
      </x:c>
      <x:c r="F496" s="30" t="str">
        <x:v>Optional</x:v>
      </x:c>
      <x:c r="G496" s="30" t="str">
        <x:v>Every Issue</x:v>
      </x:c>
      <x:c r="H496" s="30"/>
      <x:c r="I496" s="30" t="str">
        <x:v>Store Supervisor</x:v>
      </x:c>
      <x:c r="J496" s="30" t="str">
        <x:v>Expired medicine distribution.</x:v>
      </x:c>
      <x:c r="K496" s="30" t="str">
        <x:v>High</x:v>
      </x:c>
      <x:c r="L496" s="30" t="str">
        <x:v>WHOLESALE</x:v>
      </x:c>
      <x:c r="M496" s="30" t="str">
        <x:v>Yes</x:v>
      </x:c>
      <x:c r="N496" s="30" t="str">
        <x:v>P-4 entity-specific internal control; no independent statutory force. Activate the exact underlying legal requirement separately.</x:v>
      </x:c>
    </x:row>
    <x:row r="497">
      <x:c r="A497" s="30" t="str">
        <x:v>WCOMP006</x:v>
      </x:c>
      <x:c r="B497" s="30" t="str">
        <x:v>WPROV006</x:v>
      </x:c>
      <x:c r="C497" s="30" t="str">
        <x:v>CA049</x:v>
      </x:c>
      <x:c r="D497" s="30" t="str">
        <x:v>Conduct documented warehouse temperature mapping.</x:v>
      </x:c>
      <x:c r="E497" s="30" t="str">
        <x:v>Validate storage suitability.</x:v>
      </x:c>
      <x:c r="F497" s="30" t="str">
        <x:v>Optional</x:v>
      </x:c>
      <x:c r="G497" s="30" t="str">
        <x:v>Initial &amp; After Major Changes</x:v>
      </x:c>
      <x:c r="H497" s="30"/>
      <x:c r="I497" s="30" t="str">
        <x:v>QA Manager</x:v>
      </x:c>
      <x:c r="J497" s="30" t="str">
        <x:v>Improper storage conditions.</x:v>
      </x:c>
      <x:c r="K497" s="30" t="str">
        <x:v>High</x:v>
      </x:c>
      <x:c r="L497" s="30" t="str">
        <x:v>WHOLESALE</x:v>
      </x:c>
      <x:c r="M497" s="30" t="str">
        <x:v>Yes</x:v>
      </x:c>
      <x:c r="N497" s="30" t="str">
        <x:v>P-4 entity-specific internal control; no independent statutory force. Activate the exact underlying legal requirement separately.</x:v>
      </x:c>
    </x:row>
    <x:row r="498">
      <x:c r="A498" s="30" t="str">
        <x:v>WCOMP007</x:v>
      </x:c>
      <x:c r="B498" s="30" t="str">
        <x:v>WPROV007</x:v>
      </x:c>
      <x:c r="C498" s="30" t="str">
        <x:v>CA056</x:v>
      </x:c>
      <x:c r="D498" s="30" t="str">
        <x:v>Maintain validated cold-chain conditions during storage and transport.</x:v>
      </x:c>
      <x:c r="E498" s="30" t="str">
        <x:v>Preserve temperature-sensitive medicines.</x:v>
      </x:c>
      <x:c r="F498" s="30" t="str">
        <x:v>Optional</x:v>
      </x:c>
      <x:c r="G498" s="30" t="str">
        <x:v>Continuous</x:v>
      </x:c>
      <x:c r="H498" s="30"/>
      <x:c r="I498" s="30" t="str">
        <x:v>Cold Chain Supervisor</x:v>
      </x:c>
      <x:c r="J498" s="30" t="str">
        <x:v>Product quality degradation.</x:v>
      </x:c>
      <x:c r="K498" s="30" t="str">
        <x:v>High</x:v>
      </x:c>
      <x:c r="L498" s="30" t="str">
        <x:v>WHOLESALE</x:v>
      </x:c>
      <x:c r="M498" s="30" t="str">
        <x:v>Yes</x:v>
      </x:c>
      <x:c r="N498" s="30" t="str">
        <x:v>P-4 entity-specific internal control; no independent statutory force. Activate the exact underlying legal requirement separately.</x:v>
      </x:c>
    </x:row>
    <x:row r="499">
      <x:c r="A499" s="30" t="str">
        <x:v>WCOMP008</x:v>
      </x:c>
      <x:c r="B499" s="30" t="str">
        <x:v>WPROV008</x:v>
      </x:c>
      <x:c r="C499" s="30" t="str">
        <x:v>CA056</x:v>
      </x:c>
      <x:c r="D499" s="30" t="str">
        <x:v>Qualify and maintain vehicles used for medicine distribution.</x:v>
      </x:c>
      <x:c r="E499" s="30" t="str">
        <x:v>Ensure safe pharmaceutical transportation.</x:v>
      </x:c>
      <x:c r="F499" s="30" t="str">
        <x:v>Optional</x:v>
      </x:c>
      <x:c r="G499" s="30" t="str">
        <x:v>Annual &amp; Before Use</x:v>
      </x:c>
      <x:c r="H499" s="30"/>
      <x:c r="I499" s="30" t="str">
        <x:v>Logistics Manager</x:v>
      </x:c>
      <x:c r="J499" s="30" t="str">
        <x:v>Product damage during transport.</x:v>
      </x:c>
      <x:c r="K499" s="30" t="str">
        <x:v>Medium</x:v>
      </x:c>
      <x:c r="L499" s="30" t="str">
        <x:v>WHOLESALE</x:v>
      </x:c>
      <x:c r="M499" s="30" t="str">
        <x:v>Yes</x:v>
      </x:c>
      <x:c r="N499" s="30" t="str">
        <x:v>P-4 entity-specific internal control; no independent statutory force. Activate the exact underlying legal requirement separately.</x:v>
      </x:c>
    </x:row>
    <x:row r="500">
      <x:c r="A500" s="30" t="str">
        <x:v>WCOMP009</x:v>
      </x:c>
      <x:c r="B500" s="30" t="str">
        <x:v>WPROV009</x:v>
      </x:c>
      <x:c r="C500" s="30" t="str">
        <x:v>CA063</x:v>
      </x:c>
      <x:c r="D500" s="30" t="str">
        <x:v>Maintain complete dispatch and delivery documentation.</x:v>
      </x:c>
      <x:c r="E500" s="30" t="str">
        <x:v>Ensure shipment traceability.</x:v>
      </x:c>
      <x:c r="F500" s="30" t="str">
        <x:v>Optional</x:v>
      </x:c>
      <x:c r="G500" s="30" t="str">
        <x:v>Every Dispatch</x:v>
      </x:c>
      <x:c r="H500" s="30"/>
      <x:c r="I500" s="30" t="str">
        <x:v>Dispatch Supervisor</x:v>
      </x:c>
      <x:c r="J500" s="30" t="str">
        <x:v>Incomplete audit trail.</x:v>
      </x:c>
      <x:c r="K500" s="30" t="str">
        <x:v>Medium</x:v>
      </x:c>
      <x:c r="L500" s="30" t="str">
        <x:v>WHOLESALE</x:v>
      </x:c>
      <x:c r="M500" s="30" t="str">
        <x:v>Yes</x:v>
      </x:c>
      <x:c r="N500" s="30" t="str">
        <x:v>P-4 entity-specific internal control; no independent statutory force. Activate the exact underlying legal requirement separately.</x:v>
      </x:c>
    </x:row>
    <x:row r="501">
      <x:c r="A501" s="30" t="str">
        <x:v>WCOMP010</x:v>
      </x:c>
      <x:c r="B501" s="30" t="str">
        <x:v>WPROV010</x:v>
      </x:c>
      <x:c r="C501" s="30" t="str">
        <x:v>CA077</x:v>
      </x:c>
      <x:c r="D501" s="30" t="str">
        <x:v>Evaluate all returned medicines before disposition.</x:v>
      </x:c>
      <x:c r="E501" s="30" t="str">
        <x:v>Prevent redistribution of unsuitable products.</x:v>
      </x:c>
      <x:c r="F501" s="30" t="str">
        <x:v>Optional</x:v>
      </x:c>
      <x:c r="G501" s="30" t="str">
        <x:v>Every Return</x:v>
      </x:c>
      <x:c r="H501" s="30"/>
      <x:c r="I501" s="30" t="str">
        <x:v>QA Pharmacist</x:v>
      </x:c>
      <x:c r="J501" s="30" t="str">
        <x:v>Unsafe medicine redistribution.</x:v>
      </x:c>
      <x:c r="K501" s="30" t="str">
        <x:v>High</x:v>
      </x:c>
      <x:c r="L501" s="30" t="str">
        <x:v>WHOLESALE</x:v>
      </x:c>
      <x:c r="M501" s="30" t="str">
        <x:v>Yes</x:v>
      </x:c>
      <x:c r="N501" s="30" t="str">
        <x:v>P-4 entity-specific internal control; no independent statutory force. Activate the exact underlying legal requirement separately.</x:v>
      </x:c>
    </x:row>
    <x:row r="502">
      <x:c r="A502" s="30" t="str">
        <x:v>WCOMP011</x:v>
      </x:c>
      <x:c r="B502" s="30" t="str">
        <x:v>WPROV011</x:v>
      </x:c>
      <x:c r="C502" s="30" t="str">
        <x:v>CA056</x:v>
      </x:c>
      <x:c r="D502" s="30" t="str">
        <x:v>Maintain documented recall execution procedures.</x:v>
      </x:c>
      <x:c r="E502" s="30" t="str">
        <x:v>Ensure rapid recall implementation.</x:v>
      </x:c>
      <x:c r="F502" s="30" t="str">
        <x:v>Optional</x:v>
      </x:c>
      <x:c r="G502" s="30" t="str">
        <x:v>Annual Review &amp; During Recall</x:v>
      </x:c>
      <x:c r="H502" s="30"/>
      <x:c r="I502" s="30" t="str">
        <x:v>Quality Head</x:v>
      </x:c>
      <x:c r="J502" s="30" t="str">
        <x:v>Delayed recall response.</x:v>
      </x:c>
      <x:c r="K502" s="30" t="str">
        <x:v>High</x:v>
      </x:c>
      <x:c r="L502" s="30" t="str">
        <x:v>WHOLESALE</x:v>
      </x:c>
      <x:c r="M502" s="30" t="str">
        <x:v>Yes</x:v>
      </x:c>
      <x:c r="N502" s="30" t="str">
        <x:v>P-4 entity-specific internal control; no independent statutory force. Activate the exact underlying legal requirement separately.</x:v>
      </x:c>
    </x:row>
    <x:row r="503">
      <x:c r="A503" s="30" t="str">
        <x:v>WCOMP012</x:v>
      </x:c>
      <x:c r="B503" s="30" t="str">
        <x:v>WPROV012</x:v>
      </x:c>
      <x:c r="C503" s="30" t="str">
        <x:v>CA038</x:v>
      </x:c>
      <x:c r="D503" s="30" t="str">
        <x:v>Procure medicines only from approved suppliers.</x:v>
      </x:c>
      <x:c r="E503" s="30" t="str">
        <x:v>Maintain supply chain integrity.</x:v>
      </x:c>
      <x:c r="F503" s="30" t="str">
        <x:v>Optional</x:v>
      </x:c>
      <x:c r="G503" s="30" t="str">
        <x:v>Every Procurement</x:v>
      </x:c>
      <x:c r="H503" s="30"/>
      <x:c r="I503" s="30" t="str">
        <x:v>Procurement Manager</x:v>
      </x:c>
      <x:c r="J503" s="30" t="str">
        <x:v>Counterfeit or substandard procurement.</x:v>
      </x:c>
      <x:c r="K503" s="30" t="str">
        <x:v>High</x:v>
      </x:c>
      <x:c r="L503" s="30" t="str">
        <x:v>WHOLESALE</x:v>
      </x:c>
      <x:c r="M503" s="30" t="str">
        <x:v>Yes</x:v>
      </x:c>
      <x:c r="N503" s="30" t="str">
        <x:v>P-4 entity-specific internal control; no independent statutory force. Activate the exact underlying legal requirement separately.</x:v>
      </x:c>
    </x:row>
    <x:row r="504">
      <x:c r="A504" s="30" t="str">
        <x:v>WCOMP013</x:v>
      </x:c>
      <x:c r="B504" s="30" t="str">
        <x:v>WPROV013</x:v>
      </x:c>
      <x:c r="C504" s="30" t="str">
        <x:v>CA038</x:v>
      </x:c>
      <x:c r="D504" s="30" t="str">
        <x:v>Investigate and close distribution-related complaints.</x:v>
      </x:c>
      <x:c r="E504" s="30" t="str">
        <x:v>Improve quality management.</x:v>
      </x:c>
      <x:c r="F504" s="30" t="str">
        <x:v>Optional</x:v>
      </x:c>
      <x:c r="G504" s="30" t="str">
        <x:v>As Required</x:v>
      </x:c>
      <x:c r="H504" s="30"/>
      <x:c r="I504" s="30" t="str">
        <x:v>QA Manager</x:v>
      </x:c>
      <x:c r="J504" s="30" t="str">
        <x:v>Repeat quality failures.</x:v>
      </x:c>
      <x:c r="K504" s="30" t="str">
        <x:v>Medium</x:v>
      </x:c>
      <x:c r="L504" s="30" t="str">
        <x:v>WHOLESALE</x:v>
      </x:c>
      <x:c r="M504" s="30" t="str">
        <x:v>Yes</x:v>
      </x:c>
      <x:c r="N504" s="30" t="str">
        <x:v>P-4 entity-specific internal control; no independent statutory force. Activate the exact underlying legal requirement separately.</x:v>
      </x:c>
    </x:row>
    <x:row r="505">
      <x:c r="A505" s="30" t="str">
        <x:v>WCOMP014</x:v>
      </x:c>
      <x:c r="B505" s="30" t="str">
        <x:v>WPROV014</x:v>
      </x:c>
      <x:c r="C505" s="30" t="str">
        <x:v>CA077</x:v>
      </x:c>
      <x:c r="D505" s="30" t="str">
        <x:v>Conduct documented distribution risk assessments.</x:v>
      </x:c>
      <x:c r="E505" s="30" t="str">
        <x:v>Identify and mitigate operational risks.</x:v>
      </x:c>
      <x:c r="F505" s="30" t="str">
        <x:v>Optional</x:v>
      </x:c>
      <x:c r="G505" s="30" t="str">
        <x:v>Annual</x:v>
      </x:c>
      <x:c r="H505" s="30"/>
      <x:c r="I505" s="30" t="str">
        <x:v>Compliance Officer</x:v>
      </x:c>
      <x:c r="J505" s="30" t="str">
        <x:v>Undetected operational risks.</x:v>
      </x:c>
      <x:c r="K505" s="30" t="str">
        <x:v>Medium</x:v>
      </x:c>
      <x:c r="L505" s="30" t="str">
        <x:v>WHOLESALE</x:v>
      </x:c>
      <x:c r="M505" s="30" t="str">
        <x:v>Yes</x:v>
      </x:c>
      <x:c r="N505" s="30" t="str">
        <x:v>P-4 entity-specific internal control; no independent statutory force. Activate the exact underlying legal requirement separately.</x:v>
      </x:c>
    </x:row>
    <x:row r="506">
      <x:c r="A506" s="30" t="str">
        <x:v>WCOMP015</x:v>
      </x:c>
      <x:c r="B506" s="30" t="str">
        <x:v>WPROV015</x:v>
      </x:c>
      <x:c r="C506" s="30" t="str">
        <x:v>CA042</x:v>
      </x:c>
      <x:c r="D506" s="30" t="str">
        <x:v>Maintain physical warehouse security controls.</x:v>
      </x:c>
      <x:c r="E506" s="30" t="str">
        <x:v>Prevent theft and tampering.</x:v>
      </x:c>
      <x:c r="F506" s="30" t="str">
        <x:v>Optional</x:v>
      </x:c>
      <x:c r="G506" s="30" t="str">
        <x:v>Continuous</x:v>
      </x:c>
      <x:c r="H506" s="30"/>
      <x:c r="I506" s="30" t="str">
        <x:v>Facility Manager</x:v>
      </x:c>
      <x:c r="J506" s="30" t="str">
        <x:v>Product diversion and theft.</x:v>
      </x:c>
      <x:c r="K506" s="30" t="str">
        <x:v>Medium</x:v>
      </x:c>
      <x:c r="L506" s="30" t="str">
        <x:v>WHOLESALE</x:v>
      </x:c>
      <x:c r="M506" s="30" t="str">
        <x:v>Yes</x:v>
      </x:c>
      <x:c r="N506" s="30" t="str">
        <x:v>P-4 entity-specific internal control; no independent statutory force. Activate the exact underlying legal requirement separately.</x:v>
      </x:c>
    </x:row>
    <x:row r="507">
      <x:c r="A507" s="30" t="str">
        <x:v>WCOMP016</x:v>
      </x:c>
      <x:c r="B507" s="30" t="str">
        <x:v>WPROV016</x:v>
      </x:c>
      <x:c r="C507" s="30" t="str">
        <x:v>CA043</x:v>
      </x:c>
      <x:c r="D507" s="30" t="str">
        <x:v>Verify effectiveness of pest control programme.</x:v>
      </x:c>
      <x:c r="E507" s="30" t="str">
        <x:v>Protect medicine quality.</x:v>
      </x:c>
      <x:c r="F507" s="30" t="str">
        <x:v>Optional</x:v>
      </x:c>
      <x:c r="G507" s="30" t="str">
        <x:v>Monthly</x:v>
      </x:c>
      <x:c r="H507" s="30"/>
      <x:c r="I507" s="30" t="str">
        <x:v>Facility Manager</x:v>
      </x:c>
      <x:c r="J507" s="30" t="str">
        <x:v>Product contamination.</x:v>
      </x:c>
      <x:c r="K507" s="30" t="str">
        <x:v>Medium</x:v>
      </x:c>
      <x:c r="L507" s="30" t="str">
        <x:v>WHOLESALE</x:v>
      </x:c>
      <x:c r="M507" s="30" t="str">
        <x:v>Yes</x:v>
      </x:c>
      <x:c r="N507" s="30" t="str">
        <x:v>P-4 entity-specific internal control; no independent statutory force. Activate the exact underlying legal requirement separately.</x:v>
      </x:c>
    </x:row>
    <x:row r="508">
      <x:c r="A508" s="30" t="str">
        <x:v>WCOMP017</x:v>
      </x:c>
      <x:c r="B508" s="30" t="str">
        <x:v>WPROV017</x:v>
      </x:c>
      <x:c r="C508" s="30" t="str">
        <x:v>CA004</x:v>
      </x:c>
      <x:c r="D508" s="30" t="str">
        <x:v>Validate warehouse cleaning procedures.</x:v>
      </x:c>
      <x:c r="E508" s="30" t="str">
        <x:v>Maintain hygienic storage environment.</x:v>
      </x:c>
      <x:c r="F508" s="30" t="str">
        <x:v>Optional</x:v>
      </x:c>
      <x:c r="G508" s="30" t="str">
        <x:v>Quarterly</x:v>
      </x:c>
      <x:c r="H508" s="30"/>
      <x:c r="I508" s="30" t="str">
        <x:v>Warehouse Supervisor</x:v>
      </x:c>
      <x:c r="J508" s="30" t="str">
        <x:v>Hygiene failures.</x:v>
      </x:c>
      <x:c r="K508" s="30" t="str">
        <x:v>Medium</x:v>
      </x:c>
      <x:c r="L508" s="30" t="str">
        <x:v>WHOLESALE</x:v>
      </x:c>
      <x:c r="M508" s="30" t="str">
        <x:v>Yes</x:v>
      </x:c>
      <x:c r="N508" s="30" t="str">
        <x:v>P-4 entity-specific internal control; no independent statutory force. Activate the exact underlying legal requirement separately.</x:v>
      </x:c>
    </x:row>
    <x:row r="509">
      <x:c r="A509" s="30" t="str">
        <x:v>WCOMP018</x:v>
      </x:c>
      <x:c r="B509" s="30" t="str">
        <x:v>WPROV018</x:v>
      </x:c>
      <x:c r="C509" s="30" t="str">
        <x:v>CA063</x:v>
      </x:c>
      <x:c r="D509" s="30" t="str">
        <x:v>Perform inventory reconciliation and investigate discrepancies.</x:v>
      </x:c>
      <x:c r="E509" s="30" t="str">
        <x:v>Maintain inventory integrity.</x:v>
      </x:c>
      <x:c r="F509" s="30" t="str">
        <x:v>Optional</x:v>
      </x:c>
      <x:c r="G509" s="30" t="str">
        <x:v>Monthly</x:v>
      </x:c>
      <x:c r="H509" s="30"/>
      <x:c r="I509" s="30" t="str">
        <x:v>Inventory Manager</x:v>
      </x:c>
      <x:c r="J509" s="30" t="str">
        <x:v>Inventory diversion or losses.</x:v>
      </x:c>
      <x:c r="K509" s="30" t="str">
        <x:v>High</x:v>
      </x:c>
      <x:c r="L509" s="30" t="str">
        <x:v>WHOLESALE</x:v>
      </x:c>
      <x:c r="M509" s="30" t="str">
        <x:v>Yes</x:v>
      </x:c>
      <x:c r="N509" s="30" t="str">
        <x:v>P-4 entity-specific internal control; no independent statutory force. Activate the exact underlying legal requirement separately.</x:v>
      </x:c>
    </x:row>
    <x:row r="510">
      <x:c r="A510" s="30" t="str">
        <x:v>WCOMP019</x:v>
      </x:c>
      <x:c r="B510" s="30" t="str">
        <x:v>WPROV019</x:v>
      </x:c>
      <x:c r="C510" s="30" t="str">
        <x:v>CA005</x:v>
      </x:c>
      <x:c r="D510" s="30" t="str">
        <x:v>Ensure GDP competency training for all wholesale staff.</x:v>
      </x:c>
      <x:c r="E510" s="30" t="str">
        <x:v>Maintain competent workforce.</x:v>
      </x:c>
      <x:c r="F510" s="30" t="str">
        <x:v>Optional</x:v>
      </x:c>
      <x:c r="G510" s="30" t="str">
        <x:v>Annual &amp; Induction</x:v>
      </x:c>
      <x:c r="H510" s="30"/>
      <x:c r="I510" s="30" t="str">
        <x:v>HR &amp; QA Manager</x:v>
      </x:c>
      <x:c r="J510" s="30" t="str">
        <x:v>Human error and compliance failures.</x:v>
      </x:c>
      <x:c r="K510" s="30" t="str">
        <x:v>Medium</x:v>
      </x:c>
      <x:c r="L510" s="30" t="str">
        <x:v>WHOLESALE</x:v>
      </x:c>
      <x:c r="M510" s="30" t="str">
        <x:v>Yes</x:v>
      </x:c>
      <x:c r="N510" s="30" t="str">
        <x:v>P-4 entity-specific internal control; no independent statutory force. Activate the exact underlying legal requirement separately.</x:v>
      </x:c>
    </x:row>
    <x:row r="511">
      <x:c r="A511" s="30" t="str">
        <x:v>WCOMP020</x:v>
      </x:c>
      <x:c r="B511" s="30" t="str">
        <x:v>WPROV020</x:v>
      </x:c>
      <x:c r="C511" s="30" t="str">
        <x:v>CA064</x:v>
      </x:c>
      <x:c r="D511" s="30" t="str">
        <x:v>Conduct periodic management review of distribution quality performance.</x:v>
      </x:c>
      <x:c r="E511" s="30" t="str">
        <x:v>Drive continual compliance improvement.</x:v>
      </x:c>
      <x:c r="F511" s="30" t="str">
        <x:v>Optional</x:v>
      </x:c>
      <x:c r="G511" s="30" t="str">
        <x:v>Quarterly</x:v>
      </x:c>
      <x:c r="H511" s="30"/>
      <x:c r="I511" s="30" t="str">
        <x:v>Senior Management</x:v>
      </x:c>
      <x:c r="J511" s="30" t="str">
        <x:v>Ineffective quality governance.</x:v>
      </x:c>
      <x:c r="K511" s="30" t="str">
        <x:v>Medium</x:v>
      </x:c>
      <x:c r="L511" s="30" t="str">
        <x:v>WHOLESALE</x:v>
      </x:c>
      <x:c r="M511" s="30" t="str">
        <x:v>Yes</x:v>
      </x:c>
      <x:c r="N511" s="30" t="str">
        <x:v>P-4 entity-specific internal control; no independent statutory force. Activate the exact underlying legal requirement separately.</x:v>
      </x:c>
    </x:row>
    <x:row r="512">
      <x:c r="A512" s="30" t="str">
        <x:v>HOSCOMP001</x:v>
      </x:c>
      <x:c r="B512" s="30" t="str">
        <x:v>HOSPROV001</x:v>
      </x:c>
      <x:c r="C512" s="30" t="str">
        <x:v>CA064</x:v>
      </x:c>
      <x:c r="D512" s="30" t="str">
        <x:v>Verify every inpatient medication order before dispensing.</x:v>
      </x:c>
      <x:c r="E512" s="30" t="str">
        <x:v>Prevent medication errors before patient administration.</x:v>
      </x:c>
      <x:c r="F512" s="30" t="str">
        <x:v>Optional</x:v>
      </x:c>
      <x:c r="G512" s="30" t="str">
        <x:v>Every Prescription</x:v>
      </x:c>
      <x:c r="H512" s="30"/>
      <x:c r="I512" s="30" t="str">
        <x:v>Registered Pharmacist</x:v>
      </x:c>
      <x:c r="J512" s="30" t="str">
        <x:v>Incorrect medication therapy.</x:v>
      </x:c>
      <x:c r="K512" s="30" t="str">
        <x:v>High</x:v>
      </x:c>
      <x:c r="L512" s="30" t="str">
        <x:v>HOSPITAL</x:v>
      </x:c>
      <x:c r="M512" s="30" t="str">
        <x:v>Yes</x:v>
      </x:c>
      <x:c r="N512" s="30" t="str">
        <x:v>P-4 entity-specific internal control; no independent statutory force. Activate the exact underlying legal requirement separately.</x:v>
      </x:c>
    </x:row>
    <x:row r="513">
      <x:c r="A513" s="30" t="str">
        <x:v>HOSCOMP002</x:v>
      </x:c>
      <x:c r="B513" s="30" t="str">
        <x:v>HOSPROV002</x:v>
      </x:c>
      <x:c r="C513" s="30" t="str">
        <x:v>CA064</x:v>
      </x:c>
      <x:c r="D513" s="30" t="str">
        <x:v>Maintain documented ward stock issue, return and reconciliation records.</x:v>
      </x:c>
      <x:c r="E513" s="30" t="str">
        <x:v>Ensure accountability of ward medicines.</x:v>
      </x:c>
      <x:c r="F513" s="30" t="str">
        <x:v>Optional</x:v>
      </x:c>
      <x:c r="G513" s="30" t="str">
        <x:v>Daily</x:v>
      </x:c>
      <x:c r="H513" s="30"/>
      <x:c r="I513" s="30" t="str">
        <x:v>Ward Pharmacist</x:v>
      </x:c>
      <x:c r="J513" s="30" t="str">
        <x:v>Stock discrepancies and diversion.</x:v>
      </x:c>
      <x:c r="K513" s="30" t="str">
        <x:v>High</x:v>
      </x:c>
      <x:c r="L513" s="30" t="str">
        <x:v>HOSPITAL</x:v>
      </x:c>
      <x:c r="M513" s="30" t="str">
        <x:v>Yes</x:v>
      </x:c>
      <x:c r="N513" s="30" t="str">
        <x:v>P-4 entity-specific internal control; no independent statutory force. Activate the exact underlying legal requirement separately.</x:v>
      </x:c>
    </x:row>
    <x:row r="514">
      <x:c r="A514" s="30" t="str">
        <x:v>HOSCOMP003</x:v>
      </x:c>
      <x:c r="B514" s="30" t="str">
        <x:v>HOSPROV003</x:v>
      </x:c>
      <x:c r="C514" s="30" t="str">
        <x:v>CA064</x:v>
      </x:c>
      <x:c r="D514" s="30" t="str">
        <x:v>Dispense medicines only against authorized patient-specific medication orders.</x:v>
      </x:c>
      <x:c r="E514" s="30" t="str">
        <x:v>Ensure traceable patient-specific dispensing.</x:v>
      </x:c>
      <x:c r="F514" s="30" t="str">
        <x:v>Optional</x:v>
      </x:c>
      <x:c r="G514" s="30" t="str">
        <x:v>Every Dispensing</x:v>
      </x:c>
      <x:c r="H514" s="30"/>
      <x:c r="I514" s="30" t="str">
        <x:v>Pharmacy Staff</x:v>
      </x:c>
      <x:c r="J514" s="30" t="str">
        <x:v>Wrong patient medication.</x:v>
      </x:c>
      <x:c r="K514" s="30" t="str">
        <x:v>High</x:v>
      </x:c>
      <x:c r="L514" s="30" t="str">
        <x:v>HOSPITAL</x:v>
      </x:c>
      <x:c r="M514" s="30" t="str">
        <x:v>Yes</x:v>
      </x:c>
      <x:c r="N514" s="30" t="str">
        <x:v>P-4 entity-specific internal control; no independent statutory force. Activate the exact underlying legal requirement separately.</x:v>
      </x:c>
    </x:row>
    <x:row r="515">
      <x:c r="A515" s="30" t="str">
        <x:v>HOSCOMP004</x:v>
      </x:c>
      <x:c r="B515" s="30" t="str">
        <x:v>HOSPROV004</x:v>
      </x:c>
      <x:c r="C515" s="30" t="str">
        <x:v>CA064</x:v>
      </x:c>
      <x:c r="D515" s="30" t="str">
        <x:v>Inspect and replenish crash cart medicines with documented verification.</x:v>
      </x:c>
      <x:c r="E515" s="30" t="str">
        <x:v>Ensure emergency medicine readiness.</x:v>
      </x:c>
      <x:c r="F515" s="30" t="str">
        <x:v>Optional</x:v>
      </x:c>
      <x:c r="G515" s="30" t="str">
        <x:v>Daily</x:v>
      </x:c>
      <x:c r="H515" s="30"/>
      <x:c r="I515" s="30" t="str">
        <x:v>Pharmacy Supervisor</x:v>
      </x:c>
      <x:c r="J515" s="30" t="str">
        <x:v>Emergency medicine unavailability.</x:v>
      </x:c>
      <x:c r="K515" s="30" t="str">
        <x:v>High</x:v>
      </x:c>
      <x:c r="L515" s="30" t="str">
        <x:v>HOSPITAL</x:v>
      </x:c>
      <x:c r="M515" s="30" t="str">
        <x:v>Yes</x:v>
      </x:c>
      <x:c r="N515" s="30" t="str">
        <x:v>P-4 entity-specific internal control; no independent statutory force. Activate the exact underlying legal requirement separately.</x:v>
      </x:c>
    </x:row>
    <x:row r="516">
      <x:c r="A516" s="30" t="str">
        <x:v>HOSCOMP005</x:v>
      </x:c>
      <x:c r="B516" s="30" t="str">
        <x:v>HOSPROV005</x:v>
      </x:c>
      <x:c r="C516" s="30" t="str">
        <x:v>CA090</x:v>
      </x:c>
      <x:c r="D516" s="30" t="str">
        <x:v>Maintain separate identification and monitoring of high-alert medicines.</x:v>
      </x:c>
      <x:c r="E516" s="30" t="str">
        <x:v>Reduce high-risk medication incidents.</x:v>
      </x:c>
      <x:c r="F516" s="30" t="str">
        <x:v>Optional</x:v>
      </x:c>
      <x:c r="G516" s="30" t="str">
        <x:v>Continuous</x:v>
      </x:c>
      <x:c r="H516" s="30"/>
      <x:c r="I516" s="30" t="str">
        <x:v>Pharmacy Manager</x:v>
      </x:c>
      <x:c r="J516" s="30" t="str">
        <x:v>Serious patient safety events.</x:v>
      </x:c>
      <x:c r="K516" s="30" t="str">
        <x:v>High</x:v>
      </x:c>
      <x:c r="L516" s="30" t="str">
        <x:v>HOSPITAL</x:v>
      </x:c>
      <x:c r="M516" s="30" t="str">
        <x:v>Yes</x:v>
      </x:c>
      <x:c r="N516" s="30" t="str">
        <x:v>P-4 entity-specific internal control; no independent statutory force. Activate the exact underlying legal requirement separately.</x:v>
      </x:c>
    </x:row>
    <x:row r="517">
      <x:c r="A517" s="30" t="str">
        <x:v>HOSCOMP006</x:v>
      </x:c>
      <x:c r="B517" s="30" t="str">
        <x:v>HOSPROV006</x:v>
      </x:c>
      <x:c r="C517" s="30" t="str">
        <x:v>CA064</x:v>
      </x:c>
      <x:c r="D517" s="30" t="str">
        <x:v>Record every issue of controlled medicines in narcotic registers.</x:v>
      </x:c>
      <x:c r="E517" s="30" t="str">
        <x:v>Ensure statutory accountability.</x:v>
      </x:c>
      <x:c r="F517" s="30" t="str">
        <x:v>Optional</x:v>
      </x:c>
      <x:c r="G517" s="30" t="str">
        <x:v>Every Issue</x:v>
      </x:c>
      <x:c r="H517" s="30"/>
      <x:c r="I517" s="30" t="str">
        <x:v>Narcotic Custodian</x:v>
      </x:c>
      <x:c r="J517" s="30" t="str">
        <x:v>NDPS non-compliance.</x:v>
      </x:c>
      <x:c r="K517" s="30" t="str">
        <x:v>High</x:v>
      </x:c>
      <x:c r="L517" s="30" t="str">
        <x:v>HOSPITAL</x:v>
      </x:c>
      <x:c r="M517" s="30" t="str">
        <x:v>Yes</x:v>
      </x:c>
      <x:c r="N517" s="30" t="str">
        <x:v>P-4 entity-specific internal control; no independent statutory force. Activate the exact underlying legal requirement separately.</x:v>
      </x:c>
    </x:row>
    <x:row r="518">
      <x:c r="A518" s="30" t="str">
        <x:v>HOSCOMP007</x:v>
      </x:c>
      <x:c r="B518" s="30" t="str">
        <x:v>HOSPROV007</x:v>
      </x:c>
      <x:c r="C518" s="30" t="str">
        <x:v>CA020</x:v>
      </x:c>
      <x:c r="D518" s="30" t="str">
        <x:v>Maintain linkage between dispensed medicines and medication administration records.</x:v>
      </x:c>
      <x:c r="E518" s="30" t="str">
        <x:v>Ensure administration traceability.</x:v>
      </x:c>
      <x:c r="F518" s="30" t="str">
        <x:v>Optional</x:v>
      </x:c>
      <x:c r="G518" s="30" t="str">
        <x:v>Continuous</x:v>
      </x:c>
      <x:c r="H518" s="30"/>
      <x:c r="I518" s="30" t="str">
        <x:v>Pharmacy Information Officer</x:v>
      </x:c>
      <x:c r="J518" s="30" t="str">
        <x:v>Administration errors.</x:v>
      </x:c>
      <x:c r="K518" s="30" t="str">
        <x:v>High</x:v>
      </x:c>
      <x:c r="L518" s="30" t="str">
        <x:v>HOSPITAL</x:v>
      </x:c>
      <x:c r="M518" s="30" t="str">
        <x:v>Yes</x:v>
      </x:c>
      <x:c r="N518" s="30" t="str">
        <x:v>P-4 entity-specific internal control; no independent statutory force. Activate the exact underlying legal requirement separately.</x:v>
      </x:c>
    </x:row>
    <x:row r="519">
      <x:c r="A519" s="30" t="str">
        <x:v>HOSCOMP008</x:v>
      </x:c>
      <x:c r="B519" s="30" t="str">
        <x:v>HOSPROV008</x:v>
      </x:c>
      <x:c r="C519" s="30" t="str">
        <x:v>CA077</x:v>
      </x:c>
      <x:c r="D519" s="30" t="str">
        <x:v>Record, investigate and close medication error incidents.</x:v>
      </x:c>
      <x:c r="E519" s="30" t="str">
        <x:v>Improve medication safety.</x:v>
      </x:c>
      <x:c r="F519" s="30" t="str">
        <x:v>Optional</x:v>
      </x:c>
      <x:c r="G519" s="30" t="str">
        <x:v>As Occurs</x:v>
      </x:c>
      <x:c r="H519" s="30"/>
      <x:c r="I519" s="30" t="str">
        <x:v>Medication Safety Officer</x:v>
      </x:c>
      <x:c r="J519" s="30" t="str">
        <x:v>Repeated medication errors.</x:v>
      </x:c>
      <x:c r="K519" s="30" t="str">
        <x:v>High</x:v>
      </x:c>
      <x:c r="L519" s="30" t="str">
        <x:v>HOSPITAL</x:v>
      </x:c>
      <x:c r="M519" s="30" t="str">
        <x:v>Yes</x:v>
      </x:c>
      <x:c r="N519" s="30" t="str">
        <x:v>P-4 entity-specific internal control; no independent statutory force. Activate the exact underlying legal requirement separately.</x:v>
      </x:c>
    </x:row>
    <x:row r="520">
      <x:c r="A520" s="30" t="str">
        <x:v>HOSCOMP009</x:v>
      </x:c>
      <x:c r="B520" s="30" t="str">
        <x:v>HOSPROV009</x:v>
      </x:c>
      <x:c r="C520" s="30" t="str">
        <x:v>CA043</x:v>
      </x:c>
      <x:c r="D520" s="30" t="str">
        <x:v>Maintain documented LASA medicine identification and controls.</x:v>
      </x:c>
      <x:c r="E520" s="30" t="str">
        <x:v>Prevent look-alike/sound-alike errors.</x:v>
      </x:c>
      <x:c r="F520" s="30" t="str">
        <x:v>Optional</x:v>
      </x:c>
      <x:c r="G520" s="30" t="str">
        <x:v>Continuous</x:v>
      </x:c>
      <x:c r="H520" s="30"/>
      <x:c r="I520" s="30" t="str">
        <x:v>Pharmacy Manager</x:v>
      </x:c>
      <x:c r="J520" s="30" t="str">
        <x:v>Dispensing errors.</x:v>
      </x:c>
      <x:c r="K520" s="30" t="str">
        <x:v>High</x:v>
      </x:c>
      <x:c r="L520" s="30" t="str">
        <x:v>HOSPITAL</x:v>
      </x:c>
      <x:c r="M520" s="30" t="str">
        <x:v>Yes</x:v>
      </x:c>
      <x:c r="N520" s="30" t="str">
        <x:v>P-4 entity-specific internal control; no independent statutory force. Activate the exact underlying legal requirement separately.</x:v>
      </x:c>
    </x:row>
    <x:row r="521">
      <x:c r="A521" s="30" t="str">
        <x:v>HOSCOMP010</x:v>
      </x:c>
      <x:c r="B521" s="30" t="str">
        <x:v>HOSPROV010</x:v>
      </x:c>
      <x:c r="C521" s="30" t="str">
        <x:v>CA043</x:v>
      </x:c>
      <x:c r="D521" s="30" t="str">
        <x:v>Document and report suspected adverse drug reactions.</x:v>
      </x:c>
      <x:c r="E521" s="30" t="str">
        <x:v>Strengthen pharmacovigilance.</x:v>
      </x:c>
      <x:c r="F521" s="30" t="str">
        <x:v>Optional</x:v>
      </x:c>
      <x:c r="G521" s="30" t="str">
        <x:v>As Required</x:v>
      </x:c>
      <x:c r="H521" s="30"/>
      <x:c r="I521" s="30" t="str">
        <x:v>Pharmacovigilance Pharmacist</x:v>
      </x:c>
      <x:c r="J521" s="30" t="str">
        <x:v>Missed drug safety signals.</x:v>
      </x:c>
      <x:c r="K521" s="30" t="str">
        <x:v>High</x:v>
      </x:c>
      <x:c r="L521" s="30" t="str">
        <x:v>HOSPITAL</x:v>
      </x:c>
      <x:c r="M521" s="30" t="str">
        <x:v>Yes</x:v>
      </x:c>
      <x:c r="N521" s="30" t="str">
        <x:v>P-4 entity-specific internal control; no independent statutory force. Activate the exact underlying legal requirement separately.</x:v>
      </x:c>
    </x:row>
    <x:row r="522">
      <x:c r="A522" s="30" t="str">
        <x:v>HOSCOMP011</x:v>
      </x:c>
      <x:c r="B522" s="30" t="str">
        <x:v>HOSPROV011</x:v>
      </x:c>
      <x:c r="C522" s="30" t="str">
        <x:v>CA043</x:v>
      </x:c>
      <x:c r="D522" s="30" t="str">
        <x:v>Review restricted antibiotic prescriptions under stewardship programme.</x:v>
      </x:c>
      <x:c r="E522" s="30" t="str">
        <x:v>Promote rational antimicrobial use.</x:v>
      </x:c>
      <x:c r="F522" s="30" t="str">
        <x:v>Optional</x:v>
      </x:c>
      <x:c r="G522" s="30" t="str">
        <x:v>Daily</x:v>
      </x:c>
      <x:c r="H522" s="30"/>
      <x:c r="I522" s="30" t="str">
        <x:v>Clinical Pharmacist</x:v>
      </x:c>
      <x:c r="J522" s="30" t="str">
        <x:v>Antimicrobial resistance.</x:v>
      </x:c>
      <x:c r="K522" s="30" t="str">
        <x:v>High</x:v>
      </x:c>
      <x:c r="L522" s="30" t="str">
        <x:v>HOSPITAL</x:v>
      </x:c>
      <x:c r="M522" s="30" t="str">
        <x:v>Yes</x:v>
      </x:c>
      <x:c r="N522" s="30" t="str">
        <x:v>P-4 entity-specific internal control; no independent statutory force. Activate the exact underlying legal requirement separately.</x:v>
      </x:c>
    </x:row>
    <x:row r="523">
      <x:c r="A523" s="30" t="str">
        <x:v>HOSCOMP012</x:v>
      </x:c>
      <x:c r="B523" s="30" t="str">
        <x:v>HOSPROV012</x:v>
      </x:c>
      <x:c r="C523" s="30" t="str">
        <x:v>CA044</x:v>
      </x:c>
      <x:c r="D523" s="30" t="str">
        <x:v>Record and communicate clinical pharmacist interventions.</x:v>
      </x:c>
      <x:c r="E523" s="30" t="str">
        <x:v>Improve patient therapy outcomes.</x:v>
      </x:c>
      <x:c r="F523" s="30" t="str">
        <x:v>Optional</x:v>
      </x:c>
      <x:c r="G523" s="30" t="str">
        <x:v>Continuous</x:v>
      </x:c>
      <x:c r="H523" s="30"/>
      <x:c r="I523" s="30" t="str">
        <x:v>Clinical Pharmacist</x:v>
      </x:c>
      <x:c r="J523" s="30" t="str">
        <x:v>Missed therapeutic optimization.</x:v>
      </x:c>
      <x:c r="K523" s="30" t="str">
        <x:v>Medium</x:v>
      </x:c>
      <x:c r="L523" s="30" t="str">
        <x:v>HOSPITAL</x:v>
      </x:c>
      <x:c r="M523" s="30" t="str">
        <x:v>Yes</x:v>
      </x:c>
      <x:c r="N523" s="30" t="str">
        <x:v>P-4 entity-specific internal control; no independent statutory force. Activate the exact underlying legal requirement separately.</x:v>
      </x:c>
    </x:row>
    <x:row r="524">
      <x:c r="A524" s="30" t="str">
        <x:v>HOSCOMP013</x:v>
      </x:c>
      <x:c r="B524" s="30" t="str">
        <x:v>HOSPROV013</x:v>
      </x:c>
      <x:c r="C524" s="30" t="str">
        <x:v>CA044</x:v>
      </x:c>
      <x:c r="D524" s="30" t="str">
        <x:v>Inspect returned ward medicines before reuse or disposal.</x:v>
      </x:c>
      <x:c r="E524" s="30" t="str">
        <x:v>Prevent unsafe medicine reuse.</x:v>
      </x:c>
      <x:c r="F524" s="30" t="str">
        <x:v>Optional</x:v>
      </x:c>
      <x:c r="G524" s="30" t="str">
        <x:v>Every Return</x:v>
      </x:c>
      <x:c r="H524" s="30"/>
      <x:c r="I524" s="30" t="str">
        <x:v>Ward Pharmacist</x:v>
      </x:c>
      <x:c r="J524" s="30" t="str">
        <x:v>Compromised medicine quality.</x:v>
      </x:c>
      <x:c r="K524" s="30" t="str">
        <x:v>Medium</x:v>
      </x:c>
      <x:c r="L524" s="30" t="str">
        <x:v>HOSPITAL</x:v>
      </x:c>
      <x:c r="M524" s="30" t="str">
        <x:v>Yes</x:v>
      </x:c>
      <x:c r="N524" s="30" t="str">
        <x:v>P-4 entity-specific internal control; no independent statutory force. Activate the exact underlying legal requirement separately.</x:v>
      </x:c>
    </x:row>
    <x:row r="525">
      <x:c r="A525" s="30" t="str">
        <x:v>HOSCOMP014</x:v>
      </x:c>
      <x:c r="B525" s="30" t="str">
        <x:v>HOSPROV014</x:v>
      </x:c>
      <x:c r="C525" s="30" t="str">
        <x:v>CA030</x:v>
      </x:c>
      <x:c r="D525" s="30" t="str">
        <x:v>Authorize and document all inter-ward medicine transfers.</x:v>
      </x:c>
      <x:c r="E525" s="30" t="str">
        <x:v>Maintain medicine accountability.</x:v>
      </x:c>
      <x:c r="F525" s="30" t="str">
        <x:v>Optional</x:v>
      </x:c>
      <x:c r="G525" s="30" t="str">
        <x:v>Every Transfer</x:v>
      </x:c>
      <x:c r="H525" s="30"/>
      <x:c r="I525" s="30" t="str">
        <x:v>Pharmacy Supervisor</x:v>
      </x:c>
      <x:c r="J525" s="30" t="str">
        <x:v>Inventory inaccuracies.</x:v>
      </x:c>
      <x:c r="K525" s="30" t="str">
        <x:v>Medium</x:v>
      </x:c>
      <x:c r="L525" s="30" t="str">
        <x:v>HOSPITAL</x:v>
      </x:c>
      <x:c r="M525" s="30" t="str">
        <x:v>Yes</x:v>
      </x:c>
      <x:c r="N525" s="30" t="str">
        <x:v>P-4 entity-specific internal control; no independent statutory force. Activate the exact underlying legal requirement separately.</x:v>
      </x:c>
    </x:row>
    <x:row r="526">
      <x:c r="A526" s="30" t="str">
        <x:v>HOSCOMP015</x:v>
      </x:c>
      <x:c r="B526" s="30" t="str">
        <x:v>HOSPROV015</x:v>
      </x:c>
      <x:c r="C526" s="30" t="str">
        <x:v>CA030</x:v>
      </x:c>
      <x:c r="D526" s="30" t="str">
        <x:v>Continuously monitor refrigerated medicine storage conditions.</x:v>
      </x:c>
      <x:c r="E526" s="30" t="str">
        <x:v>Maintain product quality.</x:v>
      </x:c>
      <x:c r="F526" s="30" t="str">
        <x:v>Optional</x:v>
      </x:c>
      <x:c r="G526" s="30" t="str">
        <x:v>Continuous</x:v>
      </x:c>
      <x:c r="H526" s="30"/>
      <x:c r="I526" s="30" t="str">
        <x:v>Cold Chain Pharmacist</x:v>
      </x:c>
      <x:c r="J526" s="30" t="str">
        <x:v>Cold-chain failure.</x:v>
      </x:c>
      <x:c r="K526" s="30" t="str">
        <x:v>High</x:v>
      </x:c>
      <x:c r="L526" s="30" t="str">
        <x:v>HOSPITAL</x:v>
      </x:c>
      <x:c r="M526" s="30" t="str">
        <x:v>Yes</x:v>
      </x:c>
      <x:c r="N526" s="30" t="str">
        <x:v>P-4 entity-specific internal control; no independent statutory force. Activate the exact underlying legal requirement separately.</x:v>
      </x:c>
    </x:row>
    <x:row r="527">
      <x:c r="A527" s="30" t="str">
        <x:v>HOSCOMP016</x:v>
      </x:c>
      <x:c r="B527" s="30" t="str">
        <x:v>HOSPROV016</x:v>
      </x:c>
      <x:c r="C527" s="30" t="str">
        <x:v>CA030</x:v>
      </x:c>
      <x:c r="D527" s="30" t="str">
        <x:v>Conduct periodic ward floor stock audits.</x:v>
      </x:c>
      <x:c r="E527" s="30" t="str">
        <x:v>Verify medicine accountability.</x:v>
      </x:c>
      <x:c r="F527" s="30" t="str">
        <x:v>Optional</x:v>
      </x:c>
      <x:c r="G527" s="30" t="str">
        <x:v>Monthly</x:v>
      </x:c>
      <x:c r="H527" s="30"/>
      <x:c r="I527" s="30" t="str">
        <x:v>Internal Pharmacy Auditor</x:v>
      </x:c>
      <x:c r="J527" s="30" t="str">
        <x:v>Stock diversion or shortages.</x:v>
      </x:c>
      <x:c r="K527" s="30" t="str">
        <x:v>Medium</x:v>
      </x:c>
      <x:c r="L527" s="30" t="str">
        <x:v>HOSPITAL</x:v>
      </x:c>
      <x:c r="M527" s="30" t="str">
        <x:v>Yes</x:v>
      </x:c>
      <x:c r="N527" s="30" t="str">
        <x:v>P-4 entity-specific internal control; no independent statutory force. Activate the exact underlying legal requirement separately.</x:v>
      </x:c>
    </x:row>
    <x:row r="528">
      <x:c r="A528" s="30" t="str">
        <x:v>HOSCOMP017</x:v>
      </x:c>
      <x:c r="B528" s="30" t="str">
        <x:v>HOSPROV017</x:v>
      </x:c>
      <x:c r="C528" s="30" t="str">
        <x:v>CA063</x:v>
      </x:c>
      <x:c r="D528" s="30" t="str">
        <x:v>Verify availability of emergency medicines at all designated locations.</x:v>
      </x:c>
      <x:c r="E528" s="30" t="str">
        <x:v>Ensure uninterrupted emergency care.</x:v>
      </x:c>
      <x:c r="F528" s="30" t="str">
        <x:v>Optional</x:v>
      </x:c>
      <x:c r="G528" s="30" t="str">
        <x:v>Daily</x:v>
      </x:c>
      <x:c r="H528" s="30"/>
      <x:c r="I528" s="30" t="str">
        <x:v>Emergency Pharmacy Supervisor</x:v>
      </x:c>
      <x:c r="J528" s="30" t="str">
        <x:v>Emergency treatment delays.</x:v>
      </x:c>
      <x:c r="K528" s="30" t="str">
        <x:v>High</x:v>
      </x:c>
      <x:c r="L528" s="30" t="str">
        <x:v>HOSPITAL</x:v>
      </x:c>
      <x:c r="M528" s="30" t="str">
        <x:v>Yes</x:v>
      </x:c>
      <x:c r="N528" s="30" t="str">
        <x:v>P-4 entity-specific internal control; no independent statutory force. Activate the exact underlying legal requirement separately.</x:v>
      </x:c>
    </x:row>
    <x:row r="529">
      <x:c r="A529" s="30" t="str">
        <x:v>HOSCOMP018</x:v>
      </x:c>
      <x:c r="B529" s="30" t="str">
        <x:v>HOSPROV018</x:v>
      </x:c>
      <x:c r="C529" s="30" t="str">
        <x:v>CA009</x:v>
      </x:c>
      <x:c r="D529" s="30" t="str">
        <x:v>Perform medication reconciliation before patient discharge.</x:v>
      </x:c>
      <x:c r="E529" s="30" t="str">
        <x:v>Prevent transition-of-care medication errors.</x:v>
      </x:c>
      <x:c r="F529" s="30" t="str">
        <x:v>Optional</x:v>
      </x:c>
      <x:c r="G529" s="30" t="str">
        <x:v>Every Discharge</x:v>
      </x:c>
      <x:c r="H529" s="30"/>
      <x:c r="I529" s="30" t="str">
        <x:v>Clinical Pharmacist</x:v>
      </x:c>
      <x:c r="J529" s="30" t="str">
        <x:v>Discharge medication discrepancies.</x:v>
      </x:c>
      <x:c r="K529" s="30" t="str">
        <x:v>High</x:v>
      </x:c>
      <x:c r="L529" s="30" t="str">
        <x:v>HOSPITAL</x:v>
      </x:c>
      <x:c r="M529" s="30" t="str">
        <x:v>Yes</x:v>
      </x:c>
      <x:c r="N529" s="30" t="str">
        <x:v>P-4 entity-specific internal control; no independent statutory force. Activate the exact underlying legal requirement separately.</x:v>
      </x:c>
    </x:row>
    <x:row r="530">
      <x:c r="A530" s="30" t="str">
        <x:v>HOSCOMP019</x:v>
      </x:c>
      <x:c r="B530" s="30" t="str">
        <x:v>HOSPROV019</x:v>
      </x:c>
      <x:c r="C530" s="30" t="str">
        <x:v>CA009</x:v>
      </x:c>
      <x:c r="D530" s="30" t="str">
        <x:v>Maintain accountability for investigational medicines throughout their lifecycle.</x:v>
      </x:c>
      <x:c r="E530" s="30" t="str">
        <x:v>Ensure clinical trial compliance.</x:v>
      </x:c>
      <x:c r="F530" s="30" t="str">
        <x:v>Optional</x:v>
      </x:c>
      <x:c r="G530" s="30" t="str">
        <x:v>Continuous</x:v>
      </x:c>
      <x:c r="H530" s="30"/>
      <x:c r="I530" s="30" t="str">
        <x:v>Investigational Drug Pharmacist</x:v>
      </x:c>
      <x:c r="J530" s="30" t="str">
        <x:v>Clinical trial non-compliance.</x:v>
      </x:c>
      <x:c r="K530" s="30" t="str">
        <x:v>High</x:v>
      </x:c>
      <x:c r="L530" s="30" t="str">
        <x:v>HOSPITAL</x:v>
      </x:c>
      <x:c r="M530" s="30" t="str">
        <x:v>Yes</x:v>
      </x:c>
      <x:c r="N530" s="30" t="str">
        <x:v>P-4 entity-specific internal control; no independent statutory force. Activate the exact underlying legal requirement separately.</x:v>
      </x:c>
    </x:row>
    <x:row r="531">
      <x:c r="A531" s="30" t="str">
        <x:v>HOSCOMP020</x:v>
      </x:c>
      <x:c r="B531" s="30" t="str">
        <x:v>HOSPROV020</x:v>
      </x:c>
      <x:c r="C531" s="30" t="str">
        <x:v>CA044</x:v>
      </x:c>
      <x:c r="D531" s="30" t="str">
        <x:v>Periodically inspect medicine storage in patient care areas.</x:v>
      </x:c>
      <x:c r="E531" s="30" t="str">
        <x:v>Ensure compliant medicine storage.</x:v>
      </x:c>
      <x:c r="F531" s="30" t="str">
        <x:v>Optional</x:v>
      </x:c>
      <x:c r="G531" s="30" t="str">
        <x:v>Monthly</x:v>
      </x:c>
      <x:c r="H531" s="30"/>
      <x:c r="I531" s="30" t="str">
        <x:v>Pharmacy Quality Officer</x:v>
      </x:c>
      <x:c r="J531" s="30" t="str">
        <x:v>Product deterioration or misuse.</x:v>
      </x:c>
      <x:c r="K531" s="30" t="str">
        <x:v>High</x:v>
      </x:c>
      <x:c r="L531" s="30" t="str">
        <x:v>HOSPITAL</x:v>
      </x:c>
      <x:c r="M531" s="30" t="str">
        <x:v>Yes</x:v>
      </x:c>
      <x:c r="N531" s="30" t="str">
        <x:v>P-4 entity-specific internal control; no independent statutory force. Activate the exact underlying legal requirement separately.</x:v>
      </x:c>
    </x:row>
    <x:row r="532">
      <x:c r="A532" s="30" t="str">
        <x:v>HOSCOMP021</x:v>
      </x:c>
      <x:c r="B532" s="30" t="str">
        <x:v>HOSPROV021</x:v>
      </x:c>
      <x:c r="C532" s="30" t="str">
        <x:v>CA044</x:v>
      </x:c>
      <x:c r="D532" s="30" t="str">
        <x:v>Monitor restricted antimicrobial usage and report findings to the stewardship committee.</x:v>
      </x:c>
      <x:c r="E532" s="30" t="str">
        <x:v>Promote rational antimicrobial use.</x:v>
      </x:c>
      <x:c r="F532" s="30" t="str">
        <x:v>Optional</x:v>
      </x:c>
      <x:c r="G532" s="30" t="str">
        <x:v>Daily / Weekly Review</x:v>
      </x:c>
      <x:c r="H532" s="30"/>
      <x:c r="I532" s="30" t="str">
        <x:v>Clinical Pharmacist</x:v>
      </x:c>
      <x:c r="J532" s="30" t="str">
        <x:v>Antimicrobial resistance and irrational therapy.</x:v>
      </x:c>
      <x:c r="K532" s="30" t="str">
        <x:v>High</x:v>
      </x:c>
      <x:c r="L532" s="30" t="str">
        <x:v>HOSPITAL</x:v>
      </x:c>
      <x:c r="M532" s="30" t="str">
        <x:v>Yes</x:v>
      </x:c>
      <x:c r="N532" s="30" t="str">
        <x:v>P-4 entity-specific internal control; no independent statutory force. Activate the exact underlying legal requirement separately.</x:v>
      </x:c>
    </x:row>
    <x:row r="533">
      <x:c r="A533" s="30" t="str">
        <x:v>HOSCOMP022</x:v>
      </x:c>
      <x:c r="B533" s="30" t="str">
        <x:v>HOSPROV022</x:v>
      </x:c>
      <x:c r="C533" s="30" t="str">
        <x:v>CA044</x:v>
      </x:c>
      <x:c r="D533" s="30" t="str">
        <x:v>Verify and document patient-owned medicines before inpatient use.</x:v>
      </x:c>
      <x:c r="E533" s="30" t="str">
        <x:v>Prevent unsafe or duplicate therapy.</x:v>
      </x:c>
      <x:c r="F533" s="30" t="str">
        <x:v>Optional</x:v>
      </x:c>
      <x:c r="G533" s="30" t="str">
        <x:v>At Admission / As Required</x:v>
      </x:c>
      <x:c r="H533" s="30"/>
      <x:c r="I533" s="30" t="str">
        <x:v>Ward Pharmacist</x:v>
      </x:c>
      <x:c r="J533" s="30" t="str">
        <x:v>Medication errors or unverified medicine use.</x:v>
      </x:c>
      <x:c r="K533" s="30" t="str">
        <x:v>High</x:v>
      </x:c>
      <x:c r="L533" s="30" t="str">
        <x:v>HOSPITAL</x:v>
      </x:c>
      <x:c r="M533" s="30" t="str">
        <x:v>Yes</x:v>
      </x:c>
      <x:c r="N533" s="30" t="str">
        <x:v>P-4 entity-specific internal control; no independent statutory force. Activate the exact underlying legal requirement separately.</x:v>
      </x:c>
    </x:row>
    <x:row r="534">
      <x:c r="A534" s="30" t="str">
        <x:v>HOSCOMP023</x:v>
      </x:c>
      <x:c r="B534" s="30" t="str">
        <x:v>HOSPROV023</x:v>
      </x:c>
      <x:c r="C534" s="30" t="str">
        <x:v>CA008</x:v>
      </x:c>
      <x:c r="D534" s="30" t="str">
        <x:v>Store investigational medicines separately with restricted access.</x:v>
      </x:c>
      <x:c r="E534" s="30" t="str">
        <x:v>Maintain clinical trial drug integrity.</x:v>
      </x:c>
      <x:c r="F534" s="30" t="str">
        <x:v>Optional</x:v>
      </x:c>
      <x:c r="G534" s="30" t="str">
        <x:v>Continuous</x:v>
      </x:c>
      <x:c r="H534" s="30"/>
      <x:c r="I534" s="30" t="str">
        <x:v>Investigational Drug Pharmacist</x:v>
      </x:c>
      <x:c r="J534" s="30" t="str">
        <x:v>Trial protocol deviation.</x:v>
      </x:c>
      <x:c r="K534" s="30" t="str">
        <x:v>High</x:v>
      </x:c>
      <x:c r="L534" s="30" t="str">
        <x:v>HOSPITAL</x:v>
      </x:c>
      <x:c r="M534" s="30" t="str">
        <x:v>Yes</x:v>
      </x:c>
      <x:c r="N534" s="30" t="str">
        <x:v>P-4 entity-specific internal control; no independent statutory force. Activate the exact underlying legal requirement separately.</x:v>
      </x:c>
    </x:row>
    <x:row r="535">
      <x:c r="A535" s="30" t="str">
        <x:v>HOSCOMP024</x:v>
      </x:c>
      <x:c r="B535" s="30" t="str">
        <x:v>HOSPROV024</x:v>
      </x:c>
      <x:c r="C535" s="30" t="str">
        <x:v>CA008</x:v>
      </x:c>
      <x:c r="D535" s="30" t="str">
        <x:v>Record receipt, dispensing, return and destruction of clinical trial medicines.</x:v>
      </x:c>
      <x:c r="E535" s="30" t="str">
        <x:v>Ensure complete investigational drug accountability.</x:v>
      </x:c>
      <x:c r="F535" s="30" t="str">
        <x:v>Optional</x:v>
      </x:c>
      <x:c r="G535" s="30" t="str">
        <x:v>Every Transaction</x:v>
      </x:c>
      <x:c r="H535" s="30"/>
      <x:c r="I535" s="30" t="str">
        <x:v>Trial Pharmacist</x:v>
      </x:c>
      <x:c r="J535" s="30" t="str">
        <x:v>Clinical trial non-compliance.</x:v>
      </x:c>
      <x:c r="K535" s="30" t="str">
        <x:v>High</x:v>
      </x:c>
      <x:c r="L535" s="30" t="str">
        <x:v>HOSPITAL</x:v>
      </x:c>
      <x:c r="M535" s="30" t="str">
        <x:v>Yes</x:v>
      </x:c>
      <x:c r="N535" s="30" t="str">
        <x:v>P-4 entity-specific internal control; no independent statutory force. Activate the exact underlying legal requirement separately.</x:v>
      </x:c>
    </x:row>
    <x:row r="536">
      <x:c r="A536" s="30" t="str">
        <x:v>HOSCOMP025</x:v>
      </x:c>
      <x:c r="B536" s="30" t="str">
        <x:v>HOSPROV025</x:v>
      </x:c>
      <x:c r="C536" s="30" t="str">
        <x:v>CA020</x:v>
      </x:c>
      <x:c r="D536" s="30" t="str">
        <x:v>Monitor and document blood product storage and issue conditions.</x:v>
      </x:c>
      <x:c r="E536" s="30" t="str">
        <x:v>Preserve blood product safety and quality.</x:v>
      </x:c>
      <x:c r="F536" s="30" t="str">
        <x:v>Optional</x:v>
      </x:c>
      <x:c r="G536" s="30" t="str">
        <x:v>Continuous / Every Issue</x:v>
      </x:c>
      <x:c r="H536" s="30"/>
      <x:c r="I536" s="30" t="str">
        <x:v>Blood Storage Officer</x:v>
      </x:c>
      <x:c r="J536" s="30" t="str">
        <x:v>Unsafe blood product use.</x:v>
      </x:c>
      <x:c r="K536" s="30" t="str">
        <x:v>High</x:v>
      </x:c>
      <x:c r="L536" s="30" t="str">
        <x:v>HOSPITAL</x:v>
      </x:c>
      <x:c r="M536" s="30" t="str">
        <x:v>Yes</x:v>
      </x:c>
      <x:c r="N536" s="30" t="str">
        <x:v>P-4 entity-specific internal control; no independent statutory force. Activate the exact underlying legal requirement separately.</x:v>
      </x:c>
    </x:row>
    <x:row r="537">
      <x:c r="A537" s="30" t="str">
        <x:v>HOSCOMP026</x:v>
      </x:c>
      <x:c r="B537" s="30" t="str">
        <x:v>HOSPROV026</x:v>
      </x:c>
      <x:c r="C537" s="30" t="str">
        <x:v>CA009</x:v>
      </x:c>
      <x:c r="D537" s="30" t="str">
        <x:v>Maintain vaccine cold-chain conditions and monitor excursions.</x:v>
      </x:c>
      <x:c r="E537" s="30" t="str">
        <x:v>Preserve vaccine potency.</x:v>
      </x:c>
      <x:c r="F537" s="30" t="str">
        <x:v>Optional</x:v>
      </x:c>
      <x:c r="G537" s="30" t="str">
        <x:v>Continuous</x:v>
      </x:c>
      <x:c r="H537" s="30"/>
      <x:c r="I537" s="30" t="str">
        <x:v>Vaccine Cold Chain In-Charge</x:v>
      </x:c>
      <x:c r="J537" s="30" t="str">
        <x:v>Loss of vaccine potency.</x:v>
      </x:c>
      <x:c r="K537" s="30" t="str">
        <x:v>High</x:v>
      </x:c>
      <x:c r="L537" s="30" t="str">
        <x:v>HOSPITAL</x:v>
      </x:c>
      <x:c r="M537" s="30" t="str">
        <x:v>Yes</x:v>
      </x:c>
      <x:c r="N537" s="30" t="str">
        <x:v>P-4 entity-specific internal control; no independent statutory force. Activate the exact underlying legal requirement separately.</x:v>
      </x:c>
    </x:row>
    <x:row r="538">
      <x:c r="A538" s="30" t="str">
        <x:v>HOSCOMP027</x:v>
      </x:c>
      <x:c r="B538" s="30" t="str">
        <x:v>HOSPROV027</x:v>
      </x:c>
      <x:c r="C538" s="30" t="str">
        <x:v>CA009</x:v>
      </x:c>
      <x:c r="D538" s="30" t="str">
        <x:v>Govern satellite pharmacy operations through approved SOPs and central oversight.</x:v>
      </x:c>
      <x:c r="E538" s="30" t="str">
        <x:v>Standardize decentralized pharmacy services.</x:v>
      </x:c>
      <x:c r="F538" s="30" t="str">
        <x:v>Optional</x:v>
      </x:c>
      <x:c r="G538" s="30" t="str">
        <x:v>Monthly Review</x:v>
      </x:c>
      <x:c r="H538" s="30"/>
      <x:c r="I538" s="30" t="str">
        <x:v>Chief Pharmacist</x:v>
      </x:c>
      <x:c r="J538" s="30" t="str">
        <x:v>Inconsistent pharmacy practice.</x:v>
      </x:c>
      <x:c r="K538" s="30" t="str">
        <x:v>Medium</x:v>
      </x:c>
      <x:c r="L538" s="30" t="str">
        <x:v>HOSPITAL</x:v>
      </x:c>
      <x:c r="M538" s="30" t="str">
        <x:v>Yes</x:v>
      </x:c>
      <x:c r="N538" s="30" t="str">
        <x:v>P-4 entity-specific internal control; no independent statutory force. Activate the exact underlying legal requirement separately.</x:v>
      </x:c>
    </x:row>
    <x:row r="539">
      <x:c r="A539" s="30" t="str">
        <x:v>HOSCOMP028</x:v>
      </x:c>
      <x:c r="B539" s="30" t="str">
        <x:v>HOSPROV028</x:v>
      </x:c>
      <x:c r="C539" s="30" t="str">
        <x:v>CA009</x:v>
      </x:c>
      <x:c r="D539" s="30" t="str">
        <x:v>Control automated dispensing cabinet access and reconcile stock periodically.</x:v>
      </x:c>
      <x:c r="E539" s="30" t="str">
        <x:v>Prevent unauthorized access and stock loss.</x:v>
      </x:c>
      <x:c r="F539" s="30" t="str">
        <x:v>Optional</x:v>
      </x:c>
      <x:c r="G539" s="30" t="str">
        <x:v>Daily / Monthly Reconciliation</x:v>
      </x:c>
      <x:c r="H539" s="30"/>
      <x:c r="I539" s="30" t="str">
        <x:v>Pharmacy IT / ADC Custodian</x:v>
      </x:c>
      <x:c r="J539" s="30" t="str">
        <x:v>Unauthorized medicine access or diversion.</x:v>
      </x:c>
      <x:c r="K539" s="30" t="str">
        <x:v>High</x:v>
      </x:c>
      <x:c r="L539" s="30" t="str">
        <x:v>HOSPITAL</x:v>
      </x:c>
      <x:c r="M539" s="30" t="str">
        <x:v>Yes</x:v>
      </x:c>
      <x:c r="N539" s="30" t="str">
        <x:v>P-4 entity-specific internal control; no independent statutory force. Activate the exact underlying legal requirement separately.</x:v>
      </x:c>
    </x:row>
    <x:row r="540">
      <x:c r="A540" s="30" t="str">
        <x:v>HOSCOMP029</x:v>
      </x:c>
      <x:c r="B540" s="30" t="str">
        <x:v>HOSPROV029</x:v>
      </x:c>
      <x:c r="C540" s="30" t="str">
        <x:v>CA020</x:v>
      </x:c>
      <x:c r="D540" s="30" t="str">
        <x:v>Maintain a structured medication safety programme with incident tracking.</x:v>
      </x:c>
      <x:c r="E540" s="30" t="str">
        <x:v>Reduce preventable medication harm.</x:v>
      </x:c>
      <x:c r="F540" s="30" t="str">
        <x:v>Optional</x:v>
      </x:c>
      <x:c r="G540" s="30" t="str">
        <x:v>Continuous / Monthly Review</x:v>
      </x:c>
      <x:c r="H540" s="30"/>
      <x:c r="I540" s="30" t="str">
        <x:v>Medication Safety Officer</x:v>
      </x:c>
      <x:c r="J540" s="30" t="str">
        <x:v>Repeat medication safety incidents.</x:v>
      </x:c>
      <x:c r="K540" s="30" t="str">
        <x:v>High</x:v>
      </x:c>
      <x:c r="L540" s="30" t="str">
        <x:v>HOSPITAL</x:v>
      </x:c>
      <x:c r="M540" s="30" t="str">
        <x:v>Yes</x:v>
      </x:c>
      <x:c r="N540" s="30" t="str">
        <x:v>P-4 entity-specific internal control; no independent statutory force. Activate the exact underlying legal requirement separately.</x:v>
      </x:c>
    </x:row>
    <x:row r="541">
      <x:c r="A541" s="30" t="str">
        <x:v>HOSCOMP030</x:v>
      </x:c>
      <x:c r="B541" s="30" t="str">
        <x:v>HOSPROV030</x:v>
      </x:c>
      <x:c r="C541" s="30" t="str">
        <x:v>CA009</x:v>
      </x:c>
      <x:c r="D541" s="30" t="str">
        <x:v>Review and approve the hospital formulary periodically.</x:v>
      </x:c>
      <x:c r="E541" s="30" t="str">
        <x:v>Ensure standardized and rational medicine use.</x:v>
      </x:c>
      <x:c r="F541" s="30" t="str">
        <x:v>Optional</x:v>
      </x:c>
      <x:c r="G541" s="30" t="str">
        <x:v>Quarterly / Annual</x:v>
      </x:c>
      <x:c r="H541" s="30"/>
      <x:c r="I541" s="30" t="str">
        <x:v>Formulary Committee</x:v>
      </x:c>
      <x:c r="J541" s="30" t="str">
        <x:v>Uncontrolled medicine usage.</x:v>
      </x:c>
      <x:c r="K541" s="30" t="str">
        <x:v>Medium</x:v>
      </x:c>
      <x:c r="L541" s="30" t="str">
        <x:v>HOSPITAL</x:v>
      </x:c>
      <x:c r="M541" s="30" t="str">
        <x:v>Yes</x:v>
      </x:c>
      <x:c r="N541" s="30" t="str">
        <x:v>P-4 entity-specific internal control; no independent statutory force. Activate the exact underlying legal requirement separately.</x:v>
      </x:c>
    </x:row>
    <x:row r="542">
      <x:c r="A542" s="30" t="str">
        <x:v>HOSCOMP031</x:v>
      </x:c>
      <x:c r="B542" s="30" t="str">
        <x:v>HOSPROV031</x:v>
      </x:c>
      <x:c r="C542" s="30" t="str">
        <x:v>CA009</x:v>
      </x:c>
      <x:c r="D542" s="30" t="str">
        <x:v>Identify, document and manage drug shortages through approved procedures.</x:v>
      </x:c>
      <x:c r="E542" s="30" t="str">
        <x:v>Maintain continuity of patient care.</x:v>
      </x:c>
      <x:c r="F542" s="30" t="str">
        <x:v>Optional</x:v>
      </x:c>
      <x:c r="G542" s="30" t="str">
        <x:v>As Required / Weekly Review</x:v>
      </x:c>
      <x:c r="H542" s="30"/>
      <x:c r="I542" s="30" t="str">
        <x:v>Pharmacy Procurement Lead</x:v>
      </x:c>
      <x:c r="J542" s="30" t="str">
        <x:v>Treatment interruption.</x:v>
      </x:c>
      <x:c r="K542" s="30" t="str">
        <x:v>High</x:v>
      </x:c>
      <x:c r="L542" s="30" t="str">
        <x:v>HOSPITAL</x:v>
      </x:c>
      <x:c r="M542" s="30" t="str">
        <x:v>Yes</x:v>
      </x:c>
      <x:c r="N542" s="30" t="str">
        <x:v>P-4 entity-specific internal control; no independent statutory force. Activate the exact underlying legal requirement separately.</x:v>
      </x:c>
    </x:row>
    <x:row r="543">
      <x:c r="A543" s="30" t="str">
        <x:v>HOSCOMP032</x:v>
      </x:c>
      <x:c r="B543" s="30" t="str">
        <x:v>HOSPROV032</x:v>
      </x:c>
      <x:c r="C543" s="30" t="str">
        <x:v>CA009</x:v>
      </x:c>
      <x:c r="D543" s="30" t="str">
        <x:v>Maintain emergency pharmaceutical inventory aligned with disaster preparedness plans.</x:v>
      </x:c>
      <x:c r="E543" s="30" t="str">
        <x:v>Ensure emergency readiness.</x:v>
      </x:c>
      <x:c r="F543" s="30" t="str">
        <x:v>Optional</x:v>
      </x:c>
      <x:c r="G543" s="30" t="str">
        <x:v>Monthly / During Emergency</x:v>
      </x:c>
      <x:c r="H543" s="30"/>
      <x:c r="I543" s="30" t="str">
        <x:v>Emergency Pharmacy Lead</x:v>
      </x:c>
      <x:c r="J543" s="30" t="str">
        <x:v>Inadequate emergency response.</x:v>
      </x:c>
      <x:c r="K543" s="30" t="str">
        <x:v>High</x:v>
      </x:c>
      <x:c r="L543" s="30" t="str">
        <x:v>HOSPITAL</x:v>
      </x:c>
      <x:c r="M543" s="30" t="str">
        <x:v>Yes</x:v>
      </x:c>
      <x:c r="N543" s="30" t="str">
        <x:v>P-4 entity-specific internal control; no independent statutory force. Activate the exact underlying legal requirement separately.</x:v>
      </x:c>
    </x:row>
    <x:row r="544">
      <x:c r="A544" s="30" t="str">
        <x:v>HOSCOMP033</x:v>
      </x:c>
      <x:c r="B544" s="30" t="str">
        <x:v>HOSPROV033</x:v>
      </x:c>
      <x:c r="C544" s="30" t="str">
        <x:v>CA083</x:v>
      </x:c>
      <x:c r="D544" s="30" t="str">
        <x:v>Monitor outsourced pharmacy services against documented agreements and KPIs.</x:v>
      </x:c>
      <x:c r="E544" s="30" t="str">
        <x:v>Ensure outsourced service quality.</x:v>
      </x:c>
      <x:c r="F544" s="30" t="str">
        <x:v>Optional</x:v>
      </x:c>
      <x:c r="G544" s="30" t="str">
        <x:v>Quarterly</x:v>
      </x:c>
      <x:c r="H544" s="30"/>
      <x:c r="I544" s="30" t="str">
        <x:v>Hospital Compliance Officer</x:v>
      </x:c>
      <x:c r="J544" s="30" t="str">
        <x:v>Outsourced service failure.</x:v>
      </x:c>
      <x:c r="K544" s="30" t="str">
        <x:v>Medium</x:v>
      </x:c>
      <x:c r="L544" s="30" t="str">
        <x:v>HOSPITAL</x:v>
      </x:c>
      <x:c r="M544" s="30" t="str">
        <x:v>Yes</x:v>
      </x:c>
      <x:c r="N544" s="30" t="str">
        <x:v>P-4 entity-specific internal control; no independent statutory force. Activate the exact underlying legal requirement separately.</x:v>
      </x:c>
    </x:row>
    <x:row r="545">
      <x:c r="A545" s="30" t="str">
        <x:v>HOSCOMP034</x:v>
      </x:c>
      <x:c r="B545" s="30" t="str">
        <x:v>HOSPROV034</x:v>
      </x:c>
      <x:c r="C545" s="30" t="str">
        <x:v>CA072</x:v>
      </x:c>
      <x:c r="D545" s="30" t="str">
        <x:v>Ensure telepharmacy services follow approved SOPs, authentication and documentation controls.</x:v>
      </x:c>
      <x:c r="E545" s="30" t="str">
        <x:v>Maintain remote pharmacy service compliance.</x:v>
      </x:c>
      <x:c r="F545" s="30" t="str">
        <x:v>Optional</x:v>
      </x:c>
      <x:c r="G545" s="30" t="str">
        <x:v>Every Service / Monthly Review</x:v>
      </x:c>
      <x:c r="H545" s="30"/>
      <x:c r="I545" s="30" t="str">
        <x:v>Telepharmacy Coordinator</x:v>
      </x:c>
      <x:c r="J545" s="30" t="str">
        <x:v>Inadequate patient verification or advice record.</x:v>
      </x:c>
      <x:c r="K545" s="30" t="str">
        <x:v>Medium</x:v>
      </x:c>
      <x:c r="L545" s="30" t="str">
        <x:v>HOSPITAL</x:v>
      </x:c>
      <x:c r="M545" s="30" t="str">
        <x:v>Yes</x:v>
      </x:c>
      <x:c r="N545" s="30" t="str">
        <x:v>P-4 entity-specific internal control; no independent statutory force. Activate the exact underlying legal requirement separately.</x:v>
      </x:c>
    </x:row>
    <x:row r="546">
      <x:c r="A546" s="30" t="str">
        <x:v>HOSCOMP035</x:v>
      </x:c>
      <x:c r="B546" s="30" t="str">
        <x:v>HOSPROV035</x:v>
      </x:c>
      <x:c r="C546" s="30" t="str">
        <x:v>CA072</x:v>
      </x:c>
      <x:c r="D546" s="30" t="str">
        <x:v>Handle hazardous medicines using approved safety, storage and disposal procedures.</x:v>
      </x:c>
      <x:c r="E546" s="30" t="str">
        <x:v>Protect staff, patients and environment.</x:v>
      </x:c>
      <x:c r="F546" s="30" t="str">
        <x:v>Optional</x:v>
      </x:c>
      <x:c r="G546" s="30" t="str">
        <x:v>Every Handling / Periodic Review</x:v>
      </x:c>
      <x:c r="H546" s="30"/>
      <x:c r="I546" s="30" t="str">
        <x:v>Oncology Pharmacist / Safety Officer</x:v>
      </x:c>
      <x:c r="J546" s="30" t="str">
        <x:v>Staff exposure or unsafe disposal.</x:v>
      </x:c>
      <x:c r="K546" s="30" t="str">
        <x:v>High</x:v>
      </x:c>
      <x:c r="L546" s="30" t="str">
        <x:v>HOSPITAL</x:v>
      </x:c>
      <x:c r="M546" s="30" t="str">
        <x:v>Yes</x:v>
      </x:c>
      <x:c r="N546" s="30" t="str">
        <x:v>P-4 entity-specific internal control; no independent statutory force. Activate the exact underlying legal requirement separately.</x:v>
      </x:c>
    </x:row>
    <x:row r="547">
      <x:c r="A547" s="30" t="str">
        <x:v>HOSCOMP036</x:v>
      </x:c>
      <x:c r="B547" s="30" t="str">
        <x:v>HOSPROV036</x:v>
      </x:c>
      <x:c r="C547" s="30" t="str">
        <x:v>CA072</x:v>
      </x:c>
      <x:c r="D547" s="30" t="str">
        <x:v>Maintain credentialing and competency records for clinical pharmacists.</x:v>
      </x:c>
      <x:c r="E547" s="30" t="str">
        <x:v>Ensure qualified clinical pharmacy services.</x:v>
      </x:c>
      <x:c r="F547" s="30" t="str">
        <x:v>Optional</x:v>
      </x:c>
      <x:c r="G547" s="30" t="str">
        <x:v>Annual / On Appointment</x:v>
      </x:c>
      <x:c r="H547" s="30"/>
      <x:c r="I547" s="30" t="str">
        <x:v>HR &amp; Chief Pharmacist</x:v>
      </x:c>
      <x:c r="J547" s="30" t="str">
        <x:v>Unqualified clinical practice.</x:v>
      </x:c>
      <x:c r="K547" s="30" t="str">
        <x:v>Medium</x:v>
      </x:c>
      <x:c r="L547" s="30" t="str">
        <x:v>HOSPITAL</x:v>
      </x:c>
      <x:c r="M547" s="30" t="str">
        <x:v>Yes</x:v>
      </x:c>
      <x:c r="N547" s="30" t="str">
        <x:v>P-4 entity-specific internal control; no independent statutory force. Activate the exact underlying legal requirement separately.</x:v>
      </x:c>
    </x:row>
    <x:row r="548">
      <x:c r="A548" s="30" t="str">
        <x:v>HOSCOMP037</x:v>
      </x:c>
      <x:c r="B548" s="30" t="str">
        <x:v>HOSPROV037</x:v>
      </x:c>
      <x:c r="C548" s="30" t="str">
        <x:v>CA072</x:v>
      </x:c>
      <x:c r="D548" s="30" t="str">
        <x:v>Monitor pharmacy KPIs and report performance trends.</x:v>
      </x:c>
      <x:c r="E548" s="30" t="str">
        <x:v>Support continual improvement.</x:v>
      </x:c>
      <x:c r="F548" s="30" t="str">
        <x:v>Optional</x:v>
      </x:c>
      <x:c r="G548" s="30" t="str">
        <x:v>Monthly</x:v>
      </x:c>
      <x:c r="H548" s="30"/>
      <x:c r="I548" s="30" t="str">
        <x:v>Pharmacy Quality Manager</x:v>
      </x:c>
      <x:c r="J548" s="30" t="str">
        <x:v>Poor performance visibility.</x:v>
      </x:c>
      <x:c r="K548" s="30" t="str">
        <x:v>Medium</x:v>
      </x:c>
      <x:c r="L548" s="30" t="str">
        <x:v>HOSPITAL</x:v>
      </x:c>
      <x:c r="M548" s="30" t="str">
        <x:v>Yes</x:v>
      </x:c>
      <x:c r="N548" s="30" t="str">
        <x:v>P-4 entity-specific internal control; no independent statutory force. Activate the exact underlying legal requirement separately.</x:v>
      </x:c>
    </x:row>
    <x:row r="549">
      <x:c r="A549" s="30" t="str">
        <x:v>HOSCOMP038</x:v>
      </x:c>
      <x:c r="B549" s="30" t="str">
        <x:v>HOSPROV038</x:v>
      </x:c>
      <x:c r="C549" s="30" t="str">
        <x:v>CA071</x:v>
      </x:c>
      <x:c r="D549" s="30" t="str">
        <x:v>Conduct pharmacy governance committee reviews with documented action closure.</x:v>
      </x:c>
      <x:c r="E549" s="30" t="str">
        <x:v>Strengthen pharmacy oversight.</x:v>
      </x:c>
      <x:c r="F549" s="30" t="str">
        <x:v>Optional</x:v>
      </x:c>
      <x:c r="G549" s="30" t="str">
        <x:v>Quarterly</x:v>
      </x:c>
      <x:c r="H549" s="30"/>
      <x:c r="I549" s="30" t="str">
        <x:v>Pharmacy Governance Committee</x:v>
      </x:c>
      <x:c r="J549" s="30" t="str">
        <x:v>Weak governance and unresolved issues.</x:v>
      </x:c>
      <x:c r="K549" s="30" t="str">
        <x:v>Medium</x:v>
      </x:c>
      <x:c r="L549" s="30" t="str">
        <x:v>HOSPITAL</x:v>
      </x:c>
      <x:c r="M549" s="30" t="str">
        <x:v>Yes</x:v>
      </x:c>
      <x:c r="N549" s="30" t="str">
        <x:v>P-4 entity-specific internal control; no independent statutory force. Activate the exact underlying legal requirement separately.</x:v>
      </x:c>
    </x:row>
    <x:row r="550">
      <x:c r="A550" s="30" t="str">
        <x:v>HOSCOMP039</x:v>
      </x:c>
      <x:c r="B550" s="30" t="str">
        <x:v>HOSPROV039</x:v>
      </x:c>
      <x:c r="C550" s="30" t="str">
        <x:v>CA071</x:v>
      </x:c>
      <x:c r="D550" s="30" t="str">
        <x:v>Track medication safety indicators and implement corrective actions.</x:v>
      </x:c>
      <x:c r="E550" s="30" t="str">
        <x:v>Improve patient safety outcomes.</x:v>
      </x:c>
      <x:c r="F550" s="30" t="str">
        <x:v>Optional</x:v>
      </x:c>
      <x:c r="G550" s="30" t="str">
        <x:v>Monthly</x:v>
      </x:c>
      <x:c r="H550" s="30"/>
      <x:c r="I550" s="30" t="str">
        <x:v>Medication Safety Officer</x:v>
      </x:c>
      <x:c r="J550" s="30" t="str">
        <x:v>Repeated medication safety events.</x:v>
      </x:c>
      <x:c r="K550" s="30" t="str">
        <x:v>High</x:v>
      </x:c>
      <x:c r="L550" s="30" t="str">
        <x:v>HOSPITAL</x:v>
      </x:c>
      <x:c r="M550" s="30" t="str">
        <x:v>Yes</x:v>
      </x:c>
      <x:c r="N550" s="30" t="str">
        <x:v>P-4 entity-specific internal control; no independent statutory force. Activate the exact underlying legal requirement separately.</x:v>
      </x:c>
    </x:row>
    <x:row r="551">
      <x:c r="A551" s="30" t="str">
        <x:v>HOSCOMP040</x:v>
      </x:c>
      <x:c r="B551" s="30" t="str">
        <x:v>HOSPROV040</x:v>
      </x:c>
      <x:c r="C551" s="30" t="str">
        <x:v>CA071</x:v>
      </x:c>
      <x:c r="D551" s="30" t="str">
        <x:v>Maintain pharmacy QMS documents and conduct periodic management reviews.</x:v>
      </x:c>
      <x:c r="E551" s="30" t="str">
        <x:v>Ensure integrated quality management.</x:v>
      </x:c>
      <x:c r="F551" s="30" t="str">
        <x:v>Optional</x:v>
      </x:c>
      <x:c r="G551" s="30" t="str">
        <x:v>Annual / Quarterly Review</x:v>
      </x:c>
      <x:c r="H551" s="30"/>
      <x:c r="I551" s="30" t="str">
        <x:v>Pharmacy Quality Head</x:v>
      </x:c>
      <x:c r="J551" s="30" t="str">
        <x:v>Fragmented quality controls.</x:v>
      </x:c>
      <x:c r="K551" s="30" t="str">
        <x:v>High</x:v>
      </x:c>
      <x:c r="L551" s="30" t="str">
        <x:v>HOSPITAL</x:v>
      </x:c>
      <x:c r="M551" s="30" t="str">
        <x:v>Yes</x:v>
      </x:c>
      <x:c r="N551" s="30" t="str">
        <x:v>P-4 entity-specific internal control; no independent statutory force. Activate the exact underlying legal requirement separately.</x:v>
      </x:c>
    </x:row>
    <x:row r="552">
      <x:c r="A552" s="30" t="str">
        <x:v>CCOMP001</x:v>
      </x:c>
      <x:c r="B552" s="30" t="str">
        <x:v>CPROV001</x:v>
      </x:c>
      <x:c r="C552" s="30" t="str">
        <x:v>CA071</x:v>
      </x:c>
      <x:c r="D552" s="30" t="str">
        <x:v>Maintain centrally approved, version-controlled SOPs across all branches.</x:v>
      </x:c>
      <x:c r="E552" s="30" t="str">
        <x:v>Ensure uniform operational and regulatory compliance.</x:v>
      </x:c>
      <x:c r="F552" s="30" t="str">
        <x:v>Optional</x:v>
      </x:c>
      <x:c r="G552" s="30" t="str">
        <x:v>Continuous</x:v>
      </x:c>
      <x:c r="H552" s="30"/>
      <x:c r="I552" s="30" t="str">
        <x:v>Corporate Quality Head</x:v>
      </x:c>
      <x:c r="J552" s="30" t="str">
        <x:v>Inconsistent branch operations.</x:v>
      </x:c>
      <x:c r="K552" s="30" t="str">
        <x:v>High</x:v>
      </x:c>
      <x:c r="L552" s="30" t="str">
        <x:v>CHAIN</x:v>
      </x:c>
      <x:c r="M552" s="30" t="str">
        <x:v>Yes</x:v>
      </x:c>
      <x:c r="N552" s="30" t="str">
        <x:v>P-4 entity-specific internal control; no independent statutory force. Activate the exact underlying legal requirement separately.</x:v>
      </x:c>
    </x:row>
    <x:row r="553">
      <x:c r="A553" s="30" t="str">
        <x:v>CCOMP002</x:v>
      </x:c>
      <x:c r="B553" s="30" t="str">
        <x:v>CPROV002</x:v>
      </x:c>
      <x:c r="C553" s="30" t="str">
        <x:v>CA071</x:v>
      </x:c>
      <x:c r="D553" s="30" t="str">
        <x:v>Monitor validity and renewal of licences for every pharmacy branch.</x:v>
      </x:c>
      <x:c r="E553" s="30" t="str">
        <x:v>Prevent licence expiry and regulatory violations.</x:v>
      </x:c>
      <x:c r="F553" s="30" t="str">
        <x:v>Optional</x:v>
      </x:c>
      <x:c r="G553" s="30" t="str">
        <x:v>Monthly</x:v>
      </x:c>
      <x:c r="H553" s="30"/>
      <x:c r="I553" s="30" t="str">
        <x:v>Corporate Compliance Manager</x:v>
      </x:c>
      <x:c r="J553" s="30" t="str">
        <x:v>Branch licence non-compliance.</x:v>
      </x:c>
      <x:c r="K553" s="30" t="str">
        <x:v>High</x:v>
      </x:c>
      <x:c r="L553" s="30" t="str">
        <x:v>CHAIN</x:v>
      </x:c>
      <x:c r="M553" s="30" t="str">
        <x:v>Yes</x:v>
      </x:c>
      <x:c r="N553" s="30" t="str">
        <x:v>P-4 entity-specific internal control; no independent statutory force. Activate the exact underlying legal requirement separately.</x:v>
      </x:c>
    </x:row>
    <x:row r="554">
      <x:c r="A554" s="30" t="str">
        <x:v>CCOMP003</x:v>
      </x:c>
      <x:c r="B554" s="30" t="str">
        <x:v>CPROV003</x:v>
      </x:c>
      <x:c r="C554" s="30" t="str">
        <x:v>CA071</x:v>
      </x:c>
      <x:c r="D554" s="30" t="str">
        <x:v>Procure medicines only through approved corporate procurement processes.</x:v>
      </x:c>
      <x:c r="E554" s="30" t="str">
        <x:v>Standardize procurement and supplier quality.</x:v>
      </x:c>
      <x:c r="F554" s="30" t="str">
        <x:v>Optional</x:v>
      </x:c>
      <x:c r="G554" s="30" t="str">
        <x:v>Every Procurement</x:v>
      </x:c>
      <x:c r="H554" s="30"/>
      <x:c r="I554" s="30" t="str">
        <x:v>Procurement Head</x:v>
      </x:c>
      <x:c r="J554" s="30" t="str">
        <x:v>Procurement from unapproved suppliers.</x:v>
      </x:c>
      <x:c r="K554" s="30" t="str">
        <x:v>High</x:v>
      </x:c>
      <x:c r="L554" s="30" t="str">
        <x:v>CHAIN</x:v>
      </x:c>
      <x:c r="M554" s="30" t="str">
        <x:v>Yes</x:v>
      </x:c>
      <x:c r="N554" s="30" t="str">
        <x:v>P-4 entity-specific internal control; no independent statutory force. Activate the exact underlying legal requirement separately.</x:v>
      </x:c>
    </x:row>
    <x:row r="555">
      <x:c r="A555" s="30" t="str">
        <x:v>CCOMP004</x:v>
      </x:c>
      <x:c r="B555" s="30" t="str">
        <x:v>CPROV004</x:v>
      </x:c>
      <x:c r="C555" s="30" t="str">
        <x:v>CA077</x:v>
      </x:c>
      <x:c r="D555" s="30" t="str">
        <x:v>Apply standardized inventory controls across all branches.</x:v>
      </x:c>
      <x:c r="E555" s="30" t="str">
        <x:v>Maintain inventory consistency and accuracy.</x:v>
      </x:c>
      <x:c r="F555" s="30" t="str">
        <x:v>Optional</x:v>
      </x:c>
      <x:c r="G555" s="30" t="str">
        <x:v>Continuous</x:v>
      </x:c>
      <x:c r="H555" s="30"/>
      <x:c r="I555" s="30" t="str">
        <x:v>Operations Manager</x:v>
      </x:c>
      <x:c r="J555" s="30" t="str">
        <x:v>Inventory inconsistencies across branches.</x:v>
      </x:c>
      <x:c r="K555" s="30" t="str">
        <x:v>High</x:v>
      </x:c>
      <x:c r="L555" s="30" t="str">
        <x:v>CHAIN</x:v>
      </x:c>
      <x:c r="M555" s="30" t="str">
        <x:v>Yes</x:v>
      </x:c>
      <x:c r="N555" s="30" t="str">
        <x:v>P-4 entity-specific internal control; no independent statutory force. Activate the exact underlying legal requirement separately.</x:v>
      </x:c>
    </x:row>
    <x:row r="556">
      <x:c r="A556" s="30" t="str">
        <x:v>CCOMP005</x:v>
      </x:c>
      <x:c r="B556" s="30" t="str">
        <x:v>CPROV005</x:v>
      </x:c>
      <x:c r="C556" s="30" t="str">
        <x:v>CA019</x:v>
      </x:c>
      <x:c r="D556" s="30" t="str">
        <x:v>Authorize and document all inter-branch medicine transfers.</x:v>
      </x:c>
      <x:c r="E556" s="30" t="str">
        <x:v>Ensure complete stock traceability.</x:v>
      </x:c>
      <x:c r="F556" s="30" t="str">
        <x:v>Optional</x:v>
      </x:c>
      <x:c r="G556" s="30" t="str">
        <x:v>Every Transfer</x:v>
      </x:c>
      <x:c r="H556" s="30"/>
      <x:c r="I556" s="30" t="str">
        <x:v>Inventory Manager</x:v>
      </x:c>
      <x:c r="J556" s="30" t="str">
        <x:v>Stock diversion or inaccurate inventory.</x:v>
      </x:c>
      <x:c r="K556" s="30" t="str">
        <x:v>High</x:v>
      </x:c>
      <x:c r="L556" s="30" t="str">
        <x:v>CHAIN</x:v>
      </x:c>
      <x:c r="M556" s="30" t="str">
        <x:v>Yes</x:v>
      </x:c>
      <x:c r="N556" s="30" t="str">
        <x:v>P-4 entity-specific internal control; no independent statutory force. Activate the exact underlying legal requirement separately.</x:v>
      </x:c>
    </x:row>
    <x:row r="557">
      <x:c r="A557" s="30" t="str">
        <x:v>CCOMP006</x:v>
      </x:c>
      <x:c r="B557" s="30" t="str">
        <x:v>CPROV006</x:v>
      </x:c>
      <x:c r="C557" s="30" t="str">
        <x:v>CA096</x:v>
      </x:c>
      <x:c r="D557" s="30" t="str">
        <x:v>Execute centrally coordinated product recalls across all branches.</x:v>
      </x:c>
      <x:c r="E557" s="30" t="str">
        <x:v>Ensure timely and complete recall execution.</x:v>
      </x:c>
      <x:c r="F557" s="30" t="str">
        <x:v>Optional</x:v>
      </x:c>
      <x:c r="G557" s="30" t="str">
        <x:v>As Required</x:v>
      </x:c>
      <x:c r="H557" s="30"/>
      <x:c r="I557" s="30" t="str">
        <x:v>Quality Assurance Head</x:v>
      </x:c>
      <x:c r="J557" s="30" t="str">
        <x:v>Delayed or incomplete product recall.</x:v>
      </x:c>
      <x:c r="K557" s="30" t="str">
        <x:v>High</x:v>
      </x:c>
      <x:c r="L557" s="30" t="str">
        <x:v>CHAIN</x:v>
      </x:c>
      <x:c r="M557" s="30" t="str">
        <x:v>Yes</x:v>
      </x:c>
      <x:c r="N557" s="30" t="str">
        <x:v>P-4 entity-specific internal control; no independent statutory force. Activate the exact underlying legal requirement separately.</x:v>
      </x:c>
    </x:row>
    <x:row r="558">
      <x:c r="A558" s="30" t="str">
        <x:v>CCOMP007</x:v>
      </x:c>
      <x:c r="B558" s="30" t="str">
        <x:v>CPROV007</x:v>
      </x:c>
      <x:c r="C558" s="30" t="str">
        <x:v>CA097</x:v>
      </x:c>
      <x:c r="D558" s="30" t="str">
        <x:v>Register, investigate and resolve customer complaints through a centralized system.</x:v>
      </x:c>
      <x:c r="E558" s="30" t="str">
        <x:v>Standardize complaint management.</x:v>
      </x:c>
      <x:c r="F558" s="30" t="str">
        <x:v>Optional</x:v>
      </x:c>
      <x:c r="G558" s="30" t="str">
        <x:v>As Required</x:v>
      </x:c>
      <x:c r="H558" s="30"/>
      <x:c r="I558" s="30" t="str">
        <x:v>Customer Quality Manager</x:v>
      </x:c>
      <x:c r="J558" s="30" t="str">
        <x:v>Repeated customer complaints.</x:v>
      </x:c>
      <x:c r="K558" s="30" t="str">
        <x:v>Medium</x:v>
      </x:c>
      <x:c r="L558" s="30" t="str">
        <x:v>CHAIN</x:v>
      </x:c>
      <x:c r="M558" s="30" t="str">
        <x:v>Yes</x:v>
      </x:c>
      <x:c r="N558" s="30" t="str">
        <x:v>P-4 entity-specific internal control; no independent statutory force. Activate the exact underlying legal requirement separately.</x:v>
      </x:c>
    </x:row>
    <x:row r="559">
      <x:c r="A559" s="30" t="str">
        <x:v>CCOMP008</x:v>
      </x:c>
      <x:c r="B559" s="30" t="str">
        <x:v>CPROV008</x:v>
      </x:c>
      <x:c r="C559" s="30" t="str">
        <x:v>CA098</x:v>
      </x:c>
      <x:c r="D559" s="30" t="str">
        <x:v>Monitor CAPA implementation and closure centrally.</x:v>
      </x:c>
      <x:c r="E559" s="30" t="str">
        <x:v>Ensure timely corrective and preventive actions.</x:v>
      </x:c>
      <x:c r="F559" s="30" t="str">
        <x:v>Optional</x:v>
      </x:c>
      <x:c r="G559" s="30" t="str">
        <x:v>Monthly</x:v>
      </x:c>
      <x:c r="H559" s="30"/>
      <x:c r="I559" s="30" t="str">
        <x:v>Corporate QA Manager</x:v>
      </x:c>
      <x:c r="J559" s="30" t="str">
        <x:v>Recurring compliance failures.</x:v>
      </x:c>
      <x:c r="K559" s="30" t="str">
        <x:v>High</x:v>
      </x:c>
      <x:c r="L559" s="30" t="str">
        <x:v>CHAIN</x:v>
      </x:c>
      <x:c r="M559" s="30" t="str">
        <x:v>Yes</x:v>
      </x:c>
      <x:c r="N559" s="30" t="str">
        <x:v>P-4 entity-specific internal control; no independent statutory force. Activate the exact underlying legal requirement separately.</x:v>
      </x:c>
    </x:row>
    <x:row r="560">
      <x:c r="A560" s="30" t="str">
        <x:v>CCOMP009</x:v>
      </x:c>
      <x:c r="B560" s="30" t="str">
        <x:v>CPROV009</x:v>
      </x:c>
      <x:c r="C560" s="30" t="str">
        <x:v>CA083</x:v>
      </x:c>
      <x:c r="D560" s="30" t="str">
        <x:v>Conduct periodic compliance audits at every branch using standardized procedures.</x:v>
      </x:c>
      <x:c r="E560" s="30" t="str">
        <x:v>Verify regulatory compliance consistently.</x:v>
      </x:c>
      <x:c r="F560" s="30" t="str">
        <x:v>Optional</x:v>
      </x:c>
      <x:c r="G560" s="30" t="str">
        <x:v>Quarterly</x:v>
      </x:c>
      <x:c r="H560" s="30"/>
      <x:c r="I560" s="30" t="str">
        <x:v>Internal Audit Head</x:v>
      </x:c>
      <x:c r="J560" s="30" t="str">
        <x:v>Undetected branch non-compliance.</x:v>
      </x:c>
      <x:c r="K560" s="30" t="str">
        <x:v>High</x:v>
      </x:c>
      <x:c r="L560" s="30" t="str">
        <x:v>CHAIN</x:v>
      </x:c>
      <x:c r="M560" s="30" t="str">
        <x:v>Yes</x:v>
      </x:c>
      <x:c r="N560" s="30" t="str">
        <x:v>P-4 entity-specific internal control; no independent statutory force. Activate the exact underlying legal requirement separately.</x:v>
      </x:c>
    </x:row>
    <x:row r="561">
      <x:c r="A561" s="30" t="str">
        <x:v>CCOMP010</x:v>
      </x:c>
      <x:c r="B561" s="30" t="str">
        <x:v>CPROV010</x:v>
      </x:c>
      <x:c r="C561" s="30" t="str">
        <x:v>CA099</x:v>
      </x:c>
      <x:c r="D561" s="30" t="str">
        <x:v>Maintain centralized training and competency records for pharmacy personnel.</x:v>
      </x:c>
      <x:c r="E561" s="30" t="str">
        <x:v>Ensure competent workforce across branches.</x:v>
      </x:c>
      <x:c r="F561" s="30" t="str">
        <x:v>Optional</x:v>
      </x:c>
      <x:c r="G561" s="30" t="str">
        <x:v>Induction &amp; Annual</x:v>
      </x:c>
      <x:c r="H561" s="30"/>
      <x:c r="I561" s="30" t="str">
        <x:v>HR &amp; Training Manager</x:v>
      </x:c>
      <x:c r="J561" s="30" t="str">
        <x:v>Inadequate employee competency.</x:v>
      </x:c>
      <x:c r="K561" s="30" t="str">
        <x:v>Medium</x:v>
      </x:c>
      <x:c r="L561" s="30" t="str">
        <x:v>CHAIN</x:v>
      </x:c>
      <x:c r="M561" s="30" t="str">
        <x:v>Yes</x:v>
      </x:c>
      <x:c r="N561" s="30" t="str">
        <x:v>P-4 entity-specific internal control; no independent statutory force. Activate the exact underlying legal requirement separately.</x:v>
      </x:c>
    </x:row>
    <x:row r="562">
      <x:c r="A562" s="30" t="str">
        <x:v>CCOMP011</x:v>
      </x:c>
      <x:c r="B562" s="30" t="str">
        <x:v>CPROV011</x:v>
      </x:c>
      <x:c r="C562" s="30" t="str">
        <x:v>CA100</x:v>
      </x:c>
      <x:c r="D562" s="30" t="str">
        <x:v>Monitor enterprise pharmacy KPIs across all branches.</x:v>
      </x:c>
      <x:c r="E562" s="30" t="str">
        <x:v>Improve operational performance.</x:v>
      </x:c>
      <x:c r="F562" s="30" t="str">
        <x:v>Optional</x:v>
      </x:c>
      <x:c r="G562" s="30" t="str">
        <x:v>Monthly</x:v>
      </x:c>
      <x:c r="H562" s="30"/>
      <x:c r="I562" s="30" t="str">
        <x:v>Operations Excellence Manager</x:v>
      </x:c>
      <x:c r="J562" s="30" t="str">
        <x:v>Declining operational performance.</x:v>
      </x:c>
      <x:c r="K562" s="30" t="str">
        <x:v>Medium</x:v>
      </x:c>
      <x:c r="L562" s="30" t="str">
        <x:v>CHAIN</x:v>
      </x:c>
      <x:c r="M562" s="30" t="str">
        <x:v>Yes</x:v>
      </x:c>
      <x:c r="N562" s="30" t="str">
        <x:v>P-4 entity-specific internal control; no independent statutory force. Activate the exact underlying legal requirement separately.</x:v>
      </x:c>
    </x:row>
    <x:row r="563">
      <x:c r="A563" s="30" t="str">
        <x:v>CCOMP012</x:v>
      </x:c>
      <x:c r="B563" s="30" t="str">
        <x:v>CPROV012</x:v>
      </x:c>
      <x:c r="C563" s="30" t="str">
        <x:v>CA084</x:v>
      </x:c>
      <x:c r="D563" s="30" t="str">
        <x:v>Monitor compliance status of all branches through a centralized dashboard.</x:v>
      </x:c>
      <x:c r="E563" s="30" t="str">
        <x:v>Provide proactive compliance oversight.</x:v>
      </x:c>
      <x:c r="F563" s="30" t="str">
        <x:v>Optional</x:v>
      </x:c>
      <x:c r="G563" s="30" t="str">
        <x:v>Monthly</x:v>
      </x:c>
      <x:c r="H563" s="30"/>
      <x:c r="I563" s="30" t="str">
        <x:v>Compliance Head</x:v>
      </x:c>
      <x:c r="J563" s="30" t="str">
        <x:v>Delayed identification of non-compliance.</x:v>
      </x:c>
      <x:c r="K563" s="30" t="str">
        <x:v>High</x:v>
      </x:c>
      <x:c r="L563" s="30" t="str">
        <x:v>CHAIN</x:v>
      </x:c>
      <x:c r="M563" s="30" t="str">
        <x:v>Yes</x:v>
      </x:c>
      <x:c r="N563" s="30" t="str">
        <x:v>P-4 entity-specific internal control; no independent statutory force. Activate the exact underlying legal requirement separately.</x:v>
      </x:c>
    </x:row>
    <x:row r="564">
      <x:c r="A564" s="30" t="str">
        <x:v>CCOMP013</x:v>
      </x:c>
      <x:c r="B564" s="30" t="str">
        <x:v>CPROV013</x:v>
      </x:c>
      <x:c r="C564" s="30" t="str">
        <x:v>CA088</x:v>
      </x:c>
      <x:c r="D564" s="30" t="str">
        <x:v>Maintain centralized document control for regulatory documents and SOPs.</x:v>
      </x:c>
      <x:c r="E564" s="30" t="str">
        <x:v>Ensure only current documents are in use.</x:v>
      </x:c>
      <x:c r="F564" s="30" t="str">
        <x:v>Optional</x:v>
      </x:c>
      <x:c r="G564" s="30" t="str">
        <x:v>Continuous</x:v>
      </x:c>
      <x:c r="H564" s="30"/>
      <x:c r="I564" s="30" t="str">
        <x:v>Document Controller</x:v>
      </x:c>
      <x:c r="J564" s="30" t="str">
        <x:v>Use of obsolete procedures.</x:v>
      </x:c>
      <x:c r="K564" s="30" t="str">
        <x:v>Medium</x:v>
      </x:c>
      <x:c r="L564" s="30" t="str">
        <x:v>CHAIN</x:v>
      </x:c>
      <x:c r="M564" s="30" t="str">
        <x:v>Yes</x:v>
      </x:c>
      <x:c r="N564" s="30" t="str">
        <x:v>P-4 entity-specific internal control; no independent statutory force. Activate the exact underlying legal requirement separately.</x:v>
      </x:c>
    </x:row>
    <x:row r="565">
      <x:c r="A565" s="30" t="str">
        <x:v>CCOMP014</x:v>
      </x:c>
      <x:c r="B565" s="30" t="str">
        <x:v>CPROV014</x:v>
      </x:c>
      <x:c r="C565" s="30" t="str">
        <x:v>CA086</x:v>
      </x:c>
      <x:c r="D565" s="30" t="str">
        <x:v>Review branch temperature monitoring reports centrally and investigate deviations.</x:v>
      </x:c>
      <x:c r="E565" s="30" t="str">
        <x:v>Ensure consistent storage conditions.</x:v>
      </x:c>
      <x:c r="F565" s="30" t="str">
        <x:v>Optional</x:v>
      </x:c>
      <x:c r="G565" s="30" t="str">
        <x:v>Daily Review</x:v>
      </x:c>
      <x:c r="H565" s="30"/>
      <x:c r="I565" s="30" t="str">
        <x:v>Quality Manager</x:v>
      </x:c>
      <x:c r="J565" s="30" t="str">
        <x:v>Product quality deterioration.</x:v>
      </x:c>
      <x:c r="K565" s="30" t="str">
        <x:v>High</x:v>
      </x:c>
      <x:c r="L565" s="30" t="str">
        <x:v>CHAIN</x:v>
      </x:c>
      <x:c r="M565" s="30" t="str">
        <x:v>Yes</x:v>
      </x:c>
      <x:c r="N565" s="30" t="str">
        <x:v>P-4 entity-specific internal control; no independent statutory force. Activate the exact underlying legal requirement separately.</x:v>
      </x:c>
    </x:row>
    <x:row r="566">
      <x:c r="A566" s="30" t="str">
        <x:v>CCOMP015</x:v>
      </x:c>
      <x:c r="B566" s="30" t="str">
        <x:v>CPROV015</x:v>
      </x:c>
      <x:c r="C566" s="30" t="str">
        <x:v>CA087</x:v>
      </x:c>
      <x:c r="D566" s="30" t="str">
        <x:v>Conduct enterprise supplier performance evaluations periodically.</x:v>
      </x:c>
      <x:c r="E566" s="30" t="str">
        <x:v>Maintain supplier quality and reliability.</x:v>
      </x:c>
      <x:c r="F566" s="30" t="str">
        <x:v>Optional</x:v>
      </x:c>
      <x:c r="G566" s="30" t="str">
        <x:v>Annual</x:v>
      </x:c>
      <x:c r="H566" s="30"/>
      <x:c r="I566" s="30" t="str">
        <x:v>Procurement Head</x:v>
      </x:c>
      <x:c r="J566" s="30" t="str">
        <x:v>Poor supplier performance.</x:v>
      </x:c>
      <x:c r="K566" s="30" t="str">
        <x:v>Medium</x:v>
      </x:c>
      <x:c r="L566" s="30" t="str">
        <x:v>CHAIN</x:v>
      </x:c>
      <x:c r="M566" s="30" t="str">
        <x:v>Yes</x:v>
      </x:c>
      <x:c r="N566" s="30" t="str">
        <x:v>P-4 entity-specific internal control; no independent statutory force. Activate the exact underlying legal requirement separately.</x:v>
      </x:c>
    </x:row>
    <x:row r="567">
      <x:c r="A567" s="30" t="str">
        <x:v>CCOMP016</x:v>
      </x:c>
      <x:c r="B567" s="30" t="str">
        <x:v>CPROV016</x:v>
      </x:c>
      <x:c r="C567" s="30" t="str">
        <x:v>CA083</x:v>
      </x:c>
      <x:c r="D567" s="30" t="str">
        <x:v>Maintain and review an enterprise pharmacy risk register.</x:v>
      </x:c>
      <x:c r="E567" s="30" t="str">
        <x:v>Identify and mitigate enterprise risks.</x:v>
      </x:c>
      <x:c r="F567" s="30" t="str">
        <x:v>Optional</x:v>
      </x:c>
      <x:c r="G567" s="30" t="str">
        <x:v>Quarterly</x:v>
      </x:c>
      <x:c r="H567" s="30"/>
      <x:c r="I567" s="30" t="str">
        <x:v>Risk Manager</x:v>
      </x:c>
      <x:c r="J567" s="30" t="str">
        <x:v>Unidentified strategic risks.</x:v>
      </x:c>
      <x:c r="K567" s="30" t="str">
        <x:v>Medium</x:v>
      </x:c>
      <x:c r="L567" s="30" t="str">
        <x:v>CHAIN</x:v>
      </x:c>
      <x:c r="M567" s="30" t="str">
        <x:v>Yes</x:v>
      </x:c>
      <x:c r="N567" s="30" t="str">
        <x:v>P-4 entity-specific internal control; no independent statutory force. Activate the exact underlying legal requirement separately.</x:v>
      </x:c>
    </x:row>
    <x:row r="568">
      <x:c r="A568" s="30" t="str">
        <x:v>CCOMP017</x:v>
      </x:c>
      <x:c r="B568" s="30" t="str">
        <x:v>CPROV017</x:v>
      </x:c>
      <x:c r="C568" s="30" t="str">
        <x:v>CA097</x:v>
      </x:c>
      <x:c r="D568" s="30" t="str">
        <x:v>Monitor franchise pharmacy compliance against corporate standards.</x:v>
      </x:c>
      <x:c r="E568" s="30" t="str">
        <x:v>Ensure uniform compliance across franchise operations.</x:v>
      </x:c>
      <x:c r="F568" s="30" t="str">
        <x:v>Optional</x:v>
      </x:c>
      <x:c r="G568" s="30" t="str">
        <x:v>Quarterly</x:v>
      </x:c>
      <x:c r="H568" s="30"/>
      <x:c r="I568" s="30" t="str">
        <x:v>Franchise Compliance Manager</x:v>
      </x:c>
      <x:c r="J568" s="30" t="str">
        <x:v>Franchise regulatory non-compliance.</x:v>
      </x:c>
      <x:c r="K568" s="30" t="str">
        <x:v>Medium</x:v>
      </x:c>
      <x:c r="L568" s="30" t="str">
        <x:v>CHAIN</x:v>
      </x:c>
      <x:c r="M568" s="30" t="str">
        <x:v>Yes</x:v>
      </x:c>
      <x:c r="N568" s="30" t="str">
        <x:v>P-4 entity-specific internal control; no independent statutory force. Activate the exact underlying legal requirement separately.</x:v>
      </x:c>
    </x:row>
    <x:row r="569">
      <x:c r="A569" s="30" t="str">
        <x:v>CCOMP018</x:v>
      </x:c>
      <x:c r="B569" s="30" t="str">
        <x:v>CPROV018</x:v>
      </x:c>
      <x:c r="C569" s="30" t="str">
        <x:v>CA089</x:v>
      </x:c>
      <x:c r="D569" s="30" t="str">
        <x:v>Maintain and periodically test pharmacy business continuity procedures.</x:v>
      </x:c>
      <x:c r="E569" s="30" t="str">
        <x:v>Ensure continuity during operational disruptions.</x:v>
      </x:c>
      <x:c r="F569" s="30" t="str">
        <x:v>Optional</x:v>
      </x:c>
      <x:c r="G569" s="30" t="str">
        <x:v>Annual</x:v>
      </x:c>
      <x:c r="H569" s="30"/>
      <x:c r="I569" s="30" t="str">
        <x:v>Business Continuity Manager</x:v>
      </x:c>
      <x:c r="J569" s="30" t="str">
        <x:v>Operational disruption.</x:v>
      </x:c>
      <x:c r="K569" s="30" t="str">
        <x:v>High</x:v>
      </x:c>
      <x:c r="L569" s="30" t="str">
        <x:v>CHAIN</x:v>
      </x:c>
      <x:c r="M569" s="30" t="str">
        <x:v>Yes</x:v>
      </x:c>
      <x:c r="N569" s="30" t="str">
        <x:v>P-4 entity-specific internal control; no independent statutory force. Activate the exact underlying legal requirement separately.</x:v>
      </x:c>
    </x:row>
    <x:row r="570">
      <x:c r="A570" s="30" t="str">
        <x:v>CCOMP019</x:v>
      </x:c>
      <x:c r="B570" s="30" t="str">
        <x:v>CPROV019</x:v>
      </x:c>
      <x:c r="C570" s="30" t="str">
        <x:v>CA018</x:v>
      </x:c>
      <x:c r="D570" s="30" t="str">
        <x:v>Coordinate regulatory reporting for all branches through a centralized compliance calendar.</x:v>
      </x:c>
      <x:c r="E570" s="30" t="str">
        <x:v>Ensure timely statutory submissions.</x:v>
      </x:c>
      <x:c r="F570" s="30" t="str">
        <x:v>Optional</x:v>
      </x:c>
      <x:c r="G570" s="30" t="str">
        <x:v>As Per Regulatory Timeline</x:v>
      </x:c>
      <x:c r="H570" s="30"/>
      <x:c r="I570" s="30" t="str">
        <x:v>Regulatory Compliance Manager</x:v>
      </x:c>
      <x:c r="J570" s="30" t="str">
        <x:v>Missed statutory filings.</x:v>
      </x:c>
      <x:c r="K570" s="30" t="str">
        <x:v>High</x:v>
      </x:c>
      <x:c r="L570" s="30" t="str">
        <x:v>CHAIN</x:v>
      </x:c>
      <x:c r="M570" s="30" t="str">
        <x:v>Yes</x:v>
      </x:c>
      <x:c r="N570" s="30" t="str">
        <x:v>P-4 entity-specific internal control; no independent statutory force. Activate the exact underlying legal requirement separately.</x:v>
      </x:c>
    </x:row>
    <x:row r="571">
      <x:c r="A571" s="30" t="str">
        <x:v>CCOMP020</x:v>
      </x:c>
      <x:c r="B571" s="30" t="str">
        <x:v>CPROV020</x:v>
      </x:c>
      <x:c r="C571" s="30" t="str">
        <x:v>CA018</x:v>
      </x:c>
      <x:c r="D571" s="30" t="str">
        <x:v>Conduct periodic enterprise quality reviews covering compliance, KPIs and corrective actions.</x:v>
      </x:c>
      <x:c r="E571" s="30" t="str">
        <x:v>Drive continual quality improvement.</x:v>
      </x:c>
      <x:c r="F571" s="30" t="str">
        <x:v>Optional</x:v>
      </x:c>
      <x:c r="G571" s="30" t="str">
        <x:v>Quarterly</x:v>
      </x:c>
      <x:c r="H571" s="30"/>
      <x:c r="I571" s="30" t="str">
        <x:v>Senior Management</x:v>
      </x:c>
      <x:c r="J571" s="30" t="str">
        <x:v>Weak governance and delayed improvements.</x:v>
      </x:c>
      <x:c r="K571" s="30" t="str">
        <x:v>High</x:v>
      </x:c>
      <x:c r="L571" s="30" t="str">
        <x:v>CHAIN</x:v>
      </x:c>
      <x:c r="M571" s="30" t="str">
        <x:v>Yes</x:v>
      </x:c>
      <x:c r="N571" s="30" t="str">
        <x:v>P-4 entity-specific internal control; no independent statutory force. Activate the exact underlying legal requirement separately.</x:v>
      </x:c>
    </x:row>
    <x:row r="572">
      <x:c r="A572" s="30" t="str">
        <x:v>ECOMP001</x:v>
      </x:c>
      <x:c r="B572" s="30" t="str">
        <x:v>EPROV001</x:v>
      </x:c>
      <x:c r="C572" s="30" t="str">
        <x:v>CA034</x:v>
      </x:c>
      <x:c r="D572" s="30" t="str">
        <x:v>Validate every electronic prescription before medicine dispensing.</x:v>
      </x:c>
      <x:c r="E572" s="30" t="str">
        <x:v>Prevent dispensing against invalid or forged prescriptions.</x:v>
      </x:c>
      <x:c r="F572" s="30" t="str">
        <x:v>Optional</x:v>
      </x:c>
      <x:c r="G572" s="30" t="str">
        <x:v>Every Prescription</x:v>
      </x:c>
      <x:c r="H572" s="30"/>
      <x:c r="I572" s="30" t="str">
        <x:v>Registered Pharmacist</x:v>
      </x:c>
      <x:c r="J572" s="30" t="str">
        <x:v>Unauthorized dispensing.</x:v>
      </x:c>
      <x:c r="K572" s="30" t="str">
        <x:v>High</x:v>
      </x:c>
      <x:c r="L572" s="30" t="str">
        <x:v>EPHARMACY</x:v>
      </x:c>
      <x:c r="M572" s="30" t="str">
        <x:v>Yes</x:v>
      </x:c>
      <x:c r="N572" s="30" t="str">
        <x:v>P-4 entity-specific internal control; no independent statutory force. Activate the exact underlying legal requirement separately.</x:v>
      </x:c>
    </x:row>
    <x:row r="573">
      <x:c r="A573" s="30" t="str">
        <x:v>ECOMP002</x:v>
      </x:c>
      <x:c r="B573" s="30" t="str">
        <x:v>EPROV002</x:v>
      </x:c>
      <x:c r="C573" s="30" t="str">
        <x:v>CA033</x:v>
      </x:c>
      <x:c r="D573" s="30" t="str">
        <x:v>Verify customer identity before processing prescription medicine orders.</x:v>
      </x:c>
      <x:c r="E573" s="30" t="str">
        <x:v>Ensure lawful supply of prescription medicines.</x:v>
      </x:c>
      <x:c r="F573" s="30" t="str">
        <x:v>Optional</x:v>
      </x:c>
      <x:c r="G573" s="30" t="str">
        <x:v>Every New Customer / As Required</x:v>
      </x:c>
      <x:c r="H573" s="30"/>
      <x:c r="I573" s="30" t="str">
        <x:v>Compliance Officer</x:v>
      </x:c>
      <x:c r="J573" s="30" t="str">
        <x:v>Fraudulent medicine procurement.</x:v>
      </x:c>
      <x:c r="K573" s="30" t="str">
        <x:v>High</x:v>
      </x:c>
      <x:c r="L573" s="30" t="str">
        <x:v>EPHARMACY</x:v>
      </x:c>
      <x:c r="M573" s="30" t="str">
        <x:v>Yes</x:v>
      </x:c>
      <x:c r="N573" s="30" t="str">
        <x:v>P-4 entity-specific internal control; no independent statutory force. Activate the exact underlying legal requirement separately.</x:v>
      </x:c>
    </x:row>
    <x:row r="574">
      <x:c r="A574" s="30" t="str">
        <x:v>ECOMP003</x:v>
      </x:c>
      <x:c r="B574" s="30" t="str">
        <x:v>EPROV003</x:v>
      </x:c>
      <x:c r="C574" s="30" t="str">
        <x:v>CA033</x:v>
      </x:c>
      <x:c r="D574" s="30" t="str">
        <x:v>Obtain pharmacist approval before dispatching prescription medicines.</x:v>
      </x:c>
      <x:c r="E574" s="30" t="str">
        <x:v>Ensure professional review before dispensing.</x:v>
      </x:c>
      <x:c r="F574" s="30" t="str">
        <x:v>Optional</x:v>
      </x:c>
      <x:c r="G574" s="30" t="str">
        <x:v>Every Prescription Order</x:v>
      </x:c>
      <x:c r="H574" s="30"/>
      <x:c r="I574" s="30" t="str">
        <x:v>Registered Pharmacist</x:v>
      </x:c>
      <x:c r="J574" s="30" t="str">
        <x:v>Incorrect dispensing decisions.</x:v>
      </x:c>
      <x:c r="K574" s="30" t="str">
        <x:v>High</x:v>
      </x:c>
      <x:c r="L574" s="30" t="str">
        <x:v>EPHARMACY</x:v>
      </x:c>
      <x:c r="M574" s="30" t="str">
        <x:v>Yes</x:v>
      </x:c>
      <x:c r="N574" s="30" t="str">
        <x:v>P-4 entity-specific internal control; no independent statutory force. Activate the exact underlying legal requirement separately.</x:v>
      </x:c>
    </x:row>
    <x:row r="575">
      <x:c r="A575" s="30" t="str">
        <x:v>ECOMP004</x:v>
      </x:c>
      <x:c r="B575" s="30" t="str">
        <x:v>EPROV004</x:v>
      </x:c>
      <x:c r="C575" s="30" t="str">
        <x:v>CA033</x:v>
      </x:c>
      <x:c r="D575" s="30" t="str">
        <x:v>Link telemedicine consultations with prescription dispensing records.</x:v>
      </x:c>
      <x:c r="E575" s="30" t="str">
        <x:v>Maintain complete clinical traceability.</x:v>
      </x:c>
      <x:c r="F575" s="30" t="str">
        <x:v>Optional</x:v>
      </x:c>
      <x:c r="G575" s="30" t="str">
        <x:v>Every Teleconsultation Order</x:v>
      </x:c>
      <x:c r="H575" s="30"/>
      <x:c r="I575" s="30" t="str">
        <x:v>Clinical Operations Manager</x:v>
      </x:c>
      <x:c r="J575" s="30" t="str">
        <x:v>Incomplete patient treatment records.</x:v>
      </x:c>
      <x:c r="K575" s="30" t="str">
        <x:v>High</x:v>
      </x:c>
      <x:c r="L575" s="30" t="str">
        <x:v>EPHARMACY</x:v>
      </x:c>
      <x:c r="M575" s="30" t="str">
        <x:v>Yes</x:v>
      </x:c>
      <x:c r="N575" s="30" t="str">
        <x:v>P-4 entity-specific internal control; no independent statutory force. Activate the exact underlying legal requirement separately.</x:v>
      </x:c>
    </x:row>
    <x:row r="576">
      <x:c r="A576" s="30" t="str">
        <x:v>ECOMP005</x:v>
      </x:c>
      <x:c r="B576" s="30" t="str">
        <x:v>EPROV005</x:v>
      </x:c>
      <x:c r="C576" s="30" t="str">
        <x:v>CA033</x:v>
      </x:c>
      <x:c r="D576" s="30" t="str">
        <x:v>Obtain and securely retain electronic customer consent for data processing.</x:v>
      </x:c>
      <x:c r="E576" s="30" t="str">
        <x:v>Ensure lawful processing of personal data.</x:v>
      </x:c>
      <x:c r="F576" s="30" t="str">
        <x:v>Optional</x:v>
      </x:c>
      <x:c r="G576" s="30" t="str">
        <x:v>At Registration / When Updated</x:v>
      </x:c>
      <x:c r="H576" s="30"/>
      <x:c r="I576" s="30" t="str">
        <x:v>Privacy Officer</x:v>
      </x:c>
      <x:c r="J576" s="30" t="str">
        <x:v>Privacy and regulatory violations.</x:v>
      </x:c>
      <x:c r="K576" s="30" t="str">
        <x:v>High</x:v>
      </x:c>
      <x:c r="L576" s="30" t="str">
        <x:v>EPHARMACY</x:v>
      </x:c>
      <x:c r="M576" s="30" t="str">
        <x:v>Yes</x:v>
      </x:c>
      <x:c r="N576" s="30" t="str">
        <x:v>P-4 entity-specific internal control; no independent statutory force. Activate the exact underlying legal requirement separately.</x:v>
      </x:c>
    </x:row>
    <x:row r="577">
      <x:c r="A577" s="30" t="str">
        <x:v>ECOMP006</x:v>
      </x:c>
      <x:c r="B577" s="30" t="str">
        <x:v>EPROV006</x:v>
      </x:c>
      <x:c r="C577" s="30" t="str">
        <x:v>CA033</x:v>
      </x:c>
      <x:c r="D577" s="30" t="str">
        <x:v>Securely retain electronic prescriptions, dispensing and transaction records.</x:v>
      </x:c>
      <x:c r="E577" s="30" t="str">
        <x:v>Maintain audit-ready electronic records.</x:v>
      </x:c>
      <x:c r="F577" s="30" t="str">
        <x:v>Optional</x:v>
      </x:c>
      <x:c r="G577" s="30" t="str">
        <x:v>Continuous</x:v>
      </x:c>
      <x:c r="H577" s="30"/>
      <x:c r="I577" s="30" t="str">
        <x:v>Records Manager</x:v>
      </x:c>
      <x:c r="J577" s="30" t="str">
        <x:v>Missing audit evidence.</x:v>
      </x:c>
      <x:c r="K577" s="30" t="str">
        <x:v>High</x:v>
      </x:c>
      <x:c r="L577" s="30" t="str">
        <x:v>EPHARMACY</x:v>
      </x:c>
      <x:c r="M577" s="30" t="str">
        <x:v>Yes</x:v>
      </x:c>
      <x:c r="N577" s="30" t="str">
        <x:v>P-4 entity-specific internal control; no independent statutory force. Activate the exact underlying legal requirement separately.</x:v>
      </x:c>
    </x:row>
    <x:row r="578">
      <x:c r="A578" s="30" t="str">
        <x:v>ECOMP007</x:v>
      </x:c>
      <x:c r="B578" s="30" t="str">
        <x:v>EPROV007</x:v>
      </x:c>
      <x:c r="C578" s="30" t="str">
        <x:v>CA033</x:v>
      </x:c>
      <x:c r="D578" s="30" t="str">
        <x:v>Validate completeness of online orders before processing.</x:v>
      </x:c>
      <x:c r="E578" s="30" t="str">
        <x:v>Reduce order processing errors.</x:v>
      </x:c>
      <x:c r="F578" s="30" t="str">
        <x:v>Optional</x:v>
      </x:c>
      <x:c r="G578" s="30" t="str">
        <x:v>Every Online Order</x:v>
      </x:c>
      <x:c r="H578" s="30"/>
      <x:c r="I578" s="30" t="str">
        <x:v>Order Processing Supervisor</x:v>
      </x:c>
      <x:c r="J578" s="30" t="str">
        <x:v>Incomplete or erroneous orders.</x:v>
      </x:c>
      <x:c r="K578" s="30" t="str">
        <x:v>Medium</x:v>
      </x:c>
      <x:c r="L578" s="30" t="str">
        <x:v>EPHARMACY</x:v>
      </x:c>
      <x:c r="M578" s="30" t="str">
        <x:v>Yes</x:v>
      </x:c>
      <x:c r="N578" s="30" t="str">
        <x:v>P-4 entity-specific internal control; no independent statutory force. Activate the exact underlying legal requirement separately.</x:v>
      </x:c>
    </x:row>
    <x:row r="579">
      <x:c r="A579" s="30" t="str">
        <x:v>ECOMP008</x:v>
      </x:c>
      <x:c r="B579" s="30" t="str">
        <x:v>EPROV008</x:v>
      </x:c>
      <x:c r="C579" s="30" t="str">
        <x:v>CA033</x:v>
      </x:c>
      <x:c r="D579" s="30" t="str">
        <x:v>Process online payments only through approved secure payment gateways.</x:v>
      </x:c>
      <x:c r="E579" s="30" t="str">
        <x:v>Protect financial transactions.</x:v>
      </x:c>
      <x:c r="F579" s="30" t="str">
        <x:v>Optional</x:v>
      </x:c>
      <x:c r="G579" s="30" t="str">
        <x:v>Every Payment</x:v>
      </x:c>
      <x:c r="H579" s="30"/>
      <x:c r="I579" s="30" t="str">
        <x:v>Finance Manager</x:v>
      </x:c>
      <x:c r="J579" s="30" t="str">
        <x:v>Payment fraud or data compromise.</x:v>
      </x:c>
      <x:c r="K579" s="30" t="str">
        <x:v>High</x:v>
      </x:c>
      <x:c r="L579" s="30" t="str">
        <x:v>EPHARMACY</x:v>
      </x:c>
      <x:c r="M579" s="30" t="str">
        <x:v>Yes</x:v>
      </x:c>
      <x:c r="N579" s="30" t="str">
        <x:v>P-4 entity-specific internal control; no independent statutory force. Activate the exact underlying legal requirement separately.</x:v>
      </x:c>
    </x:row>
    <x:row r="580">
      <x:c r="A580" s="30" t="str">
        <x:v>ECOMP009</x:v>
      </x:c>
      <x:c r="B580" s="30" t="str">
        <x:v>EPROV009</x:v>
      </x:c>
      <x:c r="C580" s="30" t="str">
        <x:v>CA033</x:v>
      </x:c>
      <x:c r="D580" s="30" t="str">
        <x:v>Maintain cybersecurity controls and continuously monitor digital infrastructure.</x:v>
      </x:c>
      <x:c r="E580" s="30" t="str">
        <x:v>Protect the e-pharmacy platform from cyber threats.</x:v>
      </x:c>
      <x:c r="F580" s="30" t="str">
        <x:v>Optional</x:v>
      </x:c>
      <x:c r="G580" s="30" t="str">
        <x:v>Continuous</x:v>
      </x:c>
      <x:c r="H580" s="30"/>
      <x:c r="I580" s="30" t="str">
        <x:v>Information Security Manager</x:v>
      </x:c>
      <x:c r="J580" s="30" t="str">
        <x:v>Cyberattack or data breach.</x:v>
      </x:c>
      <x:c r="K580" s="30" t="str">
        <x:v>High</x:v>
      </x:c>
      <x:c r="L580" s="30" t="str">
        <x:v>EPHARMACY</x:v>
      </x:c>
      <x:c r="M580" s="30" t="str">
        <x:v>Yes</x:v>
      </x:c>
      <x:c r="N580" s="30" t="str">
        <x:v>P-4 entity-specific internal control; no independent statutory force. Activate the exact underlying legal requirement separately.</x:v>
      </x:c>
    </x:row>
    <x:row r="581">
      <x:c r="A581" s="30" t="str">
        <x:v>ECOMP010</x:v>
      </x:c>
      <x:c r="B581" s="30" t="str">
        <x:v>EPROV010</x:v>
      </x:c>
      <x:c r="C581" s="30" t="str">
        <x:v>CA033</x:v>
      </x:c>
      <x:c r="D581" s="30" t="str">
        <x:v>Encrypt personal and prescription data during storage and transmission.</x:v>
      </x:c>
      <x:c r="E581" s="30" t="str">
        <x:v>Safeguard sensitive customer information.</x:v>
      </x:c>
      <x:c r="F581" s="30" t="str">
        <x:v>Optional</x:v>
      </x:c>
      <x:c r="G581" s="30" t="str">
        <x:v>Continuous</x:v>
      </x:c>
      <x:c r="H581" s="30"/>
      <x:c r="I581" s="30" t="str">
        <x:v>Information Security Officer</x:v>
      </x:c>
      <x:c r="J581" s="30" t="str">
        <x:v>Data exposure.</x:v>
      </x:c>
      <x:c r="K581" s="30" t="str">
        <x:v>High</x:v>
      </x:c>
      <x:c r="L581" s="30" t="str">
        <x:v>EPHARMACY</x:v>
      </x:c>
      <x:c r="M581" s="30" t="str">
        <x:v>Yes</x:v>
      </x:c>
      <x:c r="N581" s="30" t="str">
        <x:v>P-4 entity-specific internal control; no independent statutory force. Activate the exact underlying legal requirement separately.</x:v>
      </x:c>
    </x:row>
    <x:row r="582">
      <x:c r="A582" s="30" t="str">
        <x:v>ECOMP011</x:v>
      </x:c>
      <x:c r="B582" s="30" t="str">
        <x:v>EPROV011</x:v>
      </x:c>
      <x:c r="C582" s="30" t="str">
        <x:v>CA033</x:v>
      </x:c>
      <x:c r="D582" s="30" t="str">
        <x:v>Publish and maintain current privacy notices for platform users.</x:v>
      </x:c>
      <x:c r="E582" s="30" t="str">
        <x:v>Ensure transparency regarding personal data usage.</x:v>
      </x:c>
      <x:c r="F582" s="30" t="str">
        <x:v>Optional</x:v>
      </x:c>
      <x:c r="G582" s="30" t="str">
        <x:v>Annual / On Policy Change</x:v>
      </x:c>
      <x:c r="H582" s="30"/>
      <x:c r="I582" s="30" t="str">
        <x:v>Privacy Officer</x:v>
      </x:c>
      <x:c r="J582" s="30" t="str">
        <x:v>Privacy compliance failures.</x:v>
      </x:c>
      <x:c r="K582" s="30" t="str">
        <x:v>Medium</x:v>
      </x:c>
      <x:c r="L582" s="30" t="str">
        <x:v>EPHARMACY</x:v>
      </x:c>
      <x:c r="M582" s="30" t="str">
        <x:v>Yes</x:v>
      </x:c>
      <x:c r="N582" s="30" t="str">
        <x:v>P-4 entity-specific internal control; no independent statutory force. Activate the exact underlying legal requirement separately.</x:v>
      </x:c>
    </x:row>
    <x:row r="583">
      <x:c r="A583" s="30" t="str">
        <x:v>ECOMP012</x:v>
      </x:c>
      <x:c r="B583" s="30" t="str">
        <x:v>EPROV012</x:v>
      </x:c>
      <x:c r="C583" s="30" t="str">
        <x:v>CA033</x:v>
      </x:c>
      <x:c r="D583" s="30" t="str">
        <x:v>Capture immutable audit logs for critical platform activities.</x:v>
      </x:c>
      <x:c r="E583" s="30" t="str">
        <x:v>Support investigation and regulatory audit.</x:v>
      </x:c>
      <x:c r="F583" s="30" t="str">
        <x:v>Optional</x:v>
      </x:c>
      <x:c r="G583" s="30" t="str">
        <x:v>Continuous</x:v>
      </x:c>
      <x:c r="H583" s="30"/>
      <x:c r="I583" s="30" t="str">
        <x:v>IT Operations Manager</x:v>
      </x:c>
      <x:c r="J583" s="30" t="str">
        <x:v>Inability to investigate incidents.</x:v>
      </x:c>
      <x:c r="K583" s="30" t="str">
        <x:v>High</x:v>
      </x:c>
      <x:c r="L583" s="30" t="str">
        <x:v>EPHARMACY</x:v>
      </x:c>
      <x:c r="M583" s="30" t="str">
        <x:v>Yes</x:v>
      </x:c>
      <x:c r="N583" s="30" t="str">
        <x:v>P-4 entity-specific internal control; no independent statutory force. Activate the exact underlying legal requirement separately.</x:v>
      </x:c>
    </x:row>
    <x:row r="584">
      <x:c r="A584" s="30" t="str">
        <x:v>ECOMP013</x:v>
      </x:c>
      <x:c r="B584" s="30" t="str">
        <x:v>EPROV013</x:v>
      </x:c>
      <x:c r="C584" s="30" t="str">
        <x:v>CA033</x:v>
      </x:c>
      <x:c r="D584" s="30" t="str">
        <x:v>Approve and periodically evaluate courier partners transporting medicines.</x:v>
      </x:c>
      <x:c r="E584" s="30" t="str">
        <x:v>Maintain medicine quality during delivery.</x:v>
      </x:c>
      <x:c r="F584" s="30" t="str">
        <x:v>Optional</x:v>
      </x:c>
      <x:c r="G584" s="30" t="str">
        <x:v>Annual / Onboarding</x:v>
      </x:c>
      <x:c r="H584" s="30"/>
      <x:c r="I584" s="30" t="str">
        <x:v>Supply Chain Manager</x:v>
      </x:c>
      <x:c r="J584" s="30" t="str">
        <x:v>Delivery quality failures.</x:v>
      </x:c>
      <x:c r="K584" s="30" t="str">
        <x:v>High</x:v>
      </x:c>
      <x:c r="L584" s="30" t="str">
        <x:v>EPHARMACY</x:v>
      </x:c>
      <x:c r="M584" s="30" t="str">
        <x:v>Yes</x:v>
      </x:c>
      <x:c r="N584" s="30" t="str">
        <x:v>P-4 entity-specific internal control; no independent statutory force. Activate the exact underlying legal requirement separately.</x:v>
      </x:c>
    </x:row>
    <x:row r="585">
      <x:c r="A585" s="30" t="str">
        <x:v>ECOMP014</x:v>
      </x:c>
      <x:c r="B585" s="30" t="str">
        <x:v>EPROV014</x:v>
      </x:c>
      <x:c r="C585" s="30" t="str">
        <x:v>CA033</x:v>
      </x:c>
      <x:c r="D585" s="30" t="str">
        <x:v>Maintain end-to-end traceability of every online medicine delivery.</x:v>
      </x:c>
      <x:c r="E585" s="30" t="str">
        <x:v>Support recalls and customer safety.</x:v>
      </x:c>
      <x:c r="F585" s="30" t="str">
        <x:v>Optional</x:v>
      </x:c>
      <x:c r="G585" s="30" t="str">
        <x:v>Every Shipment</x:v>
      </x:c>
      <x:c r="H585" s="30"/>
      <x:c r="I585" s="30" t="str">
        <x:v>Logistics Manager</x:v>
      </x:c>
      <x:c r="J585" s="30" t="str">
        <x:v>Loss of delivery traceability.</x:v>
      </x:c>
      <x:c r="K585" s="30" t="str">
        <x:v>High</x:v>
      </x:c>
      <x:c r="L585" s="30" t="str">
        <x:v>EPHARMACY</x:v>
      </x:c>
      <x:c r="M585" s="30" t="str">
        <x:v>Yes</x:v>
      </x:c>
      <x:c r="N585" s="30" t="str">
        <x:v>P-4 entity-specific internal control; no independent statutory force. Activate the exact underlying legal requirement separately.</x:v>
      </x:c>
    </x:row>
    <x:row r="586">
      <x:c r="A586" s="30" t="str">
        <x:v>ECOMP015</x:v>
      </x:c>
      <x:c r="B586" s="30" t="str">
        <x:v>EPROV015</x:v>
      </x:c>
      <x:c r="C586" s="30" t="str">
        <x:v>CA033</x:v>
      </x:c>
      <x:c r="D586" s="30" t="str">
        <x:v>Monitor cold-chain conditions throughout transportation of temperature-sensitive medicines.</x:v>
      </x:c>
      <x:c r="E586" s="30" t="str">
        <x:v>Preserve medicine quality.</x:v>
      </x:c>
      <x:c r="F586" s="30" t="str">
        <x:v>Optional</x:v>
      </x:c>
      <x:c r="G586" s="30" t="str">
        <x:v>Every Cold-Chain Shipment</x:v>
      </x:c>
      <x:c r="H586" s="30"/>
      <x:c r="I586" s="30" t="str">
        <x:v>Cold Chain Manager</x:v>
      </x:c>
      <x:c r="J586" s="30" t="str">
        <x:v>Cold-chain failure.</x:v>
      </x:c>
      <x:c r="K586" s="30" t="str">
        <x:v>High</x:v>
      </x:c>
      <x:c r="L586" s="30" t="str">
        <x:v>EPHARMACY</x:v>
      </x:c>
      <x:c r="M586" s="30" t="str">
        <x:v>Yes</x:v>
      </x:c>
      <x:c r="N586" s="30" t="str">
        <x:v>P-4 entity-specific internal control; no independent statutory force. Activate the exact underlying legal requirement separately.</x:v>
      </x:c>
    </x:row>
    <x:row r="587">
      <x:c r="A587" s="30" t="str">
        <x:v>ECOMP016</x:v>
      </x:c>
      <x:c r="B587" s="30" t="str">
        <x:v>EPROV016</x:v>
      </x:c>
      <x:c r="C587" s="30" t="str">
        <x:v>CA033</x:v>
      </x:c>
      <x:c r="D587" s="30" t="str">
        <x:v>Record, investigate and resolve online customer complaints through the digital platform.</x:v>
      </x:c>
      <x:c r="E587" s="30" t="str">
        <x:v>Ensure effective complaint resolution.</x:v>
      </x:c>
      <x:c r="F587" s="30" t="str">
        <x:v>Optional</x:v>
      </x:c>
      <x:c r="G587" s="30" t="str">
        <x:v>As Received</x:v>
      </x:c>
      <x:c r="H587" s="30"/>
      <x:c r="I587" s="30" t="str">
        <x:v>Customer Support Manager</x:v>
      </x:c>
      <x:c r="J587" s="30" t="str">
        <x:v>Poor customer satisfaction.</x:v>
      </x:c>
      <x:c r="K587" s="30" t="str">
        <x:v>Medium</x:v>
      </x:c>
      <x:c r="L587" s="30" t="str">
        <x:v>EPHARMACY</x:v>
      </x:c>
      <x:c r="M587" s="30" t="str">
        <x:v>Yes</x:v>
      </x:c>
      <x:c r="N587" s="30" t="str">
        <x:v>P-4 entity-specific internal control; no independent statutory force. Activate the exact underlying legal requirement separately.</x:v>
      </x:c>
    </x:row>
    <x:row r="588">
      <x:c r="A588" s="30" t="str">
        <x:v>ECOMP017</x:v>
      </x:c>
      <x:c r="B588" s="30" t="str">
        <x:v>EPROV017</x:v>
      </x:c>
      <x:c r="C588" s="30" t="str">
        <x:v>CA033</x:v>
      </x:c>
      <x:c r="D588" s="30" t="str">
        <x:v>Screen prescriptions using automated and pharmacist-led fraud detection controls.</x:v>
      </x:c>
      <x:c r="E588" s="30" t="str">
        <x:v>Prevent dispensing based on forged prescriptions.</x:v>
      </x:c>
      <x:c r="F588" s="30" t="str">
        <x:v>Optional</x:v>
      </x:c>
      <x:c r="G588" s="30" t="str">
        <x:v>Every Prescription</x:v>
      </x:c>
      <x:c r="H588" s="30"/>
      <x:c r="I588" s="30" t="str">
        <x:v>Registered Pharmacist</x:v>
      </x:c>
      <x:c r="J588" s="30" t="str">
        <x:v>Fraudulent medicine supply.</x:v>
      </x:c>
      <x:c r="K588" s="30" t="str">
        <x:v>High</x:v>
      </x:c>
      <x:c r="L588" s="30" t="str">
        <x:v>EPHARMACY</x:v>
      </x:c>
      <x:c r="M588" s="30" t="str">
        <x:v>Yes</x:v>
      </x:c>
      <x:c r="N588" s="30" t="str">
        <x:v>P-4 entity-specific internal control; no independent statutory force. Activate the exact underlying legal requirement separately.</x:v>
      </x:c>
    </x:row>
    <x:row r="589">
      <x:c r="A589" s="30" t="str">
        <x:v>ECOMP018</x:v>
      </x:c>
      <x:c r="B589" s="30" t="str">
        <x:v>EPROV018</x:v>
      </x:c>
      <x:c r="C589" s="30" t="str">
        <x:v>CA033</x:v>
      </x:c>
      <x:c r="D589" s="30" t="str">
        <x:v>Monitor online transactions for fraud indicators and suspicious activities.</x:v>
      </x:c>
      <x:c r="E589" s="30" t="str">
        <x:v>Detect fraudulent customer transactions.</x:v>
      </x:c>
      <x:c r="F589" s="30" t="str">
        <x:v>Optional</x:v>
      </x:c>
      <x:c r="G589" s="30" t="str">
        <x:v>Continuous</x:v>
      </x:c>
      <x:c r="H589" s="30"/>
      <x:c r="I589" s="30" t="str">
        <x:v>Fraud Risk Manager</x:v>
      </x:c>
      <x:c r="J589" s="30" t="str">
        <x:v>Financial fraud.</x:v>
      </x:c>
      <x:c r="K589" s="30" t="str">
        <x:v>High</x:v>
      </x:c>
      <x:c r="L589" s="30" t="str">
        <x:v>EPHARMACY</x:v>
      </x:c>
      <x:c r="M589" s="30" t="str">
        <x:v>Yes</x:v>
      </x:c>
      <x:c r="N589" s="30" t="str">
        <x:v>P-4 entity-specific internal control; no independent statutory force. Activate the exact underlying legal requirement separately.</x:v>
      </x:c>
    </x:row>
    <x:row r="590">
      <x:c r="A590" s="30" t="str">
        <x:v>ECOMP019</x:v>
      </x:c>
      <x:c r="B590" s="30" t="str">
        <x:v>EPROV019</x:v>
      </x:c>
      <x:c r="C590" s="30" t="str">
        <x:v>CA033</x:v>
      </x:c>
      <x:c r="D590" s="30" t="str">
        <x:v>Maintain linkage between consultation records and dispensing transactions.</x:v>
      </x:c>
      <x:c r="E590" s="30" t="str">
        <x:v>Preserve complete patient treatment history.</x:v>
      </x:c>
      <x:c r="F590" s="30" t="str">
        <x:v>Optional</x:v>
      </x:c>
      <x:c r="G590" s="30" t="str">
        <x:v>Every Telemedicine Order</x:v>
      </x:c>
      <x:c r="H590" s="30"/>
      <x:c r="I590" s="30" t="str">
        <x:v>Clinical Operations Manager</x:v>
      </x:c>
      <x:c r="J590" s="30" t="str">
        <x:v>Missing clinical traceability.</x:v>
      </x:c>
      <x:c r="K590" s="30" t="str">
        <x:v>Medium</x:v>
      </x:c>
      <x:c r="L590" s="30" t="str">
        <x:v>EPHARMACY</x:v>
      </x:c>
      <x:c r="M590" s="30" t="str">
        <x:v>Yes</x:v>
      </x:c>
      <x:c r="N590" s="30" t="str">
        <x:v>P-4 entity-specific internal control; no independent statutory force. Activate the exact underlying legal requirement separately.</x:v>
      </x:c>
    </x:row>
    <x:row r="591">
      <x:c r="A591" s="30" t="str">
        <x:v>ECOMP020</x:v>
      </x:c>
      <x:c r="B591" s="30" t="str">
        <x:v>EPROV020</x:v>
      </x:c>
      <x:c r="C591" s="30" t="str">
        <x:v>CA033</x:v>
      </x:c>
      <x:c r="D591" s="30" t="str">
        <x:v>Operate an enterprise digital governance programme covering compliance, cybersecurity and privacy.</x:v>
      </x:c>
      <x:c r="E591" s="30" t="str">
        <x:v>Ensure coordinated oversight of digital pharmacy operations.</x:v>
      </x:c>
      <x:c r="F591" s="30" t="str">
        <x:v>Optional</x:v>
      </x:c>
      <x:c r="G591" s="30" t="str">
        <x:v>Quarterly</x:v>
      </x:c>
      <x:c r="H591" s="30"/>
      <x:c r="I591" s="30" t="str">
        <x:v>Chief Compliance Officer</x:v>
      </x:c>
      <x:c r="J591" s="30" t="str">
        <x:v>Weak enterprise governance.</x:v>
      </x:c>
      <x:c r="K591" s="30" t="str">
        <x:v>High</x:v>
      </x:c>
      <x:c r="L591" s="30" t="str">
        <x:v>EPHARMACY</x:v>
      </x:c>
      <x:c r="M591" s="30" t="str">
        <x:v>Yes</x:v>
      </x:c>
      <x:c r="N591" s="30" t="str">
        <x:v>P-4 entity-specific internal control; no independent statutory force. Activate the exact underlying legal requirement separately.</x:v>
      </x:c>
    </x:row>
    <x:row r="592">
      <x:c r="A592" s="30" t="str">
        <x:v>ECOMP021</x:v>
      </x:c>
      <x:c r="B592" s="30" t="str">
        <x:v>EPROV021</x:v>
      </x:c>
      <x:c r="C592" s="30" t="str">
        <x:v>CA033</x:v>
      </x:c>
      <x:c r="D592" s="30" t="str">
        <x:v>Enforce multi-factor authentication for all privileged and administrative accounts.</x:v>
      </x:c>
      <x:c r="E592" s="30" t="str">
        <x:v>Prevent unauthorized privileged access.</x:v>
      </x:c>
      <x:c r="F592" s="30" t="str">
        <x:v>Optional</x:v>
      </x:c>
      <x:c r="G592" s="30" t="str">
        <x:v>Continuous</x:v>
      </x:c>
      <x:c r="H592" s="30"/>
      <x:c r="I592" s="30" t="str">
        <x:v>Information Security Manager</x:v>
      </x:c>
      <x:c r="J592" s="30" t="str">
        <x:v>Unauthorized system access.</x:v>
      </x:c>
      <x:c r="K592" s="30" t="str">
        <x:v>High</x:v>
      </x:c>
      <x:c r="L592" s="30" t="str">
        <x:v>EPHARMACY</x:v>
      </x:c>
      <x:c r="M592" s="30" t="str">
        <x:v>Yes</x:v>
      </x:c>
      <x:c r="N592" s="30" t="str">
        <x:v>P-4 entity-specific internal control; no independent statutory force. Activate the exact underlying legal requirement separately.</x:v>
      </x:c>
    </x:row>
    <x:row r="593">
      <x:c r="A593" s="30" t="str">
        <x:v>ECOMP022</x:v>
      </x:c>
      <x:c r="B593" s="30" t="str">
        <x:v>EPROV022</x:v>
      </x:c>
      <x:c r="C593" s="30" t="str">
        <x:v>CA033</x:v>
      </x:c>
      <x:c r="D593" s="30" t="str">
        <x:v>Assign user access based on approved roles and least-privilege principles.</x:v>
      </x:c>
      <x:c r="E593" s="30" t="str">
        <x:v>Restrict unauthorized access to systems and data.</x:v>
      </x:c>
      <x:c r="F593" s="30" t="str">
        <x:v>Optional</x:v>
      </x:c>
      <x:c r="G593" s="30" t="str">
        <x:v>Quarterly Review</x:v>
      </x:c>
      <x:c r="H593" s="30"/>
      <x:c r="I593" s="30" t="str">
        <x:v>IT Administrator</x:v>
      </x:c>
      <x:c r="J593" s="30" t="str">
        <x:v>Excessive user privileges.</x:v>
      </x:c>
      <x:c r="K593" s="30" t="str">
        <x:v>High</x:v>
      </x:c>
      <x:c r="L593" s="30" t="str">
        <x:v>EPHARMACY</x:v>
      </x:c>
      <x:c r="M593" s="30" t="str">
        <x:v>Yes</x:v>
      </x:c>
      <x:c r="N593" s="30" t="str">
        <x:v>P-4 entity-specific internal control; no independent statutory force. Activate the exact underlying legal requirement separately.</x:v>
      </x:c>
    </x:row>
    <x:row r="594">
      <x:c r="A594" s="30" t="str">
        <x:v>ECOMP023</x:v>
      </x:c>
      <x:c r="B594" s="30" t="str">
        <x:v>EPROV023</x:v>
      </x:c>
      <x:c r="C594" s="30" t="str">
        <x:v>CA033</x:v>
      </x:c>
      <x:c r="D594" s="30" t="str">
        <x:v>Encrypt sensitive customer, prescription and transaction data during storage and transmission.</x:v>
      </x:c>
      <x:c r="E594" s="30" t="str">
        <x:v>Protect confidential information.</x:v>
      </x:c>
      <x:c r="F594" s="30" t="str">
        <x:v>Optional</x:v>
      </x:c>
      <x:c r="G594" s="30" t="str">
        <x:v>Continuous</x:v>
      </x:c>
      <x:c r="H594" s="30"/>
      <x:c r="I594" s="30" t="str">
        <x:v>Information Security Officer</x:v>
      </x:c>
      <x:c r="J594" s="30" t="str">
        <x:v>Data breach or information leakage.</x:v>
      </x:c>
      <x:c r="K594" s="30" t="str">
        <x:v>High</x:v>
      </x:c>
      <x:c r="L594" s="30" t="str">
        <x:v>EPHARMACY</x:v>
      </x:c>
      <x:c r="M594" s="30" t="str">
        <x:v>Yes</x:v>
      </x:c>
      <x:c r="N594" s="30" t="str">
        <x:v>P-4 entity-specific internal control; no independent statutory force. Activate the exact underlying legal requirement separately.</x:v>
      </x:c>
    </x:row>
    <x:row r="595">
      <x:c r="A595" s="30" t="str">
        <x:v>ECOMP024</x:v>
      </x:c>
      <x:c r="B595" s="30" t="str">
        <x:v>EPROV024</x:v>
      </x:c>
      <x:c r="C595" s="30" t="str">
        <x:v>CA008</x:v>
      </x:c>
      <x:c r="D595" s="30" t="str">
        <x:v>Perform scheduled backups and periodically test disaster recovery capabilities.</x:v>
      </x:c>
      <x:c r="E595" s="30" t="str">
        <x:v>Ensure platform resilience and recoverability.</x:v>
      </x:c>
      <x:c r="F595" s="30" t="str">
        <x:v>Optional</x:v>
      </x:c>
      <x:c r="G595" s="30" t="str">
        <x:v>Daily Backup / Annual DR Test</x:v>
      </x:c>
      <x:c r="H595" s="30"/>
      <x:c r="I595" s="30" t="str">
        <x:v>IT Infrastructure Manager</x:v>
      </x:c>
      <x:c r="J595" s="30" t="str">
        <x:v>Data loss and service interruption.</x:v>
      </x:c>
      <x:c r="K595" s="30" t="str">
        <x:v>High</x:v>
      </x:c>
      <x:c r="L595" s="30" t="str">
        <x:v>EPHARMACY</x:v>
      </x:c>
      <x:c r="M595" s="30" t="str">
        <x:v>Yes</x:v>
      </x:c>
      <x:c r="N595" s="30" t="str">
        <x:v>P-4 entity-specific internal control; no independent statutory force. Activate the exact underlying legal requirement separately.</x:v>
      </x:c>
    </x:row>
    <x:row r="596">
      <x:c r="A596" s="30" t="str">
        <x:v>ECOMP025</x:v>
      </x:c>
      <x:c r="B596" s="30" t="str">
        <x:v>EPROV025</x:v>
      </x:c>
      <x:c r="C596" s="30" t="str">
        <x:v>CA008</x:v>
      </x:c>
      <x:c r="D596" s="30" t="str">
        <x:v>Record, investigate and resolve information security incidents using an approved response process.</x:v>
      </x:c>
      <x:c r="E596" s="30" t="str">
        <x:v>Minimize impact of cybersecurity incidents.</x:v>
      </x:c>
      <x:c r="F596" s="30" t="str">
        <x:v>Optional</x:v>
      </x:c>
      <x:c r="G596" s="30" t="str">
        <x:v>As Occurs</x:v>
      </x:c>
      <x:c r="H596" s="30"/>
      <x:c r="I596" s="30" t="str">
        <x:v>Information Security Manager</x:v>
      </x:c>
      <x:c r="J596" s="30" t="str">
        <x:v>Delayed incident containment.</x:v>
      </x:c>
      <x:c r="K596" s="30" t="str">
        <x:v>High</x:v>
      </x:c>
      <x:c r="L596" s="30" t="str">
        <x:v>EPHARMACY</x:v>
      </x:c>
      <x:c r="M596" s="30" t="str">
        <x:v>Yes</x:v>
      </x:c>
      <x:c r="N596" s="30" t="str">
        <x:v>P-4 entity-specific internal control; no independent statutory force. Activate the exact underlying legal requirement separately.</x:v>
      </x:c>
    </x:row>
    <x:row r="597">
      <x:c r="A597" s="30" t="str">
        <x:v>ECOMP026</x:v>
      </x:c>
      <x:c r="B597" s="30" t="str">
        <x:v>EPROV026</x:v>
      </x:c>
      <x:c r="C597" s="30" t="str">
        <x:v>CA009</x:v>
      </x:c>
      <x:c r="D597" s="30" t="str">
        <x:v>Retain customer personal data only for approved legal and business purposes.</x:v>
      </x:c>
      <x:c r="E597" s="30" t="str">
        <x:v>Comply with data retention obligations.</x:v>
      </x:c>
      <x:c r="F597" s="30" t="str">
        <x:v>Optional</x:v>
      </x:c>
      <x:c r="G597" s="30" t="str">
        <x:v>Continuous</x:v>
      </x:c>
      <x:c r="H597" s="30"/>
      <x:c r="I597" s="30" t="str">
        <x:v>Data Protection Officer</x:v>
      </x:c>
      <x:c r="J597" s="30" t="str">
        <x:v>Excessive or unlawful retention.</x:v>
      </x:c>
      <x:c r="K597" s="30" t="str">
        <x:v>Medium</x:v>
      </x:c>
      <x:c r="L597" s="30" t="str">
        <x:v>EPHARMACY</x:v>
      </x:c>
      <x:c r="M597" s="30" t="str">
        <x:v>Yes</x:v>
      </x:c>
      <x:c r="N597" s="30" t="str">
        <x:v>P-4 entity-specific internal control; no independent statutory force. Activate the exact underlying legal requirement separately.</x:v>
      </x:c>
    </x:row>
    <x:row r="598">
      <x:c r="A598" s="30" t="str">
        <x:v>ECOMP027</x:v>
      </x:c>
      <x:c r="B598" s="30" t="str">
        <x:v>EPROV027</x:v>
      </x:c>
      <x:c r="C598" s="30" t="str">
        <x:v>CA010</x:v>
      </x:c>
      <x:c r="D598" s="30" t="str">
        <x:v>Securely delete customer data after retention expiry or approved deletion requests.</x:v>
      </x:c>
      <x:c r="E598" s="30" t="str">
        <x:v>Protect customer privacy.</x:v>
      </x:c>
      <x:c r="F598" s="30" t="str">
        <x:v>Optional</x:v>
      </x:c>
      <x:c r="G598" s="30" t="str">
        <x:v>As Required</x:v>
      </x:c>
      <x:c r="H598" s="30"/>
      <x:c r="I598" s="30" t="str">
        <x:v>Data Protection Officer</x:v>
      </x:c>
      <x:c r="J598" s="30" t="str">
        <x:v>Unauthorized retention of personal data.</x:v>
      </x:c>
      <x:c r="K598" s="30" t="str">
        <x:v>Medium</x:v>
      </x:c>
      <x:c r="L598" s="30" t="str">
        <x:v>EPHARMACY</x:v>
      </x:c>
      <x:c r="M598" s="30" t="str">
        <x:v>Yes</x:v>
      </x:c>
      <x:c r="N598" s="30" t="str">
        <x:v>P-4 entity-specific internal control; no independent statutory force. Activate the exact underlying legal requirement separately.</x:v>
      </x:c>
    </x:row>
    <x:row r="599">
      <x:c r="A599" s="30" t="str">
        <x:v>ECOMP028</x:v>
      </x:c>
      <x:c r="B599" s="30" t="str">
        <x:v>EPROV028</x:v>
      </x:c>
      <x:c r="C599" s="30" t="str">
        <x:v>CA019</x:v>
      </x:c>
      <x:c r="D599" s="30" t="str">
        <x:v>Assess third-party technology providers before integration and periodically thereafter.</x:v>
      </x:c>
      <x:c r="E599" s="30" t="str">
        <x:v>Control third-party technology risks.</x:v>
      </x:c>
      <x:c r="F599" s="30" t="str">
        <x:v>Optional</x:v>
      </x:c>
      <x:c r="G599" s="30" t="str">
        <x:v>Before Onboarding / Annual</x:v>
      </x:c>
      <x:c r="H599" s="30"/>
      <x:c r="I599" s="30" t="str">
        <x:v>Vendor Risk Manager</x:v>
      </x:c>
      <x:c r="J599" s="30" t="str">
        <x:v>Third-party security compromise.</x:v>
      </x:c>
      <x:c r="K599" s="30" t="str">
        <x:v>High</x:v>
      </x:c>
      <x:c r="L599" s="30" t="str">
        <x:v>EPHARMACY</x:v>
      </x:c>
      <x:c r="M599" s="30" t="str">
        <x:v>Yes</x:v>
      </x:c>
      <x:c r="N599" s="30" t="str">
        <x:v>P-4 entity-specific internal control; no independent statutory force. Activate the exact underlying legal requirement separately.</x:v>
      </x:c>
    </x:row>
    <x:row r="600">
      <x:c r="A600" s="30" t="str">
        <x:v>ECOMP029</x:v>
      </x:c>
      <x:c r="B600" s="30" t="str">
        <x:v>EPROV029</x:v>
      </x:c>
      <x:c r="C600" s="30" t="str">
        <x:v>CA010</x:v>
      </x:c>
      <x:c r="D600" s="30" t="str">
        <x:v>Protect APIs using authentication, authorization, rate limiting and continuous monitoring.</x:v>
      </x:c>
      <x:c r="E600" s="30" t="str">
        <x:v>Secure digital integrations.</x:v>
      </x:c>
      <x:c r="F600" s="30" t="str">
        <x:v>Optional</x:v>
      </x:c>
      <x:c r="G600" s="30" t="str">
        <x:v>Continuous</x:v>
      </x:c>
      <x:c r="H600" s="30"/>
      <x:c r="I600" s="30" t="str">
        <x:v>Application Security Lead</x:v>
      </x:c>
      <x:c r="J600" s="30" t="str">
        <x:v>API abuse or unauthorized access.</x:v>
      </x:c>
      <x:c r="K600" s="30" t="str">
        <x:v>High</x:v>
      </x:c>
      <x:c r="L600" s="30" t="str">
        <x:v>EPHARMACY</x:v>
      </x:c>
      <x:c r="M600" s="30" t="str">
        <x:v>Yes</x:v>
      </x:c>
      <x:c r="N600" s="30" t="str">
        <x:v>P-4 entity-specific internal control; no independent statutory force. Activate the exact underlying legal requirement separately.</x:v>
      </x:c>
    </x:row>
    <x:row r="601">
      <x:c r="A601" s="30" t="str">
        <x:v>ECOMP030</x:v>
      </x:c>
      <x:c r="B601" s="30" t="str">
        <x:v>EPROV030</x:v>
      </x:c>
      <x:c r="C601" s="30" t="str">
        <x:v>CA019</x:v>
      </x:c>
      <x:c r="D601" s="30" t="str">
        <x:v>Follow secure software development lifecycle practices including security testing before deployment.</x:v>
      </x:c>
      <x:c r="E601" s="30" t="str">
        <x:v>Reduce software vulnerabilities.</x:v>
      </x:c>
      <x:c r="F601" s="30" t="str">
        <x:v>Optional</x:v>
      </x:c>
      <x:c r="G601" s="30" t="str">
        <x:v>Every Release</x:v>
      </x:c>
      <x:c r="H601" s="30"/>
      <x:c r="I601" s="30" t="str">
        <x:v>Development Manager</x:v>
      </x:c>
      <x:c r="J601" s="30" t="str">
        <x:v>Security vulnerabilities in production.</x:v>
      </x:c>
      <x:c r="K601" s="30" t="str">
        <x:v>High</x:v>
      </x:c>
      <x:c r="L601" s="30" t="str">
        <x:v>EPHARMACY</x:v>
      </x:c>
      <x:c r="M601" s="30" t="str">
        <x:v>Yes</x:v>
      </x:c>
      <x:c r="N601" s="30" t="str">
        <x:v>P-4 entity-specific internal control; no independent statutory force. Activate the exact underlying legal requirement separately.</x:v>
      </x:c>
    </x:row>
    <x:row r="602">
      <x:c r="A602" s="30" t="str">
        <x:v>ECOMP031</x:v>
      </x:c>
      <x:c r="B602" s="30" t="str">
        <x:v>EPROV031</x:v>
      </x:c>
      <x:c r="C602" s="30" t="str">
        <x:v>CA012</x:v>
      </x:c>
      <x:c r="D602" s="30" t="str">
        <x:v>Conduct periodic vulnerability assessments and penetration testing for critical systems.</x:v>
      </x:c>
      <x:c r="E602" s="30" t="str">
        <x:v>Identify and remediate security weaknesses.</x:v>
      </x:c>
      <x:c r="F602" s="30" t="str">
        <x:v>Optional</x:v>
      </x:c>
      <x:c r="G602" s="30" t="str">
        <x:v>Annual / After Major Changes</x:v>
      </x:c>
      <x:c r="H602" s="30"/>
      <x:c r="I602" s="30" t="str">
        <x:v>Cybersecurity Manager</x:v>
      </x:c>
      <x:c r="J602" s="30" t="str">
        <x:v>Unidentified vulnerabilities.</x:v>
      </x:c>
      <x:c r="K602" s="30" t="str">
        <x:v>High</x:v>
      </x:c>
      <x:c r="L602" s="30" t="str">
        <x:v>EPHARMACY</x:v>
      </x:c>
      <x:c r="M602" s="30" t="str">
        <x:v>Yes</x:v>
      </x:c>
      <x:c r="N602" s="30" t="str">
        <x:v>P-4 entity-specific internal control; no independent statutory force. Activate the exact underlying legal requirement separately.</x:v>
      </x:c>
    </x:row>
    <x:row r="603">
      <x:c r="A603" s="30" t="str">
        <x:v>ECOMP032</x:v>
      </x:c>
      <x:c r="B603" s="30" t="str">
        <x:v>EPROV032</x:v>
      </x:c>
      <x:c r="C603" s="30" t="str">
        <x:v>CA002</x:v>
      </x:c>
      <x:c r="D603" s="30" t="str">
        <x:v>Monitor and investigate security events using centralized monitoring tools.</x:v>
      </x:c>
      <x:c r="E603" s="30" t="str">
        <x:v>Detect cyber threats promptly.</x:v>
      </x:c>
      <x:c r="F603" s="30" t="str">
        <x:v>Optional</x:v>
      </x:c>
      <x:c r="G603" s="30" t="str">
        <x:v>Continuous</x:v>
      </x:c>
      <x:c r="H603" s="30"/>
      <x:c r="I603" s="30" t="str">
        <x:v>Security Operations Center Manager</x:v>
      </x:c>
      <x:c r="J603" s="30" t="str">
        <x:v>Delayed threat detection.</x:v>
      </x:c>
      <x:c r="K603" s="30" t="str">
        <x:v>High</x:v>
      </x:c>
      <x:c r="L603" s="30" t="str">
        <x:v>EPHARMACY</x:v>
      </x:c>
      <x:c r="M603" s="30" t="str">
        <x:v>Yes</x:v>
      </x:c>
      <x:c r="N603" s="30" t="str">
        <x:v>P-4 entity-specific internal control; no independent statutory force. Activate the exact underlying legal requirement separately.</x:v>
      </x:c>
    </x:row>
    <x:row r="604">
      <x:c r="A604" s="30" t="str">
        <x:v>ECOMP033</x:v>
      </x:c>
      <x:c r="B604" s="30" t="str">
        <x:v>EPROV033</x:v>
      </x:c>
      <x:c r="C604" s="30" t="str">
        <x:v>CA002</x:v>
      </x:c>
      <x:c r="D604" s="30" t="str">
        <x:v>Detect duplicate and abnormal prescription orders before processing.</x:v>
      </x:c>
      <x:c r="E604" s="30" t="str">
        <x:v>Prevent duplicate dispensing and fraud.</x:v>
      </x:c>
      <x:c r="F604" s="30" t="str">
        <x:v>Optional</x:v>
      </x:c>
      <x:c r="G604" s="30" t="str">
        <x:v>Every Prescription Order</x:v>
      </x:c>
      <x:c r="H604" s="30"/>
      <x:c r="I604" s="30" t="str">
        <x:v>Order Validation Manager</x:v>
      </x:c>
      <x:c r="J604" s="30" t="str">
        <x:v>Duplicate medicine supply.</x:v>
      </x:c>
      <x:c r="K604" s="30" t="str">
        <x:v>Medium</x:v>
      </x:c>
      <x:c r="L604" s="30" t="str">
        <x:v>EPHARMACY</x:v>
      </x:c>
      <x:c r="M604" s="30" t="str">
        <x:v>Yes</x:v>
      </x:c>
      <x:c r="N604" s="30" t="str">
        <x:v>P-4 entity-specific internal control; no independent statutory force. Activate the exact underlying legal requirement separately.</x:v>
      </x:c>
    </x:row>
    <x:row r="605">
      <x:c r="A605" s="30" t="str">
        <x:v>ECOMP034</x:v>
      </x:c>
      <x:c r="B605" s="30" t="str">
        <x:v>EPROV034</x:v>
      </x:c>
      <x:c r="C605" s="30" t="str">
        <x:v>CA002</x:v>
      </x:c>
      <x:c r="D605" s="30" t="str">
        <x:v>Restrict online dispensing of controlled medicines according to statutory requirements.</x:v>
      </x:c>
      <x:c r="E605" s="30" t="str">
        <x:v>Ensure lawful dispensing.</x:v>
      </x:c>
      <x:c r="F605" s="30" t="str">
        <x:v>Optional</x:v>
      </x:c>
      <x:c r="G605" s="30" t="str">
        <x:v>Every Controlled Medicine Order</x:v>
      </x:c>
      <x:c r="H605" s="30"/>
      <x:c r="I605" s="30" t="str">
        <x:v>Compliance Pharmacist</x:v>
      </x:c>
      <x:c r="J605" s="30" t="str">
        <x:v>Regulatory violations.</x:v>
      </x:c>
      <x:c r="K605" s="30" t="str">
        <x:v>High</x:v>
      </x:c>
      <x:c r="L605" s="30" t="str">
        <x:v>EPHARMACY</x:v>
      </x:c>
      <x:c r="M605" s="30" t="str">
        <x:v>Yes</x:v>
      </x:c>
      <x:c r="N605" s="30" t="str">
        <x:v>P-4 entity-specific internal control; no independent statutory force. Activate the exact underlying legal requirement separately.</x:v>
      </x:c>
    </x:row>
    <x:row r="606">
      <x:c r="A606" s="30" t="str">
        <x:v>ECOMP035</x:v>
      </x:c>
      <x:c r="B606" s="30" t="str">
        <x:v>EPROV035</x:v>
      </x:c>
      <x:c r="C606" s="30" t="str">
        <x:v>CA003</x:v>
      </x:c>
      <x:c r="D606" s="30" t="str">
        <x:v>Process refunds and cancellations only through approved workflows with complete audit trails.</x:v>
      </x:c>
      <x:c r="E606" s="30" t="str">
        <x:v>Ensure financial transparency.</x:v>
      </x:c>
      <x:c r="F606" s="30" t="str">
        <x:v>Optional</x:v>
      </x:c>
      <x:c r="G606" s="30" t="str">
        <x:v>Every Refund</x:v>
      </x:c>
      <x:c r="H606" s="30"/>
      <x:c r="I606" s="30" t="str">
        <x:v>Finance Manager</x:v>
      </x:c>
      <x:c r="J606" s="30" t="str">
        <x:v>Financial discrepancies.</x:v>
      </x:c>
      <x:c r="K606" s="30" t="str">
        <x:v>Medium</x:v>
      </x:c>
      <x:c r="L606" s="30" t="str">
        <x:v>EPHARMACY</x:v>
      </x:c>
      <x:c r="M606" s="30" t="str">
        <x:v>Yes</x:v>
      </x:c>
      <x:c r="N606" s="30" t="str">
        <x:v>P-4 entity-specific internal control; no independent statutory force. Activate the exact underlying legal requirement separately.</x:v>
      </x:c>
    </x:row>
    <x:row r="607">
      <x:c r="A607" s="30" t="str">
        <x:v>ECOMP036</x:v>
      </x:c>
      <x:c r="B607" s="30" t="str">
        <x:v>EPROV036</x:v>
      </x:c>
      <x:c r="C607" s="30" t="str">
        <x:v>CA077</x:v>
      </x:c>
      <x:c r="D607" s="30" t="str">
        <x:v>Notify customers regarding order status, delays and regulatory events through approved communication channels.</x:v>
      </x:c>
      <x:c r="E607" s="30" t="str">
        <x:v>Improve customer transparency.</x:v>
      </x:c>
      <x:c r="F607" s="30" t="str">
        <x:v>Optional</x:v>
      </x:c>
      <x:c r="G607" s="30" t="str">
        <x:v>Every Applicable Event</x:v>
      </x:c>
      <x:c r="H607" s="30"/>
      <x:c r="I607" s="30" t="str">
        <x:v>Customer Experience Manager</x:v>
      </x:c>
      <x:c r="J607" s="30" t="str">
        <x:v>Customer communication failures.</x:v>
      </x:c>
      <x:c r="K607" s="30" t="str">
        <x:v>Medium</x:v>
      </x:c>
      <x:c r="L607" s="30" t="str">
        <x:v>EPHARMACY</x:v>
      </x:c>
      <x:c r="M607" s="30" t="str">
        <x:v>Yes</x:v>
      </x:c>
      <x:c r="N607" s="30" t="str">
        <x:v>P-4 entity-specific internal control; no independent statutory force. Activate the exact underlying legal requirement separately.</x:v>
      </x:c>
    </x:row>
    <x:row r="608">
      <x:c r="A608" s="30" t="str">
        <x:v>ECOMP037</x:v>
      </x:c>
      <x:c r="B608" s="30" t="str">
        <x:v>EPROV037</x:v>
      </x:c>
      <x:c r="C608" s="30" t="str">
        <x:v>CA084</x:v>
      </x:c>
      <x:c r="D608" s="30" t="str">
        <x:v>Maintain authenticity and integrity of electronically generated regulatory documents.</x:v>
      </x:c>
      <x:c r="E608" s="30" t="str">
        <x:v>Prevent document tampering.</x:v>
      </x:c>
      <x:c r="F608" s="30" t="str">
        <x:v>Optional</x:v>
      </x:c>
      <x:c r="G608" s="30" t="str">
        <x:v>Continuous</x:v>
      </x:c>
      <x:c r="H608" s="30"/>
      <x:c r="I608" s="30" t="str">
        <x:v>Document Control Manager</x:v>
      </x:c>
      <x:c r="J608" s="30" t="str">
        <x:v>Invalid electronic documents.</x:v>
      </x:c>
      <x:c r="K608" s="30" t="str">
        <x:v>Medium</x:v>
      </x:c>
      <x:c r="L608" s="30" t="str">
        <x:v>EPHARMACY</x:v>
      </x:c>
      <x:c r="M608" s="30" t="str">
        <x:v>Yes</x:v>
      </x:c>
      <x:c r="N608" s="30" t="str">
        <x:v>P-4 entity-specific internal control; no independent statutory force. Activate the exact underlying legal requirement separately.</x:v>
      </x:c>
    </x:row>
    <x:row r="609">
      <x:c r="A609" s="30" t="str">
        <x:v>ECOMP038</x:v>
      </x:c>
      <x:c r="B609" s="30" t="str">
        <x:v>EPROV038</x:v>
      </x:c>
      <x:c r="C609" s="30" t="str">
        <x:v>CA084</x:v>
      </x:c>
      <x:c r="D609" s="30" t="str">
        <x:v>Review enterprise compliance analytics to identify emerging regulatory risks.</x:v>
      </x:c>
      <x:c r="E609" s="30" t="str">
        <x:v>Support proactive compliance management.</x:v>
      </x:c>
      <x:c r="F609" s="30" t="str">
        <x:v>Optional</x:v>
      </x:c>
      <x:c r="G609" s="30" t="str">
        <x:v>Monthly</x:v>
      </x:c>
      <x:c r="H609" s="30"/>
      <x:c r="I609" s="30" t="str">
        <x:v>Compliance Analytics Manager</x:v>
      </x:c>
      <x:c r="J609" s="30" t="str">
        <x:v>Undetected compliance trends.</x:v>
      </x:c>
      <x:c r="K609" s="30" t="str">
        <x:v>Medium</x:v>
      </x:c>
      <x:c r="L609" s="30" t="str">
        <x:v>EPHARMACY</x:v>
      </x:c>
      <x:c r="M609" s="30" t="str">
        <x:v>Yes</x:v>
      </x:c>
      <x:c r="N609" s="30" t="str">
        <x:v>P-4 entity-specific internal control; no independent statutory force. Activate the exact underlying legal requirement separately.</x:v>
      </x:c>
    </x:row>
    <x:row r="610">
      <x:c r="A610" s="30" t="str">
        <x:v>ECOMP039</x:v>
      </x:c>
      <x:c r="B610" s="30" t="str">
        <x:v>EPROV039</x:v>
      </x:c>
      <x:c r="C610" s="30" t="str">
        <x:v>CA084</x:v>
      </x:c>
      <x:c r="D610" s="30" t="str">
        <x:v>Monitor platform availability against approved service level objectives.</x:v>
      </x:c>
      <x:c r="E610" s="30" t="str">
        <x:v>Ensure uninterrupted customer access.</x:v>
      </x:c>
      <x:c r="F610" s="30" t="str">
        <x:v>Optional</x:v>
      </x:c>
      <x:c r="G610" s="30" t="str">
        <x:v>Continuous</x:v>
      </x:c>
      <x:c r="H610" s="30"/>
      <x:c r="I610" s="30" t="str">
        <x:v>IT Operations Manager</x:v>
      </x:c>
      <x:c r="J610" s="30" t="str">
        <x:v>Service outages.</x:v>
      </x:c>
      <x:c r="K610" s="30" t="str">
        <x:v>High</x:v>
      </x:c>
      <x:c r="L610" s="30" t="str">
        <x:v>EPHARMACY</x:v>
      </x:c>
      <x:c r="M610" s="30" t="str">
        <x:v>Yes</x:v>
      </x:c>
      <x:c r="N610" s="30" t="str">
        <x:v>P-4 entity-specific internal control; no independent statutory force. Activate the exact underlying legal requirement separately.</x:v>
      </x:c>
    </x:row>
    <x:row r="611">
      <x:c r="A611" s="30" t="str">
        <x:v>ECOMP040</x:v>
      </x:c>
      <x:c r="B611" s="30" t="str">
        <x:v>EPROV040</x:v>
      </x:c>
      <x:c r="C611" s="30" t="str">
        <x:v>CA003</x:v>
      </x:c>
      <x:c r="D611" s="30" t="str">
        <x:v>Conduct governance committee reviews covering cybersecurity, privacy, compliance and digital risks.</x:v>
      </x:c>
      <x:c r="E611" s="30" t="str">
        <x:v>Strengthen enterprise digital governance.</x:v>
      </x:c>
      <x:c r="F611" s="30" t="str">
        <x:v>Optional</x:v>
      </x:c>
      <x:c r="G611" s="30" t="str">
        <x:v>Quarterly</x:v>
      </x:c>
      <x:c r="H611" s="30"/>
      <x:c r="I611" s="30" t="str">
        <x:v>Digital Governance Committee</x:v>
      </x:c>
      <x:c r="J611" s="30" t="str">
        <x:v>Weak oversight of digital risks.</x:v>
      </x:c>
      <x:c r="K611" s="30" t="str">
        <x:v>High</x:v>
      </x:c>
      <x:c r="L611" s="30" t="str">
        <x:v>EPHARMACY</x:v>
      </x:c>
      <x:c r="M611" s="30" t="str">
        <x:v>Yes</x:v>
      </x:c>
      <x:c r="N611" s="30" t="str">
        <x:v>P-4 entity-specific internal control; no independent statutory force. Activate the exact underlying legal requirement separately.</x:v>
      </x:c>
    </x:row>
    <x:row r="612">
      <x:c r="A612" s="30" t="str">
        <x:v>ECOMP041</x:v>
      </x:c>
      <x:c r="B612" s="30" t="str">
        <x:v>EPROV041</x:v>
      </x:c>
      <x:c r="C612" s="30" t="str">
        <x:v>CA003</x:v>
      </x:c>
      <x:c r="D612" s="30" t="str">
        <x:v>Maintain an online grievance redressal mechanism with defined acknowledgement, investigation and resolution timelines.</x:v>
      </x:c>
      <x:c r="E612" s="30" t="str">
        <x:v>Ensure timely and transparent grievance handling.</x:v>
      </x:c>
      <x:c r="F612" s="30" t="str">
        <x:v>Optional</x:v>
      </x:c>
      <x:c r="G612" s="30" t="str">
        <x:v>As Complaints Arise</x:v>
      </x:c>
      <x:c r="H612" s="30"/>
      <x:c r="I612" s="30" t="str">
        <x:v>Customer Grievance Officer</x:v>
      </x:c>
      <x:c r="J612" s="30" t="str">
        <x:v>Consumer complaints remaining unresolved.</x:v>
      </x:c>
      <x:c r="K612" s="30" t="str">
        <x:v>High</x:v>
      </x:c>
      <x:c r="L612" s="30" t="str">
        <x:v>EPHARMACY</x:v>
      </x:c>
      <x:c r="M612" s="30" t="str">
        <x:v>Yes</x:v>
      </x:c>
      <x:c r="N612" s="30" t="str">
        <x:v>P-4 entity-specific internal control; no independent statutory force. Activate the exact underlying legal requirement separately.</x:v>
      </x:c>
    </x:row>
    <x:row r="613">
      <x:c r="A613" s="30" t="str">
        <x:v>ECOMP042</x:v>
      </x:c>
      <x:c r="B613" s="30" t="str">
        <x:v>EPROV042</x:v>
      </x:c>
      <x:c r="C613" s="30" t="str">
        <x:v>CA049</x:v>
      </x:c>
      <x:c r="D613" s="30" t="str">
        <x:v>Verify and approve all marketplace sellers before onboarding and perform periodic compliance reviews.</x:v>
      </x:c>
      <x:c r="E613" s="30" t="str">
        <x:v>Ensure only compliant sellers operate on the platform.</x:v>
      </x:c>
      <x:c r="F613" s="30" t="str">
        <x:v>Optional</x:v>
      </x:c>
      <x:c r="G613" s="30" t="str">
        <x:v>Before Onboarding / Annual</x:v>
      </x:c>
      <x:c r="H613" s="30"/>
      <x:c r="I613" s="30" t="str">
        <x:v>Marketplace Compliance Manager</x:v>
      </x:c>
      <x:c r="J613" s="30" t="str">
        <x:v>Unauthorized or non-compliant sellers.</x:v>
      </x:c>
      <x:c r="K613" s="30" t="str">
        <x:v>High</x:v>
      </x:c>
      <x:c r="L613" s="30" t="str">
        <x:v>EPHARMACY</x:v>
      </x:c>
      <x:c r="M613" s="30" t="str">
        <x:v>Yes</x:v>
      </x:c>
      <x:c r="N613" s="30" t="str">
        <x:v>P-4 entity-specific internal control; no independent statutory force. Activate the exact underlying legal requirement separately.</x:v>
      </x:c>
    </x:row>
    <x:row r="614">
      <x:c r="A614" s="30" t="str">
        <x:v>ECOMP043</x:v>
      </x:c>
      <x:c r="B614" s="30" t="str">
        <x:v>EPROV043</x:v>
      </x:c>
      <x:c r="C614" s="30" t="str">
        <x:v>CA021</x:v>
      </x:c>
      <x:c r="D614" s="30" t="str">
        <x:v>Review all online medicine advertisements before publication to ensure regulatory compliance.</x:v>
      </x:c>
      <x:c r="E614" s="30" t="str">
        <x:v>Prevent misleading or prohibited advertisements.</x:v>
      </x:c>
      <x:c r="F614" s="30" t="str">
        <x:v>Optional</x:v>
      </x:c>
      <x:c r="G614" s="30" t="str">
        <x:v>Before Publication</x:v>
      </x:c>
      <x:c r="H614" s="30"/>
      <x:c r="I614" s="30" t="str">
        <x:v>Regulatory Affairs Manager</x:v>
      </x:c>
      <x:c r="J614" s="30" t="str">
        <x:v>Regulatory action due to non-compliant advertising.</x:v>
      </x:c>
      <x:c r="K614" s="30" t="str">
        <x:v>High</x:v>
      </x:c>
      <x:c r="L614" s="30" t="str">
        <x:v>EPHARMACY</x:v>
      </x:c>
      <x:c r="M614" s="30" t="str">
        <x:v>Yes</x:v>
      </x:c>
      <x:c r="N614" s="30" t="str">
        <x:v>P-4 entity-specific internal control; no independent statutory force. Activate the exact underlying legal requirement separately.</x:v>
      </x:c>
    </x:row>
    <x:row r="615">
      <x:c r="A615" s="30" t="str">
        <x:v>ECOMP044</x:v>
      </x:c>
      <x:c r="B615" s="30" t="str">
        <x:v>EPROV044</x:v>
      </x:c>
      <x:c r="C615" s="30" t="str">
        <x:v>CA015</x:v>
      </x:c>
      <x:c r="D615" s="30" t="str">
        <x:v>Periodically review medicine search algorithms and recommendation engines for compliance with approved business rules.</x:v>
      </x:c>
      <x:c r="E615" s="30" t="str">
        <x:v>Prevent inappropriate medicine promotion.</x:v>
      </x:c>
      <x:c r="F615" s="30" t="str">
        <x:v>Optional</x:v>
      </x:c>
      <x:c r="G615" s="30" t="str">
        <x:v>Quarterly</x:v>
      </x:c>
      <x:c r="H615" s="30"/>
      <x:c r="I615" s="30" t="str">
        <x:v>Digital Product Manager</x:v>
      </x:c>
      <x:c r="J615" s="30" t="str">
        <x:v>Unsafe product recommendations.</x:v>
      </x:c>
      <x:c r="K615" s="30" t="str">
        <x:v>High</x:v>
      </x:c>
      <x:c r="L615" s="30" t="str">
        <x:v>EPHARMACY</x:v>
      </x:c>
      <x:c r="M615" s="30" t="str">
        <x:v>Yes</x:v>
      </x:c>
      <x:c r="N615" s="30" t="str">
        <x:v>P-4 entity-specific internal control; no independent statutory force. Activate the exact underlying legal requirement separately.</x:v>
      </x:c>
    </x:row>
    <x:row r="616">
      <x:c r="A616" s="30" t="str">
        <x:v>ECOMP045</x:v>
      </x:c>
      <x:c r="B616" s="30" t="str">
        <x:v>EPROV045</x:v>
      </x:c>
      <x:c r="C616" s="30" t="str">
        <x:v>CA021</x:v>
      </x:c>
      <x:c r="D616" s="30" t="str">
        <x:v>Record and approve prescription order cancellations with documented reasons and audit trails.</x:v>
      </x:c>
      <x:c r="E616" s="30" t="str">
        <x:v>Maintain traceability of cancelled orders.</x:v>
      </x:c>
      <x:c r="F616" s="30" t="str">
        <x:v>Optional</x:v>
      </x:c>
      <x:c r="G616" s="30" t="str">
        <x:v>Every Cancellation</x:v>
      </x:c>
      <x:c r="H616" s="30"/>
      <x:c r="I616" s="30" t="str">
        <x:v>Operations Manager</x:v>
      </x:c>
      <x:c r="J616" s="30" t="str">
        <x:v>Inadequate order traceability.</x:v>
      </x:c>
      <x:c r="K616" s="30" t="str">
        <x:v>Medium</x:v>
      </x:c>
      <x:c r="L616" s="30" t="str">
        <x:v>EPHARMACY</x:v>
      </x:c>
      <x:c r="M616" s="30" t="str">
        <x:v>Yes</x:v>
      </x:c>
      <x:c r="N616" s="30" t="str">
        <x:v>P-4 entity-specific internal control; no independent statutory force. Activate the exact underlying legal requirement separately.</x:v>
      </x:c>
    </x:row>
    <x:row r="617">
      <x:c r="A617" s="30" t="str">
        <x:v>ECOMP046</x:v>
      </x:c>
      <x:c r="B617" s="30" t="str">
        <x:v>EPROV046</x:v>
      </x:c>
      <x:c r="C617" s="30" t="str">
        <x:v>CA071</x:v>
      </x:c>
      <x:c r="D617" s="30" t="str">
        <x:v>Process medicine returns only under approved conditions with documented inspection and disposition.</x:v>
      </x:c>
      <x:c r="E617" s="30" t="str">
        <x:v>Prevent unsafe redistribution of medicines.</x:v>
      </x:c>
      <x:c r="F617" s="30" t="str">
        <x:v>Optional</x:v>
      </x:c>
      <x:c r="G617" s="30" t="str">
        <x:v>Every Return</x:v>
      </x:c>
      <x:c r="H617" s="30"/>
      <x:c r="I617" s="30" t="str">
        <x:v>Returns &amp; Quality Manager</x:v>
      </x:c>
      <x:c r="J617" s="30" t="str">
        <x:v>Compromised medicine quality.</x:v>
      </x:c>
      <x:c r="K617" s="30" t="str">
        <x:v>High</x:v>
      </x:c>
      <x:c r="L617" s="30" t="str">
        <x:v>EPHARMACY</x:v>
      </x:c>
      <x:c r="M617" s="30" t="str">
        <x:v>Yes</x:v>
      </x:c>
      <x:c r="N617" s="30" t="str">
        <x:v>P-4 entity-specific internal control; no independent statutory force. Activate the exact underlying legal requirement separately.</x:v>
      </x:c>
    </x:row>
    <x:row r="618">
      <x:c r="A618" s="30" t="str">
        <x:v>ECOMP047</x:v>
      </x:c>
      <x:c r="B618" s="30" t="str">
        <x:v>EPROV047</x:v>
      </x:c>
      <x:c r="C618" s="30" t="str">
        <x:v>CA049</x:v>
      </x:c>
      <x:c r="D618" s="30" t="str">
        <x:v>Document failed deliveries, verify medicine integrity and authorize re-dispatch where appropriate.</x:v>
      </x:c>
      <x:c r="E618" s="30" t="str">
        <x:v>Maintain delivery integrity and traceability.</x:v>
      </x:c>
      <x:c r="F618" s="30" t="str">
        <x:v>Optional</x:v>
      </x:c>
      <x:c r="G618" s="30" t="str">
        <x:v>Every Failed Delivery</x:v>
      </x:c>
      <x:c r="H618" s="30"/>
      <x:c r="I618" s="30" t="str">
        <x:v>Logistics Manager</x:v>
      </x:c>
      <x:c r="J618" s="30" t="str">
        <x:v>Product integrity compromise during delivery.</x:v>
      </x:c>
      <x:c r="K618" s="30" t="str">
        <x:v>Medium</x:v>
      </x:c>
      <x:c r="L618" s="30" t="str">
        <x:v>EPHARMACY</x:v>
      </x:c>
      <x:c r="M618" s="30" t="str">
        <x:v>Yes</x:v>
      </x:c>
      <x:c r="N618" s="30" t="str">
        <x:v>P-4 entity-specific internal control; no independent statutory force. Activate the exact underlying legal requirement separately.</x:v>
      </x:c>
    </x:row>
    <x:row r="619">
      <x:c r="A619" s="30" t="str">
        <x:v>ECOMP048</x:v>
      </x:c>
      <x:c r="B619" s="30" t="str">
        <x:v>EPROV048</x:v>
      </x:c>
      <x:c r="C619" s="30" t="str">
        <x:v>CA056</x:v>
      </x:c>
      <x:c r="D619" s="30" t="str">
        <x:v>Periodically review product information displayed on the platform for completeness and regulatory accuracy.</x:v>
      </x:c>
      <x:c r="E619" s="30" t="str">
        <x:v>Ensure customers receive accurate medicine information.</x:v>
      </x:c>
      <x:c r="F619" s="30" t="str">
        <x:v>Optional</x:v>
      </x:c>
      <x:c r="G619" s="30" t="str">
        <x:v>Quarterly</x:v>
      </x:c>
      <x:c r="H619" s="30"/>
      <x:c r="I619" s="30" t="str">
        <x:v>Product Information Manager</x:v>
      </x:c>
      <x:c r="J619" s="30" t="str">
        <x:v>Misleading or inaccurate product information.</x:v>
      </x:c>
      <x:c r="K619" s="30" t="str">
        <x:v>High</x:v>
      </x:c>
      <x:c r="L619" s="30" t="str">
        <x:v>EPHARMACY</x:v>
      </x:c>
      <x:c r="M619" s="30" t="str">
        <x:v>Yes</x:v>
      </x:c>
      <x:c r="N619" s="30" t="str">
        <x:v>P-4 entity-specific internal control; no independent statutory force. Activate the exact underlying legal requirement separately.</x:v>
      </x:c>
    </x:row>
    <x:row r="620">
      <x:c r="A620" s="30" t="str">
        <x:v>ECOMP049</x:v>
      </x:c>
      <x:c r="B620" s="30" t="str">
        <x:v>EPROV049</x:v>
      </x:c>
      <x:c r="C620" s="30" t="str">
        <x:v>CA056</x:v>
      </x:c>
      <x:c r="D620" s="30" t="str">
        <x:v>Maintain immutable audit trails for all critical platform transactions and system activities.</x:v>
      </x:c>
      <x:c r="E620" s="30" t="str">
        <x:v>Ensure complete digital auditability.</x:v>
      </x:c>
      <x:c r="F620" s="30" t="str">
        <x:v>Optional</x:v>
      </x:c>
      <x:c r="G620" s="30" t="str">
        <x:v>Continuous</x:v>
      </x:c>
      <x:c r="H620" s="30"/>
      <x:c r="I620" s="30" t="str">
        <x:v>IT Audit Manager</x:v>
      </x:c>
      <x:c r="J620" s="30" t="str">
        <x:v>Loss of evidentiary records.</x:v>
      </x:c>
      <x:c r="K620" s="30" t="str">
        <x:v>High</x:v>
      </x:c>
      <x:c r="L620" s="30" t="str">
        <x:v>EPHARMACY</x:v>
      </x:c>
      <x:c r="M620" s="30" t="str">
        <x:v>Yes</x:v>
      </x:c>
      <x:c r="N620" s="30" t="str">
        <x:v>P-4 entity-specific internal control; no independent statutory force. Activate the exact underlying legal requirement separately.</x:v>
      </x:c>
    </x:row>
    <x:row r="621">
      <x:c r="A621" s="30" t="str">
        <x:v>ECOMP050</x:v>
      </x:c>
      <x:c r="B621" s="30" t="str">
        <x:v>EPROV050</x:v>
      </x:c>
      <x:c r="C621" s="30" t="str">
        <x:v>CA020</x:v>
      </x:c>
      <x:c r="D621" s="30" t="str">
        <x:v>Conduct periodic executive reviews of regulatory compliance, cybersecurity, privacy, operational performance and digital risks.</x:v>
      </x:c>
      <x:c r="E621" s="30" t="str">
        <x:v>Ensure continuous enterprise oversight and strategic improvement.</x:v>
      </x:c>
      <x:c r="F621" s="30" t="str">
        <x:v>Optional</x:v>
      </x:c>
      <x:c r="G621" s="30" t="str">
        <x:v>Quarterly</x:v>
      </x:c>
      <x:c r="H621" s="30"/>
      <x:c r="I621" s="30" t="str">
        <x:v>Chief Executive / Compliance Committee</x:v>
      </x:c>
      <x:c r="J621" s="30" t="str">
        <x:v>Weak strategic oversight and unresolved enterprise risks.</x:v>
      </x:c>
      <x:c r="K621" s="30" t="str">
        <x:v>High</x:v>
      </x:c>
      <x:c r="L621" s="30" t="str">
        <x:v>EPHARMACY</x:v>
      </x:c>
      <x:c r="M621" s="30" t="str">
        <x:v>Yes</x:v>
      </x:c>
      <x:c r="N621" s="30" t="str">
        <x:v>P-4 entity-specific internal control; no independent statutory force. Activate the exact underlying legal requirement separately.</x:v>
      </x:c>
    </x:row>
    <x:row r="622">
      <x:c r="A622" s="30" t="str">
        <x:v>ICOMP001</x:v>
      </x:c>
      <x:c r="B622" s="30" t="str">
        <x:v>IPROV001</x:v>
      </x:c>
      <x:c r="C622" s="30" t="str">
        <x:v>CA056</x:v>
      </x:c>
      <x:c r="D622" s="30" t="str">
        <x:v>Verify authorization of institutional customers, departments and facilities before medicine supply.</x:v>
      </x:c>
      <x:c r="E622" s="30" t="str">
        <x:v>Prevent unauthorized institutional procurement.</x:v>
      </x:c>
      <x:c r="F622" s="30" t="str">
        <x:v>Optional</x:v>
      </x:c>
      <x:c r="G622" s="30" t="str">
        <x:v>Before Supply / Annual Review</x:v>
      </x:c>
      <x:c r="H622" s="30"/>
      <x:c r="I622" s="30" t="str">
        <x:v>Pharmacy Manager</x:v>
      </x:c>
      <x:c r="J622" s="30" t="str">
        <x:v>Unauthorized medicine supply.</x:v>
      </x:c>
      <x:c r="K622" s="30" t="str">
        <x:v>High</x:v>
      </x:c>
      <x:c r="L622" s="30" t="str">
        <x:v>INSTITUTIONAL</x:v>
      </x:c>
      <x:c r="M622" s="30" t="str">
        <x:v>Yes</x:v>
      </x:c>
      <x:c r="N622" s="30" t="str">
        <x:v>P-4 entity-specific internal control; no independent statutory force. Activate the exact underlying legal requirement separately.</x:v>
      </x:c>
    </x:row>
    <x:row r="623">
      <x:c r="A623" s="30" t="str">
        <x:v>ICOMP002</x:v>
      </x:c>
      <x:c r="B623" s="30" t="str">
        <x:v>IPROV002</x:v>
      </x:c>
      <x:c r="C623" s="30" t="str">
        <x:v>CA063</x:v>
      </x:c>
      <x:c r="D623" s="30" t="str">
        <x:v>Approve bulk medicine requisitions through authorized institutional personnel before issue.</x:v>
      </x:c>
      <x:c r="E623" s="30" t="str">
        <x:v>Ensure controlled bulk medicine distribution.</x:v>
      </x:c>
      <x:c r="F623" s="30" t="str">
        <x:v>Optional</x:v>
      </x:c>
      <x:c r="G623" s="30" t="str">
        <x:v>Every Bulk Requisition</x:v>
      </x:c>
      <x:c r="H623" s="30"/>
      <x:c r="I623" s="30" t="str">
        <x:v>Institutional Pharmacy Head</x:v>
      </x:c>
      <x:c r="J623" s="30" t="str">
        <x:v>Excess or unauthorized medicine issue.</x:v>
      </x:c>
      <x:c r="K623" s="30" t="str">
        <x:v>High</x:v>
      </x:c>
      <x:c r="L623" s="30" t="str">
        <x:v>INSTITUTIONAL</x:v>
      </x:c>
      <x:c r="M623" s="30" t="str">
        <x:v>Yes</x:v>
      </x:c>
      <x:c r="N623" s="30" t="str">
        <x:v>P-4 entity-specific internal control; no independent statutory force. Activate the exact underlying legal requirement separately.</x:v>
      </x:c>
    </x:row>
    <x:row r="624">
      <x:c r="A624" s="30" t="str">
        <x:v>ICOMP003</x:v>
      </x:c>
      <x:c r="B624" s="30" t="str">
        <x:v>IPROV003</x:v>
      </x:c>
      <x:c r="C624" s="30" t="str">
        <x:v>CA020</x:v>
      </x:c>
      <x:c r="D624" s="30" t="str">
        <x:v>Maintain complete traceability of medicines supplied to institutional departments.</x:v>
      </x:c>
      <x:c r="E624" s="30" t="str">
        <x:v>Support recalls and accountability.</x:v>
      </x:c>
      <x:c r="F624" s="30" t="str">
        <x:v>Optional</x:v>
      </x:c>
      <x:c r="G624" s="30" t="str">
        <x:v>Continuous</x:v>
      </x:c>
      <x:c r="H624" s="30"/>
      <x:c r="I624" s="30" t="str">
        <x:v>Inventory Pharmacist</x:v>
      </x:c>
      <x:c r="J624" s="30" t="str">
        <x:v>Inability to trace distributed medicines.</x:v>
      </x:c>
      <x:c r="K624" s="30" t="str">
        <x:v>High</x:v>
      </x:c>
      <x:c r="L624" s="30" t="str">
        <x:v>INSTITUTIONAL</x:v>
      </x:c>
      <x:c r="M624" s="30" t="str">
        <x:v>Yes</x:v>
      </x:c>
      <x:c r="N624" s="30" t="str">
        <x:v>P-4 entity-specific internal control; no independent statutory force. Activate the exact underlying legal requirement separately.</x:v>
      </x:c>
    </x:row>
    <x:row r="625">
      <x:c r="A625" s="30" t="str">
        <x:v>ICOMP004</x:v>
      </x:c>
      <x:c r="B625" s="30" t="str">
        <x:v>IPROV004</x:v>
      </x:c>
      <x:c r="C625" s="30" t="str">
        <x:v>CA077</x:v>
      </x:c>
      <x:c r="D625" s="30" t="str">
        <x:v>Perform periodic reconciliation between pharmacy stock and departmental inventory.</x:v>
      </x:c>
      <x:c r="E625" s="30" t="str">
        <x:v>Ensure inventory accuracy.</x:v>
      </x:c>
      <x:c r="F625" s="30" t="str">
        <x:v>Optional</x:v>
      </x:c>
      <x:c r="G625" s="30" t="str">
        <x:v>Monthly</x:v>
      </x:c>
      <x:c r="H625" s="30"/>
      <x:c r="I625" s="30" t="str">
        <x:v>Inventory Control Officer</x:v>
      </x:c>
      <x:c r="J625" s="30" t="str">
        <x:v>Stock discrepancies or diversion.</x:v>
      </x:c>
      <x:c r="K625" s="30" t="str">
        <x:v>High</x:v>
      </x:c>
      <x:c r="L625" s="30" t="str">
        <x:v>INSTITUTIONAL</x:v>
      </x:c>
      <x:c r="M625" s="30" t="str">
        <x:v>Yes</x:v>
      </x:c>
      <x:c r="N625" s="30" t="str">
        <x:v>P-4 entity-specific internal control; no independent statutory force. Activate the exact underlying legal requirement separately.</x:v>
      </x:c>
    </x:row>
    <x:row r="626">
      <x:c r="A626" s="30" t="str">
        <x:v>ICOMP005</x:v>
      </x:c>
      <x:c r="B626" s="30" t="str">
        <x:v>IPROV005</x:v>
      </x:c>
      <x:c r="C626" s="30" t="str">
        <x:v>CA056</x:v>
      </x:c>
      <x:c r="D626" s="30" t="str">
        <x:v>Inspect and document all returned unused medicines before reuse or disposal.</x:v>
      </x:c>
      <x:c r="E626" s="30" t="str">
        <x:v>Prevent unsafe medicine reuse.</x:v>
      </x:c>
      <x:c r="F626" s="30" t="str">
        <x:v>Optional</x:v>
      </x:c>
      <x:c r="G626" s="30" t="str">
        <x:v>Every Return</x:v>
      </x:c>
      <x:c r="H626" s="30"/>
      <x:c r="I626" s="30" t="str">
        <x:v>Quality Pharmacist</x:v>
      </x:c>
      <x:c r="J626" s="30" t="str">
        <x:v>Compromised medicine quality.</x:v>
      </x:c>
      <x:c r="K626" s="30" t="str">
        <x:v>Medium</x:v>
      </x:c>
      <x:c r="L626" s="30" t="str">
        <x:v>INSTITUTIONAL</x:v>
      </x:c>
      <x:c r="M626" s="30" t="str">
        <x:v>Yes</x:v>
      </x:c>
      <x:c r="N626" s="30" t="str">
        <x:v>P-4 entity-specific internal control; no independent statutory force. Activate the exact underlying legal requirement separately.</x:v>
      </x:c>
    </x:row>
    <x:row r="627">
      <x:c r="A627" s="30" t="str">
        <x:v>ICOMP006</x:v>
      </x:c>
      <x:c r="B627" s="30" t="str">
        <x:v>IPROV006</x:v>
      </x:c>
      <x:c r="C627" s="30" t="str">
        <x:v>CA056</x:v>
      </x:c>
      <x:c r="D627" s="30" t="str">
        <x:v>Maintain emergency medicine stock according to approved institutional requirements.</x:v>
      </x:c>
      <x:c r="E627" s="30" t="str">
        <x:v>Ensure emergency preparedness.</x:v>
      </x:c>
      <x:c r="F627" s="30" t="str">
        <x:v>Optional</x:v>
      </x:c>
      <x:c r="G627" s="30" t="str">
        <x:v>Monthly</x:v>
      </x:c>
      <x:c r="H627" s="30"/>
      <x:c r="I627" s="30" t="str">
        <x:v>Emergency Pharmacy Coordinator</x:v>
      </x:c>
      <x:c r="J627" s="30" t="str">
        <x:v>Medicine unavailability during emergencies.</x:v>
      </x:c>
      <x:c r="K627" s="30" t="str">
        <x:v>High</x:v>
      </x:c>
      <x:c r="L627" s="30" t="str">
        <x:v>INSTITUTIONAL</x:v>
      </x:c>
      <x:c r="M627" s="30" t="str">
        <x:v>Yes</x:v>
      </x:c>
      <x:c r="N627" s="30" t="str">
        <x:v>P-4 entity-specific internal control; no independent statutory force. Activate the exact underlying legal requirement separately.</x:v>
      </x:c>
    </x:row>
    <x:row r="628">
      <x:c r="A628" s="30" t="str">
        <x:v>ICOMP007</x:v>
      </x:c>
      <x:c r="B628" s="30" t="str">
        <x:v>IPROV007</x:v>
      </x:c>
      <x:c r="C628" s="30" t="str">
        <x:v>CA038</x:v>
      </x:c>
      <x:c r="D628" s="30" t="str">
        <x:v>Record and periodically reconcile controlled medicines issued to institutional units.</x:v>
      </x:c>
      <x:c r="E628" s="30" t="str">
        <x:v>Maintain statutory accountability.</x:v>
      </x:c>
      <x:c r="F628" s="30" t="str">
        <x:v>Optional</x:v>
      </x:c>
      <x:c r="G628" s="30" t="str">
        <x:v>Daily / Monthly Reconciliation</x:v>
      </x:c>
      <x:c r="H628" s="30"/>
      <x:c r="I628" s="30" t="str">
        <x:v>Controlled Drug Pharmacist</x:v>
      </x:c>
      <x:c r="J628" s="30" t="str">
        <x:v>Diversion or regulatory non-compliance.</x:v>
      </x:c>
      <x:c r="K628" s="30" t="str">
        <x:v>High</x:v>
      </x:c>
      <x:c r="L628" s="30" t="str">
        <x:v>INSTITUTIONAL</x:v>
      </x:c>
      <x:c r="M628" s="30" t="str">
        <x:v>Yes</x:v>
      </x:c>
      <x:c r="N628" s="30" t="str">
        <x:v>P-4 entity-specific internal control; no independent statutory force. Activate the exact underlying legal requirement separately.</x:v>
      </x:c>
    </x:row>
    <x:row r="629">
      <x:c r="A629" s="30" t="str">
        <x:v>ICOMP008</x:v>
      </x:c>
      <x:c r="B629" s="30" t="str">
        <x:v>IPROV008</x:v>
      </x:c>
      <x:c r="C629" s="30" t="str">
        <x:v>CA038</x:v>
      </x:c>
      <x:c r="D629" s="30" t="str">
        <x:v>Execute institutional medicine supply through approved contracts or service agreements.</x:v>
      </x:c>
      <x:c r="E629" s="30" t="str">
        <x:v>Define accountability and service obligations.</x:v>
      </x:c>
      <x:c r="F629" s="30" t="str">
        <x:v>Optional</x:v>
      </x:c>
      <x:c r="G629" s="30" t="str">
        <x:v>Contract Review Annually</x:v>
      </x:c>
      <x:c r="H629" s="30"/>
      <x:c r="I629" s="30" t="str">
        <x:v>Procurement Manager</x:v>
      </x:c>
      <x:c r="J629" s="30" t="str">
        <x:v>Contractual disputes or supply interruptions.</x:v>
      </x:c>
      <x:c r="K629" s="30" t="str">
        <x:v>Medium</x:v>
      </x:c>
      <x:c r="L629" s="30" t="str">
        <x:v>INSTITUTIONAL</x:v>
      </x:c>
      <x:c r="M629" s="30" t="str">
        <x:v>Yes</x:v>
      </x:c>
      <x:c r="N629" s="30" t="str">
        <x:v>P-4 entity-specific internal control; no independent statutory force. Activate the exact underlying legal requirement separately.</x:v>
      </x:c>
    </x:row>
    <x:row r="630">
      <x:c r="A630" s="30" t="str">
        <x:v>ICOMP009</x:v>
      </x:c>
      <x:c r="B630" s="30" t="str">
        <x:v>IPROV009</x:v>
      </x:c>
      <x:c r="C630" s="30" t="str">
        <x:v>CA040</x:v>
      </x:c>
      <x:c r="D630" s="30" t="str">
        <x:v>Perform periodic institutional pharmacy compliance reviews.</x:v>
      </x:c>
      <x:c r="E630" s="30" t="str">
        <x:v>Maintain ongoing regulatory compliance.</x:v>
      </x:c>
      <x:c r="F630" s="30" t="str">
        <x:v>Optional</x:v>
      </x:c>
      <x:c r="G630" s="30" t="str">
        <x:v>Quarterly</x:v>
      </x:c>
      <x:c r="H630" s="30"/>
      <x:c r="I630" s="30" t="str">
        <x:v>Compliance Officer</x:v>
      </x:c>
      <x:c r="J630" s="30" t="str">
        <x:v>Regulatory deficiencies remain undetected.</x:v>
      </x:c>
      <x:c r="K630" s="30" t="str">
        <x:v>High</x:v>
      </x:c>
      <x:c r="L630" s="30" t="str">
        <x:v>INSTITUTIONAL</x:v>
      </x:c>
      <x:c r="M630" s="30" t="str">
        <x:v>Yes</x:v>
      </x:c>
      <x:c r="N630" s="30" t="str">
        <x:v>P-4 entity-specific internal control; no independent statutory force. Activate the exact underlying legal requirement separately.</x:v>
      </x:c>
    </x:row>
    <x:row r="631">
      <x:c r="A631" s="30" t="str">
        <x:v>ICOMP010</x:v>
      </x:c>
      <x:c r="B631" s="30" t="str">
        <x:v>IPROV010</x:v>
      </x:c>
      <x:c r="C631" s="30" t="str">
        <x:v>CA040</x:v>
      </x:c>
      <x:c r="D631" s="30" t="str">
        <x:v>Conduct management reviews covering institutional pharmacy performance and compliance.</x:v>
      </x:c>
      <x:c r="E631" s="30" t="str">
        <x:v>Strengthen governance oversight.</x:v>
      </x:c>
      <x:c r="F631" s="30" t="str">
        <x:v>Optional</x:v>
      </x:c>
      <x:c r="G631" s="30" t="str">
        <x:v>Quarterly</x:v>
      </x:c>
      <x:c r="H631" s="30"/>
      <x:c r="I631" s="30" t="str">
        <x:v>Institutional Pharmacy Committee</x:v>
      </x:c>
      <x:c r="J631" s="30" t="str">
        <x:v>Weak management oversight.</x:v>
      </x:c>
      <x:c r="K631" s="30" t="str">
        <x:v>Medium</x:v>
      </x:c>
      <x:c r="L631" s="30" t="str">
        <x:v>INSTITUTIONAL</x:v>
      </x:c>
      <x:c r="M631" s="30" t="str">
        <x:v>Yes</x:v>
      </x:c>
      <x:c r="N631" s="30" t="str">
        <x:v>P-4 entity-specific internal control; no independent statutory force. Activate the exact underlying legal requirement separately.</x:v>
      </x:c>
    </x:row>
    <x:row r="632">
      <x:c r="A632" s="30" t="str">
        <x:v>ICOMP011</x:v>
      </x:c>
      <x:c r="B632" s="30" t="str">
        <x:v>IPROV011</x:v>
      </x:c>
      <x:c r="C632" s="30" t="str">
        <x:v>CA077</x:v>
      </x:c>
      <x:c r="D632" s="30" t="str">
        <x:v>Coordinate product recalls across all institutional departments with documented closure.</x:v>
      </x:c>
      <x:c r="E632" s="30" t="str">
        <x:v>Ensure complete recall effectiveness.</x:v>
      </x:c>
      <x:c r="F632" s="30" t="str">
        <x:v>Optional</x:v>
      </x:c>
      <x:c r="G632" s="30" t="str">
        <x:v>As Required</x:v>
      </x:c>
      <x:c r="H632" s="30"/>
      <x:c r="I632" s="30" t="str">
        <x:v>Quality Assurance Manager</x:v>
      </x:c>
      <x:c r="J632" s="30" t="str">
        <x:v>Delayed or incomplete recalls.</x:v>
      </x:c>
      <x:c r="K632" s="30" t="str">
        <x:v>High</x:v>
      </x:c>
      <x:c r="L632" s="30" t="str">
        <x:v>INSTITUTIONAL</x:v>
      </x:c>
      <x:c r="M632" s="30" t="str">
        <x:v>Yes</x:v>
      </x:c>
      <x:c r="N632" s="30" t="str">
        <x:v>P-4 entity-specific internal control; no independent statutory force. Activate the exact underlying legal requirement separately.</x:v>
      </x:c>
    </x:row>
    <x:row r="633">
      <x:c r="A633" s="30" t="str">
        <x:v>ICOMP012</x:v>
      </x:c>
      <x:c r="B633" s="30" t="str">
        <x:v>IPROV012</x:v>
      </x:c>
      <x:c r="C633" s="30" t="str">
        <x:v>CA041</x:v>
      </x:c>
      <x:c r="D633" s="30" t="str">
        <x:v>Verify medicine supply against approved institutional formulary where applicable.</x:v>
      </x:c>
      <x:c r="E633" s="30" t="str">
        <x:v>Promote rational medicine use.</x:v>
      </x:c>
      <x:c r="F633" s="30" t="str">
        <x:v>Optional</x:v>
      </x:c>
      <x:c r="G633" s="30" t="str">
        <x:v>Every Issue</x:v>
      </x:c>
      <x:c r="H633" s="30"/>
      <x:c r="I633" s="30" t="str">
        <x:v>Clinical Pharmacist</x:v>
      </x:c>
      <x:c r="J633" s="30" t="str">
        <x:v>Supply of non-approved medicines.</x:v>
      </x:c>
      <x:c r="K633" s="30" t="str">
        <x:v>Medium</x:v>
      </x:c>
      <x:c r="L633" s="30" t="str">
        <x:v>INSTITUTIONAL</x:v>
      </x:c>
      <x:c r="M633" s="30" t="str">
        <x:v>Yes</x:v>
      </x:c>
      <x:c r="N633" s="30" t="str">
        <x:v>P-4 entity-specific internal control; no independent statutory force. Activate the exact underlying legal requirement separately.</x:v>
      </x:c>
    </x:row>
    <x:row r="634">
      <x:c r="A634" s="30" t="str">
        <x:v>ICOMP013</x:v>
      </x:c>
      <x:c r="B634" s="30" t="str">
        <x:v>IPROV013</x:v>
      </x:c>
      <x:c r="C634" s="30" t="str">
        <x:v>CA042</x:v>
      </x:c>
      <x:c r="D634" s="30" t="str">
        <x:v>Authorize and document all inter-department medicine transfers.</x:v>
      </x:c>
      <x:c r="E634" s="30" t="str">
        <x:v>Maintain inventory traceability.</x:v>
      </x:c>
      <x:c r="F634" s="30" t="str">
        <x:v>Optional</x:v>
      </x:c>
      <x:c r="G634" s="30" t="str">
        <x:v>Every Transfer</x:v>
      </x:c>
      <x:c r="H634" s="30"/>
      <x:c r="I634" s="30" t="str">
        <x:v>Inventory Manager</x:v>
      </x:c>
      <x:c r="J634" s="30" t="str">
        <x:v>Stock diversion or inaccurate inventory.</x:v>
      </x:c>
      <x:c r="K634" s="30" t="str">
        <x:v>Medium</x:v>
      </x:c>
      <x:c r="L634" s="30" t="str">
        <x:v>INSTITUTIONAL</x:v>
      </x:c>
      <x:c r="M634" s="30" t="str">
        <x:v>Yes</x:v>
      </x:c>
      <x:c r="N634" s="30" t="str">
        <x:v>P-4 entity-specific internal control; no independent statutory force. Activate the exact underlying legal requirement separately.</x:v>
      </x:c>
    </x:row>
    <x:row r="635">
      <x:c r="A635" s="30" t="str">
        <x:v>ICOMP014</x:v>
      </x:c>
      <x:c r="B635" s="30" t="str">
        <x:v>IPROV014</x:v>
      </x:c>
      <x:c r="C635" s="30" t="str">
        <x:v>CA041</x:v>
      </x:c>
      <x:c r="D635" s="30" t="str">
        <x:v>Review and redistribute near-expiry medicines under approved procedures.</x:v>
      </x:c>
      <x:c r="E635" s="30" t="str">
        <x:v>Minimize wastage while maintaining patient safety.</x:v>
      </x:c>
      <x:c r="F635" s="30" t="str">
        <x:v>Optional</x:v>
      </x:c>
      <x:c r="G635" s="30" t="str">
        <x:v>Weekly</x:v>
      </x:c>
      <x:c r="H635" s="30"/>
      <x:c r="I635" s="30" t="str">
        <x:v>Inventory Pharmacist</x:v>
      </x:c>
      <x:c r="J635" s="30" t="str">
        <x:v>Medicine expiry losses.</x:v>
      </x:c>
      <x:c r="K635" s="30" t="str">
        <x:v>Medium</x:v>
      </x:c>
      <x:c r="L635" s="30" t="str">
        <x:v>INSTITUTIONAL</x:v>
      </x:c>
      <x:c r="M635" s="30" t="str">
        <x:v>Yes</x:v>
      </x:c>
      <x:c r="N635" s="30" t="str">
        <x:v>P-4 entity-specific internal control; no independent statutory force. Activate the exact underlying legal requirement separately.</x:v>
      </x:c>
    </x:row>
    <x:row r="636">
      <x:c r="A636" s="30" t="str">
        <x:v>ICOMP015</x:v>
      </x:c>
      <x:c r="B636" s="30" t="str">
        <x:v>IPROV015</x:v>
      </x:c>
      <x:c r="C636" s="30" t="str">
        <x:v>CA043</x:v>
      </x:c>
      <x:c r="D636" s="30" t="str">
        <x:v>Evaluate institutional vendors periodically for quality, compliance and service performance.</x:v>
      </x:c>
      <x:c r="E636" s="30" t="str">
        <x:v>Ensure reliable medicine supply.</x:v>
      </x:c>
      <x:c r="F636" s="30" t="str">
        <x:v>Optional</x:v>
      </x:c>
      <x:c r="G636" s="30" t="str">
        <x:v>Annual</x:v>
      </x:c>
      <x:c r="H636" s="30"/>
      <x:c r="I636" s="30" t="str">
        <x:v>Procurement Manager</x:v>
      </x:c>
      <x:c r="J636" s="30" t="str">
        <x:v>Poor supplier performance.</x:v>
      </x:c>
      <x:c r="K636" s="30" t="str">
        <x:v>Medium</x:v>
      </x:c>
      <x:c r="L636" s="30" t="str">
        <x:v>INSTITUTIONAL</x:v>
      </x:c>
      <x:c r="M636" s="30" t="str">
        <x:v>Yes</x:v>
      </x:c>
      <x:c r="N636" s="30" t="str">
        <x:v>P-4 entity-specific internal control; no independent statutory force. Activate the exact underlying legal requirement separately.</x:v>
      </x:c>
    </x:row>
    <x:row r="637">
      <x:c r="A637" s="30" t="str">
        <x:v>ICOMP016</x:v>
      </x:c>
      <x:c r="B637" s="30" t="str">
        <x:v>IPROV016</x:v>
      </x:c>
      <x:c r="C637" s="30" t="str">
        <x:v>CA044</x:v>
      </x:c>
      <x:c r="D637" s="30" t="str">
        <x:v>Maintain and periodically test institutional pharmacy emergency preparedness procedures.</x:v>
      </x:c>
      <x:c r="E637" s="30" t="str">
        <x:v>Ensure operational continuity.</x:v>
      </x:c>
      <x:c r="F637" s="30" t="str">
        <x:v>Optional</x:v>
      </x:c>
      <x:c r="G637" s="30" t="str">
        <x:v>Annual</x:v>
      </x:c>
      <x:c r="H637" s="30"/>
      <x:c r="I637" s="30" t="str">
        <x:v>Pharmacy Operations Manager</x:v>
      </x:c>
      <x:c r="J637" s="30" t="str">
        <x:v>Inadequate emergency response.</x:v>
      </x:c>
      <x:c r="K637" s="30" t="str">
        <x:v>High</x:v>
      </x:c>
      <x:c r="L637" s="30" t="str">
        <x:v>INSTITUTIONAL</x:v>
      </x:c>
      <x:c r="M637" s="30" t="str">
        <x:v>Yes</x:v>
      </x:c>
      <x:c r="N637" s="30" t="str">
        <x:v>P-4 entity-specific internal control; no independent statutory force. Activate the exact underlying legal requirement separately.</x:v>
      </x:c>
    </x:row>
    <x:row r="638">
      <x:c r="A638" s="30" t="str">
        <x:v>ICOMP017</x:v>
      </x:c>
      <x:c r="B638" s="30" t="str">
        <x:v>IPROV017</x:v>
      </x:c>
      <x:c r="C638" s="30" t="str">
        <x:v>CA004</x:v>
      </x:c>
      <x:c r="D638" s="30" t="str">
        <x:v>Submit periodic institutional pharmacy compliance reports to management.</x:v>
      </x:c>
      <x:c r="E638" s="30" t="str">
        <x:v>Improve management visibility.</x:v>
      </x:c>
      <x:c r="F638" s="30" t="str">
        <x:v>Optional</x:v>
      </x:c>
      <x:c r="G638" s="30" t="str">
        <x:v>Monthly</x:v>
      </x:c>
      <x:c r="H638" s="30"/>
      <x:c r="I638" s="30" t="str">
        <x:v>Compliance Officer</x:v>
      </x:c>
      <x:c r="J638" s="30" t="str">
        <x:v>Delayed management intervention.</x:v>
      </x:c>
      <x:c r="K638" s="30" t="str">
        <x:v>Medium</x:v>
      </x:c>
      <x:c r="L638" s="30" t="str">
        <x:v>INSTITUTIONAL</x:v>
      </x:c>
      <x:c r="M638" s="30" t="str">
        <x:v>Yes</x:v>
      </x:c>
      <x:c r="N638" s="30" t="str">
        <x:v>P-4 entity-specific internal control; no independent statutory force. Activate the exact underlying legal requirement separately.</x:v>
      </x:c>
    </x:row>
    <x:row r="639">
      <x:c r="A639" s="30" t="str">
        <x:v>ICOMP018</x:v>
      </x:c>
      <x:c r="B639" s="30" t="str">
        <x:v>IPROV018</x:v>
      </x:c>
      <x:c r="C639" s="30" t="str">
        <x:v>CA004</x:v>
      </x:c>
      <x:c r="D639" s="30" t="str">
        <x:v>Maintain competency assessments and continuing training records for institutional pharmacy staff.</x:v>
      </x:c>
      <x:c r="E639" s="30" t="str">
        <x:v>Ensure qualified workforce.</x:v>
      </x:c>
      <x:c r="F639" s="30" t="str">
        <x:v>Optional</x:v>
      </x:c>
      <x:c r="G639" s="30" t="str">
        <x:v>Annual</x:v>
      </x:c>
      <x:c r="H639" s="30"/>
      <x:c r="I639" s="30" t="str">
        <x:v>HR &amp; Pharmacy Manager</x:v>
      </x:c>
      <x:c r="J639" s="30" t="str">
        <x:v>Inadequately trained staff.</x:v>
      </x:c>
      <x:c r="K639" s="30" t="str">
        <x:v>Medium</x:v>
      </x:c>
      <x:c r="L639" s="30" t="str">
        <x:v>INSTITUTIONAL</x:v>
      </x:c>
      <x:c r="M639" s="30" t="str">
        <x:v>Yes</x:v>
      </x:c>
      <x:c r="N639" s="30" t="str">
        <x:v>P-4 entity-specific internal control; no independent statutory force. Activate the exact underlying legal requirement separately.</x:v>
      </x:c>
    </x:row>
    <x:row r="640">
      <x:c r="A640" s="30" t="str">
        <x:v>ICOMP019</x:v>
      </x:c>
      <x:c r="B640" s="30" t="str">
        <x:v>IPROV019</x:v>
      </x:c>
      <x:c r="C640" s="30" t="str">
        <x:v>CA063</x:v>
      </x:c>
      <x:c r="D640" s="30" t="str">
        <x:v>Conduct periodic quality assurance reviews covering dispensing, storage and distribution.</x:v>
      </x:c>
      <x:c r="E640" s="30" t="str">
        <x:v>Maintain quality standards.</x:v>
      </x:c>
      <x:c r="F640" s="30" t="str">
        <x:v>Optional</x:v>
      </x:c>
      <x:c r="G640" s="30" t="str">
        <x:v>Quarterly</x:v>
      </x:c>
      <x:c r="H640" s="30"/>
      <x:c r="I640" s="30" t="str">
        <x:v>Quality Assurance Manager</x:v>
      </x:c>
      <x:c r="J640" s="30" t="str">
        <x:v>Declining quality performance.</x:v>
      </x:c>
      <x:c r="K640" s="30" t="str">
        <x:v>High</x:v>
      </x:c>
      <x:c r="L640" s="30" t="str">
        <x:v>INSTITUTIONAL</x:v>
      </x:c>
      <x:c r="M640" s="30" t="str">
        <x:v>Yes</x:v>
      </x:c>
      <x:c r="N640" s="30" t="str">
        <x:v>P-4 entity-specific internal control; no independent statutory force. Activate the exact underlying legal requirement separately.</x:v>
      </x:c>
    </x:row>
    <x:row r="641">
      <x:c r="A641" s="30" t="str">
        <x:v>ICOMP020</x:v>
      </x:c>
      <x:c r="B641" s="30" t="str">
        <x:v>IPROV020</x:v>
      </x:c>
      <x:c r="C641" s="30" t="str">
        <x:v>CA005</x:v>
      </x:c>
      <x:c r="D641" s="30" t="str">
        <x:v>Perform institutional pharmacy compliance maturity assessments and monitor improvement actions.</x:v>
      </x:c>
      <x:c r="E641" s="30" t="str">
        <x:v>Drive continual compliance improvement.</x:v>
      </x:c>
      <x:c r="F641" s="30" t="str">
        <x:v>Optional</x:v>
      </x:c>
      <x:c r="G641" s="30" t="str">
        <x:v>Annual</x:v>
      </x:c>
      <x:c r="H641" s="30"/>
      <x:c r="I641" s="30" t="str">
        <x:v>Institutional Pharmacy Head</x:v>
      </x:c>
      <x:c r="J641" s="30" t="str">
        <x:v>Stagnant compliance programme.</x:v>
      </x:c>
      <x:c r="K641" s="30" t="str">
        <x:v>Medium</x:v>
      </x:c>
      <x:c r="L641" s="30" t="str">
        <x:v>INSTITUTIONAL</x:v>
      </x:c>
      <x:c r="M641" s="30" t="str">
        <x:v>Yes</x:v>
      </x:c>
      <x:c r="N641" s="30" t="str">
        <x:v>P-4 entity-specific internal control; no independent statutory force. Activate the exact underlying legal requirement separately.</x:v>
      </x:c>
    </x:row>
    <x:row r="642">
      <x:c r="A642" s="30" t="str">
        <x:v>SCOMP001</x:v>
      </x:c>
      <x:c r="B642" s="30" t="str">
        <x:v>SPROV001</x:v>
      </x:c>
      <x:c r="C642" s="30" t="str">
        <x:v>CA005</x:v>
      </x:c>
      <x:c r="D642" s="30" t="str">
        <x:v>Handle oncology and cytotoxic medicines strictly in accordance with approved hazardous medicine handling procedures.</x:v>
      </x:c>
      <x:c r="E642" s="30" t="str">
        <x:v>Protect patients and healthcare personnel from hazardous exposure.</x:v>
      </x:c>
      <x:c r="F642" s="30" t="str">
        <x:v>Optional</x:v>
      </x:c>
      <x:c r="G642" s="30" t="str">
        <x:v>Every Receipt / Preparation / Dispensing</x:v>
      </x:c>
      <x:c r="H642" s="30"/>
      <x:c r="I642" s="30" t="str">
        <x:v>Oncology Pharmacist</x:v>
      </x:c>
      <x:c r="J642" s="30" t="str">
        <x:v>Occupational exposure and medication safety incidents.</x:v>
      </x:c>
      <x:c r="K642" s="30" t="str">
        <x:v>High</x:v>
      </x:c>
      <x:c r="L642" s="30" t="str">
        <x:v>SPECIALIZED</x:v>
      </x:c>
      <x:c r="M642" s="30" t="str">
        <x:v>Yes</x:v>
      </x:c>
      <x:c r="N642" s="30" t="str">
        <x:v>P-4 entity-specific internal control; no independent statutory force. Activate the exact underlying legal requirement separately.</x:v>
      </x:c>
    </x:row>
    <x:row r="643">
      <x:c r="A643" s="30" t="str">
        <x:v>SCOMP002</x:v>
      </x:c>
      <x:c r="B643" s="30" t="str">
        <x:v>SPROV002</x:v>
      </x:c>
      <x:c r="C643" s="30" t="str">
        <x:v>CA063</x:v>
      </x:c>
      <x:c r="D643" s="30" t="str">
        <x:v>Store hazardous medicines only in designated secured storage areas with appropriate segregation.</x:v>
      </x:c>
      <x:c r="E643" s="30" t="str">
        <x:v>Prevent contamination and unauthorized access.</x:v>
      </x:c>
      <x:c r="F643" s="30" t="str">
        <x:v>Optional</x:v>
      </x:c>
      <x:c r="G643" s="30" t="str">
        <x:v>Continuous</x:v>
      </x:c>
      <x:c r="H643" s="30"/>
      <x:c r="I643" s="30" t="str">
        <x:v>Pharmacy Store Manager</x:v>
      </x:c>
      <x:c r="J643" s="30" t="str">
        <x:v>Product contamination or staff exposure.</x:v>
      </x:c>
      <x:c r="K643" s="30" t="str">
        <x:v>High</x:v>
      </x:c>
      <x:c r="L643" s="30" t="str">
        <x:v>SPECIALIZED</x:v>
      </x:c>
      <x:c r="M643" s="30" t="str">
        <x:v>Yes</x:v>
      </x:c>
      <x:c r="N643" s="30" t="str">
        <x:v>P-4 entity-specific internal control; no independent statutory force. Activate the exact underlying legal requirement separately.</x:v>
      </x:c>
    </x:row>
    <x:row r="644">
      <x:c r="A644" s="30" t="str">
        <x:v>SCOMP003</x:v>
      </x:c>
      <x:c r="B644" s="30" t="str">
        <x:v>SPROV003</x:v>
      </x:c>
      <x:c r="C644" s="30" t="str">
        <x:v>CA064</x:v>
      </x:c>
      <x:c r="D644" s="30" t="str">
        <x:v>Validate specialty cold-chain storage facilities and monitor qualification status periodically.</x:v>
      </x:c>
      <x:c r="E644" s="30" t="str">
        <x:v>Preserve medicine quality and efficacy.</x:v>
      </x:c>
      <x:c r="F644" s="30" t="str">
        <x:v>Optional</x:v>
      </x:c>
      <x:c r="G644" s="30" t="str">
        <x:v>Annual / Continuous Monitoring</x:v>
      </x:c>
      <x:c r="H644" s="30"/>
      <x:c r="I644" s="30" t="str">
        <x:v>Cold Chain Manager</x:v>
      </x:c>
      <x:c r="J644" s="30" t="str">
        <x:v>Temperature-related product degradation.</x:v>
      </x:c>
      <x:c r="K644" s="30" t="str">
        <x:v>High</x:v>
      </x:c>
      <x:c r="L644" s="30" t="str">
        <x:v>SPECIALIZED</x:v>
      </x:c>
      <x:c r="M644" s="30" t="str">
        <x:v>Yes</x:v>
      </x:c>
      <x:c r="N644" s="30" t="str">
        <x:v>P-4 entity-specific internal control; no independent statutory force. Activate the exact underlying legal requirement separately.</x:v>
      </x:c>
    </x:row>
    <x:row r="645">
      <x:c r="A645" s="30" t="str">
        <x:v>SCOMP004</x:v>
      </x:c>
      <x:c r="B645" s="30" t="str">
        <x:v>SPROV004</x:v>
      </x:c>
      <x:c r="C645" s="30" t="str">
        <x:v>CA064</x:v>
      </x:c>
      <x:c r="D645" s="30" t="str">
        <x:v>Reconcile controlled medicine inventory independently at prescribed intervals.</x:v>
      </x:c>
      <x:c r="E645" s="30" t="str">
        <x:v>Detect diversion and inventory discrepancies.</x:v>
      </x:c>
      <x:c r="F645" s="30" t="str">
        <x:v>Optional</x:v>
      </x:c>
      <x:c r="G645" s="30" t="str">
        <x:v>Daily / Monthly</x:v>
      </x:c>
      <x:c r="H645" s="30"/>
      <x:c r="I645" s="30" t="str">
        <x:v>Controlled Drug Custodian</x:v>
      </x:c>
      <x:c r="J645" s="30" t="str">
        <x:v>Diversion of controlled medicines.</x:v>
      </x:c>
      <x:c r="K645" s="30" t="str">
        <x:v>High</x:v>
      </x:c>
      <x:c r="L645" s="30" t="str">
        <x:v>SPECIALIZED</x:v>
      </x:c>
      <x:c r="M645" s="30" t="str">
        <x:v>Yes</x:v>
      </x:c>
      <x:c r="N645" s="30" t="str">
        <x:v>P-4 entity-specific internal control; no independent statutory force. Activate the exact underlying legal requirement separately.</x:v>
      </x:c>
    </x:row>
    <x:row r="646">
      <x:c r="A646" s="30" t="str">
        <x:v>SCOMP005</x:v>
      </x:c>
      <x:c r="B646" s="30" t="str">
        <x:v>SPROV005</x:v>
      </x:c>
      <x:c r="C646" s="30" t="str">
        <x:v>CA064</x:v>
      </x:c>
      <x:c r="D646" s="30" t="str">
        <x:v>Perform independent verification before dispensing high-risk medicines.</x:v>
      </x:c>
      <x:c r="E646" s="30" t="str">
        <x:v>Reduce medication errors.</x:v>
      </x:c>
      <x:c r="F646" s="30" t="str">
        <x:v>Optional</x:v>
      </x:c>
      <x:c r="G646" s="30" t="str">
        <x:v>Every Dispensing</x:v>
      </x:c>
      <x:c r="H646" s="30"/>
      <x:c r="I646" s="30" t="str">
        <x:v>Clinical Pharmacist</x:v>
      </x:c>
      <x:c r="J646" s="30" t="str">
        <x:v>High-risk medication error.</x:v>
      </x:c>
      <x:c r="K646" s="30" t="str">
        <x:v>High</x:v>
      </x:c>
      <x:c r="L646" s="30" t="str">
        <x:v>SPECIALIZED</x:v>
      </x:c>
      <x:c r="M646" s="30" t="str">
        <x:v>Yes</x:v>
      </x:c>
      <x:c r="N646" s="30" t="str">
        <x:v>P-4 entity-specific internal control; no independent statutory force. Activate the exact underlying legal requirement separately.</x:v>
      </x:c>
    </x:row>
    <x:row r="647">
      <x:c r="A647" s="30" t="str">
        <x:v>SCOMP006</x:v>
      </x:c>
      <x:c r="B647" s="30" t="str">
        <x:v>SPROV006</x:v>
      </x:c>
      <x:c r="C647" s="30" t="str">
        <x:v>CA064</x:v>
      </x:c>
      <x:c r="D647" s="30" t="str">
        <x:v>Investigate and document every vaccine temperature excursion before product release.</x:v>
      </x:c>
      <x:c r="E647" s="30" t="str">
        <x:v>Ensure vaccine integrity.</x:v>
      </x:c>
      <x:c r="F647" s="30" t="str">
        <x:v>Optional</x:v>
      </x:c>
      <x:c r="G647" s="30" t="str">
        <x:v>Every Temperature Excursion</x:v>
      </x:c>
      <x:c r="H647" s="30"/>
      <x:c r="I647" s="30" t="str">
        <x:v>Vaccine Coordinator</x:v>
      </x:c>
      <x:c r="J647" s="30" t="str">
        <x:v>Administration of compromised vaccines.</x:v>
      </x:c>
      <x:c r="K647" s="30" t="str">
        <x:v>High</x:v>
      </x:c>
      <x:c r="L647" s="30" t="str">
        <x:v>SPECIALIZED</x:v>
      </x:c>
      <x:c r="M647" s="30" t="str">
        <x:v>Yes</x:v>
      </x:c>
      <x:c r="N647" s="30" t="str">
        <x:v>P-4 entity-specific internal control; no independent statutory force. Activate the exact underlying legal requirement separately.</x:v>
      </x:c>
    </x:row>
    <x:row r="648">
      <x:c r="A648" s="30" t="str">
        <x:v>SCOMP007</x:v>
      </x:c>
      <x:c r="B648" s="30" t="str">
        <x:v>SPROV007</x:v>
      </x:c>
      <x:c r="C648" s="30" t="str">
        <x:v>CA064</x:v>
      </x:c>
      <x:c r="D648" s="30" t="str">
        <x:v>Maintain complete batch traceability for biologic medicines throughout the supply chain.</x:v>
      </x:c>
      <x:c r="E648" s="30" t="str">
        <x:v>Support recalls and pharmacovigilance.</x:v>
      </x:c>
      <x:c r="F648" s="30" t="str">
        <x:v>Optional</x:v>
      </x:c>
      <x:c r="G648" s="30" t="str">
        <x:v>Continuous</x:v>
      </x:c>
      <x:c r="H648" s="30"/>
      <x:c r="I648" s="30" t="str">
        <x:v>Biologics Pharmacist</x:v>
      </x:c>
      <x:c r="J648" s="30" t="str">
        <x:v>Inability to trace affected products.</x:v>
      </x:c>
      <x:c r="K648" s="30" t="str">
        <x:v>High</x:v>
      </x:c>
      <x:c r="L648" s="30" t="str">
        <x:v>SPECIALIZED</x:v>
      </x:c>
      <x:c r="M648" s="30" t="str">
        <x:v>Yes</x:v>
      </x:c>
      <x:c r="N648" s="30" t="str">
        <x:v>P-4 entity-specific internal control; no independent statutory force. Activate the exact underlying legal requirement separately.</x:v>
      </x:c>
    </x:row>
    <x:row r="649">
      <x:c r="A649" s="30" t="str">
        <x:v>SCOMP008</x:v>
      </x:c>
      <x:c r="B649" s="30" t="str">
        <x:v>SPROV008</x:v>
      </x:c>
      <x:c r="C649" s="30" t="str">
        <x:v>CA090</x:v>
      </x:c>
      <x:c r="D649" s="30" t="str">
        <x:v>Maintain complete accountability for investigational medicines from receipt through final disposition.</x:v>
      </x:c>
      <x:c r="E649" s="30" t="str">
        <x:v>Ensure clinical trial compliance.</x:v>
      </x:c>
      <x:c r="F649" s="30" t="str">
        <x:v>Optional</x:v>
      </x:c>
      <x:c r="G649" s="30" t="str">
        <x:v>Continuous</x:v>
      </x:c>
      <x:c r="H649" s="30"/>
      <x:c r="I649" s="30" t="str">
        <x:v>Investigational Drug Pharmacist</x:v>
      </x:c>
      <x:c r="J649" s="30" t="str">
        <x:v>Clinical trial non-compliance.</x:v>
      </x:c>
      <x:c r="K649" s="30" t="str">
        <x:v>High</x:v>
      </x:c>
      <x:c r="L649" s="30" t="str">
        <x:v>SPECIALIZED</x:v>
      </x:c>
      <x:c r="M649" s="30" t="str">
        <x:v>Yes</x:v>
      </x:c>
      <x:c r="N649" s="30" t="str">
        <x:v>P-4 entity-specific internal control; no independent statutory force. Activate the exact underlying legal requirement separately.</x:v>
      </x:c>
    </x:row>
    <x:row r="650">
      <x:c r="A650" s="30" t="str">
        <x:v>SCOMP009</x:v>
      </x:c>
      <x:c r="B650" s="30" t="str">
        <x:v>SPROV009</x:v>
      </x:c>
      <x:c r="C650" s="30" t="str">
        <x:v>CA064</x:v>
      </x:c>
      <x:c r="D650" s="30" t="str">
        <x:v>Segregate and dispose hazardous pharmaceutical waste through approved biomedical waste procedures.</x:v>
      </x:c>
      <x:c r="E650" s="30" t="str">
        <x:v>Protect staff and environment.</x:v>
      </x:c>
      <x:c r="F650" s="30" t="str">
        <x:v>Optional</x:v>
      </x:c>
      <x:c r="G650" s="30" t="str">
        <x:v>Every Disposal</x:v>
      </x:c>
      <x:c r="H650" s="30"/>
      <x:c r="I650" s="30" t="str">
        <x:v>Pharmacy Waste Coordinator</x:v>
      </x:c>
      <x:c r="J650" s="30" t="str">
        <x:v>Environmental and occupational hazards.</x:v>
      </x:c>
      <x:c r="K650" s="30" t="str">
        <x:v>High</x:v>
      </x:c>
      <x:c r="L650" s="30" t="str">
        <x:v>SPECIALIZED</x:v>
      </x:c>
      <x:c r="M650" s="30" t="str">
        <x:v>Yes</x:v>
      </x:c>
      <x:c r="N650" s="30" t="str">
        <x:v>P-4 entity-specific internal control; no independent statutory force. Activate the exact underlying legal requirement separately.</x:v>
      </x:c>
    </x:row>
    <x:row r="651">
      <x:c r="A651" s="30" t="str">
        <x:v>SCOMP010</x:v>
      </x:c>
      <x:c r="B651" s="30" t="str">
        <x:v>SPROV010</x:v>
      </x:c>
      <x:c r="C651" s="30" t="str">
        <x:v>CA020</x:v>
      </x:c>
      <x:c r="D651" s="30" t="str">
        <x:v>Maintain documented competency assessments for all specialty pharmacy personnel.</x:v>
      </x:c>
      <x:c r="E651" s="30" t="str">
        <x:v>Ensure competent handling of specialty medicines.</x:v>
      </x:c>
      <x:c r="F651" s="30" t="str">
        <x:v>Optional</x:v>
      </x:c>
      <x:c r="G651" s="30" t="str">
        <x:v>Annual</x:v>
      </x:c>
      <x:c r="H651" s="30"/>
      <x:c r="I651" s="30" t="str">
        <x:v>Pharmacy Training Manager</x:v>
      </x:c>
      <x:c r="J651" s="30" t="str">
        <x:v>Inadequately trained staff.</x:v>
      </x:c>
      <x:c r="K651" s="30" t="str">
        <x:v>High</x:v>
      </x:c>
      <x:c r="L651" s="30" t="str">
        <x:v>SPECIALIZED</x:v>
      </x:c>
      <x:c r="M651" s="30" t="str">
        <x:v>Yes</x:v>
      </x:c>
      <x:c r="N651" s="30" t="str">
        <x:v>P-4 entity-specific internal control; no independent statutory force. Activate the exact underlying legal requirement separately.</x:v>
      </x:c>
    </x:row>
    <x:row r="652">
      <x:c r="A652" s="30" t="str">
        <x:v>SCOMP011</x:v>
      </x:c>
      <x:c r="B652" s="30" t="str">
        <x:v>SPROV011</x:v>
      </x:c>
      <x:c r="C652" s="30" t="str">
        <x:v>CA077</x:v>
      </x:c>
      <x:c r="D652" s="30" t="str">
        <x:v>Manage radiopharmaceuticals in accordance with approved radiation safety procedures.</x:v>
      </x:c>
      <x:c r="E652" s="30" t="str">
        <x:v>Ensure radiation safety compliance.</x:v>
      </x:c>
      <x:c r="F652" s="30" t="str">
        <x:v>Optional</x:v>
      </x:c>
      <x:c r="G652" s="30" t="str">
        <x:v>Every Receipt / Dispensing</x:v>
      </x:c>
      <x:c r="H652" s="30"/>
      <x:c r="I652" s="30" t="str">
        <x:v>Nuclear Medicine Pharmacist</x:v>
      </x:c>
      <x:c r="J652" s="30" t="str">
        <x:v>Radiation exposure incidents.</x:v>
      </x:c>
      <x:c r="K652" s="30" t="str">
        <x:v>High</x:v>
      </x:c>
      <x:c r="L652" s="30" t="str">
        <x:v>SPECIALIZED</x:v>
      </x:c>
      <x:c r="M652" s="30" t="str">
        <x:v>Yes</x:v>
      </x:c>
      <x:c r="N652" s="30" t="str">
        <x:v>P-4 entity-specific internal control; no independent statutory force. Activate the exact underlying legal requirement separately.</x:v>
      </x:c>
    </x:row>
    <x:row r="653">
      <x:c r="A653" s="30" t="str">
        <x:v>SCOMP012</x:v>
      </x:c>
      <x:c r="B653" s="30" t="str">
        <x:v>SPROV012</x:v>
      </x:c>
      <x:c r="C653" s="30" t="str">
        <x:v>CA043</x:v>
      </x:c>
      <x:c r="D653" s="30" t="str">
        <x:v>Conduct independent physical verification of controlled medicines at scheduled intervals.</x:v>
      </x:c>
      <x:c r="E653" s="30" t="str">
        <x:v>Detect inventory discrepancies.</x:v>
      </x:c>
      <x:c r="F653" s="30" t="str">
        <x:v>Optional</x:v>
      </x:c>
      <x:c r="G653" s="30" t="str">
        <x:v>Monthly</x:v>
      </x:c>
      <x:c r="H653" s="30"/>
      <x:c r="I653" s="30" t="str">
        <x:v>Controlled Drug Custodian</x:v>
      </x:c>
      <x:c r="J653" s="30" t="str">
        <x:v>Inventory loss or diversion.</x:v>
      </x:c>
      <x:c r="K653" s="30" t="str">
        <x:v>High</x:v>
      </x:c>
      <x:c r="L653" s="30" t="str">
        <x:v>SPECIALIZED</x:v>
      </x:c>
      <x:c r="M653" s="30" t="str">
        <x:v>Yes</x:v>
      </x:c>
      <x:c r="N653" s="30" t="str">
        <x:v>P-4 entity-specific internal control; no independent statutory force. Activate the exact underlying legal requirement separately.</x:v>
      </x:c>
    </x:row>
    <x:row r="654">
      <x:c r="A654" s="30" t="str">
        <x:v>SCOMP013</x:v>
      </x:c>
      <x:c r="B654" s="30" t="str">
        <x:v>SPROV013</x:v>
      </x:c>
      <x:c r="C654" s="30" t="str">
        <x:v>CA043</x:v>
      </x:c>
      <x:c r="D654" s="30" t="str">
        <x:v>Apply enhanced governance controls for high-value specialty medicines.</x:v>
      </x:c>
      <x:c r="E654" s="30" t="str">
        <x:v>Protect high-value inventory.</x:v>
      </x:c>
      <x:c r="F654" s="30" t="str">
        <x:v>Optional</x:v>
      </x:c>
      <x:c r="G654" s="30" t="str">
        <x:v>Continuous</x:v>
      </x:c>
      <x:c r="H654" s="30"/>
      <x:c r="I654" s="30" t="str">
        <x:v>Pharmacy Operations Manager</x:v>
      </x:c>
      <x:c r="J654" s="30" t="str">
        <x:v>Financial loss or diversion.</x:v>
      </x:c>
      <x:c r="K654" s="30" t="str">
        <x:v>High</x:v>
      </x:c>
      <x:c r="L654" s="30" t="str">
        <x:v>SPECIALIZED</x:v>
      </x:c>
      <x:c r="M654" s="30" t="str">
        <x:v>Yes</x:v>
      </x:c>
      <x:c r="N654" s="30" t="str">
        <x:v>P-4 entity-specific internal control; no independent statutory force. Activate the exact underlying legal requirement separately.</x:v>
      </x:c>
    </x:row>
    <x:row r="655">
      <x:c r="A655" s="30" t="str">
        <x:v>SCOMP014</x:v>
      </x:c>
      <x:c r="B655" s="30" t="str">
        <x:v>SPROV014</x:v>
      </x:c>
      <x:c r="C655" s="30" t="str">
        <x:v>CA043</x:v>
      </x:c>
      <x:c r="D655" s="30" t="str">
        <x:v>Investigate every temperature excursion and document product disposition decisions.</x:v>
      </x:c>
      <x:c r="E655" s="30" t="str">
        <x:v>Prevent use of compromised medicines.</x:v>
      </x:c>
      <x:c r="F655" s="30" t="str">
        <x:v>Optional</x:v>
      </x:c>
      <x:c r="G655" s="30" t="str">
        <x:v>Every Excursion</x:v>
      </x:c>
      <x:c r="H655" s="30"/>
      <x:c r="I655" s="30" t="str">
        <x:v>Quality Assurance Pharmacist</x:v>
      </x:c>
      <x:c r="J655" s="30" t="str">
        <x:v>Product quality failure.</x:v>
      </x:c>
      <x:c r="K655" s="30" t="str">
        <x:v>High</x:v>
      </x:c>
      <x:c r="L655" s="30" t="str">
        <x:v>SPECIALIZED</x:v>
      </x:c>
      <x:c r="M655" s="30" t="str">
        <x:v>Yes</x:v>
      </x:c>
      <x:c r="N655" s="30" t="str">
        <x:v>P-4 entity-specific internal control; no independent statutory force. Activate the exact underlying legal requirement separately.</x:v>
      </x:c>
    </x:row>
    <x:row r="656">
      <x:c r="A656" s="30" t="str">
        <x:v>SCOMP015</x:v>
      </x:c>
      <x:c r="B656" s="30" t="str">
        <x:v>SPROV015</x:v>
      </x:c>
      <x:c r="C656" s="30" t="str">
        <x:v>CA044</x:v>
      </x:c>
      <x:c r="D656" s="30" t="str">
        <x:v>Record and escalate adverse events associated with specialty medicines.</x:v>
      </x:c>
      <x:c r="E656" s="30" t="str">
        <x:v>Strengthen pharmacovigilance.</x:v>
      </x:c>
      <x:c r="F656" s="30" t="str">
        <x:v>Optional</x:v>
      </x:c>
      <x:c r="G656" s="30" t="str">
        <x:v>As Occurs</x:v>
      </x:c>
      <x:c r="H656" s="30"/>
      <x:c r="I656" s="30" t="str">
        <x:v>Pharmacovigilance Officer</x:v>
      </x:c>
      <x:c r="J656" s="30" t="str">
        <x:v>Failure to detect safety signals.</x:v>
      </x:c>
      <x:c r="K656" s="30" t="str">
        <x:v>High</x:v>
      </x:c>
      <x:c r="L656" s="30" t="str">
        <x:v>SPECIALIZED</x:v>
      </x:c>
      <x:c r="M656" s="30" t="str">
        <x:v>Yes</x:v>
      </x:c>
      <x:c r="N656" s="30" t="str">
        <x:v>P-4 entity-specific internal control; no independent statutory force. Activate the exact underlying legal requirement separately.</x:v>
      </x:c>
    </x:row>
    <x:row r="657">
      <x:c r="A657" s="30" t="str">
        <x:v>SCOMP016</x:v>
      </x:c>
      <x:c r="B657" s="30" t="str">
        <x:v>SPROV016</x:v>
      </x:c>
      <x:c r="C657" s="30" t="str">
        <x:v>CA044</x:v>
      </x:c>
      <x:c r="D657" s="30" t="str">
        <x:v>Review manufacturer safety communications and implement required actions promptly.</x:v>
      </x:c>
      <x:c r="E657" s="30" t="str">
        <x:v>Maintain current safety practices.</x:v>
      </x:c>
      <x:c r="F657" s="30" t="str">
        <x:v>Optional</x:v>
      </x:c>
      <x:c r="G657" s="30" t="str">
        <x:v>As Issued</x:v>
      </x:c>
      <x:c r="H657" s="30"/>
      <x:c r="I657" s="30" t="str">
        <x:v>Regulatory Affairs Pharmacist</x:v>
      </x:c>
      <x:c r="J657" s="30" t="str">
        <x:v>Delayed implementation of safety updates.</x:v>
      </x:c>
      <x:c r="K657" s="30" t="str">
        <x:v>Medium</x:v>
      </x:c>
      <x:c r="L657" s="30" t="str">
        <x:v>SPECIALIZED</x:v>
      </x:c>
      <x:c r="M657" s="30" t="str">
        <x:v>Yes</x:v>
      </x:c>
      <x:c r="N657" s="30" t="str">
        <x:v>P-4 entity-specific internal control; no independent statutory force. Activate the exact underlying legal requirement separately.</x:v>
      </x:c>
    </x:row>
    <x:row r="658">
      <x:c r="A658" s="30" t="str">
        <x:v>SCOMP017</x:v>
      </x:c>
      <x:c r="B658" s="30" t="str">
        <x:v>SPROV017</x:v>
      </x:c>
      <x:c r="C658" s="30" t="str">
        <x:v>CA030</x:v>
      </x:c>
      <x:c r="D658" s="30" t="str">
        <x:v>Maintain complete documentation for specialty medicine receipt, preparation and dispensing.</x:v>
      </x:c>
      <x:c r="E658" s="30" t="str">
        <x:v>Ensure audit readiness.</x:v>
      </x:c>
      <x:c r="F658" s="30" t="str">
        <x:v>Optional</x:v>
      </x:c>
      <x:c r="G658" s="30" t="str">
        <x:v>Continuous</x:v>
      </x:c>
      <x:c r="H658" s="30"/>
      <x:c r="I658" s="30" t="str">
        <x:v>Documentation Officer</x:v>
      </x:c>
      <x:c r="J658" s="30" t="str">
        <x:v>Missing audit evidence.</x:v>
      </x:c>
      <x:c r="K658" s="30" t="str">
        <x:v>Medium</x:v>
      </x:c>
      <x:c r="L658" s="30" t="str">
        <x:v>SPECIALIZED</x:v>
      </x:c>
      <x:c r="M658" s="30" t="str">
        <x:v>Yes</x:v>
      </x:c>
      <x:c r="N658" s="30" t="str">
        <x:v>P-4 entity-specific internal control; no independent statutory force. Activate the exact underlying legal requirement separately.</x:v>
      </x:c>
    </x:row>
    <x:row r="659">
      <x:c r="A659" s="30" t="str">
        <x:v>SCOMP018</x:v>
      </x:c>
      <x:c r="B659" s="30" t="str">
        <x:v>SPROV018</x:v>
      </x:c>
      <x:c r="C659" s="30" t="str">
        <x:v>CA030</x:v>
      </x:c>
      <x:c r="D659" s="30" t="str">
        <x:v>Provide documented counselling to patients receiving specialty medicines.</x:v>
      </x:c>
      <x:c r="E659" s="30" t="str">
        <x:v>Improve adherence and patient safety.</x:v>
      </x:c>
      <x:c r="F659" s="30" t="str">
        <x:v>Optional</x:v>
      </x:c>
      <x:c r="G659" s="30" t="str">
        <x:v>Every Initial Dispensing</x:v>
      </x:c>
      <x:c r="H659" s="30"/>
      <x:c r="I659" s="30" t="str">
        <x:v>Clinical Pharmacist</x:v>
      </x:c>
      <x:c r="J659" s="30" t="str">
        <x:v>Poor treatment adherence.</x:v>
      </x:c>
      <x:c r="K659" s="30" t="str">
        <x:v>High</x:v>
      </x:c>
      <x:c r="L659" s="30" t="str">
        <x:v>SPECIALIZED</x:v>
      </x:c>
      <x:c r="M659" s="30" t="str">
        <x:v>Yes</x:v>
      </x:c>
      <x:c r="N659" s="30" t="str">
        <x:v>P-4 entity-specific internal control; no independent statutory force. Activate the exact underlying legal requirement separately.</x:v>
      </x:c>
    </x:row>
    <x:row r="660">
      <x:c r="A660" s="30" t="str">
        <x:v>SCOMP019</x:v>
      </x:c>
      <x:c r="B660" s="30" t="str">
        <x:v>SPROV019</x:v>
      </x:c>
      <x:c r="C660" s="30" t="str">
        <x:v>CA030</x:v>
      </x:c>
      <x:c r="D660" s="30" t="str">
        <x:v>Execute priority recall procedures for affected specialty medicines.</x:v>
      </x:c>
      <x:c r="E660" s="30" t="str">
        <x:v>Protect patients from recalled products.</x:v>
      </x:c>
      <x:c r="F660" s="30" t="str">
        <x:v>Optional</x:v>
      </x:c>
      <x:c r="G660" s="30" t="str">
        <x:v>As Required</x:v>
      </x:c>
      <x:c r="H660" s="30"/>
      <x:c r="I660" s="30" t="str">
        <x:v>Quality Assurance Manager</x:v>
      </x:c>
      <x:c r="J660" s="30" t="str">
        <x:v>Delayed recall response.</x:v>
      </x:c>
      <x:c r="K660" s="30" t="str">
        <x:v>High</x:v>
      </x:c>
      <x:c r="L660" s="30" t="str">
        <x:v>SPECIALIZED</x:v>
      </x:c>
      <x:c r="M660" s="30" t="str">
        <x:v>Yes</x:v>
      </x:c>
      <x:c r="N660" s="30" t="str">
        <x:v>P-4 entity-specific internal control; no independent statutory force. Activate the exact underlying legal requirement separately.</x:v>
      </x:c>
    </x:row>
    <x:row r="661">
      <x:c r="A661" s="30" t="str">
        <x:v>SCOMP020</x:v>
      </x:c>
      <x:c r="B661" s="30" t="str">
        <x:v>SPROV020</x:v>
      </x:c>
      <x:c r="C661" s="30" t="str">
        <x:v>CA063</x:v>
      </x:c>
      <x:c r="D661" s="30" t="str">
        <x:v>Conduct periodic quality assurance reviews covering specialty pharmacy operations.</x:v>
      </x:c>
      <x:c r="E661" s="30" t="str">
        <x:v>Maintain high-quality specialty pharmacy services.</x:v>
      </x:c>
      <x:c r="F661" s="30" t="str">
        <x:v>Optional</x:v>
      </x:c>
      <x:c r="G661" s="30" t="str">
        <x:v>Quarterly</x:v>
      </x:c>
      <x:c r="H661" s="30"/>
      <x:c r="I661" s="30" t="str">
        <x:v>Quality Assurance Manager</x:v>
      </x:c>
      <x:c r="J661" s="30" t="str">
        <x:v>Undetected quality deficiencies.</x:v>
      </x:c>
      <x:c r="K661" s="30" t="str">
        <x:v>High</x:v>
      </x:c>
      <x:c r="L661" s="30" t="str">
        <x:v>SPECIALIZED</x:v>
      </x:c>
      <x:c r="M661" s="30" t="str">
        <x:v>Yes</x:v>
      </x:c>
      <x:c r="N661" s="30" t="str">
        <x:v>P-4 entity-specific internal control; no independent statutory force. Activate the exact underlying legal requirement separately.</x:v>
      </x:c>
    </x:row>
    <x:row r="662">
      <x:c r="A662" s="30" t="str">
        <x:v>SCOMP021</x:v>
      </x:c>
      <x:c r="B662" s="30" t="str">
        <x:v>SPROV021</x:v>
      </x:c>
      <x:c r="C662" s="30" t="str">
        <x:v>CA009</x:v>
      </x:c>
      <x:c r="D662" s="30" t="str">
        <x:v>Obtain documented approval and maintain accountability for all compassionate-use medicines supplied to patients.</x:v>
      </x:c>
      <x:c r="E662" s="30" t="str">
        <x:v>Ensure regulatory and ethical governance of compassionate-use therapies.</x:v>
      </x:c>
      <x:c r="F662" s="30" t="str">
        <x:v>Optional</x:v>
      </x:c>
      <x:c r="G662" s="30" t="str">
        <x:v>Every Compassionate Use Case</x:v>
      </x:c>
      <x:c r="H662" s="30"/>
      <x:c r="I662" s="30" t="str">
        <x:v>Clinical Pharmacist / Medical Superintendent</x:v>
      </x:c>
      <x:c r="J662" s="30" t="str">
        <x:v>Unauthorized use of investigational or compassionate medicines.</x:v>
      </x:c>
      <x:c r="K662" s="30" t="str">
        <x:v>High</x:v>
      </x:c>
      <x:c r="L662" s="30" t="str">
        <x:v>SPECIALIZED</x:v>
      </x:c>
      <x:c r="M662" s="30" t="str">
        <x:v>Yes</x:v>
      </x:c>
      <x:c r="N662" s="30" t="str">
        <x:v>P-4 entity-specific internal control; no independent statutory force. Activate the exact underlying legal requirement separately.</x:v>
      </x:c>
    </x:row>
    <x:row r="663">
      <x:c r="A663" s="30" t="str">
        <x:v>SCOMP022</x:v>
      </x:c>
      <x:c r="B663" s="30" t="str">
        <x:v>SPROV022</x:v>
      </x:c>
      <x:c r="C663" s="30" t="str">
        <x:v>CA009</x:v>
      </x:c>
      <x:c r="D663" s="30" t="str">
        <x:v>Allocate scarce specialty medicines according to approved prioritization criteria during shortages.</x:v>
      </x:c>
      <x:c r="E663" s="30" t="str">
        <x:v>Ensure equitable and transparent medicine allocation.</x:v>
      </x:c>
      <x:c r="F663" s="30" t="str">
        <x:v>Optional</x:v>
      </x:c>
      <x:c r="G663" s="30" t="str">
        <x:v>During Medicine Shortages</x:v>
      </x:c>
      <x:c r="H663" s="30"/>
      <x:c r="I663" s="30" t="str">
        <x:v>Pharmacy Operations Manager</x:v>
      </x:c>
      <x:c r="J663" s="30" t="str">
        <x:v>Inequitable medicine distribution.</x:v>
      </x:c>
      <x:c r="K663" s="30" t="str">
        <x:v>High</x:v>
      </x:c>
      <x:c r="L663" s="30" t="str">
        <x:v>SPECIALIZED</x:v>
      </x:c>
      <x:c r="M663" s="30" t="str">
        <x:v>Yes</x:v>
      </x:c>
      <x:c r="N663" s="30" t="str">
        <x:v>P-4 entity-specific internal control; no independent statutory force. Activate the exact underlying legal requirement separately.</x:v>
      </x:c>
    </x:row>
    <x:row r="664">
      <x:c r="A664" s="30" t="str">
        <x:v>SCOMP023</x:v>
      </x:c>
      <x:c r="B664" s="30" t="str">
        <x:v>SPROV023</x:v>
      </x:c>
      <x:c r="C664" s="30" t="str">
        <x:v>CA044</x:v>
      </x:c>
      <x:c r="D664" s="30" t="str">
        <x:v>Document multidisciplinary clinical review before dispensing specialty therapies where required.</x:v>
      </x:c>
      <x:c r="E664" s="30" t="str">
        <x:v>Improve coordinated patient care.</x:v>
      </x:c>
      <x:c r="F664" s="30" t="str">
        <x:v>Optional</x:v>
      </x:c>
      <x:c r="G664" s="30" t="str">
        <x:v>Every Applicable Case</x:v>
      </x:c>
      <x:c r="H664" s="30"/>
      <x:c r="I664" s="30" t="str">
        <x:v>Clinical Pharmacy Lead</x:v>
      </x:c>
      <x:c r="J664" s="30" t="str">
        <x:v>Inappropriate treatment decisions.</x:v>
      </x:c>
      <x:c r="K664" s="30" t="str">
        <x:v>High</x:v>
      </x:c>
      <x:c r="L664" s="30" t="str">
        <x:v>SPECIALIZED</x:v>
      </x:c>
      <x:c r="M664" s="30" t="str">
        <x:v>Yes</x:v>
      </x:c>
      <x:c r="N664" s="30" t="str">
        <x:v>P-4 entity-specific internal control; no independent statutory force. Activate the exact underlying legal requirement separately.</x:v>
      </x:c>
    </x:row>
    <x:row r="665">
      <x:c r="A665" s="30" t="str">
        <x:v>SCOMP024</x:v>
      </x:c>
      <x:c r="B665" s="30" t="str">
        <x:v>SPROV024</x:v>
      </x:c>
      <x:c r="C665" s="30" t="str">
        <x:v>CA044</x:v>
      </x:c>
      <x:c r="D665" s="30" t="str">
        <x:v>Monitor and periodically review manufacturer-sponsored patient support programmes.</x:v>
      </x:c>
      <x:c r="E665" s="30" t="str">
        <x:v>Ensure programme transparency and compliance.</x:v>
      </x:c>
      <x:c r="F665" s="30" t="str">
        <x:v>Optional</x:v>
      </x:c>
      <x:c r="G665" s="30" t="str">
        <x:v>Quarterly</x:v>
      </x:c>
      <x:c r="H665" s="30"/>
      <x:c r="I665" s="30" t="str">
        <x:v>Patient Support Coordinator</x:v>
      </x:c>
      <x:c r="J665" s="30" t="str">
        <x:v>Conflict of interest or regulatory non-compliance.</x:v>
      </x:c>
      <x:c r="K665" s="30" t="str">
        <x:v>Medium</x:v>
      </x:c>
      <x:c r="L665" s="30" t="str">
        <x:v>SPECIALIZED</x:v>
      </x:c>
      <x:c r="M665" s="30" t="str">
        <x:v>Yes</x:v>
      </x:c>
      <x:c r="N665" s="30" t="str">
        <x:v>P-4 entity-specific internal control; no independent statutory force. Activate the exact underlying legal requirement separately.</x:v>
      </x:c>
    </x:row>
    <x:row r="666">
      <x:c r="A666" s="30" t="str">
        <x:v>SCOMP025</x:v>
      </x:c>
      <x:c r="B666" s="30" t="str">
        <x:v>SPROV025</x:v>
      </x:c>
      <x:c r="C666" s="30" t="str">
        <x:v>CA044</x:v>
      </x:c>
      <x:c r="D666" s="30" t="str">
        <x:v>Verify documented authorization before dispensing controlled-access specialty medicines.</x:v>
      </x:c>
      <x:c r="E666" s="30" t="str">
        <x:v>Prevent unauthorized access to restricted therapies.</x:v>
      </x:c>
      <x:c r="F666" s="30" t="str">
        <x:v>Optional</x:v>
      </x:c>
      <x:c r="G666" s="30" t="str">
        <x:v>Every Dispensing</x:v>
      </x:c>
      <x:c r="H666" s="30"/>
      <x:c r="I666" s="30" t="str">
        <x:v>Specialty Pharmacist</x:v>
      </x:c>
      <x:c r="J666" s="30" t="str">
        <x:v>Unauthorized dispensing.</x:v>
      </x:c>
      <x:c r="K666" s="30" t="str">
        <x:v>High</x:v>
      </x:c>
      <x:c r="L666" s="30" t="str">
        <x:v>SPECIALIZED</x:v>
      </x:c>
      <x:c r="M666" s="30" t="str">
        <x:v>Yes</x:v>
      </x:c>
      <x:c r="N666" s="30" t="str">
        <x:v>P-4 entity-specific internal control; no independent statutory force. Activate the exact underlying legal requirement separately.</x:v>
      </x:c>
    </x:row>
    <x:row r="667">
      <x:c r="A667" s="30" t="str">
        <x:v>SCOMP026</x:v>
      </x:c>
      <x:c r="B667" s="30" t="str">
        <x:v>SPROV026</x:v>
      </x:c>
      <x:c r="C667" s="30" t="str">
        <x:v>CA008</x:v>
      </x:c>
      <x:c r="D667" s="30" t="str">
        <x:v>Perform enhanced monitoring and inventory verification for high-value specialty medicines.</x:v>
      </x:c>
      <x:c r="E667" s="30" t="str">
        <x:v>Protect valuable inventory from diversion or loss.</x:v>
      </x:c>
      <x:c r="F667" s="30" t="str">
        <x:v>Optional</x:v>
      </x:c>
      <x:c r="G667" s="30" t="str">
        <x:v>Weekly / Monthly</x:v>
      </x:c>
      <x:c r="H667" s="30"/>
      <x:c r="I667" s="30" t="str">
        <x:v>Inventory Control Manager</x:v>
      </x:c>
      <x:c r="J667" s="30" t="str">
        <x:v>Financial loss and diversion.</x:v>
      </x:c>
      <x:c r="K667" s="30" t="str">
        <x:v>High</x:v>
      </x:c>
      <x:c r="L667" s="30" t="str">
        <x:v>SPECIALIZED</x:v>
      </x:c>
      <x:c r="M667" s="30" t="str">
        <x:v>Yes</x:v>
      </x:c>
      <x:c r="N667" s="30" t="str">
        <x:v>P-4 entity-specific internal control; no independent statutory force. Activate the exact underlying legal requirement separately.</x:v>
      </x:c>
    </x:row>
    <x:row r="668">
      <x:c r="A668" s="30" t="str">
        <x:v>SCOMP027</x:v>
      </x:c>
      <x:c r="B668" s="30" t="str">
        <x:v>SPROV027</x:v>
      </x:c>
      <x:c r="C668" s="30" t="str">
        <x:v>CA008</x:v>
      </x:c>
      <x:c r="D668" s="30" t="str">
        <x:v>Monitor specialty pharmacy compliance KPIs and report trends to management.</x:v>
      </x:c>
      <x:c r="E668" s="30" t="str">
        <x:v>Measure compliance performance and identify improvement opportunities.</x:v>
      </x:c>
      <x:c r="F668" s="30" t="str">
        <x:v>Optional</x:v>
      </x:c>
      <x:c r="G668" s="30" t="str">
        <x:v>Monthly</x:v>
      </x:c>
      <x:c r="H668" s="30"/>
      <x:c r="I668" s="30" t="str">
        <x:v>Compliance Manager</x:v>
      </x:c>
      <x:c r="J668" s="30" t="str">
        <x:v>Compliance deterioration remaining undetected.</x:v>
      </x:c>
      <x:c r="K668" s="30" t="str">
        <x:v>Medium</x:v>
      </x:c>
      <x:c r="L668" s="30" t="str">
        <x:v>SPECIALIZED</x:v>
      </x:c>
      <x:c r="M668" s="30" t="str">
        <x:v>Yes</x:v>
      </x:c>
      <x:c r="N668" s="30" t="str">
        <x:v>P-4 entity-specific internal control; no independent statutory force. Activate the exact underlying legal requirement separately.</x:v>
      </x:c>
    </x:row>
    <x:row r="669">
      <x:c r="A669" s="30" t="str">
        <x:v>SCOMP028</x:v>
      </x:c>
      <x:c r="B669" s="30" t="str">
        <x:v>SPROV028</x:v>
      </x:c>
      <x:c r="C669" s="30" t="str">
        <x:v>CA020</x:v>
      </x:c>
      <x:c r="D669" s="30" t="str">
        <x:v>Conduct executive governance reviews covering specialty pharmacy quality, regulatory compliance and operational risks.</x:v>
      </x:c>
      <x:c r="E669" s="30" t="str">
        <x:v>Strengthen executive oversight.</x:v>
      </x:c>
      <x:c r="F669" s="30" t="str">
        <x:v>Optional</x:v>
      </x:c>
      <x:c r="G669" s="30" t="str">
        <x:v>Quarterly</x:v>
      </x:c>
      <x:c r="H669" s="30"/>
      <x:c r="I669" s="30" t="str">
        <x:v>Executive Governance Committee</x:v>
      </x:c>
      <x:c r="J669" s="30" t="str">
        <x:v>Weak executive oversight.</x:v>
      </x:c>
      <x:c r="K669" s="30" t="str">
        <x:v>High</x:v>
      </x:c>
      <x:c r="L669" s="30" t="str">
        <x:v>SPECIALIZED</x:v>
      </x:c>
      <x:c r="M669" s="30" t="str">
        <x:v>Yes</x:v>
      </x:c>
      <x:c r="N669" s="30" t="str">
        <x:v>P-4 entity-specific internal control; no independent statutory force. Activate the exact underlying legal requirement separately.</x:v>
      </x:c>
    </x:row>
    <x:row r="670">
      <x:c r="A670" s="30" t="str">
        <x:v>SCOMP029</x:v>
      </x:c>
      <x:c r="B670" s="30" t="str">
        <x:v>SPROV029</x:v>
      </x:c>
      <x:c r="C670" s="30" t="str">
        <x:v>CA009</x:v>
      </x:c>
      <x:c r="D670" s="30" t="str">
        <x:v>Monitor corrective and preventive actions arising from audits, incidents and quality reviews until closure.</x:v>
      </x:c>
      <x:c r="E670" s="30" t="str">
        <x:v>Drive continual improvement.</x:v>
      </x:c>
      <x:c r="F670" s="30" t="str">
        <x:v>Optional</x:v>
      </x:c>
      <x:c r="G670" s="30" t="str">
        <x:v>Monthly</x:v>
      </x:c>
      <x:c r="H670" s="30"/>
      <x:c r="I670" s="30" t="str">
        <x:v>Quality Assurance Manager</x:v>
      </x:c>
      <x:c r="J670" s="30" t="str">
        <x:v>Repeat compliance failures.</x:v>
      </x:c>
      <x:c r="K670" s="30" t="str">
        <x:v>Medium</x:v>
      </x:c>
      <x:c r="L670" s="30" t="str">
        <x:v>SPECIALIZED</x:v>
      </x:c>
      <x:c r="M670" s="30" t="str">
        <x:v>Yes</x:v>
      </x:c>
      <x:c r="N670" s="30" t="str">
        <x:v>P-4 entity-specific internal control; no independent statutory force. Activate the exact underlying legal requirement separately.</x:v>
      </x:c>
    </x:row>
    <x:row r="671">
      <x:c r="A671" s="30" t="str">
        <x:v>SCOMP030</x:v>
      </x:c>
      <x:c r="B671" s="30" t="str">
        <x:v>SPROV030</x:v>
      </x:c>
      <x:c r="C671" s="30" t="str">
        <x:v>CA009</x:v>
      </x:c>
      <x:c r="D671" s="30" t="str">
        <x:v>Perform annual specialty pharmacy compliance maturity assessment and implement approved improvement plans.</x:v>
      </x:c>
      <x:c r="E671" s="30" t="str">
        <x:v>Improve long-term compliance capability.</x:v>
      </x:c>
      <x:c r="F671" s="30" t="str">
        <x:v>Optional</x:v>
      </x:c>
      <x:c r="G671" s="30" t="str">
        <x:v>Annual</x:v>
      </x:c>
      <x:c r="H671" s="30"/>
      <x:c r="I671" s="30" t="str">
        <x:v>Head of Specialty Pharmacy</x:v>
      </x:c>
      <x:c r="J671" s="30" t="str">
        <x:v>Compliance programme stagnation.</x:v>
      </x:c>
      <x:c r="K671" s="30" t="str">
        <x:v>Medium</x:v>
      </x:c>
      <x:c r="L671" s="30" t="str">
        <x:v>SPECIALIZED</x:v>
      </x:c>
      <x:c r="M671" s="30" t="str">
        <x:v>Yes</x:v>
      </x:c>
      <x:c r="N671" s="30" t="str">
        <x:v>P-4 entity-specific internal control; no independent statutory force. Activate the exact underlying legal requirement separately.</x:v>
      </x:c>
    </x:row>
    <x:row r="672">
      <x:c r="A672" s="30" t="str">
        <x:v>HOMCOMP001</x:v>
      </x:c>
      <x:c r="B672" s="30" t="str">
        <x:v>HOMPROV001</x:v>
      </x:c>
      <x:c r="C672" s="30" t="str">
        <x:v>CA009</x:v>
      </x:c>
      <x:c r="D672" s="30" t="str">
        <x:v>Verify classification of all homeopathic medicines according to approved pharmacopoeial categories before storage and dispensing.</x:v>
      </x:c>
      <x:c r="E672" s="30" t="str">
        <x:v>Ensure accurate identification and regulatory compliance.</x:v>
      </x:c>
      <x:c r="F672" s="30" t="str">
        <x:v>Optional</x:v>
      </x:c>
      <x:c r="G672" s="30" t="str">
        <x:v>Upon Receipt / Annual Review</x:v>
      </x:c>
      <x:c r="H672" s="30"/>
      <x:c r="I672" s="30" t="str">
        <x:v>Homeopathic Pharmacist</x:v>
      </x:c>
      <x:c r="J672" s="30" t="str">
        <x:v>Misclassification leading to dispensing errors.</x:v>
      </x:c>
      <x:c r="K672" s="30" t="str">
        <x:v>High</x:v>
      </x:c>
      <x:c r="L672" s="30" t="str">
        <x:v>HOMEOPATHIC</x:v>
      </x:c>
      <x:c r="M672" s="30" t="str">
        <x:v>Yes</x:v>
      </x:c>
      <x:c r="N672" s="30" t="str">
        <x:v>P-4 entity-specific internal control; no independent statutory force. Activate the exact underlying legal requirement separately.</x:v>
      </x:c>
    </x:row>
    <x:row r="673">
      <x:c r="A673" s="30" t="str">
        <x:v>HOMCOMP002</x:v>
      </x:c>
      <x:c r="B673" s="30" t="str">
        <x:v>HOMPROV002</x:v>
      </x:c>
      <x:c r="C673" s="30" t="str">
        <x:v>CA020</x:v>
      </x:c>
      <x:c r="D673" s="30" t="str">
        <x:v>Store mother tinctures under prescribed environmental conditions with documented inventory controls.</x:v>
      </x:c>
      <x:c r="E673" s="30" t="str">
        <x:v>Preserve quality and stability of mother tinctures.</x:v>
      </x:c>
      <x:c r="F673" s="30" t="str">
        <x:v>Optional</x:v>
      </x:c>
      <x:c r="G673" s="30" t="str">
        <x:v>Daily Monitoring</x:v>
      </x:c>
      <x:c r="H673" s="30"/>
      <x:c r="I673" s="30" t="str">
        <x:v>Store In-Charge</x:v>
      </x:c>
      <x:c r="J673" s="30" t="str">
        <x:v>Product degradation.</x:v>
      </x:c>
      <x:c r="K673" s="30" t="str">
        <x:v>High</x:v>
      </x:c>
      <x:c r="L673" s="30" t="str">
        <x:v>HOMEOPATHIC</x:v>
      </x:c>
      <x:c r="M673" s="30" t="str">
        <x:v>Yes</x:v>
      </x:c>
      <x:c r="N673" s="30" t="str">
        <x:v>P-4 entity-specific internal control; no independent statutory force. Activate the exact underlying legal requirement separately.</x:v>
      </x:c>
    </x:row>
    <x:row r="674">
      <x:c r="A674" s="30" t="str">
        <x:v>HOMCOMP003</x:v>
      </x:c>
      <x:c r="B674" s="30" t="str">
        <x:v>HOMPROV003</x:v>
      </x:c>
      <x:c r="C674" s="30" t="str">
        <x:v>CA009</x:v>
      </x:c>
      <x:c r="D674" s="30" t="str">
        <x:v>Clearly identify and segregate medicines of different potencies throughout storage and dispensing.</x:v>
      </x:c>
      <x:c r="E674" s="30" t="str">
        <x:v>Prevent incorrect potency dispensing.</x:v>
      </x:c>
      <x:c r="F674" s="30" t="str">
        <x:v>Optional</x:v>
      </x:c>
      <x:c r="G674" s="30" t="str">
        <x:v>Continuous</x:v>
      </x:c>
      <x:c r="H674" s="30"/>
      <x:c r="I674" s="30" t="str">
        <x:v>Dispensing Pharmacist</x:v>
      </x:c>
      <x:c r="J674" s="30" t="str">
        <x:v>Patient receives incorrect potency.</x:v>
      </x:c>
      <x:c r="K674" s="30" t="str">
        <x:v>High</x:v>
      </x:c>
      <x:c r="L674" s="30" t="str">
        <x:v>HOMEOPATHIC</x:v>
      </x:c>
      <x:c r="M674" s="30" t="str">
        <x:v>Yes</x:v>
      </x:c>
      <x:c r="N674" s="30" t="str">
        <x:v>P-4 entity-specific internal control; no independent statutory force. Activate the exact underlying legal requirement separately.</x:v>
      </x:c>
    </x:row>
    <x:row r="675">
      <x:c r="A675" s="30" t="str">
        <x:v>HOMCOMP004</x:v>
      </x:c>
      <x:c r="B675" s="30" t="str">
        <x:v>HOMPROV004</x:v>
      </x:c>
      <x:c r="C675" s="30" t="str">
        <x:v>CA009</x:v>
      </x:c>
      <x:c r="D675" s="30" t="str">
        <x:v>Prepare homeopathic dilutions only through approved documented procedures with full traceability.</x:v>
      </x:c>
      <x:c r="E675" s="30" t="str">
        <x:v>Ensure preparation consistency and quality.</x:v>
      </x:c>
      <x:c r="F675" s="30" t="str">
        <x:v>Optional</x:v>
      </x:c>
      <x:c r="G675" s="30" t="str">
        <x:v>Every Preparation</x:v>
      </x:c>
      <x:c r="H675" s="30"/>
      <x:c r="I675" s="30" t="str">
        <x:v>Homeopathic Compounding Pharmacist</x:v>
      </x:c>
      <x:c r="J675" s="30" t="str">
        <x:v>Preparation errors affecting medicine quality.</x:v>
      </x:c>
      <x:c r="K675" s="30" t="str">
        <x:v>High</x:v>
      </x:c>
      <x:c r="L675" s="30" t="str">
        <x:v>HOMEOPATHIC</x:v>
      </x:c>
      <x:c r="M675" s="30" t="str">
        <x:v>Yes</x:v>
      </x:c>
      <x:c r="N675" s="30" t="str">
        <x:v>P-4 entity-specific internal control; no independent statutory force. Activate the exact underlying legal requirement separately.</x:v>
      </x:c>
    </x:row>
    <x:row r="676">
      <x:c r="A676" s="30" t="str">
        <x:v>HOMCOMP005</x:v>
      </x:c>
      <x:c r="B676" s="30" t="str">
        <x:v>HOMPROV005</x:v>
      </x:c>
      <x:c r="C676" s="30" t="str">
        <x:v>CA009</x:v>
      </x:c>
      <x:c r="D676" s="30" t="str">
        <x:v>Maintain complete dispensing traceability including medicine, potency, batch and patient details.</x:v>
      </x:c>
      <x:c r="E676" s="30" t="str">
        <x:v>Support patient safety and recall management.</x:v>
      </x:c>
      <x:c r="F676" s="30" t="str">
        <x:v>Optional</x:v>
      </x:c>
      <x:c r="G676" s="30" t="str">
        <x:v>Every Dispensing</x:v>
      </x:c>
      <x:c r="H676" s="30"/>
      <x:c r="I676" s="30" t="str">
        <x:v>Dispensing Pharmacist</x:v>
      </x:c>
      <x:c r="J676" s="30" t="str">
        <x:v>Inability to trace dispensed medicines.</x:v>
      </x:c>
      <x:c r="K676" s="30" t="str">
        <x:v>High</x:v>
      </x:c>
      <x:c r="L676" s="30" t="str">
        <x:v>HOMEOPATHIC</x:v>
      </x:c>
      <x:c r="M676" s="30" t="str">
        <x:v>Yes</x:v>
      </x:c>
      <x:c r="N676" s="30" t="str">
        <x:v>P-4 entity-specific internal control; no independent statutory force. Activate the exact underlying legal requirement separately.</x:v>
      </x:c>
    </x:row>
    <x:row r="677">
      <x:c r="A677" s="30" t="str">
        <x:v>HOMCOMP006</x:v>
      </x:c>
      <x:c r="B677" s="30" t="str">
        <x:v>HOMPROV006</x:v>
      </x:c>
      <x:c r="C677" s="30" t="str">
        <x:v>CA083</x:v>
      </x:c>
      <x:c r="D677" s="30" t="str">
        <x:v>Verify medicine labels for product name, potency, batch number and usage instructions before dispensing.</x:v>
      </x:c>
      <x:c r="E677" s="30" t="str">
        <x:v>Prevent dispensing errors.</x:v>
      </x:c>
      <x:c r="F677" s="30" t="str">
        <x:v>Optional</x:v>
      </x:c>
      <x:c r="G677" s="30" t="str">
        <x:v>Every Dispensing</x:v>
      </x:c>
      <x:c r="H677" s="30"/>
      <x:c r="I677" s="30" t="str">
        <x:v>Dispensing Pharmacist</x:v>
      </x:c>
      <x:c r="J677" s="30" t="str">
        <x:v>Incorrect labeling.</x:v>
      </x:c>
      <x:c r="K677" s="30" t="str">
        <x:v>High</x:v>
      </x:c>
      <x:c r="L677" s="30" t="str">
        <x:v>HOMEOPATHIC</x:v>
      </x:c>
      <x:c r="M677" s="30" t="str">
        <x:v>Yes</x:v>
      </x:c>
      <x:c r="N677" s="30" t="str">
        <x:v>P-4 entity-specific internal control; no independent statutory force. Activate the exact underlying legal requirement separately.</x:v>
      </x:c>
    </x:row>
    <x:row r="678">
      <x:c r="A678" s="30" t="str">
        <x:v>HOMCOMP007</x:v>
      </x:c>
      <x:c r="B678" s="30" t="str">
        <x:v>HOMPROV007</x:v>
      </x:c>
      <x:c r="C678" s="30" t="str">
        <x:v>CA072</x:v>
      </x:c>
      <x:c r="D678" s="30" t="str">
        <x:v>Rotate homeopathic stock using approved inventory management principles.</x:v>
      </x:c>
      <x:c r="E678" s="30" t="str">
        <x:v>Reduce expiry losses and maintain stock quality.</x:v>
      </x:c>
      <x:c r="F678" s="30" t="str">
        <x:v>Optional</x:v>
      </x:c>
      <x:c r="G678" s="30" t="str">
        <x:v>Monthly</x:v>
      </x:c>
      <x:c r="H678" s="30"/>
      <x:c r="I678" s="30" t="str">
        <x:v>Inventory Pharmacist</x:v>
      </x:c>
      <x:c r="J678" s="30" t="str">
        <x:v>Product expiry and wastage.</x:v>
      </x:c>
      <x:c r="K678" s="30" t="str">
        <x:v>Medium</x:v>
      </x:c>
      <x:c r="L678" s="30" t="str">
        <x:v>HOMEOPATHIC</x:v>
      </x:c>
      <x:c r="M678" s="30" t="str">
        <x:v>Yes</x:v>
      </x:c>
      <x:c r="N678" s="30" t="str">
        <x:v>P-4 entity-specific internal control; no independent statutory force. Activate the exact underlying legal requirement separately.</x:v>
      </x:c>
    </x:row>
    <x:row r="679">
      <x:c r="A679" s="30" t="str">
        <x:v>HOMCOMP008</x:v>
      </x:c>
      <x:c r="B679" s="30" t="str">
        <x:v>HOMPROV008</x:v>
      </x:c>
      <x:c r="C679" s="30" t="str">
        <x:v>CA072</x:v>
      </x:c>
      <x:c r="D679" s="30" t="str">
        <x:v>Review expiry status of homeopathic medicines and implement corrective actions where required.</x:v>
      </x:c>
      <x:c r="E679" s="30" t="str">
        <x:v>Prevent dispensing of expired medicines.</x:v>
      </x:c>
      <x:c r="F679" s="30" t="str">
        <x:v>Optional</x:v>
      </x:c>
      <x:c r="G679" s="30" t="str">
        <x:v>Monthly</x:v>
      </x:c>
      <x:c r="H679" s="30"/>
      <x:c r="I679" s="30" t="str">
        <x:v>Inventory Pharmacist</x:v>
      </x:c>
      <x:c r="J679" s="30" t="str">
        <x:v>Patient safety risk.</x:v>
      </x:c>
      <x:c r="K679" s="30" t="str">
        <x:v>High</x:v>
      </x:c>
      <x:c r="L679" s="30" t="str">
        <x:v>HOMEOPATHIC</x:v>
      </x:c>
      <x:c r="M679" s="30" t="str">
        <x:v>Yes</x:v>
      </x:c>
      <x:c r="N679" s="30" t="str">
        <x:v>P-4 entity-specific internal control; no independent statutory force. Activate the exact underlying legal requirement separately.</x:v>
      </x:c>
    </x:row>
    <x:row r="680">
      <x:c r="A680" s="30" t="str">
        <x:v>HOMCOMP009</x:v>
      </x:c>
      <x:c r="B680" s="30" t="str">
        <x:v>HOMPROV009</x:v>
      </x:c>
      <x:c r="C680" s="30" t="str">
        <x:v>CA072</x:v>
      </x:c>
      <x:c r="D680" s="30" t="str">
        <x:v>Prevent cross-contamination during storage, preparation and dispensing of homeopathic medicines.</x:v>
      </x:c>
      <x:c r="E680" s="30" t="str">
        <x:v>Maintain medicine purity and quality.</x:v>
      </x:c>
      <x:c r="F680" s="30" t="str">
        <x:v>Optional</x:v>
      </x:c>
      <x:c r="G680" s="30" t="str">
        <x:v>Continuous</x:v>
      </x:c>
      <x:c r="H680" s="30"/>
      <x:c r="I680" s="30" t="str">
        <x:v>Quality Pharmacist</x:v>
      </x:c>
      <x:c r="J680" s="30" t="str">
        <x:v>Product contamination.</x:v>
      </x:c>
      <x:c r="K680" s="30" t="str">
        <x:v>High</x:v>
      </x:c>
      <x:c r="L680" s="30" t="str">
        <x:v>HOMEOPATHIC</x:v>
      </x:c>
      <x:c r="M680" s="30" t="str">
        <x:v>Yes</x:v>
      </x:c>
      <x:c r="N680" s="30" t="str">
        <x:v>P-4 entity-specific internal control; no independent statutory force. Activate the exact underlying legal requirement separately.</x:v>
      </x:c>
    </x:row>
    <x:row r="681">
      <x:c r="A681" s="30" t="str">
        <x:v>HOMCOMP010</x:v>
      </x:c>
      <x:c r="B681" s="30" t="str">
        <x:v>HOMPROV010</x:v>
      </x:c>
      <x:c r="C681" s="30" t="str">
        <x:v>CA072</x:v>
      </x:c>
      <x:c r="D681" s="30" t="str">
        <x:v>Monitor storage temperature, humidity and cleanliness within approved limits.</x:v>
      </x:c>
      <x:c r="E681" s="30" t="str">
        <x:v>Preserve medicine quality.</x:v>
      </x:c>
      <x:c r="F681" s="30" t="str">
        <x:v>Optional</x:v>
      </x:c>
      <x:c r="G681" s="30" t="str">
        <x:v>Daily</x:v>
      </x:c>
      <x:c r="H681" s="30"/>
      <x:c r="I681" s="30" t="str">
        <x:v>Store In-Charge</x:v>
      </x:c>
      <x:c r="J681" s="30" t="str">
        <x:v>Storage condition failures.</x:v>
      </x:c>
      <x:c r="K681" s="30" t="str">
        <x:v>Medium</x:v>
      </x:c>
      <x:c r="L681" s="30" t="str">
        <x:v>HOMEOPATHIC</x:v>
      </x:c>
      <x:c r="M681" s="30" t="str">
        <x:v>Yes</x:v>
      </x:c>
      <x:c r="N681" s="30" t="str">
        <x:v>P-4 entity-specific internal control; no independent statutory force. Activate the exact underlying legal requirement separately.</x:v>
      </x:c>
    </x:row>
    <x:row r="682">
      <x:c r="A682" s="30" t="str">
        <x:v>HOMCOMP011</x:v>
      </x:c>
      <x:c r="B682" s="30" t="str">
        <x:v>HOMPROV011</x:v>
      </x:c>
      <x:c r="C682" s="30" t="str">
        <x:v>CA071</x:v>
      </x:c>
      <x:c r="D682" s="30" t="str">
        <x:v>Maintain complete batch traceability for all homeopathic medicines throughout receipt, storage and dispensing.</x:v>
      </x:c>
      <x:c r="E682" s="30" t="str">
        <x:v>Support recalls and regulatory inspections.</x:v>
      </x:c>
      <x:c r="F682" s="30" t="str">
        <x:v>Optional</x:v>
      </x:c>
      <x:c r="G682" s="30" t="str">
        <x:v>Continuous</x:v>
      </x:c>
      <x:c r="H682" s="30"/>
      <x:c r="I682" s="30" t="str">
        <x:v>Inventory Pharmacist</x:v>
      </x:c>
      <x:c r="J682" s="30" t="str">
        <x:v>Inability to execute recalls.</x:v>
      </x:c>
      <x:c r="K682" s="30" t="str">
        <x:v>High</x:v>
      </x:c>
      <x:c r="L682" s="30" t="str">
        <x:v>HOMEOPATHIC</x:v>
      </x:c>
      <x:c r="M682" s="30" t="str">
        <x:v>Yes</x:v>
      </x:c>
      <x:c r="N682" s="30" t="str">
        <x:v>P-4 entity-specific internal control; no independent statutory force. Activate the exact underlying legal requirement separately.</x:v>
      </x:c>
    </x:row>
    <x:row r="683">
      <x:c r="A683" s="30" t="str">
        <x:v>HOMCOMP012</x:v>
      </x:c>
      <x:c r="B683" s="30" t="str">
        <x:v>HOMPROV012</x:v>
      </x:c>
      <x:c r="C683" s="30" t="str">
        <x:v>CA071</x:v>
      </x:c>
      <x:c r="D683" s="30" t="str">
        <x:v>Provide documented patient counselling covering dosage, administration and storage instructions.</x:v>
      </x:c>
      <x:c r="E683" s="30" t="str">
        <x:v>Improve treatment compliance and patient safety.</x:v>
      </x:c>
      <x:c r="F683" s="30" t="str">
        <x:v>Optional</x:v>
      </x:c>
      <x:c r="G683" s="30" t="str">
        <x:v>Every Initial Dispensing</x:v>
      </x:c>
      <x:c r="H683" s="30"/>
      <x:c r="I683" s="30" t="str">
        <x:v>Homeopathic Pharmacist</x:v>
      </x:c>
      <x:c r="J683" s="30" t="str">
        <x:v>Improper medicine usage.</x:v>
      </x:c>
      <x:c r="K683" s="30" t="str">
        <x:v>Medium</x:v>
      </x:c>
      <x:c r="L683" s="30" t="str">
        <x:v>HOMEOPATHIC</x:v>
      </x:c>
      <x:c r="M683" s="30" t="str">
        <x:v>Yes</x:v>
      </x:c>
      <x:c r="N683" s="30" t="str">
        <x:v>P-4 entity-specific internal control; no independent statutory force. Activate the exact underlying legal requirement separately.</x:v>
      </x:c>
    </x:row>
    <x:row r="684">
      <x:c r="A684" s="30" t="str">
        <x:v>HOMCOMP013</x:v>
      </x:c>
      <x:c r="B684" s="30" t="str">
        <x:v>HOMPROV013</x:v>
      </x:c>
      <x:c r="C684" s="30" t="str">
        <x:v>CA071</x:v>
      </x:c>
      <x:c r="D684" s="30" t="str">
        <x:v>Maintain complete and retrievable dispensing documentation for regulatory inspection and audit.</x:v>
      </x:c>
      <x:c r="E684" s="30" t="str">
        <x:v>Ensure audit readiness.</x:v>
      </x:c>
      <x:c r="F684" s="30" t="str">
        <x:v>Optional</x:v>
      </x:c>
      <x:c r="G684" s="30" t="str">
        <x:v>Continuous</x:v>
      </x:c>
      <x:c r="H684" s="30"/>
      <x:c r="I684" s="30" t="str">
        <x:v>Documentation Officer</x:v>
      </x:c>
      <x:c r="J684" s="30" t="str">
        <x:v>Missing regulatory evidence.</x:v>
      </x:c>
      <x:c r="K684" s="30" t="str">
        <x:v>Medium</x:v>
      </x:c>
      <x:c r="L684" s="30" t="str">
        <x:v>HOMEOPATHIC</x:v>
      </x:c>
      <x:c r="M684" s="30" t="str">
        <x:v>Yes</x:v>
      </x:c>
      <x:c r="N684" s="30" t="str">
        <x:v>P-4 entity-specific internal control; no independent statutory force. Activate the exact underlying legal requirement separately.</x:v>
      </x:c>
    </x:row>
    <x:row r="685">
      <x:c r="A685" s="30" t="str">
        <x:v>HOMCOMP014</x:v>
      </x:c>
      <x:c r="B685" s="30" t="str">
        <x:v>HOMPROV014</x:v>
      </x:c>
      <x:c r="C685" s="30" t="str">
        <x:v>CA071</x:v>
      </x:c>
      <x:c r="D685" s="30" t="str">
        <x:v>Investigate all product quality complaints through documented complaint handling procedures.</x:v>
      </x:c>
      <x:c r="E685" s="30" t="str">
        <x:v>Improve product quality management.</x:v>
      </x:c>
      <x:c r="F685" s="30" t="str">
        <x:v>Optional</x:v>
      </x:c>
      <x:c r="G685" s="30" t="str">
        <x:v>As Complaints Occur</x:v>
      </x:c>
      <x:c r="H685" s="30"/>
      <x:c r="I685" s="30" t="str">
        <x:v>Quality Assurance Pharmacist</x:v>
      </x:c>
      <x:c r="J685" s="30" t="str">
        <x:v>Repeated product quality issues.</x:v>
      </x:c>
      <x:c r="K685" s="30" t="str">
        <x:v>Medium</x:v>
      </x:c>
      <x:c r="L685" s="30" t="str">
        <x:v>HOMEOPATHIC</x:v>
      </x:c>
      <x:c r="M685" s="30" t="str">
        <x:v>Yes</x:v>
      </x:c>
      <x:c r="N685" s="30" t="str">
        <x:v>P-4 entity-specific internal control; no independent statutory force. Activate the exact underlying legal requirement separately.</x:v>
      </x:c>
    </x:row>
    <x:row r="686">
      <x:c r="A686" s="30" t="str">
        <x:v>HOMCOMP015</x:v>
      </x:c>
      <x:c r="B686" s="30" t="str">
        <x:v>HOMPROV015</x:v>
      </x:c>
      <x:c r="C686" s="30" t="str">
        <x:v>CA071</x:v>
      </x:c>
      <x:c r="D686" s="30" t="str">
        <x:v>Execute product recalls promptly with documented communication and effectiveness verification.</x:v>
      </x:c>
      <x:c r="E686" s="30" t="str">
        <x:v>Protect patients from defective products.</x:v>
      </x:c>
      <x:c r="F686" s="30" t="str">
        <x:v>Optional</x:v>
      </x:c>
      <x:c r="G686" s="30" t="str">
        <x:v>As Required</x:v>
      </x:c>
      <x:c r="H686" s="30"/>
      <x:c r="I686" s="30" t="str">
        <x:v>Quality Assurance Manager</x:v>
      </x:c>
      <x:c r="J686" s="30" t="str">
        <x:v>Delayed recall response.</x:v>
      </x:c>
      <x:c r="K686" s="30" t="str">
        <x:v>High</x:v>
      </x:c>
      <x:c r="L686" s="30" t="str">
        <x:v>HOMEOPATHIC</x:v>
      </x:c>
      <x:c r="M686" s="30" t="str">
        <x:v>Yes</x:v>
      </x:c>
      <x:c r="N686" s="30" t="str">
        <x:v>P-4 entity-specific internal control; no independent statutory force. Activate the exact underlying legal requirement separately.</x:v>
      </x:c>
    </x:row>
    <x:row r="687">
      <x:c r="A687" s="30" t="str">
        <x:v>HOMCOMP016</x:v>
      </x:c>
      <x:c r="B687" s="30" t="str">
        <x:v>HOMPROV016</x:v>
      </x:c>
      <x:c r="C687" s="30" t="str">
        <x:v>CA071</x:v>
      </x:c>
      <x:c r="D687" s="30" t="str">
        <x:v>Qualify and periodically evaluate suppliers of homeopathic medicines.</x:v>
      </x:c>
      <x:c r="E687" s="30" t="str">
        <x:v>Ensure supplier quality and regulatory compliance.</x:v>
      </x:c>
      <x:c r="F687" s="30" t="str">
        <x:v>Optional</x:v>
      </x:c>
      <x:c r="G687" s="30" t="str">
        <x:v>Annual</x:v>
      </x:c>
      <x:c r="H687" s="30"/>
      <x:c r="I687" s="30" t="str">
        <x:v>Procurement Manager</x:v>
      </x:c>
      <x:c r="J687" s="30" t="str">
        <x:v>Procurement from unreliable suppliers.</x:v>
      </x:c>
      <x:c r="K687" s="30" t="str">
        <x:v>Medium</x:v>
      </x:c>
      <x:c r="L687" s="30" t="str">
        <x:v>HOMEOPATHIC</x:v>
      </x:c>
      <x:c r="M687" s="30" t="str">
        <x:v>Yes</x:v>
      </x:c>
      <x:c r="N687" s="30" t="str">
        <x:v>P-4 entity-specific internal control; no independent statutory force. Activate the exact underlying legal requirement separately.</x:v>
      </x:c>
    </x:row>
    <x:row r="688">
      <x:c r="A688" s="30" t="str">
        <x:v>HOMCOMP017</x:v>
      </x:c>
      <x:c r="B688" s="30" t="str">
        <x:v>HOMPROV017</x:v>
      </x:c>
      <x:c r="C688" s="30" t="str">
        <x:v>CA077</x:v>
      </x:c>
      <x:c r="D688" s="30" t="str">
        <x:v>Maintain competency assessments and continuing education records for homeopathic pharmacy personnel.</x:v>
      </x:c>
      <x:c r="E688" s="30" t="str">
        <x:v>Ensure professional competence.</x:v>
      </x:c>
      <x:c r="F688" s="30" t="str">
        <x:v>Optional</x:v>
      </x:c>
      <x:c r="G688" s="30" t="str">
        <x:v>Annual</x:v>
      </x:c>
      <x:c r="H688" s="30"/>
      <x:c r="I688" s="30" t="str">
        <x:v>Pharmacy Manager</x:v>
      </x:c>
      <x:c r="J688" s="30" t="str">
        <x:v>Inadequately trained staff.</x:v>
      </x:c>
      <x:c r="K688" s="30" t="str">
        <x:v>Medium</x:v>
      </x:c>
      <x:c r="L688" s="30" t="str">
        <x:v>HOMEOPATHIC</x:v>
      </x:c>
      <x:c r="M688" s="30" t="str">
        <x:v>Yes</x:v>
      </x:c>
      <x:c r="N688" s="30" t="str">
        <x:v>P-4 entity-specific internal control; no independent statutory force. Activate the exact underlying legal requirement separately.</x:v>
      </x:c>
    </x:row>
    <x:row r="689">
      <x:c r="A689" s="30" t="str">
        <x:v>HOMCOMP018</x:v>
      </x:c>
      <x:c r="B689" s="30" t="str">
        <x:v>HOMPROV018</x:v>
      </x:c>
      <x:c r="C689" s="30" t="str">
        <x:v>CA019</x:v>
      </x:c>
      <x:c r="D689" s="30" t="str">
        <x:v>Conduct periodic quality assurance reviews covering homeopathic storage, preparation and dispensing activities.</x:v>
      </x:c>
      <x:c r="E689" s="30" t="str">
        <x:v>Maintain operational quality standards.</x:v>
      </x:c>
      <x:c r="F689" s="30" t="str">
        <x:v>Optional</x:v>
      </x:c>
      <x:c r="G689" s="30" t="str">
        <x:v>Quarterly</x:v>
      </x:c>
      <x:c r="H689" s="30"/>
      <x:c r="I689" s="30" t="str">
        <x:v>Quality Assurance Manager</x:v>
      </x:c>
      <x:c r="J689" s="30" t="str">
        <x:v>Undetected quality deficiencies.</x:v>
      </x:c>
      <x:c r="K689" s="30" t="str">
        <x:v>High</x:v>
      </x:c>
      <x:c r="L689" s="30" t="str">
        <x:v>HOMEOPATHIC</x:v>
      </x:c>
      <x:c r="M689" s="30" t="str">
        <x:v>Yes</x:v>
      </x:c>
      <x:c r="N689" s="30" t="str">
        <x:v>P-4 entity-specific internal control; no independent statutory force. Activate the exact underlying legal requirement separately.</x:v>
      </x:c>
    </x:row>
    <x:row r="690">
      <x:c r="A690" s="30" t="str">
        <x:v>HOMCOMP019</x:v>
      </x:c>
      <x:c r="B690" s="30" t="str">
        <x:v>HOMPROV019</x:v>
      </x:c>
      <x:c r="C690" s="30" t="str">
        <x:v>CA096</x:v>
      </x:c>
      <x:c r="D690" s="30" t="str">
        <x:v>Perform periodic regulatory compliance reviews and monitor corrective actions to closure.</x:v>
      </x:c>
      <x:c r="E690" s="30" t="str">
        <x:v>Maintain ongoing regulatory compliance.</x:v>
      </x:c>
      <x:c r="F690" s="30" t="str">
        <x:v>Optional</x:v>
      </x:c>
      <x:c r="G690" s="30" t="str">
        <x:v>Quarterly</x:v>
      </x:c>
      <x:c r="H690" s="30"/>
      <x:c r="I690" s="30" t="str">
        <x:v>Compliance Officer</x:v>
      </x:c>
      <x:c r="J690" s="30" t="str">
        <x:v>Regulatory non-compliance.</x:v>
      </x:c>
      <x:c r="K690" s="30" t="str">
        <x:v>Medium</x:v>
      </x:c>
      <x:c r="L690" s="30" t="str">
        <x:v>HOMEOPATHIC</x:v>
      </x:c>
      <x:c r="M690" s="30" t="str">
        <x:v>Yes</x:v>
      </x:c>
      <x:c r="N690" s="30" t="str">
        <x:v>P-4 entity-specific internal control; no independent statutory force. Activate the exact underlying legal requirement separately.</x:v>
      </x:c>
    </x:row>
    <x:row r="691">
      <x:c r="A691" s="30" t="str">
        <x:v>HOMCOMP020</x:v>
      </x:c>
      <x:c r="B691" s="30" t="str">
        <x:v>HOMPROV020</x:v>
      </x:c>
      <x:c r="C691" s="30" t="str">
        <x:v>CA097</x:v>
      </x:c>
      <x:c r="D691" s="30" t="str">
        <x:v>Conduct annual governance and compliance maturity assessments with documented improvement plans.</x:v>
      </x:c>
      <x:c r="E691" s="30" t="str">
        <x:v>Strengthen governance and continuous improvement.</x:v>
      </x:c>
      <x:c r="F691" s="30" t="str">
        <x:v>Optional</x:v>
      </x:c>
      <x:c r="G691" s="30" t="str">
        <x:v>Annual</x:v>
      </x:c>
      <x:c r="H691" s="30"/>
      <x:c r="I691" s="30" t="str">
        <x:v>Head of Homeopathic Pharmacy</x:v>
      </x:c>
      <x:c r="J691" s="30" t="str">
        <x:v>Weak governance oversight.</x:v>
      </x:c>
      <x:c r="K691" s="30" t="str">
        <x:v>Medium</x:v>
      </x:c>
      <x:c r="L691" s="30" t="str">
        <x:v>HOMEOPATHIC</x:v>
      </x:c>
      <x:c r="M691" s="30" t="str">
        <x:v>Yes</x:v>
      </x:c>
      <x:c r="N691" s="30" t="str">
        <x:v>P-4 entity-specific internal control; no independent statutory force. Activate the exact underlying legal requirement separately.</x:v>
      </x:c>
    </x:row>
    <x:row r="692">
      <x:c r="A692" s="30" t="str">
        <x:v>ACOMP001</x:v>
      </x:c>
      <x:c r="B692" s="30" t="str">
        <x:v>APROV001</x:v>
      </x:c>
      <x:c r="C692" s="30" t="str">
        <x:v>CA098</x:v>
      </x:c>
      <x:c r="D692" s="30" t="str">
        <x:v>Verify classification of all AYUSH medicines according to the applicable AYUSH system before storage and dispensing.</x:v>
      </x:c>
      <x:c r="E692" s="30" t="str">
        <x:v>Ensure accurate regulatory classification and prevent dispensing errors.</x:v>
      </x:c>
      <x:c r="F692" s="30" t="str">
        <x:v>Optional</x:v>
      </x:c>
      <x:c r="G692" s="30" t="str">
        <x:v>Upon Receipt / Annual Review</x:v>
      </x:c>
      <x:c r="H692" s="30"/>
      <x:c r="I692" s="30" t="str">
        <x:v>AYUSH Pharmacist</x:v>
      </x:c>
      <x:c r="J692" s="30" t="str">
        <x:v>Incorrect classification leading to inappropriate storage or dispensing.</x:v>
      </x:c>
      <x:c r="K692" s="30" t="str">
        <x:v>High</x:v>
      </x:c>
      <x:c r="L692" s="30" t="str">
        <x:v>AYUSH</x:v>
      </x:c>
      <x:c r="M692" s="30" t="str">
        <x:v>Yes</x:v>
      </x:c>
      <x:c r="N692" s="30" t="str">
        <x:v>P-4 entity-specific internal control; no independent statutory force. Activate the exact underlying legal requirement separately.</x:v>
      </x:c>
    </x:row>
    <x:row r="693">
      <x:c r="A693" s="30" t="str">
        <x:v>ACOMP002</x:v>
      </x:c>
      <x:c r="B693" s="30" t="str">
        <x:v>APROV002</x:v>
      </x:c>
      <x:c r="C693" s="30" t="str">
        <x:v>CA083</x:v>
      </x:c>
      <x:c r="D693" s="30" t="str">
        <x:v>Procure AYUSH medicines only from licensed manufacturers and authorized distributors after documented verification.</x:v>
      </x:c>
      <x:c r="E693" s="30" t="str">
        <x:v>Ensure authenticity and regulatory compliance of procured medicines.</x:v>
      </x:c>
      <x:c r="F693" s="30" t="str">
        <x:v>Optional</x:v>
      </x:c>
      <x:c r="G693" s="30" t="str">
        <x:v>Every Procurement / Annual Review</x:v>
      </x:c>
      <x:c r="H693" s="30"/>
      <x:c r="I693" s="30" t="str">
        <x:v>Procurement Manager</x:v>
      </x:c>
      <x:c r="J693" s="30" t="str">
        <x:v>Procurement of counterfeit or unauthorized medicines.</x:v>
      </x:c>
      <x:c r="K693" s="30" t="str">
        <x:v>High</x:v>
      </x:c>
      <x:c r="L693" s="30" t="str">
        <x:v>AYUSH</x:v>
      </x:c>
      <x:c r="M693" s="30" t="str">
        <x:v>Yes</x:v>
      </x:c>
      <x:c r="N693" s="30" t="str">
        <x:v>P-4 entity-specific internal control; no independent statutory force. Activate the exact underlying legal requirement separately.</x:v>
      </x:c>
    </x:row>
    <x:row r="694">
      <x:c r="A694" s="30" t="str">
        <x:v>ACOMP003</x:v>
      </x:c>
      <x:c r="B694" s="30" t="str">
        <x:v>APROV003</x:v>
      </x:c>
      <x:c r="C694" s="30" t="str">
        <x:v>CA099</x:v>
      </x:c>
      <x:c r="D694" s="30" t="str">
        <x:v>Maintain complete traceability of herbal, mineral and natural-origin AYUSH medicines throughout receipt, storage and dispensing.</x:v>
      </x:c>
      <x:c r="E694" s="30" t="str">
        <x:v>Support product quality and recall management.</x:v>
      </x:c>
      <x:c r="F694" s="30" t="str">
        <x:v>Optional</x:v>
      </x:c>
      <x:c r="G694" s="30" t="str">
        <x:v>Continuous</x:v>
      </x:c>
      <x:c r="H694" s="30"/>
      <x:c r="I694" s="30" t="str">
        <x:v>Inventory Pharmacist</x:v>
      </x:c>
      <x:c r="J694" s="30" t="str">
        <x:v>Inability to trace affected products.</x:v>
      </x:c>
      <x:c r="K694" s="30" t="str">
        <x:v>High</x:v>
      </x:c>
      <x:c r="L694" s="30" t="str">
        <x:v>AYUSH</x:v>
      </x:c>
      <x:c r="M694" s="30" t="str">
        <x:v>Yes</x:v>
      </x:c>
      <x:c r="N694" s="30" t="str">
        <x:v>P-4 entity-specific internal control; no independent statutory force. Activate the exact underlying legal requirement separately.</x:v>
      </x:c>
    </x:row>
    <x:row r="695">
      <x:c r="A695" s="30" t="str">
        <x:v>ACOMP004</x:v>
      </x:c>
      <x:c r="B695" s="30" t="str">
        <x:v>APROV004</x:v>
      </x:c>
      <x:c r="C695" s="30" t="str">
        <x:v>CA100</x:v>
      </x:c>
      <x:c r="D695" s="30" t="str">
        <x:v>Store AYUSH medicines under prescribed environmental conditions appropriate to their formulation.</x:v>
      </x:c>
      <x:c r="E695" s="30" t="str">
        <x:v>Preserve medicine quality and stability.</x:v>
      </x:c>
      <x:c r="F695" s="30" t="str">
        <x:v>Optional</x:v>
      </x:c>
      <x:c r="G695" s="30" t="str">
        <x:v>Daily Monitoring</x:v>
      </x:c>
      <x:c r="H695" s="30"/>
      <x:c r="I695" s="30" t="str">
        <x:v>Store In-Charge</x:v>
      </x:c>
      <x:c r="J695" s="30" t="str">
        <x:v>Product degradation due to improper storage.</x:v>
      </x:c>
      <x:c r="K695" s="30" t="str">
        <x:v>High</x:v>
      </x:c>
      <x:c r="L695" s="30" t="str">
        <x:v>AYUSH</x:v>
      </x:c>
      <x:c r="M695" s="30" t="str">
        <x:v>Yes</x:v>
      </x:c>
      <x:c r="N695" s="30" t="str">
        <x:v>P-4 entity-specific internal control; no independent statutory force. Activate the exact underlying legal requirement separately.</x:v>
      </x:c>
    </x:row>
    <x:row r="696">
      <x:c r="A696" s="30" t="str">
        <x:v>ACOMP005</x:v>
      </x:c>
      <x:c r="B696" s="30" t="str">
        <x:v>APROV005</x:v>
      </x:c>
      <x:c r="C696" s="30" t="str">
        <x:v>CA084</x:v>
      </x:c>
      <x:c r="D696" s="30" t="str">
        <x:v>Verify all AYUSH medicine labels for regulatory compliance before dispensing.</x:v>
      </x:c>
      <x:c r="E696" s="30" t="str">
        <x:v>Prevent labelling deficiencies and dispensing errors.</x:v>
      </x:c>
      <x:c r="F696" s="30" t="str">
        <x:v>Optional</x:v>
      </x:c>
      <x:c r="G696" s="30" t="str">
        <x:v>Every Dispensing</x:v>
      </x:c>
      <x:c r="H696" s="30"/>
      <x:c r="I696" s="30" t="str">
        <x:v>Dispensing Pharmacist</x:v>
      </x:c>
      <x:c r="J696" s="30" t="str">
        <x:v>Incorrect or non-compliant labelling.</x:v>
      </x:c>
      <x:c r="K696" s="30" t="str">
        <x:v>High</x:v>
      </x:c>
      <x:c r="L696" s="30" t="str">
        <x:v>AYUSH</x:v>
      </x:c>
      <x:c r="M696" s="30" t="str">
        <x:v>Yes</x:v>
      </x:c>
      <x:c r="N696" s="30" t="str">
        <x:v>P-4 entity-specific internal control; no independent statutory force. Activate the exact underlying legal requirement separately.</x:v>
      </x:c>
    </x:row>
    <x:row r="697">
      <x:c r="A697" s="30" t="str">
        <x:v>ACOMP006</x:v>
      </x:c>
      <x:c r="B697" s="30" t="str">
        <x:v>APROV006</x:v>
      </x:c>
      <x:c r="C697" s="30" t="str">
        <x:v>CA088</x:v>
      </x:c>
      <x:c r="D697" s="30" t="str">
        <x:v>Dispense traditional AYUSH dosage forms according to approved procedures and documented instructions.</x:v>
      </x:c>
      <x:c r="E697" s="30" t="str">
        <x:v>Ensure safe dispensing of traditional formulations.</x:v>
      </x:c>
      <x:c r="F697" s="30" t="str">
        <x:v>Optional</x:v>
      </x:c>
      <x:c r="G697" s="30" t="str">
        <x:v>Every Dispensing</x:v>
      </x:c>
      <x:c r="H697" s="30"/>
      <x:c r="I697" s="30" t="str">
        <x:v>AYUSH Pharmacist</x:v>
      </x:c>
      <x:c r="J697" s="30" t="str">
        <x:v>Incorrect dispensing of traditional dosage forms.</x:v>
      </x:c>
      <x:c r="K697" s="30" t="str">
        <x:v>High</x:v>
      </x:c>
      <x:c r="L697" s="30" t="str">
        <x:v>AYUSH</x:v>
      </x:c>
      <x:c r="M697" s="30" t="str">
        <x:v>Yes</x:v>
      </x:c>
      <x:c r="N697" s="30" t="str">
        <x:v>P-4 entity-specific internal control; no independent statutory force. Activate the exact underlying legal requirement separately.</x:v>
      </x:c>
    </x:row>
    <x:row r="698">
      <x:c r="A698" s="30" t="str">
        <x:v>ACOMP007</x:v>
      </x:c>
      <x:c r="B698" s="30" t="str">
        <x:v>APROV007</x:v>
      </x:c>
      <x:c r="C698" s="30" t="str">
        <x:v>CA086</x:v>
      </x:c>
      <x:c r="D698" s="30" t="str">
        <x:v>Provide documented patient counselling on dosage, administration, dietary advice and storage of AYUSH medicines.</x:v>
      </x:c>
      <x:c r="E698" s="30" t="str">
        <x:v>Promote safe medicine use and treatment adherence.</x:v>
      </x:c>
      <x:c r="F698" s="30" t="str">
        <x:v>Optional</x:v>
      </x:c>
      <x:c r="G698" s="30" t="str">
        <x:v>Every Initial Dispensing</x:v>
      </x:c>
      <x:c r="H698" s="30"/>
      <x:c r="I698" s="30" t="str">
        <x:v>AYUSH Pharmacist</x:v>
      </x:c>
      <x:c r="J698" s="30" t="str">
        <x:v>Improper use of AYUSH medicines.</x:v>
      </x:c>
      <x:c r="K698" s="30" t="str">
        <x:v>High</x:v>
      </x:c>
      <x:c r="L698" s="30" t="str">
        <x:v>AYUSH</x:v>
      </x:c>
      <x:c r="M698" s="30" t="str">
        <x:v>Yes</x:v>
      </x:c>
      <x:c r="N698" s="30" t="str">
        <x:v>P-4 entity-specific internal control; no independent statutory force. Activate the exact underlying legal requirement separately.</x:v>
      </x:c>
    </x:row>
    <x:row r="699">
      <x:c r="A699" s="30" t="str">
        <x:v>ACOMP008</x:v>
      </x:c>
      <x:c r="B699" s="30" t="str">
        <x:v>APROV008</x:v>
      </x:c>
      <x:c r="C699" s="30" t="str">
        <x:v>CA087</x:v>
      </x:c>
      <x:c r="D699" s="30" t="str">
        <x:v>Maintain complete documentation for classical and proprietary AYUSH formulations.</x:v>
      </x:c>
      <x:c r="E699" s="30" t="str">
        <x:v>Ensure formulation traceability and audit readiness.</x:v>
      </x:c>
      <x:c r="F699" s="30" t="str">
        <x:v>Optional</x:v>
      </x:c>
      <x:c r="G699" s="30" t="str">
        <x:v>Continuous</x:v>
      </x:c>
      <x:c r="H699" s="30"/>
      <x:c r="I699" s="30" t="str">
        <x:v>Documentation Officer</x:v>
      </x:c>
      <x:c r="J699" s="30" t="str">
        <x:v>Missing formulation documentation.</x:v>
      </x:c>
      <x:c r="K699" s="30" t="str">
        <x:v>Medium</x:v>
      </x:c>
      <x:c r="L699" s="30" t="str">
        <x:v>AYUSH</x:v>
      </x:c>
      <x:c r="M699" s="30" t="str">
        <x:v>Yes</x:v>
      </x:c>
      <x:c r="N699" s="30" t="str">
        <x:v>P-4 entity-specific internal control; no independent statutory force. Activate the exact underlying legal requirement separately.</x:v>
      </x:c>
    </x:row>
    <x:row r="700">
      <x:c r="A700" s="30" t="str">
        <x:v>ACOMP009</x:v>
      </x:c>
      <x:c r="B700" s="30" t="str">
        <x:v>APROV009</x:v>
      </x:c>
      <x:c r="C700" s="30" t="str">
        <x:v>CA083</x:v>
      </x:c>
      <x:c r="D700" s="30" t="str">
        <x:v>Operate a documented quality assurance programme covering procurement, storage and dispensing of AYUSH medicines.</x:v>
      </x:c>
      <x:c r="E700" s="30" t="str">
        <x:v>Maintain consistent quality standards.</x:v>
      </x:c>
      <x:c r="F700" s="30" t="str">
        <x:v>Optional</x:v>
      </x:c>
      <x:c r="G700" s="30" t="str">
        <x:v>Quarterly</x:v>
      </x:c>
      <x:c r="H700" s="30"/>
      <x:c r="I700" s="30" t="str">
        <x:v>Quality Assurance Manager</x:v>
      </x:c>
      <x:c r="J700" s="30" t="str">
        <x:v>Quality deficiencies remaining undetected.</x:v>
      </x:c>
      <x:c r="K700" s="30" t="str">
        <x:v>High</x:v>
      </x:c>
      <x:c r="L700" s="30" t="str">
        <x:v>AYUSH</x:v>
      </x:c>
      <x:c r="M700" s="30" t="str">
        <x:v>Yes</x:v>
      </x:c>
      <x:c r="N700" s="30" t="str">
        <x:v>P-4 entity-specific internal control; no independent statutory force. Activate the exact underlying legal requirement separately.</x:v>
      </x:c>
    </x:row>
    <x:row r="701">
      <x:c r="A701" s="30" t="str">
        <x:v>ACOMP010</x:v>
      </x:c>
      <x:c r="B701" s="30" t="str">
        <x:v>APROV010</x:v>
      </x:c>
      <x:c r="C701" s="30" t="str">
        <x:v>CA097</x:v>
      </x:c>
      <x:c r="D701" s="30" t="str">
        <x:v>Review and implement applicable AYUSH regulatory updates within defined timelines.</x:v>
      </x:c>
      <x:c r="E701" s="30" t="str">
        <x:v>Maintain ongoing regulatory compliance.</x:v>
      </x:c>
      <x:c r="F701" s="30" t="str">
        <x:v>Optional</x:v>
      </x:c>
      <x:c r="G701" s="30" t="str">
        <x:v>Monthly</x:v>
      </x:c>
      <x:c r="H701" s="30"/>
      <x:c r="I701" s="30" t="str">
        <x:v>Compliance Officer</x:v>
      </x:c>
      <x:c r="J701" s="30" t="str">
        <x:v>Failure to implement regulatory changes.</x:v>
      </x:c>
      <x:c r="K701" s="30" t="str">
        <x:v>Medium</x:v>
      </x:c>
      <x:c r="L701" s="30" t="str">
        <x:v>AYUSH</x:v>
      </x:c>
      <x:c r="M701" s="30" t="str">
        <x:v>Yes</x:v>
      </x:c>
      <x:c r="N701" s="30" t="str">
        <x:v>P-4 entity-specific internal control; no independent statutory force. Activate the exact underlying legal requirement separately.</x:v>
      </x:c>
    </x:row>
    <x:row r="702">
      <x:c r="A702" s="30" t="str">
        <x:v>ACOMP011</x:v>
      </x:c>
      <x:c r="B702" s="30" t="str">
        <x:v>APROV011</x:v>
      </x:c>
      <x:c r="C702" s="30" t="str">
        <x:v>CA089</x:v>
      </x:c>
      <x:c r="D702" s="30" t="str">
        <x:v>Execute AYUSH medicine recalls through documented procedures with effectiveness verification.</x:v>
      </x:c>
      <x:c r="E702" s="30" t="str">
        <x:v>Protect patients from defective products.</x:v>
      </x:c>
      <x:c r="F702" s="30" t="str">
        <x:v>Optional</x:v>
      </x:c>
      <x:c r="G702" s="30" t="str">
        <x:v>As Required</x:v>
      </x:c>
      <x:c r="H702" s="30"/>
      <x:c r="I702" s="30" t="str">
        <x:v>Quality Assurance Manager</x:v>
      </x:c>
      <x:c r="J702" s="30" t="str">
        <x:v>Delayed or ineffective recalls.</x:v>
      </x:c>
      <x:c r="K702" s="30" t="str">
        <x:v>High</x:v>
      </x:c>
      <x:c r="L702" s="30" t="str">
        <x:v>AYUSH</x:v>
      </x:c>
      <x:c r="M702" s="30" t="str">
        <x:v>Yes</x:v>
      </x:c>
      <x:c r="N702" s="30" t="str">
        <x:v>P-4 entity-specific internal control; no independent statutory force. Activate the exact underlying legal requirement separately.</x:v>
      </x:c>
    </x:row>
    <x:row r="703">
      <x:c r="A703" s="30" t="str">
        <x:v>ACOMP012</x:v>
      </x:c>
      <x:c r="B703" s="30" t="str">
        <x:v>APROV012</x:v>
      </x:c>
      <x:c r="C703" s="30" t="str">
        <x:v>CA033</x:v>
      </x:c>
      <x:c r="D703" s="30" t="str">
        <x:v>Monitor expiry dates of AYUSH medicines and segregate expired products immediately.</x:v>
      </x:c>
      <x:c r="E703" s="30" t="str">
        <x:v>Prevent dispensing of expired medicines.</x:v>
      </x:c>
      <x:c r="F703" s="30" t="str">
        <x:v>Optional</x:v>
      </x:c>
      <x:c r="G703" s="30" t="str">
        <x:v>Monthly</x:v>
      </x:c>
      <x:c r="H703" s="30"/>
      <x:c r="I703" s="30" t="str">
        <x:v>Inventory Pharmacist</x:v>
      </x:c>
      <x:c r="J703" s="30" t="str">
        <x:v>Patient safety and product quality risks.</x:v>
      </x:c>
      <x:c r="K703" s="30" t="str">
        <x:v>High</x:v>
      </x:c>
      <x:c r="L703" s="30" t="str">
        <x:v>AYUSH</x:v>
      </x:c>
      <x:c r="M703" s="30" t="str">
        <x:v>Yes</x:v>
      </x:c>
      <x:c r="N703" s="30" t="str">
        <x:v>P-4 entity-specific internal control; no independent statutory force. Activate the exact underlying legal requirement separately.</x:v>
      </x:c>
    </x:row>
    <x:row r="704">
      <x:c r="A704" s="30" t="str">
        <x:v>ACOMP013</x:v>
      </x:c>
      <x:c r="B704" s="30" t="str">
        <x:v>APROV013</x:v>
      </x:c>
      <x:c r="C704" s="30" t="str">
        <x:v>CA033</x:v>
      </x:c>
      <x:c r="D704" s="30" t="str">
        <x:v>Verify prescriptions issued by authorized AYUSH practitioners before dispensing prescription-only AYUSH medicines.</x:v>
      </x:c>
      <x:c r="E704" s="30" t="str">
        <x:v>Prevent unauthorized dispensing.</x:v>
      </x:c>
      <x:c r="F704" s="30" t="str">
        <x:v>Optional</x:v>
      </x:c>
      <x:c r="G704" s="30" t="str">
        <x:v>Every Prescription</x:v>
      </x:c>
      <x:c r="H704" s="30"/>
      <x:c r="I704" s="30" t="str">
        <x:v>Dispensing Pharmacist</x:v>
      </x:c>
      <x:c r="J704" s="30" t="str">
        <x:v>Dispensing without valid authorization.</x:v>
      </x:c>
      <x:c r="K704" s="30" t="str">
        <x:v>High</x:v>
      </x:c>
      <x:c r="L704" s="30" t="str">
        <x:v>AYUSH</x:v>
      </x:c>
      <x:c r="M704" s="30" t="str">
        <x:v>Yes</x:v>
      </x:c>
      <x:c r="N704" s="30" t="str">
        <x:v>P-4 entity-specific internal control; no independent statutory force. Activate the exact underlying legal requirement separately.</x:v>
      </x:c>
    </x:row>
    <x:row r="705">
      <x:c r="A705" s="30" t="str">
        <x:v>ACOMP014</x:v>
      </x:c>
      <x:c r="B705" s="30" t="str">
        <x:v>APROV014</x:v>
      </x:c>
      <x:c r="C705" s="30" t="str">
        <x:v>CA014</x:v>
      </x:c>
      <x:c r="D705" s="30" t="str">
        <x:v>Maintain complete dispensing documentation for every AYUSH medicine supplied.</x:v>
      </x:c>
      <x:c r="E705" s="30" t="str">
        <x:v>Support regulatory inspection and audit readiness.</x:v>
      </x:c>
      <x:c r="F705" s="30" t="str">
        <x:v>Optional</x:v>
      </x:c>
      <x:c r="G705" s="30" t="str">
        <x:v>Continuous</x:v>
      </x:c>
      <x:c r="H705" s="30"/>
      <x:c r="I705" s="30" t="str">
        <x:v>Documentation Officer</x:v>
      </x:c>
      <x:c r="J705" s="30" t="str">
        <x:v>Missing regulatory evidence.</x:v>
      </x:c>
      <x:c r="K705" s="30" t="str">
        <x:v>Medium</x:v>
      </x:c>
      <x:c r="L705" s="30" t="str">
        <x:v>AYUSH</x:v>
      </x:c>
      <x:c r="M705" s="30" t="str">
        <x:v>Yes</x:v>
      </x:c>
      <x:c r="N705" s="30" t="str">
        <x:v>P-4 entity-specific internal control; no independent statutory force. Activate the exact underlying legal requirement separately.</x:v>
      </x:c>
    </x:row>
    <x:row r="706">
      <x:c r="A706" s="30" t="str">
        <x:v>ACOMP015</x:v>
      </x:c>
      <x:c r="B706" s="30" t="str">
        <x:v>APROV015</x:v>
      </x:c>
      <x:c r="C706" s="30" t="str">
        <x:v>CA018</x:v>
      </x:c>
      <x:c r="D706" s="30" t="str">
        <x:v>Maintain competency assessments and continuing education records for personnel handling AYUSH medicines.</x:v>
      </x:c>
      <x:c r="E706" s="30" t="str">
        <x:v>Ensure competent pharmacy operations.</x:v>
      </x:c>
      <x:c r="F706" s="30" t="str">
        <x:v>Optional</x:v>
      </x:c>
      <x:c r="G706" s="30" t="str">
        <x:v>Annual</x:v>
      </x:c>
      <x:c r="H706" s="30"/>
      <x:c r="I706" s="30" t="str">
        <x:v>Pharmacy Manager</x:v>
      </x:c>
      <x:c r="J706" s="30" t="str">
        <x:v>Inadequately trained personnel.</x:v>
      </x:c>
      <x:c r="K706" s="30" t="str">
        <x:v>Medium</x:v>
      </x:c>
      <x:c r="L706" s="30" t="str">
        <x:v>AYUSH</x:v>
      </x:c>
      <x:c r="M706" s="30" t="str">
        <x:v>Yes</x:v>
      </x:c>
      <x:c r="N706" s="30" t="str">
        <x:v>P-4 entity-specific internal control; no independent statutory force. Activate the exact underlying legal requirement separately.</x:v>
      </x:c>
    </x:row>
    <x:row r="707">
      <x:c r="A707" s="30" t="str">
        <x:v>ACOMP016</x:v>
      </x:c>
      <x:c r="B707" s="30" t="str">
        <x:v>APROV016</x:v>
      </x:c>
      <x:c r="C707" s="30" t="str">
        <x:v>CA018</x:v>
      </x:c>
      <x:c r="D707" s="30" t="str">
        <x:v>Evaluate supplier performance periodically using documented quality and compliance criteria.</x:v>
      </x:c>
      <x:c r="E707" s="30" t="str">
        <x:v>Ensure supplier reliability and product quality.</x:v>
      </x:c>
      <x:c r="F707" s="30" t="str">
        <x:v>Optional</x:v>
      </x:c>
      <x:c r="G707" s="30" t="str">
        <x:v>Annual</x:v>
      </x:c>
      <x:c r="H707" s="30"/>
      <x:c r="I707" s="30" t="str">
        <x:v>Procurement Manager</x:v>
      </x:c>
      <x:c r="J707" s="30" t="str">
        <x:v>Procurement from poor-performing suppliers.</x:v>
      </x:c>
      <x:c r="K707" s="30" t="str">
        <x:v>Medium</x:v>
      </x:c>
      <x:c r="L707" s="30" t="str">
        <x:v>AYUSH</x:v>
      </x:c>
      <x:c r="M707" s="30" t="str">
        <x:v>Yes</x:v>
      </x:c>
      <x:c r="N707" s="30" t="str">
        <x:v>P-4 entity-specific internal control; no independent statutory force. Activate the exact underlying legal requirement separately.</x:v>
      </x:c>
    </x:row>
    <x:row r="708">
      <x:c r="A708" s="30" t="str">
        <x:v>ACOMP017</x:v>
      </x:c>
      <x:c r="B708" s="30" t="str">
        <x:v>APROV017</x:v>
      </x:c>
      <x:c r="C708" s="30" t="str">
        <x:v>CA014</x:v>
      </x:c>
      <x:c r="D708" s="30" t="str">
        <x:v>Prepare and review periodic compliance reports covering AYUSH pharmacy operations.</x:v>
      </x:c>
      <x:c r="E708" s="30" t="str">
        <x:v>Strengthen management oversight.</x:v>
      </x:c>
      <x:c r="F708" s="30" t="str">
        <x:v>Optional</x:v>
      </x:c>
      <x:c r="G708" s="30" t="str">
        <x:v>Quarterly</x:v>
      </x:c>
      <x:c r="H708" s="30"/>
      <x:c r="I708" s="30" t="str">
        <x:v>Compliance Officer</x:v>
      </x:c>
      <x:c r="J708" s="30" t="str">
        <x:v>Weak compliance monitoring.</x:v>
      </x:c>
      <x:c r="K708" s="30" t="str">
        <x:v>Medium</x:v>
      </x:c>
      <x:c r="L708" s="30" t="str">
        <x:v>AYUSH</x:v>
      </x:c>
      <x:c r="M708" s="30" t="str">
        <x:v>Yes</x:v>
      </x:c>
      <x:c r="N708" s="30" t="str">
        <x:v>P-4 entity-specific internal control; no independent statutory force. Activate the exact underlying legal requirement separately.</x:v>
      </x:c>
    </x:row>
    <x:row r="709">
      <x:c r="A709" s="30" t="str">
        <x:v>ACOMP018</x:v>
      </x:c>
      <x:c r="B709" s="30" t="str">
        <x:v>APROV018</x:v>
      </x:c>
      <x:c r="C709" s="30" t="str">
        <x:v>CA021</x:v>
      </x:c>
      <x:c r="D709" s="30" t="str">
        <x:v>Track corrective and preventive actions arising from audits and reviews until effective closure.</x:v>
      </x:c>
      <x:c r="E709" s="30" t="str">
        <x:v>Promote continual improvement.</x:v>
      </x:c>
      <x:c r="F709" s="30" t="str">
        <x:v>Optional</x:v>
      </x:c>
      <x:c r="G709" s="30" t="str">
        <x:v>Monthly</x:v>
      </x:c>
      <x:c r="H709" s="30"/>
      <x:c r="I709" s="30" t="str">
        <x:v>Quality Assurance Manager</x:v>
      </x:c>
      <x:c r="J709" s="30" t="str">
        <x:v>Repeat compliance failures.</x:v>
      </x:c>
      <x:c r="K709" s="30" t="str">
        <x:v>Medium</x:v>
      </x:c>
      <x:c r="L709" s="30" t="str">
        <x:v>AYUSH</x:v>
      </x:c>
      <x:c r="M709" s="30" t="str">
        <x:v>Yes</x:v>
      </x:c>
      <x:c r="N709" s="30" t="str">
        <x:v>P-4 entity-specific internal control; no independent statutory force. Activate the exact underlying legal requirement separately.</x:v>
      </x:c>
    </x:row>
    <x:row r="710">
      <x:c r="A710" s="30" t="str">
        <x:v>ACOMP019</x:v>
      </x:c>
      <x:c r="B710" s="30" t="str">
        <x:v>APROV019</x:v>
      </x:c>
      <x:c r="C710" s="30" t="str">
        <x:v>CA007</x:v>
      </x:c>
      <x:c r="D710" s="30" t="str">
        <x:v>Conduct periodic internal quality reviews covering storage, dispensing, documentation and regulatory compliance.</x:v>
      </x:c>
      <x:c r="E710" s="30" t="str">
        <x:v>Maintain operational quality standards.</x:v>
      </x:c>
      <x:c r="F710" s="30" t="str">
        <x:v>Optional</x:v>
      </x:c>
      <x:c r="G710" s="30" t="str">
        <x:v>Quarterly</x:v>
      </x:c>
      <x:c r="H710" s="30"/>
      <x:c r="I710" s="30" t="str">
        <x:v>Internal Quality Auditor</x:v>
      </x:c>
      <x:c r="J710" s="30" t="str">
        <x:v>Undetected quality deficiencies.</x:v>
      </x:c>
      <x:c r="K710" s="30" t="str">
        <x:v>Medium</x:v>
      </x:c>
      <x:c r="L710" s="30" t="str">
        <x:v>AYUSH</x:v>
      </x:c>
      <x:c r="M710" s="30" t="str">
        <x:v>Yes</x:v>
      </x:c>
      <x:c r="N710" s="30" t="str">
        <x:v>P-4 entity-specific internal control; no independent statutory force. Activate the exact underlying legal requirement separately.</x:v>
      </x:c>
    </x:row>
    <x:row r="711">
      <x:c r="A711" s="30" t="str">
        <x:v>ACOMP020</x:v>
      </x:c>
      <x:c r="B711" s="30" t="str">
        <x:v>APROV020</x:v>
      </x:c>
      <x:c r="C711" s="30" t="str">
        <x:v>CA018</x:v>
      </x:c>
      <x:c r="D711" s="30" t="str">
        <x:v>Conduct an annual AYUSH pharmacy governance and compliance maturity assessment with documented improvement plans.</x:v>
      </x:c>
      <x:c r="E711" s="30" t="str">
        <x:v>Strengthen governance and long-term compliance capability.</x:v>
      </x:c>
      <x:c r="F711" s="30" t="str">
        <x:v>Optional</x:v>
      </x:c>
      <x:c r="G711" s="30" t="str">
        <x:v>Annual</x:v>
      </x:c>
      <x:c r="H711" s="30"/>
      <x:c r="I711" s="30" t="str">
        <x:v>Head of AYUSH Pharmacy</x:v>
      </x:c>
      <x:c r="J711" s="30" t="str">
        <x:v>Weak governance and compliance oversight.</x:v>
      </x:c>
      <x:c r="K711" s="30" t="str">
        <x:v>Medium</x:v>
      </x:c>
      <x:c r="L711" s="30" t="str">
        <x:v>AYUSH</x:v>
      </x:c>
      <x:c r="M711" s="30" t="str">
        <x:v>Yes</x:v>
      </x:c>
      <x:c r="N711" s="30" t="str">
        <x:v>P-4 entity-specific internal control; no independent statutory force. Activate the exact underlying legal requirement separately.</x:v>
      </x:c>
    </x:row>
    <x:row r="712">
      <x:c r="A712" s="33" t="str">
        <x:v>COMP251</x:v>
      </x:c>
      <x:c r="B712" s="33" t="str">
        <x:v>PROV276</x:v>
      </x:c>
      <x:c r="C712" s="33" t="str">
        <x:v>CA078</x:v>
      </x:c>
      <x:c r="D712" s="33" t="str">
        <x:v>Maintain the Inspection Book in Form 35 at the licensed premises and make it available for Inspector entries.</x:v>
      </x:c>
      <x:c r="E712" s="33" t="str">
        <x:v>Enable statutory inspection documentation.</x:v>
      </x:c>
      <x:c r="F712" s="33" t="str">
        <x:v>Mandatory</x:v>
      </x:c>
      <x:c r="G712" s="33" t="str">
        <x:v>Continuous</x:v>
      </x:c>
      <x:c r="H712" s="33" t="str">
        <x:v>Throughout licence validity</x:v>
      </x:c>
      <x:c r="I712" s="33" t="str">
        <x:v>Pharmacy Manager</x:v>
      </x:c>
      <x:c r="J712" s="33" t="str">
        <x:v>Inspection finding and licence action</x:v>
      </x:c>
      <x:c r="K712" s="33" t="str">
        <x:v>High</x:v>
      </x:c>
      <x:c r="L712" s="33" t="str">
        <x:v>CORE</x:v>
      </x:c>
      <x:c r="M712" s="33" t="str">
        <x:v>Yes</x:v>
      </x:c>
      <x:c r="N712" s="33" t="str">
        <x:v>P-2 ADD.</x:v>
      </x:c>
    </x:row>
    <x:row r="713">
      <x:c r="A713" s="33" t="str">
        <x:v>COMP252</x:v>
      </x:c>
      <x:c r="B713" s="33" t="str">
        <x:v>PROV277</x:v>
      </x:c>
      <x:c r="C713" s="33" t="str">
        <x:v>CA013</x:v>
      </x:c>
      <x:c r="D713" s="33" t="str">
        <x:v>Do not sell expired or label-direction-violating drugs; segregate pending withdrawal/return/disposal and mark the cartons 'Not for sale'.</x:v>
      </x:c>
      <x:c r="E713" s="33" t="str">
        <x:v>Prevent unlawful or unsafe sale.</x:v>
      </x:c>
      <x:c r="F713" s="33" t="str">
        <x:v>Mandatory</x:v>
      </x:c>
      <x:c r="G713" s="33" t="str">
        <x:v>Continuous</x:v>
      </x:c>
      <x:c r="H713" s="33" t="str">
        <x:v>At expiry/nonconformity detection</x:v>
      </x:c>
      <x:c r="I713" s="33" t="str">
        <x:v>Store Manager</x:v>
      </x:c>
      <x:c r="J713" s="33" t="str">
        <x:v>Seizure, prosecution and patient-safety risk</x:v>
      </x:c>
      <x:c r="K713" s="33" t="str">
        <x:v>Critical</x:v>
      </x:c>
      <x:c r="L713" s="33" t="str">
        <x:v>CORE</x:v>
      </x:c>
      <x:c r="M713" s="33" t="str">
        <x:v>Yes</x:v>
      </x:c>
      <x:c r="N713" s="33" t="str">
        <x:v>P-2 ADD.</x:v>
      </x:c>
    </x:row>
    <x:row r="714">
      <x:c r="A714" s="33" t="str">
        <x:v>COMP253</x:v>
      </x:c>
      <x:c r="B714" s="33" t="str">
        <x:v>PROV278</x:v>
      </x:c>
      <x:c r="C714" s="33" t="str">
        <x:v>CA012</x:v>
      </x:c>
      <x:c r="D714" s="33" t="str">
        <x:v>Do not sell or improperly stock free samples or government/scheme-marked stock; apply authorized exceptions with segregation and separate records.</x:v>
      </x:c>
      <x:c r="E714" s="33" t="str">
        <x:v>Prevent diversion and prohibited sale.</x:v>
      </x:c>
      <x:c r="F714" s="33" t="str">
        <x:v>Conditional</x:v>
      </x:c>
      <x:c r="G714" s="33" t="str">
        <x:v>Continuous</x:v>
      </x:c>
      <x:c r="H714" s="33" t="str">
        <x:v>At receipt, storage and sale</x:v>
      </x:c>
      <x:c r="I714" s="33" t="str">
        <x:v>Store Manager</x:v>
      </x:c>
      <x:c r="J714" s="33" t="str">
        <x:v>Diversion, seizure and licence action</x:v>
      </x:c>
      <x:c r="K714" s="33" t="str">
        <x:v>High</x:v>
      </x:c>
      <x:c r="L714" s="33" t="str">
        <x:v>CORE</x:v>
      </x:c>
      <x:c r="M714" s="33" t="str">
        <x:v>Yes</x:v>
      </x:c>
      <x:c r="N714" s="33" t="str">
        <x:v>P-2 ADD.</x:v>
      </x:c>
    </x:row>
    <x:row r="715">
      <x:c r="A715" s="33" t="str">
        <x:v>COMP254</x:v>
      </x:c>
      <x:c r="B715" s="33" t="str">
        <x:v>PROV279</x:v>
      </x:c>
      <x:c r="C715" s="33" t="str">
        <x:v>CA015</x:v>
      </x:c>
      <x:c r="D715" s="33" t="str">
        <x:v>When supplying from a container other than the manufacturer's pack, use direct registered-pharmacist supervision and label the wrapper with drug, quantity and dealer name/address.</x:v>
      </x:c>
      <x:c r="E715" s="33" t="str">
        <x:v>Control retail repacking/dispensing.</x:v>
      </x:c>
      <x:c r="F715" s="33" t="str">
        <x:v>Conditional</x:v>
      </x:c>
      <x:c r="G715" s="33" t="str">
        <x:v>Continuous</x:v>
      </x:c>
      <x:c r="H715" s="33" t="str">
        <x:v>At each repacked supply</x:v>
      </x:c>
      <x:c r="I715" s="33" t="str">
        <x:v>Registered Pharmacist</x:v>
      </x:c>
      <x:c r="J715" s="33" t="str">
        <x:v>Mislabelled supply and licence action</x:v>
      </x:c>
      <x:c r="K715" s="33" t="str">
        <x:v>High</x:v>
      </x:c>
      <x:c r="L715" s="33" t="str">
        <x:v>CORE</x:v>
      </x:c>
      <x:c r="M715" s="33" t="str">
        <x:v>Yes</x:v>
      </x:c>
      <x:c r="N715" s="33" t="str">
        <x:v>P-2 ADD.</x:v>
      </x:c>
    </x:row>
    <x:row r="716">
      <x:c r="A716" s="33" t="str">
        <x:v>COMP255</x:v>
      </x:c>
      <x:c r="B716" s="33" t="str">
        <x:v>PROV280</x:v>
      </x:c>
      <x:c r="C716" s="33" t="str">
        <x:v>CA007</x:v>
      </x:c>
      <x:c r="D716" s="33" t="str">
        <x:v>Label veterinary medicines 'Not for human use—for treatment of animals only' and segregate them in dedicated or customer-inaccessible storage.</x:v>
      </x:c>
      <x:c r="E716" s="33" t="str">
        <x:v>Prevent human-use mix-ups.</x:v>
      </x:c>
      <x:c r="F716" s="33" t="str">
        <x:v>Conditional</x:v>
      </x:c>
      <x:c r="G716" s="33" t="str">
        <x:v>Continuous</x:v>
      </x:c>
      <x:c r="H716" s="33" t="str">
        <x:v>Throughout storage</x:v>
      </x:c>
      <x:c r="I716" s="33" t="str">
        <x:v>Store Manager</x:v>
      </x:c>
      <x:c r="J716" s="33" t="str">
        <x:v>Patient-safety and licence exposure</x:v>
      </x:c>
      <x:c r="K716" s="33" t="str">
        <x:v>High</x:v>
      </x:c>
      <x:c r="L716" s="33" t="str">
        <x:v>CORE</x:v>
      </x:c>
      <x:c r="M716" s="33" t="str">
        <x:v>Yes</x:v>
      </x:c>
      <x:c r="N716" s="33" t="str">
        <x:v>P-2 ADD.</x:v>
      </x:c>
    </x:row>
    <x:row r="717">
      <x:c r="A717" s="33" t="str">
        <x:v>COMP256</x:v>
      </x:c>
      <x:c r="B717" s="33" t="str">
        <x:v>PROV281</x:v>
      </x:c>
      <x:c r="C717" s="33" t="str">
        <x:v>CA077</x:v>
      </x:c>
      <x:c r="D717" s="33" t="str">
        <x:v>Maintain continuous readiness for Rule 65B inspection, including current licence-condition evidence, records, responsible staff and prompt production of documents.</x:v>
      </x:c>
      <x:c r="E717" s="33" t="str">
        <x:v>Support periodic/risk-based inspection.</x:v>
      </x:c>
      <x:c r="F717" s="33" t="str">
        <x:v>Mandatory</x:v>
      </x:c>
      <x:c r="G717" s="33" t="str">
        <x:v>Continuous</x:v>
      </x:c>
      <x:c r="H717" s="33" t="str">
        <x:v>At all times</x:v>
      </x:c>
      <x:c r="I717" s="33" t="str">
        <x:v>Pharmacy Manager</x:v>
      </x:c>
      <x:c r="J717" s="33" t="str">
        <x:v>Adverse inspection and enforcement</x:v>
      </x:c>
      <x:c r="K717" s="33" t="str">
        <x:v>High</x:v>
      </x:c>
      <x:c r="L717" s="33" t="str">
        <x:v>CORE</x:v>
      </x:c>
      <x:c r="M717" s="33" t="str">
        <x:v>Yes</x:v>
      </x:c>
      <x:c r="N717" s="33" t="str">
        <x:v>P-2 ADD.</x:v>
      </x:c>
    </x:row>
    <x:row r="718">
      <x:c r="A718" s="33" t="str">
        <x:v>COMP257</x:v>
      </x:c>
      <x:c r="B718" s="33" t="str">
        <x:v>PROV282</x:v>
      </x:c>
      <x:c r="C718" s="33" t="str">
        <x:v>CA063</x:v>
      </x:c>
      <x:c r="D718" s="33" t="str">
        <x:v>Display the current licence prominently and report/regularize qualified-person, competent-person, drug-category and firm-constitution changes within the applicable form conditions.</x:v>
      </x:c>
      <x:c r="E718" s="33" t="str">
        <x:v>Maintain form-specific licence compliance.</x:v>
      </x:c>
      <x:c r="F718" s="33" t="str">
        <x:v>Mandatory</x:v>
      </x:c>
      <x:c r="G718" s="33" t="str">
        <x:v>Continuous</x:v>
      </x:c>
      <x:c r="H718" s="33" t="str">
        <x:v>Throughout licence validity and upon change</x:v>
      </x:c>
      <x:c r="I718" s="33" t="str">
        <x:v>Pharmacy Owner</x:v>
      </x:c>
      <x:c r="J718" s="33" t="str">
        <x:v>Licence action or invalid activity</x:v>
      </x:c>
      <x:c r="K718" s="33" t="str">
        <x:v>High</x:v>
      </x:c>
      <x:c r="L718" s="33" t="str">
        <x:v>CORE</x:v>
      </x:c>
      <x:c r="M718" s="33" t="str">
        <x:v>Yes</x:v>
      </x:c>
      <x:c r="N718" s="33" t="str">
        <x:v>P-2 ADD.</x:v>
      </x:c>
    </x:row>
    <x:row r="719">
      <x:c r="A719" s="33" t="str">
        <x:v>COMP258</x:v>
      </x:c>
      <x:c r="B719" s="33" t="str">
        <x:v>PROV283</x:v>
      </x:c>
      <x:c r="C719" s="33" t="str">
        <x:v>CA080</x:v>
      </x:c>
      <x:c r="D719" s="33" t="str">
        <x:v>Comply with suspension/cancellation orders, obtain permission before disposal after cancellation, and ensure all licence submissions are genuine and accurate to avoid Rule 66B debarment.</x:v>
      </x:c>
      <x:c r="E719" s="33" t="str">
        <x:v>Control enforcement and licence integrity.</x:v>
      </x:c>
      <x:c r="F719" s="33" t="str">
        <x:v>Conditional</x:v>
      </x:c>
      <x:c r="G719" s="33" t="str">
        <x:v>Event Based</x:v>
      </x:c>
      <x:c r="H719" s="33" t="str">
        <x:v>Immediately upon trigger</x:v>
      </x:c>
      <x:c r="I719" s="33" t="str">
        <x:v>Pharmacy Owner</x:v>
      </x:c>
      <x:c r="J719" s="33" t="str">
        <x:v>Closure, debarment, prosecution or unlawful disposal</x:v>
      </x:c>
      <x:c r="K719" s="33" t="str">
        <x:v>Critical</x:v>
      </x:c>
      <x:c r="L719" s="33" t="str">
        <x:v>CORE</x:v>
      </x:c>
      <x:c r="M719" s="33" t="str">
        <x:v>Yes</x:v>
      </x:c>
      <x:c r="N719" s="33" t="str">
        <x:v>P-2 ADD.</x:v>
      </x:c>
    </x:row>
    <x:row r="720">
      <x:c r="A720" s="33" t="str">
        <x:v>COMP259</x:v>
      </x:c>
      <x:c r="B720" s="33" t="str">
        <x:v>PROV284</x:v>
      </x:c>
      <x:c r="C720" s="33" t="str">
        <x:v>CA002</x:v>
      </x:c>
      <x:c r="D720" s="33" t="str">
        <x:v>Use Forms 20A/21A only where the restricted-licence conditions are met and deal only in drugs permitted without qualified-person supervision.</x:v>
      </x:c>
      <x:c r="E720" s="33" t="str">
        <x:v>Apply restricted-licence limits.</x:v>
      </x:c>
      <x:c r="F720" s="33" t="str">
        <x:v>Conditional</x:v>
      </x:c>
      <x:c r="G720" s="33" t="str">
        <x:v>Continuous</x:v>
      </x:c>
      <x:c r="H720" s="33" t="str">
        <x:v>Throughout restricted-licence activity</x:v>
      </x:c>
      <x:c r="I720" s="33" t="str">
        <x:v>Pharmacy Owner</x:v>
      </x:c>
      <x:c r="J720" s="33" t="str">
        <x:v>Activity outside licence scope</x:v>
      </x:c>
      <x:c r="K720" s="33" t="str">
        <x:v>High</x:v>
      </x:c>
      <x:c r="L720" s="33" t="str">
        <x:v>CORE</x:v>
      </x:c>
      <x:c r="M720" s="33" t="str">
        <x:v>Yes</x:v>
      </x:c>
      <x:c r="N720" s="33" t="str">
        <x:v>P-2 ADD.</x:v>
      </x:c>
    </x:row>
    <x:row r="721">
      <x:c r="A721" s="33" t="str">
        <x:v>COMP260</x:v>
      </x:c>
      <x:c r="B721" s="33" t="str">
        <x:v>PROV285</x:v>
      </x:c>
      <x:c r="C721" s="33" t="str">
        <x:v>CA002</x:v>
      </x:c>
      <x:c r="D721" s="33" t="str">
        <x:v>Where wholesale sale/distribution from a motor vehicle is conducted, hold the prescribed Form 20BB/21BB licence arising from Form 19AA and comply with vehicle licence conditions.</x:v>
      </x:c>
      <x:c r="E721" s="33" t="str">
        <x:v>License mobile wholesale distribution.</x:v>
      </x:c>
      <x:c r="F721" s="33" t="str">
        <x:v>Conditional</x:v>
      </x:c>
      <x:c r="G721" s="33" t="str">
        <x:v>Continuous</x:v>
      </x:c>
      <x:c r="H721" s="33" t="str">
        <x:v>Before and during vehicle activity</x:v>
      </x:c>
      <x:c r="I721" s="33" t="str">
        <x:v>Wholesale Manager</x:v>
      </x:c>
      <x:c r="J721" s="33" t="str">
        <x:v>Unlicensed distribution and seizure</x:v>
      </x:c>
      <x:c r="K721" s="33" t="str">
        <x:v>High</x:v>
      </x:c>
      <x:c r="L721" s="33" t="str">
        <x:v>CORE</x:v>
      </x:c>
      <x:c r="M721" s="33" t="str">
        <x:v>Yes</x:v>
      </x:c>
      <x:c r="N721" s="33" t="str">
        <x:v>P-2 ADD.</x:v>
      </x:c>
    </x:row>
    <x:row r="722">
      <x:c r="A722" s="33" t="str">
        <x:v>COMP261</x:v>
      </x:c>
      <x:c r="B722" s="33" t="str">
        <x:v>PROV286</x:v>
      </x:c>
      <x:c r="C722" s="33" t="str">
        <x:v>CA002</x:v>
      </x:c>
      <x:c r="D722" s="33" t="str">
        <x:v>For Homeopathic Pharmacy, obtain Form 20C (retail) or Form 20D (wholesale), maintain a separate licence for each place and satisfy Rule 67F competent-person/premises conditions.</x:v>
      </x:c>
      <x:c r="E722" s="33" t="str">
        <x:v>License Homeopathic sale activity.</x:v>
      </x:c>
      <x:c r="F722" s="33" t="str">
        <x:v>Mandatory</x:v>
      </x:c>
      <x:c r="G722" s="33" t="str">
        <x:v>Continuous</x:v>
      </x:c>
      <x:c r="H722" s="33" t="str">
        <x:v>Before and during operations</x:v>
      </x:c>
      <x:c r="I722" s="33" t="str">
        <x:v>Homeopathic Pharmacy Owner</x:v>
      </x:c>
      <x:c r="J722" s="33" t="str">
        <x:v>Unlicensed activity and suspension</x:v>
      </x:c>
      <x:c r="K722" s="33" t="str">
        <x:v>Critical</x:v>
      </x:c>
      <x:c r="L722" s="33" t="str">
        <x:v>CORE</x:v>
      </x:c>
      <x:c r="M722" s="33" t="str">
        <x:v>Yes</x:v>
      </x:c>
      <x:c r="N722" s="33" t="str">
        <x:v>P-2 ADD.</x:v>
      </x:c>
    </x:row>
    <x:row r="723">
      <x:c r="A723" s="33" t="str">
        <x:v>COMP262</x:v>
      </x:c>
      <x:c r="B723" s="33" t="str">
        <x:v>PROV287</x:v>
      </x:c>
      <x:c r="C723" s="33" t="str">
        <x:v>CA019</x:v>
      </x:c>
      <x:c r="D723" s="33" t="str">
        <x:v>Comply with Rule 67G: clean premises, qualified supervision/sealed-pack controls, inspection access and alcohol-containing homeopathic medicine purchase/sale records.</x:v>
      </x:c>
      <x:c r="E723" s="33" t="str">
        <x:v>Maintain Homeopathic licence conditions.</x:v>
      </x:c>
      <x:c r="F723" s="33" t="str">
        <x:v>Mandatory</x:v>
      </x:c>
      <x:c r="G723" s="33" t="str">
        <x:v>Continuous</x:v>
      </x:c>
      <x:c r="H723" s="33" t="str">
        <x:v>At each applicable transaction</x:v>
      </x:c>
      <x:c r="I723" s="33" t="str">
        <x:v>Competent Person</x:v>
      </x:c>
      <x:c r="J723" s="33" t="str">
        <x:v>Suspension/cancellation and record breach</x:v>
      </x:c>
      <x:c r="K723" s="33" t="str">
        <x:v>High</x:v>
      </x:c>
      <x:c r="L723" s="33" t="str">
        <x:v>CORE</x:v>
      </x:c>
      <x:c r="M723" s="33" t="str">
        <x:v>Yes</x:v>
      </x:c>
      <x:c r="N723" s="33" t="str">
        <x:v>P-2 ADD.</x:v>
      </x:c>
    </x:row>
    <x:row r="724">
      <x:c r="A724" s="33" t="str">
        <x:v>COMP263</x:v>
      </x:c>
      <x:c r="B724" s="33" t="str">
        <x:v>PROV288</x:v>
      </x:c>
      <x:c r="C724" s="33" t="str">
        <x:v>CA080</x:v>
      </x:c>
      <x:c r="D724" s="33" t="str">
        <x:v>Comply with Homeopathic sale-licence suspension/cancellation orders and preserve any appeal and corrective-action documentation.</x:v>
      </x:c>
      <x:c r="E724" s="33" t="str">
        <x:v>Manage Homeopathic enforcement.</x:v>
      </x:c>
      <x:c r="F724" s="33" t="str">
        <x:v>Conditional</x:v>
      </x:c>
      <x:c r="G724" s="33" t="str">
        <x:v>Event Based</x:v>
      </x:c>
      <x:c r="H724" s="33" t="str">
        <x:v>Upon enforcement action</x:v>
      </x:c>
      <x:c r="I724" s="33" t="str">
        <x:v>Homeopathic Pharmacy Owner</x:v>
      </x:c>
      <x:c r="J724" s="33" t="str">
        <x:v>Continued unlawful operation</x:v>
      </x:c>
      <x:c r="K724" s="33" t="str">
        <x:v>Critical</x:v>
      </x:c>
      <x:c r="L724" s="33" t="str">
        <x:v>CORE</x:v>
      </x:c>
      <x:c r="M724" s="33" t="str">
        <x:v>Yes</x:v>
      </x:c>
      <x:c r="N724" s="33" t="str">
        <x:v>P-2 ADD.</x:v>
      </x:c>
    </x:row>
    <x:row r="725">
      <x:c r="A725" s="33" t="str">
        <x:v>COMP264</x:v>
      </x:c>
      <x:c r="B725" s="33" t="str">
        <x:v>PROV289</x:v>
      </x:c>
      <x:c r="C725" s="33" t="str">
        <x:v>CA006</x:v>
      </x:c>
      <x:c r="D725" s="33" t="str">
        <x:v>Maintain applicable Schedule N entrance, premises, furniture/apparatus and minimum equipment standards for a Form 20/21 pharmacy.</x:v>
      </x:c>
      <x:c r="E725" s="33" t="str">
        <x:v>Maintain pharmacy facility standards.</x:v>
      </x:c>
      <x:c r="F725" s="33" t="str">
        <x:v>Mandatory</x:v>
      </x:c>
      <x:c r="G725" s="33" t="str">
        <x:v>Continuous</x:v>
      </x:c>
      <x:c r="H725" s="33" t="str">
        <x:v>Throughout licence validity</x:v>
      </x:c>
      <x:c r="I725" s="33" t="str">
        <x:v>Pharmacy Manager</x:v>
      </x:c>
      <x:c r="J725" s="33" t="str">
        <x:v>Licence refusal/action and unsafe dispensing</x:v>
      </x:c>
      <x:c r="K725" s="33" t="str">
        <x:v>High</x:v>
      </x:c>
      <x:c r="L725" s="33" t="str">
        <x:v>CORE</x:v>
      </x:c>
      <x:c r="M725" s="33" t="str">
        <x:v>Yes</x:v>
      </x:c>
      <x:c r="N725" s="33" t="str">
        <x:v>P-2 ADD.</x:v>
      </x:c>
    </x:row>
    <x:row r="726">
      <x:c r="A726" s="33" t="str">
        <x:v>COMP265</x:v>
      </x:c>
      <x:c r="B726" s="33" t="str">
        <x:v>PROV290</x:v>
      </x:c>
      <x:c r="C726" s="33" t="str">
        <x:v>CA020</x:v>
      </x:c>
      <x:c r="D726" s="33" t="str">
        <x:v>Supply Schedule H/H1/X drugs to RMPs, hospitals, dispensaries or nursing homes only against a signed written order and retain that order for two years.</x:v>
      </x:c>
      <x:c r="E726" s="33" t="str">
        <x:v>Control institutional supply and retention.</x:v>
      </x:c>
      <x:c r="F726" s="33" t="str">
        <x:v>Conditional</x:v>
      </x:c>
      <x:c r="G726" s="33" t="str">
        <x:v>Continuous</x:v>
      </x:c>
      <x:c r="H726" s="33" t="str">
        <x:v>At supply and for two years</x:v>
      </x:c>
      <x:c r="I726" s="33" t="str">
        <x:v>Competent Person</x:v>
      </x:c>
      <x:c r="J726" s="33" t="str">
        <x:v>Record breach and licence action</x:v>
      </x:c>
      <x:c r="K726" s="33" t="str">
        <x:v>High</x:v>
      </x:c>
      <x:c r="L726" s="33" t="str">
        <x:v>CORE</x:v>
      </x:c>
      <x:c r="M726" s="33" t="str">
        <x:v>Yes</x:v>
      </x:c>
      <x:c r="N726" s="33" t="str">
        <x:v>P-2 ADD.</x:v>
      </x:c>
    </x:row>
    <x:row r="727">
      <x:c r="A727" s="33" t="str">
        <x:v>COMP266</x:v>
      </x:c>
      <x:c r="B727" s="33" t="str">
        <x:v>PROV291</x:v>
      </x:c>
      <x:c r="C727" s="33" t="str">
        <x:v>CA039</x:v>
      </x:c>
      <x:c r="D727" s="33" t="str">
        <x:v>Segregate general solid waste into wet, dry, sanitary and special-care streams; keep BMW/e-waste/battery/hazardous/C&amp;D waste separate; hand over only through the authorised/local channel and pay applicable user fees.</x:v>
      </x:c>
      <x:c r="E727" s="33" t="str">
        <x:v>Comply with Rule 5 waste-generator duties.</x:v>
      </x:c>
      <x:c r="F727" s="33" t="str">
        <x:v>Mandatory</x:v>
      </x:c>
      <x:c r="G727" s="33" t="str">
        <x:v>Continuous</x:v>
      </x:c>
      <x:c r="H727" s="33" t="str">
        <x:v>At source and each handover</x:v>
      </x:c>
      <x:c r="I727" s="33" t="str">
        <x:v>Pharmacy Manager</x:v>
      </x:c>
      <x:c r="J727" s="33" t="str">
        <x:v>Environmental compensation/enforcement and public-health risk</x:v>
      </x:c>
      <x:c r="K727" s="33" t="str">
        <x:v>High</x:v>
      </x:c>
      <x:c r="L727" s="33" t="str">
        <x:v>CORE</x:v>
      </x:c>
      <x:c r="M727" s="33" t="str">
        <x:v>Yes</x:v>
      </x:c>
      <x:c r="N727" s="33" t="str">
        <x:v>P-3 current SWM 2026 chain.</x:v>
      </x:c>
    </x:row>
    <x:row r="728">
      <x:c r="A728" s="33" t="str">
        <x:v>COMP267</x:v>
      </x:c>
      <x:c r="B728" s="33" t="str">
        <x:v>PROV292</x:v>
      </x:c>
      <x:c r="C728" s="33" t="str">
        <x:v>CA039</x:v>
      </x:c>
      <x:c r="D728" s="33" t="str">
        <x:v>Test all three bulk-waste-generator thresholds; if any one is met, complete registration/reporting and wet-waste processing or EBWGR/authorised-channel requirements.</x:v>
      </x:c>
      <x:c r="E728" s="33" t="str">
        <x:v>Correctly activate additional BWG duties.</x:v>
      </x:c>
      <x:c r="F728" s="33" t="str">
        <x:v>Conditional</x:v>
      </x:c>
      <x:c r="G728" s="33" t="str">
        <x:v>Continuous</x:v>
      </x:c>
      <x:c r="H728" s="33" t="str">
        <x:v>On threshold assessment and throughout BWG status</x:v>
      </x:c>
      <x:c r="I728" s="33" t="str">
        <x:v>Facility Head</x:v>
      </x:c>
      <x:c r="J728" s="33" t="str">
        <x:v>Environmental compensation and local-authority enforcement</x:v>
      </x:c>
      <x:c r="K728" s="33" t="str">
        <x:v>High</x:v>
      </x:c>
      <x:c r="L728" s="33" t="str">
        <x:v>CORE</x:v>
      </x:c>
      <x:c r="M728" s="33" t="str">
        <x:v>Yes</x:v>
      </x:c>
      <x:c r="N728" s="33" t="str">
        <x:v>P-3 threshold-based chain.</x:v>
      </x:c>
    </x:row>
    <x:row r="729">
      <x:c r="A729" s="33" t="str">
        <x:v>COMP268</x:v>
      </x:c>
      <x:c r="B729" s="33" t="str">
        <x:v>PROV293</x:v>
      </x:c>
      <x:c r="C729" s="33" t="str">
        <x:v>CA039</x:v>
      </x:c>
      <x:c r="D729" s="33" t="str">
        <x:v>Minimise/segregate plastic waste and hand it to the authorised channel; do not provide commodities in non-compliant carry bags/plastic sheets/packaging.</x:v>
      </x:c>
      <x:c r="E729" s="33" t="str">
        <x:v>Meet plastic waste-generator and retailer duties without misapplying PIBO EPR.</x:v>
      </x:c>
      <x:c r="F729" s="33" t="str">
        <x:v>Conditional</x:v>
      </x:c>
      <x:c r="G729" s="33" t="str">
        <x:v>Continuous</x:v>
      </x:c>
      <x:c r="H729" s="33" t="str">
        <x:v>At generation, handover and each applicable retail use</x:v>
      </x:c>
      <x:c r="I729" s="33" t="str">
        <x:v>Pharmacy Manager</x:v>
      </x:c>
      <x:c r="J729" s="33" t="str">
        <x:v>Environmental enforcement and littering/plastic-rule penalties</x:v>
      </x:c>
      <x:c r="K729" s="33" t="str">
        <x:v>High</x:v>
      </x:c>
      <x:c r="L729" s="33" t="str">
        <x:v>CORE</x:v>
      </x:c>
      <x:c r="M729" s="33" t="str">
        <x:v>Yes</x:v>
      </x:c>
      <x:c r="N729" s="33" t="str">
        <x:v>P-3 role-based chain.</x:v>
      </x:c>
    </x:row>
    <x:row r="730">
      <x:c r="A730" s="33" t="str">
        <x:v>COMP269</x:v>
      </x:c>
      <x:c r="B730" s="33" t="str">
        <x:v>PROV294</x:v>
      </x:c>
      <x:c r="C730" s="33" t="str">
        <x:v>CA039</x:v>
      </x:c>
      <x:c r="D730" s="33" t="str">
        <x:v>Collect waste batteries separately and deliver them only to a collection, refurbishing or recycling entity for environmentally sound management.</x:v>
      </x:c>
      <x:c r="E730" s="33" t="str">
        <x:v>Meet the battery-consumer duty.</x:v>
      </x:c>
      <x:c r="F730" s="33" t="str">
        <x:v>Conditional</x:v>
      </x:c>
      <x:c r="G730" s="33" t="str">
        <x:v>Event Based</x:v>
      </x:c>
      <x:c r="H730" s="33" t="str">
        <x:v>At battery replacement/discard</x:v>
      </x:c>
      <x:c r="I730" s="33" t="str">
        <x:v>Facility / IT Manager</x:v>
      </x:c>
      <x:c r="J730" s="33" t="str">
        <x:v>Environmental enforcement and unsafe-waste risk</x:v>
      </x:c>
      <x:c r="K730" s="33" t="str">
        <x:v>Medium</x:v>
      </x:c>
      <x:c r="L730" s="33" t="str">
        <x:v>CORE</x:v>
      </x:c>
      <x:c r="M730" s="33" t="str">
        <x:v>Yes</x:v>
      </x:c>
      <x:c r="N730" s="33" t="str">
        <x:v>P-3 consumer-only chain.</x:v>
      </x:c>
    </x:row>
    <x:row r="731">
      <x:c r="A731" s="33" t="str">
        <x:v>COMP270</x:v>
      </x:c>
      <x:c r="B731" s="33" t="str">
        <x:v>PROV295</x:v>
      </x:c>
      <x:c r="C731" s="33" t="str">
        <x:v>CA039</x:v>
      </x:c>
      <x:c r="D731" s="33" t="str">
        <x:v>If the 1,000-unit Schedule I EEE bulk-consumer threshold is met, hand e-waste only to a registered producer, refurbisher or recycler and retain channelisation evidence.</x:v>
      </x:c>
      <x:c r="E731" s="33" t="str">
        <x:v>Meet the E-Waste Rule 8 bulk-consumer duty.</x:v>
      </x:c>
      <x:c r="F731" s="33" t="str">
        <x:v>Conditional</x:v>
      </x:c>
      <x:c r="G731" s="33" t="str">
        <x:v>Event Based</x:v>
      </x:c>
      <x:c r="H731" s="33" t="str">
        <x:v>At each e-waste handover</x:v>
      </x:c>
      <x:c r="I731" s="33" t="str">
        <x:v>IT / Facility Manager</x:v>
      </x:c>
      <x:c r="J731" s="33" t="str">
        <x:v>Environmental enforcement and unlawful channelisation</x:v>
      </x:c>
      <x:c r="K731" s="33" t="str">
        <x:v>High</x:v>
      </x:c>
      <x:c r="L731" s="33" t="str">
        <x:v>CORE</x:v>
      </x:c>
      <x:c r="M731" s="33" t="str">
        <x:v>Yes</x:v>
      </x:c>
      <x:c r="N731" s="33" t="str">
        <x:v>P-3 threshold-based chain.</x:v>
      </x:c>
    </x:row>
    <x:row r="732">
      <x:c r="A732" s="33" t="str">
        <x:v>COMP271</x:v>
      </x:c>
      <x:c r="B732" s="33" t="str">
        <x:v>PROV296</x:v>
      </x:c>
      <x:c r="C732" s="33" t="str">
        <x:v>CA039</x:v>
      </x:c>
      <x:c r="D732" s="33" t="str">
        <x:v>If a scheduled/characterised hazardous or other waste is generated, obtain required authorization, store within the permitted period and use the prescribed authorised manifest/movement route.</x:v>
      </x:c>
      <x:c r="E732" s="33" t="str">
        <x:v>Manage only genuinely triggered hazardous waste lawfully.</x:v>
      </x:c>
      <x:c r="F732" s="33" t="str">
        <x:v>Conditional</x:v>
      </x:c>
      <x:c r="G732" s="33" t="str">
        <x:v>Continuous</x:v>
      </x:c>
      <x:c r="H732" s="33" t="str">
        <x:v>Before handling and at each storage/movement event</x:v>
      </x:c>
      <x:c r="I732" s="33" t="str">
        <x:v>Facility / EHS Lead</x:v>
      </x:c>
      <x:c r="J732" s="33" t="str">
        <x:v>Authorization action, environmental compensation and prosecution</x:v>
      </x:c>
      <x:c r="K732" s="33" t="str">
        <x:v>Critical</x:v>
      </x:c>
      <x:c r="L732" s="33" t="str">
        <x:v>CORE</x:v>
      </x:c>
      <x:c r="M732" s="33" t="str">
        <x:v>Yes</x:v>
      </x:c>
      <x:c r="N732" s="33" t="str">
        <x:v>P-3 waste-characterisation trigger required.</x:v>
      </x:c>
    </x:row>
    <x:row r="733">
      <x:c r="A733" s="33" t="str">
        <x:v>COMP272</x:v>
      </x:c>
      <x:c r="B733" s="33" t="str">
        <x:v>PROV297</x:v>
      </x:c>
      <x:c r="C733" s="33" t="str">
        <x:v>CA040</x:v>
      </x:c>
      <x:c r="D733" s="33" t="str">
        <x:v>Before establishing/altering a covered operation/outlet/discharge, document exemption/State classification and obtain Water Act consent where section 25 remains applicable.</x:v>
      </x:c>
      <x:c r="E733" s="33" t="str">
        <x:v>Prevent unconsented covered discharge/operation.</x:v>
      </x:c>
      <x:c r="F733" s="33" t="str">
        <x:v>Conditional</x:v>
      </x:c>
      <x:c r="G733" s="33" t="str">
        <x:v>Event Based</x:v>
      </x:c>
      <x:c r="H733" s="33" t="str">
        <x:v>Before establishment/alteration/discharge</x:v>
      </x:c>
      <x:c r="I733" s="33" t="str">
        <x:v>Facility / EHS Lead</x:v>
      </x:c>
      <x:c r="J733" s="33" t="str">
        <x:v>Closure direction, consent action and penalties</x:v>
      </x:c>
      <x:c r="K733" s="33" t="str">
        <x:v>Critical</x:v>
      </x:c>
      <x:c r="L733" s="33" t="str">
        <x:v>CORE</x:v>
      </x:c>
      <x:c r="M733" s="33" t="str">
        <x:v>Yes</x:v>
      </x:c>
      <x:c r="N733" s="33" t="str">
        <x:v>P-3 no automatic retail-pharmacy trigger.</x:v>
      </x:c>
    </x:row>
    <x:row r="734">
      <x:c r="A734" s="33" t="str">
        <x:v>COMP273</x:v>
      </x:c>
      <x:c r="B734" s="33" t="str">
        <x:v>PROV298</x:v>
      </x:c>
      <x:c r="C734" s="33" t="str">
        <x:v>CA040</x:v>
      </x:c>
      <x:c r="D734" s="33" t="str">
        <x:v>Before establishing/operating a covered industrial plant or emission source, document exemption/State classification and obtain Air Act consent where section 21 applies.</x:v>
      </x:c>
      <x:c r="E734" s="33" t="str">
        <x:v>Prevent unconsented covered emission source.</x:v>
      </x:c>
      <x:c r="F734" s="33" t="str">
        <x:v>Conditional</x:v>
      </x:c>
      <x:c r="G734" s="33" t="str">
        <x:v>Event Based</x:v>
      </x:c>
      <x:c r="H734" s="33" t="str">
        <x:v>Before establishment/operation</x:v>
      </x:c>
      <x:c r="I734" s="33" t="str">
        <x:v>Facility / EHS Lead</x:v>
      </x:c>
      <x:c r="J734" s="33" t="str">
        <x:v>Closure direction, consent action and penalties</x:v>
      </x:c>
      <x:c r="K734" s="33" t="str">
        <x:v>Critical</x:v>
      </x:c>
      <x:c r="L734" s="33" t="str">
        <x:v>CORE</x:v>
      </x:c>
      <x:c r="M734" s="33" t="str">
        <x:v>Yes</x:v>
      </x:c>
      <x:c r="N734" s="33" t="str">
        <x:v>P-3 no automatic retail-pharmacy trigger.</x:v>
      </x:c>
    </x:row>
    <x:row r="735">
      <x:c r="A735" s="33" t="str">
        <x:v>COMP274</x:v>
      </x:c>
      <x:c r="B735" s="33" t="str">
        <x:v>PROV299</x:v>
      </x:c>
      <x:c r="C735" s="33" t="str">
        <x:v>CA039</x:v>
      </x:c>
      <x:c r="D735" s="33" t="str">
        <x:v>For construction/renovation/demolition/excavation, segregate/store C&amp;D waste and follow the local collection plan and authorised handover route.</x:v>
      </x:c>
      <x:c r="E735" s="33" t="str">
        <x:v>Meet the C&amp;D waste-generator duty during premises work.</x:v>
      </x:c>
      <x:c r="F735" s="33" t="str">
        <x:v>Conditional</x:v>
      </x:c>
      <x:c r="G735" s="33" t="str">
        <x:v>Event Based</x:v>
      </x:c>
      <x:c r="H735" s="33" t="str">
        <x:v>Before and throughout the project</x:v>
      </x:c>
      <x:c r="I735" s="33" t="str">
        <x:v>Project / Facility Manager</x:v>
      </x:c>
      <x:c r="J735" s="33" t="str">
        <x:v>Local/environmental enforcement and project disruption</x:v>
      </x:c>
      <x:c r="K735" s="33" t="str">
        <x:v>High</x:v>
      </x:c>
      <x:c r="L735" s="33" t="str">
        <x:v>CORE</x:v>
      </x:c>
      <x:c r="M735" s="33" t="str">
        <x:v>Yes</x:v>
      </x:c>
      <x:c r="N735" s="33" t="str">
        <x:v>P-3 event-based chain.</x:v>
      </x:c>
    </x:row>
    <x:row r="736">
      <x:c r="A736" s="33" t="str">
        <x:v>COMP275</x:v>
      </x:c>
      <x:c r="B736" s="33" t="str">
        <x:v>PROV300</x:v>
      </x:c>
      <x:c r="C736" s="33" t="str">
        <x:v>CA048</x:v>
      </x:c>
      <x:c r="D736" s="33" t="str">
        <x:v>Pay every covered employee at least the applicable notified minimum wage and do not discriminate on prohibited gender grounds in wages/recruitment for same or similar work.</x:v>
      </x:c>
      <x:c r="E736" s="33" t="str">
        <x:v>Meet the Code on Wages wage floor/equality controls.</x:v>
      </x:c>
      <x:c r="F736" s="33" t="str">
        <x:v>Mandatory</x:v>
      </x:c>
      <x:c r="G736" s="33" t="str">
        <x:v>Continuous</x:v>
      </x:c>
      <x:c r="H736" s="33" t="str">
        <x:v>Each recruitment and wage cycle</x:v>
      </x:c>
      <x:c r="I736" s="33" t="str">
        <x:v>HR / Payroll Lead</x:v>
      </x:c>
      <x:c r="J736" s="33" t="str">
        <x:v>Back wages, claims, penalties and employee harm</x:v>
      </x:c>
      <x:c r="K736" s="33" t="str">
        <x:v>Critical</x:v>
      </x:c>
      <x:c r="L736" s="33" t="str">
        <x:v>CORE</x:v>
      </x:c>
      <x:c r="M736" s="33" t="str">
        <x:v>Yes</x:v>
      </x:c>
      <x:c r="N736" s="33" t="str">
        <x:v>P-3 current Code chain.</x:v>
      </x:c>
    </x:row>
    <x:row r="737">
      <x:c r="A737" s="33" t="str">
        <x:v>COMP276</x:v>
      </x:c>
      <x:c r="B737" s="33" t="str">
        <x:v>PROV301</x:v>
      </x:c>
      <x:c r="C737" s="33" t="str">
        <x:v>CA048</x:v>
      </x:c>
      <x:c r="D737" s="33" t="str">
        <x:v>Use a permitted wage period, pay wages within the statutory deadline and make only authorised deductions within the legal limit.</x:v>
      </x:c>
      <x:c r="E737" s="33" t="str">
        <x:v>Ensure timely and lawful wage payment.</x:v>
      </x:c>
      <x:c r="F737" s="33" t="str">
        <x:v>Mandatory</x:v>
      </x:c>
      <x:c r="G737" s="33" t="str">
        <x:v>Monthly</x:v>
      </x:c>
      <x:c r="H737" s="33" t="str">
        <x:v>Each wage period and termination event</x:v>
      </x:c>
      <x:c r="I737" s="33" t="str">
        <x:v>HR / Payroll Lead</x:v>
      </x:c>
      <x:c r="J737" s="33" t="str">
        <x:v>Back wages, claims and penalties</x:v>
      </x:c>
      <x:c r="K737" s="33" t="str">
        <x:v>Critical</x:v>
      </x:c>
      <x:c r="L737" s="33" t="str">
        <x:v>CORE</x:v>
      </x:c>
      <x:c r="M737" s="33" t="str">
        <x:v>Yes</x:v>
      </x:c>
      <x:c r="N737" s="33" t="str">
        <x:v>P-3 current Code chain.</x:v>
      </x:c>
    </x:row>
    <x:row r="738">
      <x:c r="A738" s="33" t="str">
        <x:v>COMP277</x:v>
      </x:c>
      <x:c r="B738" s="33" t="str">
        <x:v>PROV302</x:v>
      </x:c>
      <x:c r="C738" s="33" t="str">
        <x:v>CA046</x:v>
      </x:c>
      <x:c r="D738" s="33" t="str">
        <x:v>Maintain the prescribed wage, attendance, deduction and overtime records; issue wage slips and display required notices under the applicable Central/State rules.</x:v>
      </x:c>
      <x:c r="E738" s="33" t="str">
        <x:v>Maintain auditable wage compliance evidence.</x:v>
      </x:c>
      <x:c r="F738" s="33" t="str">
        <x:v>Conditional</x:v>
      </x:c>
      <x:c r="G738" s="33" t="str">
        <x:v>Continuous</x:v>
      </x:c>
      <x:c r="H738" s="33" t="str">
        <x:v>Each wage period and prescribed display/retention cycle</x:v>
      </x:c>
      <x:c r="I738" s="33" t="str">
        <x:v>HR / Payroll Lead</x:v>
      </x:c>
      <x:c r="J738" s="33" t="str">
        <x:v>Inspection finding, claims and penalties</x:v>
      </x:c>
      <x:c r="K738" s="33" t="str">
        <x:v>High</x:v>
      </x:c>
      <x:c r="L738" s="33" t="str">
        <x:v>CORE</x:v>
      </x:c>
      <x:c r="M738" s="33" t="str">
        <x:v>Yes</x:v>
      </x:c>
      <x:c r="N738" s="33" t="str">
        <x:v>P-3 rules-jurisdiction trigger explicit.</x:v>
      </x:c>
    </x:row>
  </x:sheetData>
  <x:pageMargins left="0.7" right="0.7" top="0.75" bottom="0.75" header="0.3" footer="0.3"/>
  <x:tableParts count="1">
    <x:tablePart xmlns:r="http://schemas.openxmlformats.org/officeDocument/2006/relationships" r:id="R86af88e4d5da47ea"/>
  </x:tableParts>
</x:worksheet>
</file>

<file path=xl/worksheets/sheet11.xml><?xml version="1.0" encoding="utf-8"?>
<x:worksheet xmlns:x="http://schemas.openxmlformats.org/spreadsheetml/2006/main">
  <x:sheetFormatPr baseColWidth="8" defaultRowHeight="15"/>
  <x:cols>
    <x:col min="1" max="1" width="10" customWidth="1"/>
    <x:col min="2" max="2" width="15" customWidth="1"/>
    <x:col min="3" max="3" width="48" customWidth="1"/>
    <x:col min="4" max="4" width="21" customWidth="1"/>
    <x:col min="5" max="5" width="17" customWidth="1"/>
    <x:col min="6" max="6" width="10" customWidth="1"/>
    <x:col min="7" max="7" width="24" customWidth="1"/>
    <x:col min="8" max="8" width="10" customWidth="1"/>
    <x:col min="9" max="9" width="48" customWidth="1"/>
  </x:cols>
  <x:sheetData>
    <x:row r="1" ht="28" customHeight="1">
      <x:c r="A1" s="31" t="str">
        <x:v>Audit ID</x:v>
      </x:c>
      <x:c r="B1" s="31" t="str">
        <x:v>Compliance ID</x:v>
      </x:c>
      <x:c r="C1" s="31" t="str">
        <x:v>Audit Procedure</x:v>
      </x:c>
      <x:c r="D1" s="31" t="str">
        <x:v>Audit Method</x:v>
      </x:c>
      <x:c r="E1" s="31" t="str">
        <x:v>Audit Frequency</x:v>
      </x:c>
      <x:c r="F1" s="31" t="str">
        <x:v>Origin</x:v>
      </x:c>
      <x:c r="G1" s="31" t="str">
        <x:v>Risk Focus</x:v>
      </x:c>
      <x:c r="H1" s="31" t="str">
        <x:v>Active</x:v>
      </x:c>
      <x:c r="I1" s="31" t="str">
        <x:v>Remarks</x:v>
      </x:c>
    </x:row>
    <x:row r="2">
      <x:c r="A2" s="30" t="str">
        <x:v>AUD001</x:v>
      </x:c>
      <x:c r="B2" s="30" t="str">
        <x:v>COMP001</x:v>
      </x:c>
      <x:c r="C2" s="30" t="str">
        <x:v>Verify that the retail pharmacy possesses a valid drug sale licence issued by the competent Licensing Authority.</x:v>
      </x:c>
      <x:c r="D2" s="30" t="str">
        <x:v>Document Review</x:v>
      </x:c>
      <x:c r="E2" s="30" t="str">
        <x:v>Annual</x:v>
      </x:c>
      <x:c r="F2" s="30" t="str">
        <x:v>CORE</x:v>
      </x:c>
      <x:c r="G2" s="30" t="str">
        <x:v>Licensing</x:v>
      </x:c>
      <x:c r="H2" s="30" t="str">
        <x:v>Yes</x:v>
      </x:c>
      <x:c r="I2" s="30" t="str">
        <x:v>Licence should remain valid throughout operations.</x:v>
      </x:c>
    </x:row>
    <x:row r="3">
      <x:c r="A3" s="30" t="str">
        <x:v>AUD002</x:v>
      </x:c>
      <x:c r="B3" s="30" t="str">
        <x:v>COMP001</x:v>
      </x:c>
      <x:c r="C3" s="30" t="str">
        <x:v>Inspect the displayed drug licence at the licensed premises to ensure public visibility and authenticity.</x:v>
      </x:c>
      <x:c r="D3" s="30" t="str">
        <x:v>Physical Inspection</x:v>
      </x:c>
      <x:c r="E3" s="30" t="str">
        <x:v>Quarterly</x:v>
      </x:c>
      <x:c r="F3" s="30" t="str">
        <x:v>CORE</x:v>
      </x:c>
      <x:c r="G3" s="30" t="str">
        <x:v>Licensing</x:v>
      </x:c>
      <x:c r="H3" s="30" t="str">
        <x:v>Yes</x:v>
      </x:c>
      <x:c r="I3" s="30" t="str">
        <x:v>Licence should match the premises details.</x:v>
      </x:c>
    </x:row>
    <x:row r="4">
      <x:c r="A4" s="30" t="str">
        <x:v>AUD003</x:v>
      </x:c>
      <x:c r="B4" s="30" t="str">
        <x:v>COMP001</x:v>
      </x:c>
      <x:c r="C4" s="30" t="str">
        <x:v>Confirm that licence conditions specified by the Licensing Authority are complied with.</x:v>
      </x:c>
      <x:c r="D4" s="30" t="str">
        <x:v>Document Review</x:v>
      </x:c>
      <x:c r="E4" s="30" t="str">
        <x:v>Annual</x:v>
      </x:c>
      <x:c r="F4" s="30" t="str">
        <x:v>CORE</x:v>
      </x:c>
      <x:c r="G4" s="30" t="str">
        <x:v>Licensing</x:v>
      </x:c>
      <x:c r="H4" s="30" t="str">
        <x:v>Yes</x:v>
      </x:c>
      <x:c r="I4" s="30" t="str">
        <x:v>Verify compliance with all licence conditions.</x:v>
      </x:c>
    </x:row>
    <x:row r="5">
      <x:c r="A5" s="30" t="str">
        <x:v>AUD004</x:v>
      </x:c>
      <x:c r="B5" s="30" t="str">
        <x:v>COMP002</x:v>
      </x:c>
      <x:c r="C5" s="30" t="str">
        <x:v>Verify that all licence renewals or retentions have been completed before expiry.</x:v>
      </x:c>
      <x:c r="D5" s="30" t="str">
        <x:v>Document Review</x:v>
      </x:c>
      <x:c r="E5" s="30" t="str">
        <x:v>Annual</x:v>
      </x:c>
      <x:c r="F5" s="30" t="str">
        <x:v>CORE</x:v>
      </x:c>
      <x:c r="G5" s="30" t="str">
        <x:v>Licensing</x:v>
      </x:c>
      <x:c r="H5" s="30" t="str">
        <x:v>Yes</x:v>
      </x:c>
      <x:c r="I5" s="30" t="str">
        <x:v>No lapse in licence validity permitted.</x:v>
      </x:c>
    </x:row>
    <x:row r="6">
      <x:c r="A6" s="30" t="str">
        <x:v>AUD005</x:v>
      </x:c>
      <x:c r="B6" s="30" t="str">
        <x:v>COMP002</x:v>
      </x:c>
      <x:c r="C6" s="30" t="str">
        <x:v>Review acknowledgement, payment receipts and approval documents related to licence renewal.</x:v>
      </x:c>
      <x:c r="D6" s="30" t="str">
        <x:v>Record Verification</x:v>
      </x:c>
      <x:c r="E6" s="30" t="str">
        <x:v>Annual</x:v>
      </x:c>
      <x:c r="F6" s="30" t="str">
        <x:v>CORE</x:v>
      </x:c>
      <x:c r="G6" s="30" t="str">
        <x:v>Licensing</x:v>
      </x:c>
      <x:c r="H6" s="30" t="str">
        <x:v>Yes</x:v>
      </x:c>
      <x:c r="I6" s="30" t="str">
        <x:v>Retain supporting documents.</x:v>
      </x:c>
    </x:row>
    <x:row r="7">
      <x:c r="A7" s="30" t="str">
        <x:v>AUD006</x:v>
      </x:c>
      <x:c r="B7" s="30" t="str">
        <x:v>COMP003</x:v>
      </x:c>
      <x:c r="C7" s="30" t="str">
        <x:v>Verify that every pharmacy operates only from the premises approved under the licence.</x:v>
      </x:c>
      <x:c r="D7" s="30" t="str">
        <x:v>Physical Inspection</x:v>
      </x:c>
      <x:c r="E7" s="30" t="str">
        <x:v>Annual</x:v>
      </x:c>
      <x:c r="F7" s="30" t="str">
        <x:v>CORE</x:v>
      </x:c>
      <x:c r="G7" s="30" t="str">
        <x:v>Licensing</x:v>
      </x:c>
      <x:c r="H7" s="30" t="str">
        <x:v>Yes</x:v>
      </x:c>
      <x:c r="I7" s="30" t="str">
        <x:v>Unapproved premises should not be used.</x:v>
      </x:c>
    </x:row>
    <x:row r="8">
      <x:c r="A8" s="30" t="str">
        <x:v>AUD007</x:v>
      </x:c>
      <x:c r="B8" s="30" t="str">
        <x:v>COMP003</x:v>
      </x:c>
      <x:c r="C8" s="30" t="str">
        <x:v>Inspect premises address against licence particulars and local records.</x:v>
      </x:c>
      <x:c r="D8" s="30" t="str">
        <x:v>Physical Inspection</x:v>
      </x:c>
      <x:c r="E8" s="30" t="str">
        <x:v>Annual</x:v>
      </x:c>
      <x:c r="F8" s="30" t="str">
        <x:v>CORE</x:v>
      </x:c>
      <x:c r="G8" s="30" t="str">
        <x:v>Licensing</x:v>
      </x:c>
      <x:c r="H8" s="30" t="str">
        <x:v>Yes</x:v>
      </x:c>
      <x:c r="I8" s="30" t="str">
        <x:v>Address should exactly match licence.</x:v>
      </x:c>
    </x:row>
    <x:row r="9">
      <x:c r="A9" s="30" t="str">
        <x:v>AUD008</x:v>
      </x:c>
      <x:c r="B9" s="30" t="str">
        <x:v>COMP004</x:v>
      </x:c>
      <x:c r="C9" s="30" t="str">
        <x:v>Verify that a registered pharmacist is available during business hours as required under applicable regulations.</x:v>
      </x:c>
      <x:c r="D9" s="30" t="str">
        <x:v>Interview</x:v>
      </x:c>
      <x:c r="E9" s="30" t="str">
        <x:v>Monthly</x:v>
      </x:c>
      <x:c r="F9" s="30" t="str">
        <x:v>CORE</x:v>
      </x:c>
      <x:c r="G9" s="30" t="str">
        <x:v>Personnel Competency</x:v>
      </x:c>
      <x:c r="H9" s="30" t="str">
        <x:v>Yes</x:v>
      </x:c>
      <x:c r="I9" s="30" t="str">
        <x:v>Cross-check pharmacist registration details.</x:v>
      </x:c>
    </x:row>
    <x:row r="10">
      <x:c r="A10" s="30" t="str">
        <x:v>AUD009</x:v>
      </x:c>
      <x:c r="B10" s="30" t="str">
        <x:v>COMP004</x:v>
      </x:c>
      <x:c r="C10" s="30" t="str">
        <x:v>Review pharmacist attendance registers and duty rosters.</x:v>
      </x:c>
      <x:c r="D10" s="30" t="str">
        <x:v>Record Verification</x:v>
      </x:c>
      <x:c r="E10" s="30" t="str">
        <x:v>Monthly</x:v>
      </x:c>
      <x:c r="F10" s="30" t="str">
        <x:v>CORE</x:v>
      </x:c>
      <x:c r="G10" s="30" t="str">
        <x:v>Personnel Competency</x:v>
      </x:c>
      <x:c r="H10" s="30" t="str">
        <x:v>Yes</x:v>
      </x:c>
      <x:c r="I10" s="30" t="str">
        <x:v>Attendance should demonstrate continuous supervision.</x:v>
      </x:c>
    </x:row>
    <x:row r="11">
      <x:c r="A11" s="30" t="str">
        <x:v>AUD010</x:v>
      </x:c>
      <x:c r="B11" s="30" t="str">
        <x:v>COMP004</x:v>
      </x:c>
      <x:c r="C11" s="30" t="str">
        <x:v>Verify pharmacist registration certificate validity with State Pharmacy Council records.</x:v>
      </x:c>
      <x:c r="D11" s="30" t="str">
        <x:v>Record Verification</x:v>
      </x:c>
      <x:c r="E11" s="30" t="str">
        <x:v>Annual</x:v>
      </x:c>
      <x:c r="F11" s="30" t="str">
        <x:v>CORE</x:v>
      </x:c>
      <x:c r="G11" s="30" t="str">
        <x:v>Personnel Competency</x:v>
      </x:c>
      <x:c r="H11" s="30" t="str">
        <x:v>Yes</x:v>
      </x:c>
      <x:c r="I11" s="30" t="str">
        <x:v>Registration should remain active.</x:v>
      </x:c>
    </x:row>
    <x:row r="12">
      <x:c r="A12" s="30" t="str">
        <x:v>AUD011</x:v>
      </x:c>
      <x:c r="B12" s="30" t="str">
        <x:v>COMP005</x:v>
      </x:c>
      <x:c r="C12" s="30" t="str">
        <x:v>Verify that pharmacy ownership and constitution match licence records.</x:v>
      </x:c>
      <x:c r="D12" s="30" t="str">
        <x:v>Record Verification</x:v>
      </x:c>
      <x:c r="E12" s="30" t="str">
        <x:v>Annual</x:v>
      </x:c>
      <x:c r="F12" s="30" t="str">
        <x:v>CORE</x:v>
      </x:c>
      <x:c r="G12" s="30" t="str">
        <x:v>Licensing</x:v>
      </x:c>
      <x:c r="H12" s="30" t="str">
        <x:v>Yes</x:v>
      </x:c>
      <x:c r="I12" s="30" t="str">
        <x:v>Ownership changes require regulatory approval.</x:v>
      </x:c>
    </x:row>
    <x:row r="13">
      <x:c r="A13" s="30" t="str">
        <x:v>AUD012</x:v>
      </x:c>
      <x:c r="B13" s="30" t="str">
        <x:v>COMP005</x:v>
      </x:c>
      <x:c r="C13" s="30" t="str">
        <x:v>Review approvals obtained for ownership changes wherever applicable.</x:v>
      </x:c>
      <x:c r="D13" s="30" t="str">
        <x:v>Record Verification</x:v>
      </x:c>
      <x:c r="E13" s="30" t="str">
        <x:v>Event Based</x:v>
      </x:c>
      <x:c r="F13" s="30" t="str">
        <x:v>CORE</x:v>
      </x:c>
      <x:c r="G13" s="30" t="str">
        <x:v>General Compliance</x:v>
      </x:c>
      <x:c r="H13" s="30" t="str">
        <x:v>Yes</x:v>
      </x:c>
      <x:c r="I13" s="30" t="str">
        <x:v>Applicable upon ownership modification.</x:v>
      </x:c>
    </x:row>
    <x:row r="14">
      <x:c r="A14" s="30" t="str">
        <x:v>AUD013</x:v>
      </x:c>
      <x:c r="B14" s="30" t="str">
        <x:v>COMP006</x:v>
      </x:c>
      <x:c r="C14" s="30" t="str">
        <x:v>Verify that changes in competent person/pharmacist have been reported to Licensing Authority within prescribed timelines.</x:v>
      </x:c>
      <x:c r="D14" s="30" t="str">
        <x:v>Document Review</x:v>
      </x:c>
      <x:c r="E14" s="30" t="str">
        <x:v>Event Based</x:v>
      </x:c>
      <x:c r="F14" s="30" t="str">
        <x:v>CORE</x:v>
      </x:c>
      <x:c r="G14" s="30" t="str">
        <x:v>Licensing</x:v>
      </x:c>
      <x:c r="H14" s="30" t="str">
        <x:v>Yes</x:v>
      </x:c>
      <x:c r="I14" s="30" t="str">
        <x:v>Review acknowledgement copies.</x:v>
      </x:c>
    </x:row>
    <x:row r="15">
      <x:c r="A15" s="30" t="str">
        <x:v>AUD014</x:v>
      </x:c>
      <x:c r="B15" s="30" t="str">
        <x:v>COMP006</x:v>
      </x:c>
      <x:c r="C15" s="30" t="str">
        <x:v>Examine correspondence submitted to regulatory authorities regarding pharmacist changes.</x:v>
      </x:c>
      <x:c r="D15" s="30" t="str">
        <x:v>Record Verification</x:v>
      </x:c>
      <x:c r="E15" s="30" t="str">
        <x:v>Event Based</x:v>
      </x:c>
      <x:c r="F15" s="30" t="str">
        <x:v>CORE</x:v>
      </x:c>
      <x:c r="G15" s="30" t="str">
        <x:v>Personnel Competency</x:v>
      </x:c>
      <x:c r="H15" s="30" t="str">
        <x:v>Yes</x:v>
      </x:c>
      <x:c r="I15" s="30" t="str">
        <x:v>Supporting evidence should be retained.</x:v>
      </x:c>
    </x:row>
    <x:row r="16">
      <x:c r="A16" s="30" t="str">
        <x:v>AUD015</x:v>
      </x:c>
      <x:c r="B16" s="30" t="str">
        <x:v>COMP007</x:v>
      </x:c>
      <x:c r="C16" s="30" t="str">
        <x:v>Verify that all required statutory records prescribed under the Drugs Rules are maintained.</x:v>
      </x:c>
      <x:c r="D16" s="30" t="str">
        <x:v>Record Verification</x:v>
      </x:c>
      <x:c r="E16" s="30" t="str">
        <x:v>Quarterly</x:v>
      </x:c>
      <x:c r="F16" s="30" t="str">
        <x:v>CORE</x:v>
      </x:c>
      <x:c r="G16" s="30" t="str">
        <x:v>Recordkeeping</x:v>
      </x:c>
      <x:c r="H16" s="30" t="str">
        <x:v>Yes</x:v>
      </x:c>
      <x:c r="I16" s="30" t="str">
        <x:v>Records should be complete and updated.</x:v>
      </x:c>
    </x:row>
    <x:row r="17">
      <x:c r="A17" s="30" t="str">
        <x:v>AUD016</x:v>
      </x:c>
      <x:c r="B17" s="30" t="str">
        <x:v>COMP007</x:v>
      </x:c>
      <x:c r="C17" s="30" t="str">
        <x:v>Inspect statutory registers for completeness, legibility and preservation.</x:v>
      </x:c>
      <x:c r="D17" s="30" t="str">
        <x:v>Physical Inspection</x:v>
      </x:c>
      <x:c r="E17" s="30" t="str">
        <x:v>Quarterly</x:v>
      </x:c>
      <x:c r="F17" s="30" t="str">
        <x:v>CORE</x:v>
      </x:c>
      <x:c r="G17" s="30" t="str">
        <x:v>Recordkeeping</x:v>
      </x:c>
      <x:c r="H17" s="30" t="str">
        <x:v>Yes</x:v>
      </x:c>
      <x:c r="I17" s="30" t="str">
        <x:v>Missing records should be investigated.</x:v>
      </x:c>
    </x:row>
    <x:row r="18">
      <x:c r="A18" s="30" t="str">
        <x:v>AUD017</x:v>
      </x:c>
      <x:c r="B18" s="30" t="str">
        <x:v>COMP008</x:v>
      </x:c>
      <x:c r="C18" s="30" t="str">
        <x:v>Verify that licence amendments have been obtained before undertaking regulated changes.</x:v>
      </x:c>
      <x:c r="D18" s="30" t="str">
        <x:v>Document Review</x:v>
      </x:c>
      <x:c r="E18" s="30" t="str">
        <x:v>Event Based</x:v>
      </x:c>
      <x:c r="F18" s="30" t="str">
        <x:v>CORE</x:v>
      </x:c>
      <x:c r="G18" s="30" t="str">
        <x:v>Licensing</x:v>
      </x:c>
      <x:c r="H18" s="30" t="str">
        <x:v>Yes</x:v>
      </x:c>
      <x:c r="I18" s="30" t="str">
        <x:v>Applies to licence modifications.</x:v>
      </x:c>
    </x:row>
    <x:row r="19">
      <x:c r="A19" s="30" t="str">
        <x:v>AUD018</x:v>
      </x:c>
      <x:c r="B19" s="30" t="str">
        <x:v>COMP008</x:v>
      </x:c>
      <x:c r="C19" s="30" t="str">
        <x:v>Review amendment approvals issued by Licensing Authority.</x:v>
      </x:c>
      <x:c r="D19" s="30" t="str">
        <x:v>Record Verification</x:v>
      </x:c>
      <x:c r="E19" s="30" t="str">
        <x:v>Event Based</x:v>
      </x:c>
      <x:c r="F19" s="30" t="str">
        <x:v>CORE</x:v>
      </x:c>
      <x:c r="G19" s="30" t="str">
        <x:v>Licensing</x:v>
      </x:c>
      <x:c r="H19" s="30" t="str">
        <x:v>Yes</x:v>
      </x:c>
      <x:c r="I19" s="30" t="str">
        <x:v>Verify effective date of approval.</x:v>
      </x:c>
    </x:row>
    <x:row r="20">
      <x:c r="A20" s="30" t="str">
        <x:v>AUD019</x:v>
      </x:c>
      <x:c r="B20" s="30" t="str">
        <x:v>COMP009</x:v>
      </x:c>
      <x:c r="C20" s="30" t="str">
        <x:v>Verify that licence copy and mandatory statutory information are prominently displayed.</x:v>
      </x:c>
      <x:c r="D20" s="30" t="str">
        <x:v>Physical Inspection</x:v>
      </x:c>
      <x:c r="E20" s="30" t="str">
        <x:v>Quarterly</x:v>
      </x:c>
      <x:c r="F20" s="30" t="str">
        <x:v>CORE</x:v>
      </x:c>
      <x:c r="G20" s="30" t="str">
        <x:v>Licensing</x:v>
      </x:c>
      <x:c r="H20" s="30" t="str">
        <x:v>Yes</x:v>
      </x:c>
      <x:c r="I20" s="30" t="str">
        <x:v>Display should be clearly visible to public.</x:v>
      </x:c>
    </x:row>
    <x:row r="21">
      <x:c r="A21" s="30" t="str">
        <x:v>AUD020</x:v>
      </x:c>
      <x:c r="B21" s="30" t="str">
        <x:v>COMP009</x:v>
      </x:c>
      <x:c r="C21" s="30" t="str">
        <x:v>Observe whether displayed licence corresponds to current valid licence.</x:v>
      </x:c>
      <x:c r="D21" s="30" t="str">
        <x:v>Observation</x:v>
      </x:c>
      <x:c r="E21" s="30" t="str">
        <x:v>Quarterly</x:v>
      </x:c>
      <x:c r="F21" s="30" t="str">
        <x:v>CORE</x:v>
      </x:c>
      <x:c r="G21" s="30" t="str">
        <x:v>Licensing</x:v>
      </x:c>
      <x:c r="H21" s="30" t="str">
        <x:v>Yes</x:v>
      </x:c>
      <x:c r="I21" s="30" t="str">
        <x:v>Expired licences should not be displayed.</x:v>
      </x:c>
    </x:row>
    <x:row r="22">
      <x:c r="A22" s="30" t="str">
        <x:v>AUD021</x:v>
      </x:c>
      <x:c r="B22" s="30" t="str">
        <x:v>COMP010</x:v>
      </x:c>
      <x:c r="C22" s="30" t="str">
        <x:v>Verify maintenance of inspection book as prescribed under applicable rules.</x:v>
      </x:c>
      <x:c r="D22" s="30" t="str">
        <x:v>Physical Inspection</x:v>
      </x:c>
      <x:c r="E22" s="30" t="str">
        <x:v>Quarterly</x:v>
      </x:c>
      <x:c r="F22" s="30" t="str">
        <x:v>CORE</x:v>
      </x:c>
      <x:c r="G22" s="30" t="str">
        <x:v>Inspection &amp; Display Controls</x:v>
      </x:c>
      <x:c r="H22" s="30" t="str">
        <x:v>Yes</x:v>
      </x:c>
      <x:c r="I22" s="30" t="str">
        <x:v>Inspection book should be available at premises.</x:v>
      </x:c>
    </x:row>
    <x:row r="23">
      <x:c r="A23" s="30" t="str">
        <x:v>AUD022</x:v>
      </x:c>
      <x:c r="B23" s="30" t="str">
        <x:v>COMP010</x:v>
      </x:c>
      <x:c r="C23" s="30" t="str">
        <x:v>Review entries made by Drug Inspectors and verify timely closure of observations.</x:v>
      </x:c>
      <x:c r="D23" s="30" t="str">
        <x:v>Physical Inspection</x:v>
      </x:c>
      <x:c r="E23" s="30" t="str">
        <x:v>Event Based</x:v>
      </x:c>
      <x:c r="F23" s="30" t="str">
        <x:v>CORE</x:v>
      </x:c>
      <x:c r="G23" s="30" t="str">
        <x:v>General Compliance</x:v>
      </x:c>
      <x:c r="H23" s="30" t="str">
        <x:v>Yes</x:v>
      </x:c>
      <x:c r="I23" s="30" t="str">
        <x:v>Corrective actions should be documented.</x:v>
      </x:c>
    </x:row>
    <x:row r="24">
      <x:c r="A24" s="30" t="str">
        <x:v>AUD023</x:v>
      </x:c>
      <x:c r="B24" s="30" t="str">
        <x:v>COMP011</x:v>
      </x:c>
      <x:c r="C24" s="30" t="str">
        <x:v>Verify that pharmacy business activities remain within the scope permitted by licence.</x:v>
      </x:c>
      <x:c r="D24" s="30" t="str">
        <x:v>Physical Inspection</x:v>
      </x:c>
      <x:c r="E24" s="30" t="str">
        <x:v>Quarterly</x:v>
      </x:c>
      <x:c r="F24" s="30" t="str">
        <x:v>CORE</x:v>
      </x:c>
      <x:c r="G24" s="30" t="str">
        <x:v>Licensing</x:v>
      </x:c>
      <x:c r="H24" s="30" t="str">
        <x:v>No</x:v>
      </x:c>
      <x:c r="I24" s="30" t="str">
        <x:v>P-2 QUARANTINED: procedure did not substantively test its parent Drugs Rules compliance. Replaced by AUD537; legacy ID retained.</x:v>
      </x:c>
    </x:row>
    <x:row r="25">
      <x:c r="A25" s="30" t="str">
        <x:v>AUD024</x:v>
      </x:c>
      <x:c r="B25" s="30" t="str">
        <x:v>COMP011</x:v>
      </x:c>
      <x:c r="C25" s="30" t="str">
        <x:v>Examine products sold to confirm alignment with authorised licence category.</x:v>
      </x:c>
      <x:c r="D25" s="30" t="str">
        <x:v>Document Review</x:v>
      </x:c>
      <x:c r="E25" s="30" t="str">
        <x:v>Quarterly</x:v>
      </x:c>
      <x:c r="F25" s="30" t="str">
        <x:v>CORE</x:v>
      </x:c>
      <x:c r="G25" s="30" t="str">
        <x:v>Licensing</x:v>
      </x:c>
      <x:c r="H25" s="30" t="str">
        <x:v>No</x:v>
      </x:c>
      <x:c r="I25" s="30" t="str">
        <x:v>P-2 QUARANTINED: procedure did not substantively test its parent Drugs Rules compliance. Replaced by AUD537; legacy ID retained.</x:v>
      </x:c>
    </x:row>
    <x:row r="26">
      <x:c r="A26" s="30" t="str">
        <x:v>AUD025</x:v>
      </x:c>
      <x:c r="B26" s="30" t="str">
        <x:v>COMP012</x:v>
      </x:c>
      <x:c r="C26" s="30" t="str">
        <x:v>Verify that controlled access areas are secured against unauthorized entry.</x:v>
      </x:c>
      <x:c r="D26" s="30" t="str">
        <x:v>Physical Inspection</x:v>
      </x:c>
      <x:c r="E26" s="30" t="str">
        <x:v>Monthly</x:v>
      </x:c>
      <x:c r="F26" s="30" t="str">
        <x:v>CORE</x:v>
      </x:c>
      <x:c r="G26" s="30" t="str">
        <x:v>General Compliance</x:v>
      </x:c>
      <x:c r="H26" s="30" t="str">
        <x:v>No</x:v>
      </x:c>
      <x:c r="I26" s="30" t="str">
        <x:v>P-2 QUARANTINED: procedure did not substantively test its parent Drugs Rules compliance. Replaced by AUD538; legacy ID retained.</x:v>
      </x:c>
    </x:row>
    <x:row r="27">
      <x:c r="A27" s="30" t="str">
        <x:v>AUD026</x:v>
      </x:c>
      <x:c r="B27" s="30" t="str">
        <x:v>COMP012</x:v>
      </x:c>
      <x:c r="C27" s="30" t="str">
        <x:v>Observe access control arrangements and key management procedures.</x:v>
      </x:c>
      <x:c r="D27" s="30" t="str">
        <x:v>Observation</x:v>
      </x:c>
      <x:c r="E27" s="30" t="str">
        <x:v>Monthly</x:v>
      </x:c>
      <x:c r="F27" s="30" t="str">
        <x:v>CORE</x:v>
      </x:c>
      <x:c r="G27" s="30" t="str">
        <x:v>SOP &amp; Training</x:v>
      </x:c>
      <x:c r="H27" s="30" t="str">
        <x:v>No</x:v>
      </x:c>
      <x:c r="I27" s="30" t="str">
        <x:v>P-2 QUARANTINED: procedure did not substantively test its parent Drugs Rules compliance. Replaced by AUD538; legacy ID retained.</x:v>
      </x:c>
    </x:row>
    <x:row r="28">
      <x:c r="A28" s="30" t="str">
        <x:v>AUD027</x:v>
      </x:c>
      <x:c r="B28" s="30" t="str">
        <x:v>COMP013</x:v>
      </x:c>
      <x:c r="C28" s="30" t="str">
        <x:v>Verify that mandatory records are preserved for the minimum statutory retention period.</x:v>
      </x:c>
      <x:c r="D28" s="30" t="str">
        <x:v>Record Verification</x:v>
      </x:c>
      <x:c r="E28" s="30" t="str">
        <x:v>Annual</x:v>
      </x:c>
      <x:c r="F28" s="30" t="str">
        <x:v>CORE</x:v>
      </x:c>
      <x:c r="G28" s="30" t="str">
        <x:v>Recordkeeping</x:v>
      </x:c>
      <x:c r="H28" s="30" t="str">
        <x:v>No</x:v>
      </x:c>
      <x:c r="I28" s="30" t="str">
        <x:v>P-2 QUARANTINED: procedure did not substantively test its parent Drugs Rules compliance. Replaced by AUD539; legacy ID retained.</x:v>
      </x:c>
    </x:row>
    <x:row r="29">
      <x:c r="A29" s="30" t="str">
        <x:v>AUD028</x:v>
      </x:c>
      <x:c r="B29" s="30" t="str">
        <x:v>COMP013</x:v>
      </x:c>
      <x:c r="C29" s="30" t="str">
        <x:v>Inspect archival records for completeness and retrievability.</x:v>
      </x:c>
      <x:c r="D29" s="30" t="str">
        <x:v>Physical Inspection</x:v>
      </x:c>
      <x:c r="E29" s="30" t="str">
        <x:v>Annual</x:v>
      </x:c>
      <x:c r="F29" s="30" t="str">
        <x:v>CORE</x:v>
      </x:c>
      <x:c r="G29" s="30" t="str">
        <x:v>Recordkeeping</x:v>
      </x:c>
      <x:c r="H29" s="30" t="str">
        <x:v>No</x:v>
      </x:c>
      <x:c r="I29" s="30" t="str">
        <x:v>P-2 QUARANTINED: procedure did not substantively test its parent Drugs Rules compliance. Replaced by AUD539; legacy ID retained.</x:v>
      </x:c>
    </x:row>
    <x:row r="30">
      <x:c r="A30" s="30" t="str">
        <x:v>AUD029</x:v>
      </x:c>
      <x:c r="B30" s="30" t="str">
        <x:v>COMP014</x:v>
      </x:c>
      <x:c r="C30" s="30" t="str">
        <x:v>Verify that regulatory correspondence files are maintained systematically.</x:v>
      </x:c>
      <x:c r="D30" s="30" t="str">
        <x:v>System Verification</x:v>
      </x:c>
      <x:c r="E30" s="30" t="str">
        <x:v>Quarterly</x:v>
      </x:c>
      <x:c r="F30" s="30" t="str">
        <x:v>CORE</x:v>
      </x:c>
      <x:c r="G30" s="30" t="str">
        <x:v>Digital Controls</x:v>
      </x:c>
      <x:c r="H30" s="30" t="str">
        <x:v>No</x:v>
      </x:c>
      <x:c r="I30" s="30" t="str">
        <x:v>P-2 QUARANTINED: procedure did not substantively test its parent Drugs Rules compliance. Replaced by AUD540; legacy ID retained.</x:v>
      </x:c>
    </x:row>
    <x:row r="31">
      <x:c r="A31" s="30" t="str">
        <x:v>AUD030</x:v>
      </x:c>
      <x:c r="B31" s="30" t="str">
        <x:v>COMP014</x:v>
      </x:c>
      <x:c r="C31" s="30" t="str">
        <x:v>Cross-check regulatory communication records with inward and outward registers.</x:v>
      </x:c>
      <x:c r="D31" s="30" t="str">
        <x:v>Reconciliation</x:v>
      </x:c>
      <x:c r="E31" s="30" t="str">
        <x:v>Quarterly</x:v>
      </x:c>
      <x:c r="F31" s="30" t="str">
        <x:v>CORE</x:v>
      </x:c>
      <x:c r="G31" s="30" t="str">
        <x:v>Recordkeeping</x:v>
      </x:c>
      <x:c r="H31" s="30" t="str">
        <x:v>No</x:v>
      </x:c>
      <x:c r="I31" s="30" t="str">
        <x:v>P-2 QUARANTINED: procedure did not substantively test its parent Drugs Rules compliance. Replaced by AUD540; legacy ID retained.</x:v>
      </x:c>
    </x:row>
    <x:row r="32">
      <x:c r="A32" s="30" t="str">
        <x:v>AUD031</x:v>
      </x:c>
      <x:c r="B32" s="30" t="str">
        <x:v>COMP015</x:v>
      </x:c>
      <x:c r="C32" s="30" t="str">
        <x:v>Verify that regulatory notices received are responded to within prescribed timelines.</x:v>
      </x:c>
      <x:c r="D32" s="30" t="str">
        <x:v>Document Review</x:v>
      </x:c>
      <x:c r="E32" s="30" t="str">
        <x:v>Event Based</x:v>
      </x:c>
      <x:c r="F32" s="30" t="str">
        <x:v>CORE</x:v>
      </x:c>
      <x:c r="G32" s="30" t="str">
        <x:v>Inspection &amp; Display Controls</x:v>
      </x:c>
      <x:c r="H32" s="30" t="str">
        <x:v>No</x:v>
      </x:c>
      <x:c r="I32" s="30" t="str">
        <x:v>P-2 QUARANTINED: procedure did not substantively test its parent Drugs Rules compliance. Replaced by AUD541; legacy ID retained.</x:v>
      </x:c>
    </x:row>
    <x:row r="33">
      <x:c r="A33" s="30" t="str">
        <x:v>AUD032</x:v>
      </x:c>
      <x:c r="B33" s="30" t="str">
        <x:v>COMP015</x:v>
      </x:c>
      <x:c r="C33" s="30" t="str">
        <x:v>Review evidence supporting submission of replies to authorities.</x:v>
      </x:c>
      <x:c r="D33" s="30" t="str">
        <x:v>Record Verification</x:v>
      </x:c>
      <x:c r="E33" s="30" t="str">
        <x:v>Event Based</x:v>
      </x:c>
      <x:c r="F33" s="30" t="str">
        <x:v>CORE</x:v>
      </x:c>
      <x:c r="G33" s="30" t="str">
        <x:v>General Compliance</x:v>
      </x:c>
      <x:c r="H33" s="30" t="str">
        <x:v>No</x:v>
      </x:c>
      <x:c r="I33" s="30" t="str">
        <x:v>P-2 QUARANTINED: procedure did not substantively test its parent Drugs Rules compliance. Replaced by AUD541; legacy ID retained.</x:v>
      </x:c>
    </x:row>
    <x:row r="34">
      <x:c r="A34" s="30" t="str">
        <x:v>AUD033</x:v>
      </x:c>
      <x:c r="B34" s="30" t="str">
        <x:v>COMP016</x:v>
      </x:c>
      <x:c r="C34" s="30" t="str">
        <x:v>Verify that required returns have been submitted to regulatory authorities.</x:v>
      </x:c>
      <x:c r="D34" s="30" t="str">
        <x:v>Document Review</x:v>
      </x:c>
      <x:c r="E34" s="30" t="str">
        <x:v>As Applicable</x:v>
      </x:c>
      <x:c r="F34" s="30" t="str">
        <x:v>CORE</x:v>
      </x:c>
      <x:c r="G34" s="30" t="str">
        <x:v>Inventory Controls</x:v>
      </x:c>
      <x:c r="H34" s="30" t="str">
        <x:v>No</x:v>
      </x:c>
      <x:c r="I34" s="30" t="str">
        <x:v>P-2 QUARANTINED: procedure did not substantively test its parent Drugs Rules compliance. Replaced by AUD542; legacy ID retained.</x:v>
      </x:c>
    </x:row>
    <x:row r="35">
      <x:c r="A35" s="30" t="str">
        <x:v>AUD034</x:v>
      </x:c>
      <x:c r="B35" s="30" t="str">
        <x:v>COMP016</x:v>
      </x:c>
      <x:c r="C35" s="30" t="str">
        <x:v>Reconcile submitted returns with internal records.</x:v>
      </x:c>
      <x:c r="D35" s="30" t="str">
        <x:v>Reconciliation</x:v>
      </x:c>
      <x:c r="E35" s="30" t="str">
        <x:v>As Applicable</x:v>
      </x:c>
      <x:c r="F35" s="30" t="str">
        <x:v>CORE</x:v>
      </x:c>
      <x:c r="G35" s="30" t="str">
        <x:v>Inventory Controls</x:v>
      </x:c>
      <x:c r="H35" s="30" t="str">
        <x:v>No</x:v>
      </x:c>
      <x:c r="I35" s="30" t="str">
        <x:v>P-2 QUARANTINED: procedure did not substantively test its parent Drugs Rules compliance. Replaced by AUD542; legacy ID retained.</x:v>
      </x:c>
    </x:row>
    <x:row r="36">
      <x:c r="A36" s="30" t="str">
        <x:v>AUD035</x:v>
      </x:c>
      <x:c r="B36" s="30" t="str">
        <x:v>COMP017</x:v>
      </x:c>
      <x:c r="C36" s="30" t="str">
        <x:v>Verify that all applicable licence fees have been paid.</x:v>
      </x:c>
      <x:c r="D36" s="30" t="str">
        <x:v>Document Review</x:v>
      </x:c>
      <x:c r="E36" s="30" t="str">
        <x:v>Annual</x:v>
      </x:c>
      <x:c r="F36" s="30" t="str">
        <x:v>CORE</x:v>
      </x:c>
      <x:c r="G36" s="30" t="str">
        <x:v>Licensing</x:v>
      </x:c>
      <x:c r="H36" s="30" t="str">
        <x:v>No</x:v>
      </x:c>
      <x:c r="I36" s="30" t="str">
        <x:v>P-2 QUARANTINED: procedure did not substantively test its parent Drugs Rules compliance. Replaced by AUD543; legacy ID retained.</x:v>
      </x:c>
    </x:row>
    <x:row r="37">
      <x:c r="A37" s="30" t="str">
        <x:v>AUD036</x:v>
      </x:c>
      <x:c r="B37" s="30" t="str">
        <x:v>COMP017</x:v>
      </x:c>
      <x:c r="C37" s="30" t="str">
        <x:v>Review fee payment records against statutory requirements.</x:v>
      </x:c>
      <x:c r="D37" s="30" t="str">
        <x:v>Reconciliation</x:v>
      </x:c>
      <x:c r="E37" s="30" t="str">
        <x:v>Annual</x:v>
      </x:c>
      <x:c r="F37" s="30" t="str">
        <x:v>CORE</x:v>
      </x:c>
      <x:c r="G37" s="30" t="str">
        <x:v>Billing Controls</x:v>
      </x:c>
      <x:c r="H37" s="30" t="str">
        <x:v>No</x:v>
      </x:c>
      <x:c r="I37" s="30" t="str">
        <x:v>P-2 QUARANTINED: procedure did not substantively test its parent Drugs Rules compliance. Replaced by AUD543; legacy ID retained.</x:v>
      </x:c>
    </x:row>
    <x:row r="38">
      <x:c r="A38" s="30" t="str">
        <x:v>AUD037</x:v>
      </x:c>
      <x:c r="B38" s="30" t="str">
        <x:v>COMP018</x:v>
      </x:c>
      <x:c r="C38" s="30" t="str">
        <x:v>Verify that duplicate licence copies, where applicable, were obtained through proper procedure.</x:v>
      </x:c>
      <x:c r="D38" s="30" t="str">
        <x:v>Document Review</x:v>
      </x:c>
      <x:c r="E38" s="30" t="str">
        <x:v>Event Based</x:v>
      </x:c>
      <x:c r="F38" s="30" t="str">
        <x:v>CORE</x:v>
      </x:c>
      <x:c r="G38" s="30" t="str">
        <x:v>Licensing</x:v>
      </x:c>
      <x:c r="H38" s="30" t="str">
        <x:v>No</x:v>
      </x:c>
      <x:c r="I38" s="30" t="str">
        <x:v>P-2 QUARANTINED: procedure did not substantively test its parent Drugs Rules compliance. Replaced by AUD544; legacy ID retained.</x:v>
      </x:c>
    </x:row>
    <x:row r="39">
      <x:c r="A39" s="30" t="str">
        <x:v>AUD038</x:v>
      </x:c>
      <x:c r="B39" s="30" t="str">
        <x:v>COMP018</x:v>
      </x:c>
      <x:c r="C39" s="30" t="str">
        <x:v>Examine supporting applications and authority approvals.</x:v>
      </x:c>
      <x:c r="D39" s="30" t="str">
        <x:v>Record Verification</x:v>
      </x:c>
      <x:c r="E39" s="30" t="str">
        <x:v>Event Based</x:v>
      </x:c>
      <x:c r="F39" s="30" t="str">
        <x:v>CORE</x:v>
      </x:c>
      <x:c r="G39" s="30" t="str">
        <x:v>General Compliance</x:v>
      </x:c>
      <x:c r="H39" s="30" t="str">
        <x:v>No</x:v>
      </x:c>
      <x:c r="I39" s="30" t="str">
        <x:v>P-2 QUARANTINED: procedure did not substantively test its parent Drugs Rules compliance. Replaced by AUD544; legacy ID retained.</x:v>
      </x:c>
    </x:row>
    <x:row r="40">
      <x:c r="A40" s="30" t="str">
        <x:v>AUD039</x:v>
      </x:c>
      <x:c r="B40" s="30" t="str">
        <x:v>COMP019</x:v>
      </x:c>
      <x:c r="C40" s="30" t="str">
        <x:v>Verify that pharmacy premises remain compliant with approved layout requirements.</x:v>
      </x:c>
      <x:c r="D40" s="30" t="str">
        <x:v>Physical Inspection</x:v>
      </x:c>
      <x:c r="E40" s="30" t="str">
        <x:v>Annual</x:v>
      </x:c>
      <x:c r="F40" s="30" t="str">
        <x:v>CORE</x:v>
      </x:c>
      <x:c r="G40" s="30" t="str">
        <x:v>Inspection &amp; Display Controls</x:v>
      </x:c>
      <x:c r="H40" s="30" t="str">
        <x:v>No</x:v>
      </x:c>
      <x:c r="I40" s="30" t="str">
        <x:v>P-2 QUARANTINED: procedure did not substantively test its parent Drugs Rules compliance. Replaced by AUD545; legacy ID retained.</x:v>
      </x:c>
    </x:row>
    <x:row r="41">
      <x:c r="A41" s="30" t="str">
        <x:v>AUD040</x:v>
      </x:c>
      <x:c r="B41" s="30" t="str">
        <x:v>COMP019</x:v>
      </x:c>
      <x:c r="C41" s="30" t="str">
        <x:v>Inspect physical layout against approved plans.</x:v>
      </x:c>
      <x:c r="D41" s="30" t="str">
        <x:v>Physical Inspection</x:v>
      </x:c>
      <x:c r="E41" s="30" t="str">
        <x:v>Annual</x:v>
      </x:c>
      <x:c r="F41" s="30" t="str">
        <x:v>CORE</x:v>
      </x:c>
      <x:c r="G41" s="30" t="str">
        <x:v>General Compliance</x:v>
      </x:c>
      <x:c r="H41" s="30" t="str">
        <x:v>No</x:v>
      </x:c>
      <x:c r="I41" s="30" t="str">
        <x:v>P-2 QUARANTINED: procedure did not substantively test its parent Drugs Rules compliance. Replaced by AUD545; legacy ID retained.</x:v>
      </x:c>
    </x:row>
    <x:row r="42">
      <x:c r="A42" s="30" t="str">
        <x:v>AUD041</x:v>
      </x:c>
      <x:c r="B42" s="30" t="str">
        <x:v>COMP020</x:v>
      </x:c>
      <x:c r="C42" s="30" t="str">
        <x:v>Verify that signboards comply with statutory requirements.</x:v>
      </x:c>
      <x:c r="D42" s="30" t="str">
        <x:v>Physical Inspection</x:v>
      </x:c>
      <x:c r="E42" s="30" t="str">
        <x:v>Annual</x:v>
      </x:c>
      <x:c r="F42" s="30" t="str">
        <x:v>CORE</x:v>
      </x:c>
      <x:c r="G42" s="30" t="str">
        <x:v>General Compliance</x:v>
      </x:c>
      <x:c r="H42" s="30" t="str">
        <x:v>No</x:v>
      </x:c>
      <x:c r="I42" s="30" t="str">
        <x:v>P-2 QUARANTINED: procedure did not substantively test its parent Drugs Rules compliance. Replaced by AUD546; legacy ID retained.</x:v>
      </x:c>
    </x:row>
    <x:row r="43">
      <x:c r="A43" s="30" t="str">
        <x:v>AUD042</x:v>
      </x:c>
      <x:c r="B43" s="30" t="str">
        <x:v>COMP020</x:v>
      </x:c>
      <x:c r="C43" s="30" t="str">
        <x:v>Observe whether licence number and pharmacy details are correctly displayed where required.</x:v>
      </x:c>
      <x:c r="D43" s="30" t="str">
        <x:v>Observation</x:v>
      </x:c>
      <x:c r="E43" s="30" t="str">
        <x:v>Annual</x:v>
      </x:c>
      <x:c r="F43" s="30" t="str">
        <x:v>CORE</x:v>
      </x:c>
      <x:c r="G43" s="30" t="str">
        <x:v>Licensing</x:v>
      </x:c>
      <x:c r="H43" s="30" t="str">
        <x:v>No</x:v>
      </x:c>
      <x:c r="I43" s="30" t="str">
        <x:v>P-2 QUARANTINED: procedure did not substantively test its parent Drugs Rules compliance. Replaced by AUD546; legacy ID retained.</x:v>
      </x:c>
    </x:row>
    <x:row r="44">
      <x:c r="A44" s="30" t="str">
        <x:v>AUD043</x:v>
      </x:c>
      <x:c r="B44" s="30" t="str">
        <x:v>COMP021</x:v>
      </x:c>
      <x:c r="C44" s="30" t="str">
        <x:v>Verify that duplicate copies of statutory records are protected from loss or damage.</x:v>
      </x:c>
      <x:c r="D44" s="30" t="str">
        <x:v>Record Verification</x:v>
      </x:c>
      <x:c r="E44" s="30" t="str">
        <x:v>Annual</x:v>
      </x:c>
      <x:c r="F44" s="30" t="str">
        <x:v>CORE</x:v>
      </x:c>
      <x:c r="G44" s="30" t="str">
        <x:v>Recordkeeping</x:v>
      </x:c>
      <x:c r="H44" s="30" t="str">
        <x:v>No</x:v>
      </x:c>
      <x:c r="I44" s="30" t="str">
        <x:v>P-2 QUARANTINED: procedure did not substantively test its parent Drugs Rules compliance. Replaced by AUD547; legacy ID retained.</x:v>
      </x:c>
    </x:row>
    <x:row r="45">
      <x:c r="A45" s="30" t="str">
        <x:v>AUD044</x:v>
      </x:c>
      <x:c r="B45" s="30" t="str">
        <x:v>COMP021</x:v>
      </x:c>
      <x:c r="C45" s="30" t="str">
        <x:v>Review record preservation controls.</x:v>
      </x:c>
      <x:c r="D45" s="30" t="str">
        <x:v>Record Verification</x:v>
      </x:c>
      <x:c r="E45" s="30" t="str">
        <x:v>Annual</x:v>
      </x:c>
      <x:c r="F45" s="30" t="str">
        <x:v>CORE</x:v>
      </x:c>
      <x:c r="G45" s="30" t="str">
        <x:v>Recordkeeping</x:v>
      </x:c>
      <x:c r="H45" s="30" t="str">
        <x:v>No</x:v>
      </x:c>
      <x:c r="I45" s="30" t="str">
        <x:v>P-2 QUARANTINED: procedure did not substantively test its parent Drugs Rules compliance. Replaced by AUD547; legacy ID retained.</x:v>
      </x:c>
    </x:row>
    <x:row r="46">
      <x:c r="A46" s="30" t="str">
        <x:v>AUD045</x:v>
      </x:c>
      <x:c r="B46" s="30" t="str">
        <x:v>COMP022</x:v>
      </x:c>
      <x:c r="C46" s="30" t="str">
        <x:v>Verify that inspection observations are tracked until closure.</x:v>
      </x:c>
      <x:c r="D46" s="30" t="str">
        <x:v>Physical Inspection</x:v>
      </x:c>
      <x:c r="E46" s="30" t="str">
        <x:v>Quarterly</x:v>
      </x:c>
      <x:c r="F46" s="30" t="str">
        <x:v>CORE</x:v>
      </x:c>
      <x:c r="G46" s="30" t="str">
        <x:v>Inspection &amp; Display Controls</x:v>
      </x:c>
      <x:c r="H46" s="30" t="str">
        <x:v>No</x:v>
      </x:c>
      <x:c r="I46" s="30" t="str">
        <x:v>P-2 QUARANTINED: procedure did not substantively test its parent Drugs Rules compliance. Replaced by AUD548; legacy ID retained.</x:v>
      </x:c>
    </x:row>
    <x:row r="47">
      <x:c r="A47" s="30" t="str">
        <x:v>AUD046</x:v>
      </x:c>
      <x:c r="B47" s="30" t="str">
        <x:v>COMP022</x:v>
      </x:c>
      <x:c r="C47" s="30" t="str">
        <x:v>Review evidence supporting closure of inspection findings.</x:v>
      </x:c>
      <x:c r="D47" s="30" t="str">
        <x:v>Physical Inspection</x:v>
      </x:c>
      <x:c r="E47" s="30" t="str">
        <x:v>Quarterly</x:v>
      </x:c>
      <x:c r="F47" s="30" t="str">
        <x:v>CORE</x:v>
      </x:c>
      <x:c r="G47" s="30" t="str">
        <x:v>Inspection &amp; Display Controls</x:v>
      </x:c>
      <x:c r="H47" s="30" t="str">
        <x:v>No</x:v>
      </x:c>
      <x:c r="I47" s="30" t="str">
        <x:v>P-2 QUARANTINED: procedure did not substantively test its parent Drugs Rules compliance. Replaced by AUD548; legacy ID retained.</x:v>
      </x:c>
    </x:row>
    <x:row r="48">
      <x:c r="A48" s="30" t="str">
        <x:v>AUD047</x:v>
      </x:c>
      <x:c r="B48" s="30" t="str">
        <x:v>COMP023</x:v>
      </x:c>
      <x:c r="C48" s="30" t="str">
        <x:v>Verify that all regulatory approvals are available for pharmacy operations.</x:v>
      </x:c>
      <x:c r="D48" s="30" t="str">
        <x:v>Document Review</x:v>
      </x:c>
      <x:c r="E48" s="30" t="str">
        <x:v>Annual</x:v>
      </x:c>
      <x:c r="F48" s="30" t="str">
        <x:v>CORE</x:v>
      </x:c>
      <x:c r="G48" s="30" t="str">
        <x:v>General Compliance</x:v>
      </x:c>
      <x:c r="H48" s="30" t="str">
        <x:v>No</x:v>
      </x:c>
      <x:c r="I48" s="30" t="str">
        <x:v>P-2 QUARANTINED: procedure did not substantively test its parent Drugs Rules compliance. Replaced by AUD549; legacy ID retained.</x:v>
      </x:c>
    </x:row>
    <x:row r="49">
      <x:c r="A49" s="30" t="str">
        <x:v>AUD048</x:v>
      </x:c>
      <x:c r="B49" s="30" t="str">
        <x:v>COMP023</x:v>
      </x:c>
      <x:c r="C49" s="30" t="str">
        <x:v>Cross-check approvals with operational activities.</x:v>
      </x:c>
      <x:c r="D49" s="30" t="str">
        <x:v>Reconciliation</x:v>
      </x:c>
      <x:c r="E49" s="30" t="str">
        <x:v>Annual</x:v>
      </x:c>
      <x:c r="F49" s="30" t="str">
        <x:v>CORE</x:v>
      </x:c>
      <x:c r="G49" s="30" t="str">
        <x:v>General Compliance</x:v>
      </x:c>
      <x:c r="H49" s="30" t="str">
        <x:v>No</x:v>
      </x:c>
      <x:c r="I49" s="30" t="str">
        <x:v>P-2 QUARANTINED: procedure did not substantively test its parent Drugs Rules compliance. Replaced by AUD549; legacy ID retained.</x:v>
      </x:c>
    </x:row>
    <x:row r="50">
      <x:c r="A50" s="30" t="str">
        <x:v>AUD049</x:v>
      </x:c>
      <x:c r="B50" s="30" t="str">
        <x:v>COMP024</x:v>
      </x:c>
      <x:c r="C50" s="30" t="str">
        <x:v>Verify that management periodically reviews pharmacy regulatory compliance.</x:v>
      </x:c>
      <x:c r="D50" s="30" t="str">
        <x:v>Document Review</x:v>
      </x:c>
      <x:c r="E50" s="30" t="str">
        <x:v>Quarterly</x:v>
      </x:c>
      <x:c r="F50" s="30" t="str">
        <x:v>CORE</x:v>
      </x:c>
      <x:c r="G50" s="30" t="str">
        <x:v>General Compliance</x:v>
      </x:c>
      <x:c r="H50" s="30" t="str">
        <x:v>No</x:v>
      </x:c>
      <x:c r="I50" s="30" t="str">
        <x:v>P-2 QUARANTINED: procedure did not substantively test its parent Drugs Rules compliance. Replaced by AUD550; legacy ID retained.</x:v>
      </x:c>
    </x:row>
    <x:row r="51">
      <x:c r="A51" s="30" t="str">
        <x:v>AUD050</x:v>
      </x:c>
      <x:c r="B51" s="30" t="str">
        <x:v>COMP024</x:v>
      </x:c>
      <x:c r="C51" s="30" t="str">
        <x:v>Examine compliance review reports and follow-up actions.</x:v>
      </x:c>
      <x:c r="D51" s="30" t="str">
        <x:v>Record Verification</x:v>
      </x:c>
      <x:c r="E51" s="30" t="str">
        <x:v>Quarterly</x:v>
      </x:c>
      <x:c r="F51" s="30" t="str">
        <x:v>CORE</x:v>
      </x:c>
      <x:c r="G51" s="30" t="str">
        <x:v>General Compliance</x:v>
      </x:c>
      <x:c r="H51" s="30" t="str">
        <x:v>No</x:v>
      </x:c>
      <x:c r="I51" s="30" t="str">
        <x:v>P-2 QUARANTINED: procedure did not substantively test its parent Drugs Rules compliance. Replaced by AUD550; legacy ID retained.</x:v>
      </x:c>
    </x:row>
    <x:row r="52">
      <x:c r="A52" s="30" t="str">
        <x:v>AUD051</x:v>
      </x:c>
      <x:c r="B52" s="30" t="str">
        <x:v>COMP025</x:v>
      </x:c>
      <x:c r="C52" s="30" t="str">
        <x:v>Verify that internal compliance monitoring mechanisms are implemented effectively.</x:v>
      </x:c>
      <x:c r="D52" s="30" t="str">
        <x:v>Document Review</x:v>
      </x:c>
      <x:c r="E52" s="30" t="str">
        <x:v>Quarterly</x:v>
      </x:c>
      <x:c r="F52" s="30" t="str">
        <x:v>CORE</x:v>
      </x:c>
      <x:c r="G52" s="30" t="str">
        <x:v>General Compliance</x:v>
      </x:c>
      <x:c r="H52" s="30" t="str">
        <x:v>No</x:v>
      </x:c>
      <x:c r="I52" s="30" t="str">
        <x:v>P-2 QUARANTINED: procedure did not substantively test its parent Drugs Rules compliance. Replaced by AUD551; legacy ID retained.</x:v>
      </x:c>
    </x:row>
    <x:row r="53">
      <x:c r="A53" s="30" t="str">
        <x:v>AUD052</x:v>
      </x:c>
      <x:c r="B53" s="30" t="str">
        <x:v>COMP025</x:v>
      </x:c>
      <x:c r="C53" s="30" t="str">
        <x:v>Review internal compliance checklists and corrective action records.</x:v>
      </x:c>
      <x:c r="D53" s="30" t="str">
        <x:v>Record Verification</x:v>
      </x:c>
      <x:c r="E53" s="30" t="str">
        <x:v>Quarterly</x:v>
      </x:c>
      <x:c r="F53" s="30" t="str">
        <x:v>CORE</x:v>
      </x:c>
      <x:c r="G53" s="30" t="str">
        <x:v>Recordkeeping</x:v>
      </x:c>
      <x:c r="H53" s="30" t="str">
        <x:v>No</x:v>
      </x:c>
      <x:c r="I53" s="30" t="str">
        <x:v>P-2 QUARANTINED: procedure did not substantively test its parent Drugs Rules compliance. Replaced by AUD551; legacy ID retained.</x:v>
      </x:c>
    </x:row>
    <x:row r="54">
      <x:c r="A54" s="30" t="str">
        <x:v>AUD053</x:v>
      </x:c>
      <x:c r="B54" s="30" t="str">
        <x:v>COMP026</x:v>
      </x:c>
      <x:c r="C54" s="30" t="str">
        <x:v>Verify that procurement of drugs is made only from licensed manufacturers, distributors or wholesalers.</x:v>
      </x:c>
      <x:c r="D54" s="30" t="str">
        <x:v>Document Review</x:v>
      </x:c>
      <x:c r="E54" s="30" t="str">
        <x:v>Monthly</x:v>
      </x:c>
      <x:c r="F54" s="30" t="str">
        <x:v>CORE</x:v>
      </x:c>
      <x:c r="G54" s="30" t="str">
        <x:v>Licensing</x:v>
      </x:c>
      <x:c r="H54" s="30" t="str">
        <x:v>Yes</x:v>
      </x:c>
      <x:c r="I54" s="30" t="str">
        <x:v>Suppliers should possess valid licences.</x:v>
      </x:c>
    </x:row>
    <x:row r="55">
      <x:c r="A55" s="30" t="str">
        <x:v>AUD054</x:v>
      </x:c>
      <x:c r="B55" s="30" t="str">
        <x:v>COMP026</x:v>
      </x:c>
      <x:c r="C55" s="30" t="str">
        <x:v>Review supplier licences for validity during the procurement period.</x:v>
      </x:c>
      <x:c r="D55" s="30" t="str">
        <x:v>Record Verification</x:v>
      </x:c>
      <x:c r="E55" s="30" t="str">
        <x:v>Annual</x:v>
      </x:c>
      <x:c r="F55" s="30" t="str">
        <x:v>CORE</x:v>
      </x:c>
      <x:c r="G55" s="30" t="str">
        <x:v>Licensing</x:v>
      </x:c>
      <x:c r="H55" s="30" t="str">
        <x:v>Yes</x:v>
      </x:c>
      <x:c r="I55" s="30" t="str">
        <x:v>Expired supplier licences should not be accepted.</x:v>
      </x:c>
    </x:row>
    <x:row r="56">
      <x:c r="A56" s="30" t="str">
        <x:v>AUD055</x:v>
      </x:c>
      <x:c r="B56" s="30" t="str">
        <x:v>COMP027</x:v>
      </x:c>
      <x:c r="C56" s="30" t="str">
        <x:v>Verify that purchase invoices contain all statutory particulars prescribed under applicable regulations.</x:v>
      </x:c>
      <x:c r="D56" s="30" t="str">
        <x:v>Document Review</x:v>
      </x:c>
      <x:c r="E56" s="30" t="str">
        <x:v>Monthly</x:v>
      </x:c>
      <x:c r="F56" s="30" t="str">
        <x:v>CORE</x:v>
      </x:c>
      <x:c r="G56" s="30" t="str">
        <x:v>Billing Controls</x:v>
      </x:c>
      <x:c r="H56" s="30" t="str">
        <x:v>Yes</x:v>
      </x:c>
      <x:c r="I56" s="30" t="str">
        <x:v>Invoice details should be complete and legible.</x:v>
      </x:c>
    </x:row>
    <x:row r="57">
      <x:c r="A57" s="30" t="str">
        <x:v>AUD056</x:v>
      </x:c>
      <x:c r="B57" s="30" t="str">
        <x:v>COMP027</x:v>
      </x:c>
      <x:c r="C57" s="30" t="str">
        <x:v>Cross-check purchase invoices with goods received records.</x:v>
      </x:c>
      <x:c r="D57" s="30" t="str">
        <x:v>Reconciliation</x:v>
      </x:c>
      <x:c r="E57" s="30" t="str">
        <x:v>Monthly</x:v>
      </x:c>
      <x:c r="F57" s="30" t="str">
        <x:v>CORE</x:v>
      </x:c>
      <x:c r="G57" s="30" t="str">
        <x:v>Billing Controls</x:v>
      </x:c>
      <x:c r="H57" s="30" t="str">
        <x:v>Yes</x:v>
      </x:c>
      <x:c r="I57" s="30" t="str">
        <x:v>Investigate discrepancies.</x:v>
      </x:c>
    </x:row>
    <x:row r="58">
      <x:c r="A58" s="30" t="str">
        <x:v>AUD057</x:v>
      </x:c>
      <x:c r="B58" s="30" t="str">
        <x:v>COMP028</x:v>
      </x:c>
      <x:c r="C58" s="30" t="str">
        <x:v>Verify that all inward drug consignments are inspected upon receipt.</x:v>
      </x:c>
      <x:c r="D58" s="30" t="str">
        <x:v>Physical Inspection</x:v>
      </x:c>
      <x:c r="E58" s="30" t="str">
        <x:v>As Applicable</x:v>
      </x:c>
      <x:c r="F58" s="30" t="str">
        <x:v>CORE</x:v>
      </x:c>
      <x:c r="G58" s="30" t="str">
        <x:v>Billing Controls</x:v>
      </x:c>
      <x:c r="H58" s="30" t="str">
        <x:v>Yes</x:v>
      </x:c>
      <x:c r="I58" s="30" t="str">
        <x:v>Inspection should include quantity and physical condition.</x:v>
      </x:c>
    </x:row>
    <x:row r="59">
      <x:c r="A59" s="30" t="str">
        <x:v>AUD058</x:v>
      </x:c>
      <x:c r="B59" s="30" t="str">
        <x:v>COMP028</x:v>
      </x:c>
      <x:c r="C59" s="30" t="str">
        <x:v>Review goods receipt records for completeness and authorization.</x:v>
      </x:c>
      <x:c r="D59" s="30" t="str">
        <x:v>Record Verification</x:v>
      </x:c>
      <x:c r="E59" s="30" t="str">
        <x:v>Monthly</x:v>
      </x:c>
      <x:c r="F59" s="30" t="str">
        <x:v>CORE</x:v>
      </x:c>
      <x:c r="G59" s="30" t="str">
        <x:v>Billing Controls</x:v>
      </x:c>
      <x:c r="H59" s="30" t="str">
        <x:v>Yes</x:v>
      </x:c>
      <x:c r="I59" s="30" t="str">
        <x:v>Records should be maintained for all receipts.</x:v>
      </x:c>
    </x:row>
    <x:row r="60">
      <x:c r="A60" s="30" t="str">
        <x:v>AUD059</x:v>
      </x:c>
      <x:c r="B60" s="30" t="str">
        <x:v>COMP029</x:v>
      </x:c>
      <x:c r="C60" s="30" t="str">
        <x:v>Verify that batch number, manufacturing date and expiry date are checked during receipt of drugs.</x:v>
      </x:c>
      <x:c r="D60" s="30" t="str">
        <x:v>Observation</x:v>
      </x:c>
      <x:c r="E60" s="30" t="str">
        <x:v>As Applicable</x:v>
      </x:c>
      <x:c r="F60" s="30" t="str">
        <x:v>CORE</x:v>
      </x:c>
      <x:c r="G60" s="30" t="str">
        <x:v>Inventory Controls</x:v>
      </x:c>
      <x:c r="H60" s="30" t="str">
        <x:v>Yes</x:v>
      </x:c>
      <x:c r="I60" s="30" t="str">
        <x:v>Non-compliant products should be segregated.</x:v>
      </x:c>
    </x:row>
    <x:row r="61">
      <x:c r="A61" s="30" t="str">
        <x:v>AUD060</x:v>
      </x:c>
      <x:c r="B61" s="30" t="str">
        <x:v>COMP029</x:v>
      </x:c>
      <x:c r="C61" s="30" t="str">
        <x:v>Examine inward inspection records for documented verification.</x:v>
      </x:c>
      <x:c r="D61" s="30" t="str">
        <x:v>Physical Inspection</x:v>
      </x:c>
      <x:c r="E61" s="30" t="str">
        <x:v>Monthly</x:v>
      </x:c>
      <x:c r="F61" s="30" t="str">
        <x:v>CORE</x:v>
      </x:c>
      <x:c r="G61" s="30" t="str">
        <x:v>Inspection &amp; Display Controls</x:v>
      </x:c>
      <x:c r="H61" s="30" t="str">
        <x:v>Yes</x:v>
      </x:c>
      <x:c r="I61" s="30" t="str">
        <x:v>Evidence of inspection should be available.</x:v>
      </x:c>
    </x:row>
    <x:row r="62">
      <x:c r="A62" s="30" t="str">
        <x:v>AUD061</x:v>
      </x:c>
      <x:c r="B62" s="30" t="str">
        <x:v>COMP030</x:v>
      </x:c>
      <x:c r="C62" s="30" t="str">
        <x:v>Verify that damaged or tampered drug consignments are identified and isolated immediately.</x:v>
      </x:c>
      <x:c r="D62" s="30" t="str">
        <x:v>Physical Inspection</x:v>
      </x:c>
      <x:c r="E62" s="30" t="str">
        <x:v>As Applicable</x:v>
      </x:c>
      <x:c r="F62" s="30" t="str">
        <x:v>CORE</x:v>
      </x:c>
      <x:c r="G62" s="30" t="str">
        <x:v>General Compliance</x:v>
      </x:c>
      <x:c r="H62" s="30" t="str">
        <x:v>Yes</x:v>
      </x:c>
      <x:c r="I62" s="30" t="str">
        <x:v>Prevent accidental sale.</x:v>
      </x:c>
    </x:row>
    <x:row r="63">
      <x:c r="A63" s="30" t="str">
        <x:v>AUD062</x:v>
      </x:c>
      <x:c r="B63" s="30" t="str">
        <x:v>COMP030</x:v>
      </x:c>
      <x:c r="C63" s="30" t="str">
        <x:v>Review records of rejected consignments and supplier communications.</x:v>
      </x:c>
      <x:c r="D63" s="30" t="str">
        <x:v>Record Verification</x:v>
      </x:c>
      <x:c r="E63" s="30" t="str">
        <x:v>Monthly</x:v>
      </x:c>
      <x:c r="F63" s="30" t="str">
        <x:v>CORE</x:v>
      </x:c>
      <x:c r="G63" s="30" t="str">
        <x:v>Procurement Controls</x:v>
      </x:c>
      <x:c r="H63" s="30" t="str">
        <x:v>Yes</x:v>
      </x:c>
      <x:c r="I63" s="30" t="str">
        <x:v>Corrective action should be documented.</x:v>
      </x:c>
    </x:row>
    <x:row r="64">
      <x:c r="A64" s="30" t="str">
        <x:v>AUD063</x:v>
      </x:c>
      <x:c r="B64" s="30" t="str">
        <x:v>COMP031</x:v>
      </x:c>
      <x:c r="C64" s="30" t="str">
        <x:v>Verify that purchase records are maintained for all drug procurements.</x:v>
      </x:c>
      <x:c r="D64" s="30" t="str">
        <x:v>Record Verification</x:v>
      </x:c>
      <x:c r="E64" s="30" t="str">
        <x:v>Monthly</x:v>
      </x:c>
      <x:c r="F64" s="30" t="str">
        <x:v>CORE</x:v>
      </x:c>
      <x:c r="G64" s="30" t="str">
        <x:v>Procurement Controls</x:v>
      </x:c>
      <x:c r="H64" s="30" t="str">
        <x:v>Yes</x:v>
      </x:c>
      <x:c r="I64" s="30" t="str">
        <x:v>Records should be traceable to suppliers.</x:v>
      </x:c>
    </x:row>
    <x:row r="65">
      <x:c r="A65" s="30" t="str">
        <x:v>AUD064</x:v>
      </x:c>
      <x:c r="B65" s="30" t="str">
        <x:v>COMP031</x:v>
      </x:c>
      <x:c r="C65" s="30" t="str">
        <x:v>Reconcile purchase records with inventory records.</x:v>
      </x:c>
      <x:c r="D65" s="30" t="str">
        <x:v>Reconciliation</x:v>
      </x:c>
      <x:c r="E65" s="30" t="str">
        <x:v>Monthly</x:v>
      </x:c>
      <x:c r="F65" s="30" t="str">
        <x:v>CORE</x:v>
      </x:c>
      <x:c r="G65" s="30" t="str">
        <x:v>Inventory Controls</x:v>
      </x:c>
      <x:c r="H65" s="30" t="str">
        <x:v>Yes</x:v>
      </x:c>
      <x:c r="I65" s="30" t="str">
        <x:v>Differences should be investigated.</x:v>
      </x:c>
    </x:row>
    <x:row r="66">
      <x:c r="A66" s="30" t="str">
        <x:v>AUD065</x:v>
      </x:c>
      <x:c r="B66" s="30" t="str">
        <x:v>COMP032</x:v>
      </x:c>
      <x:c r="C66" s="30" t="str">
        <x:v>Verify that cold-chain products are received under prescribed temperature conditions.</x:v>
      </x:c>
      <x:c r="D66" s="30" t="str">
        <x:v>Observation</x:v>
      </x:c>
      <x:c r="E66" s="30" t="str">
        <x:v>As Applicable</x:v>
      </x:c>
      <x:c r="F66" s="30" t="str">
        <x:v>CORE</x:v>
      </x:c>
      <x:c r="G66" s="30" t="str">
        <x:v>Storage Controls</x:v>
      </x:c>
      <x:c r="H66" s="30" t="str">
        <x:v>Yes</x:v>
      </x:c>
      <x:c r="I66" s="30" t="str">
        <x:v>Temperature excursions should be recorded.</x:v>
      </x:c>
    </x:row>
    <x:row r="67">
      <x:c r="A67" s="30" t="str">
        <x:v>AUD066</x:v>
      </x:c>
      <x:c r="B67" s="30" t="str">
        <x:v>COMP032</x:v>
      </x:c>
      <x:c r="C67" s="30" t="str">
        <x:v>Review transport temperature logs accompanying consignments.</x:v>
      </x:c>
      <x:c r="D67" s="30" t="str">
        <x:v>Record Verification</x:v>
      </x:c>
      <x:c r="E67" s="30" t="str">
        <x:v>As Applicable</x:v>
      </x:c>
      <x:c r="F67" s="30" t="str">
        <x:v>CORE</x:v>
      </x:c>
      <x:c r="G67" s="30" t="str">
        <x:v>Storage Controls</x:v>
      </x:c>
      <x:c r="H67" s="30" t="str">
        <x:v>Yes</x:v>
      </x:c>
      <x:c r="I67" s="30" t="str">
        <x:v>Verify compliance with specified limits.</x:v>
      </x:c>
    </x:row>
    <x:row r="68">
      <x:c r="A68" s="30" t="str">
        <x:v>AUD067</x:v>
      </x:c>
      <x:c r="B68" s="30" t="str">
        <x:v>COMP033</x:v>
      </x:c>
      <x:c r="C68" s="30" t="str">
        <x:v>Verify that controlled substances are received following statutory procedures.</x:v>
      </x:c>
      <x:c r="D68" s="30" t="str">
        <x:v>Document Review</x:v>
      </x:c>
      <x:c r="E68" s="30" t="str">
        <x:v>As Applicable</x:v>
      </x:c>
      <x:c r="F68" s="30" t="str">
        <x:v>CORE</x:v>
      </x:c>
      <x:c r="G68" s="30" t="str">
        <x:v>SOP &amp; Training</x:v>
      </x:c>
      <x:c r="H68" s="30" t="str">
        <x:v>Yes</x:v>
      </x:c>
      <x:c r="I68" s="30" t="str">
        <x:v>Applicable registers should be updated.</x:v>
      </x:c>
    </x:row>
    <x:row r="69">
      <x:c r="A69" s="30" t="str">
        <x:v>AUD068</x:v>
      </x:c>
      <x:c r="B69" s="30" t="str">
        <x:v>COMP033</x:v>
      </x:c>
      <x:c r="C69" s="30" t="str">
        <x:v>Cross-check receipt quantities with controlled drug registers.</x:v>
      </x:c>
      <x:c r="D69" s="30" t="str">
        <x:v>Reconciliation</x:v>
      </x:c>
      <x:c r="E69" s="30" t="str">
        <x:v>Monthly</x:v>
      </x:c>
      <x:c r="F69" s="30" t="str">
        <x:v>CORE</x:v>
      </x:c>
      <x:c r="G69" s="30" t="str">
        <x:v>Controlled Drugs</x:v>
      </x:c>
      <x:c r="H69" s="30" t="str">
        <x:v>Yes</x:v>
      </x:c>
      <x:c r="I69" s="30" t="str">
        <x:v>Ensure complete traceability.</x:v>
      </x:c>
    </x:row>
    <x:row r="70">
      <x:c r="A70" s="30" t="str">
        <x:v>AUD069</x:v>
      </x:c>
      <x:c r="B70" s="30" t="str">
        <x:v>COMP034</x:v>
      </x:c>
      <x:c r="C70" s="30" t="str">
        <x:v>Verify that suppliers are periodically evaluated for regulatory compliance.</x:v>
      </x:c>
      <x:c r="D70" s="30" t="str">
        <x:v>Document Review</x:v>
      </x:c>
      <x:c r="E70" s="30" t="str">
        <x:v>Annual</x:v>
      </x:c>
      <x:c r="F70" s="30" t="str">
        <x:v>CORE</x:v>
      </x:c>
      <x:c r="G70" s="30" t="str">
        <x:v>Procurement Controls</x:v>
      </x:c>
      <x:c r="H70" s="30" t="str">
        <x:v>Yes</x:v>
      </x:c>
      <x:c r="I70" s="30" t="str">
        <x:v>Supplier assessment records should be maintained.</x:v>
      </x:c>
    </x:row>
    <x:row r="71">
      <x:c r="A71" s="30" t="str">
        <x:v>AUD070</x:v>
      </x:c>
      <x:c r="B71" s="30" t="str">
        <x:v>COMP034</x:v>
      </x:c>
      <x:c r="C71" s="30" t="str">
        <x:v>Review supplier qualification and approval documentation.</x:v>
      </x:c>
      <x:c r="D71" s="30" t="str">
        <x:v>Record Verification</x:v>
      </x:c>
      <x:c r="E71" s="30" t="str">
        <x:v>Annual</x:v>
      </x:c>
      <x:c r="F71" s="30" t="str">
        <x:v>CORE</x:v>
      </x:c>
      <x:c r="G71" s="30" t="str">
        <x:v>Personnel Competency</x:v>
      </x:c>
      <x:c r="H71" s="30" t="str">
        <x:v>Yes</x:v>
      </x:c>
      <x:c r="I71" s="30" t="str">
        <x:v>Suppliers should remain approved.</x:v>
      </x:c>
    </x:row>
    <x:row r="72">
      <x:c r="A72" s="30" t="str">
        <x:v>AUD071</x:v>
      </x:c>
      <x:c r="B72" s="30" t="str">
        <x:v>COMP035</x:v>
      </x:c>
      <x:c r="C72" s="30" t="str">
        <x:v>Verify that unauthorized suppliers are not used for procurement.</x:v>
      </x:c>
      <x:c r="D72" s="30" t="str">
        <x:v>Document Review</x:v>
      </x:c>
      <x:c r="E72" s="30" t="str">
        <x:v>Quarterly</x:v>
      </x:c>
      <x:c r="F72" s="30" t="str">
        <x:v>CORE</x:v>
      </x:c>
      <x:c r="G72" s="30" t="str">
        <x:v>Procurement Controls</x:v>
      </x:c>
      <x:c r="H72" s="30" t="str">
        <x:v>Yes</x:v>
      </x:c>
      <x:c r="I72" s="30" t="str">
        <x:v>Procurement should be limited to approved suppliers.</x:v>
      </x:c>
    </x:row>
    <x:row r="73">
      <x:c r="A73" s="30" t="str">
        <x:v>AUD072</x:v>
      </x:c>
      <x:c r="B73" s="30" t="str">
        <x:v>COMP035</x:v>
      </x:c>
      <x:c r="C73" s="30" t="str">
        <x:v>Compare procurement records against approved supplier list.</x:v>
      </x:c>
      <x:c r="D73" s="30" t="str">
        <x:v>Reconciliation</x:v>
      </x:c>
      <x:c r="E73" s="30" t="str">
        <x:v>Quarterly</x:v>
      </x:c>
      <x:c r="F73" s="30" t="str">
        <x:v>CORE</x:v>
      </x:c>
      <x:c r="G73" s="30" t="str">
        <x:v>Procurement Controls</x:v>
      </x:c>
      <x:c r="H73" s="30" t="str">
        <x:v>Yes</x:v>
      </x:c>
      <x:c r="I73" s="30" t="str">
        <x:v>Exceptions should be investigated.</x:v>
      </x:c>
    </x:row>
    <x:row r="74">
      <x:c r="A74" s="30" t="str">
        <x:v>AUD073</x:v>
      </x:c>
      <x:c r="B74" s="30" t="str">
        <x:v>COMP036</x:v>
      </x:c>
      <x:c r="C74" s="30" t="str">
        <x:v>Verify that inward quantities match purchase orders and invoices.</x:v>
      </x:c>
      <x:c r="D74" s="30" t="str">
        <x:v>Reconciliation</x:v>
      </x:c>
      <x:c r="E74" s="30" t="str">
        <x:v>As Applicable</x:v>
      </x:c>
      <x:c r="F74" s="30" t="str">
        <x:v>CORE</x:v>
      </x:c>
      <x:c r="G74" s="30" t="str">
        <x:v>Billing Controls</x:v>
      </x:c>
      <x:c r="H74" s="30" t="str">
        <x:v>Yes</x:v>
      </x:c>
      <x:c r="I74" s="30" t="str">
        <x:v>Quantity differences should be documented.</x:v>
      </x:c>
    </x:row>
    <x:row r="75">
      <x:c r="A75" s="30" t="str">
        <x:v>AUD074</x:v>
      </x:c>
      <x:c r="B75" s="30" t="str">
        <x:v>COMP036</x:v>
      </x:c>
      <x:c r="C75" s="30" t="str">
        <x:v>Review discrepancy reports and corrective actions.</x:v>
      </x:c>
      <x:c r="D75" s="30" t="str">
        <x:v>Record Verification</x:v>
      </x:c>
      <x:c r="E75" s="30" t="str">
        <x:v>Monthly</x:v>
      </x:c>
      <x:c r="F75" s="30" t="str">
        <x:v>CORE</x:v>
      </x:c>
      <x:c r="G75" s="30" t="str">
        <x:v>General Compliance</x:v>
      </x:c>
      <x:c r="H75" s="30" t="str">
        <x:v>Yes</x:v>
      </x:c>
      <x:c r="I75" s="30" t="str">
        <x:v>Investigate shortages and excesses.</x:v>
      </x:c>
    </x:row>
    <x:row r="76">
      <x:c r="A76" s="30" t="str">
        <x:v>AUD075</x:v>
      </x:c>
      <x:c r="B76" s="30" t="str">
        <x:v>COMP037</x:v>
      </x:c>
      <x:c r="C76" s="30" t="str">
        <x:v>Verify that free samples received are documented and controlled appropriately.</x:v>
      </x:c>
      <x:c r="D76" s="30" t="str">
        <x:v>Sampling</x:v>
      </x:c>
      <x:c r="E76" s="30" t="str">
        <x:v>Quarterly</x:v>
      </x:c>
      <x:c r="F76" s="30" t="str">
        <x:v>CORE</x:v>
      </x:c>
      <x:c r="G76" s="30" t="str">
        <x:v>Recordkeeping</x:v>
      </x:c>
      <x:c r="H76" s="30" t="str">
        <x:v>No</x:v>
      </x:c>
      <x:c r="I76" s="30" t="str">
        <x:v>P-4 QUARANTINED with inactive parent compliance; legacy ID retained.</x:v>
      </x:c>
    </x:row>
    <x:row r="77">
      <x:c r="A77" s="30" t="str">
        <x:v>AUD076</x:v>
      </x:c>
      <x:c r="B77" s="30" t="str">
        <x:v>COMP037</x:v>
      </x:c>
      <x:c r="C77" s="30" t="str">
        <x:v>Examine sample receipt registers and authorization records.</x:v>
      </x:c>
      <x:c r="D77" s="30" t="str">
        <x:v>Sampling</x:v>
      </x:c>
      <x:c r="E77" s="30" t="str">
        <x:v>Quarterly</x:v>
      </x:c>
      <x:c r="F77" s="30" t="str">
        <x:v>CORE</x:v>
      </x:c>
      <x:c r="G77" s="30" t="str">
        <x:v>Billing Controls</x:v>
      </x:c>
      <x:c r="H77" s="30" t="str">
        <x:v>No</x:v>
      </x:c>
      <x:c r="I77" s="30" t="str">
        <x:v>P-4 QUARANTINED with inactive parent compliance; legacy ID retained.</x:v>
      </x:c>
    </x:row>
    <x:row r="78">
      <x:c r="A78" s="30" t="str">
        <x:v>AUD077</x:v>
      </x:c>
      <x:c r="B78" s="30" t="str">
        <x:v>COMP038</x:v>
      </x:c>
      <x:c r="C78" s="30" t="str">
        <x:v>Verify that recalled products received from suppliers are properly identified and segregated.</x:v>
      </x:c>
      <x:c r="D78" s="30" t="str">
        <x:v>Physical Inspection</x:v>
      </x:c>
      <x:c r="E78" s="30" t="str">
        <x:v>Event Based</x:v>
      </x:c>
      <x:c r="F78" s="30" t="str">
        <x:v>CORE</x:v>
      </x:c>
      <x:c r="G78" s="30" t="str">
        <x:v>Inventory Controls</x:v>
      </x:c>
      <x:c r="H78" s="30" t="str">
        <x:v>No</x:v>
      </x:c>
      <x:c r="I78" s="30" t="str">
        <x:v>P-4 QUARANTINED with inactive parent compliance; legacy ID retained.</x:v>
      </x:c>
    </x:row>
    <x:row r="79">
      <x:c r="A79" s="30" t="str">
        <x:v>AUD078</x:v>
      </x:c>
      <x:c r="B79" s="30" t="str">
        <x:v>COMP038</x:v>
      </x:c>
      <x:c r="C79" s="30" t="str">
        <x:v>Review recall communication and receipt documentation.</x:v>
      </x:c>
      <x:c r="D79" s="30" t="str">
        <x:v>Document Review</x:v>
      </x:c>
      <x:c r="E79" s="30" t="str">
        <x:v>Event Based</x:v>
      </x:c>
      <x:c r="F79" s="30" t="str">
        <x:v>CORE</x:v>
      </x:c>
      <x:c r="G79" s="30" t="str">
        <x:v>Inventory Controls</x:v>
      </x:c>
      <x:c r="H79" s="30" t="str">
        <x:v>No</x:v>
      </x:c>
      <x:c r="I79" s="30" t="str">
        <x:v>P-4 QUARANTINED with inactive parent compliance; legacy ID retained.</x:v>
      </x:c>
    </x:row>
    <x:row r="80">
      <x:c r="A80" s="30" t="str">
        <x:v>AUD079</x:v>
      </x:c>
      <x:c r="B80" s="30" t="str">
        <x:v>COMP039</x:v>
      </x:c>
      <x:c r="C80" s="30" t="str">
        <x:v>Verify that procurement documentation is retained for the statutory retention period.</x:v>
      </x:c>
      <x:c r="D80" s="30" t="str">
        <x:v>Record Verification</x:v>
      </x:c>
      <x:c r="E80" s="30" t="str">
        <x:v>Annual</x:v>
      </x:c>
      <x:c r="F80" s="30" t="str">
        <x:v>CORE</x:v>
      </x:c>
      <x:c r="G80" s="30" t="str">
        <x:v>Procurement Controls</x:v>
      </x:c>
      <x:c r="H80" s="30" t="str">
        <x:v>No</x:v>
      </x:c>
      <x:c r="I80" s="30" t="str">
        <x:v>P-4 QUARANTINED with inactive parent compliance; legacy ID retained.</x:v>
      </x:c>
    </x:row>
    <x:row r="81">
      <x:c r="A81" s="30" t="str">
        <x:v>AUD080</x:v>
      </x:c>
      <x:c r="B81" s="30" t="str">
        <x:v>COMP039</x:v>
      </x:c>
      <x:c r="C81" s="30" t="str">
        <x:v>Inspect archived procurement records for completeness.</x:v>
      </x:c>
      <x:c r="D81" s="30" t="str">
        <x:v>Physical Inspection</x:v>
      </x:c>
      <x:c r="E81" s="30" t="str">
        <x:v>Annual</x:v>
      </x:c>
      <x:c r="F81" s="30" t="str">
        <x:v>CORE</x:v>
      </x:c>
      <x:c r="G81" s="30" t="str">
        <x:v>Procurement Controls</x:v>
      </x:c>
      <x:c r="H81" s="30" t="str">
        <x:v>No</x:v>
      </x:c>
      <x:c r="I81" s="30" t="str">
        <x:v>P-4 QUARANTINED with inactive parent compliance; legacy ID retained.</x:v>
      </x:c>
    </x:row>
    <x:row r="82">
      <x:c r="A82" s="30" t="str">
        <x:v>AUD081</x:v>
      </x:c>
      <x:c r="B82" s="30" t="str">
        <x:v>COMP040</x:v>
      </x:c>
      <x:c r="C82" s="30" t="str">
        <x:v>Verify that electronic procurement systems restrict unauthorized modifications to purchase records.</x:v>
      </x:c>
      <x:c r="D82" s="30" t="str">
        <x:v>System Verification</x:v>
      </x:c>
      <x:c r="E82" s="30" t="str">
        <x:v>Quarterly</x:v>
      </x:c>
      <x:c r="F82" s="30" t="str">
        <x:v>CORE</x:v>
      </x:c>
      <x:c r="G82" s="30" t="str">
        <x:v>Digital Controls</x:v>
      </x:c>
      <x:c r="H82" s="30" t="str">
        <x:v>No</x:v>
      </x:c>
      <x:c r="I82" s="30" t="str">
        <x:v>P-4 QUARANTINED with inactive parent compliance; legacy ID retained.</x:v>
      </x:c>
    </x:row>
    <x:row r="83">
      <x:c r="A83" s="30" t="str">
        <x:v>AUD082</x:v>
      </x:c>
      <x:c r="B83" s="30" t="str">
        <x:v>COMP040</x:v>
      </x:c>
      <x:c r="C83" s="30" t="str">
        <x:v>Review audit trail logs for procurement transactions.</x:v>
      </x:c>
      <x:c r="D83" s="30" t="str">
        <x:v>System Verification</x:v>
      </x:c>
      <x:c r="E83" s="30" t="str">
        <x:v>Quarterly</x:v>
      </x:c>
      <x:c r="F83" s="30" t="str">
        <x:v>CORE</x:v>
      </x:c>
      <x:c r="G83" s="30" t="str">
        <x:v>Procurement Controls</x:v>
      </x:c>
      <x:c r="H83" s="30" t="str">
        <x:v>No</x:v>
      </x:c>
      <x:c r="I83" s="30" t="str">
        <x:v>P-4 QUARANTINED with inactive parent compliance; legacy ID retained.</x:v>
      </x:c>
    </x:row>
    <x:row r="84">
      <x:c r="A84" s="30" t="str">
        <x:v>AUD083</x:v>
      </x:c>
      <x:c r="B84" s="30" t="str">
        <x:v>COMP041</x:v>
      </x:c>
      <x:c r="C84" s="30" t="str">
        <x:v>Verify that all procured products possess valid manufacturing and expiry information.</x:v>
      </x:c>
      <x:c r="D84" s="30" t="str">
        <x:v>Physical Inspection</x:v>
      </x:c>
      <x:c r="E84" s="30" t="str">
        <x:v>As Applicable</x:v>
      </x:c>
      <x:c r="F84" s="30" t="str">
        <x:v>CORE</x:v>
      </x:c>
      <x:c r="G84" s="30" t="str">
        <x:v>Inventory Controls</x:v>
      </x:c>
      <x:c r="H84" s="30" t="str">
        <x:v>Yes</x:v>
      </x:c>
      <x:c r="I84" s="30" t="str">
        <x:v>Products lacking required information should be rejected.</x:v>
      </x:c>
    </x:row>
    <x:row r="85">
      <x:c r="A85" s="30" t="str">
        <x:v>AUD084</x:v>
      </x:c>
      <x:c r="B85" s="30" t="str">
        <x:v>COMP041</x:v>
      </x:c>
      <x:c r="C85" s="30" t="str">
        <x:v>Inspect product labels for statutory particulars.</x:v>
      </x:c>
      <x:c r="D85" s="30" t="str">
        <x:v>Physical Inspection</x:v>
      </x:c>
      <x:c r="E85" s="30" t="str">
        <x:v>As Applicable</x:v>
      </x:c>
      <x:c r="F85" s="30" t="str">
        <x:v>CORE</x:v>
      </x:c>
      <x:c r="G85" s="30" t="str">
        <x:v>General Compliance</x:v>
      </x:c>
      <x:c r="H85" s="30" t="str">
        <x:v>Yes</x:v>
      </x:c>
      <x:c r="I85" s="30" t="str">
        <x:v>Labels should be legible and complete.</x:v>
      </x:c>
    </x:row>
    <x:row r="86">
      <x:c r="A86" s="30" t="str">
        <x:v>AUD085</x:v>
      </x:c>
      <x:c r="B86" s="30" t="str">
        <x:v>COMP042</x:v>
      </x:c>
      <x:c r="C86" s="30" t="str">
        <x:v>Verify that imported drugs are procured only with applicable regulatory approvals.</x:v>
      </x:c>
      <x:c r="D86" s="30" t="str">
        <x:v>Document Review</x:v>
      </x:c>
      <x:c r="E86" s="30" t="str">
        <x:v>As Applicable</x:v>
      </x:c>
      <x:c r="F86" s="30" t="str">
        <x:v>CORE</x:v>
      </x:c>
      <x:c r="G86" s="30" t="str">
        <x:v>General Compliance</x:v>
      </x:c>
      <x:c r="H86" s="30" t="str">
        <x:v>Yes</x:v>
      </x:c>
      <x:c r="I86" s="30" t="str">
        <x:v>Applicable only for imported products.</x:v>
      </x:c>
    </x:row>
    <x:row r="87">
      <x:c r="A87" s="30" t="str">
        <x:v>AUD086</x:v>
      </x:c>
      <x:c r="B87" s="30" t="str">
        <x:v>COMP042</x:v>
      </x:c>
      <x:c r="C87" s="30" t="str">
        <x:v>Review import-related approvals and supporting documents.</x:v>
      </x:c>
      <x:c r="D87" s="30" t="str">
        <x:v>Record Verification</x:v>
      </x:c>
      <x:c r="E87" s="30" t="str">
        <x:v>As Applicable</x:v>
      </x:c>
      <x:c r="F87" s="30" t="str">
        <x:v>CORE</x:v>
      </x:c>
      <x:c r="G87" s="30" t="str">
        <x:v>Recordkeeping</x:v>
      </x:c>
      <x:c r="H87" s="30" t="str">
        <x:v>Yes</x:v>
      </x:c>
      <x:c r="I87" s="30" t="str">
        <x:v>Verify authenticity of approvals.</x:v>
      </x:c>
    </x:row>
    <x:row r="88">
      <x:c r="A88" s="30" t="str">
        <x:v>AUD087</x:v>
      </x:c>
      <x:c r="B88" s="30" t="str">
        <x:v>COMP043</x:v>
      </x:c>
      <x:c r="C88" s="30" t="str">
        <x:v>Verify that procurement personnel follow approved purchasing procedures.</x:v>
      </x:c>
      <x:c r="D88" s="30" t="str">
        <x:v>Document Review</x:v>
      </x:c>
      <x:c r="E88" s="30" t="str">
        <x:v>Annual</x:v>
      </x:c>
      <x:c r="F88" s="30" t="str">
        <x:v>CORE</x:v>
      </x:c>
      <x:c r="G88" s="30" t="str">
        <x:v>Personnel Competency</x:v>
      </x:c>
      <x:c r="H88" s="30" t="str">
        <x:v>Yes</x:v>
      </x:c>
      <x:c r="I88" s="30" t="str">
        <x:v>Confirm adherence to SOPs.</x:v>
      </x:c>
    </x:row>
    <x:row r="89">
      <x:c r="A89" s="30" t="str">
        <x:v>AUD088</x:v>
      </x:c>
      <x:c r="B89" s="30" t="str">
        <x:v>COMP043</x:v>
      </x:c>
      <x:c r="C89" s="30" t="str">
        <x:v>Interview responsible personnel regarding procurement controls.</x:v>
      </x:c>
      <x:c r="D89" s="30" t="str">
        <x:v>Interview</x:v>
      </x:c>
      <x:c r="E89" s="30" t="str">
        <x:v>Annual</x:v>
      </x:c>
      <x:c r="F89" s="30" t="str">
        <x:v>CORE</x:v>
      </x:c>
      <x:c r="G89" s="30" t="str">
        <x:v>Personnel Competency</x:v>
      </x:c>
      <x:c r="H89" s="30" t="str">
        <x:v>Yes</x:v>
      </x:c>
      <x:c r="I89" s="30" t="str">
        <x:v>Verify awareness of procedures.</x:v>
      </x:c>
    </x:row>
    <x:row r="90">
      <x:c r="A90" s="30" t="str">
        <x:v>AUD089</x:v>
      </x:c>
      <x:c r="B90" s="30" t="str">
        <x:v>COMP044</x:v>
      </x:c>
      <x:c r="C90" s="30" t="str">
        <x:v>Verify that vendor master records are periodically reviewed and updated.</x:v>
      </x:c>
      <x:c r="D90" s="30" t="str">
        <x:v>System Verification</x:v>
      </x:c>
      <x:c r="E90" s="30" t="str">
        <x:v>Annual</x:v>
      </x:c>
      <x:c r="F90" s="30" t="str">
        <x:v>CORE</x:v>
      </x:c>
      <x:c r="G90" s="30" t="str">
        <x:v>Procurement Controls</x:v>
      </x:c>
      <x:c r="H90" s="30" t="str">
        <x:v>Yes</x:v>
      </x:c>
      <x:c r="I90" s="30" t="str">
        <x:v>Inactive vendors should be appropriately managed.</x:v>
      </x:c>
    </x:row>
    <x:row r="91">
      <x:c r="A91" s="30" t="str">
        <x:v>AUD090</x:v>
      </x:c>
      <x:c r="B91" s="30" t="str">
        <x:v>COMP044</x:v>
      </x:c>
      <x:c r="C91" s="30" t="str">
        <x:v>Examine evidence of vendor master review and approvals.</x:v>
      </x:c>
      <x:c r="D91" s="30" t="str">
        <x:v>Document Review</x:v>
      </x:c>
      <x:c r="E91" s="30" t="str">
        <x:v>Annual</x:v>
      </x:c>
      <x:c r="F91" s="30" t="str">
        <x:v>CORE</x:v>
      </x:c>
      <x:c r="G91" s="30" t="str">
        <x:v>Procurement Controls</x:v>
      </x:c>
      <x:c r="H91" s="30" t="str">
        <x:v>Yes</x:v>
      </x:c>
      <x:c r="I91" s="30" t="str">
        <x:v>Review changes made during the period.</x:v>
      </x:c>
    </x:row>
    <x:row r="92">
      <x:c r="A92" s="30" t="str">
        <x:v>AUD091</x:v>
      </x:c>
      <x:c r="B92" s="30" t="str">
        <x:v>COMP045</x:v>
      </x:c>
      <x:c r="C92" s="30" t="str">
        <x:v>Verify that emergency procurement follows approved authorization procedures.</x:v>
      </x:c>
      <x:c r="D92" s="30" t="str">
        <x:v>Document Review</x:v>
      </x:c>
      <x:c r="E92" s="30" t="str">
        <x:v>Event Based</x:v>
      </x:c>
      <x:c r="F92" s="30" t="str">
        <x:v>CORE</x:v>
      </x:c>
      <x:c r="G92" s="30" t="str">
        <x:v>SOP &amp; Training</x:v>
      </x:c>
      <x:c r="H92" s="30" t="str">
        <x:v>Yes</x:v>
      </x:c>
      <x:c r="I92" s="30" t="str">
        <x:v>Emergency purchases should be justified.</x:v>
      </x:c>
    </x:row>
    <x:row r="93">
      <x:c r="A93" s="30" t="str">
        <x:v>AUD092</x:v>
      </x:c>
      <x:c r="B93" s="30" t="str">
        <x:v>COMP045</x:v>
      </x:c>
      <x:c r="C93" s="30" t="str">
        <x:v>Review approvals supporting emergency procurement transactions.</x:v>
      </x:c>
      <x:c r="D93" s="30" t="str">
        <x:v>Record Verification</x:v>
      </x:c>
      <x:c r="E93" s="30" t="str">
        <x:v>Event Based</x:v>
      </x:c>
      <x:c r="F93" s="30" t="str">
        <x:v>CORE</x:v>
      </x:c>
      <x:c r="G93" s="30" t="str">
        <x:v>Procurement Controls</x:v>
      </x:c>
      <x:c r="H93" s="30" t="str">
        <x:v>Yes</x:v>
      </x:c>
      <x:c r="I93" s="30" t="str">
        <x:v>Verify competent authority approval.</x:v>
      </x:c>
    </x:row>
    <x:row r="94">
      <x:c r="A94" s="30" t="str">
        <x:v>AUD093</x:v>
      </x:c>
      <x:c r="B94" s="30" t="str">
        <x:v>COMP046</x:v>
      </x:c>
      <x:c r="C94" s="30" t="str">
        <x:v>Verify that procurement deviations are documented and investigated.</x:v>
      </x:c>
      <x:c r="D94" s="30" t="str">
        <x:v>Record Verification</x:v>
      </x:c>
      <x:c r="E94" s="30" t="str">
        <x:v>Monthly</x:v>
      </x:c>
      <x:c r="F94" s="30" t="str">
        <x:v>CORE</x:v>
      </x:c>
      <x:c r="G94" s="30" t="str">
        <x:v>Procurement Controls</x:v>
      </x:c>
      <x:c r="H94" s="30" t="str">
        <x:v>Yes</x:v>
      </x:c>
      <x:c r="I94" s="30" t="str">
        <x:v>Root cause analysis should be available.</x:v>
      </x:c>
    </x:row>
    <x:row r="95">
      <x:c r="A95" s="30" t="str">
        <x:v>AUD094</x:v>
      </x:c>
      <x:c r="B95" s="30" t="str">
        <x:v>COMP046</x:v>
      </x:c>
      <x:c r="C95" s="30" t="str">
        <x:v>Review corrective and preventive actions arising from procurement deviations.</x:v>
      </x:c>
      <x:c r="D95" s="30" t="str">
        <x:v>Document Review</x:v>
      </x:c>
      <x:c r="E95" s="30" t="str">
        <x:v>Monthly</x:v>
      </x:c>
      <x:c r="F95" s="30" t="str">
        <x:v>CORE</x:v>
      </x:c>
      <x:c r="G95" s="30" t="str">
        <x:v>Procurement Controls</x:v>
      </x:c>
      <x:c r="H95" s="30" t="str">
        <x:v>Yes</x:v>
      </x:c>
      <x:c r="I95" s="30" t="str">
        <x:v>Verify implementation effectiveness.</x:v>
      </x:c>
    </x:row>
    <x:row r="96">
      <x:c r="A96" s="30" t="str">
        <x:v>AUD095</x:v>
      </x:c>
      <x:c r="B96" s="30" t="str">
        <x:v>COMP047</x:v>
      </x:c>
      <x:c r="C96" s="30" t="str">
        <x:v>Verify that procurement records support complete product traceability.</x:v>
      </x:c>
      <x:c r="D96" s="30" t="str">
        <x:v>Record Verification</x:v>
      </x:c>
      <x:c r="E96" s="30" t="str">
        <x:v>Quarterly</x:v>
      </x:c>
      <x:c r="F96" s="30" t="str">
        <x:v>CORE</x:v>
      </x:c>
      <x:c r="G96" s="30" t="str">
        <x:v>Procurement Controls</x:v>
      </x:c>
      <x:c r="H96" s="30" t="str">
        <x:v>Yes</x:v>
      </x:c>
      <x:c r="I96" s="30" t="str">
        <x:v>Records should enable batch-level tracing.</x:v>
      </x:c>
    </x:row>
    <x:row r="97">
      <x:c r="A97" s="30" t="str">
        <x:v>AUD096</x:v>
      </x:c>
      <x:c r="B97" s="30" t="str">
        <x:v>COMP047</x:v>
      </x:c>
      <x:c r="C97" s="30" t="str">
        <x:v>Conduct sample traceability exercise from supplier invoice to inventory.</x:v>
      </x:c>
      <x:c r="D97" s="30" t="str">
        <x:v>Sampling</x:v>
      </x:c>
      <x:c r="E97" s="30" t="str">
        <x:v>Quarterly</x:v>
      </x:c>
      <x:c r="F97" s="30" t="str">
        <x:v>CORE</x:v>
      </x:c>
      <x:c r="G97" s="30" t="str">
        <x:v>Inventory Controls</x:v>
      </x:c>
      <x:c r="H97" s="30" t="str">
        <x:v>Yes</x:v>
      </x:c>
      <x:c r="I97" s="30" t="str">
        <x:v>Document traceability results.</x:v>
      </x:c>
    </x:row>
    <x:row r="98">
      <x:c r="A98" s="30" t="str">
        <x:v>AUD097</x:v>
      </x:c>
      <x:c r="B98" s="30" t="str">
        <x:v>COMP048</x:v>
      </x:c>
      <x:c r="C98" s="30" t="str">
        <x:v>Verify that duplicate procurement documents are adequately controlled.</x:v>
      </x:c>
      <x:c r="D98" s="30" t="str">
        <x:v>Document Review</x:v>
      </x:c>
      <x:c r="E98" s="30" t="str">
        <x:v>Annual</x:v>
      </x:c>
      <x:c r="F98" s="30" t="str">
        <x:v>CORE</x:v>
      </x:c>
      <x:c r="G98" s="30" t="str">
        <x:v>Procurement Controls</x:v>
      </x:c>
      <x:c r="H98" s="30" t="str">
        <x:v>Yes</x:v>
      </x:c>
      <x:c r="I98" s="30" t="str">
        <x:v>Prevent duplicate processing.</x:v>
      </x:c>
    </x:row>
    <x:row r="99">
      <x:c r="A99" s="30" t="str">
        <x:v>AUD098</x:v>
      </x:c>
      <x:c r="B99" s="30" t="str">
        <x:v>COMP048</x:v>
      </x:c>
      <x:c r="C99" s="30" t="str">
        <x:v>Inspect document control procedures for procurement records.</x:v>
      </x:c>
      <x:c r="D99" s="30" t="str">
        <x:v>Physical Inspection</x:v>
      </x:c>
      <x:c r="E99" s="30" t="str">
        <x:v>Annual</x:v>
      </x:c>
      <x:c r="F99" s="30" t="str">
        <x:v>CORE</x:v>
      </x:c>
      <x:c r="G99" s="30" t="str">
        <x:v>SOP &amp; Training</x:v>
      </x:c>
      <x:c r="H99" s="30" t="str">
        <x:v>Yes</x:v>
      </x:c>
      <x:c r="I99" s="30" t="str">
        <x:v>Document versions should be controlled.</x:v>
      </x:c>
    </x:row>
    <x:row r="100">
      <x:c r="A100" s="30" t="str">
        <x:v>AUD099</x:v>
      </x:c>
      <x:c r="B100" s="30" t="str">
        <x:v>COMP049</x:v>
      </x:c>
      <x:c r="C100" s="30" t="str">
        <x:v>Verify that procurement-related non-conformities are periodically reviewed by management.</x:v>
      </x:c>
      <x:c r="D100" s="30" t="str">
        <x:v>Document Review</x:v>
      </x:c>
      <x:c r="E100" s="30" t="str">
        <x:v>Quarterly</x:v>
      </x:c>
      <x:c r="F100" s="30" t="str">
        <x:v>CORE</x:v>
      </x:c>
      <x:c r="G100" s="30" t="str">
        <x:v>Procurement Controls</x:v>
      </x:c>
      <x:c r="H100" s="30" t="str">
        <x:v>Yes</x:v>
      </x:c>
      <x:c r="I100" s="30" t="str">
        <x:v>Review meeting minutes and action plans.</x:v>
      </x:c>
    </x:row>
    <x:row r="101">
      <x:c r="A101" s="30" t="str">
        <x:v>AUD100</x:v>
      </x:c>
      <x:c r="B101" s="30" t="str">
        <x:v>COMP049</x:v>
      </x:c>
      <x:c r="C101" s="30" t="str">
        <x:v>Examine evidence of corrective action closure.</x:v>
      </x:c>
      <x:c r="D101" s="30" t="str">
        <x:v>Record Verification</x:v>
      </x:c>
      <x:c r="E101" s="30" t="str">
        <x:v>Quarterly</x:v>
      </x:c>
      <x:c r="F101" s="30" t="str">
        <x:v>CORE</x:v>
      </x:c>
      <x:c r="G101" s="30" t="str">
        <x:v>General Compliance</x:v>
      </x:c>
      <x:c r="H101" s="30" t="str">
        <x:v>Yes</x:v>
      </x:c>
      <x:c r="I101" s="30" t="str">
        <x:v>Verify timely implementation.</x:v>
      </x:c>
    </x:row>
    <x:row r="102">
      <x:c r="A102" s="30" t="str">
        <x:v>AUD101</x:v>
      </x:c>
      <x:c r="B102" s="30" t="str">
        <x:v>COMP050</x:v>
      </x:c>
      <x:c r="C102" s="30" t="str">
        <x:v>Verify that internal audits include procurement compliance controls.</x:v>
      </x:c>
      <x:c r="D102" s="30" t="str">
        <x:v>Document Review</x:v>
      </x:c>
      <x:c r="E102" s="30" t="str">
        <x:v>Annual</x:v>
      </x:c>
      <x:c r="F102" s="30" t="str">
        <x:v>CORE</x:v>
      </x:c>
      <x:c r="G102" s="30" t="str">
        <x:v>Procurement Controls</x:v>
      </x:c>
      <x:c r="H102" s="30" t="str">
        <x:v>Yes</x:v>
      </x:c>
      <x:c r="I102" s="30" t="str">
        <x:v>Audit scope should cover procurement activities.</x:v>
      </x:c>
    </x:row>
    <x:row r="103">
      <x:c r="A103" s="30" t="str">
        <x:v>AUD102</x:v>
      </x:c>
      <x:c r="B103" s="30" t="str">
        <x:v>COMP050</x:v>
      </x:c>
      <x:c r="C103" s="30" t="str">
        <x:v>Review internal audit observations related to procurement.</x:v>
      </x:c>
      <x:c r="D103" s="30" t="str">
        <x:v>Observation</x:v>
      </x:c>
      <x:c r="E103" s="30" t="str">
        <x:v>Annual</x:v>
      </x:c>
      <x:c r="F103" s="30" t="str">
        <x:v>CORE</x:v>
      </x:c>
      <x:c r="G103" s="30" t="str">
        <x:v>Procurement Controls</x:v>
      </x:c>
      <x:c r="H103" s="30" t="str">
        <x:v>Yes</x:v>
      </x:c>
      <x:c r="I103" s="30" t="str">
        <x:v>Verify closure status.</x:v>
      </x:c>
    </x:row>
    <x:row r="104">
      <x:c r="A104" s="30" t="str">
        <x:v>AUD103</x:v>
      </x:c>
      <x:c r="B104" s="30" t="str">
        <x:v>COMP050</x:v>
      </x:c>
      <x:c r="C104" s="30" t="str">
        <x:v>Validate implementation of corrective actions arising from procurement audit findings.</x:v>
      </x:c>
      <x:c r="D104" s="30" t="str">
        <x:v>Document Review</x:v>
      </x:c>
      <x:c r="E104" s="30" t="str">
        <x:v>Quarterly</x:v>
      </x:c>
      <x:c r="F104" s="30" t="str">
        <x:v>CORE</x:v>
      </x:c>
      <x:c r="G104" s="30" t="str">
        <x:v>Procurement Controls</x:v>
      </x:c>
      <x:c r="H104" s="30" t="str">
        <x:v>Yes</x:v>
      </x:c>
      <x:c r="I104" s="30" t="str">
        <x:v>Confirm effectiveness of corrective actions.</x:v>
      </x:c>
    </x:row>
    <x:row r="105">
      <x:c r="A105" s="30" t="str">
        <x:v>AUD104</x:v>
      </x:c>
      <x:c r="B105" s="30" t="str">
        <x:v>COMP050</x:v>
      </x:c>
      <x:c r="C105" s="30" t="str">
        <x:v>Conduct a walkthrough of the end-to-end procurement process to verify control effectiveness.</x:v>
      </x:c>
      <x:c r="D105" s="30" t="str">
        <x:v>Document Review</x:v>
      </x:c>
      <x:c r="E105" s="30" t="str">
        <x:v>Annual</x:v>
      </x:c>
      <x:c r="F105" s="30" t="str">
        <x:v>CORE</x:v>
      </x:c>
      <x:c r="G105" s="30" t="str">
        <x:v>Procurement Controls</x:v>
      </x:c>
      <x:c r="H105" s="30" t="str">
        <x:v>Yes</x:v>
      </x:c>
      <x:c r="I105" s="30" t="str">
        <x:v>Include purchase requisition through goods receipt.</x:v>
      </x:c>
    </x:row>
    <x:row r="106">
      <x:c r="A106" s="30" t="str">
        <x:v>AUD105</x:v>
      </x:c>
      <x:c r="B106" s="30" t="str">
        <x:v>COMP050</x:v>
      </x:c>
      <x:c r="C106" s="30" t="str">
        <x:v>Reconcile procurement controls with applicable SOPs and regulatory requirements.</x:v>
      </x:c>
      <x:c r="D106" s="30" t="str">
        <x:v>Reconciliation</x:v>
      </x:c>
      <x:c r="E106" s="30" t="str">
        <x:v>Annual</x:v>
      </x:c>
      <x:c r="F106" s="30" t="str">
        <x:v>CORE</x:v>
      </x:c>
      <x:c r="G106" s="30" t="str">
        <x:v>SOP &amp; Training</x:v>
      </x:c>
      <x:c r="H106" s="30" t="str">
        <x:v>Yes</x:v>
      </x:c>
      <x:c r="I106" s="30" t="str">
        <x:v>Document any control gaps identified.</x:v>
      </x:c>
    </x:row>
    <x:row r="107">
      <x:c r="A107" s="30" t="str">
        <x:v>AUD106</x:v>
      </x:c>
      <x:c r="B107" s="30" t="str">
        <x:v>COMP051</x:v>
      </x:c>
      <x:c r="C107" s="30" t="str">
        <x:v>Verify that all medicines are stored under conditions specified by the manufacturer.</x:v>
      </x:c>
      <x:c r="D107" s="30" t="str">
        <x:v>Physical Inspection</x:v>
      </x:c>
      <x:c r="E107" s="30" t="str">
        <x:v>Monthly</x:v>
      </x:c>
      <x:c r="F107" s="30" t="str">
        <x:v>CORE</x:v>
      </x:c>
      <x:c r="G107" s="30" t="str">
        <x:v>General Compliance</x:v>
      </x:c>
      <x:c r="H107" s="30" t="str">
        <x:v>No</x:v>
      </x:c>
      <x:c r="I107" s="30" t="str">
        <x:v>P-3 QUARANTINED: Generic State/local/permit/reference rows, penalty-only/fabricated DAMR extractions, and future-effective DPDP duties are not current production obligations.</x:v>
      </x:c>
    </x:row>
    <x:row r="108">
      <x:c r="A108" s="30" t="str">
        <x:v>AUD107</x:v>
      </x:c>
      <x:c r="B108" s="30" t="str">
        <x:v>COMP051</x:v>
      </x:c>
      <x:c r="C108" s="30" t="str">
        <x:v>Review storage SOPs and environmental monitoring records.</x:v>
      </x:c>
      <x:c r="D108" s="30" t="str">
        <x:v>Record Verification</x:v>
      </x:c>
      <x:c r="E108" s="30" t="str">
        <x:v>Monthly</x:v>
      </x:c>
      <x:c r="F108" s="30" t="str">
        <x:v>CORE</x:v>
      </x:c>
      <x:c r="G108" s="30" t="str">
        <x:v>Storage Controls</x:v>
      </x:c>
      <x:c r="H108" s="30" t="str">
        <x:v>No</x:v>
      </x:c>
      <x:c r="I108" s="30" t="str">
        <x:v>P-3 QUARANTINED: Generic State/local/permit/reference rows, penalty-only/fabricated DAMR extractions, and future-effective DPDP duties are not current production obligations.</x:v>
      </x:c>
    </x:row>
    <x:row r="109">
      <x:c r="A109" s="30" t="str">
        <x:v>AUD108</x:v>
      </x:c>
      <x:c r="B109" s="30" t="str">
        <x:v>COMP052</x:v>
      </x:c>
      <x:c r="C109" s="30" t="str">
        <x:v>Verify that storage temperature is continuously monitored and recorded.</x:v>
      </x:c>
      <x:c r="D109" s="30" t="str">
        <x:v>Record Verification</x:v>
      </x:c>
      <x:c r="E109" s="30" t="str">
        <x:v>Daily</x:v>
      </x:c>
      <x:c r="F109" s="30" t="str">
        <x:v>CORE</x:v>
      </x:c>
      <x:c r="G109" s="30" t="str">
        <x:v>Storage Controls</x:v>
      </x:c>
      <x:c r="H109" s="30" t="str">
        <x:v>No</x:v>
      </x:c>
      <x:c r="I109" s="30" t="str">
        <x:v>P-3 QUARANTINED: Generic State/local/permit/reference rows, penalty-only/fabricated DAMR extractions, and future-effective DPDP duties are not current production obligations.</x:v>
      </x:c>
    </x:row>
    <x:row r="110">
      <x:c r="A110" s="30" t="str">
        <x:v>AUD109</x:v>
      </x:c>
      <x:c r="B110" s="30" t="str">
        <x:v>COMP052</x:v>
      </x:c>
      <x:c r="C110" s="30" t="str">
        <x:v>Validate calibration status of temperature monitoring devices.</x:v>
      </x:c>
      <x:c r="D110" s="30" t="str">
        <x:v>Document Review</x:v>
      </x:c>
      <x:c r="E110" s="30" t="str">
        <x:v>Annual</x:v>
      </x:c>
      <x:c r="F110" s="30" t="str">
        <x:v>CORE</x:v>
      </x:c>
      <x:c r="G110" s="30" t="str">
        <x:v>Storage Controls</x:v>
      </x:c>
      <x:c r="H110" s="30" t="str">
        <x:v>No</x:v>
      </x:c>
      <x:c r="I110" s="30" t="str">
        <x:v>P-3 QUARANTINED: Generic State/local/permit/reference rows, penalty-only/fabricated DAMR extractions, and future-effective DPDP duties are not current production obligations.</x:v>
      </x:c>
    </x:row>
    <x:row r="111">
      <x:c r="A111" s="30" t="str">
        <x:v>AUD110</x:v>
      </x:c>
      <x:c r="B111" s="30" t="str">
        <x:v>COMP053</x:v>
      </x:c>
      <x:c r="C111" s="30" t="str">
        <x:v>Verify that humidity is monitored where required for specific products.</x:v>
      </x:c>
      <x:c r="D111" s="30" t="str">
        <x:v>Record Verification</x:v>
      </x:c>
      <x:c r="E111" s="30" t="str">
        <x:v>Daily</x:v>
      </x:c>
      <x:c r="F111" s="30" t="str">
        <x:v>CORE</x:v>
      </x:c>
      <x:c r="G111" s="30" t="str">
        <x:v>Storage Controls</x:v>
      </x:c>
      <x:c r="H111" s="30" t="str">
        <x:v>No</x:v>
      </x:c>
      <x:c r="I111" s="30" t="str">
        <x:v>P-3 QUARANTINED: Generic State/local/permit/reference rows, penalty-only/fabricated DAMR extractions, and future-effective DPDP duties are not current production obligations.</x:v>
      </x:c>
    </x:row>
    <x:row r="112">
      <x:c r="A112" s="30" t="str">
        <x:v>AUD111</x:v>
      </x:c>
      <x:c r="B112" s="30" t="str">
        <x:v>COMP053</x:v>
      </x:c>
      <x:c r="C112" s="30" t="str">
        <x:v>Inspect humidity monitoring equipment for operational status.</x:v>
      </x:c>
      <x:c r="D112" s="30" t="str">
        <x:v>Physical Inspection</x:v>
      </x:c>
      <x:c r="E112" s="30" t="str">
        <x:v>Monthly</x:v>
      </x:c>
      <x:c r="F112" s="30" t="str">
        <x:v>CORE</x:v>
      </x:c>
      <x:c r="G112" s="30" t="str">
        <x:v>Storage Controls</x:v>
      </x:c>
      <x:c r="H112" s="30" t="str">
        <x:v>No</x:v>
      </x:c>
      <x:c r="I112" s="30" t="str">
        <x:v>P-3 QUARANTINED: Generic State/local/permit/reference rows, penalty-only/fabricated DAMR extractions, and future-effective DPDP duties are not current production obligations.</x:v>
      </x:c>
    </x:row>
    <x:row r="113">
      <x:c r="A113" s="30" t="str">
        <x:v>AUD112</x:v>
      </x:c>
      <x:c r="B113" s="30" t="str">
        <x:v>COMP054</x:v>
      </x:c>
      <x:c r="C113" s="30" t="str">
        <x:v>Verify that refrigerated medicines are stored within the prescribed temperature range.</x:v>
      </x:c>
      <x:c r="D113" s="30" t="str">
        <x:v>Physical Inspection</x:v>
      </x:c>
      <x:c r="E113" s="30" t="str">
        <x:v>Daily</x:v>
      </x:c>
      <x:c r="F113" s="30" t="str">
        <x:v>CORE</x:v>
      </x:c>
      <x:c r="G113" s="30" t="str">
        <x:v>Storage Controls</x:v>
      </x:c>
      <x:c r="H113" s="30" t="str">
        <x:v>No</x:v>
      </x:c>
      <x:c r="I113" s="30" t="str">
        <x:v>P-3 QUARANTINED: Generic State/local/permit/reference rows, penalty-only/fabricated DAMR extractions, and future-effective DPDP duties are not current production obligations.</x:v>
      </x:c>
    </x:row>
    <x:row r="114">
      <x:c r="A114" s="30" t="str">
        <x:v>AUD113</x:v>
      </x:c>
      <x:c r="B114" s="30" t="str">
        <x:v>COMP054</x:v>
      </x:c>
      <x:c r="C114" s="30" t="str">
        <x:v>Review refrigerator temperature logs for deviations and corrective actions.</x:v>
      </x:c>
      <x:c r="D114" s="30" t="str">
        <x:v>Record Verification</x:v>
      </x:c>
      <x:c r="E114" s="30" t="str">
        <x:v>Daily</x:v>
      </x:c>
      <x:c r="F114" s="30" t="str">
        <x:v>CORE</x:v>
      </x:c>
      <x:c r="G114" s="30" t="str">
        <x:v>Storage Controls</x:v>
      </x:c>
      <x:c r="H114" s="30" t="str">
        <x:v>No</x:v>
      </x:c>
      <x:c r="I114" s="30" t="str">
        <x:v>P-3 QUARANTINED: Generic State/local/permit/reference rows, penalty-only/fabricated DAMR extractions, and future-effective DPDP duties are not current production obligations.</x:v>
      </x:c>
    </x:row>
    <x:row r="115">
      <x:c r="A115" s="30" t="str">
        <x:v>AUD114</x:v>
      </x:c>
      <x:c r="B115" s="30" t="str">
        <x:v>COMP055</x:v>
      </x:c>
      <x:c r="C115" s="30" t="str">
        <x:v>Verify that refrigerators used for medicine storage are dedicated for pharmaceutical products.</x:v>
      </x:c>
      <x:c r="D115" s="30" t="str">
        <x:v>Physical Inspection</x:v>
      </x:c>
      <x:c r="E115" s="30" t="str">
        <x:v>Quarterly</x:v>
      </x:c>
      <x:c r="F115" s="30" t="str">
        <x:v>CORE</x:v>
      </x:c>
      <x:c r="G115" s="30" t="str">
        <x:v>Storage Controls</x:v>
      </x:c>
      <x:c r="H115" s="30" t="str">
        <x:v>No</x:v>
      </x:c>
      <x:c r="I115" s="30" t="str">
        <x:v>P-3 QUARANTINED: Generic State/local/permit/reference rows, penalty-only/fabricated DAMR extractions, and future-effective DPDP duties are not current production obligations.</x:v>
      </x:c>
    </x:row>
    <x:row r="116">
      <x:c r="A116" s="30" t="str">
        <x:v>AUD115</x:v>
      </x:c>
      <x:c r="B116" s="30" t="str">
        <x:v>COMP055</x:v>
      </x:c>
      <x:c r="C116" s="30" t="str">
        <x:v>Observe storage practices to ensure segregation from non-pharmaceutical items.</x:v>
      </x:c>
      <x:c r="D116" s="30" t="str">
        <x:v>Observation</x:v>
      </x:c>
      <x:c r="E116" s="30" t="str">
        <x:v>Quarterly</x:v>
      </x:c>
      <x:c r="F116" s="30" t="str">
        <x:v>CORE</x:v>
      </x:c>
      <x:c r="G116" s="30" t="str">
        <x:v>Storage Controls</x:v>
      </x:c>
      <x:c r="H116" s="30" t="str">
        <x:v>No</x:v>
      </x:c>
      <x:c r="I116" s="30" t="str">
        <x:v>P-3 QUARANTINED: Generic State/local/permit/reference rows, penalty-only/fabricated DAMR extractions, and future-effective DPDP duties are not current production obligations.</x:v>
      </x:c>
    </x:row>
    <x:row r="117">
      <x:c r="A117" s="30" t="str">
        <x:v>AUD116</x:v>
      </x:c>
      <x:c r="B117" s="30" t="str">
        <x:v>COMP056</x:v>
      </x:c>
      <x:c r="C117" s="30" t="str">
        <x:v>Verify that expired medicines are segregated immediately from saleable stock.</x:v>
      </x:c>
      <x:c r="D117" s="30" t="str">
        <x:v>Physical Inspection</x:v>
      </x:c>
      <x:c r="E117" s="30" t="str">
        <x:v>Weekly</x:v>
      </x:c>
      <x:c r="F117" s="30" t="str">
        <x:v>CORE</x:v>
      </x:c>
      <x:c r="G117" s="30" t="str">
        <x:v>Inventory Controls</x:v>
      </x:c>
      <x:c r="H117" s="30" t="str">
        <x:v>Yes</x:v>
      </x:c>
      <x:c r="I117" s="30" t="str">
        <x:v>Expired stock should be clearly identified.</x:v>
      </x:c>
    </x:row>
    <x:row r="118">
      <x:c r="A118" s="30" t="str">
        <x:v>AUD117</x:v>
      </x:c>
      <x:c r="B118" s="30" t="str">
        <x:v>COMP056</x:v>
      </x:c>
      <x:c r="C118" s="30" t="str">
        <x:v>Review expired stock registers for completeness.</x:v>
      </x:c>
      <x:c r="D118" s="30" t="str">
        <x:v>Record Verification</x:v>
      </x:c>
      <x:c r="E118" s="30" t="str">
        <x:v>Monthly</x:v>
      </x:c>
      <x:c r="F118" s="30" t="str">
        <x:v>CORE</x:v>
      </x:c>
      <x:c r="G118" s="30" t="str">
        <x:v>Inventory Controls</x:v>
      </x:c>
      <x:c r="H118" s="30" t="str">
        <x:v>Yes</x:v>
      </x:c>
      <x:c r="I118" s="30" t="str">
        <x:v>Disposal process should be traceable.</x:v>
      </x:c>
    </x:row>
    <x:row r="119">
      <x:c r="A119" s="30" t="str">
        <x:v>AUD118</x:v>
      </x:c>
      <x:c r="B119" s="30" t="str">
        <x:v>COMP057</x:v>
      </x:c>
      <x:c r="C119" s="30" t="str">
        <x:v>Verify that near-expiry medicines are identified and monitored.</x:v>
      </x:c>
      <x:c r="D119" s="30" t="str">
        <x:v>Physical Inspection</x:v>
      </x:c>
      <x:c r="E119" s="30" t="str">
        <x:v>Monthly</x:v>
      </x:c>
      <x:c r="F119" s="30" t="str">
        <x:v>CORE</x:v>
      </x:c>
      <x:c r="G119" s="30" t="str">
        <x:v>Inventory Controls</x:v>
      </x:c>
      <x:c r="H119" s="30" t="str">
        <x:v>Yes</x:v>
      </x:c>
      <x:c r="I119" s="30" t="str">
        <x:v>Follow FEFO principles.</x:v>
      </x:c>
    </x:row>
    <x:row r="120">
      <x:c r="A120" s="30" t="str">
        <x:v>AUD119</x:v>
      </x:c>
      <x:c r="B120" s="30" t="str">
        <x:v>COMP057</x:v>
      </x:c>
      <x:c r="C120" s="30" t="str">
        <x:v>Review near-expiry inventory reports and corrective actions.</x:v>
      </x:c>
      <x:c r="D120" s="30" t="str">
        <x:v>System Verification</x:v>
      </x:c>
      <x:c r="E120" s="30" t="str">
        <x:v>Monthly</x:v>
      </x:c>
      <x:c r="F120" s="30" t="str">
        <x:v>CORE</x:v>
      </x:c>
      <x:c r="G120" s="30" t="str">
        <x:v>Inventory Controls</x:v>
      </x:c>
      <x:c r="H120" s="30" t="str">
        <x:v>Yes</x:v>
      </x:c>
      <x:c r="I120" s="30" t="str">
        <x:v>Ensure timely disposition.</x:v>
      </x:c>
    </x:row>
    <x:row r="121">
      <x:c r="A121" s="30" t="str">
        <x:v>AUD120</x:v>
      </x:c>
      <x:c r="B121" s="30" t="str">
        <x:v>COMP058</x:v>
      </x:c>
      <x:c r="C121" s="30" t="str">
        <x:v>Verify implementation of First-Expiry-First-Out (FEFO) inventory management.</x:v>
      </x:c>
      <x:c r="D121" s="30" t="str">
        <x:v>Observation</x:v>
      </x:c>
      <x:c r="E121" s="30" t="str">
        <x:v>Monthly</x:v>
      </x:c>
      <x:c r="F121" s="30" t="str">
        <x:v>CORE</x:v>
      </x:c>
      <x:c r="G121" s="30" t="str">
        <x:v>Inventory Controls</x:v>
      </x:c>
      <x:c r="H121" s="30" t="str">
        <x:v>Yes</x:v>
      </x:c>
      <x:c r="I121" s="30" t="str">
        <x:v>Applicable to all eligible products.</x:v>
      </x:c>
    </x:row>
    <x:row r="122">
      <x:c r="A122" s="30" t="str">
        <x:v>AUD121</x:v>
      </x:c>
      <x:c r="B122" s="30" t="str">
        <x:v>COMP058</x:v>
      </x:c>
      <x:c r="C122" s="30" t="str">
        <x:v>Conduct sample verification of stock rotation practices.</x:v>
      </x:c>
      <x:c r="D122" s="30" t="str">
        <x:v>Sampling</x:v>
      </x:c>
      <x:c r="E122" s="30" t="str">
        <x:v>Monthly</x:v>
      </x:c>
      <x:c r="F122" s="30" t="str">
        <x:v>CORE</x:v>
      </x:c>
      <x:c r="G122" s="30" t="str">
        <x:v>Inventory Controls</x:v>
      </x:c>
      <x:c r="H122" s="30" t="str">
        <x:v>Yes</x:v>
      </x:c>
      <x:c r="I122" s="30" t="str">
        <x:v>Select representative product categories.</x:v>
      </x:c>
    </x:row>
    <x:row r="123">
      <x:c r="A123" s="30" t="str">
        <x:v>AUD122</x:v>
      </x:c>
      <x:c r="B123" s="30" t="str">
        <x:v>COMP059</x:v>
      </x:c>
      <x:c r="C123" s="30" t="str">
        <x:v>Verify that narcotic and controlled drugs are stored in secure, locked storage.</x:v>
      </x:c>
      <x:c r="D123" s="30" t="str">
        <x:v>Physical Inspection</x:v>
      </x:c>
      <x:c r="E123" s="30" t="str">
        <x:v>Monthly</x:v>
      </x:c>
      <x:c r="F123" s="30" t="str">
        <x:v>CORE</x:v>
      </x:c>
      <x:c r="G123" s="30" t="str">
        <x:v>Storage Controls</x:v>
      </x:c>
      <x:c r="H123" s="30" t="str">
        <x:v>Yes</x:v>
      </x:c>
      <x:c r="I123" s="30" t="str">
        <x:v>Access should be restricted.</x:v>
      </x:c>
    </x:row>
    <x:row r="124">
      <x:c r="A124" s="30" t="str">
        <x:v>AUD123</x:v>
      </x:c>
      <x:c r="B124" s="30" t="str">
        <x:v>COMP059</x:v>
      </x:c>
      <x:c r="C124" s="30" t="str">
        <x:v>Review access authorization records for controlled drug storage.</x:v>
      </x:c>
      <x:c r="D124" s="30" t="str">
        <x:v>Record Verification</x:v>
      </x:c>
      <x:c r="E124" s="30" t="str">
        <x:v>Quarterly</x:v>
      </x:c>
      <x:c r="F124" s="30" t="str">
        <x:v>CORE</x:v>
      </x:c>
      <x:c r="G124" s="30" t="str">
        <x:v>Storage Controls</x:v>
      </x:c>
      <x:c r="H124" s="30" t="str">
        <x:v>Yes</x:v>
      </x:c>
      <x:c r="I124" s="30" t="str">
        <x:v>Authorized personnel only.</x:v>
      </x:c>
    </x:row>
    <x:row r="125">
      <x:c r="A125" s="30" t="str">
        <x:v>AUD124</x:v>
      </x:c>
      <x:c r="B125" s="30" t="str">
        <x:v>COMP060</x:v>
      </x:c>
      <x:c r="C125" s="30" t="str">
        <x:v>Verify that medicines are protected from direct sunlight and adverse environmental conditions.</x:v>
      </x:c>
      <x:c r="D125" s="30" t="str">
        <x:v>Physical Inspection</x:v>
      </x:c>
      <x:c r="E125" s="30" t="str">
        <x:v>Monthly</x:v>
      </x:c>
      <x:c r="F125" s="30" t="str">
        <x:v>CORE</x:v>
      </x:c>
      <x:c r="G125" s="30" t="str">
        <x:v>General Compliance</x:v>
      </x:c>
      <x:c r="H125" s="30" t="str">
        <x:v>Yes</x:v>
      </x:c>
      <x:c r="I125" s="30" t="str">
        <x:v>Storage areas should be compliant.</x:v>
      </x:c>
    </x:row>
    <x:row r="126">
      <x:c r="A126" s="30" t="str">
        <x:v>AUD125</x:v>
      </x:c>
      <x:c r="B126" s="30" t="str">
        <x:v>COMP060</x:v>
      </x:c>
      <x:c r="C126" s="30" t="str">
        <x:v>Observe storage layout and environmental controls.</x:v>
      </x:c>
      <x:c r="D126" s="30" t="str">
        <x:v>Observation</x:v>
      </x:c>
      <x:c r="E126" s="30" t="str">
        <x:v>Monthly</x:v>
      </x:c>
      <x:c r="F126" s="30" t="str">
        <x:v>CORE</x:v>
      </x:c>
      <x:c r="G126" s="30" t="str">
        <x:v>Storage Controls</x:v>
      </x:c>
      <x:c r="H126" s="30" t="str">
        <x:v>Yes</x:v>
      </x:c>
      <x:c r="I126" s="30" t="str">
        <x:v>Document any deficiencies.</x:v>
      </x:c>
    </x:row>
    <x:row r="127">
      <x:c r="A127" s="30" t="str">
        <x:v>AUD126</x:v>
      </x:c>
      <x:c r="B127" s="30" t="str">
        <x:v>COMP061</x:v>
      </x:c>
      <x:c r="C127" s="30" t="str">
        <x:v>Verify that storage racks and shelves are clean and maintained in hygienic condition.</x:v>
      </x:c>
      <x:c r="D127" s="30" t="str">
        <x:v>Physical Inspection</x:v>
      </x:c>
      <x:c r="E127" s="30" t="str">
        <x:v>Monthly</x:v>
      </x:c>
      <x:c r="F127" s="30" t="str">
        <x:v>CORE</x:v>
      </x:c>
      <x:c r="G127" s="30" t="str">
        <x:v>Storage Controls</x:v>
      </x:c>
      <x:c r="H127" s="30" t="str">
        <x:v>Yes</x:v>
      </x:c>
      <x:c r="I127" s="30" t="str">
        <x:v>Cleaning schedule should be followed.</x:v>
      </x:c>
    </x:row>
    <x:row r="128">
      <x:c r="A128" s="30" t="str">
        <x:v>AUD127</x:v>
      </x:c>
      <x:c r="B128" s="30" t="str">
        <x:v>COMP061</x:v>
      </x:c>
      <x:c r="C128" s="30" t="str">
        <x:v>Review housekeeping and cleaning records.</x:v>
      </x:c>
      <x:c r="D128" s="30" t="str">
        <x:v>Record Verification</x:v>
      </x:c>
      <x:c r="E128" s="30" t="str">
        <x:v>Monthly</x:v>
      </x:c>
      <x:c r="F128" s="30" t="str">
        <x:v>CORE</x:v>
      </x:c>
      <x:c r="G128" s="30" t="str">
        <x:v>Recordkeeping</x:v>
      </x:c>
      <x:c r="H128" s="30" t="str">
        <x:v>Yes</x:v>
      </x:c>
      <x:c r="I128" s="30" t="str">
        <x:v>Evidence of routine cleaning required.</x:v>
      </x:c>
    </x:row>
    <x:row r="129">
      <x:c r="A129" s="30" t="str">
        <x:v>AUD128</x:v>
      </x:c>
      <x:c r="B129" s="30" t="str">
        <x:v>COMP062</x:v>
      </x:c>
      <x:c r="C129" s="30" t="str">
        <x:v>Verify that products are stored to prevent contamination and deterioration.</x:v>
      </x:c>
      <x:c r="D129" s="30" t="str">
        <x:v>Physical Inspection</x:v>
      </x:c>
      <x:c r="E129" s="30" t="str">
        <x:v>Monthly</x:v>
      </x:c>
      <x:c r="F129" s="30" t="str">
        <x:v>CORE</x:v>
      </x:c>
      <x:c r="G129" s="30" t="str">
        <x:v>General Compliance</x:v>
      </x:c>
      <x:c r="H129" s="30" t="str">
        <x:v>Yes</x:v>
      </x:c>
      <x:c r="I129" s="30" t="str">
        <x:v>Packaging integrity should be maintained.</x:v>
      </x:c>
    </x:row>
    <x:row r="130">
      <x:c r="A130" s="30" t="str">
        <x:v>AUD129</x:v>
      </x:c>
      <x:c r="B130" s="30" t="str">
        <x:v>COMP062</x:v>
      </x:c>
      <x:c r="C130" s="30" t="str">
        <x:v>Inspect storage arrangements for adequate segregation.</x:v>
      </x:c>
      <x:c r="D130" s="30" t="str">
        <x:v>Physical Inspection</x:v>
      </x:c>
      <x:c r="E130" s="30" t="str">
        <x:v>Monthly</x:v>
      </x:c>
      <x:c r="F130" s="30" t="str">
        <x:v>CORE</x:v>
      </x:c>
      <x:c r="G130" s="30" t="str">
        <x:v>Storage Controls</x:v>
      </x:c>
      <x:c r="H130" s="30" t="str">
        <x:v>Yes</x:v>
      </x:c>
      <x:c r="I130" s="30" t="str">
        <x:v>Prevent cross-contamination.</x:v>
      </x:c>
    </x:row>
    <x:row r="131">
      <x:c r="A131" s="30" t="str">
        <x:v>AUD130</x:v>
      </x:c>
      <x:c r="B131" s="30" t="str">
        <x:v>COMP063</x:v>
      </x:c>
      <x:c r="C131" s="30" t="str">
        <x:v>Verify that damaged medicines are identified and segregated.</x:v>
      </x:c>
      <x:c r="D131" s="30" t="str">
        <x:v>Physical Inspection</x:v>
      </x:c>
      <x:c r="E131" s="30" t="str">
        <x:v>Weekly</x:v>
      </x:c>
      <x:c r="F131" s="30" t="str">
        <x:v>CORE</x:v>
      </x:c>
      <x:c r="G131" s="30" t="str">
        <x:v>Inventory Controls</x:v>
      </x:c>
      <x:c r="H131" s="30" t="str">
        <x:v>Yes</x:v>
      </x:c>
      <x:c r="I131" s="30" t="str">
        <x:v>Damaged stock should not be sold.</x:v>
      </x:c>
    </x:row>
    <x:row r="132">
      <x:c r="A132" s="30" t="str">
        <x:v>AUD131</x:v>
      </x:c>
      <x:c r="B132" s="30" t="str">
        <x:v>COMP063</x:v>
      </x:c>
      <x:c r="C132" s="30" t="str">
        <x:v>Review damaged stock register and disposal records.</x:v>
      </x:c>
      <x:c r="D132" s="30" t="str">
        <x:v>Record Verification</x:v>
      </x:c>
      <x:c r="E132" s="30" t="str">
        <x:v>Monthly</x:v>
      </x:c>
      <x:c r="F132" s="30" t="str">
        <x:v>CORE</x:v>
      </x:c>
      <x:c r="G132" s="30" t="str">
        <x:v>Inventory Controls</x:v>
      </x:c>
      <x:c r="H132" s="30" t="str">
        <x:v>Yes</x:v>
      </x:c>
      <x:c r="I132" s="30" t="str">
        <x:v>Traceability should be maintained.</x:v>
      </x:c>
    </x:row>
    <x:row r="133">
      <x:c r="A133" s="30" t="str">
        <x:v>AUD132</x:v>
      </x:c>
      <x:c r="B133" s="30" t="str">
        <x:v>COMP064</x:v>
      </x:c>
      <x:c r="C133" s="30" t="str">
        <x:v>Verify that inventory counts are performed periodically.</x:v>
      </x:c>
      <x:c r="D133" s="30" t="str">
        <x:v>Record Verification</x:v>
      </x:c>
      <x:c r="E133" s="30" t="str">
        <x:v>Quarterly</x:v>
      </x:c>
      <x:c r="F133" s="30" t="str">
        <x:v>CORE</x:v>
      </x:c>
      <x:c r="G133" s="30" t="str">
        <x:v>Inventory Controls</x:v>
      </x:c>
      <x:c r="H133" s="30" t="str">
        <x:v>Yes</x:v>
      </x:c>
      <x:c r="I133" s="30" t="str">
        <x:v>Frequency should follow SOP.</x:v>
      </x:c>
    </x:row>
    <x:row r="134">
      <x:c r="A134" s="30" t="str">
        <x:v>AUD133</x:v>
      </x:c>
      <x:c r="B134" s="30" t="str">
        <x:v>COMP064</x:v>
      </x:c>
      <x:c r="C134" s="30" t="str">
        <x:v>Reconcile physical inventory with inventory records.</x:v>
      </x:c>
      <x:c r="D134" s="30" t="str">
        <x:v>Reconciliation</x:v>
      </x:c>
      <x:c r="E134" s="30" t="str">
        <x:v>Quarterly</x:v>
      </x:c>
      <x:c r="F134" s="30" t="str">
        <x:v>CORE</x:v>
      </x:c>
      <x:c r="G134" s="30" t="str">
        <x:v>Inventory Controls</x:v>
      </x:c>
      <x:c r="H134" s="30" t="str">
        <x:v>Yes</x:v>
      </x:c>
      <x:c r="I134" s="30" t="str">
        <x:v>Investigate variances.</x:v>
      </x:c>
    </x:row>
    <x:row r="135">
      <x:c r="A135" s="30" t="str">
        <x:v>AUD134</x:v>
      </x:c>
      <x:c r="B135" s="30" t="str">
        <x:v>COMP065</x:v>
      </x:c>
      <x:c r="C135" s="30" t="str">
        <x:v>Verify that inventory discrepancies are investigated and resolved.</x:v>
      </x:c>
      <x:c r="D135" s="30" t="str">
        <x:v>Document Review</x:v>
      </x:c>
      <x:c r="E135" s="30" t="str">
        <x:v>Monthly</x:v>
      </x:c>
      <x:c r="F135" s="30" t="str">
        <x:v>CORE</x:v>
      </x:c>
      <x:c r="G135" s="30" t="str">
        <x:v>Inventory Controls</x:v>
      </x:c>
      <x:c r="H135" s="30" t="str">
        <x:v>Yes</x:v>
      </x:c>
      <x:c r="I135" s="30" t="str">
        <x:v>Root cause should be documented.</x:v>
      </x:c>
    </x:row>
    <x:row r="136">
      <x:c r="A136" s="30" t="str">
        <x:v>AUD135</x:v>
      </x:c>
      <x:c r="B136" s="30" t="str">
        <x:v>COMP065</x:v>
      </x:c>
      <x:c r="C136" s="30" t="str">
        <x:v>Review inventory adjustment approvals.</x:v>
      </x:c>
      <x:c r="D136" s="30" t="str">
        <x:v>Record Verification</x:v>
      </x:c>
      <x:c r="E136" s="30" t="str">
        <x:v>Monthly</x:v>
      </x:c>
      <x:c r="F136" s="30" t="str">
        <x:v>CORE</x:v>
      </x:c>
      <x:c r="G136" s="30" t="str">
        <x:v>Inventory Controls</x:v>
      </x:c>
      <x:c r="H136" s="30" t="str">
        <x:v>Yes</x:v>
      </x:c>
      <x:c r="I136" s="30" t="str">
        <x:v>Adjustments should be authorized.</x:v>
      </x:c>
    </x:row>
    <x:row r="137">
      <x:c r="A137" s="30" t="str">
        <x:v>AUD136</x:v>
      </x:c>
      <x:c r="B137" s="30" t="str">
        <x:v>COMP066</x:v>
      </x:c>
      <x:c r="C137" s="30" t="str">
        <x:v>Verify that stock movement records are maintained accurately.</x:v>
      </x:c>
      <x:c r="D137" s="30" t="str">
        <x:v>Record Verification</x:v>
      </x:c>
      <x:c r="E137" s="30" t="str">
        <x:v>Monthly</x:v>
      </x:c>
      <x:c r="F137" s="30" t="str">
        <x:v>CORE</x:v>
      </x:c>
      <x:c r="G137" s="30" t="str">
        <x:v>Inventory Controls</x:v>
      </x:c>
      <x:c r="H137" s="30" t="str">
        <x:v>Yes</x:v>
      </x:c>
      <x:c r="I137" s="30" t="str">
        <x:v>Records should be current.</x:v>
      </x:c>
    </x:row>
    <x:row r="138">
      <x:c r="A138" s="30" t="str">
        <x:v>AUD137</x:v>
      </x:c>
      <x:c r="B138" s="30" t="str">
        <x:v>COMP066</x:v>
      </x:c>
      <x:c r="C138" s="30" t="str">
        <x:v>Reconcile stock movement with inventory balances.</x:v>
      </x:c>
      <x:c r="D138" s="30" t="str">
        <x:v>Reconciliation</x:v>
      </x:c>
      <x:c r="E138" s="30" t="str">
        <x:v>Monthly</x:v>
      </x:c>
      <x:c r="F138" s="30" t="str">
        <x:v>CORE</x:v>
      </x:c>
      <x:c r="G138" s="30" t="str">
        <x:v>Inventory Controls</x:v>
      </x:c>
      <x:c r="H138" s="30" t="str">
        <x:v>Yes</x:v>
      </x:c>
      <x:c r="I138" s="30" t="str">
        <x:v>Differences should be investigated.</x:v>
      </x:c>
    </x:row>
    <x:row r="139">
      <x:c r="A139" s="30" t="str">
        <x:v>AUD138</x:v>
      </x:c>
      <x:c r="B139" s="30" t="str">
        <x:v>COMP067</x:v>
      </x:c>
      <x:c r="C139" s="30" t="str">
        <x:v>Verify that obsolete stock is identified and segregated.</x:v>
      </x:c>
      <x:c r="D139" s="30" t="str">
        <x:v>Physical Inspection</x:v>
      </x:c>
      <x:c r="E139" s="30" t="str">
        <x:v>Monthly</x:v>
      </x:c>
      <x:c r="F139" s="30" t="str">
        <x:v>CORE</x:v>
      </x:c>
      <x:c r="G139" s="30" t="str">
        <x:v>Inventory Controls</x:v>
      </x:c>
      <x:c r="H139" s="30" t="str">
        <x:v>Yes</x:v>
      </x:c>
      <x:c r="I139" s="30" t="str">
        <x:v>Obsolete products should not be available for sale.</x:v>
      </x:c>
    </x:row>
    <x:row r="140">
      <x:c r="A140" s="30" t="str">
        <x:v>AUD139</x:v>
      </x:c>
      <x:c r="B140" s="30" t="str">
        <x:v>COMP067</x:v>
      </x:c>
      <x:c r="C140" s="30" t="str">
        <x:v>Review obsolete stock disposal records.</x:v>
      </x:c>
      <x:c r="D140" s="30" t="str">
        <x:v>Record Verification</x:v>
      </x:c>
      <x:c r="E140" s="30" t="str">
        <x:v>Quarterly</x:v>
      </x:c>
      <x:c r="F140" s="30" t="str">
        <x:v>CORE</x:v>
      </x:c>
      <x:c r="G140" s="30" t="str">
        <x:v>Inventory Controls</x:v>
      </x:c>
      <x:c r="H140" s="30" t="str">
        <x:v>Yes</x:v>
      </x:c>
      <x:c r="I140" s="30" t="str">
        <x:v>Verify disposal authorization.</x:v>
      </x:c>
    </x:row>
    <x:row r="141">
      <x:c r="A141" s="30" t="str">
        <x:v>AUD140</x:v>
      </x:c>
      <x:c r="B141" s="30" t="str">
        <x:v>COMP068</x:v>
      </x:c>
      <x:c r="C141" s="30" t="str">
        <x:v>Verify that quarantine stock is physically segregated and clearly labelled.</x:v>
      </x:c>
      <x:c r="D141" s="30" t="str">
        <x:v>Physical Inspection</x:v>
      </x:c>
      <x:c r="E141" s="30" t="str">
        <x:v>Monthly</x:v>
      </x:c>
      <x:c r="F141" s="30" t="str">
        <x:v>CORE</x:v>
      </x:c>
      <x:c r="G141" s="30" t="str">
        <x:v>Inventory Controls</x:v>
      </x:c>
      <x:c r="H141" s="30" t="str">
        <x:v>Yes</x:v>
      </x:c>
      <x:c r="I141" s="30" t="str">
        <x:v>Prevent accidental issue.</x:v>
      </x:c>
    </x:row>
    <x:row r="142">
      <x:c r="A142" s="30" t="str">
        <x:v>AUD141</x:v>
      </x:c>
      <x:c r="B142" s="30" t="str">
        <x:v>COMP068</x:v>
      </x:c>
      <x:c r="C142" s="30" t="str">
        <x:v>Review quarantine release authorization records.</x:v>
      </x:c>
      <x:c r="D142" s="30" t="str">
        <x:v>Record Verification</x:v>
      </x:c>
      <x:c r="E142" s="30" t="str">
        <x:v>Event Based</x:v>
      </x:c>
      <x:c r="F142" s="30" t="str">
        <x:v>CORE</x:v>
      </x:c>
      <x:c r="G142" s="30" t="str">
        <x:v>Recordkeeping</x:v>
      </x:c>
      <x:c r="H142" s="30" t="str">
        <x:v>Yes</x:v>
      </x:c>
      <x:c r="I142" s="30" t="str">
        <x:v>Only authorized release permitted.</x:v>
      </x:c>
    </x:row>
    <x:row r="143">
      <x:c r="A143" s="30" t="str">
        <x:v>AUD142</x:v>
      </x:c>
      <x:c r="B143" s="30" t="str">
        <x:v>COMP069</x:v>
      </x:c>
      <x:c r="C143" s="30" t="str">
        <x:v>Verify that storage equipment is maintained in working condition.</x:v>
      </x:c>
      <x:c r="D143" s="30" t="str">
        <x:v>Physical Inspection</x:v>
      </x:c>
      <x:c r="E143" s="30" t="str">
        <x:v>Quarterly</x:v>
      </x:c>
      <x:c r="F143" s="30" t="str">
        <x:v>CORE</x:v>
      </x:c>
      <x:c r="G143" s="30" t="str">
        <x:v>Storage Controls</x:v>
      </x:c>
      <x:c r="H143" s="30" t="str">
        <x:v>Yes</x:v>
      </x:c>
      <x:c r="I143" s="30" t="str">
        <x:v>Includes refrigerators and cold rooms.</x:v>
      </x:c>
    </x:row>
    <x:row r="144">
      <x:c r="A144" s="30" t="str">
        <x:v>AUD143</x:v>
      </x:c>
      <x:c r="B144" s="30" t="str">
        <x:v>COMP069</x:v>
      </x:c>
      <x:c r="C144" s="30" t="str">
        <x:v>Review preventive maintenance records.</x:v>
      </x:c>
      <x:c r="D144" s="30" t="str">
        <x:v>Record Verification</x:v>
      </x:c>
      <x:c r="E144" s="30" t="str">
        <x:v>Quarterly</x:v>
      </x:c>
      <x:c r="F144" s="30" t="str">
        <x:v>CORE</x:v>
      </x:c>
      <x:c r="G144" s="30" t="str">
        <x:v>Recordkeeping</x:v>
      </x:c>
      <x:c r="H144" s="30" t="str">
        <x:v>Yes</x:v>
      </x:c>
      <x:c r="I144" s="30" t="str">
        <x:v>Maintenance should follow schedule.</x:v>
      </x:c>
    </x:row>
    <x:row r="145">
      <x:c r="A145" s="30" t="str">
        <x:v>AUD144</x:v>
      </x:c>
      <x:c r="B145" s="30" t="str">
        <x:v>COMP070</x:v>
      </x:c>
      <x:c r="C145" s="30" t="str">
        <x:v>Verify that environmental monitoring deviations are investigated.</x:v>
      </x:c>
      <x:c r="D145" s="30" t="str">
        <x:v>Record Verification</x:v>
      </x:c>
      <x:c r="E145" s="30" t="str">
        <x:v>Monthly</x:v>
      </x:c>
      <x:c r="F145" s="30" t="str">
        <x:v>CORE</x:v>
      </x:c>
      <x:c r="G145" s="30" t="str">
        <x:v>General Compliance</x:v>
      </x:c>
      <x:c r="H145" s="30" t="str">
        <x:v>Yes</x:v>
      </x:c>
      <x:c r="I145" s="30" t="str">
        <x:v>CAPA should be documented.</x:v>
      </x:c>
    </x:row>
    <x:row r="146">
      <x:c r="A146" s="30" t="str">
        <x:v>AUD145</x:v>
      </x:c>
      <x:c r="B146" s="30" t="str">
        <x:v>COMP070</x:v>
      </x:c>
      <x:c r="C146" s="30" t="str">
        <x:v>Review deviation investigation reports.</x:v>
      </x:c>
      <x:c r="D146" s="30" t="str">
        <x:v>Document Review</x:v>
      </x:c>
      <x:c r="E146" s="30" t="str">
        <x:v>Monthly</x:v>
      </x:c>
      <x:c r="F146" s="30" t="str">
        <x:v>CORE</x:v>
      </x:c>
      <x:c r="G146" s="30" t="str">
        <x:v>General Compliance</x:v>
      </x:c>
      <x:c r="H146" s="30" t="str">
        <x:v>Yes</x:v>
      </x:c>
      <x:c r="I146" s="30" t="str">
        <x:v>Verify closure of investigations.</x:v>
      </x:c>
    </x:row>
    <x:row r="147">
      <x:c r="A147" s="30" t="str">
        <x:v>AUD146</x:v>
      </x:c>
      <x:c r="B147" s="30" t="str">
        <x:v>COMP071</x:v>
      </x:c>
      <x:c r="C147" s="30" t="str">
        <x:v>Verify that backup power arrangements protect temperature-sensitive medicines.</x:v>
      </x:c>
      <x:c r="D147" s="30" t="str">
        <x:v>Physical Inspection</x:v>
      </x:c>
      <x:c r="E147" s="30" t="str">
        <x:v>Quarterly</x:v>
      </x:c>
      <x:c r="F147" s="30" t="str">
        <x:v>CORE</x:v>
      </x:c>
      <x:c r="G147" s="30" t="str">
        <x:v>Storage Controls</x:v>
      </x:c>
      <x:c r="H147" s="30" t="str">
        <x:v>Yes</x:v>
      </x:c>
      <x:c r="I147" s="30" t="str">
        <x:v>Backup systems should be operational.</x:v>
      </x:c>
    </x:row>
    <x:row r="148">
      <x:c r="A148" s="30" t="str">
        <x:v>AUD147</x:v>
      </x:c>
      <x:c r="B148" s="30" t="str">
        <x:v>COMP071</x:v>
      </x:c>
      <x:c r="C148" s="30" t="str">
        <x:v>Test availability of emergency power arrangements.</x:v>
      </x:c>
      <x:c r="D148" s="30" t="str">
        <x:v>Observation</x:v>
      </x:c>
      <x:c r="E148" s="30" t="str">
        <x:v>Quarterly</x:v>
      </x:c>
      <x:c r="F148" s="30" t="str">
        <x:v>CORE</x:v>
      </x:c>
      <x:c r="G148" s="30" t="str">
        <x:v>General Compliance</x:v>
      </x:c>
      <x:c r="H148" s="30" t="str">
        <x:v>Yes</x:v>
      </x:c>
      <x:c r="I148" s="30" t="str">
        <x:v>Document test results.</x:v>
      </x:c>
    </x:row>
    <x:row r="149">
      <x:c r="A149" s="30" t="str">
        <x:v>AUD148</x:v>
      </x:c>
      <x:c r="B149" s="30" t="str">
        <x:v>COMP072</x:v>
      </x:c>
      <x:c r="C149" s="30" t="str">
        <x:v>Verify that inventory management software maintains complete audit trails.</x:v>
      </x:c>
      <x:c r="D149" s="30" t="str">
        <x:v>System Verification</x:v>
      </x:c>
      <x:c r="E149" s="30" t="str">
        <x:v>Quarterly</x:v>
      </x:c>
      <x:c r="F149" s="30" t="str">
        <x:v>CORE</x:v>
      </x:c>
      <x:c r="G149" s="30" t="str">
        <x:v>Inventory Controls</x:v>
      </x:c>
      <x:c r="H149" s="30" t="str">
        <x:v>Yes</x:v>
      </x:c>
      <x:c r="I149" s="30" t="str">
        <x:v>Audit logs should be enabled.</x:v>
      </x:c>
    </x:row>
    <x:row r="150">
      <x:c r="A150" s="30" t="str">
        <x:v>AUD149</x:v>
      </x:c>
      <x:c r="B150" s="30" t="str">
        <x:v>COMP072</x:v>
      </x:c>
      <x:c r="C150" s="30" t="str">
        <x:v>Review user access logs for inventory transactions.</x:v>
      </x:c>
      <x:c r="D150" s="30" t="str">
        <x:v>System Verification</x:v>
      </x:c>
      <x:c r="E150" s="30" t="str">
        <x:v>Quarterly</x:v>
      </x:c>
      <x:c r="F150" s="30" t="str">
        <x:v>CORE</x:v>
      </x:c>
      <x:c r="G150" s="30" t="str">
        <x:v>Inventory Controls</x:v>
      </x:c>
      <x:c r="H150" s="30" t="str">
        <x:v>Yes</x:v>
      </x:c>
      <x:c r="I150" s="30" t="str">
        <x:v>Investigate unauthorized activities.</x:v>
      </x:c>
    </x:row>
    <x:row r="151">
      <x:c r="A151" s="30" t="str">
        <x:v>AUD150</x:v>
      </x:c>
      <x:c r="B151" s="30" t="str">
        <x:v>COMP073</x:v>
      </x:c>
      <x:c r="C151" s="30" t="str">
        <x:v>Verify that storage areas are protected against pests and infestations.</x:v>
      </x:c>
      <x:c r="D151" s="30" t="str">
        <x:v>Physical Inspection</x:v>
      </x:c>
      <x:c r="E151" s="30" t="str">
        <x:v>Monthly</x:v>
      </x:c>
      <x:c r="F151" s="30" t="str">
        <x:v>CORE</x:v>
      </x:c>
      <x:c r="G151" s="30" t="str">
        <x:v>Storage Controls</x:v>
      </x:c>
      <x:c r="H151" s="30" t="str">
        <x:v>Yes</x:v>
      </x:c>
      <x:c r="I151" s="30" t="str">
        <x:v>Pest control measures should be effective.</x:v>
      </x:c>
    </x:row>
    <x:row r="152">
      <x:c r="A152" s="30" t="str">
        <x:v>AUD151</x:v>
      </x:c>
      <x:c r="B152" s="30" t="str">
        <x:v>COMP073</x:v>
      </x:c>
      <x:c r="C152" s="30" t="str">
        <x:v>Review pest control service records and inspection reports.</x:v>
      </x:c>
      <x:c r="D152" s="30" t="str">
        <x:v>Physical Inspection</x:v>
      </x:c>
      <x:c r="E152" s="30" t="str">
        <x:v>Quarterly</x:v>
      </x:c>
      <x:c r="F152" s="30" t="str">
        <x:v>CORE</x:v>
      </x:c>
      <x:c r="G152" s="30" t="str">
        <x:v>Inspection &amp; Display Controls</x:v>
      </x:c>
      <x:c r="H152" s="30" t="str">
        <x:v>Yes</x:v>
      </x:c>
      <x:c r="I152" s="30" t="str">
        <x:v>Corrective actions should be implemented.</x:v>
      </x:c>
    </x:row>
    <x:row r="153">
      <x:c r="A153" s="30" t="str">
        <x:v>AUD152</x:v>
      </x:c>
      <x:c r="B153" s="30" t="str">
        <x:v>COMP074</x:v>
      </x:c>
      <x:c r="C153" s="30" t="str">
        <x:v>Verify that access to storage areas is restricted to authorized personnel.</x:v>
      </x:c>
      <x:c r="D153" s="30" t="str">
        <x:v>Observation</x:v>
      </x:c>
      <x:c r="E153" s="30" t="str">
        <x:v>Monthly</x:v>
      </x:c>
      <x:c r="F153" s="30" t="str">
        <x:v>CORE</x:v>
      </x:c>
      <x:c r="G153" s="30" t="str">
        <x:v>Personnel Competency</x:v>
      </x:c>
      <x:c r="H153" s="30" t="str">
        <x:v>Yes</x:v>
      </x:c>
      <x:c r="I153" s="30" t="str">
        <x:v>Unauthorized access should be prevented.</x:v>
      </x:c>
    </x:row>
    <x:row r="154">
      <x:c r="A154" s="30" t="str">
        <x:v>AUD153</x:v>
      </x:c>
      <x:c r="B154" s="30" t="str">
        <x:v>COMP074</x:v>
      </x:c>
      <x:c r="C154" s="30" t="str">
        <x:v>Review access control records and authorization lists.</x:v>
      </x:c>
      <x:c r="D154" s="30" t="str">
        <x:v>Record Verification</x:v>
      </x:c>
      <x:c r="E154" s="30" t="str">
        <x:v>Quarterly</x:v>
      </x:c>
      <x:c r="F154" s="30" t="str">
        <x:v>CORE</x:v>
      </x:c>
      <x:c r="G154" s="30" t="str">
        <x:v>Recordkeeping</x:v>
      </x:c>
      <x:c r="H154" s="30" t="str">
        <x:v>Yes</x:v>
      </x:c>
      <x:c r="I154" s="30" t="str">
        <x:v>Periodically review user access.</x:v>
      </x:c>
    </x:row>
    <x:row r="155">
      <x:c r="A155" s="30" t="str">
        <x:v>AUD154</x:v>
      </x:c>
      <x:c r="B155" s="30" t="str">
        <x:v>COMP075</x:v>
      </x:c>
      <x:c r="C155" s="30" t="str">
        <x:v>Verify that periodic internal inspections of storage facilities are conducted.</x:v>
      </x:c>
      <x:c r="D155" s="30" t="str">
        <x:v>Physical Inspection</x:v>
      </x:c>
      <x:c r="E155" s="30" t="str">
        <x:v>Quarterly</x:v>
      </x:c>
      <x:c r="F155" s="30" t="str">
        <x:v>CORE</x:v>
      </x:c>
      <x:c r="G155" s="30" t="str">
        <x:v>Storage Controls</x:v>
      </x:c>
      <x:c r="H155" s="30" t="str">
        <x:v>Yes</x:v>
      </x:c>
      <x:c r="I155" s="30" t="str">
        <x:v>Inspection reports should be available.</x:v>
      </x:c>
    </x:row>
    <x:row r="156">
      <x:c r="A156" s="30" t="str">
        <x:v>AUD155</x:v>
      </x:c>
      <x:c r="B156" s="30" t="str">
        <x:v>COMP075</x:v>
      </x:c>
      <x:c r="C156" s="30" t="str">
        <x:v>Review corrective actions arising from storage inspections.</x:v>
      </x:c>
      <x:c r="D156" s="30" t="str">
        <x:v>Physical Inspection</x:v>
      </x:c>
      <x:c r="E156" s="30" t="str">
        <x:v>Quarterly</x:v>
      </x:c>
      <x:c r="F156" s="30" t="str">
        <x:v>CORE</x:v>
      </x:c>
      <x:c r="G156" s="30" t="str">
        <x:v>Storage Controls</x:v>
      </x:c>
      <x:c r="H156" s="30" t="str">
        <x:v>Yes</x:v>
      </x:c>
      <x:c r="I156" s="30" t="str">
        <x:v>Verify timely closure.</x:v>
      </x:c>
    </x:row>
    <x:row r="157">
      <x:c r="A157" s="30" t="str">
        <x:v>AUD156</x:v>
      </x:c>
      <x:c r="B157" s="30" t="str">
        <x:v>COMP075</x:v>
      </x:c>
      <x:c r="C157" s="30" t="str">
        <x:v>Conduct walkthrough of storage operations to confirm compliance with SOPs.</x:v>
      </x:c>
      <x:c r="D157" s="30" t="str">
        <x:v>Document Review</x:v>
      </x:c>
      <x:c r="E157" s="30" t="str">
        <x:v>Annual</x:v>
      </x:c>
      <x:c r="F157" s="30" t="str">
        <x:v>CORE</x:v>
      </x:c>
      <x:c r="G157" s="30" t="str">
        <x:v>Storage Controls</x:v>
      </x:c>
      <x:c r="H157" s="30" t="str">
        <x:v>Yes</x:v>
      </x:c>
      <x:c r="I157" s="30" t="str">
        <x:v>Cover receipt, storage and issue processes.</x:v>
      </x:c>
    </x:row>
    <x:row r="158">
      <x:c r="A158" s="30" t="str">
        <x:v>AUD157</x:v>
      </x:c>
      <x:c r="B158" s="30" t="str">
        <x:v>COMP075</x:v>
      </x:c>
      <x:c r="C158" s="30" t="str">
        <x:v>Validate overall storage compliance against applicable regulatory requirements.</x:v>
      </x:c>
      <x:c r="D158" s="30" t="str">
        <x:v>Reconciliation</x:v>
      </x:c>
      <x:c r="E158" s="30" t="str">
        <x:v>Annual</x:v>
      </x:c>
      <x:c r="F158" s="30" t="str">
        <x:v>CORE</x:v>
      </x:c>
      <x:c r="G158" s="30" t="str">
        <x:v>Storage Controls</x:v>
      </x:c>
      <x:c r="H158" s="30" t="str">
        <x:v>Yes</x:v>
      </x:c>
      <x:c r="I158" s="30" t="str">
        <x:v>Document all observations and gaps.</x:v>
      </x:c>
    </x:row>
    <x:row r="159">
      <x:c r="A159" s="30" t="str">
        <x:v>AUD158</x:v>
      </x:c>
      <x:c r="B159" s="30" t="str">
        <x:v>COMP014</x:v>
      </x:c>
      <x:c r="C159" s="30" t="str">
        <x:v>Sample Schedule H/H1/X retail sales and verify a valid RMP prescription existed and matched the supply.</x:v>
      </x:c>
      <x:c r="D159" s="30" t="str">
        <x:v>Record Verification</x:v>
      </x:c>
      <x:c r="E159" s="30" t="str">
        <x:v>Monthly</x:v>
      </x:c>
      <x:c r="F159" s="30" t="str">
        <x:v>CORE</x:v>
      </x:c>
      <x:c r="G159" s="30" t="str">
        <x:v>Prescription Controls</x:v>
      </x:c>
      <x:c r="H159" s="30" t="str">
        <x:v>Yes</x:v>
      </x:c>
      <x:c r="I159" s="30" t="str">
        <x:v>P-2 RESCUED from P-0 quarantine; statutory Rule 65(9)(a).</x:v>
      </x:c>
    </x:row>
    <x:row r="160">
      <x:c r="A160" s="30" t="str">
        <x:v>AUD159</x:v>
      </x:c>
      <x:c r="B160" s="30" t="str">
        <x:v>COMP119</x:v>
      </x:c>
      <x:c r="C160" s="30" t="str">
        <x:v>Cross-check drug, quantity, repeat direction, seller/date annotation and absence of substitution against the prescription.</x:v>
      </x:c>
      <x:c r="D160" s="30" t="str">
        <x:v>Document Review</x:v>
      </x:c>
      <x:c r="E160" s="30" t="str">
        <x:v>Monthly</x:v>
      </x:c>
      <x:c r="F160" s="30" t="str">
        <x:v>CORE</x:v>
      </x:c>
      <x:c r="G160" s="30" t="str">
        <x:v>Prescription Controls</x:v>
      </x:c>
      <x:c r="H160" s="30" t="str">
        <x:v>Yes</x:v>
      </x:c>
      <x:c r="I160" s="30" t="str">
        <x:v>P-2 RESCUED; Rule 65(10)-(11A).</x:v>
      </x:c>
    </x:row>
    <x:row r="161">
      <x:c r="A161" s="30" t="str">
        <x:v>AUD160</x:v>
      </x:c>
      <x:c r="B161" s="30" t="str">
        <x:v>COMP119</x:v>
      </x:c>
      <x:c r="C161" s="30" t="str">
        <x:v>Verify prescriptions are written, signed, dated and state patient identity/address, total amount and dose before dispensing.</x:v>
      </x:c>
      <x:c r="D161" s="30" t="str">
        <x:v>Document Review</x:v>
      </x:c>
      <x:c r="E161" s="30" t="str">
        <x:v>Monthly</x:v>
      </x:c>
      <x:c r="F161" s="30" t="str">
        <x:v>CORE</x:v>
      </x:c>
      <x:c r="G161" s="30" t="str">
        <x:v>Prescription Controls</x:v>
      </x:c>
      <x:c r="H161" s="30" t="str">
        <x:v>Yes</x:v>
      </x:c>
      <x:c r="I161" s="30" t="str">
        <x:v>P-2 RESCUED; Rule 65(10).</x:v>
      </x:c>
    </x:row>
    <x:row r="162">
      <x:c r="A162" s="30" t="str">
        <x:v>AUD161</x:v>
      </x:c>
      <x:c r="B162" s="30" t="str">
        <x:v>COMP015</x:v>
      </x:c>
      <x:c r="C162" s="30" t="str">
        <x:v>Observe prescription supply to confirm personal supervision by a registered pharmacist.</x:v>
      </x:c>
      <x:c r="D162" s="30" t="str">
        <x:v>Observation</x:v>
      </x:c>
      <x:c r="E162" s="30" t="str">
        <x:v>Quarterly</x:v>
      </x:c>
      <x:c r="F162" s="30" t="str">
        <x:v>CORE</x:v>
      </x:c>
      <x:c r="G162" s="30" t="str">
        <x:v>Personnel Competency</x:v>
      </x:c>
      <x:c r="H162" s="30" t="str">
        <x:v>Yes</x:v>
      </x:c>
      <x:c r="I162" s="30" t="str">
        <x:v>P-2 RESCUED; Rule 65(2).</x:v>
      </x:c>
    </x:row>
    <x:row r="163">
      <x:c r="A163" s="30" t="str">
        <x:v>AUD162</x:v>
      </x:c>
      <x:c r="B163" s="30" t="str">
        <x:v>COMP163</x:v>
      </x:c>
      <x:c r="C163" s="30" t="str">
        <x:v>Verify pharmacist review of dosage, strength and clinical appropriateness under the Pharmacy Practice Regulations, not as a Rule 65 statutory extraction.</x:v>
      </x:c>
      <x:c r="D163" s="30" t="str">
        <x:v>Observation</x:v>
      </x:c>
      <x:c r="E163" s="30" t="str">
        <x:v>Quarterly</x:v>
      </x:c>
      <x:c r="F163" s="30" t="str">
        <x:v>CORE</x:v>
      </x:c>
      <x:c r="G163" s="30" t="str">
        <x:v>Personnel Competency</x:v>
      </x:c>
      <x:c r="H163" s="30" t="str">
        <x:v>Yes</x:v>
      </x:c>
      <x:c r="I163" s="30" t="str">
        <x:v>P-2 RESCUED and RECLASSIFIED to professional-practice parent.</x:v>
      </x:c>
    </x:row>
    <x:row r="164">
      <x:c r="A164" s="30" t="str">
        <x:v>AUD163</x:v>
      </x:c>
      <x:c r="B164" s="30" t="str">
        <x:v>COMP163</x:v>
      </x:c>
      <x:c r="C164" s="30" t="str">
        <x:v>Interview registered pharmacists on professional prescription-review and escalation procedures.</x:v>
      </x:c>
      <x:c r="D164" s="30" t="str">
        <x:v>Interview</x:v>
      </x:c>
      <x:c r="E164" s="30" t="str">
        <x:v>Annual</x:v>
      </x:c>
      <x:c r="F164" s="30" t="str">
        <x:v>CORE</x:v>
      </x:c>
      <x:c r="G164" s="30" t="str">
        <x:v>Personnel Competency</x:v>
      </x:c>
      <x:c r="H164" s="30" t="str">
        <x:v>Yes</x:v>
      </x:c>
      <x:c r="I164" s="30" t="str">
        <x:v>P-2 RESCUED and RECLASSIFIED to professional-practice parent.</x:v>
      </x:c>
    </x:row>
    <x:row r="165">
      <x:c r="A165" s="30" t="str">
        <x:v>AUD164</x:v>
      </x:c>
      <x:c r="B165" s="30" t="str">
        <x:v>COMP017</x:v>
      </x:c>
      <x:c r="C165" s="30" t="str">
        <x:v>Test the retention matrix: H1 register three years; Schedule X duplicate prescription two years; institutional signed orders two years; wholesale memos three years; general registers at least two years.</x:v>
      </x:c>
      <x:c r="D165" s="30" t="str">
        <x:v>Record Verification</x:v>
      </x:c>
      <x:c r="E165" s="30" t="str">
        <x:v>Annual</x:v>
      </x:c>
      <x:c r="F165" s="30" t="str">
        <x:v>CORE</x:v>
      </x:c>
      <x:c r="G165" s="30" t="str">
        <x:v>Recordkeeping</x:v>
      </x:c>
      <x:c r="H165" s="30" t="str">
        <x:v>Yes</x:v>
      </x:c>
      <x:c r="I165" s="30" t="str">
        <x:v>P-2 RESCUED; exact Rule 65 retention periods.</x:v>
      </x:c>
    </x:row>
    <x:row r="166">
      <x:c r="A166" s="30" t="str">
        <x:v>AUD165</x:v>
      </x:c>
      <x:c r="B166" s="30" t="str">
        <x:v>COMP017</x:v>
      </x:c>
      <x:c r="C166" s="30" t="str">
        <x:v>Inspect archived Rule 65 records for completeness, legibility, indexing and prompt production to an Inspector.</x:v>
      </x:c>
      <x:c r="D166" s="30" t="str">
        <x:v>Physical Inspection</x:v>
      </x:c>
      <x:c r="E166" s="30" t="str">
        <x:v>Annual</x:v>
      </x:c>
      <x:c r="F166" s="30" t="str">
        <x:v>CORE</x:v>
      </x:c>
      <x:c r="G166" s="30" t="str">
        <x:v>Recordkeeping</x:v>
      </x:c>
      <x:c r="H166" s="30" t="str">
        <x:v>Yes</x:v>
      </x:c>
      <x:c r="I166" s="30" t="str">
        <x:v>P-2 RESCUED; Rule 65(6)-(7) plus specific periods.</x:v>
      </x:c>
    </x:row>
    <x:row r="167">
      <x:c r="A167" s="30" t="str">
        <x:v>AUD166</x:v>
      </x:c>
      <x:c r="B167" s="30" t="str">
        <x:v>COMP014</x:v>
      </x:c>
      <x:c r="C167" s="30" t="str">
        <x:v>Verify Schedule H/H1/X retail dispensing complies with prescription-only controls; do not assume a standalone Schedule H register.</x:v>
      </x:c>
      <x:c r="D167" s="30" t="str">
        <x:v>Document Review</x:v>
      </x:c>
      <x:c r="E167" s="30" t="str">
        <x:v>Monthly</x:v>
      </x:c>
      <x:c r="F167" s="30" t="str">
        <x:v>CORE</x:v>
      </x:c>
      <x:c r="G167" s="30" t="str">
        <x:v>Prescription Controls</x:v>
      </x:c>
      <x:c r="H167" s="30" t="str">
        <x:v>Yes</x:v>
      </x:c>
      <x:c r="I167" s="30" t="str">
        <x:v>P-2 RESCUED; corrected Schedule H register misconception.</x:v>
      </x:c>
    </x:row>
    <x:row r="168">
      <x:c r="A168" s="30" t="str">
        <x:v>AUD167</x:v>
      </x:c>
      <x:c r="B168" s="30" t="str">
        <x:v>COMP116</x:v>
      </x:c>
      <x:c r="C168" s="30" t="str">
        <x:v>Reconcile H1/X statutory records and other tracked prescription supplies to inventory as a best-practice diversion control, not a universal Schedule H statutory register.</x:v>
      </x:c>
      <x:c r="D168" s="30" t="str">
        <x:v>Reconciliation</x:v>
      </x:c>
      <x:c r="E168" s="30" t="str">
        <x:v>Monthly</x:v>
      </x:c>
      <x:c r="F168" s="30" t="str">
        <x:v>CORE</x:v>
      </x:c>
      <x:c r="G168" s="30" t="str">
        <x:v>Inventory Controls</x:v>
      </x:c>
      <x:c r="H168" s="30" t="str">
        <x:v>Yes</x:v>
      </x:c>
      <x:c r="I168" s="30" t="str">
        <x:v>P-2 RESCUED and RECLASSIFIED as best practice.</x:v>
      </x:c>
    </x:row>
    <x:row r="169">
      <x:c r="A169" s="30" t="str">
        <x:v>AUD168</x:v>
      </x:c>
      <x:c r="B169" s="30" t="str">
        <x:v>COMP081</x:v>
      </x:c>
      <x:c r="C169" s="30" t="str">
        <x:v>Select a sample of relevant transactions or events and interview the responsible person to confirm that design consumer-facing sale and service practices to avoid unfair trade practices and respect the statutory consumer-rights baseline.</x:v>
      </x:c>
      <x:c r="D169" s="30" t="str">
        <x:v>Sampling and Interview</x:v>
      </x:c>
      <x:c r="E169" s="30" t="str">
        <x:v>Monthly</x:v>
      </x:c>
      <x:c r="F169" s="30" t="str">
        <x:v>CORE</x:v>
      </x:c>
      <x:c r="G169" s="30" t="str">
        <x:v>CA062</x:v>
      </x:c>
      <x:c r="H169" s="30" t="str">
        <x:v>Yes</x:v>
      </x:c>
      <x:c r="I169" s="30" t="str">
        <x:v>P-4 normalized to current parent compliance; legacy Audit ID preserved.</x:v>
      </x:c>
    </x:row>
    <x:row r="170">
      <x:c r="A170" s="30" t="str">
        <x:v>AUD169</x:v>
      </x:c>
      <x:c r="B170" s="30" t="str">
        <x:v>COMP081</x:v>
      </x:c>
      <x:c r="C170" s="30" t="str">
        <x:v>Review the applicable licence, order, register, SOP and a sample of records to verify that design consumer-facing sale and service practices to avoid unfair trade practices and respect the statutory consumer-rights baseline.</x:v>
      </x:c>
      <x:c r="D170" s="30" t="str">
        <x:v>Document Review and Sampling</x:v>
      </x:c>
      <x:c r="E170" s="30" t="str">
        <x:v>Monthly</x:v>
      </x:c>
      <x:c r="F170" s="30" t="str">
        <x:v>CORE</x:v>
      </x:c>
      <x:c r="G170" s="30" t="str">
        <x:v>CA062</x:v>
      </x:c>
      <x:c r="H170" s="30" t="str">
        <x:v>Yes</x:v>
      </x:c>
      <x:c r="I170" s="30" t="str">
        <x:v>P-4 normalized to current parent compliance; legacy Audit ID preserved.</x:v>
      </x:c>
    </x:row>
    <x:row r="171">
      <x:c r="A171" s="30" t="str">
        <x:v>AUD170</x:v>
      </x:c>
      <x:c r="B171" s="30" t="str">
        <x:v>COMP082</x:v>
      </x:c>
      <x:c r="C171" s="30" t="str">
        <x:v>Select a sample of relevant transactions or events and interview the responsible person to confirm that respond to a lawful CCPA investigation and implement an applicable recall, reimbursement, discontinuance or modification order.</x:v>
      </x:c>
      <x:c r="D171" s="30" t="str">
        <x:v>Sampling and Interview</x:v>
      </x:c>
      <x:c r="E171" s="30" t="str">
        <x:v>Monthly</x:v>
      </x:c>
      <x:c r="F171" s="30" t="str">
        <x:v>CORE</x:v>
      </x:c>
      <x:c r="G171" s="30" t="str">
        <x:v>CA062</x:v>
      </x:c>
      <x:c r="H171" s="30" t="str">
        <x:v>Yes</x:v>
      </x:c>
      <x:c r="I171" s="30" t="str">
        <x:v>P-4 normalized to current parent compliance; legacy Audit ID preserved.</x:v>
      </x:c>
    </x:row>
    <x:row r="172">
      <x:c r="A172" s="30" t="str">
        <x:v>AUD171</x:v>
      </x:c>
      <x:c r="B172" s="30" t="str">
        <x:v>COMP082</x:v>
      </x:c>
      <x:c r="C172" s="30" t="str">
        <x:v>Review the applicable licence, order, register, SOP and a sample of records to verify that respond to a lawful CCPA investigation and implement an applicable recall, reimbursement, discontinuance or modification order.</x:v>
      </x:c>
      <x:c r="D172" s="30" t="str">
        <x:v>Document Review and Sampling</x:v>
      </x:c>
      <x:c r="E172" s="30" t="str">
        <x:v>Monthly</x:v>
      </x:c>
      <x:c r="F172" s="30" t="str">
        <x:v>CORE</x:v>
      </x:c>
      <x:c r="G172" s="30" t="str">
        <x:v>CA062</x:v>
      </x:c>
      <x:c r="H172" s="30" t="str">
        <x:v>Yes</x:v>
      </x:c>
      <x:c r="I172" s="30" t="str">
        <x:v>P-4 normalized to current parent compliance; legacy Audit ID preserved.</x:v>
      </x:c>
    </x:row>
    <x:row r="173">
      <x:c r="A173" s="30" t="str">
        <x:v>AUD172</x:v>
      </x:c>
      <x:c r="B173" s="30" t="str">
        <x:v>COMP083</x:v>
      </x:c>
      <x:c r="C173" s="30" t="str">
        <x:v>Select a sample of relevant transactions or events and interview the responsible person to confirm that do not engage in a practice falling within section 2(47), including false representations, deceptive price claims or refusal to issue a bill where required.</x:v>
      </x:c>
      <x:c r="D173" s="30" t="str">
        <x:v>Sampling and Interview</x:v>
      </x:c>
      <x:c r="E173" s="30" t="str">
        <x:v>Monthly</x:v>
      </x:c>
      <x:c r="F173" s="30" t="str">
        <x:v>CORE</x:v>
      </x:c>
      <x:c r="G173" s="30" t="str">
        <x:v>CA062</x:v>
      </x:c>
      <x:c r="H173" s="30" t="str">
        <x:v>Yes</x:v>
      </x:c>
      <x:c r="I173" s="30" t="str">
        <x:v>P-4 normalized to current parent compliance; legacy Audit ID preserved.</x:v>
      </x:c>
    </x:row>
    <x:row r="174">
      <x:c r="A174" s="30" t="str">
        <x:v>AUD173</x:v>
      </x:c>
      <x:c r="B174" s="30" t="str">
        <x:v>COMP083</x:v>
      </x:c>
      <x:c r="C174" s="30" t="str">
        <x:v>Review the applicable licence, order, register, SOP and a sample of records to verify that do not engage in a practice falling within section 2(47), including false representations, deceptive price claims or refusal to issue a bill where required.</x:v>
      </x:c>
      <x:c r="D174" s="30" t="str">
        <x:v>Document Review and Sampling</x:v>
      </x:c>
      <x:c r="E174" s="30" t="str">
        <x:v>Annual</x:v>
      </x:c>
      <x:c r="F174" s="30" t="str">
        <x:v>CORE</x:v>
      </x:c>
      <x:c r="G174" s="30" t="str">
        <x:v>CA062</x:v>
      </x:c>
      <x:c r="H174" s="30" t="str">
        <x:v>Yes</x:v>
      </x:c>
      <x:c r="I174" s="30" t="str">
        <x:v>P-4 normalized to current parent compliance; legacy Audit ID preserved.</x:v>
      </x:c>
    </x:row>
    <x:row r="175">
      <x:c r="A175" s="30" t="str">
        <x:v>AUD174</x:v>
      </x:c>
      <x:c r="B175" s="30" t="str">
        <x:v>COMP084</x:v>
      </x:c>
      <x:c r="C175" s="30" t="str">
        <x:v>Select a sample of relevant transactions or events and interview the responsible person to confirm that do not cause a false or misleading advertisement and comply with any CCPA discontinuance/modification direction.</x:v>
      </x:c>
      <x:c r="D175" s="30" t="str">
        <x:v>Sampling and Interview</x:v>
      </x:c>
      <x:c r="E175" s="30" t="str">
        <x:v>Quarterly</x:v>
      </x:c>
      <x:c r="F175" s="30" t="str">
        <x:v>CORE</x:v>
      </x:c>
      <x:c r="G175" s="30" t="str">
        <x:v>CA064</x:v>
      </x:c>
      <x:c r="H175" s="30" t="str">
        <x:v>Yes</x:v>
      </x:c>
      <x:c r="I175" s="30" t="str">
        <x:v>P-4 normalized to current parent compliance; legacy Audit ID preserved.</x:v>
      </x:c>
    </x:row>
    <x:row r="176">
      <x:c r="A176" s="30" t="str">
        <x:v>AUD175</x:v>
      </x:c>
      <x:c r="B176" s="30" t="str">
        <x:v>COMP084</x:v>
      </x:c>
      <x:c r="C176" s="30" t="str">
        <x:v>Review the applicable licence, order, register, SOP and a sample of records to verify that do not cause a false or misleading advertisement and comply with any CCPA discontinuance/modification direction.</x:v>
      </x:c>
      <x:c r="D176" s="30" t="str">
        <x:v>Document Review and Sampling</x:v>
      </x:c>
      <x:c r="E176" s="30" t="str">
        <x:v>Annual</x:v>
      </x:c>
      <x:c r="F176" s="30" t="str">
        <x:v>CORE</x:v>
      </x:c>
      <x:c r="G176" s="30" t="str">
        <x:v>CA064</x:v>
      </x:c>
      <x:c r="H176" s="30" t="str">
        <x:v>Yes</x:v>
      </x:c>
      <x:c r="I176" s="30" t="str">
        <x:v>P-4 normalized to current parent compliance; legacy Audit ID preserved.</x:v>
      </x:c>
    </x:row>
    <x:row r="177">
      <x:c r="A177" s="30" t="str">
        <x:v>AUD176</x:v>
      </x:c>
      <x:c r="B177" s="30" t="str">
        <x:v>COMP085</x:v>
      </x:c>
      <x:c r="C177" s="30" t="str">
        <x:v>Select a sample of relevant transactions or events and interview the responsible person to confirm that if operating in an e-commerce role, display required identity/seller information, appoint the prescribed grievance/nodal contact and operate the complaint mechanism under Rules 4-5.</x:v>
      </x:c>
      <x:c r="D177" s="30" t="str">
        <x:v>Sampling and Interview</x:v>
      </x:c>
      <x:c r="E177" s="30" t="str">
        <x:v>Monthly</x:v>
      </x:c>
      <x:c r="F177" s="30" t="str">
        <x:v>CORE</x:v>
      </x:c>
      <x:c r="G177" s="30" t="str">
        <x:v>CA065</x:v>
      </x:c>
      <x:c r="H177" s="30" t="str">
        <x:v>Yes</x:v>
      </x:c>
      <x:c r="I177" s="30" t="str">
        <x:v>P-4 normalized to current parent compliance; legacy Audit ID preserved.</x:v>
      </x:c>
    </x:row>
    <x:row r="178">
      <x:c r="A178" s="30" t="str">
        <x:v>AUD177</x:v>
      </x:c>
      <x:c r="B178" s="30" t="str">
        <x:v>COMP085</x:v>
      </x:c>
      <x:c r="C178" s="30" t="str">
        <x:v>Review the applicable licence, order, register, SOP and a sample of records to verify that if operating in an e-commerce role, display required identity/seller information, appoint the prescribed grievance/nodal contact and operate the complaint mechanism under Rules 4-5.</x:v>
      </x:c>
      <x:c r="D178" s="30" t="str">
        <x:v>Document Review and Sampling</x:v>
      </x:c>
      <x:c r="E178" s="30" t="str">
        <x:v>Monthly</x:v>
      </x:c>
      <x:c r="F178" s="30" t="str">
        <x:v>CORE</x:v>
      </x:c>
      <x:c r="G178" s="30" t="str">
        <x:v>CA065</x:v>
      </x:c>
      <x:c r="H178" s="30" t="str">
        <x:v>Yes</x:v>
      </x:c>
      <x:c r="I178" s="30" t="str">
        <x:v>P-4 normalized to current parent compliance; legacy Audit ID preserved.</x:v>
      </x:c>
    </x:row>
    <x:row r="179">
      <x:c r="A179" s="30" t="str">
        <x:v>AUD178</x:v>
      </x:c>
      <x:c r="B179" s="30" t="str">
        <x:v>COMP086</x:v>
      </x:c>
      <x:c r="C179" s="30" t="str">
        <x:v>Select a sample of relevant transactions or events and interview the responsible person to confirm that where a regulated weighing/measuring instrument is used, obtain verification/stamping and keep it valid before transactional use.</x:v>
      </x:c>
      <x:c r="D179" s="30" t="str">
        <x:v>Sampling and Interview</x:v>
      </x:c>
      <x:c r="E179" s="30" t="str">
        <x:v>Event Based</x:v>
      </x:c>
      <x:c r="F179" s="30" t="str">
        <x:v>CORE</x:v>
      </x:c>
      <x:c r="G179" s="30" t="str">
        <x:v>CA066</x:v>
      </x:c>
      <x:c r="H179" s="30" t="str">
        <x:v>Yes</x:v>
      </x:c>
      <x:c r="I179" s="30" t="str">
        <x:v>P-4 normalized to current parent compliance; legacy Audit ID preserved.</x:v>
      </x:c>
    </x:row>
    <x:row r="180">
      <x:c r="A180" s="30" t="str">
        <x:v>AUD179</x:v>
      </x:c>
      <x:c r="B180" s="30" t="str">
        <x:v>COMP086</x:v>
      </x:c>
      <x:c r="C180" s="30" t="str">
        <x:v>Review the applicable licence, order, register, SOP and a sample of records to verify that where a regulated weighing/measuring instrument is used, obtain verification/stamping and keep it valid before transactional use.</x:v>
      </x:c>
      <x:c r="D180" s="30" t="str">
        <x:v>Document Review and Sampling</x:v>
      </x:c>
      <x:c r="E180" s="30" t="str">
        <x:v>Event Based</x:v>
      </x:c>
      <x:c r="F180" s="30" t="str">
        <x:v>CORE</x:v>
      </x:c>
      <x:c r="G180" s="30" t="str">
        <x:v>CA066</x:v>
      </x:c>
      <x:c r="H180" s="30" t="str">
        <x:v>Yes</x:v>
      </x:c>
      <x:c r="I180" s="30" t="str">
        <x:v>P-4 normalized to current parent compliance; legacy Audit ID preserved.</x:v>
      </x:c>
    </x:row>
    <x:row r="181">
      <x:c r="A181" s="30" t="str">
        <x:v>AUD180</x:v>
      </x:c>
      <x:c r="B181" s="30" t="str">
        <x:v>COMP087</x:v>
      </x:c>
      <x:c r="C181" s="30" t="str">
        <x:v>Select a sample of relevant transactions or events and interview the responsible person to confirm that do not use a non-standard or required-but-unverified weight/measure; retain the verification certificate/stamp evidence.</x:v>
      </x:c>
      <x:c r="D181" s="30" t="str">
        <x:v>Sampling and Interview</x:v>
      </x:c>
      <x:c r="E181" s="30" t="str">
        <x:v>Quarterly</x:v>
      </x:c>
      <x:c r="F181" s="30" t="str">
        <x:v>CORE</x:v>
      </x:c>
      <x:c r="G181" s="30" t="str">
        <x:v>CA068</x:v>
      </x:c>
      <x:c r="H181" s="30" t="str">
        <x:v>Yes</x:v>
      </x:c>
      <x:c r="I181" s="30" t="str">
        <x:v>P-4 normalized to current parent compliance; legacy Audit ID preserved.</x:v>
      </x:c>
    </x:row>
    <x:row r="182">
      <x:c r="A182" s="30" t="str">
        <x:v>AUD181</x:v>
      </x:c>
      <x:c r="B182" s="30" t="str">
        <x:v>COMP087</x:v>
      </x:c>
      <x:c r="C182" s="30" t="str">
        <x:v>Review the applicable licence, order, register, SOP and a sample of records to verify that do not use a non-standard or required-but-unverified weight/measure; retain the verification certificate/stamp evidence.</x:v>
      </x:c>
      <x:c r="D182" s="30" t="str">
        <x:v>Document Review and Sampling</x:v>
      </x:c>
      <x:c r="E182" s="30" t="str">
        <x:v>Quarterly</x:v>
      </x:c>
      <x:c r="F182" s="30" t="str">
        <x:v>CORE</x:v>
      </x:c>
      <x:c r="G182" s="30" t="str">
        <x:v>CA068</x:v>
      </x:c>
      <x:c r="H182" s="30" t="str">
        <x:v>Yes</x:v>
      </x:c>
      <x:c r="I182" s="30" t="str">
        <x:v>P-4 normalized to current parent compliance; legacy Audit ID preserved.</x:v>
      </x:c>
    </x:row>
    <x:row r="183">
      <x:c r="A183" s="30" t="str">
        <x:v>AUD182</x:v>
      </x:c>
      <x:c r="B183" s="30" t="str">
        <x:v>COMP088</x:v>
      </x:c>
      <x:c r="C183" s="30" t="str">
        <x:v>Select a sample of relevant transactions or events and interview the responsible person to confirm that permit lawful legal-metrology inspection and produce the covered instrument and records when required by an authorised officer.</x:v>
      </x:c>
      <x:c r="D183" s="30" t="str">
        <x:v>Sampling and Interview</x:v>
      </x:c>
      <x:c r="E183" s="30" t="str">
        <x:v>Monthly</x:v>
      </x:c>
      <x:c r="F183" s="30" t="str">
        <x:v>CORE</x:v>
      </x:c>
      <x:c r="G183" s="30" t="str">
        <x:v>CA066</x:v>
      </x:c>
      <x:c r="H183" s="30" t="str">
        <x:v>Yes</x:v>
      </x:c>
      <x:c r="I183" s="30" t="str">
        <x:v>P-4 normalized to current parent compliance; legacy Audit ID preserved.</x:v>
      </x:c>
    </x:row>
    <x:row r="184">
      <x:c r="A184" s="30" t="str">
        <x:v>AUD183</x:v>
      </x:c>
      <x:c r="B184" s="30" t="str">
        <x:v>COMP088</x:v>
      </x:c>
      <x:c r="C184" s="30" t="str">
        <x:v>Review the applicable licence, order, register, SOP and a sample of records to verify that permit lawful legal-metrology inspection and produce the covered instrument and records when required by an authorised officer.</x:v>
      </x:c>
      <x:c r="D184" s="30" t="str">
        <x:v>Document Review and Sampling</x:v>
      </x:c>
      <x:c r="E184" s="30" t="str">
        <x:v>Monthly</x:v>
      </x:c>
      <x:c r="F184" s="30" t="str">
        <x:v>CORE</x:v>
      </x:c>
      <x:c r="G184" s="30" t="str">
        <x:v>CA066</x:v>
      </x:c>
      <x:c r="H184" s="30" t="str">
        <x:v>Yes</x:v>
      </x:c>
      <x:c r="I184" s="30" t="str">
        <x:v>P-4 normalized to current parent compliance; legacy Audit ID preserved.</x:v>
      </x:c>
    </x:row>
    <x:row r="185">
      <x:c r="A185" s="30" t="str">
        <x:v>AUD184</x:v>
      </x:c>
      <x:c r="B185" s="30" t="str">
        <x:v>COMP089</x:v>
      </x:c>
      <x:c r="C185" s="30" t="str">
        <x:v>Select a sample of relevant transactions or events and interview the responsible person to confirm that do not sell, distribute, deliver, display or store for sale a pre-packaged commodity unless the package complies with the Act and Rules.</x:v>
      </x:c>
      <x:c r="D185" s="30" t="str">
        <x:v>Sampling and Interview</x:v>
      </x:c>
      <x:c r="E185" s="30" t="str">
        <x:v>Monthly</x:v>
      </x:c>
      <x:c r="F185" s="30" t="str">
        <x:v>CORE</x:v>
      </x:c>
      <x:c r="G185" s="30" t="str">
        <x:v>CA067</x:v>
      </x:c>
      <x:c r="H185" s="30" t="str">
        <x:v>Yes</x:v>
      </x:c>
      <x:c r="I185" s="30" t="str">
        <x:v>P-4 normalized to current parent compliance; legacy Audit ID preserved.</x:v>
      </x:c>
    </x:row>
    <x:row r="186">
      <x:c r="A186" s="30" t="str">
        <x:v>AUD185</x:v>
      </x:c>
      <x:c r="B186" s="30" t="str">
        <x:v>COMP089</x:v>
      </x:c>
      <x:c r="C186" s="30" t="str">
        <x:v>Review the applicable licence, order, register, SOP and a sample of records to verify that do not sell, distribute, deliver, display or store for sale a pre-packaged commodity unless the package complies with the Act and Rules.</x:v>
      </x:c>
      <x:c r="D186" s="30" t="str">
        <x:v>Document Review and Sampling</x:v>
      </x:c>
      <x:c r="E186" s="30" t="str">
        <x:v>Monthly</x:v>
      </x:c>
      <x:c r="F186" s="30" t="str">
        <x:v>CORE</x:v>
      </x:c>
      <x:c r="G186" s="30" t="str">
        <x:v>CA067</x:v>
      </x:c>
      <x:c r="H186" s="30" t="str">
        <x:v>Yes</x:v>
      </x:c>
      <x:c r="I186" s="30" t="str">
        <x:v>P-4 normalized to current parent compliance; legacy Audit ID preserved.</x:v>
      </x:c>
    </x:row>
    <x:row r="187">
      <x:c r="A187" s="30" t="str">
        <x:v>AUD186</x:v>
      </x:c>
      <x:c r="B187" s="30" t="str">
        <x:v>COMP090</x:v>
      </x:c>
      <x:c r="C187" s="30" t="str">
        <x:v>Select a sample of relevant transactions or events and interview the responsible person to confirm that do not sell an applicable packaged commodity above its declared retail sale price.</x:v>
      </x:c>
      <x:c r="D187" s="30" t="str">
        <x:v>Sampling and Interview</x:v>
      </x:c>
      <x:c r="E187" s="30" t="str">
        <x:v>Monthly</x:v>
      </x:c>
      <x:c r="F187" s="30" t="str">
        <x:v>CORE</x:v>
      </x:c>
      <x:c r="G187" s="30" t="str">
        <x:v>CA067</x:v>
      </x:c>
      <x:c r="H187" s="30" t="str">
        <x:v>Yes</x:v>
      </x:c>
      <x:c r="I187" s="30" t="str">
        <x:v>P-4 normalized to current parent compliance; legacy Audit ID preserved.</x:v>
      </x:c>
    </x:row>
    <x:row r="188">
      <x:c r="A188" s="30" t="str">
        <x:v>AUD187</x:v>
      </x:c>
      <x:c r="B188" s="30" t="str">
        <x:v>COMP090</x:v>
      </x:c>
      <x:c r="C188" s="30" t="str">
        <x:v>Review the applicable licence, order, register, SOP and a sample of records to verify that do not sell an applicable packaged commodity above its declared retail sale price.</x:v>
      </x:c>
      <x:c r="D188" s="30" t="str">
        <x:v>Document Review and Sampling</x:v>
      </x:c>
      <x:c r="E188" s="30" t="str">
        <x:v>Quarterly</x:v>
      </x:c>
      <x:c r="F188" s="30" t="str">
        <x:v>CORE</x:v>
      </x:c>
      <x:c r="G188" s="30" t="str">
        <x:v>CA067</x:v>
      </x:c>
      <x:c r="H188" s="30" t="str">
        <x:v>Yes</x:v>
      </x:c>
      <x:c r="I188" s="30" t="str">
        <x:v>P-4 normalized to current parent compliance; legacy Audit ID preserved.</x:v>
      </x:c>
    </x:row>
    <x:row r="189">
      <x:c r="A189" s="30" t="str">
        <x:v>AUD188</x:v>
      </x:c>
      <x:c r="B189" s="30" t="str">
        <x:v>COMP091</x:v>
      </x:c>
      <x:c r="C189" s="30" t="str">
        <x:v>Select a sample of relevant transactions or events and interview the responsible person to confirm that for e-commerce sale of applicable pre-packaged commodities, display the prescribed Rule 6 declarations on the digital/electronic network.</x:v>
      </x:c>
      <x:c r="D189" s="30" t="str">
        <x:v>Sampling and Interview</x:v>
      </x:c>
      <x:c r="E189" s="30" t="str">
        <x:v>Quarterly</x:v>
      </x:c>
      <x:c r="F189" s="30" t="str">
        <x:v>CORE</x:v>
      </x:c>
      <x:c r="G189" s="30" t="str">
        <x:v>CA031</x:v>
      </x:c>
      <x:c r="H189" s="30" t="str">
        <x:v>Yes</x:v>
      </x:c>
      <x:c r="I189" s="30" t="str">
        <x:v>P-4 normalized to current parent compliance; legacy Audit ID preserved.</x:v>
      </x:c>
    </x:row>
    <x:row r="190">
      <x:c r="A190" s="30" t="str">
        <x:v>AUD189</x:v>
      </x:c>
      <x:c r="B190" s="30" t="str">
        <x:v>COMP091</x:v>
      </x:c>
      <x:c r="C190" s="30" t="str">
        <x:v>Review the applicable licence, order, register, SOP and a sample of records to verify that for e-commerce sale of applicable pre-packaged commodities, display the prescribed Rule 6 declarations on the digital/electronic network.</x:v>
      </x:c>
      <x:c r="D190" s="30" t="str">
        <x:v>Document Review and Sampling</x:v>
      </x:c>
      <x:c r="E190" s="30" t="str">
        <x:v>Quarterly</x:v>
      </x:c>
      <x:c r="F190" s="30" t="str">
        <x:v>CORE</x:v>
      </x:c>
      <x:c r="G190" s="30" t="str">
        <x:v>CA031</x:v>
      </x:c>
      <x:c r="H190" s="30" t="str">
        <x:v>Yes</x:v>
      </x:c>
      <x:c r="I190" s="30" t="str">
        <x:v>P-4 normalized to current parent compliance; legacy Audit ID preserved.</x:v>
      </x:c>
    </x:row>
    <x:row r="191">
      <x:c r="A191" s="30" t="str">
        <x:v>AUD190</x:v>
      </x:c>
      <x:c r="B191" s="30" t="str">
        <x:v>COMP092</x:v>
      </x:c>
      <x:c r="C191" s="30" t="str">
        <x:v>Select a sample of relevant transactions or events and interview the responsible person to confirm that if handling SPDI, publish the prescribed privacy policy and operate a documented reasonable-security programme/standard with periodic review.</x:v>
      </x:c>
      <x:c r="D191" s="30" t="str">
        <x:v>Sampling and Interview</x:v>
      </x:c>
      <x:c r="E191" s="30" t="str">
        <x:v>Monthly</x:v>
      </x:c>
      <x:c r="F191" s="30" t="str">
        <x:v>CORE</x:v>
      </x:c>
      <x:c r="G191" s="30" t="str">
        <x:v>CA071</x:v>
      </x:c>
      <x:c r="H191" s="30" t="str">
        <x:v>Yes</x:v>
      </x:c>
      <x:c r="I191" s="30" t="str">
        <x:v>P-4 normalized to current parent compliance; legacy Audit ID preserved.</x:v>
      </x:c>
    </x:row>
    <x:row r="192">
      <x:c r="A192" s="30" t="str">
        <x:v>AUD191</x:v>
      </x:c>
      <x:c r="B192" s="30" t="str">
        <x:v>COMP092</x:v>
      </x:c>
      <x:c r="C192" s="30" t="str">
        <x:v>Review the applicable licence, order, register, SOP and a sample of records to verify that if handling SPDI, publish the prescribed privacy policy and operate a documented reasonable-security programme/standard with periodic review.</x:v>
      </x:c>
      <x:c r="D192" s="30" t="str">
        <x:v>Document Review and Sampling</x:v>
      </x:c>
      <x:c r="E192" s="30" t="str">
        <x:v>Monthly</x:v>
      </x:c>
      <x:c r="F192" s="30" t="str">
        <x:v>CORE</x:v>
      </x:c>
      <x:c r="G192" s="30" t="str">
        <x:v>CA071</x:v>
      </x:c>
      <x:c r="H192" s="30" t="str">
        <x:v>Yes</x:v>
      </x:c>
      <x:c r="I192" s="30" t="str">
        <x:v>P-4 normalized to current parent compliance; legacy Audit ID preserved.</x:v>
      </x:c>
    </x:row>
    <x:row r="193">
      <x:c r="A193" s="30" t="str">
        <x:v>AUD192</x:v>
      </x:c>
      <x:c r="B193" s="30" t="str">
        <x:v>COMP093</x:v>
      </x:c>
      <x:c r="C193" s="30" t="str">
        <x:v>Select a sample of relevant transactions or events and interview the responsible person to confirm that for SPDI, obtain consent, give required collection information, limit purpose/retention and provide review/correction mechanisms.</x:v>
      </x:c>
      <x:c r="D193" s="30" t="str">
        <x:v>Sampling and Interview</x:v>
      </x:c>
      <x:c r="E193" s="30" t="str">
        <x:v>Quarterly</x:v>
      </x:c>
      <x:c r="F193" s="30" t="str">
        <x:v>CORE</x:v>
      </x:c>
      <x:c r="G193" s="30" t="str">
        <x:v>CA072</x:v>
      </x:c>
      <x:c r="H193" s="30" t="str">
        <x:v>Yes</x:v>
      </x:c>
      <x:c r="I193" s="30" t="str">
        <x:v>P-4 normalized to current parent compliance; legacy Audit ID preserved.</x:v>
      </x:c>
    </x:row>
    <x:row r="194">
      <x:c r="A194" s="30" t="str">
        <x:v>AUD193</x:v>
      </x:c>
      <x:c r="B194" s="30" t="str">
        <x:v>COMP093</x:v>
      </x:c>
      <x:c r="C194" s="30" t="str">
        <x:v>Review the applicable licence, order, register, SOP and a sample of records to verify that for SPDI, obtain consent, give required collection information, limit purpose/retention and provide review/correction mechanisms.</x:v>
      </x:c>
      <x:c r="D194" s="30" t="str">
        <x:v>Document Review and Sampling</x:v>
      </x:c>
      <x:c r="E194" s="30" t="str">
        <x:v>Quarterly</x:v>
      </x:c>
      <x:c r="F194" s="30" t="str">
        <x:v>CORE</x:v>
      </x:c>
      <x:c r="G194" s="30" t="str">
        <x:v>CA072</x:v>
      </x:c>
      <x:c r="H194" s="30" t="str">
        <x:v>Yes</x:v>
      </x:c>
      <x:c r="I194" s="30" t="str">
        <x:v>P-4 normalized to current parent compliance; legacy Audit ID preserved.</x:v>
      </x:c>
    </x:row>
    <x:row r="195">
      <x:c r="A195" s="30" t="str">
        <x:v>AUD194</x:v>
      </x:c>
      <x:c r="B195" s="30" t="str">
        <x:v>COMP094</x:v>
      </x:c>
      <x:c r="C195" s="30" t="str">
        <x:v>Select a sample of relevant transactions or events and interview the responsible person to confirm that do not disclose SPDI without prior permission unless a Rule 6 exception applies; prevent unlawful contractual disclosure.</x:v>
      </x:c>
      <x:c r="D195" s="30" t="str">
        <x:v>Sampling and Interview</x:v>
      </x:c>
      <x:c r="E195" s="30" t="str">
        <x:v>Annual</x:v>
      </x:c>
      <x:c r="F195" s="30" t="str">
        <x:v>CORE</x:v>
      </x:c>
      <x:c r="G195" s="30" t="str">
        <x:v>CA071</x:v>
      </x:c>
      <x:c r="H195" s="30" t="str">
        <x:v>Yes</x:v>
      </x:c>
      <x:c r="I195" s="30" t="str">
        <x:v>P-4 normalized to current parent compliance; legacy Audit ID preserved.</x:v>
      </x:c>
    </x:row>
    <x:row r="196">
      <x:c r="A196" s="30" t="str">
        <x:v>AUD195</x:v>
      </x:c>
      <x:c r="B196" s="30" t="str">
        <x:v>COMP094</x:v>
      </x:c>
      <x:c r="C196" s="30" t="str">
        <x:v>Review the applicable licence, order, register, SOP and a sample of records to verify that do not disclose SPDI without prior permission unless a Rule 6 exception applies; prevent unlawful contractual disclosure.</x:v>
      </x:c>
      <x:c r="D196" s="30" t="str">
        <x:v>Document Review and Sampling</x:v>
      </x:c>
      <x:c r="E196" s="30" t="str">
        <x:v>Annual</x:v>
      </x:c>
      <x:c r="F196" s="30" t="str">
        <x:v>CORE</x:v>
      </x:c>
      <x:c r="G196" s="30" t="str">
        <x:v>CA071</x:v>
      </x:c>
      <x:c r="H196" s="30" t="str">
        <x:v>Yes</x:v>
      </x:c>
      <x:c r="I196" s="30" t="str">
        <x:v>P-4 normalized to current parent compliance; legacy Audit ID preserved.</x:v>
      </x:c>
    </x:row>
    <x:row r="197">
      <x:c r="A197" s="30" t="str">
        <x:v>AUD196</x:v>
      </x:c>
      <x:c r="B197" s="30" t="str">
        <x:v>COMP095</x:v>
      </x:c>
      <x:c r="C197" s="30" t="str">
        <x:v>Select a sample of relevant transactions or events and interview the responsible person to confirm that apply intermediary due diligence only if the platform legally qualifies as an intermediary under current IT law.</x:v>
      </x:c>
      <x:c r="D197" s="30" t="str">
        <x:v>Sampling and Interview</x:v>
      </x:c>
      <x:c r="E197" s="30" t="str">
        <x:v>Monthly</x:v>
      </x:c>
      <x:c r="F197" s="30" t="str">
        <x:v>CORE</x:v>
      </x:c>
      <x:c r="G197" s="30" t="str">
        <x:v>CA069</x:v>
      </x:c>
      <x:c r="H197" s="30" t="str">
        <x:v>Yes</x:v>
      </x:c>
      <x:c r="I197" s="30" t="str">
        <x:v>P-4 normalized to current parent compliance; legacy Audit ID preserved.</x:v>
      </x:c>
    </x:row>
    <x:row r="198">
      <x:c r="A198" s="30" t="str">
        <x:v>AUD197</x:v>
      </x:c>
      <x:c r="B198" s="30" t="str">
        <x:v>COMP095</x:v>
      </x:c>
      <x:c r="C198" s="30" t="str">
        <x:v>Review the applicable licence, order, register, SOP and a sample of records to verify that apply intermediary due diligence only if the platform legally qualifies as an intermediary under current IT law.</x:v>
      </x:c>
      <x:c r="D198" s="30" t="str">
        <x:v>Document Review and Sampling</x:v>
      </x:c>
      <x:c r="E198" s="30" t="str">
        <x:v>Monthly</x:v>
      </x:c>
      <x:c r="F198" s="30" t="str">
        <x:v>CORE</x:v>
      </x:c>
      <x:c r="G198" s="30" t="str">
        <x:v>CA069</x:v>
      </x:c>
      <x:c r="H198" s="30" t="str">
        <x:v>Yes</x:v>
      </x:c>
      <x:c r="I198" s="30" t="str">
        <x:v>P-4 normalized to current parent compliance; legacy Audit ID preserved.</x:v>
      </x:c>
    </x:row>
    <x:row r="199">
      <x:c r="A199" s="30" t="str">
        <x:v>AUD198</x:v>
      </x:c>
      <x:c r="B199" s="30" t="str">
        <x:v>COMP096</x:v>
      </x:c>
      <x:c r="C199" s="30" t="str">
        <x:v>Verify that medicines requiring refrigeration are dispensed without unnecessary temperature exposure.</x:v>
      </x:c>
      <x:c r="D199" s="30" t="str">
        <x:v>Observation</x:v>
      </x:c>
      <x:c r="E199" s="30" t="str">
        <x:v>Monthly</x:v>
      </x:c>
      <x:c r="F199" s="30" t="str">
        <x:v>CORE</x:v>
      </x:c>
      <x:c r="G199" s="30" t="str">
        <x:v>Storage Controls</x:v>
      </x:c>
      <x:c r="H199" s="30" t="str">
        <x:v>No</x:v>
      </x:c>
      <x:c r="I199" s="30" t="str">
        <x:v>P-3 QUARANTINED: Generic State/local/permit/reference rows, penalty-only/fabricated DAMR extractions, and future-effective DPDP duties are not current production obligations.</x:v>
      </x:c>
    </x:row>
    <x:row r="200">
      <x:c r="A200" s="30" t="str">
        <x:v>AUD199</x:v>
      </x:c>
      <x:c r="B200" s="30" t="str">
        <x:v>COMP096</x:v>
      </x:c>
      <x:c r="C200" s="30" t="str">
        <x:v>Review handling procedures for refrigerated medicines.</x:v>
      </x:c>
      <x:c r="D200" s="30" t="str">
        <x:v>Document Review</x:v>
      </x:c>
      <x:c r="E200" s="30" t="str">
        <x:v>Annual</x:v>
      </x:c>
      <x:c r="F200" s="30" t="str">
        <x:v>CORE</x:v>
      </x:c>
      <x:c r="G200" s="30" t="str">
        <x:v>SOP &amp; Training</x:v>
      </x:c>
      <x:c r="H200" s="30" t="str">
        <x:v>No</x:v>
      </x:c>
      <x:c r="I200" s="30" t="str">
        <x:v>P-3 QUARANTINED: Generic State/local/permit/reference rows, penalty-only/fabricated DAMR extractions, and future-effective DPDP duties are not current production obligations.</x:v>
      </x:c>
    </x:row>
    <x:row r="201">
      <x:c r="A201" s="30" t="str">
        <x:v>AUD200</x:v>
      </x:c>
      <x:c r="B201" s="30" t="str">
        <x:v>COMP097</x:v>
      </x:c>
      <x:c r="C201" s="30" t="str">
        <x:v>Verify that dispensing activities are periodically reviewed through internal audits.</x:v>
      </x:c>
      <x:c r="D201" s="30" t="str">
        <x:v>Document Review</x:v>
      </x:c>
      <x:c r="E201" s="30" t="str">
        <x:v>Annual</x:v>
      </x:c>
      <x:c r="F201" s="30" t="str">
        <x:v>CORE</x:v>
      </x:c>
      <x:c r="G201" s="30" t="str">
        <x:v>General Compliance</x:v>
      </x:c>
      <x:c r="H201" s="30" t="str">
        <x:v>No</x:v>
      </x:c>
      <x:c r="I201" s="30" t="str">
        <x:v>P-3 QUARANTINED: Generic State/local/permit/reference rows, penalty-only/fabricated DAMR extractions, and future-effective DPDP duties are not current production obligations.</x:v>
      </x:c>
    </x:row>
    <x:row r="202">
      <x:c r="A202" s="30" t="str">
        <x:v>AUD201</x:v>
      </x:c>
      <x:c r="B202" s="30" t="str">
        <x:v>COMP097</x:v>
      </x:c>
      <x:c r="C202" s="30" t="str">
        <x:v>Review closure status of dispensing audit observations.</x:v>
      </x:c>
      <x:c r="D202" s="30" t="str">
        <x:v>Observation</x:v>
      </x:c>
      <x:c r="E202" s="30" t="str">
        <x:v>Annual</x:v>
      </x:c>
      <x:c r="F202" s="30" t="str">
        <x:v>CORE</x:v>
      </x:c>
      <x:c r="G202" s="30" t="str">
        <x:v>General Compliance</x:v>
      </x:c>
      <x:c r="H202" s="30" t="str">
        <x:v>No</x:v>
      </x:c>
      <x:c r="I202" s="30" t="str">
        <x:v>P-3 QUARANTINED: Generic State/local/permit/reference rows, penalty-only/fabricated DAMR extractions, and future-effective DPDP duties are not current production obligations.</x:v>
      </x:c>
    </x:row>
    <x:row r="203">
      <x:c r="A203" s="30" t="str">
        <x:v>AUD202</x:v>
      </x:c>
      <x:c r="B203" s="30" t="str">
        <x:v>COMP098</x:v>
      </x:c>
      <x:c r="C203" s="30" t="str">
        <x:v>Verify that customer complaints relating to dispensing are recorded and investigated.</x:v>
      </x:c>
      <x:c r="D203" s="30" t="str">
        <x:v>Record Verification</x:v>
      </x:c>
      <x:c r="E203" s="30" t="str">
        <x:v>Monthly</x:v>
      </x:c>
      <x:c r="F203" s="30" t="str">
        <x:v>CORE</x:v>
      </x:c>
      <x:c r="G203" s="30" t="str">
        <x:v>Consumer Protection</x:v>
      </x:c>
      <x:c r="H203" s="30" t="str">
        <x:v>No</x:v>
      </x:c>
      <x:c r="I203" s="30" t="str">
        <x:v>P-3 QUARANTINED: Generic State/local/permit/reference rows, penalty-only/fabricated DAMR extractions, and future-effective DPDP duties are not current production obligations.</x:v>
      </x:c>
    </x:row>
    <x:row r="204">
      <x:c r="A204" s="30" t="str">
        <x:v>AUD203</x:v>
      </x:c>
      <x:c r="B204" s="30" t="str">
        <x:v>COMP098</x:v>
      </x:c>
      <x:c r="C204" s="30" t="str">
        <x:v>Review complaint investigation reports and corrective actions.</x:v>
      </x:c>
      <x:c r="D204" s="30" t="str">
        <x:v>Document Review</x:v>
      </x:c>
      <x:c r="E204" s="30" t="str">
        <x:v>Monthly</x:v>
      </x:c>
      <x:c r="F204" s="30" t="str">
        <x:v>CORE</x:v>
      </x:c>
      <x:c r="G204" s="30" t="str">
        <x:v>Consumer Protection</x:v>
      </x:c>
      <x:c r="H204" s="30" t="str">
        <x:v>No</x:v>
      </x:c>
      <x:c r="I204" s="30" t="str">
        <x:v>P-3 QUARANTINED: Generic State/local/permit/reference rows, penalty-only/fabricated DAMR extractions, and future-effective DPDP duties are not current production obligations.</x:v>
      </x:c>
    </x:row>
    <x:row r="205">
      <x:c r="A205" s="30" t="str">
        <x:v>AUD204</x:v>
      </x:c>
      <x:c r="B205" s="30" t="str">
        <x:v>COMP099</x:v>
      </x:c>
      <x:c r="C205" s="30" t="str">
        <x:v>Verify that dispensing-related regulatory inspections are adequately documented and complied with.</x:v>
      </x:c>
      <x:c r="D205" s="30" t="str">
        <x:v>Physical Inspection</x:v>
      </x:c>
      <x:c r="E205" s="30" t="str">
        <x:v>Event Based</x:v>
      </x:c>
      <x:c r="F205" s="30" t="str">
        <x:v>CORE</x:v>
      </x:c>
      <x:c r="G205" s="30" t="str">
        <x:v>Inspection &amp; Display Controls</x:v>
      </x:c>
      <x:c r="H205" s="30" t="str">
        <x:v>No</x:v>
      </x:c>
      <x:c r="I205" s="30" t="str">
        <x:v>P-3 QUARANTINED: Generic State/local/permit/reference rows, penalty-only/fabricated DAMR extractions, and future-effective DPDP duties are not current production obligations.</x:v>
      </x:c>
    </x:row>
    <x:row r="206">
      <x:c r="A206" s="30" t="str">
        <x:v>AUD205</x:v>
      </x:c>
      <x:c r="B206" s="30" t="str">
        <x:v>COMP099</x:v>
      </x:c>
      <x:c r="C206" s="30" t="str">
        <x:v>Review compliance status of inspection observations related to dispensing.</x:v>
      </x:c>
      <x:c r="D206" s="30" t="str">
        <x:v>Physical Inspection</x:v>
      </x:c>
      <x:c r="E206" s="30" t="str">
        <x:v>Quarterly</x:v>
      </x:c>
      <x:c r="F206" s="30" t="str">
        <x:v>CORE</x:v>
      </x:c>
      <x:c r="G206" s="30" t="str">
        <x:v>Inspection &amp; Display Controls</x:v>
      </x:c>
      <x:c r="H206" s="30" t="str">
        <x:v>No</x:v>
      </x:c>
      <x:c r="I206" s="30" t="str">
        <x:v>P-3 QUARANTINED: Generic State/local/permit/reference rows, penalty-only/fabricated DAMR extractions, and future-effective DPDP duties are not current production obligations.</x:v>
      </x:c>
    </x:row>
    <x:row r="207">
      <x:c r="A207" s="30" t="str">
        <x:v>AUD206</x:v>
      </x:c>
      <x:c r="B207" s="30" t="str">
        <x:v>COMP100</x:v>
      </x:c>
      <x:c r="C207" s="30" t="str">
        <x:v>Verify that overall dispensing operations comply with applicable regulatory requirements and internal SOPs.</x:v>
      </x:c>
      <x:c r="D207" s="30" t="str">
        <x:v>Document Review</x:v>
      </x:c>
      <x:c r="E207" s="30" t="str">
        <x:v>Annual</x:v>
      </x:c>
      <x:c r="F207" s="30" t="str">
        <x:v>CORE</x:v>
      </x:c>
      <x:c r="G207" s="30" t="str">
        <x:v>SOP &amp; Training</x:v>
      </x:c>
      <x:c r="H207" s="30" t="str">
        <x:v>No</x:v>
      </x:c>
      <x:c r="I207" s="30" t="str">
        <x:v>P-3 QUARANTINED: Generic State/local/permit/reference rows, penalty-only/fabricated DAMR extractions, and future-effective DPDP duties are not current production obligations.</x:v>
      </x:c>
    </x:row>
    <x:row r="208">
      <x:c r="A208" s="30" t="str">
        <x:v>AUD207</x:v>
      </x:c>
      <x:c r="B208" s="30" t="str">
        <x:v>COMP100</x:v>
      </x:c>
      <x:c r="C208" s="30" t="str">
        <x:v>Conduct sample testing of dispensing transactions for regulatory compliance.</x:v>
      </x:c>
      <x:c r="D208" s="30" t="str">
        <x:v>Sampling</x:v>
      </x:c>
      <x:c r="E208" s="30" t="str">
        <x:v>Quarterly</x:v>
      </x:c>
      <x:c r="F208" s="30" t="str">
        <x:v>CORE</x:v>
      </x:c>
      <x:c r="G208" s="30" t="str">
        <x:v>General Compliance</x:v>
      </x:c>
      <x:c r="H208" s="30" t="str">
        <x:v>No</x:v>
      </x:c>
      <x:c r="I208" s="30" t="str">
        <x:v>P-3 QUARANTINED: Generic State/local/permit/reference rows, penalty-only/fabricated DAMR extractions, and future-effective DPDP duties are not current production obligations.</x:v>
      </x:c>
    </x:row>
    <x:row r="209">
      <x:c r="A209" s="30" t="str">
        <x:v>AUD208</x:v>
      </x:c>
      <x:c r="B209" s="30" t="str">
        <x:v>COMP100</x:v>
      </x:c>
      <x:c r="C209" s="30" t="str">
        <x:v>Reconcile dispensing controls with applicable legal requirements and organizational policies.</x:v>
      </x:c>
      <x:c r="D209" s="30" t="str">
        <x:v>Reconciliation</x:v>
      </x:c>
      <x:c r="E209" s="30" t="str">
        <x:v>Annual</x:v>
      </x:c>
      <x:c r="F209" s="30" t="str">
        <x:v>CORE</x:v>
      </x:c>
      <x:c r="G209" s="30" t="str">
        <x:v>General Compliance</x:v>
      </x:c>
      <x:c r="H209" s="30" t="str">
        <x:v>No</x:v>
      </x:c>
      <x:c r="I209" s="30" t="str">
        <x:v>P-3 QUARANTINED: Generic State/local/permit/reference rows, penalty-only/fabricated DAMR extractions, and future-effective DPDP duties are not current production obligations.</x:v>
      </x:c>
    </x:row>
    <x:row r="210">
      <x:c r="A210" s="30" t="str">
        <x:v>AUD209</x:v>
      </x:c>
      <x:c r="B210" s="30" t="str">
        <x:v>COMP100</x:v>
      </x:c>
      <x:c r="C210" s="30" t="str">
        <x:v>Validate effectiveness of dispensing controls through independent audit testing.</x:v>
      </x:c>
      <x:c r="D210" s="30" t="str">
        <x:v>Sampling</x:v>
      </x:c>
      <x:c r="E210" s="30" t="str">
        <x:v>Annual</x:v>
      </x:c>
      <x:c r="F210" s="30" t="str">
        <x:v>CORE</x:v>
      </x:c>
      <x:c r="G210" s="30" t="str">
        <x:v>General Compliance</x:v>
      </x:c>
      <x:c r="H210" s="30" t="str">
        <x:v>No</x:v>
      </x:c>
      <x:c r="I210" s="30" t="str">
        <x:v>P-3 QUARANTINED: Generic State/local/permit/reference rows, penalty-only/fabricated DAMR extractions, and future-effective DPDP duties are not current production obligations.</x:v>
      </x:c>
    </x:row>
    <x:row r="211">
      <x:c r="A211" s="30" t="str">
        <x:v>AUD210</x:v>
      </x:c>
      <x:c r="B211" s="30" t="str">
        <x:v>COMP101</x:v>
      </x:c>
      <x:c r="C211" s="30" t="str">
        <x:v>Select a sample of relevant transactions or events and interview the responsible person to confirm that hold the applicable Drugs Rules sale licence or, for an exclusive medical-device seller without that licence, obtain and maintain Form MD-42 registration.</x:v>
      </x:c>
      <x:c r="D211" s="30" t="str">
        <x:v>Sampling and Interview</x:v>
      </x:c>
      <x:c r="E211" s="30" t="str">
        <x:v>Monthly</x:v>
      </x:c>
      <x:c r="F211" s="30" t="str">
        <x:v>CORE</x:v>
      </x:c>
      <x:c r="G211" s="30" t="str">
        <x:v>CA009</x:v>
      </x:c>
      <x:c r="H211" s="30" t="str">
        <x:v>Yes</x:v>
      </x:c>
      <x:c r="I211" s="30" t="str">
        <x:v>P-4 normalized to current parent compliance; legacy Audit ID preserved.</x:v>
      </x:c>
    </x:row>
    <x:row r="212">
      <x:c r="A212" s="30" t="str">
        <x:v>AUD211</x:v>
      </x:c>
      <x:c r="B212" s="30" t="str">
        <x:v>COMP101</x:v>
      </x:c>
      <x:c r="C212" s="30" t="str">
        <x:v>Review the applicable licence, order, register, SOP and a sample of records to verify that hold the applicable Drugs Rules sale licence or, for an exclusive medical-device seller without that licence, obtain and maintain Form MD-42 registration.</x:v>
      </x:c>
      <x:c r="D212" s="30" t="str">
        <x:v>Document Review and Sampling</x:v>
      </x:c>
      <x:c r="E212" s="30" t="str">
        <x:v>Monthly</x:v>
      </x:c>
      <x:c r="F212" s="30" t="str">
        <x:v>CORE</x:v>
      </x:c>
      <x:c r="G212" s="30" t="str">
        <x:v>CA009</x:v>
      </x:c>
      <x:c r="H212" s="30" t="str">
        <x:v>Yes</x:v>
      </x:c>
      <x:c r="I212" s="30" t="str">
        <x:v>P-4 normalized to current parent compliance; legacy Audit ID preserved.</x:v>
      </x:c>
    </x:row>
    <x:row r="213">
      <x:c r="A213" s="30" t="str">
        <x:v>AUD212</x:v>
      </x:c>
      <x:c r="B213" s="30" t="str">
        <x:v>COMP102</x:v>
      </x:c>
      <x:c r="C213" s="30" t="str">
        <x:v>Select a sample of relevant transactions or events and interview the responsible person to confirm that display the medical-device registration where applicable, maintain adequate premises and specified storage, and procure devices only from authorized sources.</x:v>
      </x:c>
      <x:c r="D213" s="30" t="str">
        <x:v>Sampling and Interview</x:v>
      </x:c>
      <x:c r="E213" s="30" t="str">
        <x:v>Monthly</x:v>
      </x:c>
      <x:c r="F213" s="30" t="str">
        <x:v>CORE</x:v>
      </x:c>
      <x:c r="G213" s="30" t="str">
        <x:v>CA009</x:v>
      </x:c>
      <x:c r="H213" s="30" t="str">
        <x:v>Yes</x:v>
      </x:c>
      <x:c r="I213" s="30" t="str">
        <x:v>P-4 normalized to current parent compliance; legacy Audit ID preserved.</x:v>
      </x:c>
    </x:row>
    <x:row r="214">
      <x:c r="A214" s="30" t="str">
        <x:v>AUD213</x:v>
      </x:c>
      <x:c r="B214" s="30" t="str">
        <x:v>COMP102</x:v>
      </x:c>
      <x:c r="C214" s="30" t="str">
        <x:v>Review the applicable licence, order, register, SOP and a sample of records to verify that display the medical-device registration where applicable, maintain adequate premises and specified storage, and procure devices only from authorized sources.</x:v>
      </x:c>
      <x:c r="D214" s="30" t="str">
        <x:v>Document Review and Sampling</x:v>
      </x:c>
      <x:c r="E214" s="30" t="str">
        <x:v>Monthly</x:v>
      </x:c>
      <x:c r="F214" s="30" t="str">
        <x:v>CORE</x:v>
      </x:c>
      <x:c r="G214" s="30" t="str">
        <x:v>CA009</x:v>
      </x:c>
      <x:c r="H214" s="30" t="str">
        <x:v>Yes</x:v>
      </x:c>
      <x:c r="I214" s="30" t="str">
        <x:v>P-4 normalized to current parent compliance; legacy Audit ID preserved.</x:v>
      </x:c>
    </x:row>
    <x:row r="215">
      <x:c r="A215" s="30" t="str">
        <x:v>AUD214</x:v>
      </x:c>
      <x:c r="B215" s="30" t="str">
        <x:v>COMP103</x:v>
      </x:c>
      <x:c r="C215" s="30" t="str">
        <x:v>Select a sample of relevant transactions or events and interview the responsible person to confirm that maintain medical-device purchase and sale records, provide inspection access, retain records for two years, and maintain the prescribed inspection book.</x:v>
      </x:c>
      <x:c r="D215" s="30" t="str">
        <x:v>Sampling and Interview</x:v>
      </x:c>
      <x:c r="E215" s="30" t="str">
        <x:v>Quarterly</x:v>
      </x:c>
      <x:c r="F215" s="30" t="str">
        <x:v>CORE</x:v>
      </x:c>
      <x:c r="G215" s="30" t="str">
        <x:v>CA019</x:v>
      </x:c>
      <x:c r="H215" s="30" t="str">
        <x:v>Yes</x:v>
      </x:c>
      <x:c r="I215" s="30" t="str">
        <x:v>P-4 normalized to current parent compliance; legacy Audit ID preserved.</x:v>
      </x:c>
    </x:row>
    <x:row r="216">
      <x:c r="A216" s="30" t="str">
        <x:v>AUD215</x:v>
      </x:c>
      <x:c r="B216" s="30" t="str">
        <x:v>COMP103</x:v>
      </x:c>
      <x:c r="C216" s="30" t="str">
        <x:v>Review the applicable licence, order, register, SOP and a sample of records to verify that maintain medical-device purchase and sale records, provide inspection access, retain records for two years, and maintain the prescribed inspection book.</x:v>
      </x:c>
      <x:c r="D216" s="30" t="str">
        <x:v>Document Review and Sampling</x:v>
      </x:c>
      <x:c r="E216" s="30" t="str">
        <x:v>Annual</x:v>
      </x:c>
      <x:c r="F216" s="30" t="str">
        <x:v>CORE</x:v>
      </x:c>
      <x:c r="G216" s="30" t="str">
        <x:v>CA019</x:v>
      </x:c>
      <x:c r="H216" s="30" t="str">
        <x:v>Yes</x:v>
      </x:c>
      <x:c r="I216" s="30" t="str">
        <x:v>P-4 normalized to current parent compliance; legacy Audit ID preserved.</x:v>
      </x:c>
    </x:row>
    <x:row r="217">
      <x:c r="A217" s="30" t="str">
        <x:v>AUD216</x:v>
      </x:c>
      <x:c r="B217" s="30" t="str">
        <x:v>COMP104</x:v>
      </x:c>
      <x:c r="C217" s="30" t="str">
        <x:v>Select a sample of relevant transactions or events and interview the responsible person to confirm that pay the prescribed retention fee every five years to maintain perpetual validity of Form MD-42 registration.</x:v>
      </x:c>
      <x:c r="D217" s="30" t="str">
        <x:v>Sampling and Interview</x:v>
      </x:c>
      <x:c r="E217" s="30" t="str">
        <x:v>Quarterly</x:v>
      </x:c>
      <x:c r="F217" s="30" t="str">
        <x:v>CORE</x:v>
      </x:c>
      <x:c r="G217" s="30" t="str">
        <x:v>CA007</x:v>
      </x:c>
      <x:c r="H217" s="30" t="str">
        <x:v>Yes</x:v>
      </x:c>
      <x:c r="I217" s="30" t="str">
        <x:v>P-4 normalized to current parent compliance; legacy Audit ID preserved.</x:v>
      </x:c>
    </x:row>
    <x:row r="218">
      <x:c r="A218" s="30" t="str">
        <x:v>AUD217</x:v>
      </x:c>
      <x:c r="B218" s="30" t="str">
        <x:v>COMP104</x:v>
      </x:c>
      <x:c r="C218" s="30" t="str">
        <x:v>Review the applicable licence, order, register, SOP and a sample of records to verify that pay the prescribed retention fee every five years to maintain perpetual validity of Form MD-42 registration.</x:v>
      </x:c>
      <x:c r="D218" s="30" t="str">
        <x:v>Document Review and Sampling</x:v>
      </x:c>
      <x:c r="E218" s="30" t="str">
        <x:v>Annual</x:v>
      </x:c>
      <x:c r="F218" s="30" t="str">
        <x:v>CORE</x:v>
      </x:c>
      <x:c r="G218" s="30" t="str">
        <x:v>CA007</x:v>
      </x:c>
      <x:c r="H218" s="30" t="str">
        <x:v>Yes</x:v>
      </x:c>
      <x:c r="I218" s="30" t="str">
        <x:v>P-4 normalized to current parent compliance; legacy Audit ID preserved.</x:v>
      </x:c>
    </x:row>
    <x:row r="219">
      <x:c r="A219" s="30" t="str">
        <x:v>AUD218</x:v>
      </x:c>
      <x:c r="B219" s="30" t="str">
        <x:v>COMP105</x:v>
      </x:c>
      <x:c r="C219" s="30" t="str">
        <x:v>Select a sample of relevant transactions or events and interview the responsible person to confirm that where Rule 88 applies, document supply to a hospital or similar institution through the prescribed delivery-challan process.</x:v>
      </x:c>
      <x:c r="D219" s="30" t="str">
        <x:v>Sampling and Interview</x:v>
      </x:c>
      <x:c r="E219" s="30" t="str">
        <x:v>Weekly</x:v>
      </x:c>
      <x:c r="F219" s="30" t="str">
        <x:v>CORE</x:v>
      </x:c>
      <x:c r="G219" s="30" t="str">
        <x:v>CA022</x:v>
      </x:c>
      <x:c r="H219" s="30" t="str">
        <x:v>Yes</x:v>
      </x:c>
      <x:c r="I219" s="30" t="str">
        <x:v>P-4 normalized to current parent compliance; legacy Audit ID preserved.</x:v>
      </x:c>
    </x:row>
    <x:row r="220">
      <x:c r="A220" s="30" t="str">
        <x:v>AUD219</x:v>
      </x:c>
      <x:c r="B220" s="30" t="str">
        <x:v>COMP105</x:v>
      </x:c>
      <x:c r="C220" s="30" t="str">
        <x:v>Review the applicable licence, order, register, SOP and a sample of records to verify that where Rule 88 applies, document supply to a hospital or similar institution through the prescribed delivery-challan process.</x:v>
      </x:c>
      <x:c r="D220" s="30" t="str">
        <x:v>Document Review and Sampling</x:v>
      </x:c>
      <x:c r="E220" s="30" t="str">
        <x:v>Monthly</x:v>
      </x:c>
      <x:c r="F220" s="30" t="str">
        <x:v>CORE</x:v>
      </x:c>
      <x:c r="G220" s="30" t="str">
        <x:v>CA022</x:v>
      </x:c>
      <x:c r="H220" s="30" t="str">
        <x:v>Yes</x:v>
      </x:c>
      <x:c r="I220" s="30" t="str">
        <x:v>P-4 normalized to current parent compliance; legacy Audit ID preserved.</x:v>
      </x:c>
    </x:row>
    <x:row r="221">
      <x:c r="A221" s="30" t="str">
        <x:v>AUD220</x:v>
      </x:c>
      <x:c r="B221" s="30" t="str">
        <x:v>COMP106</x:v>
      </x:c>
      <x:c r="C221" s="30" t="str">
        <x:v>Select a sample of relevant transactions or events and interview the responsible person to confirm that do not sell or distribute a cosmetic unless the Rule 33 origin, licensing, quality and labelling conditions are satisfied.</x:v>
      </x:c>
      <x:c r="D221" s="30" t="str">
        <x:v>Sampling and Interview</x:v>
      </x:c>
      <x:c r="E221" s="30" t="str">
        <x:v>Weekly</x:v>
      </x:c>
      <x:c r="F221" s="30" t="str">
        <x:v>CORE</x:v>
      </x:c>
      <x:c r="G221" s="30" t="str">
        <x:v>CA016</x:v>
      </x:c>
      <x:c r="H221" s="30" t="str">
        <x:v>Yes</x:v>
      </x:c>
      <x:c r="I221" s="30" t="str">
        <x:v>P-4 normalized to current parent compliance; legacy Audit ID preserved.</x:v>
      </x:c>
    </x:row>
    <x:row r="222">
      <x:c r="A222" s="30" t="str">
        <x:v>AUD221</x:v>
      </x:c>
      <x:c r="B222" s="30" t="str">
        <x:v>COMP106</x:v>
      </x:c>
      <x:c r="C222" s="30" t="str">
        <x:v>Review the applicable licence, order, register, SOP and a sample of records to verify that do not sell or distribute a cosmetic unless the Rule 33 origin, licensing, quality and labelling conditions are satisfied.</x:v>
      </x:c>
      <x:c r="D222" s="30" t="str">
        <x:v>Document Review and Sampling</x:v>
      </x:c>
      <x:c r="E222" s="30" t="str">
        <x:v>Monthly</x:v>
      </x:c>
      <x:c r="F222" s="30" t="str">
        <x:v>CORE</x:v>
      </x:c>
      <x:c r="G222" s="30" t="str">
        <x:v>CA016</x:v>
      </x:c>
      <x:c r="H222" s="30" t="str">
        <x:v>Yes</x:v>
      </x:c>
      <x:c r="I222" s="30" t="str">
        <x:v>P-4 normalized to current parent compliance; legacy Audit ID preserved.</x:v>
      </x:c>
    </x:row>
    <x:row r="223">
      <x:c r="A223" s="30" t="str">
        <x:v>AUD222</x:v>
      </x:c>
      <x:c r="B223" s="30" t="str">
        <x:v>COMP107</x:v>
      </x:c>
      <x:c r="C223" s="30" t="str">
        <x:v>Select a sample of relevant transactions or events and interview the responsible person to confirm that verify that cosmetics offered for sale or distribution bear the particulars required by Rule 34.</x:v>
      </x:c>
      <x:c r="D223" s="30" t="str">
        <x:v>Sampling and Interview</x:v>
      </x:c>
      <x:c r="E223" s="30" t="str">
        <x:v>Weekly</x:v>
      </x:c>
      <x:c r="F223" s="30" t="str">
        <x:v>CORE</x:v>
      </x:c>
      <x:c r="G223" s="30" t="str">
        <x:v>CA007</x:v>
      </x:c>
      <x:c r="H223" s="30" t="str">
        <x:v>Yes</x:v>
      </x:c>
      <x:c r="I223" s="30" t="str">
        <x:v>P-4 normalized to current parent compliance; legacy Audit ID preserved.</x:v>
      </x:c>
    </x:row>
    <x:row r="224">
      <x:c r="A224" s="30" t="str">
        <x:v>AUD223</x:v>
      </x:c>
      <x:c r="B224" s="30" t="str">
        <x:v>COMP107</x:v>
      </x:c>
      <x:c r="C224" s="30" t="str">
        <x:v>Review the applicable licence, order, register, SOP and a sample of records to verify that verify that cosmetics offered for sale or distribution bear the particulars required by Rule 34.</x:v>
      </x:c>
      <x:c r="D224" s="30" t="str">
        <x:v>Document Review and Sampling</x:v>
      </x:c>
      <x:c r="E224" s="30" t="str">
        <x:v>Monthly</x:v>
      </x:c>
      <x:c r="F224" s="30" t="str">
        <x:v>CORE</x:v>
      </x:c>
      <x:c r="G224" s="30" t="str">
        <x:v>CA007</x:v>
      </x:c>
      <x:c r="H224" s="30" t="str">
        <x:v>Yes</x:v>
      </x:c>
      <x:c r="I224" s="30" t="str">
        <x:v>P-4 normalized to current parent compliance; legacy Audit ID preserved.</x:v>
      </x:c>
    </x:row>
    <x:row r="225">
      <x:c r="A225" s="30" t="str">
        <x:v>AUD224</x:v>
      </x:c>
      <x:c r="B225" s="30" t="str">
        <x:v>COMP108</x:v>
      </x:c>
      <x:c r="C225" s="30" t="str">
        <x:v>Select a sample of relevant transactions or events and interview the responsible person to confirm that do not alter, obliterate or deface mandatory cosmetic labelling.</x:v>
      </x:c>
      <x:c r="D225" s="30" t="str">
        <x:v>Sampling and Interview</x:v>
      </x:c>
      <x:c r="E225" s="30" t="str">
        <x:v>Monthly</x:v>
      </x:c>
      <x:c r="F225" s="30" t="str">
        <x:v>CORE</x:v>
      </x:c>
      <x:c r="G225" s="30" t="str">
        <x:v>CA067</x:v>
      </x:c>
      <x:c r="H225" s="30" t="str">
        <x:v>Yes</x:v>
      </x:c>
      <x:c r="I225" s="30" t="str">
        <x:v>P-4 normalized to current parent compliance; legacy Audit ID preserved.</x:v>
      </x:c>
    </x:row>
    <x:row r="226">
      <x:c r="A226" s="30" t="str">
        <x:v>AUD225</x:v>
      </x:c>
      <x:c r="B226" s="30" t="str">
        <x:v>COMP108</x:v>
      </x:c>
      <x:c r="C226" s="30" t="str">
        <x:v>Review the applicable licence, order, register, SOP and a sample of records to verify that do not alter, obliterate or deface mandatory cosmetic labelling.</x:v>
      </x:c>
      <x:c r="D226" s="30" t="str">
        <x:v>Document Review and Sampling</x:v>
      </x:c>
      <x:c r="E226" s="30" t="str">
        <x:v>Monthly</x:v>
      </x:c>
      <x:c r="F226" s="30" t="str">
        <x:v>CORE</x:v>
      </x:c>
      <x:c r="G226" s="30" t="str">
        <x:v>CA067</x:v>
      </x:c>
      <x:c r="H226" s="30" t="str">
        <x:v>Yes</x:v>
      </x:c>
      <x:c r="I226" s="30" t="str">
        <x:v>P-4 normalized to current parent compliance; legacy Audit ID preserved.</x:v>
      </x:c>
    </x:row>
    <x:row r="227">
      <x:c r="A227" s="30" t="str">
        <x:v>AUD226</x:v>
      </x:c>
      <x:c r="B227" s="30" t="str">
        <x:v>COMP109</x:v>
      </x:c>
      <x:c r="C227" s="30" t="str">
        <x:v>Select a sample of relevant transactions or events and interview the responsible person to confirm that do not sell or distribute a cosmetic bearing a false or misleading claim.</x:v>
      </x:c>
      <x:c r="D227" s="30" t="str">
        <x:v>Sampling and Interview</x:v>
      </x:c>
      <x:c r="E227" s="30" t="str">
        <x:v>Monthly</x:v>
      </x:c>
      <x:c r="F227" s="30" t="str">
        <x:v>CORE</x:v>
      </x:c>
      <x:c r="G227" s="30" t="str">
        <x:v>CA019</x:v>
      </x:c>
      <x:c r="H227" s="30" t="str">
        <x:v>Yes</x:v>
      </x:c>
      <x:c r="I227" s="30" t="str">
        <x:v>P-4 normalized to current parent compliance; legacy Audit ID preserved.</x:v>
      </x:c>
    </x:row>
    <x:row r="228">
      <x:c r="A228" s="30" t="str">
        <x:v>AUD227</x:v>
      </x:c>
      <x:c r="B228" s="30" t="str">
        <x:v>COMP109</x:v>
      </x:c>
      <x:c r="C228" s="30" t="str">
        <x:v>Review the applicable licence, order, register, SOP and a sample of records to verify that do not sell or distribute a cosmetic bearing a false or misleading claim.</x:v>
      </x:c>
      <x:c r="D228" s="30" t="str">
        <x:v>Document Review and Sampling</x:v>
      </x:c>
      <x:c r="E228" s="30" t="str">
        <x:v>Monthly</x:v>
      </x:c>
      <x:c r="F228" s="30" t="str">
        <x:v>CORE</x:v>
      </x:c>
      <x:c r="G228" s="30" t="str">
        <x:v>CA019</x:v>
      </x:c>
      <x:c r="H228" s="30" t="str">
        <x:v>Yes</x:v>
      </x:c>
      <x:c r="I228" s="30" t="str">
        <x:v>P-4 normalized to current parent compliance; legacy Audit ID preserved.</x:v>
      </x:c>
    </x:row>
    <x:row r="229">
      <x:c r="A229" s="30" t="str">
        <x:v>AUD228</x:v>
      </x:c>
      <x:c r="B229" s="30" t="str">
        <x:v>COMP110</x:v>
      </x:c>
      <x:c r="C229" s="30" t="str">
        <x:v>Select a sample of relevant transactions or events and interview the responsible person to confirm that sell or distribute only cosmetics that comply with the standards, quality and safety requirements in Rule 39.</x:v>
      </x:c>
      <x:c r="D229" s="30" t="str">
        <x:v>Sampling and Interview</x:v>
      </x:c>
      <x:c r="E229" s="30" t="str">
        <x:v>Quarterly</x:v>
      </x:c>
      <x:c r="F229" s="30" t="str">
        <x:v>CORE</x:v>
      </x:c>
      <x:c r="G229" s="30" t="str">
        <x:v>CA022</x:v>
      </x:c>
      <x:c r="H229" s="30" t="str">
        <x:v>Yes</x:v>
      </x:c>
      <x:c r="I229" s="30" t="str">
        <x:v>P-4 normalized to current parent compliance; legacy Audit ID preserved.</x:v>
      </x:c>
    </x:row>
    <x:row r="230">
      <x:c r="A230" s="30" t="str">
        <x:v>AUD229</x:v>
      </x:c>
      <x:c r="B230" s="30" t="str">
        <x:v>COMP110</x:v>
      </x:c>
      <x:c r="C230" s="30" t="str">
        <x:v>Review the applicable licence, order, register, SOP and a sample of records to verify that sell or distribute only cosmetics that comply with the standards, quality and safety requirements in Rule 39.</x:v>
      </x:c>
      <x:c r="D230" s="30" t="str">
        <x:v>Document Review and Sampling</x:v>
      </x:c>
      <x:c r="E230" s="30" t="str">
        <x:v>Quarterly</x:v>
      </x:c>
      <x:c r="F230" s="30" t="str">
        <x:v>CORE</x:v>
      </x:c>
      <x:c r="G230" s="30" t="str">
        <x:v>CA022</x:v>
      </x:c>
      <x:c r="H230" s="30" t="str">
        <x:v>Yes</x:v>
      </x:c>
      <x:c r="I230" s="30" t="str">
        <x:v>P-4 normalized to current parent compliance; legacy Audit ID preserved.</x:v>
      </x:c>
    </x:row>
    <x:row r="231">
      <x:c r="A231" s="30" t="str">
        <x:v>AUD230</x:v>
      </x:c>
      <x:c r="B231" s="30" t="str">
        <x:v>COMP111</x:v>
      </x:c>
      <x:c r="C231" s="30" t="str">
        <x:v>Verify that promotional discounts do not violate regulatory restrictions.</x:v>
      </x:c>
      <x:c r="D231" s="30" t="str">
        <x:v>Document Review</x:v>
      </x:c>
      <x:c r="E231" s="30" t="str">
        <x:v>Quarterly</x:v>
      </x:c>
      <x:c r="F231" s="30" t="str">
        <x:v>CORE</x:v>
      </x:c>
      <x:c r="G231" s="30" t="str">
        <x:v>General Compliance</x:v>
      </x:c>
      <x:c r="H231" s="30" t="str">
        <x:v>No</x:v>
      </x:c>
      <x:c r="I231" s="30" t="str">
        <x:v>P-2 QUARANTINED: procedure did not substantively test its parent Drugs Rules compliance. Replaced by AUD552; legacy ID retained.</x:v>
      </x:c>
    </x:row>
    <x:row r="232">
      <x:c r="A232" s="30" t="str">
        <x:v>AUD231</x:v>
      </x:c>
      <x:c r="B232" s="30" t="str">
        <x:v>COMP111</x:v>
      </x:c>
      <x:c r="C232" s="30" t="str">
        <x:v>Examine approvals for promotional pricing activities.</x:v>
      </x:c>
      <x:c r="D232" s="30" t="str">
        <x:v>Record Verification</x:v>
      </x:c>
      <x:c r="E232" s="30" t="str">
        <x:v>Quarterly</x:v>
      </x:c>
      <x:c r="F232" s="30" t="str">
        <x:v>CORE</x:v>
      </x:c>
      <x:c r="G232" s="30" t="str">
        <x:v>Billing Controls</x:v>
      </x:c>
      <x:c r="H232" s="30" t="str">
        <x:v>No</x:v>
      </x:c>
      <x:c r="I232" s="30" t="str">
        <x:v>P-2 QUARANTINED: procedure did not substantively test its parent Drugs Rules compliance. Replaced by AUD552; legacy ID retained.</x:v>
      </x:c>
    </x:row>
    <x:row r="233">
      <x:c r="A233" s="30" t="str">
        <x:v>AUD232</x:v>
      </x:c>
      <x:c r="B233" s="30" t="str">
        <x:v>COMP112</x:v>
      </x:c>
      <x:c r="C233" s="30" t="str">
        <x:v>Verify that medicine substitutions during sale are properly documented where permitted.</x:v>
      </x:c>
      <x:c r="D233" s="30" t="str">
        <x:v>Record Verification</x:v>
      </x:c>
      <x:c r="E233" s="30" t="str">
        <x:v>Monthly</x:v>
      </x:c>
      <x:c r="F233" s="30" t="str">
        <x:v>CORE</x:v>
      </x:c>
      <x:c r="G233" s="30" t="str">
        <x:v>Recordkeeping</x:v>
      </x:c>
      <x:c r="H233" s="30" t="str">
        <x:v>No</x:v>
      </x:c>
      <x:c r="I233" s="30" t="str">
        <x:v>P-2 QUARANTINED: procedure did not substantively test its parent Drugs Rules compliance. Replaced by AUD553; legacy ID retained.</x:v>
      </x:c>
    </x:row>
    <x:row r="234">
      <x:c r="A234" s="30" t="str">
        <x:v>AUD233</x:v>
      </x:c>
      <x:c r="B234" s="30" t="str">
        <x:v>COMP112</x:v>
      </x:c>
      <x:c r="C234" s="30" t="str">
        <x:v>Review substitution records against original prescriptions.</x:v>
      </x:c>
      <x:c r="D234" s="30" t="str">
        <x:v>Reconciliation</x:v>
      </x:c>
      <x:c r="E234" s="30" t="str">
        <x:v>Monthly</x:v>
      </x:c>
      <x:c r="F234" s="30" t="str">
        <x:v>CORE</x:v>
      </x:c>
      <x:c r="G234" s="30" t="str">
        <x:v>Prescription Controls</x:v>
      </x:c>
      <x:c r="H234" s="30" t="str">
        <x:v>No</x:v>
      </x:c>
      <x:c r="I234" s="30" t="str">
        <x:v>P-2 QUARANTINED: procedure did not substantively test its parent Drugs Rules compliance. Replaced by AUD553; legacy ID retained.</x:v>
      </x:c>
    </x:row>
    <x:row r="235">
      <x:c r="A235" s="30" t="str">
        <x:v>AUD234</x:v>
      </x:c>
      <x:c r="B235" s="30" t="str">
        <x:v>COMP113</x:v>
      </x:c>
      <x:c r="C235" s="30" t="str">
        <x:v>Verify that customer complaints relating to sales are recorded promptly.</x:v>
      </x:c>
      <x:c r="D235" s="30" t="str">
        <x:v>Record Verification</x:v>
      </x:c>
      <x:c r="E235" s="30" t="str">
        <x:v>Monthly</x:v>
      </x:c>
      <x:c r="F235" s="30" t="str">
        <x:v>CORE</x:v>
      </x:c>
      <x:c r="G235" s="30" t="str">
        <x:v>Consumer Protection</x:v>
      </x:c>
      <x:c r="H235" s="30" t="str">
        <x:v>No</x:v>
      </x:c>
      <x:c r="I235" s="30" t="str">
        <x:v>P-2 QUARANTINED: procedure did not substantively test its parent Drugs Rules compliance. Replaced by AUD554; legacy ID retained.</x:v>
      </x:c>
    </x:row>
    <x:row r="236">
      <x:c r="A236" s="30" t="str">
        <x:v>AUD235</x:v>
      </x:c>
      <x:c r="B236" s="30" t="str">
        <x:v>COMP113</x:v>
      </x:c>
      <x:c r="C236" s="30" t="str">
        <x:v>Review complaint investigation reports and corrective actions.</x:v>
      </x:c>
      <x:c r="D236" s="30" t="str">
        <x:v>Document Review</x:v>
      </x:c>
      <x:c r="E236" s="30" t="str">
        <x:v>Monthly</x:v>
      </x:c>
      <x:c r="F236" s="30" t="str">
        <x:v>CORE</x:v>
      </x:c>
      <x:c r="G236" s="30" t="str">
        <x:v>Consumer Protection</x:v>
      </x:c>
      <x:c r="H236" s="30" t="str">
        <x:v>No</x:v>
      </x:c>
      <x:c r="I236" s="30" t="str">
        <x:v>P-2 QUARANTINED: procedure did not substantively test its parent Drugs Rules compliance. Replaced by AUD554; legacy ID retained.</x:v>
      </x:c>
    </x:row>
    <x:row r="237">
      <x:c r="A237" s="30" t="str">
        <x:v>AUD236</x:v>
      </x:c>
      <x:c r="B237" s="30" t="str">
        <x:v>COMP114</x:v>
      </x:c>
      <x:c r="C237" s="30" t="str">
        <x:v>Verify that refunds and credit notes for medicines are authorized.</x:v>
      </x:c>
      <x:c r="D237" s="30" t="str">
        <x:v>Document Review</x:v>
      </x:c>
      <x:c r="E237" s="30" t="str">
        <x:v>Monthly</x:v>
      </x:c>
      <x:c r="F237" s="30" t="str">
        <x:v>CORE</x:v>
      </x:c>
      <x:c r="G237" s="30" t="str">
        <x:v>General Compliance</x:v>
      </x:c>
      <x:c r="H237" s="30" t="str">
        <x:v>No</x:v>
      </x:c>
      <x:c r="I237" s="30" t="str">
        <x:v>P-2 QUARANTINED: procedure did not substantively test its parent Drugs Rules compliance. Replaced by AUD555; legacy ID retained.</x:v>
      </x:c>
    </x:row>
    <x:row r="238">
      <x:c r="A238" s="30" t="str">
        <x:v>AUD237</x:v>
      </x:c>
      <x:c r="B238" s="30" t="str">
        <x:v>COMP114</x:v>
      </x:c>
      <x:c r="C238" s="30" t="str">
        <x:v>Reconcile refund records with inventory adjustments.</x:v>
      </x:c>
      <x:c r="D238" s="30" t="str">
        <x:v>Reconciliation</x:v>
      </x:c>
      <x:c r="E238" s="30" t="str">
        <x:v>Monthly</x:v>
      </x:c>
      <x:c r="F238" s="30" t="str">
        <x:v>CORE</x:v>
      </x:c>
      <x:c r="G238" s="30" t="str">
        <x:v>Inventory Controls</x:v>
      </x:c>
      <x:c r="H238" s="30" t="str">
        <x:v>No</x:v>
      </x:c>
      <x:c r="I238" s="30" t="str">
        <x:v>P-2 QUARANTINED: procedure did not substantively test its parent Drugs Rules compliance. Replaced by AUD555; legacy ID retained.</x:v>
      </x:c>
    </x:row>
    <x:row r="239">
      <x:c r="A239" s="30" t="str">
        <x:v>AUD238</x:v>
      </x:c>
      <x:c r="B239" s="30" t="str">
        <x:v>COMP115</x:v>
      </x:c>
      <x:c r="C239" s="30" t="str">
        <x:v>Verify that high-value medicines receive enhanced sales control where prescribed.</x:v>
      </x:c>
      <x:c r="D239" s="30" t="str">
        <x:v>Physical Inspection</x:v>
      </x:c>
      <x:c r="E239" s="30" t="str">
        <x:v>Monthly</x:v>
      </x:c>
      <x:c r="F239" s="30" t="str">
        <x:v>CORE</x:v>
      </x:c>
      <x:c r="G239" s="30" t="str">
        <x:v>General Compliance</x:v>
      </x:c>
      <x:c r="H239" s="30" t="str">
        <x:v>No</x:v>
      </x:c>
      <x:c r="I239" s="30" t="str">
        <x:v>P-2 QUARANTINED: procedure did not substantively test its parent Drugs Rules compliance. Replaced by AUD556; legacy ID retained.</x:v>
      </x:c>
    </x:row>
    <x:row r="240">
      <x:c r="A240" s="30" t="str">
        <x:v>AUD239</x:v>
      </x:c>
      <x:c r="B240" s="30" t="str">
        <x:v>COMP115</x:v>
      </x:c>
      <x:c r="C240" s="30" t="str">
        <x:v>Review approval records for exceptional sales transactions.</x:v>
      </x:c>
      <x:c r="D240" s="30" t="str">
        <x:v>Record Verification</x:v>
      </x:c>
      <x:c r="E240" s="30" t="str">
        <x:v>Monthly</x:v>
      </x:c>
      <x:c r="F240" s="30" t="str">
        <x:v>CORE</x:v>
      </x:c>
      <x:c r="G240" s="30" t="str">
        <x:v>Recordkeeping</x:v>
      </x:c>
      <x:c r="H240" s="30" t="str">
        <x:v>No</x:v>
      </x:c>
      <x:c r="I240" s="30" t="str">
        <x:v>P-2 QUARANTINED: procedure did not substantively test its parent Drugs Rules compliance. Replaced by AUD556; legacy ID retained.</x:v>
      </x:c>
    </x:row>
    <x:row r="241">
      <x:c r="A241" s="30" t="str">
        <x:v>AUD240</x:v>
      </x:c>
      <x:c r="B241" s="30" t="str">
        <x:v>COMP116</x:v>
      </x:c>
      <x:c r="C241" s="30" t="str">
        <x:v>Verify that medicine pricing displayed to customers matches billing records.</x:v>
      </x:c>
      <x:c r="D241" s="30" t="str">
        <x:v>Physical Inspection</x:v>
      </x:c>
      <x:c r="E241" s="30" t="str">
        <x:v>Quarterly</x:v>
      </x:c>
      <x:c r="F241" s="30" t="str">
        <x:v>CORE</x:v>
      </x:c>
      <x:c r="G241" s="30" t="str">
        <x:v>Billing Controls</x:v>
      </x:c>
      <x:c r="H241" s="30" t="str">
        <x:v>No</x:v>
      </x:c>
      <x:c r="I241" s="30" t="str">
        <x:v>P-2 QUARANTINED: procedure did not substantively test its parent Drugs Rules compliance. Replaced by AUD557; legacy ID retained.</x:v>
      </x:c>
    </x:row>
    <x:row r="242">
      <x:c r="A242" s="30" t="str">
        <x:v>AUD241</x:v>
      </x:c>
      <x:c r="B242" s="30" t="str">
        <x:v>COMP116</x:v>
      </x:c>
      <x:c r="C242" s="30" t="str">
        <x:v>Compare displayed prices with system master data.</x:v>
      </x:c>
      <x:c r="D242" s="30" t="str">
        <x:v>Reconciliation</x:v>
      </x:c>
      <x:c r="E242" s="30" t="str">
        <x:v>Quarterly</x:v>
      </x:c>
      <x:c r="F242" s="30" t="str">
        <x:v>CORE</x:v>
      </x:c>
      <x:c r="G242" s="30" t="str">
        <x:v>Digital Controls</x:v>
      </x:c>
      <x:c r="H242" s="30" t="str">
        <x:v>No</x:v>
      </x:c>
      <x:c r="I242" s="30" t="str">
        <x:v>P-2 QUARANTINED: procedure did not substantively test its parent Drugs Rules compliance. Replaced by AUD557; legacy ID retained.</x:v>
      </x:c>
    </x:row>
    <x:row r="243">
      <x:c r="A243" s="30" t="str">
        <x:v>AUD242</x:v>
      </x:c>
      <x:c r="B243" s="30" t="str">
        <x:v>COMP117</x:v>
      </x:c>
      <x:c r="C243" s="30" t="str">
        <x:v>Verify that electronic POS systems restrict unauthorized price overrides.</x:v>
      </x:c>
      <x:c r="D243" s="30" t="str">
        <x:v>System Verification</x:v>
      </x:c>
      <x:c r="E243" s="30" t="str">
        <x:v>Quarterly</x:v>
      </x:c>
      <x:c r="F243" s="30" t="str">
        <x:v>CORE</x:v>
      </x:c>
      <x:c r="G243" s="30" t="str">
        <x:v>Digital Controls</x:v>
      </x:c>
      <x:c r="H243" s="30" t="str">
        <x:v>No</x:v>
      </x:c>
      <x:c r="I243" s="30" t="str">
        <x:v>P-2 QUARANTINED: procedure did not substantively test its parent Drugs Rules compliance. Replaced by AUD558; legacy ID retained.</x:v>
      </x:c>
    </x:row>
    <x:row r="244">
      <x:c r="A244" s="30" t="str">
        <x:v>AUD243</x:v>
      </x:c>
      <x:c r="B244" s="30" t="str">
        <x:v>COMP117</x:v>
      </x:c>
      <x:c r="C244" s="30" t="str">
        <x:v>Examine audit logs for overridden sales prices.</x:v>
      </x:c>
      <x:c r="D244" s="30" t="str">
        <x:v>System Verification</x:v>
      </x:c>
      <x:c r="E244" s="30" t="str">
        <x:v>Quarterly</x:v>
      </x:c>
      <x:c r="F244" s="30" t="str">
        <x:v>CORE</x:v>
      </x:c>
      <x:c r="G244" s="30" t="str">
        <x:v>Recordkeeping</x:v>
      </x:c>
      <x:c r="H244" s="30" t="str">
        <x:v>No</x:v>
      </x:c>
      <x:c r="I244" s="30" t="str">
        <x:v>P-2 QUARANTINED: procedure did not substantively test its parent Drugs Rules compliance. Replaced by AUD558; legacy ID retained.</x:v>
      </x:c>
    </x:row>
    <x:row r="245">
      <x:c r="A245" s="30" t="str">
        <x:v>AUD244</x:v>
      </x:c>
      <x:c r="B245" s="30" t="str">
        <x:v>COMP118</x:v>
      </x:c>
      <x:c r="C245" s="30" t="str">
        <x:v>Verify that cancelled sales transactions are properly authorized and documented.</x:v>
      </x:c>
      <x:c r="D245" s="30" t="str">
        <x:v>Record Verification</x:v>
      </x:c>
      <x:c r="E245" s="30" t="str">
        <x:v>Monthly</x:v>
      </x:c>
      <x:c r="F245" s="30" t="str">
        <x:v>CORE</x:v>
      </x:c>
      <x:c r="G245" s="30" t="str">
        <x:v>Recordkeeping</x:v>
      </x:c>
      <x:c r="H245" s="30" t="str">
        <x:v>No</x:v>
      </x:c>
      <x:c r="I245" s="30" t="str">
        <x:v>P-2 QUARANTINED: procedure did not substantively test its parent Drugs Rules compliance. Replaced by AUD559; legacy ID retained.</x:v>
      </x:c>
    </x:row>
    <x:row r="246">
      <x:c r="A246" s="30" t="str">
        <x:v>AUD245</x:v>
      </x:c>
      <x:c r="B246" s="30" t="str">
        <x:v>COMP118</x:v>
      </x:c>
      <x:c r="C246" s="30" t="str">
        <x:v>Review cancelled transaction reports for unusual trends.</x:v>
      </x:c>
      <x:c r="D246" s="30" t="str">
        <x:v>Record Verification</x:v>
      </x:c>
      <x:c r="E246" s="30" t="str">
        <x:v>Monthly</x:v>
      </x:c>
      <x:c r="F246" s="30" t="str">
        <x:v>CORE</x:v>
      </x:c>
      <x:c r="G246" s="30" t="str">
        <x:v>General Compliance</x:v>
      </x:c>
      <x:c r="H246" s="30" t="str">
        <x:v>No</x:v>
      </x:c>
      <x:c r="I246" s="30" t="str">
        <x:v>P-2 QUARANTINED: procedure did not substantively test its parent Drugs Rules compliance. Replaced by AUD559; legacy ID retained.</x:v>
      </x:c>
    </x:row>
    <x:row r="247">
      <x:c r="A247" s="30" t="str">
        <x:v>AUD246</x:v>
      </x:c>
      <x:c r="B247" s="30" t="str">
        <x:v>COMP119</x:v>
      </x:c>
      <x:c r="C247" s="30" t="str">
        <x:v>Verify that daily sales reconciliation is performed.</x:v>
      </x:c>
      <x:c r="D247" s="30" t="str">
        <x:v>Reconciliation</x:v>
      </x:c>
      <x:c r="E247" s="30" t="str">
        <x:v>Daily</x:v>
      </x:c>
      <x:c r="F247" s="30" t="str">
        <x:v>CORE</x:v>
      </x:c>
      <x:c r="G247" s="30" t="str">
        <x:v>General Compliance</x:v>
      </x:c>
      <x:c r="H247" s="30" t="str">
        <x:v>No</x:v>
      </x:c>
      <x:c r="I247" s="30" t="str">
        <x:v>P-2 QUARANTINED: procedure did not substantively test its parent Drugs Rules compliance. Replaced by AUD560; legacy ID retained.</x:v>
      </x:c>
    </x:row>
    <x:row r="248">
      <x:c r="A248" s="30" t="str">
        <x:v>AUD247</x:v>
      </x:c>
      <x:c r="B248" s="30" t="str">
        <x:v>COMP119</x:v>
      </x:c>
      <x:c r="C248" s="30" t="str">
        <x:v>Review evidence of supervisory approval of reconciliations.</x:v>
      </x:c>
      <x:c r="D248" s="30" t="str">
        <x:v>Reconciliation</x:v>
      </x:c>
      <x:c r="E248" s="30" t="str">
        <x:v>Daily</x:v>
      </x:c>
      <x:c r="F248" s="30" t="str">
        <x:v>CORE</x:v>
      </x:c>
      <x:c r="G248" s="30" t="str">
        <x:v>General Compliance</x:v>
      </x:c>
      <x:c r="H248" s="30" t="str">
        <x:v>No</x:v>
      </x:c>
      <x:c r="I248" s="30" t="str">
        <x:v>P-2 QUARANTINED: procedure did not substantively test its parent Drugs Rules compliance. Replaced by AUD560; legacy ID retained.</x:v>
      </x:c>
    </x:row>
    <x:row r="249">
      <x:c r="A249" s="30" t="str">
        <x:v>AUD248</x:v>
      </x:c>
      <x:c r="B249" s="30" t="str">
        <x:v>COMP120</x:v>
      </x:c>
      <x:c r="C249" s="30" t="str">
        <x:v>Select a sample of relevant transactions or events and interview the responsible person to confirm that deliver pharmacy services in accordance with Good Pharmacy Practice principles.</x:v>
      </x:c>
      <x:c r="D249" s="30" t="str">
        <x:v>Sampling and Interview</x:v>
      </x:c>
      <x:c r="E249" s="30" t="str">
        <x:v>Monthly</x:v>
      </x:c>
      <x:c r="F249" s="30" t="str">
        <x:v>CORE</x:v>
      </x:c>
      <x:c r="G249" s="30" t="str">
        <x:v>CA021</x:v>
      </x:c>
      <x:c r="H249" s="30" t="str">
        <x:v>Yes</x:v>
      </x:c>
      <x:c r="I249" s="30" t="str">
        <x:v>P-4 normalized to current parent compliance; legacy Audit ID preserved.</x:v>
      </x:c>
    </x:row>
    <x:row r="250">
      <x:c r="A250" s="30" t="str">
        <x:v>AUD249</x:v>
      </x:c>
      <x:c r="B250" s="30" t="str">
        <x:v>COMP120</x:v>
      </x:c>
      <x:c r="C250" s="30" t="str">
        <x:v>Review the applicable licence, order, register, SOP and a sample of records to verify that deliver pharmacy services in accordance with Good Pharmacy Practice principles.</x:v>
      </x:c>
      <x:c r="D250" s="30" t="str">
        <x:v>Document Review and Sampling</x:v>
      </x:c>
      <x:c r="E250" s="30" t="str">
        <x:v>Quarterly</x:v>
      </x:c>
      <x:c r="F250" s="30" t="str">
        <x:v>CORE</x:v>
      </x:c>
      <x:c r="G250" s="30" t="str">
        <x:v>CA021</x:v>
      </x:c>
      <x:c r="H250" s="30" t="str">
        <x:v>Yes</x:v>
      </x:c>
      <x:c r="I250" s="30" t="str">
        <x:v>P-4 normalized to current parent compliance; legacy Audit ID preserved.</x:v>
      </x:c>
    </x:row>
    <x:row r="251">
      <x:c r="A251" s="30" t="str">
        <x:v>AUD250</x:v>
      </x:c>
      <x:c r="B251" s="30" t="str">
        <x:v>COMP121</x:v>
      </x:c>
      <x:c r="C251" s="30" t="str">
        <x:v>Select a sample of relevant transactions or events and interview the responsible person to confirm that provide appropriate counselling to patients regarding medicine use, dosage and precautions.</x:v>
      </x:c>
      <x:c r="D251" s="30" t="str">
        <x:v>Sampling and Interview</x:v>
      </x:c>
      <x:c r="E251" s="30" t="str">
        <x:v>Annual</x:v>
      </x:c>
      <x:c r="F251" s="30" t="str">
        <x:v>CORE</x:v>
      </x:c>
      <x:c r="G251" s="30" t="str">
        <x:v>CA021</x:v>
      </x:c>
      <x:c r="H251" s="30" t="str">
        <x:v>Yes</x:v>
      </x:c>
      <x:c r="I251" s="30" t="str">
        <x:v>P-4 normalized to current parent compliance; legacy Audit ID preserved.</x:v>
      </x:c>
    </x:row>
    <x:row r="252">
      <x:c r="A252" s="30" t="str">
        <x:v>AUD251</x:v>
      </x:c>
      <x:c r="B252" s="30" t="str">
        <x:v>COMP121</x:v>
      </x:c>
      <x:c r="C252" s="30" t="str">
        <x:v>Review the applicable licence, order, register, SOP and a sample of records to verify that provide appropriate counselling to patients regarding medicine use, dosage and precautions.</x:v>
      </x:c>
      <x:c r="D252" s="30" t="str">
        <x:v>Document Review and Sampling</x:v>
      </x:c>
      <x:c r="E252" s="30" t="str">
        <x:v>Annual</x:v>
      </x:c>
      <x:c r="F252" s="30" t="str">
        <x:v>CORE</x:v>
      </x:c>
      <x:c r="G252" s="30" t="str">
        <x:v>CA021</x:v>
      </x:c>
      <x:c r="H252" s="30" t="str">
        <x:v>Yes</x:v>
      </x:c>
      <x:c r="I252" s="30" t="str">
        <x:v>P-4 normalized to current parent compliance; legacy Audit ID preserved.</x:v>
      </x:c>
    </x:row>
    <x:row r="253">
      <x:c r="A253" s="30" t="str">
        <x:v>AUD252</x:v>
      </x:c>
      <x:c r="B253" s="30" t="str">
        <x:v>COMP122</x:v>
      </x:c>
      <x:c r="C253" s="30" t="str">
        <x:v>Select a sample of relevant transactions or events and interview the responsible person to confirm that review each prescription for completeness, legality and appropriateness before dispensing.</x:v>
      </x:c>
      <x:c r="D253" s="30" t="str">
        <x:v>Sampling and Interview</x:v>
      </x:c>
      <x:c r="E253" s="30" t="str">
        <x:v>Annual</x:v>
      </x:c>
      <x:c r="F253" s="30" t="str">
        <x:v>CORE</x:v>
      </x:c>
      <x:c r="G253" s="30" t="str">
        <x:v>CA021</x:v>
      </x:c>
      <x:c r="H253" s="30" t="str">
        <x:v>Yes</x:v>
      </x:c>
      <x:c r="I253" s="30" t="str">
        <x:v>P-4 normalized to current parent compliance; legacy Audit ID preserved.</x:v>
      </x:c>
    </x:row>
    <x:row r="254">
      <x:c r="A254" s="30" t="str">
        <x:v>AUD253</x:v>
      </x:c>
      <x:c r="B254" s="30" t="str">
        <x:v>COMP122</x:v>
      </x:c>
      <x:c r="C254" s="30" t="str">
        <x:v>Review the applicable licence, order, register, SOP and a sample of records to verify that review each prescription for completeness, legality and appropriateness before dispensing.</x:v>
      </x:c>
      <x:c r="D254" s="30" t="str">
        <x:v>Document Review and Sampling</x:v>
      </x:c>
      <x:c r="E254" s="30" t="str">
        <x:v>Annual</x:v>
      </x:c>
      <x:c r="F254" s="30" t="str">
        <x:v>CORE</x:v>
      </x:c>
      <x:c r="G254" s="30" t="str">
        <x:v>CA021</x:v>
      </x:c>
      <x:c r="H254" s="30" t="str">
        <x:v>Yes</x:v>
      </x:c>
      <x:c r="I254" s="30" t="str">
        <x:v>P-4 normalized to current parent compliance; legacy Audit ID preserved.</x:v>
      </x:c>
    </x:row>
    <x:row r="255">
      <x:c r="A255" s="30" t="str">
        <x:v>AUD254</x:v>
      </x:c>
      <x:c r="B255" s="30" t="str">
        <x:v>COMP123</x:v>
      </x:c>
      <x:c r="C255" s="30" t="str">
        <x:v>Select a sample of relevant transactions or events and interview the responsible person to confirm that procure medicines only from licensed and authorized suppliers.</x:v>
      </x:c>
      <x:c r="D255" s="30" t="str">
        <x:v>Sampling and Interview</x:v>
      </x:c>
      <x:c r="E255" s="30" t="str">
        <x:v>Annual</x:v>
      </x:c>
      <x:c r="F255" s="30" t="str">
        <x:v>CORE</x:v>
      </x:c>
      <x:c r="G255" s="30" t="str">
        <x:v>CA011</x:v>
      </x:c>
      <x:c r="H255" s="30" t="str">
        <x:v>Yes</x:v>
      </x:c>
      <x:c r="I255" s="30" t="str">
        <x:v>P-4 normalized to current parent compliance; legacy Audit ID preserved.</x:v>
      </x:c>
    </x:row>
    <x:row r="256">
      <x:c r="A256" s="30" t="str">
        <x:v>AUD255</x:v>
      </x:c>
      <x:c r="B256" s="30" t="str">
        <x:v>COMP123</x:v>
      </x:c>
      <x:c r="C256" s="30" t="str">
        <x:v>Review the applicable licence, order, register, SOP and a sample of records to verify that procure medicines only from licensed and authorized suppliers.</x:v>
      </x:c>
      <x:c r="D256" s="30" t="str">
        <x:v>Document Review and Sampling</x:v>
      </x:c>
      <x:c r="E256" s="30" t="str">
        <x:v>Annual</x:v>
      </x:c>
      <x:c r="F256" s="30" t="str">
        <x:v>CORE</x:v>
      </x:c>
      <x:c r="G256" s="30" t="str">
        <x:v>CA011</x:v>
      </x:c>
      <x:c r="H256" s="30" t="str">
        <x:v>Yes</x:v>
      </x:c>
      <x:c r="I256" s="30" t="str">
        <x:v>P-4 normalized to current parent compliance; legacy Audit ID preserved.</x:v>
      </x:c>
    </x:row>
    <x:row r="257">
      <x:c r="A257" s="30" t="str">
        <x:v>AUD256</x:v>
      </x:c>
      <x:c r="B257" s="30" t="str">
        <x:v>COMP124</x:v>
      </x:c>
      <x:c r="C257" s="30" t="str">
        <x:v>Select a sample of relevant transactions or events and interview the responsible person to confirm that maintain suitable transportation and distribution conditions to preserve product quality.</x:v>
      </x:c>
      <x:c r="D257" s="30" t="str">
        <x:v>Sampling and Interview</x:v>
      </x:c>
      <x:c r="E257" s="30" t="str">
        <x:v>Quarterly</x:v>
      </x:c>
      <x:c r="F257" s="30" t="str">
        <x:v>CORE</x:v>
      </x:c>
      <x:c r="G257" s="30" t="str">
        <x:v>CA012</x:v>
      </x:c>
      <x:c r="H257" s="30" t="str">
        <x:v>Yes</x:v>
      </x:c>
      <x:c r="I257" s="30" t="str">
        <x:v>P-4 normalized to current parent compliance; legacy Audit ID preserved.</x:v>
      </x:c>
    </x:row>
    <x:row r="258">
      <x:c r="A258" s="30" t="str">
        <x:v>AUD257</x:v>
      </x:c>
      <x:c r="B258" s="30" t="str">
        <x:v>COMP124</x:v>
      </x:c>
      <x:c r="C258" s="30" t="str">
        <x:v>Review the applicable licence, order, register, SOP and a sample of records to verify that maintain suitable transportation and distribution conditions to preserve product quality.</x:v>
      </x:c>
      <x:c r="D258" s="30" t="str">
        <x:v>Document Review and Sampling</x:v>
      </x:c>
      <x:c r="E258" s="30" t="str">
        <x:v>Quarterly</x:v>
      </x:c>
      <x:c r="F258" s="30" t="str">
        <x:v>CORE</x:v>
      </x:c>
      <x:c r="G258" s="30" t="str">
        <x:v>CA012</x:v>
      </x:c>
      <x:c r="H258" s="30" t="str">
        <x:v>Yes</x:v>
      </x:c>
      <x:c r="I258" s="30" t="str">
        <x:v>P-4 normalized to current parent compliance; legacy Audit ID preserved.</x:v>
      </x:c>
    </x:row>
    <x:row r="259">
      <x:c r="A259" s="30" t="str">
        <x:v>AUD258</x:v>
      </x:c>
      <x:c r="B259" s="30" t="str">
        <x:v>COMP125</x:v>
      </x:c>
      <x:c r="C259" s="30" t="str">
        <x:v>Select a sample of relevant transactions or events and interview the responsible person to confirm that maintain complete and traceable distribution records for all pharmaceutical products.</x:v>
      </x:c>
      <x:c r="D259" s="30" t="str">
        <x:v>Sampling and Interview</x:v>
      </x:c>
      <x:c r="E259" s="30" t="str">
        <x:v>Annual</x:v>
      </x:c>
      <x:c r="F259" s="30" t="str">
        <x:v>CORE</x:v>
      </x:c>
      <x:c r="G259" s="30" t="str">
        <x:v>CA019</x:v>
      </x:c>
      <x:c r="H259" s="30" t="str">
        <x:v>Yes</x:v>
      </x:c>
      <x:c r="I259" s="30" t="str">
        <x:v>P-4 normalized to current parent compliance; legacy Audit ID preserved.</x:v>
      </x:c>
    </x:row>
    <x:row r="260">
      <x:c r="A260" s="30" t="str">
        <x:v>AUD259</x:v>
      </x:c>
      <x:c r="B260" s="30" t="str">
        <x:v>COMP125</x:v>
      </x:c>
      <x:c r="C260" s="30" t="str">
        <x:v>Review the applicable licence, order, register, SOP and a sample of records to verify that maintain complete and traceable distribution records for all pharmaceutical products.</x:v>
      </x:c>
      <x:c r="D260" s="30" t="str">
        <x:v>Document Review and Sampling</x:v>
      </x:c>
      <x:c r="E260" s="30" t="str">
        <x:v>Quarterly</x:v>
      </x:c>
      <x:c r="F260" s="30" t="str">
        <x:v>CORE</x:v>
      </x:c>
      <x:c r="G260" s="30" t="str">
        <x:v>CA019</x:v>
      </x:c>
      <x:c r="H260" s="30" t="str">
        <x:v>Yes</x:v>
      </x:c>
      <x:c r="I260" s="30" t="str">
        <x:v>P-4 normalized to current parent compliance; legacy Audit ID preserved.</x:v>
      </x:c>
    </x:row>
    <x:row r="261">
      <x:c r="A261" s="30" t="str">
        <x:v>AUD260</x:v>
      </x:c>
      <x:c r="B261" s="30" t="str">
        <x:v>COMP125</x:v>
      </x:c>
      <x:c r="C261" s="30" t="str">
        <x:v>Select a sample of relevant transactions or events and interview the responsible person to confirm that maintain complete and traceable distribution records for all pharmaceutical products.</x:v>
      </x:c>
      <x:c r="D261" s="30" t="str">
        <x:v>Sampling and Interview</x:v>
      </x:c>
      <x:c r="E261" s="30" t="str">
        <x:v>Annual</x:v>
      </x:c>
      <x:c r="F261" s="30" t="str">
        <x:v>CORE</x:v>
      </x:c>
      <x:c r="G261" s="30" t="str">
        <x:v>CA019</x:v>
      </x:c>
      <x:c r="H261" s="30" t="str">
        <x:v>Yes</x:v>
      </x:c>
      <x:c r="I261" s="30" t="str">
        <x:v>P-4 normalized to current parent compliance; legacy Audit ID preserved.</x:v>
      </x:c>
    </x:row>
    <x:row r="262">
      <x:c r="A262" s="30" t="str">
        <x:v>AUD261</x:v>
      </x:c>
      <x:c r="B262" s="30" t="str">
        <x:v>COMP125</x:v>
      </x:c>
      <x:c r="C262" s="30" t="str">
        <x:v>Review the applicable licence, order, register, SOP and a sample of records to verify that maintain complete and traceable distribution records for all pharmaceutical products.</x:v>
      </x:c>
      <x:c r="D262" s="30" t="str">
        <x:v>Document Review and Sampling</x:v>
      </x:c>
      <x:c r="E262" s="30" t="str">
        <x:v>Annual</x:v>
      </x:c>
      <x:c r="F262" s="30" t="str">
        <x:v>CORE</x:v>
      </x:c>
      <x:c r="G262" s="30" t="str">
        <x:v>CA019</x:v>
      </x:c>
      <x:c r="H262" s="30" t="str">
        <x:v>Yes</x:v>
      </x:c>
      <x:c r="I262" s="30" t="str">
        <x:v>P-4 normalized to current parent compliance; legacy Audit ID preserved.</x:v>
      </x:c>
    </x:row>
    <x:row r="263">
      <x:c r="A263" s="30" t="str">
        <x:v>AUD262</x:v>
      </x:c>
      <x:c r="B263" s="30" t="str">
        <x:v>COMP126</x:v>
      </x:c>
      <x:c r="C263" s="30" t="str">
        <x:v>Select a sample of relevant transactions or events and interview the responsible person to confirm that continuously monitor and record storage temperature for all temperature-sensitive medicines.</x:v>
      </x:c>
      <x:c r="D263" s="30" t="str">
        <x:v>Sampling and Interview</x:v>
      </x:c>
      <x:c r="E263" s="30" t="str">
        <x:v>Event Based</x:v>
      </x:c>
      <x:c r="F263" s="30" t="str">
        <x:v>CORE</x:v>
      </x:c>
      <x:c r="G263" s="30" t="str">
        <x:v>CA007</x:v>
      </x:c>
      <x:c r="H263" s="30" t="str">
        <x:v>Yes</x:v>
      </x:c>
      <x:c r="I263" s="30" t="str">
        <x:v>P-4 normalized to current parent compliance; legacy Audit ID preserved.</x:v>
      </x:c>
    </x:row>
    <x:row r="264">
      <x:c r="A264" s="30" t="str">
        <x:v>AUD263</x:v>
      </x:c>
      <x:c r="B264" s="30" t="str">
        <x:v>COMP126</x:v>
      </x:c>
      <x:c r="C264" s="30" t="str">
        <x:v>Review the applicable licence, order, register, SOP and a sample of records to verify that continuously monitor and record storage temperature for all temperature-sensitive medicines.</x:v>
      </x:c>
      <x:c r="D264" s="30" t="str">
        <x:v>Document Review and Sampling</x:v>
      </x:c>
      <x:c r="E264" s="30" t="str">
        <x:v>Event Based</x:v>
      </x:c>
      <x:c r="F264" s="30" t="str">
        <x:v>CORE</x:v>
      </x:c>
      <x:c r="G264" s="30" t="str">
        <x:v>CA007</x:v>
      </x:c>
      <x:c r="H264" s="30" t="str">
        <x:v>Yes</x:v>
      </x:c>
      <x:c r="I264" s="30" t="str">
        <x:v>P-4 normalized to current parent compliance; legacy Audit ID preserved.</x:v>
      </x:c>
    </x:row>
    <x:row r="265">
      <x:c r="A265" s="30" t="str">
        <x:v>AUD264</x:v>
      </x:c>
      <x:c r="B265" s="30" t="str">
        <x:v>COMP127</x:v>
      </x:c>
      <x:c r="C265" s="30" t="str">
        <x:v>Select a sample of relevant transactions or events and interview the responsible person to confirm that monitor and maintain humidity within prescribed limits where applicable.</x:v>
      </x:c>
      <x:c r="D265" s="30" t="str">
        <x:v>Sampling and Interview</x:v>
      </x:c>
      <x:c r="E265" s="30" t="str">
        <x:v>Event Based</x:v>
      </x:c>
      <x:c r="F265" s="30" t="str">
        <x:v>CORE</x:v>
      </x:c>
      <x:c r="G265" s="30" t="str">
        <x:v>CA007</x:v>
      </x:c>
      <x:c r="H265" s="30" t="str">
        <x:v>Yes</x:v>
      </x:c>
      <x:c r="I265" s="30" t="str">
        <x:v>P-4 normalized to current parent compliance; legacy Audit ID preserved.</x:v>
      </x:c>
    </x:row>
    <x:row r="266">
      <x:c r="A266" s="30" t="str">
        <x:v>AUD265</x:v>
      </x:c>
      <x:c r="B266" s="30" t="str">
        <x:v>COMP127</x:v>
      </x:c>
      <x:c r="C266" s="30" t="str">
        <x:v>Review the applicable licence, order, register, SOP and a sample of records to verify that monitor and maintain humidity within prescribed limits where applicable.</x:v>
      </x:c>
      <x:c r="D266" s="30" t="str">
        <x:v>Document Review and Sampling</x:v>
      </x:c>
      <x:c r="E266" s="30" t="str">
        <x:v>Event Based</x:v>
      </x:c>
      <x:c r="F266" s="30" t="str">
        <x:v>CORE</x:v>
      </x:c>
      <x:c r="G266" s="30" t="str">
        <x:v>CA007</x:v>
      </x:c>
      <x:c r="H266" s="30" t="str">
        <x:v>Yes</x:v>
      </x:c>
      <x:c r="I266" s="30" t="str">
        <x:v>P-4 normalized to current parent compliance; legacy Audit ID preserved.</x:v>
      </x:c>
    </x:row>
    <x:row r="267">
      <x:c r="A267" s="30" t="str">
        <x:v>AUD266</x:v>
      </x:c>
      <x:c r="B267" s="30" t="str">
        <x:v>COMP128</x:v>
      </x:c>
      <x:c r="C267" s="30" t="str">
        <x:v>Select a sample of relevant transactions or events and interview the responsible person to confirm that follow the FEFO (First Expiry First Out) inventory management system for stock issuance.</x:v>
      </x:c>
      <x:c r="D267" s="30" t="str">
        <x:v>Sampling and Interview</x:v>
      </x:c>
      <x:c r="E267" s="30" t="str">
        <x:v>Event Based</x:v>
      </x:c>
      <x:c r="F267" s="30" t="str">
        <x:v>CORE</x:v>
      </x:c>
      <x:c r="G267" s="30" t="str">
        <x:v>CA012</x:v>
      </x:c>
      <x:c r="H267" s="30" t="str">
        <x:v>Yes</x:v>
      </x:c>
      <x:c r="I267" s="30" t="str">
        <x:v>P-4 normalized to current parent compliance; legacy Audit ID preserved.</x:v>
      </x:c>
    </x:row>
    <x:row r="268">
      <x:c r="A268" s="30" t="str">
        <x:v>AUD267</x:v>
      </x:c>
      <x:c r="B268" s="30" t="str">
        <x:v>COMP128</x:v>
      </x:c>
      <x:c r="C268" s="30" t="str">
        <x:v>Review the applicable licence, order, register, SOP and a sample of records to verify that follow the FEFO (First Expiry First Out) inventory management system for stock issuance.</x:v>
      </x:c>
      <x:c r="D268" s="30" t="str">
        <x:v>Document Review and Sampling</x:v>
      </x:c>
      <x:c r="E268" s="30" t="str">
        <x:v>Event Based</x:v>
      </x:c>
      <x:c r="F268" s="30" t="str">
        <x:v>CORE</x:v>
      </x:c>
      <x:c r="G268" s="30" t="str">
        <x:v>CA012</x:v>
      </x:c>
      <x:c r="H268" s="30" t="str">
        <x:v>Yes</x:v>
      </x:c>
      <x:c r="I268" s="30" t="str">
        <x:v>P-4 normalized to current parent compliance; legacy Audit ID preserved.</x:v>
      </x:c>
    </x:row>
    <x:row r="269">
      <x:c r="A269" s="30" t="str">
        <x:v>AUD268</x:v>
      </x:c>
      <x:c r="B269" s="30" t="str">
        <x:v>COMP129</x:v>
      </x:c>
      <x:c r="C269" s="30" t="str">
        <x:v>Select a sample of relevant transactions or events and interview the responsible person to confirm that segregate expired, damaged, recalled and rejected medicines from saleable inventory immediately.</x:v>
      </x:c>
      <x:c r="D269" s="30" t="str">
        <x:v>Sampling and Interview</x:v>
      </x:c>
      <x:c r="E269" s="30" t="str">
        <x:v>Event Based</x:v>
      </x:c>
      <x:c r="F269" s="30" t="str">
        <x:v>CORE</x:v>
      </x:c>
      <x:c r="G269" s="30" t="str">
        <x:v>CA013</x:v>
      </x:c>
      <x:c r="H269" s="30" t="str">
        <x:v>Yes</x:v>
      </x:c>
      <x:c r="I269" s="30" t="str">
        <x:v>P-4 normalized to current parent compliance; legacy Audit ID preserved.</x:v>
      </x:c>
    </x:row>
    <x:row r="270">
      <x:c r="A270" s="30" t="str">
        <x:v>AUD269</x:v>
      </x:c>
      <x:c r="B270" s="30" t="str">
        <x:v>COMP129</x:v>
      </x:c>
      <x:c r="C270" s="30" t="str">
        <x:v>Review the applicable licence, order, register, SOP and a sample of records to verify that segregate expired, damaged, recalled and rejected medicines from saleable inventory immediately.</x:v>
      </x:c>
      <x:c r="D270" s="30" t="str">
        <x:v>Document Review and Sampling</x:v>
      </x:c>
      <x:c r="E270" s="30" t="str">
        <x:v>Event Based</x:v>
      </x:c>
      <x:c r="F270" s="30" t="str">
        <x:v>CORE</x:v>
      </x:c>
      <x:c r="G270" s="30" t="str">
        <x:v>CA013</x:v>
      </x:c>
      <x:c r="H270" s="30" t="str">
        <x:v>Yes</x:v>
      </x:c>
      <x:c r="I270" s="30" t="str">
        <x:v>P-4 normalized to current parent compliance; legacy Audit ID preserved.</x:v>
      </x:c>
    </x:row>
    <x:row r="271">
      <x:c r="A271" s="30" t="str">
        <x:v>AUD270</x:v>
      </x:c>
      <x:c r="B271" s="30" t="str">
        <x:v>COMP130</x:v>
      </x:c>
      <x:c r="C271" s="30" t="str">
        <x:v>Select a sample of relevant transactions or events and interview the responsible person to confirm that maintain storage areas in a clean, hygienic and pest-free condition.</x:v>
      </x:c>
      <x:c r="D271" s="30" t="str">
        <x:v>Sampling and Interview</x:v>
      </x:c>
      <x:c r="E271" s="30" t="str">
        <x:v>Event Based</x:v>
      </x:c>
      <x:c r="F271" s="30" t="str">
        <x:v>CORE</x:v>
      </x:c>
      <x:c r="G271" s="30" t="str">
        <x:v>CA007</x:v>
      </x:c>
      <x:c r="H271" s="30" t="str">
        <x:v>Yes</x:v>
      </x:c>
      <x:c r="I271" s="30" t="str">
        <x:v>P-4 normalized to current parent compliance; legacy Audit ID preserved.</x:v>
      </x:c>
    </x:row>
    <x:row r="272">
      <x:c r="A272" s="30" t="str">
        <x:v>AUD271</x:v>
      </x:c>
      <x:c r="B272" s="30" t="str">
        <x:v>COMP130</x:v>
      </x:c>
      <x:c r="C272" s="30" t="str">
        <x:v>Review the applicable licence, order, register, SOP and a sample of records to verify that maintain storage areas in a clean, hygienic and pest-free condition.</x:v>
      </x:c>
      <x:c r="D272" s="30" t="str">
        <x:v>Document Review and Sampling</x:v>
      </x:c>
      <x:c r="E272" s="30" t="str">
        <x:v>Event Based</x:v>
      </x:c>
      <x:c r="F272" s="30" t="str">
        <x:v>CORE</x:v>
      </x:c>
      <x:c r="G272" s="30" t="str">
        <x:v>CA007</x:v>
      </x:c>
      <x:c r="H272" s="30" t="str">
        <x:v>Yes</x:v>
      </x:c>
      <x:c r="I272" s="30" t="str">
        <x:v>P-4 normalized to current parent compliance; legacy Audit ID preserved.</x:v>
      </x:c>
    </x:row>
    <x:row r="273">
      <x:c r="A273" s="30" t="str">
        <x:v>AUD272</x:v>
      </x:c>
      <x:c r="B273" s="30" t="str">
        <x:v>COMP131</x:v>
      </x:c>
      <x:c r="C273" s="30" t="str">
        <x:v>Select a sample of relevant transactions or events and interview the responsible person to confirm that initiate product recall immediately upon receipt of recall notice or identification of defective products.</x:v>
      </x:c>
      <x:c r="D273" s="30" t="str">
        <x:v>Sampling and Interview</x:v>
      </x:c>
      <x:c r="E273" s="30" t="str">
        <x:v>Event Based</x:v>
      </x:c>
      <x:c r="F273" s="30" t="str">
        <x:v>CORE</x:v>
      </x:c>
      <x:c r="G273" s="30" t="str">
        <x:v>CA022</x:v>
      </x:c>
      <x:c r="H273" s="30" t="str">
        <x:v>Yes</x:v>
      </x:c>
      <x:c r="I273" s="30" t="str">
        <x:v>P-4 normalized to current parent compliance; legacy Audit ID preserved.</x:v>
      </x:c>
    </x:row>
    <x:row r="274">
      <x:c r="A274" s="30" t="str">
        <x:v>AUD273</x:v>
      </x:c>
      <x:c r="B274" s="30" t="str">
        <x:v>COMP131</x:v>
      </x:c>
      <x:c r="C274" s="30" t="str">
        <x:v>Review the applicable licence, order, register, SOP and a sample of records to verify that initiate product recall immediately upon receipt of recall notice or identification of defective products.</x:v>
      </x:c>
      <x:c r="D274" s="30" t="str">
        <x:v>Document Review and Sampling</x:v>
      </x:c>
      <x:c r="E274" s="30" t="str">
        <x:v>Event Based</x:v>
      </x:c>
      <x:c r="F274" s="30" t="str">
        <x:v>CORE</x:v>
      </x:c>
      <x:c r="G274" s="30" t="str">
        <x:v>CA022</x:v>
      </x:c>
      <x:c r="H274" s="30" t="str">
        <x:v>Yes</x:v>
      </x:c>
      <x:c r="I274" s="30" t="str">
        <x:v>P-4 normalized to current parent compliance; legacy Audit ID preserved.</x:v>
      </x:c>
    </x:row>
    <x:row r="275">
      <x:c r="A275" s="30" t="str">
        <x:v>AUD274</x:v>
      </x:c>
      <x:c r="B275" s="30" t="str">
        <x:v>COMP132</x:v>
      </x:c>
      <x:c r="C275" s="30" t="str">
        <x:v>Select a sample of relevant transactions or events and interview the responsible person to confirm that classify recalled products according to the applicable recall category and risk level.</x:v>
      </x:c>
      <x:c r="D275" s="30" t="str">
        <x:v>Sampling and Interview</x:v>
      </x:c>
      <x:c r="E275" s="30" t="str">
        <x:v>Event Based</x:v>
      </x:c>
      <x:c r="F275" s="30" t="str">
        <x:v>CORE</x:v>
      </x:c>
      <x:c r="G275" s="30" t="str">
        <x:v>CA022</x:v>
      </x:c>
      <x:c r="H275" s="30" t="str">
        <x:v>Yes</x:v>
      </x:c>
      <x:c r="I275" s="30" t="str">
        <x:v>P-4 normalized to current parent compliance; legacy Audit ID preserved.</x:v>
      </x:c>
    </x:row>
    <x:row r="276">
      <x:c r="A276" s="30" t="str">
        <x:v>AUD275</x:v>
      </x:c>
      <x:c r="B276" s="30" t="str">
        <x:v>COMP132</x:v>
      </x:c>
      <x:c r="C276" s="30" t="str">
        <x:v>Review the applicable licence, order, register, SOP and a sample of records to verify that classify recalled products according to the applicable recall category and risk level.</x:v>
      </x:c>
      <x:c r="D276" s="30" t="str">
        <x:v>Document Review and Sampling</x:v>
      </x:c>
      <x:c r="E276" s="30" t="str">
        <x:v>Event Based</x:v>
      </x:c>
      <x:c r="F276" s="30" t="str">
        <x:v>CORE</x:v>
      </x:c>
      <x:c r="G276" s="30" t="str">
        <x:v>CA022</x:v>
      </x:c>
      <x:c r="H276" s="30" t="str">
        <x:v>Yes</x:v>
      </x:c>
      <x:c r="I276" s="30" t="str">
        <x:v>P-4 normalized to current parent compliance; legacy Audit ID preserved.</x:v>
      </x:c>
    </x:row>
    <x:row r="277">
      <x:c r="A277" s="30" t="str">
        <x:v>AUD276</x:v>
      </x:c>
      <x:c r="B277" s="30" t="str">
        <x:v>COMP133</x:v>
      </x:c>
      <x:c r="C277" s="30" t="str">
        <x:v>Select a sample of relevant transactions or events and interview the responsible person to confirm that notify customers, distributors and regulatory authorities as required during product recall.</x:v>
      </x:c>
      <x:c r="D277" s="30" t="str">
        <x:v>Sampling and Interview</x:v>
      </x:c>
      <x:c r="E277" s="30" t="str">
        <x:v>Event Based</x:v>
      </x:c>
      <x:c r="F277" s="30" t="str">
        <x:v>CORE</x:v>
      </x:c>
      <x:c r="G277" s="30" t="str">
        <x:v>CA022</x:v>
      </x:c>
      <x:c r="H277" s="30" t="str">
        <x:v>Yes</x:v>
      </x:c>
      <x:c r="I277" s="30" t="str">
        <x:v>P-4 normalized to current parent compliance; legacy Audit ID preserved.</x:v>
      </x:c>
    </x:row>
    <x:row r="278">
      <x:c r="A278" s="30" t="str">
        <x:v>AUD277</x:v>
      </x:c>
      <x:c r="B278" s="30" t="str">
        <x:v>COMP133</x:v>
      </x:c>
      <x:c r="C278" s="30" t="str">
        <x:v>Review the applicable licence, order, register, SOP and a sample of records to verify that notify customers, distributors and regulatory authorities as required during product recall.</x:v>
      </x:c>
      <x:c r="D278" s="30" t="str">
        <x:v>Document Review and Sampling</x:v>
      </x:c>
      <x:c r="E278" s="30" t="str">
        <x:v>Event Based</x:v>
      </x:c>
      <x:c r="F278" s="30" t="str">
        <x:v>CORE</x:v>
      </x:c>
      <x:c r="G278" s="30" t="str">
        <x:v>CA022</x:v>
      </x:c>
      <x:c r="H278" s="30" t="str">
        <x:v>Yes</x:v>
      </x:c>
      <x:c r="I278" s="30" t="str">
        <x:v>P-4 normalized to current parent compliance; legacy Audit ID preserved.</x:v>
      </x:c>
    </x:row>
    <x:row r="279">
      <x:c r="A279" s="30" t="str">
        <x:v>AUD278</x:v>
      </x:c>
      <x:c r="B279" s="30" t="str">
        <x:v>COMP134</x:v>
      </x:c>
      <x:c r="C279" s="30" t="str">
        <x:v>Select a sample of relevant transactions or events and interview the responsible person to confirm that verify the effectiveness of product recall by reconciling quantities distributed and recovered.</x:v>
      </x:c>
      <x:c r="D279" s="30" t="str">
        <x:v>Sampling and Interview</x:v>
      </x:c>
      <x:c r="E279" s="30" t="str">
        <x:v>Event Based</x:v>
      </x:c>
      <x:c r="F279" s="30" t="str">
        <x:v>CORE</x:v>
      </x:c>
      <x:c r="G279" s="30" t="str">
        <x:v>CA022</x:v>
      </x:c>
      <x:c r="H279" s="30" t="str">
        <x:v>Yes</x:v>
      </x:c>
      <x:c r="I279" s="30" t="str">
        <x:v>P-4 normalized to current parent compliance; legacy Audit ID preserved.</x:v>
      </x:c>
    </x:row>
    <x:row r="280">
      <x:c r="A280" s="30" t="str">
        <x:v>AUD279</x:v>
      </x:c>
      <x:c r="B280" s="30" t="str">
        <x:v>COMP134</x:v>
      </x:c>
      <x:c r="C280" s="30" t="str">
        <x:v>Review the applicable licence, order, register, SOP and a sample of records to verify that verify the effectiveness of product recall by reconciling quantities distributed and recovered.</x:v>
      </x:c>
      <x:c r="D280" s="30" t="str">
        <x:v>Document Review and Sampling</x:v>
      </x:c>
      <x:c r="E280" s="30" t="str">
        <x:v>Event Based</x:v>
      </x:c>
      <x:c r="F280" s="30" t="str">
        <x:v>CORE</x:v>
      </x:c>
      <x:c r="G280" s="30" t="str">
        <x:v>CA022</x:v>
      </x:c>
      <x:c r="H280" s="30" t="str">
        <x:v>Yes</x:v>
      </x:c>
      <x:c r="I280" s="30" t="str">
        <x:v>P-4 normalized to current parent compliance; legacy Audit ID preserved.</x:v>
      </x:c>
    </x:row>
    <x:row r="281">
      <x:c r="A281" s="30" t="str">
        <x:v>AUD280</x:v>
      </x:c>
      <x:c r="B281" s="30" t="str">
        <x:v>COMP135</x:v>
      </x:c>
      <x:c r="C281" s="30" t="str">
        <x:v>Select a sample of relevant transactions or events and interview the responsible person to confirm that maintain complete documentation supporting recall closure and regulatory reporting.</x:v>
      </x:c>
      <x:c r="D281" s="30" t="str">
        <x:v>Sampling and Interview</x:v>
      </x:c>
      <x:c r="E281" s="30" t="str">
        <x:v>Quarterly</x:v>
      </x:c>
      <x:c r="F281" s="30" t="str">
        <x:v>CORE</x:v>
      </x:c>
      <x:c r="G281" s="30" t="str">
        <x:v>CA022</x:v>
      </x:c>
      <x:c r="H281" s="30" t="str">
        <x:v>Yes</x:v>
      </x:c>
      <x:c r="I281" s="30" t="str">
        <x:v>P-4 normalized to current parent compliance; legacy Audit ID preserved.</x:v>
      </x:c>
    </x:row>
    <x:row r="282">
      <x:c r="A282" s="30" t="str">
        <x:v>AUD281</x:v>
      </x:c>
      <x:c r="B282" s="30" t="str">
        <x:v>COMP135</x:v>
      </x:c>
      <x:c r="C282" s="30" t="str">
        <x:v>Review the applicable licence, order, register, SOP and a sample of records to verify that maintain complete documentation supporting recall closure and regulatory reporting.</x:v>
      </x:c>
      <x:c r="D282" s="30" t="str">
        <x:v>Document Review and Sampling</x:v>
      </x:c>
      <x:c r="E282" s="30" t="str">
        <x:v>Quarterly</x:v>
      </x:c>
      <x:c r="F282" s="30" t="str">
        <x:v>CORE</x:v>
      </x:c>
      <x:c r="G282" s="30" t="str">
        <x:v>CA022</x:v>
      </x:c>
      <x:c r="H282" s="30" t="str">
        <x:v>Yes</x:v>
      </x:c>
      <x:c r="I282" s="30" t="str">
        <x:v>P-4 normalized to current parent compliance; legacy Audit ID preserved.</x:v>
      </x:c>
    </x:row>
    <x:row r="283">
      <x:c r="A283" s="30" t="str">
        <x:v>AUD282</x:v>
      </x:c>
      <x:c r="B283" s="30" t="str">
        <x:v>COMP136</x:v>
      </x:c>
      <x:c r="C283" s="30" t="str">
        <x:v>Select a sample of relevant transactions or events and interview the responsible person to confirm that establish a documented process for receiving product complaints from customers.</x:v>
      </x:c>
      <x:c r="D283" s="30" t="str">
        <x:v>Sampling and Interview</x:v>
      </x:c>
      <x:c r="E283" s="30" t="str">
        <x:v>Event Based</x:v>
      </x:c>
      <x:c r="F283" s="30" t="str">
        <x:v>CORE</x:v>
      </x:c>
      <x:c r="G283" s="30" t="str">
        <x:v>CA023</x:v>
      </x:c>
      <x:c r="H283" s="30" t="str">
        <x:v>Yes</x:v>
      </x:c>
      <x:c r="I283" s="30" t="str">
        <x:v>P-4 normalized to current parent compliance; legacy Audit ID preserved.</x:v>
      </x:c>
    </x:row>
    <x:row r="284">
      <x:c r="A284" s="30" t="str">
        <x:v>AUD283</x:v>
      </x:c>
      <x:c r="B284" s="30" t="str">
        <x:v>COMP136</x:v>
      </x:c>
      <x:c r="C284" s="30" t="str">
        <x:v>Review the applicable licence, order, register, SOP and a sample of records to verify that establish a documented process for receiving product complaints from customers.</x:v>
      </x:c>
      <x:c r="D284" s="30" t="str">
        <x:v>Document Review and Sampling</x:v>
      </x:c>
      <x:c r="E284" s="30" t="str">
        <x:v>Event Based</x:v>
      </x:c>
      <x:c r="F284" s="30" t="str">
        <x:v>CORE</x:v>
      </x:c>
      <x:c r="G284" s="30" t="str">
        <x:v>CA023</x:v>
      </x:c>
      <x:c r="H284" s="30" t="str">
        <x:v>Yes</x:v>
      </x:c>
      <x:c r="I284" s="30" t="str">
        <x:v>P-4 normalized to current parent compliance; legacy Audit ID preserved.</x:v>
      </x:c>
    </x:row>
    <x:row r="285">
      <x:c r="A285" s="30" t="str">
        <x:v>AUD284</x:v>
      </x:c>
      <x:c r="B285" s="30" t="str">
        <x:v>COMP137</x:v>
      </x:c>
      <x:c r="C285" s="30" t="str">
        <x:v>Select a sample of relevant transactions or events and interview the responsible person to confirm that investigate every product complaint and document findings appropriately.</x:v>
      </x:c>
      <x:c r="D285" s="30" t="str">
        <x:v>Sampling and Interview</x:v>
      </x:c>
      <x:c r="E285" s="30" t="str">
        <x:v>Annual</x:v>
      </x:c>
      <x:c r="F285" s="30" t="str">
        <x:v>CORE</x:v>
      </x:c>
      <x:c r="G285" s="30" t="str">
        <x:v>CA023</x:v>
      </x:c>
      <x:c r="H285" s="30" t="str">
        <x:v>Yes</x:v>
      </x:c>
      <x:c r="I285" s="30" t="str">
        <x:v>P-4 normalized to current parent compliance; legacy Audit ID preserved.</x:v>
      </x:c>
    </x:row>
    <x:row r="286">
      <x:c r="A286" s="30" t="str">
        <x:v>AUD285</x:v>
      </x:c>
      <x:c r="B286" s="30" t="str">
        <x:v>COMP137</x:v>
      </x:c>
      <x:c r="C286" s="30" t="str">
        <x:v>Review the applicable licence, order, register, SOP and a sample of records to verify that investigate every product complaint and document findings appropriately.</x:v>
      </x:c>
      <x:c r="D286" s="30" t="str">
        <x:v>Document Review and Sampling</x:v>
      </x:c>
      <x:c r="E286" s="30" t="str">
        <x:v>Annual</x:v>
      </x:c>
      <x:c r="F286" s="30" t="str">
        <x:v>CORE</x:v>
      </x:c>
      <x:c r="G286" s="30" t="str">
        <x:v>CA023</x:v>
      </x:c>
      <x:c r="H286" s="30" t="str">
        <x:v>Yes</x:v>
      </x:c>
      <x:c r="I286" s="30" t="str">
        <x:v>P-4 normalized to current parent compliance; legacy Audit ID preserved.</x:v>
      </x:c>
    </x:row>
    <x:row r="287">
      <x:c r="A287" s="30" t="str">
        <x:v>AUD286</x:v>
      </x:c>
      <x:c r="B287" s="30" t="str">
        <x:v>COMP138</x:v>
      </x:c>
      <x:c r="C287" s="30" t="str">
        <x:v>Select a sample of relevant transactions or events and interview the responsible person to confirm that maintain a complaint register and supporting investigation records.</x:v>
      </x:c>
      <x:c r="D287" s="30" t="str">
        <x:v>Sampling and Interview</x:v>
      </x:c>
      <x:c r="E287" s="30" t="str">
        <x:v>Monthly</x:v>
      </x:c>
      <x:c r="F287" s="30" t="str">
        <x:v>CORE</x:v>
      </x:c>
      <x:c r="G287" s="30" t="str">
        <x:v>CA023</x:v>
      </x:c>
      <x:c r="H287" s="30" t="str">
        <x:v>Yes</x:v>
      </x:c>
      <x:c r="I287" s="30" t="str">
        <x:v>P-4 normalized to current parent compliance; legacy Audit ID preserved.</x:v>
      </x:c>
    </x:row>
    <x:row r="288">
      <x:c r="A288" s="30" t="str">
        <x:v>AUD287</x:v>
      </x:c>
      <x:c r="B288" s="30" t="str">
        <x:v>COMP138</x:v>
      </x:c>
      <x:c r="C288" s="30" t="str">
        <x:v>Review the applicable licence, order, register, SOP and a sample of records to verify that maintain a complaint register and supporting investigation records.</x:v>
      </x:c>
      <x:c r="D288" s="30" t="str">
        <x:v>Document Review and Sampling</x:v>
      </x:c>
      <x:c r="E288" s="30" t="str">
        <x:v>Monthly</x:v>
      </x:c>
      <x:c r="F288" s="30" t="str">
        <x:v>CORE</x:v>
      </x:c>
      <x:c r="G288" s="30" t="str">
        <x:v>CA023</x:v>
      </x:c>
      <x:c r="H288" s="30" t="str">
        <x:v>Yes</x:v>
      </x:c>
      <x:c r="I288" s="30" t="str">
        <x:v>P-4 normalized to current parent compliance; legacy Audit ID preserved.</x:v>
      </x:c>
    </x:row>
    <x:row r="289">
      <x:c r="A289" s="30" t="str">
        <x:v>AUD288</x:v>
      </x:c>
      <x:c r="B289" s="30" t="str">
        <x:v>COMP139</x:v>
      </x:c>
      <x:c r="C289" s="30" t="str">
        <x:v>Select a sample of relevant transactions or events and interview the responsible person to confirm that close product complaints only after investigation, corrective action and documentation are completed.</x:v>
      </x:c>
      <x:c r="D289" s="30" t="str">
        <x:v>Sampling and Interview</x:v>
      </x:c>
      <x:c r="E289" s="30" t="str">
        <x:v>Event Based</x:v>
      </x:c>
      <x:c r="F289" s="30" t="str">
        <x:v>CORE</x:v>
      </x:c>
      <x:c r="G289" s="30" t="str">
        <x:v>CA023</x:v>
      </x:c>
      <x:c r="H289" s="30" t="str">
        <x:v>Yes</x:v>
      </x:c>
      <x:c r="I289" s="30" t="str">
        <x:v>P-4 normalized to current parent compliance; legacy Audit ID preserved.</x:v>
      </x:c>
    </x:row>
    <x:row r="290">
      <x:c r="A290" s="30" t="str">
        <x:v>AUD289</x:v>
      </x:c>
      <x:c r="B290" s="30" t="str">
        <x:v>COMP139</x:v>
      </x:c>
      <x:c r="C290" s="30" t="str">
        <x:v>Review the applicable licence, order, register, SOP and a sample of records to verify that close product complaints only after investigation, corrective action and documentation are completed.</x:v>
      </x:c>
      <x:c r="D290" s="30" t="str">
        <x:v>Document Review and Sampling</x:v>
      </x:c>
      <x:c r="E290" s="30" t="str">
        <x:v>Event Based</x:v>
      </x:c>
      <x:c r="F290" s="30" t="str">
        <x:v>CORE</x:v>
      </x:c>
      <x:c r="G290" s="30" t="str">
        <x:v>CA023</x:v>
      </x:c>
      <x:c r="H290" s="30" t="str">
        <x:v>Yes</x:v>
      </x:c>
      <x:c r="I290" s="30" t="str">
        <x:v>P-4 normalized to current parent compliance; legacy Audit ID preserved.</x:v>
      </x:c>
    </x:row>
    <x:row r="291">
      <x:c r="A291" s="30" t="str">
        <x:v>AUD290</x:v>
      </x:c>
      <x:c r="B291" s="30" t="str">
        <x:v>COMP140</x:v>
      </x:c>
      <x:c r="C291" s="30" t="str">
        <x:v>Select a sample of relevant transactions or events and interview the responsible person to confirm that report suspected adverse drug reactions to the Pharmacovigilance Programme of India whenever required.</x:v>
      </x:c>
      <x:c r="D291" s="30" t="str">
        <x:v>Sampling and Interview</x:v>
      </x:c>
      <x:c r="E291" s="30" t="str">
        <x:v>Monthly</x:v>
      </x:c>
      <x:c r="F291" s="30" t="str">
        <x:v>CORE</x:v>
      </x:c>
      <x:c r="G291" s="30" t="str">
        <x:v>CA024</x:v>
      </x:c>
      <x:c r="H291" s="30" t="str">
        <x:v>Yes</x:v>
      </x:c>
      <x:c r="I291" s="30" t="str">
        <x:v>P-4 normalized to current parent compliance; legacy Audit ID preserved.</x:v>
      </x:c>
    </x:row>
    <x:row r="292">
      <x:c r="A292" s="30" t="str">
        <x:v>AUD291</x:v>
      </x:c>
      <x:c r="B292" s="30" t="str">
        <x:v>COMP140</x:v>
      </x:c>
      <x:c r="C292" s="30" t="str">
        <x:v>Review the applicable licence, order, register, SOP and a sample of records to verify that report suspected adverse drug reactions to the Pharmacovigilance Programme of India whenever required.</x:v>
      </x:c>
      <x:c r="D292" s="30" t="str">
        <x:v>Document Review and Sampling</x:v>
      </x:c>
      <x:c r="E292" s="30" t="str">
        <x:v>Monthly</x:v>
      </x:c>
      <x:c r="F292" s="30" t="str">
        <x:v>CORE</x:v>
      </x:c>
      <x:c r="G292" s="30" t="str">
        <x:v>CA024</x:v>
      </x:c>
      <x:c r="H292" s="30" t="str">
        <x:v>Yes</x:v>
      </x:c>
      <x:c r="I292" s="30" t="str">
        <x:v>P-4 normalized to current parent compliance; legacy Audit ID preserved.</x:v>
      </x:c>
    </x:row>
    <x:row r="293">
      <x:c r="A293" s="30" t="str">
        <x:v>AUD292</x:v>
      </x:c>
      <x:c r="B293" s="30" t="str">
        <x:v>COMP141</x:v>
      </x:c>
      <x:c r="C293" s="30" t="str">
        <x:v>Select a sample of relevant transactions or events and interview the responsible person to confirm that maintain complete documentation for every reported adverse drug reaction.</x:v>
      </x:c>
      <x:c r="D293" s="30" t="str">
        <x:v>Sampling and Interview</x:v>
      </x:c>
      <x:c r="E293" s="30" t="str">
        <x:v>Monthly</x:v>
      </x:c>
      <x:c r="F293" s="30" t="str">
        <x:v>CORE</x:v>
      </x:c>
      <x:c r="G293" s="30" t="str">
        <x:v>CA024</x:v>
      </x:c>
      <x:c r="H293" s="30" t="str">
        <x:v>Yes</x:v>
      </x:c>
      <x:c r="I293" s="30" t="str">
        <x:v>P-4 normalized to current parent compliance; legacy Audit ID preserved.</x:v>
      </x:c>
    </x:row>
    <x:row r="294">
      <x:c r="A294" s="30" t="str">
        <x:v>AUD293</x:v>
      </x:c>
      <x:c r="B294" s="30" t="str">
        <x:v>COMP141</x:v>
      </x:c>
      <x:c r="C294" s="30" t="str">
        <x:v>Review the applicable licence, order, register, SOP and a sample of records to verify that maintain complete documentation for every reported adverse drug reaction.</x:v>
      </x:c>
      <x:c r="D294" s="30" t="str">
        <x:v>Document Review and Sampling</x:v>
      </x:c>
      <x:c r="E294" s="30" t="str">
        <x:v>Monthly</x:v>
      </x:c>
      <x:c r="F294" s="30" t="str">
        <x:v>CORE</x:v>
      </x:c>
      <x:c r="G294" s="30" t="str">
        <x:v>CA024</x:v>
      </x:c>
      <x:c r="H294" s="30" t="str">
        <x:v>Yes</x:v>
      </x:c>
      <x:c r="I294" s="30" t="str">
        <x:v>P-4 normalized to current parent compliance; legacy Audit ID preserved.</x:v>
      </x:c>
    </x:row>
    <x:row r="295">
      <x:c r="A295" s="30" t="str">
        <x:v>AUD294</x:v>
      </x:c>
      <x:c r="B295" s="30" t="str">
        <x:v>COMP142</x:v>
      </x:c>
      <x:c r="C295" s="30" t="str">
        <x:v>Select a sample of relevant transactions or events and interview the responsible person to confirm that escalate serious adverse drug reactions to the appropriate authority without delay.</x:v>
      </x:c>
      <x:c r="D295" s="30" t="str">
        <x:v>Sampling and Interview</x:v>
      </x:c>
      <x:c r="E295" s="30" t="str">
        <x:v>Quarterly</x:v>
      </x:c>
      <x:c r="F295" s="30" t="str">
        <x:v>CORE</x:v>
      </x:c>
      <x:c r="G295" s="30" t="str">
        <x:v>CA024</x:v>
      </x:c>
      <x:c r="H295" s="30" t="str">
        <x:v>Yes</x:v>
      </x:c>
      <x:c r="I295" s="30" t="str">
        <x:v>P-4 normalized to current parent compliance; legacy Audit ID preserved.</x:v>
      </x:c>
    </x:row>
    <x:row r="296">
      <x:c r="A296" s="30" t="str">
        <x:v>AUD295</x:v>
      </x:c>
      <x:c r="B296" s="30" t="str">
        <x:v>COMP142</x:v>
      </x:c>
      <x:c r="C296" s="30" t="str">
        <x:v>Review the applicable licence, order, register, SOP and a sample of records to verify that escalate serious adverse drug reactions to the appropriate authority without delay.</x:v>
      </x:c>
      <x:c r="D296" s="30" t="str">
        <x:v>Document Review and Sampling</x:v>
      </x:c>
      <x:c r="E296" s="30" t="str">
        <x:v>Quarterly</x:v>
      </x:c>
      <x:c r="F296" s="30" t="str">
        <x:v>CORE</x:v>
      </x:c>
      <x:c r="G296" s="30" t="str">
        <x:v>CA024</x:v>
      </x:c>
      <x:c r="H296" s="30" t="str">
        <x:v>Yes</x:v>
      </x:c>
      <x:c r="I296" s="30" t="str">
        <x:v>P-4 normalized to current parent compliance; legacy Audit ID preserved.</x:v>
      </x:c>
    </x:row>
    <x:row r="297">
      <x:c r="A297" s="30" t="str">
        <x:v>AUD296</x:v>
      </x:c>
      <x:c r="B297" s="30" t="str">
        <x:v>COMP143</x:v>
      </x:c>
      <x:c r="C297" s="30" t="str">
        <x:v>Select a sample of relevant transactions or events and interview the responsible person to confirm that maintain vaccines and biological products within the prescribed cold chain temperature range.</x:v>
      </x:c>
      <x:c r="D297" s="30" t="str">
        <x:v>Sampling and Interview</x:v>
      </x:c>
      <x:c r="E297" s="30" t="str">
        <x:v>Quarterly</x:v>
      </x:c>
      <x:c r="F297" s="30" t="str">
        <x:v>CORE</x:v>
      </x:c>
      <x:c r="G297" s="30" t="str">
        <x:v>CA008</x:v>
      </x:c>
      <x:c r="H297" s="30" t="str">
        <x:v>Yes</x:v>
      </x:c>
      <x:c r="I297" s="30" t="str">
        <x:v>P-4 normalized to current parent compliance; legacy Audit ID preserved.</x:v>
      </x:c>
    </x:row>
    <x:row r="298">
      <x:c r="A298" s="30" t="str">
        <x:v>AUD297</x:v>
      </x:c>
      <x:c r="B298" s="30" t="str">
        <x:v>COMP143</x:v>
      </x:c>
      <x:c r="C298" s="30" t="str">
        <x:v>Review the applicable licence, order, register, SOP and a sample of records to verify that maintain vaccines and biological products within the prescribed cold chain temperature range.</x:v>
      </x:c>
      <x:c r="D298" s="30" t="str">
        <x:v>Document Review and Sampling</x:v>
      </x:c>
      <x:c r="E298" s="30" t="str">
        <x:v>Quarterly</x:v>
      </x:c>
      <x:c r="F298" s="30" t="str">
        <x:v>CORE</x:v>
      </x:c>
      <x:c r="G298" s="30" t="str">
        <x:v>CA008</x:v>
      </x:c>
      <x:c r="H298" s="30" t="str">
        <x:v>Yes</x:v>
      </x:c>
      <x:c r="I298" s="30" t="str">
        <x:v>P-4 normalized to current parent compliance; legacy Audit ID preserved.</x:v>
      </x:c>
    </x:row>
    <x:row r="299">
      <x:c r="A299" s="30" t="str">
        <x:v>AUD298</x:v>
      </x:c>
      <x:c r="B299" s="30" t="str">
        <x:v>COMP144</x:v>
      </x:c>
      <x:c r="C299" s="30" t="str">
        <x:v>Select a sample of relevant transactions or events and interview the responsible person to confirm that record refrigerator temperatures at the prescribed frequency and retain logs for inspection.</x:v>
      </x:c>
      <x:c r="D299" s="30" t="str">
        <x:v>Sampling and Interview</x:v>
      </x:c>
      <x:c r="E299" s="30" t="str">
        <x:v>Annual</x:v>
      </x:c>
      <x:c r="F299" s="30" t="str">
        <x:v>CORE</x:v>
      </x:c>
      <x:c r="G299" s="30" t="str">
        <x:v>CA008</x:v>
      </x:c>
      <x:c r="H299" s="30" t="str">
        <x:v>Yes</x:v>
      </x:c>
      <x:c r="I299" s="30" t="str">
        <x:v>P-4 normalized to current parent compliance; legacy Audit ID preserved.</x:v>
      </x:c>
    </x:row>
    <x:row r="300">
      <x:c r="A300" s="30" t="str">
        <x:v>AUD299</x:v>
      </x:c>
      <x:c r="B300" s="30" t="str">
        <x:v>COMP144</x:v>
      </x:c>
      <x:c r="C300" s="30" t="str">
        <x:v>Review the applicable licence, order, register, SOP and a sample of records to verify that record refrigerator temperatures at the prescribed frequency and retain logs for inspection.</x:v>
      </x:c>
      <x:c r="D300" s="30" t="str">
        <x:v>Document Review and Sampling</x:v>
      </x:c>
      <x:c r="E300" s="30" t="str">
        <x:v>Annual</x:v>
      </x:c>
      <x:c r="F300" s="30" t="str">
        <x:v>CORE</x:v>
      </x:c>
      <x:c r="G300" s="30" t="str">
        <x:v>CA008</x:v>
      </x:c>
      <x:c r="H300" s="30" t="str">
        <x:v>Yes</x:v>
      </x:c>
      <x:c r="I300" s="30" t="str">
        <x:v>P-4 normalized to current parent compliance; legacy Audit ID preserved.</x:v>
      </x:c>
    </x:row>
    <x:row r="301">
      <x:c r="A301" s="30" t="str">
        <x:v>AUD300</x:v>
      </x:c>
      <x:c r="B301" s="30" t="str">
        <x:v>COMP145</x:v>
      </x:c>
      <x:c r="C301" s="30" t="str">
        <x:v>Select a sample of relevant transactions or events and interview the responsible person to confirm that validate and periodically qualify cold chain equipment before operational use.</x:v>
      </x:c>
      <x:c r="D301" s="30" t="str">
        <x:v>Sampling and Interview</x:v>
      </x:c>
      <x:c r="E301" s="30" t="str">
        <x:v>Annual</x:v>
      </x:c>
      <x:c r="F301" s="30" t="str">
        <x:v>CORE</x:v>
      </x:c>
      <x:c r="G301" s="30" t="str">
        <x:v>CA009</x:v>
      </x:c>
      <x:c r="H301" s="30" t="str">
        <x:v>Yes</x:v>
      </x:c>
      <x:c r="I301" s="30" t="str">
        <x:v>P-4 normalized to current parent compliance; legacy Audit ID preserved.</x:v>
      </x:c>
    </x:row>
    <x:row r="302">
      <x:c r="A302" s="30" t="str">
        <x:v>AUD301</x:v>
      </x:c>
      <x:c r="B302" s="30" t="str">
        <x:v>COMP145</x:v>
      </x:c>
      <x:c r="C302" s="30" t="str">
        <x:v>Review the applicable licence, order, register, SOP and a sample of records to verify that validate and periodically qualify cold chain equipment before operational use.</x:v>
      </x:c>
      <x:c r="D302" s="30" t="str">
        <x:v>Document Review and Sampling</x:v>
      </x:c>
      <x:c r="E302" s="30" t="str">
        <x:v>Annual</x:v>
      </x:c>
      <x:c r="F302" s="30" t="str">
        <x:v>CORE</x:v>
      </x:c>
      <x:c r="G302" s="30" t="str">
        <x:v>CA009</x:v>
      </x:c>
      <x:c r="H302" s="30" t="str">
        <x:v>Yes</x:v>
      </x:c>
      <x:c r="I302" s="30" t="str">
        <x:v>P-4 normalized to current parent compliance; legacy Audit ID preserved.</x:v>
      </x:c>
    </x:row>
    <x:row r="303">
      <x:c r="A303" s="30" t="str">
        <x:v>AUD302</x:v>
      </x:c>
      <x:c r="B303" s="30" t="str">
        <x:v>COMP146</x:v>
      </x:c>
      <x:c r="C303" s="30" t="str">
        <x:v>Verify that electronic systems maintain audit trails for recall and complaint activities.</x:v>
      </x:c>
      <x:c r="D303" s="30" t="str">
        <x:v>System Verification</x:v>
      </x:c>
      <x:c r="E303" s="30" t="str">
        <x:v>Quarterly</x:v>
      </x:c>
      <x:c r="F303" s="30" t="str">
        <x:v>CORE</x:v>
      </x:c>
      <x:c r="G303" s="30" t="str">
        <x:v>Inventory Controls</x:v>
      </x:c>
      <x:c r="H303" s="30" t="str">
        <x:v>No</x:v>
      </x:c>
      <x:c r="I303" s="30" t="str">
        <x:v>P-4 QUARANTINED with inactive parent compliance; legacy ID retained.</x:v>
      </x:c>
    </x:row>
    <x:row r="304">
      <x:c r="A304" s="30" t="str">
        <x:v>AUD303</x:v>
      </x:c>
      <x:c r="B304" s="30" t="str">
        <x:v>COMP146</x:v>
      </x:c>
      <x:c r="C304" s="30" t="str">
        <x:v>Review user activity logs for unauthorized changes.</x:v>
      </x:c>
      <x:c r="D304" s="30" t="str">
        <x:v>System Verification</x:v>
      </x:c>
      <x:c r="E304" s="30" t="str">
        <x:v>Quarterly</x:v>
      </x:c>
      <x:c r="F304" s="30" t="str">
        <x:v>CORE</x:v>
      </x:c>
      <x:c r="G304" s="30" t="str">
        <x:v>Recordkeeping</x:v>
      </x:c>
      <x:c r="H304" s="30" t="str">
        <x:v>No</x:v>
      </x:c>
      <x:c r="I304" s="30" t="str">
        <x:v>P-4 QUARANTINED with inactive parent compliance; legacy ID retained.</x:v>
      </x:c>
    </x:row>
    <x:row r="305">
      <x:c r="A305" s="30" t="str">
        <x:v>AUD304</x:v>
      </x:c>
      <x:c r="B305" s="30" t="str">
        <x:v>COMP147</x:v>
      </x:c>
      <x:c r="C305" s="30" t="str">
        <x:v>Verify that internal audits periodically assess recall and complaint management controls.</x:v>
      </x:c>
      <x:c r="D305" s="30" t="str">
        <x:v>Document Review</x:v>
      </x:c>
      <x:c r="E305" s="30" t="str">
        <x:v>Annual</x:v>
      </x:c>
      <x:c r="F305" s="30" t="str">
        <x:v>CORE</x:v>
      </x:c>
      <x:c r="G305" s="30" t="str">
        <x:v>Inventory Controls</x:v>
      </x:c>
      <x:c r="H305" s="30" t="str">
        <x:v>No</x:v>
      </x:c>
      <x:c r="I305" s="30" t="str">
        <x:v>P-4 QUARANTINED with inactive parent compliance; legacy ID retained.</x:v>
      </x:c>
    </x:row>
    <x:row r="306">
      <x:c r="A306" s="30" t="str">
        <x:v>AUD305</x:v>
      </x:c>
      <x:c r="B306" s="30" t="str">
        <x:v>COMP147</x:v>
      </x:c>
      <x:c r="C306" s="30" t="str">
        <x:v>Review implementation status of audit recommendations.</x:v>
      </x:c>
      <x:c r="D306" s="30" t="str">
        <x:v>Record Verification</x:v>
      </x:c>
      <x:c r="E306" s="30" t="str">
        <x:v>Annual</x:v>
      </x:c>
      <x:c r="F306" s="30" t="str">
        <x:v>CORE</x:v>
      </x:c>
      <x:c r="G306" s="30" t="str">
        <x:v>General Compliance</x:v>
      </x:c>
      <x:c r="H306" s="30" t="str">
        <x:v>No</x:v>
      </x:c>
      <x:c r="I306" s="30" t="str">
        <x:v>P-4 QUARANTINED with inactive parent compliance; legacy ID retained.</x:v>
      </x:c>
    </x:row>
    <x:row r="307">
      <x:c r="A307" s="30" t="str">
        <x:v>AUD306</x:v>
      </x:c>
      <x:c r="B307" s="30" t="str">
        <x:v>COMP148</x:v>
      </x:c>
      <x:c r="C307" s="30" t="str">
        <x:v>Verify that regulatory inspection observations relating to recalls and complaints are addressed.</x:v>
      </x:c>
      <x:c r="D307" s="30" t="str">
        <x:v>Physical Inspection</x:v>
      </x:c>
      <x:c r="E307" s="30" t="str">
        <x:v>Quarterly</x:v>
      </x:c>
      <x:c r="F307" s="30" t="str">
        <x:v>CORE</x:v>
      </x:c>
      <x:c r="G307" s="30" t="str">
        <x:v>Inventory Controls</x:v>
      </x:c>
      <x:c r="H307" s="30" t="str">
        <x:v>No</x:v>
      </x:c>
      <x:c r="I307" s="30" t="str">
        <x:v>P-4 QUARANTINED with inactive parent compliance; legacy ID retained.</x:v>
      </x:c>
    </x:row>
    <x:row r="308">
      <x:c r="A308" s="30" t="str">
        <x:v>AUD307</x:v>
      </x:c>
      <x:c r="B308" s="30" t="str">
        <x:v>COMP148</x:v>
      </x:c>
      <x:c r="C308" s="30" t="str">
        <x:v>Review evidence supporting closure of regulatory observations.</x:v>
      </x:c>
      <x:c r="D308" s="30" t="str">
        <x:v>Observation</x:v>
      </x:c>
      <x:c r="E308" s="30" t="str">
        <x:v>Quarterly</x:v>
      </x:c>
      <x:c r="F308" s="30" t="str">
        <x:v>CORE</x:v>
      </x:c>
      <x:c r="G308" s="30" t="str">
        <x:v>General Compliance</x:v>
      </x:c>
      <x:c r="H308" s="30" t="str">
        <x:v>No</x:v>
      </x:c>
      <x:c r="I308" s="30" t="str">
        <x:v>P-4 QUARANTINED with inactive parent compliance; legacy ID retained.</x:v>
      </x:c>
    </x:row>
    <x:row r="309">
      <x:c r="A309" s="30" t="str">
        <x:v>AUD308</x:v>
      </x:c>
      <x:c r="B309" s="30" t="str">
        <x:v>COMP149</x:v>
      </x:c>
      <x:c r="C309" s="30" t="str">
        <x:v>Verify that management periodically reviews recall effectiveness and complaint performance indicators.</x:v>
      </x:c>
      <x:c r="D309" s="30" t="str">
        <x:v>Document Review</x:v>
      </x:c>
      <x:c r="E309" s="30" t="str">
        <x:v>Quarterly</x:v>
      </x:c>
      <x:c r="F309" s="30" t="str">
        <x:v>CORE</x:v>
      </x:c>
      <x:c r="G309" s="30" t="str">
        <x:v>Inventory Controls</x:v>
      </x:c>
      <x:c r="H309" s="30" t="str">
        <x:v>No</x:v>
      </x:c>
      <x:c r="I309" s="30" t="str">
        <x:v>P-4 QUARANTINED with inactive parent compliance; legacy ID retained.</x:v>
      </x:c>
    </x:row>
    <x:row r="310">
      <x:c r="A310" s="30" t="str">
        <x:v>AUD309</x:v>
      </x:c>
      <x:c r="B310" s="30" t="str">
        <x:v>COMP149</x:v>
      </x:c>
      <x:c r="C310" s="30" t="str">
        <x:v>Examine management review records and action plans.</x:v>
      </x:c>
      <x:c r="D310" s="30" t="str">
        <x:v>Record Verification</x:v>
      </x:c>
      <x:c r="E310" s="30" t="str">
        <x:v>Quarterly</x:v>
      </x:c>
      <x:c r="F310" s="30" t="str">
        <x:v>CORE</x:v>
      </x:c>
      <x:c r="G310" s="30" t="str">
        <x:v>Recordkeeping</x:v>
      </x:c>
      <x:c r="H310" s="30" t="str">
        <x:v>No</x:v>
      </x:c>
      <x:c r="I310" s="30" t="str">
        <x:v>P-4 QUARANTINED with inactive parent compliance; legacy ID retained.</x:v>
      </x:c>
    </x:row>
    <x:row r="311">
      <x:c r="A311" s="30" t="str">
        <x:v>AUD310</x:v>
      </x:c>
      <x:c r="B311" s="30" t="str">
        <x:v>COMP150</x:v>
      </x:c>
      <x:c r="C311" s="30" t="str">
        <x:v>Verify that recall and complaint management processes comply with applicable legal requirements and SOPs.</x:v>
      </x:c>
      <x:c r="D311" s="30" t="str">
        <x:v>Document Review</x:v>
      </x:c>
      <x:c r="E311" s="30" t="str">
        <x:v>Annual</x:v>
      </x:c>
      <x:c r="F311" s="30" t="str">
        <x:v>CORE</x:v>
      </x:c>
      <x:c r="G311" s="30" t="str">
        <x:v>Inventory Controls</x:v>
      </x:c>
      <x:c r="H311" s="30" t="str">
        <x:v>No</x:v>
      </x:c>
      <x:c r="I311" s="30" t="str">
        <x:v>P-4 QUARANTINED with inactive parent compliance; legacy ID retained.</x:v>
      </x:c>
    </x:row>
    <x:row r="312">
      <x:c r="A312" s="30" t="str">
        <x:v>AUD311</x:v>
      </x:c>
      <x:c r="B312" s="30" t="str">
        <x:v>COMP150</x:v>
      </x:c>
      <x:c r="C312" s="30" t="str">
        <x:v>Conduct sample testing of recall and complaint cases for regulatory compliance.</x:v>
      </x:c>
      <x:c r="D312" s="30" t="str">
        <x:v>Sampling</x:v>
      </x:c>
      <x:c r="E312" s="30" t="str">
        <x:v>Quarterly</x:v>
      </x:c>
      <x:c r="F312" s="30" t="str">
        <x:v>CORE</x:v>
      </x:c>
      <x:c r="G312" s="30" t="str">
        <x:v>Inventory Controls</x:v>
      </x:c>
      <x:c r="H312" s="30" t="str">
        <x:v>No</x:v>
      </x:c>
      <x:c r="I312" s="30" t="str">
        <x:v>P-4 QUARANTINED with inactive parent compliance; legacy ID retained.</x:v>
      </x:c>
    </x:row>
    <x:row r="313">
      <x:c r="A313" s="30" t="str">
        <x:v>AUD312</x:v>
      </x:c>
      <x:c r="B313" s="30" t="str">
        <x:v>COMP150</x:v>
      </x:c>
      <x:c r="C313" s="30" t="str">
        <x:v>Reconcile recall and complaint controls with statutory requirements.</x:v>
      </x:c>
      <x:c r="D313" s="30" t="str">
        <x:v>Reconciliation</x:v>
      </x:c>
      <x:c r="E313" s="30" t="str">
        <x:v>Annual</x:v>
      </x:c>
      <x:c r="F313" s="30" t="str">
        <x:v>CORE</x:v>
      </x:c>
      <x:c r="G313" s="30" t="str">
        <x:v>Inventory Controls</x:v>
      </x:c>
      <x:c r="H313" s="30" t="str">
        <x:v>No</x:v>
      </x:c>
      <x:c r="I313" s="30" t="str">
        <x:v>P-4 QUARANTINED with inactive parent compliance; legacy ID retained.</x:v>
      </x:c>
    </x:row>
    <x:row r="314">
      <x:c r="A314" s="30" t="str">
        <x:v>AUD313</x:v>
      </x:c>
      <x:c r="B314" s="30" t="str">
        <x:v>COMP150</x:v>
      </x:c>
      <x:c r="C314" s="30" t="str">
        <x:v>Validate effectiveness of recall and complaint management controls through independent audit testing.</x:v>
      </x:c>
      <x:c r="D314" s="30" t="str">
        <x:v>Sampling</x:v>
      </x:c>
      <x:c r="E314" s="30" t="str">
        <x:v>Annual</x:v>
      </x:c>
      <x:c r="F314" s="30" t="str">
        <x:v>CORE</x:v>
      </x:c>
      <x:c r="G314" s="30" t="str">
        <x:v>Inventory Controls</x:v>
      </x:c>
      <x:c r="H314" s="30" t="str">
        <x:v>No</x:v>
      </x:c>
      <x:c r="I314" s="30" t="str">
        <x:v>P-4 QUARANTINED with inactive parent compliance; legacy ID retained.</x:v>
      </x:c>
    </x:row>
    <x:row r="315">
      <x:c r="A315" s="30" t="str">
        <x:v>AUD314</x:v>
      </x:c>
      <x:c r="B315" s="30" t="str">
        <x:v>COMP151</x:v>
      </x:c>
      <x:c r="C315" s="30" t="str">
        <x:v>Verify that biomedical waste generated by the pharmacy is segregated at the point of generation in accordance with approved colour coding requirements.</x:v>
      </x:c>
      <x:c r="D315" s="30" t="str">
        <x:v>Physical Inspection</x:v>
      </x:c>
      <x:c r="E315" s="30" t="str">
        <x:v>Daily</x:v>
      </x:c>
      <x:c r="F315" s="30" t="str">
        <x:v>CORE</x:v>
      </x:c>
      <x:c r="G315" s="30" t="str">
        <x:v>Inventory Controls</x:v>
      </x:c>
      <x:c r="H315" s="30" t="str">
        <x:v>No</x:v>
      </x:c>
      <x:c r="I315" s="30" t="str">
        <x:v>P-4 QUARANTINED with inactive parent compliance; legacy ID retained.</x:v>
      </x:c>
    </x:row>
    <x:row r="316">
      <x:c r="A316" s="30" t="str">
        <x:v>AUD315</x:v>
      </x:c>
      <x:c r="B316" s="30" t="str">
        <x:v>COMP151</x:v>
      </x:c>
      <x:c r="C316" s="30" t="str">
        <x:v>Observe waste segregation practices during pharmacy operations.</x:v>
      </x:c>
      <x:c r="D316" s="30" t="str">
        <x:v>Observation</x:v>
      </x:c>
      <x:c r="E316" s="30" t="str">
        <x:v>Monthly</x:v>
      </x:c>
      <x:c r="F316" s="30" t="str">
        <x:v>CORE</x:v>
      </x:c>
      <x:c r="G316" s="30" t="str">
        <x:v>Inventory Controls</x:v>
      </x:c>
      <x:c r="H316" s="30" t="str">
        <x:v>No</x:v>
      </x:c>
      <x:c r="I316" s="30" t="str">
        <x:v>P-4 QUARANTINED with inactive parent compliance; legacy ID retained.</x:v>
      </x:c>
    </x:row>
    <x:row r="317">
      <x:c r="A317" s="30" t="str">
        <x:v>AUD316</x:v>
      </x:c>
      <x:c r="B317" s="30" t="str">
        <x:v>COMP152</x:v>
      </x:c>
      <x:c r="C317" s="30" t="str">
        <x:v>Verify that expired medicines are disposed of through authorized disposal channels.</x:v>
      </x:c>
      <x:c r="D317" s="30" t="str">
        <x:v>Document Review</x:v>
      </x:c>
      <x:c r="E317" s="30" t="str">
        <x:v>Quarterly</x:v>
      </x:c>
      <x:c r="F317" s="30" t="str">
        <x:v>CORE</x:v>
      </x:c>
      <x:c r="G317" s="30" t="str">
        <x:v>Inventory Controls</x:v>
      </x:c>
      <x:c r="H317" s="30" t="str">
        <x:v>No</x:v>
      </x:c>
      <x:c r="I317" s="30" t="str">
        <x:v>P-4 QUARANTINED with inactive parent compliance; legacy ID retained.</x:v>
      </x:c>
    </x:row>
    <x:row r="318">
      <x:c r="A318" s="30" t="str">
        <x:v>AUD317</x:v>
      </x:c>
      <x:c r="B318" s="30" t="str">
        <x:v>COMP152</x:v>
      </x:c>
      <x:c r="C318" s="30" t="str">
        <x:v>Review disposal certificates issued by authorized waste handlers.</x:v>
      </x:c>
      <x:c r="D318" s="30" t="str">
        <x:v>Record Verification</x:v>
      </x:c>
      <x:c r="E318" s="30" t="str">
        <x:v>Quarterly</x:v>
      </x:c>
      <x:c r="F318" s="30" t="str">
        <x:v>CORE</x:v>
      </x:c>
      <x:c r="G318" s="30" t="str">
        <x:v>Disposal Controls</x:v>
      </x:c>
      <x:c r="H318" s="30" t="str">
        <x:v>No</x:v>
      </x:c>
      <x:c r="I318" s="30" t="str">
        <x:v>P-4 QUARANTINED with inactive parent compliance; legacy ID retained.</x:v>
      </x:c>
    </x:row>
    <x:row r="319">
      <x:c r="A319" s="30" t="str">
        <x:v>AUD318</x:v>
      </x:c>
      <x:c r="B319" s="30" t="str">
        <x:v>COMP153</x:v>
      </x:c>
      <x:c r="C319" s="30" t="str">
        <x:v>Verify that hazardous pharmaceutical waste is identified and segregated separately.</x:v>
      </x:c>
      <x:c r="D319" s="30" t="str">
        <x:v>Physical Inspection</x:v>
      </x:c>
      <x:c r="E319" s="30" t="str">
        <x:v>Monthly</x:v>
      </x:c>
      <x:c r="F319" s="30" t="str">
        <x:v>CORE</x:v>
      </x:c>
      <x:c r="G319" s="30" t="str">
        <x:v>Inventory Controls</x:v>
      </x:c>
      <x:c r="H319" s="30" t="str">
        <x:v>No</x:v>
      </x:c>
      <x:c r="I319" s="30" t="str">
        <x:v>P-4 QUARANTINED with inactive parent compliance; legacy ID retained.</x:v>
      </x:c>
    </x:row>
    <x:row r="320">
      <x:c r="A320" s="30" t="str">
        <x:v>AUD319</x:v>
      </x:c>
      <x:c r="B320" s="30" t="str">
        <x:v>COMP153</x:v>
      </x:c>
      <x:c r="C320" s="30" t="str">
        <x:v>Inspect hazardous waste containers for appropriate labelling.</x:v>
      </x:c>
      <x:c r="D320" s="30" t="str">
        <x:v>Physical Inspection</x:v>
      </x:c>
      <x:c r="E320" s="30" t="str">
        <x:v>Monthly</x:v>
      </x:c>
      <x:c r="F320" s="30" t="str">
        <x:v>CORE</x:v>
      </x:c>
      <x:c r="G320" s="30" t="str">
        <x:v>Disposal Controls</x:v>
      </x:c>
      <x:c r="H320" s="30" t="str">
        <x:v>No</x:v>
      </x:c>
      <x:c r="I320" s="30" t="str">
        <x:v>P-4 QUARANTINED with inactive parent compliance; legacy ID retained.</x:v>
      </x:c>
    </x:row>
    <x:row r="321">
      <x:c r="A321" s="30" t="str">
        <x:v>AUD320</x:v>
      </x:c>
      <x:c r="B321" s="30" t="str">
        <x:v>COMP154</x:v>
      </x:c>
      <x:c r="C321" s="30" t="str">
        <x:v>Verify that biomedical waste is handed over only to authorized waste management agencies.</x:v>
      </x:c>
      <x:c r="D321" s="30" t="str">
        <x:v>Document Review</x:v>
      </x:c>
      <x:c r="E321" s="30" t="str">
        <x:v>Monthly</x:v>
      </x:c>
      <x:c r="F321" s="30" t="str">
        <x:v>CORE</x:v>
      </x:c>
      <x:c r="G321" s="30" t="str">
        <x:v>Disposal Controls</x:v>
      </x:c>
      <x:c r="H321" s="30" t="str">
        <x:v>No</x:v>
      </x:c>
      <x:c r="I321" s="30" t="str">
        <x:v>P-4 QUARANTINED with inactive parent compliance; legacy ID retained.</x:v>
      </x:c>
    </x:row>
    <x:row r="322">
      <x:c r="A322" s="30" t="str">
        <x:v>AUD321</x:v>
      </x:c>
      <x:c r="B322" s="30" t="str">
        <x:v>COMP154</x:v>
      </x:c>
      <x:c r="C322" s="30" t="str">
        <x:v>Review agreements and collection records of waste disposal agencies.</x:v>
      </x:c>
      <x:c r="D322" s="30" t="str">
        <x:v>Record Verification</x:v>
      </x:c>
      <x:c r="E322" s="30" t="str">
        <x:v>Annual</x:v>
      </x:c>
      <x:c r="F322" s="30" t="str">
        <x:v>CORE</x:v>
      </x:c>
      <x:c r="G322" s="30" t="str">
        <x:v>Disposal Controls</x:v>
      </x:c>
      <x:c r="H322" s="30" t="str">
        <x:v>No</x:v>
      </x:c>
      <x:c r="I322" s="30" t="str">
        <x:v>P-4 QUARANTINED with inactive parent compliance; legacy ID retained.</x:v>
      </x:c>
    </x:row>
    <x:row r="323">
      <x:c r="A323" s="30" t="str">
        <x:v>AUD322</x:v>
      </x:c>
      <x:c r="B323" s="30" t="str">
        <x:v>COMP155</x:v>
      </x:c>
      <x:c r="C323" s="30" t="str">
        <x:v>Verify that biomedical waste collection records are maintained accurately.</x:v>
      </x:c>
      <x:c r="D323" s="30" t="str">
        <x:v>Record Verification</x:v>
      </x:c>
      <x:c r="E323" s="30" t="str">
        <x:v>Monthly</x:v>
      </x:c>
      <x:c r="F323" s="30" t="str">
        <x:v>CORE</x:v>
      </x:c>
      <x:c r="G323" s="30" t="str">
        <x:v>Disposal Controls</x:v>
      </x:c>
      <x:c r="H323" s="30" t="str">
        <x:v>No</x:v>
      </x:c>
      <x:c r="I323" s="30" t="str">
        <x:v>P-4 QUARANTINED with inactive parent compliance; legacy ID retained.</x:v>
      </x:c>
    </x:row>
    <x:row r="324">
      <x:c r="A324" s="30" t="str">
        <x:v>AUD323</x:v>
      </x:c>
      <x:c r="B324" s="30" t="str">
        <x:v>COMP155</x:v>
      </x:c>
      <x:c r="C324" s="30" t="str">
        <x:v>Reconcile waste generation records with disposal records.</x:v>
      </x:c>
      <x:c r="D324" s="30" t="str">
        <x:v>Reconciliation</x:v>
      </x:c>
      <x:c r="E324" s="30" t="str">
        <x:v>Quarterly</x:v>
      </x:c>
      <x:c r="F324" s="30" t="str">
        <x:v>CORE</x:v>
      </x:c>
      <x:c r="G324" s="30" t="str">
        <x:v>Disposal Controls</x:v>
      </x:c>
      <x:c r="H324" s="30" t="str">
        <x:v>No</x:v>
      </x:c>
      <x:c r="I324" s="30" t="str">
        <x:v>P-4 QUARANTINED with inactive parent compliance; legacy ID retained.</x:v>
      </x:c>
    </x:row>
    <x:row r="325">
      <x:c r="A325" s="30" t="str">
        <x:v>AUD324</x:v>
      </x:c>
      <x:c r="B325" s="30" t="str">
        <x:v>COMP156</x:v>
      </x:c>
      <x:c r="C325" s="30" t="str">
        <x:v>Verify that waste storage areas are secure and clearly identified.</x:v>
      </x:c>
      <x:c r="D325" s="30" t="str">
        <x:v>Physical Inspection</x:v>
      </x:c>
      <x:c r="E325" s="30" t="str">
        <x:v>Monthly</x:v>
      </x:c>
      <x:c r="F325" s="30" t="str">
        <x:v>CORE</x:v>
      </x:c>
      <x:c r="G325" s="30" t="str">
        <x:v>Storage Controls</x:v>
      </x:c>
      <x:c r="H325" s="30" t="str">
        <x:v>No</x:v>
      </x:c>
      <x:c r="I325" s="30" t="str">
        <x:v>P-4 QUARANTINED with inactive parent compliance; legacy ID retained.</x:v>
      </x:c>
    </x:row>
    <x:row r="326">
      <x:c r="A326" s="30" t="str">
        <x:v>AUD325</x:v>
      </x:c>
      <x:c r="B326" s="30" t="str">
        <x:v>COMP156</x:v>
      </x:c>
      <x:c r="C326" s="30" t="str">
        <x:v>Observe housekeeping and cleanliness of waste storage areas.</x:v>
      </x:c>
      <x:c r="D326" s="30" t="str">
        <x:v>Observation</x:v>
      </x:c>
      <x:c r="E326" s="30" t="str">
        <x:v>Monthly</x:v>
      </x:c>
      <x:c r="F326" s="30" t="str">
        <x:v>CORE</x:v>
      </x:c>
      <x:c r="G326" s="30" t="str">
        <x:v>Storage Controls</x:v>
      </x:c>
      <x:c r="H326" s="30" t="str">
        <x:v>No</x:v>
      </x:c>
      <x:c r="I326" s="30" t="str">
        <x:v>P-4 QUARANTINED with inactive parent compliance; legacy ID retained.</x:v>
      </x:c>
    </x:row>
    <x:row r="327">
      <x:c r="A327" s="30" t="str">
        <x:v>AUD326</x:v>
      </x:c>
      <x:c r="B327" s="30" t="str">
        <x:v>COMP157</x:v>
      </x:c>
      <x:c r="C327" s="30" t="str">
        <x:v>Verify that pharmaceutical waste containers are appropriately labelled.</x:v>
      </x:c>
      <x:c r="D327" s="30" t="str">
        <x:v>Physical Inspection</x:v>
      </x:c>
      <x:c r="E327" s="30" t="str">
        <x:v>Monthly</x:v>
      </x:c>
      <x:c r="F327" s="30" t="str">
        <x:v>CORE</x:v>
      </x:c>
      <x:c r="G327" s="30" t="str">
        <x:v>Disposal Controls</x:v>
      </x:c>
      <x:c r="H327" s="30" t="str">
        <x:v>No</x:v>
      </x:c>
      <x:c r="I327" s="30" t="str">
        <x:v>P-4 QUARANTINED with inactive parent compliance; legacy ID retained.</x:v>
      </x:c>
    </x:row>
    <x:row r="328">
      <x:c r="A328" s="30" t="str">
        <x:v>AUD327</x:v>
      </x:c>
      <x:c r="B328" s="30" t="str">
        <x:v>COMP157</x:v>
      </x:c>
      <x:c r="C328" s="30" t="str">
        <x:v>Inspect condition of waste containers for leakage or damage.</x:v>
      </x:c>
      <x:c r="D328" s="30" t="str">
        <x:v>Physical Inspection</x:v>
      </x:c>
      <x:c r="E328" s="30" t="str">
        <x:v>Monthly</x:v>
      </x:c>
      <x:c r="F328" s="30" t="str">
        <x:v>CORE</x:v>
      </x:c>
      <x:c r="G328" s="30" t="str">
        <x:v>Disposal Controls</x:v>
      </x:c>
      <x:c r="H328" s="30" t="str">
        <x:v>No</x:v>
      </x:c>
      <x:c r="I328" s="30" t="str">
        <x:v>P-4 QUARANTINED with inactive parent compliance; legacy ID retained.</x:v>
      </x:c>
    </x:row>
    <x:row r="329">
      <x:c r="A329" s="30" t="str">
        <x:v>AUD328</x:v>
      </x:c>
      <x:c r="B329" s="30" t="str">
        <x:v>COMP158</x:v>
      </x:c>
      <x:c r="C329" s="30" t="str">
        <x:v>Verify that disposal of controlled drugs follows statutory destruction procedures.</x:v>
      </x:c>
      <x:c r="D329" s="30" t="str">
        <x:v>Document Review</x:v>
      </x:c>
      <x:c r="E329" s="30" t="str">
        <x:v>Event Based</x:v>
      </x:c>
      <x:c r="F329" s="30" t="str">
        <x:v>CORE</x:v>
      </x:c>
      <x:c r="G329" s="30" t="str">
        <x:v>Controlled Drugs</x:v>
      </x:c>
      <x:c r="H329" s="30" t="str">
        <x:v>No</x:v>
      </x:c>
      <x:c r="I329" s="30" t="str">
        <x:v>P-4 QUARANTINED with inactive parent compliance; legacy ID retained.</x:v>
      </x:c>
    </x:row>
    <x:row r="330">
      <x:c r="A330" s="30" t="str">
        <x:v>AUD329</x:v>
      </x:c>
      <x:c r="B330" s="30" t="str">
        <x:v>COMP158</x:v>
      </x:c>
      <x:c r="C330" s="30" t="str">
        <x:v>Review approvals and destruction records for controlled medicines.</x:v>
      </x:c>
      <x:c r="D330" s="30" t="str">
        <x:v>Record Verification</x:v>
      </x:c>
      <x:c r="E330" s="30" t="str">
        <x:v>Event Based</x:v>
      </x:c>
      <x:c r="F330" s="30" t="str">
        <x:v>CORE</x:v>
      </x:c>
      <x:c r="G330" s="30" t="str">
        <x:v>Recordkeeping</x:v>
      </x:c>
      <x:c r="H330" s="30" t="str">
        <x:v>No</x:v>
      </x:c>
      <x:c r="I330" s="30" t="str">
        <x:v>P-4 QUARANTINED with inactive parent compliance; legacy ID retained.</x:v>
      </x:c>
    </x:row>
    <x:row r="331">
      <x:c r="A331" s="30" t="str">
        <x:v>AUD330</x:v>
      </x:c>
      <x:c r="B331" s="30" t="str">
        <x:v>COMP159</x:v>
      </x:c>
      <x:c r="C331" s="30" t="str">
        <x:v>Verify that waste disposal personnel are trained on pharmaceutical waste handling procedures.</x:v>
      </x:c>
      <x:c r="D331" s="30" t="str">
        <x:v>Document Review</x:v>
      </x:c>
      <x:c r="E331" s="30" t="str">
        <x:v>Annual</x:v>
      </x:c>
      <x:c r="F331" s="30" t="str">
        <x:v>CORE</x:v>
      </x:c>
      <x:c r="G331" s="30" t="str">
        <x:v>Personnel Competency</x:v>
      </x:c>
      <x:c r="H331" s="30" t="str">
        <x:v>No</x:v>
      </x:c>
      <x:c r="I331" s="30" t="str">
        <x:v>P-4 QUARANTINED with inactive parent compliance; legacy ID retained.</x:v>
      </x:c>
    </x:row>
    <x:row r="332">
      <x:c r="A332" s="30" t="str">
        <x:v>AUD331</x:v>
      </x:c>
      <x:c r="B332" s="30" t="str">
        <x:v>COMP159</x:v>
      </x:c>
      <x:c r="C332" s="30" t="str">
        <x:v>Interview waste handling personnel regarding waste segregation procedures.</x:v>
      </x:c>
      <x:c r="D332" s="30" t="str">
        <x:v>Interview</x:v>
      </x:c>
      <x:c r="E332" s="30" t="str">
        <x:v>Annual</x:v>
      </x:c>
      <x:c r="F332" s="30" t="str">
        <x:v>CORE</x:v>
      </x:c>
      <x:c r="G332" s="30" t="str">
        <x:v>Personnel Competency</x:v>
      </x:c>
      <x:c r="H332" s="30" t="str">
        <x:v>No</x:v>
      </x:c>
      <x:c r="I332" s="30" t="str">
        <x:v>P-4 QUARANTINED with inactive parent compliance; legacy ID retained.</x:v>
      </x:c>
    </x:row>
    <x:row r="333">
      <x:c r="A333" s="30" t="str">
        <x:v>AUD332</x:v>
      </x:c>
      <x:c r="B333" s="30" t="str">
        <x:v>COMP160</x:v>
      </x:c>
      <x:c r="C333" s="30" t="str">
        <x:v>Verify that spill management procedures are available and implemented.</x:v>
      </x:c>
      <x:c r="D333" s="30" t="str">
        <x:v>Physical Inspection</x:v>
      </x:c>
      <x:c r="E333" s="30" t="str">
        <x:v>Quarterly</x:v>
      </x:c>
      <x:c r="F333" s="30" t="str">
        <x:v>CORE</x:v>
      </x:c>
      <x:c r="G333" s="30" t="str">
        <x:v>SOP &amp; Training</x:v>
      </x:c>
      <x:c r="H333" s="30" t="str">
        <x:v>No</x:v>
      </x:c>
      <x:c r="I333" s="30" t="str">
        <x:v>P-4 QUARANTINED with inactive parent compliance; legacy ID retained.</x:v>
      </x:c>
    </x:row>
    <x:row r="334">
      <x:c r="A334" s="30" t="str">
        <x:v>AUD333</x:v>
      </x:c>
      <x:c r="B334" s="30" t="str">
        <x:v>COMP160</x:v>
      </x:c>
      <x:c r="C334" s="30" t="str">
        <x:v>Conduct walkthrough of spill response procedures.</x:v>
      </x:c>
      <x:c r="D334" s="30" t="str">
        <x:v>Document Review</x:v>
      </x:c>
      <x:c r="E334" s="30" t="str">
        <x:v>Annual</x:v>
      </x:c>
      <x:c r="F334" s="30" t="str">
        <x:v>CORE</x:v>
      </x:c>
      <x:c r="G334" s="30" t="str">
        <x:v>SOP &amp; Training</x:v>
      </x:c>
      <x:c r="H334" s="30" t="str">
        <x:v>No</x:v>
      </x:c>
      <x:c r="I334" s="30" t="str">
        <x:v>P-4 QUARANTINED with inactive parent compliance; legacy ID retained.</x:v>
      </x:c>
    </x:row>
    <x:row r="335">
      <x:c r="A335" s="30" t="str">
        <x:v>AUD334</x:v>
      </x:c>
      <x:c r="B335" s="30" t="str">
        <x:v>COMP161</x:v>
      </x:c>
      <x:c r="C335" s="30" t="str">
        <x:v>Verify that waste disposal incidents are documented and investigated.</x:v>
      </x:c>
      <x:c r="D335" s="30" t="str">
        <x:v>Record Verification</x:v>
      </x:c>
      <x:c r="E335" s="30" t="str">
        <x:v>Event Based</x:v>
      </x:c>
      <x:c r="F335" s="30" t="str">
        <x:v>CORE</x:v>
      </x:c>
      <x:c r="G335" s="30" t="str">
        <x:v>Disposal Controls</x:v>
      </x:c>
      <x:c r="H335" s="30" t="str">
        <x:v>No</x:v>
      </x:c>
      <x:c r="I335" s="30" t="str">
        <x:v>P-4 QUARANTINED with inactive parent compliance; legacy ID retained.</x:v>
      </x:c>
    </x:row>
    <x:row r="336">
      <x:c r="A336" s="30" t="str">
        <x:v>AUD335</x:v>
      </x:c>
      <x:c r="B336" s="30" t="str">
        <x:v>COMP161</x:v>
      </x:c>
      <x:c r="C336" s="30" t="str">
        <x:v>Review investigation reports relating to waste disposal incidents.</x:v>
      </x:c>
      <x:c r="D336" s="30" t="str">
        <x:v>Document Review</x:v>
      </x:c>
      <x:c r="E336" s="30" t="str">
        <x:v>Event Based</x:v>
      </x:c>
      <x:c r="F336" s="30" t="str">
        <x:v>CORE</x:v>
      </x:c>
      <x:c r="G336" s="30" t="str">
        <x:v>Disposal Controls</x:v>
      </x:c>
      <x:c r="H336" s="30" t="str">
        <x:v>No</x:v>
      </x:c>
      <x:c r="I336" s="30" t="str">
        <x:v>P-4 QUARANTINED with inactive parent compliance; legacy ID retained.</x:v>
      </x:c>
    </x:row>
    <x:row r="337">
      <x:c r="A337" s="30" t="str">
        <x:v>AUD336</x:v>
      </x:c>
      <x:c r="B337" s="30" t="str">
        <x:v>COMP162</x:v>
      </x:c>
      <x:c r="C337" s="30" t="str">
        <x:v>Select a sample of relevant transactions or events and interview the responsible person to confirm that deliver pharmacy services in accordance with Pharmacy Practice Regulations.</x:v>
      </x:c>
      <x:c r="D337" s="30" t="str">
        <x:v>Sampling and Interview</x:v>
      </x:c>
      <x:c r="E337" s="30" t="str">
        <x:v>Annual</x:v>
      </x:c>
      <x:c r="F337" s="30" t="str">
        <x:v>CORE</x:v>
      </x:c>
      <x:c r="G337" s="30" t="str">
        <x:v>CA021</x:v>
      </x:c>
      <x:c r="H337" s="30" t="str">
        <x:v>Yes</x:v>
      </x:c>
      <x:c r="I337" s="30" t="str">
        <x:v>P-4 normalized to current parent compliance; legacy Audit ID preserved.</x:v>
      </x:c>
    </x:row>
    <x:row r="338">
      <x:c r="A338" s="30" t="str">
        <x:v>AUD337</x:v>
      </x:c>
      <x:c r="B338" s="30" t="str">
        <x:v>COMP162</x:v>
      </x:c>
      <x:c r="C338" s="30" t="str">
        <x:v>Review the applicable licence, order, register, SOP and a sample of records to verify that deliver pharmacy services in accordance with Pharmacy Practice Regulations.</x:v>
      </x:c>
      <x:c r="D338" s="30" t="str">
        <x:v>Document Review and Sampling</x:v>
      </x:c>
      <x:c r="E338" s="30" t="str">
        <x:v>Annual</x:v>
      </x:c>
      <x:c r="F338" s="30" t="str">
        <x:v>CORE</x:v>
      </x:c>
      <x:c r="G338" s="30" t="str">
        <x:v>CA021</x:v>
      </x:c>
      <x:c r="H338" s="30" t="str">
        <x:v>Yes</x:v>
      </x:c>
      <x:c r="I338" s="30" t="str">
        <x:v>P-4 normalized to current parent compliance; legacy Audit ID preserved.</x:v>
      </x:c>
    </x:row>
    <x:row r="339">
      <x:c r="A339" s="30" t="str">
        <x:v>AUD338</x:v>
      </x:c>
      <x:c r="B339" s="30" t="str">
        <x:v>COMP163</x:v>
      </x:c>
      <x:c r="C339" s="30" t="str">
        <x:v>Select a sample of relevant transactions or events and interview the responsible person to confirm that review prescriptions for legality, completeness and clinical appropriateness before dispensing medicines.</x:v>
      </x:c>
      <x:c r="D339" s="30" t="str">
        <x:v>Sampling and Interview</x:v>
      </x:c>
      <x:c r="E339" s="30" t="str">
        <x:v>Annual</x:v>
      </x:c>
      <x:c r="F339" s="30" t="str">
        <x:v>CORE</x:v>
      </x:c>
      <x:c r="G339" s="30" t="str">
        <x:v>CA015</x:v>
      </x:c>
      <x:c r="H339" s="30" t="str">
        <x:v>Yes</x:v>
      </x:c>
      <x:c r="I339" s="30" t="str">
        <x:v>P-4 normalized to current parent compliance; legacy Audit ID preserved.</x:v>
      </x:c>
    </x:row>
    <x:row r="340">
      <x:c r="A340" s="30" t="str">
        <x:v>AUD339</x:v>
      </x:c>
      <x:c r="B340" s="30" t="str">
        <x:v>COMP163</x:v>
      </x:c>
      <x:c r="C340" s="30" t="str">
        <x:v>Review the applicable licence, order, register, SOP and a sample of records to verify that review prescriptions for legality, completeness and clinical appropriateness before dispensing medicines.</x:v>
      </x:c>
      <x:c r="D340" s="30" t="str">
        <x:v>Document Review and Sampling</x:v>
      </x:c>
      <x:c r="E340" s="30" t="str">
        <x:v>Annual</x:v>
      </x:c>
      <x:c r="F340" s="30" t="str">
        <x:v>CORE</x:v>
      </x:c>
      <x:c r="G340" s="30" t="str">
        <x:v>CA015</x:v>
      </x:c>
      <x:c r="H340" s="30" t="str">
        <x:v>Yes</x:v>
      </x:c>
      <x:c r="I340" s="30" t="str">
        <x:v>P-4 normalized to current parent compliance; legacy Audit ID preserved.</x:v>
      </x:c>
    </x:row>
    <x:row r="341">
      <x:c r="A341" s="30" t="str">
        <x:v>AUD340</x:v>
      </x:c>
      <x:c r="B341" s="30" t="str">
        <x:v>COMP164</x:v>
      </x:c>
      <x:c r="C341" s="30" t="str">
        <x:v>Select a sample of relevant transactions or events and interview the responsible person to confirm that provide appropriate patient counselling regarding dosage, storage, administration and precautions.</x:v>
      </x:c>
      <x:c r="D341" s="30" t="str">
        <x:v>Sampling and Interview</x:v>
      </x:c>
      <x:c r="E341" s="30" t="str">
        <x:v>Annual</x:v>
      </x:c>
      <x:c r="F341" s="30" t="str">
        <x:v>CORE</x:v>
      </x:c>
      <x:c r="G341" s="30" t="str">
        <x:v>CA021</x:v>
      </x:c>
      <x:c r="H341" s="30" t="str">
        <x:v>Yes</x:v>
      </x:c>
      <x:c r="I341" s="30" t="str">
        <x:v>P-4 normalized to current parent compliance; legacy Audit ID preserved.</x:v>
      </x:c>
    </x:row>
    <x:row r="342">
      <x:c r="A342" s="30" t="str">
        <x:v>AUD341</x:v>
      </x:c>
      <x:c r="B342" s="30" t="str">
        <x:v>COMP164</x:v>
      </x:c>
      <x:c r="C342" s="30" t="str">
        <x:v>Review the applicable licence, order, register, SOP and a sample of records to verify that provide appropriate patient counselling regarding dosage, storage, administration and precautions.</x:v>
      </x:c>
      <x:c r="D342" s="30" t="str">
        <x:v>Document Review and Sampling</x:v>
      </x:c>
      <x:c r="E342" s="30" t="str">
        <x:v>Annual</x:v>
      </x:c>
      <x:c r="F342" s="30" t="str">
        <x:v>CORE</x:v>
      </x:c>
      <x:c r="G342" s="30" t="str">
        <x:v>CA021</x:v>
      </x:c>
      <x:c r="H342" s="30" t="str">
        <x:v>Yes</x:v>
      </x:c>
      <x:c r="I342" s="30" t="str">
        <x:v>P-4 normalized to current parent compliance; legacy Audit ID preserved.</x:v>
      </x:c>
    </x:row>
    <x:row r="343">
      <x:c r="A343" s="30" t="str">
        <x:v>AUD342</x:v>
      </x:c>
      <x:c r="B343" s="30" t="str">
        <x:v>COMP165</x:v>
      </x:c>
      <x:c r="C343" s="30" t="str">
        <x:v>Select a sample of relevant transactions or events and interview the responsible person to confirm that maintain confidentiality of patient records and prescription information.</x:v>
      </x:c>
      <x:c r="D343" s="30" t="str">
        <x:v>Sampling and Interview</x:v>
      </x:c>
      <x:c r="E343" s="30" t="str">
        <x:v>Quarterly</x:v>
      </x:c>
      <x:c r="F343" s="30" t="str">
        <x:v>CORE</x:v>
      </x:c>
      <x:c r="G343" s="30" t="str">
        <x:v>CA071</x:v>
      </x:c>
      <x:c r="H343" s="30" t="str">
        <x:v>Yes</x:v>
      </x:c>
      <x:c r="I343" s="30" t="str">
        <x:v>P-4 normalized to current parent compliance; legacy Audit ID preserved.</x:v>
      </x:c>
    </x:row>
    <x:row r="344">
      <x:c r="A344" s="30" t="str">
        <x:v>AUD343</x:v>
      </x:c>
      <x:c r="B344" s="30" t="str">
        <x:v>COMP165</x:v>
      </x:c>
      <x:c r="C344" s="30" t="str">
        <x:v>Review the applicable licence, order, register, SOP and a sample of records to verify that maintain confidentiality of patient records and prescription information.</x:v>
      </x:c>
      <x:c r="D344" s="30" t="str">
        <x:v>Document Review and Sampling</x:v>
      </x:c>
      <x:c r="E344" s="30" t="str">
        <x:v>Quarterly</x:v>
      </x:c>
      <x:c r="F344" s="30" t="str">
        <x:v>CORE</x:v>
      </x:c>
      <x:c r="G344" s="30" t="str">
        <x:v>CA071</x:v>
      </x:c>
      <x:c r="H344" s="30" t="str">
        <x:v>Yes</x:v>
      </x:c>
      <x:c r="I344" s="30" t="str">
        <x:v>P-4 normalized to current parent compliance; legacy Audit ID preserved.</x:v>
      </x:c>
    </x:row>
    <x:row r="345">
      <x:c r="A345" s="30" t="str">
        <x:v>AUD344</x:v>
      </x:c>
      <x:c r="B345" s="30" t="str">
        <x:v>COMP166</x:v>
      </x:c>
      <x:c r="C345" s="30" t="str">
        <x:v>Select a sample of relevant transactions or events and interview the responsible person to confirm that participate in professional development programmes to maintain competency.</x:v>
      </x:c>
      <x:c r="D345" s="30" t="str">
        <x:v>Sampling and Interview</x:v>
      </x:c>
      <x:c r="E345" s="30" t="str">
        <x:v>Annual</x:v>
      </x:c>
      <x:c r="F345" s="30" t="str">
        <x:v>CORE</x:v>
      </x:c>
      <x:c r="G345" s="30" t="str">
        <x:v>CA049</x:v>
      </x:c>
      <x:c r="H345" s="30" t="str">
        <x:v>Yes</x:v>
      </x:c>
      <x:c r="I345" s="30" t="str">
        <x:v>P-4 normalized to current parent compliance; legacy Audit ID preserved.</x:v>
      </x:c>
    </x:row>
    <x:row r="346">
      <x:c r="A346" s="30" t="str">
        <x:v>AUD345</x:v>
      </x:c>
      <x:c r="B346" s="30" t="str">
        <x:v>COMP166</x:v>
      </x:c>
      <x:c r="C346" s="30" t="str">
        <x:v>Review the applicable licence, order, register, SOP and a sample of records to verify that participate in professional development programmes to maintain competency.</x:v>
      </x:c>
      <x:c r="D346" s="30" t="str">
        <x:v>Document Review and Sampling</x:v>
      </x:c>
      <x:c r="E346" s="30" t="str">
        <x:v>Annual</x:v>
      </x:c>
      <x:c r="F346" s="30" t="str">
        <x:v>CORE</x:v>
      </x:c>
      <x:c r="G346" s="30" t="str">
        <x:v>CA049</x:v>
      </x:c>
      <x:c r="H346" s="30" t="str">
        <x:v>Yes</x:v>
      </x:c>
      <x:c r="I346" s="30" t="str">
        <x:v>P-4 normalized to current parent compliance; legacy Audit ID preserved.</x:v>
      </x:c>
    </x:row>
    <x:row r="347">
      <x:c r="A347" s="30" t="str">
        <x:v>AUD346</x:v>
      </x:c>
      <x:c r="B347" s="30" t="str">
        <x:v>COMP167</x:v>
      </x:c>
      <x:c r="C347" s="30" t="str">
        <x:v>Select a sample of relevant transactions or events and interview the responsible person to confirm that obtain clinical-establishment registration before operation where the establishment role and jurisdiction trigger apply.</x:v>
      </x:c>
      <x:c r="D347" s="30" t="str">
        <x:v>Sampling and Interview</x:v>
      </x:c>
      <x:c r="E347" s="30" t="str">
        <x:v>Monthly</x:v>
      </x:c>
      <x:c r="F347" s="30" t="str">
        <x:v>CORE</x:v>
      </x:c>
      <x:c r="G347" s="30" t="str">
        <x:v>CA056</x:v>
      </x:c>
      <x:c r="H347" s="30" t="str">
        <x:v>Yes</x:v>
      </x:c>
      <x:c r="I347" s="30" t="str">
        <x:v>P-4 normalized to current parent compliance; legacy Audit ID preserved.</x:v>
      </x:c>
    </x:row>
    <x:row r="348">
      <x:c r="A348" s="30" t="str">
        <x:v>AUD347</x:v>
      </x:c>
      <x:c r="B348" s="30" t="str">
        <x:v>COMP167</x:v>
      </x:c>
      <x:c r="C348" s="30" t="str">
        <x:v>Review the applicable licence, order, register, SOP and a sample of records to verify that obtain clinical-establishment registration before operation where the establishment role and jurisdiction trigger apply.</x:v>
      </x:c>
      <x:c r="D348" s="30" t="str">
        <x:v>Document Review and Sampling</x:v>
      </x:c>
      <x:c r="E348" s="30" t="str">
        <x:v>Monthly</x:v>
      </x:c>
      <x:c r="F348" s="30" t="str">
        <x:v>CORE</x:v>
      </x:c>
      <x:c r="G348" s="30" t="str">
        <x:v>CA056</x:v>
      </x:c>
      <x:c r="H348" s="30" t="str">
        <x:v>Yes</x:v>
      </x:c>
      <x:c r="I348" s="30" t="str">
        <x:v>P-4 normalized to current parent compliance; legacy Audit ID preserved.</x:v>
      </x:c>
    </x:row>
    <x:row r="349">
      <x:c r="A349" s="30" t="str">
        <x:v>AUD348</x:v>
      </x:c>
      <x:c r="B349" s="30" t="str">
        <x:v>COMP168</x:v>
      </x:c>
      <x:c r="C349" s="30" t="str">
        <x:v>Select a sample of relevant transactions or events and interview the responsible person to confirm that where the clinical-establishment overlay applies, maintain prescribed minimum standards, personnel, records/reporting and emergency-stabilization arrangements.</x:v>
      </x:c>
      <x:c r="D349" s="30" t="str">
        <x:v>Sampling and Interview</x:v>
      </x:c>
      <x:c r="E349" s="30" t="str">
        <x:v>Monthly</x:v>
      </x:c>
      <x:c r="F349" s="30" t="str">
        <x:v>CORE</x:v>
      </x:c>
      <x:c r="G349" s="30" t="str">
        <x:v>CA056</x:v>
      </x:c>
      <x:c r="H349" s="30" t="str">
        <x:v>Yes</x:v>
      </x:c>
      <x:c r="I349" s="30" t="str">
        <x:v>P-4 normalized to current parent compliance; legacy Audit ID preserved.</x:v>
      </x:c>
    </x:row>
    <x:row r="350">
      <x:c r="A350" s="30" t="str">
        <x:v>AUD349</x:v>
      </x:c>
      <x:c r="B350" s="30" t="str">
        <x:v>COMP168</x:v>
      </x:c>
      <x:c r="C350" s="30" t="str">
        <x:v>Review the applicable licence, order, register, SOP and a sample of records to verify that where the clinical-establishment overlay applies, maintain prescribed minimum standards, personnel, records/reporting and emergency-stabilization arrangements.</x:v>
      </x:c>
      <x:c r="D350" s="30" t="str">
        <x:v>Document Review and Sampling</x:v>
      </x:c>
      <x:c r="E350" s="30" t="str">
        <x:v>Monthly</x:v>
      </x:c>
      <x:c r="F350" s="30" t="str">
        <x:v>CORE</x:v>
      </x:c>
      <x:c r="G350" s="30" t="str">
        <x:v>CA056</x:v>
      </x:c>
      <x:c r="H350" s="30" t="str">
        <x:v>Yes</x:v>
      </x:c>
      <x:c r="I350" s="30" t="str">
        <x:v>P-4 normalized to current parent compliance; legacy Audit ID preserved.</x:v>
      </x:c>
    </x:row>
    <x:row r="351">
      <x:c r="A351" s="30" t="str">
        <x:v>AUD350</x:v>
      </x:c>
      <x:c r="B351" s="30" t="str">
        <x:v>COMP169</x:v>
      </x:c>
      <x:c r="C351" s="30" t="str">
        <x:v>Select a sample of relevant transactions or events and interview the responsible person to confirm that display the registration certificate and complete applicable renewal/continuation requirements for the clinical establishment.</x:v>
      </x:c>
      <x:c r="D351" s="30" t="str">
        <x:v>Sampling and Interview</x:v>
      </x:c>
      <x:c r="E351" s="30" t="str">
        <x:v>Event Based</x:v>
      </x:c>
      <x:c r="F351" s="30" t="str">
        <x:v>CORE</x:v>
      </x:c>
      <x:c r="G351" s="30" t="str">
        <x:v>CA020</x:v>
      </x:c>
      <x:c r="H351" s="30" t="str">
        <x:v>Yes</x:v>
      </x:c>
      <x:c r="I351" s="30" t="str">
        <x:v>P-4 normalized to current parent compliance; legacy Audit ID preserved.</x:v>
      </x:c>
    </x:row>
    <x:row r="352">
      <x:c r="A352" s="30" t="str">
        <x:v>AUD351</x:v>
      </x:c>
      <x:c r="B352" s="30" t="str">
        <x:v>COMP169</x:v>
      </x:c>
      <x:c r="C352" s="30" t="str">
        <x:v>Review the applicable licence, order, register, SOP and a sample of records to verify that display the registration certificate and complete applicable renewal/continuation requirements for the clinical establishment.</x:v>
      </x:c>
      <x:c r="D352" s="30" t="str">
        <x:v>Document Review and Sampling</x:v>
      </x:c>
      <x:c r="E352" s="30" t="str">
        <x:v>Quarterly</x:v>
      </x:c>
      <x:c r="F352" s="30" t="str">
        <x:v>CORE</x:v>
      </x:c>
      <x:c r="G352" s="30" t="str">
        <x:v>CA020</x:v>
      </x:c>
      <x:c r="H352" s="30" t="str">
        <x:v>Yes</x:v>
      </x:c>
      <x:c r="I352" s="30" t="str">
        <x:v>P-4 normalized to current parent compliance; legacy Audit ID preserved.</x:v>
      </x:c>
    </x:row>
    <x:row r="353">
      <x:c r="A353" s="30" t="str">
        <x:v>AUD352</x:v>
      </x:c>
      <x:c r="B353" s="30" t="str">
        <x:v>COMP170</x:v>
      </x:c>
      <x:c r="C353" s="30" t="str">
        <x:v>Verify that emergency procedures exist for accidental waste exposure.</x:v>
      </x:c>
      <x:c r="D353" s="30" t="str">
        <x:v>Document Review</x:v>
      </x:c>
      <x:c r="E353" s="30" t="str">
        <x:v>Annual</x:v>
      </x:c>
      <x:c r="F353" s="30" t="str">
        <x:v>CORE</x:v>
      </x:c>
      <x:c r="G353" s="30" t="str">
        <x:v>Disposal Controls</x:v>
      </x:c>
      <x:c r="H353" s="30" t="str">
        <x:v>No</x:v>
      </x:c>
      <x:c r="I353" s="30" t="str">
        <x:v>P-4 QUARANTINED with inactive parent compliance; legacy ID retained.</x:v>
      </x:c>
    </x:row>
    <x:row r="354">
      <x:c r="A354" s="30" t="str">
        <x:v>AUD353</x:v>
      </x:c>
      <x:c r="B354" s="30" t="str">
        <x:v>COMP170</x:v>
      </x:c>
      <x:c r="C354" s="30" t="str">
        <x:v>Observe emergency preparedness arrangements for waste-related incidents.</x:v>
      </x:c>
      <x:c r="D354" s="30" t="str">
        <x:v>Observation</x:v>
      </x:c>
      <x:c r="E354" s="30" t="str">
        <x:v>Annual</x:v>
      </x:c>
      <x:c r="F354" s="30" t="str">
        <x:v>CORE</x:v>
      </x:c>
      <x:c r="G354" s="30" t="str">
        <x:v>Disposal Controls</x:v>
      </x:c>
      <x:c r="H354" s="30" t="str">
        <x:v>No</x:v>
      </x:c>
      <x:c r="I354" s="30" t="str">
        <x:v>P-4 QUARANTINED with inactive parent compliance; legacy ID retained.</x:v>
      </x:c>
    </x:row>
    <x:row r="355">
      <x:c r="A355" s="30" t="str">
        <x:v>AUD354</x:v>
      </x:c>
      <x:c r="B355" s="30" t="str">
        <x:v>COMP171</x:v>
      </x:c>
      <x:c r="C355" s="30" t="str">
        <x:v>Verify that management periodically reviews waste management performance.</x:v>
      </x:c>
      <x:c r="D355" s="30" t="str">
        <x:v>Document Review</x:v>
      </x:c>
      <x:c r="E355" s="30" t="str">
        <x:v>Quarterly</x:v>
      </x:c>
      <x:c r="F355" s="30" t="str">
        <x:v>CORE</x:v>
      </x:c>
      <x:c r="G355" s="30" t="str">
        <x:v>Disposal Controls</x:v>
      </x:c>
      <x:c r="H355" s="30" t="str">
        <x:v>No</x:v>
      </x:c>
      <x:c r="I355" s="30" t="str">
        <x:v>P-4 QUARANTINED with inactive parent compliance; legacy ID retained.</x:v>
      </x:c>
    </x:row>
    <x:row r="356">
      <x:c r="A356" s="30" t="str">
        <x:v>AUD355</x:v>
      </x:c>
      <x:c r="B356" s="30" t="str">
        <x:v>COMP171</x:v>
      </x:c>
      <x:c r="C356" s="30" t="str">
        <x:v>Review management action plans relating to waste compliance.</x:v>
      </x:c>
      <x:c r="D356" s="30" t="str">
        <x:v>Record Verification</x:v>
      </x:c>
      <x:c r="E356" s="30" t="str">
        <x:v>Quarterly</x:v>
      </x:c>
      <x:c r="F356" s="30" t="str">
        <x:v>CORE</x:v>
      </x:c>
      <x:c r="G356" s="30" t="str">
        <x:v>Disposal Controls</x:v>
      </x:c>
      <x:c r="H356" s="30" t="str">
        <x:v>No</x:v>
      </x:c>
      <x:c r="I356" s="30" t="str">
        <x:v>P-4 QUARANTINED with inactive parent compliance; legacy ID retained.</x:v>
      </x:c>
    </x:row>
    <x:row r="357">
      <x:c r="A357" s="30" t="str">
        <x:v>AUD356</x:v>
      </x:c>
      <x:c r="B357" s="30" t="str">
        <x:v>COMP172</x:v>
      </x:c>
      <x:c r="C357" s="30" t="str">
        <x:v>Verify that electronic waste management records are protected against unauthorized modification.</x:v>
      </x:c>
      <x:c r="D357" s="30" t="str">
        <x:v>System Verification</x:v>
      </x:c>
      <x:c r="E357" s="30" t="str">
        <x:v>Quarterly</x:v>
      </x:c>
      <x:c r="F357" s="30" t="str">
        <x:v>CORE</x:v>
      </x:c>
      <x:c r="G357" s="30" t="str">
        <x:v>Disposal Controls</x:v>
      </x:c>
      <x:c r="H357" s="30" t="str">
        <x:v>No</x:v>
      </x:c>
      <x:c r="I357" s="30" t="str">
        <x:v>P-4 QUARANTINED with inactive parent compliance; legacy ID retained.</x:v>
      </x:c>
    </x:row>
    <x:row r="358">
      <x:c r="A358" s="30" t="str">
        <x:v>AUD357</x:v>
      </x:c>
      <x:c r="B358" s="30" t="str">
        <x:v>COMP172</x:v>
      </x:c>
      <x:c r="C358" s="30" t="str">
        <x:v>Review user access logs for waste management systems.</x:v>
      </x:c>
      <x:c r="D358" s="30" t="str">
        <x:v>System Verification</x:v>
      </x:c>
      <x:c r="E358" s="30" t="str">
        <x:v>Quarterly</x:v>
      </x:c>
      <x:c r="F358" s="30" t="str">
        <x:v>CORE</x:v>
      </x:c>
      <x:c r="G358" s="30" t="str">
        <x:v>Digital Controls</x:v>
      </x:c>
      <x:c r="H358" s="30" t="str">
        <x:v>No</x:v>
      </x:c>
      <x:c r="I358" s="30" t="str">
        <x:v>P-4 QUARANTINED with inactive parent compliance; legacy ID retained.</x:v>
      </x:c>
    </x:row>
    <x:row r="359">
      <x:c r="A359" s="30" t="str">
        <x:v>AUD358</x:v>
      </x:c>
      <x:c r="B359" s="30" t="str">
        <x:v>COMP173</x:v>
      </x:c>
      <x:c r="C359" s="30" t="str">
        <x:v>Verify that periodic internal audits evaluate pharmaceutical waste compliance.</x:v>
      </x:c>
      <x:c r="D359" s="30" t="str">
        <x:v>Document Review</x:v>
      </x:c>
      <x:c r="E359" s="30" t="str">
        <x:v>Annual</x:v>
      </x:c>
      <x:c r="F359" s="30" t="str">
        <x:v>CORE</x:v>
      </x:c>
      <x:c r="G359" s="30" t="str">
        <x:v>Disposal Controls</x:v>
      </x:c>
      <x:c r="H359" s="30" t="str">
        <x:v>No</x:v>
      </x:c>
      <x:c r="I359" s="30" t="str">
        <x:v>P-4 QUARANTINED with inactive parent compliance; legacy ID retained.</x:v>
      </x:c>
    </x:row>
    <x:row r="360">
      <x:c r="A360" s="30" t="str">
        <x:v>AUD359</x:v>
      </x:c>
      <x:c r="B360" s="30" t="str">
        <x:v>COMP173</x:v>
      </x:c>
      <x:c r="C360" s="30" t="str">
        <x:v>Review implementation status of audit recommendations.</x:v>
      </x:c>
      <x:c r="D360" s="30" t="str">
        <x:v>Record Verification</x:v>
      </x:c>
      <x:c r="E360" s="30" t="str">
        <x:v>Annual</x:v>
      </x:c>
      <x:c r="F360" s="30" t="str">
        <x:v>CORE</x:v>
      </x:c>
      <x:c r="G360" s="30" t="str">
        <x:v>General Compliance</x:v>
      </x:c>
      <x:c r="H360" s="30" t="str">
        <x:v>No</x:v>
      </x:c>
      <x:c r="I360" s="30" t="str">
        <x:v>P-4 QUARANTINED with inactive parent compliance; legacy ID retained.</x:v>
      </x:c>
    </x:row>
    <x:row r="361">
      <x:c r="A361" s="30" t="str">
        <x:v>AUD360</x:v>
      </x:c>
      <x:c r="B361" s="30" t="str">
        <x:v>COMP174</x:v>
      </x:c>
      <x:c r="C361" s="30" t="str">
        <x:v>Verify that regulatory observations relating to pharmaceutical waste are addressed within prescribed timelines.</x:v>
      </x:c>
      <x:c r="D361" s="30" t="str">
        <x:v>Observation</x:v>
      </x:c>
      <x:c r="E361" s="30" t="str">
        <x:v>Quarterly</x:v>
      </x:c>
      <x:c r="F361" s="30" t="str">
        <x:v>CORE</x:v>
      </x:c>
      <x:c r="G361" s="30" t="str">
        <x:v>Disposal Controls</x:v>
      </x:c>
      <x:c r="H361" s="30" t="str">
        <x:v>No</x:v>
      </x:c>
      <x:c r="I361" s="30" t="str">
        <x:v>P-4 QUARANTINED with inactive parent compliance; legacy ID retained.</x:v>
      </x:c>
    </x:row>
    <x:row r="362">
      <x:c r="A362" s="30" t="str">
        <x:v>AUD361</x:v>
      </x:c>
      <x:c r="B362" s="30" t="str">
        <x:v>COMP174</x:v>
      </x:c>
      <x:c r="C362" s="30" t="str">
        <x:v>Review documentary evidence supporting closure of regulatory observations.</x:v>
      </x:c>
      <x:c r="D362" s="30" t="str">
        <x:v>Observation</x:v>
      </x:c>
      <x:c r="E362" s="30" t="str">
        <x:v>Quarterly</x:v>
      </x:c>
      <x:c r="F362" s="30" t="str">
        <x:v>CORE</x:v>
      </x:c>
      <x:c r="G362" s="30" t="str">
        <x:v>Recordkeeping</x:v>
      </x:c>
      <x:c r="H362" s="30" t="str">
        <x:v>No</x:v>
      </x:c>
      <x:c r="I362" s="30" t="str">
        <x:v>P-4 QUARANTINED with inactive parent compliance; legacy ID retained.</x:v>
      </x:c>
    </x:row>
    <x:row r="363">
      <x:c r="A363" s="30" t="str">
        <x:v>AUD362</x:v>
      </x:c>
      <x:c r="B363" s="30" t="str">
        <x:v>COMP175</x:v>
      </x:c>
      <x:c r="C363" s="30" t="str">
        <x:v>Verify that pharmaceutical waste management complies with applicable legal requirements and internal procedures.</x:v>
      </x:c>
      <x:c r="D363" s="30" t="str">
        <x:v>Document Review</x:v>
      </x:c>
      <x:c r="E363" s="30" t="str">
        <x:v>Annual</x:v>
      </x:c>
      <x:c r="F363" s="30" t="str">
        <x:v>CORE</x:v>
      </x:c>
      <x:c r="G363" s="30" t="str">
        <x:v>Disposal Controls</x:v>
      </x:c>
      <x:c r="H363" s="30" t="str">
        <x:v>No</x:v>
      </x:c>
      <x:c r="I363" s="30" t="str">
        <x:v>P-4 QUARANTINED with inactive parent compliance; legacy ID retained.</x:v>
      </x:c>
    </x:row>
    <x:row r="364">
      <x:c r="A364" s="30" t="str">
        <x:v>AUD363</x:v>
      </x:c>
      <x:c r="B364" s="30" t="str">
        <x:v>COMP175</x:v>
      </x:c>
      <x:c r="C364" s="30" t="str">
        <x:v>Conduct sample testing of pharmaceutical waste disposal records for compliance.</x:v>
      </x:c>
      <x:c r="D364" s="30" t="str">
        <x:v>Sampling</x:v>
      </x:c>
      <x:c r="E364" s="30" t="str">
        <x:v>Quarterly</x:v>
      </x:c>
      <x:c r="F364" s="30" t="str">
        <x:v>CORE</x:v>
      </x:c>
      <x:c r="G364" s="30" t="str">
        <x:v>Disposal Controls</x:v>
      </x:c>
      <x:c r="H364" s="30" t="str">
        <x:v>No</x:v>
      </x:c>
      <x:c r="I364" s="30" t="str">
        <x:v>P-4 QUARANTINED with inactive parent compliance; legacy ID retained.</x:v>
      </x:c>
    </x:row>
    <x:row r="365">
      <x:c r="A365" s="30" t="str">
        <x:v>AUD364</x:v>
      </x:c>
      <x:c r="B365" s="30" t="str">
        <x:v>COMP175</x:v>
      </x:c>
      <x:c r="C365" s="30" t="str">
        <x:v>Reconcile pharmaceutical waste management controls with statutory requirements.</x:v>
      </x:c>
      <x:c r="D365" s="30" t="str">
        <x:v>Reconciliation</x:v>
      </x:c>
      <x:c r="E365" s="30" t="str">
        <x:v>Annual</x:v>
      </x:c>
      <x:c r="F365" s="30" t="str">
        <x:v>CORE</x:v>
      </x:c>
      <x:c r="G365" s="30" t="str">
        <x:v>Disposal Controls</x:v>
      </x:c>
      <x:c r="H365" s="30" t="str">
        <x:v>No</x:v>
      </x:c>
      <x:c r="I365" s="30" t="str">
        <x:v>P-4 QUARANTINED with inactive parent compliance; legacy ID retained.</x:v>
      </x:c>
    </x:row>
    <x:row r="366">
      <x:c r="A366" s="30" t="str">
        <x:v>AUD365</x:v>
      </x:c>
      <x:c r="B366" s="30" t="str">
        <x:v>COMP175</x:v>
      </x:c>
      <x:c r="C366" s="30" t="str">
        <x:v>Validate effectiveness of pharmaceutical waste management controls through independent audit testing.</x:v>
      </x:c>
      <x:c r="D366" s="30" t="str">
        <x:v>Sampling</x:v>
      </x:c>
      <x:c r="E366" s="30" t="str">
        <x:v>Annual</x:v>
      </x:c>
      <x:c r="F366" s="30" t="str">
        <x:v>CORE</x:v>
      </x:c>
      <x:c r="G366" s="30" t="str">
        <x:v>Disposal Controls</x:v>
      </x:c>
      <x:c r="H366" s="30" t="str">
        <x:v>No</x:v>
      </x:c>
      <x:c r="I366" s="30" t="str">
        <x:v>P-4 QUARANTINED with inactive parent compliance; legacy ID retained.</x:v>
      </x:c>
    </x:row>
    <x:row r="367">
      <x:c r="A367" s="30" t="str">
        <x:v>AUD366</x:v>
      </x:c>
      <x:c r="B367" s="30" t="str">
        <x:v>COMP176</x:v>
      </x:c>
      <x:c r="C367" s="30" t="str">
        <x:v>Verify that all pharmacy personnel possess qualifications required for their assigned responsibilities.</x:v>
      </x:c>
      <x:c r="D367" s="30" t="str">
        <x:v>Document Review</x:v>
      </x:c>
      <x:c r="E367" s="30" t="str">
        <x:v>Annual</x:v>
      </x:c>
      <x:c r="F367" s="30" t="str">
        <x:v>CORE</x:v>
      </x:c>
      <x:c r="G367" s="30" t="str">
        <x:v>Personnel Competency</x:v>
      </x:c>
      <x:c r="H367" s="30" t="str">
        <x:v>No</x:v>
      </x:c>
      <x:c r="I367" s="30" t="str">
        <x:v>P-3 QUARANTINED: Generic State/local/permit/reference rows, penalty-only/fabricated DAMR extractions, and future-effective DPDP duties are not current production obligations.</x:v>
      </x:c>
    </x:row>
    <x:row r="368">
      <x:c r="A368" s="30" t="str">
        <x:v>AUD367</x:v>
      </x:c>
      <x:c r="B368" s="30" t="str">
        <x:v>COMP176</x:v>
      </x:c>
      <x:c r="C368" s="30" t="str">
        <x:v>Review personnel qualification records and supporting certificates.</x:v>
      </x:c>
      <x:c r="D368" s="30" t="str">
        <x:v>Record Verification</x:v>
      </x:c>
      <x:c r="E368" s="30" t="str">
        <x:v>Annual</x:v>
      </x:c>
      <x:c r="F368" s="30" t="str">
        <x:v>CORE</x:v>
      </x:c>
      <x:c r="G368" s="30" t="str">
        <x:v>Personnel Competency</x:v>
      </x:c>
      <x:c r="H368" s="30" t="str">
        <x:v>No</x:v>
      </x:c>
      <x:c r="I368" s="30" t="str">
        <x:v>P-3 QUARANTINED: Generic State/local/permit/reference rows, penalty-only/fabricated DAMR extractions, and future-effective DPDP duties are not current production obligations.</x:v>
      </x:c>
    </x:row>
    <x:row r="369">
      <x:c r="A369" s="30" t="str">
        <x:v>AUD368</x:v>
      </x:c>
      <x:c r="B369" s="30" t="str">
        <x:v>COMP177</x:v>
      </x:c>
      <x:c r="C369" s="30" t="str">
        <x:v>Verify that pharmacist registration certificates remain valid throughout the period of employment.</x:v>
      </x:c>
      <x:c r="D369" s="30" t="str">
        <x:v>Document Review</x:v>
      </x:c>
      <x:c r="E369" s="30" t="str">
        <x:v>Annual</x:v>
      </x:c>
      <x:c r="F369" s="30" t="str">
        <x:v>CORE</x:v>
      </x:c>
      <x:c r="G369" s="30" t="str">
        <x:v>Personnel Competency</x:v>
      </x:c>
      <x:c r="H369" s="30" t="str">
        <x:v>No</x:v>
      </x:c>
      <x:c r="I369" s="30" t="str">
        <x:v>P-3 QUARANTINED: Generic State/local/permit/reference rows, penalty-only/fabricated DAMR extractions, and future-effective DPDP duties are not current production obligations.</x:v>
      </x:c>
    </x:row>
    <x:row r="370">
      <x:c r="A370" s="30" t="str">
        <x:v>AUD369</x:v>
      </x:c>
      <x:c r="B370" s="30" t="str">
        <x:v>COMP177</x:v>
      </x:c>
      <x:c r="C370" s="30" t="str">
        <x:v>Cross-check pharmacist registration details with the applicable State Pharmacy Council.</x:v>
      </x:c>
      <x:c r="D370" s="30" t="str">
        <x:v>Record Verification</x:v>
      </x:c>
      <x:c r="E370" s="30" t="str">
        <x:v>Annual</x:v>
      </x:c>
      <x:c r="F370" s="30" t="str">
        <x:v>CORE</x:v>
      </x:c>
      <x:c r="G370" s="30" t="str">
        <x:v>Personnel Competency</x:v>
      </x:c>
      <x:c r="H370" s="30" t="str">
        <x:v>No</x:v>
      </x:c>
      <x:c r="I370" s="30" t="str">
        <x:v>P-3 QUARANTINED: Generic State/local/permit/reference rows, penalty-only/fabricated DAMR extractions, and future-effective DPDP duties are not current production obligations.</x:v>
      </x:c>
    </x:row>
    <x:row r="371">
      <x:c r="A371" s="30" t="str">
        <x:v>AUD370</x:v>
      </x:c>
      <x:c r="B371" s="30" t="str">
        <x:v>COMP178</x:v>
      </x:c>
      <x:c r="C371" s="30" t="str">
        <x:v>Verify that appointment letters clearly define regulatory responsibilities of pharmacy personnel.</x:v>
      </x:c>
      <x:c r="D371" s="30" t="str">
        <x:v>Document Review</x:v>
      </x:c>
      <x:c r="E371" s="30" t="str">
        <x:v>Annual</x:v>
      </x:c>
      <x:c r="F371" s="30" t="str">
        <x:v>CORE</x:v>
      </x:c>
      <x:c r="G371" s="30" t="str">
        <x:v>Personnel Competency</x:v>
      </x:c>
      <x:c r="H371" s="30" t="str">
        <x:v>No</x:v>
      </x:c>
      <x:c r="I371" s="30" t="str">
        <x:v>P-3 QUARANTINED: Generic State/local/permit/reference rows, penalty-only/fabricated DAMR extractions, and future-effective DPDP duties are not current production obligations.</x:v>
      </x:c>
    </x:row>
    <x:row r="372">
      <x:c r="A372" s="30" t="str">
        <x:v>AUD371</x:v>
      </x:c>
      <x:c r="B372" s="30" t="str">
        <x:v>COMP178</x:v>
      </x:c>
      <x:c r="C372" s="30" t="str">
        <x:v>Review personnel files for signed employment documentation.</x:v>
      </x:c>
      <x:c r="D372" s="30" t="str">
        <x:v>Record Verification</x:v>
      </x:c>
      <x:c r="E372" s="30" t="str">
        <x:v>Annual</x:v>
      </x:c>
      <x:c r="F372" s="30" t="str">
        <x:v>CORE</x:v>
      </x:c>
      <x:c r="G372" s="30" t="str">
        <x:v>Personnel Competency</x:v>
      </x:c>
      <x:c r="H372" s="30" t="str">
        <x:v>No</x:v>
      </x:c>
      <x:c r="I372" s="30" t="str">
        <x:v>P-3 QUARANTINED: Generic State/local/permit/reference rows, penalty-only/fabricated DAMR extractions, and future-effective DPDP duties are not current production obligations.</x:v>
      </x:c>
    </x:row>
    <x:row r="373">
      <x:c r="A373" s="30" t="str">
        <x:v>AUD372</x:v>
      </x:c>
      <x:c r="B373" s="30" t="str">
        <x:v>COMP179</x:v>
      </x:c>
      <x:c r="C373" s="30" t="str">
        <x:v>Verify that induction training is provided before employees perform pharmacy-related duties.</x:v>
      </x:c>
      <x:c r="D373" s="30" t="str">
        <x:v>Document Review</x:v>
      </x:c>
      <x:c r="E373" s="30" t="str">
        <x:v>As Applicable</x:v>
      </x:c>
      <x:c r="F373" s="30" t="str">
        <x:v>CORE</x:v>
      </x:c>
      <x:c r="G373" s="30" t="str">
        <x:v>SOP &amp; Training</x:v>
      </x:c>
      <x:c r="H373" s="30" t="str">
        <x:v>No</x:v>
      </x:c>
      <x:c r="I373" s="30" t="str">
        <x:v>P-3 QUARANTINED: Generic State/local/permit/reference rows, penalty-only/fabricated DAMR extractions, and future-effective DPDP duties are not current production obligations.</x:v>
      </x:c>
    </x:row>
    <x:row r="374">
      <x:c r="A374" s="30" t="str">
        <x:v>AUD373</x:v>
      </x:c>
      <x:c r="B374" s="30" t="str">
        <x:v>COMP179</x:v>
      </x:c>
      <x:c r="C374" s="30" t="str">
        <x:v>Review induction training attendance records.</x:v>
      </x:c>
      <x:c r="D374" s="30" t="str">
        <x:v>Record Verification</x:v>
      </x:c>
      <x:c r="E374" s="30" t="str">
        <x:v>As Applicable</x:v>
      </x:c>
      <x:c r="F374" s="30" t="str">
        <x:v>CORE</x:v>
      </x:c>
      <x:c r="G374" s="30" t="str">
        <x:v>SOP &amp; Training</x:v>
      </x:c>
      <x:c r="H374" s="30" t="str">
        <x:v>No</x:v>
      </x:c>
      <x:c r="I374" s="30" t="str">
        <x:v>P-3 QUARANTINED: Generic State/local/permit/reference rows, penalty-only/fabricated DAMR extractions, and future-effective DPDP duties are not current production obligations.</x:v>
      </x:c>
    </x:row>
    <x:row r="375">
      <x:c r="A375" s="30" t="str">
        <x:v>AUD374</x:v>
      </x:c>
      <x:c r="B375" s="30" t="str">
        <x:v>COMP180</x:v>
      </x:c>
      <x:c r="C375" s="30" t="str">
        <x:v>Verify that periodic regulatory compliance training is conducted for pharmacy staff.</x:v>
      </x:c>
      <x:c r="D375" s="30" t="str">
        <x:v>Document Review</x:v>
      </x:c>
      <x:c r="E375" s="30" t="str">
        <x:v>Annual</x:v>
      </x:c>
      <x:c r="F375" s="30" t="str">
        <x:v>CORE</x:v>
      </x:c>
      <x:c r="G375" s="30" t="str">
        <x:v>Personnel Competency</x:v>
      </x:c>
      <x:c r="H375" s="30" t="str">
        <x:v>No</x:v>
      </x:c>
      <x:c r="I375" s="30" t="str">
        <x:v>P-3 QUARANTINED: Generic State/local/permit/reference rows, penalty-only/fabricated DAMR extractions, and future-effective DPDP duties are not current production obligations.</x:v>
      </x:c>
    </x:row>
    <x:row r="376">
      <x:c r="A376" s="30" t="str">
        <x:v>AUD375</x:v>
      </x:c>
      <x:c r="B376" s="30" t="str">
        <x:v>COMP180</x:v>
      </x:c>
      <x:c r="C376" s="30" t="str">
        <x:v>Review training attendance records and competency assessments.</x:v>
      </x:c>
      <x:c r="D376" s="30" t="str">
        <x:v>Record Verification</x:v>
      </x:c>
      <x:c r="E376" s="30" t="str">
        <x:v>Annual</x:v>
      </x:c>
      <x:c r="F376" s="30" t="str">
        <x:v>CORE</x:v>
      </x:c>
      <x:c r="G376" s="30" t="str">
        <x:v>Personnel Competency</x:v>
      </x:c>
      <x:c r="H376" s="30" t="str">
        <x:v>No</x:v>
      </x:c>
      <x:c r="I376" s="30" t="str">
        <x:v>P-3 QUARANTINED: Generic State/local/permit/reference rows, penalty-only/fabricated DAMR extractions, and future-effective DPDP duties are not current production obligations.</x:v>
      </x:c>
    </x:row>
    <x:row r="377">
      <x:c r="A377" s="30" t="str">
        <x:v>AUD376</x:v>
      </x:c>
      <x:c r="B377" s="30" t="str">
        <x:v>COMP181</x:v>
      </x:c>
      <x:c r="C377" s="30" t="str">
        <x:v>Verify that Standard Operating Procedures (SOPs) are communicated to all relevant personnel.</x:v>
      </x:c>
      <x:c r="D377" s="30" t="str">
        <x:v>Document Review</x:v>
      </x:c>
      <x:c r="E377" s="30" t="str">
        <x:v>Annual</x:v>
      </x:c>
      <x:c r="F377" s="30" t="str">
        <x:v>CORE</x:v>
      </x:c>
      <x:c r="G377" s="30" t="str">
        <x:v>Personnel Competency</x:v>
      </x:c>
      <x:c r="H377" s="30" t="str">
        <x:v>No</x:v>
      </x:c>
      <x:c r="I377" s="30" t="str">
        <x:v>P-3 QUARANTINED: Generic State/local/permit/reference rows, penalty-only/fabricated DAMR extractions, and future-effective DPDP duties are not current production obligations.</x:v>
      </x:c>
    </x:row>
    <x:row r="378">
      <x:c r="A378" s="30" t="str">
        <x:v>AUD377</x:v>
      </x:c>
      <x:c r="B378" s="30" t="str">
        <x:v>COMP181</x:v>
      </x:c>
      <x:c r="C378" s="30" t="str">
        <x:v>Interview employees regarding key SOP requirements.</x:v>
      </x:c>
      <x:c r="D378" s="30" t="str">
        <x:v>Interview</x:v>
      </x:c>
      <x:c r="E378" s="30" t="str">
        <x:v>Annual</x:v>
      </x:c>
      <x:c r="F378" s="30" t="str">
        <x:v>CORE</x:v>
      </x:c>
      <x:c r="G378" s="30" t="str">
        <x:v>SOP &amp; Training</x:v>
      </x:c>
      <x:c r="H378" s="30" t="str">
        <x:v>No</x:v>
      </x:c>
      <x:c r="I378" s="30" t="str">
        <x:v>P-3 QUARANTINED: Generic State/local/permit/reference rows, penalty-only/fabricated DAMR extractions, and future-effective DPDP duties are not current production obligations.</x:v>
      </x:c>
    </x:row>
    <x:row r="379">
      <x:c r="A379" s="30" t="str">
        <x:v>AUD378</x:v>
      </x:c>
      <x:c r="B379" s="30" t="str">
        <x:v>COMP182</x:v>
      </x:c>
      <x:c r="C379" s="30" t="str">
        <x:v>Verify that competency evaluations are conducted after regulatory training.</x:v>
      </x:c>
      <x:c r="D379" s="30" t="str">
        <x:v>Document Review</x:v>
      </x:c>
      <x:c r="E379" s="30" t="str">
        <x:v>Annual</x:v>
      </x:c>
      <x:c r="F379" s="30" t="str">
        <x:v>CORE</x:v>
      </x:c>
      <x:c r="G379" s="30" t="str">
        <x:v>Personnel Competency</x:v>
      </x:c>
      <x:c r="H379" s="30" t="str">
        <x:v>No</x:v>
      </x:c>
      <x:c r="I379" s="30" t="str">
        <x:v>P-3 QUARANTINED: Generic State/local/permit/reference rows, penalty-only/fabricated DAMR extractions, and future-effective DPDP duties are not current production obligations.</x:v>
      </x:c>
    </x:row>
    <x:row r="380">
      <x:c r="A380" s="30" t="str">
        <x:v>AUD379</x:v>
      </x:c>
      <x:c r="B380" s="30" t="str">
        <x:v>COMP182</x:v>
      </x:c>
      <x:c r="C380" s="30" t="str">
        <x:v>Review competency assessment results and corrective actions.</x:v>
      </x:c>
      <x:c r="D380" s="30" t="str">
        <x:v>Record Verification</x:v>
      </x:c>
      <x:c r="E380" s="30" t="str">
        <x:v>Annual</x:v>
      </x:c>
      <x:c r="F380" s="30" t="str">
        <x:v>CORE</x:v>
      </x:c>
      <x:c r="G380" s="30" t="str">
        <x:v>Personnel Competency</x:v>
      </x:c>
      <x:c r="H380" s="30" t="str">
        <x:v>No</x:v>
      </x:c>
      <x:c r="I380" s="30" t="str">
        <x:v>P-3 QUARANTINED: Generic State/local/permit/reference rows, penalty-only/fabricated DAMR extractions, and future-effective DPDP duties are not current production obligations.</x:v>
      </x:c>
    </x:row>
    <x:row r="381">
      <x:c r="A381" s="30" t="str">
        <x:v>AUD380</x:v>
      </x:c>
      <x:c r="B381" s="30" t="str">
        <x:v>COMP183</x:v>
      </x:c>
      <x:c r="C381" s="30" t="str">
        <x:v>Verify that continuing professional education requirements are fulfilled where applicable.</x:v>
      </x:c>
      <x:c r="D381" s="30" t="str">
        <x:v>Document Review</x:v>
      </x:c>
      <x:c r="E381" s="30" t="str">
        <x:v>Annual</x:v>
      </x:c>
      <x:c r="F381" s="30" t="str">
        <x:v>CORE</x:v>
      </x:c>
      <x:c r="G381" s="30" t="str">
        <x:v>General Compliance</x:v>
      </x:c>
      <x:c r="H381" s="30" t="str">
        <x:v>No</x:v>
      </x:c>
      <x:c r="I381" s="30" t="str">
        <x:v>P-3 QUARANTINED: Generic State/local/permit/reference rows, penalty-only/fabricated DAMR extractions, and future-effective DPDP duties are not current production obligations.</x:v>
      </x:c>
    </x:row>
    <x:row r="382">
      <x:c r="A382" s="30" t="str">
        <x:v>AUD381</x:v>
      </x:c>
      <x:c r="B382" s="30" t="str">
        <x:v>COMP183</x:v>
      </x:c>
      <x:c r="C382" s="30" t="str">
        <x:v>Review records of continuing education programs attended by pharmacists.</x:v>
      </x:c>
      <x:c r="D382" s="30" t="str">
        <x:v>Record Verification</x:v>
      </x:c>
      <x:c r="E382" s="30" t="str">
        <x:v>Annual</x:v>
      </x:c>
      <x:c r="F382" s="30" t="str">
        <x:v>CORE</x:v>
      </x:c>
      <x:c r="G382" s="30" t="str">
        <x:v>Personnel Competency</x:v>
      </x:c>
      <x:c r="H382" s="30" t="str">
        <x:v>No</x:v>
      </x:c>
      <x:c r="I382" s="30" t="str">
        <x:v>P-3 QUARANTINED: Generic State/local/permit/reference rows, penalty-only/fabricated DAMR extractions, and future-effective DPDP duties are not current production obligations.</x:v>
      </x:c>
    </x:row>
    <x:row r="383">
      <x:c r="A383" s="30" t="str">
        <x:v>AUD382</x:v>
      </x:c>
      <x:c r="B383" s="30" t="str">
        <x:v>COMP184</x:v>
      </x:c>
      <x:c r="C383" s="30" t="str">
        <x:v>Verify that employee attendance records support pharmacist supervision requirements.</x:v>
      </x:c>
      <x:c r="D383" s="30" t="str">
        <x:v>Record Verification</x:v>
      </x:c>
      <x:c r="E383" s="30" t="str">
        <x:v>Monthly</x:v>
      </x:c>
      <x:c r="F383" s="30" t="str">
        <x:v>CORE</x:v>
      </x:c>
      <x:c r="G383" s="30" t="str">
        <x:v>Personnel Competency</x:v>
      </x:c>
      <x:c r="H383" s="30" t="str">
        <x:v>No</x:v>
      </x:c>
      <x:c r="I383" s="30" t="str">
        <x:v>P-3 QUARANTINED: Generic State/local/permit/reference rows, penalty-only/fabricated DAMR extractions, and future-effective DPDP duties are not current production obligations.</x:v>
      </x:c>
    </x:row>
    <x:row r="384">
      <x:c r="A384" s="30" t="str">
        <x:v>AUD383</x:v>
      </x:c>
      <x:c r="B384" s="30" t="str">
        <x:v>COMP184</x:v>
      </x:c>
      <x:c r="C384" s="30" t="str">
        <x:v>Reconcile attendance records with pharmacy operating hours.</x:v>
      </x:c>
      <x:c r="D384" s="30" t="str">
        <x:v>Reconciliation</x:v>
      </x:c>
      <x:c r="E384" s="30" t="str">
        <x:v>Monthly</x:v>
      </x:c>
      <x:c r="F384" s="30" t="str">
        <x:v>CORE</x:v>
      </x:c>
      <x:c r="G384" s="30" t="str">
        <x:v>Recordkeeping</x:v>
      </x:c>
      <x:c r="H384" s="30" t="str">
        <x:v>No</x:v>
      </x:c>
      <x:c r="I384" s="30" t="str">
        <x:v>P-3 QUARANTINED: Generic State/local/permit/reference rows, penalty-only/fabricated DAMR extractions, and future-effective DPDP duties are not current production obligations.</x:v>
      </x:c>
    </x:row>
    <x:row r="385">
      <x:c r="A385" s="30" t="str">
        <x:v>AUD384</x:v>
      </x:c>
      <x:c r="B385" s="30" t="str">
        <x:v>COMP185</x:v>
      </x:c>
      <x:c r="C385" s="30" t="str">
        <x:v>Verify that staffing levels are adequate to ensure regulatory compliance.</x:v>
      </x:c>
      <x:c r="D385" s="30" t="str">
        <x:v>Observation</x:v>
      </x:c>
      <x:c r="E385" s="30" t="str">
        <x:v>Quarterly</x:v>
      </x:c>
      <x:c r="F385" s="30" t="str">
        <x:v>CORE</x:v>
      </x:c>
      <x:c r="G385" s="30" t="str">
        <x:v>Personnel Competency</x:v>
      </x:c>
      <x:c r="H385" s="30" t="str">
        <x:v>No</x:v>
      </x:c>
      <x:c r="I385" s="30" t="str">
        <x:v>P-3 QUARANTINED: Generic State/local/permit/reference rows, penalty-only/fabricated DAMR extractions, and future-effective DPDP duties are not current production obligations.</x:v>
      </x:c>
    </x:row>
    <x:row r="386">
      <x:c r="A386" s="30" t="str">
        <x:v>AUD385</x:v>
      </x:c>
      <x:c r="B386" s="30" t="str">
        <x:v>COMP185</x:v>
      </x:c>
      <x:c r="C386" s="30" t="str">
        <x:v>Review manpower planning and staffing approvals.</x:v>
      </x:c>
      <x:c r="D386" s="30" t="str">
        <x:v>Document Review</x:v>
      </x:c>
      <x:c r="E386" s="30" t="str">
        <x:v>Annual</x:v>
      </x:c>
      <x:c r="F386" s="30" t="str">
        <x:v>CORE</x:v>
      </x:c>
      <x:c r="G386" s="30" t="str">
        <x:v>Personnel Competency</x:v>
      </x:c>
      <x:c r="H386" s="30" t="str">
        <x:v>No</x:v>
      </x:c>
      <x:c r="I386" s="30" t="str">
        <x:v>P-3 QUARANTINED: Generic State/local/permit/reference rows, penalty-only/fabricated DAMR extractions, and future-effective DPDP duties are not current production obligations.</x:v>
      </x:c>
    </x:row>
    <x:row r="387">
      <x:c r="A387" s="30" t="str">
        <x:v>AUD386</x:v>
      </x:c>
      <x:c r="B387" s="30" t="str">
        <x:v>COMP186</x:v>
      </x:c>
      <x:c r="C387" s="30" t="str">
        <x:v>Verify that temporary or contract personnel meet qualification requirements before deployment.</x:v>
      </x:c>
      <x:c r="D387" s="30" t="str">
        <x:v>Document Review</x:v>
      </x:c>
      <x:c r="E387" s="30" t="str">
        <x:v>As Applicable</x:v>
      </x:c>
      <x:c r="F387" s="30" t="str">
        <x:v>CORE</x:v>
      </x:c>
      <x:c r="G387" s="30" t="str">
        <x:v>Personnel Competency</x:v>
      </x:c>
      <x:c r="H387" s="30" t="str">
        <x:v>No</x:v>
      </x:c>
      <x:c r="I387" s="30" t="str">
        <x:v>P-3 QUARANTINED: Generic State/local/permit/reference rows, penalty-only/fabricated DAMR extractions, and future-effective DPDP duties are not current production obligations.</x:v>
      </x:c>
    </x:row>
    <x:row r="388">
      <x:c r="A388" s="30" t="str">
        <x:v>AUD387</x:v>
      </x:c>
      <x:c r="B388" s="30" t="str">
        <x:v>COMP186</x:v>
      </x:c>
      <x:c r="C388" s="30" t="str">
        <x:v>Review authorization records for temporary personnel.</x:v>
      </x:c>
      <x:c r="D388" s="30" t="str">
        <x:v>Record Verification</x:v>
      </x:c>
      <x:c r="E388" s="30" t="str">
        <x:v>As Applicable</x:v>
      </x:c>
      <x:c r="F388" s="30" t="str">
        <x:v>CORE</x:v>
      </x:c>
      <x:c r="G388" s="30" t="str">
        <x:v>Personnel Competency</x:v>
      </x:c>
      <x:c r="H388" s="30" t="str">
        <x:v>No</x:v>
      </x:c>
      <x:c r="I388" s="30" t="str">
        <x:v>P-3 QUARANTINED: Generic State/local/permit/reference rows, penalty-only/fabricated DAMR extractions, and future-effective DPDP duties are not current production obligations.</x:v>
      </x:c>
    </x:row>
    <x:row r="389">
      <x:c r="A389" s="30" t="str">
        <x:v>AUD388</x:v>
      </x:c>
      <x:c r="B389" s="30" t="str">
        <x:v>COMP187</x:v>
      </x:c>
      <x:c r="C389" s="30" t="str">
        <x:v>Verify that conflicts of interest relating to pharmacy personnel are disclosed where required.</x:v>
      </x:c>
      <x:c r="D389" s="30" t="str">
        <x:v>Document Review</x:v>
      </x:c>
      <x:c r="E389" s="30" t="str">
        <x:v>Annual</x:v>
      </x:c>
      <x:c r="F389" s="30" t="str">
        <x:v>CORE</x:v>
      </x:c>
      <x:c r="G389" s="30" t="str">
        <x:v>Personnel Competency</x:v>
      </x:c>
      <x:c r="H389" s="30" t="str">
        <x:v>No</x:v>
      </x:c>
      <x:c r="I389" s="30" t="str">
        <x:v>P-3 QUARANTINED: Generic State/local/permit/reference rows, penalty-only/fabricated DAMR extractions, and future-effective DPDP duties are not current production obligations.</x:v>
      </x:c>
    </x:row>
    <x:row r="390">
      <x:c r="A390" s="30" t="str">
        <x:v>AUD389</x:v>
      </x:c>
      <x:c r="B390" s="30" t="str">
        <x:v>COMP187</x:v>
      </x:c>
      <x:c r="C390" s="30" t="str">
        <x:v>Review conflict of interest declarations and approvals.</x:v>
      </x:c>
      <x:c r="D390" s="30" t="str">
        <x:v>Record Verification</x:v>
      </x:c>
      <x:c r="E390" s="30" t="str">
        <x:v>Annual</x:v>
      </x:c>
      <x:c r="F390" s="30" t="str">
        <x:v>CORE</x:v>
      </x:c>
      <x:c r="G390" s="30" t="str">
        <x:v>General Compliance</x:v>
      </x:c>
      <x:c r="H390" s="30" t="str">
        <x:v>No</x:v>
      </x:c>
      <x:c r="I390" s="30" t="str">
        <x:v>P-3 QUARANTINED: Generic State/local/permit/reference rows, penalty-only/fabricated DAMR extractions, and future-effective DPDP duties are not current production obligations.</x:v>
      </x:c>
    </x:row>
    <x:row r="391">
      <x:c r="A391" s="30" t="str">
        <x:v>AUD390</x:v>
      </x:c>
      <x:c r="B391" s="30" t="str">
        <x:v>COMP188</x:v>
      </x:c>
      <x:c r="C391" s="30" t="str">
        <x:v>Verify that disciplinary actions relating to regulatory violations are documented appropriately.</x:v>
      </x:c>
      <x:c r="D391" s="30" t="str">
        <x:v>Record Verification</x:v>
      </x:c>
      <x:c r="E391" s="30" t="str">
        <x:v>Event Based</x:v>
      </x:c>
      <x:c r="F391" s="30" t="str">
        <x:v>CORE</x:v>
      </x:c>
      <x:c r="G391" s="30" t="str">
        <x:v>Recordkeeping</x:v>
      </x:c>
      <x:c r="H391" s="30" t="str">
        <x:v>No</x:v>
      </x:c>
      <x:c r="I391" s="30" t="str">
        <x:v>P-3 QUARANTINED: Generic State/local/permit/reference rows, penalty-only/fabricated DAMR extractions, and future-effective DPDP duties are not current production obligations.</x:v>
      </x:c>
    </x:row>
    <x:row r="392">
      <x:c r="A392" s="30" t="str">
        <x:v>AUD391</x:v>
      </x:c>
      <x:c r="B392" s="30" t="str">
        <x:v>COMP188</x:v>
      </x:c>
      <x:c r="C392" s="30" t="str">
        <x:v>Review disciplinary investigation reports and corrective actions.</x:v>
      </x:c>
      <x:c r="D392" s="30" t="str">
        <x:v>Document Review</x:v>
      </x:c>
      <x:c r="E392" s="30" t="str">
        <x:v>Event Based</x:v>
      </x:c>
      <x:c r="F392" s="30" t="str">
        <x:v>CORE</x:v>
      </x:c>
      <x:c r="G392" s="30" t="str">
        <x:v>General Compliance</x:v>
      </x:c>
      <x:c r="H392" s="30" t="str">
        <x:v>No</x:v>
      </x:c>
      <x:c r="I392" s="30" t="str">
        <x:v>P-3 QUARANTINED: Generic State/local/permit/reference rows, penalty-only/fabricated DAMR extractions, and future-effective DPDP duties are not current production obligations.</x:v>
      </x:c>
    </x:row>
    <x:row r="393">
      <x:c r="A393" s="30" t="str">
        <x:v>AUD392</x:v>
      </x:c>
      <x:c r="B393" s="30" t="str">
        <x:v>COMP189</x:v>
      </x:c>
      <x:c r="C393" s="30" t="str">
        <x:v>Verify that employee medical fitness requirements are complied with where applicable.</x:v>
      </x:c>
      <x:c r="D393" s="30" t="str">
        <x:v>Document Review</x:v>
      </x:c>
      <x:c r="E393" s="30" t="str">
        <x:v>Annual</x:v>
      </x:c>
      <x:c r="F393" s="30" t="str">
        <x:v>CORE</x:v>
      </x:c>
      <x:c r="G393" s="30" t="str">
        <x:v>General Compliance</x:v>
      </x:c>
      <x:c r="H393" s="30" t="str">
        <x:v>No</x:v>
      </x:c>
      <x:c r="I393" s="30" t="str">
        <x:v>P-3 QUARANTINED: Generic State/local/permit/reference rows, penalty-only/fabricated DAMR extractions, and future-effective DPDP duties are not current production obligations.</x:v>
      </x:c>
    </x:row>
    <x:row r="394">
      <x:c r="A394" s="30" t="str">
        <x:v>AUD393</x:v>
      </x:c>
      <x:c r="B394" s="30" t="str">
        <x:v>COMP189</x:v>
      </x:c>
      <x:c r="C394" s="30" t="str">
        <x:v>Review employee fitness records and renewal status.</x:v>
      </x:c>
      <x:c r="D394" s="30" t="str">
        <x:v>Record Verification</x:v>
      </x:c>
      <x:c r="E394" s="30" t="str">
        <x:v>Annual</x:v>
      </x:c>
      <x:c r="F394" s="30" t="str">
        <x:v>CORE</x:v>
      </x:c>
      <x:c r="G394" s="30" t="str">
        <x:v>Licensing</x:v>
      </x:c>
      <x:c r="H394" s="30" t="str">
        <x:v>No</x:v>
      </x:c>
      <x:c r="I394" s="30" t="str">
        <x:v>P-3 QUARANTINED: Generic State/local/permit/reference rows, penalty-only/fabricated DAMR extractions, and future-effective DPDP duties are not current production obligations.</x:v>
      </x:c>
    </x:row>
    <x:row r="395">
      <x:c r="A395" s="30" t="str">
        <x:v>AUD394</x:v>
      </x:c>
      <x:c r="B395" s="30" t="str">
        <x:v>COMP190</x:v>
      </x:c>
      <x:c r="C395" s="30" t="str">
        <x:v>Verify that access rights to pharmacy systems are assigned based on job responsibilities.</x:v>
      </x:c>
      <x:c r="D395" s="30" t="str">
        <x:v>System Verification</x:v>
      </x:c>
      <x:c r="E395" s="30" t="str">
        <x:v>Quarterly</x:v>
      </x:c>
      <x:c r="F395" s="30" t="str">
        <x:v>CORE</x:v>
      </x:c>
      <x:c r="G395" s="30" t="str">
        <x:v>Digital Controls</x:v>
      </x:c>
      <x:c r="H395" s="30" t="str">
        <x:v>No</x:v>
      </x:c>
      <x:c r="I395" s="30" t="str">
        <x:v>P-3 QUARANTINED: Generic State/local/permit/reference rows, penalty-only/fabricated DAMR extractions, and future-effective DPDP duties are not current production obligations.</x:v>
      </x:c>
    </x:row>
    <x:row r="396">
      <x:c r="A396" s="30" t="str">
        <x:v>AUD395</x:v>
      </x:c>
      <x:c r="B396" s="30" t="str">
        <x:v>COMP190</x:v>
      </x:c>
      <x:c r="C396" s="30" t="str">
        <x:v>Review user access authorization records.</x:v>
      </x:c>
      <x:c r="D396" s="30" t="str">
        <x:v>Record Verification</x:v>
      </x:c>
      <x:c r="E396" s="30" t="str">
        <x:v>Quarterly</x:v>
      </x:c>
      <x:c r="F396" s="30" t="str">
        <x:v>CORE</x:v>
      </x:c>
      <x:c r="G396" s="30" t="str">
        <x:v>Recordkeeping</x:v>
      </x:c>
      <x:c r="H396" s="30" t="str">
        <x:v>No</x:v>
      </x:c>
      <x:c r="I396" s="30" t="str">
        <x:v>P-3 QUARANTINED: Generic State/local/permit/reference rows, penalty-only/fabricated DAMR extractions, and future-effective DPDP duties are not current production obligations.</x:v>
      </x:c>
    </x:row>
    <x:row r="397">
      <x:c r="A397" s="30" t="str">
        <x:v>AUD396</x:v>
      </x:c>
      <x:c r="B397" s="30" t="str">
        <x:v>COMP191</x:v>
      </x:c>
      <x:c r="C397" s="30" t="str">
        <x:v>Verify that employee resignations or transfers trigger timely revocation of system access.</x:v>
      </x:c>
      <x:c r="D397" s="30" t="str">
        <x:v>System Verification</x:v>
      </x:c>
      <x:c r="E397" s="30" t="str">
        <x:v>Event Based</x:v>
      </x:c>
      <x:c r="F397" s="30" t="str">
        <x:v>CORE</x:v>
      </x:c>
      <x:c r="G397" s="30" t="str">
        <x:v>Digital Controls</x:v>
      </x:c>
      <x:c r="H397" s="30" t="str">
        <x:v>No</x:v>
      </x:c>
      <x:c r="I397" s="30" t="str">
        <x:v>P-3 QUARANTINED: Generic State/local/permit/reference rows, penalty-only/fabricated DAMR extractions, and future-effective DPDP duties are not current production obligations.</x:v>
      </x:c>
    </x:row>
    <x:row r="398">
      <x:c r="A398" s="30" t="str">
        <x:v>AUD397</x:v>
      </x:c>
      <x:c r="B398" s="30" t="str">
        <x:v>COMP191</x:v>
      </x:c>
      <x:c r="C398" s="30" t="str">
        <x:v>Review access removal records following employee separation.</x:v>
      </x:c>
      <x:c r="D398" s="30" t="str">
        <x:v>Record Verification</x:v>
      </x:c>
      <x:c r="E398" s="30" t="str">
        <x:v>Event Based</x:v>
      </x:c>
      <x:c r="F398" s="30" t="str">
        <x:v>CORE</x:v>
      </x:c>
      <x:c r="G398" s="30" t="str">
        <x:v>Recordkeeping</x:v>
      </x:c>
      <x:c r="H398" s="30" t="str">
        <x:v>No</x:v>
      </x:c>
      <x:c r="I398" s="30" t="str">
        <x:v>P-3 QUARANTINED: Generic State/local/permit/reference rows, penalty-only/fabricated DAMR extractions, and future-effective DPDP duties are not current production obligations.</x:v>
      </x:c>
    </x:row>
    <x:row r="399">
      <x:c r="A399" s="30" t="str">
        <x:v>AUD398</x:v>
      </x:c>
      <x:c r="B399" s="30" t="str">
        <x:v>COMP192</x:v>
      </x:c>
      <x:c r="C399" s="30" t="str">
        <x:v>Select a sample of relevant transactions or events and interview the responsible person to confirm that before release, substantiate all objective claims and ensure the advertisement is truthful and not misleading by implication, omission, exaggeration or ambiguity.</x:v>
      </x:c>
      <x:c r="D399" s="30" t="str">
        <x:v>Sampling and Interview</x:v>
      </x:c>
      <x:c r="E399" s="30" t="str">
        <x:v>Annual</x:v>
      </x:c>
      <x:c r="F399" s="30" t="str">
        <x:v>CORE</x:v>
      </x:c>
      <x:c r="G399" s="30" t="str">
        <x:v>CA064</x:v>
      </x:c>
      <x:c r="H399" s="30" t="str">
        <x:v>Yes</x:v>
      </x:c>
      <x:c r="I399" s="30" t="str">
        <x:v>P-4 normalized to current parent compliance; legacy Audit ID preserved.</x:v>
      </x:c>
    </x:row>
    <x:row r="400">
      <x:c r="A400" s="30" t="str">
        <x:v>AUD399</x:v>
      </x:c>
      <x:c r="B400" s="30" t="str">
        <x:v>COMP192</x:v>
      </x:c>
      <x:c r="C400" s="30" t="str">
        <x:v>Review the applicable licence, order, register, SOP and a sample of records to verify that before release, substantiate all objective claims and ensure the advertisement is truthful and not misleading by implication, omission, exaggeration or ambiguity.</x:v>
      </x:c>
      <x:c r="D400" s="30" t="str">
        <x:v>Document Review and Sampling</x:v>
      </x:c>
      <x:c r="E400" s="30" t="str">
        <x:v>Annual</x:v>
      </x:c>
      <x:c r="F400" s="30" t="str">
        <x:v>CORE</x:v>
      </x:c>
      <x:c r="G400" s="30" t="str">
        <x:v>CA064</x:v>
      </x:c>
      <x:c r="H400" s="30" t="str">
        <x:v>Yes</x:v>
      </x:c>
      <x:c r="I400" s="30" t="str">
        <x:v>P-4 normalized to current parent compliance; legacy Audit ID preserved.</x:v>
      </x:c>
    </x:row>
    <x:row r="401">
      <x:c r="A401" s="30" t="str">
        <x:v>AUD400</x:v>
      </x:c>
      <x:c r="B401" s="30" t="str">
        <x:v>COMP193</x:v>
      </x:c>
      <x:c r="C401" s="30" t="str">
        <x:v>Select a sample of relevant transactions or events and interview the responsible person to confirm that use only clear, prominent disclaimers that do not conceal material information or contradict the main claim.</x:v>
      </x:c>
      <x:c r="D401" s="30" t="str">
        <x:v>Sampling and Interview</x:v>
      </x:c>
      <x:c r="E401" s="30" t="str">
        <x:v>Annual</x:v>
      </x:c>
      <x:c r="F401" s="30" t="str">
        <x:v>CORE</x:v>
      </x:c>
      <x:c r="G401" s="30" t="str">
        <x:v>CA064</x:v>
      </x:c>
      <x:c r="H401" s="30" t="str">
        <x:v>Yes</x:v>
      </x:c>
      <x:c r="I401" s="30" t="str">
        <x:v>P-4 normalized to current parent compliance; legacy Audit ID preserved.</x:v>
      </x:c>
    </x:row>
    <x:row r="402">
      <x:c r="A402" s="30" t="str">
        <x:v>AUD401</x:v>
      </x:c>
      <x:c r="B402" s="30" t="str">
        <x:v>COMP193</x:v>
      </x:c>
      <x:c r="C402" s="30" t="str">
        <x:v>Review the applicable licence, order, register, SOP and a sample of records to verify that use only clear, prominent disclaimers that do not conceal material information or contradict the main claim.</x:v>
      </x:c>
      <x:c r="D402" s="30" t="str">
        <x:v>Document Review and Sampling</x:v>
      </x:c>
      <x:c r="E402" s="30" t="str">
        <x:v>Annual</x:v>
      </x:c>
      <x:c r="F402" s="30" t="str">
        <x:v>CORE</x:v>
      </x:c>
      <x:c r="G402" s="30" t="str">
        <x:v>CA064</x:v>
      </x:c>
      <x:c r="H402" s="30" t="str">
        <x:v>Yes</x:v>
      </x:c>
      <x:c r="I402" s="30" t="str">
        <x:v>P-4 normalized to current parent compliance; legacy Audit ID preserved.</x:v>
      </x:c>
    </x:row>
    <x:row r="403">
      <x:c r="A403" s="30" t="str">
        <x:v>AUD402</x:v>
      </x:c>
      <x:c r="B403" s="30" t="str">
        <x:v>COMP194</x:v>
      </x:c>
      <x:c r="C403" s="30" t="str">
        <x:v>Select a sample of relevant transactions or events and interview the responsible person to confirm that do not advertise a product/service prohibited by law and document endorsement due diligence where an endorsement is used.</x:v>
      </x:c>
      <x:c r="D403" s="30" t="str">
        <x:v>Sampling and Interview</x:v>
      </x:c>
      <x:c r="E403" s="30" t="str">
        <x:v>Annual</x:v>
      </x:c>
      <x:c r="F403" s="30" t="str">
        <x:v>CORE</x:v>
      </x:c>
      <x:c r="G403" s="30" t="str">
        <x:v>CA064</x:v>
      </x:c>
      <x:c r="H403" s="30" t="str">
        <x:v>Yes</x:v>
      </x:c>
      <x:c r="I403" s="30" t="str">
        <x:v>P-4 normalized to current parent compliance; legacy Audit ID preserved.</x:v>
      </x:c>
    </x:row>
    <x:row r="404">
      <x:c r="A404" s="30" t="str">
        <x:v>AUD403</x:v>
      </x:c>
      <x:c r="B404" s="30" t="str">
        <x:v>COMP194</x:v>
      </x:c>
      <x:c r="C404" s="30" t="str">
        <x:v>Review the applicable licence, order, register, SOP and a sample of records to verify that do not advertise a product/service prohibited by law and document endorsement due diligence where an endorsement is used.</x:v>
      </x:c>
      <x:c r="D404" s="30" t="str">
        <x:v>Document Review and Sampling</x:v>
      </x:c>
      <x:c r="E404" s="30" t="str">
        <x:v>Annual</x:v>
      </x:c>
      <x:c r="F404" s="30" t="str">
        <x:v>CORE</x:v>
      </x:c>
      <x:c r="G404" s="30" t="str">
        <x:v>CA064</x:v>
      </x:c>
      <x:c r="H404" s="30" t="str">
        <x:v>Yes</x:v>
      </x:c>
      <x:c r="I404" s="30" t="str">
        <x:v>P-4 normalized to current parent compliance; legacy Audit ID preserved.</x:v>
      </x:c>
    </x:row>
    <x:row r="405">
      <x:c r="A405" s="30" t="str">
        <x:v>AUD404</x:v>
      </x:c>
      <x:c r="B405" s="30" t="str">
        <x:v>COMP195</x:v>
      </x:c>
      <x:c r="C405" s="30" t="str">
        <x:v>Select a sample of relevant transactions or events and interview the responsible person to confirm that do not advertise a drug for the section 3/Schedule prohibited purposes, diseases or conditions.</x:v>
      </x:c>
      <x:c r="D405" s="30" t="str">
        <x:v>Sampling and Interview</x:v>
      </x:c>
      <x:c r="E405" s="30" t="str">
        <x:v>Annual</x:v>
      </x:c>
      <x:c r="F405" s="30" t="str">
        <x:v>CORE</x:v>
      </x:c>
      <x:c r="G405" s="30" t="str">
        <x:v>CA064</x:v>
      </x:c>
      <x:c r="H405" s="30" t="str">
        <x:v>Yes</x:v>
      </x:c>
      <x:c r="I405" s="30" t="str">
        <x:v>P-4 normalized to current parent compliance; legacy Audit ID preserved.</x:v>
      </x:c>
    </x:row>
    <x:row r="406">
      <x:c r="A406" s="30" t="str">
        <x:v>AUD405</x:v>
      </x:c>
      <x:c r="B406" s="30" t="str">
        <x:v>COMP195</x:v>
      </x:c>
      <x:c r="C406" s="30" t="str">
        <x:v>Review the applicable licence, order, register, SOP and a sample of records to verify that do not advertise a drug for the section 3/Schedule prohibited purposes, diseases or conditions.</x:v>
      </x:c>
      <x:c r="D406" s="30" t="str">
        <x:v>Document Review and Sampling</x:v>
      </x:c>
      <x:c r="E406" s="30" t="str">
        <x:v>Annual</x:v>
      </x:c>
      <x:c r="F406" s="30" t="str">
        <x:v>CORE</x:v>
      </x:c>
      <x:c r="G406" s="30" t="str">
        <x:v>CA064</x:v>
      </x:c>
      <x:c r="H406" s="30" t="str">
        <x:v>Yes</x:v>
      </x:c>
      <x:c r="I406" s="30" t="str">
        <x:v>P-4 normalized to current parent compliance; legacy Audit ID preserved.</x:v>
      </x:c>
    </x:row>
    <x:row r="407">
      <x:c r="A407" s="30" t="str">
        <x:v>AUD406</x:v>
      </x:c>
      <x:c r="B407" s="30" t="str">
        <x:v>COMP196</x:v>
      </x:c>
      <x:c r="C407" s="30" t="str">
        <x:v>Select a sample of relevant transactions or events and interview the responsible person to confirm that do not issue a drug advertisement that gives a false impression, makes a false claim or is otherwise materially false/misleading.</x:v>
      </x:c>
      <x:c r="D407" s="30" t="str">
        <x:v>Sampling and Interview</x:v>
      </x:c>
      <x:c r="E407" s="30" t="str">
        <x:v>Quarterly</x:v>
      </x:c>
      <x:c r="F407" s="30" t="str">
        <x:v>CORE</x:v>
      </x:c>
      <x:c r="G407" s="30" t="str">
        <x:v>CA064</x:v>
      </x:c>
      <x:c r="H407" s="30" t="str">
        <x:v>Yes</x:v>
      </x:c>
      <x:c r="I407" s="30" t="str">
        <x:v>P-4 normalized to current parent compliance; legacy Audit ID preserved.</x:v>
      </x:c>
    </x:row>
    <x:row r="408">
      <x:c r="A408" s="30" t="str">
        <x:v>AUD407</x:v>
      </x:c>
      <x:c r="B408" s="30" t="str">
        <x:v>COMP196</x:v>
      </x:c>
      <x:c r="C408" s="30" t="str">
        <x:v>Review the applicable licence, order, register, SOP and a sample of records to verify that do not issue a drug advertisement that gives a false impression, makes a false claim or is otherwise materially false/misleading.</x:v>
      </x:c>
      <x:c r="D408" s="30" t="str">
        <x:v>Document Review and Sampling</x:v>
      </x:c>
      <x:c r="E408" s="30" t="str">
        <x:v>Quarterly</x:v>
      </x:c>
      <x:c r="F408" s="30" t="str">
        <x:v>CORE</x:v>
      </x:c>
      <x:c r="G408" s="30" t="str">
        <x:v>CA064</x:v>
      </x:c>
      <x:c r="H408" s="30" t="str">
        <x:v>Yes</x:v>
      </x:c>
      <x:c r="I408" s="30" t="str">
        <x:v>P-4 normalized to current parent compliance; legacy Audit ID preserved.</x:v>
      </x:c>
    </x:row>
    <x:row r="409">
      <x:c r="A409" s="30" t="str">
        <x:v>AUD408</x:v>
      </x:c>
      <x:c r="B409" s="30" t="str">
        <x:v>COMP197</x:v>
      </x:c>
      <x:c r="C409" s="30" t="str">
        <x:v>Verify that employee awareness programs are periodically conducted for regulatory updates.</x:v>
      </x:c>
      <x:c r="D409" s="30" t="str">
        <x:v>Document Review</x:v>
      </x:c>
      <x:c r="E409" s="30" t="str">
        <x:v>Quarterly</x:v>
      </x:c>
      <x:c r="F409" s="30" t="str">
        <x:v>CORE</x:v>
      </x:c>
      <x:c r="G409" s="30" t="str">
        <x:v>General Compliance</x:v>
      </x:c>
      <x:c r="H409" s="30" t="str">
        <x:v>No</x:v>
      </x:c>
      <x:c r="I409" s="30" t="str">
        <x:v>P-3 QUARANTINED: Generic State/local/permit/reference rows, penalty-only/fabricated DAMR extractions, and future-effective DPDP duties are not current production obligations.</x:v>
      </x:c>
    </x:row>
    <x:row r="410">
      <x:c r="A410" s="30" t="str">
        <x:v>AUD409</x:v>
      </x:c>
      <x:c r="B410" s="30" t="str">
        <x:v>COMP197</x:v>
      </x:c>
      <x:c r="C410" s="30" t="str">
        <x:v>Interview personnel regarding recent regulatory changes.</x:v>
      </x:c>
      <x:c r="D410" s="30" t="str">
        <x:v>Interview</x:v>
      </x:c>
      <x:c r="E410" s="30" t="str">
        <x:v>Quarterly</x:v>
      </x:c>
      <x:c r="F410" s="30" t="str">
        <x:v>CORE</x:v>
      </x:c>
      <x:c r="G410" s="30" t="str">
        <x:v>Personnel Competency</x:v>
      </x:c>
      <x:c r="H410" s="30" t="str">
        <x:v>No</x:v>
      </x:c>
      <x:c r="I410" s="30" t="str">
        <x:v>P-3 QUARANTINED: Generic State/local/permit/reference rows, penalty-only/fabricated DAMR extractions, and future-effective DPDP duties are not current production obligations.</x:v>
      </x:c>
    </x:row>
    <x:row r="411">
      <x:c r="A411" s="30" t="str">
        <x:v>AUD410</x:v>
      </x:c>
      <x:c r="B411" s="30" t="str">
        <x:v>COMP198</x:v>
      </x:c>
      <x:c r="C411" s="30" t="str">
        <x:v>Verify that personnel-related compliance KPIs are periodically reviewed by management.</x:v>
      </x:c>
      <x:c r="D411" s="30" t="str">
        <x:v>Document Review</x:v>
      </x:c>
      <x:c r="E411" s="30" t="str">
        <x:v>Quarterly</x:v>
      </x:c>
      <x:c r="F411" s="30" t="str">
        <x:v>CORE</x:v>
      </x:c>
      <x:c r="G411" s="30" t="str">
        <x:v>Personnel Competency</x:v>
      </x:c>
      <x:c r="H411" s="30" t="str">
        <x:v>No</x:v>
      </x:c>
      <x:c r="I411" s="30" t="str">
        <x:v>P-3 QUARANTINED: Generic State/local/permit/reference rows, penalty-only/fabricated DAMR extractions, and future-effective DPDP duties are not current production obligations.</x:v>
      </x:c>
    </x:row>
    <x:row r="412">
      <x:c r="A412" s="30" t="str">
        <x:v>AUD411</x:v>
      </x:c>
      <x:c r="B412" s="30" t="str">
        <x:v>COMP198</x:v>
      </x:c>
      <x:c r="C412" s="30" t="str">
        <x:v>Review management meeting minutes relating to personnel compliance.</x:v>
      </x:c>
      <x:c r="D412" s="30" t="str">
        <x:v>Record Verification</x:v>
      </x:c>
      <x:c r="E412" s="30" t="str">
        <x:v>Quarterly</x:v>
      </x:c>
      <x:c r="F412" s="30" t="str">
        <x:v>CORE</x:v>
      </x:c>
      <x:c r="G412" s="30" t="str">
        <x:v>Personnel Competency</x:v>
      </x:c>
      <x:c r="H412" s="30" t="str">
        <x:v>No</x:v>
      </x:c>
      <x:c r="I412" s="30" t="str">
        <x:v>P-3 QUARANTINED: Generic State/local/permit/reference rows, penalty-only/fabricated DAMR extractions, and future-effective DPDP duties are not current production obligations.</x:v>
      </x:c>
    </x:row>
    <x:row r="413">
      <x:c r="A413" s="30" t="str">
        <x:v>AUD412</x:v>
      </x:c>
      <x:c r="B413" s="30" t="str">
        <x:v>COMP199</x:v>
      </x:c>
      <x:c r="C413" s="30" t="str">
        <x:v>Verify that periodic internal audits evaluate personnel compliance controls.</x:v>
      </x:c>
      <x:c r="D413" s="30" t="str">
        <x:v>Document Review</x:v>
      </x:c>
      <x:c r="E413" s="30" t="str">
        <x:v>Annual</x:v>
      </x:c>
      <x:c r="F413" s="30" t="str">
        <x:v>CORE</x:v>
      </x:c>
      <x:c r="G413" s="30" t="str">
        <x:v>Personnel Competency</x:v>
      </x:c>
      <x:c r="H413" s="30" t="str">
        <x:v>No</x:v>
      </x:c>
      <x:c r="I413" s="30" t="str">
        <x:v>P-3 QUARANTINED: Generic State/local/permit/reference rows, penalty-only/fabricated DAMR extractions, and future-effective DPDP duties are not current production obligations.</x:v>
      </x:c>
    </x:row>
    <x:row r="414">
      <x:c r="A414" s="30" t="str">
        <x:v>AUD413</x:v>
      </x:c>
      <x:c r="B414" s="30" t="str">
        <x:v>COMP199</x:v>
      </x:c>
      <x:c r="C414" s="30" t="str">
        <x:v>Review implementation status of personnel audit recommendations.</x:v>
      </x:c>
      <x:c r="D414" s="30" t="str">
        <x:v>Record Verification</x:v>
      </x:c>
      <x:c r="E414" s="30" t="str">
        <x:v>Annual</x:v>
      </x:c>
      <x:c r="F414" s="30" t="str">
        <x:v>CORE</x:v>
      </x:c>
      <x:c r="G414" s="30" t="str">
        <x:v>Personnel Competency</x:v>
      </x:c>
      <x:c r="H414" s="30" t="str">
        <x:v>No</x:v>
      </x:c>
      <x:c r="I414" s="30" t="str">
        <x:v>P-3 QUARANTINED: Generic State/local/permit/reference rows, penalty-only/fabricated DAMR extractions, and future-effective DPDP duties are not current production obligations.</x:v>
      </x:c>
    </x:row>
    <x:row r="415">
      <x:c r="A415" s="30" t="str">
        <x:v>AUD414</x:v>
      </x:c>
      <x:c r="B415" s="30" t="str">
        <x:v>COMP200</x:v>
      </x:c>
      <x:c r="C415" s="30" t="str">
        <x:v>Verify that personnel management practices comply with applicable legal requirements and approved procedures.</x:v>
      </x:c>
      <x:c r="D415" s="30" t="str">
        <x:v>Document Review</x:v>
      </x:c>
      <x:c r="E415" s="30" t="str">
        <x:v>Annual</x:v>
      </x:c>
      <x:c r="F415" s="30" t="str">
        <x:v>CORE</x:v>
      </x:c>
      <x:c r="G415" s="30" t="str">
        <x:v>Personnel Competency</x:v>
      </x:c>
      <x:c r="H415" s="30" t="str">
        <x:v>No</x:v>
      </x:c>
      <x:c r="I415" s="30" t="str">
        <x:v>P-3 QUARANTINED: Generic State/local/permit/reference rows, penalty-only/fabricated DAMR extractions, and future-effective DPDP duties are not current production obligations.</x:v>
      </x:c>
    </x:row>
    <x:row r="416">
      <x:c r="A416" s="30" t="str">
        <x:v>AUD415</x:v>
      </x:c>
      <x:c r="B416" s="30" t="str">
        <x:v>COMP200</x:v>
      </x:c>
      <x:c r="C416" s="30" t="str">
        <x:v>Conduct sample testing of personnel records for regulatory compliance.</x:v>
      </x:c>
      <x:c r="D416" s="30" t="str">
        <x:v>Sampling</x:v>
      </x:c>
      <x:c r="E416" s="30" t="str">
        <x:v>Annual</x:v>
      </x:c>
      <x:c r="F416" s="30" t="str">
        <x:v>CORE</x:v>
      </x:c>
      <x:c r="G416" s="30" t="str">
        <x:v>Personnel Competency</x:v>
      </x:c>
      <x:c r="H416" s="30" t="str">
        <x:v>No</x:v>
      </x:c>
      <x:c r="I416" s="30" t="str">
        <x:v>P-3 QUARANTINED: Generic State/local/permit/reference rows, penalty-only/fabricated DAMR extractions, and future-effective DPDP duties are not current production obligations.</x:v>
      </x:c>
    </x:row>
    <x:row r="417">
      <x:c r="A417" s="30" t="str">
        <x:v>AUD416</x:v>
      </x:c>
      <x:c r="B417" s="30" t="str">
        <x:v>COMP200</x:v>
      </x:c>
      <x:c r="C417" s="30" t="str">
        <x:v>Reconcile personnel compliance controls with applicable statutory requirements.</x:v>
      </x:c>
      <x:c r="D417" s="30" t="str">
        <x:v>Reconciliation</x:v>
      </x:c>
      <x:c r="E417" s="30" t="str">
        <x:v>Annual</x:v>
      </x:c>
      <x:c r="F417" s="30" t="str">
        <x:v>CORE</x:v>
      </x:c>
      <x:c r="G417" s="30" t="str">
        <x:v>Personnel Competency</x:v>
      </x:c>
      <x:c r="H417" s="30" t="str">
        <x:v>No</x:v>
      </x:c>
      <x:c r="I417" s="30" t="str">
        <x:v>P-3 QUARANTINED: Generic State/local/permit/reference rows, penalty-only/fabricated DAMR extractions, and future-effective DPDP duties are not current production obligations.</x:v>
      </x:c>
    </x:row>
    <x:row r="418">
      <x:c r="A418" s="30" t="str">
        <x:v>AUD417</x:v>
      </x:c>
      <x:c r="B418" s="30" t="str">
        <x:v>COMP200</x:v>
      </x:c>
      <x:c r="C418" s="30" t="str">
        <x:v>Validate effectiveness of personnel compliance controls through independent audit testing.</x:v>
      </x:c>
      <x:c r="D418" s="30" t="str">
        <x:v>Sampling</x:v>
      </x:c>
      <x:c r="E418" s="30" t="str">
        <x:v>Annual</x:v>
      </x:c>
      <x:c r="F418" s="30" t="str">
        <x:v>CORE</x:v>
      </x:c>
      <x:c r="G418" s="30" t="str">
        <x:v>Personnel Competency</x:v>
      </x:c>
      <x:c r="H418" s="30" t="str">
        <x:v>No</x:v>
      </x:c>
      <x:c r="I418" s="30" t="str">
        <x:v>P-3 QUARANTINED: Generic State/local/permit/reference rows, penalty-only/fabricated DAMR extractions, and future-effective DPDP duties are not current production obligations.</x:v>
      </x:c>
    </x:row>
    <x:row r="419">
      <x:c r="A419" s="30" t="str">
        <x:v>AUD418</x:v>
      </x:c>
      <x:c r="B419" s="30" t="str">
        <x:v>COMP201</x:v>
      </x:c>
      <x:c r="C419" s="30" t="str">
        <x:v>Verify that all pharmacy SOPs are formally approved by authorized personnel before implementation.</x:v>
      </x:c>
      <x:c r="D419" s="30" t="str">
        <x:v>Document Review</x:v>
      </x:c>
      <x:c r="E419" s="30" t="str">
        <x:v>Annual</x:v>
      </x:c>
      <x:c r="F419" s="30" t="str">
        <x:v>CORE</x:v>
      </x:c>
      <x:c r="G419" s="30" t="str">
        <x:v>Personnel Competency</x:v>
      </x:c>
      <x:c r="H419" s="30" t="str">
        <x:v>No</x:v>
      </x:c>
      <x:c r="I419" s="30" t="str">
        <x:v>P-4 QUARANTINED with inactive parent compliance; legacy ID retained.</x:v>
      </x:c>
    </x:row>
    <x:row r="420">
      <x:c r="A420" s="30" t="str">
        <x:v>AUD419</x:v>
      </x:c>
      <x:c r="B420" s="30" t="str">
        <x:v>COMP201</x:v>
      </x:c>
      <x:c r="C420" s="30" t="str">
        <x:v>Review SOP approval records and revision history.</x:v>
      </x:c>
      <x:c r="D420" s="30" t="str">
        <x:v>Record Verification</x:v>
      </x:c>
      <x:c r="E420" s="30" t="str">
        <x:v>Annual</x:v>
      </x:c>
      <x:c r="F420" s="30" t="str">
        <x:v>CORE</x:v>
      </x:c>
      <x:c r="G420" s="30" t="str">
        <x:v>SOP &amp; Training</x:v>
      </x:c>
      <x:c r="H420" s="30" t="str">
        <x:v>No</x:v>
      </x:c>
      <x:c r="I420" s="30" t="str">
        <x:v>P-4 QUARANTINED with inactive parent compliance; legacy ID retained.</x:v>
      </x:c>
    </x:row>
    <x:row r="421">
      <x:c r="A421" s="30" t="str">
        <x:v>AUD420</x:v>
      </x:c>
      <x:c r="B421" s="30" t="str">
        <x:v>COMP202</x:v>
      </x:c>
      <x:c r="C421" s="30" t="str">
        <x:v>Verify that SOPs are periodically reviewed within the approved review cycle.</x:v>
      </x:c>
      <x:c r="D421" s="30" t="str">
        <x:v>Document Review</x:v>
      </x:c>
      <x:c r="E421" s="30" t="str">
        <x:v>Annual</x:v>
      </x:c>
      <x:c r="F421" s="30" t="str">
        <x:v>CORE</x:v>
      </x:c>
      <x:c r="G421" s="30" t="str">
        <x:v>SOP &amp; Training</x:v>
      </x:c>
      <x:c r="H421" s="30" t="str">
        <x:v>No</x:v>
      </x:c>
      <x:c r="I421" s="30" t="str">
        <x:v>P-4 QUARANTINED with inactive parent compliance; legacy ID retained.</x:v>
      </x:c>
    </x:row>
    <x:row r="422">
      <x:c r="A422" s="30" t="str">
        <x:v>AUD421</x:v>
      </x:c>
      <x:c r="B422" s="30" t="str">
        <x:v>COMP202</x:v>
      </x:c>
      <x:c r="C422" s="30" t="str">
        <x:v>Examine SOP review schedule and revision records.</x:v>
      </x:c>
      <x:c r="D422" s="30" t="str">
        <x:v>Record Verification</x:v>
      </x:c>
      <x:c r="E422" s="30" t="str">
        <x:v>Annual</x:v>
      </x:c>
      <x:c r="F422" s="30" t="str">
        <x:v>CORE</x:v>
      </x:c>
      <x:c r="G422" s="30" t="str">
        <x:v>SOP &amp; Training</x:v>
      </x:c>
      <x:c r="H422" s="30" t="str">
        <x:v>No</x:v>
      </x:c>
      <x:c r="I422" s="30" t="str">
        <x:v>P-4 QUARANTINED with inactive parent compliance; legacy ID retained.</x:v>
      </x:c>
    </x:row>
    <x:row r="423">
      <x:c r="A423" s="30" t="str">
        <x:v>AUD422</x:v>
      </x:c>
      <x:c r="B423" s="30" t="str">
        <x:v>COMP203</x:v>
      </x:c>
      <x:c r="C423" s="30" t="str">
        <x:v>Verify that only current versions of SOPs are available for operational use.</x:v>
      </x:c>
      <x:c r="D423" s="30" t="str">
        <x:v>Physical Inspection</x:v>
      </x:c>
      <x:c r="E423" s="30" t="str">
        <x:v>Quarterly</x:v>
      </x:c>
      <x:c r="F423" s="30" t="str">
        <x:v>CORE</x:v>
      </x:c>
      <x:c r="G423" s="30" t="str">
        <x:v>SOP &amp; Training</x:v>
      </x:c>
      <x:c r="H423" s="30" t="str">
        <x:v>No</x:v>
      </x:c>
      <x:c r="I423" s="30" t="str">
        <x:v>P-4 QUARANTINED with inactive parent compliance; legacy ID retained.</x:v>
      </x:c>
    </x:row>
    <x:row r="424">
      <x:c r="A424" s="30" t="str">
        <x:v>AUD423</x:v>
      </x:c>
      <x:c r="B424" s="30" t="str">
        <x:v>COMP203</x:v>
      </x:c>
      <x:c r="C424" s="30" t="str">
        <x:v>Inspect document control register for current revision status.</x:v>
      </x:c>
      <x:c r="D424" s="30" t="str">
        <x:v>Physical Inspection</x:v>
      </x:c>
      <x:c r="E424" s="30" t="str">
        <x:v>Quarterly</x:v>
      </x:c>
      <x:c r="F424" s="30" t="str">
        <x:v>CORE</x:v>
      </x:c>
      <x:c r="G424" s="30" t="str">
        <x:v>Recordkeeping</x:v>
      </x:c>
      <x:c r="H424" s="30" t="str">
        <x:v>No</x:v>
      </x:c>
      <x:c r="I424" s="30" t="str">
        <x:v>P-4 QUARANTINED with inactive parent compliance; legacy ID retained.</x:v>
      </x:c>
    </x:row>
    <x:row r="425">
      <x:c r="A425" s="30" t="str">
        <x:v>AUD424</x:v>
      </x:c>
      <x:c r="B425" s="30" t="str">
        <x:v>COMP204</x:v>
      </x:c>
      <x:c r="C425" s="30" t="str">
        <x:v>Verify that obsolete SOPs are withdrawn, archived and clearly identified.</x:v>
      </x:c>
      <x:c r="D425" s="30" t="str">
        <x:v>Document Review</x:v>
      </x:c>
      <x:c r="E425" s="30" t="str">
        <x:v>Quarterly</x:v>
      </x:c>
      <x:c r="F425" s="30" t="str">
        <x:v>CORE</x:v>
      </x:c>
      <x:c r="G425" s="30" t="str">
        <x:v>SOP &amp; Training</x:v>
      </x:c>
      <x:c r="H425" s="30" t="str">
        <x:v>No</x:v>
      </x:c>
      <x:c r="I425" s="30" t="str">
        <x:v>P-4 QUARANTINED with inactive parent compliance; legacy ID retained.</x:v>
      </x:c>
    </x:row>
    <x:row r="426">
      <x:c r="A426" s="30" t="str">
        <x:v>AUD425</x:v>
      </x:c>
      <x:c r="B426" s="30" t="str">
        <x:v>COMP204</x:v>
      </x:c>
      <x:c r="C426" s="30" t="str">
        <x:v>Review archival records for superseded SOPs.</x:v>
      </x:c>
      <x:c r="D426" s="30" t="str">
        <x:v>Record Verification</x:v>
      </x:c>
      <x:c r="E426" s="30" t="str">
        <x:v>Quarterly</x:v>
      </x:c>
      <x:c r="F426" s="30" t="str">
        <x:v>CORE</x:v>
      </x:c>
      <x:c r="G426" s="30" t="str">
        <x:v>SOP &amp; Training</x:v>
      </x:c>
      <x:c r="H426" s="30" t="str">
        <x:v>No</x:v>
      </x:c>
      <x:c r="I426" s="30" t="str">
        <x:v>P-4 QUARANTINED with inactive parent compliance; legacy ID retained.</x:v>
      </x:c>
    </x:row>
    <x:row r="427">
      <x:c r="A427" s="30" t="str">
        <x:v>AUD426</x:v>
      </x:c>
      <x:c r="B427" s="30" t="str">
        <x:v>COMP205</x:v>
      </x:c>
      <x:c r="C427" s="30" t="str">
        <x:v>Verify that SOP changes are communicated to all affected personnel before implementation.</x:v>
      </x:c>
      <x:c r="D427" s="30" t="str">
        <x:v>Document Review</x:v>
      </x:c>
      <x:c r="E427" s="30" t="str">
        <x:v>Event Based</x:v>
      </x:c>
      <x:c r="F427" s="30" t="str">
        <x:v>CORE</x:v>
      </x:c>
      <x:c r="G427" s="30" t="str">
        <x:v>Personnel Competency</x:v>
      </x:c>
      <x:c r="H427" s="30" t="str">
        <x:v>No</x:v>
      </x:c>
      <x:c r="I427" s="30" t="str">
        <x:v>P-4 QUARANTINED with inactive parent compliance; legacy ID retained.</x:v>
      </x:c>
    </x:row>
    <x:row r="428">
      <x:c r="A428" s="30" t="str">
        <x:v>AUD427</x:v>
      </x:c>
      <x:c r="B428" s="30" t="str">
        <x:v>COMP205</x:v>
      </x:c>
      <x:c r="C428" s="30" t="str">
        <x:v>Review employee acknowledgements for revised SOPs.</x:v>
      </x:c>
      <x:c r="D428" s="30" t="str">
        <x:v>Record Verification</x:v>
      </x:c>
      <x:c r="E428" s="30" t="str">
        <x:v>Event Based</x:v>
      </x:c>
      <x:c r="F428" s="30" t="str">
        <x:v>CORE</x:v>
      </x:c>
      <x:c r="G428" s="30" t="str">
        <x:v>SOP &amp; Training</x:v>
      </x:c>
      <x:c r="H428" s="30" t="str">
        <x:v>No</x:v>
      </x:c>
      <x:c r="I428" s="30" t="str">
        <x:v>P-4 QUARANTINED with inactive parent compliance; legacy ID retained.</x:v>
      </x:c>
    </x:row>
    <x:row r="429">
      <x:c r="A429" s="30" t="str">
        <x:v>AUD428</x:v>
      </x:c>
      <x:c r="B429" s="30" t="str">
        <x:v>COMP206</x:v>
      </x:c>
      <x:c r="C429" s="30" t="str">
        <x:v>Verify that document numbering and version control follow approved document control procedures.</x:v>
      </x:c>
      <x:c r="D429" s="30" t="str">
        <x:v>Document Review</x:v>
      </x:c>
      <x:c r="E429" s="30" t="str">
        <x:v>Quarterly</x:v>
      </x:c>
      <x:c r="F429" s="30" t="str">
        <x:v>CORE</x:v>
      </x:c>
      <x:c r="G429" s="30" t="str">
        <x:v>SOP &amp; Training</x:v>
      </x:c>
      <x:c r="H429" s="30" t="str">
        <x:v>No</x:v>
      </x:c>
      <x:c r="I429" s="30" t="str">
        <x:v>P-4 QUARANTINED with inactive parent compliance; legacy ID retained.</x:v>
      </x:c>
    </x:row>
    <x:row r="430">
      <x:c r="A430" s="30" t="str">
        <x:v>AUD429</x:v>
      </x:c>
      <x:c r="B430" s="30" t="str">
        <x:v>COMP206</x:v>
      </x:c>
      <x:c r="C430" s="30" t="str">
        <x:v>Cross-check SOP identifiers with the master document register.</x:v>
      </x:c>
      <x:c r="D430" s="30" t="str">
        <x:v>Reconciliation</x:v>
      </x:c>
      <x:c r="E430" s="30" t="str">
        <x:v>Quarterly</x:v>
      </x:c>
      <x:c r="F430" s="30" t="str">
        <x:v>CORE</x:v>
      </x:c>
      <x:c r="G430" s="30" t="str">
        <x:v>SOP &amp; Training</x:v>
      </x:c>
      <x:c r="H430" s="30" t="str">
        <x:v>No</x:v>
      </x:c>
      <x:c r="I430" s="30" t="str">
        <x:v>P-4 QUARANTINED with inactive parent compliance; legacy ID retained.</x:v>
      </x:c>
    </x:row>
    <x:row r="431">
      <x:c r="A431" s="30" t="str">
        <x:v>AUD430</x:v>
      </x:c>
      <x:c r="B431" s="30" t="str">
        <x:v>COMP207</x:v>
      </x:c>
      <x:c r="C431" s="30" t="str">
        <x:v>Verify that master lists of controlled documents are complete and current.</x:v>
      </x:c>
      <x:c r="D431" s="30" t="str">
        <x:v>Document Review</x:v>
      </x:c>
      <x:c r="E431" s="30" t="str">
        <x:v>Quarterly</x:v>
      </x:c>
      <x:c r="F431" s="30" t="str">
        <x:v>CORE</x:v>
      </x:c>
      <x:c r="G431" s="30" t="str">
        <x:v>Recordkeeping</x:v>
      </x:c>
      <x:c r="H431" s="30" t="str">
        <x:v>No</x:v>
      </x:c>
      <x:c r="I431" s="30" t="str">
        <x:v>P-4 QUARANTINED with inactive parent compliance; legacy ID retained.</x:v>
      </x:c>
    </x:row>
    <x:row r="432">
      <x:c r="A432" s="30" t="str">
        <x:v>AUD431</x:v>
      </x:c>
      <x:c r="B432" s="30" t="str">
        <x:v>COMP207</x:v>
      </x:c>
      <x:c r="C432" s="30" t="str">
        <x:v>Reconcile controlled document register with departmental SOPs.</x:v>
      </x:c>
      <x:c r="D432" s="30" t="str">
        <x:v>Reconciliation</x:v>
      </x:c>
      <x:c r="E432" s="30" t="str">
        <x:v>Quarterly</x:v>
      </x:c>
      <x:c r="F432" s="30" t="str">
        <x:v>CORE</x:v>
      </x:c>
      <x:c r="G432" s="30" t="str">
        <x:v>SOP &amp; Training</x:v>
      </x:c>
      <x:c r="H432" s="30" t="str">
        <x:v>No</x:v>
      </x:c>
      <x:c r="I432" s="30" t="str">
        <x:v>P-4 QUARANTINED with inactive parent compliance; legacy ID retained.</x:v>
      </x:c>
    </x:row>
    <x:row r="433">
      <x:c r="A433" s="30" t="str">
        <x:v>AUD432</x:v>
      </x:c>
      <x:c r="B433" s="30" t="str">
        <x:v>COMP208</x:v>
      </x:c>
      <x:c r="C433" s="30" t="str">
        <x:v>Verify that document access is restricted to authorized personnel where required.</x:v>
      </x:c>
      <x:c r="D433" s="30" t="str">
        <x:v>System Verification</x:v>
      </x:c>
      <x:c r="E433" s="30" t="str">
        <x:v>Quarterly</x:v>
      </x:c>
      <x:c r="F433" s="30" t="str">
        <x:v>CORE</x:v>
      </x:c>
      <x:c r="G433" s="30" t="str">
        <x:v>Personnel Competency</x:v>
      </x:c>
      <x:c r="H433" s="30" t="str">
        <x:v>No</x:v>
      </x:c>
      <x:c r="I433" s="30" t="str">
        <x:v>P-4 QUARANTINED with inactive parent compliance; legacy ID retained.</x:v>
      </x:c>
    </x:row>
    <x:row r="434">
      <x:c r="A434" s="30" t="str">
        <x:v>AUD433</x:v>
      </x:c>
      <x:c r="B434" s="30" t="str">
        <x:v>COMP208</x:v>
      </x:c>
      <x:c r="C434" s="30" t="str">
        <x:v>Review user access logs for document management systems.</x:v>
      </x:c>
      <x:c r="D434" s="30" t="str">
        <x:v>System Verification</x:v>
      </x:c>
      <x:c r="E434" s="30" t="str">
        <x:v>Quarterly</x:v>
      </x:c>
      <x:c r="F434" s="30" t="str">
        <x:v>CORE</x:v>
      </x:c>
      <x:c r="G434" s="30" t="str">
        <x:v>Digital Controls</x:v>
      </x:c>
      <x:c r="H434" s="30" t="str">
        <x:v>No</x:v>
      </x:c>
      <x:c r="I434" s="30" t="str">
        <x:v>P-4 QUARANTINED with inactive parent compliance; legacy ID retained.</x:v>
      </x:c>
    </x:row>
    <x:row r="435">
      <x:c r="A435" s="30" t="str">
        <x:v>AUD434</x:v>
      </x:c>
      <x:c r="B435" s="30" t="str">
        <x:v>COMP209</x:v>
      </x:c>
      <x:c r="C435" s="30" t="str">
        <x:v>Verify that manual records are completed in indelible ink without unauthorized alterations.</x:v>
      </x:c>
      <x:c r="D435" s="30" t="str">
        <x:v>Physical Inspection</x:v>
      </x:c>
      <x:c r="E435" s="30" t="str">
        <x:v>Quarterly</x:v>
      </x:c>
      <x:c r="F435" s="30" t="str">
        <x:v>CORE</x:v>
      </x:c>
      <x:c r="G435" s="30" t="str">
        <x:v>Recordkeeping</x:v>
      </x:c>
      <x:c r="H435" s="30" t="str">
        <x:v>No</x:v>
      </x:c>
      <x:c r="I435" s="30" t="str">
        <x:v>P-4 QUARANTINED with inactive parent compliance; legacy ID retained.</x:v>
      </x:c>
    </x:row>
    <x:row r="436">
      <x:c r="A436" s="30" t="str">
        <x:v>AUD435</x:v>
      </x:c>
      <x:c r="B436" s="30" t="str">
        <x:v>COMP209</x:v>
      </x:c>
      <x:c r="C436" s="30" t="str">
        <x:v>Inspect completed records for compliance with Good Documentation Practices (GDP).</x:v>
      </x:c>
      <x:c r="D436" s="30" t="str">
        <x:v>Physical Inspection</x:v>
      </x:c>
      <x:c r="E436" s="30" t="str">
        <x:v>Quarterly</x:v>
      </x:c>
      <x:c r="F436" s="30" t="str">
        <x:v>CORE</x:v>
      </x:c>
      <x:c r="G436" s="30" t="str">
        <x:v>Recordkeeping</x:v>
      </x:c>
      <x:c r="H436" s="30" t="str">
        <x:v>No</x:v>
      </x:c>
      <x:c r="I436" s="30" t="str">
        <x:v>P-4 QUARANTINED with inactive parent compliance; legacy ID retained.</x:v>
      </x:c>
    </x:row>
    <x:row r="437">
      <x:c r="A437" s="30" t="str">
        <x:v>AUD436</x:v>
      </x:c>
      <x:c r="B437" s="30" t="str">
        <x:v>COMP210</x:v>
      </x:c>
      <x:c r="C437" s="30" t="str">
        <x:v>Verify that record corrections are dated, signed and justified.</x:v>
      </x:c>
      <x:c r="D437" s="30" t="str">
        <x:v>Record Verification</x:v>
      </x:c>
      <x:c r="E437" s="30" t="str">
        <x:v>Quarterly</x:v>
      </x:c>
      <x:c r="F437" s="30" t="str">
        <x:v>CORE</x:v>
      </x:c>
      <x:c r="G437" s="30" t="str">
        <x:v>Recordkeeping</x:v>
      </x:c>
      <x:c r="H437" s="30" t="str">
        <x:v>No</x:v>
      </x:c>
      <x:c r="I437" s="30" t="str">
        <x:v>P-3 QUARANTINED: Generic State/local/permit/reference rows, penalty-only/fabricated DAMR extractions, and future-effective DPDP duties are not current production obligations.</x:v>
      </x:c>
    </x:row>
    <x:row r="438">
      <x:c r="A438" s="30" t="str">
        <x:v>AUD437</x:v>
      </x:c>
      <x:c r="B438" s="30" t="str">
        <x:v>COMP210</x:v>
      </x:c>
      <x:c r="C438" s="30" t="str">
        <x:v>Review corrected records for compliance with GDP requirements.</x:v>
      </x:c>
      <x:c r="D438" s="30" t="str">
        <x:v>Record Verification</x:v>
      </x:c>
      <x:c r="E438" s="30" t="str">
        <x:v>Quarterly</x:v>
      </x:c>
      <x:c r="F438" s="30" t="str">
        <x:v>CORE</x:v>
      </x:c>
      <x:c r="G438" s="30" t="str">
        <x:v>Recordkeeping</x:v>
      </x:c>
      <x:c r="H438" s="30" t="str">
        <x:v>No</x:v>
      </x:c>
      <x:c r="I438" s="30" t="str">
        <x:v>P-3 QUARANTINED: Generic State/local/permit/reference rows, penalty-only/fabricated DAMR extractions, and future-effective DPDP duties are not current production obligations.</x:v>
      </x:c>
    </x:row>
    <x:row r="439">
      <x:c r="A439" s="30" t="str">
        <x:v>AUD438</x:v>
      </x:c>
      <x:c r="B439" s="30" t="str">
        <x:v>COMP211</x:v>
      </x:c>
      <x:c r="C439" s="30" t="str">
        <x:v>Verify that electronic records maintain complete audit trails.</x:v>
      </x:c>
      <x:c r="D439" s="30" t="str">
        <x:v>System Verification</x:v>
      </x:c>
      <x:c r="E439" s="30" t="str">
        <x:v>Quarterly</x:v>
      </x:c>
      <x:c r="F439" s="30" t="str">
        <x:v>CORE</x:v>
      </x:c>
      <x:c r="G439" s="30" t="str">
        <x:v>Recordkeeping</x:v>
      </x:c>
      <x:c r="H439" s="30" t="str">
        <x:v>No</x:v>
      </x:c>
      <x:c r="I439" s="30" t="str">
        <x:v>P-3 QUARANTINED: Generic State/local/permit/reference rows, penalty-only/fabricated DAMR extractions, and future-effective DPDP duties are not current production obligations.</x:v>
      </x:c>
    </x:row>
    <x:row r="440">
      <x:c r="A440" s="30" t="str">
        <x:v>AUD439</x:v>
      </x:c>
      <x:c r="B440" s="30" t="str">
        <x:v>COMP211</x:v>
      </x:c>
      <x:c r="C440" s="30" t="str">
        <x:v>Review electronic audit trail reports for unusual activities.</x:v>
      </x:c>
      <x:c r="D440" s="30" t="str">
        <x:v>System Verification</x:v>
      </x:c>
      <x:c r="E440" s="30" t="str">
        <x:v>Quarterly</x:v>
      </x:c>
      <x:c r="F440" s="30" t="str">
        <x:v>CORE</x:v>
      </x:c>
      <x:c r="G440" s="30" t="str">
        <x:v>General Compliance</x:v>
      </x:c>
      <x:c r="H440" s="30" t="str">
        <x:v>No</x:v>
      </x:c>
      <x:c r="I440" s="30" t="str">
        <x:v>P-3 QUARANTINED: Generic State/local/permit/reference rows, penalty-only/fabricated DAMR extractions, and future-effective DPDP duties are not current production obligations.</x:v>
      </x:c>
    </x:row>
    <x:row r="441">
      <x:c r="A441" s="30" t="str">
        <x:v>AUD440</x:v>
      </x:c>
      <x:c r="B441" s="30" t="str">
        <x:v>COMP212</x:v>
      </x:c>
      <x:c r="C441" s="30" t="str">
        <x:v>Select a sample of relevant transactions or events and interview the responsible person to confirm that if the OSHWC Code applies, maintain the covered workplace-safety/health controls, provide required information/instruction and meet notified standards.</x:v>
      </x:c>
      <x:c r="D441" s="30" t="str">
        <x:v>Sampling and Interview</x:v>
      </x:c>
      <x:c r="E441" s="30" t="str">
        <x:v>Quarterly</x:v>
      </x:c>
      <x:c r="F441" s="30" t="str">
        <x:v>CORE</x:v>
      </x:c>
      <x:c r="G441" s="30" t="str">
        <x:v>CA044</x:v>
      </x:c>
      <x:c r="H441" s="30" t="str">
        <x:v>Yes</x:v>
      </x:c>
      <x:c r="I441" s="30" t="str">
        <x:v>P-4 normalized to current parent compliance; legacy Audit ID preserved.</x:v>
      </x:c>
    </x:row>
    <x:row r="442">
      <x:c r="A442" s="30" t="str">
        <x:v>AUD441</x:v>
      </x:c>
      <x:c r="B442" s="30" t="str">
        <x:v>COMP212</x:v>
      </x:c>
      <x:c r="C442" s="30" t="str">
        <x:v>Review the applicable licence, order, register, SOP and a sample of records to verify that if the OSHWC Code applies, maintain the covered workplace-safety/health controls, provide required information/instruction and meet notified standards.</x:v>
      </x:c>
      <x:c r="D442" s="30" t="str">
        <x:v>Document Review and Sampling</x:v>
      </x:c>
      <x:c r="E442" s="30" t="str">
        <x:v>Quarterly</x:v>
      </x:c>
      <x:c r="F442" s="30" t="str">
        <x:v>CORE</x:v>
      </x:c>
      <x:c r="G442" s="30" t="str">
        <x:v>CA044</x:v>
      </x:c>
      <x:c r="H442" s="30" t="str">
        <x:v>Yes</x:v>
      </x:c>
      <x:c r="I442" s="30" t="str">
        <x:v>P-4 normalized to current parent compliance; legacy Audit ID preserved.</x:v>
      </x:c>
    </x:row>
    <x:row r="443">
      <x:c r="A443" s="30" t="str">
        <x:v>AUD442</x:v>
      </x:c>
      <x:c r="B443" s="30" t="str">
        <x:v>COMP213</x:v>
      </x:c>
      <x:c r="C443" s="30" t="str">
        <x:v>Select a sample of relevant transactions or events and interview the responsible person to confirm that if covered, implement the applicable welfare, working-time and employee information/appointment-letter controls under the Code and 2026 Rules.</x:v>
      </x:c>
      <x:c r="D443" s="30" t="str">
        <x:v>Sampling and Interview</x:v>
      </x:c>
      <x:c r="E443" s="30" t="str">
        <x:v>Annual</x:v>
      </x:c>
      <x:c r="F443" s="30" t="str">
        <x:v>CORE</x:v>
      </x:c>
      <x:c r="G443" s="30" t="str">
        <x:v>CA044</x:v>
      </x:c>
      <x:c r="H443" s="30" t="str">
        <x:v>Yes</x:v>
      </x:c>
      <x:c r="I443" s="30" t="str">
        <x:v>P-4 normalized to current parent compliance; legacy Audit ID preserved.</x:v>
      </x:c>
    </x:row>
    <x:row r="444">
      <x:c r="A444" s="30" t="str">
        <x:v>AUD443</x:v>
      </x:c>
      <x:c r="B444" s="30" t="str">
        <x:v>COMP213</x:v>
      </x:c>
      <x:c r="C444" s="30" t="str">
        <x:v>Review the applicable licence, order, register, SOP and a sample of records to verify that if covered, implement the applicable welfare, working-time and employee information/appointment-letter controls under the Code and 2026 Rules.</x:v>
      </x:c>
      <x:c r="D444" s="30" t="str">
        <x:v>Document Review and Sampling</x:v>
      </x:c>
      <x:c r="E444" s="30" t="str">
        <x:v>Annual</x:v>
      </x:c>
      <x:c r="F444" s="30" t="str">
        <x:v>CORE</x:v>
      </x:c>
      <x:c r="G444" s="30" t="str">
        <x:v>CA044</x:v>
      </x:c>
      <x:c r="H444" s="30" t="str">
        <x:v>Yes</x:v>
      </x:c>
      <x:c r="I444" s="30" t="str">
        <x:v>P-4 normalized to current parent compliance; legacy Audit ID preserved.</x:v>
      </x:c>
    </x:row>
    <x:row r="445">
      <x:c r="A445" s="30" t="str">
        <x:v>AUD444</x:v>
      </x:c>
      <x:c r="B445" s="30" t="str">
        <x:v>COMP214</x:v>
      </x:c>
      <x:c r="C445" s="30" t="str">
        <x:v>Select a sample of relevant transactions or events and interview the responsible person to confirm that report and record only the occupational accidents/dangerous occurrences prescribed for the covered establishment within the statutory timeline.</x:v>
      </x:c>
      <x:c r="D445" s="30" t="str">
        <x:v>Sampling and Interview</x:v>
      </x:c>
      <x:c r="E445" s="30" t="str">
        <x:v>Quarterly</x:v>
      </x:c>
      <x:c r="F445" s="30" t="str">
        <x:v>CORE</x:v>
      </x:c>
      <x:c r="G445" s="30" t="str">
        <x:v>CA044</x:v>
      </x:c>
      <x:c r="H445" s="30" t="str">
        <x:v>Yes</x:v>
      </x:c>
      <x:c r="I445" s="30" t="str">
        <x:v>P-4 normalized to current parent compliance; legacy Audit ID preserved.</x:v>
      </x:c>
    </x:row>
    <x:row r="446">
      <x:c r="A446" s="30" t="str">
        <x:v>AUD445</x:v>
      </x:c>
      <x:c r="B446" s="30" t="str">
        <x:v>COMP214</x:v>
      </x:c>
      <x:c r="C446" s="30" t="str">
        <x:v>Review the applicable licence, order, register, SOP and a sample of records to verify that report and record only the occupational accidents/dangerous occurrences prescribed for the covered establishment within the statutory timeline.</x:v>
      </x:c>
      <x:c r="D446" s="30" t="str">
        <x:v>Document Review and Sampling</x:v>
      </x:c>
      <x:c r="E446" s="30" t="str">
        <x:v>Quarterly</x:v>
      </x:c>
      <x:c r="F446" s="30" t="str">
        <x:v>CORE</x:v>
      </x:c>
      <x:c r="G446" s="30" t="str">
        <x:v>CA044</x:v>
      </x:c>
      <x:c r="H446" s="30" t="str">
        <x:v>Yes</x:v>
      </x:c>
      <x:c r="I446" s="30" t="str">
        <x:v>P-4 normalized to current parent compliance; legacy Audit ID preserved.</x:v>
      </x:c>
    </x:row>
    <x:row r="447">
      <x:c r="A447" s="30" t="str">
        <x:v>AUD446</x:v>
      </x:c>
      <x:c r="B447" s="30" t="str">
        <x:v>COMP215</x:v>
      </x:c>
      <x:c r="C447" s="30" t="str">
        <x:v>Select a sample of relevant transactions or events and interview the responsible person to confirm that perform temperature mapping of storage areas before commissioning and after major modifications.</x:v>
      </x:c>
      <x:c r="D447" s="30" t="str">
        <x:v>Sampling and Interview</x:v>
      </x:c>
      <x:c r="E447" s="30" t="str">
        <x:v>Event Based</x:v>
      </x:c>
      <x:c r="F447" s="30" t="str">
        <x:v>CORE</x:v>
      </x:c>
      <x:c r="G447" s="30" t="str">
        <x:v>CA008</x:v>
      </x:c>
      <x:c r="H447" s="30" t="str">
        <x:v>Yes</x:v>
      </x:c>
      <x:c r="I447" s="30" t="str">
        <x:v>P-4 normalized to current parent compliance; legacy Audit ID preserved.</x:v>
      </x:c>
    </x:row>
    <x:row r="448">
      <x:c r="A448" s="30" t="str">
        <x:v>AUD447</x:v>
      </x:c>
      <x:c r="B448" s="30" t="str">
        <x:v>COMP215</x:v>
      </x:c>
      <x:c r="C448" s="30" t="str">
        <x:v>Review the applicable licence, order, register, SOP and a sample of records to verify that perform temperature mapping of storage areas before commissioning and after major modifications.</x:v>
      </x:c>
      <x:c r="D448" s="30" t="str">
        <x:v>Document Review and Sampling</x:v>
      </x:c>
      <x:c r="E448" s="30" t="str">
        <x:v>Event Based</x:v>
      </x:c>
      <x:c r="F448" s="30" t="str">
        <x:v>CORE</x:v>
      </x:c>
      <x:c r="G448" s="30" t="str">
        <x:v>CA008</x:v>
      </x:c>
      <x:c r="H448" s="30" t="str">
        <x:v>Yes</x:v>
      </x:c>
      <x:c r="I448" s="30" t="str">
        <x:v>P-4 normalized to current parent compliance; legacy Audit ID preserved.</x:v>
      </x:c>
    </x:row>
    <x:row r="449">
      <x:c r="A449" s="30" t="str">
        <x:v>AUD448</x:v>
      </x:c>
      <x:c r="B449" s="30" t="str">
        <x:v>COMP216</x:v>
      </x:c>
      <x:c r="C449" s="30" t="str">
        <x:v>Select a sample of relevant transactions or events and interview the responsible person to confirm that revalidate temperature mapping periodically and after significant changes to storage conditions.</x:v>
      </x:c>
      <x:c r="D449" s="30" t="str">
        <x:v>Sampling and Interview</x:v>
      </x:c>
      <x:c r="E449" s="30" t="str">
        <x:v>Annual</x:v>
      </x:c>
      <x:c r="F449" s="30" t="str">
        <x:v>CORE</x:v>
      </x:c>
      <x:c r="G449" s="30" t="str">
        <x:v>CA008</x:v>
      </x:c>
      <x:c r="H449" s="30" t="str">
        <x:v>Yes</x:v>
      </x:c>
      <x:c r="I449" s="30" t="str">
        <x:v>P-4 normalized to current parent compliance; legacy Audit ID preserved.</x:v>
      </x:c>
    </x:row>
    <x:row r="450">
      <x:c r="A450" s="30" t="str">
        <x:v>AUD449</x:v>
      </x:c>
      <x:c r="B450" s="30" t="str">
        <x:v>COMP216</x:v>
      </x:c>
      <x:c r="C450" s="30" t="str">
        <x:v>Review the applicable licence, order, register, SOP and a sample of records to verify that revalidate temperature mapping periodically and after significant changes to storage conditions.</x:v>
      </x:c>
      <x:c r="D450" s="30" t="str">
        <x:v>Document Review and Sampling</x:v>
      </x:c>
      <x:c r="E450" s="30" t="str">
        <x:v>Quarterly</x:v>
      </x:c>
      <x:c r="F450" s="30" t="str">
        <x:v>CORE</x:v>
      </x:c>
      <x:c r="G450" s="30" t="str">
        <x:v>CA008</x:v>
      </x:c>
      <x:c r="H450" s="30" t="str">
        <x:v>Yes</x:v>
      </x:c>
      <x:c r="I450" s="30" t="str">
        <x:v>P-4 normalized to current parent compliance; legacy Audit ID preserved.</x:v>
      </x:c>
    </x:row>
    <x:row r="451">
      <x:c r="A451" s="30" t="str">
        <x:v>AUD450</x:v>
      </x:c>
      <x:c r="B451" s="30" t="str">
        <x:v>COMP217</x:v>
      </x:c>
      <x:c r="C451" s="30" t="str">
        <x:v>Select a sample of relevant transactions or events and interview the responsible person to confirm that maintain temperature mapping reports, protocols and validation records.</x:v>
      </x:c>
      <x:c r="D451" s="30" t="str">
        <x:v>Sampling and Interview</x:v>
      </x:c>
      <x:c r="E451" s="30" t="str">
        <x:v>Annual</x:v>
      </x:c>
      <x:c r="F451" s="30" t="str">
        <x:v>CORE</x:v>
      </x:c>
      <x:c r="G451" s="30" t="str">
        <x:v>CA020</x:v>
      </x:c>
      <x:c r="H451" s="30" t="str">
        <x:v>Yes</x:v>
      </x:c>
      <x:c r="I451" s="30" t="str">
        <x:v>P-4 normalized to current parent compliance; legacy Audit ID preserved.</x:v>
      </x:c>
    </x:row>
    <x:row r="452">
      <x:c r="A452" s="30" t="str">
        <x:v>AUD451</x:v>
      </x:c>
      <x:c r="B452" s="30" t="str">
        <x:v>COMP217</x:v>
      </x:c>
      <x:c r="C452" s="30" t="str">
        <x:v>Review the applicable licence, order, register, SOP and a sample of records to verify that maintain temperature mapping reports, protocols and validation records.</x:v>
      </x:c>
      <x:c r="D452" s="30" t="str">
        <x:v>Document Review and Sampling</x:v>
      </x:c>
      <x:c r="E452" s="30" t="str">
        <x:v>Annual</x:v>
      </x:c>
      <x:c r="F452" s="30" t="str">
        <x:v>CORE</x:v>
      </x:c>
      <x:c r="G452" s="30" t="str">
        <x:v>CA020</x:v>
      </x:c>
      <x:c r="H452" s="30" t="str">
        <x:v>Yes</x:v>
      </x:c>
      <x:c r="I452" s="30" t="str">
        <x:v>P-4 normalized to current parent compliance; legacy Audit ID preserved.</x:v>
      </x:c>
    </x:row>
    <x:row r="453">
      <x:c r="A453" s="30" t="str">
        <x:v>AUD452</x:v>
      </x:c>
      <x:c r="B453" s="30" t="str">
        <x:v>COMP218</x:v>
      </x:c>
      <x:c r="C453" s="30" t="str">
        <x:v>Select a sample of relevant transactions or events and interview the responsible person to confirm that calibrate all critical measuring instruments at approved intervals.</x:v>
      </x:c>
      <x:c r="D453" s="30" t="str">
        <x:v>Sampling and Interview</x:v>
      </x:c>
      <x:c r="E453" s="30" t="str">
        <x:v>Event Based</x:v>
      </x:c>
      <x:c r="F453" s="30" t="str">
        <x:v>CORE</x:v>
      </x:c>
      <x:c r="G453" s="30" t="str">
        <x:v>CA009</x:v>
      </x:c>
      <x:c r="H453" s="30" t="str">
        <x:v>Yes</x:v>
      </x:c>
      <x:c r="I453" s="30" t="str">
        <x:v>P-4 normalized to current parent compliance; legacy Audit ID preserved.</x:v>
      </x:c>
    </x:row>
    <x:row r="454">
      <x:c r="A454" s="30" t="str">
        <x:v>AUD453</x:v>
      </x:c>
      <x:c r="B454" s="30" t="str">
        <x:v>COMP218</x:v>
      </x:c>
      <x:c r="C454" s="30" t="str">
        <x:v>Review the applicable licence, order, register, SOP and a sample of records to verify that calibrate all critical measuring instruments at approved intervals.</x:v>
      </x:c>
      <x:c r="D454" s="30" t="str">
        <x:v>Document Review and Sampling</x:v>
      </x:c>
      <x:c r="E454" s="30" t="str">
        <x:v>Event Based</x:v>
      </x:c>
      <x:c r="F454" s="30" t="str">
        <x:v>CORE</x:v>
      </x:c>
      <x:c r="G454" s="30" t="str">
        <x:v>CA009</x:v>
      </x:c>
      <x:c r="H454" s="30" t="str">
        <x:v>Yes</x:v>
      </x:c>
      <x:c r="I454" s="30" t="str">
        <x:v>P-4 normalized to current parent compliance; legacy Audit ID preserved.</x:v>
      </x:c>
    </x:row>
    <x:row r="455">
      <x:c r="A455" s="30" t="str">
        <x:v>AUD454</x:v>
      </x:c>
      <x:c r="B455" s="30" t="str">
        <x:v>COMP219</x:v>
      </x:c>
      <x:c r="C455" s="30" t="str">
        <x:v>Select a sample of relevant transactions or events and interview the responsible person to confirm that qualify equipment before operational use and after major repairs where required.</x:v>
      </x:c>
      <x:c r="D455" s="30" t="str">
        <x:v>Sampling and Interview</x:v>
      </x:c>
      <x:c r="E455" s="30" t="str">
        <x:v>Quarterly</x:v>
      </x:c>
      <x:c r="F455" s="30" t="str">
        <x:v>CORE</x:v>
      </x:c>
      <x:c r="G455" s="30" t="str">
        <x:v>CA009</x:v>
      </x:c>
      <x:c r="H455" s="30" t="str">
        <x:v>Yes</x:v>
      </x:c>
      <x:c r="I455" s="30" t="str">
        <x:v>P-4 normalized to current parent compliance; legacy Audit ID preserved.</x:v>
      </x:c>
    </x:row>
    <x:row r="456">
      <x:c r="A456" s="30" t="str">
        <x:v>AUD455</x:v>
      </x:c>
      <x:c r="B456" s="30" t="str">
        <x:v>COMP219</x:v>
      </x:c>
      <x:c r="C456" s="30" t="str">
        <x:v>Review the applicable licence, order, register, SOP and a sample of records to verify that qualify equipment before operational use and after major repairs where required.</x:v>
      </x:c>
      <x:c r="D456" s="30" t="str">
        <x:v>Document Review and Sampling</x:v>
      </x:c>
      <x:c r="E456" s="30" t="str">
        <x:v>Quarterly</x:v>
      </x:c>
      <x:c r="F456" s="30" t="str">
        <x:v>CORE</x:v>
      </x:c>
      <x:c r="G456" s="30" t="str">
        <x:v>CA009</x:v>
      </x:c>
      <x:c r="H456" s="30" t="str">
        <x:v>Yes</x:v>
      </x:c>
      <x:c r="I456" s="30" t="str">
        <x:v>P-4 normalized to current parent compliance; legacy Audit ID preserved.</x:v>
      </x:c>
    </x:row>
    <x:row r="457">
      <x:c r="A457" s="30" t="str">
        <x:v>AUD456</x:v>
      </x:c>
      <x:c r="B457" s="30" t="str">
        <x:v>COMP220</x:v>
      </x:c>
      <x:c r="C457" s="30" t="str">
        <x:v>Select a sample of relevant transactions or events and interview the responsible person to confirm that implement a documented preventive maintenance programme for critical equipment.</x:v>
      </x:c>
      <x:c r="D457" s="30" t="str">
        <x:v>Sampling and Interview</x:v>
      </x:c>
      <x:c r="E457" s="30" t="str">
        <x:v>Annual</x:v>
      </x:c>
      <x:c r="F457" s="30" t="str">
        <x:v>CORE</x:v>
      </x:c>
      <x:c r="G457" s="30" t="str">
        <x:v>CA009</x:v>
      </x:c>
      <x:c r="H457" s="30" t="str">
        <x:v>Yes</x:v>
      </x:c>
      <x:c r="I457" s="30" t="str">
        <x:v>P-4 normalized to current parent compliance; legacy Audit ID preserved.</x:v>
      </x:c>
    </x:row>
    <x:row r="458">
      <x:c r="A458" s="30" t="str">
        <x:v>AUD457</x:v>
      </x:c>
      <x:c r="B458" s="30" t="str">
        <x:v>COMP220</x:v>
      </x:c>
      <x:c r="C458" s="30" t="str">
        <x:v>Review the applicable licence, order, register, SOP and a sample of records to verify that implement a documented preventive maintenance programme for critical equipment.</x:v>
      </x:c>
      <x:c r="D458" s="30" t="str">
        <x:v>Document Review and Sampling</x:v>
      </x:c>
      <x:c r="E458" s="30" t="str">
        <x:v>Annual</x:v>
      </x:c>
      <x:c r="F458" s="30" t="str">
        <x:v>CORE</x:v>
      </x:c>
      <x:c r="G458" s="30" t="str">
        <x:v>CA009</x:v>
      </x:c>
      <x:c r="H458" s="30" t="str">
        <x:v>Yes</x:v>
      </x:c>
      <x:c r="I458" s="30" t="str">
        <x:v>P-4 normalized to current parent compliance; legacy Audit ID preserved.</x:v>
      </x:c>
    </x:row>
    <x:row r="459">
      <x:c r="A459" s="30" t="str">
        <x:v>AUD458</x:v>
      </x:c>
      <x:c r="B459" s="30" t="str">
        <x:v>COMP221</x:v>
      </x:c>
      <x:c r="C459" s="30" t="str">
        <x:v>Select a sample of relevant transactions or events and interview the responsible person to confirm that maintain calibration certificates and calibration history for all critical instruments.</x:v>
      </x:c>
      <x:c r="D459" s="30" t="str">
        <x:v>Sampling and Interview</x:v>
      </x:c>
      <x:c r="E459" s="30" t="str">
        <x:v>Quarterly</x:v>
      </x:c>
      <x:c r="F459" s="30" t="str">
        <x:v>CORE</x:v>
      </x:c>
      <x:c r="G459" s="30" t="str">
        <x:v>CA020</x:v>
      </x:c>
      <x:c r="H459" s="30" t="str">
        <x:v>Yes</x:v>
      </x:c>
      <x:c r="I459" s="30" t="str">
        <x:v>P-4 normalized to current parent compliance; legacy Audit ID preserved.</x:v>
      </x:c>
    </x:row>
    <x:row r="460">
      <x:c r="A460" s="30" t="str">
        <x:v>AUD459</x:v>
      </x:c>
      <x:c r="B460" s="30" t="str">
        <x:v>COMP221</x:v>
      </x:c>
      <x:c r="C460" s="30" t="str">
        <x:v>Review the applicable licence, order, register, SOP and a sample of records to verify that maintain calibration certificates and calibration history for all critical instruments.</x:v>
      </x:c>
      <x:c r="D460" s="30" t="str">
        <x:v>Document Review and Sampling</x:v>
      </x:c>
      <x:c r="E460" s="30" t="str">
        <x:v>Quarterly</x:v>
      </x:c>
      <x:c r="F460" s="30" t="str">
        <x:v>CORE</x:v>
      </x:c>
      <x:c r="G460" s="30" t="str">
        <x:v>CA020</x:v>
      </x:c>
      <x:c r="H460" s="30" t="str">
        <x:v>Yes</x:v>
      </x:c>
      <x:c r="I460" s="30" t="str">
        <x:v>P-4 normalized to current parent compliance; legacy Audit ID preserved.</x:v>
      </x:c>
    </x:row>
    <x:row r="461">
      <x:c r="A461" s="30" t="str">
        <x:v>AUD460</x:v>
      </x:c>
      <x:c r="B461" s="30" t="str">
        <x:v>COMP222</x:v>
      </x:c>
      <x:c r="C461" s="30" t="str">
        <x:v>Select a sample of relevant transactions or events and interview the responsible person to confirm that verify equipment performance following maintenance or calibration activities.</x:v>
      </x:c>
      <x:c r="D461" s="30" t="str">
        <x:v>Sampling and Interview</x:v>
      </x:c>
      <x:c r="E461" s="30" t="str">
        <x:v>Annual</x:v>
      </x:c>
      <x:c r="F461" s="30" t="str">
        <x:v>CORE</x:v>
      </x:c>
      <x:c r="G461" s="30" t="str">
        <x:v>CA009</x:v>
      </x:c>
      <x:c r="H461" s="30" t="str">
        <x:v>Yes</x:v>
      </x:c>
      <x:c r="I461" s="30" t="str">
        <x:v>P-4 normalized to current parent compliance; legacy Audit ID preserved.</x:v>
      </x:c>
    </x:row>
    <x:row r="462">
      <x:c r="A462" s="30" t="str">
        <x:v>AUD461</x:v>
      </x:c>
      <x:c r="B462" s="30" t="str">
        <x:v>COMP222</x:v>
      </x:c>
      <x:c r="C462" s="30" t="str">
        <x:v>Review the applicable licence, order, register, SOP and a sample of records to verify that verify equipment performance following maintenance or calibration activities.</x:v>
      </x:c>
      <x:c r="D462" s="30" t="str">
        <x:v>Document Review and Sampling</x:v>
      </x:c>
      <x:c r="E462" s="30" t="str">
        <x:v>Annual</x:v>
      </x:c>
      <x:c r="F462" s="30" t="str">
        <x:v>CORE</x:v>
      </x:c>
      <x:c r="G462" s="30" t="str">
        <x:v>CA009</x:v>
      </x:c>
      <x:c r="H462" s="30" t="str">
        <x:v>Yes</x:v>
      </x:c>
      <x:c r="I462" s="30" t="str">
        <x:v>P-4 normalized to current parent compliance; legacy Audit ID preserved.</x:v>
      </x:c>
    </x:row>
    <x:row r="463">
      <x:c r="A463" s="30" t="str">
        <x:v>AUD462</x:v>
      </x:c>
      <x:c r="B463" s="30" t="str">
        <x:v>COMP223</x:v>
      </x:c>
      <x:c r="C463" s="30" t="str">
        <x:v>Select a sample of relevant transactions or events and interview the responsible person to confirm that clearly identify and segregate equipment that is overdue for calibration or found to be defective.</x:v>
      </x:c>
      <x:c r="D463" s="30" t="str">
        <x:v>Sampling and Interview</x:v>
      </x:c>
      <x:c r="E463" s="30" t="str">
        <x:v>Annual</x:v>
      </x:c>
      <x:c r="F463" s="30" t="str">
        <x:v>CORE</x:v>
      </x:c>
      <x:c r="G463" s="30" t="str">
        <x:v>CA009</x:v>
      </x:c>
      <x:c r="H463" s="30" t="str">
        <x:v>Yes</x:v>
      </x:c>
      <x:c r="I463" s="30" t="str">
        <x:v>P-4 normalized to current parent compliance; legacy Audit ID preserved.</x:v>
      </x:c>
    </x:row>
    <x:row r="464">
      <x:c r="A464" s="30" t="str">
        <x:v>AUD463</x:v>
      </x:c>
      <x:c r="B464" s="30" t="str">
        <x:v>COMP223</x:v>
      </x:c>
      <x:c r="C464" s="30" t="str">
        <x:v>Review the applicable licence, order, register, SOP and a sample of records to verify that clearly identify and segregate equipment that is overdue for calibration or found to be defective.</x:v>
      </x:c>
      <x:c r="D464" s="30" t="str">
        <x:v>Document Review and Sampling</x:v>
      </x:c>
      <x:c r="E464" s="30" t="str">
        <x:v>Annual</x:v>
      </x:c>
      <x:c r="F464" s="30" t="str">
        <x:v>CORE</x:v>
      </x:c>
      <x:c r="G464" s="30" t="str">
        <x:v>CA009</x:v>
      </x:c>
      <x:c r="H464" s="30" t="str">
        <x:v>Yes</x:v>
      </x:c>
      <x:c r="I464" s="30" t="str">
        <x:v>P-4 normalized to current parent compliance; legacy Audit ID preserved.</x:v>
      </x:c>
    </x:row>
    <x:row r="465">
      <x:c r="A465" s="30" t="str">
        <x:v>AUD464</x:v>
      </x:c>
      <x:c r="B465" s="30" t="str">
        <x:v>COMP224</x:v>
      </x:c>
      <x:c r="C465" s="30" t="str">
        <x:v>Select a sample of relevant transactions or events and interview the responsible person to confirm that ensure calibration is traceable to nationally or internationally recognized standards.</x:v>
      </x:c>
      <x:c r="D465" s="30" t="str">
        <x:v>Sampling and Interview</x:v>
      </x:c>
      <x:c r="E465" s="30" t="str">
        <x:v>Annual</x:v>
      </x:c>
      <x:c r="F465" s="30" t="str">
        <x:v>CORE</x:v>
      </x:c>
      <x:c r="G465" s="30" t="str">
        <x:v>CA009</x:v>
      </x:c>
      <x:c r="H465" s="30" t="str">
        <x:v>Yes</x:v>
      </x:c>
      <x:c r="I465" s="30" t="str">
        <x:v>P-4 normalized to current parent compliance; legacy Audit ID preserved.</x:v>
      </x:c>
    </x:row>
    <x:row r="466">
      <x:c r="A466" s="30" t="str">
        <x:v>AUD465</x:v>
      </x:c>
      <x:c r="B466" s="30" t="str">
        <x:v>COMP224</x:v>
      </x:c>
      <x:c r="C466" s="30" t="str">
        <x:v>Review the applicable licence, order, register, SOP and a sample of records to verify that ensure calibration is traceable to nationally or internationally recognized standards.</x:v>
      </x:c>
      <x:c r="D466" s="30" t="str">
        <x:v>Document Review and Sampling</x:v>
      </x:c>
      <x:c r="E466" s="30" t="str">
        <x:v>Quarterly</x:v>
      </x:c>
      <x:c r="F466" s="30" t="str">
        <x:v>CORE</x:v>
      </x:c>
      <x:c r="G466" s="30" t="str">
        <x:v>CA009</x:v>
      </x:c>
      <x:c r="H466" s="30" t="str">
        <x:v>Yes</x:v>
      </x:c>
      <x:c r="I466" s="30" t="str">
        <x:v>P-4 normalized to current parent compliance; legacy Audit ID preserved.</x:v>
      </x:c>
    </x:row>
    <x:row r="467">
      <x:c r="A467" s="30" t="str">
        <x:v>AUD466</x:v>
      </x:c>
      <x:c r="B467" s="30" t="str">
        <x:v>COMP224</x:v>
      </x:c>
      <x:c r="C467" s="30" t="str">
        <x:v>Select a sample of relevant transactions or events and interview the responsible person to confirm that ensure calibration is traceable to nationally or internationally recognized standards.</x:v>
      </x:c>
      <x:c r="D467" s="30" t="str">
        <x:v>Sampling and Interview</x:v>
      </x:c>
      <x:c r="E467" s="30" t="str">
        <x:v>Annual</x:v>
      </x:c>
      <x:c r="F467" s="30" t="str">
        <x:v>CORE</x:v>
      </x:c>
      <x:c r="G467" s="30" t="str">
        <x:v>CA009</x:v>
      </x:c>
      <x:c r="H467" s="30" t="str">
        <x:v>Yes</x:v>
      </x:c>
      <x:c r="I467" s="30" t="str">
        <x:v>P-4 normalized to current parent compliance; legacy Audit ID preserved.</x:v>
      </x:c>
    </x:row>
    <x:row r="468">
      <x:c r="A468" s="30" t="str">
        <x:v>AUD467</x:v>
      </x:c>
      <x:c r="B468" s="30" t="str">
        <x:v>COMP225</x:v>
      </x:c>
      <x:c r="C468" s="30" t="str">
        <x:v>Review the applicable licence, order, register, SOP and a sample of records to verify that periodically review the effectiveness of the calibration and maintenance programme.</x:v>
      </x:c>
      <x:c r="D468" s="30" t="str">
        <x:v>Document Review and Sampling</x:v>
      </x:c>
      <x:c r="E468" s="30" t="str">
        <x:v>Annual</x:v>
      </x:c>
      <x:c r="F468" s="30" t="str">
        <x:v>CORE</x:v>
      </x:c>
      <x:c r="G468" s="30" t="str">
        <x:v>CA083</x:v>
      </x:c>
      <x:c r="H468" s="30" t="str">
        <x:v>Yes</x:v>
      </x:c>
      <x:c r="I468" s="30" t="str">
        <x:v>P-4 normalized to current parent compliance; legacy Audit ID preserved.</x:v>
      </x:c>
    </x:row>
    <x:row r="469">
      <x:c r="A469" s="30" t="str">
        <x:v>AUD468</x:v>
      </x:c>
      <x:c r="B469" s="30" t="str">
        <x:v>COMP225</x:v>
      </x:c>
      <x:c r="C469" s="30" t="str">
        <x:v>Select a sample of relevant transactions or events and interview the responsible person to confirm that periodically review the effectiveness of the calibration and maintenance programme.</x:v>
      </x:c>
      <x:c r="D469" s="30" t="str">
        <x:v>Sampling and Interview</x:v>
      </x:c>
      <x:c r="E469" s="30" t="str">
        <x:v>Annual</x:v>
      </x:c>
      <x:c r="F469" s="30" t="str">
        <x:v>CORE</x:v>
      </x:c>
      <x:c r="G469" s="30" t="str">
        <x:v>CA083</x:v>
      </x:c>
      <x:c r="H469" s="30" t="str">
        <x:v>Yes</x:v>
      </x:c>
      <x:c r="I469" s="30" t="str">
        <x:v>P-4 normalized to current parent compliance; legacy Audit ID preserved.</x:v>
      </x:c>
    </x:row>
    <x:row r="470">
      <x:c r="A470" s="30" t="str">
        <x:v>AUD469</x:v>
      </x:c>
      <x:c r="B470" s="30" t="str">
        <x:v>COMP225</x:v>
      </x:c>
      <x:c r="C470" s="30" t="str">
        <x:v>Review the applicable licence, order, register, SOP and a sample of records to verify that periodically review the effectiveness of the calibration and maintenance programme.</x:v>
      </x:c>
      <x:c r="D470" s="30" t="str">
        <x:v>Document Review and Sampling</x:v>
      </x:c>
      <x:c r="E470" s="30" t="str">
        <x:v>Annual</x:v>
      </x:c>
      <x:c r="F470" s="30" t="str">
        <x:v>CORE</x:v>
      </x:c>
      <x:c r="G470" s="30" t="str">
        <x:v>CA083</x:v>
      </x:c>
      <x:c r="H470" s="30" t="str">
        <x:v>Yes</x:v>
      </x:c>
      <x:c r="I470" s="30" t="str">
        <x:v>P-4 normalized to current parent compliance; legacy Audit ID preserved.</x:v>
      </x:c>
    </x:row>
    <x:row r="471">
      <x:c r="A471" s="30" t="str">
        <x:v>AUD470</x:v>
      </x:c>
      <x:c r="B471" s="30" t="str">
        <x:v>COMP226</x:v>
      </x:c>
      <x:c r="C471" s="30" t="str">
        <x:v>Select a sample of relevant transactions or events and interview the responsible person to confirm that synchronise ICT system clocks to NIC/NPL traceable NTP servers or another accurate time source traceable to them.</x:v>
      </x:c>
      <x:c r="D471" s="30" t="str">
        <x:v>Sampling and Interview</x:v>
      </x:c>
      <x:c r="E471" s="30" t="str">
        <x:v>Annual</x:v>
      </x:c>
      <x:c r="F471" s="30" t="str">
        <x:v>CORE</x:v>
      </x:c>
      <x:c r="G471" s="30" t="str">
        <x:v>CA072</x:v>
      </x:c>
      <x:c r="H471" s="30" t="str">
        <x:v>Yes</x:v>
      </x:c>
      <x:c r="I471" s="30" t="str">
        <x:v>P-4 normalized to current parent compliance; legacy Audit ID preserved.</x:v>
      </x:c>
    </x:row>
    <x:row r="472">
      <x:c r="A472" s="30" t="str">
        <x:v>AUD471</x:v>
      </x:c>
      <x:c r="B472" s="30" t="str">
        <x:v>COMP226</x:v>
      </x:c>
      <x:c r="C472" s="30" t="str">
        <x:v>Review the applicable licence, order, register, SOP and a sample of records to verify that synchronise ICT system clocks to NIC/NPL traceable NTP servers or another accurate time source traceable to them.</x:v>
      </x:c>
      <x:c r="D472" s="30" t="str">
        <x:v>Document Review and Sampling</x:v>
      </x:c>
      <x:c r="E472" s="30" t="str">
        <x:v>Annual</x:v>
      </x:c>
      <x:c r="F472" s="30" t="str">
        <x:v>CORE</x:v>
      </x:c>
      <x:c r="G472" s="30" t="str">
        <x:v>CA072</x:v>
      </x:c>
      <x:c r="H472" s="30" t="str">
        <x:v>Yes</x:v>
      </x:c>
      <x:c r="I472" s="30" t="str">
        <x:v>P-4 normalized to current parent compliance; legacy Audit ID preserved.</x:v>
      </x:c>
    </x:row>
    <x:row r="473">
      <x:c r="A473" s="30" t="str">
        <x:v>AUD472</x:v>
      </x:c>
      <x:c r="B473" s="30" t="str">
        <x:v>COMP227</x:v>
      </x:c>
      <x:c r="C473" s="30" t="str">
        <x:v>Select a sample of relevant transactions or events and interview the responsible person to confirm that report any specified Annexure I cyber incident to CERT-In within six hours of noticing it or being informed.</x:v>
      </x:c>
      <x:c r="D473" s="30" t="str">
        <x:v>Sampling and Interview</x:v>
      </x:c>
      <x:c r="E473" s="30" t="str">
        <x:v>Annual</x:v>
      </x:c>
      <x:c r="F473" s="30" t="str">
        <x:v>CORE</x:v>
      </x:c>
      <x:c r="G473" s="30" t="str">
        <x:v>CA072</x:v>
      </x:c>
      <x:c r="H473" s="30" t="str">
        <x:v>Yes</x:v>
      </x:c>
      <x:c r="I473" s="30" t="str">
        <x:v>P-4 normalized to current parent compliance; legacy Audit ID preserved.</x:v>
      </x:c>
    </x:row>
    <x:row r="474">
      <x:c r="A474" s="30" t="str">
        <x:v>AUD473</x:v>
      </x:c>
      <x:c r="B474" s="30" t="str">
        <x:v>COMP227</x:v>
      </x:c>
      <x:c r="C474" s="30" t="str">
        <x:v>Review the applicable licence, order, register, SOP and a sample of records to verify that report any specified Annexure I cyber incident to CERT-In within six hours of noticing it or being informed.</x:v>
      </x:c>
      <x:c r="D474" s="30" t="str">
        <x:v>Document Review and Sampling</x:v>
      </x:c>
      <x:c r="E474" s="30" t="str">
        <x:v>Annual</x:v>
      </x:c>
      <x:c r="F474" s="30" t="str">
        <x:v>CORE</x:v>
      </x:c>
      <x:c r="G474" s="30" t="str">
        <x:v>CA072</x:v>
      </x:c>
      <x:c r="H474" s="30" t="str">
        <x:v>Yes</x:v>
      </x:c>
      <x:c r="I474" s="30" t="str">
        <x:v>P-4 normalized to current parent compliance; legacy Audit ID preserved.</x:v>
      </x:c>
    </x:row>
    <x:row r="475">
      <x:c r="A475" s="30" t="str">
        <x:v>AUD474</x:v>
      </x:c>
      <x:c r="B475" s="30" t="str">
        <x:v>COMP228</x:v>
      </x:c>
      <x:c r="C475" s="30" t="str">
        <x:v>Select a sample of relevant transactions or events and interview the responsible person to confirm that enable ICT logs, retain them securely for a rolling 180 days within Indian jurisdiction and provide them to CERT-In when lawfully required.</x:v>
      </x:c>
      <x:c r="D475" s="30" t="str">
        <x:v>Sampling and Interview</x:v>
      </x:c>
      <x:c r="E475" s="30" t="str">
        <x:v>Annual</x:v>
      </x:c>
      <x:c r="F475" s="30" t="str">
        <x:v>CORE</x:v>
      </x:c>
      <x:c r="G475" s="30" t="str">
        <x:v>CA072</x:v>
      </x:c>
      <x:c r="H475" s="30" t="str">
        <x:v>Yes</x:v>
      </x:c>
      <x:c r="I475" s="30" t="str">
        <x:v>P-4 normalized to current parent compliance; legacy Audit ID preserved.</x:v>
      </x:c>
    </x:row>
    <x:row r="476">
      <x:c r="A476" s="30" t="str">
        <x:v>AUD475</x:v>
      </x:c>
      <x:c r="B476" s="30" t="str">
        <x:v>COMP228</x:v>
      </x:c>
      <x:c r="C476" s="30" t="str">
        <x:v>Review the applicable licence, order, register, SOP and a sample of records to verify that enable ICT logs, retain them securely for a rolling 180 days within Indian jurisdiction and provide them to CERT-In when lawfully required.</x:v>
      </x:c>
      <x:c r="D476" s="30" t="str">
        <x:v>Document Review and Sampling</x:v>
      </x:c>
      <x:c r="E476" s="30" t="str">
        <x:v>Annual</x:v>
      </x:c>
      <x:c r="F476" s="30" t="str">
        <x:v>CORE</x:v>
      </x:c>
      <x:c r="G476" s="30" t="str">
        <x:v>CA072</x:v>
      </x:c>
      <x:c r="H476" s="30" t="str">
        <x:v>Yes</x:v>
      </x:c>
      <x:c r="I476" s="30" t="str">
        <x:v>P-4 normalized to current parent compliance; legacy Audit ID preserved.</x:v>
      </x:c>
    </x:row>
    <x:row r="477">
      <x:c r="A477" s="30" t="str">
        <x:v>AUD476</x:v>
      </x:c>
      <x:c r="B477" s="30" t="str">
        <x:v>COMP229</x:v>
      </x:c>
      <x:c r="C477" s="30" t="str">
        <x:v>Select a sample of relevant transactions or events and interview the responsible person to confirm that designate, communicate and keep current the prescribed CERT-In point-of-contact details.</x:v>
      </x:c>
      <x:c r="D477" s="30" t="str">
        <x:v>Sampling and Interview</x:v>
      </x:c>
      <x:c r="E477" s="30" t="str">
        <x:v>Annual</x:v>
      </x:c>
      <x:c r="F477" s="30" t="str">
        <x:v>CORE</x:v>
      </x:c>
      <x:c r="G477" s="30" t="str">
        <x:v>CA072</x:v>
      </x:c>
      <x:c r="H477" s="30" t="str">
        <x:v>Yes</x:v>
      </x:c>
      <x:c r="I477" s="30" t="str">
        <x:v>P-4 normalized to current parent compliance; legacy Audit ID preserved.</x:v>
      </x:c>
    </x:row>
    <x:row r="478">
      <x:c r="A478" s="30" t="str">
        <x:v>AUD477</x:v>
      </x:c>
      <x:c r="B478" s="30" t="str">
        <x:v>COMP229</x:v>
      </x:c>
      <x:c r="C478" s="30" t="str">
        <x:v>Review the applicable licence, order, register, SOP and a sample of records to verify that designate, communicate and keep current the prescribed CERT-In point-of-contact details.</x:v>
      </x:c>
      <x:c r="D478" s="30" t="str">
        <x:v>Document Review and Sampling</x:v>
      </x:c>
      <x:c r="E478" s="30" t="str">
        <x:v>Annual</x:v>
      </x:c>
      <x:c r="F478" s="30" t="str">
        <x:v>CORE</x:v>
      </x:c>
      <x:c r="G478" s="30" t="str">
        <x:v>CA072</x:v>
      </x:c>
      <x:c r="H478" s="30" t="str">
        <x:v>Yes</x:v>
      </x:c>
      <x:c r="I478" s="30" t="str">
        <x:v>P-4 normalized to current parent compliance; legacy Audit ID preserved.</x:v>
      </x:c>
    </x:row>
    <x:row r="479">
      <x:c r="A479" s="30" t="str">
        <x:v>AUD478</x:v>
      </x:c>
      <x:c r="B479" s="30" t="str">
        <x:v>COMP230</x:v>
      </x:c>
      <x:c r="C479" s="30" t="str">
        <x:v>Verify that audit observations are classified according to approved risk rating criteria.</x:v>
      </x:c>
      <x:c r="D479" s="30" t="str">
        <x:v>Observation</x:v>
      </x:c>
      <x:c r="E479" s="30" t="str">
        <x:v>Quarterly</x:v>
      </x:c>
      <x:c r="F479" s="30" t="str">
        <x:v>CORE</x:v>
      </x:c>
      <x:c r="G479" s="30" t="str">
        <x:v>General Compliance</x:v>
      </x:c>
      <x:c r="H479" s="30" t="str">
        <x:v>No</x:v>
      </x:c>
      <x:c r="I479" s="30" t="str">
        <x:v>P-3 QUARANTINED: Generic State/local/permit/reference rows, penalty-only/fabricated DAMR extractions, and future-effective DPDP duties are not current production obligations.</x:v>
      </x:c>
    </x:row>
    <x:row r="480">
      <x:c r="A480" s="30" t="str">
        <x:v>AUD479</x:v>
      </x:c>
      <x:c r="B480" s="30" t="str">
        <x:v>COMP230</x:v>
      </x:c>
      <x:c r="C480" s="30" t="str">
        <x:v>Review risk assessment supporting significant audit findings.</x:v>
      </x:c>
      <x:c r="D480" s="30" t="str">
        <x:v>Record Verification</x:v>
      </x:c>
      <x:c r="E480" s="30" t="str">
        <x:v>Quarterly</x:v>
      </x:c>
      <x:c r="F480" s="30" t="str">
        <x:v>CORE</x:v>
      </x:c>
      <x:c r="G480" s="30" t="str">
        <x:v>General Compliance</x:v>
      </x:c>
      <x:c r="H480" s="30" t="str">
        <x:v>No</x:v>
      </x:c>
      <x:c r="I480" s="30" t="str">
        <x:v>P-3 QUARANTINED: Generic State/local/permit/reference rows, penalty-only/fabricated DAMR extractions, and future-effective DPDP duties are not current production obligations.</x:v>
      </x:c>
    </x:row>
    <x:row r="481">
      <x:c r="A481" s="30" t="str">
        <x:v>AUD480</x:v>
      </x:c>
      <x:c r="B481" s="30" t="str">
        <x:v>COMP231</x:v>
      </x:c>
      <x:c r="C481" s="30" t="str">
        <x:v>Verify that audit reports are issued within the prescribed reporting timeline.</x:v>
      </x:c>
      <x:c r="D481" s="30" t="str">
        <x:v>Document Review</x:v>
      </x:c>
      <x:c r="E481" s="30" t="str">
        <x:v>Quarterly</x:v>
      </x:c>
      <x:c r="F481" s="30" t="str">
        <x:v>CORE</x:v>
      </x:c>
      <x:c r="G481" s="30" t="str">
        <x:v>General Compliance</x:v>
      </x:c>
      <x:c r="H481" s="30" t="str">
        <x:v>No</x:v>
      </x:c>
      <x:c r="I481" s="30" t="str">
        <x:v>P-3 QUARANTINED: Generic State/local/permit/reference rows, penalty-only/fabricated DAMR extractions, and future-effective DPDP duties are not current production obligations.</x:v>
      </x:c>
    </x:row>
    <x:row r="482">
      <x:c r="A482" s="30" t="str">
        <x:v>AUD481</x:v>
      </x:c>
      <x:c r="B482" s="30" t="str">
        <x:v>COMP231</x:v>
      </x:c>
      <x:c r="C482" s="30" t="str">
        <x:v>Review audit issue dates against audit completion dates.</x:v>
      </x:c>
      <x:c r="D482" s="30" t="str">
        <x:v>Reconciliation</x:v>
      </x:c>
      <x:c r="E482" s="30" t="str">
        <x:v>Quarterly</x:v>
      </x:c>
      <x:c r="F482" s="30" t="str">
        <x:v>CORE</x:v>
      </x:c>
      <x:c r="G482" s="30" t="str">
        <x:v>General Compliance</x:v>
      </x:c>
      <x:c r="H482" s="30" t="str">
        <x:v>No</x:v>
      </x:c>
      <x:c r="I482" s="30" t="str">
        <x:v>P-3 QUARANTINED: Generic State/local/permit/reference rows, penalty-only/fabricated DAMR extractions, and future-effective DPDP duties are not current production obligations.</x:v>
      </x:c>
    </x:row>
    <x:row r="483">
      <x:c r="A483" s="30" t="str">
        <x:v>AUD482</x:v>
      </x:c>
      <x:c r="B483" s="30" t="str">
        <x:v>COMP232</x:v>
      </x:c>
      <x:c r="C483" s="30" t="str">
        <x:v>Verify that management provides formal responses to audit observations.</x:v>
      </x:c>
      <x:c r="D483" s="30" t="str">
        <x:v>Observation</x:v>
      </x:c>
      <x:c r="E483" s="30" t="str">
        <x:v>Quarterly</x:v>
      </x:c>
      <x:c r="F483" s="30" t="str">
        <x:v>CORE</x:v>
      </x:c>
      <x:c r="G483" s="30" t="str">
        <x:v>General Compliance</x:v>
      </x:c>
      <x:c r="H483" s="30" t="str">
        <x:v>No</x:v>
      </x:c>
      <x:c r="I483" s="30" t="str">
        <x:v>P-3 QUARANTINED: Generic State/local/permit/reference rows, penalty-only/fabricated DAMR extractions, and future-effective DPDP duties are not current production obligations.</x:v>
      </x:c>
    </x:row>
    <x:row r="484">
      <x:c r="A484" s="30" t="str">
        <x:v>AUD483</x:v>
      </x:c>
      <x:c r="B484" s="30" t="str">
        <x:v>COMP232</x:v>
      </x:c>
      <x:c r="C484" s="30" t="str">
        <x:v>Review management action plans for completeness and approval.</x:v>
      </x:c>
      <x:c r="D484" s="30" t="str">
        <x:v>Record Verification</x:v>
      </x:c>
      <x:c r="E484" s="30" t="str">
        <x:v>Quarterly</x:v>
      </x:c>
      <x:c r="F484" s="30" t="str">
        <x:v>CORE</x:v>
      </x:c>
      <x:c r="G484" s="30" t="str">
        <x:v>General Compliance</x:v>
      </x:c>
      <x:c r="H484" s="30" t="str">
        <x:v>No</x:v>
      </x:c>
      <x:c r="I484" s="30" t="str">
        <x:v>P-3 QUARANTINED: Generic State/local/permit/reference rows, penalty-only/fabricated DAMR extractions, and future-effective DPDP duties are not current production obligations.</x:v>
      </x:c>
    </x:row>
    <x:row r="485">
      <x:c r="A485" s="30" t="str">
        <x:v>AUD484</x:v>
      </x:c>
      <x:c r="B485" s="30" t="str">
        <x:v>COMP233</x:v>
      </x:c>
      <x:c r="C485" s="30" t="str">
        <x:v>Verify that corrective and preventive actions (CAPA) are implemented within approved timelines.</x:v>
      </x:c>
      <x:c r="D485" s="30" t="str">
        <x:v>Record Verification</x:v>
      </x:c>
      <x:c r="E485" s="30" t="str">
        <x:v>Monthly</x:v>
      </x:c>
      <x:c r="F485" s="30" t="str">
        <x:v>CORE</x:v>
      </x:c>
      <x:c r="G485" s="30" t="str">
        <x:v>General Compliance</x:v>
      </x:c>
      <x:c r="H485" s="30" t="str">
        <x:v>No</x:v>
      </x:c>
      <x:c r="I485" s="30" t="str">
        <x:v>P-3 QUARANTINED: Generic State/local/permit/reference rows, penalty-only/fabricated DAMR extractions, and future-effective DPDP duties are not current production obligations.</x:v>
      </x:c>
    </x:row>
    <x:row r="486">
      <x:c r="A486" s="30" t="str">
        <x:v>AUD485</x:v>
      </x:c>
      <x:c r="B486" s="30" t="str">
        <x:v>COMP233</x:v>
      </x:c>
      <x:c r="C486" s="30" t="str">
        <x:v>Examine evidence supporting implementation of corrective actions.</x:v>
      </x:c>
      <x:c r="D486" s="30" t="str">
        <x:v>Document Review</x:v>
      </x:c>
      <x:c r="E486" s="30" t="str">
        <x:v>Monthly</x:v>
      </x:c>
      <x:c r="F486" s="30" t="str">
        <x:v>CORE</x:v>
      </x:c>
      <x:c r="G486" s="30" t="str">
        <x:v>General Compliance</x:v>
      </x:c>
      <x:c r="H486" s="30" t="str">
        <x:v>No</x:v>
      </x:c>
      <x:c r="I486" s="30" t="str">
        <x:v>P-3 QUARANTINED: Generic State/local/permit/reference rows, penalty-only/fabricated DAMR extractions, and future-effective DPDP duties are not current production obligations.</x:v>
      </x:c>
    </x:row>
    <x:row r="487">
      <x:c r="A487" s="30" t="str">
        <x:v>AUD486</x:v>
      </x:c>
      <x:c r="B487" s="30" t="str">
        <x:v>COMP234</x:v>
      </x:c>
      <x:c r="C487" s="30" t="str">
        <x:v>Verify that follow-up audits confirm effectiveness of implemented corrective actions.</x:v>
      </x:c>
      <x:c r="D487" s="30" t="str">
        <x:v>Document Review</x:v>
      </x:c>
      <x:c r="E487" s="30" t="str">
        <x:v>Quarterly</x:v>
      </x:c>
      <x:c r="F487" s="30" t="str">
        <x:v>CORE</x:v>
      </x:c>
      <x:c r="G487" s="30" t="str">
        <x:v>General Compliance</x:v>
      </x:c>
      <x:c r="H487" s="30" t="str">
        <x:v>No</x:v>
      </x:c>
      <x:c r="I487" s="30" t="str">
        <x:v>P-3 QUARANTINED: Generic State/local/permit/reference rows, penalty-only/fabricated DAMR extractions, and future-effective DPDP duties are not current production obligations.</x:v>
      </x:c>
    </x:row>
    <x:row r="488">
      <x:c r="A488" s="30" t="str">
        <x:v>AUD487</x:v>
      </x:c>
      <x:c r="B488" s="30" t="str">
        <x:v>COMP234</x:v>
      </x:c>
      <x:c r="C488" s="30" t="str">
        <x:v>Review follow-up audit reports and closure recommendations.</x:v>
      </x:c>
      <x:c r="D488" s="30" t="str">
        <x:v>Record Verification</x:v>
      </x:c>
      <x:c r="E488" s="30" t="str">
        <x:v>Quarterly</x:v>
      </x:c>
      <x:c r="F488" s="30" t="str">
        <x:v>CORE</x:v>
      </x:c>
      <x:c r="G488" s="30" t="str">
        <x:v>General Compliance</x:v>
      </x:c>
      <x:c r="H488" s="30" t="str">
        <x:v>No</x:v>
      </x:c>
      <x:c r="I488" s="30" t="str">
        <x:v>P-3 QUARANTINED: Generic State/local/permit/reference rows, penalty-only/fabricated DAMR extractions, and future-effective DPDP duties are not current production obligations.</x:v>
      </x:c>
    </x:row>
    <x:row r="489">
      <x:c r="A489" s="30" t="str">
        <x:v>AUD488</x:v>
      </x:c>
      <x:c r="B489" s="30" t="str">
        <x:v>COMP235</x:v>
      </x:c>
      <x:c r="C489" s="30" t="str">
        <x:v>Verify that recurring audit observations are analyzed for systemic causes.</x:v>
      </x:c>
      <x:c r="D489" s="30" t="str">
        <x:v>System Verification</x:v>
      </x:c>
      <x:c r="E489" s="30" t="str">
        <x:v>Quarterly</x:v>
      </x:c>
      <x:c r="F489" s="30" t="str">
        <x:v>CORE</x:v>
      </x:c>
      <x:c r="G489" s="30" t="str">
        <x:v>Digital Controls</x:v>
      </x:c>
      <x:c r="H489" s="30" t="str">
        <x:v>No</x:v>
      </x:c>
      <x:c r="I489" s="30" t="str">
        <x:v>P-3 QUARANTINED: Generic State/local/permit/reference rows, penalty-only/fabricated DAMR extractions, and future-effective DPDP duties are not current production obligations.</x:v>
      </x:c>
    </x:row>
    <x:row r="490">
      <x:c r="A490" s="30" t="str">
        <x:v>AUD489</x:v>
      </x:c>
      <x:c r="B490" s="30" t="str">
        <x:v>COMP235</x:v>
      </x:c>
      <x:c r="C490" s="30" t="str">
        <x:v>Review root cause analyses and preventive action plans.</x:v>
      </x:c>
      <x:c r="D490" s="30" t="str">
        <x:v>Record Verification</x:v>
      </x:c>
      <x:c r="E490" s="30" t="str">
        <x:v>Quarterly</x:v>
      </x:c>
      <x:c r="F490" s="30" t="str">
        <x:v>CORE</x:v>
      </x:c>
      <x:c r="G490" s="30" t="str">
        <x:v>General Compliance</x:v>
      </x:c>
      <x:c r="H490" s="30" t="str">
        <x:v>No</x:v>
      </x:c>
      <x:c r="I490" s="30" t="str">
        <x:v>P-3 QUARANTINED: Generic State/local/permit/reference rows, penalty-only/fabricated DAMR extractions, and future-effective DPDP duties are not current production obligations.</x:v>
      </x:c>
    </x:row>
    <x:row r="491">
      <x:c r="A491" s="30" t="str">
        <x:v>AUD490</x:v>
      </x:c>
      <x:c r="B491" s="30" t="str">
        <x:v>COMP236</x:v>
      </x:c>
      <x:c r="C491" s="30" t="str">
        <x:v>Select a sample of relevant transactions or events and interview the responsible person to confirm that maintain pharmacy premises, records and operations in a state of inspection readiness at all times.</x:v>
      </x:c>
      <x:c r="D491" s="30" t="str">
        <x:v>Sampling and Interview</x:v>
      </x:c>
      <x:c r="E491" s="30" t="str">
        <x:v>Quarterly</x:v>
      </x:c>
      <x:c r="F491" s="30" t="str">
        <x:v>CORE</x:v>
      </x:c>
      <x:c r="G491" s="30" t="str">
        <x:v>CA077</x:v>
      </x:c>
      <x:c r="H491" s="30" t="str">
        <x:v>Yes</x:v>
      </x:c>
      <x:c r="I491" s="30" t="str">
        <x:v>P-4 normalized to current parent compliance; legacy Audit ID preserved.</x:v>
      </x:c>
    </x:row>
    <x:row r="492">
      <x:c r="A492" s="30" t="str">
        <x:v>AUD491</x:v>
      </x:c>
      <x:c r="B492" s="30" t="str">
        <x:v>COMP236</x:v>
      </x:c>
      <x:c r="C492" s="30" t="str">
        <x:v>Review the applicable licence, order, register, SOP and a sample of records to verify that maintain pharmacy premises, records and operations in a state of inspection readiness at all times.</x:v>
      </x:c>
      <x:c r="D492" s="30" t="str">
        <x:v>Document Review and Sampling</x:v>
      </x:c>
      <x:c r="E492" s="30" t="str">
        <x:v>Quarterly</x:v>
      </x:c>
      <x:c r="F492" s="30" t="str">
        <x:v>CORE</x:v>
      </x:c>
      <x:c r="G492" s="30" t="str">
        <x:v>CA077</x:v>
      </x:c>
      <x:c r="H492" s="30" t="str">
        <x:v>Yes</x:v>
      </x:c>
      <x:c r="I492" s="30" t="str">
        <x:v>P-4 normalized to current parent compliance; legacy Audit ID preserved.</x:v>
      </x:c>
    </x:row>
    <x:row r="493">
      <x:c r="A493" s="30" t="str">
        <x:v>AUD492</x:v>
      </x:c>
      <x:c r="B493" s="30" t="str">
        <x:v>COMP237</x:v>
      </x:c>
      <x:c r="C493" s="30" t="str">
        <x:v>Select a sample of relevant transactions or events and interview the responsible person to confirm that ensure statutory licences, approvals and registers are readily available for inspection.</x:v>
      </x:c>
      <x:c r="D493" s="30" t="str">
        <x:v>Sampling and Interview</x:v>
      </x:c>
      <x:c r="E493" s="30" t="str">
        <x:v>Quarterly</x:v>
      </x:c>
      <x:c r="F493" s="30" t="str">
        <x:v>CORE</x:v>
      </x:c>
      <x:c r="G493" s="30" t="str">
        <x:v>CA019</x:v>
      </x:c>
      <x:c r="H493" s="30" t="str">
        <x:v>Yes</x:v>
      </x:c>
      <x:c r="I493" s="30" t="str">
        <x:v>P-4 normalized to current parent compliance; legacy Audit ID preserved.</x:v>
      </x:c>
    </x:row>
    <x:row r="494">
      <x:c r="A494" s="30" t="str">
        <x:v>AUD493</x:v>
      </x:c>
      <x:c r="B494" s="30" t="str">
        <x:v>COMP237</x:v>
      </x:c>
      <x:c r="C494" s="30" t="str">
        <x:v>Review the applicable licence, order, register, SOP and a sample of records to verify that ensure statutory licences, approvals and registers are readily available for inspection.</x:v>
      </x:c>
      <x:c r="D494" s="30" t="str">
        <x:v>Document Review and Sampling</x:v>
      </x:c>
      <x:c r="E494" s="30" t="str">
        <x:v>Quarterly</x:v>
      </x:c>
      <x:c r="F494" s="30" t="str">
        <x:v>CORE</x:v>
      </x:c>
      <x:c r="G494" s="30" t="str">
        <x:v>CA019</x:v>
      </x:c>
      <x:c r="H494" s="30" t="str">
        <x:v>Yes</x:v>
      </x:c>
      <x:c r="I494" s="30" t="str">
        <x:v>P-4 normalized to current parent compliance; legacy Audit ID preserved.</x:v>
      </x:c>
    </x:row>
    <x:row r="495">
      <x:c r="A495" s="30" t="str">
        <x:v>AUD494</x:v>
      </x:c>
      <x:c r="B495" s="30" t="str">
        <x:v>COMP238</x:v>
      </x:c>
      <x:c r="C495" s="30" t="str">
        <x:v>Select a sample of relevant transactions or events and interview the responsible person to confirm that maintain approved Standard Operating Procedures (SOPs) for all critical pharmacy processes.</x:v>
      </x:c>
      <x:c r="D495" s="30" t="str">
        <x:v>Sampling and Interview</x:v>
      </x:c>
      <x:c r="E495" s="30" t="str">
        <x:v>Event Based</x:v>
      </x:c>
      <x:c r="F495" s="30" t="str">
        <x:v>CORE</x:v>
      </x:c>
      <x:c r="G495" s="30" t="str">
        <x:v>CA096</x:v>
      </x:c>
      <x:c r="H495" s="30" t="str">
        <x:v>Yes</x:v>
      </x:c>
      <x:c r="I495" s="30" t="str">
        <x:v>P-4 normalized to current parent compliance; legacy Audit ID preserved.</x:v>
      </x:c>
    </x:row>
    <x:row r="496">
      <x:c r="A496" s="30" t="str">
        <x:v>AUD495</x:v>
      </x:c>
      <x:c r="B496" s="30" t="str">
        <x:v>COMP238</x:v>
      </x:c>
      <x:c r="C496" s="30" t="str">
        <x:v>Review the applicable licence, order, register, SOP and a sample of records to verify that maintain approved Standard Operating Procedures (SOPs) for all critical pharmacy processes.</x:v>
      </x:c>
      <x:c r="D496" s="30" t="str">
        <x:v>Document Review and Sampling</x:v>
      </x:c>
      <x:c r="E496" s="30" t="str">
        <x:v>Event Based</x:v>
      </x:c>
      <x:c r="F496" s="30" t="str">
        <x:v>CORE</x:v>
      </x:c>
      <x:c r="G496" s="30" t="str">
        <x:v>CA096</x:v>
      </x:c>
      <x:c r="H496" s="30" t="str">
        <x:v>Yes</x:v>
      </x:c>
      <x:c r="I496" s="30" t="str">
        <x:v>P-4 normalized to current parent compliance; legacy Audit ID preserved.</x:v>
      </x:c>
    </x:row>
    <x:row r="497">
      <x:c r="A497" s="30" t="str">
        <x:v>AUD496</x:v>
      </x:c>
      <x:c r="B497" s="30" t="str">
        <x:v>COMP239</x:v>
      </x:c>
      <x:c r="C497" s="30" t="str">
        <x:v>Select a sample of relevant transactions or events and interview the responsible person to confirm that review and respond to inspection observations within timelines prescribed by the authority.</x:v>
      </x:c>
      <x:c r="D497" s="30" t="str">
        <x:v>Sampling and Interview</x:v>
      </x:c>
      <x:c r="E497" s="30" t="str">
        <x:v>Annual</x:v>
      </x:c>
      <x:c r="F497" s="30" t="str">
        <x:v>CORE</x:v>
      </x:c>
      <x:c r="G497" s="30" t="str">
        <x:v>CA097</x:v>
      </x:c>
      <x:c r="H497" s="30" t="str">
        <x:v>Yes</x:v>
      </x:c>
      <x:c r="I497" s="30" t="str">
        <x:v>P-4 normalized to current parent compliance; legacy Audit ID preserved.</x:v>
      </x:c>
    </x:row>
    <x:row r="498">
      <x:c r="A498" s="30" t="str">
        <x:v>AUD497</x:v>
      </x:c>
      <x:c r="B498" s="30" t="str">
        <x:v>COMP239</x:v>
      </x:c>
      <x:c r="C498" s="30" t="str">
        <x:v>Review the applicable licence, order, register, SOP and a sample of records to verify that review and respond to inspection observations within timelines prescribed by the authority.</x:v>
      </x:c>
      <x:c r="D498" s="30" t="str">
        <x:v>Document Review and Sampling</x:v>
      </x:c>
      <x:c r="E498" s="30" t="str">
        <x:v>Annual</x:v>
      </x:c>
      <x:c r="F498" s="30" t="str">
        <x:v>CORE</x:v>
      </x:c>
      <x:c r="G498" s="30" t="str">
        <x:v>CA097</x:v>
      </x:c>
      <x:c r="H498" s="30" t="str">
        <x:v>Yes</x:v>
      </x:c>
      <x:c r="I498" s="30" t="str">
        <x:v>P-4 normalized to current parent compliance; legacy Audit ID preserved.</x:v>
      </x:c>
    </x:row>
    <x:row r="499">
      <x:c r="A499" s="30" t="str">
        <x:v>AUD498</x:v>
      </x:c>
      <x:c r="B499" s="30" t="str">
        <x:v>COMP240</x:v>
      </x:c>
      <x:c r="C499" s="30" t="str">
        <x:v>Select a sample of relevant transactions or events and interview the responsible person to confirm that implement corrective and preventive actions (CAPA) for all regulatory inspection observations.</x:v>
      </x:c>
      <x:c r="D499" s="30" t="str">
        <x:v>Sampling and Interview</x:v>
      </x:c>
      <x:c r="E499" s="30" t="str">
        <x:v>Annual</x:v>
      </x:c>
      <x:c r="F499" s="30" t="str">
        <x:v>CORE</x:v>
      </x:c>
      <x:c r="G499" s="30" t="str">
        <x:v>CA098</x:v>
      </x:c>
      <x:c r="H499" s="30" t="str">
        <x:v>Yes</x:v>
      </x:c>
      <x:c r="I499" s="30" t="str">
        <x:v>P-4 normalized to current parent compliance; legacy Audit ID preserved.</x:v>
      </x:c>
    </x:row>
    <x:row r="500">
      <x:c r="A500" s="30" t="str">
        <x:v>AUD499</x:v>
      </x:c>
      <x:c r="B500" s="30" t="str">
        <x:v>COMP240</x:v>
      </x:c>
      <x:c r="C500" s="30" t="str">
        <x:v>Review the applicable licence, order, register, SOP and a sample of records to verify that implement corrective and preventive actions (CAPA) for all regulatory inspection observations.</x:v>
      </x:c>
      <x:c r="D500" s="30" t="str">
        <x:v>Document Review and Sampling</x:v>
      </x:c>
      <x:c r="E500" s="30" t="str">
        <x:v>Annual</x:v>
      </x:c>
      <x:c r="F500" s="30" t="str">
        <x:v>CORE</x:v>
      </x:c>
      <x:c r="G500" s="30" t="str">
        <x:v>CA098</x:v>
      </x:c>
      <x:c r="H500" s="30" t="str">
        <x:v>Yes</x:v>
      </x:c>
      <x:c r="I500" s="30" t="str">
        <x:v>P-4 normalized to current parent compliance; legacy Audit ID preserved.</x:v>
      </x:c>
    </x:row>
    <x:row r="501">
      <x:c r="A501" s="30" t="str">
        <x:v>AUD500</x:v>
      </x:c>
      <x:c r="B501" s="30" t="str">
        <x:v>COMP241</x:v>
      </x:c>
      <x:c r="C501" s="30" t="str">
        <x:v>Select a sample of relevant transactions or events and interview the responsible person to confirm that conduct periodic internal compliance reviews covering all applicable pharmacy regulations.</x:v>
      </x:c>
      <x:c r="D501" s="30" t="str">
        <x:v>Sampling and Interview</x:v>
      </x:c>
      <x:c r="E501" s="30" t="str">
        <x:v>Quarterly</x:v>
      </x:c>
      <x:c r="F501" s="30" t="str">
        <x:v>CORE</x:v>
      </x:c>
      <x:c r="G501" s="30" t="str">
        <x:v>CA083</x:v>
      </x:c>
      <x:c r="H501" s="30" t="str">
        <x:v>Yes</x:v>
      </x:c>
      <x:c r="I501" s="30" t="str">
        <x:v>P-4 normalized to current parent compliance; legacy Audit ID preserved.</x:v>
      </x:c>
    </x:row>
    <x:row r="502">
      <x:c r="A502" s="30" t="str">
        <x:v>AUD501</x:v>
      </x:c>
      <x:c r="B502" s="30" t="str">
        <x:v>COMP241</x:v>
      </x:c>
      <x:c r="C502" s="30" t="str">
        <x:v>Review the applicable licence, order, register, SOP and a sample of records to verify that conduct periodic internal compliance reviews covering all applicable pharmacy regulations.</x:v>
      </x:c>
      <x:c r="D502" s="30" t="str">
        <x:v>Document Review and Sampling</x:v>
      </x:c>
      <x:c r="E502" s="30" t="str">
        <x:v>Quarterly</x:v>
      </x:c>
      <x:c r="F502" s="30" t="str">
        <x:v>CORE</x:v>
      </x:c>
      <x:c r="G502" s="30" t="str">
        <x:v>CA083</x:v>
      </x:c>
      <x:c r="H502" s="30" t="str">
        <x:v>Yes</x:v>
      </x:c>
      <x:c r="I502" s="30" t="str">
        <x:v>P-4 normalized to current parent compliance; legacy Audit ID preserved.</x:v>
      </x:c>
    </x:row>
    <x:row r="503">
      <x:c r="A503" s="30" t="str">
        <x:v>AUD502</x:v>
      </x:c>
      <x:c r="B503" s="30" t="str">
        <x:v>COMP242</x:v>
      </x:c>
      <x:c r="C503" s="30" t="str">
        <x:v>Select a sample of relevant transactions or events and interview the responsible person to confirm that establish and maintain an enterprise compliance governance framework.</x:v>
      </x:c>
      <x:c r="D503" s="30" t="str">
        <x:v>Sampling and Interview</x:v>
      </x:c>
      <x:c r="E503" s="30" t="str">
        <x:v>Annual</x:v>
      </x:c>
      <x:c r="F503" s="30" t="str">
        <x:v>CORE</x:v>
      </x:c>
      <x:c r="G503" s="30" t="str">
        <x:v>CA099</x:v>
      </x:c>
      <x:c r="H503" s="30" t="str">
        <x:v>Yes</x:v>
      </x:c>
      <x:c r="I503" s="30" t="str">
        <x:v>P-4 normalized to current parent compliance; legacy Audit ID preserved.</x:v>
      </x:c>
    </x:row>
    <x:row r="504">
      <x:c r="A504" s="30" t="str">
        <x:v>AUD503</x:v>
      </x:c>
      <x:c r="B504" s="30" t="str">
        <x:v>COMP242</x:v>
      </x:c>
      <x:c r="C504" s="30" t="str">
        <x:v>Review the applicable licence, order, register, SOP and a sample of records to verify that establish and maintain an enterprise compliance governance framework.</x:v>
      </x:c>
      <x:c r="D504" s="30" t="str">
        <x:v>Document Review and Sampling</x:v>
      </x:c>
      <x:c r="E504" s="30" t="str">
        <x:v>Annual</x:v>
      </x:c>
      <x:c r="F504" s="30" t="str">
        <x:v>CORE</x:v>
      </x:c>
      <x:c r="G504" s="30" t="str">
        <x:v>CA099</x:v>
      </x:c>
      <x:c r="H504" s="30" t="str">
        <x:v>Yes</x:v>
      </x:c>
      <x:c r="I504" s="30" t="str">
        <x:v>P-4 normalized to current parent compliance; legacy Audit ID preserved.</x:v>
      </x:c>
    </x:row>
    <x:row r="505">
      <x:c r="A505" s="30" t="str">
        <x:v>AUD504</x:v>
      </x:c>
      <x:c r="B505" s="30" t="str">
        <x:v>COMP243</x:v>
      </x:c>
      <x:c r="C505" s="30" t="str">
        <x:v>Select a sample of relevant transactions or events and interview the responsible person to confirm that assign clear ownership and accountability for every regulatory compliance obligation.</x:v>
      </x:c>
      <x:c r="D505" s="30" t="str">
        <x:v>Sampling and Interview</x:v>
      </x:c>
      <x:c r="E505" s="30" t="str">
        <x:v>Annual</x:v>
      </x:c>
      <x:c r="F505" s="30" t="str">
        <x:v>CORE</x:v>
      </x:c>
      <x:c r="G505" s="30" t="str">
        <x:v>CA100</x:v>
      </x:c>
      <x:c r="H505" s="30" t="str">
        <x:v>Yes</x:v>
      </x:c>
      <x:c r="I505" s="30" t="str">
        <x:v>P-4 normalized to current parent compliance; legacy Audit ID preserved.</x:v>
      </x:c>
    </x:row>
    <x:row r="506">
      <x:c r="A506" s="30" t="str">
        <x:v>AUD505</x:v>
      </x:c>
      <x:c r="B506" s="30" t="str">
        <x:v>COMP243</x:v>
      </x:c>
      <x:c r="C506" s="30" t="str">
        <x:v>Review the applicable licence, order, register, SOP and a sample of records to verify that assign clear ownership and accountability for every regulatory compliance obligation.</x:v>
      </x:c>
      <x:c r="D506" s="30" t="str">
        <x:v>Document Review and Sampling</x:v>
      </x:c>
      <x:c r="E506" s="30" t="str">
        <x:v>Annual</x:v>
      </x:c>
      <x:c r="F506" s="30" t="str">
        <x:v>CORE</x:v>
      </x:c>
      <x:c r="G506" s="30" t="str">
        <x:v>CA100</x:v>
      </x:c>
      <x:c r="H506" s="30" t="str">
        <x:v>Yes</x:v>
      </x:c>
      <x:c r="I506" s="30" t="str">
        <x:v>P-4 normalized to current parent compliance; legacy Audit ID preserved.</x:v>
      </x:c>
    </x:row>
    <x:row r="507">
      <x:c r="A507" s="30" t="str">
        <x:v>AUD506</x:v>
      </x:c>
      <x:c r="B507" s="30" t="str">
        <x:v>COMP244</x:v>
      </x:c>
      <x:c r="C507" s="30" t="str">
        <x:v>Select a sample of relevant transactions or events and interview the responsible person to confirm that monitor regulatory updates and assess their impact on pharmacy operations.</x:v>
      </x:c>
      <x:c r="D507" s="30" t="str">
        <x:v>Sampling and Interview</x:v>
      </x:c>
      <x:c r="E507" s="30" t="str">
        <x:v>Annual</x:v>
      </x:c>
      <x:c r="F507" s="30" t="str">
        <x:v>CORE</x:v>
      </x:c>
      <x:c r="G507" s="30" t="str">
        <x:v>CA084</x:v>
      </x:c>
      <x:c r="H507" s="30" t="str">
        <x:v>Yes</x:v>
      </x:c>
      <x:c r="I507" s="30" t="str">
        <x:v>P-4 normalized to current parent compliance; legacy Audit ID preserved.</x:v>
      </x:c>
    </x:row>
    <x:row r="508">
      <x:c r="A508" s="30" t="str">
        <x:v>AUD507</x:v>
      </x:c>
      <x:c r="B508" s="30" t="str">
        <x:v>COMP244</x:v>
      </x:c>
      <x:c r="C508" s="30" t="str">
        <x:v>Review the applicable licence, order, register, SOP and a sample of records to verify that monitor regulatory updates and assess their impact on pharmacy operations.</x:v>
      </x:c>
      <x:c r="D508" s="30" t="str">
        <x:v>Document Review and Sampling</x:v>
      </x:c>
      <x:c r="E508" s="30" t="str">
        <x:v>Annual</x:v>
      </x:c>
      <x:c r="F508" s="30" t="str">
        <x:v>CORE</x:v>
      </x:c>
      <x:c r="G508" s="30" t="str">
        <x:v>CA084</x:v>
      </x:c>
      <x:c r="H508" s="30" t="str">
        <x:v>Yes</x:v>
      </x:c>
      <x:c r="I508" s="30" t="str">
        <x:v>P-4 normalized to current parent compliance; legacy Audit ID preserved.</x:v>
      </x:c>
    </x:row>
    <x:row r="509">
      <x:c r="A509" s="30" t="str">
        <x:v>AUD508</x:v>
      </x:c>
      <x:c r="B509" s="30" t="str">
        <x:v>COMP245</x:v>
      </x:c>
      <x:c r="C509" s="30" t="str">
        <x:v>Select a sample of relevant transactions or events and interview the responsible person to confirm that maintain a compliance calendar covering all statutory obligations and due dates.</x:v>
      </x:c>
      <x:c r="D509" s="30" t="str">
        <x:v>Sampling and Interview</x:v>
      </x:c>
      <x:c r="E509" s="30" t="str">
        <x:v>Annual</x:v>
      </x:c>
      <x:c r="F509" s="30" t="str">
        <x:v>CORE</x:v>
      </x:c>
      <x:c r="G509" s="30" t="str">
        <x:v>CA088</x:v>
      </x:c>
      <x:c r="H509" s="30" t="str">
        <x:v>Yes</x:v>
      </x:c>
      <x:c r="I509" s="30" t="str">
        <x:v>P-4 normalized to current parent compliance; legacy Audit ID preserved.</x:v>
      </x:c>
    </x:row>
    <x:row r="510">
      <x:c r="A510" s="30" t="str">
        <x:v>AUD509</x:v>
      </x:c>
      <x:c r="B510" s="30" t="str">
        <x:v>COMP245</x:v>
      </x:c>
      <x:c r="C510" s="30" t="str">
        <x:v>Review the applicable licence, order, register, SOP and a sample of records to verify that maintain a compliance calendar covering all statutory obligations and due dates.</x:v>
      </x:c>
      <x:c r="D510" s="30" t="str">
        <x:v>Document Review and Sampling</x:v>
      </x:c>
      <x:c r="E510" s="30" t="str">
        <x:v>Annual</x:v>
      </x:c>
      <x:c r="F510" s="30" t="str">
        <x:v>CORE</x:v>
      </x:c>
      <x:c r="G510" s="30" t="str">
        <x:v>CA088</x:v>
      </x:c>
      <x:c r="H510" s="30" t="str">
        <x:v>Yes</x:v>
      </x:c>
      <x:c r="I510" s="30" t="str">
        <x:v>P-4 normalized to current parent compliance; legacy Audit ID preserved.</x:v>
      </x:c>
    </x:row>
    <x:row r="511">
      <x:c r="A511" s="30" t="str">
        <x:v>AUD510</x:v>
      </x:c>
      <x:c r="B511" s="30" t="str">
        <x:v>COMP246</x:v>
      </x:c>
      <x:c r="C511" s="30" t="str">
        <x:v>Select a sample of relevant transactions or events and interview the responsible person to confirm that submit periodic compliance reports to senior management.</x:v>
      </x:c>
      <x:c r="D511" s="30" t="str">
        <x:v>Sampling and Interview</x:v>
      </x:c>
      <x:c r="E511" s="30" t="str">
        <x:v>Annual</x:v>
      </x:c>
      <x:c r="F511" s="30" t="str">
        <x:v>CORE</x:v>
      </x:c>
      <x:c r="G511" s="30" t="str">
        <x:v>CA086</x:v>
      </x:c>
      <x:c r="H511" s="30" t="str">
        <x:v>Yes</x:v>
      </x:c>
      <x:c r="I511" s="30" t="str">
        <x:v>P-4 normalized to current parent compliance; legacy Audit ID preserved.</x:v>
      </x:c>
    </x:row>
    <x:row r="512">
      <x:c r="A512" s="30" t="str">
        <x:v>AUD511</x:v>
      </x:c>
      <x:c r="B512" s="30" t="str">
        <x:v>COMP246</x:v>
      </x:c>
      <x:c r="C512" s="30" t="str">
        <x:v>Review the applicable licence, order, register, SOP and a sample of records to verify that submit periodic compliance reports to senior management.</x:v>
      </x:c>
      <x:c r="D512" s="30" t="str">
        <x:v>Document Review and Sampling</x:v>
      </x:c>
      <x:c r="E512" s="30" t="str">
        <x:v>Annual</x:v>
      </x:c>
      <x:c r="F512" s="30" t="str">
        <x:v>CORE</x:v>
      </x:c>
      <x:c r="G512" s="30" t="str">
        <x:v>CA086</x:v>
      </x:c>
      <x:c r="H512" s="30" t="str">
        <x:v>Yes</x:v>
      </x:c>
      <x:c r="I512" s="30" t="str">
        <x:v>P-4 normalized to current parent compliance; legacy Audit ID preserved.</x:v>
      </x:c>
    </x:row>
    <x:row r="513">
      <x:c r="A513" s="30" t="str">
        <x:v>AUD512</x:v>
      </x:c>
      <x:c r="B513" s="30" t="str">
        <x:v>COMP247</x:v>
      </x:c>
      <x:c r="C513" s="30" t="str">
        <x:v>Select a sample of relevant transactions or events and interview the responsible person to confirm that perform periodic regulatory risk assessments and document mitigation measures.</x:v>
      </x:c>
      <x:c r="D513" s="30" t="str">
        <x:v>Sampling and Interview</x:v>
      </x:c>
      <x:c r="E513" s="30" t="str">
        <x:v>Quarterly</x:v>
      </x:c>
      <x:c r="F513" s="30" t="str">
        <x:v>CORE</x:v>
      </x:c>
      <x:c r="G513" s="30" t="str">
        <x:v>CA087</x:v>
      </x:c>
      <x:c r="H513" s="30" t="str">
        <x:v>Yes</x:v>
      </x:c>
      <x:c r="I513" s="30" t="str">
        <x:v>P-4 normalized to current parent compliance; legacy Audit ID preserved.</x:v>
      </x:c>
    </x:row>
    <x:row r="514">
      <x:c r="A514" s="30" t="str">
        <x:v>AUD513</x:v>
      </x:c>
      <x:c r="B514" s="30" t="str">
        <x:v>COMP247</x:v>
      </x:c>
      <x:c r="C514" s="30" t="str">
        <x:v>Review the applicable licence, order, register, SOP and a sample of records to verify that perform periodic regulatory risk assessments and document mitigation measures.</x:v>
      </x:c>
      <x:c r="D514" s="30" t="str">
        <x:v>Document Review and Sampling</x:v>
      </x:c>
      <x:c r="E514" s="30" t="str">
        <x:v>Quarterly</x:v>
      </x:c>
      <x:c r="F514" s="30" t="str">
        <x:v>CORE</x:v>
      </x:c>
      <x:c r="G514" s="30" t="str">
        <x:v>CA087</x:v>
      </x:c>
      <x:c r="H514" s="30" t="str">
        <x:v>Yes</x:v>
      </x:c>
      <x:c r="I514" s="30" t="str">
        <x:v>P-4 normalized to current parent compliance; legacy Audit ID preserved.</x:v>
      </x:c>
    </x:row>
    <x:row r="515">
      <x:c r="A515" s="30" t="str">
        <x:v>AUD514</x:v>
      </x:c>
      <x:c r="B515" s="30" t="str">
        <x:v>COMP248</x:v>
      </x:c>
      <x:c r="C515" s="30" t="str">
        <x:v>Select a sample of relevant transactions or events and interview the responsible person to confirm that conduct independent internal audits to evaluate regulatory compliance effectiveness.</x:v>
      </x:c>
      <x:c r="D515" s="30" t="str">
        <x:v>Sampling and Interview</x:v>
      </x:c>
      <x:c r="E515" s="30" t="str">
        <x:v>Annual</x:v>
      </x:c>
      <x:c r="F515" s="30" t="str">
        <x:v>CORE</x:v>
      </x:c>
      <x:c r="G515" s="30" t="str">
        <x:v>CA083</x:v>
      </x:c>
      <x:c r="H515" s="30" t="str">
        <x:v>Yes</x:v>
      </x:c>
      <x:c r="I515" s="30" t="str">
        <x:v>P-4 normalized to current parent compliance; legacy Audit ID preserved.</x:v>
      </x:c>
    </x:row>
    <x:row r="516">
      <x:c r="A516" s="30" t="str">
        <x:v>AUD515</x:v>
      </x:c>
      <x:c r="B516" s="30" t="str">
        <x:v>COMP248</x:v>
      </x:c>
      <x:c r="C516" s="30" t="str">
        <x:v>Review the applicable licence, order, register, SOP and a sample of records to verify that conduct independent internal audits to evaluate regulatory compliance effectiveness.</x:v>
      </x:c>
      <x:c r="D516" s="30" t="str">
        <x:v>Document Review and Sampling</x:v>
      </x:c>
      <x:c r="E516" s="30" t="str">
        <x:v>Annual</x:v>
      </x:c>
      <x:c r="F516" s="30" t="str">
        <x:v>CORE</x:v>
      </x:c>
      <x:c r="G516" s="30" t="str">
        <x:v>CA083</x:v>
      </x:c>
      <x:c r="H516" s="30" t="str">
        <x:v>Yes</x:v>
      </x:c>
      <x:c r="I516" s="30" t="str">
        <x:v>P-4 normalized to current parent compliance; legacy Audit ID preserved.</x:v>
      </x:c>
    </x:row>
    <x:row r="517">
      <x:c r="A517" s="30" t="str">
        <x:v>AUD516</x:v>
      </x:c>
      <x:c r="B517" s="30" t="str">
        <x:v>COMP249</x:v>
      </x:c>
      <x:c r="C517" s="30" t="str">
        <x:v>Select a sample of relevant transactions or events and interview the responsible person to confirm that maintain controlled regulatory documents with version control, approval history and archival records.</x:v>
      </x:c>
      <x:c r="D517" s="30" t="str">
        <x:v>Sampling and Interview</x:v>
      </x:c>
      <x:c r="E517" s="30" t="str">
        <x:v>Annual</x:v>
      </x:c>
      <x:c r="F517" s="30" t="str">
        <x:v>CORE</x:v>
      </x:c>
      <x:c r="G517" s="30" t="str">
        <x:v>CA097</x:v>
      </x:c>
      <x:c r="H517" s="30" t="str">
        <x:v>Yes</x:v>
      </x:c>
      <x:c r="I517" s="30" t="str">
        <x:v>P-4 normalized to current parent compliance; legacy Audit ID preserved.</x:v>
      </x:c>
    </x:row>
    <x:row r="518">
      <x:c r="A518" s="30" t="str">
        <x:v>AUD517</x:v>
      </x:c>
      <x:c r="B518" s="30" t="str">
        <x:v>COMP249</x:v>
      </x:c>
      <x:c r="C518" s="30" t="str">
        <x:v>Review the applicable licence, order, register, SOP and a sample of records to verify that maintain controlled regulatory documents with version control, approval history and archival records.</x:v>
      </x:c>
      <x:c r="D518" s="30" t="str">
        <x:v>Document Review and Sampling</x:v>
      </x:c>
      <x:c r="E518" s="30" t="str">
        <x:v>Annual</x:v>
      </x:c>
      <x:c r="F518" s="30" t="str">
        <x:v>CORE</x:v>
      </x:c>
      <x:c r="G518" s="30" t="str">
        <x:v>CA097</x:v>
      </x:c>
      <x:c r="H518" s="30" t="str">
        <x:v>Yes</x:v>
      </x:c>
      <x:c r="I518" s="30" t="str">
        <x:v>P-4 normalized to current parent compliance; legacy Audit ID preserved.</x:v>
      </x:c>
    </x:row>
    <x:row r="519">
      <x:c r="A519" s="30" t="str">
        <x:v>AUD518</x:v>
      </x:c>
      <x:c r="B519" s="30" t="str">
        <x:v>COMP249</x:v>
      </x:c>
      <x:c r="C519" s="30" t="str">
        <x:v>Select a sample of relevant transactions or events and interview the responsible person to confirm that maintain controlled regulatory documents with version control, approval history and archival records.</x:v>
      </x:c>
      <x:c r="D519" s="30" t="str">
        <x:v>Sampling and Interview</x:v>
      </x:c>
      <x:c r="E519" s="30" t="str">
        <x:v>Annual</x:v>
      </x:c>
      <x:c r="F519" s="30" t="str">
        <x:v>CORE</x:v>
      </x:c>
      <x:c r="G519" s="30" t="str">
        <x:v>CA097</x:v>
      </x:c>
      <x:c r="H519" s="30" t="str">
        <x:v>Yes</x:v>
      </x:c>
      <x:c r="I519" s="30" t="str">
        <x:v>P-4 normalized to current parent compliance; legacy Audit ID preserved.</x:v>
      </x:c>
    </x:row>
    <x:row r="520">
      <x:c r="A520" s="30" t="str">
        <x:v>AUD519</x:v>
      </x:c>
      <x:c r="B520" s="30" t="str">
        <x:v>COMP250</x:v>
      </x:c>
      <x:c r="C520" s="30" t="str">
        <x:v>Review the applicable licence, order, register, SOP and a sample of records to verify that periodically review and improve the compliance management system through continual improvement initiatives.</x:v>
      </x:c>
      <x:c r="D520" s="30" t="str">
        <x:v>Document Review and Sampling</x:v>
      </x:c>
      <x:c r="E520" s="30" t="str">
        <x:v>Annual</x:v>
      </x:c>
      <x:c r="F520" s="30" t="str">
        <x:v>CORE</x:v>
      </x:c>
      <x:c r="G520" s="30" t="str">
        <x:v>CA089</x:v>
      </x:c>
      <x:c r="H520" s="30" t="str">
        <x:v>Yes</x:v>
      </x:c>
      <x:c r="I520" s="30" t="str">
        <x:v>P-4 normalized to current parent compliance; legacy Audit ID preserved.</x:v>
      </x:c>
    </x:row>
    <x:row r="521">
      <x:c r="A521" s="30" t="str">
        <x:v>AUD520</x:v>
      </x:c>
      <x:c r="B521" s="30" t="str">
        <x:v>COMP250</x:v>
      </x:c>
      <x:c r="C521" s="30" t="str">
        <x:v>Select a sample of relevant transactions or events and interview the responsible person to confirm that periodically review and improve the compliance management system through continual improvement initiatives.</x:v>
      </x:c>
      <x:c r="D521" s="30" t="str">
        <x:v>Sampling and Interview</x:v>
      </x:c>
      <x:c r="E521" s="30" t="str">
        <x:v>Quarterly</x:v>
      </x:c>
      <x:c r="F521" s="30" t="str">
        <x:v>CORE</x:v>
      </x:c>
      <x:c r="G521" s="30" t="str">
        <x:v>CA089</x:v>
      </x:c>
      <x:c r="H521" s="30" t="str">
        <x:v>Yes</x:v>
      </x:c>
      <x:c r="I521" s="30" t="str">
        <x:v>P-4 normalized to current parent compliance; legacy Audit ID preserved.</x:v>
      </x:c>
    </x:row>
    <x:row r="522">
      <x:c r="A522" s="30" t="str">
        <x:v>AUD521</x:v>
      </x:c>
      <x:c r="B522" s="30" t="str">
        <x:v>COMP250</x:v>
      </x:c>
      <x:c r="C522" s="30" t="str">
        <x:v>Review the applicable licence, order, register, SOP and a sample of records to verify that periodically review and improve the compliance management system through continual improvement initiatives.</x:v>
      </x:c>
      <x:c r="D522" s="30" t="str">
        <x:v>Document Review and Sampling</x:v>
      </x:c>
      <x:c r="E522" s="30" t="str">
        <x:v>Annual</x:v>
      </x:c>
      <x:c r="F522" s="30" t="str">
        <x:v>CORE</x:v>
      </x:c>
      <x:c r="G522" s="30" t="str">
        <x:v>CA089</x:v>
      </x:c>
      <x:c r="H522" s="30" t="str">
        <x:v>Yes</x:v>
      </x:c>
      <x:c r="I522" s="30" t="str">
        <x:v>P-4 normalized to current parent compliance; legacy Audit ID preserved.</x:v>
      </x:c>
    </x:row>
    <x:row r="523">
      <x:c r="A523" s="30" t="str">
        <x:v>RAUD001</x:v>
      </x:c>
      <x:c r="B523" s="30" t="str">
        <x:v>RCOMP001</x:v>
      </x:c>
      <x:c r="C523" s="30" t="str">
        <x:v>Verify home delivery prescriptions, pharmacist authorization, customer identity, dispatch records, and delivery documentation for compliance.</x:v>
      </x:c>
      <x:c r="D523" s="30" t="str">
        <x:v>Sampling</x:v>
      </x:c>
      <x:c r="E523" s="30" t="str">
        <x:v>Quarterly</x:v>
      </x:c>
      <x:c r="F523" s="30" t="str">
        <x:v>RETAIL</x:v>
      </x:c>
      <x:c r="G523" s="30" t="str">
        <x:v>Personnel Competency</x:v>
      </x:c>
      <x:c r="H523" s="30" t="str">
        <x:v>Yes</x:v>
      </x:c>
      <x:c r="I523" s="30" t="str">
        <x:v>Normalized from approved Pharmacy Delta Audit Procedure Master.</x:v>
      </x:c>
    </x:row>
    <x:row r="524">
      <x:c r="A524" s="30" t="str">
        <x:v>RAUD002</x:v>
      </x:c>
      <x:c r="B524" s="30" t="str">
        <x:v>RCOMP002</x:v>
      </x:c>
      <x:c r="C524" s="30" t="str">
        <x:v>Review Click &amp; Collect transactions to verify identity verification, reservation controls, pharmacist approval, and customer acknowledgement.</x:v>
      </x:c>
      <x:c r="D524" s="30" t="str">
        <x:v>Record Verification</x:v>
      </x:c>
      <x:c r="E524" s="30" t="str">
        <x:v>Quarterly</x:v>
      </x:c>
      <x:c r="F524" s="30" t="str">
        <x:v>RETAIL</x:v>
      </x:c>
      <x:c r="G524" s="30" t="str">
        <x:v>Personnel Competency</x:v>
      </x:c>
      <x:c r="H524" s="30" t="str">
        <x:v>Yes</x:v>
      </x:c>
      <x:c r="I524" s="30" t="str">
        <x:v>Normalized from approved Pharmacy Delta Audit Procedure Master.</x:v>
      </x:c>
    </x:row>
    <x:row r="525">
      <x:c r="A525" s="30" t="str">
        <x:v>RAUD003</x:v>
      </x:c>
      <x:c r="B525" s="30" t="str">
        <x:v>RCOMP003</x:v>
      </x:c>
      <x:c r="C525" s="30" t="str">
        <x:v>Inspect pharmacy shelves to confirm prescription medicines are inaccessible for self-selection and OTC displays comply with regulations.</x:v>
      </x:c>
      <x:c r="D525" s="30" t="str">
        <x:v>Physical Inspection</x:v>
      </x:c>
      <x:c r="E525" s="30" t="str">
        <x:v>Monthly</x:v>
      </x:c>
      <x:c r="F525" s="30" t="str">
        <x:v>RETAIL</x:v>
      </x:c>
      <x:c r="G525" s="30" t="str">
        <x:v>Prescription Controls</x:v>
      </x:c>
      <x:c r="H525" s="30" t="str">
        <x:v>Yes</x:v>
      </x:c>
      <x:c r="I525" s="30" t="str">
        <x:v>Normalized from approved Pharmacy Delta Audit Procedure Master.</x:v>
      </x:c>
    </x:row>
    <x:row r="526">
      <x:c r="A526" s="30" t="str">
        <x:v>RAUD004</x:v>
      </x:c>
      <x:c r="B526" s="30" t="str">
        <x:v>RCOMP004</x:v>
      </x:c>
      <x:c r="C526" s="30" t="str">
        <x:v>Verify mandatory consumer information, grievance procedures, and statutory notices are prominently displayed and current.</x:v>
      </x:c>
      <x:c r="D526" s="30" t="str">
        <x:v>Physical Inspection</x:v>
      </x:c>
      <x:c r="E526" s="30" t="str">
        <x:v>Monthly</x:v>
      </x:c>
      <x:c r="F526" s="30" t="str">
        <x:v>RETAIL</x:v>
      </x:c>
      <x:c r="G526" s="30" t="str">
        <x:v>Inspection &amp; Display Controls</x:v>
      </x:c>
      <x:c r="H526" s="30" t="str">
        <x:v>Yes</x:v>
      </x:c>
      <x:c r="I526" s="30" t="str">
        <x:v>Normalized from approved Pharmacy Delta Audit Procedure Master.</x:v>
      </x:c>
    </x:row>
    <x:row r="527">
      <x:c r="A527" s="30" t="str">
        <x:v>RAUD005</x:v>
      </x:c>
      <x:c r="B527" s="30" t="str">
        <x:v>RCOMP005</x:v>
      </x:c>
      <x:c r="C527" s="30" t="str">
        <x:v>Audit billing accuracy by comparing prescriptions, invoices, inventory deductions, and pharmacist approvals.</x:v>
      </x:c>
      <x:c r="D527" s="30" t="str">
        <x:v>Reconciliation</x:v>
      </x:c>
      <x:c r="E527" s="30" t="str">
        <x:v>Monthly</x:v>
      </x:c>
      <x:c r="F527" s="30" t="str">
        <x:v>RETAIL</x:v>
      </x:c>
      <x:c r="G527" s="30" t="str">
        <x:v>Personnel Competency</x:v>
      </x:c>
      <x:c r="H527" s="30" t="str">
        <x:v>Yes</x:v>
      </x:c>
      <x:c r="I527" s="30" t="str">
        <x:v>Normalized from approved Pharmacy Delta Audit Procedure Master.</x:v>
      </x:c>
    </x:row>
    <x:row r="528">
      <x:c r="A528" s="30" t="str">
        <x:v>RAUD006</x:v>
      </x:c>
      <x:c r="B528" s="30" t="str">
        <x:v>RCOMP006</x:v>
      </x:c>
      <x:c r="C528" s="30" t="str">
        <x:v>Verify reserved medicines are segregated, properly labelled, tracked, and released only to authorized customers.</x:v>
      </x:c>
      <x:c r="D528" s="30" t="str">
        <x:v>Physical Inspection</x:v>
      </x:c>
      <x:c r="E528" s="30" t="str">
        <x:v>Monthly</x:v>
      </x:c>
      <x:c r="F528" s="30" t="str">
        <x:v>RETAIL</x:v>
      </x:c>
      <x:c r="G528" s="30" t="str">
        <x:v>Inventory Controls</x:v>
      </x:c>
      <x:c r="H528" s="30" t="str">
        <x:v>Yes</x:v>
      </x:c>
      <x:c r="I528" s="30" t="str">
        <x:v>Normalized from approved Pharmacy Delta Audit Procedure Master.</x:v>
      </x:c>
    </x:row>
    <x:row r="529">
      <x:c r="A529" s="30" t="str">
        <x:v>RAUD007</x:v>
      </x:c>
      <x:c r="B529" s="30" t="str">
        <x:v>RCOMP007</x:v>
      </x:c>
      <x:c r="C529" s="30" t="str">
        <x:v>Review opening inspection records covering expiry checks, storage conditions, cleanliness, and damaged stock identification.</x:v>
      </x:c>
      <x:c r="D529" s="30" t="str">
        <x:v>Physical Inspection</x:v>
      </x:c>
      <x:c r="E529" s="30" t="str">
        <x:v>Monthly</x:v>
      </x:c>
      <x:c r="F529" s="30" t="str">
        <x:v>RETAIL</x:v>
      </x:c>
      <x:c r="G529" s="30" t="str">
        <x:v>Storage Controls</x:v>
      </x:c>
      <x:c r="H529" s="30" t="str">
        <x:v>Yes</x:v>
      </x:c>
      <x:c r="I529" s="30" t="str">
        <x:v>Normalized from approved Pharmacy Delta Audit Procedure Master.</x:v>
      </x:c>
    </x:row>
    <x:row r="530">
      <x:c r="A530" s="30" t="str">
        <x:v>RAUD008</x:v>
      </x:c>
      <x:c r="B530" s="30" t="str">
        <x:v>RCOMP008</x:v>
      </x:c>
      <x:c r="C530" s="30" t="str">
        <x:v>Verify pharmacy operating hours, pharmacist details, licence certificates, and emergency contacts are correctly displayed.</x:v>
      </x:c>
      <x:c r="D530" s="30" t="str">
        <x:v>Physical Inspection</x:v>
      </x:c>
      <x:c r="E530" s="30" t="str">
        <x:v>Quarterly</x:v>
      </x:c>
      <x:c r="F530" s="30" t="str">
        <x:v>RETAIL</x:v>
      </x:c>
      <x:c r="G530" s="30" t="str">
        <x:v>Licensing</x:v>
      </x:c>
      <x:c r="H530" s="30" t="str">
        <x:v>Yes</x:v>
      </x:c>
      <x:c r="I530" s="30" t="str">
        <x:v>Normalized from approved Pharmacy Delta Audit Procedure Master.</x:v>
      </x:c>
    </x:row>
    <x:row r="531">
      <x:c r="A531" s="30" t="str">
        <x:v>RAUD009</x:v>
      </x:c>
      <x:c r="B531" s="30" t="str">
        <x:v>RCOMP009</x:v>
      </x:c>
      <x:c r="C531" s="30" t="str">
        <x:v>Audit returned medicine handling from receipt through segregation, investigation, and disposal.</x:v>
      </x:c>
      <x:c r="D531" s="30" t="str">
        <x:v>Record Verification</x:v>
      </x:c>
      <x:c r="E531" s="30" t="str">
        <x:v>Quarterly</x:v>
      </x:c>
      <x:c r="F531" s="30" t="str">
        <x:v>RETAIL</x:v>
      </x:c>
      <x:c r="G531" s="30" t="str">
        <x:v>Inventory Controls</x:v>
      </x:c>
      <x:c r="H531" s="30" t="str">
        <x:v>Yes</x:v>
      </x:c>
      <x:c r="I531" s="30" t="str">
        <x:v>Normalized from approved Pharmacy Delta Audit Procedure Master.</x:v>
      </x:c>
    </x:row>
    <x:row r="532">
      <x:c r="A532" s="30" t="str">
        <x:v>RAUD010</x:v>
      </x:c>
      <x:c r="B532" s="30" t="str">
        <x:v>RCOMP010</x:v>
      </x:c>
      <x:c r="C532" s="30" t="str">
        <x:v>Review pharmacist counselling records for identified high-risk medicines and verify counselling completeness.</x:v>
      </x:c>
      <x:c r="D532" s="30" t="str">
        <x:v>Record Verification</x:v>
      </x:c>
      <x:c r="E532" s="30" t="str">
        <x:v>Quarterly</x:v>
      </x:c>
      <x:c r="F532" s="30" t="str">
        <x:v>RETAIL</x:v>
      </x:c>
      <x:c r="G532" s="30" t="str">
        <x:v>Personnel Competency</x:v>
      </x:c>
      <x:c r="H532" s="30" t="str">
        <x:v>Yes</x:v>
      </x:c>
      <x:c r="I532" s="30" t="str">
        <x:v>Normalized from approved Pharmacy Delta Audit Procedure Master.</x:v>
      </x:c>
    </x:row>
    <x:row r="533">
      <x:c r="A533" s="30" t="str">
        <x:v>RAUD011</x:v>
      </x:c>
      <x:c r="B533" s="30" t="str">
        <x:v>RCOMP011</x:v>
      </x:c>
      <x:c r="C533" s="30" t="str">
        <x:v>Verify prescription authenticity checks, prescriber validation, and pharmacist review before dispensing.</x:v>
      </x:c>
      <x:c r="D533" s="30" t="str">
        <x:v>Sampling</x:v>
      </x:c>
      <x:c r="E533" s="30" t="str">
        <x:v>Quarterly</x:v>
      </x:c>
      <x:c r="F533" s="30" t="str">
        <x:v>RETAIL</x:v>
      </x:c>
      <x:c r="G533" s="30" t="str">
        <x:v>Personnel Competency</x:v>
      </x:c>
      <x:c r="H533" s="30" t="str">
        <x:v>Yes</x:v>
      </x:c>
      <x:c r="I533" s="30" t="str">
        <x:v>Normalized from approved Pharmacy Delta Audit Procedure Master.</x:v>
      </x:c>
    </x:row>
    <x:row r="534">
      <x:c r="A534" s="30" t="str">
        <x:v>RAUD012</x:v>
      </x:c>
      <x:c r="B534" s="30" t="str">
        <x:v>RCOMP012</x:v>
      </x:c>
      <x:c r="C534" s="30" t="str">
        <x:v>Review pharmacist attendance records and shift rosters to verify continuous statutory supervision.</x:v>
      </x:c>
      <x:c r="D534" s="30" t="str">
        <x:v>Record Verification</x:v>
      </x:c>
      <x:c r="E534" s="30" t="str">
        <x:v>Monthly</x:v>
      </x:c>
      <x:c r="F534" s="30" t="str">
        <x:v>RETAIL</x:v>
      </x:c>
      <x:c r="G534" s="30" t="str">
        <x:v>Personnel Competency</x:v>
      </x:c>
      <x:c r="H534" s="30" t="str">
        <x:v>Yes</x:v>
      </x:c>
      <x:c r="I534" s="30" t="str">
        <x:v>Normalized from approved Pharmacy Delta Audit Procedure Master.</x:v>
      </x:c>
    </x:row>
    <x:row r="535">
      <x:c r="A535" s="30" t="str">
        <x:v>RAUD013</x:v>
      </x:c>
      <x:c r="B535" s="30" t="str">
        <x:v>RCOMP013</x:v>
      </x:c>
      <x:c r="C535" s="30" t="str">
        <x:v>Verify electronic prescription storage controls including audit logs, backup status, and retention compliance.</x:v>
      </x:c>
      <x:c r="D535" s="30" t="str">
        <x:v>Record Verification</x:v>
      </x:c>
      <x:c r="E535" s="30" t="str">
        <x:v>Half Yearly</x:v>
      </x:c>
      <x:c r="F535" s="30" t="str">
        <x:v>RETAIL</x:v>
      </x:c>
      <x:c r="G535" s="30" t="str">
        <x:v>Prescription Controls</x:v>
      </x:c>
      <x:c r="H535" s="30" t="str">
        <x:v>Yes</x:v>
      </x:c>
      <x:c r="I535" s="30" t="str">
        <x:v>Normalized from approved Pharmacy Delta Audit Procedure Master.</x:v>
      </x:c>
    </x:row>
    <x:row r="536">
      <x:c r="A536" s="30" t="str">
        <x:v>RAUD014</x:v>
      </x:c>
      <x:c r="B536" s="30" t="str">
        <x:v>RCOMP014</x:v>
      </x:c>
      <x:c r="C536" s="30" t="str">
        <x:v>Review cold-chain dispensing records, temperature logs, and pharmacist verification before medicine release.</x:v>
      </x:c>
      <x:c r="D536" s="30" t="str">
        <x:v>Record Verification</x:v>
      </x:c>
      <x:c r="E536" s="30" t="str">
        <x:v>Monthly</x:v>
      </x:c>
      <x:c r="F536" s="30" t="str">
        <x:v>RETAIL</x:v>
      </x:c>
      <x:c r="G536" s="30" t="str">
        <x:v>Personnel Competency</x:v>
      </x:c>
      <x:c r="H536" s="30" t="str">
        <x:v>Yes</x:v>
      </x:c>
      <x:c r="I536" s="30" t="str">
        <x:v>Normalized from approved Pharmacy Delta Audit Procedure Master.</x:v>
      </x:c>
    </x:row>
    <x:row r="537">
      <x:c r="A537" s="30" t="str">
        <x:v>RAUD015</x:v>
      </x:c>
      <x:c r="B537" s="30" t="str">
        <x:v>RCOMP015</x:v>
      </x:c>
      <x:c r="C537" s="30" t="str">
        <x:v>Verify dispensing records contain batch number, expiry date, pharmacist identity, and traceability details.</x:v>
      </x:c>
      <x:c r="D537" s="30" t="str">
        <x:v>Record Verification</x:v>
      </x:c>
      <x:c r="E537" s="30" t="str">
        <x:v>Quarterly</x:v>
      </x:c>
      <x:c r="F537" s="30" t="str">
        <x:v>RETAIL</x:v>
      </x:c>
      <x:c r="G537" s="30" t="str">
        <x:v>Personnel Competency</x:v>
      </x:c>
      <x:c r="H537" s="30" t="str">
        <x:v>Yes</x:v>
      </x:c>
      <x:c r="I537" s="30" t="str">
        <x:v>Normalized from approved Pharmacy Delta Audit Procedure Master.</x:v>
      </x:c>
    </x:row>
    <x:row r="538">
      <x:c r="A538" s="30" t="str">
        <x:v>RAUD016</x:v>
      </x:c>
      <x:c r="B538" s="30" t="str">
        <x:v>RCOMP016</x:v>
      </x:c>
      <x:c r="C538" s="30" t="str">
        <x:v>Verify display of customer rights, complaint procedures, and consumer information throughout the pharmacy.</x:v>
      </x:c>
      <x:c r="D538" s="30" t="str">
        <x:v>Physical Inspection</x:v>
      </x:c>
      <x:c r="E538" s="30" t="str">
        <x:v>Quarterly</x:v>
      </x:c>
      <x:c r="F538" s="30" t="str">
        <x:v>RETAIL</x:v>
      </x:c>
      <x:c r="G538" s="30" t="str">
        <x:v>Inspection &amp; Display Controls</x:v>
      </x:c>
      <x:c r="H538" s="30" t="str">
        <x:v>Yes</x:v>
      </x:c>
      <x:c r="I538" s="30" t="str">
        <x:v>Normalized from approved Pharmacy Delta Audit Procedure Master.</x:v>
      </x:c>
    </x:row>
    <x:row r="539">
      <x:c r="A539" s="30" t="str">
        <x:v>RAUD017</x:v>
      </x:c>
      <x:c r="B539" s="30" t="str">
        <x:v>RCOMP017</x:v>
      </x:c>
      <x:c r="C539" s="30" t="str">
        <x:v>Inspect storage arrangements and access controls for high-risk medicines and verify access logs.</x:v>
      </x:c>
      <x:c r="D539" s="30" t="str">
        <x:v>Physical Inspection</x:v>
      </x:c>
      <x:c r="E539" s="30" t="str">
        <x:v>Quarterly</x:v>
      </x:c>
      <x:c r="F539" s="30" t="str">
        <x:v>RETAIL</x:v>
      </x:c>
      <x:c r="G539" s="30" t="str">
        <x:v>Storage Controls</x:v>
      </x:c>
      <x:c r="H539" s="30" t="str">
        <x:v>Yes</x:v>
      </x:c>
      <x:c r="I539" s="30" t="str">
        <x:v>Normalized from approved Pharmacy Delta Audit Procedure Master.</x:v>
      </x:c>
    </x:row>
    <x:row r="540">
      <x:c r="A540" s="30" t="str">
        <x:v>RAUD018</x:v>
      </x:c>
      <x:c r="B540" s="30" t="str">
        <x:v>RCOMP018</x:v>
      </x:c>
      <x:c r="C540" s="30" t="str">
        <x:v>Review promotional materials to ensure regulatory approval and compliance with ethical advertising standards.</x:v>
      </x:c>
      <x:c r="D540" s="30" t="str">
        <x:v>Document Review</x:v>
      </x:c>
      <x:c r="E540" s="30" t="str">
        <x:v>Quarterly</x:v>
      </x:c>
      <x:c r="F540" s="30" t="str">
        <x:v>RETAIL</x:v>
      </x:c>
      <x:c r="G540" s="30" t="str">
        <x:v>General Compliance</x:v>
      </x:c>
      <x:c r="H540" s="30" t="str">
        <x:v>Yes</x:v>
      </x:c>
      <x:c r="I540" s="30" t="str">
        <x:v>Normalized from approved Pharmacy Delta Audit Procedure Master.</x:v>
      </x:c>
    </x:row>
    <x:row r="541">
      <x:c r="A541" s="30" t="str">
        <x:v>RAUD019</x:v>
      </x:c>
      <x:c r="B541" s="30" t="str">
        <x:v>RCOMP019</x:v>
      </x:c>
      <x:c r="C541" s="30" t="str">
        <x:v>Reconcile restricted medicine inventory against statutory registers and dispensing records.</x:v>
      </x:c>
      <x:c r="D541" s="30" t="str">
        <x:v>Reconciliation</x:v>
      </x:c>
      <x:c r="E541" s="30" t="str">
        <x:v>Monthly</x:v>
      </x:c>
      <x:c r="F541" s="30" t="str">
        <x:v>RETAIL</x:v>
      </x:c>
      <x:c r="G541" s="30" t="str">
        <x:v>Inventory Controls</x:v>
      </x:c>
      <x:c r="H541" s="30" t="str">
        <x:v>Yes</x:v>
      </x:c>
      <x:c r="I541" s="30" t="str">
        <x:v>Normalized from approved Pharmacy Delta Audit Procedure Master.</x:v>
      </x:c>
    </x:row>
    <x:row r="542">
      <x:c r="A542" s="30" t="str">
        <x:v>RAUD020</x:v>
      </x:c>
      <x:c r="B542" s="30" t="str">
        <x:v>RCOMP020</x:v>
      </x:c>
      <x:c r="C542" s="30" t="str">
        <x:v>Verify implementation of patient information security controls including access reviews, confidentiality measures, and audit logs.</x:v>
      </x:c>
      <x:c r="D542" s="30" t="str">
        <x:v>Record Verification</x:v>
      </x:c>
      <x:c r="E542" s="30" t="str">
        <x:v>Half Yearly</x:v>
      </x:c>
      <x:c r="F542" s="30" t="str">
        <x:v>RETAIL</x:v>
      </x:c>
      <x:c r="G542" s="30" t="str">
        <x:v>Recordkeeping</x:v>
      </x:c>
      <x:c r="H542" s="30" t="str">
        <x:v>Yes</x:v>
      </x:c>
      <x:c r="I542" s="30" t="str">
        <x:v>Normalized from approved Pharmacy Delta Audit Procedure Master.</x:v>
      </x:c>
    </x:row>
    <x:row r="543">
      <x:c r="A543" s="30" t="str">
        <x:v>RAUD021</x:v>
      </x:c>
      <x:c r="B543" s="30" t="str">
        <x:v>RCOMP021</x:v>
      </x:c>
      <x:c r="C543" s="30" t="str">
        <x:v>Verify the LASA medicine register, storage arrangements, warning labels, and independent verification before dispensing.</x:v>
      </x:c>
      <x:c r="D543" s="30" t="str">
        <x:v>Physical Inspection</x:v>
      </x:c>
      <x:c r="E543" s="30" t="str">
        <x:v>Quarterly</x:v>
      </x:c>
      <x:c r="F543" s="30" t="str">
        <x:v>RETAIL</x:v>
      </x:c>
      <x:c r="G543" s="30" t="str">
        <x:v>Storage Controls</x:v>
      </x:c>
      <x:c r="H543" s="30" t="str">
        <x:v>Yes</x:v>
      </x:c>
      <x:c r="I543" s="30" t="str">
        <x:v>Normalized from approved Pharmacy Delta Audit Procedure Master.</x:v>
      </x:c>
    </x:row>
    <x:row r="544">
      <x:c r="A544" s="30" t="str">
        <x:v>RAUD022</x:v>
      </x:c>
      <x:c r="B544" s="30" t="str">
        <x:v>RCOMP022</x:v>
      </x:c>
      <x:c r="C544" s="30" t="str">
        <x:v>Audit near-expiry medicine monitoring, FEFO implementation, stock rotation, and segregation procedures.</x:v>
      </x:c>
      <x:c r="D544" s="30" t="str">
        <x:v>Document Review</x:v>
      </x:c>
      <x:c r="E544" s="30" t="str">
        <x:v>Monthly</x:v>
      </x:c>
      <x:c r="F544" s="30" t="str">
        <x:v>RETAIL</x:v>
      </x:c>
      <x:c r="G544" s="30" t="str">
        <x:v>Inventory Controls</x:v>
      </x:c>
      <x:c r="H544" s="30" t="str">
        <x:v>Yes</x:v>
      </x:c>
      <x:c r="I544" s="30" t="str">
        <x:v>Normalized from approved Pharmacy Delta Audit Procedure Master.</x:v>
      </x:c>
    </x:row>
    <x:row r="545">
      <x:c r="A545" s="30" t="str">
        <x:v>RAUD023</x:v>
      </x:c>
      <x:c r="B545" s="30" t="str">
        <x:v>RCOMP023</x:v>
      </x:c>
      <x:c r="C545" s="30" t="str">
        <x:v>Verify customer identity verification records for medicines requiring statutory identity confirmation.</x:v>
      </x:c>
      <x:c r="D545" s="30" t="str">
        <x:v>Record Verification</x:v>
      </x:c>
      <x:c r="E545" s="30" t="str">
        <x:v>Quarterly</x:v>
      </x:c>
      <x:c r="F545" s="30" t="str">
        <x:v>RETAIL</x:v>
      </x:c>
      <x:c r="G545" s="30" t="str">
        <x:v>Consumer Protection</x:v>
      </x:c>
      <x:c r="H545" s="30" t="str">
        <x:v>Yes</x:v>
      </x:c>
      <x:c r="I545" s="30" t="str">
        <x:v>Normalized from approved Pharmacy Delta Audit Procedure Master.</x:v>
      </x:c>
    </x:row>
    <x:row r="546">
      <x:c r="A546" s="30" t="str">
        <x:v>RAUD024</x:v>
      </x:c>
      <x:c r="B546" s="30" t="str">
        <x:v>RCOMP024</x:v>
      </x:c>
      <x:c r="C546" s="30" t="str">
        <x:v>Review opening checklist completion including refrigeration, pharmacist availability, licence display, security, and IT readiness.</x:v>
      </x:c>
      <x:c r="D546" s="30" t="str">
        <x:v>Document Review</x:v>
      </x:c>
      <x:c r="E546" s="30" t="str">
        <x:v>Monthly</x:v>
      </x:c>
      <x:c r="F546" s="30" t="str">
        <x:v>RETAIL</x:v>
      </x:c>
      <x:c r="G546" s="30" t="str">
        <x:v>Licensing</x:v>
      </x:c>
      <x:c r="H546" s="30" t="str">
        <x:v>Yes</x:v>
      </x:c>
      <x:c r="I546" s="30" t="str">
        <x:v>Normalized from approved Pharmacy Delta Audit Procedure Master.</x:v>
      </x:c>
    </x:row>
    <x:row r="547">
      <x:c r="A547" s="30" t="str">
        <x:v>RAUD025</x:v>
      </x:c>
      <x:c r="B547" s="30" t="str">
        <x:v>RCOMP025</x:v>
      </x:c>
      <x:c r="C547" s="30" t="str">
        <x:v>Verify traceability of recalled medicines by reviewing dispensing history, customer linkage, and recall execution records.</x:v>
      </x:c>
      <x:c r="D547" s="30" t="str">
        <x:v>Record Verification</x:v>
      </x:c>
      <x:c r="E547" s="30" t="str">
        <x:v>Quarterly</x:v>
      </x:c>
      <x:c r="F547" s="30" t="str">
        <x:v>RETAIL</x:v>
      </x:c>
      <x:c r="G547" s="30" t="str">
        <x:v>Inventory Controls</x:v>
      </x:c>
      <x:c r="H547" s="30" t="str">
        <x:v>Yes</x:v>
      </x:c>
      <x:c r="I547" s="30" t="str">
        <x:v>Normalized from approved Pharmacy Delta Audit Procedure Master.</x:v>
      </x:c>
    </x:row>
    <x:row r="548">
      <x:c r="A548" s="30" t="str">
        <x:v>RAUD026</x:v>
      </x:c>
      <x:c r="B548" s="30" t="str">
        <x:v>RCOMP026</x:v>
      </x:c>
      <x:c r="C548" s="30" t="str">
        <x:v>Audit electronic dispensing audit trails to verify user accountability, transaction history, approvals, and protection against alteration.</x:v>
      </x:c>
      <x:c r="D548" s="30" t="str">
        <x:v>Record Verification</x:v>
      </x:c>
      <x:c r="E548" s="30" t="str">
        <x:v>Half Yearly</x:v>
      </x:c>
      <x:c r="F548" s="30" t="str">
        <x:v>RETAIL</x:v>
      </x:c>
      <x:c r="G548" s="30" t="str">
        <x:v>General Compliance</x:v>
      </x:c>
      <x:c r="H548" s="30" t="str">
        <x:v>Yes</x:v>
      </x:c>
      <x:c r="I548" s="30" t="str">
        <x:v>Normalized from approved Pharmacy Delta Audit Procedure Master.</x:v>
      </x:c>
    </x:row>
    <x:row r="549">
      <x:c r="A549" s="30" t="str">
        <x:v>RAUD027</x:v>
      </x:c>
      <x:c r="B549" s="30" t="str">
        <x:v>RCOMP027</x:v>
      </x:c>
      <x:c r="C549" s="30" t="str">
        <x:v>Inspect segregation of saleable, expired, recalled, damaged, returned, and quarantined medicines.</x:v>
      </x:c>
      <x:c r="D549" s="30" t="str">
        <x:v>Physical Inspection</x:v>
      </x:c>
      <x:c r="E549" s="30" t="str">
        <x:v>Monthly</x:v>
      </x:c>
      <x:c r="F549" s="30" t="str">
        <x:v>RETAIL</x:v>
      </x:c>
      <x:c r="G549" s="30" t="str">
        <x:v>Inventory Controls</x:v>
      </x:c>
      <x:c r="H549" s="30" t="str">
        <x:v>Yes</x:v>
      </x:c>
      <x:c r="I549" s="30" t="str">
        <x:v>Normalized from approved Pharmacy Delta Audit Procedure Master.</x:v>
      </x:c>
    </x:row>
    <x:row r="550">
      <x:c r="A550" s="30" t="str">
        <x:v>RAUD028</x:v>
      </x:c>
      <x:c r="B550" s="30" t="str">
        <x:v>RCOMP028</x:v>
      </x:c>
      <x:c r="C550" s="30" t="str">
        <x:v>Review CCTV retention, access authorization, system maintenance, and retrieval capability for compliance.</x:v>
      </x:c>
      <x:c r="D550" s="30" t="str">
        <x:v>System Verification</x:v>
      </x:c>
      <x:c r="E550" s="30" t="str">
        <x:v>Half Yearly</x:v>
      </x:c>
      <x:c r="F550" s="30" t="str">
        <x:v>RETAIL</x:v>
      </x:c>
      <x:c r="G550" s="30" t="str">
        <x:v>Digital Controls</x:v>
      </x:c>
      <x:c r="H550" s="30" t="str">
        <x:v>Yes</x:v>
      </x:c>
      <x:c r="I550" s="30" t="str">
        <x:v>Normalized from approved Pharmacy Delta Audit Procedure Master.</x:v>
      </x:c>
    </x:row>
    <x:row r="551">
      <x:c r="A551" s="30" t="str">
        <x:v>RAUD029</x:v>
      </x:c>
      <x:c r="B551" s="30" t="str">
        <x:v>RCOMP029</x:v>
      </x:c>
      <x:c r="C551" s="30" t="str">
        <x:v>Verify pharmacist intervention documentation for prescription clarification, dosage modification, substitutions, and clinical recommendations.</x:v>
      </x:c>
      <x:c r="D551" s="30" t="str">
        <x:v>Record Verification</x:v>
      </x:c>
      <x:c r="E551" s="30" t="str">
        <x:v>Quarterly</x:v>
      </x:c>
      <x:c r="F551" s="30" t="str">
        <x:v>RETAIL</x:v>
      </x:c>
      <x:c r="G551" s="30" t="str">
        <x:v>Personnel Competency</x:v>
      </x:c>
      <x:c r="H551" s="30" t="str">
        <x:v>Yes</x:v>
      </x:c>
      <x:c r="I551" s="30" t="str">
        <x:v>Normalized from approved Pharmacy Delta Audit Procedure Master.</x:v>
      </x:c>
    </x:row>
    <x:row r="552">
      <x:c r="A552" s="30" t="str">
        <x:v>RAUD030</x:v>
      </x:c>
      <x:c r="B552" s="30" t="str">
        <x:v>RCOMP030</x:v>
      </x:c>
      <x:c r="C552" s="30" t="str">
        <x:v>Review pharmacy closing procedures covering controlled medicines, refrigeration, pending prescriptions, security, backups, and cash reconciliation.</x:v>
      </x:c>
      <x:c r="D552" s="30" t="str">
        <x:v>Reconciliation</x:v>
      </x:c>
      <x:c r="E552" s="30" t="str">
        <x:v>Monthly</x:v>
      </x:c>
      <x:c r="F552" s="30" t="str">
        <x:v>RETAIL</x:v>
      </x:c>
      <x:c r="G552" s="30" t="str">
        <x:v>Prescription Controls</x:v>
      </x:c>
      <x:c r="H552" s="30" t="str">
        <x:v>Yes</x:v>
      </x:c>
      <x:c r="I552" s="30" t="str">
        <x:v>Normalized from approved Pharmacy Delta Audit Procedure Master.</x:v>
      </x:c>
    </x:row>
    <x:row r="553">
      <x:c r="A553" s="30" t="str">
        <x:v>RAUD031</x:v>
      </x:c>
      <x:c r="B553" s="30" t="str">
        <x:v>RCOMP031</x:v>
      </x:c>
      <x:c r="C553" s="30" t="str">
        <x:v>Audit dispensing of narcotic and psychotropic medicines to verify prescription validity, statutory register entries, pharmacist authorization, and stock reconciliation.</x:v>
      </x:c>
      <x:c r="D553" s="30" t="str">
        <x:v>Reconciliation</x:v>
      </x:c>
      <x:c r="E553" s="30" t="str">
        <x:v>Monthly</x:v>
      </x:c>
      <x:c r="F553" s="30" t="str">
        <x:v>RETAIL</x:v>
      </x:c>
      <x:c r="G553" s="30" t="str">
        <x:v>Personnel Competency</x:v>
      </x:c>
      <x:c r="H553" s="30" t="str">
        <x:v>Yes</x:v>
      </x:c>
      <x:c r="I553" s="30" t="str">
        <x:v>Normalized from approved Pharmacy Delta Audit Procedure Master.</x:v>
      </x:c>
    </x:row>
    <x:row r="554">
      <x:c r="A554" s="30" t="str">
        <x:v>RAUD032</x:v>
      </x:c>
      <x:c r="B554" s="30" t="str">
        <x:v>RCOMP032</x:v>
      </x:c>
      <x:c r="C554" s="30" t="str">
        <x:v>Review priority prescription processing records to verify emergency prescriptions are handled according to approved prioritization criteria.</x:v>
      </x:c>
      <x:c r="D554" s="30" t="str">
        <x:v>Record Verification</x:v>
      </x:c>
      <x:c r="E554" s="30" t="str">
        <x:v>Quarterly</x:v>
      </x:c>
      <x:c r="F554" s="30" t="str">
        <x:v>RETAIL</x:v>
      </x:c>
      <x:c r="G554" s="30" t="str">
        <x:v>Prescription Controls</x:v>
      </x:c>
      <x:c r="H554" s="30" t="str">
        <x:v>Yes</x:v>
      </x:c>
      <x:c r="I554" s="30" t="str">
        <x:v>Normalized from approved Pharmacy Delta Audit Procedure Master.</x:v>
      </x:c>
    </x:row>
    <x:row r="555">
      <x:c r="A555" s="30" t="str">
        <x:v>RAUD033</x:v>
      </x:c>
      <x:c r="B555" s="30" t="str">
        <x:v>RCOMP033</x:v>
      </x:c>
      <x:c r="C555" s="30" t="str">
        <x:v>Verify customer consent records for SMS, email, and digital notifications together with communication audit logs.</x:v>
      </x:c>
      <x:c r="D555" s="30" t="str">
        <x:v>System Verification</x:v>
      </x:c>
      <x:c r="E555" s="30" t="str">
        <x:v>Half Yearly</x:v>
      </x:c>
      <x:c r="F555" s="30" t="str">
        <x:v>RETAIL</x:v>
      </x:c>
      <x:c r="G555" s="30" t="str">
        <x:v>Digital Controls</x:v>
      </x:c>
      <x:c r="H555" s="30" t="str">
        <x:v>Yes</x:v>
      </x:c>
      <x:c r="I555" s="30" t="str">
        <x:v>Normalized from approved Pharmacy Delta Audit Procedure Master.</x:v>
      </x:c>
    </x:row>
    <x:row r="556">
      <x:c r="A556" s="30" t="str">
        <x:v>RAUD034</x:v>
      </x:c>
      <x:c r="B556" s="30" t="str">
        <x:v>RCOMP034</x:v>
      </x:c>
      <x:c r="C556" s="30" t="str">
        <x:v>Audit generic substitution records to verify pharmacist justification, approvals, and customer communication.</x:v>
      </x:c>
      <x:c r="D556" s="30" t="str">
        <x:v>Record Verification</x:v>
      </x:c>
      <x:c r="E556" s="30" t="str">
        <x:v>Quarterly</x:v>
      </x:c>
      <x:c r="F556" s="30" t="str">
        <x:v>RETAIL</x:v>
      </x:c>
      <x:c r="G556" s="30" t="str">
        <x:v>Personnel Competency</x:v>
      </x:c>
      <x:c r="H556" s="30" t="str">
        <x:v>Yes</x:v>
      </x:c>
      <x:c r="I556" s="30" t="str">
        <x:v>Normalized from approved Pharmacy Delta Audit Procedure Master.</x:v>
      </x:c>
    </x:row>
    <x:row r="557">
      <x:c r="A557" s="30" t="str">
        <x:v>RAUD035</x:v>
      </x:c>
      <x:c r="B557" s="30" t="str">
        <x:v>RCOMP035</x:v>
      </x:c>
      <x:c r="C557" s="30" t="str">
        <x:v>Verify investigation and disposition of refrigeration alarms and temperature excursions before medicine dispensing.</x:v>
      </x:c>
      <x:c r="D557" s="30" t="str">
        <x:v>Document Review</x:v>
      </x:c>
      <x:c r="E557" s="30" t="str">
        <x:v>Monthly</x:v>
      </x:c>
      <x:c r="F557" s="30" t="str">
        <x:v>RETAIL</x:v>
      </x:c>
      <x:c r="G557" s="30" t="str">
        <x:v>Storage Controls</x:v>
      </x:c>
      <x:c r="H557" s="30" t="str">
        <x:v>Yes</x:v>
      </x:c>
      <x:c r="I557" s="30" t="str">
        <x:v>Normalized from approved Pharmacy Delta Audit Procedure Master.</x:v>
      </x:c>
    </x:row>
    <x:row r="558">
      <x:c r="A558" s="30" t="str">
        <x:v>RAUD036</x:v>
      </x:c>
      <x:c r="B558" s="30" t="str">
        <x:v>RCOMP036</x:v>
      </x:c>
      <x:c r="C558" s="30" t="str">
        <x:v>Inspect customer waiting areas for cleanliness, accessibility, safety, and compliance with housekeeping procedures.</x:v>
      </x:c>
      <x:c r="D558" s="30" t="str">
        <x:v>Physical Inspection</x:v>
      </x:c>
      <x:c r="E558" s="30" t="str">
        <x:v>Monthly</x:v>
      </x:c>
      <x:c r="F558" s="30" t="str">
        <x:v>RETAIL</x:v>
      </x:c>
      <x:c r="G558" s="30" t="str">
        <x:v>Consumer Protection</x:v>
      </x:c>
      <x:c r="H558" s="30" t="str">
        <x:v>Yes</x:v>
      </x:c>
      <x:c r="I558" s="30" t="str">
        <x:v>Normalized from approved Pharmacy Delta Audit Procedure Master.</x:v>
      </x:c>
    </x:row>
    <x:row r="559">
      <x:c r="A559" s="30" t="str">
        <x:v>RAUD037</x:v>
      </x:c>
      <x:c r="B559" s="30" t="str">
        <x:v>RCOMP037</x:v>
      </x:c>
      <x:c r="C559" s="30" t="str">
        <x:v>Review verbal prescription documentation, pharmacist verification, follow-up confirmations, and statutory compliance.</x:v>
      </x:c>
      <x:c r="D559" s="30" t="str">
        <x:v>Document Review</x:v>
      </x:c>
      <x:c r="E559" s="30" t="str">
        <x:v>Quarterly</x:v>
      </x:c>
      <x:c r="F559" s="30" t="str">
        <x:v>RETAIL</x:v>
      </x:c>
      <x:c r="G559" s="30" t="str">
        <x:v>Personnel Competency</x:v>
      </x:c>
      <x:c r="H559" s="30" t="str">
        <x:v>Yes</x:v>
      </x:c>
      <x:c r="I559" s="30" t="str">
        <x:v>Normalized from approved Pharmacy Delta Audit Procedure Master.</x:v>
      </x:c>
    </x:row>
    <x:row r="560">
      <x:c r="A560" s="30" t="str">
        <x:v>RAUD038</x:v>
      </x:c>
      <x:c r="B560" s="30" t="str">
        <x:v>RCOMP038</x:v>
      </x:c>
      <x:c r="C560" s="30" t="str">
        <x:v>Verify unique user accounts, privileged access reviews, password controls, and immediate revocation of obsolete accounts.</x:v>
      </x:c>
      <x:c r="D560" s="30" t="str">
        <x:v>Document Review</x:v>
      </x:c>
      <x:c r="E560" s="30" t="str">
        <x:v>Half Yearly</x:v>
      </x:c>
      <x:c r="F560" s="30" t="str">
        <x:v>RETAIL</x:v>
      </x:c>
      <x:c r="G560" s="30" t="str">
        <x:v>General Compliance</x:v>
      </x:c>
      <x:c r="H560" s="30" t="str">
        <x:v>Yes</x:v>
      </x:c>
      <x:c r="I560" s="30" t="str">
        <x:v>Normalized from approved Pharmacy Delta Audit Procedure Master.</x:v>
      </x:c>
    </x:row>
    <x:row r="561">
      <x:c r="A561" s="30" t="str">
        <x:v>RAUD039</x:v>
      </x:c>
      <x:c r="B561" s="30" t="str">
        <x:v>RCOMP039</x:v>
      </x:c>
      <x:c r="C561" s="30" t="str">
        <x:v>Audit customer feedback management by reviewing complaint classification, investigations, CAPA implementation, and trend analysis.</x:v>
      </x:c>
      <x:c r="D561" s="30" t="str">
        <x:v>Document Review</x:v>
      </x:c>
      <x:c r="E561" s="30" t="str">
        <x:v>Quarterly</x:v>
      </x:c>
      <x:c r="F561" s="30" t="str">
        <x:v>RETAIL</x:v>
      </x:c>
      <x:c r="G561" s="30" t="str">
        <x:v>Consumer Protection</x:v>
      </x:c>
      <x:c r="H561" s="30" t="str">
        <x:v>Yes</x:v>
      </x:c>
      <x:c r="I561" s="30" t="str">
        <x:v>Normalized from approved Pharmacy Delta Audit Procedure Master.</x:v>
      </x:c>
    </x:row>
    <x:row r="562">
      <x:c r="A562" s="30" t="str">
        <x:v>RAUD040</x:v>
      </x:c>
      <x:c r="B562" s="30" t="str">
        <x:v>RCOMP040</x:v>
      </x:c>
      <x:c r="C562" s="30" t="str">
        <x:v>Conduct comprehensive monthly self-assessment covering licences, dispensing, storage, pharmacist supervision, inventory, IT controls, and statutory compliance. Verify completion of corrective actions.</x:v>
      </x:c>
      <x:c r="D562" s="30" t="str">
        <x:v>Document Review</x:v>
      </x:c>
      <x:c r="E562" s="30" t="str">
        <x:v>Monthly</x:v>
      </x:c>
      <x:c r="F562" s="30" t="str">
        <x:v>RETAIL</x:v>
      </x:c>
      <x:c r="G562" s="30" t="str">
        <x:v>Licensing</x:v>
      </x:c>
      <x:c r="H562" s="30" t="str">
        <x:v>Yes</x:v>
      </x:c>
      <x:c r="I562" s="30" t="str">
        <x:v>Normalized from approved Pharmacy Delta Audit Procedure Master.</x:v>
      </x:c>
    </x:row>
    <x:row r="563">
      <x:c r="A563" s="30" t="str">
        <x:v>RAUD041</x:v>
      </x:c>
      <x:c r="B563" s="30" t="str">
        <x:v>RCOMP041</x:v>
      </x:c>
      <x:c r="C563" s="30" t="str">
        <x:v>Verify minimum stock levels for essential medicines against approved inventory thresholds and review replenishment actions for stock shortages.</x:v>
      </x:c>
      <x:c r="D563" s="30" t="str">
        <x:v>Document Review</x:v>
      </x:c>
      <x:c r="E563" s="30" t="str">
        <x:v>Monthly</x:v>
      </x:c>
      <x:c r="F563" s="30" t="str">
        <x:v>RETAIL</x:v>
      </x:c>
      <x:c r="G563" s="30" t="str">
        <x:v>Inventory Controls</x:v>
      </x:c>
      <x:c r="H563" s="30" t="str">
        <x:v>Yes</x:v>
      </x:c>
      <x:c r="I563" s="30" t="str">
        <x:v>Normalized from approved Pharmacy Delta Audit Procedure Master.</x:v>
      </x:c>
    </x:row>
    <x:row r="564">
      <x:c r="A564" s="30" t="str">
        <x:v>RAUD042</x:v>
      </x:c>
      <x:c r="B564" s="30" t="str">
        <x:v>RCOMP042</x:v>
      </x:c>
      <x:c r="C564" s="30" t="str">
        <x:v>Review cancelled, voided, and withdrawn prescriptions to verify authorization, supporting documentation, and prevention of subsequent dispensing.</x:v>
      </x:c>
      <x:c r="D564" s="30" t="str">
        <x:v>Record Verification</x:v>
      </x:c>
      <x:c r="E564" s="30" t="str">
        <x:v>Quarterly</x:v>
      </x:c>
      <x:c r="F564" s="30" t="str">
        <x:v>RETAIL</x:v>
      </x:c>
      <x:c r="G564" s="30" t="str">
        <x:v>Prescription Controls</x:v>
      </x:c>
      <x:c r="H564" s="30" t="str">
        <x:v>Yes</x:v>
      </x:c>
      <x:c r="I564" s="30" t="str">
        <x:v>Normalized from approved Pharmacy Delta Audit Procedure Master.</x:v>
      </x:c>
    </x:row>
    <x:row r="565">
      <x:c r="A565" s="30" t="str">
        <x:v>RAUD043</x:v>
      </x:c>
      <x:c r="B565" s="30" t="str">
        <x:v>RCOMP043</x:v>
      </x:c>
      <x:c r="C565" s="30" t="str">
        <x:v>Audit barcode-assisted dispensing transactions to verify successful barcode validation, mismatch investigations, and pharmacist approval before medicine handover.</x:v>
      </x:c>
      <x:c r="D565" s="30" t="str">
        <x:v>System Verification</x:v>
      </x:c>
      <x:c r="E565" s="30" t="str">
        <x:v>Quarterly</x:v>
      </x:c>
      <x:c r="F565" s="30" t="str">
        <x:v>RETAIL</x:v>
      </x:c>
      <x:c r="G565" s="30" t="str">
        <x:v>Personnel Competency</x:v>
      </x:c>
      <x:c r="H565" s="30" t="str">
        <x:v>Yes</x:v>
      </x:c>
      <x:c r="I565" s="30" t="str">
        <x:v>Normalized from approved Pharmacy Delta Audit Procedure Master.</x:v>
      </x:c>
    </x:row>
    <x:row r="566">
      <x:c r="A566" s="30" t="str">
        <x:v>RAUD044</x:v>
      </x:c>
      <x:c r="B566" s="30" t="str">
        <x:v>RCOMP044</x:v>
      </x:c>
      <x:c r="C566" s="30" t="str">
        <x:v>Inspect damaged, contaminated, or suspected substandard medicines to verify segregation, investigation, disposition, and disposal records.</x:v>
      </x:c>
      <x:c r="D566" s="30" t="str">
        <x:v>Physical Inspection</x:v>
      </x:c>
      <x:c r="E566" s="30" t="str">
        <x:v>Monthly</x:v>
      </x:c>
      <x:c r="F566" s="30" t="str">
        <x:v>RETAIL</x:v>
      </x:c>
      <x:c r="G566" s="30" t="str">
        <x:v>Inventory Controls</x:v>
      </x:c>
      <x:c r="H566" s="30" t="str">
        <x:v>Yes</x:v>
      </x:c>
      <x:c r="I566" s="30" t="str">
        <x:v>Normalized from approved Pharmacy Delta Audit Procedure Master.</x:v>
      </x:c>
    </x:row>
    <x:row r="567">
      <x:c r="A567" s="30" t="str">
        <x:v>RAUD045</x:v>
      </x:c>
      <x:c r="B567" s="30" t="str">
        <x:v>RCOMP045</x:v>
      </x:c>
      <x:c r="C567" s="30" t="str">
        <x:v>Verify emergency preparedness documentation, emergency contact lists, drill records, and staff awareness for pharmacy emergency response procedures.</x:v>
      </x:c>
      <x:c r="D567" s="30" t="str">
        <x:v>Record Verification</x:v>
      </x:c>
      <x:c r="E567" s="30" t="str">
        <x:v>Annual</x:v>
      </x:c>
      <x:c r="F567" s="30" t="str">
        <x:v>RETAIL</x:v>
      </x:c>
      <x:c r="G567" s="30" t="str">
        <x:v>Personnel Competency</x:v>
      </x:c>
      <x:c r="H567" s="30" t="str">
        <x:v>Yes</x:v>
      </x:c>
      <x:c r="I567" s="30" t="str">
        <x:v>Normalized from approved Pharmacy Delta Audit Procedure Master.</x:v>
      </x:c>
    </x:row>
    <x:row r="568">
      <x:c r="A568" s="30" t="str">
        <x:v>RAUD046</x:v>
      </x:c>
      <x:c r="B568" s="30" t="str">
        <x:v>RCOMP046</x:v>
      </x:c>
      <x:c r="C568" s="30" t="str">
        <x:v>Inspect accessibility arrangements for elderly persons and persons with disabilities, verifying maintenance records and corrective actions.</x:v>
      </x:c>
      <x:c r="D568" s="30" t="str">
        <x:v>Physical Inspection</x:v>
      </x:c>
      <x:c r="E568" s="30" t="str">
        <x:v>Half Yearly</x:v>
      </x:c>
      <x:c r="F568" s="30" t="str">
        <x:v>RETAIL</x:v>
      </x:c>
      <x:c r="G568" s="30" t="str">
        <x:v>Recordkeeping</x:v>
      </x:c>
      <x:c r="H568" s="30" t="str">
        <x:v>Yes</x:v>
      </x:c>
      <x:c r="I568" s="30" t="str">
        <x:v>Normalized from approved Pharmacy Delta Audit Procedure Master.</x:v>
      </x:c>
    </x:row>
    <x:row r="569">
      <x:c r="A569" s="30" t="str">
        <x:v>RAUD047</x:v>
      </x:c>
      <x:c r="B569" s="30" t="str">
        <x:v>RCOMP047</x:v>
      </x:c>
      <x:c r="C569" s="30" t="str">
        <x:v>Review medicine shortage management records including customer communication, alternative medicine evaluation, and shortage resolution tracking.</x:v>
      </x:c>
      <x:c r="D569" s="30" t="str">
        <x:v>Record Verification</x:v>
      </x:c>
      <x:c r="E569" s="30" t="str">
        <x:v>Quarterly</x:v>
      </x:c>
      <x:c r="F569" s="30" t="str">
        <x:v>RETAIL</x:v>
      </x:c>
      <x:c r="G569" s="30" t="str">
        <x:v>Consumer Protection</x:v>
      </x:c>
      <x:c r="H569" s="30" t="str">
        <x:v>Yes</x:v>
      </x:c>
      <x:c r="I569" s="30" t="str">
        <x:v>Normalized from approved Pharmacy Delta Audit Procedure Master.</x:v>
      </x:c>
    </x:row>
    <x:row r="570">
      <x:c r="A570" s="30" t="str">
        <x:v>RAUD048</x:v>
      </x:c>
      <x:c r="B570" s="30" t="str">
        <x:v>RCOMP048</x:v>
      </x:c>
      <x:c r="C570" s="30" t="str">
        <x:v>Verify execution of scheduled backups, restoration testing, media protection, and review of backup failures.</x:v>
      </x:c>
      <x:c r="D570" s="30" t="str">
        <x:v>Sampling</x:v>
      </x:c>
      <x:c r="E570" s="30" t="str">
        <x:v>Monthly</x:v>
      </x:c>
      <x:c r="F570" s="30" t="str">
        <x:v>RETAIL</x:v>
      </x:c>
      <x:c r="G570" s="30" t="str">
        <x:v>General Compliance</x:v>
      </x:c>
      <x:c r="H570" s="30" t="str">
        <x:v>Yes</x:v>
      </x:c>
      <x:c r="I570" s="30" t="str">
        <x:v>Normalized from approved Pharmacy Delta Audit Procedure Master.</x:v>
      </x:c>
    </x:row>
    <x:row r="571">
      <x:c r="A571" s="30" t="str">
        <x:v>RAUD049</x:v>
      </x:c>
      <x:c r="B571" s="30" t="str">
        <x:v>RCOMP049</x:v>
      </x:c>
      <x:c r="C571" s="30" t="str">
        <x:v>Inspect display of medicine safety alerts, vaccination notices, and public health advisories for currency and completeness.</x:v>
      </x:c>
      <x:c r="D571" s="30" t="str">
        <x:v>Physical Inspection</x:v>
      </x:c>
      <x:c r="E571" s="30" t="str">
        <x:v>Monthly</x:v>
      </x:c>
      <x:c r="F571" s="30" t="str">
        <x:v>RETAIL</x:v>
      </x:c>
      <x:c r="G571" s="30" t="str">
        <x:v>Inspection &amp; Display Controls</x:v>
      </x:c>
      <x:c r="H571" s="30" t="str">
        <x:v>Yes</x:v>
      </x:c>
      <x:c r="I571" s="30" t="str">
        <x:v>Normalized from approved Pharmacy Delta Audit Procedure Master.</x:v>
      </x:c>
    </x:row>
    <x:row r="572">
      <x:c r="A572" s="30" t="str">
        <x:v>RAUD050</x:v>
      </x:c>
      <x:c r="B572" s="30" t="str">
        <x:v>RCOMP050</x:v>
      </x:c>
      <x:c r="C572" s="30" t="str">
        <x:v>Audit CAPA records to verify investigation quality, assignment of responsibilities, effectiveness verification, and timely closure.</x:v>
      </x:c>
      <x:c r="D572" s="30" t="str">
        <x:v>Record Verification</x:v>
      </x:c>
      <x:c r="E572" s="30" t="str">
        <x:v>Quarterly</x:v>
      </x:c>
      <x:c r="F572" s="30" t="str">
        <x:v>RETAIL</x:v>
      </x:c>
      <x:c r="G572" s="30" t="str">
        <x:v>Recordkeeping</x:v>
      </x:c>
      <x:c r="H572" s="30" t="str">
        <x:v>Yes</x:v>
      </x:c>
      <x:c r="I572" s="30" t="str">
        <x:v>Normalized from approved Pharmacy Delta Audit Procedure Master.</x:v>
      </x:c>
    </x:row>
    <x:row r="573">
      <x:c r="A573" s="30" t="str">
        <x:v>RAUD051</x:v>
      </x:c>
      <x:c r="B573" s="30" t="str">
        <x:v>RCOMP051</x:v>
      </x:c>
      <x:c r="C573" s="30" t="str">
        <x:v>Verify quarantine, investigation, reporting, and disposal procedures for suspected counterfeit medicines.</x:v>
      </x:c>
      <x:c r="D573" s="30" t="str">
        <x:v>Document Review</x:v>
      </x:c>
      <x:c r="E573" s="30" t="str">
        <x:v>Quarterly</x:v>
      </x:c>
      <x:c r="F573" s="30" t="str">
        <x:v>RETAIL</x:v>
      </x:c>
      <x:c r="G573" s="30" t="str">
        <x:v>Disposal Controls</x:v>
      </x:c>
      <x:c r="H573" s="30" t="str">
        <x:v>Yes</x:v>
      </x:c>
      <x:c r="I573" s="30" t="str">
        <x:v>Normalized from approved Pharmacy Delta Audit Procedure Master.</x:v>
      </x:c>
    </x:row>
    <x:row r="574">
      <x:c r="A574" s="30" t="str">
        <x:v>RAUD052</x:v>
      </x:c>
      <x:c r="B574" s="30" t="str">
        <x:v>RCOMP052</x:v>
      </x:c>
      <x:c r="C574" s="30" t="str">
        <x:v>Audit supplier qualification records including licences, regulatory approvals, onboarding documentation, and periodic re-evaluation.</x:v>
      </x:c>
      <x:c r="D574" s="30" t="str">
        <x:v>Record Verification</x:v>
      </x:c>
      <x:c r="E574" s="30" t="str">
        <x:v>Annual</x:v>
      </x:c>
      <x:c r="F574" s="30" t="str">
        <x:v>RETAIL</x:v>
      </x:c>
      <x:c r="G574" s="30" t="str">
        <x:v>Licensing</x:v>
      </x:c>
      <x:c r="H574" s="30" t="str">
        <x:v>Yes</x:v>
      </x:c>
      <x:c r="I574" s="30" t="str">
        <x:v>Normalized from approved Pharmacy Delta Audit Procedure Master.</x:v>
      </x:c>
    </x:row>
    <x:row r="575">
      <x:c r="A575" s="30" t="str">
        <x:v>RAUD053</x:v>
      </x:c>
      <x:c r="B575" s="30" t="str">
        <x:v>RCOMP053</x:v>
      </x:c>
      <x:c r="C575" s="30" t="str">
        <x:v>Verify secure retention of electronic invoices, receipts, audit trails, and backup records in accordance with retention requirements.</x:v>
      </x:c>
      <x:c r="D575" s="30" t="str">
        <x:v>Record Verification</x:v>
      </x:c>
      <x:c r="E575" s="30" t="str">
        <x:v>Annual</x:v>
      </x:c>
      <x:c r="F575" s="30" t="str">
        <x:v>RETAIL</x:v>
      </x:c>
      <x:c r="G575" s="30" t="str">
        <x:v>Billing Controls</x:v>
      </x:c>
      <x:c r="H575" s="30" t="str">
        <x:v>Yes</x:v>
      </x:c>
      <x:c r="I575" s="30" t="str">
        <x:v>Normalized from approved Pharmacy Delta Audit Procedure Master.</x:v>
      </x:c>
    </x:row>
    <x:row r="576">
      <x:c r="A576" s="30" t="str">
        <x:v>RAUD054</x:v>
      </x:c>
      <x:c r="B576" s="30" t="str">
        <x:v>RCOMP054</x:v>
      </x:c>
      <x:c r="C576" s="30" t="str">
        <x:v>Review supplier recall notifications and verify timely suspension of affected stock, quarantine procedures, and documentation.</x:v>
      </x:c>
      <x:c r="D576" s="30" t="str">
        <x:v>Document Review</x:v>
      </x:c>
      <x:c r="E576" s="30" t="str">
        <x:v>Quarterly</x:v>
      </x:c>
      <x:c r="F576" s="30" t="str">
        <x:v>RETAIL</x:v>
      </x:c>
      <x:c r="G576" s="30" t="str">
        <x:v>Inventory Controls</x:v>
      </x:c>
      <x:c r="H576" s="30" t="str">
        <x:v>Yes</x:v>
      </x:c>
      <x:c r="I576" s="30" t="str">
        <x:v>Normalized from approved Pharmacy Delta Audit Procedure Master.</x:v>
      </x:c>
    </x:row>
    <x:row r="577">
      <x:c r="A577" s="30" t="str">
        <x:v>RAUD055</x:v>
      </x:c>
      <x:c r="B577" s="30" t="str">
        <x:v>RCOMP055</x:v>
      </x:c>
      <x:c r="C577" s="30" t="str">
        <x:v>Evaluate power outage incident records to verify implementation of contingency procedures for refrigeration, dispensing systems, and customer services.</x:v>
      </x:c>
      <x:c r="D577" s="30" t="str">
        <x:v>System Verification</x:v>
      </x:c>
      <x:c r="E577" s="30" t="str">
        <x:v>Annual</x:v>
      </x:c>
      <x:c r="F577" s="30" t="str">
        <x:v>RETAIL</x:v>
      </x:c>
      <x:c r="G577" s="30" t="str">
        <x:v>Storage Controls</x:v>
      </x:c>
      <x:c r="H577" s="30" t="str">
        <x:v>Yes</x:v>
      </x:c>
      <x:c r="I577" s="30" t="str">
        <x:v>Normalized from approved Pharmacy Delta Audit Procedure Master.</x:v>
      </x:c>
    </x:row>
    <x:row r="578">
      <x:c r="A578" s="30" t="str">
        <x:v>RAUD056</x:v>
      </x:c>
      <x:c r="B578" s="30" t="str">
        <x:v>RCOMP056</x:v>
      </x:c>
      <x:c r="C578" s="30" t="str">
        <x:v>Verify community health awareness programmes for management approval, pharmacist supervision, approved educational materials, and documented outcomes.</x:v>
      </x:c>
      <x:c r="D578" s="30" t="str">
        <x:v>Document Review</x:v>
      </x:c>
      <x:c r="E578" s="30" t="str">
        <x:v>Annual</x:v>
      </x:c>
      <x:c r="F578" s="30" t="str">
        <x:v>RETAIL</x:v>
      </x:c>
      <x:c r="G578" s="30" t="str">
        <x:v>Personnel Competency</x:v>
      </x:c>
      <x:c r="H578" s="30" t="str">
        <x:v>Yes</x:v>
      </x:c>
      <x:c r="I578" s="30" t="str">
        <x:v>Normalized from approved Pharmacy Delta Audit Procedure Master.</x:v>
      </x:c>
    </x:row>
    <x:row r="579">
      <x:c r="A579" s="30" t="str">
        <x:v>RAUD057</x:v>
      </x:c>
      <x:c r="B579" s="30" t="str">
        <x:v>RCOMP057</x:v>
      </x:c>
      <x:c r="C579" s="30" t="str">
        <x:v>Review inventory variance investigations to verify root cause analysis, management approval, and implementation of corrective actions.</x:v>
      </x:c>
      <x:c r="D579" s="30" t="str">
        <x:v>Document Review</x:v>
      </x:c>
      <x:c r="E579" s="30" t="str">
        <x:v>Quarterly</x:v>
      </x:c>
      <x:c r="F579" s="30" t="str">
        <x:v>RETAIL</x:v>
      </x:c>
      <x:c r="G579" s="30" t="str">
        <x:v>Inventory Controls</x:v>
      </x:c>
      <x:c r="H579" s="30" t="str">
        <x:v>Yes</x:v>
      </x:c>
      <x:c r="I579" s="30" t="str">
        <x:v>Normalized from approved Pharmacy Delta Audit Procedure Master.</x:v>
      </x:c>
    </x:row>
    <x:row r="580">
      <x:c r="A580" s="30" t="str">
        <x:v>RAUD058</x:v>
      </x:c>
      <x:c r="B580" s="30" t="str">
        <x:v>RCOMP058</x:v>
      </x:c>
      <x:c r="C580" s="30" t="str">
        <x:v>Verify session timeout configuration, security settings, and periodic validation of pharmacy software authentication controls.</x:v>
      </x:c>
      <x:c r="D580" s="30" t="str">
        <x:v>Document Review</x:v>
      </x:c>
      <x:c r="E580" s="30" t="str">
        <x:v>Half Yearly</x:v>
      </x:c>
      <x:c r="F580" s="30" t="str">
        <x:v>RETAIL</x:v>
      </x:c>
      <x:c r="G580" s="30" t="str">
        <x:v>General Compliance</x:v>
      </x:c>
      <x:c r="H580" s="30" t="str">
        <x:v>Yes</x:v>
      </x:c>
      <x:c r="I580" s="30" t="str">
        <x:v>Normalized from approved Pharmacy Delta Audit Procedure Master.</x:v>
      </x:c>
    </x:row>
    <x:row r="581">
      <x:c r="A581" s="30" t="str">
        <x:v>RAUD059</x:v>
      </x:c>
      <x:c r="B581" s="30" t="str">
        <x:v>RCOMP059</x:v>
      </x:c>
      <x:c r="C581" s="30" t="str">
        <x:v>Review pharmacist counselling records to verify customers receive medicine safety, storage, and disposal instructions where applicable.</x:v>
      </x:c>
      <x:c r="D581" s="30" t="str">
        <x:v>Record Verification</x:v>
      </x:c>
      <x:c r="E581" s="30" t="str">
        <x:v>Quarterly</x:v>
      </x:c>
      <x:c r="F581" s="30" t="str">
        <x:v>RETAIL</x:v>
      </x:c>
      <x:c r="G581" s="30" t="str">
        <x:v>Personnel Competency</x:v>
      </x:c>
      <x:c r="H581" s="30" t="str">
        <x:v>Yes</x:v>
      </x:c>
      <x:c r="I581" s="30" t="str">
        <x:v>Normalized from approved Pharmacy Delta Audit Procedure Master.</x:v>
      </x:c>
    </x:row>
    <x:row r="582">
      <x:c r="A582" s="30" t="str">
        <x:v>RAUD060</x:v>
      </x:c>
      <x:c r="B582" s="30" t="str">
        <x:v>RCOMP060</x:v>
      </x:c>
      <x:c r="C582" s="30" t="str">
        <x:v>Verify inspection readiness by reviewing licences, statutory registers, SOPs, mandatory records, and evidence availability for regulatory inspections.</x:v>
      </x:c>
      <x:c r="D582" s="30" t="str">
        <x:v>Physical Inspection</x:v>
      </x:c>
      <x:c r="E582" s="30" t="str">
        <x:v>Quarterly</x:v>
      </x:c>
      <x:c r="F582" s="30" t="str">
        <x:v>RETAIL</x:v>
      </x:c>
      <x:c r="G582" s="30" t="str">
        <x:v>Licensing</x:v>
      </x:c>
      <x:c r="H582" s="30" t="str">
        <x:v>Yes</x:v>
      </x:c>
      <x:c r="I582" s="30" t="str">
        <x:v>Normalized from approved Pharmacy Delta Audit Procedure Master.</x:v>
      </x:c>
    </x:row>
    <x:row r="583">
      <x:c r="A583" s="30" t="str">
        <x:v>RAUD061</x:v>
      </x:c>
      <x:c r="B583" s="30" t="str">
        <x:v>RCOMP061</x:v>
      </x:c>
      <x:c r="C583" s="30" t="str">
        <x:v>Verify disposal of expired, damaged, recalled, and unusable medicines through approved agencies and reconcile disposal records with inventory movements.</x:v>
      </x:c>
      <x:c r="D583" s="30" t="str">
        <x:v>Reconciliation</x:v>
      </x:c>
      <x:c r="E583" s="30" t="str">
        <x:v>Quarterly</x:v>
      </x:c>
      <x:c r="F583" s="30" t="str">
        <x:v>RETAIL</x:v>
      </x:c>
      <x:c r="G583" s="30" t="str">
        <x:v>Inventory Controls</x:v>
      </x:c>
      <x:c r="H583" s="30" t="str">
        <x:v>Yes</x:v>
      </x:c>
      <x:c r="I583" s="30" t="str">
        <x:v>Normalized from approved Pharmacy Delta Audit Procedure Master.</x:v>
      </x:c>
    </x:row>
    <x:row r="584">
      <x:c r="A584" s="30" t="str">
        <x:v>RAUD062</x:v>
      </x:c>
      <x:c r="B584" s="30" t="str">
        <x:v>RCOMP062</x:v>
      </x:c>
      <x:c r="C584" s="30" t="str">
        <x:v>Review employee competency assessments, retraining records, qualification verification, and competency gap closure actions.</x:v>
      </x:c>
      <x:c r="D584" s="30" t="str">
        <x:v>Record Verification</x:v>
      </x:c>
      <x:c r="E584" s="30" t="str">
        <x:v>Annual</x:v>
      </x:c>
      <x:c r="F584" s="30" t="str">
        <x:v>RETAIL</x:v>
      </x:c>
      <x:c r="G584" s="30" t="str">
        <x:v>Personnel Competency</x:v>
      </x:c>
      <x:c r="H584" s="30" t="str">
        <x:v>Yes</x:v>
      </x:c>
      <x:c r="I584" s="30" t="str">
        <x:v>Normalized from approved Pharmacy Delta Audit Procedure Master.</x:v>
      </x:c>
    </x:row>
    <x:row r="585">
      <x:c r="A585" s="30" t="str">
        <x:v>RAUD063</x:v>
      </x:c>
      <x:c r="B585" s="30" t="str">
        <x:v>RCOMP063</x:v>
      </x:c>
      <x:c r="C585" s="30" t="str">
        <x:v>Audit electronic customer consent records, withdrawal requests, processing timelines, and access controls protecting consent information.</x:v>
      </x:c>
      <x:c r="D585" s="30" t="str">
        <x:v>Record Verification</x:v>
      </x:c>
      <x:c r="E585" s="30" t="str">
        <x:v>Annual</x:v>
      </x:c>
      <x:c r="F585" s="30" t="str">
        <x:v>RETAIL</x:v>
      </x:c>
      <x:c r="G585" s="30" t="str">
        <x:v>Consumer Protection</x:v>
      </x:c>
      <x:c r="H585" s="30" t="str">
        <x:v>Yes</x:v>
      </x:c>
      <x:c r="I585" s="30" t="str">
        <x:v>Normalized from approved Pharmacy Delta Audit Procedure Master.</x:v>
      </x:c>
    </x:row>
    <x:row r="586">
      <x:c r="A586" s="30" t="str">
        <x:v>RAUD064</x:v>
      </x:c>
      <x:c r="B586" s="30" t="str">
        <x:v>RCOMP064</x:v>
      </x:c>
      <x:c r="C586" s="30" t="str">
        <x:v>Inspect environmental monitoring controls including temperature, humidity, cleanliness, pest control activities, and corrective actions.</x:v>
      </x:c>
      <x:c r="D586" s="30" t="str">
        <x:v>Physical Inspection</x:v>
      </x:c>
      <x:c r="E586" s="30" t="str">
        <x:v>Monthly</x:v>
      </x:c>
      <x:c r="F586" s="30" t="str">
        <x:v>RETAIL</x:v>
      </x:c>
      <x:c r="G586" s="30" t="str">
        <x:v>Storage Controls</x:v>
      </x:c>
      <x:c r="H586" s="30" t="str">
        <x:v>Yes</x:v>
      </x:c>
      <x:c r="I586" s="30" t="str">
        <x:v>Normalized from approved Pharmacy Delta Audit Procedure Master.</x:v>
      </x:c>
    </x:row>
    <x:row r="587">
      <x:c r="A587" s="30" t="str">
        <x:v>RAUD065</x:v>
      </x:c>
      <x:c r="B587" s="30" t="str">
        <x:v>RCOMP065</x:v>
      </x:c>
      <x:c r="C587" s="30" t="str">
        <x:v>Reconcile controlled medicine registers with dispensing transactions and physical inventory balances. Investigate all discrepancies.</x:v>
      </x:c>
      <x:c r="D587" s="30" t="str">
        <x:v>Reconciliation</x:v>
      </x:c>
      <x:c r="E587" s="30" t="str">
        <x:v>Monthly</x:v>
      </x:c>
      <x:c r="F587" s="30" t="str">
        <x:v>RETAIL</x:v>
      </x:c>
      <x:c r="G587" s="30" t="str">
        <x:v>Inventory Controls</x:v>
      </x:c>
      <x:c r="H587" s="30" t="str">
        <x:v>Yes</x:v>
      </x:c>
      <x:c r="I587" s="30" t="str">
        <x:v>Normalized from approved Pharmacy Delta Audit Procedure Master.</x:v>
      </x:c>
    </x:row>
    <x:row r="588">
      <x:c r="A588" s="30" t="str">
        <x:v>RAUD066</x:v>
      </x:c>
      <x:c r="B588" s="30" t="str">
        <x:v>RCOMP066</x:v>
      </x:c>
      <x:c r="C588" s="30" t="str">
        <x:v>Verify communication of customer waiting times, service delays, queue updates, and escalation procedures during peak operations.</x:v>
      </x:c>
      <x:c r="D588" s="30" t="str">
        <x:v>Document Review</x:v>
      </x:c>
      <x:c r="E588" s="30" t="str">
        <x:v>Quarterly</x:v>
      </x:c>
      <x:c r="F588" s="30" t="str">
        <x:v>RETAIL</x:v>
      </x:c>
      <x:c r="G588" s="30" t="str">
        <x:v>Consumer Protection</x:v>
      </x:c>
      <x:c r="H588" s="30" t="str">
        <x:v>Yes</x:v>
      </x:c>
      <x:c r="I588" s="30" t="str">
        <x:v>Normalized from approved Pharmacy Delta Audit Procedure Master.</x:v>
      </x:c>
    </x:row>
    <x:row r="589">
      <x:c r="A589" s="30" t="str">
        <x:v>RAUD067</x:v>
      </x:c>
      <x:c r="B589" s="30" t="str">
        <x:v>RCOMP067</x:v>
      </x:c>
      <x:c r="C589" s="30" t="str">
        <x:v>Review operational incident investigations, root cause analysis, corrective actions, management approvals, and effectiveness verification.</x:v>
      </x:c>
      <x:c r="D589" s="30" t="str">
        <x:v>Document Review</x:v>
      </x:c>
      <x:c r="E589" s="30" t="str">
        <x:v>Quarterly</x:v>
      </x:c>
      <x:c r="F589" s="30" t="str">
        <x:v>RETAIL</x:v>
      </x:c>
      <x:c r="G589" s="30" t="str">
        <x:v>General Compliance</x:v>
      </x:c>
      <x:c r="H589" s="30" t="str">
        <x:v>Yes</x:v>
      </x:c>
      <x:c r="I589" s="30" t="str">
        <x:v>Normalized from approved Pharmacy Delta Audit Procedure Master.</x:v>
      </x:c>
    </x:row>
    <x:row r="590">
      <x:c r="A590" s="30" t="str">
        <x:v>RAUD068</x:v>
      </x:c>
      <x:c r="B590" s="30" t="str">
        <x:v>RCOMP068</x:v>
      </x:c>
      <x:c r="C590" s="30" t="str">
        <x:v>Verify mobile device security including encryption, authentication, device inventory, remote wipe capability, and security policy compliance.</x:v>
      </x:c>
      <x:c r="D590" s="30" t="str">
        <x:v>Document Review</x:v>
      </x:c>
      <x:c r="E590" s="30" t="str">
        <x:v>Half Yearly</x:v>
      </x:c>
      <x:c r="F590" s="30" t="str">
        <x:v>RETAIL</x:v>
      </x:c>
      <x:c r="G590" s="30" t="str">
        <x:v>Inventory Controls</x:v>
      </x:c>
      <x:c r="H590" s="30" t="str">
        <x:v>Yes</x:v>
      </x:c>
      <x:c r="I590" s="30" t="str">
        <x:v>Normalized from approved Pharmacy Delta Audit Procedure Master.</x:v>
      </x:c>
    </x:row>
    <x:row r="591">
      <x:c r="A591" s="30" t="str">
        <x:v>RAUD069</x:v>
      </x:c>
      <x:c r="B591" s="30" t="str">
        <x:v>RCOMP069</x:v>
      </x:c>
      <x:c r="C591" s="30" t="str">
        <x:v>Audit regulatory complaint handling from receipt through investigation, escalation, CAPA implementation, and closure verification.</x:v>
      </x:c>
      <x:c r="D591" s="30" t="str">
        <x:v>Document Review</x:v>
      </x:c>
      <x:c r="E591" s="30" t="str">
        <x:v>Quarterly</x:v>
      </x:c>
      <x:c r="F591" s="30" t="str">
        <x:v>RETAIL</x:v>
      </x:c>
      <x:c r="G591" s="30" t="str">
        <x:v>Billing Controls</x:v>
      </x:c>
      <x:c r="H591" s="30" t="str">
        <x:v>Yes</x:v>
      </x:c>
      <x:c r="I591" s="30" t="str">
        <x:v>Normalized from approved Pharmacy Delta Audit Procedure Master.</x:v>
      </x:c>
    </x:row>
    <x:row r="592">
      <x:c r="A592" s="30" t="str">
        <x:v>RAUD070</x:v>
      </x:c>
      <x:c r="B592" s="30" t="str">
        <x:v>RCOMP070</x:v>
      </x:c>
      <x:c r="C592" s="30" t="str">
        <x:v>Review enterprise regulatory compliance reports covering governance, operations, patient safety, inventory, cybersecurity, audits, and regulatory reporting.</x:v>
      </x:c>
      <x:c r="D592" s="30" t="str">
        <x:v>Document Review</x:v>
      </x:c>
      <x:c r="E592" s="30" t="str">
        <x:v>Annual</x:v>
      </x:c>
      <x:c r="F592" s="30" t="str">
        <x:v>RETAIL</x:v>
      </x:c>
      <x:c r="G592" s="30" t="str">
        <x:v>Inventory Controls</x:v>
      </x:c>
      <x:c r="H592" s="30" t="str">
        <x:v>Yes</x:v>
      </x:c>
      <x:c r="I592" s="30" t="str">
        <x:v>Normalized from approved Pharmacy Delta Audit Procedure Master.</x:v>
      </x:c>
    </x:row>
    <x:row r="593">
      <x:c r="A593" s="30" t="str">
        <x:v>RAUD071</x:v>
      </x:c>
      <x:c r="B593" s="30" t="str">
        <x:v>RCOMP071</x:v>
      </x:c>
      <x:c r="C593" s="30" t="str">
        <x:v>Verify supplier licence validation, renewal monitoring, regulatory approvals, and periodic supplier requalification activities.</x:v>
      </x:c>
      <x:c r="D593" s="30" t="str">
        <x:v>Document Review</x:v>
      </x:c>
      <x:c r="E593" s="30" t="str">
        <x:v>Annual</x:v>
      </x:c>
      <x:c r="F593" s="30" t="str">
        <x:v>RETAIL</x:v>
      </x:c>
      <x:c r="G593" s="30" t="str">
        <x:v>Licensing</x:v>
      </x:c>
      <x:c r="H593" s="30" t="str">
        <x:v>Yes</x:v>
      </x:c>
      <x:c r="I593" s="30" t="str">
        <x:v>Normalized from approved Pharmacy Delta Audit Procedure Master.</x:v>
      </x:c>
    </x:row>
    <x:row r="594">
      <x:c r="A594" s="30" t="str">
        <x:v>RAUD072</x:v>
      </x:c>
      <x:c r="B594" s="30" t="str">
        <x:v>RCOMP072</x:v>
      </x:c>
      <x:c r="C594" s="30" t="str">
        <x:v>Review prescription archive controls including indexing, secure storage, retrieval capability, retention compliance, and access authorization.</x:v>
      </x:c>
      <x:c r="D594" s="30" t="str">
        <x:v>Record Verification</x:v>
      </x:c>
      <x:c r="E594" s="30" t="str">
        <x:v>Annual</x:v>
      </x:c>
      <x:c r="F594" s="30" t="str">
        <x:v>RETAIL</x:v>
      </x:c>
      <x:c r="G594" s="30" t="str">
        <x:v>Prescription Controls</x:v>
      </x:c>
      <x:c r="H594" s="30" t="str">
        <x:v>Yes</x:v>
      </x:c>
      <x:c r="I594" s="30" t="str">
        <x:v>Normalized from approved Pharmacy Delta Audit Procedure Master.</x:v>
      </x:c>
    </x:row>
    <x:row r="595">
      <x:c r="A595" s="30" t="str">
        <x:v>RAUD073</x:v>
      </x:c>
      <x:c r="B595" s="30" t="str">
        <x:v>RCOMP073</x:v>
      </x:c>
      <x:c r="C595" s="30" t="str">
        <x:v>Verify electronic record integrity through audit logs, checksum validation, access monitoring, backup verification, and tamper detection mechanisms.</x:v>
      </x:c>
      <x:c r="D595" s="30" t="str">
        <x:v>Record Verification</x:v>
      </x:c>
      <x:c r="E595" s="30" t="str">
        <x:v>Annual</x:v>
      </x:c>
      <x:c r="F595" s="30" t="str">
        <x:v>RETAIL</x:v>
      </x:c>
      <x:c r="G595" s="30" t="str">
        <x:v>Recordkeeping</x:v>
      </x:c>
      <x:c r="H595" s="30" t="str">
        <x:v>Yes</x:v>
      </x:c>
      <x:c r="I595" s="30" t="str">
        <x:v>Normalized from approved Pharmacy Delta Audit Procedure Master.</x:v>
      </x:c>
    </x:row>
    <x:row r="596">
      <x:c r="A596" s="30" t="str">
        <x:v>RAUD074</x:v>
      </x:c>
      <x:c r="B596" s="30" t="str">
        <x:v>RCOMP074</x:v>
      </x:c>
      <x:c r="C596" s="30" t="str">
        <x:v>Inspect secure storage arrangements for high-value medicines, review access logs, CCTV coverage, and stock verification reports.</x:v>
      </x:c>
      <x:c r="D596" s="30" t="str">
        <x:v>Physical Inspection</x:v>
      </x:c>
      <x:c r="E596" s="30" t="str">
        <x:v>Quarterly</x:v>
      </x:c>
      <x:c r="F596" s="30" t="str">
        <x:v>RETAIL</x:v>
      </x:c>
      <x:c r="G596" s="30" t="str">
        <x:v>Storage Controls</x:v>
      </x:c>
      <x:c r="H596" s="30" t="str">
        <x:v>Yes</x:v>
      </x:c>
      <x:c r="I596" s="30" t="str">
        <x:v>Normalized from approved Pharmacy Delta Audit Procedure Master.</x:v>
      </x:c>
    </x:row>
    <x:row r="597">
      <x:c r="A597" s="30" t="str">
        <x:v>RAUD075</x:v>
      </x:c>
      <x:c r="B597" s="30" t="str">
        <x:v>RCOMP075</x:v>
      </x:c>
      <x:c r="C597" s="30" t="str">
        <x:v>Review pharmacist counselling documentation for medicines requiring special administration or monitoring and verify completeness.</x:v>
      </x:c>
      <x:c r="D597" s="30" t="str">
        <x:v>Document Review</x:v>
      </x:c>
      <x:c r="E597" s="30" t="str">
        <x:v>Quarterly</x:v>
      </x:c>
      <x:c r="F597" s="30" t="str">
        <x:v>RETAIL</x:v>
      </x:c>
      <x:c r="G597" s="30" t="str">
        <x:v>Personnel Competency</x:v>
      </x:c>
      <x:c r="H597" s="30" t="str">
        <x:v>Yes</x:v>
      </x:c>
      <x:c r="I597" s="30" t="str">
        <x:v>Normalized from approved Pharmacy Delta Audit Procedure Master.</x:v>
      </x:c>
    </x:row>
    <x:row r="598">
      <x:c r="A598" s="30" t="str">
        <x:v>RAUD076</x:v>
      </x:c>
      <x:c r="B598" s="30" t="str">
        <x:v>RCOMP076</x:v>
      </x:c>
      <x:c r="C598" s="30" t="str">
        <x:v>Audit community health screening programmes to verify calibrated equipment, approved procedures, qualified personnel, and documented outcomes.</x:v>
      </x:c>
      <x:c r="D598" s="30" t="str">
        <x:v>Document Review</x:v>
      </x:c>
      <x:c r="E598" s="30" t="str">
        <x:v>Annual</x:v>
      </x:c>
      <x:c r="F598" s="30" t="str">
        <x:v>RETAIL</x:v>
      </x:c>
      <x:c r="G598" s="30" t="str">
        <x:v>Personnel Competency</x:v>
      </x:c>
      <x:c r="H598" s="30" t="str">
        <x:v>Yes</x:v>
      </x:c>
      <x:c r="I598" s="30" t="str">
        <x:v>Normalized from approved Pharmacy Delta Audit Procedure Master.</x:v>
      </x:c>
    </x:row>
    <x:row r="599">
      <x:c r="A599" s="30" t="str">
        <x:v>RAUD077</x:v>
      </x:c>
      <x:c r="B599" s="30" t="str">
        <x:v>RCOMP077</x:v>
      </x:c>
      <x:c r="C599" s="30" t="str">
        <x:v>Verify customer recall notification procedures including communication timelines, delivery status, acknowledgement records, and unresolved notifications.</x:v>
      </x:c>
      <x:c r="D599" s="30" t="str">
        <x:v>Record Verification</x:v>
      </x:c>
      <x:c r="E599" s="30" t="str">
        <x:v>Quarterly</x:v>
      </x:c>
      <x:c r="F599" s="30" t="str">
        <x:v>RETAIL</x:v>
      </x:c>
      <x:c r="G599" s="30" t="str">
        <x:v>Inventory Controls</x:v>
      </x:c>
      <x:c r="H599" s="30" t="str">
        <x:v>Yes</x:v>
      </x:c>
      <x:c r="I599" s="30" t="str">
        <x:v>Normalized from approved Pharmacy Delta Audit Procedure Master.</x:v>
      </x:c>
    </x:row>
    <x:row r="600">
      <x:c r="A600" s="30" t="str">
        <x:v>RAUD078</x:v>
      </x:c>
      <x:c r="B600" s="30" t="str">
        <x:v>RCOMP078</x:v>
      </x:c>
      <x:c r="C600" s="30" t="str">
        <x:v>Review cybersecurity controls including firewall configuration, anti-malware status, vulnerability assessments, security patches, and penetration testing reports.</x:v>
      </x:c>
      <x:c r="D600" s="30" t="str">
        <x:v>Sampling</x:v>
      </x:c>
      <x:c r="E600" s="30" t="str">
        <x:v>Half Yearly</x:v>
      </x:c>
      <x:c r="F600" s="30" t="str">
        <x:v>RETAIL</x:v>
      </x:c>
      <x:c r="G600" s="30" t="str">
        <x:v>General Compliance</x:v>
      </x:c>
      <x:c r="H600" s="30" t="str">
        <x:v>Yes</x:v>
      </x:c>
      <x:c r="I600" s="30" t="str">
        <x:v>Normalized from approved Pharmacy Delta Audit Procedure Master.</x:v>
      </x:c>
    </x:row>
    <x:row r="601">
      <x:c r="A601" s="30" t="str">
        <x:v>RAUD079</x:v>
      </x:c>
      <x:c r="B601" s="30" t="str">
        <x:v>RCOMP079</x:v>
      </x:c>
      <x:c r="C601" s="30" t="str">
        <x:v>Observe dispensing and counselling activities to verify patient privacy controls, confidential communication, and physical privacy arrangements.</x:v>
      </x:c>
      <x:c r="D601" s="30" t="str">
        <x:v>Physical Inspection</x:v>
      </x:c>
      <x:c r="E601" s="30" t="str">
        <x:v>Quarterly</x:v>
      </x:c>
      <x:c r="F601" s="30" t="str">
        <x:v>RETAIL</x:v>
      </x:c>
      <x:c r="G601" s="30" t="str">
        <x:v>General Compliance</x:v>
      </x:c>
      <x:c r="H601" s="30" t="str">
        <x:v>Yes</x:v>
      </x:c>
      <x:c r="I601" s="30" t="str">
        <x:v>Normalized from approved Pharmacy Delta Audit Procedure Master.</x:v>
      </x:c>
    </x:row>
    <x:row r="602">
      <x:c r="A602" s="30" t="str">
        <x:v>RAUD080</x:v>
      </x:c>
      <x:c r="B602" s="30" t="str">
        <x:v>RCOMP080</x:v>
      </x:c>
      <x:c r="C602" s="30" t="str">
        <x:v>Review compliance KPI dashboards, trend analysis, management actions, and continuous improvement initiatives for completeness and effectiveness.</x:v>
      </x:c>
      <x:c r="D602" s="30" t="str">
        <x:v>Document Review</x:v>
      </x:c>
      <x:c r="E602" s="30" t="str">
        <x:v>Quarterly</x:v>
      </x:c>
      <x:c r="F602" s="30" t="str">
        <x:v>RETAIL</x:v>
      </x:c>
      <x:c r="G602" s="30" t="str">
        <x:v>General Compliance</x:v>
      </x:c>
      <x:c r="H602" s="30" t="str">
        <x:v>Yes</x:v>
      </x:c>
      <x:c r="I602" s="30" t="str">
        <x:v>Normalized from approved Pharmacy Delta Audit Procedure Master.</x:v>
      </x:c>
    </x:row>
    <x:row r="603">
      <x:c r="A603" s="30" t="str">
        <x:v>RAUD081</x:v>
      </x:c>
      <x:c r="B603" s="30" t="str">
        <x:v>RCOMP081</x:v>
      </x:c>
      <x:c r="C603" s="30" t="str">
        <x:v>Verify procurement documentation including purchase orders, supplier invoices, goods receipt notes, and inventory posting before stock acceptance.</x:v>
      </x:c>
      <x:c r="D603" s="30" t="str">
        <x:v>Document Review</x:v>
      </x:c>
      <x:c r="E603" s="30" t="str">
        <x:v>Quarterly</x:v>
      </x:c>
      <x:c r="F603" s="30" t="str">
        <x:v>RETAIL</x:v>
      </x:c>
      <x:c r="G603" s="30" t="str">
        <x:v>Inventory Controls</x:v>
      </x:c>
      <x:c r="H603" s="30" t="str">
        <x:v>Yes</x:v>
      </x:c>
      <x:c r="I603" s="30" t="str">
        <x:v>Normalized from approved Pharmacy Delta Audit Procedure Master.</x:v>
      </x:c>
    </x:row>
    <x:row r="604">
      <x:c r="A604" s="30" t="str">
        <x:v>RAUD082</x:v>
      </x:c>
      <x:c r="B604" s="30" t="str">
        <x:v>RCOMP082</x:v>
      </x:c>
      <x:c r="C604" s="30" t="str">
        <x:v>Review pharmacist registration certificates, renewal records, and monthly verification reports to ensure only validly registered pharmacists are engaged.</x:v>
      </x:c>
      <x:c r="D604" s="30" t="str">
        <x:v>Record Verification</x:v>
      </x:c>
      <x:c r="E604" s="30" t="str">
        <x:v>Quarterly</x:v>
      </x:c>
      <x:c r="F604" s="30" t="str">
        <x:v>RETAIL</x:v>
      </x:c>
      <x:c r="G604" s="30" t="str">
        <x:v>Licensing</x:v>
      </x:c>
      <x:c r="H604" s="30" t="str">
        <x:v>Yes</x:v>
      </x:c>
      <x:c r="I604" s="30" t="str">
        <x:v>Normalized from approved Pharmacy Delta Audit Procedure Master.</x:v>
      </x:c>
    </x:row>
    <x:row r="605">
      <x:c r="A605" s="30" t="str">
        <x:v>RAUD083</x:v>
      </x:c>
      <x:c r="B605" s="30" t="str">
        <x:v>RCOMP083</x:v>
      </x:c>
      <x:c r="C605" s="30" t="str">
        <x:v>Verify electronic prescription validation rules for mandatory fields, system error handling, and pharmacist override controls.</x:v>
      </x:c>
      <x:c r="D605" s="30" t="str">
        <x:v>System Verification</x:v>
      </x:c>
      <x:c r="E605" s="30" t="str">
        <x:v>Half Yearly</x:v>
      </x:c>
      <x:c r="F605" s="30" t="str">
        <x:v>RETAIL</x:v>
      </x:c>
      <x:c r="G605" s="30" t="str">
        <x:v>Personnel Competency</x:v>
      </x:c>
      <x:c r="H605" s="30" t="str">
        <x:v>Yes</x:v>
      </x:c>
      <x:c r="I605" s="30" t="str">
        <x:v>Normalized from approved Pharmacy Delta Audit Procedure Master.</x:v>
      </x:c>
    </x:row>
    <x:row r="606">
      <x:c r="A606" s="30" t="str">
        <x:v>RAUD084</x:v>
      </x:c>
      <x:c r="B606" s="30" t="str">
        <x:v>RCOMP084</x:v>
      </x:c>
      <x:c r="C606" s="30" t="str">
        <x:v>Review patient allergy records and dispensing alerts to verify pharmacist review before medicine supply.</x:v>
      </x:c>
      <x:c r="D606" s="30" t="str">
        <x:v>Record Verification</x:v>
      </x:c>
      <x:c r="E606" s="30" t="str">
        <x:v>Quarterly</x:v>
      </x:c>
      <x:c r="F606" s="30" t="str">
        <x:v>RETAIL</x:v>
      </x:c>
      <x:c r="G606" s="30" t="str">
        <x:v>Personnel Competency</x:v>
      </x:c>
      <x:c r="H606" s="30" t="str">
        <x:v>Yes</x:v>
      </x:c>
      <x:c r="I606" s="30" t="str">
        <x:v>Normalized from approved Pharmacy Delta Audit Procedure Master.</x:v>
      </x:c>
    </x:row>
    <x:row r="607">
      <x:c r="A607" s="30" t="str">
        <x:v>RAUD085</x:v>
      </x:c>
      <x:c r="B607" s="30" t="str">
        <x:v>RCOMP085</x:v>
      </x:c>
      <x:c r="C607" s="30" t="str">
        <x:v>Inspect incoming medicine inspection procedures covering quantity, packaging integrity, batch verification, expiry checks, and acceptance decisions.</x:v>
      </x:c>
      <x:c r="D607" s="30" t="str">
        <x:v>Physical Inspection</x:v>
      </x:c>
      <x:c r="E607" s="30" t="str">
        <x:v>Monthly</x:v>
      </x:c>
      <x:c r="F607" s="30" t="str">
        <x:v>RETAIL</x:v>
      </x:c>
      <x:c r="G607" s="30" t="str">
        <x:v>Inventory Controls</x:v>
      </x:c>
      <x:c r="H607" s="30" t="str">
        <x:v>Yes</x:v>
      </x:c>
      <x:c r="I607" s="30" t="str">
        <x:v>Normalized from approved Pharmacy Delta Audit Procedure Master.</x:v>
      </x:c>
    </x:row>
    <x:row r="608">
      <x:c r="A608" s="30" t="str">
        <x:v>RAUD086</x:v>
      </x:c>
      <x:c r="B608" s="30" t="str">
        <x:v>RCOMP086</x:v>
      </x:c>
      <x:c r="C608" s="30" t="str">
        <x:v>Verify documentation for home delivery transactions including delivery route, recipient verification, proof of delivery, and pharmacist authorization.</x:v>
      </x:c>
      <x:c r="D608" s="30" t="str">
        <x:v>Record Verification</x:v>
      </x:c>
      <x:c r="E608" s="30" t="str">
        <x:v>Quarterly</x:v>
      </x:c>
      <x:c r="F608" s="30" t="str">
        <x:v>RETAIL</x:v>
      </x:c>
      <x:c r="G608" s="30" t="str">
        <x:v>Personnel Competency</x:v>
      </x:c>
      <x:c r="H608" s="30" t="str">
        <x:v>Yes</x:v>
      </x:c>
      <x:c r="I608" s="30" t="str">
        <x:v>Normalized from approved Pharmacy Delta Audit Procedure Master.</x:v>
      </x:c>
    </x:row>
    <x:row r="609">
      <x:c r="A609" s="30" t="str">
        <x:v>RAUD087</x:v>
      </x:c>
      <x:c r="B609" s="30" t="str">
        <x:v>RCOMP087</x:v>
      </x:c>
      <x:c r="C609" s="30" t="str">
        <x:v>Review automated expiry alert reports and verify timely stock rotation, segregation, and disposal of expired medicines.</x:v>
      </x:c>
      <x:c r="D609" s="30" t="str">
        <x:v>Document Review</x:v>
      </x:c>
      <x:c r="E609" s="30" t="str">
        <x:v>Monthly</x:v>
      </x:c>
      <x:c r="F609" s="30" t="str">
        <x:v>RETAIL</x:v>
      </x:c>
      <x:c r="G609" s="30" t="str">
        <x:v>Inventory Controls</x:v>
      </x:c>
      <x:c r="H609" s="30" t="str">
        <x:v>Yes</x:v>
      </x:c>
      <x:c r="I609" s="30" t="str">
        <x:v>Normalized from approved Pharmacy Delta Audit Procedure Master.</x:v>
      </x:c>
    </x:row>
    <x:row r="610">
      <x:c r="A610" s="30" t="str">
        <x:v>RAUD088</x:v>
      </x:c>
      <x:c r="B610" s="30" t="str">
        <x:v>RCOMP088</x:v>
      </x:c>
      <x:c r="C610" s="30" t="str">
        <x:v>Audit role-based access controls, privileged account assignments, periodic reviews, and removal of obsolete user accounts.</x:v>
      </x:c>
      <x:c r="D610" s="30" t="str">
        <x:v>Document Review</x:v>
      </x:c>
      <x:c r="E610" s="30" t="str">
        <x:v>Half Yearly</x:v>
      </x:c>
      <x:c r="F610" s="30" t="str">
        <x:v>RETAIL</x:v>
      </x:c>
      <x:c r="G610" s="30" t="str">
        <x:v>General Compliance</x:v>
      </x:c>
      <x:c r="H610" s="30" t="str">
        <x:v>Yes</x:v>
      </x:c>
      <x:c r="I610" s="30" t="str">
        <x:v>Normalized from approved Pharmacy Delta Audit Procedure Master.</x:v>
      </x:c>
    </x:row>
    <x:row r="611">
      <x:c r="A611" s="30" t="str">
        <x:v>RAUD089</x:v>
      </x:c>
      <x:c r="B611" s="30" t="str">
        <x:v>RCOMP089</x:v>
      </x:c>
      <x:c r="C611" s="30" t="str">
        <x:v>Verify availability, version control, and periodic review of patient information leaflets supplied with applicable medicines.</x:v>
      </x:c>
      <x:c r="D611" s="30" t="str">
        <x:v>Document Review</x:v>
      </x:c>
      <x:c r="E611" s="30" t="str">
        <x:v>Quarterly</x:v>
      </x:c>
      <x:c r="F611" s="30" t="str">
        <x:v>RETAIL</x:v>
      </x:c>
      <x:c r="G611" s="30" t="str">
        <x:v>General Compliance</x:v>
      </x:c>
      <x:c r="H611" s="30" t="str">
        <x:v>Yes</x:v>
      </x:c>
      <x:c r="I611" s="30" t="str">
        <x:v>Normalized from approved Pharmacy Delta Audit Procedure Master.</x:v>
      </x:c>
    </x:row>
    <x:row r="612">
      <x:c r="A612" s="30" t="str">
        <x:v>RAUD090</x:v>
      </x:c>
      <x:c r="B612" s="30" t="str">
        <x:v>RCOMP090</x:v>
      </x:c>
      <x:c r="C612" s="30" t="str">
        <x:v>Review monthly compliance reports submitted to management for completeness, accuracy, trend analysis, and follow-up actions.</x:v>
      </x:c>
      <x:c r="D612" s="30" t="str">
        <x:v>Document Review</x:v>
      </x:c>
      <x:c r="E612" s="30" t="str">
        <x:v>Monthly</x:v>
      </x:c>
      <x:c r="F612" s="30" t="str">
        <x:v>RETAIL</x:v>
      </x:c>
      <x:c r="G612" s="30" t="str">
        <x:v>General Compliance</x:v>
      </x:c>
      <x:c r="H612" s="30" t="str">
        <x:v>Yes</x:v>
      </x:c>
      <x:c r="I612" s="30" t="str">
        <x:v>Normalized from approved Pharmacy Delta Audit Procedure Master.</x:v>
      </x:c>
    </x:row>
    <x:row r="613">
      <x:c r="A613" s="30" t="str">
        <x:v>RAUD091</x:v>
      </x:c>
      <x:c r="B613" s="30" t="str">
        <x:v>RCOMP091</x:v>
      </x:c>
      <x:c r="C613" s="30" t="str">
        <x:v>Verify reservation controls including stock allocation, reservation validity, cancellation handling, and release back to inventory.</x:v>
      </x:c>
      <x:c r="D613" s="30" t="str">
        <x:v>Document Review</x:v>
      </x:c>
      <x:c r="E613" s="30" t="str">
        <x:v>Quarterly</x:v>
      </x:c>
      <x:c r="F613" s="30" t="str">
        <x:v>RETAIL</x:v>
      </x:c>
      <x:c r="G613" s="30" t="str">
        <x:v>Inventory Controls</x:v>
      </x:c>
      <x:c r="H613" s="30" t="str">
        <x:v>Yes</x:v>
      </x:c>
      <x:c r="I613" s="30" t="str">
        <x:v>Normalized from approved Pharmacy Delta Audit Procedure Master.</x:v>
      </x:c>
    </x:row>
    <x:row r="614">
      <x:c r="A614" s="30" t="str">
        <x:v>RAUD092</x:v>
      </x:c>
      <x:c r="B614" s="30" t="str">
        <x:v>RCOMP092</x:v>
      </x:c>
      <x:c r="C614" s="30" t="str">
        <x:v>Review prescription amendment records to verify pharmacist approval, prescriber communication, audit trail, and supporting documentation.</x:v>
      </x:c>
      <x:c r="D614" s="30" t="str">
        <x:v>Record Verification</x:v>
      </x:c>
      <x:c r="E614" s="30" t="str">
        <x:v>Quarterly</x:v>
      </x:c>
      <x:c r="F614" s="30" t="str">
        <x:v>RETAIL</x:v>
      </x:c>
      <x:c r="G614" s="30" t="str">
        <x:v>Personnel Competency</x:v>
      </x:c>
      <x:c r="H614" s="30" t="str">
        <x:v>Yes</x:v>
      </x:c>
      <x:c r="I614" s="30" t="str">
        <x:v>Normalized from approved Pharmacy Delta Audit Procedure Master.</x:v>
      </x:c>
    </x:row>
    <x:row r="615">
      <x:c r="A615" s="30" t="str">
        <x:v>RAUD093</x:v>
      </x:c>
      <x:c r="B615" s="30" t="str">
        <x:v>RCOMP093</x:v>
      </x:c>
      <x:c r="C615" s="30" t="str">
        <x:v>Audit electronic prescription queue management for processing sequence, pharmacist assignment, completion timestamps, and exception handling.</x:v>
      </x:c>
      <x:c r="D615" s="30" t="str">
        <x:v>Document Review</x:v>
      </x:c>
      <x:c r="E615" s="30" t="str">
        <x:v>Half Yearly</x:v>
      </x:c>
      <x:c r="F615" s="30" t="str">
        <x:v>RETAIL</x:v>
      </x:c>
      <x:c r="G615" s="30" t="str">
        <x:v>Personnel Competency</x:v>
      </x:c>
      <x:c r="H615" s="30" t="str">
        <x:v>Yes</x:v>
      </x:c>
      <x:c r="I615" s="30" t="str">
        <x:v>Normalized from approved Pharmacy Delta Audit Procedure Master.</x:v>
      </x:c>
    </x:row>
    <x:row r="616">
      <x:c r="A616" s="30" t="str">
        <x:v>RAUD094</x:v>
      </x:c>
      <x:c r="B616" s="30" t="str">
        <x:v>RCOMP094</x:v>
      </x:c>
      <x:c r="C616" s="30" t="str">
        <x:v>Verify pharmacist review of drug interaction alerts, intervention records, and documentation supporting dispensing decisions.</x:v>
      </x:c>
      <x:c r="D616" s="30" t="str">
        <x:v>Record Verification</x:v>
      </x:c>
      <x:c r="E616" s="30" t="str">
        <x:v>Quarterly</x:v>
      </x:c>
      <x:c r="F616" s="30" t="str">
        <x:v>RETAIL</x:v>
      </x:c>
      <x:c r="G616" s="30" t="str">
        <x:v>Personnel Competency</x:v>
      </x:c>
      <x:c r="H616" s="30" t="str">
        <x:v>Yes</x:v>
      </x:c>
      <x:c r="I616" s="30" t="str">
        <x:v>Normalized from approved Pharmacy Delta Audit Procedure Master.</x:v>
      </x:c>
    </x:row>
    <x:row r="617">
      <x:c r="A617" s="30" t="str">
        <x:v>RAUD095</x:v>
      </x:c>
      <x:c r="B617" s="30" t="str">
        <x:v>RCOMP095</x:v>
      </x:c>
      <x:c r="C617" s="30" t="str">
        <x:v>Inspect dispensing labels for medicine identity, dosage instructions, patient information, batch details, and pharmacist verification.</x:v>
      </x:c>
      <x:c r="D617" s="30" t="str">
        <x:v>Physical Inspection</x:v>
      </x:c>
      <x:c r="E617" s="30" t="str">
        <x:v>Monthly</x:v>
      </x:c>
      <x:c r="F617" s="30" t="str">
        <x:v>RETAIL</x:v>
      </x:c>
      <x:c r="G617" s="30" t="str">
        <x:v>Personnel Competency</x:v>
      </x:c>
      <x:c r="H617" s="30" t="str">
        <x:v>Yes</x:v>
      </x:c>
      <x:c r="I617" s="30" t="str">
        <x:v>Normalized from approved Pharmacy Delta Audit Procedure Master.</x:v>
      </x:c>
    </x:row>
    <x:row r="618">
      <x:c r="A618" s="30" t="str">
        <x:v>RAUD096</x:v>
      </x:c>
      <x:c r="B618" s="30" t="str">
        <x:v>RCOMP096</x:v>
      </x:c>
      <x:c r="C618" s="30" t="str">
        <x:v>Inspect retail shelves to confirm prescription medicines remain inaccessible for self-selection and storage controls remain effective.</x:v>
      </x:c>
      <x:c r="D618" s="30" t="str">
        <x:v>Physical Inspection</x:v>
      </x:c>
      <x:c r="E618" s="30" t="str">
        <x:v>Monthly</x:v>
      </x:c>
      <x:c r="F618" s="30" t="str">
        <x:v>RETAIL</x:v>
      </x:c>
      <x:c r="G618" s="30" t="str">
        <x:v>Prescription Controls</x:v>
      </x:c>
      <x:c r="H618" s="30" t="str">
        <x:v>Yes</x:v>
      </x:c>
      <x:c r="I618" s="30" t="str">
        <x:v>Normalized from approved Pharmacy Delta Audit Procedure Master.</x:v>
      </x:c>
    </x:row>
    <x:row r="619">
      <x:c r="A619" s="30" t="str">
        <x:v>RAUD097</x:v>
      </x:c>
      <x:c r="B619" s="30" t="str">
        <x:v>RCOMP097</x:v>
      </x:c>
      <x:c r="C619" s="30" t="str">
        <x:v>Review dispensing error investigations including root cause analysis, CAPA implementation, effectiveness verification, and management review.</x:v>
      </x:c>
      <x:c r="D619" s="30" t="str">
        <x:v>Document Review</x:v>
      </x:c>
      <x:c r="E619" s="30" t="str">
        <x:v>Quarterly</x:v>
      </x:c>
      <x:c r="F619" s="30" t="str">
        <x:v>RETAIL</x:v>
      </x:c>
      <x:c r="G619" s="30" t="str">
        <x:v>General Compliance</x:v>
      </x:c>
      <x:c r="H619" s="30" t="str">
        <x:v>Yes</x:v>
      </x:c>
      <x:c r="I619" s="30" t="str">
        <x:v>Normalized from approved Pharmacy Delta Audit Procedure Master.</x:v>
      </x:c>
    </x:row>
    <x:row r="620">
      <x:c r="A620" s="30" t="str">
        <x:v>RAUD098</x:v>
      </x:c>
      <x:c r="B620" s="30" t="str">
        <x:v>RCOMP098</x:v>
      </x:c>
      <x:c r="C620" s="30" t="str">
        <x:v>Verify monitoring of pharmacy application availability, outage investigations, recovery actions, and recurring incident analysis.</x:v>
      </x:c>
      <x:c r="D620" s="30" t="str">
        <x:v>Document Review</x:v>
      </x:c>
      <x:c r="E620" s="30" t="str">
        <x:v>Quarterly</x:v>
      </x:c>
      <x:c r="F620" s="30" t="str">
        <x:v>RETAIL</x:v>
      </x:c>
      <x:c r="G620" s="30" t="str">
        <x:v>General Compliance</x:v>
      </x:c>
      <x:c r="H620" s="30" t="str">
        <x:v>Yes</x:v>
      </x:c>
      <x:c r="I620" s="30" t="str">
        <x:v>Normalized from approved Pharmacy Delta Audit Procedure Master.</x:v>
      </x:c>
    </x:row>
    <x:row r="621">
      <x:c r="A621" s="30" t="str">
        <x:v>RAUD099</x:v>
      </x:c>
      <x:c r="B621" s="30" t="str">
        <x:v>RCOMP099</x:v>
      </x:c>
      <x:c r="C621" s="30" t="str">
        <x:v>Verify display and validity of pharmacy licence, pharmacist registration, consumer notices, and statutory public disclosures.</x:v>
      </x:c>
      <x:c r="D621" s="30" t="str">
        <x:v>Physical Inspection</x:v>
      </x:c>
      <x:c r="E621" s="30" t="str">
        <x:v>Quarterly</x:v>
      </x:c>
      <x:c r="F621" s="30" t="str">
        <x:v>RETAIL</x:v>
      </x:c>
      <x:c r="G621" s="30" t="str">
        <x:v>Licensing</x:v>
      </x:c>
      <x:c r="H621" s="30" t="str">
        <x:v>Yes</x:v>
      </x:c>
      <x:c r="I621" s="30" t="str">
        <x:v>Normalized from approved Pharmacy Delta Audit Procedure Master.</x:v>
      </x:c>
    </x:row>
    <x:row r="622">
      <x:c r="A622" s="30" t="str">
        <x:v>RAUD100</x:v>
      </x:c>
      <x:c r="B622" s="30" t="str">
        <x:v>RCOMP100</x:v>
      </x:c>
      <x:c r="C622" s="30" t="str">
        <x:v>Review annual compliance maturity assessment methodology, scoring, management approval, and improvement roadmap implementation.</x:v>
      </x:c>
      <x:c r="D622" s="30" t="str">
        <x:v>Record Verification</x:v>
      </x:c>
      <x:c r="E622" s="30" t="str">
        <x:v>Annual</x:v>
      </x:c>
      <x:c r="F622" s="30" t="str">
        <x:v>RETAIL</x:v>
      </x:c>
      <x:c r="G622" s="30" t="str">
        <x:v>Recordkeeping</x:v>
      </x:c>
      <x:c r="H622" s="30" t="str">
        <x:v>Yes</x:v>
      </x:c>
      <x:c r="I622" s="30" t="str">
        <x:v>Normalized from approved Pharmacy Delta Audit Procedure Master.</x:v>
      </x:c>
    </x:row>
    <x:row r="623">
      <x:c r="A623" s="30" t="str">
        <x:v>RAUD101</x:v>
      </x:c>
      <x:c r="B623" s="30" t="str">
        <x:v>RCOMP101</x:v>
      </x:c>
      <x:c r="C623" s="30" t="str">
        <x:v>Verify customer identity verification records are securely maintained, access-controlled, and retained in accordance with statutory requirements.</x:v>
      </x:c>
      <x:c r="D623" s="30" t="str">
        <x:v>Record Verification</x:v>
      </x:c>
      <x:c r="E623" s="30" t="str">
        <x:v>Annual</x:v>
      </x:c>
      <x:c r="F623" s="30" t="str">
        <x:v>RETAIL</x:v>
      </x:c>
      <x:c r="G623" s="30" t="str">
        <x:v>Consumer Protection</x:v>
      </x:c>
      <x:c r="H623" s="30" t="str">
        <x:v>Yes</x:v>
      </x:c>
      <x:c r="I623" s="30" t="str">
        <x:v>Normalized from approved Pharmacy Delta Audit Procedure Master.</x:v>
      </x:c>
    </x:row>
    <x:row r="624">
      <x:c r="A624" s="30" t="str">
        <x:v>RAUD102</x:v>
      </x:c>
      <x:c r="B624" s="30" t="str">
        <x:v>RCOMP102</x:v>
      </x:c>
      <x:c r="C624" s="30" t="str">
        <x:v>Review prescription revalidation records to verify expired prescriptions were appropriately reassessed before dispensing.</x:v>
      </x:c>
      <x:c r="D624" s="30" t="str">
        <x:v>Record Verification</x:v>
      </x:c>
      <x:c r="E624" s="30" t="str">
        <x:v>Quarterly</x:v>
      </x:c>
      <x:c r="F624" s="30" t="str">
        <x:v>RETAIL</x:v>
      </x:c>
      <x:c r="G624" s="30" t="str">
        <x:v>Prescription Controls</x:v>
      </x:c>
      <x:c r="H624" s="30" t="str">
        <x:v>Yes</x:v>
      </x:c>
      <x:c r="I624" s="30" t="str">
        <x:v>Normalized from approved Pharmacy Delta Audit Procedure Master.</x:v>
      </x:c>
    </x:row>
    <x:row r="625">
      <x:c r="A625" s="30" t="str">
        <x:v>RAUD103</x:v>
      </x:c>
      <x:c r="B625" s="30" t="str">
        <x:v>RCOMP103</x:v>
      </x:c>
      <x:c r="C625" s="30" t="str">
        <x:v>Audit electronic pharmacist approval mechanisms to verify authenticated approvals, digital signatures, audit trails, and tamper protection.</x:v>
      </x:c>
      <x:c r="D625" s="30" t="str">
        <x:v>System Verification</x:v>
      </x:c>
      <x:c r="E625" s="30" t="str">
        <x:v>Half Yearly</x:v>
      </x:c>
      <x:c r="F625" s="30" t="str">
        <x:v>RETAIL</x:v>
      </x:c>
      <x:c r="G625" s="30" t="str">
        <x:v>Personnel Competency</x:v>
      </x:c>
      <x:c r="H625" s="30" t="str">
        <x:v>Yes</x:v>
      </x:c>
      <x:c r="I625" s="30" t="str">
        <x:v>Normalized from approved Pharmacy Delta Audit Procedure Master.</x:v>
      </x:c>
    </x:row>
    <x:row r="626">
      <x:c r="A626" s="30" t="str">
        <x:v>RAUD104</x:v>
      </x:c>
      <x:c r="B626" s="30" t="str">
        <x:v>RCOMP104</x:v>
      </x:c>
      <x:c r="C626" s="30" t="str">
        <x:v>Review returned medicine assessments to verify quality evaluation, pharmacist decisions, segregation, and documented disposition.</x:v>
      </x:c>
      <x:c r="D626" s="30" t="str">
        <x:v>Document Review</x:v>
      </x:c>
      <x:c r="E626" s="30" t="str">
        <x:v>Quarterly</x:v>
      </x:c>
      <x:c r="F626" s="30" t="str">
        <x:v>RETAIL</x:v>
      </x:c>
      <x:c r="G626" s="30" t="str">
        <x:v>Personnel Competency</x:v>
      </x:c>
      <x:c r="H626" s="30" t="str">
        <x:v>Yes</x:v>
      </x:c>
      <x:c r="I626" s="30" t="str">
        <x:v>Normalized from approved Pharmacy Delta Audit Procedure Master.</x:v>
      </x:c>
    </x:row>
    <x:row r="627">
      <x:c r="A627" s="30" t="str">
        <x:v>RAUD105</x:v>
      </x:c>
      <x:c r="B627" s="30" t="str">
        <x:v>RCOMP105</x:v>
      </x:c>
      <x:c r="C627" s="30" t="str">
        <x:v>Evaluate mock recall exercises for traceability accuracy, response time, communication effectiveness, and corrective actions.</x:v>
      </x:c>
      <x:c r="D627" s="30" t="str">
        <x:v>Document Review</x:v>
      </x:c>
      <x:c r="E627" s="30" t="str">
        <x:v>Annual</x:v>
      </x:c>
      <x:c r="F627" s="30" t="str">
        <x:v>RETAIL</x:v>
      </x:c>
      <x:c r="G627" s="30" t="str">
        <x:v>Inventory Controls</x:v>
      </x:c>
      <x:c r="H627" s="30" t="str">
        <x:v>Yes</x:v>
      </x:c>
      <x:c r="I627" s="30" t="str">
        <x:v>Normalized from approved Pharmacy Delta Audit Procedure Master.</x:v>
      </x:c>
    </x:row>
    <x:row r="628">
      <x:c r="A628" s="30" t="str">
        <x:v>RAUD106</x:v>
      </x:c>
      <x:c r="B628" s="30" t="str">
        <x:v>RCOMP106</x:v>
      </x:c>
      <x:c r="C628" s="30" t="str">
        <x:v>Verify monitoring of reservation expiry alerts and proper release of expired reservations back into inventory.</x:v>
      </x:c>
      <x:c r="D628" s="30" t="str">
        <x:v>Document Review</x:v>
      </x:c>
      <x:c r="E628" s="30" t="str">
        <x:v>Monthly</x:v>
      </x:c>
      <x:c r="F628" s="30" t="str">
        <x:v>RETAIL</x:v>
      </x:c>
      <x:c r="G628" s="30" t="str">
        <x:v>Inventory Controls</x:v>
      </x:c>
      <x:c r="H628" s="30" t="str">
        <x:v>Yes</x:v>
      </x:c>
      <x:c r="I628" s="30" t="str">
        <x:v>Normalized from approved Pharmacy Delta Audit Procedure Master.</x:v>
      </x:c>
    </x:row>
    <x:row r="629">
      <x:c r="A629" s="30" t="str">
        <x:v>RAUD107</x:v>
      </x:c>
      <x:c r="B629" s="30" t="str">
        <x:v>RCOMP107</x:v>
      </x:c>
      <x:c r="C629" s="30" t="str">
        <x:v>Audit inventory adjustment approvals, supporting investigations, authorization hierarchy, and evidence supporting stock changes.</x:v>
      </x:c>
      <x:c r="D629" s="30" t="str">
        <x:v>Document Review</x:v>
      </x:c>
      <x:c r="E629" s="30" t="str">
        <x:v>Quarterly</x:v>
      </x:c>
      <x:c r="F629" s="30" t="str">
        <x:v>RETAIL</x:v>
      </x:c>
      <x:c r="G629" s="30" t="str">
        <x:v>Inventory Controls</x:v>
      </x:c>
      <x:c r="H629" s="30" t="str">
        <x:v>Yes</x:v>
      </x:c>
      <x:c r="I629" s="30" t="str">
        <x:v>Normalized from approved Pharmacy Delta Audit Procedure Master.</x:v>
      </x:c>
    </x:row>
    <x:row r="630">
      <x:c r="A630" s="30" t="str">
        <x:v>RAUD108</x:v>
      </x:c>
      <x:c r="B630" s="30" t="str">
        <x:v>RCOMP108</x:v>
      </x:c>
      <x:c r="C630" s="30" t="str">
        <x:v>Review software change management documentation including testing, approvals, deployment, rollback planning, and post-implementation review.</x:v>
      </x:c>
      <x:c r="D630" s="30" t="str">
        <x:v>Sampling</x:v>
      </x:c>
      <x:c r="E630" s="30" t="str">
        <x:v>Quarterly</x:v>
      </x:c>
      <x:c r="F630" s="30" t="str">
        <x:v>RETAIL</x:v>
      </x:c>
      <x:c r="G630" s="30" t="str">
        <x:v>Recordkeeping</x:v>
      </x:c>
      <x:c r="H630" s="30" t="str">
        <x:v>Yes</x:v>
      </x:c>
      <x:c r="I630" s="30" t="str">
        <x:v>Normalized from approved Pharmacy Delta Audit Procedure Master.</x:v>
      </x:c>
    </x:row>
    <x:row r="631">
      <x:c r="A631" s="30" t="str">
        <x:v>RAUD109</x:v>
      </x:c>
      <x:c r="B631" s="30" t="str">
        <x:v>RCOMP109</x:v>
      </x:c>
      <x:c r="C631" s="30" t="str">
        <x:v>Verify periodic review, approval, and version control of public health educational materials displayed or distributed by the pharmacy.</x:v>
      </x:c>
      <x:c r="D631" s="30" t="str">
        <x:v>Document Review</x:v>
      </x:c>
      <x:c r="E631" s="30" t="str">
        <x:v>Annual</x:v>
      </x:c>
      <x:c r="F631" s="30" t="str">
        <x:v>RETAIL</x:v>
      </x:c>
      <x:c r="G631" s="30" t="str">
        <x:v>Inspection &amp; Display Controls</x:v>
      </x:c>
      <x:c r="H631" s="30" t="str">
        <x:v>Yes</x:v>
      </x:c>
      <x:c r="I631" s="30" t="str">
        <x:v>Normalized from approved Pharmacy Delta Audit Procedure Master.</x:v>
      </x:c>
    </x:row>
    <x:row r="632">
      <x:c r="A632" s="30" t="str">
        <x:v>RAUD110</x:v>
      </x:c>
      <x:c r="B632" s="30" t="str">
        <x:v>RCOMP110</x:v>
      </x:c>
      <x:c r="C632" s="30" t="str">
        <x:v>Review quarterly management review meetings for agenda coverage, attendance, decisions, action tracking, and governance effectiveness.</x:v>
      </x:c>
      <x:c r="D632" s="30" t="str">
        <x:v>Document Review</x:v>
      </x:c>
      <x:c r="E632" s="30" t="str">
        <x:v>Quarterly</x:v>
      </x:c>
      <x:c r="F632" s="30" t="str">
        <x:v>RETAIL</x:v>
      </x:c>
      <x:c r="G632" s="30" t="str">
        <x:v>General Compliance</x:v>
      </x:c>
      <x:c r="H632" s="30" t="str">
        <x:v>Yes</x:v>
      </x:c>
      <x:c r="I632" s="30" t="str">
        <x:v>Normalized from approved Pharmacy Delta Audit Procedure Master.</x:v>
      </x:c>
    </x:row>
    <x:row r="633">
      <x:c r="A633" s="30" t="str">
        <x:v>RAUD111</x:v>
      </x:c>
      <x:c r="B633" s="30" t="str">
        <x:v>RCOMP111</x:v>
      </x:c>
      <x:c r="C633" s="30" t="str">
        <x:v>Verify authorization records for representatives collecting medicines and ensure identity verification was completed before medicine release.</x:v>
      </x:c>
      <x:c r="D633" s="30" t="str">
        <x:v>Record Verification</x:v>
      </x:c>
      <x:c r="E633" s="30" t="str">
        <x:v>Quarterly</x:v>
      </x:c>
      <x:c r="F633" s="30" t="str">
        <x:v>RETAIL</x:v>
      </x:c>
      <x:c r="G633" s="30" t="str">
        <x:v>Recordkeeping</x:v>
      </x:c>
      <x:c r="H633" s="30" t="str">
        <x:v>Yes</x:v>
      </x:c>
      <x:c r="I633" s="30" t="str">
        <x:v>Normalized from approved Pharmacy Delta Audit Procedure Master.</x:v>
      </x:c>
    </x:row>
    <x:row r="634">
      <x:c r="A634" s="30" t="str">
        <x:v>RAUD112</x:v>
      </x:c>
      <x:c r="B634" s="30" t="str">
        <x:v>RCOMP112</x:v>
      </x:c>
      <x:c r="C634" s="30" t="str">
        <x:v>Review prescription clarification records to verify pharmacist communication with prescribers and documentation of resolutions.</x:v>
      </x:c>
      <x:c r="D634" s="30" t="str">
        <x:v>Record Verification</x:v>
      </x:c>
      <x:c r="E634" s="30" t="str">
        <x:v>Quarterly</x:v>
      </x:c>
      <x:c r="F634" s="30" t="str">
        <x:v>RETAIL</x:v>
      </x:c>
      <x:c r="G634" s="30" t="str">
        <x:v>Personnel Competency</x:v>
      </x:c>
      <x:c r="H634" s="30" t="str">
        <x:v>Yes</x:v>
      </x:c>
      <x:c r="I634" s="30" t="str">
        <x:v>Normalized from approved Pharmacy Delta Audit Procedure Master.</x:v>
      </x:c>
    </x:row>
    <x:row r="635">
      <x:c r="A635" s="30" t="str">
        <x:v>RAUD113</x:v>
      </x:c>
      <x:c r="B635" s="30" t="str">
        <x:v>RCOMP113</x:v>
      </x:c>
      <x:c r="C635" s="30" t="str">
        <x:v>Audit electronic archive controls to verify retention periods, retrieval capability, backup integrity, and protection against unauthorized modification.</x:v>
      </x:c>
      <x:c r="D635" s="30" t="str">
        <x:v>Record Verification</x:v>
      </x:c>
      <x:c r="E635" s="30" t="str">
        <x:v>Annual</x:v>
      </x:c>
      <x:c r="F635" s="30" t="str">
        <x:v>RETAIL</x:v>
      </x:c>
      <x:c r="G635" s="30" t="str">
        <x:v>General Compliance</x:v>
      </x:c>
      <x:c r="H635" s="30" t="str">
        <x:v>Yes</x:v>
      </x:c>
      <x:c r="I635" s="30" t="str">
        <x:v>Normalized from approved Pharmacy Delta Audit Procedure Master.</x:v>
      </x:c>
    </x:row>
    <x:row r="636">
      <x:c r="A636" s="30" t="str">
        <x:v>RAUD114</x:v>
      </x:c>
      <x:c r="B636" s="30" t="str">
        <x:v>RCOMP114</x:v>
      </x:c>
      <x:c r="C636" s="30" t="str">
        <x:v>Inspect medicine shelf organization to verify approved classification, storage sequence, identification labels, and segregation controls.</x:v>
      </x:c>
      <x:c r="D636" s="30" t="str">
        <x:v>Physical Inspection</x:v>
      </x:c>
      <x:c r="E636" s="30" t="str">
        <x:v>Quarterly</x:v>
      </x:c>
      <x:c r="F636" s="30" t="str">
        <x:v>RETAIL</x:v>
      </x:c>
      <x:c r="G636" s="30" t="str">
        <x:v>Storage Controls</x:v>
      </x:c>
      <x:c r="H636" s="30" t="str">
        <x:v>Yes</x:v>
      </x:c>
      <x:c r="I636" s="30" t="str">
        <x:v>Normalized from approved Pharmacy Delta Audit Procedure Master.</x:v>
      </x:c>
    </x:row>
    <x:row r="637">
      <x:c r="A637" s="30" t="str">
        <x:v>RAUD115</x:v>
      </x:c>
      <x:c r="B637" s="30" t="str">
        <x:v>RCOMP115</x:v>
      </x:c>
      <x:c r="C637" s="30" t="str">
        <x:v>Verify product recall closure documentation including recovered stock reconciliation, unresolved items, management approval, and final closure records.</x:v>
      </x:c>
      <x:c r="D637" s="30" t="str">
        <x:v>Reconciliation</x:v>
      </x:c>
      <x:c r="E637" s="30" t="str">
        <x:v>Annual</x:v>
      </x:c>
      <x:c r="F637" s="30" t="str">
        <x:v>RETAIL</x:v>
      </x:c>
      <x:c r="G637" s="30" t="str">
        <x:v>Inventory Controls</x:v>
      </x:c>
      <x:c r="H637" s="30" t="str">
        <x:v>Yes</x:v>
      </x:c>
      <x:c r="I637" s="30" t="str">
        <x:v>Normalized from approved Pharmacy Delta Audit Procedure Master.</x:v>
      </x:c>
    </x:row>
    <x:row r="638">
      <x:c r="A638" s="30" t="str">
        <x:v>RAUD116</x:v>
      </x:c>
      <x:c r="B638" s="30" t="str">
        <x:v>RCOMP116</x:v>
      </x:c>
      <x:c r="C638" s="30" t="str">
        <x:v>Review medicine appointment scheduling records to verify attendance tracking, follow-up actions, cancellations, and service completion.</x:v>
      </x:c>
      <x:c r="D638" s="30" t="str">
        <x:v>Record Verification</x:v>
      </x:c>
      <x:c r="E638" s="30" t="str">
        <x:v>Quarterly</x:v>
      </x:c>
      <x:c r="F638" s="30" t="str">
        <x:v>RETAIL</x:v>
      </x:c>
      <x:c r="G638" s="30" t="str">
        <x:v>Recordkeeping</x:v>
      </x:c>
      <x:c r="H638" s="30" t="str">
        <x:v>Yes</x:v>
      </x:c>
      <x:c r="I638" s="30" t="str">
        <x:v>Normalized from approved Pharmacy Delta Audit Procedure Master.</x:v>
      </x:c>
    </x:row>
    <x:row r="639">
      <x:c r="A639" s="30" t="str">
        <x:v>RAUD117</x:v>
      </x:c>
      <x:c r="B639" s="30" t="str">
        <x:v>RCOMP117</x:v>
      </x:c>
      <x:c r="C639" s="30" t="str">
        <x:v>Evaluate investigations into significant inventory anomalies to verify root cause analysis, management approval, and preventive actions.</x:v>
      </x:c>
      <x:c r="D639" s="30" t="str">
        <x:v>Document Review</x:v>
      </x:c>
      <x:c r="E639" s="30" t="str">
        <x:v>Quarterly</x:v>
      </x:c>
      <x:c r="F639" s="30" t="str">
        <x:v>RETAIL</x:v>
      </x:c>
      <x:c r="G639" s="30" t="str">
        <x:v>Inventory Controls</x:v>
      </x:c>
      <x:c r="H639" s="30" t="str">
        <x:v>Yes</x:v>
      </x:c>
      <x:c r="I639" s="30" t="str">
        <x:v>Normalized from approved Pharmacy Delta Audit Procedure Master.</x:v>
      </x:c>
    </x:row>
    <x:row r="640">
      <x:c r="A640" s="30" t="str">
        <x:v>RAUD118</x:v>
      </x:c>
      <x:c r="B640" s="30" t="str">
        <x:v>RCOMP118</x:v>
      </x:c>
      <x:c r="C640" s="30" t="str">
        <x:v>Review cybersecurity monitoring activities including alert handling, incident investigation, response actions, and evidence retention.</x:v>
      </x:c>
      <x:c r="D640" s="30" t="str">
        <x:v>Document Review</x:v>
      </x:c>
      <x:c r="E640" s="30" t="str">
        <x:v>Quarterly</x:v>
      </x:c>
      <x:c r="F640" s="30" t="str">
        <x:v>RETAIL</x:v>
      </x:c>
      <x:c r="G640" s="30" t="str">
        <x:v>General Compliance</x:v>
      </x:c>
      <x:c r="H640" s="30" t="str">
        <x:v>Yes</x:v>
      </x:c>
      <x:c r="I640" s="30" t="str">
        <x:v>Normalized from approved Pharmacy Delta Audit Procedure Master.</x:v>
      </x:c>
    </x:row>
    <x:row r="641">
      <x:c r="A641" s="30" t="str">
        <x:v>RAUD119</x:v>
      </x:c>
      <x:c r="B641" s="30" t="str">
        <x:v>RCOMP119</x:v>
      </x:c>
      <x:c r="C641" s="30" t="str">
        <x:v>Verify display of public health campaigns, antimicrobial stewardship guidance, ADR reporting information, and regulatory advisories.</x:v>
      </x:c>
      <x:c r="D641" s="30" t="str">
        <x:v>Physical Inspection</x:v>
      </x:c>
      <x:c r="E641" s="30" t="str">
        <x:v>Quarterly</x:v>
      </x:c>
      <x:c r="F641" s="30" t="str">
        <x:v>RETAIL</x:v>
      </x:c>
      <x:c r="G641" s="30" t="str">
        <x:v>Inspection &amp; Display Controls</x:v>
      </x:c>
      <x:c r="H641" s="30" t="str">
        <x:v>Yes</x:v>
      </x:c>
      <x:c r="I641" s="30" t="str">
        <x:v>Normalized from approved Pharmacy Delta Audit Procedure Master.</x:v>
      </x:c>
    </x:row>
    <x:row r="642">
      <x:c r="A642" s="30" t="str">
        <x:v>RAUD120</x:v>
      </x:c>
      <x:c r="B642" s="30" t="str">
        <x:v>RCOMP120</x:v>
      </x:c>
      <x:c r="C642" s="30" t="str">
        <x:v>Review annual compliance improvement programmes to verify planning, implementation progress, management oversight, KPI achievement, and documented outcomes.</x:v>
      </x:c>
      <x:c r="D642" s="30" t="str">
        <x:v>Document Review</x:v>
      </x:c>
      <x:c r="E642" s="30" t="str">
        <x:v>Annual</x:v>
      </x:c>
      <x:c r="F642" s="30" t="str">
        <x:v>RETAIL</x:v>
      </x:c>
      <x:c r="G642" s="30" t="str">
        <x:v>Recordkeeping</x:v>
      </x:c>
      <x:c r="H642" s="30" t="str">
        <x:v>Yes</x:v>
      </x:c>
      <x:c r="I642" s="30" t="str">
        <x:v>Normalized from approved Pharmacy Delta Audit Procedure Master.</x:v>
      </x:c>
    </x:row>
    <x:row r="643">
      <x:c r="A643" s="30" t="str">
        <x:v>RAUD121</x:v>
      </x:c>
      <x:c r="B643" s="30" t="str">
        <x:v>RCOMP121</x:v>
      </x:c>
      <x:c r="C643" s="30" t="str">
        <x:v>Verify independent secondary verification for restricted medicines, including both verifier identities, authorization, and dispensing records.</x:v>
      </x:c>
      <x:c r="D643" s="30" t="str">
        <x:v>Record Verification</x:v>
      </x:c>
      <x:c r="E643" s="30" t="str">
        <x:v>Quarterly</x:v>
      </x:c>
      <x:c r="F643" s="30" t="str">
        <x:v>RETAIL</x:v>
      </x:c>
      <x:c r="G643" s="30" t="str">
        <x:v>Recordkeeping</x:v>
      </x:c>
      <x:c r="H643" s="30" t="str">
        <x:v>Yes</x:v>
      </x:c>
      <x:c r="I643" s="30" t="str">
        <x:v>Normalized from approved Pharmacy Delta Audit Procedure Master.</x:v>
      </x:c>
    </x:row>
    <x:row r="644">
      <x:c r="A644" s="30" t="str">
        <x:v>RAUD122</x:v>
      </x:c>
      <x:c r="B644" s="30" t="str">
        <x:v>RCOMP122</x:v>
      </x:c>
      <x:c r="C644" s="30" t="str">
        <x:v>Review prescription completeness validation to ensure mandatory fields were verified before dispensing and incomplete prescriptions were appropriately placed on hold.</x:v>
      </x:c>
      <x:c r="D644" s="30" t="str">
        <x:v>Record Verification</x:v>
      </x:c>
      <x:c r="E644" s="30" t="str">
        <x:v>Quarterly</x:v>
      </x:c>
      <x:c r="F644" s="30" t="str">
        <x:v>RETAIL</x:v>
      </x:c>
      <x:c r="G644" s="30" t="str">
        <x:v>Prescription Controls</x:v>
      </x:c>
      <x:c r="H644" s="30" t="str">
        <x:v>Yes</x:v>
      </x:c>
      <x:c r="I644" s="30" t="str">
        <x:v>Normalized from approved Pharmacy Delta Audit Procedure Master.</x:v>
      </x:c>
    </x:row>
    <x:row r="645">
      <x:c r="A645" s="30" t="str">
        <x:v>RAUD123</x:v>
      </x:c>
      <x:c r="B645" s="30" t="str">
        <x:v>RCOMP123</x:v>
      </x:c>
      <x:c r="C645" s="30" t="str">
        <x:v>Audit system activity log retention, integrity protection, archival controls, and retrieval capability for regulatory inspections.</x:v>
      </x:c>
      <x:c r="D645" s="30" t="str">
        <x:v>System Verification</x:v>
      </x:c>
      <x:c r="E645" s="30" t="str">
        <x:v>Annual</x:v>
      </x:c>
      <x:c r="F645" s="30" t="str">
        <x:v>RETAIL</x:v>
      </x:c>
      <x:c r="G645" s="30" t="str">
        <x:v>Digital Controls</x:v>
      </x:c>
      <x:c r="H645" s="30" t="str">
        <x:v>Yes</x:v>
      </x:c>
      <x:c r="I645" s="30" t="str">
        <x:v>Normalized from approved Pharmacy Delta Audit Procedure Master.</x:v>
      </x:c>
    </x:row>
    <x:row r="646">
      <x:c r="A646" s="30" t="str">
        <x:v>RAUD124</x:v>
      </x:c>
      <x:c r="B646" s="30" t="str">
        <x:v>RCOMP124</x:v>
      </x:c>
      <x:c r="C646" s="30" t="str">
        <x:v>Verify medicine identity, dosage strength, manufacturer, batch number, expiry date, and quantity through dispensing sample reviews.</x:v>
      </x:c>
      <x:c r="D646" s="30" t="str">
        <x:v>Sampling</x:v>
      </x:c>
      <x:c r="E646" s="30" t="str">
        <x:v>Quarterly</x:v>
      </x:c>
      <x:c r="F646" s="30" t="str">
        <x:v>RETAIL</x:v>
      </x:c>
      <x:c r="G646" s="30" t="str">
        <x:v>Inventory Controls</x:v>
      </x:c>
      <x:c r="H646" s="30" t="str">
        <x:v>Yes</x:v>
      </x:c>
      <x:c r="I646" s="30" t="str">
        <x:v>Normalized from approved Pharmacy Delta Audit Procedure Master.</x:v>
      </x:c>
    </x:row>
    <x:row r="647">
      <x:c r="A647" s="30" t="str">
        <x:v>RAUD125</x:v>
      </x:c>
      <x:c r="B647" s="30" t="str">
        <x:v>RCOMP125</x:v>
      </x:c>
      <x:c r="C647" s="30" t="str">
        <x:v>Review critical product recall escalations, notification timelines, management decisions, and closure documentation.</x:v>
      </x:c>
      <x:c r="D647" s="30" t="str">
        <x:v>Document Review</x:v>
      </x:c>
      <x:c r="E647" s="30" t="str">
        <x:v>Annual</x:v>
      </x:c>
      <x:c r="F647" s="30" t="str">
        <x:v>RETAIL</x:v>
      </x:c>
      <x:c r="G647" s="30" t="str">
        <x:v>Inventory Controls</x:v>
      </x:c>
      <x:c r="H647" s="30" t="str">
        <x:v>Yes</x:v>
      </x:c>
      <x:c r="I647" s="30" t="str">
        <x:v>Normalized from approved Pharmacy Delta Audit Procedure Master.</x:v>
      </x:c>
    </x:row>
    <x:row r="648">
      <x:c r="A648" s="30" t="str">
        <x:v>RAUD126</x:v>
      </x:c>
      <x:c r="B648" s="30" t="str">
        <x:v>RCOMP126</x:v>
      </x:c>
      <x:c r="C648" s="30" t="str">
        <x:v>Verify online reservation validation including prescription requirements, medicine availability, reservation validity, and customer identity verification.</x:v>
      </x:c>
      <x:c r="D648" s="30" t="str">
        <x:v>Record Verification</x:v>
      </x:c>
      <x:c r="E648" s="30" t="str">
        <x:v>Quarterly</x:v>
      </x:c>
      <x:c r="F648" s="30" t="str">
        <x:v>RETAIL</x:v>
      </x:c>
      <x:c r="G648" s="30" t="str">
        <x:v>Prescription Controls</x:v>
      </x:c>
      <x:c r="H648" s="30" t="str">
        <x:v>Yes</x:v>
      </x:c>
      <x:c r="I648" s="30" t="str">
        <x:v>Normalized from approved Pharmacy Delta Audit Procedure Master.</x:v>
      </x:c>
    </x:row>
    <x:row r="649">
      <x:c r="A649" s="30" t="str">
        <x:v>RAUD127</x:v>
      </x:c>
      <x:c r="B649" s="30" t="str">
        <x:v>RCOMP127</x:v>
      </x:c>
      <x:c r="C649" s="30" t="str">
        <x:v>Review approvals for high-value inventory adjustments, supporting investigations, authorization hierarchy, and management sign-off.</x:v>
      </x:c>
      <x:c r="D649" s="30" t="str">
        <x:v>Document Review</x:v>
      </x:c>
      <x:c r="E649" s="30" t="str">
        <x:v>Quarterly</x:v>
      </x:c>
      <x:c r="F649" s="30" t="str">
        <x:v>RETAIL</x:v>
      </x:c>
      <x:c r="G649" s="30" t="str">
        <x:v>Inventory Controls</x:v>
      </x:c>
      <x:c r="H649" s="30" t="str">
        <x:v>Yes</x:v>
      </x:c>
      <x:c r="I649" s="30" t="str">
        <x:v>Normalized from approved Pharmacy Delta Audit Procedure Master.</x:v>
      </x:c>
    </x:row>
    <x:row r="650">
      <x:c r="A650" s="30" t="str">
        <x:v>RAUD128</x:v>
      </x:c>
      <x:c r="B650" s="30" t="str">
        <x:v>RCOMP128</x:v>
      </x:c>
      <x:c r="C650" s="30" t="str">
        <x:v>Verify backup restoration testing, documented recovery procedures, recovery success criteria, and management approvals.</x:v>
      </x:c>
      <x:c r="D650" s="30" t="str">
        <x:v>Sampling</x:v>
      </x:c>
      <x:c r="E650" s="30" t="str">
        <x:v>Annual</x:v>
      </x:c>
      <x:c r="F650" s="30" t="str">
        <x:v>RETAIL</x:v>
      </x:c>
      <x:c r="G650" s="30" t="str">
        <x:v>SOP &amp; Training</x:v>
      </x:c>
      <x:c r="H650" s="30" t="str">
        <x:v>Yes</x:v>
      </x:c>
      <x:c r="I650" s="30" t="str">
        <x:v>Normalized from approved Pharmacy Delta Audit Procedure Master.</x:v>
      </x:c>
    </x:row>
    <x:row r="651">
      <x:c r="A651" s="30" t="str">
        <x:v>RAUD129</x:v>
      </x:c>
      <x:c r="B651" s="30" t="str">
        <x:v>RCOMP129</x:v>
      </x:c>
      <x:c r="C651" s="30" t="str">
        <x:v>Review community medicine awareness programmes for management approval, scientific accuracy, regulatory compliance, and programme documentation.</x:v>
      </x:c>
      <x:c r="D651" s="30" t="str">
        <x:v>Document Review</x:v>
      </x:c>
      <x:c r="E651" s="30" t="str">
        <x:v>Annual</x:v>
      </x:c>
      <x:c r="F651" s="30" t="str">
        <x:v>RETAIL</x:v>
      </x:c>
      <x:c r="G651" s="30" t="str">
        <x:v>Recordkeeping</x:v>
      </x:c>
      <x:c r="H651" s="30" t="str">
        <x:v>Yes</x:v>
      </x:c>
      <x:c r="I651" s="30" t="str">
        <x:v>Normalized from approved Pharmacy Delta Audit Procedure Master.</x:v>
      </x:c>
    </x:row>
    <x:row r="652">
      <x:c r="A652" s="30" t="str">
        <x:v>RAUD130</x:v>
      </x:c>
      <x:c r="B652" s="30" t="str">
        <x:v>RCOMP130</x:v>
      </x:c>
      <x:c r="C652" s="30" t="str">
        <x:v>Audit compliance risk registers for completeness, risk assessment methodology, mitigation monitoring, escalation, and periodic management review.</x:v>
      </x:c>
      <x:c r="D652" s="30" t="str">
        <x:v>Record Verification</x:v>
      </x:c>
      <x:c r="E652" s="30" t="str">
        <x:v>Quarterly</x:v>
      </x:c>
      <x:c r="F652" s="30" t="str">
        <x:v>RETAIL</x:v>
      </x:c>
      <x:c r="G652" s="30" t="str">
        <x:v>Recordkeeping</x:v>
      </x:c>
      <x:c r="H652" s="30" t="str">
        <x:v>Yes</x:v>
      </x:c>
      <x:c r="I652" s="30" t="str">
        <x:v>Normalized from approved Pharmacy Delta Audit Procedure Master.</x:v>
      </x:c>
    </x:row>
    <x:row r="653">
      <x:c r="A653" s="30" t="str">
        <x:v>RAUD131</x:v>
      </x:c>
      <x:c r="B653" s="30" t="str">
        <x:v>RCOMP131</x:v>
      </x:c>
      <x:c r="C653" s="30" t="str">
        <x:v>Verify final pharmacist authorization before prescription medicine handover by reviewing dispensing transactions and approval records.</x:v>
      </x:c>
      <x:c r="D653" s="30" t="str">
        <x:v>Record Verification</x:v>
      </x:c>
      <x:c r="E653" s="30" t="str">
        <x:v>Quarterly</x:v>
      </x:c>
      <x:c r="F653" s="30" t="str">
        <x:v>RETAIL</x:v>
      </x:c>
      <x:c r="G653" s="30" t="str">
        <x:v>Personnel Competency</x:v>
      </x:c>
      <x:c r="H653" s="30" t="str">
        <x:v>Yes</x:v>
      </x:c>
      <x:c r="I653" s="30" t="str">
        <x:v>Normalized from approved Pharmacy Delta Audit Procedure Master.</x:v>
      </x:c>
    </x:row>
    <x:row r="654">
      <x:c r="A654" s="30" t="str">
        <x:v>RAUD132</x:v>
      </x:c>
      <x:c r="B654" s="30" t="str">
        <x:v>RCOMP132</x:v>
      </x:c>
      <x:c r="C654" s="30" t="str">
        <x:v>Audit retained prescription records for completeness, readability, statutory retention compliance, and secure storage arrangements.</x:v>
      </x:c>
      <x:c r="D654" s="30" t="str">
        <x:v>Record Verification</x:v>
      </x:c>
      <x:c r="E654" s="30" t="str">
        <x:v>Annual</x:v>
      </x:c>
      <x:c r="F654" s="30" t="str">
        <x:v>RETAIL</x:v>
      </x:c>
      <x:c r="G654" s="30" t="str">
        <x:v>Prescription Controls</x:v>
      </x:c>
      <x:c r="H654" s="30" t="str">
        <x:v>Yes</x:v>
      </x:c>
      <x:c r="I654" s="30" t="str">
        <x:v>Normalized from approved Pharmacy Delta Audit Procedure Master.</x:v>
      </x:c>
    </x:row>
    <x:row r="655">
      <x:c r="A655" s="30" t="str">
        <x:v>RAUD133</x:v>
      </x:c>
      <x:c r="B655" s="30" t="str">
        <x:v>RCOMP133</x:v>
      </x:c>
      <x:c r="C655" s="30" t="str">
        <x:v>Review synchronization between dispensing, billing, inventory, and patient record systems. Verify reconciliation of synchronization failures and corrective actions.</x:v>
      </x:c>
      <x:c r="D655" s="30" t="str">
        <x:v>Reconciliation</x:v>
      </x:c>
      <x:c r="E655" s="30" t="str">
        <x:v>Quarterly</x:v>
      </x:c>
      <x:c r="F655" s="30" t="str">
        <x:v>RETAIL</x:v>
      </x:c>
      <x:c r="G655" s="30" t="str">
        <x:v>Inventory Controls</x:v>
      </x:c>
      <x:c r="H655" s="30" t="str">
        <x:v>Yes</x:v>
      </x:c>
      <x:c r="I655" s="30" t="str">
        <x:v>Normalized from approved Pharmacy Delta Audit Procedure Master.</x:v>
      </x:c>
    </x:row>
    <x:row r="656">
      <x:c r="A656" s="30" t="str">
        <x:v>RAUD134</x:v>
      </x:c>
      <x:c r="B656" s="30" t="str">
        <x:v>RCOMP134</x:v>
      </x:c>
      <x:c r="C656" s="30" t="str">
        <x:v>Verify independent medicine selection verification before packaging, including product, batch, expiry, quantity, and pharmacist confirmation.</x:v>
      </x:c>
      <x:c r="D656" s="30" t="str">
        <x:v>Document Review</x:v>
      </x:c>
      <x:c r="E656" s="30" t="str">
        <x:v>Quarterly</x:v>
      </x:c>
      <x:c r="F656" s="30" t="str">
        <x:v>RETAIL</x:v>
      </x:c>
      <x:c r="G656" s="30" t="str">
        <x:v>Personnel Competency</x:v>
      </x:c>
      <x:c r="H656" s="30" t="str">
        <x:v>Yes</x:v>
      </x:c>
      <x:c r="I656" s="30" t="str">
        <x:v>Normalized from approved Pharmacy Delta Audit Procedure Master.</x:v>
      </x:c>
    </x:row>
    <x:row r="657">
      <x:c r="A657" s="30" t="str">
        <x:v>RAUD135</x:v>
      </x:c>
      <x:c r="B657" s="30" t="str">
        <x:v>RCOMP135</x:v>
      </x:c>
      <x:c r="C657" s="30" t="str">
        <x:v>Review pharmacy response to critical regulatory safety alerts, including stock quarantine, communication, corrective actions, and documented closure.</x:v>
      </x:c>
      <x:c r="D657" s="30" t="str">
        <x:v>Document Review</x:v>
      </x:c>
      <x:c r="E657" s="30" t="str">
        <x:v>Annual</x:v>
      </x:c>
      <x:c r="F657" s="30" t="str">
        <x:v>RETAIL</x:v>
      </x:c>
      <x:c r="G657" s="30" t="str">
        <x:v>Inventory Controls</x:v>
      </x:c>
      <x:c r="H657" s="30" t="str">
        <x:v>Yes</x:v>
      </x:c>
      <x:c r="I657" s="30" t="str">
        <x:v>Normalized from approved Pharmacy Delta Audit Procedure Master.</x:v>
      </x:c>
    </x:row>
    <x:row r="658">
      <x:c r="A658" s="30" t="str">
        <x:v>RAUD136</x:v>
      </x:c>
      <x:c r="B658" s="30" t="str">
        <x:v>RCOMP136</x:v>
      </x:c>
      <x:c r="C658" s="30" t="str">
        <x:v>Audit electronic token management systems for token generation, customer call sequence, cancellation handling, and audit trail completeness.</x:v>
      </x:c>
      <x:c r="D658" s="30" t="str">
        <x:v>System Verification</x:v>
      </x:c>
      <x:c r="E658" s="30" t="str">
        <x:v>Quarterly</x:v>
      </x:c>
      <x:c r="F658" s="30" t="str">
        <x:v>RETAIL</x:v>
      </x:c>
      <x:c r="G658" s="30" t="str">
        <x:v>Digital Controls</x:v>
      </x:c>
      <x:c r="H658" s="30" t="str">
        <x:v>Yes</x:v>
      </x:c>
      <x:c r="I658" s="30" t="str">
        <x:v>Normalized from approved Pharmacy Delta Audit Procedure Master.</x:v>
      </x:c>
    </x:row>
    <x:row r="659">
      <x:c r="A659" s="30" t="str">
        <x:v>RAUD137</x:v>
      </x:c>
      <x:c r="B659" s="30" t="str">
        <x:v>RCOMP137</x:v>
      </x:c>
      <x:c r="C659" s="30" t="str">
        <x:v>Review inventory trend analyses to verify identification of recurring discrepancies, trend reporting, and implementation of preventive actions.</x:v>
      </x:c>
      <x:c r="D659" s="30" t="str">
        <x:v>Document Review</x:v>
      </x:c>
      <x:c r="E659" s="30" t="str">
        <x:v>Quarterly</x:v>
      </x:c>
      <x:c r="F659" s="30" t="str">
        <x:v>RETAIL</x:v>
      </x:c>
      <x:c r="G659" s="30" t="str">
        <x:v>Inventory Controls</x:v>
      </x:c>
      <x:c r="H659" s="30" t="str">
        <x:v>Yes</x:v>
      </x:c>
      <x:c r="I659" s="30" t="str">
        <x:v>Normalized from approved Pharmacy Delta Audit Procedure Master.</x:v>
      </x:c>
    </x:row>
    <x:row r="660">
      <x:c r="A660" s="30" t="str">
        <x:v>RAUD138</x:v>
      </x:c>
      <x:c r="B660" s="30" t="str">
        <x:v>RCOMP138</x:v>
      </x:c>
      <x:c r="C660" s="30" t="str">
        <x:v>Audit cybersecurity incident management including detection, classification, investigation, containment, recovery, and lessons learned.</x:v>
      </x:c>
      <x:c r="D660" s="30" t="str">
        <x:v>Document Review</x:v>
      </x:c>
      <x:c r="E660" s="30" t="str">
        <x:v>Quarterly</x:v>
      </x:c>
      <x:c r="F660" s="30" t="str">
        <x:v>RETAIL</x:v>
      </x:c>
      <x:c r="G660" s="30" t="str">
        <x:v>General Compliance</x:v>
      </x:c>
      <x:c r="H660" s="30" t="str">
        <x:v>Yes</x:v>
      </x:c>
      <x:c r="I660" s="30" t="str">
        <x:v>Normalized from approved Pharmacy Delta Audit Procedure Master.</x:v>
      </x:c>
    </x:row>
    <x:row r="661">
      <x:c r="A661" s="30" t="str">
        <x:v>RAUD139</x:v>
      </x:c>
      <x:c r="B661" s="30" t="str">
        <x:v>RCOMP139</x:v>
      </x:c>
      <x:c r="C661" s="30" t="str">
        <x:v>Verify customer notification procedures for medicine safety alerts, ensuring timely communication, confidentiality, and complete documentation.</x:v>
      </x:c>
      <x:c r="D661" s="30" t="str">
        <x:v>Document Review</x:v>
      </x:c>
      <x:c r="E661" s="30" t="str">
        <x:v>Quarterly</x:v>
      </x:c>
      <x:c r="F661" s="30" t="str">
        <x:v>RETAIL</x:v>
      </x:c>
      <x:c r="G661" s="30" t="str">
        <x:v>Consumer Protection</x:v>
      </x:c>
      <x:c r="H661" s="30" t="str">
        <x:v>Yes</x:v>
      </x:c>
      <x:c r="I661" s="30" t="str">
        <x:v>Normalized from approved Pharmacy Delta Audit Procedure Master.</x:v>
      </x:c>
    </x:row>
    <x:row r="662">
      <x:c r="A662" s="30" t="str">
        <x:v>RAUD140</x:v>
      </x:c>
      <x:c r="B662" s="30" t="str">
        <x:v>RCOMP140</x:v>
      </x:c>
      <x:c r="C662" s="30" t="str">
        <x:v>Review compliance dashboards to verify KPI accuracy, regulatory reporting, trend analysis, management review, and follow-up of corrective actions.</x:v>
      </x:c>
      <x:c r="D662" s="30" t="str">
        <x:v>Document Review</x:v>
      </x:c>
      <x:c r="E662" s="30" t="str">
        <x:v>Quarterly</x:v>
      </x:c>
      <x:c r="F662" s="30" t="str">
        <x:v>RETAIL</x:v>
      </x:c>
      <x:c r="G662" s="30" t="str">
        <x:v>General Compliance</x:v>
      </x:c>
      <x:c r="H662" s="30" t="str">
        <x:v>Yes</x:v>
      </x:c>
      <x:c r="I662" s="30" t="str">
        <x:v>Normalized from approved Pharmacy Delta Audit Procedure Master.</x:v>
      </x:c>
    </x:row>
    <x:row r="663">
      <x:c r="A663" s="30" t="str">
        <x:v>RAUD141</x:v>
      </x:c>
      <x:c r="B663" s="30" t="str">
        <x:v>RCOMP141</x:v>
      </x:c>
      <x:c r="C663" s="30" t="str">
        <x:v>Verify daily physical verification of controlled medicine inventory by reconciling physical stock, dispensing records, and statutory registers. Investigate discrepancies.</x:v>
      </x:c>
      <x:c r="D663" s="30" t="str">
        <x:v>Reconciliation</x:v>
      </x:c>
      <x:c r="E663" s="30" t="str">
        <x:v>Monthly</x:v>
      </x:c>
      <x:c r="F663" s="30" t="str">
        <x:v>RETAIL</x:v>
      </x:c>
      <x:c r="G663" s="30" t="str">
        <x:v>Inventory Controls</x:v>
      </x:c>
      <x:c r="H663" s="30" t="str">
        <x:v>Yes</x:v>
      </x:c>
      <x:c r="I663" s="30" t="str">
        <x:v>Normalized from approved Pharmacy Delta Audit Procedure Master.</x:v>
      </x:c>
    </x:row>
    <x:row r="664">
      <x:c r="A664" s="30" t="str">
        <x:v>RAUD142</x:v>
      </x:c>
      <x:c r="B664" s="30" t="str">
        <x:v>RCOMP142</x:v>
      </x:c>
      <x:c r="C664" s="30" t="str">
        <x:v>Review prescription expiry alerts to verify system configuration, pharmacist action, and prevention of dispensing against expired prescriptions.</x:v>
      </x:c>
      <x:c r="D664" s="30" t="str">
        <x:v>System Verification</x:v>
      </x:c>
      <x:c r="E664" s="30" t="str">
        <x:v>Quarterly</x:v>
      </x:c>
      <x:c r="F664" s="30" t="str">
        <x:v>RETAIL</x:v>
      </x:c>
      <x:c r="G664" s="30" t="str">
        <x:v>Personnel Competency</x:v>
      </x:c>
      <x:c r="H664" s="30" t="str">
        <x:v>Yes</x:v>
      </x:c>
      <x:c r="I664" s="30" t="str">
        <x:v>Normalized from approved Pharmacy Delta Audit Procedure Master.</x:v>
      </x:c>
    </x:row>
    <x:row r="665">
      <x:c r="A665" s="30" t="str">
        <x:v>RAUD143</x:v>
      </x:c>
      <x:c r="B665" s="30" t="str">
        <x:v>RCOMP143</x:v>
      </x:c>
      <x:c r="C665" s="30" t="str">
        <x:v>Audit API integrations to verify authentication, encryption, security testing, access logs, change approvals, and penetration testing results.</x:v>
      </x:c>
      <x:c r="D665" s="30" t="str">
        <x:v>Sampling</x:v>
      </x:c>
      <x:c r="E665" s="30" t="str">
        <x:v>Annual</x:v>
      </x:c>
      <x:c r="F665" s="30" t="str">
        <x:v>RETAIL</x:v>
      </x:c>
      <x:c r="G665" s="30" t="str">
        <x:v>Recordkeeping</x:v>
      </x:c>
      <x:c r="H665" s="30" t="str">
        <x:v>Yes</x:v>
      </x:c>
      <x:c r="I665" s="30" t="str">
        <x:v>Normalized from approved Pharmacy Delta Audit Procedure Master.</x:v>
      </x:c>
    </x:row>
    <x:row r="666">
      <x:c r="A666" s="30" t="str">
        <x:v>RAUD144</x:v>
      </x:c>
      <x:c r="B666" s="30" t="str">
        <x:v>RCOMP144</x:v>
      </x:c>
      <x:c r="C666" s="30" t="str">
        <x:v>Verify dual verification procedures for organization-defined high-risk medicines before customer handover.</x:v>
      </x:c>
      <x:c r="D666" s="30" t="str">
        <x:v>Document Review</x:v>
      </x:c>
      <x:c r="E666" s="30" t="str">
        <x:v>Quarterly</x:v>
      </x:c>
      <x:c r="F666" s="30" t="str">
        <x:v>RETAIL</x:v>
      </x:c>
      <x:c r="G666" s="30" t="str">
        <x:v>Consumer Protection</x:v>
      </x:c>
      <x:c r="H666" s="30" t="str">
        <x:v>Yes</x:v>
      </x:c>
      <x:c r="I666" s="30" t="str">
        <x:v>Normalized from approved Pharmacy Delta Audit Procedure Master.</x:v>
      </x:c>
    </x:row>
    <x:row r="667">
      <x:c r="A667" s="30" t="str">
        <x:v>RAUD145</x:v>
      </x:c>
      <x:c r="B667" s="30" t="str">
        <x:v>RCOMP145</x:v>
      </x:c>
      <x:c r="C667" s="30" t="str">
        <x:v>Review evaluation of regulatory safety communications including impact assessment, implementation plans, staff communication, and completion evidence.</x:v>
      </x:c>
      <x:c r="D667" s="30" t="str">
        <x:v>Document Review</x:v>
      </x:c>
      <x:c r="E667" s="30" t="str">
        <x:v>Quarterly</x:v>
      </x:c>
      <x:c r="F667" s="30" t="str">
        <x:v>RETAIL</x:v>
      </x:c>
      <x:c r="G667" s="30" t="str">
        <x:v>Personnel Competency</x:v>
      </x:c>
      <x:c r="H667" s="30" t="str">
        <x:v>Yes</x:v>
      </x:c>
      <x:c r="I667" s="30" t="str">
        <x:v>Normalized from approved Pharmacy Delta Audit Procedure Master.</x:v>
      </x:c>
    </x:row>
    <x:row r="668">
      <x:c r="A668" s="30" t="str">
        <x:v>RAUD146</x:v>
      </x:c>
      <x:c r="B668" s="30" t="str">
        <x:v>RCOMP146</x:v>
      </x:c>
      <x:c r="C668" s="30" t="str">
        <x:v>Verify reconciliation of digital payment transactions including failed, duplicate, reversed, and unmatched transactions with supporting investigations.</x:v>
      </x:c>
      <x:c r="D668" s="30" t="str">
        <x:v>Reconciliation</x:v>
      </x:c>
      <x:c r="E668" s="30" t="str">
        <x:v>Monthly</x:v>
      </x:c>
      <x:c r="F668" s="30" t="str">
        <x:v>RETAIL</x:v>
      </x:c>
      <x:c r="G668" s="30" t="str">
        <x:v>Billing Controls</x:v>
      </x:c>
      <x:c r="H668" s="30" t="str">
        <x:v>Yes</x:v>
      </x:c>
      <x:c r="I668" s="30" t="str">
        <x:v>Normalized from approved Pharmacy Delta Audit Procedure Master.</x:v>
      </x:c>
    </x:row>
    <x:row r="669">
      <x:c r="A669" s="30" t="str">
        <x:v>RAUD147</x:v>
      </x:c>
      <x:c r="B669" s="30" t="str">
        <x:v>RCOMP147</x:v>
      </x:c>
      <x:c r="C669" s="30" t="str">
        <x:v>Review escalation procedures for inventory shortages, theft, or unexplained losses and verify timely investigation and closure.</x:v>
      </x:c>
      <x:c r="D669" s="30" t="str">
        <x:v>Document Review</x:v>
      </x:c>
      <x:c r="E669" s="30" t="str">
        <x:v>Quarterly</x:v>
      </x:c>
      <x:c r="F669" s="30" t="str">
        <x:v>RETAIL</x:v>
      </x:c>
      <x:c r="G669" s="30" t="str">
        <x:v>Inventory Controls</x:v>
      </x:c>
      <x:c r="H669" s="30" t="str">
        <x:v>Yes</x:v>
      </x:c>
      <x:c r="I669" s="30" t="str">
        <x:v>Normalized from approved Pharmacy Delta Audit Procedure Master.</x:v>
      </x:c>
    </x:row>
    <x:row r="670">
      <x:c r="A670" s="30" t="str">
        <x:v>RAUD148</x:v>
      </x:c>
      <x:c r="B670" s="30" t="str">
        <x:v>RCOMP148</x:v>
      </x:c>
      <x:c r="C670" s="30" t="str">
        <x:v>Audit privileged user monitoring, administrative access reviews, anomaly investigations, and evidence retention.</x:v>
      </x:c>
      <x:c r="D670" s="30" t="str">
        <x:v>Document Review</x:v>
      </x:c>
      <x:c r="E670" s="30" t="str">
        <x:v>Quarterly</x:v>
      </x:c>
      <x:c r="F670" s="30" t="str">
        <x:v>RETAIL</x:v>
      </x:c>
      <x:c r="G670" s="30" t="str">
        <x:v>General Compliance</x:v>
      </x:c>
      <x:c r="H670" s="30" t="str">
        <x:v>Yes</x:v>
      </x:c>
      <x:c r="I670" s="30" t="str">
        <x:v>Normalized from approved Pharmacy Delta Audit Procedure Master.</x:v>
      </x:c>
    </x:row>
    <x:row r="671">
      <x:c r="A671" s="30" t="str">
        <x:v>RAUD149</x:v>
      </x:c>
      <x:c r="B671" s="30" t="str">
        <x:v>RCOMP149</x:v>
      </x:c>
      <x:c r="C671" s="30" t="str">
        <x:v>Inspect seasonal disease prevention displays, immunization campaigns, outbreak advisories, and verify current approved public health information is displayed.</x:v>
      </x:c>
      <x:c r="D671" s="30" t="str">
        <x:v>Physical Inspection</x:v>
      </x:c>
      <x:c r="E671" s="30" t="str">
        <x:v>Quarterly</x:v>
      </x:c>
      <x:c r="F671" s="30" t="str">
        <x:v>RETAIL</x:v>
      </x:c>
      <x:c r="G671" s="30" t="str">
        <x:v>Inspection &amp; Display Controls</x:v>
      </x:c>
      <x:c r="H671" s="30" t="str">
        <x:v>Yes</x:v>
      </x:c>
      <x:c r="I671" s="30" t="str">
        <x:v>Normalized from approved Pharmacy Delta Audit Procedure Master.</x:v>
      </x:c>
    </x:row>
    <x:row r="672">
      <x:c r="A672" s="30" t="str">
        <x:v>RAUD150</x:v>
      </x:c>
      <x:c r="B672" s="30" t="str">
        <x:v>RCOMP150</x:v>
      </x:c>
      <x:c r="C672" s="30" t="str">
        <x:v>Review the Regulatory Assurance Programme for implementation status, governance oversight, periodic reviews, and continuous improvement initiatives.</x:v>
      </x:c>
      <x:c r="D672" s="30" t="str">
        <x:v>Document Review</x:v>
      </x:c>
      <x:c r="E672" s="30" t="str">
        <x:v>Annual</x:v>
      </x:c>
      <x:c r="F672" s="30" t="str">
        <x:v>RETAIL</x:v>
      </x:c>
      <x:c r="G672" s="30" t="str">
        <x:v>General Compliance</x:v>
      </x:c>
      <x:c r="H672" s="30" t="str">
        <x:v>Yes</x:v>
      </x:c>
      <x:c r="I672" s="30" t="str">
        <x:v>Normalized from approved Pharmacy Delta Audit Procedure Master.</x:v>
      </x:c>
    </x:row>
    <x:row r="673">
      <x:c r="A673" s="30" t="str">
        <x:v>RAUD151</x:v>
      </x:c>
      <x:c r="B673" s="30" t="str">
        <x:v>RCOMP151</x:v>
      </x:c>
      <x:c r="C673" s="30" t="str">
        <x:v>Audit the Controlled Prescription Register for completeness, statutory compliance, reconciliation accuracy, and pharmacist sign-off.</x:v>
      </x:c>
      <x:c r="D673" s="30" t="str">
        <x:v>Reconciliation</x:v>
      </x:c>
      <x:c r="E673" s="30" t="str">
        <x:v>Monthly</x:v>
      </x:c>
      <x:c r="F673" s="30" t="str">
        <x:v>RETAIL</x:v>
      </x:c>
      <x:c r="G673" s="30" t="str">
        <x:v>Personnel Competency</x:v>
      </x:c>
      <x:c r="H673" s="30" t="str">
        <x:v>Yes</x:v>
      </x:c>
      <x:c r="I673" s="30" t="str">
        <x:v>Normalized from approved Pharmacy Delta Audit Procedure Master.</x:v>
      </x:c>
    </x:row>
    <x:row r="674">
      <x:c r="A674" s="30" t="str">
        <x:v>RAUD152</x:v>
      </x:c>
      <x:c r="B674" s="30" t="str">
        <x:v>RCOMP152</x:v>
      </x:c>
      <x:c r="C674" s="30" t="str">
        <x:v>Verify duplicate dispensing prevention controls by reviewing repeat prescription checks, dispensing history, and pharmacist documentation.</x:v>
      </x:c>
      <x:c r="D674" s="30" t="str">
        <x:v>Document Review</x:v>
      </x:c>
      <x:c r="E674" s="30" t="str">
        <x:v>Quarterly</x:v>
      </x:c>
      <x:c r="F674" s="30" t="str">
        <x:v>RETAIL</x:v>
      </x:c>
      <x:c r="G674" s="30" t="str">
        <x:v>Personnel Competency</x:v>
      </x:c>
      <x:c r="H674" s="30" t="str">
        <x:v>Yes</x:v>
      </x:c>
      <x:c r="I674" s="30" t="str">
        <x:v>Normalized from approved Pharmacy Delta Audit Procedure Master.</x:v>
      </x:c>
    </x:row>
    <x:row r="675">
      <x:c r="A675" s="30" t="str">
        <x:v>RAUD153</x:v>
      </x:c>
      <x:c r="B675" s="30" t="str">
        <x:v>RCOMP153</x:v>
      </x:c>
      <x:c r="C675" s="30" t="str">
        <x:v>Review workflow audit trails covering prescription receipt, review, dispensing, billing, approvals, and customer handover for completeness and integrity.</x:v>
      </x:c>
      <x:c r="D675" s="30" t="str">
        <x:v>Document Review</x:v>
      </x:c>
      <x:c r="E675" s="30" t="str">
        <x:v>Half Yearly</x:v>
      </x:c>
      <x:c r="F675" s="30" t="str">
        <x:v>RETAIL</x:v>
      </x:c>
      <x:c r="G675" s="30" t="str">
        <x:v>Prescription Controls</x:v>
      </x:c>
      <x:c r="H675" s="30" t="str">
        <x:v>Yes</x:v>
      </x:c>
      <x:c r="I675" s="30" t="str">
        <x:v>Normalized from approved Pharmacy Delta Audit Procedure Master.</x:v>
      </x:c>
    </x:row>
    <x:row r="676">
      <x:c r="A676" s="30" t="str">
        <x:v>RAUD154</x:v>
      </x:c>
      <x:c r="B676" s="30" t="str">
        <x:v>RCOMP154</x:v>
      </x:c>
      <x:c r="C676" s="30" t="str">
        <x:v>Verify medicine quantity reconciliation by comparing prescription quantities, billing records, inventory deductions, and medicines supplied.</x:v>
      </x:c>
      <x:c r="D676" s="30" t="str">
        <x:v>Reconciliation</x:v>
      </x:c>
      <x:c r="E676" s="30" t="str">
        <x:v>Quarterly</x:v>
      </x:c>
      <x:c r="F676" s="30" t="str">
        <x:v>RETAIL</x:v>
      </x:c>
      <x:c r="G676" s="30" t="str">
        <x:v>Prescription Controls</x:v>
      </x:c>
      <x:c r="H676" s="30" t="str">
        <x:v>Yes</x:v>
      </x:c>
      <x:c r="I676" s="30" t="str">
        <x:v>Normalized from approved Pharmacy Delta Audit Procedure Master.</x:v>
      </x:c>
    </x:row>
    <x:row r="677">
      <x:c r="A677" s="30" t="str">
        <x:v>RAUD155</x:v>
      </x:c>
      <x:c r="B677" s="30" t="str">
        <x:v>RCOMP155</x:v>
      </x:c>
      <x:c r="C677" s="30" t="str">
        <x:v>Review regulatory inspection support activities to verify timely production of requested records, observation tracking, and CAPA closure.</x:v>
      </x:c>
      <x:c r="D677" s="30" t="str">
        <x:v>Physical Inspection</x:v>
      </x:c>
      <x:c r="E677" s="30" t="str">
        <x:v>Annual</x:v>
      </x:c>
      <x:c r="F677" s="30" t="str">
        <x:v>RETAIL</x:v>
      </x:c>
      <x:c r="G677" s="30" t="str">
        <x:v>Inspection &amp; Display Controls</x:v>
      </x:c>
      <x:c r="H677" s="30" t="str">
        <x:v>Yes</x:v>
      </x:c>
      <x:c r="I677" s="30" t="str">
        <x:v>Normalized from approved Pharmacy Delta Audit Procedure Master.</x:v>
      </x:c>
    </x:row>
    <x:row r="678">
      <x:c r="A678" s="30" t="str">
        <x:v>RAUD156</x:v>
      </x:c>
      <x:c r="B678" s="30" t="str">
        <x:v>RCOMP156</x:v>
      </x:c>
      <x:c r="C678" s="30" t="str">
        <x:v>Audit pharmacy self-service kiosks to verify user authentication, privacy controls, transaction logging, and secure operation.</x:v>
      </x:c>
      <x:c r="D678" s="30" t="str">
        <x:v>Record Verification</x:v>
      </x:c>
      <x:c r="E678" s="30" t="str">
        <x:v>Annual</x:v>
      </x:c>
      <x:c r="F678" s="30" t="str">
        <x:v>RETAIL</x:v>
      </x:c>
      <x:c r="G678" s="30" t="str">
        <x:v>Recordkeeping</x:v>
      </x:c>
      <x:c r="H678" s="30" t="str">
        <x:v>Yes</x:v>
      </x:c>
      <x:c r="I678" s="30" t="str">
        <x:v>Normalized from approved Pharmacy Delta Audit Procedure Master.</x:v>
      </x:c>
    </x:row>
    <x:row r="679">
      <x:c r="A679" s="30" t="str">
        <x:v>RAUD157</x:v>
      </x:c>
      <x:c r="B679" s="30" t="str">
        <x:v>RCOMP157</x:v>
      </x:c>
      <x:c r="C679" s="30" t="str">
        <x:v>Review investigations into material inventory losses to verify root cause analysis, management approval, CAPA implementation, and effectiveness review.</x:v>
      </x:c>
      <x:c r="D679" s="30" t="str">
        <x:v>Document Review</x:v>
      </x:c>
      <x:c r="E679" s="30" t="str">
        <x:v>Quarterly</x:v>
      </x:c>
      <x:c r="F679" s="30" t="str">
        <x:v>RETAIL</x:v>
      </x:c>
      <x:c r="G679" s="30" t="str">
        <x:v>Inventory Controls</x:v>
      </x:c>
      <x:c r="H679" s="30" t="str">
        <x:v>Yes</x:v>
      </x:c>
      <x:c r="I679" s="30" t="str">
        <x:v>Normalized from approved Pharmacy Delta Audit Procedure Master.</x:v>
      </x:c>
    </x:row>
    <x:row r="680">
      <x:c r="A680" s="30" t="str">
        <x:v>RAUD158</x:v>
      </x:c>
      <x:c r="B680" s="30" t="str">
        <x:v>RCOMP158</x:v>
      </x:c>
      <x:c r="C680" s="30" t="str">
        <x:v>Verify disaster recovery testing by reviewing recovery objectives, restoration success, integrity validation, and management approval.</x:v>
      </x:c>
      <x:c r="D680" s="30" t="str">
        <x:v>Sampling</x:v>
      </x:c>
      <x:c r="E680" s="30" t="str">
        <x:v>Annual</x:v>
      </x:c>
      <x:c r="F680" s="30" t="str">
        <x:v>RETAIL</x:v>
      </x:c>
      <x:c r="G680" s="30" t="str">
        <x:v>General Compliance</x:v>
      </x:c>
      <x:c r="H680" s="30" t="str">
        <x:v>Yes</x:v>
      </x:c>
      <x:c r="I680" s="30" t="str">
        <x:v>Normalized from approved Pharmacy Delta Audit Procedure Master.</x:v>
      </x:c>
    </x:row>
    <x:row r="681">
      <x:c r="A681" s="30" t="str">
        <x:v>RAUD159</x:v>
      </x:c>
      <x:c r="B681" s="30" t="str">
        <x:v>RCOMP159</x:v>
      </x:c>
      <x:c r="C681" s="30" t="str">
        <x:v>Audit community outreach programmes to verify approved educational materials, pharmacist supervision, attendance records, programme outcomes, and management review.</x:v>
      </x:c>
      <x:c r="D681" s="30" t="str">
        <x:v>Record Verification</x:v>
      </x:c>
      <x:c r="E681" s="30" t="str">
        <x:v>Annual</x:v>
      </x:c>
      <x:c r="F681" s="30" t="str">
        <x:v>RETAIL</x:v>
      </x:c>
      <x:c r="G681" s="30" t="str">
        <x:v>Personnel Competency</x:v>
      </x:c>
      <x:c r="H681" s="30" t="str">
        <x:v>Yes</x:v>
      </x:c>
      <x:c r="I681" s="30" t="str">
        <x:v>Normalized from approved Pharmacy Delta Audit Procedure Master.</x:v>
      </x:c>
    </x:row>
    <x:row r="682">
      <x:c r="A682" s="30" t="str">
        <x:v>RAUD160</x:v>
      </x:c>
      <x:c r="B682" s="30" t="str">
        <x:v>RCOMP160</x:v>
      </x:c>
      <x:c r="C682" s="30" t="str">
        <x:v>Review enterprise compliance monitoring reports to verify KPI monitoring, incident analysis, audit findings, inspection outcomes, CAPA status, and management reporting.</x:v>
      </x:c>
      <x:c r="D682" s="30" t="str">
        <x:v>Physical Inspection</x:v>
      </x:c>
      <x:c r="E682" s="30" t="str">
        <x:v>Quarterly</x:v>
      </x:c>
      <x:c r="F682" s="30" t="str">
        <x:v>RETAIL</x:v>
      </x:c>
      <x:c r="G682" s="30" t="str">
        <x:v>Inspection &amp; Display Controls</x:v>
      </x:c>
      <x:c r="H682" s="30" t="str">
        <x:v>Yes</x:v>
      </x:c>
      <x:c r="I682" s="30" t="str">
        <x:v>Normalized from approved Pharmacy Delta Audit Procedure Master.</x:v>
      </x:c>
    </x:row>
    <x:row r="683">
      <x:c r="A683" s="30" t="str">
        <x:v>RAUD161</x:v>
      </x:c>
      <x:c r="B683" s="30" t="str">
        <x:v>RCOMP161</x:v>
      </x:c>
      <x:c r="C683" s="30" t="str">
        <x:v>Review investigations of suspected forged, altered, duplicated, or fraudulent prescriptions to verify pharmacist actions, escalation, and case closure.</x:v>
      </x:c>
      <x:c r="D683" s="30" t="str">
        <x:v>Document Review</x:v>
      </x:c>
      <x:c r="E683" s="30" t="str">
        <x:v>Quarterly</x:v>
      </x:c>
      <x:c r="F683" s="30" t="str">
        <x:v>RETAIL</x:v>
      </x:c>
      <x:c r="G683" s="30" t="str">
        <x:v>Personnel Competency</x:v>
      </x:c>
      <x:c r="H683" s="30" t="str">
        <x:v>Yes</x:v>
      </x:c>
      <x:c r="I683" s="30" t="str">
        <x:v>Normalized from approved Pharmacy Delta Audit Procedure Master.</x:v>
      </x:c>
    </x:row>
    <x:row r="684">
      <x:c r="A684" s="30" t="str">
        <x:v>RAUD162</x:v>
      </x:c>
      <x:c r="B684" s="30" t="str">
        <x:v>RCOMP162</x:v>
      </x:c>
      <x:c r="C684" s="30" t="str">
        <x:v>Verify pharmacist shift handover documentation covering pending prescriptions, controlled medicines, incidents, temperature deviations, and unresolved compliance matters.</x:v>
      </x:c>
      <x:c r="D684" s="30" t="str">
        <x:v>Document Review</x:v>
      </x:c>
      <x:c r="E684" s="30" t="str">
        <x:v>Monthly</x:v>
      </x:c>
      <x:c r="F684" s="30" t="str">
        <x:v>RETAIL</x:v>
      </x:c>
      <x:c r="G684" s="30" t="str">
        <x:v>Personnel Competency</x:v>
      </x:c>
      <x:c r="H684" s="30" t="str">
        <x:v>Yes</x:v>
      </x:c>
      <x:c r="I684" s="30" t="str">
        <x:v>Normalized from approved Pharmacy Delta Audit Procedure Master.</x:v>
      </x:c>
    </x:row>
    <x:row r="685">
      <x:c r="A685" s="30" t="str">
        <x:v>RAUD163</x:v>
      </x:c>
      <x:c r="B685" s="30" t="str">
        <x:v>RCOMP163</x:v>
      </x:c>
      <x:c r="C685" s="30" t="str">
        <x:v>Audit cloud-hosted pharmacy systems to verify encryption, access management, backup controls, vendor compliance, and security monitoring.</x:v>
      </x:c>
      <x:c r="D685" s="30" t="str">
        <x:v>System Verification</x:v>
      </x:c>
      <x:c r="E685" s="30" t="str">
        <x:v>Annual</x:v>
      </x:c>
      <x:c r="F685" s="30" t="str">
        <x:v>RETAIL</x:v>
      </x:c>
      <x:c r="G685" s="30" t="str">
        <x:v>Digital Controls</x:v>
      </x:c>
      <x:c r="H685" s="30" t="str">
        <x:v>Yes</x:v>
      </x:c>
      <x:c r="I685" s="30" t="str">
        <x:v>Normalized from approved Pharmacy Delta Audit Procedure Master.</x:v>
      </x:c>
    </x:row>
    <x:row r="686">
      <x:c r="A686" s="30" t="str">
        <x:v>RAUD164</x:v>
      </x:c>
      <x:c r="B686" s="30" t="str">
        <x:v>RCOMP164</x:v>
      </x:c>
      <x:c r="C686" s="30" t="str">
        <x:v>Verify packaging verification controls covering product identity, quantity, labels, storage conditions, and pharmacist approval before dispatch.</x:v>
      </x:c>
      <x:c r="D686" s="30" t="str">
        <x:v>Document Review</x:v>
      </x:c>
      <x:c r="E686" s="30" t="str">
        <x:v>Quarterly</x:v>
      </x:c>
      <x:c r="F686" s="30" t="str">
        <x:v>RETAIL</x:v>
      </x:c>
      <x:c r="G686" s="30" t="str">
        <x:v>Personnel Competency</x:v>
      </x:c>
      <x:c r="H686" s="30" t="str">
        <x:v>Yes</x:v>
      </x:c>
      <x:c r="I686" s="30" t="str">
        <x:v>Normalized from approved Pharmacy Delta Audit Procedure Master.</x:v>
      </x:c>
    </x:row>
    <x:row r="687">
      <x:c r="A687" s="30" t="str">
        <x:v>RAUD165</x:v>
      </x:c>
      <x:c r="B687" s="30" t="str">
        <x:v>RCOMP165</x:v>
      </x:c>
      <x:c r="C687" s="30" t="str">
        <x:v>Review assignment, tracking, effectiveness verification, and management closure of regulatory inspection observations.</x:v>
      </x:c>
      <x:c r="D687" s="30" t="str">
        <x:v>Physical Inspection</x:v>
      </x:c>
      <x:c r="E687" s="30" t="str">
        <x:v>Quarterly</x:v>
      </x:c>
      <x:c r="F687" s="30" t="str">
        <x:v>RETAIL</x:v>
      </x:c>
      <x:c r="G687" s="30" t="str">
        <x:v>Inspection &amp; Display Controls</x:v>
      </x:c>
      <x:c r="H687" s="30" t="str">
        <x:v>Yes</x:v>
      </x:c>
      <x:c r="I687" s="30" t="str">
        <x:v>Normalized from approved Pharmacy Delta Audit Procedure Master.</x:v>
      </x:c>
    </x:row>
    <x:row r="688">
      <x:c r="A688" s="30" t="str">
        <x:v>RAUD166</x:v>
      </x:c>
      <x:c r="B688" s="30" t="str">
        <x:v>RCOMP166</x:v>
      </x:c>
      <x:c r="C688" s="30" t="str">
        <x:v>Audit customer profile management including periodic reviews, controlled access, privacy protection, and data accuracy.</x:v>
      </x:c>
      <x:c r="D688" s="30" t="str">
        <x:v>Document Review</x:v>
      </x:c>
      <x:c r="E688" s="30" t="str">
        <x:v>Annual</x:v>
      </x:c>
      <x:c r="F688" s="30" t="str">
        <x:v>RETAIL</x:v>
      </x:c>
      <x:c r="G688" s="30" t="str">
        <x:v>Consumer Protection</x:v>
      </x:c>
      <x:c r="H688" s="30" t="str">
        <x:v>Yes</x:v>
      </x:c>
      <x:c r="I688" s="30" t="str">
        <x:v>Normalized from approved Pharmacy Delta Audit Procedure Master.</x:v>
      </x:c>
    </x:row>
    <x:row r="689">
      <x:c r="A689" s="30" t="str">
        <x:v>RAUD167</x:v>
      </x:c>
      <x:c r="B689" s="30" t="str">
        <x:v>RCOMP167</x:v>
      </x:c>
      <x:c r="C689" s="30" t="str">
        <x:v>Review inventory accuracy KPIs, investigate deviations, evaluate corrective actions, and verify management review.</x:v>
      </x:c>
      <x:c r="D689" s="30" t="str">
        <x:v>Document Review</x:v>
      </x:c>
      <x:c r="E689" s="30" t="str">
        <x:v>Quarterly</x:v>
      </x:c>
      <x:c r="F689" s="30" t="str">
        <x:v>RETAIL</x:v>
      </x:c>
      <x:c r="G689" s="30" t="str">
        <x:v>Inventory Controls</x:v>
      </x:c>
      <x:c r="H689" s="30" t="str">
        <x:v>Yes</x:v>
      </x:c>
      <x:c r="I689" s="30" t="str">
        <x:v>Normalized from approved Pharmacy Delta Audit Procedure Master.</x:v>
      </x:c>
    </x:row>
    <x:row r="690">
      <x:c r="A690" s="30" t="str">
        <x:v>RAUD168</x:v>
      </x:c>
      <x:c r="B690" s="30" t="str">
        <x:v>RCOMP168</x:v>
      </x:c>
      <x:c r="C690" s="30" t="str">
        <x:v>Verify software patch management covering vulnerability assessment, testing, deployment approval, emergency patches, and implementation timelines.</x:v>
      </x:c>
      <x:c r="D690" s="30" t="str">
        <x:v>Sampling</x:v>
      </x:c>
      <x:c r="E690" s="30" t="str">
        <x:v>Quarterly</x:v>
      </x:c>
      <x:c r="F690" s="30" t="str">
        <x:v>RETAIL</x:v>
      </x:c>
      <x:c r="G690" s="30" t="str">
        <x:v>General Compliance</x:v>
      </x:c>
      <x:c r="H690" s="30" t="str">
        <x:v>Yes</x:v>
      </x:c>
      <x:c r="I690" s="30" t="str">
        <x:v>Normalized from approved Pharmacy Delta Audit Procedure Master.</x:v>
      </x:c>
    </x:row>
    <x:row r="691">
      <x:c r="A691" s="30" t="str">
        <x:v>RAUD169</x:v>
      </x:c>
      <x:c r="B691" s="30" t="str">
        <x:v>RCOMP169</x:v>
      </x:c>
      <x:c r="C691" s="30" t="str">
        <x:v>Review participation in government health campaigns to verify approvals, attendance, reporting, programme outcomes, and regulatory submissions.</x:v>
      </x:c>
      <x:c r="D691" s="30" t="str">
        <x:v>Document Review</x:v>
      </x:c>
      <x:c r="E691" s="30" t="str">
        <x:v>Annual</x:v>
      </x:c>
      <x:c r="F691" s="30" t="str">
        <x:v>RETAIL</x:v>
      </x:c>
      <x:c r="G691" s="30" t="str">
        <x:v>General Compliance</x:v>
      </x:c>
      <x:c r="H691" s="30" t="str">
        <x:v>Yes</x:v>
      </x:c>
      <x:c r="I691" s="30" t="str">
        <x:v>Normalized from approved Pharmacy Delta Audit Procedure Master.</x:v>
      </x:c>
    </x:row>
    <x:row r="692">
      <x:c r="A692" s="30" t="str">
        <x:v>RAUD170</x:v>
      </x:c>
      <x:c r="B692" s="30" t="str">
        <x:v>RCOMP170</x:v>
      </x:c>
      <x:c r="C692" s="30" t="str">
        <x:v>Audit the Compliance Governance Framework to verify governance structure, delegated authorities, reporting hierarchy, committee oversight, and governance review effectiveness.</x:v>
      </x:c>
      <x:c r="D692" s="30" t="str">
        <x:v>Document Review</x:v>
      </x:c>
      <x:c r="E692" s="30" t="str">
        <x:v>Annual</x:v>
      </x:c>
      <x:c r="F692" s="30" t="str">
        <x:v>RETAIL</x:v>
      </x:c>
      <x:c r="G692" s="30" t="str">
        <x:v>General Compliance</x:v>
      </x:c>
      <x:c r="H692" s="30" t="str">
        <x:v>Yes</x:v>
      </x:c>
      <x:c r="I692" s="30" t="str">
        <x:v>Normalized from approved Pharmacy Delta Audit Procedure Master.</x:v>
      </x:c>
    </x:row>
    <x:row r="693">
      <x:c r="A693" s="30" t="str">
        <x:v>RAUD171</x:v>
      </x:c>
      <x:c r="B693" s="30" t="str">
        <x:v>RCOMP171</x:v>
      </x:c>
      <x:c r="C693" s="30" t="str">
        <x:v>Verify documentation and periodic review of prescription exceptions, including incomplete prescriptions, substitutions, shortages, and pharmacist interventions.</x:v>
      </x:c>
      <x:c r="D693" s="30" t="str">
        <x:v>Document Review</x:v>
      </x:c>
      <x:c r="E693" s="30" t="str">
        <x:v>Quarterly</x:v>
      </x:c>
      <x:c r="F693" s="30" t="str">
        <x:v>RETAIL</x:v>
      </x:c>
      <x:c r="G693" s="30" t="str">
        <x:v>Personnel Competency</x:v>
      </x:c>
      <x:c r="H693" s="30" t="str">
        <x:v>Yes</x:v>
      </x:c>
      <x:c r="I693" s="30" t="str">
        <x:v>Normalized from approved Pharmacy Delta Audit Procedure Master.</x:v>
      </x:c>
    </x:row>
    <x:row r="694">
      <x:c r="A694" s="30" t="str">
        <x:v>RAUD172</x:v>
      </x:c>
      <x:c r="B694" s="30" t="str">
        <x:v>RCOMP172</x:v>
      </x:c>
      <x:c r="C694" s="30" t="str">
        <x:v>Review alternate pharmacist coverage arrangements to verify uninterrupted statutory supervision during leave, emergencies, and shift transitions.</x:v>
      </x:c>
      <x:c r="D694" s="30" t="str">
        <x:v>Document Review</x:v>
      </x:c>
      <x:c r="E694" s="30" t="str">
        <x:v>Quarterly</x:v>
      </x:c>
      <x:c r="F694" s="30" t="str">
        <x:v>RETAIL</x:v>
      </x:c>
      <x:c r="G694" s="30" t="str">
        <x:v>Personnel Competency</x:v>
      </x:c>
      <x:c r="H694" s="30" t="str">
        <x:v>Yes</x:v>
      </x:c>
      <x:c r="I694" s="30" t="str">
        <x:v>Normalized from approved Pharmacy Delta Audit Procedure Master.</x:v>
      </x:c>
    </x:row>
    <x:row r="695">
      <x:c r="A695" s="30" t="str">
        <x:v>RAUD173</x:v>
      </x:c>
      <x:c r="B695" s="30" t="str">
        <x:v>RCOMP173</x:v>
      </x:c>
      <x:c r="C695" s="30" t="str">
        <x:v>Audit automated customer communication logs to verify completeness, timestamps, delivery status, privacy protection, and audit trail integrity.</x:v>
      </x:c>
      <x:c r="D695" s="30" t="str">
        <x:v>System Verification</x:v>
      </x:c>
      <x:c r="E695" s="30" t="str">
        <x:v>Quarterly</x:v>
      </x:c>
      <x:c r="F695" s="30" t="str">
        <x:v>RETAIL</x:v>
      </x:c>
      <x:c r="G695" s="30" t="str">
        <x:v>Consumer Protection</x:v>
      </x:c>
      <x:c r="H695" s="30" t="str">
        <x:v>Yes</x:v>
      </x:c>
      <x:c r="I695" s="30" t="str">
        <x:v>Normalized from approved Pharmacy Delta Audit Procedure Master.</x:v>
      </x:c>
    </x:row>
    <x:row r="696">
      <x:c r="A696" s="30" t="str">
        <x:v>RAUD174</x:v>
      </x:c>
      <x:c r="B696" s="30" t="str">
        <x:v>RCOMP174</x:v>
      </x:c>
      <x:c r="C696" s="30" t="str">
        <x:v>Inspect refrigerated storage controls including restricted access, maintenance, cleaning, calibration, and temperature excursion management.</x:v>
      </x:c>
      <x:c r="D696" s="30" t="str">
        <x:v>Physical Inspection</x:v>
      </x:c>
      <x:c r="E696" s="30" t="str">
        <x:v>Monthly</x:v>
      </x:c>
      <x:c r="F696" s="30" t="str">
        <x:v>RETAIL</x:v>
      </x:c>
      <x:c r="G696" s="30" t="str">
        <x:v>Storage Controls</x:v>
      </x:c>
      <x:c r="H696" s="30" t="str">
        <x:v>Yes</x:v>
      </x:c>
      <x:c r="I696" s="30" t="str">
        <x:v>Normalized from approved Pharmacy Delta Audit Procedure Master.</x:v>
      </x:c>
    </x:row>
    <x:row r="697">
      <x:c r="A697" s="30" t="str">
        <x:v>RAUD175</x:v>
      </x:c>
      <x:c r="B697" s="30" t="str">
        <x:v>RCOMP175</x:v>
      </x:c>
      <x:c r="C697" s="30" t="str">
        <x:v>Verify emergency contact registers for completeness, currency, periodic review, accessibility, and emergency response readiness.</x:v>
      </x:c>
      <x:c r="D697" s="30" t="str">
        <x:v>Record Verification</x:v>
      </x:c>
      <x:c r="E697" s="30" t="str">
        <x:v>Annual</x:v>
      </x:c>
      <x:c r="F697" s="30" t="str">
        <x:v>RETAIL</x:v>
      </x:c>
      <x:c r="G697" s="30" t="str">
        <x:v>Recordkeeping</x:v>
      </x:c>
      <x:c r="H697" s="30" t="str">
        <x:v>Yes</x:v>
      </x:c>
      <x:c r="I697" s="30" t="str">
        <x:v>Normalized from approved Pharmacy Delta Audit Procedure Master.</x:v>
      </x:c>
    </x:row>
    <x:row r="698">
      <x:c r="A698" s="30" t="str">
        <x:v>RAUD176</x:v>
      </x:c>
      <x:c r="B698" s="30" t="str">
        <x:v>RCOMP176</x:v>
      </x:c>
      <x:c r="C698" s="30" t="str">
        <x:v>Review digital appointment management for scheduling accuracy, cancellations, attendance tracking, follow-up actions, and service completion.</x:v>
      </x:c>
      <x:c r="D698" s="30" t="str">
        <x:v>System Verification</x:v>
      </x:c>
      <x:c r="E698" s="30" t="str">
        <x:v>Quarterly</x:v>
      </x:c>
      <x:c r="F698" s="30" t="str">
        <x:v>RETAIL</x:v>
      </x:c>
      <x:c r="G698" s="30" t="str">
        <x:v>Digital Controls</x:v>
      </x:c>
      <x:c r="H698" s="30" t="str">
        <x:v>Yes</x:v>
      </x:c>
      <x:c r="I698" s="30" t="str">
        <x:v>Normalized from approved Pharmacy Delta Audit Procedure Master.</x:v>
      </x:c>
    </x:row>
    <x:row r="699">
      <x:c r="A699" s="30" t="str">
        <x:v>RAUD177</x:v>
      </x:c>
      <x:c r="B699" s="30" t="str">
        <x:v>RCOMP177</x:v>
      </x:c>
      <x:c r="C699" s="30" t="str">
        <x:v>Verify inventory accuracy audits by reviewing sampling methodology, stock verification procedures, discrepancy resolution, and audit conclusions.</x:v>
      </x:c>
      <x:c r="D699" s="30" t="str">
        <x:v>Record Verification</x:v>
      </x:c>
      <x:c r="E699" s="30" t="str">
        <x:v>Quarterly</x:v>
      </x:c>
      <x:c r="F699" s="30" t="str">
        <x:v>RETAIL</x:v>
      </x:c>
      <x:c r="G699" s="30" t="str">
        <x:v>Inventory Controls</x:v>
      </x:c>
      <x:c r="H699" s="30" t="str">
        <x:v>Yes</x:v>
      </x:c>
      <x:c r="I699" s="30" t="str">
        <x:v>Normalized from approved Pharmacy Delta Audit Procedure Master.</x:v>
      </x:c>
    </x:row>
    <x:row r="700">
      <x:c r="A700" s="30" t="str">
        <x:v>RAUD178</x:v>
      </x:c>
      <x:c r="B700" s="30" t="str">
        <x:v>RCOMP178</x:v>
      </x:c>
      <x:c r="C700" s="30" t="str">
        <x:v>Audit configuration management controls covering approvals, testing, deployment, version history, rollback planning, and post-change verification.</x:v>
      </x:c>
      <x:c r="D700" s="30" t="str">
        <x:v>Sampling</x:v>
      </x:c>
      <x:c r="E700" s="30" t="str">
        <x:v>Quarterly</x:v>
      </x:c>
      <x:c r="F700" s="30" t="str">
        <x:v>RETAIL</x:v>
      </x:c>
      <x:c r="G700" s="30" t="str">
        <x:v>General Compliance</x:v>
      </x:c>
      <x:c r="H700" s="30" t="str">
        <x:v>Yes</x:v>
      </x:c>
      <x:c r="I700" s="30" t="str">
        <x:v>Normalized from approved Pharmacy Delta Audit Procedure Master.</x:v>
      </x:c>
    </x:row>
    <x:row r="701">
      <x:c r="A701" s="30" t="str">
        <x:v>RAUD179</x:v>
      </x:c>
      <x:c r="B701" s="30" t="str">
        <x:v>RCOMP179</x:v>
      </x:c>
      <x:c r="C701" s="30" t="str">
        <x:v>Review public health educational materials to verify approval status, version control, periodic review, withdrawal of obsolete content, and regulatory compliance.</x:v>
      </x:c>
      <x:c r="D701" s="30" t="str">
        <x:v>Document Review</x:v>
      </x:c>
      <x:c r="E701" s="30" t="str">
        <x:v>Annual</x:v>
      </x:c>
      <x:c r="F701" s="30" t="str">
        <x:v>RETAIL</x:v>
      </x:c>
      <x:c r="G701" s="30" t="str">
        <x:v>General Compliance</x:v>
      </x:c>
      <x:c r="H701" s="30" t="str">
        <x:v>Yes</x:v>
      </x:c>
      <x:c r="I701" s="30" t="str">
        <x:v>Normalized from approved Pharmacy Delta Audit Procedure Master.</x:v>
      </x:c>
    </x:row>
    <x:row r="702">
      <x:c r="A702" s="30" t="str">
        <x:v>RAUD180</x:v>
      </x:c>
      <x:c r="B702" s="30" t="str">
        <x:v>RCOMP180</x:v>
      </x:c>
      <x:c r="C702" s="30" t="str">
        <x:v>Verify executive compliance oversight meetings covering governance, audit results, inspections, incidents, risk assessments, CAPA progress, and strategic compliance initiatives.</x:v>
      </x:c>
      <x:c r="D702" s="30" t="str">
        <x:v>Physical Inspection</x:v>
      </x:c>
      <x:c r="E702" s="30" t="str">
        <x:v>Quarterly</x:v>
      </x:c>
      <x:c r="F702" s="30" t="str">
        <x:v>RETAIL</x:v>
      </x:c>
      <x:c r="G702" s="30" t="str">
        <x:v>Inspection &amp; Display Controls</x:v>
      </x:c>
      <x:c r="H702" s="30" t="str">
        <x:v>Yes</x:v>
      </x:c>
      <x:c r="I702" s="30" t="str">
        <x:v>Normalized from approved Pharmacy Delta Audit Procedure Master.</x:v>
      </x:c>
    </x:row>
    <x:row r="703">
      <x:c r="A703" s="30" t="str">
        <x:v>RAUD181</x:v>
      </x:c>
      <x:c r="B703" s="30" t="str">
        <x:v>RCOMP181</x:v>
      </x:c>
      <x:c r="C703" s="30" t="str">
        <x:v>Review prescription turnaround time reports, investigate delays exceeding defined thresholds, and verify implementation of workflow improvements.</x:v>
      </x:c>
      <x:c r="D703" s="30" t="str">
        <x:v>Document Review</x:v>
      </x:c>
      <x:c r="E703" s="30" t="str">
        <x:v>Monthly</x:v>
      </x:c>
      <x:c r="F703" s="30" t="str">
        <x:v>RETAIL</x:v>
      </x:c>
      <x:c r="G703" s="30" t="str">
        <x:v>Prescription Controls</x:v>
      </x:c>
      <x:c r="H703" s="30" t="str">
        <x:v>Yes</x:v>
      </x:c>
      <x:c r="I703" s="30" t="str">
        <x:v>Normalized from approved Pharmacy Delta Audit Procedure Master.</x:v>
      </x:c>
    </x:row>
    <x:row r="704">
      <x:c r="A704" s="30" t="str">
        <x:v>RAUD182</x:v>
      </x:c>
      <x:c r="B704" s="30" t="str">
        <x:v>RCOMP182</x:v>
      </x:c>
      <x:c r="C704" s="30" t="str">
        <x:v>Verify delegated pharmacy activities are performed only by authorized personnel and pharmacist accountability is maintained.</x:v>
      </x:c>
      <x:c r="D704" s="30" t="str">
        <x:v>Document Review</x:v>
      </x:c>
      <x:c r="E704" s="30" t="str">
        <x:v>Quarterly</x:v>
      </x:c>
      <x:c r="F704" s="30" t="str">
        <x:v>RETAIL</x:v>
      </x:c>
      <x:c r="G704" s="30" t="str">
        <x:v>Personnel Competency</x:v>
      </x:c>
      <x:c r="H704" s="30" t="str">
        <x:v>Yes</x:v>
      </x:c>
      <x:c r="I704" s="30" t="str">
        <x:v>Normalized from approved Pharmacy Delta Audit Procedure Master.</x:v>
      </x:c>
    </x:row>
    <x:row r="705">
      <x:c r="A705" s="30" t="str">
        <x:v>RAUD183</x:v>
      </x:c>
      <x:c r="B705" s="30" t="str">
        <x:v>RCOMP183</x:v>
      </x:c>
      <x:c r="C705" s="30" t="str">
        <x:v>Audit interfaces between dispensing, billing, inventory, laboratory, and payment systems for successful data exchange, exception handling, and reconciliation.</x:v>
      </x:c>
      <x:c r="D705" s="30" t="str">
        <x:v>Reconciliation</x:v>
      </x:c>
      <x:c r="E705" s="30" t="str">
        <x:v>Quarterly</x:v>
      </x:c>
      <x:c r="F705" s="30" t="str">
        <x:v>RETAIL</x:v>
      </x:c>
      <x:c r="G705" s="30" t="str">
        <x:v>Inventory Controls</x:v>
      </x:c>
      <x:c r="H705" s="30" t="str">
        <x:v>Yes</x:v>
      </x:c>
      <x:c r="I705" s="30" t="str">
        <x:v>Normalized from approved Pharmacy Delta Audit Procedure Master.</x:v>
      </x:c>
    </x:row>
    <x:row r="706">
      <x:c r="A706" s="30" t="str">
        <x:v>RAUD184</x:v>
      </x:c>
      <x:c r="B706" s="30" t="str">
        <x:v>RCOMP184</x:v>
      </x:c>
      <x:c r="C706" s="30" t="str">
        <x:v>Verify completeness of dispensing documentation including pharmacist approval, counselling records, medicine details, and customer acknowledgement.</x:v>
      </x:c>
      <x:c r="D706" s="30" t="str">
        <x:v>Record Verification</x:v>
      </x:c>
      <x:c r="E706" s="30" t="str">
        <x:v>Quarterly</x:v>
      </x:c>
      <x:c r="F706" s="30" t="str">
        <x:v>RETAIL</x:v>
      </x:c>
      <x:c r="G706" s="30" t="str">
        <x:v>Personnel Competency</x:v>
      </x:c>
      <x:c r="H706" s="30" t="str">
        <x:v>Yes</x:v>
      </x:c>
      <x:c r="I706" s="30" t="str">
        <x:v>Normalized from approved Pharmacy Delta Audit Procedure Master.</x:v>
      </x:c>
    </x:row>
    <x:row r="707">
      <x:c r="A707" s="30" t="str">
        <x:v>RAUD185</x:v>
      </x:c>
      <x:c r="B707" s="30" t="str">
        <x:v>RCOMP185</x:v>
      </x:c>
      <x:c r="C707" s="30" t="str">
        <x:v>Review regulatory communication registers to verify ownership assignment, implementation tracking, document retention, and management review.</x:v>
      </x:c>
      <x:c r="D707" s="30" t="str">
        <x:v>Record Verification</x:v>
      </x:c>
      <x:c r="E707" s="30" t="str">
        <x:v>Quarterly</x:v>
      </x:c>
      <x:c r="F707" s="30" t="str">
        <x:v>RETAIL</x:v>
      </x:c>
      <x:c r="G707" s="30" t="str">
        <x:v>Recordkeeping</x:v>
      </x:c>
      <x:c r="H707" s="30" t="str">
        <x:v>Yes</x:v>
      </x:c>
      <x:c r="I707" s="30" t="str">
        <x:v>Normalized from approved Pharmacy Delta Audit Procedure Master.</x:v>
      </x:c>
    </x:row>
    <x:row r="708">
      <x:c r="A708" s="30" t="str">
        <x:v>RAUD186</x:v>
      </x:c>
      <x:c r="B708" s="30" t="str">
        <x:v>RCOMP186</x:v>
      </x:c>
      <x:c r="C708" s="30" t="str">
        <x:v>Verify electronic proof-of-delivery records including recipient identity, timestamps, delivery route, GPS confirmation (if applicable), and pharmacist authorization.</x:v>
      </x:c>
      <x:c r="D708" s="30" t="str">
        <x:v>Record Verification</x:v>
      </x:c>
      <x:c r="E708" s="30" t="str">
        <x:v>Quarterly</x:v>
      </x:c>
      <x:c r="F708" s="30" t="str">
        <x:v>RETAIL</x:v>
      </x:c>
      <x:c r="G708" s="30" t="str">
        <x:v>Personnel Competency</x:v>
      </x:c>
      <x:c r="H708" s="30" t="str">
        <x:v>Yes</x:v>
      </x:c>
      <x:c r="I708" s="30" t="str">
        <x:v>Normalized from approved Pharmacy Delta Audit Procedure Master.</x:v>
      </x:c>
    </x:row>
    <x:row r="709">
      <x:c r="A709" s="30" t="str">
        <x:v>RAUD187</x:v>
      </x:c>
      <x:c r="B709" s="30" t="str">
        <x:v>RCOMP187</x:v>
      </x:c>
      <x:c r="C709" s="30" t="str">
        <x:v>Review inventory turnover, ageing stock, dead stock, slow-moving medicines, and stock-out analysis together with improvement actions.</x:v>
      </x:c>
      <x:c r="D709" s="30" t="str">
        <x:v>Document Review</x:v>
      </x:c>
      <x:c r="E709" s="30" t="str">
        <x:v>Monthly</x:v>
      </x:c>
      <x:c r="F709" s="30" t="str">
        <x:v>RETAIL</x:v>
      </x:c>
      <x:c r="G709" s="30" t="str">
        <x:v>Inventory Controls</x:v>
      </x:c>
      <x:c r="H709" s="30" t="str">
        <x:v>Yes</x:v>
      </x:c>
      <x:c r="I709" s="30" t="str">
        <x:v>Normalized from approved Pharmacy Delta Audit Procedure Master.</x:v>
      </x:c>
    </x:row>
    <x:row r="710">
      <x:c r="A710" s="30" t="str">
        <x:v>RAUD188</x:v>
      </x:c>
      <x:c r="B710" s="30" t="str">
        <x:v>RCOMP188</x:v>
      </x:c>
      <x:c r="C710" s="30" t="str">
        <x:v>Audit application performance monitoring, database health, infrastructure utilization, alert management, and corrective actions.</x:v>
      </x:c>
      <x:c r="D710" s="30" t="str">
        <x:v>Document Review</x:v>
      </x:c>
      <x:c r="E710" s="30" t="str">
        <x:v>Quarterly</x:v>
      </x:c>
      <x:c r="F710" s="30" t="str">
        <x:v>RETAIL</x:v>
      </x:c>
      <x:c r="G710" s="30" t="str">
        <x:v>General Compliance</x:v>
      </x:c>
      <x:c r="H710" s="30" t="str">
        <x:v>Yes</x:v>
      </x:c>
      <x:c r="I710" s="30" t="str">
        <x:v>Normalized from approved Pharmacy Delta Audit Procedure Master.</x:v>
      </x:c>
    </x:row>
    <x:row r="711">
      <x:c r="A711" s="30" t="str">
        <x:v>RAUD189</x:v>
      </x:c>
      <x:c r="B711" s="30" t="str">
        <x:v>RCOMP189</x:v>
      </x:c>
      <x:c r="C711" s="30" t="str">
        <x:v>Review documentation supporting collaboration with public health authorities including approvals, communications, implementation evidence, and statutory reporting.</x:v>
      </x:c>
      <x:c r="D711" s="30" t="str">
        <x:v>Document Review</x:v>
      </x:c>
      <x:c r="E711" s="30" t="str">
        <x:v>Annual</x:v>
      </x:c>
      <x:c r="F711" s="30" t="str">
        <x:v>RETAIL</x:v>
      </x:c>
      <x:c r="G711" s="30" t="str">
        <x:v>Recordkeeping</x:v>
      </x:c>
      <x:c r="H711" s="30" t="str">
        <x:v>Yes</x:v>
      </x:c>
      <x:c r="I711" s="30" t="str">
        <x:v>Normalized from approved Pharmacy Delta Audit Procedure Master.</x:v>
      </x:c>
    </x:row>
    <x:row r="712">
      <x:c r="A712" s="30" t="str">
        <x:v>RAUD190</x:v>
      </x:c>
      <x:c r="B712" s="30" t="str">
        <x:v>RCOMP190</x:v>
      </x:c>
      <x:c r="C712" s="30" t="str">
        <x:v>Verify the compliance reporting framework covering report frequency, recipients, escalation criteria, review approvals, and document retention.</x:v>
      </x:c>
      <x:c r="D712" s="30" t="str">
        <x:v>Document Review</x:v>
      </x:c>
      <x:c r="E712" s="30" t="str">
        <x:v>Annual</x:v>
      </x:c>
      <x:c r="F712" s="30" t="str">
        <x:v>RETAIL</x:v>
      </x:c>
      <x:c r="G712" s="30" t="str">
        <x:v>Recordkeeping</x:v>
      </x:c>
      <x:c r="H712" s="30" t="str">
        <x:v>Yes</x:v>
      </x:c>
      <x:c r="I712" s="30" t="str">
        <x:v>Normalized from approved Pharmacy Delta Audit Procedure Master.</x:v>
      </x:c>
    </x:row>
    <x:row r="713">
      <x:c r="A713" s="30" t="str">
        <x:v>RAUD191</x:v>
      </x:c>
      <x:c r="B713" s="30" t="str">
        <x:v>RCOMP191</x:v>
      </x:c>
      <x:c r="C713" s="30" t="str">
        <x:v>Reconcile prescriptions, billing records, inventory transactions, and dispensed medicines to verify end-to-end dispensing integrity.</x:v>
      </x:c>
      <x:c r="D713" s="30" t="str">
        <x:v>Reconciliation</x:v>
      </x:c>
      <x:c r="E713" s="30" t="str">
        <x:v>Quarterly</x:v>
      </x:c>
      <x:c r="F713" s="30" t="str">
        <x:v>RETAIL</x:v>
      </x:c>
      <x:c r="G713" s="30" t="str">
        <x:v>Prescription Controls</x:v>
      </x:c>
      <x:c r="H713" s="30" t="str">
        <x:v>Yes</x:v>
      </x:c>
      <x:c r="I713" s="30" t="str">
        <x:v>Normalized from approved Pharmacy Delta Audit Procedure Master.</x:v>
      </x:c>
    </x:row>
    <x:row r="714">
      <x:c r="A714" s="30" t="str">
        <x:v>RAUD192</x:v>
      </x:c>
      <x:c r="B714" s="30" t="str">
        <x:v>RCOMP192</x:v>
      </x:c>
      <x:c r="C714" s="30" t="str">
        <x:v>Review pharmacist workload reports, staffing adequacy, overtime analysis, and management actions to mitigate dispensing risks.</x:v>
      </x:c>
      <x:c r="D714" s="30" t="str">
        <x:v>Document Review</x:v>
      </x:c>
      <x:c r="E714" s="30" t="str">
        <x:v>Quarterly</x:v>
      </x:c>
      <x:c r="F714" s="30" t="str">
        <x:v>RETAIL</x:v>
      </x:c>
      <x:c r="G714" s="30" t="str">
        <x:v>Personnel Competency</x:v>
      </x:c>
      <x:c r="H714" s="30" t="str">
        <x:v>Yes</x:v>
      </x:c>
      <x:c r="I714" s="30" t="str">
        <x:v>Normalized from approved Pharmacy Delta Audit Procedure Master.</x:v>
      </x:c>
    </x:row>
    <x:row r="715">
      <x:c r="A715" s="30" t="str">
        <x:v>RAUD193</x:v>
      </x:c>
      <x:c r="B715" s="30" t="str">
        <x:v>RCOMP193</x:v>
      </x:c>
      <x:c r="C715" s="30" t="str">
        <x:v>Audit disaster recovery infrastructure including alternate processing arrangements, recovery objectives, recovery testing, and management approvals.</x:v>
      </x:c>
      <x:c r="D715" s="30" t="str">
        <x:v>Sampling</x:v>
      </x:c>
      <x:c r="E715" s="30" t="str">
        <x:v>Annual</x:v>
      </x:c>
      <x:c r="F715" s="30" t="str">
        <x:v>RETAIL</x:v>
      </x:c>
      <x:c r="G715" s="30" t="str">
        <x:v>General Compliance</x:v>
      </x:c>
      <x:c r="H715" s="30" t="str">
        <x:v>Yes</x:v>
      </x:c>
      <x:c r="I715" s="30" t="str">
        <x:v>Normalized from approved Pharmacy Delta Audit Procedure Master.</x:v>
      </x:c>
    </x:row>
    <x:row r="716">
      <x:c r="A716" s="30" t="str">
        <x:v>RAUD194</x:v>
      </x:c>
      <x:c r="B716" s="30" t="str">
        <x:v>RCOMP194</x:v>
      </x:c>
      <x:c r="C716" s="30" t="str">
        <x:v>Verify customer acknowledgements for medicine receipt by reviewing signatures, digital confirmations, delivery evidence, and pharmacist documentation.</x:v>
      </x:c>
      <x:c r="D716" s="30" t="str">
        <x:v>System Verification</x:v>
      </x:c>
      <x:c r="E716" s="30" t="str">
        <x:v>Quarterly</x:v>
      </x:c>
      <x:c r="F716" s="30" t="str">
        <x:v>RETAIL</x:v>
      </x:c>
      <x:c r="G716" s="30" t="str">
        <x:v>Personnel Competency</x:v>
      </x:c>
      <x:c r="H716" s="30" t="str">
        <x:v>Yes</x:v>
      </x:c>
      <x:c r="I716" s="30" t="str">
        <x:v>Normalized from approved Pharmacy Delta Audit Procedure Master.</x:v>
      </x:c>
    </x:row>
    <x:row r="717">
      <x:c r="A717" s="30" t="str">
        <x:v>RAUD195</x:v>
      </x:c>
      <x:c r="B717" s="30" t="str">
        <x:v>RCOMP195</x:v>
      </x:c>
      <x:c r="C717" s="30" t="str">
        <x:v>Review statutory pharmacy reports for completeness, approval, submission timelines, supporting evidence, and record retention.</x:v>
      </x:c>
      <x:c r="D717" s="30" t="str">
        <x:v>Record Verification</x:v>
      </x:c>
      <x:c r="E717" s="30" t="str">
        <x:v>Quarterly</x:v>
      </x:c>
      <x:c r="F717" s="30" t="str">
        <x:v>RETAIL</x:v>
      </x:c>
      <x:c r="G717" s="30" t="str">
        <x:v>Recordkeeping</x:v>
      </x:c>
      <x:c r="H717" s="30" t="str">
        <x:v>Yes</x:v>
      </x:c>
      <x:c r="I717" s="30" t="str">
        <x:v>Normalized from approved Pharmacy Delta Audit Procedure Master.</x:v>
      </x:c>
    </x:row>
    <x:row r="718">
      <x:c r="A718" s="30" t="str">
        <x:v>RAUD196</x:v>
      </x:c>
      <x:c r="B718" s="30" t="str">
        <x:v>RCOMP196</x:v>
      </x:c>
      <x:c r="C718" s="30" t="str">
        <x:v>Verify customer communication preferences are correctly recorded, updated, respected across communication channels, and protected from unauthorized modification.</x:v>
      </x:c>
      <x:c r="D718" s="30" t="str">
        <x:v>Record Verification</x:v>
      </x:c>
      <x:c r="E718" s="30" t="str">
        <x:v>Annual</x:v>
      </x:c>
      <x:c r="F718" s="30" t="str">
        <x:v>RETAIL</x:v>
      </x:c>
      <x:c r="G718" s="30" t="str">
        <x:v>Consumer Protection</x:v>
      </x:c>
      <x:c r="H718" s="30" t="str">
        <x:v>Yes</x:v>
      </x:c>
      <x:c r="I718" s="30" t="str">
        <x:v>Normalized from approved Pharmacy Delta Audit Procedure Master.</x:v>
      </x:c>
    </x:row>
    <x:row r="719">
      <x:c r="A719" s="30" t="str">
        <x:v>RAUD197</x:v>
      </x:c>
      <x:c r="B719" s="30" t="str">
        <x:v>RCOMP197</x:v>
      </x:c>
      <x:c r="C719" s="30" t="str">
        <x:v>Review procurement forecasting methodology, historical demand analysis, seasonal trends, supplier lead times, and forecast approval records.</x:v>
      </x:c>
      <x:c r="D719" s="30" t="str">
        <x:v>Record Verification</x:v>
      </x:c>
      <x:c r="E719" s="30" t="str">
        <x:v>Quarterly</x:v>
      </x:c>
      <x:c r="F719" s="30" t="str">
        <x:v>RETAIL</x:v>
      </x:c>
      <x:c r="G719" s="30" t="str">
        <x:v>Procurement Controls</x:v>
      </x:c>
      <x:c r="H719" s="30" t="str">
        <x:v>Yes</x:v>
      </x:c>
      <x:c r="I719" s="30" t="str">
        <x:v>Normalized from approved Pharmacy Delta Audit Procedure Master.</x:v>
      </x:c>
    </x:row>
    <x:row r="720">
      <x:c r="A720" s="30" t="str">
        <x:v>RAUD198</x:v>
      </x:c>
      <x:c r="B720" s="30" t="str">
        <x:v>RCOMP198</x:v>
      </x:c>
      <x:c r="C720" s="30" t="str">
        <x:v>Audit scheduled database maintenance, integrity verification, optimization activities, maintenance approvals, and post-maintenance validation.</x:v>
      </x:c>
      <x:c r="D720" s="30" t="str">
        <x:v>Document Review</x:v>
      </x:c>
      <x:c r="E720" s="30" t="str">
        <x:v>Quarterly</x:v>
      </x:c>
      <x:c r="F720" s="30" t="str">
        <x:v>RETAIL</x:v>
      </x:c>
      <x:c r="G720" s="30" t="str">
        <x:v>General Compliance</x:v>
      </x:c>
      <x:c r="H720" s="30" t="str">
        <x:v>Yes</x:v>
      </x:c>
      <x:c r="I720" s="30" t="str">
        <x:v>Normalized from approved Pharmacy Delta Audit Procedure Master.</x:v>
      </x:c>
    </x:row>
    <x:row r="721">
      <x:c r="A721" s="30" t="str">
        <x:v>RAUD199</x:v>
      </x:c>
      <x:c r="B721" s="30" t="str">
        <x:v>RCOMP199</x:v>
      </x:c>
      <x:c r="C721" s="30" t="str">
        <x:v>Review evaluation reports for community health campaigns, participant feedback, outcome measurements, lessons learned, and management actions.</x:v>
      </x:c>
      <x:c r="D721" s="30" t="str">
        <x:v>Document Review</x:v>
      </x:c>
      <x:c r="E721" s="30" t="str">
        <x:v>Annual</x:v>
      </x:c>
      <x:c r="F721" s="30" t="str">
        <x:v>RETAIL</x:v>
      </x:c>
      <x:c r="G721" s="30" t="str">
        <x:v>General Compliance</x:v>
      </x:c>
      <x:c r="H721" s="30" t="str">
        <x:v>Yes</x:v>
      </x:c>
      <x:c r="I721" s="30" t="str">
        <x:v>Normalized from approved Pharmacy Delta Audit Procedure Master.</x:v>
      </x:c>
    </x:row>
    <x:row r="722">
      <x:c r="A722" s="30" t="str">
        <x:v>RAUD200</x:v>
      </x:c>
      <x:c r="B722" s="30" t="str">
        <x:v>RCOMP200</x:v>
      </x:c>
      <x:c r="C722" s="30" t="str">
        <x:v>Audit the long-term regulatory compliance strategy to verify alignment with enterprise objectives, regulatory developments, technology changes, and continuous improvement initiatives.</x:v>
      </x:c>
      <x:c r="D722" s="30" t="str">
        <x:v>Record Verification</x:v>
      </x:c>
      <x:c r="E722" s="30" t="str">
        <x:v>Annual</x:v>
      </x:c>
      <x:c r="F722" s="30" t="str">
        <x:v>RETAIL</x:v>
      </x:c>
      <x:c r="G722" s="30" t="str">
        <x:v>Recordkeeping</x:v>
      </x:c>
      <x:c r="H722" s="30" t="str">
        <x:v>Yes</x:v>
      </x:c>
      <x:c r="I722" s="30" t="str">
        <x:v>Normalized from approved Pharmacy Delta Audit Procedure Master.</x:v>
      </x:c>
    </x:row>
    <x:row r="723">
      <x:c r="A723" s="30" t="str">
        <x:v>RAUD201</x:v>
      </x:c>
      <x:c r="B723" s="30" t="str">
        <x:v>RCOMP201</x:v>
      </x:c>
      <x:c r="C723" s="30" t="str">
        <x:v>Review prescription turnaround reports during peak business hours and verify implementation of staffing or workflow adjustments where service levels exceeded approved limits.</x:v>
      </x:c>
      <x:c r="D723" s="30" t="str">
        <x:v>Document Review</x:v>
      </x:c>
      <x:c r="E723" s="30" t="str">
        <x:v>Monthly</x:v>
      </x:c>
      <x:c r="F723" s="30" t="str">
        <x:v>RETAIL</x:v>
      </x:c>
      <x:c r="G723" s="30" t="str">
        <x:v>Personnel Competency</x:v>
      </x:c>
      <x:c r="H723" s="30" t="str">
        <x:v>Yes</x:v>
      </x:c>
      <x:c r="I723" s="30" t="str">
        <x:v>Normalized from approved Pharmacy Delta Audit Procedure Master.</x:v>
      </x:c>
    </x:row>
    <x:row r="724">
      <x:c r="A724" s="30" t="str">
        <x:v>RAUD202</x:v>
      </x:c>
      <x:c r="B724" s="30" t="str">
        <x:v>RCOMP202</x:v>
      </x:c>
      <x:c r="C724" s="30" t="str">
        <x:v>Verify the authorization matrix defines approval limits, segregation of duties, delegated authorities, and periodic management review.</x:v>
      </x:c>
      <x:c r="D724" s="30" t="str">
        <x:v>Document Review</x:v>
      </x:c>
      <x:c r="E724" s="30" t="str">
        <x:v>Annual</x:v>
      </x:c>
      <x:c r="F724" s="30" t="str">
        <x:v>RETAIL</x:v>
      </x:c>
      <x:c r="G724" s="30" t="str">
        <x:v>Inventory Controls</x:v>
      </x:c>
      <x:c r="H724" s="30" t="str">
        <x:v>Yes</x:v>
      </x:c>
      <x:c r="I724" s="30" t="str">
        <x:v>Normalized from approved Pharmacy Delta Audit Procedure Master.</x:v>
      </x:c>
    </x:row>
    <x:row r="725">
      <x:c r="A725" s="30" t="str">
        <x:v>RAUD203</x:v>
      </x:c>
      <x:c r="B725" s="30" t="str">
        <x:v>RCOMP203</x:v>
      </x:c>
      <x:c r="C725" s="30" t="str">
        <x:v>Audit API security controls including authentication, encryption, credential management, audit logging, penetration testing, and vulnerability remediation.</x:v>
      </x:c>
      <x:c r="D725" s="30" t="str">
        <x:v>Sampling</x:v>
      </x:c>
      <x:c r="E725" s="30" t="str">
        <x:v>Annual</x:v>
      </x:c>
      <x:c r="F725" s="30" t="str">
        <x:v>RETAIL</x:v>
      </x:c>
      <x:c r="G725" s="30" t="str">
        <x:v>Recordkeeping</x:v>
      </x:c>
      <x:c r="H725" s="30" t="str">
        <x:v>Yes</x:v>
      </x:c>
      <x:c r="I725" s="30" t="str">
        <x:v>Normalized from approved Pharmacy Delta Audit Procedure Master.</x:v>
      </x:c>
    </x:row>
    <x:row r="726">
      <x:c r="A726" s="30" t="str">
        <x:v>RAUD204</x:v>
      </x:c>
      <x:c r="B726" s="30" t="str">
        <x:v>RCOMP204</x:v>
      </x:c>
      <x:c r="C726" s="30" t="str">
        <x:v>Review independent audits of dispensing documentation to verify sampling methodology, findings, CAPA implementation, and effectiveness verification.</x:v>
      </x:c>
      <x:c r="D726" s="30" t="str">
        <x:v>Record Verification</x:v>
      </x:c>
      <x:c r="E726" s="30" t="str">
        <x:v>Quarterly</x:v>
      </x:c>
      <x:c r="F726" s="30" t="str">
        <x:v>RETAIL</x:v>
      </x:c>
      <x:c r="G726" s="30" t="str">
        <x:v>Recordkeeping</x:v>
      </x:c>
      <x:c r="H726" s="30" t="str">
        <x:v>Yes</x:v>
      </x:c>
      <x:c r="I726" s="30" t="str">
        <x:v>Normalized from approved Pharmacy Delta Audit Procedure Master.</x:v>
      </x:c>
    </x:row>
    <x:row r="727">
      <x:c r="A727" s="30" t="str">
        <x:v>RAUD205</x:v>
      </x:c>
      <x:c r="B727" s="30" t="str">
        <x:v>RCOMP205</x:v>
      </x:c>
      <x:c r="C727" s="30" t="str">
        <x:v>Verify regulatory inspection action plans for timely completion, escalation of overdue actions, management oversight, and formal closure.</x:v>
      </x:c>
      <x:c r="D727" s="30" t="str">
        <x:v>Physical Inspection</x:v>
      </x:c>
      <x:c r="E727" s="30" t="str">
        <x:v>Quarterly</x:v>
      </x:c>
      <x:c r="F727" s="30" t="str">
        <x:v>RETAIL</x:v>
      </x:c>
      <x:c r="G727" s="30" t="str">
        <x:v>Inspection &amp; Display Controls</x:v>
      </x:c>
      <x:c r="H727" s="30" t="str">
        <x:v>Yes</x:v>
      </x:c>
      <x:c r="I727" s="30" t="str">
        <x:v>Normalized from approved Pharmacy Delta Audit Procedure Master.</x:v>
      </x:c>
    </x:row>
    <x:row r="728">
      <x:c r="A728" s="30" t="str">
        <x:v>RAUD206</x:v>
      </x:c>
      <x:c r="B728" s="30" t="str">
        <x:v>RCOMP206</x:v>
      </x:c>
      <x:c r="C728" s="30" t="str">
        <x:v>Audit pharmacy mobile applications for authentication controls, encrypted communications, audit trails, application security, and compliance with mobile governance policies.</x:v>
      </x:c>
      <x:c r="D728" s="30" t="str">
        <x:v>Document Review</x:v>
      </x:c>
      <x:c r="E728" s="30" t="str">
        <x:v>Annual</x:v>
      </x:c>
      <x:c r="F728" s="30" t="str">
        <x:v>RETAIL</x:v>
      </x:c>
      <x:c r="G728" s="30" t="str">
        <x:v>General Compliance</x:v>
      </x:c>
      <x:c r="H728" s="30" t="str">
        <x:v>Yes</x:v>
      </x:c>
      <x:c r="I728" s="30" t="str">
        <x:v>Normalized from approved Pharmacy Delta Audit Procedure Master.</x:v>
      </x:c>
    </x:row>
    <x:row r="729">
      <x:c r="A729" s="30" t="str">
        <x:v>RAUD207</x:v>
      </x:c>
      <x:c r="B729" s="30" t="str">
        <x:v>RCOMP207</x:v>
      </x:c>
      <x:c r="C729" s="30" t="str">
        <x:v>Review inventory analytics covering ageing stock, stock-outs, expiry trends, procurement efficiency, and management improvement actions.</x:v>
      </x:c>
      <x:c r="D729" s="30" t="str">
        <x:v>Document Review</x:v>
      </x:c>
      <x:c r="E729" s="30" t="str">
        <x:v>Quarterly</x:v>
      </x:c>
      <x:c r="F729" s="30" t="str">
        <x:v>RETAIL</x:v>
      </x:c>
      <x:c r="G729" s="30" t="str">
        <x:v>Inventory Controls</x:v>
      </x:c>
      <x:c r="H729" s="30" t="str">
        <x:v>Yes</x:v>
      </x:c>
      <x:c r="I729" s="30" t="str">
        <x:v>Normalized from approved Pharmacy Delta Audit Procedure Master.</x:v>
      </x:c>
    </x:row>
    <x:row r="730">
      <x:c r="A730" s="30" t="str">
        <x:v>RAUD208</x:v>
      </x:c>
      <x:c r="B730" s="30" t="str">
        <x:v>RCOMP208</x:v>
      </x:c>
      <x:c r="C730" s="30" t="str">
        <x:v>Verify continuous monitoring of servers, databases, storage, networks, and supporting infrastructure. Review incident response and corrective actions.</x:v>
      </x:c>
      <x:c r="D730" s="30" t="str">
        <x:v>Document Review</x:v>
      </x:c>
      <x:c r="E730" s="30" t="str">
        <x:v>Quarterly</x:v>
      </x:c>
      <x:c r="F730" s="30" t="str">
        <x:v>RETAIL</x:v>
      </x:c>
      <x:c r="G730" s="30" t="str">
        <x:v>Storage Controls</x:v>
      </x:c>
      <x:c r="H730" s="30" t="str">
        <x:v>Yes</x:v>
      </x:c>
      <x:c r="I730" s="30" t="str">
        <x:v>Normalized from approved Pharmacy Delta Audit Procedure Master.</x:v>
      </x:c>
    </x:row>
    <x:row r="731">
      <x:c r="A731" s="30" t="str">
        <x:v>RAUD209</x:v>
      </x:c>
      <x:c r="B731" s="30" t="str">
        <x:v>RCOMP209</x:v>
      </x:c>
      <x:c r="C731" s="30" t="str">
        <x:v>Review healthcare partnership documentation including agreements, confidentiality obligations, programme governance, compliance responsibilities, and periodic reviews.</x:v>
      </x:c>
      <x:c r="D731" s="30" t="str">
        <x:v>Document Review</x:v>
      </x:c>
      <x:c r="E731" s="30" t="str">
        <x:v>Annual</x:v>
      </x:c>
      <x:c r="F731" s="30" t="str">
        <x:v>RETAIL</x:v>
      </x:c>
      <x:c r="G731" s="30" t="str">
        <x:v>Recordkeeping</x:v>
      </x:c>
      <x:c r="H731" s="30" t="str">
        <x:v>Yes</x:v>
      </x:c>
      <x:c r="I731" s="30" t="str">
        <x:v>Normalized from approved Pharmacy Delta Audit Procedure Master.</x:v>
      </x:c>
    </x:row>
    <x:row r="732">
      <x:c r="A732" s="30" t="str">
        <x:v>RAUD210</x:v>
      </x:c>
      <x:c r="B732" s="30" t="str">
        <x:v>RCOMP210</x:v>
      </x:c>
      <x:c r="C732" s="30" t="str">
        <x:v>Audit the enterprise compliance programme to verify regulatory updates, audit outcomes, inspections, risk management, resource adequacy, technology changes, and continuous improvement initiatives.</x:v>
      </x:c>
      <x:c r="D732" s="30" t="str">
        <x:v>Physical Inspection</x:v>
      </x:c>
      <x:c r="E732" s="30" t="str">
        <x:v>Annual</x:v>
      </x:c>
      <x:c r="F732" s="30" t="str">
        <x:v>RETAIL</x:v>
      </x:c>
      <x:c r="G732" s="30" t="str">
        <x:v>Inspection &amp; Display Controls</x:v>
      </x:c>
      <x:c r="H732" s="30" t="str">
        <x:v>Yes</x:v>
      </x:c>
      <x:c r="I732" s="30" t="str">
        <x:v>Normalized from approved Pharmacy Delta Audit Procedure Master.</x:v>
      </x:c>
    </x:row>
    <x:row r="733">
      <x:c r="A733" s="30" t="str">
        <x:v>RAUD211</x:v>
      </x:c>
      <x:c r="B733" s="30" t="str">
        <x:v>RCOMP211</x:v>
      </x:c>
      <x:c r="C733" s="30" t="str">
        <x:v>Review business continuity exercises covering dispensing operations, refrigeration, IT systems, inventory management, customer services, and emergency communications. Verify corrective actions.</x:v>
      </x:c>
      <x:c r="D733" s="30" t="str">
        <x:v>System Verification</x:v>
      </x:c>
      <x:c r="E733" s="30" t="str">
        <x:v>Annual</x:v>
      </x:c>
      <x:c r="F733" s="30" t="str">
        <x:v>RETAIL</x:v>
      </x:c>
      <x:c r="G733" s="30" t="str">
        <x:v>Storage Controls</x:v>
      </x:c>
      <x:c r="H733" s="30" t="str">
        <x:v>Yes</x:v>
      </x:c>
      <x:c r="I733" s="30" t="str">
        <x:v>Normalized from approved Pharmacy Delta Audit Procedure Master.</x:v>
      </x:c>
    </x:row>
    <x:row r="734">
      <x:c r="A734" s="30" t="str">
        <x:v>RAUD212</x:v>
      </x:c>
      <x:c r="B734" s="30" t="str">
        <x:v>RCOMP212</x:v>
      </x:c>
      <x:c r="C734" s="30" t="str">
        <x:v>Verify cross-training records, competency assessments, refresher training, and workforce resilience planning for critical pharmacy operations.</x:v>
      </x:c>
      <x:c r="D734" s="30" t="str">
        <x:v>Record Verification</x:v>
      </x:c>
      <x:c r="E734" s="30" t="str">
        <x:v>Annual</x:v>
      </x:c>
      <x:c r="F734" s="30" t="str">
        <x:v>RETAIL</x:v>
      </x:c>
      <x:c r="G734" s="30" t="str">
        <x:v>Personnel Competency</x:v>
      </x:c>
      <x:c r="H734" s="30" t="str">
        <x:v>Yes</x:v>
      </x:c>
      <x:c r="I734" s="30" t="str">
        <x:v>Normalized from approved Pharmacy Delta Audit Procedure Master.</x:v>
      </x:c>
    </x:row>
    <x:row r="735">
      <x:c r="A735" s="30" t="str">
        <x:v>RAUD213</x:v>
      </x:c>
      <x:c r="B735" s="30" t="str">
        <x:v>RCOMP213</x:v>
      </x:c>
      <x:c r="C735" s="30" t="str">
        <x:v>Audit customer portal security including multi-factor authentication, role-based access, encrypted communications, session management, and audit logging.</x:v>
      </x:c>
      <x:c r="D735" s="30" t="str">
        <x:v>System Verification</x:v>
      </x:c>
      <x:c r="E735" s="30" t="str">
        <x:v>Annual</x:v>
      </x:c>
      <x:c r="F735" s="30" t="str">
        <x:v>RETAIL</x:v>
      </x:c>
      <x:c r="G735" s="30" t="str">
        <x:v>Digital Controls</x:v>
      </x:c>
      <x:c r="H735" s="30" t="str">
        <x:v>Yes</x:v>
      </x:c>
      <x:c r="I735" s="30" t="str">
        <x:v>Normalized from approved Pharmacy Delta Audit Procedure Master.</x:v>
      </x:c>
    </x:row>
    <x:row r="736">
      <x:c r="A736" s="30" t="str">
        <x:v>RAUD214</x:v>
      </x:c>
      <x:c r="B736" s="30" t="str">
        <x:v>RCOMP214</x:v>
      </x:c>
      <x:c r="C736" s="30" t="str">
        <x:v>Review dispensing quality assessments to verify sampling methodology, customer feedback analysis, dispensing error trends, improvement actions, and management review.</x:v>
      </x:c>
      <x:c r="D736" s="30" t="str">
        <x:v>Record Verification</x:v>
      </x:c>
      <x:c r="E736" s="30" t="str">
        <x:v>Quarterly</x:v>
      </x:c>
      <x:c r="F736" s="30" t="str">
        <x:v>RETAIL</x:v>
      </x:c>
      <x:c r="G736" s="30" t="str">
        <x:v>Consumer Protection</x:v>
      </x:c>
      <x:c r="H736" s="30" t="str">
        <x:v>Yes</x:v>
      </x:c>
      <x:c r="I736" s="30" t="str">
        <x:v>Normalized from approved Pharmacy Delta Audit Procedure Master.</x:v>
      </x:c>
    </x:row>
    <x:row r="737">
      <x:c r="A737" s="30" t="str">
        <x:v>RAUD215</x:v>
      </x:c>
      <x:c r="B737" s="30" t="str">
        <x:v>RCOMP215</x:v>
      </x:c>
      <x:c r="C737" s="30" t="str">
        <x:v>Verify escalation of significant compliance breaches, patient safety incidents, repeated non-conformities, and management oversight until formal closure.</x:v>
      </x:c>
      <x:c r="D737" s="30" t="str">
        <x:v>Document Review</x:v>
      </x:c>
      <x:c r="E737" s="30" t="str">
        <x:v>Quarterly</x:v>
      </x:c>
      <x:c r="F737" s="30" t="str">
        <x:v>RETAIL</x:v>
      </x:c>
      <x:c r="G737" s="30" t="str">
        <x:v>General Compliance</x:v>
      </x:c>
      <x:c r="H737" s="30" t="str">
        <x:v>Yes</x:v>
      </x:c>
      <x:c r="I737" s="30" t="str">
        <x:v>Normalized from approved Pharmacy Delta Audit Procedure Master.</x:v>
      </x:c>
    </x:row>
    <x:row r="738">
      <x:c r="A738" s="30" t="str">
        <x:v>RAUD216</x:v>
      </x:c>
      <x:c r="B738" s="30" t="str">
        <x:v>RCOMP216</x:v>
      </x:c>
      <x:c r="C738" s="30" t="str">
        <x:v>Audit online medicine order processing including prescription validation, payment confirmation, inventory availability, pharmacist approval, and customer identity verification.</x:v>
      </x:c>
      <x:c r="D738" s="30" t="str">
        <x:v>Document Review</x:v>
      </x:c>
      <x:c r="E738" s="30" t="str">
        <x:v>Quarterly</x:v>
      </x:c>
      <x:c r="F738" s="30" t="str">
        <x:v>RETAIL</x:v>
      </x:c>
      <x:c r="G738" s="30" t="str">
        <x:v>Personnel Competency</x:v>
      </x:c>
      <x:c r="H738" s="30" t="str">
        <x:v>Yes</x:v>
      </x:c>
      <x:c r="I738" s="30" t="str">
        <x:v>Normalized from approved Pharmacy Delta Audit Procedure Master.</x:v>
      </x:c>
    </x:row>
    <x:row r="739">
      <x:c r="A739" s="30" t="str">
        <x:v>RAUD217</x:v>
      </x:c>
      <x:c r="B739" s="30" t="str">
        <x:v>RCOMP217</x:v>
      </x:c>
      <x:c r="C739" s="30" t="str">
        <x:v>Review inventory benchmarking reports comparing KPIs against targets and verify management actions for identified variances.</x:v>
      </x:c>
      <x:c r="D739" s="30" t="str">
        <x:v>Document Review</x:v>
      </x:c>
      <x:c r="E739" s="30" t="str">
        <x:v>Quarterly</x:v>
      </x:c>
      <x:c r="F739" s="30" t="str">
        <x:v>RETAIL</x:v>
      </x:c>
      <x:c r="G739" s="30" t="str">
        <x:v>Inventory Controls</x:v>
      </x:c>
      <x:c r="H739" s="30" t="str">
        <x:v>Yes</x:v>
      </x:c>
      <x:c r="I739" s="30" t="str">
        <x:v>Normalized from approved Pharmacy Delta Audit Procedure Master.</x:v>
      </x:c>
    </x:row>
    <x:row r="740">
      <x:c r="A740" s="30" t="str">
        <x:v>RAUD218</x:v>
      </x:c>
      <x:c r="B740" s="30" t="str">
        <x:v>RCOMP218</x:v>
      </x:c>
      <x:c r="C740" s="30" t="str">
        <x:v>Verify endpoint protection controls including encryption, endpoint security software, centralized monitoring, device inventory, and compliance reporting.</x:v>
      </x:c>
      <x:c r="D740" s="30" t="str">
        <x:v>Document Review</x:v>
      </x:c>
      <x:c r="E740" s="30" t="str">
        <x:v>Quarterly</x:v>
      </x:c>
      <x:c r="F740" s="30" t="str">
        <x:v>RETAIL</x:v>
      </x:c>
      <x:c r="G740" s="30" t="str">
        <x:v>Inventory Controls</x:v>
      </x:c>
      <x:c r="H740" s="30" t="str">
        <x:v>Yes</x:v>
      </x:c>
      <x:c r="I740" s="30" t="str">
        <x:v>Normalized from approved Pharmacy Delta Audit Procedure Master.</x:v>
      </x:c>
    </x:row>
    <x:row r="741">
      <x:c r="A741" s="30" t="str">
        <x:v>RAUD219</x:v>
      </x:c>
      <x:c r="B741" s="30" t="str">
        <x:v>RCOMP219</x:v>
      </x:c>
      <x:c r="C741" s="30" t="str">
        <x:v>Review community wellness programmes for management approval, implementation, participant records, programme evaluation, and regulatory compliance.</x:v>
      </x:c>
      <x:c r="D741" s="30" t="str">
        <x:v>Record Verification</x:v>
      </x:c>
      <x:c r="E741" s="30" t="str">
        <x:v>Annual</x:v>
      </x:c>
      <x:c r="F741" s="30" t="str">
        <x:v>RETAIL</x:v>
      </x:c>
      <x:c r="G741" s="30" t="str">
        <x:v>Recordkeeping</x:v>
      </x:c>
      <x:c r="H741" s="30" t="str">
        <x:v>Yes</x:v>
      </x:c>
      <x:c r="I741" s="30" t="str">
        <x:v>Normalized from approved Pharmacy Delta Audit Procedure Master.</x:v>
      </x:c>
    </x:row>
    <x:row r="742">
      <x:c r="A742" s="30" t="str">
        <x:v>RAUD220</x:v>
      </x:c>
      <x:c r="B742" s="30" t="str">
        <x:v>RCOMP220</x:v>
      </x:c>
      <x:c r="C742" s="30" t="str">
        <x:v>Audit the annual compliance effectiveness assessment to verify methodology, KPI evaluation, audit findings, incident trends, CAPA effectiveness, and executive approval.</x:v>
      </x:c>
      <x:c r="D742" s="30" t="str">
        <x:v>Record Verification</x:v>
      </x:c>
      <x:c r="E742" s="30" t="str">
        <x:v>Annual</x:v>
      </x:c>
      <x:c r="F742" s="30" t="str">
        <x:v>RETAIL</x:v>
      </x:c>
      <x:c r="G742" s="30" t="str">
        <x:v>Recordkeeping</x:v>
      </x:c>
      <x:c r="H742" s="30" t="str">
        <x:v>Yes</x:v>
      </x:c>
      <x:c r="I742" s="30" t="str">
        <x:v>Normalized from approved Pharmacy Delta Audit Procedure Master.</x:v>
      </x:c>
    </x:row>
    <x:row r="743">
      <x:c r="A743" s="30" t="str">
        <x:v>RAUD221</x:v>
      </x:c>
      <x:c r="B743" s="30" t="str">
        <x:v>RCOMP221</x:v>
      </x:c>
      <x:c r="C743" s="30" t="str">
        <x:v>Review seasonal medicine demand forecasts against procurement plans, supplier lead times, inventory availability, and actual consumption trends.</x:v>
      </x:c>
      <x:c r="D743" s="30" t="str">
        <x:v>Document Review</x:v>
      </x:c>
      <x:c r="E743" s="30" t="str">
        <x:v>Quarterly</x:v>
      </x:c>
      <x:c r="F743" s="30" t="str">
        <x:v>RETAIL</x:v>
      </x:c>
      <x:c r="G743" s="30" t="str">
        <x:v>Inventory Controls</x:v>
      </x:c>
      <x:c r="H743" s="30" t="str">
        <x:v>Yes</x:v>
      </x:c>
      <x:c r="I743" s="30" t="str">
        <x:v>Normalized from approved Pharmacy Delta Audit Procedure Master.</x:v>
      </x:c>
    </x:row>
    <x:row r="744">
      <x:c r="A744" s="30" t="str">
        <x:v>RAUD222</x:v>
      </x:c>
      <x:c r="B744" s="30" t="str">
        <x:v>RCOMP222</x:v>
      </x:c>
      <x:c r="C744" s="30" t="str">
        <x:v>Verify onboarding, orientation, competency assessment, authorization, and regulatory awareness of temporary, contract, and locum pharmacy personnel.</x:v>
      </x:c>
      <x:c r="D744" s="30" t="str">
        <x:v>Document Review</x:v>
      </x:c>
      <x:c r="E744" s="30" t="str">
        <x:v>Annual</x:v>
      </x:c>
      <x:c r="F744" s="30" t="str">
        <x:v>RETAIL</x:v>
      </x:c>
      <x:c r="G744" s="30" t="str">
        <x:v>Personnel Competency</x:v>
      </x:c>
      <x:c r="H744" s="30" t="str">
        <x:v>Yes</x:v>
      </x:c>
      <x:c r="I744" s="30" t="str">
        <x:v>Normalized from approved Pharmacy Delta Audit Procedure Master.</x:v>
      </x:c>
    </x:row>
    <x:row r="745">
      <x:c r="A745" s="30" t="str">
        <x:v>RAUD223</x:v>
      </x:c>
      <x:c r="B745" s="30" t="str">
        <x:v>RCOMP223</x:v>
      </x:c>
      <x:c r="C745" s="30" t="str">
        <x:v>Audit customer consent withdrawal requests to verify timely processing, privacy protection, audit logging, and communication updates.</x:v>
      </x:c>
      <x:c r="D745" s="30" t="str">
        <x:v>Record Verification</x:v>
      </x:c>
      <x:c r="E745" s="30" t="str">
        <x:v>Annual</x:v>
      </x:c>
      <x:c r="F745" s="30" t="str">
        <x:v>RETAIL</x:v>
      </x:c>
      <x:c r="G745" s="30" t="str">
        <x:v>Consumer Protection</x:v>
      </x:c>
      <x:c r="H745" s="30" t="str">
        <x:v>Yes</x:v>
      </x:c>
      <x:c r="I745" s="30" t="str">
        <x:v>Normalized from approved Pharmacy Delta Audit Procedure Master.</x:v>
      </x:c>
    </x:row>
    <x:row r="746">
      <x:c r="A746" s="30" t="str">
        <x:v>RAUD224</x:v>
      </x:c>
      <x:c r="B746" s="30" t="str">
        <x:v>RCOMP224</x:v>
      </x:c>
      <x:c r="C746" s="30" t="str">
        <x:v>Conduct independent dispensing accuracy audits using approved sampling techniques and verify corrective actions for identified deficiencies.</x:v>
      </x:c>
      <x:c r="D746" s="30" t="str">
        <x:v>Document Review</x:v>
      </x:c>
      <x:c r="E746" s="30" t="str">
        <x:v>Quarterly</x:v>
      </x:c>
      <x:c r="F746" s="30" t="str">
        <x:v>RETAIL</x:v>
      </x:c>
      <x:c r="G746" s="30" t="str">
        <x:v>General Compliance</x:v>
      </x:c>
      <x:c r="H746" s="30" t="str">
        <x:v>Yes</x:v>
      </x:c>
      <x:c r="I746" s="30" t="str">
        <x:v>Normalized from approved Pharmacy Delta Audit Procedure Master.</x:v>
      </x:c>
    </x:row>
    <x:row r="747">
      <x:c r="A747" s="30" t="str">
        <x:v>RAUD225</x:v>
      </x:c>
      <x:c r="B747" s="30" t="str">
        <x:v>RCOMP225</x:v>
      </x:c>
      <x:c r="C747" s="30" t="str">
        <x:v>Review regulatory change management records to verify impact assessments, SOP revisions, staff training, implementation evidence, and management approval.</x:v>
      </x:c>
      <x:c r="D747" s="30" t="str">
        <x:v>Record Verification</x:v>
      </x:c>
      <x:c r="E747" s="30" t="str">
        <x:v>Quarterly</x:v>
      </x:c>
      <x:c r="F747" s="30" t="str">
        <x:v>RETAIL</x:v>
      </x:c>
      <x:c r="G747" s="30" t="str">
        <x:v>Personnel Competency</x:v>
      </x:c>
      <x:c r="H747" s="30" t="str">
        <x:v>Yes</x:v>
      </x:c>
      <x:c r="I747" s="30" t="str">
        <x:v>Normalized from approved Pharmacy Delta Audit Procedure Master.</x:v>
      </x:c>
    </x:row>
    <x:row r="748">
      <x:c r="A748" s="30" t="str">
        <x:v>RAUD226</x:v>
      </x:c>
      <x:c r="B748" s="30" t="str">
        <x:v>RCOMP226</x:v>
      </x:c>
      <x:c r="C748" s="30" t="str">
        <x:v>Audit omnichannel medicine order processing across walk-in, telephone, website, mobile application, and partner platforms to verify consistent compliance controls.</x:v>
      </x:c>
      <x:c r="D748" s="30" t="str">
        <x:v>System Verification</x:v>
      </x:c>
      <x:c r="E748" s="30" t="str">
        <x:v>Quarterly</x:v>
      </x:c>
      <x:c r="F748" s="30" t="str">
        <x:v>RETAIL</x:v>
      </x:c>
      <x:c r="G748" s="30" t="str">
        <x:v>Digital Controls</x:v>
      </x:c>
      <x:c r="H748" s="30" t="str">
        <x:v>Yes</x:v>
      </x:c>
      <x:c r="I748" s="30" t="str">
        <x:v>Normalized from approved Pharmacy Delta Audit Procedure Master.</x:v>
      </x:c>
    </x:row>
    <x:row r="749">
      <x:c r="A749" s="30" t="str">
        <x:v>RAUD227</x:v>
      </x:c>
      <x:c r="B749" s="30" t="str">
        <x:v>RCOMP227</x:v>
      </x:c>
      <x:c r="C749" s="30" t="str">
        <x:v>Review Inventory Review Committee meetings to verify attendance, inventory risk discussions, expiry analysis, supplier performance, procurement effectiveness, and action tracking.</x:v>
      </x:c>
      <x:c r="D749" s="30" t="str">
        <x:v>Document Review</x:v>
      </x:c>
      <x:c r="E749" s="30" t="str">
        <x:v>Quarterly</x:v>
      </x:c>
      <x:c r="F749" s="30" t="str">
        <x:v>RETAIL</x:v>
      </x:c>
      <x:c r="G749" s="30" t="str">
        <x:v>Inventory Controls</x:v>
      </x:c>
      <x:c r="H749" s="30" t="str">
        <x:v>Yes</x:v>
      </x:c>
      <x:c r="I749" s="30" t="str">
        <x:v>Normalized from approved Pharmacy Delta Audit Procedure Master.</x:v>
      </x:c>
    </x:row>
    <x:row r="750">
      <x:c r="A750" s="30" t="str">
        <x:v>RAUD228</x:v>
      </x:c>
      <x:c r="B750" s="30" t="str">
        <x:v>RCOMP228</x:v>
      </x:c>
      <x:c r="C750" s="30" t="str">
        <x:v>Audit the cybersecurity resilience programme covering vulnerability management, threat monitoring, disaster recovery, awareness training, resilience testing, and management oversight.</x:v>
      </x:c>
      <x:c r="D750" s="30" t="str">
        <x:v>Sampling</x:v>
      </x:c>
      <x:c r="E750" s="30" t="str">
        <x:v>Annual</x:v>
      </x:c>
      <x:c r="F750" s="30" t="str">
        <x:v>RETAIL</x:v>
      </x:c>
      <x:c r="G750" s="30" t="str">
        <x:v>SOP &amp; Training</x:v>
      </x:c>
      <x:c r="H750" s="30" t="str">
        <x:v>Yes</x:v>
      </x:c>
      <x:c r="I750" s="30" t="str">
        <x:v>Normalized from approved Pharmacy Delta Audit Procedure Master.</x:v>
      </x:c>
    </x:row>
    <x:row r="751">
      <x:c r="A751" s="30" t="str">
        <x:v>RAUD229</x:v>
      </x:c>
      <x:c r="B751" s="30" t="str">
        <x:v>RCOMP229</x:v>
      </x:c>
      <x:c r="C751" s="30" t="str">
        <x:v>Review community health programme reports to verify objectives, participation statistics, outcomes, lessons learned, regulatory reporting, and management review.</x:v>
      </x:c>
      <x:c r="D751" s="30" t="str">
        <x:v>Document Review</x:v>
      </x:c>
      <x:c r="E751" s="30" t="str">
        <x:v>Annual</x:v>
      </x:c>
      <x:c r="F751" s="30" t="str">
        <x:v>RETAIL</x:v>
      </x:c>
      <x:c r="G751" s="30" t="str">
        <x:v>General Compliance</x:v>
      </x:c>
      <x:c r="H751" s="30" t="str">
        <x:v>Yes</x:v>
      </x:c>
      <x:c r="I751" s="30" t="str">
        <x:v>Normalized from approved Pharmacy Delta Audit Procedure Master.</x:v>
      </x:c>
    </x:row>
    <x:row r="752">
      <x:c r="A752" s="30" t="str">
        <x:v>RAUD230</x:v>
      </x:c>
      <x:c r="B752" s="30" t="str">
        <x:v>RCOMP230</x:v>
      </x:c>
      <x:c r="C752" s="30" t="str">
        <x:v>Conduct integrated governance audits covering regulatory compliance, dispensing operations, inventory management, patient safety, IT security, audits, inspections, risk management, and improvement programmes.</x:v>
      </x:c>
      <x:c r="D752" s="30" t="str">
        <x:v>Physical Inspection</x:v>
      </x:c>
      <x:c r="E752" s="30" t="str">
        <x:v>Annual</x:v>
      </x:c>
      <x:c r="F752" s="30" t="str">
        <x:v>RETAIL</x:v>
      </x:c>
      <x:c r="G752" s="30" t="str">
        <x:v>Inventory Controls</x:v>
      </x:c>
      <x:c r="H752" s="30" t="str">
        <x:v>Yes</x:v>
      </x:c>
      <x:c r="I752" s="30" t="str">
        <x:v>Normalized from approved Pharmacy Delta Audit Procedure Master.</x:v>
      </x:c>
    </x:row>
    <x:row r="753">
      <x:c r="A753" s="30" t="str">
        <x:v>RAUD231</x:v>
      </x:c>
      <x:c r="B753" s="30" t="str">
        <x:v>RCOMP231</x:v>
      </x:c>
      <x:c r="C753" s="30" t="str">
        <x:v>Verify business continuity exercises include dispensing, refrigeration, IT recovery, emergency communication, inventory continuity, customer service, and post-exercise corrective actions.</x:v>
      </x:c>
      <x:c r="D753" s="30" t="str">
        <x:v>Document Review</x:v>
      </x:c>
      <x:c r="E753" s="30" t="str">
        <x:v>Annual</x:v>
      </x:c>
      <x:c r="F753" s="30" t="str">
        <x:v>RETAIL</x:v>
      </x:c>
      <x:c r="G753" s="30" t="str">
        <x:v>Storage Controls</x:v>
      </x:c>
      <x:c r="H753" s="30" t="str">
        <x:v>Yes</x:v>
      </x:c>
      <x:c r="I753" s="30" t="str">
        <x:v>Normalized from approved Pharmacy Delta Audit Procedure Master.</x:v>
      </x:c>
    </x:row>
    <x:row r="754">
      <x:c r="A754" s="30" t="str">
        <x:v>RAUD232</x:v>
      </x:c>
      <x:c r="B754" s="30" t="str">
        <x:v>RCOMP232</x:v>
      </x:c>
      <x:c r="C754" s="30" t="str">
        <x:v>Review annual employee compliance declarations for completeness, approvals, ethical commitments, confidentiality acknowledgements, and regulatory obligations.</x:v>
      </x:c>
      <x:c r="D754" s="30" t="str">
        <x:v>Document Review</x:v>
      </x:c>
      <x:c r="E754" s="30" t="str">
        <x:v>Annual</x:v>
      </x:c>
      <x:c r="F754" s="30" t="str">
        <x:v>RETAIL</x:v>
      </x:c>
      <x:c r="G754" s="30" t="str">
        <x:v>General Compliance</x:v>
      </x:c>
      <x:c r="H754" s="30" t="str">
        <x:v>Yes</x:v>
      </x:c>
      <x:c r="I754" s="30" t="str">
        <x:v>Normalized from approved Pharmacy Delta Audit Procedure Master.</x:v>
      </x:c>
    </x:row>
    <x:row r="755">
      <x:c r="A755" s="30" t="str">
        <x:v>RAUD233</x:v>
      </x:c>
      <x:c r="B755" s="30" t="str">
        <x:v>RCOMP233</x:v>
      </x:c>
      <x:c r="C755" s="30" t="str">
        <x:v>Audit preservation of electronic dispensing records, audit logs, approvals, communications, and inventory transactions to verify tamper protection and statutory retention.</x:v>
      </x:c>
      <x:c r="D755" s="30" t="str">
        <x:v>Record Verification</x:v>
      </x:c>
      <x:c r="E755" s="30" t="str">
        <x:v>Annual</x:v>
      </x:c>
      <x:c r="F755" s="30" t="str">
        <x:v>RETAIL</x:v>
      </x:c>
      <x:c r="G755" s="30" t="str">
        <x:v>Inventory Controls</x:v>
      </x:c>
      <x:c r="H755" s="30" t="str">
        <x:v>Yes</x:v>
      </x:c>
      <x:c r="I755" s="30" t="str">
        <x:v>Normalized from approved Pharmacy Delta Audit Procedure Master.</x:v>
      </x:c>
    </x:row>
    <x:row r="756">
      <x:c r="A756" s="30" t="str">
        <x:v>RAUD234</x:v>
      </x:c>
      <x:c r="B756" s="30" t="str">
        <x:v>RCOMP234</x:v>
      </x:c>
      <x:c r="C756" s="30" t="str">
        <x:v>Conduct standardized internal compliance inspections covering licensing, pharmacist supervision, dispensing, inventory, storage, documentation, IT controls, and patient safety. Verify closure of inspection findings.</x:v>
      </x:c>
      <x:c r="D756" s="30" t="str">
        <x:v>Physical Inspection</x:v>
      </x:c>
      <x:c r="E756" s="30" t="str">
        <x:v>Quarterly</x:v>
      </x:c>
      <x:c r="F756" s="30" t="str">
        <x:v>RETAIL</x:v>
      </x:c>
      <x:c r="G756" s="30" t="str">
        <x:v>Personnel Competency</x:v>
      </x:c>
      <x:c r="H756" s="30" t="str">
        <x:v>Yes</x:v>
      </x:c>
      <x:c r="I756" s="30" t="str">
        <x:v>Normalized from approved Pharmacy Delta Audit Procedure Master.</x:v>
      </x:c>
    </x:row>
    <x:row r="757">
      <x:c r="A757" s="30" t="str">
        <x:v>RAUD235</x:v>
      </x:c>
      <x:c r="B757" s="30" t="str">
        <x:v>RCOMP235</x:v>
      </x:c>
      <x:c r="C757" s="30" t="str">
        <x:v>Review operation of the Regulatory Escalation Matrix to verify event classification, notification timelines, management decisions, escalation records, and formal closure.</x:v>
      </x:c>
      <x:c r="D757" s="30" t="str">
        <x:v>Record Verification</x:v>
      </x:c>
      <x:c r="E757" s="30" t="str">
        <x:v>Quarterly</x:v>
      </x:c>
      <x:c r="F757" s="30" t="str">
        <x:v>RETAIL</x:v>
      </x:c>
      <x:c r="G757" s="30" t="str">
        <x:v>Recordkeeping</x:v>
      </x:c>
      <x:c r="H757" s="30" t="str">
        <x:v>Yes</x:v>
      </x:c>
      <x:c r="I757" s="30" t="str">
        <x:v>Normalized from approved Pharmacy Delta Audit Procedure Master.</x:v>
      </x:c>
    </x:row>
    <x:row r="758">
      <x:c r="A758" s="30" t="str">
        <x:v>RAUD236</x:v>
      </x:c>
      <x:c r="B758" s="30" t="str">
        <x:v>RCOMP236</x:v>
      </x:c>
      <x:c r="C758" s="30" t="str">
        <x:v>Audit customer identity verification, complaint handling, privacy protection, documentation, and service quality controls across all service delivery channels.</x:v>
      </x:c>
      <x:c r="D758" s="30" t="str">
        <x:v>Document Review</x:v>
      </x:c>
      <x:c r="E758" s="30" t="str">
        <x:v>Quarterly</x:v>
      </x:c>
      <x:c r="F758" s="30" t="str">
        <x:v>RETAIL</x:v>
      </x:c>
      <x:c r="G758" s="30" t="str">
        <x:v>Consumer Protection</x:v>
      </x:c>
      <x:c r="H758" s="30" t="str">
        <x:v>Yes</x:v>
      </x:c>
      <x:c r="I758" s="30" t="str">
        <x:v>Normalized from approved Pharmacy Delta Audit Procedure Master.</x:v>
      </x:c>
    </x:row>
    <x:row r="759">
      <x:c r="A759" s="30" t="str">
        <x:v>RAUD237</x:v>
      </x:c>
      <x:c r="B759" s="30" t="str">
        <x:v>RCOMP237</x:v>
      </x:c>
      <x:c r="C759" s="30" t="str">
        <x:v>Conduct annual inventory governance assessments covering procurement, storage, expiry management, recalls, supplier performance, analytics, inventory security, and regulatory compliance.</x:v>
      </x:c>
      <x:c r="D759" s="30" t="str">
        <x:v>Document Review</x:v>
      </x:c>
      <x:c r="E759" s="30" t="str">
        <x:v>Annual</x:v>
      </x:c>
      <x:c r="F759" s="30" t="str">
        <x:v>RETAIL</x:v>
      </x:c>
      <x:c r="G759" s="30" t="str">
        <x:v>Storage Controls</x:v>
      </x:c>
      <x:c r="H759" s="30" t="str">
        <x:v>Yes</x:v>
      </x:c>
      <x:c r="I759" s="30" t="str">
        <x:v>Normalized from approved Pharmacy Delta Audit Procedure Master.</x:v>
      </x:c>
    </x:row>
    <x:row r="760">
      <x:c r="A760" s="30" t="str">
        <x:v>RAUD238</x:v>
      </x:c>
      <x:c r="B760" s="30" t="str">
        <x:v>RCOMP238</x:v>
      </x:c>
      <x:c r="C760" s="30" t="str">
        <x:v>Review annual information security governance activities covering cybersecurity risks, access management, incident response, disaster recovery, audit findings, legal obligations, and improvement initiatives.</x:v>
      </x:c>
      <x:c r="D760" s="30" t="str">
        <x:v>Document Review</x:v>
      </x:c>
      <x:c r="E760" s="30" t="str">
        <x:v>Annual</x:v>
      </x:c>
      <x:c r="F760" s="30" t="str">
        <x:v>RETAIL</x:v>
      </x:c>
      <x:c r="G760" s="30" t="str">
        <x:v>General Compliance</x:v>
      </x:c>
      <x:c r="H760" s="30" t="str">
        <x:v>Yes</x:v>
      </x:c>
      <x:c r="I760" s="30" t="str">
        <x:v>Normalized from approved Pharmacy Delta Audit Procedure Master.</x:v>
      </x:c>
    </x:row>
    <x:row r="761">
      <x:c r="A761" s="30" t="str">
        <x:v>RAUD239</x:v>
      </x:c>
      <x:c r="B761" s="30" t="str">
        <x:v>RCOMP239</x:v>
      </x:c>
      <x:c r="C761" s="30" t="str">
        <x:v>Evaluate community healthcare initiatives by reviewing participation metrics, programme outcomes, regulatory compliance, management reviews, and improvement recommendations.</x:v>
      </x:c>
      <x:c r="D761" s="30" t="str">
        <x:v>Document Review</x:v>
      </x:c>
      <x:c r="E761" s="30" t="str">
        <x:v>Annual</x:v>
      </x:c>
      <x:c r="F761" s="30" t="str">
        <x:v>RETAIL</x:v>
      </x:c>
      <x:c r="G761" s="30" t="str">
        <x:v>General Compliance</x:v>
      </x:c>
      <x:c r="H761" s="30" t="str">
        <x:v>Yes</x:v>
      </x:c>
      <x:c r="I761" s="30" t="str">
        <x:v>Normalized from approved Pharmacy Delta Audit Procedure Master.</x:v>
      </x:c>
    </x:row>
    <x:row r="762">
      <x:c r="A762" s="30" t="str">
        <x:v>RAUD240</x:v>
      </x:c>
      <x:c r="B762" s="30" t="str">
        <x:v>RCOMP240</x:v>
      </x:c>
      <x:c r="C762" s="30" t="str">
        <x:v>Conduct an enterprise audit of the Retail Pharmacy Regulatory Excellence Framework covering governance, legal compliance, patient safety, dispensing quality, inventory management, cybersecurity, regulatory reporting, training, audits, inspections, risk management, and continuous improvement. Verify annual senior management approval and implementation of strategic improvement actions.</x:v>
      </x:c>
      <x:c r="D762" s="30" t="str">
        <x:v>Physical Inspection</x:v>
      </x:c>
      <x:c r="E762" s="30" t="str">
        <x:v>Annual</x:v>
      </x:c>
      <x:c r="F762" s="30" t="str">
        <x:v>RETAIL</x:v>
      </x:c>
      <x:c r="G762" s="30" t="str">
        <x:v>Inventory Controls</x:v>
      </x:c>
      <x:c r="H762" s="30" t="str">
        <x:v>Yes</x:v>
      </x:c>
      <x:c r="I762" s="30" t="str">
        <x:v>Normalized from approved Pharmacy Delta Audit Procedure Master.</x:v>
      </x:c>
    </x:row>
    <x:row r="763">
      <x:c r="A763" s="30" t="str">
        <x:v>WAUD001</x:v>
      </x:c>
      <x:c r="B763" s="30" t="str">
        <x:v>WCOMP001</x:v>
      </x:c>
      <x:c r="C763" s="30" t="str">
        <x:v>Verify segregation of quarantine, saleable, returned, damaged and expired medicine storage areas.</x:v>
      </x:c>
      <x:c r="D763" s="30" t="str">
        <x:v>Sampling</x:v>
      </x:c>
      <x:c r="E763" s="30" t="str">
        <x:v>Quarterly</x:v>
      </x:c>
      <x:c r="F763" s="30" t="str">
        <x:v>WHOLESALE</x:v>
      </x:c>
      <x:c r="G763" s="30" t="str">
        <x:v>Storage Controls</x:v>
      </x:c>
      <x:c r="H763" s="30" t="str">
        <x:v>Yes</x:v>
      </x:c>
      <x:c r="I763" s="30" t="str">
        <x:v>Normalized from approved Pharmacy Delta Audit Procedure Master.</x:v>
      </x:c>
    </x:row>
    <x:row r="764">
      <x:c r="A764" s="30" t="str">
        <x:v>WAUD002</x:v>
      </x:c>
      <x:c r="B764" s="30" t="str">
        <x:v>WCOMP002</x:v>
      </x:c>
      <x:c r="C764" s="30" t="str">
        <x:v>Verify dispatch authorization prior to release of medicines.</x:v>
      </x:c>
      <x:c r="D764" s="30" t="str">
        <x:v>Document Review</x:v>
      </x:c>
      <x:c r="E764" s="30" t="str">
        <x:v>Quarterly</x:v>
      </x:c>
      <x:c r="F764" s="30" t="str">
        <x:v>WHOLESALE</x:v>
      </x:c>
      <x:c r="G764" s="30" t="str">
        <x:v>General Compliance</x:v>
      </x:c>
      <x:c r="H764" s="30" t="str">
        <x:v>Yes</x:v>
      </x:c>
      <x:c r="I764" s="30" t="str">
        <x:v>Normalized from approved Pharmacy Delta Audit Procedure Master.</x:v>
      </x:c>
    </x:row>
    <x:row r="765">
      <x:c r="A765" s="30" t="str">
        <x:v>WAUD003</x:v>
      </x:c>
      <x:c r="B765" s="30" t="str">
        <x:v>WCOMP003</x:v>
      </x:c>
      <x:c r="C765" s="30" t="str">
        <x:v>Verify purchaser drug licence validation before supply.</x:v>
      </x:c>
      <x:c r="D765" s="30" t="str">
        <x:v>Sampling</x:v>
      </x:c>
      <x:c r="E765" s="30" t="str">
        <x:v>Quarterly</x:v>
      </x:c>
      <x:c r="F765" s="30" t="str">
        <x:v>WHOLESALE</x:v>
      </x:c>
      <x:c r="G765" s="30" t="str">
        <x:v>Licensing</x:v>
      </x:c>
      <x:c r="H765" s="30" t="str">
        <x:v>Yes</x:v>
      </x:c>
      <x:c r="I765" s="30" t="str">
        <x:v>Normalized from approved Pharmacy Delta Audit Procedure Master.</x:v>
      </x:c>
    </x:row>
    <x:row r="766">
      <x:c r="A766" s="30" t="str">
        <x:v>WAUD004</x:v>
      </x:c>
      <x:c r="B766" s="30" t="str">
        <x:v>WCOMP004</x:v>
      </x:c>
      <x:c r="C766" s="30" t="str">
        <x:v>Verify complete batch traceability from receipt to dispatch.</x:v>
      </x:c>
      <x:c r="D766" s="30" t="str">
        <x:v>Sampling</x:v>
      </x:c>
      <x:c r="E766" s="30" t="str">
        <x:v>Quarterly</x:v>
      </x:c>
      <x:c r="F766" s="30" t="str">
        <x:v>WHOLESALE</x:v>
      </x:c>
      <x:c r="G766" s="30" t="str">
        <x:v>Inventory Controls</x:v>
      </x:c>
      <x:c r="H766" s="30" t="str">
        <x:v>Yes</x:v>
      </x:c>
      <x:c r="I766" s="30" t="str">
        <x:v>Normalized from approved Pharmacy Delta Audit Procedure Master.</x:v>
      </x:c>
    </x:row>
    <x:row r="767">
      <x:c r="A767" s="30" t="str">
        <x:v>WAUD005</x:v>
      </x:c>
      <x:c r="B767" s="30" t="str">
        <x:v>WCOMP005</x:v>
      </x:c>
      <x:c r="C767" s="30" t="str">
        <x:v>Verify implementation of FEFO during stock issuance.</x:v>
      </x:c>
      <x:c r="D767" s="30" t="str">
        <x:v>Physical Inspection</x:v>
      </x:c>
      <x:c r="E767" s="30" t="str">
        <x:v>Quarterly</x:v>
      </x:c>
      <x:c r="F767" s="30" t="str">
        <x:v>WHOLESALE</x:v>
      </x:c>
      <x:c r="G767" s="30" t="str">
        <x:v>Inventory Controls</x:v>
      </x:c>
      <x:c r="H767" s="30" t="str">
        <x:v>Yes</x:v>
      </x:c>
      <x:c r="I767" s="30" t="str">
        <x:v>Normalized from approved Pharmacy Delta Audit Procedure Master.</x:v>
      </x:c>
    </x:row>
    <x:row r="768">
      <x:c r="A768" s="30" t="str">
        <x:v>WAUD006</x:v>
      </x:c>
      <x:c r="B768" s="30" t="str">
        <x:v>WCOMP006</x:v>
      </x:c>
      <x:c r="C768" s="30" t="str">
        <x:v>Verify warehouse temperature mapping studies.</x:v>
      </x:c>
      <x:c r="D768" s="30" t="str">
        <x:v>Document Review</x:v>
      </x:c>
      <x:c r="E768" s="30" t="str">
        <x:v>Annual</x:v>
      </x:c>
      <x:c r="F768" s="30" t="str">
        <x:v>WHOLESALE</x:v>
      </x:c>
      <x:c r="G768" s="30" t="str">
        <x:v>Storage Controls</x:v>
      </x:c>
      <x:c r="H768" s="30" t="str">
        <x:v>Yes</x:v>
      </x:c>
      <x:c r="I768" s="30" t="str">
        <x:v>Normalized from approved Pharmacy Delta Audit Procedure Master.</x:v>
      </x:c>
    </x:row>
    <x:row r="769">
      <x:c r="A769" s="30" t="str">
        <x:v>WAUD007</x:v>
      </x:c>
      <x:c r="B769" s="30" t="str">
        <x:v>WCOMP007</x:v>
      </x:c>
      <x:c r="C769" s="30" t="str">
        <x:v>Verify cold-chain integrity during storage and transportation.</x:v>
      </x:c>
      <x:c r="D769" s="30" t="str">
        <x:v>Record Verification</x:v>
      </x:c>
      <x:c r="E769" s="30" t="str">
        <x:v>Quarterly</x:v>
      </x:c>
      <x:c r="F769" s="30" t="str">
        <x:v>WHOLESALE</x:v>
      </x:c>
      <x:c r="G769" s="30" t="str">
        <x:v>Storage Controls</x:v>
      </x:c>
      <x:c r="H769" s="30" t="str">
        <x:v>Yes</x:v>
      </x:c>
      <x:c r="I769" s="30" t="str">
        <x:v>Normalized from approved Pharmacy Delta Audit Procedure Master.</x:v>
      </x:c>
    </x:row>
    <x:row r="770">
      <x:c r="A770" s="30" t="str">
        <x:v>WAUD008</x:v>
      </x:c>
      <x:c r="B770" s="30" t="str">
        <x:v>WCOMP008</x:v>
      </x:c>
      <x:c r="C770" s="30" t="str">
        <x:v>Verify qualification and maintenance of transport vehicles.</x:v>
      </x:c>
      <x:c r="D770" s="30" t="str">
        <x:v>Record Verification</x:v>
      </x:c>
      <x:c r="E770" s="30" t="str">
        <x:v>Annual</x:v>
      </x:c>
      <x:c r="F770" s="30" t="str">
        <x:v>WHOLESALE</x:v>
      </x:c>
      <x:c r="G770" s="30" t="str">
        <x:v>Personnel Competency</x:v>
      </x:c>
      <x:c r="H770" s="30" t="str">
        <x:v>Yes</x:v>
      </x:c>
      <x:c r="I770" s="30" t="str">
        <x:v>Normalized from approved Pharmacy Delta Audit Procedure Master.</x:v>
      </x:c>
    </x:row>
    <x:row r="771">
      <x:c r="A771" s="30" t="str">
        <x:v>WAUD009</x:v>
      </x:c>
      <x:c r="B771" s="30" t="str">
        <x:v>WCOMP009</x:v>
      </x:c>
      <x:c r="C771" s="30" t="str">
        <x:v>Verify completeness of dispatch documentation.</x:v>
      </x:c>
      <x:c r="D771" s="30" t="str">
        <x:v>Sampling</x:v>
      </x:c>
      <x:c r="E771" s="30" t="str">
        <x:v>Quarterly</x:v>
      </x:c>
      <x:c r="F771" s="30" t="str">
        <x:v>WHOLESALE</x:v>
      </x:c>
      <x:c r="G771" s="30" t="str">
        <x:v>Recordkeeping</x:v>
      </x:c>
      <x:c r="H771" s="30" t="str">
        <x:v>Yes</x:v>
      </x:c>
      <x:c r="I771" s="30" t="str">
        <x:v>Normalized from approved Pharmacy Delta Audit Procedure Master.</x:v>
      </x:c>
    </x:row>
    <x:row r="772">
      <x:c r="A772" s="30" t="str">
        <x:v>WAUD010</x:v>
      </x:c>
      <x:c r="B772" s="30" t="str">
        <x:v>WCOMP010</x:v>
      </x:c>
      <x:c r="C772" s="30" t="str">
        <x:v>Verify assessment of returned medicines before disposition.</x:v>
      </x:c>
      <x:c r="D772" s="30" t="str">
        <x:v>Physical Inspection</x:v>
      </x:c>
      <x:c r="E772" s="30" t="str">
        <x:v>Quarterly</x:v>
      </x:c>
      <x:c r="F772" s="30" t="str">
        <x:v>WHOLESALE</x:v>
      </x:c>
      <x:c r="G772" s="30" t="str">
        <x:v>Inventory Controls</x:v>
      </x:c>
      <x:c r="H772" s="30" t="str">
        <x:v>Yes</x:v>
      </x:c>
      <x:c r="I772" s="30" t="str">
        <x:v>Normalized from approved Pharmacy Delta Audit Procedure Master.</x:v>
      </x:c>
    </x:row>
    <x:row r="773">
      <x:c r="A773" s="30" t="str">
        <x:v>WAUD011</x:v>
      </x:c>
      <x:c r="B773" s="30" t="str">
        <x:v>WCOMP011</x:v>
      </x:c>
      <x:c r="C773" s="30" t="str">
        <x:v>Verify recall procedures and mock recall effectiveness.</x:v>
      </x:c>
      <x:c r="D773" s="30" t="str">
        <x:v>Document Review</x:v>
      </x:c>
      <x:c r="E773" s="30" t="str">
        <x:v>Annual</x:v>
      </x:c>
      <x:c r="F773" s="30" t="str">
        <x:v>WHOLESALE</x:v>
      </x:c>
      <x:c r="G773" s="30" t="str">
        <x:v>Inventory Controls</x:v>
      </x:c>
      <x:c r="H773" s="30" t="str">
        <x:v>Yes</x:v>
      </x:c>
      <x:c r="I773" s="30" t="str">
        <x:v>Normalized from approved Pharmacy Delta Audit Procedure Master.</x:v>
      </x:c>
    </x:row>
    <x:row r="774">
      <x:c r="A774" s="30" t="str">
        <x:v>WAUD012</x:v>
      </x:c>
      <x:c r="B774" s="30" t="str">
        <x:v>WCOMP012</x:v>
      </x:c>
      <x:c r="C774" s="30" t="str">
        <x:v>Verify procurement only from approved suppliers.</x:v>
      </x:c>
      <x:c r="D774" s="30" t="str">
        <x:v>Document Review</x:v>
      </x:c>
      <x:c r="E774" s="30" t="str">
        <x:v>Annual</x:v>
      </x:c>
      <x:c r="F774" s="30" t="str">
        <x:v>WHOLESALE</x:v>
      </x:c>
      <x:c r="G774" s="30" t="str">
        <x:v>Procurement Controls</x:v>
      </x:c>
      <x:c r="H774" s="30" t="str">
        <x:v>Yes</x:v>
      </x:c>
      <x:c r="I774" s="30" t="str">
        <x:v>Normalized from approved Pharmacy Delta Audit Procedure Master.</x:v>
      </x:c>
    </x:row>
    <x:row r="775">
      <x:c r="A775" s="30" t="str">
        <x:v>WAUD013</x:v>
      </x:c>
      <x:c r="B775" s="30" t="str">
        <x:v>WCOMP013</x:v>
      </x:c>
      <x:c r="C775" s="30" t="str">
        <x:v>Verify complaint investigation and CAPA implementation.</x:v>
      </x:c>
      <x:c r="D775" s="30" t="str">
        <x:v>Document Review</x:v>
      </x:c>
      <x:c r="E775" s="30" t="str">
        <x:v>Quarterly</x:v>
      </x:c>
      <x:c r="F775" s="30" t="str">
        <x:v>WHOLESALE</x:v>
      </x:c>
      <x:c r="G775" s="30" t="str">
        <x:v>Consumer Protection</x:v>
      </x:c>
      <x:c r="H775" s="30" t="str">
        <x:v>Yes</x:v>
      </x:c>
      <x:c r="I775" s="30" t="str">
        <x:v>Normalized from approved Pharmacy Delta Audit Procedure Master.</x:v>
      </x:c>
    </x:row>
    <x:row r="776">
      <x:c r="A776" s="30" t="str">
        <x:v>WAUD014</x:v>
      </x:c>
      <x:c r="B776" s="30" t="str">
        <x:v>WCOMP014</x:v>
      </x:c>
      <x:c r="C776" s="30" t="str">
        <x:v>Verify documented distribution risk assessments.</x:v>
      </x:c>
      <x:c r="D776" s="30" t="str">
        <x:v>Interview</x:v>
      </x:c>
      <x:c r="E776" s="30" t="str">
        <x:v>Annual</x:v>
      </x:c>
      <x:c r="F776" s="30" t="str">
        <x:v>WHOLESALE</x:v>
      </x:c>
      <x:c r="G776" s="30" t="str">
        <x:v>Recordkeeping</x:v>
      </x:c>
      <x:c r="H776" s="30" t="str">
        <x:v>Yes</x:v>
      </x:c>
      <x:c r="I776" s="30" t="str">
        <x:v>Normalized from approved Pharmacy Delta Audit Procedure Master.</x:v>
      </x:c>
    </x:row>
    <x:row r="777">
      <x:c r="A777" s="30" t="str">
        <x:v>WAUD015</x:v>
      </x:c>
      <x:c r="B777" s="30" t="str">
        <x:v>WCOMP015</x:v>
      </x:c>
      <x:c r="C777" s="30" t="str">
        <x:v>Verify warehouse physical security measures.</x:v>
      </x:c>
      <x:c r="D777" s="30" t="str">
        <x:v>Physical Inspection</x:v>
      </x:c>
      <x:c r="E777" s="30" t="str">
        <x:v>Quarterly</x:v>
      </x:c>
      <x:c r="F777" s="30" t="str">
        <x:v>WHOLESALE</x:v>
      </x:c>
      <x:c r="G777" s="30" t="str">
        <x:v>General Compliance</x:v>
      </x:c>
      <x:c r="H777" s="30" t="str">
        <x:v>Yes</x:v>
      </x:c>
      <x:c r="I777" s="30" t="str">
        <x:v>Normalized from approved Pharmacy Delta Audit Procedure Master.</x:v>
      </x:c>
    </x:row>
    <x:row r="778">
      <x:c r="A778" s="30" t="str">
        <x:v>WAUD016</x:v>
      </x:c>
      <x:c r="B778" s="30" t="str">
        <x:v>WCOMP016</x:v>
      </x:c>
      <x:c r="C778" s="30" t="str">
        <x:v>Verify implementation of pest control programme.</x:v>
      </x:c>
      <x:c r="D778" s="30" t="str">
        <x:v>Physical Inspection</x:v>
      </x:c>
      <x:c r="E778" s="30" t="str">
        <x:v>Quarterly</x:v>
      </x:c>
      <x:c r="F778" s="30" t="str">
        <x:v>WHOLESALE</x:v>
      </x:c>
      <x:c r="G778" s="30" t="str">
        <x:v>General Compliance</x:v>
      </x:c>
      <x:c r="H778" s="30" t="str">
        <x:v>Yes</x:v>
      </x:c>
      <x:c r="I778" s="30" t="str">
        <x:v>Normalized from approved Pharmacy Delta Audit Procedure Master.</x:v>
      </x:c>
    </x:row>
    <x:row r="779">
      <x:c r="A779" s="30" t="str">
        <x:v>WAUD017</x:v>
      </x:c>
      <x:c r="B779" s="30" t="str">
        <x:v>WCOMP017</x:v>
      </x:c>
      <x:c r="C779" s="30" t="str">
        <x:v>Verify validation of warehouse cleaning procedures.</x:v>
      </x:c>
      <x:c r="D779" s="30" t="str">
        <x:v>Record Verification</x:v>
      </x:c>
      <x:c r="E779" s="30" t="str">
        <x:v>Quarterly</x:v>
      </x:c>
      <x:c r="F779" s="30" t="str">
        <x:v>WHOLESALE</x:v>
      </x:c>
      <x:c r="G779" s="30" t="str">
        <x:v>SOP &amp; Training</x:v>
      </x:c>
      <x:c r="H779" s="30" t="str">
        <x:v>Yes</x:v>
      </x:c>
      <x:c r="I779" s="30" t="str">
        <x:v>Normalized from approved Pharmacy Delta Audit Procedure Master.</x:v>
      </x:c>
    </x:row>
    <x:row r="780">
      <x:c r="A780" s="30" t="str">
        <x:v>WAUD018</x:v>
      </x:c>
      <x:c r="B780" s="30" t="str">
        <x:v>WCOMP018</x:v>
      </x:c>
      <x:c r="C780" s="30" t="str">
        <x:v>Verify inventory reconciliation and discrepancy investigations.</x:v>
      </x:c>
      <x:c r="D780" s="30" t="str">
        <x:v>Reconciliation</x:v>
      </x:c>
      <x:c r="E780" s="30" t="str">
        <x:v>Monthly</x:v>
      </x:c>
      <x:c r="F780" s="30" t="str">
        <x:v>WHOLESALE</x:v>
      </x:c>
      <x:c r="G780" s="30" t="str">
        <x:v>Inventory Controls</x:v>
      </x:c>
      <x:c r="H780" s="30" t="str">
        <x:v>Yes</x:v>
      </x:c>
      <x:c r="I780" s="30" t="str">
        <x:v>Normalized from approved Pharmacy Delta Audit Procedure Master.</x:v>
      </x:c>
    </x:row>
    <x:row r="781">
      <x:c r="A781" s="30" t="str">
        <x:v>WAUD019</x:v>
      </x:c>
      <x:c r="B781" s="30" t="str">
        <x:v>WCOMP019</x:v>
      </x:c>
      <x:c r="C781" s="30" t="str">
        <x:v>Verify GDP competency training for all relevant personnel.</x:v>
      </x:c>
      <x:c r="D781" s="30" t="str">
        <x:v>Document Review</x:v>
      </x:c>
      <x:c r="E781" s="30" t="str">
        <x:v>Annual</x:v>
      </x:c>
      <x:c r="F781" s="30" t="str">
        <x:v>WHOLESALE</x:v>
      </x:c>
      <x:c r="G781" s="30" t="str">
        <x:v>Personnel Competency</x:v>
      </x:c>
      <x:c r="H781" s="30" t="str">
        <x:v>Yes</x:v>
      </x:c>
      <x:c r="I781" s="30" t="str">
        <x:v>Normalized from approved Pharmacy Delta Audit Procedure Master.</x:v>
      </x:c>
    </x:row>
    <x:row r="782">
      <x:c r="A782" s="30" t="str">
        <x:v>WAUD020</x:v>
      </x:c>
      <x:c r="B782" s="30" t="str">
        <x:v>WCOMP020</x:v>
      </x:c>
      <x:c r="C782" s="30" t="str">
        <x:v>Verify management review of distribution quality performance and follow-up actions.</x:v>
      </x:c>
      <x:c r="D782" s="30" t="str">
        <x:v>Document Review</x:v>
      </x:c>
      <x:c r="E782" s="30" t="str">
        <x:v>Quarterly</x:v>
      </x:c>
      <x:c r="F782" s="30" t="str">
        <x:v>WHOLESALE</x:v>
      </x:c>
      <x:c r="G782" s="30" t="str">
        <x:v>General Compliance</x:v>
      </x:c>
      <x:c r="H782" s="30" t="str">
        <x:v>Yes</x:v>
      </x:c>
      <x:c r="I782" s="30" t="str">
        <x:v>Normalized from approved Pharmacy Delta Audit Procedure Master.</x:v>
      </x:c>
    </x:row>
    <x:row r="783">
      <x:c r="A783" s="30" t="str">
        <x:v>HOSAUD001</x:v>
      </x:c>
      <x:c r="B783" s="30" t="str">
        <x:v>HOSCOMP001</x:v>
      </x:c>
      <x:c r="C783" s="30" t="str">
        <x:v>Verify pharmacist verification of inpatient medication orders before dispensing.</x:v>
      </x:c>
      <x:c r="D783" s="30" t="str">
        <x:v>Sampling</x:v>
      </x:c>
      <x:c r="E783" s="30" t="str">
        <x:v>Quarterly</x:v>
      </x:c>
      <x:c r="F783" s="30" t="str">
        <x:v>HOSPITAL</x:v>
      </x:c>
      <x:c r="G783" s="30" t="str">
        <x:v>Personnel Competency</x:v>
      </x:c>
      <x:c r="H783" s="30" t="str">
        <x:v>Yes</x:v>
      </x:c>
      <x:c r="I783" s="30" t="str">
        <x:v>Normalized from approved Pharmacy Delta Audit Procedure Master.</x:v>
      </x:c>
    </x:row>
    <x:row r="784">
      <x:c r="A784" s="30" t="str">
        <x:v>HOSAUD002</x:v>
      </x:c>
      <x:c r="B784" s="30" t="str">
        <x:v>HOSCOMP002</x:v>
      </x:c>
      <x:c r="C784" s="30" t="str">
        <x:v>Verify ward stock issue, return and reconciliation records.</x:v>
      </x:c>
      <x:c r="D784" s="30" t="str">
        <x:v>Reconciliation</x:v>
      </x:c>
      <x:c r="E784" s="30" t="str">
        <x:v>Monthly</x:v>
      </x:c>
      <x:c r="F784" s="30" t="str">
        <x:v>HOSPITAL</x:v>
      </x:c>
      <x:c r="G784" s="30" t="str">
        <x:v>Inventory Controls</x:v>
      </x:c>
      <x:c r="H784" s="30" t="str">
        <x:v>Yes</x:v>
      </x:c>
      <x:c r="I784" s="30" t="str">
        <x:v>Normalized from approved Pharmacy Delta Audit Procedure Master.</x:v>
      </x:c>
    </x:row>
    <x:row r="785">
      <x:c r="A785" s="30" t="str">
        <x:v>HOSAUD003</x:v>
      </x:c>
      <x:c r="B785" s="30" t="str">
        <x:v>HOSCOMP003</x:v>
      </x:c>
      <x:c r="C785" s="30" t="str">
        <x:v>Verify patient-specific dispensing against authorized medication orders.</x:v>
      </x:c>
      <x:c r="D785" s="30" t="str">
        <x:v>Record Verification</x:v>
      </x:c>
      <x:c r="E785" s="30" t="str">
        <x:v>Quarterly</x:v>
      </x:c>
      <x:c r="F785" s="30" t="str">
        <x:v>HOSPITAL</x:v>
      </x:c>
      <x:c r="G785" s="30" t="str">
        <x:v>General Compliance</x:v>
      </x:c>
      <x:c r="H785" s="30" t="str">
        <x:v>Yes</x:v>
      </x:c>
      <x:c r="I785" s="30" t="str">
        <x:v>Normalized from approved Pharmacy Delta Audit Procedure Master.</x:v>
      </x:c>
    </x:row>
    <x:row r="786">
      <x:c r="A786" s="30" t="str">
        <x:v>HOSAUD004</x:v>
      </x:c>
      <x:c r="B786" s="30" t="str">
        <x:v>HOSCOMP004</x:v>
      </x:c>
      <x:c r="C786" s="30" t="str">
        <x:v>Verify crash cart inspection, replenishment and expiry monitoring.</x:v>
      </x:c>
      <x:c r="D786" s="30" t="str">
        <x:v>Physical Inspection</x:v>
      </x:c>
      <x:c r="E786" s="30" t="str">
        <x:v>Monthly</x:v>
      </x:c>
      <x:c r="F786" s="30" t="str">
        <x:v>HOSPITAL</x:v>
      </x:c>
      <x:c r="G786" s="30" t="str">
        <x:v>Inventory Controls</x:v>
      </x:c>
      <x:c r="H786" s="30" t="str">
        <x:v>Yes</x:v>
      </x:c>
      <x:c r="I786" s="30" t="str">
        <x:v>Normalized from approved Pharmacy Delta Audit Procedure Master.</x:v>
      </x:c>
    </x:row>
    <x:row r="787">
      <x:c r="A787" s="30" t="str">
        <x:v>HOSAUD005</x:v>
      </x:c>
      <x:c r="B787" s="30" t="str">
        <x:v>HOSCOMP005</x:v>
      </x:c>
      <x:c r="C787" s="30" t="str">
        <x:v>Verify storage and identification controls for high-alert medicines.</x:v>
      </x:c>
      <x:c r="D787" s="30" t="str">
        <x:v>Physical Inspection</x:v>
      </x:c>
      <x:c r="E787" s="30" t="str">
        <x:v>Quarterly</x:v>
      </x:c>
      <x:c r="F787" s="30" t="str">
        <x:v>HOSPITAL</x:v>
      </x:c>
      <x:c r="G787" s="30" t="str">
        <x:v>Storage Controls</x:v>
      </x:c>
      <x:c r="H787" s="30" t="str">
        <x:v>Yes</x:v>
      </x:c>
      <x:c r="I787" s="30" t="str">
        <x:v>Normalized from approved Pharmacy Delta Audit Procedure Master.</x:v>
      </x:c>
    </x:row>
    <x:row r="788">
      <x:c r="A788" s="30" t="str">
        <x:v>HOSAUD006</x:v>
      </x:c>
      <x:c r="B788" s="30" t="str">
        <x:v>HOSCOMP006</x:v>
      </x:c>
      <x:c r="C788" s="30" t="str">
        <x:v>Verify narcotic issue register and controlled drug reconciliation.</x:v>
      </x:c>
      <x:c r="D788" s="30" t="str">
        <x:v>Reconciliation</x:v>
      </x:c>
      <x:c r="E788" s="30" t="str">
        <x:v>Monthly</x:v>
      </x:c>
      <x:c r="F788" s="30" t="str">
        <x:v>HOSPITAL</x:v>
      </x:c>
      <x:c r="G788" s="30" t="str">
        <x:v>Controlled Drugs</x:v>
      </x:c>
      <x:c r="H788" s="30" t="str">
        <x:v>Yes</x:v>
      </x:c>
      <x:c r="I788" s="30" t="str">
        <x:v>Normalized from approved Pharmacy Delta Audit Procedure Master.</x:v>
      </x:c>
    </x:row>
    <x:row r="789">
      <x:c r="A789" s="30" t="str">
        <x:v>HOSAUD007</x:v>
      </x:c>
      <x:c r="B789" s="30" t="str">
        <x:v>HOSCOMP007</x:v>
      </x:c>
      <x:c r="C789" s="30" t="str">
        <x:v>Verify linkage between dispensing records and medication administration records (MAR).</x:v>
      </x:c>
      <x:c r="D789" s="30" t="str">
        <x:v>Reconciliation</x:v>
      </x:c>
      <x:c r="E789" s="30" t="str">
        <x:v>Quarterly</x:v>
      </x:c>
      <x:c r="F789" s="30" t="str">
        <x:v>HOSPITAL</x:v>
      </x:c>
      <x:c r="G789" s="30" t="str">
        <x:v>Recordkeeping</x:v>
      </x:c>
      <x:c r="H789" s="30" t="str">
        <x:v>Yes</x:v>
      </x:c>
      <x:c r="I789" s="30" t="str">
        <x:v>Normalized from approved Pharmacy Delta Audit Procedure Master.</x:v>
      </x:c>
    </x:row>
    <x:row r="790">
      <x:c r="A790" s="30" t="str">
        <x:v>HOSAUD008</x:v>
      </x:c>
      <x:c r="B790" s="30" t="str">
        <x:v>HOSCOMP008</x:v>
      </x:c>
      <x:c r="C790" s="30" t="str">
        <x:v>Verify medication error reporting, investigation and CAPA implementation.</x:v>
      </x:c>
      <x:c r="D790" s="30" t="str">
        <x:v>Document Review</x:v>
      </x:c>
      <x:c r="E790" s="30" t="str">
        <x:v>Quarterly</x:v>
      </x:c>
      <x:c r="F790" s="30" t="str">
        <x:v>HOSPITAL</x:v>
      </x:c>
      <x:c r="G790" s="30" t="str">
        <x:v>General Compliance</x:v>
      </x:c>
      <x:c r="H790" s="30" t="str">
        <x:v>Yes</x:v>
      </x:c>
      <x:c r="I790" s="30" t="str">
        <x:v>Normalized from approved Pharmacy Delta Audit Procedure Master.</x:v>
      </x:c>
    </x:row>
    <x:row r="791">
      <x:c r="A791" s="30" t="str">
        <x:v>HOSAUD009</x:v>
      </x:c>
      <x:c r="B791" s="30" t="str">
        <x:v>HOSCOMP009</x:v>
      </x:c>
      <x:c r="C791" s="30" t="str">
        <x:v>Verify LASA medicine controls and storage arrangements.</x:v>
      </x:c>
      <x:c r="D791" s="30" t="str">
        <x:v>Physical Inspection</x:v>
      </x:c>
      <x:c r="E791" s="30" t="str">
        <x:v>Quarterly</x:v>
      </x:c>
      <x:c r="F791" s="30" t="str">
        <x:v>HOSPITAL</x:v>
      </x:c>
      <x:c r="G791" s="30" t="str">
        <x:v>Storage Controls</x:v>
      </x:c>
      <x:c r="H791" s="30" t="str">
        <x:v>Yes</x:v>
      </x:c>
      <x:c r="I791" s="30" t="str">
        <x:v>Normalized from approved Pharmacy Delta Audit Procedure Master.</x:v>
      </x:c>
    </x:row>
    <x:row r="792">
      <x:c r="A792" s="30" t="str">
        <x:v>HOSAUD010</x:v>
      </x:c>
      <x:c r="B792" s="30" t="str">
        <x:v>HOSCOMP010</x:v>
      </x:c>
      <x:c r="C792" s="30" t="str">
        <x:v>Verify ADR reporting process and pharmacovigilance documentation.</x:v>
      </x:c>
      <x:c r="D792" s="30" t="str">
        <x:v>Document Review</x:v>
      </x:c>
      <x:c r="E792" s="30" t="str">
        <x:v>Quarterly</x:v>
      </x:c>
      <x:c r="F792" s="30" t="str">
        <x:v>HOSPITAL</x:v>
      </x:c>
      <x:c r="G792" s="30" t="str">
        <x:v>Recordkeeping</x:v>
      </x:c>
      <x:c r="H792" s="30" t="str">
        <x:v>Yes</x:v>
      </x:c>
      <x:c r="I792" s="30" t="str">
        <x:v>Normalized from approved Pharmacy Delta Audit Procedure Master.</x:v>
      </x:c>
    </x:row>
    <x:row r="793">
      <x:c r="A793" s="30" t="str">
        <x:v>HOSAUD011</x:v>
      </x:c>
      <x:c r="B793" s="30" t="str">
        <x:v>HOSCOMP011</x:v>
      </x:c>
      <x:c r="C793" s="30" t="str">
        <x:v>Verify antimicrobial stewardship reviews and restricted antibiotic monitoring.</x:v>
      </x:c>
      <x:c r="D793" s="30" t="str">
        <x:v>Sampling</x:v>
      </x:c>
      <x:c r="E793" s="30" t="str">
        <x:v>Monthly</x:v>
      </x:c>
      <x:c r="F793" s="30" t="str">
        <x:v>HOSPITAL</x:v>
      </x:c>
      <x:c r="G793" s="30" t="str">
        <x:v>General Compliance</x:v>
      </x:c>
      <x:c r="H793" s="30" t="str">
        <x:v>Yes</x:v>
      </x:c>
      <x:c r="I793" s="30" t="str">
        <x:v>Normalized from approved Pharmacy Delta Audit Procedure Master.</x:v>
      </x:c>
    </x:row>
    <x:row r="794">
      <x:c r="A794" s="30" t="str">
        <x:v>HOSAUD012</x:v>
      </x:c>
      <x:c r="B794" s="30" t="str">
        <x:v>HOSCOMP012</x:v>
      </x:c>
      <x:c r="C794" s="30" t="str">
        <x:v>Verify documentation of pharmacist clinical interventions.</x:v>
      </x:c>
      <x:c r="D794" s="30" t="str">
        <x:v>Record Verification</x:v>
      </x:c>
      <x:c r="E794" s="30" t="str">
        <x:v>Quarterly</x:v>
      </x:c>
      <x:c r="F794" s="30" t="str">
        <x:v>HOSPITAL</x:v>
      </x:c>
      <x:c r="G794" s="30" t="str">
        <x:v>Personnel Competency</x:v>
      </x:c>
      <x:c r="H794" s="30" t="str">
        <x:v>Yes</x:v>
      </x:c>
      <x:c r="I794" s="30" t="str">
        <x:v>Normalized from approved Pharmacy Delta Audit Procedure Master.</x:v>
      </x:c>
    </x:row>
    <x:row r="795">
      <x:c r="A795" s="30" t="str">
        <x:v>HOSAUD013</x:v>
      </x:c>
      <x:c r="B795" s="30" t="str">
        <x:v>HOSCOMP013</x:v>
      </x:c>
      <x:c r="C795" s="30" t="str">
        <x:v>Verify inspection of returned ward medicines before reuse or disposal.</x:v>
      </x:c>
      <x:c r="D795" s="30" t="str">
        <x:v>Physical Inspection</x:v>
      </x:c>
      <x:c r="E795" s="30" t="str">
        <x:v>Quarterly</x:v>
      </x:c>
      <x:c r="F795" s="30" t="str">
        <x:v>HOSPITAL</x:v>
      </x:c>
      <x:c r="G795" s="30" t="str">
        <x:v>Inventory Controls</x:v>
      </x:c>
      <x:c r="H795" s="30" t="str">
        <x:v>Yes</x:v>
      </x:c>
      <x:c r="I795" s="30" t="str">
        <x:v>Normalized from approved Pharmacy Delta Audit Procedure Master.</x:v>
      </x:c>
    </x:row>
    <x:row r="796">
      <x:c r="A796" s="30" t="str">
        <x:v>HOSAUD014</x:v>
      </x:c>
      <x:c r="B796" s="30" t="str">
        <x:v>HOSCOMP014</x:v>
      </x:c>
      <x:c r="C796" s="30" t="str">
        <x:v>Verify authorization and documentation of inter-ward medicine transfers.</x:v>
      </x:c>
      <x:c r="D796" s="30" t="str">
        <x:v>Record Verification</x:v>
      </x:c>
      <x:c r="E796" s="30" t="str">
        <x:v>Quarterly</x:v>
      </x:c>
      <x:c r="F796" s="30" t="str">
        <x:v>HOSPITAL</x:v>
      </x:c>
      <x:c r="G796" s="30" t="str">
        <x:v>Recordkeeping</x:v>
      </x:c>
      <x:c r="H796" s="30" t="str">
        <x:v>Yes</x:v>
      </x:c>
      <x:c r="I796" s="30" t="str">
        <x:v>Normalized from approved Pharmacy Delta Audit Procedure Master.</x:v>
      </x:c>
    </x:row>
    <x:row r="797">
      <x:c r="A797" s="30" t="str">
        <x:v>HOSAUD015</x:v>
      </x:c>
      <x:c r="B797" s="30" t="str">
        <x:v>HOSCOMP015</x:v>
      </x:c>
      <x:c r="C797" s="30" t="str">
        <x:v>Verify refrigerated medicine temperature monitoring and excursion management.</x:v>
      </x:c>
      <x:c r="D797" s="30" t="str">
        <x:v>Physical Inspection</x:v>
      </x:c>
      <x:c r="E797" s="30" t="str">
        <x:v>Monthly</x:v>
      </x:c>
      <x:c r="F797" s="30" t="str">
        <x:v>HOSPITAL</x:v>
      </x:c>
      <x:c r="G797" s="30" t="str">
        <x:v>Storage Controls</x:v>
      </x:c>
      <x:c r="H797" s="30" t="str">
        <x:v>Yes</x:v>
      </x:c>
      <x:c r="I797" s="30" t="str">
        <x:v>Normalized from approved Pharmacy Delta Audit Procedure Master.</x:v>
      </x:c>
    </x:row>
    <x:row r="798">
      <x:c r="A798" s="30" t="str">
        <x:v>HOSAUD016</x:v>
      </x:c>
      <x:c r="B798" s="30" t="str">
        <x:v>HOSCOMP016</x:v>
      </x:c>
      <x:c r="C798" s="30" t="str">
        <x:v>Verify ward floor stock audits and reconciliation findings.</x:v>
      </x:c>
      <x:c r="D798" s="30" t="str">
        <x:v>Reconciliation</x:v>
      </x:c>
      <x:c r="E798" s="30" t="str">
        <x:v>Monthly</x:v>
      </x:c>
      <x:c r="F798" s="30" t="str">
        <x:v>HOSPITAL</x:v>
      </x:c>
      <x:c r="G798" s="30" t="str">
        <x:v>Inventory Controls</x:v>
      </x:c>
      <x:c r="H798" s="30" t="str">
        <x:v>Yes</x:v>
      </x:c>
      <x:c r="I798" s="30" t="str">
        <x:v>Normalized from approved Pharmacy Delta Audit Procedure Master.</x:v>
      </x:c>
    </x:row>
    <x:row r="799">
      <x:c r="A799" s="30" t="str">
        <x:v>HOSAUD017</x:v>
      </x:c>
      <x:c r="B799" s="30" t="str">
        <x:v>HOSCOMP017</x:v>
      </x:c>
      <x:c r="C799" s="30" t="str">
        <x:v>Verify availability of emergency medicines in designated locations.</x:v>
      </x:c>
      <x:c r="D799" s="30" t="str">
        <x:v>Physical Inspection</x:v>
      </x:c>
      <x:c r="E799" s="30" t="str">
        <x:v>Monthly</x:v>
      </x:c>
      <x:c r="F799" s="30" t="str">
        <x:v>HOSPITAL</x:v>
      </x:c>
      <x:c r="G799" s="30" t="str">
        <x:v>General Compliance</x:v>
      </x:c>
      <x:c r="H799" s="30" t="str">
        <x:v>Yes</x:v>
      </x:c>
      <x:c r="I799" s="30" t="str">
        <x:v>Normalized from approved Pharmacy Delta Audit Procedure Master.</x:v>
      </x:c>
    </x:row>
    <x:row r="800">
      <x:c r="A800" s="30" t="str">
        <x:v>HOSAUD018</x:v>
      </x:c>
      <x:c r="B800" s="30" t="str">
        <x:v>HOSCOMP018</x:v>
      </x:c>
      <x:c r="C800" s="30" t="str">
        <x:v>Verify discharge medication reconciliation process.</x:v>
      </x:c>
      <x:c r="D800" s="30" t="str">
        <x:v>Reconciliation</x:v>
      </x:c>
      <x:c r="E800" s="30" t="str">
        <x:v>Quarterly</x:v>
      </x:c>
      <x:c r="F800" s="30" t="str">
        <x:v>HOSPITAL</x:v>
      </x:c>
      <x:c r="G800" s="30" t="str">
        <x:v>General Compliance</x:v>
      </x:c>
      <x:c r="H800" s="30" t="str">
        <x:v>Yes</x:v>
      </x:c>
      <x:c r="I800" s="30" t="str">
        <x:v>Normalized from approved Pharmacy Delta Audit Procedure Master.</x:v>
      </x:c>
    </x:row>
    <x:row r="801">
      <x:c r="A801" s="30" t="str">
        <x:v>HOSAUD019</x:v>
      </x:c>
      <x:c r="B801" s="30" t="str">
        <x:v>HOSCOMP019</x:v>
      </x:c>
      <x:c r="C801" s="30" t="str">
        <x:v>Verify investigational medicine accountability records.</x:v>
      </x:c>
      <x:c r="D801" s="30" t="str">
        <x:v>Reconciliation</x:v>
      </x:c>
      <x:c r="E801" s="30" t="str">
        <x:v>Quarterly</x:v>
      </x:c>
      <x:c r="F801" s="30" t="str">
        <x:v>HOSPITAL</x:v>
      </x:c>
      <x:c r="G801" s="30" t="str">
        <x:v>Recordkeeping</x:v>
      </x:c>
      <x:c r="H801" s="30" t="str">
        <x:v>Yes</x:v>
      </x:c>
      <x:c r="I801" s="30" t="str">
        <x:v>Normalized from approved Pharmacy Delta Audit Procedure Master.</x:v>
      </x:c>
    </x:row>
    <x:row r="802">
      <x:c r="A802" s="30" t="str">
        <x:v>HOSAUD020</x:v>
      </x:c>
      <x:c r="B802" s="30" t="str">
        <x:v>HOSCOMP020</x:v>
      </x:c>
      <x:c r="C802" s="30" t="str">
        <x:v>Verify medicine storage conditions in patient care areas.</x:v>
      </x:c>
      <x:c r="D802" s="30" t="str">
        <x:v>Physical Inspection</x:v>
      </x:c>
      <x:c r="E802" s="30" t="str">
        <x:v>Quarterly</x:v>
      </x:c>
      <x:c r="F802" s="30" t="str">
        <x:v>HOSPITAL</x:v>
      </x:c>
      <x:c r="G802" s="30" t="str">
        <x:v>Storage Controls</x:v>
      </x:c>
      <x:c r="H802" s="30" t="str">
        <x:v>Yes</x:v>
      </x:c>
      <x:c r="I802" s="30" t="str">
        <x:v>Normalized from approved Pharmacy Delta Audit Procedure Master.</x:v>
      </x:c>
    </x:row>
    <x:row r="803">
      <x:c r="A803" s="30" t="str">
        <x:v>HOSAUD021</x:v>
      </x:c>
      <x:c r="B803" s="30" t="str">
        <x:v>HOSCOMP021</x:v>
      </x:c>
      <x:c r="C803" s="30" t="str">
        <x:v>Verify antimicrobial stewardship reviews and restricted antibiotic monitoring reports.</x:v>
      </x:c>
      <x:c r="D803" s="30" t="str">
        <x:v>Record Verification</x:v>
      </x:c>
      <x:c r="E803" s="30" t="str">
        <x:v>Monthly</x:v>
      </x:c>
      <x:c r="F803" s="30" t="str">
        <x:v>HOSPITAL</x:v>
      </x:c>
      <x:c r="G803" s="30" t="str">
        <x:v>General Compliance</x:v>
      </x:c>
      <x:c r="H803" s="30" t="str">
        <x:v>Yes</x:v>
      </x:c>
      <x:c r="I803" s="30" t="str">
        <x:v>Normalized from approved Pharmacy Delta Audit Procedure Master.</x:v>
      </x:c>
    </x:row>
    <x:row r="804">
      <x:c r="A804" s="30" t="str">
        <x:v>HOSAUD022</x:v>
      </x:c>
      <x:c r="B804" s="30" t="str">
        <x:v>HOSCOMP022</x:v>
      </x:c>
      <x:c r="C804" s="30" t="str">
        <x:v>Verify documentation and verification of patient-owned medicines before inpatient use.</x:v>
      </x:c>
      <x:c r="D804" s="30" t="str">
        <x:v>Physical Inspection</x:v>
      </x:c>
      <x:c r="E804" s="30" t="str">
        <x:v>Quarterly</x:v>
      </x:c>
      <x:c r="F804" s="30" t="str">
        <x:v>HOSPITAL</x:v>
      </x:c>
      <x:c r="G804" s="30" t="str">
        <x:v>Recordkeeping</x:v>
      </x:c>
      <x:c r="H804" s="30" t="str">
        <x:v>Yes</x:v>
      </x:c>
      <x:c r="I804" s="30" t="str">
        <x:v>Normalized from approved Pharmacy Delta Audit Procedure Master.</x:v>
      </x:c>
    </x:row>
    <x:row r="805">
      <x:c r="A805" s="30" t="str">
        <x:v>HOSAUD023</x:v>
      </x:c>
      <x:c r="B805" s="30" t="str">
        <x:v>HOSCOMP023</x:v>
      </x:c>
      <x:c r="C805" s="30" t="str">
        <x:v>Verify separate storage and restricted access for investigational medicines.</x:v>
      </x:c>
      <x:c r="D805" s="30" t="str">
        <x:v>Physical Inspection</x:v>
      </x:c>
      <x:c r="E805" s="30" t="str">
        <x:v>Quarterly</x:v>
      </x:c>
      <x:c r="F805" s="30" t="str">
        <x:v>HOSPITAL</x:v>
      </x:c>
      <x:c r="G805" s="30" t="str">
        <x:v>Storage Controls</x:v>
      </x:c>
      <x:c r="H805" s="30" t="str">
        <x:v>Yes</x:v>
      </x:c>
      <x:c r="I805" s="30" t="str">
        <x:v>Normalized from approved Pharmacy Delta Audit Procedure Master.</x:v>
      </x:c>
    </x:row>
    <x:row r="806">
      <x:c r="A806" s="30" t="str">
        <x:v>HOSAUD024</x:v>
      </x:c>
      <x:c r="B806" s="30" t="str">
        <x:v>HOSCOMP024</x:v>
      </x:c>
      <x:c r="C806" s="30" t="str">
        <x:v>Verify investigational medicine accountability from receipt to destruction.</x:v>
      </x:c>
      <x:c r="D806" s="30" t="str">
        <x:v>Reconciliation</x:v>
      </x:c>
      <x:c r="E806" s="30" t="str">
        <x:v>Quarterly</x:v>
      </x:c>
      <x:c r="F806" s="30" t="str">
        <x:v>HOSPITAL</x:v>
      </x:c>
      <x:c r="G806" s="30" t="str">
        <x:v>Billing Controls</x:v>
      </x:c>
      <x:c r="H806" s="30" t="str">
        <x:v>Yes</x:v>
      </x:c>
      <x:c r="I806" s="30" t="str">
        <x:v>Normalized from approved Pharmacy Delta Audit Procedure Master.</x:v>
      </x:c>
    </x:row>
    <x:row r="807">
      <x:c r="A807" s="30" t="str">
        <x:v>HOSAUD025</x:v>
      </x:c>
      <x:c r="B807" s="30" t="str">
        <x:v>HOSCOMP025</x:v>
      </x:c>
      <x:c r="C807" s="30" t="str">
        <x:v>Verify blood product storage temperatures and issue controls.</x:v>
      </x:c>
      <x:c r="D807" s="30" t="str">
        <x:v>Physical Inspection</x:v>
      </x:c>
      <x:c r="E807" s="30" t="str">
        <x:v>Monthly</x:v>
      </x:c>
      <x:c r="F807" s="30" t="str">
        <x:v>HOSPITAL</x:v>
      </x:c>
      <x:c r="G807" s="30" t="str">
        <x:v>Storage Controls</x:v>
      </x:c>
      <x:c r="H807" s="30" t="str">
        <x:v>Yes</x:v>
      </x:c>
      <x:c r="I807" s="30" t="str">
        <x:v>Normalized from approved Pharmacy Delta Audit Procedure Master.</x:v>
      </x:c>
    </x:row>
    <x:row r="808">
      <x:c r="A808" s="30" t="str">
        <x:v>HOSAUD026</x:v>
      </x:c>
      <x:c r="B808" s="30" t="str">
        <x:v>HOSCOMP026</x:v>
      </x:c>
      <x:c r="C808" s="30" t="str">
        <x:v>Verify vaccine cold-chain monitoring and temperature excursion management.</x:v>
      </x:c>
      <x:c r="D808" s="30" t="str">
        <x:v>Record Verification</x:v>
      </x:c>
      <x:c r="E808" s="30" t="str">
        <x:v>Monthly</x:v>
      </x:c>
      <x:c r="F808" s="30" t="str">
        <x:v>HOSPITAL</x:v>
      </x:c>
      <x:c r="G808" s="30" t="str">
        <x:v>Storage Controls</x:v>
      </x:c>
      <x:c r="H808" s="30" t="str">
        <x:v>Yes</x:v>
      </x:c>
      <x:c r="I808" s="30" t="str">
        <x:v>Normalized from approved Pharmacy Delta Audit Procedure Master.</x:v>
      </x:c>
    </x:row>
    <x:row r="809">
      <x:c r="A809" s="30" t="str">
        <x:v>HOSAUD027</x:v>
      </x:c>
      <x:c r="B809" s="30" t="str">
        <x:v>HOSCOMP027</x:v>
      </x:c>
      <x:c r="C809" s="30" t="str">
        <x:v>Verify governance controls over satellite pharmacy operations.</x:v>
      </x:c>
      <x:c r="D809" s="30" t="str">
        <x:v>Physical Inspection</x:v>
      </x:c>
      <x:c r="E809" s="30" t="str">
        <x:v>Quarterly</x:v>
      </x:c>
      <x:c r="F809" s="30" t="str">
        <x:v>HOSPITAL</x:v>
      </x:c>
      <x:c r="G809" s="30" t="str">
        <x:v>General Compliance</x:v>
      </x:c>
      <x:c r="H809" s="30" t="str">
        <x:v>Yes</x:v>
      </x:c>
      <x:c r="I809" s="30" t="str">
        <x:v>Normalized from approved Pharmacy Delta Audit Procedure Master.</x:v>
      </x:c>
    </x:row>
    <x:row r="810">
      <x:c r="A810" s="30" t="str">
        <x:v>HOSAUD028</x:v>
      </x:c>
      <x:c r="B810" s="30" t="str">
        <x:v>HOSCOMP028</x:v>
      </x:c>
      <x:c r="C810" s="30" t="str">
        <x:v>Verify automated dispensing cabinet access controls and inventory reconciliation.</x:v>
      </x:c>
      <x:c r="D810" s="30" t="str">
        <x:v>Reconciliation</x:v>
      </x:c>
      <x:c r="E810" s="30" t="str">
        <x:v>Monthly</x:v>
      </x:c>
      <x:c r="F810" s="30" t="str">
        <x:v>HOSPITAL</x:v>
      </x:c>
      <x:c r="G810" s="30" t="str">
        <x:v>Inventory Controls</x:v>
      </x:c>
      <x:c r="H810" s="30" t="str">
        <x:v>Yes</x:v>
      </x:c>
      <x:c r="I810" s="30" t="str">
        <x:v>Normalized from approved Pharmacy Delta Audit Procedure Master.</x:v>
      </x:c>
    </x:row>
    <x:row r="811">
      <x:c r="A811" s="30" t="str">
        <x:v>HOSAUD029</x:v>
      </x:c>
      <x:c r="B811" s="30" t="str">
        <x:v>HOSCOMP029</x:v>
      </x:c>
      <x:c r="C811" s="30" t="str">
        <x:v>Verify implementation of the medication safety programme and incident monitoring.</x:v>
      </x:c>
      <x:c r="D811" s="30" t="str">
        <x:v>Document Review</x:v>
      </x:c>
      <x:c r="E811" s="30" t="str">
        <x:v>Quarterly</x:v>
      </x:c>
      <x:c r="F811" s="30" t="str">
        <x:v>HOSPITAL</x:v>
      </x:c>
      <x:c r="G811" s="30" t="str">
        <x:v>General Compliance</x:v>
      </x:c>
      <x:c r="H811" s="30" t="str">
        <x:v>Yes</x:v>
      </x:c>
      <x:c r="I811" s="30" t="str">
        <x:v>Normalized from approved Pharmacy Delta Audit Procedure Master.</x:v>
      </x:c>
    </x:row>
    <x:row r="812">
      <x:c r="A812" s="30" t="str">
        <x:v>HOSAUD030</x:v>
      </x:c>
      <x:c r="B812" s="30" t="str">
        <x:v>HOSCOMP030</x:v>
      </x:c>
      <x:c r="C812" s="30" t="str">
        <x:v>Verify periodic review and approval of the hospital formulary.</x:v>
      </x:c>
      <x:c r="D812" s="30" t="str">
        <x:v>Record Verification</x:v>
      </x:c>
      <x:c r="E812" s="30" t="str">
        <x:v>Annual</x:v>
      </x:c>
      <x:c r="F812" s="30" t="str">
        <x:v>HOSPITAL</x:v>
      </x:c>
      <x:c r="G812" s="30" t="str">
        <x:v>General Compliance</x:v>
      </x:c>
      <x:c r="H812" s="30" t="str">
        <x:v>Yes</x:v>
      </x:c>
      <x:c r="I812" s="30" t="str">
        <x:v>Normalized from approved Pharmacy Delta Audit Procedure Master.</x:v>
      </x:c>
    </x:row>
    <x:row r="813">
      <x:c r="A813" s="30" t="str">
        <x:v>HOSAUD031</x:v>
      </x:c>
      <x:c r="B813" s="30" t="str">
        <x:v>HOSCOMP031</x:v>
      </x:c>
      <x:c r="C813" s="30" t="str">
        <x:v>Verify identification, escalation and management of drug shortages.</x:v>
      </x:c>
      <x:c r="D813" s="30" t="str">
        <x:v>Record Verification</x:v>
      </x:c>
      <x:c r="E813" s="30" t="str">
        <x:v>Quarterly</x:v>
      </x:c>
      <x:c r="F813" s="30" t="str">
        <x:v>HOSPITAL</x:v>
      </x:c>
      <x:c r="G813" s="30" t="str">
        <x:v>General Compliance</x:v>
      </x:c>
      <x:c r="H813" s="30" t="str">
        <x:v>Yes</x:v>
      </x:c>
      <x:c r="I813" s="30" t="str">
        <x:v>Normalized from approved Pharmacy Delta Audit Procedure Master.</x:v>
      </x:c>
    </x:row>
    <x:row r="814">
      <x:c r="A814" s="30" t="str">
        <x:v>HOSAUD032</x:v>
      </x:c>
      <x:c r="B814" s="30" t="str">
        <x:v>HOSCOMP032</x:v>
      </x:c>
      <x:c r="C814" s="30" t="str">
        <x:v>Verify emergency pharmaceutical inventory against disaster preparedness plans.</x:v>
      </x:c>
      <x:c r="D814" s="30" t="str">
        <x:v>Document Review</x:v>
      </x:c>
      <x:c r="E814" s="30" t="str">
        <x:v>Quarterly</x:v>
      </x:c>
      <x:c r="F814" s="30" t="str">
        <x:v>HOSPITAL</x:v>
      </x:c>
      <x:c r="G814" s="30" t="str">
        <x:v>Inventory Controls</x:v>
      </x:c>
      <x:c r="H814" s="30" t="str">
        <x:v>Yes</x:v>
      </x:c>
      <x:c r="I814" s="30" t="str">
        <x:v>Normalized from approved Pharmacy Delta Audit Procedure Master.</x:v>
      </x:c>
    </x:row>
    <x:row r="815">
      <x:c r="A815" s="30" t="str">
        <x:v>HOSAUD033</x:v>
      </x:c>
      <x:c r="B815" s="30" t="str">
        <x:v>HOSCOMP033</x:v>
      </x:c>
      <x:c r="C815" s="30" t="str">
        <x:v>Verify monitoring of outsourced pharmacy service providers against contractual KPIs.</x:v>
      </x:c>
      <x:c r="D815" s="30" t="str">
        <x:v>Document Review</x:v>
      </x:c>
      <x:c r="E815" s="30" t="str">
        <x:v>Annual</x:v>
      </x:c>
      <x:c r="F815" s="30" t="str">
        <x:v>HOSPITAL</x:v>
      </x:c>
      <x:c r="G815" s="30" t="str">
        <x:v>General Compliance</x:v>
      </x:c>
      <x:c r="H815" s="30" t="str">
        <x:v>Yes</x:v>
      </x:c>
      <x:c r="I815" s="30" t="str">
        <x:v>Normalized from approved Pharmacy Delta Audit Procedure Master.</x:v>
      </x:c>
    </x:row>
    <x:row r="816">
      <x:c r="A816" s="30" t="str">
        <x:v>HOSAUD034</x:v>
      </x:c>
      <x:c r="B816" s="30" t="str">
        <x:v>HOSCOMP034</x:v>
      </x:c>
      <x:c r="C816" s="30" t="str">
        <x:v>Verify telepharmacy consultations, authentication and documentation controls.</x:v>
      </x:c>
      <x:c r="D816" s="30" t="str">
        <x:v>System Verification</x:v>
      </x:c>
      <x:c r="E816" s="30" t="str">
        <x:v>Quarterly</x:v>
      </x:c>
      <x:c r="F816" s="30" t="str">
        <x:v>HOSPITAL</x:v>
      </x:c>
      <x:c r="G816" s="30" t="str">
        <x:v>Recordkeeping</x:v>
      </x:c>
      <x:c r="H816" s="30" t="str">
        <x:v>Yes</x:v>
      </x:c>
      <x:c r="I816" s="30" t="str">
        <x:v>Normalized from approved Pharmacy Delta Audit Procedure Master.</x:v>
      </x:c>
    </x:row>
    <x:row r="817">
      <x:c r="A817" s="30" t="str">
        <x:v>HOSAUD035</x:v>
      </x:c>
      <x:c r="B817" s="30" t="str">
        <x:v>HOSCOMP035</x:v>
      </x:c>
      <x:c r="C817" s="30" t="str">
        <x:v>Verify storage, preparation and disposal controls for hazardous medicines.</x:v>
      </x:c>
      <x:c r="D817" s="30" t="str">
        <x:v>Physical Inspection</x:v>
      </x:c>
      <x:c r="E817" s="30" t="str">
        <x:v>Quarterly</x:v>
      </x:c>
      <x:c r="F817" s="30" t="str">
        <x:v>HOSPITAL</x:v>
      </x:c>
      <x:c r="G817" s="30" t="str">
        <x:v>Storage Controls</x:v>
      </x:c>
      <x:c r="H817" s="30" t="str">
        <x:v>Yes</x:v>
      </x:c>
      <x:c r="I817" s="30" t="str">
        <x:v>Normalized from approved Pharmacy Delta Audit Procedure Master.</x:v>
      </x:c>
    </x:row>
    <x:row r="818">
      <x:c r="A818" s="30" t="str">
        <x:v>HOSAUD036</x:v>
      </x:c>
      <x:c r="B818" s="30" t="str">
        <x:v>HOSCOMP036</x:v>
      </x:c>
      <x:c r="C818" s="30" t="str">
        <x:v>Verify pharmacist credentialing, competency assessment and renewal records.</x:v>
      </x:c>
      <x:c r="D818" s="30" t="str">
        <x:v>Record Verification</x:v>
      </x:c>
      <x:c r="E818" s="30" t="str">
        <x:v>Annual</x:v>
      </x:c>
      <x:c r="F818" s="30" t="str">
        <x:v>HOSPITAL</x:v>
      </x:c>
      <x:c r="G818" s="30" t="str">
        <x:v>Licensing</x:v>
      </x:c>
      <x:c r="H818" s="30" t="str">
        <x:v>Yes</x:v>
      </x:c>
      <x:c r="I818" s="30" t="str">
        <x:v>Normalized from approved Pharmacy Delta Audit Procedure Master.</x:v>
      </x:c>
    </x:row>
    <x:row r="819">
      <x:c r="A819" s="30" t="str">
        <x:v>HOSAUD037</x:v>
      </x:c>
      <x:c r="B819" s="30" t="str">
        <x:v>HOSCOMP037</x:v>
      </x:c>
      <x:c r="C819" s="30" t="str">
        <x:v>Verify monitoring and reporting of pharmacy KPIs.</x:v>
      </x:c>
      <x:c r="D819" s="30" t="str">
        <x:v>Interview</x:v>
      </x:c>
      <x:c r="E819" s="30" t="str">
        <x:v>Monthly</x:v>
      </x:c>
      <x:c r="F819" s="30" t="str">
        <x:v>HOSPITAL</x:v>
      </x:c>
      <x:c r="G819" s="30" t="str">
        <x:v>General Compliance</x:v>
      </x:c>
      <x:c r="H819" s="30" t="str">
        <x:v>Yes</x:v>
      </x:c>
      <x:c r="I819" s="30" t="str">
        <x:v>Normalized from approved Pharmacy Delta Audit Procedure Master.</x:v>
      </x:c>
    </x:row>
    <x:row r="820">
      <x:c r="A820" s="30" t="str">
        <x:v>HOSAUD038</x:v>
      </x:c>
      <x:c r="B820" s="30" t="str">
        <x:v>HOSCOMP038</x:v>
      </x:c>
      <x:c r="C820" s="30" t="str">
        <x:v>Verify governance committee meetings and closure of action items.</x:v>
      </x:c>
      <x:c r="D820" s="30" t="str">
        <x:v>Document Review</x:v>
      </x:c>
      <x:c r="E820" s="30" t="str">
        <x:v>Quarterly</x:v>
      </x:c>
      <x:c r="F820" s="30" t="str">
        <x:v>HOSPITAL</x:v>
      </x:c>
      <x:c r="G820" s="30" t="str">
        <x:v>General Compliance</x:v>
      </x:c>
      <x:c r="H820" s="30" t="str">
        <x:v>Yes</x:v>
      </x:c>
      <x:c r="I820" s="30" t="str">
        <x:v>Normalized from approved Pharmacy Delta Audit Procedure Master.</x:v>
      </x:c>
    </x:row>
    <x:row r="821">
      <x:c r="A821" s="30" t="str">
        <x:v>HOSAUD039</x:v>
      </x:c>
      <x:c r="B821" s="30" t="str">
        <x:v>HOSCOMP039</x:v>
      </x:c>
      <x:c r="C821" s="30" t="str">
        <x:v>Verify monitoring of medication safety indicators and implementation of corrective actions.</x:v>
      </x:c>
      <x:c r="D821" s="30" t="str">
        <x:v>Document Review</x:v>
      </x:c>
      <x:c r="E821" s="30" t="str">
        <x:v>Monthly</x:v>
      </x:c>
      <x:c r="F821" s="30" t="str">
        <x:v>HOSPITAL</x:v>
      </x:c>
      <x:c r="G821" s="30" t="str">
        <x:v>General Compliance</x:v>
      </x:c>
      <x:c r="H821" s="30" t="str">
        <x:v>Yes</x:v>
      </x:c>
      <x:c r="I821" s="30" t="str">
        <x:v>Normalized from approved Pharmacy Delta Audit Procedure Master.</x:v>
      </x:c>
    </x:row>
    <x:row r="822">
      <x:c r="A822" s="30" t="str">
        <x:v>HOSAUD040</x:v>
      </x:c>
      <x:c r="B822" s="30" t="str">
        <x:v>HOSCOMP040</x:v>
      </x:c>
      <x:c r="C822" s="30" t="str">
        <x:v>Verify implementation and effectiveness of the Hospital Pharmacy Quality Management System.</x:v>
      </x:c>
      <x:c r="D822" s="30" t="str">
        <x:v>Interview</x:v>
      </x:c>
      <x:c r="E822" s="30" t="str">
        <x:v>Annual</x:v>
      </x:c>
      <x:c r="F822" s="30" t="str">
        <x:v>HOSPITAL</x:v>
      </x:c>
      <x:c r="G822" s="30" t="str">
        <x:v>Digital Controls</x:v>
      </x:c>
      <x:c r="H822" s="30" t="str">
        <x:v>Yes</x:v>
      </x:c>
      <x:c r="I822" s="30" t="str">
        <x:v>Normalized from approved Pharmacy Delta Audit Procedure Master.</x:v>
      </x:c>
    </x:row>
    <x:row r="823">
      <x:c r="A823" s="30" t="str">
        <x:v>CAUD001</x:v>
      </x:c>
      <x:c r="B823" s="30" t="str">
        <x:v>CCOMP001</x:v>
      </x:c>
      <x:c r="C823" s="30" t="str">
        <x:v>Verify all branches are operating under the latest approved SOP versions.</x:v>
      </x:c>
      <x:c r="D823" s="30" t="str">
        <x:v>Document Review</x:v>
      </x:c>
      <x:c r="E823" s="30" t="str">
        <x:v>Quarterly</x:v>
      </x:c>
      <x:c r="F823" s="30" t="str">
        <x:v>CHAIN</x:v>
      </x:c>
      <x:c r="G823" s="30" t="str">
        <x:v>SOP &amp; Training</x:v>
      </x:c>
      <x:c r="H823" s="30" t="str">
        <x:v>Yes</x:v>
      </x:c>
      <x:c r="I823" s="30" t="str">
        <x:v>Normalized from approved Pharmacy Delta Audit Procedure Master.</x:v>
      </x:c>
    </x:row>
    <x:row r="824">
      <x:c r="A824" s="30" t="str">
        <x:v>CAUD002</x:v>
      </x:c>
      <x:c r="B824" s="30" t="str">
        <x:v>CCOMP002</x:v>
      </x:c>
      <x:c r="C824" s="30" t="str">
        <x:v>Verify validity of licences and renewal tracking for all pharmacy branches.</x:v>
      </x:c>
      <x:c r="D824" s="30" t="str">
        <x:v>Document Review</x:v>
      </x:c>
      <x:c r="E824" s="30" t="str">
        <x:v>Quarterly</x:v>
      </x:c>
      <x:c r="F824" s="30" t="str">
        <x:v>CHAIN</x:v>
      </x:c>
      <x:c r="G824" s="30" t="str">
        <x:v>Licensing</x:v>
      </x:c>
      <x:c r="H824" s="30" t="str">
        <x:v>Yes</x:v>
      </x:c>
      <x:c r="I824" s="30" t="str">
        <x:v>Normalized from approved Pharmacy Delta Audit Procedure Master.</x:v>
      </x:c>
    </x:row>
    <x:row r="825">
      <x:c r="A825" s="30" t="str">
        <x:v>CAUD003</x:v>
      </x:c>
      <x:c r="B825" s="30" t="str">
        <x:v>CCOMP003</x:v>
      </x:c>
      <x:c r="C825" s="30" t="str">
        <x:v>Verify procurement is performed only through approved suppliers and corporate procedures.</x:v>
      </x:c>
      <x:c r="D825" s="30" t="str">
        <x:v>Record Verification</x:v>
      </x:c>
      <x:c r="E825" s="30" t="str">
        <x:v>Quarterly</x:v>
      </x:c>
      <x:c r="F825" s="30" t="str">
        <x:v>CHAIN</x:v>
      </x:c>
      <x:c r="G825" s="30" t="str">
        <x:v>SOP &amp; Training</x:v>
      </x:c>
      <x:c r="H825" s="30" t="str">
        <x:v>Yes</x:v>
      </x:c>
      <x:c r="I825" s="30" t="str">
        <x:v>Normalized from approved Pharmacy Delta Audit Procedure Master.</x:v>
      </x:c>
    </x:row>
    <x:row r="826">
      <x:c r="A826" s="30" t="str">
        <x:v>CAUD004</x:v>
      </x:c>
      <x:c r="B826" s="30" t="str">
        <x:v>CCOMP004</x:v>
      </x:c>
      <x:c r="C826" s="30" t="str">
        <x:v>Verify inventory controls are consistently implemented across all branches.</x:v>
      </x:c>
      <x:c r="D826" s="30" t="str">
        <x:v>Document Review</x:v>
      </x:c>
      <x:c r="E826" s="30" t="str">
        <x:v>Quarterly</x:v>
      </x:c>
      <x:c r="F826" s="30" t="str">
        <x:v>CHAIN</x:v>
      </x:c>
      <x:c r="G826" s="30" t="str">
        <x:v>Inventory Controls</x:v>
      </x:c>
      <x:c r="H826" s="30" t="str">
        <x:v>Yes</x:v>
      </x:c>
      <x:c r="I826" s="30" t="str">
        <x:v>Normalized from approved Pharmacy Delta Audit Procedure Master.</x:v>
      </x:c>
    </x:row>
    <x:row r="827">
      <x:c r="A827" s="30" t="str">
        <x:v>CAUD005</x:v>
      </x:c>
      <x:c r="B827" s="30" t="str">
        <x:v>CCOMP005</x:v>
      </x:c>
      <x:c r="C827" s="30" t="str">
        <x:v>Verify inter-branch medicine transfers are properly authorized and traceable.</x:v>
      </x:c>
      <x:c r="D827" s="30" t="str">
        <x:v>Reconciliation</x:v>
      </x:c>
      <x:c r="E827" s="30" t="str">
        <x:v>Quarterly</x:v>
      </x:c>
      <x:c r="F827" s="30" t="str">
        <x:v>CHAIN</x:v>
      </x:c>
      <x:c r="G827" s="30" t="str">
        <x:v>General Compliance</x:v>
      </x:c>
      <x:c r="H827" s="30" t="str">
        <x:v>Yes</x:v>
      </x:c>
      <x:c r="I827" s="30" t="str">
        <x:v>Normalized from approved Pharmacy Delta Audit Procedure Master.</x:v>
      </x:c>
    </x:row>
    <x:row r="828">
      <x:c r="A828" s="30" t="str">
        <x:v>CAUD006</x:v>
      </x:c>
      <x:c r="B828" s="30" t="str">
        <x:v>CCOMP006</x:v>
      </x:c>
      <x:c r="C828" s="30" t="str">
        <x:v>Verify enterprise recall procedures are executed consistently across all branches.</x:v>
      </x:c>
      <x:c r="D828" s="30" t="str">
        <x:v>Sampling</x:v>
      </x:c>
      <x:c r="E828" s="30" t="str">
        <x:v>Annual</x:v>
      </x:c>
      <x:c r="F828" s="30" t="str">
        <x:v>CHAIN</x:v>
      </x:c>
      <x:c r="G828" s="30" t="str">
        <x:v>Inventory Controls</x:v>
      </x:c>
      <x:c r="H828" s="30" t="str">
        <x:v>Yes</x:v>
      </x:c>
      <x:c r="I828" s="30" t="str">
        <x:v>Normalized from approved Pharmacy Delta Audit Procedure Master.</x:v>
      </x:c>
    </x:row>
    <x:row r="829">
      <x:c r="A829" s="30" t="str">
        <x:v>CAUD007</x:v>
      </x:c>
      <x:c r="B829" s="30" t="str">
        <x:v>CCOMP007</x:v>
      </x:c>
      <x:c r="C829" s="30" t="str">
        <x:v>Verify complaints are logged, investigated and closed through the centralized complaint system.</x:v>
      </x:c>
      <x:c r="D829" s="30" t="str">
        <x:v>System Verification</x:v>
      </x:c>
      <x:c r="E829" s="30" t="str">
        <x:v>Quarterly</x:v>
      </x:c>
      <x:c r="F829" s="30" t="str">
        <x:v>CHAIN</x:v>
      </x:c>
      <x:c r="G829" s="30" t="str">
        <x:v>Digital Controls</x:v>
      </x:c>
      <x:c r="H829" s="30" t="str">
        <x:v>Yes</x:v>
      </x:c>
      <x:c r="I829" s="30" t="str">
        <x:v>Normalized from approved Pharmacy Delta Audit Procedure Master.</x:v>
      </x:c>
    </x:row>
    <x:row r="830">
      <x:c r="A830" s="30" t="str">
        <x:v>CAUD008</x:v>
      </x:c>
      <x:c r="B830" s="30" t="str">
        <x:v>CCOMP008</x:v>
      </x:c>
      <x:c r="C830" s="30" t="str">
        <x:v>Verify CAPA actions are implemented and closed within defined timelines.</x:v>
      </x:c>
      <x:c r="D830" s="30" t="str">
        <x:v>Document Review</x:v>
      </x:c>
      <x:c r="E830" s="30" t="str">
        <x:v>Quarterly</x:v>
      </x:c>
      <x:c r="F830" s="30" t="str">
        <x:v>CHAIN</x:v>
      </x:c>
      <x:c r="G830" s="30" t="str">
        <x:v>General Compliance</x:v>
      </x:c>
      <x:c r="H830" s="30" t="str">
        <x:v>Yes</x:v>
      </x:c>
      <x:c r="I830" s="30" t="str">
        <x:v>Normalized from approved Pharmacy Delta Audit Procedure Master.</x:v>
      </x:c>
    </x:row>
    <x:row r="831">
      <x:c r="A831" s="30" t="str">
        <x:v>CAUD009</x:v>
      </x:c>
      <x:c r="B831" s="30" t="str">
        <x:v>CCOMP009</x:v>
      </x:c>
      <x:c r="C831" s="30" t="str">
        <x:v>Verify internal audits are performed at every branch according to the approved audit plan.</x:v>
      </x:c>
      <x:c r="D831" s="30" t="str">
        <x:v>Document Review</x:v>
      </x:c>
      <x:c r="E831" s="30" t="str">
        <x:v>Quarterly</x:v>
      </x:c>
      <x:c r="F831" s="30" t="str">
        <x:v>CHAIN</x:v>
      </x:c>
      <x:c r="G831" s="30" t="str">
        <x:v>General Compliance</x:v>
      </x:c>
      <x:c r="H831" s="30" t="str">
        <x:v>Yes</x:v>
      </x:c>
      <x:c r="I831" s="30" t="str">
        <x:v>Normalized from approved Pharmacy Delta Audit Procedure Master.</x:v>
      </x:c>
    </x:row>
    <x:row r="832">
      <x:c r="A832" s="30" t="str">
        <x:v>CAUD010</x:v>
      </x:c>
      <x:c r="B832" s="30" t="str">
        <x:v>CCOMP010</x:v>
      </x:c>
      <x:c r="C832" s="30" t="str">
        <x:v>Verify centralized training records and competency assessments for pharmacy personnel.</x:v>
      </x:c>
      <x:c r="D832" s="30" t="str">
        <x:v>Record Verification</x:v>
      </x:c>
      <x:c r="E832" s="30" t="str">
        <x:v>Annual</x:v>
      </x:c>
      <x:c r="F832" s="30" t="str">
        <x:v>CHAIN</x:v>
      </x:c>
      <x:c r="G832" s="30" t="str">
        <x:v>Personnel Competency</x:v>
      </x:c>
      <x:c r="H832" s="30" t="str">
        <x:v>Yes</x:v>
      </x:c>
      <x:c r="I832" s="30" t="str">
        <x:v>Normalized from approved Pharmacy Delta Audit Procedure Master.</x:v>
      </x:c>
    </x:row>
    <x:row r="833">
      <x:c r="A833" s="30" t="str">
        <x:v>CAUD011</x:v>
      </x:c>
      <x:c r="B833" s="30" t="str">
        <x:v>CCOMP011</x:v>
      </x:c>
      <x:c r="C833" s="30" t="str">
        <x:v>Verify enterprise KPI monitoring and management review processes.</x:v>
      </x:c>
      <x:c r="D833" s="30" t="str">
        <x:v>Interview</x:v>
      </x:c>
      <x:c r="E833" s="30" t="str">
        <x:v>Monthly</x:v>
      </x:c>
      <x:c r="F833" s="30" t="str">
        <x:v>CHAIN</x:v>
      </x:c>
      <x:c r="G833" s="30" t="str">
        <x:v>General Compliance</x:v>
      </x:c>
      <x:c r="H833" s="30" t="str">
        <x:v>Yes</x:v>
      </x:c>
      <x:c r="I833" s="30" t="str">
        <x:v>Normalized from approved Pharmacy Delta Audit Procedure Master.</x:v>
      </x:c>
    </x:row>
    <x:row r="834">
      <x:c r="A834" s="30" t="str">
        <x:v>CAUD012</x:v>
      </x:c>
      <x:c r="B834" s="30" t="str">
        <x:v>CCOMP012</x:v>
      </x:c>
      <x:c r="C834" s="30" t="str">
        <x:v>Verify centralized branch compliance dashboard accuracy and follow-up actions.</x:v>
      </x:c>
      <x:c r="D834" s="30" t="str">
        <x:v>Document Review</x:v>
      </x:c>
      <x:c r="E834" s="30" t="str">
        <x:v>Monthly</x:v>
      </x:c>
      <x:c r="F834" s="30" t="str">
        <x:v>CHAIN</x:v>
      </x:c>
      <x:c r="G834" s="30" t="str">
        <x:v>General Compliance</x:v>
      </x:c>
      <x:c r="H834" s="30" t="str">
        <x:v>Yes</x:v>
      </x:c>
      <x:c r="I834" s="30" t="str">
        <x:v>Normalized from approved Pharmacy Delta Audit Procedure Master.</x:v>
      </x:c>
    </x:row>
    <x:row r="835">
      <x:c r="A835" s="30" t="str">
        <x:v>CAUD013</x:v>
      </x:c>
      <x:c r="B835" s="30" t="str">
        <x:v>CCOMP013</x:v>
      </x:c>
      <x:c r="C835" s="30" t="str">
        <x:v>Verify document control procedures ensure only current SOPs are in use.</x:v>
      </x:c>
      <x:c r="D835" s="30" t="str">
        <x:v>Document Review</x:v>
      </x:c>
      <x:c r="E835" s="30" t="str">
        <x:v>Quarterly</x:v>
      </x:c>
      <x:c r="F835" s="30" t="str">
        <x:v>CHAIN</x:v>
      </x:c>
      <x:c r="G835" s="30" t="str">
        <x:v>SOP &amp; Training</x:v>
      </x:c>
      <x:c r="H835" s="30" t="str">
        <x:v>Yes</x:v>
      </x:c>
      <x:c r="I835" s="30" t="str">
        <x:v>Normalized from approved Pharmacy Delta Audit Procedure Master.</x:v>
      </x:c>
    </x:row>
    <x:row r="836">
      <x:c r="A836" s="30" t="str">
        <x:v>CAUD014</x:v>
      </x:c>
      <x:c r="B836" s="30" t="str">
        <x:v>CCOMP014</x:v>
      </x:c>
      <x:c r="C836" s="30" t="str">
        <x:v>Verify centralized monitoring of branch temperature records and deviation management.</x:v>
      </x:c>
      <x:c r="D836" s="30" t="str">
        <x:v>Record Verification</x:v>
      </x:c>
      <x:c r="E836" s="30" t="str">
        <x:v>Monthly</x:v>
      </x:c>
      <x:c r="F836" s="30" t="str">
        <x:v>CHAIN</x:v>
      </x:c>
      <x:c r="G836" s="30" t="str">
        <x:v>Storage Controls</x:v>
      </x:c>
      <x:c r="H836" s="30" t="str">
        <x:v>Yes</x:v>
      </x:c>
      <x:c r="I836" s="30" t="str">
        <x:v>Normalized from approved Pharmacy Delta Audit Procedure Master.</x:v>
      </x:c>
    </x:row>
    <x:row r="837">
      <x:c r="A837" s="30" t="str">
        <x:v>CAUD015</x:v>
      </x:c>
      <x:c r="B837" s="30" t="str">
        <x:v>CCOMP015</x:v>
      </x:c>
      <x:c r="C837" s="30" t="str">
        <x:v>Verify supplier performance evaluations are completed and documented.</x:v>
      </x:c>
      <x:c r="D837" s="30" t="str">
        <x:v>Document Review</x:v>
      </x:c>
      <x:c r="E837" s="30" t="str">
        <x:v>Annual</x:v>
      </x:c>
      <x:c r="F837" s="30" t="str">
        <x:v>CHAIN</x:v>
      </x:c>
      <x:c r="G837" s="30" t="str">
        <x:v>Procurement Controls</x:v>
      </x:c>
      <x:c r="H837" s="30" t="str">
        <x:v>Yes</x:v>
      </x:c>
      <x:c r="I837" s="30" t="str">
        <x:v>Normalized from approved Pharmacy Delta Audit Procedure Master.</x:v>
      </x:c>
    </x:row>
    <x:row r="838">
      <x:c r="A838" s="30" t="str">
        <x:v>CAUD016</x:v>
      </x:c>
      <x:c r="B838" s="30" t="str">
        <x:v>CCOMP016</x:v>
      </x:c>
      <x:c r="C838" s="30" t="str">
        <x:v>Verify enterprise pharmacy risks are identified, reviewed and mitigated.</x:v>
      </x:c>
      <x:c r="D838" s="30" t="str">
        <x:v>Interview</x:v>
      </x:c>
      <x:c r="E838" s="30" t="str">
        <x:v>Quarterly</x:v>
      </x:c>
      <x:c r="F838" s="30" t="str">
        <x:v>CHAIN</x:v>
      </x:c>
      <x:c r="G838" s="30" t="str">
        <x:v>General Compliance</x:v>
      </x:c>
      <x:c r="H838" s="30" t="str">
        <x:v>Yes</x:v>
      </x:c>
      <x:c r="I838" s="30" t="str">
        <x:v>Normalized from approved Pharmacy Delta Audit Procedure Master.</x:v>
      </x:c>
    </x:row>
    <x:row r="839">
      <x:c r="A839" s="30" t="str">
        <x:v>CAUD017</x:v>
      </x:c>
      <x:c r="B839" s="30" t="str">
        <x:v>CCOMP017</x:v>
      </x:c>
      <x:c r="C839" s="30" t="str">
        <x:v>Verify franchise pharmacies comply with corporate regulatory standards.</x:v>
      </x:c>
      <x:c r="D839" s="30" t="str">
        <x:v>Physical Inspection</x:v>
      </x:c>
      <x:c r="E839" s="30" t="str">
        <x:v>Annual</x:v>
      </x:c>
      <x:c r="F839" s="30" t="str">
        <x:v>CHAIN</x:v>
      </x:c>
      <x:c r="G839" s="30" t="str">
        <x:v>General Compliance</x:v>
      </x:c>
      <x:c r="H839" s="30" t="str">
        <x:v>Yes</x:v>
      </x:c>
      <x:c r="I839" s="30" t="str">
        <x:v>Normalized from approved Pharmacy Delta Audit Procedure Master.</x:v>
      </x:c>
    </x:row>
    <x:row r="840">
      <x:c r="A840" s="30" t="str">
        <x:v>CAUD018</x:v>
      </x:c>
      <x:c r="B840" s="30" t="str">
        <x:v>CCOMP018</x:v>
      </x:c>
      <x:c r="C840" s="30" t="str">
        <x:v>Verify business continuity plans are tested and updated.</x:v>
      </x:c>
      <x:c r="D840" s="30" t="str">
        <x:v>Sampling</x:v>
      </x:c>
      <x:c r="E840" s="30" t="str">
        <x:v>Annual</x:v>
      </x:c>
      <x:c r="F840" s="30" t="str">
        <x:v>CHAIN</x:v>
      </x:c>
      <x:c r="G840" s="30" t="str">
        <x:v>General Compliance</x:v>
      </x:c>
      <x:c r="H840" s="30" t="str">
        <x:v>Yes</x:v>
      </x:c>
      <x:c r="I840" s="30" t="str">
        <x:v>Normalized from approved Pharmacy Delta Audit Procedure Master.</x:v>
      </x:c>
    </x:row>
    <x:row r="841">
      <x:c r="A841" s="30" t="str">
        <x:v>CAUD019</x:v>
      </x:c>
      <x:c r="B841" s="30" t="str">
        <x:v>CCOMP019</x:v>
      </x:c>
      <x:c r="C841" s="30" t="str">
        <x:v>Verify centralized regulatory reporting and statutory filing controls.</x:v>
      </x:c>
      <x:c r="D841" s="30" t="str">
        <x:v>Record Verification</x:v>
      </x:c>
      <x:c r="E841" s="30" t="str">
        <x:v>Quarterly</x:v>
      </x:c>
      <x:c r="F841" s="30" t="str">
        <x:v>CHAIN</x:v>
      </x:c>
      <x:c r="G841" s="30" t="str">
        <x:v>General Compliance</x:v>
      </x:c>
      <x:c r="H841" s="30" t="str">
        <x:v>Yes</x:v>
      </x:c>
      <x:c r="I841" s="30" t="str">
        <x:v>Normalized from approved Pharmacy Delta Audit Procedure Master.</x:v>
      </x:c>
    </x:row>
    <x:row r="842">
      <x:c r="A842" s="30" t="str">
        <x:v>CAUD020</x:v>
      </x:c>
      <x:c r="B842" s="30" t="str">
        <x:v>CCOMP020</x:v>
      </x:c>
      <x:c r="C842" s="30" t="str">
        <x:v>Verify enterprise pharmacy quality reviews and management actions are completed.</x:v>
      </x:c>
      <x:c r="D842" s="30" t="str">
        <x:v>Record Verification</x:v>
      </x:c>
      <x:c r="E842" s="30" t="str">
        <x:v>Quarterly</x:v>
      </x:c>
      <x:c r="F842" s="30" t="str">
        <x:v>CHAIN</x:v>
      </x:c>
      <x:c r="G842" s="30" t="str">
        <x:v>General Compliance</x:v>
      </x:c>
      <x:c r="H842" s="30" t="str">
        <x:v>Yes</x:v>
      </x:c>
      <x:c r="I842" s="30" t="str">
        <x:v>Normalized from approved Pharmacy Delta Audit Procedure Master.</x:v>
      </x:c>
    </x:row>
    <x:row r="843">
      <x:c r="A843" s="30" t="str">
        <x:v>EAUD001</x:v>
      </x:c>
      <x:c r="B843" s="30" t="str">
        <x:v>ECOMP001</x:v>
      </x:c>
      <x:c r="C843" s="30" t="str">
        <x:v>Verify electronic prescription validation before medicine dispensing.</x:v>
      </x:c>
      <x:c r="D843" s="30" t="str">
        <x:v>System Verification</x:v>
      </x:c>
      <x:c r="E843" s="30" t="str">
        <x:v>Quarterly</x:v>
      </x:c>
      <x:c r="F843" s="30" t="str">
        <x:v>EPHARMACY</x:v>
      </x:c>
      <x:c r="G843" s="30" t="str">
        <x:v>Prescription Controls</x:v>
      </x:c>
      <x:c r="H843" s="30" t="str">
        <x:v>Yes</x:v>
      </x:c>
      <x:c r="I843" s="30" t="str">
        <x:v>Normalized from approved Pharmacy Delta Audit Procedure Master.</x:v>
      </x:c>
    </x:row>
    <x:row r="844">
      <x:c r="A844" s="30" t="str">
        <x:v>EAUD002</x:v>
      </x:c>
      <x:c r="B844" s="30" t="str">
        <x:v>ECOMP002</x:v>
      </x:c>
      <x:c r="C844" s="30" t="str">
        <x:v>Verify customer identity verification prior to prescription medicine fulfillment.</x:v>
      </x:c>
      <x:c r="D844" s="30" t="str">
        <x:v>Document Review</x:v>
      </x:c>
      <x:c r="E844" s="30" t="str">
        <x:v>Quarterly</x:v>
      </x:c>
      <x:c r="F844" s="30" t="str">
        <x:v>EPHARMACY</x:v>
      </x:c>
      <x:c r="G844" s="30" t="str">
        <x:v>Prescription Controls</x:v>
      </x:c>
      <x:c r="H844" s="30" t="str">
        <x:v>Yes</x:v>
      </x:c>
      <x:c r="I844" s="30" t="str">
        <x:v>Normalized from approved Pharmacy Delta Audit Procedure Master.</x:v>
      </x:c>
    </x:row>
    <x:row r="845">
      <x:c r="A845" s="30" t="str">
        <x:v>EAUD003</x:v>
      </x:c>
      <x:c r="B845" s="30" t="str">
        <x:v>ECOMP003</x:v>
      </x:c>
      <x:c r="C845" s="30" t="str">
        <x:v>Verify pharmacist approval workflow before order dispatch.</x:v>
      </x:c>
      <x:c r="D845" s="30" t="str">
        <x:v>Record Verification</x:v>
      </x:c>
      <x:c r="E845" s="30" t="str">
        <x:v>Quarterly</x:v>
      </x:c>
      <x:c r="F845" s="30" t="str">
        <x:v>EPHARMACY</x:v>
      </x:c>
      <x:c r="G845" s="30" t="str">
        <x:v>Personnel Competency</x:v>
      </x:c>
      <x:c r="H845" s="30" t="str">
        <x:v>Yes</x:v>
      </x:c>
      <x:c r="I845" s="30" t="str">
        <x:v>Normalized from approved Pharmacy Delta Audit Procedure Master.</x:v>
      </x:c>
    </x:row>
    <x:row r="846">
      <x:c r="A846" s="30" t="str">
        <x:v>EAUD004</x:v>
      </x:c>
      <x:c r="B846" s="30" t="str">
        <x:v>ECOMP004</x:v>
      </x:c>
      <x:c r="C846" s="30" t="str">
        <x:v>Verify linkage between telemedicine consultations and dispensing records.</x:v>
      </x:c>
      <x:c r="D846" s="30" t="str">
        <x:v>Reconciliation</x:v>
      </x:c>
      <x:c r="E846" s="30" t="str">
        <x:v>Quarterly</x:v>
      </x:c>
      <x:c r="F846" s="30" t="str">
        <x:v>EPHARMACY</x:v>
      </x:c>
      <x:c r="G846" s="30" t="str">
        <x:v>Recordkeeping</x:v>
      </x:c>
      <x:c r="H846" s="30" t="str">
        <x:v>Yes</x:v>
      </x:c>
      <x:c r="I846" s="30" t="str">
        <x:v>Normalized from approved Pharmacy Delta Audit Procedure Master.</x:v>
      </x:c>
    </x:row>
    <x:row r="847">
      <x:c r="A847" s="30" t="str">
        <x:v>EAUD005</x:v>
      </x:c>
      <x:c r="B847" s="30" t="str">
        <x:v>ECOMP005</x:v>
      </x:c>
      <x:c r="C847" s="30" t="str">
        <x:v>Verify electronic consent capture and retention process.</x:v>
      </x:c>
      <x:c r="D847" s="30" t="str">
        <x:v>Record Verification</x:v>
      </x:c>
      <x:c r="E847" s="30" t="str">
        <x:v>Annual</x:v>
      </x:c>
      <x:c r="F847" s="30" t="str">
        <x:v>EPHARMACY</x:v>
      </x:c>
      <x:c r="G847" s="30" t="str">
        <x:v>General Compliance</x:v>
      </x:c>
      <x:c r="H847" s="30" t="str">
        <x:v>Yes</x:v>
      </x:c>
      <x:c r="I847" s="30" t="str">
        <x:v>Normalized from approved Pharmacy Delta Audit Procedure Master.</x:v>
      </x:c>
    </x:row>
    <x:row r="848">
      <x:c r="A848" s="30" t="str">
        <x:v>EAUD006</x:v>
      </x:c>
      <x:c r="B848" s="30" t="str">
        <x:v>ECOMP006</x:v>
      </x:c>
      <x:c r="C848" s="30" t="str">
        <x:v>Verify secure retention and accessibility of electronic records.</x:v>
      </x:c>
      <x:c r="D848" s="30" t="str">
        <x:v>Sampling</x:v>
      </x:c>
      <x:c r="E848" s="30" t="str">
        <x:v>Annual</x:v>
      </x:c>
      <x:c r="F848" s="30" t="str">
        <x:v>EPHARMACY</x:v>
      </x:c>
      <x:c r="G848" s="30" t="str">
        <x:v>Recordkeeping</x:v>
      </x:c>
      <x:c r="H848" s="30" t="str">
        <x:v>Yes</x:v>
      </x:c>
      <x:c r="I848" s="30" t="str">
        <x:v>Normalized from approved Pharmacy Delta Audit Procedure Master.</x:v>
      </x:c>
    </x:row>
    <x:row r="849">
      <x:c r="A849" s="30" t="str">
        <x:v>EAUD007</x:v>
      </x:c>
      <x:c r="B849" s="30" t="str">
        <x:v>ECOMP007</x:v>
      </x:c>
      <x:c r="C849" s="30" t="str">
        <x:v>Verify automated validation of online orders before processing.</x:v>
      </x:c>
      <x:c r="D849" s="30" t="str">
        <x:v>Sampling</x:v>
      </x:c>
      <x:c r="E849" s="30" t="str">
        <x:v>Quarterly</x:v>
      </x:c>
      <x:c r="F849" s="30" t="str">
        <x:v>EPHARMACY</x:v>
      </x:c>
      <x:c r="G849" s="30" t="str">
        <x:v>Digital Controls</x:v>
      </x:c>
      <x:c r="H849" s="30" t="str">
        <x:v>Yes</x:v>
      </x:c>
      <x:c r="I849" s="30" t="str">
        <x:v>Normalized from approved Pharmacy Delta Audit Procedure Master.</x:v>
      </x:c>
    </x:row>
    <x:row r="850">
      <x:c r="A850" s="30" t="str">
        <x:v>EAUD008</x:v>
      </x:c>
      <x:c r="B850" s="30" t="str">
        <x:v>ECOMP008</x:v>
      </x:c>
      <x:c r="C850" s="30" t="str">
        <x:v>Verify secure payment gateway implementation and transaction controls.</x:v>
      </x:c>
      <x:c r="D850" s="30" t="str">
        <x:v>Record Verification</x:v>
      </x:c>
      <x:c r="E850" s="30" t="str">
        <x:v>Quarterly</x:v>
      </x:c>
      <x:c r="F850" s="30" t="str">
        <x:v>EPHARMACY</x:v>
      </x:c>
      <x:c r="G850" s="30" t="str">
        <x:v>Billing Controls</x:v>
      </x:c>
      <x:c r="H850" s="30" t="str">
        <x:v>Yes</x:v>
      </x:c>
      <x:c r="I850" s="30" t="str">
        <x:v>Normalized from approved Pharmacy Delta Audit Procedure Master.</x:v>
      </x:c>
    </x:row>
    <x:row r="851">
      <x:c r="A851" s="30" t="str">
        <x:v>EAUD009</x:v>
      </x:c>
      <x:c r="B851" s="30" t="str">
        <x:v>ECOMP009</x:v>
      </x:c>
      <x:c r="C851" s="30" t="str">
        <x:v>Verify effectiveness of cybersecurity monitoring and security controls.</x:v>
      </x:c>
      <x:c r="D851" s="30" t="str">
        <x:v>Sampling</x:v>
      </x:c>
      <x:c r="E851" s="30" t="str">
        <x:v>Quarterly</x:v>
      </x:c>
      <x:c r="F851" s="30" t="str">
        <x:v>EPHARMACY</x:v>
      </x:c>
      <x:c r="G851" s="30" t="str">
        <x:v>General Compliance</x:v>
      </x:c>
      <x:c r="H851" s="30" t="str">
        <x:v>Yes</x:v>
      </x:c>
      <x:c r="I851" s="30" t="str">
        <x:v>Normalized from approved Pharmacy Delta Audit Procedure Master.</x:v>
      </x:c>
    </x:row>
    <x:row r="852">
      <x:c r="A852" s="30" t="str">
        <x:v>EAUD010</x:v>
      </x:c>
      <x:c r="B852" s="30" t="str">
        <x:v>ECOMP010</x:v>
      </x:c>
      <x:c r="C852" s="30" t="str">
        <x:v>Verify encryption of sensitive customer and prescription data.</x:v>
      </x:c>
      <x:c r="D852" s="30" t="str">
        <x:v>Sampling</x:v>
      </x:c>
      <x:c r="E852" s="30" t="str">
        <x:v>Annual</x:v>
      </x:c>
      <x:c r="F852" s="30" t="str">
        <x:v>EPHARMACY</x:v>
      </x:c>
      <x:c r="G852" s="30" t="str">
        <x:v>Prescription Controls</x:v>
      </x:c>
      <x:c r="H852" s="30" t="str">
        <x:v>Yes</x:v>
      </x:c>
      <x:c r="I852" s="30" t="str">
        <x:v>Normalized from approved Pharmacy Delta Audit Procedure Master.</x:v>
      </x:c>
    </x:row>
    <x:row r="853">
      <x:c r="A853" s="30" t="str">
        <x:v>EAUD011</x:v>
      </x:c>
      <x:c r="B853" s="30" t="str">
        <x:v>ECOMP011</x:v>
      </x:c>
      <x:c r="C853" s="30" t="str">
        <x:v>Verify publication and maintenance of current privacy notices.</x:v>
      </x:c>
      <x:c r="D853" s="30" t="str">
        <x:v>Document Review</x:v>
      </x:c>
      <x:c r="E853" s="30" t="str">
        <x:v>Annual</x:v>
      </x:c>
      <x:c r="F853" s="30" t="str">
        <x:v>EPHARMACY</x:v>
      </x:c>
      <x:c r="G853" s="30" t="str">
        <x:v>Inspection &amp; Display Controls</x:v>
      </x:c>
      <x:c r="H853" s="30" t="str">
        <x:v>Yes</x:v>
      </x:c>
      <x:c r="I853" s="30" t="str">
        <x:v>Normalized from approved Pharmacy Delta Audit Procedure Master.</x:v>
      </x:c>
    </x:row>
    <x:row r="854">
      <x:c r="A854" s="30" t="str">
        <x:v>EAUD012</x:v>
      </x:c>
      <x:c r="B854" s="30" t="str">
        <x:v>ECOMP012</x:v>
      </x:c>
      <x:c r="C854" s="30" t="str">
        <x:v>Verify immutable audit logging for critical platform activities.</x:v>
      </x:c>
      <x:c r="D854" s="30" t="str">
        <x:v>Sampling</x:v>
      </x:c>
      <x:c r="E854" s="30" t="str">
        <x:v>Quarterly</x:v>
      </x:c>
      <x:c r="F854" s="30" t="str">
        <x:v>EPHARMACY</x:v>
      </x:c>
      <x:c r="G854" s="30" t="str">
        <x:v>Digital Controls</x:v>
      </x:c>
      <x:c r="H854" s="30" t="str">
        <x:v>Yes</x:v>
      </x:c>
      <x:c r="I854" s="30" t="str">
        <x:v>Normalized from approved Pharmacy Delta Audit Procedure Master.</x:v>
      </x:c>
    </x:row>
    <x:row r="855">
      <x:c r="A855" s="30" t="str">
        <x:v>EAUD013</x:v>
      </x:c>
      <x:c r="B855" s="30" t="str">
        <x:v>ECOMP013</x:v>
      </x:c>
      <x:c r="C855" s="30" t="str">
        <x:v>Verify courier partner qualification and periodic evaluation process.</x:v>
      </x:c>
      <x:c r="D855" s="30" t="str">
        <x:v>Document Review</x:v>
      </x:c>
      <x:c r="E855" s="30" t="str">
        <x:v>Annual</x:v>
      </x:c>
      <x:c r="F855" s="30" t="str">
        <x:v>EPHARMACY</x:v>
      </x:c>
      <x:c r="G855" s="30" t="str">
        <x:v>Personnel Competency</x:v>
      </x:c>
      <x:c r="H855" s="30" t="str">
        <x:v>Yes</x:v>
      </x:c>
      <x:c r="I855" s="30" t="str">
        <x:v>Normalized from approved Pharmacy Delta Audit Procedure Master.</x:v>
      </x:c>
    </x:row>
    <x:row r="856">
      <x:c r="A856" s="30" t="str">
        <x:v>EAUD014</x:v>
      </x:c>
      <x:c r="B856" s="30" t="str">
        <x:v>ECOMP014</x:v>
      </x:c>
      <x:c r="C856" s="30" t="str">
        <x:v>Verify end-to-end delivery traceability for online orders.</x:v>
      </x:c>
      <x:c r="D856" s="30" t="str">
        <x:v>Reconciliation</x:v>
      </x:c>
      <x:c r="E856" s="30" t="str">
        <x:v>Quarterly</x:v>
      </x:c>
      <x:c r="F856" s="30" t="str">
        <x:v>EPHARMACY</x:v>
      </x:c>
      <x:c r="G856" s="30" t="str">
        <x:v>Digital Controls</x:v>
      </x:c>
      <x:c r="H856" s="30" t="str">
        <x:v>Yes</x:v>
      </x:c>
      <x:c r="I856" s="30" t="str">
        <x:v>Normalized from approved Pharmacy Delta Audit Procedure Master.</x:v>
      </x:c>
    </x:row>
    <x:row r="857">
      <x:c r="A857" s="30" t="str">
        <x:v>EAUD015</x:v>
      </x:c>
      <x:c r="B857" s="30" t="str">
        <x:v>ECOMP015</x:v>
      </x:c>
      <x:c r="C857" s="30" t="str">
        <x:v>Verify monitoring of cold-chain deliveries and handling of temperature excursions.</x:v>
      </x:c>
      <x:c r="D857" s="30" t="str">
        <x:v>Record Verification</x:v>
      </x:c>
      <x:c r="E857" s="30" t="str">
        <x:v>Quarterly</x:v>
      </x:c>
      <x:c r="F857" s="30" t="str">
        <x:v>EPHARMACY</x:v>
      </x:c>
      <x:c r="G857" s="30" t="str">
        <x:v>Storage Controls</x:v>
      </x:c>
      <x:c r="H857" s="30" t="str">
        <x:v>Yes</x:v>
      </x:c>
      <x:c r="I857" s="30" t="str">
        <x:v>Normalized from approved Pharmacy Delta Audit Procedure Master.</x:v>
      </x:c>
    </x:row>
    <x:row r="858">
      <x:c r="A858" s="30" t="str">
        <x:v>EAUD016</x:v>
      </x:c>
      <x:c r="B858" s="30" t="str">
        <x:v>ECOMP016</x:v>
      </x:c>
      <x:c r="C858" s="30" t="str">
        <x:v>Verify online complaint registration, investigation and closure process.</x:v>
      </x:c>
      <x:c r="D858" s="30" t="str">
        <x:v>Document Review</x:v>
      </x:c>
      <x:c r="E858" s="30" t="str">
        <x:v>Quarterly</x:v>
      </x:c>
      <x:c r="F858" s="30" t="str">
        <x:v>EPHARMACY</x:v>
      </x:c>
      <x:c r="G858" s="30" t="str">
        <x:v>Personnel Competency</x:v>
      </x:c>
      <x:c r="H858" s="30" t="str">
        <x:v>Yes</x:v>
      </x:c>
      <x:c r="I858" s="30" t="str">
        <x:v>Normalized from approved Pharmacy Delta Audit Procedure Master.</x:v>
      </x:c>
    </x:row>
    <x:row r="859">
      <x:c r="A859" s="30" t="str">
        <x:v>EAUD017</x:v>
      </x:c>
      <x:c r="B859" s="30" t="str">
        <x:v>ECOMP017</x:v>
      </x:c>
      <x:c r="C859" s="30" t="str">
        <x:v>Verify controls for fake prescription detection before dispensing.</x:v>
      </x:c>
      <x:c r="D859" s="30" t="str">
        <x:v>Document Review</x:v>
      </x:c>
      <x:c r="E859" s="30" t="str">
        <x:v>Quarterly</x:v>
      </x:c>
      <x:c r="F859" s="30" t="str">
        <x:v>EPHARMACY</x:v>
      </x:c>
      <x:c r="G859" s="30" t="str">
        <x:v>Prescription Controls</x:v>
      </x:c>
      <x:c r="H859" s="30" t="str">
        <x:v>Yes</x:v>
      </x:c>
      <x:c r="I859" s="30" t="str">
        <x:v>Normalized from approved Pharmacy Delta Audit Procedure Master.</x:v>
      </x:c>
    </x:row>
    <x:row r="860">
      <x:c r="A860" s="30" t="str">
        <x:v>EAUD018</x:v>
      </x:c>
      <x:c r="B860" s="30" t="str">
        <x:v>ECOMP018</x:v>
      </x:c>
      <x:c r="C860" s="30" t="str">
        <x:v>Verify monitoring of online transactions for fraudulent activity.</x:v>
      </x:c>
      <x:c r="D860" s="30" t="str">
        <x:v>Record Verification</x:v>
      </x:c>
      <x:c r="E860" s="30" t="str">
        <x:v>Quarterly</x:v>
      </x:c>
      <x:c r="F860" s="30" t="str">
        <x:v>EPHARMACY</x:v>
      </x:c>
      <x:c r="G860" s="30" t="str">
        <x:v>Digital Controls</x:v>
      </x:c>
      <x:c r="H860" s="30" t="str">
        <x:v>Yes</x:v>
      </x:c>
      <x:c r="I860" s="30" t="str">
        <x:v>Normalized from approved Pharmacy Delta Audit Procedure Master.</x:v>
      </x:c>
    </x:row>
    <x:row r="861">
      <x:c r="A861" s="30" t="str">
        <x:v>EAUD019</x:v>
      </x:c>
      <x:c r="B861" s="30" t="str">
        <x:v>ECOMP019</x:v>
      </x:c>
      <x:c r="C861" s="30" t="str">
        <x:v>Verify linkage between consultation records and dispensing transactions.</x:v>
      </x:c>
      <x:c r="D861" s="30" t="str">
        <x:v>Reconciliation</x:v>
      </x:c>
      <x:c r="E861" s="30" t="str">
        <x:v>Quarterly</x:v>
      </x:c>
      <x:c r="F861" s="30" t="str">
        <x:v>EPHARMACY</x:v>
      </x:c>
      <x:c r="G861" s="30" t="str">
        <x:v>Recordkeeping</x:v>
      </x:c>
      <x:c r="H861" s="30" t="str">
        <x:v>Yes</x:v>
      </x:c>
      <x:c r="I861" s="30" t="str">
        <x:v>Normalized from approved Pharmacy Delta Audit Procedure Master.</x:v>
      </x:c>
    </x:row>
    <x:row r="862">
      <x:c r="A862" s="30" t="str">
        <x:v>EAUD020</x:v>
      </x:c>
      <x:c r="B862" s="30" t="str">
        <x:v>ECOMP020</x:v>
      </x:c>
      <x:c r="C862" s="30" t="str">
        <x:v>Verify governance reviews covering cybersecurity, privacy and regulatory compliance.</x:v>
      </x:c>
      <x:c r="D862" s="30" t="str">
        <x:v>Interview</x:v>
      </x:c>
      <x:c r="E862" s="30" t="str">
        <x:v>Quarterly</x:v>
      </x:c>
      <x:c r="F862" s="30" t="str">
        <x:v>EPHARMACY</x:v>
      </x:c>
      <x:c r="G862" s="30" t="str">
        <x:v>General Compliance</x:v>
      </x:c>
      <x:c r="H862" s="30" t="str">
        <x:v>Yes</x:v>
      </x:c>
      <x:c r="I862" s="30" t="str">
        <x:v>Normalized from approved Pharmacy Delta Audit Procedure Master.</x:v>
      </x:c>
    </x:row>
    <x:row r="863">
      <x:c r="A863" s="30" t="str">
        <x:v>EAUD021</x:v>
      </x:c>
      <x:c r="B863" s="30" t="str">
        <x:v>ECOMP021</x:v>
      </x:c>
      <x:c r="C863" s="30" t="str">
        <x:v>Verify Multi-Factor Authentication is enforced for all privileged accounts.</x:v>
      </x:c>
      <x:c r="D863" s="30" t="str">
        <x:v>Record Verification</x:v>
      </x:c>
      <x:c r="E863" s="30" t="str">
        <x:v>Quarterly</x:v>
      </x:c>
      <x:c r="F863" s="30" t="str">
        <x:v>EPHARMACY</x:v>
      </x:c>
      <x:c r="G863" s="30" t="str">
        <x:v>General Compliance</x:v>
      </x:c>
      <x:c r="H863" s="30" t="str">
        <x:v>Yes</x:v>
      </x:c>
      <x:c r="I863" s="30" t="str">
        <x:v>Normalized from approved Pharmacy Delta Audit Procedure Master.</x:v>
      </x:c>
    </x:row>
    <x:row r="864">
      <x:c r="A864" s="30" t="str">
        <x:v>EAUD022</x:v>
      </x:c>
      <x:c r="B864" s="30" t="str">
        <x:v>ECOMP022</x:v>
      </x:c>
      <x:c r="C864" s="30" t="str">
        <x:v>Verify Role-Based Access Control assignments comply with approved access matrix.</x:v>
      </x:c>
      <x:c r="D864" s="30" t="str">
        <x:v>Document Review</x:v>
      </x:c>
      <x:c r="E864" s="30" t="str">
        <x:v>Quarterly</x:v>
      </x:c>
      <x:c r="F864" s="30" t="str">
        <x:v>EPHARMACY</x:v>
      </x:c>
      <x:c r="G864" s="30" t="str">
        <x:v>General Compliance</x:v>
      </x:c>
      <x:c r="H864" s="30" t="str">
        <x:v>Yes</x:v>
      </x:c>
      <x:c r="I864" s="30" t="str">
        <x:v>Normalized from approved Pharmacy Delta Audit Procedure Master.</x:v>
      </x:c>
    </x:row>
    <x:row r="865">
      <x:c r="A865" s="30" t="str">
        <x:v>EAUD023</x:v>
      </x:c>
      <x:c r="B865" s="30" t="str">
        <x:v>ECOMP023</x:v>
      </x:c>
      <x:c r="C865" s="30" t="str">
        <x:v>Verify encryption controls for customer and prescription data at rest and in transit.</x:v>
      </x:c>
      <x:c r="D865" s="30" t="str">
        <x:v>Sampling</x:v>
      </x:c>
      <x:c r="E865" s="30" t="str">
        <x:v>Annual</x:v>
      </x:c>
      <x:c r="F865" s="30" t="str">
        <x:v>EPHARMACY</x:v>
      </x:c>
      <x:c r="G865" s="30" t="str">
        <x:v>Prescription Controls</x:v>
      </x:c>
      <x:c r="H865" s="30" t="str">
        <x:v>Yes</x:v>
      </x:c>
      <x:c r="I865" s="30" t="str">
        <x:v>Normalized from approved Pharmacy Delta Audit Procedure Master.</x:v>
      </x:c>
    </x:row>
    <x:row r="866">
      <x:c r="A866" s="30" t="str">
        <x:v>EAUD024</x:v>
      </x:c>
      <x:c r="B866" s="30" t="str">
        <x:v>ECOMP024</x:v>
      </x:c>
      <x:c r="C866" s="30" t="str">
        <x:v>Verify backup completion, restoration testing and disaster recovery readiness.</x:v>
      </x:c>
      <x:c r="D866" s="30" t="str">
        <x:v>Sampling</x:v>
      </x:c>
      <x:c r="E866" s="30" t="str">
        <x:v>Annual</x:v>
      </x:c>
      <x:c r="F866" s="30" t="str">
        <x:v>EPHARMACY</x:v>
      </x:c>
      <x:c r="G866" s="30" t="str">
        <x:v>General Compliance</x:v>
      </x:c>
      <x:c r="H866" s="30" t="str">
        <x:v>Yes</x:v>
      </x:c>
      <x:c r="I866" s="30" t="str">
        <x:v>Normalized from approved Pharmacy Delta Audit Procedure Master.</x:v>
      </x:c>
    </x:row>
    <x:row r="867">
      <x:c r="A867" s="30" t="str">
        <x:v>EAUD025</x:v>
      </x:c>
      <x:c r="B867" s="30" t="str">
        <x:v>ECOMP025</x:v>
      </x:c>
      <x:c r="C867" s="30" t="str">
        <x:v>Verify information security incidents are investigated and resolved according to approved procedures.</x:v>
      </x:c>
      <x:c r="D867" s="30" t="str">
        <x:v>Record Verification</x:v>
      </x:c>
      <x:c r="E867" s="30" t="str">
        <x:v>Quarterly</x:v>
      </x:c>
      <x:c r="F867" s="30" t="str">
        <x:v>EPHARMACY</x:v>
      </x:c>
      <x:c r="G867" s="30" t="str">
        <x:v>SOP &amp; Training</x:v>
      </x:c>
      <x:c r="H867" s="30" t="str">
        <x:v>Yes</x:v>
      </x:c>
      <x:c r="I867" s="30" t="str">
        <x:v>Normalized from approved Pharmacy Delta Audit Procedure Master.</x:v>
      </x:c>
    </x:row>
    <x:row r="868">
      <x:c r="A868" s="30" t="str">
        <x:v>EAUD026</x:v>
      </x:c>
      <x:c r="B868" s="30" t="str">
        <x:v>ECOMP026</x:v>
      </x:c>
      <x:c r="C868" s="30" t="str">
        <x:v>Verify customer data retention complies with approved retention schedules.</x:v>
      </x:c>
      <x:c r="D868" s="30" t="str">
        <x:v>Document Review</x:v>
      </x:c>
      <x:c r="E868" s="30" t="str">
        <x:v>Annual</x:v>
      </x:c>
      <x:c r="F868" s="30" t="str">
        <x:v>EPHARMACY</x:v>
      </x:c>
      <x:c r="G868" s="30" t="str">
        <x:v>Consumer Protection</x:v>
      </x:c>
      <x:c r="H868" s="30" t="str">
        <x:v>Yes</x:v>
      </x:c>
      <x:c r="I868" s="30" t="str">
        <x:v>Normalized from approved Pharmacy Delta Audit Procedure Master.</x:v>
      </x:c>
    </x:row>
    <x:row r="869">
      <x:c r="A869" s="30" t="str">
        <x:v>EAUD027</x:v>
      </x:c>
      <x:c r="B869" s="30" t="str">
        <x:v>ECOMP027</x:v>
      </x:c>
      <x:c r="C869" s="30" t="str">
        <x:v>Verify secure deletion of customer data after expiry or approved deletion request.</x:v>
      </x:c>
      <x:c r="D869" s="30" t="str">
        <x:v>System Verification</x:v>
      </x:c>
      <x:c r="E869" s="30" t="str">
        <x:v>Annual</x:v>
      </x:c>
      <x:c r="F869" s="30" t="str">
        <x:v>EPHARMACY</x:v>
      </x:c>
      <x:c r="G869" s="30" t="str">
        <x:v>Inventory Controls</x:v>
      </x:c>
      <x:c r="H869" s="30" t="str">
        <x:v>Yes</x:v>
      </x:c>
      <x:c r="I869" s="30" t="str">
        <x:v>Normalized from approved Pharmacy Delta Audit Procedure Master.</x:v>
      </x:c>
    </x:row>
    <x:row r="870">
      <x:c r="A870" s="30" t="str">
        <x:v>EAUD028</x:v>
      </x:c>
      <x:c r="B870" s="30" t="str">
        <x:v>ECOMP028</x:v>
      </x:c>
      <x:c r="C870" s="30" t="str">
        <x:v>Verify third-party technology providers undergo security and compliance assessment before integration.</x:v>
      </x:c>
      <x:c r="D870" s="30" t="str">
        <x:v>Record Verification</x:v>
      </x:c>
      <x:c r="E870" s="30" t="str">
        <x:v>Annual</x:v>
      </x:c>
      <x:c r="F870" s="30" t="str">
        <x:v>EPHARMACY</x:v>
      </x:c>
      <x:c r="G870" s="30" t="str">
        <x:v>Recordkeeping</x:v>
      </x:c>
      <x:c r="H870" s="30" t="str">
        <x:v>Yes</x:v>
      </x:c>
      <x:c r="I870" s="30" t="str">
        <x:v>Normalized from approved Pharmacy Delta Audit Procedure Master.</x:v>
      </x:c>
    </x:row>
    <x:row r="871">
      <x:c r="A871" s="30" t="str">
        <x:v>EAUD029</x:v>
      </x:c>
      <x:c r="B871" s="30" t="str">
        <x:v>ECOMP029</x:v>
      </x:c>
      <x:c r="C871" s="30" t="str">
        <x:v>Verify API authentication, authorization and monitoring controls.</x:v>
      </x:c>
      <x:c r="D871" s="30" t="str">
        <x:v>Sampling</x:v>
      </x:c>
      <x:c r="E871" s="30" t="str">
        <x:v>Quarterly</x:v>
      </x:c>
      <x:c r="F871" s="30" t="str">
        <x:v>EPHARMACY</x:v>
      </x:c>
      <x:c r="G871" s="30" t="str">
        <x:v>General Compliance</x:v>
      </x:c>
      <x:c r="H871" s="30" t="str">
        <x:v>Yes</x:v>
      </x:c>
      <x:c r="I871" s="30" t="str">
        <x:v>Normalized from approved Pharmacy Delta Audit Procedure Master.</x:v>
      </x:c>
    </x:row>
    <x:row r="872">
      <x:c r="A872" s="30" t="str">
        <x:v>EAUD030</x:v>
      </x:c>
      <x:c r="B872" s="30" t="str">
        <x:v>ECOMP030</x:v>
      </x:c>
      <x:c r="C872" s="30" t="str">
        <x:v>Verify Secure SDLC practices including code review and security testing before deployment.</x:v>
      </x:c>
      <x:c r="D872" s="30" t="str">
        <x:v>Sampling</x:v>
      </x:c>
      <x:c r="E872" s="30" t="str">
        <x:v>Quarterly</x:v>
      </x:c>
      <x:c r="F872" s="30" t="str">
        <x:v>EPHARMACY</x:v>
      </x:c>
      <x:c r="G872" s="30" t="str">
        <x:v>General Compliance</x:v>
      </x:c>
      <x:c r="H872" s="30" t="str">
        <x:v>Yes</x:v>
      </x:c>
      <x:c r="I872" s="30" t="str">
        <x:v>Normalized from approved Pharmacy Delta Audit Procedure Master.</x:v>
      </x:c>
    </x:row>
    <x:row r="873">
      <x:c r="A873" s="30" t="str">
        <x:v>EAUD031</x:v>
      </x:c>
      <x:c r="B873" s="30" t="str">
        <x:v>ECOMP031</x:v>
      </x:c>
      <x:c r="C873" s="30" t="str">
        <x:v>Verify Vulnerability Assessment and Penetration Testing activities and remediation closure.</x:v>
      </x:c>
      <x:c r="D873" s="30" t="str">
        <x:v>Sampling</x:v>
      </x:c>
      <x:c r="E873" s="30" t="str">
        <x:v>Annual</x:v>
      </x:c>
      <x:c r="F873" s="30" t="str">
        <x:v>EPHARMACY</x:v>
      </x:c>
      <x:c r="G873" s="30" t="str">
        <x:v>General Compliance</x:v>
      </x:c>
      <x:c r="H873" s="30" t="str">
        <x:v>Yes</x:v>
      </x:c>
      <x:c r="I873" s="30" t="str">
        <x:v>Normalized from approved Pharmacy Delta Audit Procedure Master.</x:v>
      </x:c>
    </x:row>
    <x:row r="874">
      <x:c r="A874" s="30" t="str">
        <x:v>EAUD032</x:v>
      </x:c>
      <x:c r="B874" s="30" t="str">
        <x:v>ECOMP032</x:v>
      </x:c>
      <x:c r="C874" s="30" t="str">
        <x:v>Verify continuous monitoring of security events and incident escalation.</x:v>
      </x:c>
      <x:c r="D874" s="30" t="str">
        <x:v>Document Review</x:v>
      </x:c>
      <x:c r="E874" s="30" t="str">
        <x:v>Quarterly</x:v>
      </x:c>
      <x:c r="F874" s="30" t="str">
        <x:v>EPHARMACY</x:v>
      </x:c>
      <x:c r="G874" s="30" t="str">
        <x:v>General Compliance</x:v>
      </x:c>
      <x:c r="H874" s="30" t="str">
        <x:v>Yes</x:v>
      </x:c>
      <x:c r="I874" s="30" t="str">
        <x:v>Normalized from approved Pharmacy Delta Audit Procedure Master.</x:v>
      </x:c>
    </x:row>
    <x:row r="875">
      <x:c r="A875" s="30" t="str">
        <x:v>EAUD033</x:v>
      </x:c>
      <x:c r="B875" s="30" t="str">
        <x:v>ECOMP033</x:v>
      </x:c>
      <x:c r="C875" s="30" t="str">
        <x:v>Verify duplicate prescription detection controls are functioning effectively.</x:v>
      </x:c>
      <x:c r="D875" s="30" t="str">
        <x:v>Record Verification</x:v>
      </x:c>
      <x:c r="E875" s="30" t="str">
        <x:v>Quarterly</x:v>
      </x:c>
      <x:c r="F875" s="30" t="str">
        <x:v>EPHARMACY</x:v>
      </x:c>
      <x:c r="G875" s="30" t="str">
        <x:v>Prescription Controls</x:v>
      </x:c>
      <x:c r="H875" s="30" t="str">
        <x:v>Yes</x:v>
      </x:c>
      <x:c r="I875" s="30" t="str">
        <x:v>Normalized from approved Pharmacy Delta Audit Procedure Master.</x:v>
      </x:c>
    </x:row>
    <x:row r="876">
      <x:c r="A876" s="30" t="str">
        <x:v>EAUD034</x:v>
      </x:c>
      <x:c r="B876" s="30" t="str">
        <x:v>ECOMP034</x:v>
      </x:c>
      <x:c r="C876" s="30" t="str">
        <x:v>Verify statutory restrictions for controlled medicines are enforced during online dispensing.</x:v>
      </x:c>
      <x:c r="D876" s="30" t="str">
        <x:v>Document Review</x:v>
      </x:c>
      <x:c r="E876" s="30" t="str">
        <x:v>Quarterly</x:v>
      </x:c>
      <x:c r="F876" s="30" t="str">
        <x:v>EPHARMACY</x:v>
      </x:c>
      <x:c r="G876" s="30" t="str">
        <x:v>Digital Controls</x:v>
      </x:c>
      <x:c r="H876" s="30" t="str">
        <x:v>Yes</x:v>
      </x:c>
      <x:c r="I876" s="30" t="str">
        <x:v>Normalized from approved Pharmacy Delta Audit Procedure Master.</x:v>
      </x:c>
    </x:row>
    <x:row r="877">
      <x:c r="A877" s="30" t="str">
        <x:v>EAUD035</x:v>
      </x:c>
      <x:c r="B877" s="30" t="str">
        <x:v>ECOMP035</x:v>
      </x:c>
      <x:c r="C877" s="30" t="str">
        <x:v>Verify refund and cancellation transactions follow approved workflows.</x:v>
      </x:c>
      <x:c r="D877" s="30" t="str">
        <x:v>Record Verification</x:v>
      </x:c>
      <x:c r="E877" s="30" t="str">
        <x:v>Quarterly</x:v>
      </x:c>
      <x:c r="F877" s="30" t="str">
        <x:v>EPHARMACY</x:v>
      </x:c>
      <x:c r="G877" s="30" t="str">
        <x:v>General Compliance</x:v>
      </x:c>
      <x:c r="H877" s="30" t="str">
        <x:v>Yes</x:v>
      </x:c>
      <x:c r="I877" s="30" t="str">
        <x:v>Normalized from approved Pharmacy Delta Audit Procedure Master.</x:v>
      </x:c>
    </x:row>
    <x:row r="878">
      <x:c r="A878" s="30" t="str">
        <x:v>EAUD036</x:v>
      </x:c>
      <x:c r="B878" s="30" t="str">
        <x:v>ECOMP036</x:v>
      </x:c>
      <x:c r="C878" s="30" t="str">
        <x:v>Verify automated customer notifications for order status and regulatory events.</x:v>
      </x:c>
      <x:c r="D878" s="30" t="str">
        <x:v>Sampling</x:v>
      </x:c>
      <x:c r="E878" s="30" t="str">
        <x:v>Quarterly</x:v>
      </x:c>
      <x:c r="F878" s="30" t="str">
        <x:v>EPHARMACY</x:v>
      </x:c>
      <x:c r="G878" s="30" t="str">
        <x:v>Consumer Protection</x:v>
      </x:c>
      <x:c r="H878" s="30" t="str">
        <x:v>Yes</x:v>
      </x:c>
      <x:c r="I878" s="30" t="str">
        <x:v>Normalized from approved Pharmacy Delta Audit Procedure Master.</x:v>
      </x:c>
    </x:row>
    <x:row r="879">
      <x:c r="A879" s="30" t="str">
        <x:v>EAUD037</x:v>
      </x:c>
      <x:c r="B879" s="30" t="str">
        <x:v>ECOMP037</x:v>
      </x:c>
      <x:c r="C879" s="30" t="str">
        <x:v>Verify authenticity and integrity controls for electronic regulatory documents.</x:v>
      </x:c>
      <x:c r="D879" s="30" t="str">
        <x:v>System Verification</x:v>
      </x:c>
      <x:c r="E879" s="30" t="str">
        <x:v>Annual</x:v>
      </x:c>
      <x:c r="F879" s="30" t="str">
        <x:v>EPHARMACY</x:v>
      </x:c>
      <x:c r="G879" s="30" t="str">
        <x:v>Recordkeeping</x:v>
      </x:c>
      <x:c r="H879" s="30" t="str">
        <x:v>Yes</x:v>
      </x:c>
      <x:c r="I879" s="30" t="str">
        <x:v>Normalized from approved Pharmacy Delta Audit Procedure Master.</x:v>
      </x:c>
    </x:row>
    <x:row r="880">
      <x:c r="A880" s="30" t="str">
        <x:v>EAUD038</x:v>
      </x:c>
      <x:c r="B880" s="30" t="str">
        <x:v>ECOMP038</x:v>
      </x:c>
      <x:c r="C880" s="30" t="str">
        <x:v>Verify compliance analytics identify and escalate emerging regulatory risks.</x:v>
      </x:c>
      <x:c r="D880" s="30" t="str">
        <x:v>Interview</x:v>
      </x:c>
      <x:c r="E880" s="30" t="str">
        <x:v>Quarterly</x:v>
      </x:c>
      <x:c r="F880" s="30" t="str">
        <x:v>EPHARMACY</x:v>
      </x:c>
      <x:c r="G880" s="30" t="str">
        <x:v>General Compliance</x:v>
      </x:c>
      <x:c r="H880" s="30" t="str">
        <x:v>Yes</x:v>
      </x:c>
      <x:c r="I880" s="30" t="str">
        <x:v>Normalized from approved Pharmacy Delta Audit Procedure Master.</x:v>
      </x:c>
    </x:row>
    <x:row r="881">
      <x:c r="A881" s="30" t="str">
        <x:v>EAUD039</x:v>
      </x:c>
      <x:c r="B881" s="30" t="str">
        <x:v>ECOMP039</x:v>
      </x:c>
      <x:c r="C881" s="30" t="str">
        <x:v>Verify platform availability monitoring and SLA compliance.</x:v>
      </x:c>
      <x:c r="D881" s="30" t="str">
        <x:v>Sampling</x:v>
      </x:c>
      <x:c r="E881" s="30" t="str">
        <x:v>Monthly</x:v>
      </x:c>
      <x:c r="F881" s="30" t="str">
        <x:v>EPHARMACY</x:v>
      </x:c>
      <x:c r="G881" s="30" t="str">
        <x:v>Digital Controls</x:v>
      </x:c>
      <x:c r="H881" s="30" t="str">
        <x:v>Yes</x:v>
      </x:c>
      <x:c r="I881" s="30" t="str">
        <x:v>Normalized from approved Pharmacy Delta Audit Procedure Master.</x:v>
      </x:c>
    </x:row>
    <x:row r="882">
      <x:c r="A882" s="30" t="str">
        <x:v>EAUD040</x:v>
      </x:c>
      <x:c r="B882" s="30" t="str">
        <x:v>ECOMP040</x:v>
      </x:c>
      <x:c r="C882" s="30" t="str">
        <x:v>Verify Digital Governance Committee reviews cybersecurity, privacy and compliance risks periodically.</x:v>
      </x:c>
      <x:c r="D882" s="30" t="str">
        <x:v>System Verification</x:v>
      </x:c>
      <x:c r="E882" s="30" t="str">
        <x:v>Quarterly</x:v>
      </x:c>
      <x:c r="F882" s="30" t="str">
        <x:v>EPHARMACY</x:v>
      </x:c>
      <x:c r="G882" s="30" t="str">
        <x:v>Digital Controls</x:v>
      </x:c>
      <x:c r="H882" s="30" t="str">
        <x:v>Yes</x:v>
      </x:c>
      <x:c r="I882" s="30" t="str">
        <x:v>Normalized from approved Pharmacy Delta Audit Procedure Master.</x:v>
      </x:c>
    </x:row>
    <x:row r="883">
      <x:c r="A883" s="30" t="str">
        <x:v>EAUD041</x:v>
      </x:c>
      <x:c r="B883" s="30" t="str">
        <x:v>ECOMP041</x:v>
      </x:c>
      <x:c r="C883" s="30" t="str">
        <x:v>Verify operation of the online grievance redressal system, including acknowledgement, investigation and closure timelines.</x:v>
      </x:c>
      <x:c r="D883" s="30" t="str">
        <x:v>Sampling</x:v>
      </x:c>
      <x:c r="E883" s="30" t="str">
        <x:v>Quarterly</x:v>
      </x:c>
      <x:c r="F883" s="30" t="str">
        <x:v>EPHARMACY</x:v>
      </x:c>
      <x:c r="G883" s="30" t="str">
        <x:v>Digital Controls</x:v>
      </x:c>
      <x:c r="H883" s="30" t="str">
        <x:v>Yes</x:v>
      </x:c>
      <x:c r="I883" s="30" t="str">
        <x:v>Normalized from approved Pharmacy Delta Audit Procedure Master.</x:v>
      </x:c>
    </x:row>
    <x:row r="884">
      <x:c r="A884" s="30" t="str">
        <x:v>EAUD042</x:v>
      </x:c>
      <x:c r="B884" s="30" t="str">
        <x:v>ECOMP042</x:v>
      </x:c>
      <x:c r="C884" s="30" t="str">
        <x:v>Verify marketplace seller onboarding, licence verification and periodic compliance reviews.</x:v>
      </x:c>
      <x:c r="D884" s="30" t="str">
        <x:v>Document Review</x:v>
      </x:c>
      <x:c r="E884" s="30" t="str">
        <x:v>Annual</x:v>
      </x:c>
      <x:c r="F884" s="30" t="str">
        <x:v>EPHARMACY</x:v>
      </x:c>
      <x:c r="G884" s="30" t="str">
        <x:v>Licensing</x:v>
      </x:c>
      <x:c r="H884" s="30" t="str">
        <x:v>Yes</x:v>
      </x:c>
      <x:c r="I884" s="30" t="str">
        <x:v>Normalized from approved Pharmacy Delta Audit Procedure Master.</x:v>
      </x:c>
    </x:row>
    <x:row r="885">
      <x:c r="A885" s="30" t="str">
        <x:v>EAUD043</x:v>
      </x:c>
      <x:c r="B885" s="30" t="str">
        <x:v>ECOMP043</x:v>
      </x:c>
      <x:c r="C885" s="30" t="str">
        <x:v>Verify approval workflow for online medicine advertisements before publication.</x:v>
      </x:c>
      <x:c r="D885" s="30" t="str">
        <x:v>Document Review</x:v>
      </x:c>
      <x:c r="E885" s="30" t="str">
        <x:v>Quarterly</x:v>
      </x:c>
      <x:c r="F885" s="30" t="str">
        <x:v>EPHARMACY</x:v>
      </x:c>
      <x:c r="G885" s="30" t="str">
        <x:v>Digital Controls</x:v>
      </x:c>
      <x:c r="H885" s="30" t="str">
        <x:v>Yes</x:v>
      </x:c>
      <x:c r="I885" s="30" t="str">
        <x:v>Normalized from approved Pharmacy Delta Audit Procedure Master.</x:v>
      </x:c>
    </x:row>
    <x:row r="886">
      <x:c r="A886" s="30" t="str">
        <x:v>EAUD044</x:v>
      </x:c>
      <x:c r="B886" s="30" t="str">
        <x:v>ECOMP044</x:v>
      </x:c>
      <x:c r="C886" s="30" t="str">
        <x:v>Verify medicine search algorithms and recommendation engines comply with approved governance rules.</x:v>
      </x:c>
      <x:c r="D886" s="30" t="str">
        <x:v>Sampling</x:v>
      </x:c>
      <x:c r="E886" s="30" t="str">
        <x:v>Quarterly</x:v>
      </x:c>
      <x:c r="F886" s="30" t="str">
        <x:v>EPHARMACY</x:v>
      </x:c>
      <x:c r="G886" s="30" t="str">
        <x:v>General Compliance</x:v>
      </x:c>
      <x:c r="H886" s="30" t="str">
        <x:v>Yes</x:v>
      </x:c>
      <x:c r="I886" s="30" t="str">
        <x:v>Normalized from approved Pharmacy Delta Audit Procedure Master.</x:v>
      </x:c>
    </x:row>
    <x:row r="887">
      <x:c r="A887" s="30" t="str">
        <x:v>EAUD045</x:v>
      </x:c>
      <x:c r="B887" s="30" t="str">
        <x:v>ECOMP045</x:v>
      </x:c>
      <x:c r="C887" s="30" t="str">
        <x:v>Verify prescription order cancellations are documented, approved and fully traceable.</x:v>
      </x:c>
      <x:c r="D887" s="30" t="str">
        <x:v>Record Verification</x:v>
      </x:c>
      <x:c r="E887" s="30" t="str">
        <x:v>Quarterly</x:v>
      </x:c>
      <x:c r="F887" s="30" t="str">
        <x:v>EPHARMACY</x:v>
      </x:c>
      <x:c r="G887" s="30" t="str">
        <x:v>Prescription Controls</x:v>
      </x:c>
      <x:c r="H887" s="30" t="str">
        <x:v>Yes</x:v>
      </x:c>
      <x:c r="I887" s="30" t="str">
        <x:v>Normalized from approved Pharmacy Delta Audit Procedure Master.</x:v>
      </x:c>
    </x:row>
    <x:row r="888">
      <x:c r="A888" s="30" t="str">
        <x:v>EAUD046</x:v>
      </x:c>
      <x:c r="B888" s="30" t="str">
        <x:v>ECOMP046</x:v>
      </x:c>
      <x:c r="C888" s="30" t="str">
        <x:v>Verify medicine returns are processed only under approved conditions with documented inspections.</x:v>
      </x:c>
      <x:c r="D888" s="30" t="str">
        <x:v>Physical Inspection</x:v>
      </x:c>
      <x:c r="E888" s="30" t="str">
        <x:v>Quarterly</x:v>
      </x:c>
      <x:c r="F888" s="30" t="str">
        <x:v>EPHARMACY</x:v>
      </x:c>
      <x:c r="G888" s="30" t="str">
        <x:v>Inventory Controls</x:v>
      </x:c>
      <x:c r="H888" s="30" t="str">
        <x:v>Yes</x:v>
      </x:c>
      <x:c r="I888" s="30" t="str">
        <x:v>Normalized from approved Pharmacy Delta Audit Procedure Master.</x:v>
      </x:c>
    </x:row>
    <x:row r="889">
      <x:c r="A889" s="30" t="str">
        <x:v>EAUD047</x:v>
      </x:c>
      <x:c r="B889" s="30" t="str">
        <x:v>ECOMP047</x:v>
      </x:c>
      <x:c r="C889" s="30" t="str">
        <x:v>Verify failed deliveries are documented and medicine integrity is confirmed before re-dispatch.</x:v>
      </x:c>
      <x:c r="D889" s="30" t="str">
        <x:v>Record Verification</x:v>
      </x:c>
      <x:c r="E889" s="30" t="str">
        <x:v>Quarterly</x:v>
      </x:c>
      <x:c r="F889" s="30" t="str">
        <x:v>EPHARMACY</x:v>
      </x:c>
      <x:c r="G889" s="30" t="str">
        <x:v>Recordkeeping</x:v>
      </x:c>
      <x:c r="H889" s="30" t="str">
        <x:v>Yes</x:v>
      </x:c>
      <x:c r="I889" s="30" t="str">
        <x:v>Normalized from approved Pharmacy Delta Audit Procedure Master.</x:v>
      </x:c>
    </x:row>
    <x:row r="890">
      <x:c r="A890" s="30" t="str">
        <x:v>EAUD048</x:v>
      </x:c>
      <x:c r="B890" s="30" t="str">
        <x:v>ECOMP048</x:v>
      </x:c>
      <x:c r="C890" s="30" t="str">
        <x:v>Verify digital product information is periodically reviewed for regulatory accuracy.</x:v>
      </x:c>
      <x:c r="D890" s="30" t="str">
        <x:v>System Verification</x:v>
      </x:c>
      <x:c r="E890" s="30" t="str">
        <x:v>Quarterly</x:v>
      </x:c>
      <x:c r="F890" s="30" t="str">
        <x:v>EPHARMACY</x:v>
      </x:c>
      <x:c r="G890" s="30" t="str">
        <x:v>Digital Controls</x:v>
      </x:c>
      <x:c r="H890" s="30" t="str">
        <x:v>Yes</x:v>
      </x:c>
      <x:c r="I890" s="30" t="str">
        <x:v>Normalized from approved Pharmacy Delta Audit Procedure Master.</x:v>
      </x:c>
    </x:row>
    <x:row r="891">
      <x:c r="A891" s="30" t="str">
        <x:v>EAUD049</x:v>
      </x:c>
      <x:c r="B891" s="30" t="str">
        <x:v>ECOMP049</x:v>
      </x:c>
      <x:c r="C891" s="30" t="str">
        <x:v>Verify immutable audit trails exist for critical platform transactions and system events.</x:v>
      </x:c>
      <x:c r="D891" s="30" t="str">
        <x:v>Sampling</x:v>
      </x:c>
      <x:c r="E891" s="30" t="str">
        <x:v>Quarterly</x:v>
      </x:c>
      <x:c r="F891" s="30" t="str">
        <x:v>EPHARMACY</x:v>
      </x:c>
      <x:c r="G891" s="30" t="str">
        <x:v>Digital Controls</x:v>
      </x:c>
      <x:c r="H891" s="30" t="str">
        <x:v>Yes</x:v>
      </x:c>
      <x:c r="I891" s="30" t="str">
        <x:v>Normalized from approved Pharmacy Delta Audit Procedure Master.</x:v>
      </x:c>
    </x:row>
    <x:row r="892">
      <x:c r="A892" s="30" t="str">
        <x:v>EAUD050</x:v>
      </x:c>
      <x:c r="B892" s="30" t="str">
        <x:v>ECOMP050</x:v>
      </x:c>
      <x:c r="C892" s="30" t="str">
        <x:v>Verify executive governance reviews address regulatory compliance, cybersecurity, privacy and operational risks with documented follow-up actions.</x:v>
      </x:c>
      <x:c r="D892" s="30" t="str">
        <x:v>Interview</x:v>
      </x:c>
      <x:c r="E892" s="30" t="str">
        <x:v>Quarterly</x:v>
      </x:c>
      <x:c r="F892" s="30" t="str">
        <x:v>EPHARMACY</x:v>
      </x:c>
      <x:c r="G892" s="30" t="str">
        <x:v>Recordkeeping</x:v>
      </x:c>
      <x:c r="H892" s="30" t="str">
        <x:v>Yes</x:v>
      </x:c>
      <x:c r="I892" s="30" t="str">
        <x:v>Normalized from approved Pharmacy Delta Audit Procedure Master.</x:v>
      </x:c>
    </x:row>
    <x:row r="893">
      <x:c r="A893" s="30" t="str">
        <x:v>IAUD001</x:v>
      </x:c>
      <x:c r="B893" s="30" t="str">
        <x:v>ICOMP001</x:v>
      </x:c>
      <x:c r="C893" s="30" t="str">
        <x:v>Verify institutional customers and departments are authorized before medicine supply.</x:v>
      </x:c>
      <x:c r="D893" s="30" t="str">
        <x:v>Record Verification</x:v>
      </x:c>
      <x:c r="E893" s="30" t="str">
        <x:v>Quarterly</x:v>
      </x:c>
      <x:c r="F893" s="30" t="str">
        <x:v>INSTITUTIONAL</x:v>
      </x:c>
      <x:c r="G893" s="30" t="str">
        <x:v>Consumer Protection</x:v>
      </x:c>
      <x:c r="H893" s="30" t="str">
        <x:v>Yes</x:v>
      </x:c>
      <x:c r="I893" s="30" t="str">
        <x:v>Normalized from approved Pharmacy Delta Audit Procedure Master.</x:v>
      </x:c>
    </x:row>
    <x:row r="894">
      <x:c r="A894" s="30" t="str">
        <x:v>IAUD002</x:v>
      </x:c>
      <x:c r="B894" s="30" t="str">
        <x:v>ICOMP002</x:v>
      </x:c>
      <x:c r="C894" s="30" t="str">
        <x:v>Verify bulk medicine requisitions are approved by authorized personnel before issue.</x:v>
      </x:c>
      <x:c r="D894" s="30" t="str">
        <x:v>Document Review</x:v>
      </x:c>
      <x:c r="E894" s="30" t="str">
        <x:v>Quarterly</x:v>
      </x:c>
      <x:c r="F894" s="30" t="str">
        <x:v>INSTITUTIONAL</x:v>
      </x:c>
      <x:c r="G894" s="30" t="str">
        <x:v>Personnel Competency</x:v>
      </x:c>
      <x:c r="H894" s="30" t="str">
        <x:v>Yes</x:v>
      </x:c>
      <x:c r="I894" s="30" t="str">
        <x:v>Normalized from approved Pharmacy Delta Audit Procedure Master.</x:v>
      </x:c>
    </x:row>
    <x:row r="895">
      <x:c r="A895" s="30" t="str">
        <x:v>IAUD003</x:v>
      </x:c>
      <x:c r="B895" s="30" t="str">
        <x:v>ICOMP003</x:v>
      </x:c>
      <x:c r="C895" s="30" t="str">
        <x:v>Verify complete traceability of medicines supplied to institutional departments.</x:v>
      </x:c>
      <x:c r="D895" s="30" t="str">
        <x:v>Reconciliation</x:v>
      </x:c>
      <x:c r="E895" s="30" t="str">
        <x:v>Quarterly</x:v>
      </x:c>
      <x:c r="F895" s="30" t="str">
        <x:v>INSTITUTIONAL</x:v>
      </x:c>
      <x:c r="G895" s="30" t="str">
        <x:v>General Compliance</x:v>
      </x:c>
      <x:c r="H895" s="30" t="str">
        <x:v>Yes</x:v>
      </x:c>
      <x:c r="I895" s="30" t="str">
        <x:v>Normalized from approved Pharmacy Delta Audit Procedure Master.</x:v>
      </x:c>
    </x:row>
    <x:row r="896">
      <x:c r="A896" s="30" t="str">
        <x:v>IAUD004</x:v>
      </x:c>
      <x:c r="B896" s="30" t="str">
        <x:v>ICOMP004</x:v>
      </x:c>
      <x:c r="C896" s="30" t="str">
        <x:v>Verify reconciliation between pharmacy inventory and departmental stock.</x:v>
      </x:c>
      <x:c r="D896" s="30" t="str">
        <x:v>Reconciliation</x:v>
      </x:c>
      <x:c r="E896" s="30" t="str">
        <x:v>Monthly</x:v>
      </x:c>
      <x:c r="F896" s="30" t="str">
        <x:v>INSTITUTIONAL</x:v>
      </x:c>
      <x:c r="G896" s="30" t="str">
        <x:v>Inventory Controls</x:v>
      </x:c>
      <x:c r="H896" s="30" t="str">
        <x:v>Yes</x:v>
      </x:c>
      <x:c r="I896" s="30" t="str">
        <x:v>Normalized from approved Pharmacy Delta Audit Procedure Master.</x:v>
      </x:c>
    </x:row>
    <x:row r="897">
      <x:c r="A897" s="30" t="str">
        <x:v>IAUD005</x:v>
      </x:c>
      <x:c r="B897" s="30" t="str">
        <x:v>ICOMP005</x:v>
      </x:c>
      <x:c r="C897" s="30" t="str">
        <x:v>Verify returned medicines are inspected, documented and appropriately disposed or restocked.</x:v>
      </x:c>
      <x:c r="D897" s="30" t="str">
        <x:v>Physical Inspection</x:v>
      </x:c>
      <x:c r="E897" s="30" t="str">
        <x:v>Quarterly</x:v>
      </x:c>
      <x:c r="F897" s="30" t="str">
        <x:v>INSTITUTIONAL</x:v>
      </x:c>
      <x:c r="G897" s="30" t="str">
        <x:v>Inventory Controls</x:v>
      </x:c>
      <x:c r="H897" s="30" t="str">
        <x:v>Yes</x:v>
      </x:c>
      <x:c r="I897" s="30" t="str">
        <x:v>Normalized from approved Pharmacy Delta Audit Procedure Master.</x:v>
      </x:c>
    </x:row>
    <x:row r="898">
      <x:c r="A898" s="30" t="str">
        <x:v>IAUD006</x:v>
      </x:c>
      <x:c r="B898" s="30" t="str">
        <x:v>ICOMP006</x:v>
      </x:c>
      <x:c r="C898" s="30" t="str">
        <x:v>Verify emergency medicine stocks meet approved institutional requirements.</x:v>
      </x:c>
      <x:c r="D898" s="30" t="str">
        <x:v>Physical Inspection</x:v>
      </x:c>
      <x:c r="E898" s="30" t="str">
        <x:v>Quarterly</x:v>
      </x:c>
      <x:c r="F898" s="30" t="str">
        <x:v>INSTITUTIONAL</x:v>
      </x:c>
      <x:c r="G898" s="30" t="str">
        <x:v>Inventory Controls</x:v>
      </x:c>
      <x:c r="H898" s="30" t="str">
        <x:v>Yes</x:v>
      </x:c>
      <x:c r="I898" s="30" t="str">
        <x:v>Normalized from approved Pharmacy Delta Audit Procedure Master.</x:v>
      </x:c>
    </x:row>
    <x:row r="899">
      <x:c r="A899" s="30" t="str">
        <x:v>IAUD007</x:v>
      </x:c>
      <x:c r="B899" s="30" t="str">
        <x:v>ICOMP007</x:v>
      </x:c>
      <x:c r="C899" s="30" t="str">
        <x:v>Verify controlled medicine issue registers and reconciliation records are complete and accurate.</x:v>
      </x:c>
      <x:c r="D899" s="30" t="str">
        <x:v>Reconciliation</x:v>
      </x:c>
      <x:c r="E899" s="30" t="str">
        <x:v>Monthly</x:v>
      </x:c>
      <x:c r="F899" s="30" t="str">
        <x:v>INSTITUTIONAL</x:v>
      </x:c>
      <x:c r="G899" s="30" t="str">
        <x:v>Recordkeeping</x:v>
      </x:c>
      <x:c r="H899" s="30" t="str">
        <x:v>Yes</x:v>
      </x:c>
      <x:c r="I899" s="30" t="str">
        <x:v>Normalized from approved Pharmacy Delta Audit Procedure Master.</x:v>
      </x:c>
    </x:row>
    <x:row r="900">
      <x:c r="A900" s="30" t="str">
        <x:v>IAUD008</x:v>
      </x:c>
      <x:c r="B900" s="30" t="str">
        <x:v>ICOMP008</x:v>
      </x:c>
      <x:c r="C900" s="30" t="str">
        <x:v>Verify institutional medicine supply agreements are current and comply with approved contractual terms.</x:v>
      </x:c>
      <x:c r="D900" s="30" t="str">
        <x:v>Document Review</x:v>
      </x:c>
      <x:c r="E900" s="30" t="str">
        <x:v>Annual</x:v>
      </x:c>
      <x:c r="F900" s="30" t="str">
        <x:v>INSTITUTIONAL</x:v>
      </x:c>
      <x:c r="G900" s="30" t="str">
        <x:v>General Compliance</x:v>
      </x:c>
      <x:c r="H900" s="30" t="str">
        <x:v>Yes</x:v>
      </x:c>
      <x:c r="I900" s="30" t="str">
        <x:v>Normalized from approved Pharmacy Delta Audit Procedure Master.</x:v>
      </x:c>
    </x:row>
    <x:row r="901">
      <x:c r="A901" s="30" t="str">
        <x:v>IAUD009</x:v>
      </x:c>
      <x:c r="B901" s="30" t="str">
        <x:v>ICOMP009</x:v>
      </x:c>
      <x:c r="C901" s="30" t="str">
        <x:v>Verify institutional pharmacy compliance reviews are performed according to schedule.</x:v>
      </x:c>
      <x:c r="D901" s="30" t="str">
        <x:v>Interview</x:v>
      </x:c>
      <x:c r="E901" s="30" t="str">
        <x:v>Quarterly</x:v>
      </x:c>
      <x:c r="F901" s="30" t="str">
        <x:v>INSTITUTIONAL</x:v>
      </x:c>
      <x:c r="G901" s="30" t="str">
        <x:v>General Compliance</x:v>
      </x:c>
      <x:c r="H901" s="30" t="str">
        <x:v>Yes</x:v>
      </x:c>
      <x:c r="I901" s="30" t="str">
        <x:v>Normalized from approved Pharmacy Delta Audit Procedure Master.</x:v>
      </x:c>
    </x:row>
    <x:row r="902">
      <x:c r="A902" s="30" t="str">
        <x:v>IAUD010</x:v>
      </x:c>
      <x:c r="B902" s="30" t="str">
        <x:v>ICOMP010</x:v>
      </x:c>
      <x:c r="C902" s="30" t="str">
        <x:v>Verify governance meetings review institutional pharmacy quality, compliance and operational performance.</x:v>
      </x:c>
      <x:c r="D902" s="30" t="str">
        <x:v>Document Review</x:v>
      </x:c>
      <x:c r="E902" s="30" t="str">
        <x:v>Quarterly</x:v>
      </x:c>
      <x:c r="F902" s="30" t="str">
        <x:v>INSTITUTIONAL</x:v>
      </x:c>
      <x:c r="G902" s="30" t="str">
        <x:v>General Compliance</x:v>
      </x:c>
      <x:c r="H902" s="30" t="str">
        <x:v>Yes</x:v>
      </x:c>
      <x:c r="I902" s="30" t="str">
        <x:v>Normalized from approved Pharmacy Delta Audit Procedure Master.</x:v>
      </x:c>
    </x:row>
    <x:row r="903">
      <x:c r="A903" s="30" t="str">
        <x:v>IAUD011</x:v>
      </x:c>
      <x:c r="B903" s="30" t="str">
        <x:v>ICOMP011</x:v>
      </x:c>
      <x:c r="C903" s="30" t="str">
        <x:v>Verify product recalls are communicated and executed across all affected institutional departments.</x:v>
      </x:c>
      <x:c r="D903" s="30" t="str">
        <x:v>Sampling</x:v>
      </x:c>
      <x:c r="E903" s="30" t="str">
        <x:v>Annual</x:v>
      </x:c>
      <x:c r="F903" s="30" t="str">
        <x:v>INSTITUTIONAL</x:v>
      </x:c>
      <x:c r="G903" s="30" t="str">
        <x:v>Inventory Controls</x:v>
      </x:c>
      <x:c r="H903" s="30" t="str">
        <x:v>Yes</x:v>
      </x:c>
      <x:c r="I903" s="30" t="str">
        <x:v>Normalized from approved Pharmacy Delta Audit Procedure Master.</x:v>
      </x:c>
    </x:row>
    <x:row r="904">
      <x:c r="A904" s="30" t="str">
        <x:v>IAUD012</x:v>
      </x:c>
      <x:c r="B904" s="30" t="str">
        <x:v>ICOMP012</x:v>
      </x:c>
      <x:c r="C904" s="30" t="str">
        <x:v>Verify medicines supplied comply with approved institutional formulary requirements.</x:v>
      </x:c>
      <x:c r="D904" s="30" t="str">
        <x:v>Record Verification</x:v>
      </x:c>
      <x:c r="E904" s="30" t="str">
        <x:v>Quarterly</x:v>
      </x:c>
      <x:c r="F904" s="30" t="str">
        <x:v>INSTITUTIONAL</x:v>
      </x:c>
      <x:c r="G904" s="30" t="str">
        <x:v>General Compliance</x:v>
      </x:c>
      <x:c r="H904" s="30" t="str">
        <x:v>Yes</x:v>
      </x:c>
      <x:c r="I904" s="30" t="str">
        <x:v>Normalized from approved Pharmacy Delta Audit Procedure Master.</x:v>
      </x:c>
    </x:row>
    <x:row r="905">
      <x:c r="A905" s="30" t="str">
        <x:v>IAUD013</x:v>
      </x:c>
      <x:c r="B905" s="30" t="str">
        <x:v>ICOMP013</x:v>
      </x:c>
      <x:c r="C905" s="30" t="str">
        <x:v>Verify inter-department medicine transfers are authorized and fully traceable.</x:v>
      </x:c>
      <x:c r="D905" s="30" t="str">
        <x:v>Reconciliation</x:v>
      </x:c>
      <x:c r="E905" s="30" t="str">
        <x:v>Quarterly</x:v>
      </x:c>
      <x:c r="F905" s="30" t="str">
        <x:v>INSTITUTIONAL</x:v>
      </x:c>
      <x:c r="G905" s="30" t="str">
        <x:v>General Compliance</x:v>
      </x:c>
      <x:c r="H905" s="30" t="str">
        <x:v>Yes</x:v>
      </x:c>
      <x:c r="I905" s="30" t="str">
        <x:v>Normalized from approved Pharmacy Delta Audit Procedure Master.</x:v>
      </x:c>
    </x:row>
    <x:row r="906">
      <x:c r="A906" s="30" t="str">
        <x:v>IAUD014</x:v>
      </x:c>
      <x:c r="B906" s="30" t="str">
        <x:v>ICOMP014</x:v>
      </x:c>
      <x:c r="C906" s="30" t="str">
        <x:v>Verify monitoring and redistribution of near-expiry medicines follow approved procedures.</x:v>
      </x:c>
      <x:c r="D906" s="30" t="str">
        <x:v>Document Review</x:v>
      </x:c>
      <x:c r="E906" s="30" t="str">
        <x:v>Monthly</x:v>
      </x:c>
      <x:c r="F906" s="30" t="str">
        <x:v>INSTITUTIONAL</x:v>
      </x:c>
      <x:c r="G906" s="30" t="str">
        <x:v>Inventory Controls</x:v>
      </x:c>
      <x:c r="H906" s="30" t="str">
        <x:v>Yes</x:v>
      </x:c>
      <x:c r="I906" s="30" t="str">
        <x:v>Normalized from approved Pharmacy Delta Audit Procedure Master.</x:v>
      </x:c>
    </x:row>
    <x:row r="907">
      <x:c r="A907" s="30" t="str">
        <x:v>IAUD015</x:v>
      </x:c>
      <x:c r="B907" s="30" t="str">
        <x:v>ICOMP015</x:v>
      </x:c>
      <x:c r="C907" s="30" t="str">
        <x:v>Verify institutional vendor evaluations are completed and corrective actions are monitored.</x:v>
      </x:c>
      <x:c r="D907" s="30" t="str">
        <x:v>Document Review</x:v>
      </x:c>
      <x:c r="E907" s="30" t="str">
        <x:v>Annual</x:v>
      </x:c>
      <x:c r="F907" s="30" t="str">
        <x:v>INSTITUTIONAL</x:v>
      </x:c>
      <x:c r="G907" s="30" t="str">
        <x:v>Procurement Controls</x:v>
      </x:c>
      <x:c r="H907" s="30" t="str">
        <x:v>Yes</x:v>
      </x:c>
      <x:c r="I907" s="30" t="str">
        <x:v>Normalized from approved Pharmacy Delta Audit Procedure Master.</x:v>
      </x:c>
    </x:row>
    <x:row r="908">
      <x:c r="A908" s="30" t="str">
        <x:v>IAUD016</x:v>
      </x:c>
      <x:c r="B908" s="30" t="str">
        <x:v>ICOMP016</x:v>
      </x:c>
      <x:c r="C908" s="30" t="str">
        <x:v>Verify emergency preparedness plans are tested and updated periodically.</x:v>
      </x:c>
      <x:c r="D908" s="30" t="str">
        <x:v>Observation</x:v>
      </x:c>
      <x:c r="E908" s="30" t="str">
        <x:v>Annual</x:v>
      </x:c>
      <x:c r="F908" s="30" t="str">
        <x:v>INSTITUTIONAL</x:v>
      </x:c>
      <x:c r="G908" s="30" t="str">
        <x:v>General Compliance</x:v>
      </x:c>
      <x:c r="H908" s="30" t="str">
        <x:v>Yes</x:v>
      </x:c>
      <x:c r="I908" s="30" t="str">
        <x:v>Normalized from approved Pharmacy Delta Audit Procedure Master.</x:v>
      </x:c>
    </x:row>
    <x:row r="909">
      <x:c r="A909" s="30" t="str">
        <x:v>IAUD017</x:v>
      </x:c>
      <x:c r="B909" s="30" t="str">
        <x:v>ICOMP017</x:v>
      </x:c>
      <x:c r="C909" s="30" t="str">
        <x:v>Verify institutional pharmacy compliance reports are submitted accurately and on schedule.</x:v>
      </x:c>
      <x:c r="D909" s="30" t="str">
        <x:v>Document Review</x:v>
      </x:c>
      <x:c r="E909" s="30" t="str">
        <x:v>Monthly</x:v>
      </x:c>
      <x:c r="F909" s="30" t="str">
        <x:v>INSTITUTIONAL</x:v>
      </x:c>
      <x:c r="G909" s="30" t="str">
        <x:v>General Compliance</x:v>
      </x:c>
      <x:c r="H909" s="30" t="str">
        <x:v>Yes</x:v>
      </x:c>
      <x:c r="I909" s="30" t="str">
        <x:v>Normalized from approved Pharmacy Delta Audit Procedure Master.</x:v>
      </x:c>
    </x:row>
    <x:row r="910">
      <x:c r="A910" s="30" t="str">
        <x:v>IAUD018</x:v>
      </x:c>
      <x:c r="B910" s="30" t="str">
        <x:v>ICOMP018</x:v>
      </x:c>
      <x:c r="C910" s="30" t="str">
        <x:v>Verify pharmacy staff competency assessments and mandatory training records are maintained.</x:v>
      </x:c>
      <x:c r="D910" s="30" t="str">
        <x:v>Record Verification</x:v>
      </x:c>
      <x:c r="E910" s="30" t="str">
        <x:v>Annual</x:v>
      </x:c>
      <x:c r="F910" s="30" t="str">
        <x:v>INSTITUTIONAL</x:v>
      </x:c>
      <x:c r="G910" s="30" t="str">
        <x:v>Personnel Competency</x:v>
      </x:c>
      <x:c r="H910" s="30" t="str">
        <x:v>Yes</x:v>
      </x:c>
      <x:c r="I910" s="30" t="str">
        <x:v>Normalized from approved Pharmacy Delta Audit Procedure Master.</x:v>
      </x:c>
    </x:row>
    <x:row r="911">
      <x:c r="A911" s="30" t="str">
        <x:v>IAUD019</x:v>
      </x:c>
      <x:c r="B911" s="30" t="str">
        <x:v>ICOMP019</x:v>
      </x:c>
      <x:c r="C911" s="30" t="str">
        <x:v>Verify quality assurance reviews cover dispensing, storage and distribution activities effectively.</x:v>
      </x:c>
      <x:c r="D911" s="30" t="str">
        <x:v>Observation</x:v>
      </x:c>
      <x:c r="E911" s="30" t="str">
        <x:v>Quarterly</x:v>
      </x:c>
      <x:c r="F911" s="30" t="str">
        <x:v>INSTITUTIONAL</x:v>
      </x:c>
      <x:c r="G911" s="30" t="str">
        <x:v>Storage Controls</x:v>
      </x:c>
      <x:c r="H911" s="30" t="str">
        <x:v>Yes</x:v>
      </x:c>
      <x:c r="I911" s="30" t="str">
        <x:v>Normalized from approved Pharmacy Delta Audit Procedure Master.</x:v>
      </x:c>
    </x:row>
    <x:row r="912">
      <x:c r="A912" s="30" t="str">
        <x:v>IAUD020</x:v>
      </x:c>
      <x:c r="B912" s="30" t="str">
        <x:v>ICOMP020</x:v>
      </x:c>
      <x:c r="C912" s="30" t="str">
        <x:v>Verify institutional compliance maturity assessments are performed and improvement plans are implemented.</x:v>
      </x:c>
      <x:c r="D912" s="30" t="str">
        <x:v>Interview</x:v>
      </x:c>
      <x:c r="E912" s="30" t="str">
        <x:v>Annual</x:v>
      </x:c>
      <x:c r="F912" s="30" t="str">
        <x:v>INSTITUTIONAL</x:v>
      </x:c>
      <x:c r="G912" s="30" t="str">
        <x:v>General Compliance</x:v>
      </x:c>
      <x:c r="H912" s="30" t="str">
        <x:v>Yes</x:v>
      </x:c>
      <x:c r="I912" s="30" t="str">
        <x:v>Normalized from approved Pharmacy Delta Audit Procedure Master.</x:v>
      </x:c>
    </x:row>
    <x:row r="913">
      <x:c r="A913" s="30" t="str">
        <x:v>SAUD001</x:v>
      </x:c>
      <x:c r="B913" s="30" t="str">
        <x:v>SCOMP001</x:v>
      </x:c>
      <x:c r="C913" s="30" t="str">
        <x:v>Verify oncology and cytotoxic medicines are received, prepared, dispensed and disposed of according to approved hazardous medicine handling procedures.</x:v>
      </x:c>
      <x:c r="D913" s="30" t="str">
        <x:v>Observation</x:v>
      </x:c>
      <x:c r="E913" s="30" t="str">
        <x:v>Quarterly</x:v>
      </x:c>
      <x:c r="F913" s="30" t="str">
        <x:v>SPECIALIZED</x:v>
      </x:c>
      <x:c r="G913" s="30" t="str">
        <x:v>SOP &amp; Training</x:v>
      </x:c>
      <x:c r="H913" s="30" t="str">
        <x:v>Yes</x:v>
      </x:c>
      <x:c r="I913" s="30" t="str">
        <x:v>Normalized from approved Pharmacy Delta Audit Procedure Master.</x:v>
      </x:c>
    </x:row>
    <x:row r="914">
      <x:c r="A914" s="30" t="str">
        <x:v>SAUD002</x:v>
      </x:c>
      <x:c r="B914" s="30" t="str">
        <x:v>SCOMP002</x:v>
      </x:c>
      <x:c r="C914" s="30" t="str">
        <x:v>Verify hazardous medicines are stored in designated secured areas with appropriate segregation.</x:v>
      </x:c>
      <x:c r="D914" s="30" t="str">
        <x:v>Physical Inspection</x:v>
      </x:c>
      <x:c r="E914" s="30" t="str">
        <x:v>Quarterly</x:v>
      </x:c>
      <x:c r="F914" s="30" t="str">
        <x:v>SPECIALIZED</x:v>
      </x:c>
      <x:c r="G914" s="30" t="str">
        <x:v>Inventory Controls</x:v>
      </x:c>
      <x:c r="H914" s="30" t="str">
        <x:v>Yes</x:v>
      </x:c>
      <x:c r="I914" s="30" t="str">
        <x:v>Normalized from approved Pharmacy Delta Audit Procedure Master.</x:v>
      </x:c>
    </x:row>
    <x:row r="915">
      <x:c r="A915" s="30" t="str">
        <x:v>SAUD003</x:v>
      </x:c>
      <x:c r="B915" s="30" t="str">
        <x:v>SCOMP003</x:v>
      </x:c>
      <x:c r="C915" s="30" t="str">
        <x:v>Verify specialty cold-chain facilities remain qualified and monitoring records are complete.</x:v>
      </x:c>
      <x:c r="D915" s="30" t="str">
        <x:v>Record Verification</x:v>
      </x:c>
      <x:c r="E915" s="30" t="str">
        <x:v>Quarterly</x:v>
      </x:c>
      <x:c r="F915" s="30" t="str">
        <x:v>SPECIALIZED</x:v>
      </x:c>
      <x:c r="G915" s="30" t="str">
        <x:v>Storage Controls</x:v>
      </x:c>
      <x:c r="H915" s="30" t="str">
        <x:v>Yes</x:v>
      </x:c>
      <x:c r="I915" s="30" t="str">
        <x:v>Normalized from approved Pharmacy Delta Audit Procedure Master.</x:v>
      </x:c>
    </x:row>
    <x:row r="916">
      <x:c r="A916" s="30" t="str">
        <x:v>SAUD004</x:v>
      </x:c>
      <x:c r="B916" s="30" t="str">
        <x:v>SCOMP004</x:v>
      </x:c>
      <x:c r="C916" s="30" t="str">
        <x:v>Verify independent reconciliation of controlled medicine inventory.</x:v>
      </x:c>
      <x:c r="D916" s="30" t="str">
        <x:v>Reconciliation</x:v>
      </x:c>
      <x:c r="E916" s="30" t="str">
        <x:v>Monthly</x:v>
      </x:c>
      <x:c r="F916" s="30" t="str">
        <x:v>SPECIALIZED</x:v>
      </x:c>
      <x:c r="G916" s="30" t="str">
        <x:v>Inventory Controls</x:v>
      </x:c>
      <x:c r="H916" s="30" t="str">
        <x:v>Yes</x:v>
      </x:c>
      <x:c r="I916" s="30" t="str">
        <x:v>Normalized from approved Pharmacy Delta Audit Procedure Master.</x:v>
      </x:c>
    </x:row>
    <x:row r="917">
      <x:c r="A917" s="30" t="str">
        <x:v>SAUD005</x:v>
      </x:c>
      <x:c r="B917" s="30" t="str">
        <x:v>SCOMP005</x:v>
      </x:c>
      <x:c r="C917" s="30" t="str">
        <x:v>Verify high-risk medicines undergo documented independent verification before dispensing.</x:v>
      </x:c>
      <x:c r="D917" s="30" t="str">
        <x:v>Record Verification</x:v>
      </x:c>
      <x:c r="E917" s="30" t="str">
        <x:v>Quarterly</x:v>
      </x:c>
      <x:c r="F917" s="30" t="str">
        <x:v>SPECIALIZED</x:v>
      </x:c>
      <x:c r="G917" s="30" t="str">
        <x:v>Recordkeeping</x:v>
      </x:c>
      <x:c r="H917" s="30" t="str">
        <x:v>Yes</x:v>
      </x:c>
      <x:c r="I917" s="30" t="str">
        <x:v>Normalized from approved Pharmacy Delta Audit Procedure Master.</x:v>
      </x:c>
    </x:row>
    <x:row r="918">
      <x:c r="A918" s="30" t="str">
        <x:v>SAUD006</x:v>
      </x:c>
      <x:c r="B918" s="30" t="str">
        <x:v>SCOMP006</x:v>
      </x:c>
      <x:c r="C918" s="30" t="str">
        <x:v>Verify all vaccine temperature excursions are investigated and documented before product release.</x:v>
      </x:c>
      <x:c r="D918" s="30" t="str">
        <x:v>Document Review</x:v>
      </x:c>
      <x:c r="E918" s="30" t="str">
        <x:v>Quarterly</x:v>
      </x:c>
      <x:c r="F918" s="30" t="str">
        <x:v>SPECIALIZED</x:v>
      </x:c>
      <x:c r="G918" s="30" t="str">
        <x:v>Storage Controls</x:v>
      </x:c>
      <x:c r="H918" s="30" t="str">
        <x:v>Yes</x:v>
      </x:c>
      <x:c r="I918" s="30" t="str">
        <x:v>Normalized from approved Pharmacy Delta Audit Procedure Master.</x:v>
      </x:c>
    </x:row>
    <x:row r="919">
      <x:c r="A919" s="30" t="str">
        <x:v>SAUD007</x:v>
      </x:c>
      <x:c r="B919" s="30" t="str">
        <x:v>SCOMP007</x:v>
      </x:c>
      <x:c r="C919" s="30" t="str">
        <x:v>Verify complete batch traceability for biologic medicines.</x:v>
      </x:c>
      <x:c r="D919" s="30" t="str">
        <x:v>Sampling</x:v>
      </x:c>
      <x:c r="E919" s="30" t="str">
        <x:v>Quarterly</x:v>
      </x:c>
      <x:c r="F919" s="30" t="str">
        <x:v>SPECIALIZED</x:v>
      </x:c>
      <x:c r="G919" s="30" t="str">
        <x:v>Inventory Controls</x:v>
      </x:c>
      <x:c r="H919" s="30" t="str">
        <x:v>Yes</x:v>
      </x:c>
      <x:c r="I919" s="30" t="str">
        <x:v>Normalized from approved Pharmacy Delta Audit Procedure Master.</x:v>
      </x:c>
    </x:row>
    <x:row r="920">
      <x:c r="A920" s="30" t="str">
        <x:v>SAUD008</x:v>
      </x:c>
      <x:c r="B920" s="30" t="str">
        <x:v>SCOMP008</x:v>
      </x:c>
      <x:c r="C920" s="30" t="str">
        <x:v>Verify investigational medicines are fully accounted for from receipt through disposition.</x:v>
      </x:c>
      <x:c r="D920" s="30" t="str">
        <x:v>Reconciliation</x:v>
      </x:c>
      <x:c r="E920" s="30" t="str">
        <x:v>Quarterly</x:v>
      </x:c>
      <x:c r="F920" s="30" t="str">
        <x:v>SPECIALIZED</x:v>
      </x:c>
      <x:c r="G920" s="30" t="str">
        <x:v>Billing Controls</x:v>
      </x:c>
      <x:c r="H920" s="30" t="str">
        <x:v>Yes</x:v>
      </x:c>
      <x:c r="I920" s="30" t="str">
        <x:v>Normalized from approved Pharmacy Delta Audit Procedure Master.</x:v>
      </x:c>
    </x:row>
    <x:row r="921">
      <x:c r="A921" s="30" t="str">
        <x:v>SAUD009</x:v>
      </x:c>
      <x:c r="B921" s="30" t="str">
        <x:v>SCOMP009</x:v>
      </x:c>
      <x:c r="C921" s="30" t="str">
        <x:v>Verify hazardous pharmaceutical waste is segregated and disposed of through approved channels.</x:v>
      </x:c>
      <x:c r="D921" s="30" t="str">
        <x:v>Physical Inspection</x:v>
      </x:c>
      <x:c r="E921" s="30" t="str">
        <x:v>Quarterly</x:v>
      </x:c>
      <x:c r="F921" s="30" t="str">
        <x:v>SPECIALIZED</x:v>
      </x:c>
      <x:c r="G921" s="30" t="str">
        <x:v>Inventory Controls</x:v>
      </x:c>
      <x:c r="H921" s="30" t="str">
        <x:v>Yes</x:v>
      </x:c>
      <x:c r="I921" s="30" t="str">
        <x:v>Normalized from approved Pharmacy Delta Audit Procedure Master.</x:v>
      </x:c>
    </x:row>
    <x:row r="922">
      <x:c r="A922" s="30" t="str">
        <x:v>SAUD010</x:v>
      </x:c>
      <x:c r="B922" s="30" t="str">
        <x:v>SCOMP010</x:v>
      </x:c>
      <x:c r="C922" s="30" t="str">
        <x:v>Verify specialty pharmacy staff competency assessments and mandatory training records.</x:v>
      </x:c>
      <x:c r="D922" s="30" t="str">
        <x:v>Record Verification</x:v>
      </x:c>
      <x:c r="E922" s="30" t="str">
        <x:v>Annual</x:v>
      </x:c>
      <x:c r="F922" s="30" t="str">
        <x:v>SPECIALIZED</x:v>
      </x:c>
      <x:c r="G922" s="30" t="str">
        <x:v>Personnel Competency</x:v>
      </x:c>
      <x:c r="H922" s="30" t="str">
        <x:v>Yes</x:v>
      </x:c>
      <x:c r="I922" s="30" t="str">
        <x:v>Normalized from approved Pharmacy Delta Audit Procedure Master.</x:v>
      </x:c>
    </x:row>
    <x:row r="923">
      <x:c r="A923" s="30" t="str">
        <x:v>SAUD011</x:v>
      </x:c>
      <x:c r="B923" s="30" t="str">
        <x:v>SCOMP011</x:v>
      </x:c>
      <x:c r="C923" s="30" t="str">
        <x:v>Verify radiopharmaceutical handling complies with radiation safety procedures.</x:v>
      </x:c>
      <x:c r="D923" s="30" t="str">
        <x:v>Document Review</x:v>
      </x:c>
      <x:c r="E923" s="30" t="str">
        <x:v>Quarterly</x:v>
      </x:c>
      <x:c r="F923" s="30" t="str">
        <x:v>SPECIALIZED</x:v>
      </x:c>
      <x:c r="G923" s="30" t="str">
        <x:v>SOP &amp; Training</x:v>
      </x:c>
      <x:c r="H923" s="30" t="str">
        <x:v>Yes</x:v>
      </x:c>
      <x:c r="I923" s="30" t="str">
        <x:v>Normalized from approved Pharmacy Delta Audit Procedure Master.</x:v>
      </x:c>
    </x:row>
    <x:row r="924">
      <x:c r="A924" s="30" t="str">
        <x:v>SAUD012</x:v>
      </x:c>
      <x:c r="B924" s="30" t="str">
        <x:v>SCOMP012</x:v>
      </x:c>
      <x:c r="C924" s="30" t="str">
        <x:v>Verify independent physical verification of controlled medicines is performed as scheduled.</x:v>
      </x:c>
      <x:c r="D924" s="30" t="str">
        <x:v>Reconciliation</x:v>
      </x:c>
      <x:c r="E924" s="30" t="str">
        <x:v>Monthly</x:v>
      </x:c>
      <x:c r="F924" s="30" t="str">
        <x:v>SPECIALIZED</x:v>
      </x:c>
      <x:c r="G924" s="30" t="str">
        <x:v>General Compliance</x:v>
      </x:c>
      <x:c r="H924" s="30" t="str">
        <x:v>Yes</x:v>
      </x:c>
      <x:c r="I924" s="30" t="str">
        <x:v>Normalized from approved Pharmacy Delta Audit Procedure Master.</x:v>
      </x:c>
    </x:row>
    <x:row r="925">
      <x:c r="A925" s="30" t="str">
        <x:v>SAUD013</x:v>
      </x:c>
      <x:c r="B925" s="30" t="str">
        <x:v>SCOMP013</x:v>
      </x:c>
      <x:c r="C925" s="30" t="str">
        <x:v>Verify enhanced inventory controls for high-value specialty medicines.</x:v>
      </x:c>
      <x:c r="D925" s="30" t="str">
        <x:v>Document Review</x:v>
      </x:c>
      <x:c r="E925" s="30" t="str">
        <x:v>Quarterly</x:v>
      </x:c>
      <x:c r="F925" s="30" t="str">
        <x:v>SPECIALIZED</x:v>
      </x:c>
      <x:c r="G925" s="30" t="str">
        <x:v>Inventory Controls</x:v>
      </x:c>
      <x:c r="H925" s="30" t="str">
        <x:v>Yes</x:v>
      </x:c>
      <x:c r="I925" s="30" t="str">
        <x:v>Normalized from approved Pharmacy Delta Audit Procedure Master.</x:v>
      </x:c>
    </x:row>
    <x:row r="926">
      <x:c r="A926" s="30" t="str">
        <x:v>SAUD014</x:v>
      </x:c>
      <x:c r="B926" s="30" t="str">
        <x:v>SCOMP014</x:v>
      </x:c>
      <x:c r="C926" s="30" t="str">
        <x:v>Verify temperature excursion investigations include risk assessment and documented product disposition.</x:v>
      </x:c>
      <x:c r="D926" s="30" t="str">
        <x:v>Sampling</x:v>
      </x:c>
      <x:c r="E926" s="30" t="str">
        <x:v>Quarterly</x:v>
      </x:c>
      <x:c r="F926" s="30" t="str">
        <x:v>SPECIALIZED</x:v>
      </x:c>
      <x:c r="G926" s="30" t="str">
        <x:v>Storage Controls</x:v>
      </x:c>
      <x:c r="H926" s="30" t="str">
        <x:v>Yes</x:v>
      </x:c>
      <x:c r="I926" s="30" t="str">
        <x:v>Normalized from approved Pharmacy Delta Audit Procedure Master.</x:v>
      </x:c>
    </x:row>
    <x:row r="927">
      <x:c r="A927" s="30" t="str">
        <x:v>SAUD015</x:v>
      </x:c>
      <x:c r="B927" s="30" t="str">
        <x:v>SCOMP015</x:v>
      </x:c>
      <x:c r="C927" s="30" t="str">
        <x:v>Verify adverse events related to specialty medicines are reported and escalated appropriately.</x:v>
      </x:c>
      <x:c r="D927" s="30" t="str">
        <x:v>Record Verification</x:v>
      </x:c>
      <x:c r="E927" s="30" t="str">
        <x:v>Quarterly</x:v>
      </x:c>
      <x:c r="F927" s="30" t="str">
        <x:v>SPECIALIZED</x:v>
      </x:c>
      <x:c r="G927" s="30" t="str">
        <x:v>General Compliance</x:v>
      </x:c>
      <x:c r="H927" s="30" t="str">
        <x:v>Yes</x:v>
      </x:c>
      <x:c r="I927" s="30" t="str">
        <x:v>Normalized from approved Pharmacy Delta Audit Procedure Master.</x:v>
      </x:c>
    </x:row>
    <x:row r="928">
      <x:c r="A928" s="30" t="str">
        <x:v>SAUD016</x:v>
      </x:c>
      <x:c r="B928" s="30" t="str">
        <x:v>SCOMP016</x:v>
      </x:c>
      <x:c r="C928" s="30" t="str">
        <x:v>Verify manufacturer safety communications are reviewed and implemented promptly.</x:v>
      </x:c>
      <x:c r="D928" s="30" t="str">
        <x:v>Interview</x:v>
      </x:c>
      <x:c r="E928" s="30" t="str">
        <x:v>Quarterly</x:v>
      </x:c>
      <x:c r="F928" s="30" t="str">
        <x:v>SPECIALIZED</x:v>
      </x:c>
      <x:c r="G928" s="30" t="str">
        <x:v>General Compliance</x:v>
      </x:c>
      <x:c r="H928" s="30" t="str">
        <x:v>Yes</x:v>
      </x:c>
      <x:c r="I928" s="30" t="str">
        <x:v>Normalized from approved Pharmacy Delta Audit Procedure Master.</x:v>
      </x:c>
    </x:row>
    <x:row r="929">
      <x:c r="A929" s="30" t="str">
        <x:v>SAUD017</x:v>
      </x:c>
      <x:c r="B929" s="30" t="str">
        <x:v>SCOMP017</x:v>
      </x:c>
      <x:c r="C929" s="30" t="str">
        <x:v>Verify documentation for specialty medicine receipt, preparation and dispensing is complete.</x:v>
      </x:c>
      <x:c r="D929" s="30" t="str">
        <x:v>Reconciliation</x:v>
      </x:c>
      <x:c r="E929" s="30" t="str">
        <x:v>Quarterly</x:v>
      </x:c>
      <x:c r="F929" s="30" t="str">
        <x:v>SPECIALIZED</x:v>
      </x:c>
      <x:c r="G929" s="30" t="str">
        <x:v>Billing Controls</x:v>
      </x:c>
      <x:c r="H929" s="30" t="str">
        <x:v>Yes</x:v>
      </x:c>
      <x:c r="I929" s="30" t="str">
        <x:v>Normalized from approved Pharmacy Delta Audit Procedure Master.</x:v>
      </x:c>
    </x:row>
    <x:row r="930">
      <x:c r="A930" s="30" t="str">
        <x:v>SAUD018</x:v>
      </x:c>
      <x:c r="B930" s="30" t="str">
        <x:v>SCOMP018</x:v>
      </x:c>
      <x:c r="C930" s="30" t="str">
        <x:v>Verify patient counselling is documented for specialty medicine dispensing.</x:v>
      </x:c>
      <x:c r="D930" s="30" t="str">
        <x:v>Document Review</x:v>
      </x:c>
      <x:c r="E930" s="30" t="str">
        <x:v>Quarterly</x:v>
      </x:c>
      <x:c r="F930" s="30" t="str">
        <x:v>SPECIALIZED</x:v>
      </x:c>
      <x:c r="G930" s="30" t="str">
        <x:v>Recordkeeping</x:v>
      </x:c>
      <x:c r="H930" s="30" t="str">
        <x:v>Yes</x:v>
      </x:c>
      <x:c r="I930" s="30" t="str">
        <x:v>Normalized from approved Pharmacy Delta Audit Procedure Master.</x:v>
      </x:c>
    </x:row>
    <x:row r="931">
      <x:c r="A931" s="30" t="str">
        <x:v>SAUD019</x:v>
      </x:c>
      <x:c r="B931" s="30" t="str">
        <x:v>SCOMP019</x:v>
      </x:c>
      <x:c r="C931" s="30" t="str">
        <x:v>Verify priority recall procedures for specialty medicines are executed effectively.</x:v>
      </x:c>
      <x:c r="D931" s="30" t="str">
        <x:v>Sampling</x:v>
      </x:c>
      <x:c r="E931" s="30" t="str">
        <x:v>Annual</x:v>
      </x:c>
      <x:c r="F931" s="30" t="str">
        <x:v>SPECIALIZED</x:v>
      </x:c>
      <x:c r="G931" s="30" t="str">
        <x:v>Inventory Controls</x:v>
      </x:c>
      <x:c r="H931" s="30" t="str">
        <x:v>Yes</x:v>
      </x:c>
      <x:c r="I931" s="30" t="str">
        <x:v>Normalized from approved Pharmacy Delta Audit Procedure Master.</x:v>
      </x:c>
    </x:row>
    <x:row r="932">
      <x:c r="A932" s="30" t="str">
        <x:v>SAUD020</x:v>
      </x:c>
      <x:c r="B932" s="30" t="str">
        <x:v>SCOMP020</x:v>
      </x:c>
      <x:c r="C932" s="30" t="str">
        <x:v>Verify quality assurance reviews comprehensively cover specialty pharmacy operations and CAPA follow-up.</x:v>
      </x:c>
      <x:c r="D932" s="30" t="str">
        <x:v>Sampling</x:v>
      </x:c>
      <x:c r="E932" s="30" t="str">
        <x:v>Quarterly</x:v>
      </x:c>
      <x:c r="F932" s="30" t="str">
        <x:v>SPECIALIZED</x:v>
      </x:c>
      <x:c r="G932" s="30" t="str">
        <x:v>General Compliance</x:v>
      </x:c>
      <x:c r="H932" s="30" t="str">
        <x:v>Yes</x:v>
      </x:c>
      <x:c r="I932" s="30" t="str">
        <x:v>Normalized from approved Pharmacy Delta Audit Procedure Master.</x:v>
      </x:c>
    </x:row>
    <x:row r="933">
      <x:c r="A933" s="30" t="str">
        <x:v>SAUD021</x:v>
      </x:c>
      <x:c r="B933" s="30" t="str">
        <x:v>SCOMP021</x:v>
      </x:c>
      <x:c r="C933" s="30" t="str">
        <x:v>Verify compassionate-use medicines are approved, documented and monitored in accordance with regulatory and institutional requirements.</x:v>
      </x:c>
      <x:c r="D933" s="30" t="str">
        <x:v>Document Review</x:v>
      </x:c>
      <x:c r="E933" s="30" t="str">
        <x:v>Quarterly</x:v>
      </x:c>
      <x:c r="F933" s="30" t="str">
        <x:v>SPECIALIZED</x:v>
      </x:c>
      <x:c r="G933" s="30" t="str">
        <x:v>Recordkeeping</x:v>
      </x:c>
      <x:c r="H933" s="30" t="str">
        <x:v>Yes</x:v>
      </x:c>
      <x:c r="I933" s="30" t="str">
        <x:v>Normalized from approved Pharmacy Delta Audit Procedure Master.</x:v>
      </x:c>
    </x:row>
    <x:row r="934">
      <x:c r="A934" s="30" t="str">
        <x:v>SAUD022</x:v>
      </x:c>
      <x:c r="B934" s="30" t="str">
        <x:v>SCOMP022</x:v>
      </x:c>
      <x:c r="C934" s="30" t="str">
        <x:v>Verify allocation of scarce specialty medicines follows approved prioritization criteria.</x:v>
      </x:c>
      <x:c r="D934" s="30" t="str">
        <x:v>Interview</x:v>
      </x:c>
      <x:c r="E934" s="30" t="str">
        <x:v>Quarterly</x:v>
      </x:c>
      <x:c r="F934" s="30" t="str">
        <x:v>SPECIALIZED</x:v>
      </x:c>
      <x:c r="G934" s="30" t="str">
        <x:v>General Compliance</x:v>
      </x:c>
      <x:c r="H934" s="30" t="str">
        <x:v>Yes</x:v>
      </x:c>
      <x:c r="I934" s="30" t="str">
        <x:v>Normalized from approved Pharmacy Delta Audit Procedure Master.</x:v>
      </x:c>
    </x:row>
    <x:row r="935">
      <x:c r="A935" s="30" t="str">
        <x:v>SAUD023</x:v>
      </x:c>
      <x:c r="B935" s="30" t="str">
        <x:v>SCOMP023</x:v>
      </x:c>
      <x:c r="C935" s="30" t="str">
        <x:v>Verify multidisciplinary clinical coordination is documented before dispensing specialty therapies.</x:v>
      </x:c>
      <x:c r="D935" s="30" t="str">
        <x:v>Record Verification</x:v>
      </x:c>
      <x:c r="E935" s="30" t="str">
        <x:v>Quarterly</x:v>
      </x:c>
      <x:c r="F935" s="30" t="str">
        <x:v>SPECIALIZED</x:v>
      </x:c>
      <x:c r="G935" s="30" t="str">
        <x:v>Recordkeeping</x:v>
      </x:c>
      <x:c r="H935" s="30" t="str">
        <x:v>Yes</x:v>
      </x:c>
      <x:c r="I935" s="30" t="str">
        <x:v>Normalized from approved Pharmacy Delta Audit Procedure Master.</x:v>
      </x:c>
    </x:row>
    <x:row r="936">
      <x:c r="A936" s="30" t="str">
        <x:v>SAUD024</x:v>
      </x:c>
      <x:c r="B936" s="30" t="str">
        <x:v>SCOMP024</x:v>
      </x:c>
      <x:c r="C936" s="30" t="str">
        <x:v>Verify manufacturer-sponsored patient support programmes are governed and periodically reviewed.</x:v>
      </x:c>
      <x:c r="D936" s="30" t="str">
        <x:v>Sampling</x:v>
      </x:c>
      <x:c r="E936" s="30" t="str">
        <x:v>Annual</x:v>
      </x:c>
      <x:c r="F936" s="30" t="str">
        <x:v>SPECIALIZED</x:v>
      </x:c>
      <x:c r="G936" s="30" t="str">
        <x:v>General Compliance</x:v>
      </x:c>
      <x:c r="H936" s="30" t="str">
        <x:v>Yes</x:v>
      </x:c>
      <x:c r="I936" s="30" t="str">
        <x:v>Normalized from approved Pharmacy Delta Audit Procedure Master.</x:v>
      </x:c>
    </x:row>
    <x:row r="937">
      <x:c r="A937" s="30" t="str">
        <x:v>SAUD025</x:v>
      </x:c>
      <x:c r="B937" s="30" t="str">
        <x:v>SCOMP025</x:v>
      </x:c>
      <x:c r="C937" s="30" t="str">
        <x:v>Verify restricted specialty medicines are dispensed only after documented authorization.</x:v>
      </x:c>
      <x:c r="D937" s="30" t="str">
        <x:v>Record Verification</x:v>
      </x:c>
      <x:c r="E937" s="30" t="str">
        <x:v>Quarterly</x:v>
      </x:c>
      <x:c r="F937" s="30" t="str">
        <x:v>SPECIALIZED</x:v>
      </x:c>
      <x:c r="G937" s="30" t="str">
        <x:v>Recordkeeping</x:v>
      </x:c>
      <x:c r="H937" s="30" t="str">
        <x:v>Yes</x:v>
      </x:c>
      <x:c r="I937" s="30" t="str">
        <x:v>Normalized from approved Pharmacy Delta Audit Procedure Master.</x:v>
      </x:c>
    </x:row>
    <x:row r="938">
      <x:c r="A938" s="30" t="str">
        <x:v>SAUD026</x:v>
      </x:c>
      <x:c r="B938" s="30" t="str">
        <x:v>SCOMP026</x:v>
      </x:c>
      <x:c r="C938" s="30" t="str">
        <x:v>Verify enhanced monitoring and inventory verification controls for high-value specialty medicines.</x:v>
      </x:c>
      <x:c r="D938" s="30" t="str">
        <x:v>Reconciliation</x:v>
      </x:c>
      <x:c r="E938" s="30" t="str">
        <x:v>Monthly</x:v>
      </x:c>
      <x:c r="F938" s="30" t="str">
        <x:v>SPECIALIZED</x:v>
      </x:c>
      <x:c r="G938" s="30" t="str">
        <x:v>Inventory Controls</x:v>
      </x:c>
      <x:c r="H938" s="30" t="str">
        <x:v>Yes</x:v>
      </x:c>
      <x:c r="I938" s="30" t="str">
        <x:v>Normalized from approved Pharmacy Delta Audit Procedure Master.</x:v>
      </x:c>
    </x:row>
    <x:row r="939">
      <x:c r="A939" s="30" t="str">
        <x:v>SAUD027</x:v>
      </x:c>
      <x:c r="B939" s="30" t="str">
        <x:v>SCOMP027</x:v>
      </x:c>
      <x:c r="C939" s="30" t="str">
        <x:v>Verify specialty pharmacy compliance KPIs are monitored, reported and reviewed by management.</x:v>
      </x:c>
      <x:c r="D939" s="30" t="str">
        <x:v>Document Review</x:v>
      </x:c>
      <x:c r="E939" s="30" t="str">
        <x:v>Quarterly</x:v>
      </x:c>
      <x:c r="F939" s="30" t="str">
        <x:v>SPECIALIZED</x:v>
      </x:c>
      <x:c r="G939" s="30" t="str">
        <x:v>General Compliance</x:v>
      </x:c>
      <x:c r="H939" s="30" t="str">
        <x:v>Yes</x:v>
      </x:c>
      <x:c r="I939" s="30" t="str">
        <x:v>Normalized from approved Pharmacy Delta Audit Procedure Master.</x:v>
      </x:c>
    </x:row>
    <x:row r="940">
      <x:c r="A940" s="30" t="str">
        <x:v>SAUD028</x:v>
      </x:c>
      <x:c r="B940" s="30" t="str">
        <x:v>SCOMP028</x:v>
      </x:c>
      <x:c r="C940" s="30" t="str">
        <x:v>Verify executive management reviews specialty pharmacy risks, quality indicators and regulatory compliance.</x:v>
      </x:c>
      <x:c r="D940" s="30" t="str">
        <x:v>Interview</x:v>
      </x:c>
      <x:c r="E940" s="30" t="str">
        <x:v>Quarterly</x:v>
      </x:c>
      <x:c r="F940" s="30" t="str">
        <x:v>SPECIALIZED</x:v>
      </x:c>
      <x:c r="G940" s="30" t="str">
        <x:v>General Compliance</x:v>
      </x:c>
      <x:c r="H940" s="30" t="str">
        <x:v>Yes</x:v>
      </x:c>
      <x:c r="I940" s="30" t="str">
        <x:v>Normalized from approved Pharmacy Delta Audit Procedure Master.</x:v>
      </x:c>
    </x:row>
    <x:row r="941">
      <x:c r="A941" s="30" t="str">
        <x:v>SAUD029</x:v>
      </x:c>
      <x:c r="B941" s="30" t="str">
        <x:v>SCOMP029</x:v>
      </x:c>
      <x:c r="C941" s="30" t="str">
        <x:v>Verify CAPA arising from audits, incidents and quality reviews are implemented and closed effectively.</x:v>
      </x:c>
      <x:c r="D941" s="30" t="str">
        <x:v>Sampling</x:v>
      </x:c>
      <x:c r="E941" s="30" t="str">
        <x:v>Quarterly</x:v>
      </x:c>
      <x:c r="F941" s="30" t="str">
        <x:v>SPECIALIZED</x:v>
      </x:c>
      <x:c r="G941" s="30" t="str">
        <x:v>General Compliance</x:v>
      </x:c>
      <x:c r="H941" s="30" t="str">
        <x:v>Yes</x:v>
      </x:c>
      <x:c r="I941" s="30" t="str">
        <x:v>Normalized from approved Pharmacy Delta Audit Procedure Master.</x:v>
      </x:c>
    </x:row>
    <x:row r="942">
      <x:c r="A942" s="30" t="str">
        <x:v>SAUD030</x:v>
      </x:c>
      <x:c r="B942" s="30" t="str">
        <x:v>SCOMP030</x:v>
      </x:c>
      <x:c r="C942" s="30" t="str">
        <x:v>Verify annual specialty pharmacy compliance maturity assessments are completed and improvement plans implemented.</x:v>
      </x:c>
      <x:c r="D942" s="30" t="str">
        <x:v>Interview</x:v>
      </x:c>
      <x:c r="E942" s="30" t="str">
        <x:v>Annual</x:v>
      </x:c>
      <x:c r="F942" s="30" t="str">
        <x:v>SPECIALIZED</x:v>
      </x:c>
      <x:c r="G942" s="30" t="str">
        <x:v>General Compliance</x:v>
      </x:c>
      <x:c r="H942" s="30" t="str">
        <x:v>Yes</x:v>
      </x:c>
      <x:c r="I942" s="30" t="str">
        <x:v>Normalized from approved Pharmacy Delta Audit Procedure Master.</x:v>
      </x:c>
    </x:row>
    <x:row r="943">
      <x:c r="A943" s="30" t="str">
        <x:v>HOMAUD001</x:v>
      </x:c>
      <x:c r="B943" s="30" t="str">
        <x:v>HOMCOMP001</x:v>
      </x:c>
      <x:c r="C943" s="30" t="str">
        <x:v>Verify classification of homeopathic medicines against approved pharmacopoeial categories and product registers.</x:v>
      </x:c>
      <x:c r="D943" s="30" t="str">
        <x:v>Sampling</x:v>
      </x:c>
      <x:c r="E943" s="30" t="str">
        <x:v>Annual</x:v>
      </x:c>
      <x:c r="F943" s="30" t="str">
        <x:v>HOMEOPATHIC</x:v>
      </x:c>
      <x:c r="G943" s="30" t="str">
        <x:v>Recordkeeping</x:v>
      </x:c>
      <x:c r="H943" s="30" t="str">
        <x:v>Yes</x:v>
      </x:c>
      <x:c r="I943" s="30" t="str">
        <x:v>Normalized from approved Pharmacy Delta Audit Procedure Master.</x:v>
      </x:c>
    </x:row>
    <x:row r="944">
      <x:c r="A944" s="30" t="str">
        <x:v>HOMAUD002</x:v>
      </x:c>
      <x:c r="B944" s="30" t="str">
        <x:v>HOMCOMP002</x:v>
      </x:c>
      <x:c r="C944" s="30" t="str">
        <x:v>Verify mother tincture storage conditions, segregation and inventory controls.</x:v>
      </x:c>
      <x:c r="D944" s="30" t="str">
        <x:v>Physical Inspection</x:v>
      </x:c>
      <x:c r="E944" s="30" t="str">
        <x:v>Quarterly</x:v>
      </x:c>
      <x:c r="F944" s="30" t="str">
        <x:v>HOMEOPATHIC</x:v>
      </x:c>
      <x:c r="G944" s="30" t="str">
        <x:v>Storage Controls</x:v>
      </x:c>
      <x:c r="H944" s="30" t="str">
        <x:v>Yes</x:v>
      </x:c>
      <x:c r="I944" s="30" t="str">
        <x:v>Normalized from approved Pharmacy Delta Audit Procedure Master.</x:v>
      </x:c>
    </x:row>
    <x:row r="945">
      <x:c r="A945" s="30" t="str">
        <x:v>HOMAUD003</x:v>
      </x:c>
      <x:c r="B945" s="30" t="str">
        <x:v>HOMCOMP003</x:v>
      </x:c>
      <x:c r="C945" s="30" t="str">
        <x:v>Verify potency identification, labelling and segregation controls.</x:v>
      </x:c>
      <x:c r="D945" s="30" t="str">
        <x:v>Physical Inspection</x:v>
      </x:c>
      <x:c r="E945" s="30" t="str">
        <x:v>Quarterly</x:v>
      </x:c>
      <x:c r="F945" s="30" t="str">
        <x:v>HOMEOPATHIC</x:v>
      </x:c>
      <x:c r="G945" s="30" t="str">
        <x:v>Inventory Controls</x:v>
      </x:c>
      <x:c r="H945" s="30" t="str">
        <x:v>Yes</x:v>
      </x:c>
      <x:c r="I945" s="30" t="str">
        <x:v>Normalized from approved Pharmacy Delta Audit Procedure Master.</x:v>
      </x:c>
    </x:row>
    <x:row r="946">
      <x:c r="A946" s="30" t="str">
        <x:v>HOMAUD004</x:v>
      </x:c>
      <x:c r="B946" s="30" t="str">
        <x:v>HOMCOMP004</x:v>
      </x:c>
      <x:c r="C946" s="30" t="str">
        <x:v>Verify dilution preparation is performed according to approved procedures with complete traceability.</x:v>
      </x:c>
      <x:c r="D946" s="30" t="str">
        <x:v>Observation</x:v>
      </x:c>
      <x:c r="E946" s="30" t="str">
        <x:v>Quarterly</x:v>
      </x:c>
      <x:c r="F946" s="30" t="str">
        <x:v>HOMEOPATHIC</x:v>
      </x:c>
      <x:c r="G946" s="30" t="str">
        <x:v>SOP &amp; Training</x:v>
      </x:c>
      <x:c r="H946" s="30" t="str">
        <x:v>Yes</x:v>
      </x:c>
      <x:c r="I946" s="30" t="str">
        <x:v>Normalized from approved Pharmacy Delta Audit Procedure Master.</x:v>
      </x:c>
    </x:row>
    <x:row r="947">
      <x:c r="A947" s="30" t="str">
        <x:v>HOMAUD005</x:v>
      </x:c>
      <x:c r="B947" s="30" t="str">
        <x:v>HOMCOMP005</x:v>
      </x:c>
      <x:c r="C947" s="30" t="str">
        <x:v>Verify dispensing records capture medicine, potency, batch and patient-level traceability.</x:v>
      </x:c>
      <x:c r="D947" s="30" t="str">
        <x:v>Record Verification</x:v>
      </x:c>
      <x:c r="E947" s="30" t="str">
        <x:v>Quarterly</x:v>
      </x:c>
      <x:c r="F947" s="30" t="str">
        <x:v>HOMEOPATHIC</x:v>
      </x:c>
      <x:c r="G947" s="30" t="str">
        <x:v>Inventory Controls</x:v>
      </x:c>
      <x:c r="H947" s="30" t="str">
        <x:v>Yes</x:v>
      </x:c>
      <x:c r="I947" s="30" t="str">
        <x:v>Normalized from approved Pharmacy Delta Audit Procedure Master.</x:v>
      </x:c>
    </x:row>
    <x:row r="948">
      <x:c r="A948" s="30" t="str">
        <x:v>HOMAUD006</x:v>
      </x:c>
      <x:c r="B948" s="30" t="str">
        <x:v>HOMCOMP006</x:v>
      </x:c>
      <x:c r="C948" s="30" t="str">
        <x:v>Verify label checks are completed before dispensing.</x:v>
      </x:c>
      <x:c r="D948" s="30" t="str">
        <x:v>Observation</x:v>
      </x:c>
      <x:c r="E948" s="30" t="str">
        <x:v>Quarterly</x:v>
      </x:c>
      <x:c r="F948" s="30" t="str">
        <x:v>HOMEOPATHIC</x:v>
      </x:c>
      <x:c r="G948" s="30" t="str">
        <x:v>General Compliance</x:v>
      </x:c>
      <x:c r="H948" s="30" t="str">
        <x:v>Yes</x:v>
      </x:c>
      <x:c r="I948" s="30" t="str">
        <x:v>Normalized from approved Pharmacy Delta Audit Procedure Master.</x:v>
      </x:c>
    </x:row>
    <x:row r="949">
      <x:c r="A949" s="30" t="str">
        <x:v>HOMAUD007</x:v>
      </x:c>
      <x:c r="B949" s="30" t="str">
        <x:v>HOMCOMP007</x:v>
      </x:c>
      <x:c r="C949" s="30" t="str">
        <x:v>Verify homeopathic stock rotation follows FEFO or approved inventory principles.</x:v>
      </x:c>
      <x:c r="D949" s="30" t="str">
        <x:v>Physical Inspection</x:v>
      </x:c>
      <x:c r="E949" s="30" t="str">
        <x:v>Monthly</x:v>
      </x:c>
      <x:c r="F949" s="30" t="str">
        <x:v>HOMEOPATHIC</x:v>
      </x:c>
      <x:c r="G949" s="30" t="str">
        <x:v>Inventory Controls</x:v>
      </x:c>
      <x:c r="H949" s="30" t="str">
        <x:v>Yes</x:v>
      </x:c>
      <x:c r="I949" s="30" t="str">
        <x:v>Normalized from approved Pharmacy Delta Audit Procedure Master.</x:v>
      </x:c>
    </x:row>
    <x:row r="950">
      <x:c r="A950" s="30" t="str">
        <x:v>HOMAUD008</x:v>
      </x:c>
      <x:c r="B950" s="30" t="str">
        <x:v>HOMCOMP008</x:v>
      </x:c>
      <x:c r="C950" s="30" t="str">
        <x:v>Verify expiry monitoring and corrective actions for homeopathic medicines.</x:v>
      </x:c>
      <x:c r="D950" s="30" t="str">
        <x:v>Document Review</x:v>
      </x:c>
      <x:c r="E950" s="30" t="str">
        <x:v>Monthly</x:v>
      </x:c>
      <x:c r="F950" s="30" t="str">
        <x:v>HOMEOPATHIC</x:v>
      </x:c>
      <x:c r="G950" s="30" t="str">
        <x:v>Inventory Controls</x:v>
      </x:c>
      <x:c r="H950" s="30" t="str">
        <x:v>Yes</x:v>
      </x:c>
      <x:c r="I950" s="30" t="str">
        <x:v>Normalized from approved Pharmacy Delta Audit Procedure Master.</x:v>
      </x:c>
    </x:row>
    <x:row r="951">
      <x:c r="A951" s="30" t="str">
        <x:v>HOMAUD009</x:v>
      </x:c>
      <x:c r="B951" s="30" t="str">
        <x:v>HOMCOMP009</x:v>
      </x:c>
      <x:c r="C951" s="30" t="str">
        <x:v>Verify cross-contamination prevention controls during storage, preparation and dispensing.</x:v>
      </x:c>
      <x:c r="D951" s="30" t="str">
        <x:v>Physical Inspection</x:v>
      </x:c>
      <x:c r="E951" s="30" t="str">
        <x:v>Quarterly</x:v>
      </x:c>
      <x:c r="F951" s="30" t="str">
        <x:v>HOMEOPATHIC</x:v>
      </x:c>
      <x:c r="G951" s="30" t="str">
        <x:v>Storage Controls</x:v>
      </x:c>
      <x:c r="H951" s="30" t="str">
        <x:v>Yes</x:v>
      </x:c>
      <x:c r="I951" s="30" t="str">
        <x:v>Normalized from approved Pharmacy Delta Audit Procedure Master.</x:v>
      </x:c>
    </x:row>
    <x:row r="952">
      <x:c r="A952" s="30" t="str">
        <x:v>HOMAUD010</x:v>
      </x:c>
      <x:c r="B952" s="30" t="str">
        <x:v>HOMCOMP010</x:v>
      </x:c>
      <x:c r="C952" s="30" t="str">
        <x:v>Verify storage environment monitoring for temperature, humidity and cleanliness.</x:v>
      </x:c>
      <x:c r="D952" s="30" t="str">
        <x:v>Physical Inspection</x:v>
      </x:c>
      <x:c r="E952" s="30" t="str">
        <x:v>Monthly</x:v>
      </x:c>
      <x:c r="F952" s="30" t="str">
        <x:v>HOMEOPATHIC</x:v>
      </x:c>
      <x:c r="G952" s="30" t="str">
        <x:v>Storage Controls</x:v>
      </x:c>
      <x:c r="H952" s="30" t="str">
        <x:v>Yes</x:v>
      </x:c>
      <x:c r="I952" s="30" t="str">
        <x:v>Normalized from approved Pharmacy Delta Audit Procedure Master.</x:v>
      </x:c>
    </x:row>
    <x:row r="953">
      <x:c r="A953" s="30" t="str">
        <x:v>HOMAUD011</x:v>
      </x:c>
      <x:c r="B953" s="30" t="str">
        <x:v>HOMCOMP011</x:v>
      </x:c>
      <x:c r="C953" s="30" t="str">
        <x:v>Verify batch traceability from receipt through storage and dispensing.</x:v>
      </x:c>
      <x:c r="D953" s="30" t="str">
        <x:v>Sampling</x:v>
      </x:c>
      <x:c r="E953" s="30" t="str">
        <x:v>Quarterly</x:v>
      </x:c>
      <x:c r="F953" s="30" t="str">
        <x:v>HOMEOPATHIC</x:v>
      </x:c>
      <x:c r="G953" s="30" t="str">
        <x:v>Storage Controls</x:v>
      </x:c>
      <x:c r="H953" s="30" t="str">
        <x:v>Yes</x:v>
      </x:c>
      <x:c r="I953" s="30" t="str">
        <x:v>Normalized from approved Pharmacy Delta Audit Procedure Master.</x:v>
      </x:c>
    </x:row>
    <x:row r="954">
      <x:c r="A954" s="30" t="str">
        <x:v>HOMAUD012</x:v>
      </x:c>
      <x:c r="B954" s="30" t="str">
        <x:v>HOMCOMP012</x:v>
      </x:c>
      <x:c r="C954" s="30" t="str">
        <x:v>Verify patient counselling documentation for dosage, administration and storage instructions.</x:v>
      </x:c>
      <x:c r="D954" s="30" t="str">
        <x:v>Record Verification</x:v>
      </x:c>
      <x:c r="E954" s="30" t="str">
        <x:v>Quarterly</x:v>
      </x:c>
      <x:c r="F954" s="30" t="str">
        <x:v>HOMEOPATHIC</x:v>
      </x:c>
      <x:c r="G954" s="30" t="str">
        <x:v>Storage Controls</x:v>
      </x:c>
      <x:c r="H954" s="30" t="str">
        <x:v>Yes</x:v>
      </x:c>
      <x:c r="I954" s="30" t="str">
        <x:v>Normalized from approved Pharmacy Delta Audit Procedure Master.</x:v>
      </x:c>
    </x:row>
    <x:row r="955">
      <x:c r="A955" s="30" t="str">
        <x:v>HOMAUD013</x:v>
      </x:c>
      <x:c r="B955" s="30" t="str">
        <x:v>HOMCOMP013</x:v>
      </x:c>
      <x:c r="C955" s="30" t="str">
        <x:v>Verify dispensing documentation is complete, accurate and retrievable.</x:v>
      </x:c>
      <x:c r="D955" s="30" t="str">
        <x:v>Document Review</x:v>
      </x:c>
      <x:c r="E955" s="30" t="str">
        <x:v>Quarterly</x:v>
      </x:c>
      <x:c r="F955" s="30" t="str">
        <x:v>HOMEOPATHIC</x:v>
      </x:c>
      <x:c r="G955" s="30" t="str">
        <x:v>Recordkeeping</x:v>
      </x:c>
      <x:c r="H955" s="30" t="str">
        <x:v>Yes</x:v>
      </x:c>
      <x:c r="I955" s="30" t="str">
        <x:v>Normalized from approved Pharmacy Delta Audit Procedure Master.</x:v>
      </x:c>
    </x:row>
    <x:row r="956">
      <x:c r="A956" s="30" t="str">
        <x:v>HOMAUD014</x:v>
      </x:c>
      <x:c r="B956" s="30" t="str">
        <x:v>HOMCOMP014</x:v>
      </x:c>
      <x:c r="C956" s="30" t="str">
        <x:v>Verify product quality complaints are investigated and closed with documented actions.</x:v>
      </x:c>
      <x:c r="D956" s="30" t="str">
        <x:v>Document Review</x:v>
      </x:c>
      <x:c r="E956" s="30" t="str">
        <x:v>Quarterly</x:v>
      </x:c>
      <x:c r="F956" s="30" t="str">
        <x:v>HOMEOPATHIC</x:v>
      </x:c>
      <x:c r="G956" s="30" t="str">
        <x:v>Consumer Protection</x:v>
      </x:c>
      <x:c r="H956" s="30" t="str">
        <x:v>Yes</x:v>
      </x:c>
      <x:c r="I956" s="30" t="str">
        <x:v>Normalized from approved Pharmacy Delta Audit Procedure Master.</x:v>
      </x:c>
    </x:row>
    <x:row r="957">
      <x:c r="A957" s="30" t="str">
        <x:v>HOMAUD015</x:v>
      </x:c>
      <x:c r="B957" s="30" t="str">
        <x:v>HOMCOMP015</x:v>
      </x:c>
      <x:c r="C957" s="30" t="str">
        <x:v>Verify homeopathic product recall process and effectiveness checks.</x:v>
      </x:c>
      <x:c r="D957" s="30" t="str">
        <x:v>Sampling</x:v>
      </x:c>
      <x:c r="E957" s="30" t="str">
        <x:v>Annual</x:v>
      </x:c>
      <x:c r="F957" s="30" t="str">
        <x:v>HOMEOPATHIC</x:v>
      </x:c>
      <x:c r="G957" s="30" t="str">
        <x:v>Inventory Controls</x:v>
      </x:c>
      <x:c r="H957" s="30" t="str">
        <x:v>Yes</x:v>
      </x:c>
      <x:c r="I957" s="30" t="str">
        <x:v>Normalized from approved Pharmacy Delta Audit Procedure Master.</x:v>
      </x:c>
    </x:row>
    <x:row r="958">
      <x:c r="A958" s="30" t="str">
        <x:v>HOMAUD016</x:v>
      </x:c>
      <x:c r="B958" s="30" t="str">
        <x:v>HOMCOMP016</x:v>
      </x:c>
      <x:c r="C958" s="30" t="str">
        <x:v>Verify supplier qualification and periodic evaluation of homeopathic suppliers.</x:v>
      </x:c>
      <x:c r="D958" s="30" t="str">
        <x:v>Document Review</x:v>
      </x:c>
      <x:c r="E958" s="30" t="str">
        <x:v>Annual</x:v>
      </x:c>
      <x:c r="F958" s="30" t="str">
        <x:v>HOMEOPATHIC</x:v>
      </x:c>
      <x:c r="G958" s="30" t="str">
        <x:v>Personnel Competency</x:v>
      </x:c>
      <x:c r="H958" s="30" t="str">
        <x:v>Yes</x:v>
      </x:c>
      <x:c r="I958" s="30" t="str">
        <x:v>Normalized from approved Pharmacy Delta Audit Procedure Master.</x:v>
      </x:c>
    </x:row>
    <x:row r="959">
      <x:c r="A959" s="30" t="str">
        <x:v>HOMAUD017</x:v>
      </x:c>
      <x:c r="B959" s="30" t="str">
        <x:v>HOMCOMP017</x:v>
      </x:c>
      <x:c r="C959" s="30" t="str">
        <x:v>Verify training and competency records for homeopathic pharmacy personnel.</x:v>
      </x:c>
      <x:c r="D959" s="30" t="str">
        <x:v>Record Verification</x:v>
      </x:c>
      <x:c r="E959" s="30" t="str">
        <x:v>Annual</x:v>
      </x:c>
      <x:c r="F959" s="30" t="str">
        <x:v>HOMEOPATHIC</x:v>
      </x:c>
      <x:c r="G959" s="30" t="str">
        <x:v>Personnel Competency</x:v>
      </x:c>
      <x:c r="H959" s="30" t="str">
        <x:v>Yes</x:v>
      </x:c>
      <x:c r="I959" s="30" t="str">
        <x:v>Normalized from approved Pharmacy Delta Audit Procedure Master.</x:v>
      </x:c>
    </x:row>
    <x:row r="960">
      <x:c r="A960" s="30" t="str">
        <x:v>HOMAUD018</x:v>
      </x:c>
      <x:c r="B960" s="30" t="str">
        <x:v>HOMCOMP018</x:v>
      </x:c>
      <x:c r="C960" s="30" t="str">
        <x:v>Verify quality assurance reviews cover storage, preparation and dispensing operations.</x:v>
      </x:c>
      <x:c r="D960" s="30" t="str">
        <x:v>Document Review</x:v>
      </x:c>
      <x:c r="E960" s="30" t="str">
        <x:v>Quarterly</x:v>
      </x:c>
      <x:c r="F960" s="30" t="str">
        <x:v>HOMEOPATHIC</x:v>
      </x:c>
      <x:c r="G960" s="30" t="str">
        <x:v>Storage Controls</x:v>
      </x:c>
      <x:c r="H960" s="30" t="str">
        <x:v>Yes</x:v>
      </x:c>
      <x:c r="I960" s="30" t="str">
        <x:v>Normalized from approved Pharmacy Delta Audit Procedure Master.</x:v>
      </x:c>
    </x:row>
    <x:row r="961">
      <x:c r="A961" s="30" t="str">
        <x:v>HOMAUD019</x:v>
      </x:c>
      <x:c r="B961" s="30" t="str">
        <x:v>HOMCOMP019</x:v>
      </x:c>
      <x:c r="C961" s="30" t="str">
        <x:v>Verify regulatory compliance reviews and corrective action closure.</x:v>
      </x:c>
      <x:c r="D961" s="30" t="str">
        <x:v>Document Review</x:v>
      </x:c>
      <x:c r="E961" s="30" t="str">
        <x:v>Quarterly</x:v>
      </x:c>
      <x:c r="F961" s="30" t="str">
        <x:v>HOMEOPATHIC</x:v>
      </x:c>
      <x:c r="G961" s="30" t="str">
        <x:v>General Compliance</x:v>
      </x:c>
      <x:c r="H961" s="30" t="str">
        <x:v>Yes</x:v>
      </x:c>
      <x:c r="I961" s="30" t="str">
        <x:v>Normalized from approved Pharmacy Delta Audit Procedure Master.</x:v>
      </x:c>
    </x:row>
    <x:row r="962">
      <x:c r="A962" s="30" t="str">
        <x:v>HOMAUD020</x:v>
      </x:c>
      <x:c r="B962" s="30" t="str">
        <x:v>HOMCOMP020</x:v>
      </x:c>
      <x:c r="C962" s="30" t="str">
        <x:v>Verify annual governance and compliance maturity assessment with improvement tracking.</x:v>
      </x:c>
      <x:c r="D962" s="30" t="str">
        <x:v>Interview</x:v>
      </x:c>
      <x:c r="E962" s="30" t="str">
        <x:v>Annual</x:v>
      </x:c>
      <x:c r="F962" s="30" t="str">
        <x:v>HOMEOPATHIC</x:v>
      </x:c>
      <x:c r="G962" s="30" t="str">
        <x:v>General Compliance</x:v>
      </x:c>
      <x:c r="H962" s="30" t="str">
        <x:v>Yes</x:v>
      </x:c>
      <x:c r="I962" s="30" t="str">
        <x:v>Normalized from approved Pharmacy Delta Audit Procedure Master.</x:v>
      </x:c>
    </x:row>
    <x:row r="963">
      <x:c r="A963" s="30" t="str">
        <x:v>AAUD001</x:v>
      </x:c>
      <x:c r="B963" s="30" t="str">
        <x:v>ACOMP001</x:v>
      </x:c>
      <x:c r="C963" s="30" t="str">
        <x:v>Verify AYUSH medicines are classified according to the applicable AYUSH system and stored accordingly.</x:v>
      </x:c>
      <x:c r="D963" s="30" t="str">
        <x:v>System Verification</x:v>
      </x:c>
      <x:c r="E963" s="30" t="str">
        <x:v>Annual</x:v>
      </x:c>
      <x:c r="F963" s="30" t="str">
        <x:v>AYUSH</x:v>
      </x:c>
      <x:c r="G963" s="30" t="str">
        <x:v>Digital Controls</x:v>
      </x:c>
      <x:c r="H963" s="30" t="str">
        <x:v>Yes</x:v>
      </x:c>
      <x:c r="I963" s="30" t="str">
        <x:v>Normalized from approved Pharmacy Delta Audit Procedure Master.</x:v>
      </x:c>
    </x:row>
    <x:row r="964">
      <x:c r="A964" s="30" t="str">
        <x:v>AAUD002</x:v>
      </x:c>
      <x:c r="B964" s="30" t="str">
        <x:v>ACOMP002</x:v>
      </x:c>
      <x:c r="C964" s="30" t="str">
        <x:v>Verify procurement is limited to licensed AYUSH manufacturers and authorized distributors.</x:v>
      </x:c>
      <x:c r="D964" s="30" t="str">
        <x:v>Document Review</x:v>
      </x:c>
      <x:c r="E964" s="30" t="str">
        <x:v>Annual</x:v>
      </x:c>
      <x:c r="F964" s="30" t="str">
        <x:v>AYUSH</x:v>
      </x:c>
      <x:c r="G964" s="30" t="str">
        <x:v>Licensing</x:v>
      </x:c>
      <x:c r="H964" s="30" t="str">
        <x:v>Yes</x:v>
      </x:c>
      <x:c r="I964" s="30" t="str">
        <x:v>Normalized from approved Pharmacy Delta Audit Procedure Master.</x:v>
      </x:c>
    </x:row>
    <x:row r="965">
      <x:c r="A965" s="30" t="str">
        <x:v>AAUD003</x:v>
      </x:c>
      <x:c r="B965" s="30" t="str">
        <x:v>ACOMP003</x:v>
      </x:c>
      <x:c r="C965" s="30" t="str">
        <x:v>Verify traceability of herbal, mineral and natural-origin AYUSH medicines from receipt through dispensing.</x:v>
      </x:c>
      <x:c r="D965" s="30" t="str">
        <x:v>Sampling</x:v>
      </x:c>
      <x:c r="E965" s="30" t="str">
        <x:v>Quarterly</x:v>
      </x:c>
      <x:c r="F965" s="30" t="str">
        <x:v>AYUSH</x:v>
      </x:c>
      <x:c r="G965" s="30" t="str">
        <x:v>Billing Controls</x:v>
      </x:c>
      <x:c r="H965" s="30" t="str">
        <x:v>Yes</x:v>
      </x:c>
      <x:c r="I965" s="30" t="str">
        <x:v>Normalized from approved Pharmacy Delta Audit Procedure Master.</x:v>
      </x:c>
    </x:row>
    <x:row r="966">
      <x:c r="A966" s="30" t="str">
        <x:v>AAUD004</x:v>
      </x:c>
      <x:c r="B966" s="30" t="str">
        <x:v>ACOMP004</x:v>
      </x:c>
      <x:c r="C966" s="30" t="str">
        <x:v>Verify AYUSH medicines are stored under prescribed environmental conditions appropriate to each formulation.</x:v>
      </x:c>
      <x:c r="D966" s="30" t="str">
        <x:v>Physical Inspection</x:v>
      </x:c>
      <x:c r="E966" s="30" t="str">
        <x:v>Quarterly</x:v>
      </x:c>
      <x:c r="F966" s="30" t="str">
        <x:v>AYUSH</x:v>
      </x:c>
      <x:c r="G966" s="30" t="str">
        <x:v>General Compliance</x:v>
      </x:c>
      <x:c r="H966" s="30" t="str">
        <x:v>Yes</x:v>
      </x:c>
      <x:c r="I966" s="30" t="str">
        <x:v>Normalized from approved Pharmacy Delta Audit Procedure Master.</x:v>
      </x:c>
    </x:row>
    <x:row r="967">
      <x:c r="A967" s="30" t="str">
        <x:v>AAUD005</x:v>
      </x:c>
      <x:c r="B967" s="30" t="str">
        <x:v>ACOMP005</x:v>
      </x:c>
      <x:c r="C967" s="30" t="str">
        <x:v>Verify AYUSH medicine labels comply with applicable regulatory requirements before dispensing.</x:v>
      </x:c>
      <x:c r="D967" s="30" t="str">
        <x:v>Observation</x:v>
      </x:c>
      <x:c r="E967" s="30" t="str">
        <x:v>Quarterly</x:v>
      </x:c>
      <x:c r="F967" s="30" t="str">
        <x:v>AYUSH</x:v>
      </x:c>
      <x:c r="G967" s="30" t="str">
        <x:v>General Compliance</x:v>
      </x:c>
      <x:c r="H967" s="30" t="str">
        <x:v>Yes</x:v>
      </x:c>
      <x:c r="I967" s="30" t="str">
        <x:v>Normalized from approved Pharmacy Delta Audit Procedure Master.</x:v>
      </x:c>
    </x:row>
    <x:row r="968">
      <x:c r="A968" s="30" t="str">
        <x:v>AAUD006</x:v>
      </x:c>
      <x:c r="B968" s="30" t="str">
        <x:v>ACOMP006</x:v>
      </x:c>
      <x:c r="C968" s="30" t="str">
        <x:v>Verify traditional AYUSH dosage forms are dispensed according to approved procedures.</x:v>
      </x:c>
      <x:c r="D968" s="30" t="str">
        <x:v>Observation</x:v>
      </x:c>
      <x:c r="E968" s="30" t="str">
        <x:v>Quarterly</x:v>
      </x:c>
      <x:c r="F968" s="30" t="str">
        <x:v>AYUSH</x:v>
      </x:c>
      <x:c r="G968" s="30" t="str">
        <x:v>SOP &amp; Training</x:v>
      </x:c>
      <x:c r="H968" s="30" t="str">
        <x:v>Yes</x:v>
      </x:c>
      <x:c r="I968" s="30" t="str">
        <x:v>Normalized from approved Pharmacy Delta Audit Procedure Master.</x:v>
      </x:c>
    </x:row>
    <x:row r="969">
      <x:c r="A969" s="30" t="str">
        <x:v>AAUD007</x:v>
      </x:c>
      <x:c r="B969" s="30" t="str">
        <x:v>ACOMP007</x:v>
      </x:c>
      <x:c r="C969" s="30" t="str">
        <x:v>Verify documented patient counselling is provided for AYUSH medicines.</x:v>
      </x:c>
      <x:c r="D969" s="30" t="str">
        <x:v>Record Verification</x:v>
      </x:c>
      <x:c r="E969" s="30" t="str">
        <x:v>Quarterly</x:v>
      </x:c>
      <x:c r="F969" s="30" t="str">
        <x:v>AYUSH</x:v>
      </x:c>
      <x:c r="G969" s="30" t="str">
        <x:v>Recordkeeping</x:v>
      </x:c>
      <x:c r="H969" s="30" t="str">
        <x:v>Yes</x:v>
      </x:c>
      <x:c r="I969" s="30" t="str">
        <x:v>Normalized from approved Pharmacy Delta Audit Procedure Master.</x:v>
      </x:c>
    </x:row>
    <x:row r="970">
      <x:c r="A970" s="30" t="str">
        <x:v>AAUD008</x:v>
      </x:c>
      <x:c r="B970" s="30" t="str">
        <x:v>ACOMP008</x:v>
      </x:c>
      <x:c r="C970" s="30" t="str">
        <x:v>Verify complete documentation for classical and proprietary AYUSH formulations.</x:v>
      </x:c>
      <x:c r="D970" s="30" t="str">
        <x:v>Document Review</x:v>
      </x:c>
      <x:c r="E970" s="30" t="str">
        <x:v>Quarterly</x:v>
      </x:c>
      <x:c r="F970" s="30" t="str">
        <x:v>AYUSH</x:v>
      </x:c>
      <x:c r="G970" s="30" t="str">
        <x:v>Recordkeeping</x:v>
      </x:c>
      <x:c r="H970" s="30" t="str">
        <x:v>Yes</x:v>
      </x:c>
      <x:c r="I970" s="30" t="str">
        <x:v>Normalized from approved Pharmacy Delta Audit Procedure Master.</x:v>
      </x:c>
    </x:row>
    <x:row r="971">
      <x:c r="A971" s="30" t="str">
        <x:v>AAUD009</x:v>
      </x:c>
      <x:c r="B971" s="30" t="str">
        <x:v>ACOMP009</x:v>
      </x:c>
      <x:c r="C971" s="30" t="str">
        <x:v>Verify the AYUSH quality assurance programme effectively covers procurement, storage and dispensing.</x:v>
      </x:c>
      <x:c r="D971" s="30" t="str">
        <x:v>Document Review</x:v>
      </x:c>
      <x:c r="E971" s="30" t="str">
        <x:v>Quarterly</x:v>
      </x:c>
      <x:c r="F971" s="30" t="str">
        <x:v>AYUSH</x:v>
      </x:c>
      <x:c r="G971" s="30" t="str">
        <x:v>Storage Controls</x:v>
      </x:c>
      <x:c r="H971" s="30" t="str">
        <x:v>Yes</x:v>
      </x:c>
      <x:c r="I971" s="30" t="str">
        <x:v>Normalized from approved Pharmacy Delta Audit Procedure Master.</x:v>
      </x:c>
    </x:row>
    <x:row r="972">
      <x:c r="A972" s="30" t="str">
        <x:v>AAUD010</x:v>
      </x:c>
      <x:c r="B972" s="30" t="str">
        <x:v>ACOMP010</x:v>
      </x:c>
      <x:c r="C972" s="30" t="str">
        <x:v>Verify AYUSH regulatory updates are reviewed and implemented within required timelines.</x:v>
      </x:c>
      <x:c r="D972" s="30" t="str">
        <x:v>Interview</x:v>
      </x:c>
      <x:c r="E972" s="30" t="str">
        <x:v>Quarterly</x:v>
      </x:c>
      <x:c r="F972" s="30" t="str">
        <x:v>AYUSH</x:v>
      </x:c>
      <x:c r="G972" s="30" t="str">
        <x:v>General Compliance</x:v>
      </x:c>
      <x:c r="H972" s="30" t="str">
        <x:v>Yes</x:v>
      </x:c>
      <x:c r="I972" s="30" t="str">
        <x:v>Normalized from approved Pharmacy Delta Audit Procedure Master.</x:v>
      </x:c>
    </x:row>
    <x:row r="973">
      <x:c r="A973" s="30" t="str">
        <x:v>AAUD011</x:v>
      </x:c>
      <x:c r="B973" s="30" t="str">
        <x:v>ACOMP011</x:v>
      </x:c>
      <x:c r="C973" s="30" t="str">
        <x:v>Verify AYUSH product recalls are executed effectively with documented recall verification.</x:v>
      </x:c>
      <x:c r="D973" s="30" t="str">
        <x:v>Sampling</x:v>
      </x:c>
      <x:c r="E973" s="30" t="str">
        <x:v>Annual</x:v>
      </x:c>
      <x:c r="F973" s="30" t="str">
        <x:v>AYUSH</x:v>
      </x:c>
      <x:c r="G973" s="30" t="str">
        <x:v>Inventory Controls</x:v>
      </x:c>
      <x:c r="H973" s="30" t="str">
        <x:v>Yes</x:v>
      </x:c>
      <x:c r="I973" s="30" t="str">
        <x:v>Normalized from approved Pharmacy Delta Audit Procedure Master.</x:v>
      </x:c>
    </x:row>
    <x:row r="974">
      <x:c r="A974" s="30" t="str">
        <x:v>AAUD012</x:v>
      </x:c>
      <x:c r="B974" s="30" t="str">
        <x:v>ACOMP012</x:v>
      </x:c>
      <x:c r="C974" s="30" t="str">
        <x:v>Verify expired AYUSH medicines are segregated and disposed of according to approved procedures.</x:v>
      </x:c>
      <x:c r="D974" s="30" t="str">
        <x:v>Physical Inspection</x:v>
      </x:c>
      <x:c r="E974" s="30" t="str">
        <x:v>Monthly</x:v>
      </x:c>
      <x:c r="F974" s="30" t="str">
        <x:v>AYUSH</x:v>
      </x:c>
      <x:c r="G974" s="30" t="str">
        <x:v>Inventory Controls</x:v>
      </x:c>
      <x:c r="H974" s="30" t="str">
        <x:v>Yes</x:v>
      </x:c>
      <x:c r="I974" s="30" t="str">
        <x:v>Normalized from approved Pharmacy Delta Audit Procedure Master.</x:v>
      </x:c>
    </x:row>
    <x:row r="975">
      <x:c r="A975" s="30" t="str">
        <x:v>AAUD013</x:v>
      </x:c>
      <x:c r="B975" s="30" t="str">
        <x:v>ACOMP013</x:v>
      </x:c>
      <x:c r="C975" s="30" t="str">
        <x:v>Verify prescriptions issued by authorized AYUSH practitioners before dispensing prescription-only medicines.</x:v>
      </x:c>
      <x:c r="D975" s="30" t="str">
        <x:v>Document Review</x:v>
      </x:c>
      <x:c r="E975" s="30" t="str">
        <x:v>Quarterly</x:v>
      </x:c>
      <x:c r="F975" s="30" t="str">
        <x:v>AYUSH</x:v>
      </x:c>
      <x:c r="G975" s="30" t="str">
        <x:v>Prescription Controls</x:v>
      </x:c>
      <x:c r="H975" s="30" t="str">
        <x:v>Yes</x:v>
      </x:c>
      <x:c r="I975" s="30" t="str">
        <x:v>Normalized from approved Pharmacy Delta Audit Procedure Master.</x:v>
      </x:c>
    </x:row>
    <x:row r="976">
      <x:c r="A976" s="30" t="str">
        <x:v>AAUD014</x:v>
      </x:c>
      <x:c r="B976" s="30" t="str">
        <x:v>ACOMP014</x:v>
      </x:c>
      <x:c r="C976" s="30" t="str">
        <x:v>Verify dispensing documentation is complete, accurate and readily retrievable.</x:v>
      </x:c>
      <x:c r="D976" s="30" t="str">
        <x:v>Document Review</x:v>
      </x:c>
      <x:c r="E976" s="30" t="str">
        <x:v>Quarterly</x:v>
      </x:c>
      <x:c r="F976" s="30" t="str">
        <x:v>AYUSH</x:v>
      </x:c>
      <x:c r="G976" s="30" t="str">
        <x:v>Recordkeeping</x:v>
      </x:c>
      <x:c r="H976" s="30" t="str">
        <x:v>Yes</x:v>
      </x:c>
      <x:c r="I976" s="30" t="str">
        <x:v>Normalized from approved Pharmacy Delta Audit Procedure Master.</x:v>
      </x:c>
    </x:row>
    <x:row r="977">
      <x:c r="A977" s="30" t="str">
        <x:v>AAUD015</x:v>
      </x:c>
      <x:c r="B977" s="30" t="str">
        <x:v>ACOMP015</x:v>
      </x:c>
      <x:c r="C977" s="30" t="str">
        <x:v>Verify competency assessments and continuing education records for AYUSH pharmacy personnel.</x:v>
      </x:c>
      <x:c r="D977" s="30" t="str">
        <x:v>Record Verification</x:v>
      </x:c>
      <x:c r="E977" s="30" t="str">
        <x:v>Annual</x:v>
      </x:c>
      <x:c r="F977" s="30" t="str">
        <x:v>AYUSH</x:v>
      </x:c>
      <x:c r="G977" s="30" t="str">
        <x:v>Personnel Competency</x:v>
      </x:c>
      <x:c r="H977" s="30" t="str">
        <x:v>Yes</x:v>
      </x:c>
      <x:c r="I977" s="30" t="str">
        <x:v>Normalized from approved Pharmacy Delta Audit Procedure Master.</x:v>
      </x:c>
    </x:row>
    <x:row r="978">
      <x:c r="A978" s="30" t="str">
        <x:v>AAUD016</x:v>
      </x:c>
      <x:c r="B978" s="30" t="str">
        <x:v>ACOMP016</x:v>
      </x:c>
      <x:c r="C978" s="30" t="str">
        <x:v>Verify supplier performance reviews are performed using documented quality and compliance criteria.</x:v>
      </x:c>
      <x:c r="D978" s="30" t="str">
        <x:v>Document Review</x:v>
      </x:c>
      <x:c r="E978" s="30" t="str">
        <x:v>Annual</x:v>
      </x:c>
      <x:c r="F978" s="30" t="str">
        <x:v>AYUSH</x:v>
      </x:c>
      <x:c r="G978" s="30" t="str">
        <x:v>Procurement Controls</x:v>
      </x:c>
      <x:c r="H978" s="30" t="str">
        <x:v>Yes</x:v>
      </x:c>
      <x:c r="I978" s="30" t="str">
        <x:v>Normalized from approved Pharmacy Delta Audit Procedure Master.</x:v>
      </x:c>
    </x:row>
    <x:row r="979">
      <x:c r="A979" s="30" t="str">
        <x:v>AAUD017</x:v>
      </x:c>
      <x:c r="B979" s="30" t="str">
        <x:v>ACOMP017</x:v>
      </x:c>
      <x:c r="C979" s="30" t="str">
        <x:v>Verify periodic AYUSH compliance reports are prepared, reviewed and approved by management.</x:v>
      </x:c>
      <x:c r="D979" s="30" t="str">
        <x:v>Document Review</x:v>
      </x:c>
      <x:c r="E979" s="30" t="str">
        <x:v>Quarterly</x:v>
      </x:c>
      <x:c r="F979" s="30" t="str">
        <x:v>AYUSH</x:v>
      </x:c>
      <x:c r="G979" s="30" t="str">
        <x:v>General Compliance</x:v>
      </x:c>
      <x:c r="H979" s="30" t="str">
        <x:v>Yes</x:v>
      </x:c>
      <x:c r="I979" s="30" t="str">
        <x:v>Normalized from approved Pharmacy Delta Audit Procedure Master.</x:v>
      </x:c>
    </x:row>
    <x:row r="980">
      <x:c r="A980" s="30" t="str">
        <x:v>AAUD018</x:v>
      </x:c>
      <x:c r="B980" s="30" t="str">
        <x:v>ACOMP018</x:v>
      </x:c>
      <x:c r="C980" s="30" t="str">
        <x:v>Verify CAPA arising from audits and reviews is implemented and effectiveness verified before closure.</x:v>
      </x:c>
      <x:c r="D980" s="30" t="str">
        <x:v>Sampling</x:v>
      </x:c>
      <x:c r="E980" s="30" t="str">
        <x:v>Quarterly</x:v>
      </x:c>
      <x:c r="F980" s="30" t="str">
        <x:v>AYUSH</x:v>
      </x:c>
      <x:c r="G980" s="30" t="str">
        <x:v>General Compliance</x:v>
      </x:c>
      <x:c r="H980" s="30" t="str">
        <x:v>Yes</x:v>
      </x:c>
      <x:c r="I980" s="30" t="str">
        <x:v>Normalized from approved Pharmacy Delta Audit Procedure Master.</x:v>
      </x:c>
    </x:row>
    <x:row r="981">
      <x:c r="A981" s="30" t="str">
        <x:v>AAUD019</x:v>
      </x:c>
      <x:c r="B981" s="30" t="str">
        <x:v>ACOMP019</x:v>
      </x:c>
      <x:c r="C981" s="30" t="str">
        <x:v>Verify internal quality reviews cover storage, dispensing, documentation and regulatory compliance.</x:v>
      </x:c>
      <x:c r="D981" s="30" t="str">
        <x:v>Observation</x:v>
      </x:c>
      <x:c r="E981" s="30" t="str">
        <x:v>Quarterly</x:v>
      </x:c>
      <x:c r="F981" s="30" t="str">
        <x:v>AYUSH</x:v>
      </x:c>
      <x:c r="G981" s="30" t="str">
        <x:v>Storage Controls</x:v>
      </x:c>
      <x:c r="H981" s="30" t="str">
        <x:v>Yes</x:v>
      </x:c>
      <x:c r="I981" s="30" t="str">
        <x:v>Normalized from approved Pharmacy Delta Audit Procedure Master.</x:v>
      </x:c>
    </x:row>
    <x:row r="982">
      <x:c r="A982" s="30" t="str">
        <x:v>AAUD020</x:v>
      </x:c>
      <x:c r="B982" s="30" t="str">
        <x:v>ACOMP020</x:v>
      </x:c>
      <x:c r="C982" s="30" t="str">
        <x:v>Verify annual AYUSH pharmacy governance and compliance maturity assessments are completed and improvement plans are monitored.</x:v>
      </x:c>
      <x:c r="D982" s="30" t="str">
        <x:v>Interview</x:v>
      </x:c>
      <x:c r="E982" s="30" t="str">
        <x:v>Annual</x:v>
      </x:c>
      <x:c r="F982" s="30" t="str">
        <x:v>AYUSH</x:v>
      </x:c>
      <x:c r="G982" s="30" t="str">
        <x:v>General Compliance</x:v>
      </x:c>
      <x:c r="H982" s="30" t="str">
        <x:v>Yes</x:v>
      </x:c>
      <x:c r="I982" s="30" t="str">
        <x:v>Normalized from approved Pharmacy Delta Audit Procedure Master.</x:v>
      </x:c>
    </x:row>
    <x:row r="983">
      <x:c r="A983" s="33" t="str">
        <x:v>AUD522</x:v>
      </x:c>
      <x:c r="B983" s="33" t="str">
        <x:v>COMP251</x:v>
      </x:c>
      <x:c r="C983" s="33" t="str">
        <x:v>Inspect the licensed premises for a current Form 35 Inspection Book and review the latest Inspector entries and closure evidence.</x:v>
      </x:c>
      <x:c r="D983" s="33" t="str">
        <x:v>Physical Inspection</x:v>
      </x:c>
      <x:c r="E983" s="33" t="str">
        <x:v>Annual</x:v>
      </x:c>
      <x:c r="F983" s="33" t="str">
        <x:v>CORE</x:v>
      </x:c>
      <x:c r="G983" s="33" t="str">
        <x:v>Inspection &amp; Display Controls</x:v>
      </x:c>
      <x:c r="H983" s="33" t="str">
        <x:v>Yes</x:v>
      </x:c>
      <x:c r="I983" s="33" t="str">
        <x:v>P-2 validated audit chain.</x:v>
      </x:c>
    </x:row>
    <x:row r="984">
      <x:c r="A984" s="33" t="str">
        <x:v>AUD523</x:v>
      </x:c>
      <x:c r="B984" s="33" t="str">
        <x:v>COMP252</x:v>
      </x:c>
      <x:c r="C984" s="33" t="str">
        <x:v>Inspect expired/non-conforming stock segregation, 'Not for sale' marking and return/disposal follow-up.</x:v>
      </x:c>
      <x:c r="D984" s="33" t="str">
        <x:v>Physical Inspection</x:v>
      </x:c>
      <x:c r="E984" s="33" t="str">
        <x:v>Monthly</x:v>
      </x:c>
      <x:c r="F984" s="33" t="str">
        <x:v>CORE</x:v>
      </x:c>
      <x:c r="G984" s="33" t="str">
        <x:v>Disposal Controls</x:v>
      </x:c>
      <x:c r="H984" s="33" t="str">
        <x:v>Yes</x:v>
      </x:c>
      <x:c r="I984" s="33" t="str">
        <x:v>P-2 validated audit chain.</x:v>
      </x:c>
    </x:row>
    <x:row r="985">
      <x:c r="A985" s="33" t="str">
        <x:v>AUD524</x:v>
      </x:c>
      <x:c r="B985" s="33" t="str">
        <x:v>COMP253</x:v>
      </x:c>
      <x:c r="C985" s="33" t="str">
        <x:v>Inspect sample/scheme-marked stock and verify authorization, segregation and separate records where an exception is used.</x:v>
      </x:c>
      <x:c r="D985" s="33" t="str">
        <x:v>Physical Inspection</x:v>
      </x:c>
      <x:c r="E985" s="33" t="str">
        <x:v>Quarterly</x:v>
      </x:c>
      <x:c r="F985" s="33" t="str">
        <x:v>CORE</x:v>
      </x:c>
      <x:c r="G985" s="33" t="str">
        <x:v>Inventory Controls</x:v>
      </x:c>
      <x:c r="H985" s="33" t="str">
        <x:v>Yes</x:v>
      </x:c>
      <x:c r="I985" s="33" t="str">
        <x:v>P-2 validated audit chain.</x:v>
      </x:c>
    </x:row>
    <x:row r="986">
      <x:c r="A986" s="33" t="str">
        <x:v>AUD525</x:v>
      </x:c>
      <x:c r="B986" s="33" t="str">
        <x:v>COMP254</x:v>
      </x:c>
      <x:c r="C986" s="33" t="str">
        <x:v>Sample retail supplies made outside the manufacturer's container for pharmacist supervision and required wrapper particulars.</x:v>
      </x:c>
      <x:c r="D986" s="33" t="str">
        <x:v>Sampling</x:v>
      </x:c>
      <x:c r="E986" s="33" t="str">
        <x:v>Quarterly</x:v>
      </x:c>
      <x:c r="F986" s="33" t="str">
        <x:v>CORE</x:v>
      </x:c>
      <x:c r="G986" s="33" t="str">
        <x:v>Prescription Controls</x:v>
      </x:c>
      <x:c r="H986" s="33" t="str">
        <x:v>Yes</x:v>
      </x:c>
      <x:c r="I986" s="33" t="str">
        <x:v>P-2 validated audit chain.</x:v>
      </x:c>
    </x:row>
    <x:row r="987">
      <x:c r="A987" s="33" t="str">
        <x:v>AUD526</x:v>
      </x:c>
      <x:c r="B987" s="33" t="str">
        <x:v>COMP255</x:v>
      </x:c>
      <x:c r="C987" s="33" t="str">
        <x:v>Inspect veterinary stock for the required warning and dedicated/customer-inaccessible segregation.</x:v>
      </x:c>
      <x:c r="D987" s="33" t="str">
        <x:v>Physical Inspection</x:v>
      </x:c>
      <x:c r="E987" s="33" t="str">
        <x:v>Quarterly</x:v>
      </x:c>
      <x:c r="F987" s="33" t="str">
        <x:v>CORE</x:v>
      </x:c>
      <x:c r="G987" s="33" t="str">
        <x:v>Storage Controls</x:v>
      </x:c>
      <x:c r="H987" s="33" t="str">
        <x:v>Yes</x:v>
      </x:c>
      <x:c r="I987" s="33" t="str">
        <x:v>P-2 validated audit chain.</x:v>
      </x:c>
    </x:row>
    <x:row r="988">
      <x:c r="A988" s="33" t="str">
        <x:v>AUD527</x:v>
      </x:c>
      <x:c r="B988" s="33" t="str">
        <x:v>COMP256</x:v>
      </x:c>
      <x:c r="C988" s="33" t="str">
        <x:v>Perform a mock Rule 65B inspection by requesting licences, staff records, statutory registers and sample product controls.</x:v>
      </x:c>
      <x:c r="D988" s="33" t="str">
        <x:v>Sampling</x:v>
      </x:c>
      <x:c r="E988" s="33" t="str">
        <x:v>Annual</x:v>
      </x:c>
      <x:c r="F988" s="33" t="str">
        <x:v>CORE</x:v>
      </x:c>
      <x:c r="G988" s="33" t="str">
        <x:v>Inspection &amp; Display Controls</x:v>
      </x:c>
      <x:c r="H988" s="33" t="str">
        <x:v>Yes</x:v>
      </x:c>
      <x:c r="I988" s="33" t="str">
        <x:v>P-2 validated audit chain.</x:v>
      </x:c>
    </x:row>
    <x:row r="989">
      <x:c r="A989" s="33" t="str">
        <x:v>AUD528</x:v>
      </x:c>
      <x:c r="B989" s="33" t="str">
        <x:v>COMP257</x:v>
      </x:c>
      <x:c r="C989" s="33" t="str">
        <x:v>Inspect licence display and reconcile qualified/competent staff and firm constitution to the current licence/authority filings.</x:v>
      </x:c>
      <x:c r="D989" s="33" t="str">
        <x:v>Reconciliation</x:v>
      </x:c>
      <x:c r="E989" s="33" t="str">
        <x:v>Quarterly</x:v>
      </x:c>
      <x:c r="F989" s="33" t="str">
        <x:v>CORE</x:v>
      </x:c>
      <x:c r="G989" s="33" t="str">
        <x:v>Licensing</x:v>
      </x:c>
      <x:c r="H989" s="33" t="str">
        <x:v>Yes</x:v>
      </x:c>
      <x:c r="I989" s="33" t="str">
        <x:v>P-2 validated audit chain.</x:v>
      </x:c>
    </x:row>
    <x:row r="990">
      <x:c r="A990" s="33" t="str">
        <x:v>AUD529</x:v>
      </x:c>
      <x:c r="B990" s="33" t="str">
        <x:v>COMP258</x:v>
      </x:c>
      <x:c r="C990" s="33" t="str">
        <x:v>Review enforcement, disposal and licence-submission files for order compliance, disposal permission and document authenticity controls.</x:v>
      </x:c>
      <x:c r="D990" s="33" t="str">
        <x:v>Document Review</x:v>
      </x:c>
      <x:c r="E990" s="33" t="str">
        <x:v>Event Based</x:v>
      </x:c>
      <x:c r="F990" s="33" t="str">
        <x:v>CORE</x:v>
      </x:c>
      <x:c r="G990" s="33" t="str">
        <x:v>Licensing</x:v>
      </x:c>
      <x:c r="H990" s="33" t="str">
        <x:v>Yes</x:v>
      </x:c>
      <x:c r="I990" s="33" t="str">
        <x:v>P-2 validated audit chain.</x:v>
      </x:c>
    </x:row>
    <x:row r="991">
      <x:c r="A991" s="33" t="str">
        <x:v>AUD530</x:v>
      </x:c>
      <x:c r="B991" s="33" t="str">
        <x:v>COMP259</x:v>
      </x:c>
      <x:c r="C991" s="33" t="str">
        <x:v>Verify restricted-license eligibility and ensure stocked drugs do not require qualified-person supervision.</x:v>
      </x:c>
      <x:c r="D991" s="33" t="str">
        <x:v>Sampling</x:v>
      </x:c>
      <x:c r="E991" s="33" t="str">
        <x:v>Quarterly</x:v>
      </x:c>
      <x:c r="F991" s="33" t="str">
        <x:v>CORE</x:v>
      </x:c>
      <x:c r="G991" s="33" t="str">
        <x:v>Licensing</x:v>
      </x:c>
      <x:c r="H991" s="33" t="str">
        <x:v>Yes</x:v>
      </x:c>
      <x:c r="I991" s="33" t="str">
        <x:v>P-2 validated audit chain.</x:v>
      </x:c>
    </x:row>
    <x:row r="992">
      <x:c r="A992" s="33" t="str">
        <x:v>AUD531</x:v>
      </x:c>
      <x:c r="B992" s="33" t="str">
        <x:v>COMP260</x:v>
      </x:c>
      <x:c r="C992" s="33" t="str">
        <x:v>Inspect wholesale/distribution vehicle activity for Form 20BB/21BB, Form 19AA basis, display and category controls.</x:v>
      </x:c>
      <x:c r="D992" s="33" t="str">
        <x:v>Physical Inspection</x:v>
      </x:c>
      <x:c r="E992" s="33" t="str">
        <x:v>Annual</x:v>
      </x:c>
      <x:c r="F992" s="33" t="str">
        <x:v>CORE</x:v>
      </x:c>
      <x:c r="G992" s="33" t="str">
        <x:v>Licensing</x:v>
      </x:c>
      <x:c r="H992" s="33" t="str">
        <x:v>Yes</x:v>
      </x:c>
      <x:c r="I992" s="33" t="str">
        <x:v>P-2 validated audit chain.</x:v>
      </x:c>
    </x:row>
    <x:row r="993">
      <x:c r="A993" s="33" t="str">
        <x:v>AUD532</x:v>
      </x:c>
      <x:c r="B993" s="33" t="str">
        <x:v>COMP261</x:v>
      </x:c>
      <x:c r="C993" s="33" t="str">
        <x:v>Review each Homeopathic Pharmacy location for Form 20C/20D, competent-person qualification and Rule 67F premises conditions.</x:v>
      </x:c>
      <x:c r="D993" s="33" t="str">
        <x:v>Document Review</x:v>
      </x:c>
      <x:c r="E993" s="33" t="str">
        <x:v>Annual</x:v>
      </x:c>
      <x:c r="F993" s="33" t="str">
        <x:v>CORE</x:v>
      </x:c>
      <x:c r="G993" s="33" t="str">
        <x:v>Licensing</x:v>
      </x:c>
      <x:c r="H993" s="33" t="str">
        <x:v>Yes</x:v>
      </x:c>
      <x:c r="I993" s="33" t="str">
        <x:v>P-2 validated audit chain.</x:v>
      </x:c>
    </x:row>
    <x:row r="994">
      <x:c r="A994" s="33" t="str">
        <x:v>AUD533</x:v>
      </x:c>
      <x:c r="B994" s="33" t="str">
        <x:v>COMP262</x:v>
      </x:c>
      <x:c r="C994" s="33" t="str">
        <x:v>Sample Homeopathic alcohol-containing medicine purchase/sale records and inspect supervision, sealed-pack and premises conditions.</x:v>
      </x:c>
      <x:c r="D994" s="33" t="str">
        <x:v>Record Verification</x:v>
      </x:c>
      <x:c r="E994" s="33" t="str">
        <x:v>Quarterly</x:v>
      </x:c>
      <x:c r="F994" s="33" t="str">
        <x:v>CORE</x:v>
      </x:c>
      <x:c r="G994" s="33" t="str">
        <x:v>Recordkeeping</x:v>
      </x:c>
      <x:c r="H994" s="33" t="str">
        <x:v>Yes</x:v>
      </x:c>
      <x:c r="I994" s="33" t="str">
        <x:v>P-2 validated audit chain.</x:v>
      </x:c>
    </x:row>
    <x:row r="995">
      <x:c r="A995" s="33" t="str">
        <x:v>AUD534</x:v>
      </x:c>
      <x:c r="B995" s="33" t="str">
        <x:v>COMP263</x:v>
      </x:c>
      <x:c r="C995" s="33" t="str">
        <x:v>Review Homeopathic suspension/cancellation orders, appeal timelines and evidence that prohibited activity ceased.</x:v>
      </x:c>
      <x:c r="D995" s="33" t="str">
        <x:v>Document Review</x:v>
      </x:c>
      <x:c r="E995" s="33" t="str">
        <x:v>Event Based</x:v>
      </x:c>
      <x:c r="F995" s="33" t="str">
        <x:v>CORE</x:v>
      </x:c>
      <x:c r="G995" s="33" t="str">
        <x:v>Licensing</x:v>
      </x:c>
      <x:c r="H995" s="33" t="str">
        <x:v>Yes</x:v>
      </x:c>
      <x:c r="I995" s="33" t="str">
        <x:v>P-2 validated audit chain.</x:v>
      </x:c>
    </x:row>
    <x:row r="996">
      <x:c r="A996" s="33" t="str">
        <x:v>AUD535</x:v>
      </x:c>
      <x:c r="B996" s="33" t="str">
        <x:v>COMP264</x:v>
      </x:c>
      <x:c r="C996" s="33" t="str">
        <x:v>Inspect Schedule N entrance, dispensing area, washable surfaces, water, barrier, furniture/apparatus and minimum equipment.</x:v>
      </x:c>
      <x:c r="D996" s="33" t="str">
        <x:v>Physical Inspection</x:v>
      </x:c>
      <x:c r="E996" s="33" t="str">
        <x:v>Annual</x:v>
      </x:c>
      <x:c r="F996" s="33" t="str">
        <x:v>CORE</x:v>
      </x:c>
      <x:c r="G996" s="33" t="str">
        <x:v>Inspection &amp; Display Controls</x:v>
      </x:c>
      <x:c r="H996" s="33" t="str">
        <x:v>Yes</x:v>
      </x:c>
      <x:c r="I996" s="33" t="str">
        <x:v>P-2 validated audit chain.</x:v>
      </x:c>
    </x:row>
    <x:row r="997">
      <x:c r="A997" s="33" t="str">
        <x:v>AUD536</x:v>
      </x:c>
      <x:c r="B997" s="33" t="str">
        <x:v>COMP265</x:v>
      </x:c>
      <x:c r="C997" s="33" t="str">
        <x:v>Sample institutional Schedule H/H1/X supplies for a signed written order and two-year retention.</x:v>
      </x:c>
      <x:c r="D997" s="33" t="str">
        <x:v>Record Verification</x:v>
      </x:c>
      <x:c r="E997" s="33" t="str">
        <x:v>Quarterly</x:v>
      </x:c>
      <x:c r="F997" s="33" t="str">
        <x:v>CORE</x:v>
      </x:c>
      <x:c r="G997" s="33" t="str">
        <x:v>Recordkeeping</x:v>
      </x:c>
      <x:c r="H997" s="33" t="str">
        <x:v>Yes</x:v>
      </x:c>
      <x:c r="I997" s="33" t="str">
        <x:v>P-2 validated audit chain.</x:v>
      </x:c>
    </x:row>
    <x:row r="998">
      <x:c r="A998" s="33" t="str">
        <x:v>AUD537</x:v>
      </x:c>
      <x:c r="B998" s="33" t="str">
        <x:v>COMP011</x:v>
      </x:c>
      <x:c r="C998" s="33" t="str">
        <x:v>Verify the applicable Form 19/19A/19C application, fee evidence and issued licence before the sampled activity commenced.</x:v>
      </x:c>
      <x:c r="D998" s="33" t="str">
        <x:v>Document Review</x:v>
      </x:c>
      <x:c r="E998" s="33" t="str">
        <x:v>Annual</x:v>
      </x:c>
      <x:c r="F998" s="33" t="str">
        <x:v>CORE</x:v>
      </x:c>
      <x:c r="G998" s="33" t="str">
        <x:v>Licensing</x:v>
      </x:c>
      <x:c r="H998" s="33" t="str">
        <x:v>Yes</x:v>
      </x:c>
      <x:c r="I998" s="33" t="str">
        <x:v>P-2 validated audit chain.</x:v>
      </x:c>
    </x:row>
    <x:row r="999">
      <x:c r="A999" s="33" t="str">
        <x:v>AUD538</x:v>
      </x:c>
      <x:c r="B999" s="33" t="str">
        <x:v>COMP012</x:v>
      </x:c>
      <x:c r="C999" s="33" t="str">
        <x:v>Map sampled products and retail/wholesale activities to the licence form and authorized drug category.</x:v>
      </x:c>
      <x:c r="D999" s="33" t="str">
        <x:v>Sampling</x:v>
      </x:c>
      <x:c r="E999" s="33" t="str">
        <x:v>Quarterly</x:v>
      </x:c>
      <x:c r="F999" s="33" t="str">
        <x:v>CORE</x:v>
      </x:c>
      <x:c r="G999" s="33" t="str">
        <x:v>Licensing</x:v>
      </x:c>
      <x:c r="H999" s="33" t="str">
        <x:v>Yes</x:v>
      </x:c>
      <x:c r="I999" s="33" t="str">
        <x:v>P-2 validated audit chain.</x:v>
      </x:c>
    </x:row>
    <x:row r="1000">
      <x:c r="A1000" s="33" t="str">
        <x:v>AUD539</x:v>
      </x:c>
      <x:c r="B1000" s="33" t="str">
        <x:v>COMP013</x:v>
      </x:c>
      <x:c r="C1000" s="33" t="str">
        <x:v>Inspect licensed area, storage accommodation, competent-person evidence and Schedule N readiness against licence conditions.</x:v>
      </x:c>
      <x:c r="D1000" s="33" t="str">
        <x:v>Physical Inspection</x:v>
      </x:c>
      <x:c r="E1000" s="33" t="str">
        <x:v>Annual</x:v>
      </x:c>
      <x:c r="F1000" s="33" t="str">
        <x:v>CORE</x:v>
      </x:c>
      <x:c r="G1000" s="33" t="str">
        <x:v>Storage Controls</x:v>
      </x:c>
      <x:c r="H1000" s="33" t="str">
        <x:v>Yes</x:v>
      </x:c>
      <x:c r="I1000" s="33" t="str">
        <x:v>P-2 validated audit chain.</x:v>
      </x:c>
    </x:row>
    <x:row r="1001">
      <x:c r="A1001" s="33" t="str">
        <x:v>AUD540</x:v>
      </x:c>
      <x:c r="B1001" s="33" t="str">
        <x:v>COMP014</x:v>
      </x:c>
      <x:c r="C1001" s="33" t="str">
        <x:v>Sample Schedule H/H1/X retail sales and verify each was made on and in accordance with an RMP prescription.</x:v>
      </x:c>
      <x:c r="D1001" s="33" t="str">
        <x:v>Record Verification</x:v>
      </x:c>
      <x:c r="E1001" s="33" t="str">
        <x:v>Monthly</x:v>
      </x:c>
      <x:c r="F1001" s="33" t="str">
        <x:v>CORE</x:v>
      </x:c>
      <x:c r="G1001" s="33" t="str">
        <x:v>Prescription Controls</x:v>
      </x:c>
      <x:c r="H1001" s="33" t="str">
        <x:v>Yes</x:v>
      </x:c>
      <x:c r="I1001" s="33" t="str">
        <x:v>P-2 validated audit chain.</x:v>
      </x:c>
    </x:row>
    <x:row r="1002">
      <x:c r="A1002" s="33" t="str">
        <x:v>AUD541</x:v>
      </x:c>
      <x:c r="B1002" s="33" t="str">
        <x:v>COMP015</x:v>
      </x:c>
      <x:c r="C1002" s="33" t="str">
        <x:v>Observe dispensing and review rosters to confirm registered-pharmacist personal supervision of compounding and prescription supply.</x:v>
      </x:c>
      <x:c r="D1002" s="33" t="str">
        <x:v>Observation</x:v>
      </x:c>
      <x:c r="E1002" s="33" t="str">
        <x:v>Quarterly</x:v>
      </x:c>
      <x:c r="F1002" s="33" t="str">
        <x:v>CORE</x:v>
      </x:c>
      <x:c r="G1002" s="33" t="str">
        <x:v>Personnel Competency</x:v>
      </x:c>
      <x:c r="H1002" s="33" t="str">
        <x:v>Yes</x:v>
      </x:c>
      <x:c r="I1002" s="33" t="str">
        <x:v>P-2 validated audit chain.</x:v>
      </x:c>
    </x:row>
    <x:row r="1003">
      <x:c r="A1003" s="33" t="str">
        <x:v>AUD542</x:v>
      </x:c>
      <x:c r="B1003" s="33" t="str">
        <x:v>COMP016</x:v>
      </x:c>
      <x:c r="C1003" s="33" t="str">
        <x:v>Sample prescription, retail and wholesale records for the particulars, sequencing and purchase-source information required by Rule 65(3)-(5).</x:v>
      </x:c>
      <x:c r="D1003" s="33" t="str">
        <x:v>Record Verification</x:v>
      </x:c>
      <x:c r="E1003" s="33" t="str">
        <x:v>Quarterly</x:v>
      </x:c>
      <x:c r="F1003" s="33" t="str">
        <x:v>CORE</x:v>
      </x:c>
      <x:c r="G1003" s="33" t="str">
        <x:v>Recordkeeping</x:v>
      </x:c>
      <x:c r="H1003" s="33" t="str">
        <x:v>Yes</x:v>
      </x:c>
      <x:c r="I1003" s="33" t="str">
        <x:v>P-2 validated audit chain.</x:v>
      </x:c>
    </x:row>
    <x:row r="1004">
      <x:c r="A1004" s="33" t="str">
        <x:v>AUD543</x:v>
      </x:c>
      <x:c r="B1004" s="33" t="str">
        <x:v>COMP017</x:v>
      </x:c>
      <x:c r="C1004" s="33" t="str">
        <x:v>Test record availability and retention across the Rule 65 matrix, including two-year, three-year and transaction-specific periods.</x:v>
      </x:c>
      <x:c r="D1004" s="33" t="str">
        <x:v>Record Verification</x:v>
      </x:c>
      <x:c r="E1004" s="33" t="str">
        <x:v>Annual</x:v>
      </x:c>
      <x:c r="F1004" s="33" t="str">
        <x:v>CORE</x:v>
      </x:c>
      <x:c r="G1004" s="33" t="str">
        <x:v>Recordkeeping</x:v>
      </x:c>
      <x:c r="H1004" s="33" t="str">
        <x:v>Yes</x:v>
      </x:c>
      <x:c r="I1004" s="33" t="str">
        <x:v>P-2 validated audit chain.</x:v>
      </x:c>
    </x:row>
    <x:row r="1005">
      <x:c r="A1005" s="33" t="str">
        <x:v>AUD544</x:v>
      </x:c>
      <x:c r="B1005" s="33" t="str">
        <x:v>COMP018</x:v>
      </x:c>
      <x:c r="C1005" s="33" t="str">
        <x:v>Inspect samples of Schedule G/H/H1/X packs for the applicable Rule 97 symbol and warning/caution.</x:v>
      </x:c>
      <x:c r="D1005" s="33" t="str">
        <x:v>Sampling</x:v>
      </x:c>
      <x:c r="E1005" s="33" t="str">
        <x:v>Quarterly</x:v>
      </x:c>
      <x:c r="F1005" s="33" t="str">
        <x:v>CORE</x:v>
      </x:c>
      <x:c r="G1005" s="33" t="str">
        <x:v>General Compliance</x:v>
      </x:c>
      <x:c r="H1005" s="33" t="str">
        <x:v>Yes</x:v>
      </x:c>
      <x:c r="I1005" s="33" t="str">
        <x:v>P-2 validated audit chain.</x:v>
      </x:c>
    </x:row>
    <x:row r="1006">
      <x:c r="A1006" s="33" t="str">
        <x:v>AUD545</x:v>
      </x:c>
      <x:c r="B1006" s="33" t="str">
        <x:v>COMP019</x:v>
      </x:c>
      <x:c r="C1006" s="33" t="str">
        <x:v>Inspect sampled stock and invoices to confirm no unlabelled or non-compliantly labelled drug was sold or distributed.</x:v>
      </x:c>
      <x:c r="D1006" s="33" t="str">
        <x:v>Sampling</x:v>
      </x:c>
      <x:c r="E1006" s="33" t="str">
        <x:v>Quarterly</x:v>
      </x:c>
      <x:c r="F1006" s="33" t="str">
        <x:v>CORE</x:v>
      </x:c>
      <x:c r="G1006" s="33" t="str">
        <x:v>General Compliance</x:v>
      </x:c>
      <x:c r="H1006" s="33" t="str">
        <x:v>Yes</x:v>
      </x:c>
      <x:c r="I1006" s="33" t="str">
        <x:v>P-2 validated audit chain.</x:v>
      </x:c>
    </x:row>
    <x:row r="1007">
      <x:c r="A1007" s="33" t="str">
        <x:v>AUD546</x:v>
      </x:c>
      <x:c r="B1007" s="33" t="str">
        <x:v>COMP020</x:v>
      </x:c>
      <x:c r="C1007" s="33" t="str">
        <x:v>Review Schedule H prescriptions for repeat authorization, interval compliance, seller/date annotation and absence of substitution.</x:v>
      </x:c>
      <x:c r="D1007" s="33" t="str">
        <x:v>Document Review</x:v>
      </x:c>
      <x:c r="E1007" s="33" t="str">
        <x:v>Monthly</x:v>
      </x:c>
      <x:c r="F1007" s="33" t="str">
        <x:v>CORE</x:v>
      </x:c>
      <x:c r="G1007" s="33" t="str">
        <x:v>Prescription Controls</x:v>
      </x:c>
      <x:c r="H1007" s="33" t="str">
        <x:v>Yes</x:v>
      </x:c>
      <x:c r="I1007" s="33" t="str">
        <x:v>P-2 validated audit chain.</x:v>
      </x:c>
    </x:row>
    <x:row r="1008">
      <x:c r="A1008" s="33" t="str">
        <x:v>AUD547</x:v>
      </x:c>
      <x:c r="B1008" s="33" t="str">
        <x:v>COMP021</x:v>
      </x:c>
      <x:c r="C1008" s="33" t="str">
        <x:v>Match H1 stock items to the current Schedule H1 classification and trace each sampled sale to prescription and special-register entry.</x:v>
      </x:c>
      <x:c r="D1008" s="33" t="str">
        <x:v>Reconciliation</x:v>
      </x:c>
      <x:c r="E1008" s="33" t="str">
        <x:v>Monthly</x:v>
      </x:c>
      <x:c r="F1008" s="33" t="str">
        <x:v>CORE</x:v>
      </x:c>
      <x:c r="G1008" s="33" t="str">
        <x:v>Controlled Drugs</x:v>
      </x:c>
      <x:c r="H1008" s="33" t="str">
        <x:v>Yes</x:v>
      </x:c>
      <x:c r="I1008" s="33" t="str">
        <x:v>P-2 validated audit chain.</x:v>
      </x:c>
    </x:row>
    <x:row r="1009">
      <x:c r="A1009" s="33" t="str">
        <x:v>AUD548</x:v>
      </x:c>
      <x:c r="B1009" s="33" t="str">
        <x:v>COMP022</x:v>
      </x:c>
      <x:c r="C1009" s="33" t="str">
        <x:v>Sample Schedule X sales for duplicate prescriptions, retained copy and two-year preservation.</x:v>
      </x:c>
      <x:c r="D1009" s="33" t="str">
        <x:v>Record Verification</x:v>
      </x:c>
      <x:c r="E1009" s="33" t="str">
        <x:v>Quarterly</x:v>
      </x:c>
      <x:c r="F1009" s="33" t="str">
        <x:v>CORE</x:v>
      </x:c>
      <x:c r="G1009" s="33" t="str">
        <x:v>Controlled Drugs</x:v>
      </x:c>
      <x:c r="H1009" s="33" t="str">
        <x:v>Yes</x:v>
      </x:c>
      <x:c r="I1009" s="33" t="str">
        <x:v>P-2 validated audit chain.</x:v>
      </x:c>
    </x:row>
    <x:row r="1010">
      <x:c r="A1010" s="33" t="str">
        <x:v>AUD549</x:v>
      </x:c>
      <x:c r="B1010" s="33" t="str">
        <x:v>COMP023</x:v>
      </x:c>
      <x:c r="C1010" s="33" t="str">
        <x:v>Inspect Schedule G stock for the prescribed medical-supervision caution before sale.</x:v>
      </x:c>
      <x:c r="D1010" s="33" t="str">
        <x:v>Physical Inspection</x:v>
      </x:c>
      <x:c r="E1010" s="33" t="str">
        <x:v>Quarterly</x:v>
      </x:c>
      <x:c r="F1010" s="33" t="str">
        <x:v>CORE</x:v>
      </x:c>
      <x:c r="G1010" s="33" t="str">
        <x:v>General Compliance</x:v>
      </x:c>
      <x:c r="H1010" s="33" t="str">
        <x:v>Yes</x:v>
      </x:c>
      <x:c r="I1010" s="33" t="str">
        <x:v>P-2 validated audit chain.</x:v>
      </x:c>
    </x:row>
    <x:row r="1011">
      <x:c r="A1011" s="33" t="str">
        <x:v>AUD550</x:v>
      </x:c>
      <x:c r="B1011" s="33" t="str">
        <x:v>COMP024</x:v>
      </x:c>
      <x:c r="C1011" s="33" t="str">
        <x:v>For every relied-upon Schedule K exemption, verify the exact class, exempted provisions and conditions against the current schedule.</x:v>
      </x:c>
      <x:c r="D1011" s="33" t="str">
        <x:v>Document Review</x:v>
      </x:c>
      <x:c r="E1011" s="33" t="str">
        <x:v>Annual</x:v>
      </x:c>
      <x:c r="F1011" s="33" t="str">
        <x:v>CORE</x:v>
      </x:c>
      <x:c r="G1011" s="33" t="str">
        <x:v>Licensing</x:v>
      </x:c>
      <x:c r="H1011" s="33" t="str">
        <x:v>Yes</x:v>
      </x:c>
      <x:c r="I1011" s="33" t="str">
        <x:v>P-2 validated audit chain.</x:v>
      </x:c>
    </x:row>
    <x:row r="1012">
      <x:c r="A1012" s="33" t="str">
        <x:v>AUD551</x:v>
      </x:c>
      <x:c r="B1012" s="33" t="str">
        <x:v>COMP025</x:v>
      </x:c>
      <x:c r="C1012" s="33" t="str">
        <x:v>For sampled Schedule H2 receipts, verify the required barcode/QR label is present and readable and record supplier escalation for defects.</x:v>
      </x:c>
      <x:c r="D1012" s="33" t="str">
        <x:v>Sampling</x:v>
      </x:c>
      <x:c r="E1012" s="33" t="str">
        <x:v>Quarterly</x:v>
      </x:c>
      <x:c r="F1012" s="33" t="str">
        <x:v>CORE</x:v>
      </x:c>
      <x:c r="G1012" s="33" t="str">
        <x:v>Procurement Controls</x:v>
      </x:c>
      <x:c r="H1012" s="33" t="str">
        <x:v>Yes</x:v>
      </x:c>
      <x:c r="I1012" s="33" t="str">
        <x:v>P-2 validated audit chain.</x:v>
      </x:c>
    </x:row>
    <x:row r="1013">
      <x:c r="A1013" s="33" t="str">
        <x:v>AUD552</x:v>
      </x:c>
      <x:c r="B1013" s="33" t="str">
        <x:v>COMP111</x:v>
      </x:c>
      <x:c r="C1013" s="33" t="str">
        <x:v>Compare all operating/storage locations with the licence register and verify a separate licence for each place.</x:v>
      </x:c>
      <x:c r="D1013" s="33" t="str">
        <x:v>Reconciliation</x:v>
      </x:c>
      <x:c r="E1013" s="33" t="str">
        <x:v>Annual</x:v>
      </x:c>
      <x:c r="F1013" s="33" t="str">
        <x:v>CORE</x:v>
      </x:c>
      <x:c r="G1013" s="33" t="str">
        <x:v>Licensing</x:v>
      </x:c>
      <x:c r="H1013" s="33" t="str">
        <x:v>Yes</x:v>
      </x:c>
      <x:c r="I1013" s="33" t="str">
        <x:v>P-2 validated audit chain.</x:v>
      </x:c>
    </x:row>
    <x:row r="1014">
      <x:c r="A1014" s="33" t="str">
        <x:v>AUD553</x:v>
      </x:c>
      <x:c r="B1014" s="33" t="str">
        <x:v>COMP112</x:v>
      </x:c>
      <x:c r="C1014" s="33" t="str">
        <x:v>Recalculate the five-year licence-retention due date and verify timely fee payment or valid late-fee treatment.</x:v>
      </x:c>
      <x:c r="D1014" s="33" t="str">
        <x:v>Reconciliation</x:v>
      </x:c>
      <x:c r="E1014" s="33" t="str">
        <x:v>Annual</x:v>
      </x:c>
      <x:c r="F1014" s="33" t="str">
        <x:v>CORE</x:v>
      </x:c>
      <x:c r="G1014" s="33" t="str">
        <x:v>Licensing</x:v>
      </x:c>
      <x:c r="H1014" s="33" t="str">
        <x:v>Yes</x:v>
      </x:c>
      <x:c r="I1014" s="33" t="str">
        <x:v>P-2 validated audit chain.</x:v>
      </x:c>
    </x:row>
    <x:row r="1015">
      <x:c r="A1015" s="33" t="str">
        <x:v>AUD554</x:v>
      </x:c>
      <x:c r="B1015" s="33" t="str">
        <x:v>COMP113</x:v>
      </x:c>
      <x:c r="C1015" s="33" t="str">
        <x:v>Review licensing-authority demands and verify complete, accurate ownership/occupation/constitution evidence was furnished.</x:v>
      </x:c>
      <x:c r="D1015" s="33" t="str">
        <x:v>Document Review</x:v>
      </x:c>
      <x:c r="E1015" s="33" t="str">
        <x:v>Event Based</x:v>
      </x:c>
      <x:c r="F1015" s="33" t="str">
        <x:v>CORE</x:v>
      </x:c>
      <x:c r="G1015" s="33" t="str">
        <x:v>Licensing</x:v>
      </x:c>
      <x:c r="H1015" s="33" t="str">
        <x:v>Yes</x:v>
      </x:c>
      <x:c r="I1015" s="33" t="str">
        <x:v>P-2 validated audit chain.</x:v>
      </x:c>
    </x:row>
    <x:row r="1016">
      <x:c r="A1016" s="33" t="str">
        <x:v>AUD555</x:v>
      </x:c>
      <x:c r="B1016" s="33" t="str">
        <x:v>COMP114</x:v>
      </x:c>
      <x:c r="C1016" s="33" t="str">
        <x:v>Sample H1 transactions for complete separate-register entries, three-year retention and inspection availability.</x:v>
      </x:c>
      <x:c r="D1016" s="33" t="str">
        <x:v>Record Verification</x:v>
      </x:c>
      <x:c r="E1016" s="33" t="str">
        <x:v>Monthly</x:v>
      </x:c>
      <x:c r="F1016" s="33" t="str">
        <x:v>CORE</x:v>
      </x:c>
      <x:c r="G1016" s="33" t="str">
        <x:v>Controlled Drugs</x:v>
      </x:c>
      <x:c r="H1016" s="33" t="str">
        <x:v>Yes</x:v>
      </x:c>
      <x:c r="I1016" s="33" t="str">
        <x:v>P-2 validated audit chain.</x:v>
      </x:c>
    </x:row>
    <x:row r="1017">
      <x:c r="A1017" s="33" t="str">
        <x:v>AUD556</x:v>
      </x:c>
      <x:c r="B1017" s="33" t="str">
        <x:v>COMP115</x:v>
      </x:c>
      <x:c r="C1017" s="33" t="str">
        <x:v>Sample wholesale sales and verify carbon copies of cash/credit memos are preserved for three years from sale.</x:v>
      </x:c>
      <x:c r="D1017" s="33" t="str">
        <x:v>Record Verification</x:v>
      </x:c>
      <x:c r="E1017" s="33" t="str">
        <x:v>Quarterly</x:v>
      </x:c>
      <x:c r="F1017" s="33" t="str">
        <x:v>CORE</x:v>
      </x:c>
      <x:c r="G1017" s="33" t="str">
        <x:v>Recordkeeping</x:v>
      </x:c>
      <x:c r="H1017" s="33" t="str">
        <x:v>Yes</x:v>
      </x:c>
      <x:c r="I1017" s="33" t="str">
        <x:v>P-2 validated audit chain.</x:v>
      </x:c>
    </x:row>
    <x:row r="1018">
      <x:c r="A1018" s="33" t="str">
        <x:v>AUD557</x:v>
      </x:c>
      <x:c r="B1018" s="33" t="str">
        <x:v>COMP116</x:v>
      </x:c>
      <x:c r="C1018" s="33" t="str">
        <x:v>Reconcile H1/X statutory records to inventory movements and investigate unusual patterns as a documented internal control.</x:v>
      </x:c>
      <x:c r="D1018" s="33" t="str">
        <x:v>Reconciliation</x:v>
      </x:c>
      <x:c r="E1018" s="33" t="str">
        <x:v>Monthly</x:v>
      </x:c>
      <x:c r="F1018" s="33" t="str">
        <x:v>CORE</x:v>
      </x:c>
      <x:c r="G1018" s="33" t="str">
        <x:v>Inventory Controls</x:v>
      </x:c>
      <x:c r="H1018" s="33" t="str">
        <x:v>Yes</x:v>
      </x:c>
      <x:c r="I1018" s="33" t="str">
        <x:v>P-2 validated audit chain.</x:v>
      </x:c>
    </x:row>
    <x:row r="1019">
      <x:c r="A1019" s="33" t="str">
        <x:v>AUD558</x:v>
      </x:c>
      <x:c r="B1019" s="33" t="str">
        <x:v>COMP117</x:v>
      </x:c>
      <x:c r="C1019" s="33" t="str">
        <x:v>Physically inspect Schedule X storage for dedicated lock/key or separated responsible-person-only access.</x:v>
      </x:c>
      <x:c r="D1019" s="33" t="str">
        <x:v>Physical Inspection</x:v>
      </x:c>
      <x:c r="E1019" s="33" t="str">
        <x:v>Monthly</x:v>
      </x:c>
      <x:c r="F1019" s="33" t="str">
        <x:v>CORE</x:v>
      </x:c>
      <x:c r="G1019" s="33" t="str">
        <x:v>Storage Controls</x:v>
      </x:c>
      <x:c r="H1019" s="33" t="str">
        <x:v>Yes</x:v>
      </x:c>
      <x:c r="I1019" s="33" t="str">
        <x:v>P-2 validated audit chain.</x:v>
      </x:c>
    </x:row>
    <x:row r="1020">
      <x:c r="A1020" s="33" t="str">
        <x:v>AUD559</x:v>
      </x:c>
      <x:c r="B1020" s="33" t="str">
        <x:v>COMP118</x:v>
      </x:c>
      <x:c r="C1020" s="33" t="str">
        <x:v>Inspect the Schedule X register for binding, page numbering, separate drug pages and all Rule 65(21) particulars.</x:v>
      </x:c>
      <x:c r="D1020" s="33" t="str">
        <x:v>Record Verification</x:v>
      </x:c>
      <x:c r="E1020" s="33" t="str">
        <x:v>Monthly</x:v>
      </x:c>
      <x:c r="F1020" s="33" t="str">
        <x:v>CORE</x:v>
      </x:c>
      <x:c r="G1020" s="33" t="str">
        <x:v>Controlled Drugs</x:v>
      </x:c>
      <x:c r="H1020" s="33" t="str">
        <x:v>Yes</x:v>
      </x:c>
      <x:c r="I1020" s="33" t="str">
        <x:v>P-2 validated audit chain.</x:v>
      </x:c>
    </x:row>
    <x:row r="1021">
      <x:c r="A1021" s="33" t="str">
        <x:v>AUD560</x:v>
      </x:c>
      <x:c r="B1021" s="33" t="str">
        <x:v>COMP119</x:v>
      </x:c>
      <x:c r="C1021" s="33" t="str">
        <x:v>Sample H/H1/X prescriptions for Rule 65(10) particulars, repeat directions, seller/date annotation and no substitution.</x:v>
      </x:c>
      <x:c r="D1021" s="33" t="str">
        <x:v>Document Review</x:v>
      </x:c>
      <x:c r="E1021" s="33" t="str">
        <x:v>Monthly</x:v>
      </x:c>
      <x:c r="F1021" s="33" t="str">
        <x:v>CORE</x:v>
      </x:c>
      <x:c r="G1021" s="33" t="str">
        <x:v>Prescription Controls</x:v>
      </x:c>
      <x:c r="H1021" s="33" t="str">
        <x:v>Yes</x:v>
      </x:c>
      <x:c r="I1021" s="33" t="str">
        <x:v>P-2 validated audit chain.</x:v>
      </x:c>
    </x:row>
    <x:row r="1022">
      <x:c r="A1022" s="33" t="str">
        <x:v>AUD561</x:v>
      </x:c>
      <x:c r="B1022" s="33" t="str">
        <x:v>COMP266</x:v>
      </x:c>
      <x:c r="C1022" s="33" t="str">
        <x:v>Review the four-stream waste procedure, local collector/user-fee arrangement and segregation records.</x:v>
      </x:c>
      <x:c r="D1022" s="33" t="str">
        <x:v>Document Review</x:v>
      </x:c>
      <x:c r="E1022" s="33" t="str">
        <x:v>Quarterly</x:v>
      </x:c>
      <x:c r="F1022" s="33" t="str">
        <x:v>CORE</x:v>
      </x:c>
      <x:c r="G1022" s="33" t="str">
        <x:v>Disposal Controls</x:v>
      </x:c>
      <x:c r="H1022" s="33" t="str">
        <x:v>Yes</x:v>
      </x:c>
      <x:c r="I1022" s="33" t="str">
        <x:v>P-3 validated chain.</x:v>
      </x:c>
    </x:row>
    <x:row r="1023">
      <x:c r="A1023" s="33" t="str">
        <x:v>AUD562</x:v>
      </x:c>
      <x:c r="B1023" s="33" t="str">
        <x:v>COMP266</x:v>
      </x:c>
      <x:c r="C1023" s="33" t="str">
        <x:v>Interview the responsible owner and inspect a sample/current physical or system record to corroborate design and operation.</x:v>
      </x:c>
      <x:c r="D1023" s="33" t="str">
        <x:v>Physical Inspection</x:v>
      </x:c>
      <x:c r="E1023" s="33" t="str">
        <x:v>Quarterly</x:v>
      </x:c>
      <x:c r="F1023" s="33" t="str">
        <x:v>CORE</x:v>
      </x:c>
      <x:c r="G1023" s="33" t="str">
        <x:v>Disposal Controls</x:v>
      </x:c>
      <x:c r="H1023" s="33" t="str">
        <x:v>Yes</x:v>
      </x:c>
      <x:c r="I1023" s="33" t="str">
        <x:v>P-3 operating-effectiveness test.</x:v>
      </x:c>
    </x:row>
    <x:row r="1024">
      <x:c r="A1024" s="33" t="str">
        <x:v>AUD563</x:v>
      </x:c>
      <x:c r="B1024" s="33" t="str">
        <x:v>COMP267</x:v>
      </x:c>
      <x:c r="C1024" s="33" t="str">
        <x:v>Recalculate each BWG threshold from floor area, water and daily waste data and test the resulting registration/processing position.</x:v>
      </x:c>
      <x:c r="D1024" s="33" t="str">
        <x:v>Reconciliation</x:v>
      </x:c>
      <x:c r="E1024" s="33" t="str">
        <x:v>Annual</x:v>
      </x:c>
      <x:c r="F1024" s="33" t="str">
        <x:v>CORE</x:v>
      </x:c>
      <x:c r="G1024" s="33" t="str">
        <x:v>Disposal Controls</x:v>
      </x:c>
      <x:c r="H1024" s="33" t="str">
        <x:v>Yes</x:v>
      </x:c>
      <x:c r="I1024" s="33" t="str">
        <x:v>P-3 validated chain.</x:v>
      </x:c>
    </x:row>
    <x:row r="1025">
      <x:c r="A1025" s="33" t="str">
        <x:v>AUD564</x:v>
      </x:c>
      <x:c r="B1025" s="33" t="str">
        <x:v>COMP267</x:v>
      </x:c>
      <x:c r="C1025" s="33" t="str">
        <x:v>Interview the responsible owner and inspect a sample/current physical or system record to corroborate design and operation.</x:v>
      </x:c>
      <x:c r="D1025" s="33" t="str">
        <x:v>Physical Inspection</x:v>
      </x:c>
      <x:c r="E1025" s="33" t="str">
        <x:v>Annual</x:v>
      </x:c>
      <x:c r="F1025" s="33" t="str">
        <x:v>CORE</x:v>
      </x:c>
      <x:c r="G1025" s="33" t="str">
        <x:v>Disposal Controls</x:v>
      </x:c>
      <x:c r="H1025" s="33" t="str">
        <x:v>Yes</x:v>
      </x:c>
      <x:c r="I1025" s="33" t="str">
        <x:v>P-3 operating-effectiveness test.</x:v>
      </x:c>
    </x:row>
    <x:row r="1026">
      <x:c r="A1026" s="33" t="str">
        <x:v>AUD565</x:v>
      </x:c>
      <x:c r="B1026" s="33" t="str">
        <x:v>COMP268</x:v>
      </x:c>
      <x:c r="C1026" s="33" t="str">
        <x:v>Inspect plastic segregation and sampled carry bags/plastic sheets; verify authorised handover evidence.</x:v>
      </x:c>
      <x:c r="D1026" s="33" t="str">
        <x:v>Physical Inspection</x:v>
      </x:c>
      <x:c r="E1026" s="33" t="str">
        <x:v>Quarterly</x:v>
      </x:c>
      <x:c r="F1026" s="33" t="str">
        <x:v>CORE</x:v>
      </x:c>
      <x:c r="G1026" s="33" t="str">
        <x:v>Disposal Controls</x:v>
      </x:c>
      <x:c r="H1026" s="33" t="str">
        <x:v>Yes</x:v>
      </x:c>
      <x:c r="I1026" s="33" t="str">
        <x:v>P-3 validated chain.</x:v>
      </x:c>
    </x:row>
    <x:row r="1027">
      <x:c r="A1027" s="33" t="str">
        <x:v>AUD566</x:v>
      </x:c>
      <x:c r="B1027" s="33" t="str">
        <x:v>COMP268</x:v>
      </x:c>
      <x:c r="C1027" s="33" t="str">
        <x:v>Interview the responsible owner and inspect a sample/current physical or system record to corroborate design and operation.</x:v>
      </x:c>
      <x:c r="D1027" s="33" t="str">
        <x:v>Record Verification</x:v>
      </x:c>
      <x:c r="E1027" s="33" t="str">
        <x:v>Quarterly</x:v>
      </x:c>
      <x:c r="F1027" s="33" t="str">
        <x:v>CORE</x:v>
      </x:c>
      <x:c r="G1027" s="33" t="str">
        <x:v>Disposal Controls</x:v>
      </x:c>
      <x:c r="H1027" s="33" t="str">
        <x:v>Yes</x:v>
      </x:c>
      <x:c r="I1027" s="33" t="str">
        <x:v>P-3 operating-effectiveness test.</x:v>
      </x:c>
    </x:row>
    <x:row r="1028">
      <x:c r="A1028" s="33" t="str">
        <x:v>AUD567</x:v>
      </x:c>
      <x:c r="B1028" s="33" t="str">
        <x:v>COMP269</x:v>
      </x:c>
      <x:c r="C1028" s="33" t="str">
        <x:v>Trace disposed batteries from asset replacement to an authorised collection/refurbishing/recycling channel.</x:v>
      </x:c>
      <x:c r="D1028" s="33" t="str">
        <x:v>Record Verification</x:v>
      </x:c>
      <x:c r="E1028" s="33" t="str">
        <x:v>Annual</x:v>
      </x:c>
      <x:c r="F1028" s="33" t="str">
        <x:v>CORE</x:v>
      </x:c>
      <x:c r="G1028" s="33" t="str">
        <x:v>Disposal Controls</x:v>
      </x:c>
      <x:c r="H1028" s="33" t="str">
        <x:v>Yes</x:v>
      </x:c>
      <x:c r="I1028" s="33" t="str">
        <x:v>P-3 validated chain.</x:v>
      </x:c>
    </x:row>
    <x:row r="1029">
      <x:c r="A1029" s="33" t="str">
        <x:v>AUD568</x:v>
      </x:c>
      <x:c r="B1029" s="33" t="str">
        <x:v>COMP269</x:v>
      </x:c>
      <x:c r="C1029" s="33" t="str">
        <x:v>Interview the responsible owner and inspect a sample/current physical or system record to corroborate design and operation.</x:v>
      </x:c>
      <x:c r="D1029" s="33" t="str">
        <x:v>Physical Inspection</x:v>
      </x:c>
      <x:c r="E1029" s="33" t="str">
        <x:v>Annual</x:v>
      </x:c>
      <x:c r="F1029" s="33" t="str">
        <x:v>CORE</x:v>
      </x:c>
      <x:c r="G1029" s="33" t="str">
        <x:v>Disposal Controls</x:v>
      </x:c>
      <x:c r="H1029" s="33" t="str">
        <x:v>Yes</x:v>
      </x:c>
      <x:c r="I1029" s="33" t="str">
        <x:v>P-3 operating-effectiveness test.</x:v>
      </x:c>
    </x:row>
    <x:row r="1030">
      <x:c r="A1030" s="33" t="str">
        <x:v>AUD569</x:v>
      </x:c>
      <x:c r="B1030" s="33" t="str">
        <x:v>COMP270</x:v>
      </x:c>
      <x:c r="C1030" s="33" t="str">
        <x:v>Count Schedule I EEE units used in the financial year and, if threshold is met, trace all e-waste to registered recipients.</x:v>
      </x:c>
      <x:c r="D1030" s="33" t="str">
        <x:v>Reconciliation</x:v>
      </x:c>
      <x:c r="E1030" s="33" t="str">
        <x:v>Annual</x:v>
      </x:c>
      <x:c r="F1030" s="33" t="str">
        <x:v>CORE</x:v>
      </x:c>
      <x:c r="G1030" s="33" t="str">
        <x:v>Disposal Controls</x:v>
      </x:c>
      <x:c r="H1030" s="33" t="str">
        <x:v>Yes</x:v>
      </x:c>
      <x:c r="I1030" s="33" t="str">
        <x:v>P-3 validated chain.</x:v>
      </x:c>
    </x:row>
    <x:row r="1031">
      <x:c r="A1031" s="33" t="str">
        <x:v>AUD570</x:v>
      </x:c>
      <x:c r="B1031" s="33" t="str">
        <x:v>COMP270</x:v>
      </x:c>
      <x:c r="C1031" s="33" t="str">
        <x:v>Interview the responsible owner and inspect a sample/current physical or system record to corroborate design and operation.</x:v>
      </x:c>
      <x:c r="D1031" s="33" t="str">
        <x:v>Physical Inspection</x:v>
      </x:c>
      <x:c r="E1031" s="33" t="str">
        <x:v>Annual</x:v>
      </x:c>
      <x:c r="F1031" s="33" t="str">
        <x:v>CORE</x:v>
      </x:c>
      <x:c r="G1031" s="33" t="str">
        <x:v>Disposal Controls</x:v>
      </x:c>
      <x:c r="H1031" s="33" t="str">
        <x:v>Yes</x:v>
      </x:c>
      <x:c r="I1031" s="33" t="str">
        <x:v>P-3 operating-effectiveness test.</x:v>
      </x:c>
    </x:row>
    <x:row r="1032">
      <x:c r="A1032" s="33" t="str">
        <x:v>AUD571</x:v>
      </x:c>
      <x:c r="B1032" s="33" t="str">
        <x:v>COMP271</x:v>
      </x:c>
      <x:c r="C1032" s="33" t="str">
        <x:v>Verify waste characterisation, authorization, storage-age controls and sampled manifests/authorised recipient records.</x:v>
      </x:c>
      <x:c r="D1032" s="33" t="str">
        <x:v>Document Review</x:v>
      </x:c>
      <x:c r="E1032" s="33" t="str">
        <x:v>Quarterly</x:v>
      </x:c>
      <x:c r="F1032" s="33" t="str">
        <x:v>CORE</x:v>
      </x:c>
      <x:c r="G1032" s="33" t="str">
        <x:v>Disposal Controls</x:v>
      </x:c>
      <x:c r="H1032" s="33" t="str">
        <x:v>Yes</x:v>
      </x:c>
      <x:c r="I1032" s="33" t="str">
        <x:v>P-3 validated chain.</x:v>
      </x:c>
    </x:row>
    <x:row r="1033">
      <x:c r="A1033" s="33" t="str">
        <x:v>AUD572</x:v>
      </x:c>
      <x:c r="B1033" s="33" t="str">
        <x:v>COMP271</x:v>
      </x:c>
      <x:c r="C1033" s="33" t="str">
        <x:v>Interview the responsible owner and inspect a sample/current physical or system record to corroborate design and operation.</x:v>
      </x:c>
      <x:c r="D1033" s="33" t="str">
        <x:v>Physical Inspection</x:v>
      </x:c>
      <x:c r="E1033" s="33" t="str">
        <x:v>Quarterly</x:v>
      </x:c>
      <x:c r="F1033" s="33" t="str">
        <x:v>CORE</x:v>
      </x:c>
      <x:c r="G1033" s="33" t="str">
        <x:v>Disposal Controls</x:v>
      </x:c>
      <x:c r="H1033" s="33" t="str">
        <x:v>Yes</x:v>
      </x:c>
      <x:c r="I1033" s="33" t="str">
        <x:v>P-3 operating-effectiveness test.</x:v>
      </x:c>
    </x:row>
    <x:row r="1034">
      <x:c r="A1034" s="33" t="str">
        <x:v>AUD573</x:v>
      </x:c>
      <x:c r="B1034" s="33" t="str">
        <x:v>COMP272</x:v>
      </x:c>
      <x:c r="C1034" s="33" t="str">
        <x:v>Document the Water Act exemption/classification analysis and verify current consent/conditions where triggered.</x:v>
      </x:c>
      <x:c r="D1034" s="33" t="str">
        <x:v>Document Review</x:v>
      </x:c>
      <x:c r="E1034" s="33" t="str">
        <x:v>Annual</x:v>
      </x:c>
      <x:c r="F1034" s="33" t="str">
        <x:v>CORE</x:v>
      </x:c>
      <x:c r="G1034" s="33" t="str">
        <x:v>Disposal Controls</x:v>
      </x:c>
      <x:c r="H1034" s="33" t="str">
        <x:v>Yes</x:v>
      </x:c>
      <x:c r="I1034" s="33" t="str">
        <x:v>P-3 validated chain.</x:v>
      </x:c>
    </x:row>
    <x:row r="1035">
      <x:c r="A1035" s="33" t="str">
        <x:v>AUD574</x:v>
      </x:c>
      <x:c r="B1035" s="33" t="str">
        <x:v>COMP272</x:v>
      </x:c>
      <x:c r="C1035" s="33" t="str">
        <x:v>Interview the responsible owner and inspect a sample/current physical or system record to corroborate design and operation.</x:v>
      </x:c>
      <x:c r="D1035" s="33" t="str">
        <x:v>Physical Inspection</x:v>
      </x:c>
      <x:c r="E1035" s="33" t="str">
        <x:v>Annual</x:v>
      </x:c>
      <x:c r="F1035" s="33" t="str">
        <x:v>CORE</x:v>
      </x:c>
      <x:c r="G1035" s="33" t="str">
        <x:v>Disposal Controls</x:v>
      </x:c>
      <x:c r="H1035" s="33" t="str">
        <x:v>Yes</x:v>
      </x:c>
      <x:c r="I1035" s="33" t="str">
        <x:v>P-3 operating-effectiveness test.</x:v>
      </x:c>
    </x:row>
    <x:row r="1036">
      <x:c r="A1036" s="33" t="str">
        <x:v>AUD575</x:v>
      </x:c>
      <x:c r="B1036" s="33" t="str">
        <x:v>COMP273</x:v>
      </x:c>
      <x:c r="C1036" s="33" t="str">
        <x:v>Document the Air Act exemption/classification analysis and verify current consent/conditions for each triggered source.</x:v>
      </x:c>
      <x:c r="D1036" s="33" t="str">
        <x:v>Document Review</x:v>
      </x:c>
      <x:c r="E1036" s="33" t="str">
        <x:v>Annual</x:v>
      </x:c>
      <x:c r="F1036" s="33" t="str">
        <x:v>CORE</x:v>
      </x:c>
      <x:c r="G1036" s="33" t="str">
        <x:v>Disposal Controls</x:v>
      </x:c>
      <x:c r="H1036" s="33" t="str">
        <x:v>Yes</x:v>
      </x:c>
      <x:c r="I1036" s="33" t="str">
        <x:v>P-3 validated chain.</x:v>
      </x:c>
    </x:row>
    <x:row r="1037">
      <x:c r="A1037" s="33" t="str">
        <x:v>AUD576</x:v>
      </x:c>
      <x:c r="B1037" s="33" t="str">
        <x:v>COMP273</x:v>
      </x:c>
      <x:c r="C1037" s="33" t="str">
        <x:v>Interview the responsible owner and inspect a sample/current physical or system record to corroborate design and operation.</x:v>
      </x:c>
      <x:c r="D1037" s="33" t="str">
        <x:v>Physical Inspection</x:v>
      </x:c>
      <x:c r="E1037" s="33" t="str">
        <x:v>Annual</x:v>
      </x:c>
      <x:c r="F1037" s="33" t="str">
        <x:v>CORE</x:v>
      </x:c>
      <x:c r="G1037" s="33" t="str">
        <x:v>Disposal Controls</x:v>
      </x:c>
      <x:c r="H1037" s="33" t="str">
        <x:v>Yes</x:v>
      </x:c>
      <x:c r="I1037" s="33" t="str">
        <x:v>P-3 operating-effectiveness test.</x:v>
      </x:c>
    </x:row>
    <x:row r="1038">
      <x:c r="A1038" s="33" t="str">
        <x:v>AUD577</x:v>
      </x:c>
      <x:c r="B1038" s="33" t="str">
        <x:v>COMP274</x:v>
      </x:c>
      <x:c r="C1038" s="33" t="str">
        <x:v>Inspect project waste segregation/storage and trace C&amp;D waste to the local authorised collection/processing route.</x:v>
      </x:c>
      <x:c r="D1038" s="33" t="str">
        <x:v>Physical Inspection</x:v>
      </x:c>
      <x:c r="E1038" s="33" t="str">
        <x:v>Event Based</x:v>
      </x:c>
      <x:c r="F1038" s="33" t="str">
        <x:v>CORE</x:v>
      </x:c>
      <x:c r="G1038" s="33" t="str">
        <x:v>Disposal Controls</x:v>
      </x:c>
      <x:c r="H1038" s="33" t="str">
        <x:v>Yes</x:v>
      </x:c>
      <x:c r="I1038" s="33" t="str">
        <x:v>P-3 validated chain.</x:v>
      </x:c>
    </x:row>
    <x:row r="1039">
      <x:c r="A1039" s="33" t="str">
        <x:v>AUD578</x:v>
      </x:c>
      <x:c r="B1039" s="33" t="str">
        <x:v>COMP274</x:v>
      </x:c>
      <x:c r="C1039" s="33" t="str">
        <x:v>Interview the responsible owner and inspect a sample/current physical or system record to corroborate design and operation.</x:v>
      </x:c>
      <x:c r="D1039" s="33" t="str">
        <x:v>Record Verification</x:v>
      </x:c>
      <x:c r="E1039" s="33" t="str">
        <x:v>Event Based</x:v>
      </x:c>
      <x:c r="F1039" s="33" t="str">
        <x:v>CORE</x:v>
      </x:c>
      <x:c r="G1039" s="33" t="str">
        <x:v>Disposal Controls</x:v>
      </x:c>
      <x:c r="H1039" s="33" t="str">
        <x:v>Yes</x:v>
      </x:c>
      <x:c r="I1039" s="33" t="str">
        <x:v>P-3 operating-effectiveness test.</x:v>
      </x:c>
    </x:row>
    <x:row r="1040">
      <x:c r="A1040" s="33" t="str">
        <x:v>AUD579</x:v>
      </x:c>
      <x:c r="B1040" s="33" t="str">
        <x:v>COMP275</x:v>
      </x:c>
      <x:c r="C1040" s="33" t="str">
        <x:v>Compare payroll rates/recruitment outcomes with the applicable minimum-wage notification and non-discrimination requirement.</x:v>
      </x:c>
      <x:c r="D1040" s="33" t="str">
        <x:v>Reconciliation</x:v>
      </x:c>
      <x:c r="E1040" s="33" t="str">
        <x:v>Quarterly</x:v>
      </x:c>
      <x:c r="F1040" s="33" t="str">
        <x:v>CORE</x:v>
      </x:c>
      <x:c r="G1040" s="33" t="str">
        <x:v>General Compliance</x:v>
      </x:c>
      <x:c r="H1040" s="33" t="str">
        <x:v>Yes</x:v>
      </x:c>
      <x:c r="I1040" s="33" t="str">
        <x:v>P-3 validated chain.</x:v>
      </x:c>
    </x:row>
    <x:row r="1041">
      <x:c r="A1041" s="33" t="str">
        <x:v>AUD580</x:v>
      </x:c>
      <x:c r="B1041" s="33" t="str">
        <x:v>COMP275</x:v>
      </x:c>
      <x:c r="C1041" s="33" t="str">
        <x:v>Interview the responsible owner and inspect a sample/current physical or system record to corroborate design and operation.</x:v>
      </x:c>
      <x:c r="D1041" s="33" t="str">
        <x:v>Physical Inspection</x:v>
      </x:c>
      <x:c r="E1041" s="33" t="str">
        <x:v>Quarterly</x:v>
      </x:c>
      <x:c r="F1041" s="33" t="str">
        <x:v>CORE</x:v>
      </x:c>
      <x:c r="G1041" s="33" t="str">
        <x:v>General Compliance</x:v>
      </x:c>
      <x:c r="H1041" s="33" t="str">
        <x:v>Yes</x:v>
      </x:c>
      <x:c r="I1041" s="33" t="str">
        <x:v>P-3 operating-effectiveness test.</x:v>
      </x:c>
    </x:row>
    <x:row r="1042">
      <x:c r="A1042" s="33" t="str">
        <x:v>AUD581</x:v>
      </x:c>
      <x:c r="B1042" s="33" t="str">
        <x:v>COMP276</x:v>
      </x:c>
      <x:c r="C1042" s="33" t="str">
        <x:v>Test wage-period dates, payment dates and sampled deductions against the Code and applicable rules.</x:v>
      </x:c>
      <x:c r="D1042" s="33" t="str">
        <x:v>Reconciliation</x:v>
      </x:c>
      <x:c r="E1042" s="33" t="str">
        <x:v>Monthly</x:v>
      </x:c>
      <x:c r="F1042" s="33" t="str">
        <x:v>CORE</x:v>
      </x:c>
      <x:c r="G1042" s="33" t="str">
        <x:v>Recordkeeping</x:v>
      </x:c>
      <x:c r="H1042" s="33" t="str">
        <x:v>Yes</x:v>
      </x:c>
      <x:c r="I1042" s="33" t="str">
        <x:v>P-3 validated chain.</x:v>
      </x:c>
    </x:row>
    <x:row r="1043">
      <x:c r="A1043" s="33" t="str">
        <x:v>AUD582</x:v>
      </x:c>
      <x:c r="B1043" s="33" t="str">
        <x:v>COMP276</x:v>
      </x:c>
      <x:c r="C1043" s="33" t="str">
        <x:v>Interview the responsible owner and inspect a sample/current physical or system record to corroborate design and operation.</x:v>
      </x:c>
      <x:c r="D1043" s="33" t="str">
        <x:v>Physical Inspection</x:v>
      </x:c>
      <x:c r="E1043" s="33" t="str">
        <x:v>Monthly</x:v>
      </x:c>
      <x:c r="F1043" s="33" t="str">
        <x:v>CORE</x:v>
      </x:c>
      <x:c r="G1043" s="33" t="str">
        <x:v>Recordkeeping</x:v>
      </x:c>
      <x:c r="H1043" s="33" t="str">
        <x:v>Yes</x:v>
      </x:c>
      <x:c r="I1043" s="33" t="str">
        <x:v>P-3 operating-effectiveness test.</x:v>
      </x:c>
    </x:row>
    <x:row r="1044">
      <x:c r="A1044" s="33" t="str">
        <x:v>AUD583</x:v>
      </x:c>
      <x:c r="B1044" s="33" t="str">
        <x:v>COMP277</x:v>
      </x:c>
      <x:c r="C1044" s="33" t="str">
        <x:v>Verify prescribed wage/attendance/deduction/overtime records, wage slips, notices and jurisdiction attachment.</x:v>
      </x:c>
      <x:c r="D1044" s="33" t="str">
        <x:v>Record Verification</x:v>
      </x:c>
      <x:c r="E1044" s="33" t="str">
        <x:v>Quarterly</x:v>
      </x:c>
      <x:c r="F1044" s="33" t="str">
        <x:v>CORE</x:v>
      </x:c>
      <x:c r="G1044" s="33" t="str">
        <x:v>Recordkeeping</x:v>
      </x:c>
      <x:c r="H1044" s="33" t="str">
        <x:v>Yes</x:v>
      </x:c>
      <x:c r="I1044" s="33" t="str">
        <x:v>P-3 validated chain.</x:v>
      </x:c>
    </x:row>
    <x:row r="1045">
      <x:c r="A1045" s="33" t="str">
        <x:v>AUD584</x:v>
      </x:c>
      <x:c r="B1045" s="33" t="str">
        <x:v>COMP277</x:v>
      </x:c>
      <x:c r="C1045" s="33" t="str">
        <x:v>Interview the responsible owner and inspect a sample/current physical or system record to corroborate design and operation.</x:v>
      </x:c>
      <x:c r="D1045" s="33" t="str">
        <x:v>Physical Inspection</x:v>
      </x:c>
      <x:c r="E1045" s="33" t="str">
        <x:v>Quarterly</x:v>
      </x:c>
      <x:c r="F1045" s="33" t="str">
        <x:v>CORE</x:v>
      </x:c>
      <x:c r="G1045" s="33" t="str">
        <x:v>Recordkeeping</x:v>
      </x:c>
      <x:c r="H1045" s="33" t="str">
        <x:v>Yes</x:v>
      </x:c>
      <x:c r="I1045" s="33" t="str">
        <x:v>P-3 operating-effectiveness test.</x:v>
      </x:c>
    </x:row>
  </x:sheetData>
  <x:pageMargins left="0.7" right="0.7" top="0.75" bottom="0.75" header="0.3" footer="0.3"/>
  <x:tableParts count="1">
    <x:tablePart xmlns:r="http://schemas.openxmlformats.org/officeDocument/2006/relationships" r:id="Raade5e6f615143a6"/>
  </x:tableParts>
</x:worksheet>
</file>

<file path=xl/worksheets/sheet12.xml><?xml version="1.0" encoding="utf-8"?>
<x:worksheet xmlns:x="http://schemas.openxmlformats.org/spreadsheetml/2006/main">
  <x:sheetFormatPr baseColWidth="8" defaultRowHeight="15"/>
  <x:cols>
    <x:col min="1" max="1" width="22" customWidth="1"/>
    <x:col min="2" max="2" width="10" customWidth="1"/>
    <x:col min="3" max="3" width="48" customWidth="1"/>
    <x:col min="4" max="4" width="22" customWidth="1"/>
    <x:col min="5" max="5" width="11" customWidth="1"/>
    <x:col min="6" max="6" width="20" customWidth="1"/>
    <x:col min="7" max="7" width="10" customWidth="1"/>
    <x:col min="8" max="8" width="10" customWidth="1"/>
    <x:col min="9" max="9" width="48" customWidth="1"/>
  </x:cols>
  <x:sheetData>
    <x:row r="1" ht="28" customHeight="1">
      <x:c r="A1" s="31" t="str">
        <x:v>Evidence ID</x:v>
      </x:c>
      <x:c r="B1" s="31" t="str">
        <x:v>Audit ID</x:v>
      </x:c>
      <x:c r="C1" s="31" t="str">
        <x:v>Evidence Required</x:v>
      </x:c>
      <x:c r="D1" s="31" t="str">
        <x:v>Evidence Type</x:v>
      </x:c>
      <x:c r="E1" s="31" t="str">
        <x:v>Mandatory</x:v>
      </x:c>
      <x:c r="F1" s="31" t="str">
        <x:v>Retention Category</x:v>
      </x:c>
      <x:c r="G1" s="31" t="str">
        <x:v>Origin</x:v>
      </x:c>
      <x:c r="H1" s="31" t="str">
        <x:v>Active</x:v>
      </x:c>
      <x:c r="I1" s="31" t="str">
        <x:v>Remarks</x:v>
      </x:c>
    </x:row>
    <x:row r="2">
      <x:c r="A2" s="30" t="str">
        <x:v>EVD001</x:v>
      </x:c>
      <x:c r="B2" s="30" t="str">
        <x:v>AUD001</x:v>
      </x:c>
      <x:c r="C2" s="30" t="str">
        <x:v>Valid Retail Drug Sale Licence (Original/Certified Copy)</x:v>
      </x:c>
      <x:c r="D2" s="30" t="str">
        <x:v>License</x:v>
      </x:c>
      <x:c r="E2" s="30" t="str">
        <x:v>Yes</x:v>
      </x:c>
      <x:c r="F2" s="30" t="str">
        <x:v>Permanent</x:v>
      </x:c>
      <x:c r="G2" s="30" t="str">
        <x:v>CORE</x:v>
      </x:c>
      <x:c r="H2" s="30" t="str">
        <x:v>Yes</x:v>
      </x:c>
      <x:c r="I2" s="30" t="str">
        <x:v>Licence should be valid and correspond to the licensed premises.</x:v>
      </x:c>
    </x:row>
    <x:row r="3">
      <x:c r="A3" s="30" t="str">
        <x:v>EVD002</x:v>
      </x:c>
      <x:c r="B3" s="30" t="str">
        <x:v>AUD001</x:v>
      </x:c>
      <x:c r="C3" s="30" t="str">
        <x:v>Licence issued by the Licensing Authority</x:v>
      </x:c>
      <x:c r="D3" s="30" t="str">
        <x:v>License</x:v>
      </x:c>
      <x:c r="E3" s="30" t="str">
        <x:v>Yes</x:v>
      </x:c>
      <x:c r="F3" s="30" t="str">
        <x:v>Permanent</x:v>
      </x:c>
      <x:c r="G3" s="30" t="str">
        <x:v>CORE</x:v>
      </x:c>
      <x:c r="H3" s="30" t="str">
        <x:v>Yes</x:v>
      </x:c>
      <x:c r="I3" s="30" t="str">
        <x:v>Verify licence number and validity period.</x:v>
      </x:c>
    </x:row>
    <x:row r="4">
      <x:c r="A4" s="30" t="str">
        <x:v>EVD003</x:v>
      </x:c>
      <x:c r="B4" s="30" t="str">
        <x:v>AUD004</x:v>
      </x:c>
      <x:c r="C4" s="30" t="str">
        <x:v>Licence Renewal Certificate</x:v>
      </x:c>
      <x:c r="D4" s="30" t="str">
        <x:v>License</x:v>
      </x:c>
      <x:c r="E4" s="30" t="str">
        <x:v>Yes</x:v>
      </x:c>
      <x:c r="F4" s="30" t="str">
        <x:v>Permanent</x:v>
      </x:c>
      <x:c r="G4" s="30" t="str">
        <x:v>CORE</x:v>
      </x:c>
      <x:c r="H4" s="30" t="str">
        <x:v>Yes</x:v>
      </x:c>
      <x:c r="I4" s="30" t="str">
        <x:v>Required for every renewal cycle.</x:v>
      </x:c>
    </x:row>
    <x:row r="5">
      <x:c r="A5" s="30" t="str">
        <x:v>EVD004</x:v>
      </x:c>
      <x:c r="B5" s="30" t="str">
        <x:v>AUD004</x:v>
      </x:c>
      <x:c r="C5" s="30" t="str">
        <x:v>Renewal Application Acknowledgement</x:v>
      </x:c>
      <x:c r="D5" s="30" t="str">
        <x:v>Document</x:v>
      </x:c>
      <x:c r="E5" s="30" t="str">
        <x:v>Yes</x:v>
      </x:c>
      <x:c r="F5" s="30" t="str">
        <x:v>Operational</x:v>
      </x:c>
      <x:c r="G5" s="30" t="str">
        <x:v>CORE</x:v>
      </x:c>
      <x:c r="H5" s="30" t="str">
        <x:v>Yes</x:v>
      </x:c>
      <x:c r="I5" s="30" t="str">
        <x:v>Demonstrates timely submission.</x:v>
      </x:c>
    </x:row>
    <x:row r="6">
      <x:c r="A6" s="30" t="str">
        <x:v>EVD005</x:v>
      </x:c>
      <x:c r="B6" s="30" t="str">
        <x:v>AUD004</x:v>
      </x:c>
      <x:c r="C6" s="30" t="str">
        <x:v>Licence Renewal Fee Receipt</x:v>
      </x:c>
      <x:c r="D6" s="30" t="str">
        <x:v>License</x:v>
      </x:c>
      <x:c r="E6" s="30" t="str">
        <x:v>Yes</x:v>
      </x:c>
      <x:c r="F6" s="30" t="str">
        <x:v>Permanent</x:v>
      </x:c>
      <x:c r="G6" s="30" t="str">
        <x:v>CORE</x:v>
      </x:c>
      <x:c r="H6" s="30" t="str">
        <x:v>Yes</x:v>
      </x:c>
      <x:c r="I6" s="30" t="str">
        <x:v>Verify payment details.</x:v>
      </x:c>
    </x:row>
    <x:row r="7">
      <x:c r="A7" s="30" t="str">
        <x:v>EVD006</x:v>
      </x:c>
      <x:c r="B7" s="30" t="str">
        <x:v>AUD006</x:v>
      </x:c>
      <x:c r="C7" s="30" t="str">
        <x:v>Approved Premises Address in Drug Licence</x:v>
      </x:c>
      <x:c r="D7" s="30" t="str">
        <x:v>License</x:v>
      </x:c>
      <x:c r="E7" s="30" t="str">
        <x:v>Yes</x:v>
      </x:c>
      <x:c r="F7" s="30" t="str">
        <x:v>Permanent</x:v>
      </x:c>
      <x:c r="G7" s="30" t="str">
        <x:v>CORE</x:v>
      </x:c>
      <x:c r="H7" s="30" t="str">
        <x:v>Yes</x:v>
      </x:c>
      <x:c r="I7" s="30" t="str">
        <x:v>Must match operational premises.</x:v>
      </x:c>
    </x:row>
    <x:row r="8">
      <x:c r="A8" s="30" t="str">
        <x:v>EVD007</x:v>
      </x:c>
      <x:c r="B8" s="30" t="str">
        <x:v>AUD006</x:v>
      </x:c>
      <x:c r="C8" s="30" t="str">
        <x:v>Premises Ownership/Lease Agreement</x:v>
      </x:c>
      <x:c r="D8" s="30" t="str">
        <x:v>Agreement</x:v>
      </x:c>
      <x:c r="E8" s="30" t="str">
        <x:v>Yes</x:v>
      </x:c>
      <x:c r="F8" s="30" t="str">
        <x:v>Operational</x:v>
      </x:c>
      <x:c r="G8" s="30" t="str">
        <x:v>CORE</x:v>
      </x:c>
      <x:c r="H8" s="30" t="str">
        <x:v>Yes</x:v>
      </x:c>
      <x:c r="I8" s="30" t="str">
        <x:v>Address should correspond with licence.</x:v>
      </x:c>
    </x:row>
    <x:row r="9">
      <x:c r="A9" s="30" t="str">
        <x:v>EVD008</x:v>
      </x:c>
      <x:c r="B9" s="30" t="str">
        <x:v>AUD008</x:v>
      </x:c>
      <x:c r="C9" s="30" t="str">
        <x:v>Pharmacist Registration Certificate</x:v>
      </x:c>
      <x:c r="D9" s="30" t="str">
        <x:v>Certificate</x:v>
      </x:c>
      <x:c r="E9" s="30" t="str">
        <x:v>Yes</x:v>
      </x:c>
      <x:c r="F9" s="30" t="str">
        <x:v>Permanent</x:v>
      </x:c>
      <x:c r="G9" s="30" t="str">
        <x:v>CORE</x:v>
      </x:c>
      <x:c r="H9" s="30" t="str">
        <x:v>Yes</x:v>
      </x:c>
      <x:c r="I9" s="30" t="str">
        <x:v>Registration should be valid.</x:v>
      </x:c>
    </x:row>
    <x:row r="10">
      <x:c r="A10" s="30" t="str">
        <x:v>EVD009</x:v>
      </x:c>
      <x:c r="B10" s="30" t="str">
        <x:v>AUD008</x:v>
      </x:c>
      <x:c r="C10" s="30" t="str">
        <x:v>Pharmacist Duty Roster</x:v>
      </x:c>
      <x:c r="D10" s="30" t="str">
        <x:v>Record</x:v>
      </x:c>
      <x:c r="E10" s="30" t="str">
        <x:v>Yes</x:v>
      </x:c>
      <x:c r="F10" s="30" t="str">
        <x:v>Operational</x:v>
      </x:c>
      <x:c r="G10" s="30" t="str">
        <x:v>CORE</x:v>
      </x:c>
      <x:c r="H10" s="30" t="str">
        <x:v>Yes</x:v>
      </x:c>
      <x:c r="I10" s="30" t="str">
        <x:v>Demonstrates pharmacist availability.</x:v>
      </x:c>
    </x:row>
    <x:row r="11">
      <x:c r="A11" s="30" t="str">
        <x:v>EVD010</x:v>
      </x:c>
      <x:c r="B11" s="30" t="str">
        <x:v>AUD008</x:v>
      </x:c>
      <x:c r="C11" s="30" t="str">
        <x:v>Attendance Register of Pharmacist</x:v>
      </x:c>
      <x:c r="D11" s="30" t="str">
        <x:v>Register</x:v>
      </x:c>
      <x:c r="E11" s="30" t="str">
        <x:v>Yes</x:v>
      </x:c>
      <x:c r="F11" s="30" t="str">
        <x:v>Statutory</x:v>
      </x:c>
      <x:c r="G11" s="30" t="str">
        <x:v>CORE</x:v>
      </x:c>
      <x:c r="H11" s="30" t="str">
        <x:v>Yes</x:v>
      </x:c>
      <x:c r="I11" s="30" t="str">
        <x:v>Verify continuous supervision.</x:v>
      </x:c>
    </x:row>
    <x:row r="12">
      <x:c r="A12" s="30" t="str">
        <x:v>EVD011</x:v>
      </x:c>
      <x:c r="B12" s="30" t="str">
        <x:v>AUD011</x:v>
      </x:c>
      <x:c r="C12" s="30" t="str">
        <x:v>Ownership Documents</x:v>
      </x:c>
      <x:c r="D12" s="30" t="str">
        <x:v>Agreement</x:v>
      </x:c>
      <x:c r="E12" s="30" t="str">
        <x:v>Yes</x:v>
      </x:c>
      <x:c r="F12" s="30" t="str">
        <x:v>Operational</x:v>
      </x:c>
      <x:c r="G12" s="30" t="str">
        <x:v>CORE</x:v>
      </x:c>
      <x:c r="H12" s="30" t="str">
        <x:v>Yes</x:v>
      </x:c>
      <x:c r="I12" s="30" t="str">
        <x:v>Ownership should match licence details.</x:v>
      </x:c>
    </x:row>
    <x:row r="13">
      <x:c r="A13" s="30" t="str">
        <x:v>EVD012</x:v>
      </x:c>
      <x:c r="B13" s="30" t="str">
        <x:v>AUD011</x:v>
      </x:c>
      <x:c r="C13" s="30" t="str">
        <x:v>Licence Amendment Approval (if applicable)</x:v>
      </x:c>
      <x:c r="D13" s="30" t="str">
        <x:v>License</x:v>
      </x:c>
      <x:c r="E13" s="30" t="str">
        <x:v>Yes</x:v>
      </x:c>
      <x:c r="F13" s="30" t="str">
        <x:v>Permanent</x:v>
      </x:c>
      <x:c r="G13" s="30" t="str">
        <x:v>CORE</x:v>
      </x:c>
      <x:c r="H13" s="30" t="str">
        <x:v>Yes</x:v>
      </x:c>
      <x:c r="I13" s="30" t="str">
        <x:v>Required when ownership changes.</x:v>
      </x:c>
    </x:row>
    <x:row r="14">
      <x:c r="A14" s="30" t="str">
        <x:v>EVD013</x:v>
      </x:c>
      <x:c r="B14" s="30" t="str">
        <x:v>AUD013</x:v>
      </x:c>
      <x:c r="C14" s="30" t="str">
        <x:v>Notification Submitted to Licensing Authority</x:v>
      </x:c>
      <x:c r="D14" s="30" t="str">
        <x:v>Other</x:v>
      </x:c>
      <x:c r="E14" s="30" t="str">
        <x:v>Yes</x:v>
      </x:c>
      <x:c r="F14" s="30" t="str">
        <x:v>Operational</x:v>
      </x:c>
      <x:c r="G14" s="30" t="str">
        <x:v>CORE</x:v>
      </x:c>
      <x:c r="H14" s="30" t="str">
        <x:v>Yes</x:v>
      </x:c>
      <x:c r="I14" s="30" t="str">
        <x:v>Evidence of reporting pharmacist change.</x:v>
      </x:c>
    </x:row>
    <x:row r="15">
      <x:c r="A15" s="30" t="str">
        <x:v>EVD014</x:v>
      </x:c>
      <x:c r="B15" s="30" t="str">
        <x:v>AUD013</x:v>
      </x:c>
      <x:c r="C15" s="30" t="str">
        <x:v>Acknowledgement of Notification</x:v>
      </x:c>
      <x:c r="D15" s="30" t="str">
        <x:v>Document</x:v>
      </x:c>
      <x:c r="E15" s="30" t="str">
        <x:v>Yes</x:v>
      </x:c>
      <x:c r="F15" s="30" t="str">
        <x:v>Operational</x:v>
      </x:c>
      <x:c r="G15" s="30" t="str">
        <x:v>CORE</x:v>
      </x:c>
      <x:c r="H15" s="30" t="str">
        <x:v>Yes</x:v>
      </x:c>
      <x:c r="I15" s="30" t="str">
        <x:v>Confirms receipt by authority.</x:v>
      </x:c>
    </x:row>
    <x:row r="16">
      <x:c r="A16" s="30" t="str">
        <x:v>EVD015</x:v>
      </x:c>
      <x:c r="B16" s="30" t="str">
        <x:v>AUD015</x:v>
      </x:c>
      <x:c r="C16" s="30" t="str">
        <x:v>Statutory Record Register</x:v>
      </x:c>
      <x:c r="D16" s="30" t="str">
        <x:v>Register</x:v>
      </x:c>
      <x:c r="E16" s="30" t="str">
        <x:v>Yes</x:v>
      </x:c>
      <x:c r="F16" s="30" t="str">
        <x:v>Statutory</x:v>
      </x:c>
      <x:c r="G16" s="30" t="str">
        <x:v>CORE</x:v>
      </x:c>
      <x:c r="H16" s="30" t="str">
        <x:v>Yes</x:v>
      </x:c>
      <x:c r="I16" s="30" t="str">
        <x:v>Records should be complete and current.</x:v>
      </x:c>
    </x:row>
    <x:row r="17">
      <x:c r="A17" s="30" t="str">
        <x:v>EVD016</x:v>
      </x:c>
      <x:c r="B17" s="30" t="str">
        <x:v>AUD015</x:v>
      </x:c>
      <x:c r="C17" s="30" t="str">
        <x:v>Document Retention Register</x:v>
      </x:c>
      <x:c r="D17" s="30" t="str">
        <x:v>Register</x:v>
      </x:c>
      <x:c r="E17" s="30" t="str">
        <x:v>No</x:v>
      </x:c>
      <x:c r="F17" s="30" t="str">
        <x:v>Statutory</x:v>
      </x:c>
      <x:c r="G17" s="30" t="str">
        <x:v>CORE</x:v>
      </x:c>
      <x:c r="H17" s="30" t="str">
        <x:v>Yes</x:v>
      </x:c>
      <x:c r="I17" s="30" t="str">
        <x:v>Where maintained by organization.</x:v>
      </x:c>
    </x:row>
    <x:row r="18">
      <x:c r="A18" s="30" t="str">
        <x:v>EVD017</x:v>
      </x:c>
      <x:c r="B18" s="30" t="str">
        <x:v>AUD017</x:v>
      </x:c>
      <x:c r="C18" s="30" t="str">
        <x:v>Licence Amendment Approval Letter</x:v>
      </x:c>
      <x:c r="D18" s="30" t="str">
        <x:v>License</x:v>
      </x:c>
      <x:c r="E18" s="30" t="str">
        <x:v>Yes</x:v>
      </x:c>
      <x:c r="F18" s="30" t="str">
        <x:v>Permanent</x:v>
      </x:c>
      <x:c r="G18" s="30" t="str">
        <x:v>CORE</x:v>
      </x:c>
      <x:c r="H18" s="30" t="str">
        <x:v>Yes</x:v>
      </x:c>
      <x:c r="I18" s="30" t="str">
        <x:v>Applicable for licence modifications.</x:v>
      </x:c>
    </x:row>
    <x:row r="19">
      <x:c r="A19" s="30" t="str">
        <x:v>EVD018</x:v>
      </x:c>
      <x:c r="B19" s="30" t="str">
        <x:v>AUD017</x:v>
      </x:c>
      <x:c r="C19" s="30" t="str">
        <x:v>Amendment Application</x:v>
      </x:c>
      <x:c r="D19" s="30" t="str">
        <x:v>Document</x:v>
      </x:c>
      <x:c r="E19" s="30" t="str">
        <x:v>Yes</x:v>
      </x:c>
      <x:c r="F19" s="30" t="str">
        <x:v>Operational</x:v>
      </x:c>
      <x:c r="G19" s="30" t="str">
        <x:v>CORE</x:v>
      </x:c>
      <x:c r="H19" s="30" t="str">
        <x:v>Yes</x:v>
      </x:c>
      <x:c r="I19" s="30" t="str">
        <x:v>Supporting regulatory submission.</x:v>
      </x:c>
    </x:row>
    <x:row r="20">
      <x:c r="A20" s="30" t="str">
        <x:v>EVD019</x:v>
      </x:c>
      <x:c r="B20" s="30" t="str">
        <x:v>AUD019</x:v>
      </x:c>
      <x:c r="C20" s="30" t="str">
        <x:v>Displayed Drug Licence</x:v>
      </x:c>
      <x:c r="D20" s="30" t="str">
        <x:v>License</x:v>
      </x:c>
      <x:c r="E20" s="30" t="str">
        <x:v>Yes</x:v>
      </x:c>
      <x:c r="F20" s="30" t="str">
        <x:v>Permanent</x:v>
      </x:c>
      <x:c r="G20" s="30" t="str">
        <x:v>CORE</x:v>
      </x:c>
      <x:c r="H20" s="30" t="str">
        <x:v>Yes</x:v>
      </x:c>
      <x:c r="I20" s="30" t="str">
        <x:v>Should be prominently displayed.</x:v>
      </x:c>
    </x:row>
    <x:row r="21">
      <x:c r="A21" s="30" t="str">
        <x:v>EVD020</x:v>
      </x:c>
      <x:c r="B21" s="30" t="str">
        <x:v>AUD019</x:v>
      </x:c>
      <x:c r="C21" s="30" t="str">
        <x:v>Photograph of Licence Display</x:v>
      </x:c>
      <x:c r="D21" s="30" t="str">
        <x:v>License</x:v>
      </x:c>
      <x:c r="E21" s="30" t="str">
        <x:v>No</x:v>
      </x:c>
      <x:c r="F21" s="30" t="str">
        <x:v>Permanent</x:v>
      </x:c>
      <x:c r="G21" s="30" t="str">
        <x:v>CORE</x:v>
      </x:c>
      <x:c r="H21" s="30" t="str">
        <x:v>Yes</x:v>
      </x:c>
      <x:c r="I21" s="30" t="str">
        <x:v>Useful inspection evidence.</x:v>
      </x:c>
    </x:row>
    <x:row r="22">
      <x:c r="A22" s="30" t="str">
        <x:v>EVD021</x:v>
      </x:c>
      <x:c r="B22" s="30" t="str">
        <x:v>AUD021</x:v>
      </x:c>
      <x:c r="C22" s="30" t="str">
        <x:v>Inspection Book</x:v>
      </x:c>
      <x:c r="D22" s="30" t="str">
        <x:v>Inspection Report</x:v>
      </x:c>
      <x:c r="E22" s="30" t="str">
        <x:v>Yes</x:v>
      </x:c>
      <x:c r="F22" s="30" t="str">
        <x:v>Statutory</x:v>
      </x:c>
      <x:c r="G22" s="30" t="str">
        <x:v>CORE</x:v>
      </x:c>
      <x:c r="H22" s="30" t="str">
        <x:v>Yes</x:v>
      </x:c>
      <x:c r="I22" s="30" t="str">
        <x:v>Must be available at premises.</x:v>
      </x:c>
    </x:row>
    <x:row r="23">
      <x:c r="A23" s="30" t="str">
        <x:v>EVD022</x:v>
      </x:c>
      <x:c r="B23" s="30" t="str">
        <x:v>AUD021</x:v>
      </x:c>
      <x:c r="C23" s="30" t="str">
        <x:v>Closure Records for Inspection Observations</x:v>
      </x:c>
      <x:c r="D23" s="30" t="str">
        <x:v>Inspection Report</x:v>
      </x:c>
      <x:c r="E23" s="30" t="str">
        <x:v>Yes</x:v>
      </x:c>
      <x:c r="F23" s="30" t="str">
        <x:v>Statutory</x:v>
      </x:c>
      <x:c r="G23" s="30" t="str">
        <x:v>CORE</x:v>
      </x:c>
      <x:c r="H23" s="30" t="str">
        <x:v>Yes</x:v>
      </x:c>
      <x:c r="I23" s="30" t="str">
        <x:v>Demonstrates corrective action completion.</x:v>
      </x:c>
    </x:row>
    <x:row r="24">
      <x:c r="A24" s="30" t="str">
        <x:v>EVD023</x:v>
      </x:c>
      <x:c r="B24" s="30" t="str">
        <x:v>AUD023</x:v>
      </x:c>
      <x:c r="C24" s="30" t="str">
        <x:v>Drug Licence</x:v>
      </x:c>
      <x:c r="D24" s="30" t="str">
        <x:v>License</x:v>
      </x:c>
      <x:c r="E24" s="30" t="str">
        <x:v>Yes</x:v>
      </x:c>
      <x:c r="F24" s="30" t="str">
        <x:v>Permanent</x:v>
      </x:c>
      <x:c r="G24" s="30" t="str">
        <x:v>CORE</x:v>
      </x:c>
      <x:c r="H24" s="30" t="str">
        <x:v>No</x:v>
      </x:c>
      <x:c r="I24" s="30" t="str">
        <x:v>P-2 QUARANTINED with AUD023; replacement evidence attached to AUD537.</x:v>
      </x:c>
    </x:row>
    <x:row r="25">
      <x:c r="A25" s="30" t="str">
        <x:v>EVD024</x:v>
      </x:c>
      <x:c r="B25" s="30" t="str">
        <x:v>AUD023</x:v>
      </x:c>
      <x:c r="C25" s="30" t="str">
        <x:v>Product Catalogue / Inventory List</x:v>
      </x:c>
      <x:c r="D25" s="30" t="str">
        <x:v>Log Book</x:v>
      </x:c>
      <x:c r="E25" s="30" t="str">
        <x:v>Yes</x:v>
      </x:c>
      <x:c r="F25" s="30" t="str">
        <x:v>Operational</x:v>
      </x:c>
      <x:c r="G25" s="30" t="str">
        <x:v>CORE</x:v>
      </x:c>
      <x:c r="H25" s="30" t="str">
        <x:v>No</x:v>
      </x:c>
      <x:c r="I25" s="30" t="str">
        <x:v>P-2 QUARANTINED with AUD023; replacement evidence attached to AUD537.</x:v>
      </x:c>
    </x:row>
    <x:row r="26">
      <x:c r="A26" s="30" t="str">
        <x:v>EVD025</x:v>
      </x:c>
      <x:c r="B26" s="30" t="str">
        <x:v>AUD025</x:v>
      </x:c>
      <x:c r="C26" s="30" t="str">
        <x:v>Access Control Register</x:v>
      </x:c>
      <x:c r="D26" s="30" t="str">
        <x:v>Register</x:v>
      </x:c>
      <x:c r="E26" s="30" t="str">
        <x:v>Yes</x:v>
      </x:c>
      <x:c r="F26" s="30" t="str">
        <x:v>Statutory</x:v>
      </x:c>
      <x:c r="G26" s="30" t="str">
        <x:v>CORE</x:v>
      </x:c>
      <x:c r="H26" s="30" t="str">
        <x:v>No</x:v>
      </x:c>
      <x:c r="I26" s="30" t="str">
        <x:v>P-2 QUARANTINED with AUD025; replacement evidence attached to AUD538.</x:v>
      </x:c>
    </x:row>
    <x:row r="27">
      <x:c r="A27" s="30" t="str">
        <x:v>EVD026</x:v>
      </x:c>
      <x:c r="B27" s="30" t="str">
        <x:v>AUD025</x:v>
      </x:c>
      <x:c r="C27" s="30" t="str">
        <x:v>Key Control Register</x:v>
      </x:c>
      <x:c r="D27" s="30" t="str">
        <x:v>Register</x:v>
      </x:c>
      <x:c r="E27" s="30" t="str">
        <x:v>No</x:v>
      </x:c>
      <x:c r="F27" s="30" t="str">
        <x:v>Statutory</x:v>
      </x:c>
      <x:c r="G27" s="30" t="str">
        <x:v>CORE</x:v>
      </x:c>
      <x:c r="H27" s="30" t="str">
        <x:v>No</x:v>
      </x:c>
      <x:c r="I27" s="30" t="str">
        <x:v>P-2 QUARANTINED with AUD025; replacement evidence attached to AUD538.</x:v>
      </x:c>
    </x:row>
    <x:row r="28">
      <x:c r="A28" s="30" t="str">
        <x:v>EVD027</x:v>
      </x:c>
      <x:c r="B28" s="30" t="str">
        <x:v>AUD027</x:v>
      </x:c>
      <x:c r="C28" s="30" t="str">
        <x:v>Archived Statutory Records</x:v>
      </x:c>
      <x:c r="D28" s="30" t="str">
        <x:v>Record</x:v>
      </x:c>
      <x:c r="E28" s="30" t="str">
        <x:v>Yes</x:v>
      </x:c>
      <x:c r="F28" s="30" t="str">
        <x:v>Statutory</x:v>
      </x:c>
      <x:c r="G28" s="30" t="str">
        <x:v>CORE</x:v>
      </x:c>
      <x:c r="H28" s="30" t="str">
        <x:v>No</x:v>
      </x:c>
      <x:c r="I28" s="30" t="str">
        <x:v>P-2 QUARANTINED with AUD027; replacement evidence attached to AUD539.</x:v>
      </x:c>
    </x:row>
    <x:row r="29">
      <x:c r="A29" s="30" t="str">
        <x:v>EVD028</x:v>
      </x:c>
      <x:c r="B29" s="30" t="str">
        <x:v>AUD027</x:v>
      </x:c>
      <x:c r="C29" s="30" t="str">
        <x:v>Record Retention Policy</x:v>
      </x:c>
      <x:c r="D29" s="30" t="str">
        <x:v>Record</x:v>
      </x:c>
      <x:c r="E29" s="30" t="str">
        <x:v>Yes</x:v>
      </x:c>
      <x:c r="F29" s="30" t="str">
        <x:v>Operational</x:v>
      </x:c>
      <x:c r="G29" s="30" t="str">
        <x:v>CORE</x:v>
      </x:c>
      <x:c r="H29" s="30" t="str">
        <x:v>No</x:v>
      </x:c>
      <x:c r="I29" s="30" t="str">
        <x:v>P-2 QUARANTINED with AUD027; replacement evidence attached to AUD539.</x:v>
      </x:c>
    </x:row>
    <x:row r="30">
      <x:c r="A30" s="30" t="str">
        <x:v>EVD029</x:v>
      </x:c>
      <x:c r="B30" s="30" t="str">
        <x:v>AUD029</x:v>
      </x:c>
      <x:c r="C30" s="30" t="str">
        <x:v>Regulatory Correspondence File</x:v>
      </x:c>
      <x:c r="D30" s="30" t="str">
        <x:v>Document</x:v>
      </x:c>
      <x:c r="E30" s="30" t="str">
        <x:v>Yes</x:v>
      </x:c>
      <x:c r="F30" s="30" t="str">
        <x:v>Operational</x:v>
      </x:c>
      <x:c r="G30" s="30" t="str">
        <x:v>CORE</x:v>
      </x:c>
      <x:c r="H30" s="30" t="str">
        <x:v>No</x:v>
      </x:c>
      <x:c r="I30" s="30" t="str">
        <x:v>P-2 QUARANTINED with AUD029; replacement evidence attached to AUD540.</x:v>
      </x:c>
    </x:row>
    <x:row r="31">
      <x:c r="A31" s="30" t="str">
        <x:v>EVD030</x:v>
      </x:c>
      <x:c r="B31" s="30" t="str">
        <x:v>AUD029</x:v>
      </x:c>
      <x:c r="C31" s="30" t="str">
        <x:v>Inward Register</x:v>
      </x:c>
      <x:c r="D31" s="30" t="str">
        <x:v>Register</x:v>
      </x:c>
      <x:c r="E31" s="30" t="str">
        <x:v>Yes</x:v>
      </x:c>
      <x:c r="F31" s="30" t="str">
        <x:v>Statutory</x:v>
      </x:c>
      <x:c r="G31" s="30" t="str">
        <x:v>CORE</x:v>
      </x:c>
      <x:c r="H31" s="30" t="str">
        <x:v>No</x:v>
      </x:c>
      <x:c r="I31" s="30" t="str">
        <x:v>P-2 QUARANTINED with AUD029; replacement evidence attached to AUD540.</x:v>
      </x:c>
    </x:row>
    <x:row r="32">
      <x:c r="A32" s="30" t="str">
        <x:v>EVD031</x:v>
      </x:c>
      <x:c r="B32" s="30" t="str">
        <x:v>AUD029</x:v>
      </x:c>
      <x:c r="C32" s="30" t="str">
        <x:v>Outward Register</x:v>
      </x:c>
      <x:c r="D32" s="30" t="str">
        <x:v>Register</x:v>
      </x:c>
      <x:c r="E32" s="30" t="str">
        <x:v>Yes</x:v>
      </x:c>
      <x:c r="F32" s="30" t="str">
        <x:v>Statutory</x:v>
      </x:c>
      <x:c r="G32" s="30" t="str">
        <x:v>CORE</x:v>
      </x:c>
      <x:c r="H32" s="30" t="str">
        <x:v>No</x:v>
      </x:c>
      <x:c r="I32" s="30" t="str">
        <x:v>P-2 QUARANTINED with AUD029; replacement evidence attached to AUD540.</x:v>
      </x:c>
    </x:row>
    <x:row r="33">
      <x:c r="A33" s="30" t="str">
        <x:v>EVD032</x:v>
      </x:c>
      <x:c r="B33" s="30" t="str">
        <x:v>AUD031</x:v>
      </x:c>
      <x:c r="C33" s="30" t="str">
        <x:v>Regulatory Notice Received</x:v>
      </x:c>
      <x:c r="D33" s="30" t="str">
        <x:v>Other</x:v>
      </x:c>
      <x:c r="E33" s="30" t="str">
        <x:v>Yes</x:v>
      </x:c>
      <x:c r="F33" s="30" t="str">
        <x:v>Operational</x:v>
      </x:c>
      <x:c r="G33" s="30" t="str">
        <x:v>CORE</x:v>
      </x:c>
      <x:c r="H33" s="30" t="str">
        <x:v>No</x:v>
      </x:c>
      <x:c r="I33" s="30" t="str">
        <x:v>P-2 QUARANTINED with AUD031; replacement evidence attached to AUD541.</x:v>
      </x:c>
    </x:row>
    <x:row r="34">
      <x:c r="A34" s="30" t="str">
        <x:v>EVD033</x:v>
      </x:c>
      <x:c r="B34" s="30" t="str">
        <x:v>AUD031</x:v>
      </x:c>
      <x:c r="C34" s="30" t="str">
        <x:v>Reply Submitted to Authority</x:v>
      </x:c>
      <x:c r="D34" s="30" t="str">
        <x:v>Other</x:v>
      </x:c>
      <x:c r="E34" s="30" t="str">
        <x:v>Yes</x:v>
      </x:c>
      <x:c r="F34" s="30" t="str">
        <x:v>Operational</x:v>
      </x:c>
      <x:c r="G34" s="30" t="str">
        <x:v>CORE</x:v>
      </x:c>
      <x:c r="H34" s="30" t="str">
        <x:v>No</x:v>
      </x:c>
      <x:c r="I34" s="30" t="str">
        <x:v>P-2 QUARANTINED with AUD031; replacement evidence attached to AUD541.</x:v>
      </x:c>
    </x:row>
    <x:row r="35">
      <x:c r="A35" s="30" t="str">
        <x:v>EVD034</x:v>
      </x:c>
      <x:c r="B35" s="30" t="str">
        <x:v>AUD031</x:v>
      </x:c>
      <x:c r="C35" s="30" t="str">
        <x:v>Submission Acknowledgement</x:v>
      </x:c>
      <x:c r="D35" s="30" t="str">
        <x:v>Document</x:v>
      </x:c>
      <x:c r="E35" s="30" t="str">
        <x:v>Yes</x:v>
      </x:c>
      <x:c r="F35" s="30" t="str">
        <x:v>Operational</x:v>
      </x:c>
      <x:c r="G35" s="30" t="str">
        <x:v>CORE</x:v>
      </x:c>
      <x:c r="H35" s="30" t="str">
        <x:v>No</x:v>
      </x:c>
      <x:c r="I35" s="30" t="str">
        <x:v>P-2 QUARANTINED with AUD031; replacement evidence attached to AUD541.</x:v>
      </x:c>
    </x:row>
    <x:row r="36">
      <x:c r="A36" s="30" t="str">
        <x:v>EVD035</x:v>
      </x:c>
      <x:c r="B36" s="30" t="str">
        <x:v>AUD033</x:v>
      </x:c>
      <x:c r="C36" s="30" t="str">
        <x:v>Regulatory Return Submitted</x:v>
      </x:c>
      <x:c r="D36" s="30" t="str">
        <x:v>Document</x:v>
      </x:c>
      <x:c r="E36" s="30" t="str">
        <x:v>Yes</x:v>
      </x:c>
      <x:c r="F36" s="30" t="str">
        <x:v>Operational</x:v>
      </x:c>
      <x:c r="G36" s="30" t="str">
        <x:v>CORE</x:v>
      </x:c>
      <x:c r="H36" s="30" t="str">
        <x:v>No</x:v>
      </x:c>
      <x:c r="I36" s="30" t="str">
        <x:v>P-2 QUARANTINED with AUD033; replacement evidence attached to AUD542.</x:v>
      </x:c>
    </x:row>
    <x:row r="37">
      <x:c r="A37" s="30" t="str">
        <x:v>EVD036</x:v>
      </x:c>
      <x:c r="B37" s="30" t="str">
        <x:v>AUD033</x:v>
      </x:c>
      <x:c r="C37" s="30" t="str">
        <x:v>Return Submission Acknowledgement</x:v>
      </x:c>
      <x:c r="D37" s="30" t="str">
        <x:v>Document</x:v>
      </x:c>
      <x:c r="E37" s="30" t="str">
        <x:v>Yes</x:v>
      </x:c>
      <x:c r="F37" s="30" t="str">
        <x:v>Operational</x:v>
      </x:c>
      <x:c r="G37" s="30" t="str">
        <x:v>CORE</x:v>
      </x:c>
      <x:c r="H37" s="30" t="str">
        <x:v>No</x:v>
      </x:c>
      <x:c r="I37" s="30" t="str">
        <x:v>P-2 QUARANTINED with AUD033; replacement evidence attached to AUD542.</x:v>
      </x:c>
    </x:row>
    <x:row r="38">
      <x:c r="A38" s="30" t="str">
        <x:v>EVD037</x:v>
      </x:c>
      <x:c r="B38" s="30" t="str">
        <x:v>AUD035</x:v>
      </x:c>
      <x:c r="C38" s="30" t="str">
        <x:v>Government Fee Payment Receipt</x:v>
      </x:c>
      <x:c r="D38" s="30" t="str">
        <x:v>Receipt</x:v>
      </x:c>
      <x:c r="E38" s="30" t="str">
        <x:v>Yes</x:v>
      </x:c>
      <x:c r="F38" s="30" t="str">
        <x:v>Transactional</x:v>
      </x:c>
      <x:c r="G38" s="30" t="str">
        <x:v>CORE</x:v>
      </x:c>
      <x:c r="H38" s="30" t="str">
        <x:v>No</x:v>
      </x:c>
      <x:c r="I38" s="30" t="str">
        <x:v>P-2 QUARANTINED with AUD035; replacement evidence attached to AUD543.</x:v>
      </x:c>
    </x:row>
    <x:row r="39">
      <x:c r="A39" s="30" t="str">
        <x:v>EVD038</x:v>
      </x:c>
      <x:c r="B39" s="30" t="str">
        <x:v>AUD035</x:v>
      </x:c>
      <x:c r="C39" s="30" t="str">
        <x:v>Bank Transaction Proof</x:v>
      </x:c>
      <x:c r="D39" s="30" t="str">
        <x:v>Record</x:v>
      </x:c>
      <x:c r="E39" s="30" t="str">
        <x:v>No</x:v>
      </x:c>
      <x:c r="F39" s="30" t="str">
        <x:v>Operational</x:v>
      </x:c>
      <x:c r="G39" s="30" t="str">
        <x:v>CORE</x:v>
      </x:c>
      <x:c r="H39" s="30" t="str">
        <x:v>No</x:v>
      </x:c>
      <x:c r="I39" s="30" t="str">
        <x:v>P-2 QUARANTINED with AUD035; replacement evidence attached to AUD543.</x:v>
      </x:c>
    </x:row>
    <x:row r="40">
      <x:c r="A40" s="30" t="str">
        <x:v>EVD039</x:v>
      </x:c>
      <x:c r="B40" s="30" t="str">
        <x:v>AUD037</x:v>
      </x:c>
      <x:c r="C40" s="30" t="str">
        <x:v>Duplicate Licence Application</x:v>
      </x:c>
      <x:c r="D40" s="30" t="str">
        <x:v>License</x:v>
      </x:c>
      <x:c r="E40" s="30" t="str">
        <x:v>Yes</x:v>
      </x:c>
      <x:c r="F40" s="30" t="str">
        <x:v>Permanent</x:v>
      </x:c>
      <x:c r="G40" s="30" t="str">
        <x:v>CORE</x:v>
      </x:c>
      <x:c r="H40" s="30" t="str">
        <x:v>No</x:v>
      </x:c>
      <x:c r="I40" s="30" t="str">
        <x:v>P-2 QUARANTINED with AUD037; replacement evidence attached to AUD544.</x:v>
      </x:c>
    </x:row>
    <x:row r="41">
      <x:c r="A41" s="30" t="str">
        <x:v>EVD040</x:v>
      </x:c>
      <x:c r="B41" s="30" t="str">
        <x:v>AUD037</x:v>
      </x:c>
      <x:c r="C41" s="30" t="str">
        <x:v>Duplicate Licence Issued</x:v>
      </x:c>
      <x:c r="D41" s="30" t="str">
        <x:v>License</x:v>
      </x:c>
      <x:c r="E41" s="30" t="str">
        <x:v>Yes</x:v>
      </x:c>
      <x:c r="F41" s="30" t="str">
        <x:v>Permanent</x:v>
      </x:c>
      <x:c r="G41" s="30" t="str">
        <x:v>CORE</x:v>
      </x:c>
      <x:c r="H41" s="30" t="str">
        <x:v>No</x:v>
      </x:c>
      <x:c r="I41" s="30" t="str">
        <x:v>P-2 QUARANTINED with AUD037; replacement evidence attached to AUD544.</x:v>
      </x:c>
    </x:row>
    <x:row r="42">
      <x:c r="A42" s="30" t="str">
        <x:v>EVD041</x:v>
      </x:c>
      <x:c r="B42" s="30" t="str">
        <x:v>AUD039</x:v>
      </x:c>
      <x:c r="C42" s="30" t="str">
        <x:v>Approved Premises Layout Plan</x:v>
      </x:c>
      <x:c r="D42" s="30" t="str">
        <x:v>Document</x:v>
      </x:c>
      <x:c r="E42" s="30" t="str">
        <x:v>Yes</x:v>
      </x:c>
      <x:c r="F42" s="30" t="str">
        <x:v>Operational</x:v>
      </x:c>
      <x:c r="G42" s="30" t="str">
        <x:v>CORE</x:v>
      </x:c>
      <x:c r="H42" s="30" t="str">
        <x:v>No</x:v>
      </x:c>
      <x:c r="I42" s="30" t="str">
        <x:v>P-2 QUARANTINED with AUD039; replacement evidence attached to AUD545.</x:v>
      </x:c>
    </x:row>
    <x:row r="43">
      <x:c r="A43" s="30" t="str">
        <x:v>EVD042</x:v>
      </x:c>
      <x:c r="B43" s="30" t="str">
        <x:v>AUD039</x:v>
      </x:c>
      <x:c r="C43" s="30" t="str">
        <x:v>Premises Approval Letter</x:v>
      </x:c>
      <x:c r="D43" s="30" t="str">
        <x:v>Approval</x:v>
      </x:c>
      <x:c r="E43" s="30" t="str">
        <x:v>Yes</x:v>
      </x:c>
      <x:c r="F43" s="30" t="str">
        <x:v>Permanent</x:v>
      </x:c>
      <x:c r="G43" s="30" t="str">
        <x:v>CORE</x:v>
      </x:c>
      <x:c r="H43" s="30" t="str">
        <x:v>No</x:v>
      </x:c>
      <x:c r="I43" s="30" t="str">
        <x:v>P-2 QUARANTINED with AUD039; replacement evidence attached to AUD545.</x:v>
      </x:c>
    </x:row>
    <x:row r="44">
      <x:c r="A44" s="30" t="str">
        <x:v>EVD043</x:v>
      </x:c>
      <x:c r="B44" s="30" t="str">
        <x:v>AUD041</x:v>
      </x:c>
      <x:c r="C44" s="30" t="str">
        <x:v>Pharmacy Signboard Photograph</x:v>
      </x:c>
      <x:c r="D44" s="30" t="str">
        <x:v>Photograph</x:v>
      </x:c>
      <x:c r="E44" s="30" t="str">
        <x:v>Yes</x:v>
      </x:c>
      <x:c r="F44" s="30" t="str">
        <x:v>Operational</x:v>
      </x:c>
      <x:c r="G44" s="30" t="str">
        <x:v>CORE</x:v>
      </x:c>
      <x:c r="H44" s="30" t="str">
        <x:v>No</x:v>
      </x:c>
      <x:c r="I44" s="30" t="str">
        <x:v>P-2 QUARANTINED with AUD041; replacement evidence attached to AUD546.</x:v>
      </x:c>
    </x:row>
    <x:row r="45">
      <x:c r="A45" s="30" t="str">
        <x:v>EVD044</x:v>
      </x:c>
      <x:c r="B45" s="30" t="str">
        <x:v>AUD041</x:v>
      </x:c>
      <x:c r="C45" s="30" t="str">
        <x:v>Drug Licence Display Photograph</x:v>
      </x:c>
      <x:c r="D45" s="30" t="str">
        <x:v>License</x:v>
      </x:c>
      <x:c r="E45" s="30" t="str">
        <x:v>No</x:v>
      </x:c>
      <x:c r="F45" s="30" t="str">
        <x:v>Permanent</x:v>
      </x:c>
      <x:c r="G45" s="30" t="str">
        <x:v>CORE</x:v>
      </x:c>
      <x:c r="H45" s="30" t="str">
        <x:v>No</x:v>
      </x:c>
      <x:c r="I45" s="30" t="str">
        <x:v>P-2 QUARANTINED with AUD041; replacement evidence attached to AUD546.</x:v>
      </x:c>
    </x:row>
    <x:row r="46">
      <x:c r="A46" s="30" t="str">
        <x:v>EVD045</x:v>
      </x:c>
      <x:c r="B46" s="30" t="str">
        <x:v>AUD043</x:v>
      </x:c>
      <x:c r="C46" s="30" t="str">
        <x:v>Record Backup Register</x:v>
      </x:c>
      <x:c r="D46" s="30" t="str">
        <x:v>Register</x:v>
      </x:c>
      <x:c r="E46" s="30" t="str">
        <x:v>No</x:v>
      </x:c>
      <x:c r="F46" s="30" t="str">
        <x:v>Statutory</x:v>
      </x:c>
      <x:c r="G46" s="30" t="str">
        <x:v>CORE</x:v>
      </x:c>
      <x:c r="H46" s="30" t="str">
        <x:v>No</x:v>
      </x:c>
      <x:c r="I46" s="30" t="str">
        <x:v>P-2 QUARANTINED with AUD043; replacement evidence attached to AUD547.</x:v>
      </x:c>
    </x:row>
    <x:row r="47">
      <x:c r="A47" s="30" t="str">
        <x:v>EVD046</x:v>
      </x:c>
      <x:c r="B47" s="30" t="str">
        <x:v>AUD043</x:v>
      </x:c>
      <x:c r="C47" s="30" t="str">
        <x:v>Electronic Backup Report</x:v>
      </x:c>
      <x:c r="D47" s="30" t="str">
        <x:v>Digital Record</x:v>
      </x:c>
      <x:c r="E47" s="30" t="str">
        <x:v>No</x:v>
      </x:c>
      <x:c r="F47" s="30" t="str">
        <x:v>Operational</x:v>
      </x:c>
      <x:c r="G47" s="30" t="str">
        <x:v>CORE</x:v>
      </x:c>
      <x:c r="H47" s="30" t="str">
        <x:v>No</x:v>
      </x:c>
      <x:c r="I47" s="30" t="str">
        <x:v>P-2 QUARANTINED with AUD043; replacement evidence attached to AUD547.</x:v>
      </x:c>
    </x:row>
    <x:row r="48">
      <x:c r="A48" s="30" t="str">
        <x:v>EVD047</x:v>
      </x:c>
      <x:c r="B48" s="30" t="str">
        <x:v>AUD045</x:v>
      </x:c>
      <x:c r="C48" s="30" t="str">
        <x:v>Inspection Observation Register</x:v>
      </x:c>
      <x:c r="D48" s="30" t="str">
        <x:v>Inspection Report</x:v>
      </x:c>
      <x:c r="E48" s="30" t="str">
        <x:v>Yes</x:v>
      </x:c>
      <x:c r="F48" s="30" t="str">
        <x:v>Statutory</x:v>
      </x:c>
      <x:c r="G48" s="30" t="str">
        <x:v>CORE</x:v>
      </x:c>
      <x:c r="H48" s="30" t="str">
        <x:v>No</x:v>
      </x:c>
      <x:c r="I48" s="30" t="str">
        <x:v>P-2 QUARANTINED with AUD045; replacement evidence attached to AUD548.</x:v>
      </x:c>
    </x:row>
    <x:row r="49">
      <x:c r="A49" s="30" t="str">
        <x:v>EVD048</x:v>
      </x:c>
      <x:c r="B49" s="30" t="str">
        <x:v>AUD045</x:v>
      </x:c>
      <x:c r="C49" s="30" t="str">
        <x:v>Corrective Action Register</x:v>
      </x:c>
      <x:c r="D49" s="30" t="str">
        <x:v>Register</x:v>
      </x:c>
      <x:c r="E49" s="30" t="str">
        <x:v>Yes</x:v>
      </x:c>
      <x:c r="F49" s="30" t="str">
        <x:v>Statutory</x:v>
      </x:c>
      <x:c r="G49" s="30" t="str">
        <x:v>CORE</x:v>
      </x:c>
      <x:c r="H49" s="30" t="str">
        <x:v>No</x:v>
      </x:c>
      <x:c r="I49" s="30" t="str">
        <x:v>P-2 QUARANTINED with AUD045; replacement evidence attached to AUD548.</x:v>
      </x:c>
    </x:row>
    <x:row r="50">
      <x:c r="A50" s="30" t="str">
        <x:v>EVD049</x:v>
      </x:c>
      <x:c r="B50" s="30" t="str">
        <x:v>AUD047</x:v>
      </x:c>
      <x:c r="C50" s="30" t="str">
        <x:v>Regulatory Approval File</x:v>
      </x:c>
      <x:c r="D50" s="30" t="str">
        <x:v>Approval</x:v>
      </x:c>
      <x:c r="E50" s="30" t="str">
        <x:v>Yes</x:v>
      </x:c>
      <x:c r="F50" s="30" t="str">
        <x:v>Permanent</x:v>
      </x:c>
      <x:c r="G50" s="30" t="str">
        <x:v>CORE</x:v>
      </x:c>
      <x:c r="H50" s="30" t="str">
        <x:v>No</x:v>
      </x:c>
      <x:c r="I50" s="30" t="str">
        <x:v>P-2 QUARANTINED with AUD047; replacement evidence attached to AUD549.</x:v>
      </x:c>
    </x:row>
    <x:row r="51">
      <x:c r="A51" s="30" t="str">
        <x:v>EVD050</x:v>
      </x:c>
      <x:c r="B51" s="30" t="str">
        <x:v>AUD047</x:v>
      </x:c>
      <x:c r="C51" s="30" t="str">
        <x:v>Supporting Approval Documents</x:v>
      </x:c>
      <x:c r="D51" s="30" t="str">
        <x:v>Approval</x:v>
      </x:c>
      <x:c r="E51" s="30" t="str">
        <x:v>Yes</x:v>
      </x:c>
      <x:c r="F51" s="30" t="str">
        <x:v>Permanent</x:v>
      </x:c>
      <x:c r="G51" s="30" t="str">
        <x:v>CORE</x:v>
      </x:c>
      <x:c r="H51" s="30" t="str">
        <x:v>No</x:v>
      </x:c>
      <x:c r="I51" s="30" t="str">
        <x:v>P-2 QUARANTINED with AUD047; replacement evidence attached to AUD549.</x:v>
      </x:c>
    </x:row>
    <x:row r="52">
      <x:c r="A52" s="30" t="str">
        <x:v>EVD051</x:v>
      </x:c>
      <x:c r="B52" s="30" t="str">
        <x:v>AUD049</x:v>
      </x:c>
      <x:c r="C52" s="30" t="str">
        <x:v>Compliance Review Meeting Minutes</x:v>
      </x:c>
      <x:c r="D52" s="30" t="str">
        <x:v>Other</x:v>
      </x:c>
      <x:c r="E52" s="30" t="str">
        <x:v>Yes</x:v>
      </x:c>
      <x:c r="F52" s="30" t="str">
        <x:v>Operational</x:v>
      </x:c>
      <x:c r="G52" s="30" t="str">
        <x:v>CORE</x:v>
      </x:c>
      <x:c r="H52" s="30" t="str">
        <x:v>No</x:v>
      </x:c>
      <x:c r="I52" s="30" t="str">
        <x:v>P-2 QUARANTINED with AUD049; replacement evidence attached to AUD550.</x:v>
      </x:c>
    </x:row>
    <x:row r="53">
      <x:c r="A53" s="30" t="str">
        <x:v>EVD052</x:v>
      </x:c>
      <x:c r="B53" s="30" t="str">
        <x:v>AUD049</x:v>
      </x:c>
      <x:c r="C53" s="30" t="str">
        <x:v>Compliance Action Tracker</x:v>
      </x:c>
      <x:c r="D53" s="30" t="str">
        <x:v>Record</x:v>
      </x:c>
      <x:c r="E53" s="30" t="str">
        <x:v>Yes</x:v>
      </x:c>
      <x:c r="F53" s="30" t="str">
        <x:v>Operational</x:v>
      </x:c>
      <x:c r="G53" s="30" t="str">
        <x:v>CORE</x:v>
      </x:c>
      <x:c r="H53" s="30" t="str">
        <x:v>No</x:v>
      </x:c>
      <x:c r="I53" s="30" t="str">
        <x:v>P-2 QUARANTINED with AUD049; replacement evidence attached to AUD550.</x:v>
      </x:c>
    </x:row>
    <x:row r="54">
      <x:c r="A54" s="30" t="str">
        <x:v>EVD053</x:v>
      </x:c>
      <x:c r="B54" s="30" t="str">
        <x:v>AUD051</x:v>
      </x:c>
      <x:c r="C54" s="30" t="str">
        <x:v>Internal Compliance Monitoring Checklist</x:v>
      </x:c>
      <x:c r="D54" s="30" t="str">
        <x:v>Record</x:v>
      </x:c>
      <x:c r="E54" s="30" t="str">
        <x:v>Yes</x:v>
      </x:c>
      <x:c r="F54" s="30" t="str">
        <x:v>Operational</x:v>
      </x:c>
      <x:c r="G54" s="30" t="str">
        <x:v>CORE</x:v>
      </x:c>
      <x:c r="H54" s="30" t="str">
        <x:v>No</x:v>
      </x:c>
      <x:c r="I54" s="30" t="str">
        <x:v>P-2 QUARANTINED with AUD051; replacement evidence attached to AUD551.</x:v>
      </x:c>
    </x:row>
    <x:row r="55">
      <x:c r="A55" s="30" t="str">
        <x:v>EVD054</x:v>
      </x:c>
      <x:c r="B55" s="30" t="str">
        <x:v>AUD051</x:v>
      </x:c>
      <x:c r="C55" s="30" t="str">
        <x:v>Internal Compliance Report</x:v>
      </x:c>
      <x:c r="D55" s="30" t="str">
        <x:v>Report</x:v>
      </x:c>
      <x:c r="E55" s="30" t="str">
        <x:v>Yes</x:v>
      </x:c>
      <x:c r="F55" s="30" t="str">
        <x:v>Operational</x:v>
      </x:c>
      <x:c r="G55" s="30" t="str">
        <x:v>CORE</x:v>
      </x:c>
      <x:c r="H55" s="30" t="str">
        <x:v>No</x:v>
      </x:c>
      <x:c r="I55" s="30" t="str">
        <x:v>P-2 QUARANTINED with AUD051; replacement evidence attached to AUD551.</x:v>
      </x:c>
    </x:row>
    <x:row r="56">
      <x:c r="A56" s="30" t="str">
        <x:v>EVD055</x:v>
      </x:c>
      <x:c r="B56" s="30" t="str">
        <x:v>AUD051</x:v>
      </x:c>
      <x:c r="C56" s="30" t="str">
        <x:v>Corrective Action Register</x:v>
      </x:c>
      <x:c r="D56" s="30" t="str">
        <x:v>Register</x:v>
      </x:c>
      <x:c r="E56" s="30" t="str">
        <x:v>Yes</x:v>
      </x:c>
      <x:c r="F56" s="30" t="str">
        <x:v>Statutory</x:v>
      </x:c>
      <x:c r="G56" s="30" t="str">
        <x:v>CORE</x:v>
      </x:c>
      <x:c r="H56" s="30" t="str">
        <x:v>No</x:v>
      </x:c>
      <x:c r="I56" s="30" t="str">
        <x:v>P-2 QUARANTINED with AUD051; replacement evidence attached to AUD551.</x:v>
      </x:c>
    </x:row>
    <x:row r="57">
      <x:c r="A57" s="30" t="str">
        <x:v>EVD056</x:v>
      </x:c>
      <x:c r="B57" s="30" t="str">
        <x:v>AUD051</x:v>
      </x:c>
      <x:c r="C57" s="30" t="str">
        <x:v>Compliance Dashboard</x:v>
      </x:c>
      <x:c r="D57" s="30" t="str">
        <x:v>Digital Record</x:v>
      </x:c>
      <x:c r="E57" s="30" t="str">
        <x:v>No</x:v>
      </x:c>
      <x:c r="F57" s="30" t="str">
        <x:v>Operational</x:v>
      </x:c>
      <x:c r="G57" s="30" t="str">
        <x:v>CORE</x:v>
      </x:c>
      <x:c r="H57" s="30" t="str">
        <x:v>No</x:v>
      </x:c>
      <x:c r="I57" s="30" t="str">
        <x:v>P-2 QUARANTINED with AUD051; replacement evidence attached to AUD551.</x:v>
      </x:c>
    </x:row>
    <x:row r="58">
      <x:c r="A58" s="30" t="str">
        <x:v>EVD057</x:v>
      </x:c>
      <x:c r="B58" s="30" t="str">
        <x:v>AUD051</x:v>
      </x:c>
      <x:c r="C58" s="30" t="str">
        <x:v>Compliance Monitoring SOP</x:v>
      </x:c>
      <x:c r="D58" s="30" t="str">
        <x:v>SOP</x:v>
      </x:c>
      <x:c r="E58" s="30" t="str">
        <x:v>Yes</x:v>
      </x:c>
      <x:c r="F58" s="30" t="str">
        <x:v>Operational</x:v>
      </x:c>
      <x:c r="G58" s="30" t="str">
        <x:v>CORE</x:v>
      </x:c>
      <x:c r="H58" s="30" t="str">
        <x:v>No</x:v>
      </x:c>
      <x:c r="I58" s="30" t="str">
        <x:v>P-2 QUARANTINED with AUD051; replacement evidence attached to AUD551.</x:v>
      </x:c>
    </x:row>
    <x:row r="59">
      <x:c r="A59" s="30" t="str">
        <x:v>EVD058</x:v>
      </x:c>
      <x:c r="B59" s="30" t="str">
        <x:v>AUD053</x:v>
      </x:c>
      <x:c r="C59" s="30" t="str">
        <x:v>Valid Supplier Drug Licence Copy</x:v>
      </x:c>
      <x:c r="D59" s="30" t="str">
        <x:v>License</x:v>
      </x:c>
      <x:c r="E59" s="30" t="str">
        <x:v>Yes</x:v>
      </x:c>
      <x:c r="F59" s="30" t="str">
        <x:v>Permanent</x:v>
      </x:c>
      <x:c r="G59" s="30" t="str">
        <x:v>CORE</x:v>
      </x:c>
      <x:c r="H59" s="30" t="str">
        <x:v>Yes</x:v>
      </x:c>
      <x:c r="I59" s="30" t="str">
        <x:v>Supplier licence should be valid during procurement.</x:v>
      </x:c>
    </x:row>
    <x:row r="60">
      <x:c r="A60" s="30" t="str">
        <x:v>EVD059</x:v>
      </x:c>
      <x:c r="B60" s="30" t="str">
        <x:v>AUD053</x:v>
      </x:c>
      <x:c r="C60" s="30" t="str">
        <x:v>Approved Supplier Master List</x:v>
      </x:c>
      <x:c r="D60" s="30" t="str">
        <x:v>Record</x:v>
      </x:c>
      <x:c r="E60" s="30" t="str">
        <x:v>Yes</x:v>
      </x:c>
      <x:c r="F60" s="30" t="str">
        <x:v>Operational</x:v>
      </x:c>
      <x:c r="G60" s="30" t="str">
        <x:v>CORE</x:v>
      </x:c>
      <x:c r="H60" s="30" t="str">
        <x:v>Yes</x:v>
      </x:c>
      <x:c r="I60" s="30" t="str">
        <x:v>Only approved suppliers should be used.</x:v>
      </x:c>
    </x:row>
    <x:row r="61">
      <x:c r="A61" s="30" t="str">
        <x:v>EVD060</x:v>
      </x:c>
      <x:c r="B61" s="30" t="str">
        <x:v>AUD055</x:v>
      </x:c>
      <x:c r="C61" s="30" t="str">
        <x:v>Purchase Invoice</x:v>
      </x:c>
      <x:c r="D61" s="30" t="str">
        <x:v>Invoice</x:v>
      </x:c>
      <x:c r="E61" s="30" t="str">
        <x:v>Yes</x:v>
      </x:c>
      <x:c r="F61" s="30" t="str">
        <x:v>Transactional</x:v>
      </x:c>
      <x:c r="G61" s="30" t="str">
        <x:v>CORE</x:v>
      </x:c>
      <x:c r="H61" s="30" t="str">
        <x:v>Yes</x:v>
      </x:c>
      <x:c r="I61" s="30" t="str">
        <x:v>Invoice should contain statutory particulars.</x:v>
      </x:c>
    </x:row>
    <x:row r="62">
      <x:c r="A62" s="30" t="str">
        <x:v>EVD061</x:v>
      </x:c>
      <x:c r="B62" s="30" t="str">
        <x:v>AUD055</x:v>
      </x:c>
      <x:c r="C62" s="30" t="str">
        <x:v>Goods Receipt Note (GRN)</x:v>
      </x:c>
      <x:c r="D62" s="30" t="str">
        <x:v>Receipt</x:v>
      </x:c>
      <x:c r="E62" s="30" t="str">
        <x:v>Yes</x:v>
      </x:c>
      <x:c r="F62" s="30" t="str">
        <x:v>Transactional</x:v>
      </x:c>
      <x:c r="G62" s="30" t="str">
        <x:v>CORE</x:v>
      </x:c>
      <x:c r="H62" s="30" t="str">
        <x:v>Yes</x:v>
      </x:c>
      <x:c r="I62" s="30" t="str">
        <x:v>Invoice should reconcile with GRN.</x:v>
      </x:c>
    </x:row>
    <x:row r="63">
      <x:c r="A63" s="30" t="str">
        <x:v>EVD062</x:v>
      </x:c>
      <x:c r="B63" s="30" t="str">
        <x:v>AUD057</x:v>
      </x:c>
      <x:c r="C63" s="30" t="str">
        <x:v>Goods Receipt Register</x:v>
      </x:c>
      <x:c r="D63" s="30" t="str">
        <x:v>Receipt</x:v>
      </x:c>
      <x:c r="E63" s="30" t="str">
        <x:v>Yes</x:v>
      </x:c>
      <x:c r="F63" s="30" t="str">
        <x:v>Transactional</x:v>
      </x:c>
      <x:c r="G63" s="30" t="str">
        <x:v>CORE</x:v>
      </x:c>
      <x:c r="H63" s="30" t="str">
        <x:v>Yes</x:v>
      </x:c>
      <x:c r="I63" s="30" t="str">
        <x:v>Record every inward consignment.</x:v>
      </x:c>
    </x:row>
    <x:row r="64">
      <x:c r="A64" s="30" t="str">
        <x:v>EVD063</x:v>
      </x:c>
      <x:c r="B64" s="30" t="str">
        <x:v>AUD057</x:v>
      </x:c>
      <x:c r="C64" s="30" t="str">
        <x:v>Inward Inspection Checklist</x:v>
      </x:c>
      <x:c r="D64" s="30" t="str">
        <x:v>Inspection Report</x:v>
      </x:c>
      <x:c r="E64" s="30" t="str">
        <x:v>Yes</x:v>
      </x:c>
      <x:c r="F64" s="30" t="str">
        <x:v>Statutory</x:v>
      </x:c>
      <x:c r="G64" s="30" t="str">
        <x:v>CORE</x:v>
      </x:c>
      <x:c r="H64" s="30" t="str">
        <x:v>Yes</x:v>
      </x:c>
      <x:c r="I64" s="30" t="str">
        <x:v>Verify inspection at receipt.</x:v>
      </x:c>
    </x:row>
    <x:row r="65">
      <x:c r="A65" s="30" t="str">
        <x:v>EVD064</x:v>
      </x:c>
      <x:c r="B65" s="30" t="str">
        <x:v>AUD059</x:v>
      </x:c>
      <x:c r="C65" s="30" t="str">
        <x:v>Inward Inspection Record</x:v>
      </x:c>
      <x:c r="D65" s="30" t="str">
        <x:v>Inspection Report</x:v>
      </x:c>
      <x:c r="E65" s="30" t="str">
        <x:v>Yes</x:v>
      </x:c>
      <x:c r="F65" s="30" t="str">
        <x:v>Statutory</x:v>
      </x:c>
      <x:c r="G65" s="30" t="str">
        <x:v>CORE</x:v>
      </x:c>
      <x:c r="H65" s="30" t="str">
        <x:v>Yes</x:v>
      </x:c>
      <x:c r="I65" s="30" t="str">
        <x:v>Include batch number, Mfg. date and Expiry date.</x:v>
      </x:c>
    </x:row>
    <x:row r="66">
      <x:c r="A66" s="30" t="str">
        <x:v>EVD065</x:v>
      </x:c>
      <x:c r="B66" s="30" t="str">
        <x:v>AUD059</x:v>
      </x:c>
      <x:c r="C66" s="30" t="str">
        <x:v>Supplier Delivery Challan</x:v>
      </x:c>
      <x:c r="D66" s="30" t="str">
        <x:v>Document</x:v>
      </x:c>
      <x:c r="E66" s="30" t="str">
        <x:v>Yes</x:v>
      </x:c>
      <x:c r="F66" s="30" t="str">
        <x:v>Operational</x:v>
      </x:c>
      <x:c r="G66" s="30" t="str">
        <x:v>CORE</x:v>
      </x:c>
      <x:c r="H66" s="30" t="str">
        <x:v>Yes</x:v>
      </x:c>
      <x:c r="I66" s="30" t="str">
        <x:v>Verify received products.</x:v>
      </x:c>
    </x:row>
    <x:row r="67">
      <x:c r="A67" s="30" t="str">
        <x:v>EVD066</x:v>
      </x:c>
      <x:c r="B67" s="30" t="str">
        <x:v>AUD061</x:v>
      </x:c>
      <x:c r="C67" s="30" t="str">
        <x:v>Rejected Goods Register</x:v>
      </x:c>
      <x:c r="D67" s="30" t="str">
        <x:v>Register</x:v>
      </x:c>
      <x:c r="E67" s="30" t="str">
        <x:v>Yes</x:v>
      </x:c>
      <x:c r="F67" s="30" t="str">
        <x:v>Statutory</x:v>
      </x:c>
      <x:c r="G67" s="30" t="str">
        <x:v>CORE</x:v>
      </x:c>
      <x:c r="H67" s="30" t="str">
        <x:v>Yes</x:v>
      </x:c>
      <x:c r="I67" s="30" t="str">
        <x:v>Record damaged or tampered consignments.</x:v>
      </x:c>
    </x:row>
    <x:row r="68">
      <x:c r="A68" s="30" t="str">
        <x:v>EVD067</x:v>
      </x:c>
      <x:c r="B68" s="30" t="str">
        <x:v>AUD061</x:v>
      </x:c>
      <x:c r="C68" s="30" t="str">
        <x:v>Supplier Complaint / Rejection Communication</x:v>
      </x:c>
      <x:c r="D68" s="30" t="str">
        <x:v>Other</x:v>
      </x:c>
      <x:c r="E68" s="30" t="str">
        <x:v>Yes</x:v>
      </x:c>
      <x:c r="F68" s="30" t="str">
        <x:v>Operational</x:v>
      </x:c>
      <x:c r="G68" s="30" t="str">
        <x:v>CORE</x:v>
      </x:c>
      <x:c r="H68" s="30" t="str">
        <x:v>Yes</x:v>
      </x:c>
      <x:c r="I68" s="30" t="str">
        <x:v>Notify supplier of rejected goods.</x:v>
      </x:c>
    </x:row>
    <x:row r="69">
      <x:c r="A69" s="30" t="str">
        <x:v>EVD068</x:v>
      </x:c>
      <x:c r="B69" s="30" t="str">
        <x:v>AUD063</x:v>
      </x:c>
      <x:c r="C69" s="30" t="str">
        <x:v>Purchase Register</x:v>
      </x:c>
      <x:c r="D69" s="30" t="str">
        <x:v>Purchase Record</x:v>
      </x:c>
      <x:c r="E69" s="30" t="str">
        <x:v>Yes</x:v>
      </x:c>
      <x:c r="F69" s="30" t="str">
        <x:v>Transactional</x:v>
      </x:c>
      <x:c r="G69" s="30" t="str">
        <x:v>CORE</x:v>
      </x:c>
      <x:c r="H69" s="30" t="str">
        <x:v>Yes</x:v>
      </x:c>
      <x:c r="I69" s="30" t="str">
        <x:v>Complete procurement history.</x:v>
      </x:c>
    </x:row>
    <x:row r="70">
      <x:c r="A70" s="30" t="str">
        <x:v>EVD069</x:v>
      </x:c>
      <x:c r="B70" s="30" t="str">
        <x:v>AUD063</x:v>
      </x:c>
      <x:c r="C70" s="30" t="str">
        <x:v>Supplier Invoice File</x:v>
      </x:c>
      <x:c r="D70" s="30" t="str">
        <x:v>Invoice</x:v>
      </x:c>
      <x:c r="E70" s="30" t="str">
        <x:v>Yes</x:v>
      </x:c>
      <x:c r="F70" s="30" t="str">
        <x:v>Transactional</x:v>
      </x:c>
      <x:c r="G70" s="30" t="str">
        <x:v>CORE</x:v>
      </x:c>
      <x:c r="H70" s="30" t="str">
        <x:v>Yes</x:v>
      </x:c>
      <x:c r="I70" s="30" t="str">
        <x:v>Supporting purchase documentation.</x:v>
      </x:c>
    </x:row>
    <x:row r="71">
      <x:c r="A71" s="30" t="str">
        <x:v>EVD070</x:v>
      </x:c>
      <x:c r="B71" s="30" t="str">
        <x:v>AUD065</x:v>
      </x:c>
      <x:c r="C71" s="30" t="str">
        <x:v>Cold Chain Temperature Log (Transport)</x:v>
      </x:c>
      <x:c r="D71" s="30" t="str">
        <x:v>Temperature Log</x:v>
      </x:c>
      <x:c r="E71" s="30" t="str">
        <x:v>Yes</x:v>
      </x:c>
      <x:c r="F71" s="30" t="str">
        <x:v>Operational</x:v>
      </x:c>
      <x:c r="G71" s="30" t="str">
        <x:v>CORE</x:v>
      </x:c>
      <x:c r="H71" s="30" t="str">
        <x:v>Yes</x:v>
      </x:c>
      <x:c r="I71" s="30" t="str">
        <x:v>Applicable to cold-chain medicines.</x:v>
      </x:c>
    </x:row>
    <x:row r="72">
      <x:c r="A72" s="30" t="str">
        <x:v>EVD071</x:v>
      </x:c>
      <x:c r="B72" s="30" t="str">
        <x:v>AUD065</x:v>
      </x:c>
      <x:c r="C72" s="30" t="str">
        <x:v>Transport Temperature Monitoring Report</x:v>
      </x:c>
      <x:c r="D72" s="30" t="str">
        <x:v>Digital Record</x:v>
      </x:c>
      <x:c r="E72" s="30" t="str">
        <x:v>No</x:v>
      </x:c>
      <x:c r="F72" s="30" t="str">
        <x:v>Operational</x:v>
      </x:c>
      <x:c r="G72" s="30" t="str">
        <x:v>CORE</x:v>
      </x:c>
      <x:c r="H72" s="30" t="str">
        <x:v>Yes</x:v>
      </x:c>
      <x:c r="I72" s="30" t="str">
        <x:v>Electronic monitoring where available.</x:v>
      </x:c>
    </x:row>
    <x:row r="73">
      <x:c r="A73" s="30" t="str">
        <x:v>EVD072</x:v>
      </x:c>
      <x:c r="B73" s="30" t="str">
        <x:v>AUD067</x:v>
      </x:c>
      <x:c r="C73" s="30" t="str">
        <x:v>Controlled Drug Receipt Register</x:v>
      </x:c>
      <x:c r="D73" s="30" t="str">
        <x:v>Receipt</x:v>
      </x:c>
      <x:c r="E73" s="30" t="str">
        <x:v>Yes</x:v>
      </x:c>
      <x:c r="F73" s="30" t="str">
        <x:v>Transactional</x:v>
      </x:c>
      <x:c r="G73" s="30" t="str">
        <x:v>CORE</x:v>
      </x:c>
      <x:c r="H73" s="30" t="str">
        <x:v>Yes</x:v>
      </x:c>
      <x:c r="I73" s="30" t="str">
        <x:v>Mandatory for regulated drugs.</x:v>
      </x:c>
    </x:row>
    <x:row r="74">
      <x:c r="A74" s="30" t="str">
        <x:v>EVD073</x:v>
      </x:c>
      <x:c r="B74" s="30" t="str">
        <x:v>AUD067</x:v>
      </x:c>
      <x:c r="C74" s="30" t="str">
        <x:v>Supplier Invoice for Controlled Drugs</x:v>
      </x:c>
      <x:c r="D74" s="30" t="str">
        <x:v>Invoice</x:v>
      </x:c>
      <x:c r="E74" s="30" t="str">
        <x:v>Yes</x:v>
      </x:c>
      <x:c r="F74" s="30" t="str">
        <x:v>Transactional</x:v>
      </x:c>
      <x:c r="G74" s="30" t="str">
        <x:v>CORE</x:v>
      </x:c>
      <x:c r="H74" s="30" t="str">
        <x:v>Yes</x:v>
      </x:c>
      <x:c r="I74" s="30" t="str">
        <x:v>Traceability of receipt.</x:v>
      </x:c>
    </x:row>
    <x:row r="75">
      <x:c r="A75" s="30" t="str">
        <x:v>EVD074</x:v>
      </x:c>
      <x:c r="B75" s="30" t="str">
        <x:v>AUD069</x:v>
      </x:c>
      <x:c r="C75" s="30" t="str">
        <x:v>Supplier Evaluation Report</x:v>
      </x:c>
      <x:c r="D75" s="30" t="str">
        <x:v>Report</x:v>
      </x:c>
      <x:c r="E75" s="30" t="str">
        <x:v>Yes</x:v>
      </x:c>
      <x:c r="F75" s="30" t="str">
        <x:v>Operational</x:v>
      </x:c>
      <x:c r="G75" s="30" t="str">
        <x:v>CORE</x:v>
      </x:c>
      <x:c r="H75" s="30" t="str">
        <x:v>Yes</x:v>
      </x:c>
      <x:c r="I75" s="30" t="str">
        <x:v>Periodic supplier assessment.</x:v>
      </x:c>
    </x:row>
    <x:row r="76">
      <x:c r="A76" s="30" t="str">
        <x:v>EVD075</x:v>
      </x:c>
      <x:c r="B76" s="30" t="str">
        <x:v>AUD069</x:v>
      </x:c>
      <x:c r="C76" s="30" t="str">
        <x:v>Approved Supplier Evaluation Checklist</x:v>
      </x:c>
      <x:c r="D76" s="30" t="str">
        <x:v>Record</x:v>
      </x:c>
      <x:c r="E76" s="30" t="str">
        <x:v>Yes</x:v>
      </x:c>
      <x:c r="F76" s="30" t="str">
        <x:v>Operational</x:v>
      </x:c>
      <x:c r="G76" s="30" t="str">
        <x:v>CORE</x:v>
      </x:c>
      <x:c r="H76" s="30" t="str">
        <x:v>Yes</x:v>
      </x:c>
      <x:c r="I76" s="30" t="str">
        <x:v>Evaluation criteria documented.</x:v>
      </x:c>
    </x:row>
    <x:row r="77">
      <x:c r="A77" s="30" t="str">
        <x:v>EVD076</x:v>
      </x:c>
      <x:c r="B77" s="30" t="str">
        <x:v>AUD071</x:v>
      </x:c>
      <x:c r="C77" s="30" t="str">
        <x:v>Approved Supplier List</x:v>
      </x:c>
      <x:c r="D77" s="30" t="str">
        <x:v>Record</x:v>
      </x:c>
      <x:c r="E77" s="30" t="str">
        <x:v>Yes</x:v>
      </x:c>
      <x:c r="F77" s="30" t="str">
        <x:v>Operational</x:v>
      </x:c>
      <x:c r="G77" s="30" t="str">
        <x:v>CORE</x:v>
      </x:c>
      <x:c r="H77" s="30" t="str">
        <x:v>Yes</x:v>
      </x:c>
      <x:c r="I77" s="30" t="str">
        <x:v>Procurement restricted to approved vendors.</x:v>
      </x:c>
    </x:row>
    <x:row r="78">
      <x:c r="A78" s="30" t="str">
        <x:v>EVD077</x:v>
      </x:c>
      <x:c r="B78" s="30" t="str">
        <x:v>AUD071</x:v>
      </x:c>
      <x:c r="C78" s="30" t="str">
        <x:v>Supplier Qualification File</x:v>
      </x:c>
      <x:c r="D78" s="30" t="str">
        <x:v>Document</x:v>
      </x:c>
      <x:c r="E78" s="30" t="str">
        <x:v>Yes</x:v>
      </x:c>
      <x:c r="F78" s="30" t="str">
        <x:v>Operational</x:v>
      </x:c>
      <x:c r="G78" s="30" t="str">
        <x:v>CORE</x:v>
      </x:c>
      <x:c r="H78" s="30" t="str">
        <x:v>Yes</x:v>
      </x:c>
      <x:c r="I78" s="30" t="str">
        <x:v>Qualification evidence maintained.</x:v>
      </x:c>
    </x:row>
    <x:row r="79">
      <x:c r="A79" s="30" t="str">
        <x:v>EVD078</x:v>
      </x:c>
      <x:c r="B79" s="30" t="str">
        <x:v>AUD073</x:v>
      </x:c>
      <x:c r="C79" s="30" t="str">
        <x:v>Purchase Order</x:v>
      </x:c>
      <x:c r="D79" s="30" t="str">
        <x:v>Purchase Record</x:v>
      </x:c>
      <x:c r="E79" s="30" t="str">
        <x:v>Yes</x:v>
      </x:c>
      <x:c r="F79" s="30" t="str">
        <x:v>Transactional</x:v>
      </x:c>
      <x:c r="G79" s="30" t="str">
        <x:v>CORE</x:v>
      </x:c>
      <x:c r="H79" s="30" t="str">
        <x:v>Yes</x:v>
      </x:c>
      <x:c r="I79" s="30" t="str">
        <x:v>Verify ordered quantities.</x:v>
      </x:c>
    </x:row>
    <x:row r="80">
      <x:c r="A80" s="30" t="str">
        <x:v>EVD079</x:v>
      </x:c>
      <x:c r="B80" s="30" t="str">
        <x:v>AUD073</x:v>
      </x:c>
      <x:c r="C80" s="30" t="str">
        <x:v>Goods Receipt Note (GRN)</x:v>
      </x:c>
      <x:c r="D80" s="30" t="str">
        <x:v>Receipt</x:v>
      </x:c>
      <x:c r="E80" s="30" t="str">
        <x:v>Yes</x:v>
      </x:c>
      <x:c r="F80" s="30" t="str">
        <x:v>Transactional</x:v>
      </x:c>
      <x:c r="G80" s="30" t="str">
        <x:v>CORE</x:v>
      </x:c>
      <x:c r="H80" s="30" t="str">
        <x:v>Yes</x:v>
      </x:c>
      <x:c r="I80" s="30" t="str">
        <x:v>Compare with purchase order.</x:v>
      </x:c>
    </x:row>
    <x:row r="81">
      <x:c r="A81" s="30" t="str">
        <x:v>EVD080</x:v>
      </x:c>
      <x:c r="B81" s="30" t="str">
        <x:v>AUD073</x:v>
      </x:c>
      <x:c r="C81" s="30" t="str">
        <x:v>Quantity Discrepancy Report</x:v>
      </x:c>
      <x:c r="D81" s="30" t="str">
        <x:v>Report</x:v>
      </x:c>
      <x:c r="E81" s="30" t="str">
        <x:v>No</x:v>
      </x:c>
      <x:c r="F81" s="30" t="str">
        <x:v>Operational</x:v>
      </x:c>
      <x:c r="G81" s="30" t="str">
        <x:v>CORE</x:v>
      </x:c>
      <x:c r="H81" s="30" t="str">
        <x:v>Yes</x:v>
      </x:c>
      <x:c r="I81" s="30" t="str">
        <x:v>Applicable where discrepancies exist.</x:v>
      </x:c>
    </x:row>
    <x:row r="82">
      <x:c r="A82" s="30" t="str">
        <x:v>EVD081</x:v>
      </x:c>
      <x:c r="B82" s="30" t="str">
        <x:v>AUD075</x:v>
      </x:c>
      <x:c r="C82" s="30" t="str">
        <x:v>Sample Receipt Register</x:v>
      </x:c>
      <x:c r="D82" s="30" t="str">
        <x:v>Receipt</x:v>
      </x:c>
      <x:c r="E82" s="30" t="str">
        <x:v>Yes</x:v>
      </x:c>
      <x:c r="F82" s="30" t="str">
        <x:v>Transactional</x:v>
      </x:c>
      <x:c r="G82" s="30" t="str">
        <x:v>CORE</x:v>
      </x:c>
      <x:c r="H82" s="30" t="str">
        <x:v>No</x:v>
      </x:c>
      <x:c r="I82" s="30" t="str">
        <x:v>P-4 QUARANTINED with inactive parent audit; legacy ID retained.</x:v>
      </x:c>
    </x:row>
    <x:row r="83">
      <x:c r="A83" s="30" t="str">
        <x:v>EVD082</x:v>
      </x:c>
      <x:c r="B83" s="30" t="str">
        <x:v>AUD075</x:v>
      </x:c>
      <x:c r="C83" s="30" t="str">
        <x:v>Authorization for Sample Receipt</x:v>
      </x:c>
      <x:c r="D83" s="30" t="str">
        <x:v>Approval</x:v>
      </x:c>
      <x:c r="E83" s="30" t="str">
        <x:v>Yes</x:v>
      </x:c>
      <x:c r="F83" s="30" t="str">
        <x:v>Permanent</x:v>
      </x:c>
      <x:c r="G83" s="30" t="str">
        <x:v>CORE</x:v>
      </x:c>
      <x:c r="H83" s="30" t="str">
        <x:v>No</x:v>
      </x:c>
      <x:c r="I83" s="30" t="str">
        <x:v>P-4 QUARANTINED with inactive parent audit; legacy ID retained.</x:v>
      </x:c>
    </x:row>
    <x:row r="84">
      <x:c r="A84" s="30" t="str">
        <x:v>EVD083</x:v>
      </x:c>
      <x:c r="B84" s="30" t="str">
        <x:v>AUD077</x:v>
      </x:c>
      <x:c r="C84" s="30" t="str">
        <x:v>Product Recall Notification</x:v>
      </x:c>
      <x:c r="D84" s="30" t="str">
        <x:v>Other</x:v>
      </x:c>
      <x:c r="E84" s="30" t="str">
        <x:v>Yes</x:v>
      </x:c>
      <x:c r="F84" s="30" t="str">
        <x:v>Operational</x:v>
      </x:c>
      <x:c r="G84" s="30" t="str">
        <x:v>CORE</x:v>
      </x:c>
      <x:c r="H84" s="30" t="str">
        <x:v>No</x:v>
      </x:c>
      <x:c r="I84" s="30" t="str">
        <x:v>P-4 QUARANTINED with inactive parent audit; legacy ID retained.</x:v>
      </x:c>
    </x:row>
    <x:row r="85">
      <x:c r="A85" s="30" t="str">
        <x:v>EVD084</x:v>
      </x:c>
      <x:c r="B85" s="30" t="str">
        <x:v>AUD077</x:v>
      </x:c>
      <x:c r="C85" s="30" t="str">
        <x:v>Quarantine Register</x:v>
      </x:c>
      <x:c r="D85" s="30" t="str">
        <x:v>Register</x:v>
      </x:c>
      <x:c r="E85" s="30" t="str">
        <x:v>Yes</x:v>
      </x:c>
      <x:c r="F85" s="30" t="str">
        <x:v>Statutory</x:v>
      </x:c>
      <x:c r="G85" s="30" t="str">
        <x:v>CORE</x:v>
      </x:c>
      <x:c r="H85" s="30" t="str">
        <x:v>No</x:v>
      </x:c>
      <x:c r="I85" s="30" t="str">
        <x:v>P-4 QUARANTINED with inactive parent audit; legacy ID retained.</x:v>
      </x:c>
    </x:row>
    <x:row r="86">
      <x:c r="A86" s="30" t="str">
        <x:v>EVD085</x:v>
      </x:c>
      <x:c r="B86" s="30" t="str">
        <x:v>AUD079</x:v>
      </x:c>
      <x:c r="C86" s="30" t="str">
        <x:v>Archived Procurement Records</x:v>
      </x:c>
      <x:c r="D86" s="30" t="str">
        <x:v>Record</x:v>
      </x:c>
      <x:c r="E86" s="30" t="str">
        <x:v>Yes</x:v>
      </x:c>
      <x:c r="F86" s="30" t="str">
        <x:v>Operational</x:v>
      </x:c>
      <x:c r="G86" s="30" t="str">
        <x:v>CORE</x:v>
      </x:c>
      <x:c r="H86" s="30" t="str">
        <x:v>No</x:v>
      </x:c>
      <x:c r="I86" s="30" t="str">
        <x:v>P-4 QUARANTINED with inactive parent audit; legacy ID retained.</x:v>
      </x:c>
    </x:row>
    <x:row r="87">
      <x:c r="A87" s="30" t="str">
        <x:v>EVD086</x:v>
      </x:c>
      <x:c r="B87" s="30" t="str">
        <x:v>AUD079</x:v>
      </x:c>
      <x:c r="C87" s="30" t="str">
        <x:v>Procurement Record Retention Schedule</x:v>
      </x:c>
      <x:c r="D87" s="30" t="str">
        <x:v>Record</x:v>
      </x:c>
      <x:c r="E87" s="30" t="str">
        <x:v>Yes</x:v>
      </x:c>
      <x:c r="F87" s="30" t="str">
        <x:v>Operational</x:v>
      </x:c>
      <x:c r="G87" s="30" t="str">
        <x:v>CORE</x:v>
      </x:c>
      <x:c r="H87" s="30" t="str">
        <x:v>No</x:v>
      </x:c>
      <x:c r="I87" s="30" t="str">
        <x:v>P-4 QUARANTINED with inactive parent audit; legacy ID retained.</x:v>
      </x:c>
    </x:row>
    <x:row r="88">
      <x:c r="A88" s="30" t="str">
        <x:v>EVD087</x:v>
      </x:c>
      <x:c r="B88" s="30" t="str">
        <x:v>AUD081</x:v>
      </x:c>
      <x:c r="C88" s="30" t="str">
        <x:v>Procurement System Audit Trail</x:v>
      </x:c>
      <x:c r="D88" s="30" t="str">
        <x:v>Digital Record</x:v>
      </x:c>
      <x:c r="E88" s="30" t="str">
        <x:v>Yes</x:v>
      </x:c>
      <x:c r="F88" s="30" t="str">
        <x:v>Operational</x:v>
      </x:c>
      <x:c r="G88" s="30" t="str">
        <x:v>CORE</x:v>
      </x:c>
      <x:c r="H88" s="30" t="str">
        <x:v>No</x:v>
      </x:c>
      <x:c r="I88" s="30" t="str">
        <x:v>P-4 QUARANTINED with inactive parent audit; legacy ID retained.</x:v>
      </x:c>
    </x:row>
    <x:row r="89">
      <x:c r="A89" s="30" t="str">
        <x:v>EVD088</x:v>
      </x:c>
      <x:c r="B89" s="30" t="str">
        <x:v>AUD081</x:v>
      </x:c>
      <x:c r="C89" s="30" t="str">
        <x:v>User Access Log</x:v>
      </x:c>
      <x:c r="D89" s="30" t="str">
        <x:v>Log Book</x:v>
      </x:c>
      <x:c r="E89" s="30" t="str">
        <x:v>Yes</x:v>
      </x:c>
      <x:c r="F89" s="30" t="str">
        <x:v>Operational</x:v>
      </x:c>
      <x:c r="G89" s="30" t="str">
        <x:v>CORE</x:v>
      </x:c>
      <x:c r="H89" s="30" t="str">
        <x:v>No</x:v>
      </x:c>
      <x:c r="I89" s="30" t="str">
        <x:v>P-4 QUARANTINED with inactive parent audit; legacy ID retained.</x:v>
      </x:c>
    </x:row>
    <x:row r="90">
      <x:c r="A90" s="30" t="str">
        <x:v>EVD089</x:v>
      </x:c>
      <x:c r="B90" s="30" t="str">
        <x:v>AUD083</x:v>
      </x:c>
      <x:c r="C90" s="30" t="str">
        <x:v>Product Labels</x:v>
      </x:c>
      <x:c r="D90" s="30" t="str">
        <x:v>Document</x:v>
      </x:c>
      <x:c r="E90" s="30" t="str">
        <x:v>Yes</x:v>
      </x:c>
      <x:c r="F90" s="30" t="str">
        <x:v>Operational</x:v>
      </x:c>
      <x:c r="G90" s="30" t="str">
        <x:v>CORE</x:v>
      </x:c>
      <x:c r="H90" s="30" t="str">
        <x:v>Yes</x:v>
      </x:c>
      <x:c r="I90" s="30" t="str">
        <x:v>Verify batch, Mfg. and Expiry details.</x:v>
      </x:c>
    </x:row>
    <x:row r="91">
      <x:c r="A91" s="30" t="str">
        <x:v>EVD090</x:v>
      </x:c>
      <x:c r="B91" s="30" t="str">
        <x:v>AUD083</x:v>
      </x:c>
      <x:c r="C91" s="30" t="str">
        <x:v>Inward Inspection Checklist</x:v>
      </x:c>
      <x:c r="D91" s="30" t="str">
        <x:v>Inspection Report</x:v>
      </x:c>
      <x:c r="E91" s="30" t="str">
        <x:v>Yes</x:v>
      </x:c>
      <x:c r="F91" s="30" t="str">
        <x:v>Statutory</x:v>
      </x:c>
      <x:c r="G91" s="30" t="str">
        <x:v>CORE</x:v>
      </x:c>
      <x:c r="H91" s="30" t="str">
        <x:v>Yes</x:v>
      </x:c>
      <x:c r="I91" s="30" t="str">
        <x:v>Evidence of label verification.</x:v>
      </x:c>
    </x:row>
    <x:row r="92">
      <x:c r="A92" s="30" t="str">
        <x:v>EVD091</x:v>
      </x:c>
      <x:c r="B92" s="30" t="str">
        <x:v>AUD085</x:v>
      </x:c>
      <x:c r="C92" s="30" t="str">
        <x:v>Import Licence / Import Approval</x:v>
      </x:c>
      <x:c r="D92" s="30" t="str">
        <x:v>License</x:v>
      </x:c>
      <x:c r="E92" s="30" t="str">
        <x:v>Yes</x:v>
      </x:c>
      <x:c r="F92" s="30" t="str">
        <x:v>Permanent</x:v>
      </x:c>
      <x:c r="G92" s="30" t="str">
        <x:v>CORE</x:v>
      </x:c>
      <x:c r="H92" s="30" t="str">
        <x:v>Yes</x:v>
      </x:c>
      <x:c r="I92" s="30" t="str">
        <x:v>Applicable to imported drugs.</x:v>
      </x:c>
    </x:row>
    <x:row r="93">
      <x:c r="A93" s="30" t="str">
        <x:v>EVD092</x:v>
      </x:c>
      <x:c r="B93" s="30" t="str">
        <x:v>AUD085</x:v>
      </x:c>
      <x:c r="C93" s="30" t="str">
        <x:v>Bill of Entry / Import Documents</x:v>
      </x:c>
      <x:c r="D93" s="30" t="str">
        <x:v>Invoice</x:v>
      </x:c>
      <x:c r="E93" s="30" t="str">
        <x:v>Yes</x:v>
      </x:c>
      <x:c r="F93" s="30" t="str">
        <x:v>Transactional</x:v>
      </x:c>
      <x:c r="G93" s="30" t="str">
        <x:v>CORE</x:v>
      </x:c>
      <x:c r="H93" s="30" t="str">
        <x:v>Yes</x:v>
      </x:c>
      <x:c r="I93" s="30" t="str">
        <x:v>Import traceability.</x:v>
      </x:c>
    </x:row>
    <x:row r="94">
      <x:c r="A94" s="30" t="str">
        <x:v>EVD093</x:v>
      </x:c>
      <x:c r="B94" s="30" t="str">
        <x:v>AUD087</x:v>
      </x:c>
      <x:c r="C94" s="30" t="str">
        <x:v>Procurement SOP</x:v>
      </x:c>
      <x:c r="D94" s="30" t="str">
        <x:v>SOP</x:v>
      </x:c>
      <x:c r="E94" s="30" t="str">
        <x:v>Yes</x:v>
      </x:c>
      <x:c r="F94" s="30" t="str">
        <x:v>Operational</x:v>
      </x:c>
      <x:c r="G94" s="30" t="str">
        <x:v>CORE</x:v>
      </x:c>
      <x:c r="H94" s="30" t="str">
        <x:v>Yes</x:v>
      </x:c>
      <x:c r="I94" s="30" t="str">
        <x:v>Approved procurement procedure.</x:v>
      </x:c>
    </x:row>
    <x:row r="95">
      <x:c r="A95" s="30" t="str">
        <x:v>EVD094</x:v>
      </x:c>
      <x:c r="B95" s="30" t="str">
        <x:v>AUD087</x:v>
      </x:c>
      <x:c r="C95" s="30" t="str">
        <x:v>Procurement Staff Training Record</x:v>
      </x:c>
      <x:c r="D95" s="30" t="str">
        <x:v>Training Record</x:v>
      </x:c>
      <x:c r="E95" s="30" t="str">
        <x:v>Yes</x:v>
      </x:c>
      <x:c r="F95" s="30" t="str">
        <x:v>Operational</x:v>
      </x:c>
      <x:c r="G95" s="30" t="str">
        <x:v>CORE</x:v>
      </x:c>
      <x:c r="H95" s="30" t="str">
        <x:v>Yes</x:v>
      </x:c>
      <x:c r="I95" s="30" t="str">
        <x:v>Staff trained on SOP.</x:v>
      </x:c>
    </x:row>
    <x:row r="96">
      <x:c r="A96" s="30" t="str">
        <x:v>EVD095</x:v>
      </x:c>
      <x:c r="B96" s="30" t="str">
        <x:v>AUD089</x:v>
      </x:c>
      <x:c r="C96" s="30" t="str">
        <x:v>Vendor Master Register</x:v>
      </x:c>
      <x:c r="D96" s="30" t="str">
        <x:v>Digital Record</x:v>
      </x:c>
      <x:c r="E96" s="30" t="str">
        <x:v>Yes</x:v>
      </x:c>
      <x:c r="F96" s="30" t="str">
        <x:v>Operational</x:v>
      </x:c>
      <x:c r="G96" s="30" t="str">
        <x:v>CORE</x:v>
      </x:c>
      <x:c r="H96" s="30" t="str">
        <x:v>Yes</x:v>
      </x:c>
      <x:c r="I96" s="30" t="str">
        <x:v>Current vendor database.</x:v>
      </x:c>
    </x:row>
    <x:row r="97">
      <x:c r="A97" s="30" t="str">
        <x:v>EVD096</x:v>
      </x:c>
      <x:c r="B97" s="30" t="str">
        <x:v>AUD089</x:v>
      </x:c>
      <x:c r="C97" s="30" t="str">
        <x:v>Vendor Review Report</x:v>
      </x:c>
      <x:c r="D97" s="30" t="str">
        <x:v>Report</x:v>
      </x:c>
      <x:c r="E97" s="30" t="str">
        <x:v>Yes</x:v>
      </x:c>
      <x:c r="F97" s="30" t="str">
        <x:v>Operational</x:v>
      </x:c>
      <x:c r="G97" s="30" t="str">
        <x:v>CORE</x:v>
      </x:c>
      <x:c r="H97" s="30" t="str">
        <x:v>Yes</x:v>
      </x:c>
      <x:c r="I97" s="30" t="str">
        <x:v>Evidence of periodic review.</x:v>
      </x:c>
    </x:row>
    <x:row r="98">
      <x:c r="A98" s="30" t="str">
        <x:v>EVD097</x:v>
      </x:c>
      <x:c r="B98" s="30" t="str">
        <x:v>AUD091</x:v>
      </x:c>
      <x:c r="C98" s="30" t="str">
        <x:v>Emergency Purchase Approval</x:v>
      </x:c>
      <x:c r="D98" s="30" t="str">
        <x:v>Purchase Record</x:v>
      </x:c>
      <x:c r="E98" s="30" t="str">
        <x:v>Yes</x:v>
      </x:c>
      <x:c r="F98" s="30" t="str">
        <x:v>Transactional</x:v>
      </x:c>
      <x:c r="G98" s="30" t="str">
        <x:v>CORE</x:v>
      </x:c>
      <x:c r="H98" s="30" t="str">
        <x:v>Yes</x:v>
      </x:c>
      <x:c r="I98" s="30" t="str">
        <x:v>Required for emergency procurement.</x:v>
      </x:c>
    </x:row>
    <x:row r="99">
      <x:c r="A99" s="30" t="str">
        <x:v>EVD098</x:v>
      </x:c>
      <x:c r="B99" s="30" t="str">
        <x:v>AUD091</x:v>
      </x:c>
      <x:c r="C99" s="30" t="str">
        <x:v>Emergency Purchase Justification Note</x:v>
      </x:c>
      <x:c r="D99" s="30" t="str">
        <x:v>Purchase Record</x:v>
      </x:c>
      <x:c r="E99" s="30" t="str">
        <x:v>Yes</x:v>
      </x:c>
      <x:c r="F99" s="30" t="str">
        <x:v>Transactional</x:v>
      </x:c>
      <x:c r="G99" s="30" t="str">
        <x:v>CORE</x:v>
      </x:c>
      <x:c r="H99" s="30" t="str">
        <x:v>Yes</x:v>
      </x:c>
      <x:c r="I99" s="30" t="str">
        <x:v>Explain emergency circumstances.</x:v>
      </x:c>
    </x:row>
    <x:row r="100">
      <x:c r="A100" s="30" t="str">
        <x:v>EVD099</x:v>
      </x:c>
      <x:c r="B100" s="30" t="str">
        <x:v>AUD093</x:v>
      </x:c>
      <x:c r="C100" s="30" t="str">
        <x:v>Procurement Deviation Register</x:v>
      </x:c>
      <x:c r="D100" s="30" t="str">
        <x:v>Register</x:v>
      </x:c>
      <x:c r="E100" s="30" t="str">
        <x:v>Yes</x:v>
      </x:c>
      <x:c r="F100" s="30" t="str">
        <x:v>Statutory</x:v>
      </x:c>
      <x:c r="G100" s="30" t="str">
        <x:v>CORE</x:v>
      </x:c>
      <x:c r="H100" s="30" t="str">
        <x:v>Yes</x:v>
      </x:c>
      <x:c r="I100" s="30" t="str">
        <x:v>Record procurement deviations.</x:v>
      </x:c>
    </x:row>
    <x:row r="101">
      <x:c r="A101" s="30" t="str">
        <x:v>EVD100</x:v>
      </x:c>
      <x:c r="B101" s="30" t="str">
        <x:v>AUD093</x:v>
      </x:c>
      <x:c r="C101" s="30" t="str">
        <x:v>CAPA Record for Procurement Deviations</x:v>
      </x:c>
      <x:c r="D101" s="30" t="str">
        <x:v>Record</x:v>
      </x:c>
      <x:c r="E101" s="30" t="str">
        <x:v>Yes</x:v>
      </x:c>
      <x:c r="F101" s="30" t="str">
        <x:v>Operational</x:v>
      </x:c>
      <x:c r="G101" s="30" t="str">
        <x:v>CORE</x:v>
      </x:c>
      <x:c r="H101" s="30" t="str">
        <x:v>Yes</x:v>
      </x:c>
      <x:c r="I101" s="30" t="str">
        <x:v>Corrective action evidence.</x:v>
      </x:c>
    </x:row>
    <x:row r="102">
      <x:c r="A102" s="30" t="str">
        <x:v>EVD101</x:v>
      </x:c>
      <x:c r="B102" s="30" t="str">
        <x:v>AUD095</x:v>
      </x:c>
      <x:c r="C102" s="30" t="str">
        <x:v>Batch Traceability Record</x:v>
      </x:c>
      <x:c r="D102" s="30" t="str">
        <x:v>Record</x:v>
      </x:c>
      <x:c r="E102" s="30" t="str">
        <x:v>Yes</x:v>
      </x:c>
      <x:c r="F102" s="30" t="str">
        <x:v>Operational</x:v>
      </x:c>
      <x:c r="G102" s="30" t="str">
        <x:v>CORE</x:v>
      </x:c>
      <x:c r="H102" s="30" t="str">
        <x:v>Yes</x:v>
      </x:c>
      <x:c r="I102" s="30" t="str">
        <x:v>Complete product traceability.</x:v>
      </x:c>
    </x:row>
    <x:row r="103">
      <x:c r="A103" s="30" t="str">
        <x:v>EVD102</x:v>
      </x:c>
      <x:c r="B103" s="30" t="str">
        <x:v>AUD095</x:v>
      </x:c>
      <x:c r="C103" s="30" t="str">
        <x:v>Supplier-to-Inventory Traceability Report</x:v>
      </x:c>
      <x:c r="D103" s="30" t="str">
        <x:v>Digital Record</x:v>
      </x:c>
      <x:c r="E103" s="30" t="str">
        <x:v>No</x:v>
      </x:c>
      <x:c r="F103" s="30" t="str">
        <x:v>Operational</x:v>
      </x:c>
      <x:c r="G103" s="30" t="str">
        <x:v>CORE</x:v>
      </x:c>
      <x:c r="H103" s="30" t="str">
        <x:v>Yes</x:v>
      </x:c>
      <x:c r="I103" s="30" t="str">
        <x:v>Electronic traceability where available.</x:v>
      </x:c>
    </x:row>
    <x:row r="104">
      <x:c r="A104" s="30" t="str">
        <x:v>EVD103</x:v>
      </x:c>
      <x:c r="B104" s="30" t="str">
        <x:v>AUD097</x:v>
      </x:c>
      <x:c r="C104" s="30" t="str">
        <x:v>Controlled Procurement Document Register</x:v>
      </x:c>
      <x:c r="D104" s="30" t="str">
        <x:v>Register</x:v>
      </x:c>
      <x:c r="E104" s="30" t="str">
        <x:v>Yes</x:v>
      </x:c>
      <x:c r="F104" s="30" t="str">
        <x:v>Statutory</x:v>
      </x:c>
      <x:c r="G104" s="30" t="str">
        <x:v>CORE</x:v>
      </x:c>
      <x:c r="H104" s="30" t="str">
        <x:v>Yes</x:v>
      </x:c>
      <x:c r="I104" s="30" t="str">
        <x:v>Track controlled procurement documents.</x:v>
      </x:c>
    </x:row>
    <x:row r="105">
      <x:c r="A105" s="30" t="str">
        <x:v>EVD104</x:v>
      </x:c>
      <x:c r="B105" s="30" t="str">
        <x:v>AUD097</x:v>
      </x:c>
      <x:c r="C105" s="30" t="str">
        <x:v>Document Revision History</x:v>
      </x:c>
      <x:c r="D105" s="30" t="str">
        <x:v>Record</x:v>
      </x:c>
      <x:c r="E105" s="30" t="str">
        <x:v>Yes</x:v>
      </x:c>
      <x:c r="F105" s="30" t="str">
        <x:v>Operational</x:v>
      </x:c>
      <x:c r="G105" s="30" t="str">
        <x:v>CORE</x:v>
      </x:c>
      <x:c r="H105" s="30" t="str">
        <x:v>Yes</x:v>
      </x:c>
      <x:c r="I105" s="30" t="str">
        <x:v>Version control evidence.</x:v>
      </x:c>
    </x:row>
    <x:row r="106">
      <x:c r="A106" s="30" t="str">
        <x:v>EVD105</x:v>
      </x:c>
      <x:c r="B106" s="30" t="str">
        <x:v>AUD099</x:v>
      </x:c>
      <x:c r="C106" s="30" t="str">
        <x:v>Procurement Compliance Review Minutes</x:v>
      </x:c>
      <x:c r="D106" s="30" t="str">
        <x:v>Other</x:v>
      </x:c>
      <x:c r="E106" s="30" t="str">
        <x:v>Yes</x:v>
      </x:c>
      <x:c r="F106" s="30" t="str">
        <x:v>Operational</x:v>
      </x:c>
      <x:c r="G106" s="30" t="str">
        <x:v>CORE</x:v>
      </x:c>
      <x:c r="H106" s="30" t="str">
        <x:v>Yes</x:v>
      </x:c>
      <x:c r="I106" s="30" t="str">
        <x:v>Review procurement performance.</x:v>
      </x:c>
    </x:row>
    <x:row r="107">
      <x:c r="A107" s="30" t="str">
        <x:v>EVD106</x:v>
      </x:c>
      <x:c r="B107" s="30" t="str">
        <x:v>AUD099</x:v>
      </x:c>
      <x:c r="C107" s="30" t="str">
        <x:v>Procurement CAPA Tracker</x:v>
      </x:c>
      <x:c r="D107" s="30" t="str">
        <x:v>Record</x:v>
      </x:c>
      <x:c r="E107" s="30" t="str">
        <x:v>Yes</x:v>
      </x:c>
      <x:c r="F107" s="30" t="str">
        <x:v>Operational</x:v>
      </x:c>
      <x:c r="G107" s="30" t="str">
        <x:v>CORE</x:v>
      </x:c>
      <x:c r="H107" s="30" t="str">
        <x:v>Yes</x:v>
      </x:c>
      <x:c r="I107" s="30" t="str">
        <x:v>Monitor corrective actions.</x:v>
      </x:c>
    </x:row>
    <x:row r="108">
      <x:c r="A108" s="30" t="str">
        <x:v>EVD107</x:v>
      </x:c>
      <x:c r="B108" s="30" t="str">
        <x:v>AUD101</x:v>
      </x:c>
      <x:c r="C108" s="30" t="str">
        <x:v>Internal Procurement Audit Report</x:v>
      </x:c>
      <x:c r="D108" s="30" t="str">
        <x:v>Report</x:v>
      </x:c>
      <x:c r="E108" s="30" t="str">
        <x:v>Yes</x:v>
      </x:c>
      <x:c r="F108" s="30" t="str">
        <x:v>Operational</x:v>
      </x:c>
      <x:c r="G108" s="30" t="str">
        <x:v>CORE</x:v>
      </x:c>
      <x:c r="H108" s="30" t="str">
        <x:v>Yes</x:v>
      </x:c>
      <x:c r="I108" s="30" t="str">
        <x:v>Evidence of procurement audit.</x:v>
      </x:c>
    </x:row>
    <x:row r="109">
      <x:c r="A109" s="30" t="str">
        <x:v>EVD108</x:v>
      </x:c>
      <x:c r="B109" s="30" t="str">
        <x:v>AUD101</x:v>
      </x:c>
      <x:c r="C109" s="30" t="str">
        <x:v>Procurement Audit Plan</x:v>
      </x:c>
      <x:c r="D109" s="30" t="str">
        <x:v>Document</x:v>
      </x:c>
      <x:c r="E109" s="30" t="str">
        <x:v>Yes</x:v>
      </x:c>
      <x:c r="F109" s="30" t="str">
        <x:v>Operational</x:v>
      </x:c>
      <x:c r="G109" s="30" t="str">
        <x:v>CORE</x:v>
      </x:c>
      <x:c r="H109" s="30" t="str">
        <x:v>Yes</x:v>
      </x:c>
      <x:c r="I109" s="30" t="str">
        <x:v>Approved audit schedule.</x:v>
      </x:c>
    </x:row>
    <x:row r="110">
      <x:c r="A110" s="30" t="str">
        <x:v>EVD109</x:v>
      </x:c>
      <x:c r="B110" s="30" t="str">
        <x:v>AUD101</x:v>
      </x:c>
      <x:c r="C110" s="30" t="str">
        <x:v>Procurement Audit Working Papers</x:v>
      </x:c>
      <x:c r="D110" s="30" t="str">
        <x:v>Record</x:v>
      </x:c>
      <x:c r="E110" s="30" t="str">
        <x:v>Yes</x:v>
      </x:c>
      <x:c r="F110" s="30" t="str">
        <x:v>Operational</x:v>
      </x:c>
      <x:c r="G110" s="30" t="str">
        <x:v>CORE</x:v>
      </x:c>
      <x:c r="H110" s="30" t="str">
        <x:v>Yes</x:v>
      </x:c>
      <x:c r="I110" s="30" t="str">
        <x:v>Supporting audit evidence.</x:v>
      </x:c>
    </x:row>
    <x:row r="111">
      <x:c r="A111" s="30" t="str">
        <x:v>EVD110</x:v>
      </x:c>
      <x:c r="B111" s="30" t="str">
        <x:v>AUD101</x:v>
      </x:c>
      <x:c r="C111" s="30" t="str">
        <x:v>Audit Observation Register</x:v>
      </x:c>
      <x:c r="D111" s="30" t="str">
        <x:v>Register</x:v>
      </x:c>
      <x:c r="E111" s="30" t="str">
        <x:v>Yes</x:v>
      </x:c>
      <x:c r="F111" s="30" t="str">
        <x:v>Statutory</x:v>
      </x:c>
      <x:c r="G111" s="30" t="str">
        <x:v>CORE</x:v>
      </x:c>
      <x:c r="H111" s="30" t="str">
        <x:v>Yes</x:v>
      </x:c>
      <x:c r="I111" s="30" t="str">
        <x:v>Track procurement findings.</x:v>
      </x:c>
    </x:row>
    <x:row r="112">
      <x:c r="A112" s="30" t="str">
        <x:v>EVD111</x:v>
      </x:c>
      <x:c r="B112" s="30" t="str">
        <x:v>AUD101</x:v>
      </x:c>
      <x:c r="C112" s="30" t="str">
        <x:v>Corrective Action Closure Report</x:v>
      </x:c>
      <x:c r="D112" s="30" t="str">
        <x:v>Report</x:v>
      </x:c>
      <x:c r="E112" s="30" t="str">
        <x:v>Yes</x:v>
      </x:c>
      <x:c r="F112" s="30" t="str">
        <x:v>Operational</x:v>
      </x:c>
      <x:c r="G112" s="30" t="str">
        <x:v>CORE</x:v>
      </x:c>
      <x:c r="H112" s="30" t="str">
        <x:v>Yes</x:v>
      </x:c>
      <x:c r="I112" s="30" t="str">
        <x:v>Evidence of implementation.</x:v>
      </x:c>
    </x:row>
    <x:row r="113">
      <x:c r="A113" s="30" t="str">
        <x:v>EVD112</x:v>
      </x:c>
      <x:c r="B113" s="30" t="str">
        <x:v>AUD101</x:v>
      </x:c>
      <x:c r="C113" s="30" t="str">
        <x:v>Procurement Process Flow Diagram</x:v>
      </x:c>
      <x:c r="D113" s="30" t="str">
        <x:v>Document</x:v>
      </x:c>
      <x:c r="E113" s="30" t="str">
        <x:v>No</x:v>
      </x:c>
      <x:c r="F113" s="30" t="str">
        <x:v>Operational</x:v>
      </x:c>
      <x:c r="G113" s="30" t="str">
        <x:v>CORE</x:v>
      </x:c>
      <x:c r="H113" s="30" t="str">
        <x:v>Yes</x:v>
      </x:c>
      <x:c r="I113" s="30" t="str">
        <x:v>Useful during walkthroughs.</x:v>
      </x:c>
    </x:row>
    <x:row r="114">
      <x:c r="A114" s="30" t="str">
        <x:v>EVD113</x:v>
      </x:c>
      <x:c r="B114" s="30" t="str">
        <x:v>AUD101</x:v>
      </x:c>
      <x:c r="C114" s="30" t="str">
        <x:v>Procurement Compliance Dashboard</x:v>
      </x:c>
      <x:c r="D114" s="30" t="str">
        <x:v>Digital Record</x:v>
      </x:c>
      <x:c r="E114" s="30" t="str">
        <x:v>No</x:v>
      </x:c>
      <x:c r="F114" s="30" t="str">
        <x:v>Operational</x:v>
      </x:c>
      <x:c r="G114" s="30" t="str">
        <x:v>CORE</x:v>
      </x:c>
      <x:c r="H114" s="30" t="str">
        <x:v>Yes</x:v>
      </x:c>
      <x:c r="I114" s="30" t="str">
        <x:v>Electronic monitoring evidence.</x:v>
      </x:c>
    </x:row>
    <x:row r="115">
      <x:c r="A115" s="30" t="str">
        <x:v>EVD114</x:v>
      </x:c>
      <x:c r="B115" s="30" t="str">
        <x:v>AUD101</x:v>
      </x:c>
      <x:c r="C115" s="30" t="str">
        <x:v>Procurement SOP Review Record</x:v>
      </x:c>
      <x:c r="D115" s="30" t="str">
        <x:v>SOP</x:v>
      </x:c>
      <x:c r="E115" s="30" t="str">
        <x:v>Yes</x:v>
      </x:c>
      <x:c r="F115" s="30" t="str">
        <x:v>Operational</x:v>
      </x:c>
      <x:c r="G115" s="30" t="str">
        <x:v>CORE</x:v>
      </x:c>
      <x:c r="H115" s="30" t="str">
        <x:v>Yes</x:v>
      </x:c>
      <x:c r="I115" s="30" t="str">
        <x:v>Demonstrates periodic SOP review.</x:v>
      </x:c>
    </x:row>
    <x:row r="116">
      <x:c r="A116" s="30" t="str">
        <x:v>EVD115</x:v>
      </x:c>
      <x:c r="B116" s="30" t="str">
        <x:v>AUD106</x:v>
      </x:c>
      <x:c r="C116" s="30" t="str">
        <x:v>Medicine Storage SOP</x:v>
      </x:c>
      <x:c r="D116" s="30" t="str">
        <x:v>SOP</x:v>
      </x:c>
      <x:c r="E116" s="30" t="str">
        <x:v>Yes</x:v>
      </x:c>
      <x:c r="F116" s="30" t="str">
        <x:v>Operational</x:v>
      </x:c>
      <x:c r="G116" s="30" t="str">
        <x:v>CORE</x:v>
      </x:c>
      <x:c r="H116" s="30" t="str">
        <x:v>No</x:v>
      </x:c>
      <x:c r="I116" s="30" t="str">
        <x:v>P-3 QUARANTINED: Generic State/local/permit/reference rows, penalty-only/fabricated DAMR extractions, and future-effective DPDP duties are not current production obligations.</x:v>
      </x:c>
    </x:row>
    <x:row r="117">
      <x:c r="A117" s="30" t="str">
        <x:v>EVD116</x:v>
      </x:c>
      <x:c r="B117" s="30" t="str">
        <x:v>AUD106</x:v>
      </x:c>
      <x:c r="C117" s="30" t="str">
        <x:v>Manufacturer Storage Instructions</x:v>
      </x:c>
      <x:c r="D117" s="30" t="str">
        <x:v>Document</x:v>
      </x:c>
      <x:c r="E117" s="30" t="str">
        <x:v>Yes</x:v>
      </x:c>
      <x:c r="F117" s="30" t="str">
        <x:v>Operational</x:v>
      </x:c>
      <x:c r="G117" s="30" t="str">
        <x:v>CORE</x:v>
      </x:c>
      <x:c r="H117" s="30" t="str">
        <x:v>No</x:v>
      </x:c>
      <x:c r="I117" s="30" t="str">
        <x:v>P-3 QUARANTINED: Generic State/local/permit/reference rows, penalty-only/fabricated DAMR extractions, and future-effective DPDP duties are not current production obligations.</x:v>
      </x:c>
    </x:row>
    <x:row r="118">
      <x:c r="A118" s="30" t="str">
        <x:v>EVD117</x:v>
      </x:c>
      <x:c r="B118" s="30" t="str">
        <x:v>AUD108</x:v>
      </x:c>
      <x:c r="C118" s="30" t="str">
        <x:v>Daily Temperature Monitoring Log</x:v>
      </x:c>
      <x:c r="D118" s="30" t="str">
        <x:v>Temperature Log</x:v>
      </x:c>
      <x:c r="E118" s="30" t="str">
        <x:v>Yes</x:v>
      </x:c>
      <x:c r="F118" s="30" t="str">
        <x:v>Operational</x:v>
      </x:c>
      <x:c r="G118" s="30" t="str">
        <x:v>CORE</x:v>
      </x:c>
      <x:c r="H118" s="30" t="str">
        <x:v>No</x:v>
      </x:c>
      <x:c r="I118" s="30" t="str">
        <x:v>P-3 QUARANTINED: Generic State/local/permit/reference rows, penalty-only/fabricated DAMR extractions, and future-effective DPDP duties are not current production obligations.</x:v>
      </x:c>
    </x:row>
    <x:row r="119">
      <x:c r="A119" s="30" t="str">
        <x:v>EVD118</x:v>
      </x:c>
      <x:c r="B119" s="30" t="str">
        <x:v>AUD108</x:v>
      </x:c>
      <x:c r="C119" s="30" t="str">
        <x:v>Thermometer Calibration Certificate</x:v>
      </x:c>
      <x:c r="D119" s="30" t="str">
        <x:v>Certificate</x:v>
      </x:c>
      <x:c r="E119" s="30" t="str">
        <x:v>Yes</x:v>
      </x:c>
      <x:c r="F119" s="30" t="str">
        <x:v>Permanent</x:v>
      </x:c>
      <x:c r="G119" s="30" t="str">
        <x:v>CORE</x:v>
      </x:c>
      <x:c r="H119" s="30" t="str">
        <x:v>No</x:v>
      </x:c>
      <x:c r="I119" s="30" t="str">
        <x:v>P-3 QUARANTINED: Generic State/local/permit/reference rows, penalty-only/fabricated DAMR extractions, and future-effective DPDP duties are not current production obligations.</x:v>
      </x:c>
    </x:row>
    <x:row r="120">
      <x:c r="A120" s="30" t="str">
        <x:v>EVD119</x:v>
      </x:c>
      <x:c r="B120" s="30" t="str">
        <x:v>AUD110</x:v>
      </x:c>
      <x:c r="C120" s="30" t="str">
        <x:v>Humidity Monitoring Log</x:v>
      </x:c>
      <x:c r="D120" s="30" t="str">
        <x:v>Log Book</x:v>
      </x:c>
      <x:c r="E120" s="30" t="str">
        <x:v>Yes</x:v>
      </x:c>
      <x:c r="F120" s="30" t="str">
        <x:v>Operational</x:v>
      </x:c>
      <x:c r="G120" s="30" t="str">
        <x:v>CORE</x:v>
      </x:c>
      <x:c r="H120" s="30" t="str">
        <x:v>No</x:v>
      </x:c>
      <x:c r="I120" s="30" t="str">
        <x:v>P-3 QUARANTINED: Generic State/local/permit/reference rows, penalty-only/fabricated DAMR extractions, and future-effective DPDP duties are not current production obligations.</x:v>
      </x:c>
    </x:row>
    <x:row r="121">
      <x:c r="A121" s="30" t="str">
        <x:v>EVD120</x:v>
      </x:c>
      <x:c r="B121" s="30" t="str">
        <x:v>AUD110</x:v>
      </x:c>
      <x:c r="C121" s="30" t="str">
        <x:v>Hygrometer Calibration Certificate</x:v>
      </x:c>
      <x:c r="D121" s="30" t="str">
        <x:v>Certificate</x:v>
      </x:c>
      <x:c r="E121" s="30" t="str">
        <x:v>Yes</x:v>
      </x:c>
      <x:c r="F121" s="30" t="str">
        <x:v>Permanent</x:v>
      </x:c>
      <x:c r="G121" s="30" t="str">
        <x:v>CORE</x:v>
      </x:c>
      <x:c r="H121" s="30" t="str">
        <x:v>No</x:v>
      </x:c>
      <x:c r="I121" s="30" t="str">
        <x:v>P-3 QUARANTINED: Generic State/local/permit/reference rows, penalty-only/fabricated DAMR extractions, and future-effective DPDP duties are not current production obligations.</x:v>
      </x:c>
    </x:row>
    <x:row r="122">
      <x:c r="A122" s="30" t="str">
        <x:v>EVD121</x:v>
      </x:c>
      <x:c r="B122" s="30" t="str">
        <x:v>AUD112</x:v>
      </x:c>
      <x:c r="C122" s="30" t="str">
        <x:v>Refrigerator Temperature Log</x:v>
      </x:c>
      <x:c r="D122" s="30" t="str">
        <x:v>Temperature Log</x:v>
      </x:c>
      <x:c r="E122" s="30" t="str">
        <x:v>Yes</x:v>
      </x:c>
      <x:c r="F122" s="30" t="str">
        <x:v>Operational</x:v>
      </x:c>
      <x:c r="G122" s="30" t="str">
        <x:v>CORE</x:v>
      </x:c>
      <x:c r="H122" s="30" t="str">
        <x:v>No</x:v>
      </x:c>
      <x:c r="I122" s="30" t="str">
        <x:v>P-3 QUARANTINED: Generic State/local/permit/reference rows, penalty-only/fabricated DAMR extractions, and future-effective DPDP duties are not current production obligations.</x:v>
      </x:c>
    </x:row>
    <x:row r="123">
      <x:c r="A123" s="30" t="str">
        <x:v>EVD122</x:v>
      </x:c>
      <x:c r="B123" s="30" t="str">
        <x:v>AUD112</x:v>
      </x:c>
      <x:c r="C123" s="30" t="str">
        <x:v>Cold Storage Deviation Register</x:v>
      </x:c>
      <x:c r="D123" s="30" t="str">
        <x:v>Register</x:v>
      </x:c>
      <x:c r="E123" s="30" t="str">
        <x:v>No</x:v>
      </x:c>
      <x:c r="F123" s="30" t="str">
        <x:v>Statutory</x:v>
      </x:c>
      <x:c r="G123" s="30" t="str">
        <x:v>CORE</x:v>
      </x:c>
      <x:c r="H123" s="30" t="str">
        <x:v>No</x:v>
      </x:c>
      <x:c r="I123" s="30" t="str">
        <x:v>P-3 QUARANTINED: Generic State/local/permit/reference rows, penalty-only/fabricated DAMR extractions, and future-effective DPDP duties are not current production obligations.</x:v>
      </x:c>
    </x:row>
    <x:row r="124">
      <x:c r="A124" s="30" t="str">
        <x:v>EVD123</x:v>
      </x:c>
      <x:c r="B124" s="30" t="str">
        <x:v>AUD114</x:v>
      </x:c>
      <x:c r="C124" s="30" t="str">
        <x:v>Dedicated Refrigerator Identification Record</x:v>
      </x:c>
      <x:c r="D124" s="30" t="str">
        <x:v>Record</x:v>
      </x:c>
      <x:c r="E124" s="30" t="str">
        <x:v>Yes</x:v>
      </x:c>
      <x:c r="F124" s="30" t="str">
        <x:v>Operational</x:v>
      </x:c>
      <x:c r="G124" s="30" t="str">
        <x:v>CORE</x:v>
      </x:c>
      <x:c r="H124" s="30" t="str">
        <x:v>No</x:v>
      </x:c>
      <x:c r="I124" s="30" t="str">
        <x:v>P-3 QUARANTINED: Generic State/local/permit/reference rows, penalty-only/fabricated DAMR extractions, and future-effective DPDP duties are not current production obligations.</x:v>
      </x:c>
    </x:row>
    <x:row r="125">
      <x:c r="A125" s="30" t="str">
        <x:v>EVD124</x:v>
      </x:c>
      <x:c r="B125" s="30" t="str">
        <x:v>AUD114</x:v>
      </x:c>
      <x:c r="C125" s="30" t="str">
        <x:v>Refrigerator Inspection Checklist</x:v>
      </x:c>
      <x:c r="D125" s="30" t="str">
        <x:v>Inspection Report</x:v>
      </x:c>
      <x:c r="E125" s="30" t="str">
        <x:v>Yes</x:v>
      </x:c>
      <x:c r="F125" s="30" t="str">
        <x:v>Statutory</x:v>
      </x:c>
      <x:c r="G125" s="30" t="str">
        <x:v>CORE</x:v>
      </x:c>
      <x:c r="H125" s="30" t="str">
        <x:v>No</x:v>
      </x:c>
      <x:c r="I125" s="30" t="str">
        <x:v>P-3 QUARANTINED: Generic State/local/permit/reference rows, penalty-only/fabricated DAMR extractions, and future-effective DPDP duties are not current production obligations.</x:v>
      </x:c>
    </x:row>
    <x:row r="126">
      <x:c r="A126" s="30" t="str">
        <x:v>EVD125</x:v>
      </x:c>
      <x:c r="B126" s="30" t="str">
        <x:v>AUD116</x:v>
      </x:c>
      <x:c r="C126" s="30" t="str">
        <x:v>Expired Stock Register</x:v>
      </x:c>
      <x:c r="D126" s="30" t="str">
        <x:v>Inventory Record</x:v>
      </x:c>
      <x:c r="E126" s="30" t="str">
        <x:v>Yes</x:v>
      </x:c>
      <x:c r="F126" s="30" t="str">
        <x:v>Operational</x:v>
      </x:c>
      <x:c r="G126" s="30" t="str">
        <x:v>CORE</x:v>
      </x:c>
      <x:c r="H126" s="30" t="str">
        <x:v>Yes</x:v>
      </x:c>
      <x:c r="I126" s="30" t="str">
        <x:v>Mandatory for expired medicines.</x:v>
      </x:c>
    </x:row>
    <x:row r="127">
      <x:c r="A127" s="30" t="str">
        <x:v>EVD126</x:v>
      </x:c>
      <x:c r="B127" s="30" t="str">
        <x:v>AUD116</x:v>
      </x:c>
      <x:c r="C127" s="30" t="str">
        <x:v>Expired Stock Segregation Photograph</x:v>
      </x:c>
      <x:c r="D127" s="30" t="str">
        <x:v>Photograph</x:v>
      </x:c>
      <x:c r="E127" s="30" t="str">
        <x:v>No</x:v>
      </x:c>
      <x:c r="F127" s="30" t="str">
        <x:v>Operational</x:v>
      </x:c>
      <x:c r="G127" s="30" t="str">
        <x:v>CORE</x:v>
      </x:c>
      <x:c r="H127" s="30" t="str">
        <x:v>Yes</x:v>
      </x:c>
      <x:c r="I127" s="30" t="str">
        <x:v>Supplementary inspection evidence.</x:v>
      </x:c>
    </x:row>
    <x:row r="128">
      <x:c r="A128" s="30" t="str">
        <x:v>EVD127</x:v>
      </x:c>
      <x:c r="B128" s="30" t="str">
        <x:v>AUD118</x:v>
      </x:c>
      <x:c r="C128" s="30" t="str">
        <x:v>Near Expiry Stock Report</x:v>
      </x:c>
      <x:c r="D128" s="30" t="str">
        <x:v>Digital Record</x:v>
      </x:c>
      <x:c r="E128" s="30" t="str">
        <x:v>Yes</x:v>
      </x:c>
      <x:c r="F128" s="30" t="str">
        <x:v>Operational</x:v>
      </x:c>
      <x:c r="G128" s="30" t="str">
        <x:v>CORE</x:v>
      </x:c>
      <x:c r="H128" s="30" t="str">
        <x:v>Yes</x:v>
      </x:c>
      <x:c r="I128" s="30" t="str">
        <x:v>Generated periodically.</x:v>
      </x:c>
    </x:row>
    <x:row r="129">
      <x:c r="A129" s="30" t="str">
        <x:v>EVD128</x:v>
      </x:c>
      <x:c r="B129" s="30" t="str">
        <x:v>AUD118</x:v>
      </x:c>
      <x:c r="C129" s="30" t="str">
        <x:v>Near Expiry Monitoring Register</x:v>
      </x:c>
      <x:c r="D129" s="30" t="str">
        <x:v>Register</x:v>
      </x:c>
      <x:c r="E129" s="30" t="str">
        <x:v>Yes</x:v>
      </x:c>
      <x:c r="F129" s="30" t="str">
        <x:v>Statutory</x:v>
      </x:c>
      <x:c r="G129" s="30" t="str">
        <x:v>CORE</x:v>
      </x:c>
      <x:c r="H129" s="30" t="str">
        <x:v>Yes</x:v>
      </x:c>
      <x:c r="I129" s="30" t="str">
        <x:v>Manual record where applicable.</x:v>
      </x:c>
    </x:row>
    <x:row r="130">
      <x:c r="A130" s="30" t="str">
        <x:v>EVD129</x:v>
      </x:c>
      <x:c r="B130" s="30" t="str">
        <x:v>AUD120</x:v>
      </x:c>
      <x:c r="C130" s="30" t="str">
        <x:v>FEFO Inventory Procedure</x:v>
      </x:c>
      <x:c r="D130" s="30" t="str">
        <x:v>SOP</x:v>
      </x:c>
      <x:c r="E130" s="30" t="str">
        <x:v>Yes</x:v>
      </x:c>
      <x:c r="F130" s="30" t="str">
        <x:v>Operational</x:v>
      </x:c>
      <x:c r="G130" s="30" t="str">
        <x:v>CORE</x:v>
      </x:c>
      <x:c r="H130" s="30" t="str">
        <x:v>Yes</x:v>
      </x:c>
      <x:c r="I130" s="30" t="str">
        <x:v>First Expiry First Out procedure.</x:v>
      </x:c>
    </x:row>
    <x:row r="131">
      <x:c r="A131" s="30" t="str">
        <x:v>EVD130</x:v>
      </x:c>
      <x:c r="B131" s="30" t="str">
        <x:v>AUD120</x:v>
      </x:c>
      <x:c r="C131" s="30" t="str">
        <x:v>Inventory Rotation Checklist</x:v>
      </x:c>
      <x:c r="D131" s="30" t="str">
        <x:v>Inventory Record</x:v>
      </x:c>
      <x:c r="E131" s="30" t="str">
        <x:v>Yes</x:v>
      </x:c>
      <x:c r="F131" s="30" t="str">
        <x:v>Operational</x:v>
      </x:c>
      <x:c r="G131" s="30" t="str">
        <x:v>CORE</x:v>
      </x:c>
      <x:c r="H131" s="30" t="str">
        <x:v>Yes</x:v>
      </x:c>
      <x:c r="I131" s="30" t="str">
        <x:v>Evidence of FEFO implementation.</x:v>
      </x:c>
    </x:row>
    <x:row r="132">
      <x:c r="A132" s="30" t="str">
        <x:v>EVD131</x:v>
      </x:c>
      <x:c r="B132" s="30" t="str">
        <x:v>AUD122</x:v>
      </x:c>
      <x:c r="C132" s="30" t="str">
        <x:v>Controlled Drug Storage Key Register</x:v>
      </x:c>
      <x:c r="D132" s="30" t="str">
        <x:v>Register</x:v>
      </x:c>
      <x:c r="E132" s="30" t="str">
        <x:v>Yes</x:v>
      </x:c>
      <x:c r="F132" s="30" t="str">
        <x:v>Statutory</x:v>
      </x:c>
      <x:c r="G132" s="30" t="str">
        <x:v>CORE</x:v>
      </x:c>
      <x:c r="H132" s="30" t="str">
        <x:v>Yes</x:v>
      </x:c>
      <x:c r="I132" s="30" t="str">
        <x:v>Access to controlled drug storage.</x:v>
      </x:c>
    </x:row>
    <x:row r="133">
      <x:c r="A133" s="30" t="str">
        <x:v>EVD132</x:v>
      </x:c>
      <x:c r="B133" s="30" t="str">
        <x:v>AUD122</x:v>
      </x:c>
      <x:c r="C133" s="30" t="str">
        <x:v>Controlled Drug Storage Authorization List</x:v>
      </x:c>
      <x:c r="D133" s="30" t="str">
        <x:v>Approval</x:v>
      </x:c>
      <x:c r="E133" s="30" t="str">
        <x:v>Yes</x:v>
      </x:c>
      <x:c r="F133" s="30" t="str">
        <x:v>Permanent</x:v>
      </x:c>
      <x:c r="G133" s="30" t="str">
        <x:v>CORE</x:v>
      </x:c>
      <x:c r="H133" s="30" t="str">
        <x:v>Yes</x:v>
      </x:c>
      <x:c r="I133" s="30" t="str">
        <x:v>Authorized personnel only.</x:v>
      </x:c>
    </x:row>
    <x:row r="134">
      <x:c r="A134" s="30" t="str">
        <x:v>EVD133</x:v>
      </x:c>
      <x:c r="B134" s="30" t="str">
        <x:v>AUD124</x:v>
      </x:c>
      <x:c r="C134" s="30" t="str">
        <x:v>Storage Area Inspection Checklist</x:v>
      </x:c>
      <x:c r="D134" s="30" t="str">
        <x:v>Inspection Report</x:v>
      </x:c>
      <x:c r="E134" s="30" t="str">
        <x:v>Yes</x:v>
      </x:c>
      <x:c r="F134" s="30" t="str">
        <x:v>Statutory</x:v>
      </x:c>
      <x:c r="G134" s="30" t="str">
        <x:v>CORE</x:v>
      </x:c>
      <x:c r="H134" s="30" t="str">
        <x:v>Yes</x:v>
      </x:c>
      <x:c r="I134" s="30" t="str">
        <x:v>Verify environmental protection.</x:v>
      </x:c>
    </x:row>
    <x:row r="135">
      <x:c r="A135" s="30" t="str">
        <x:v>EVD134</x:v>
      </x:c>
      <x:c r="B135" s="30" t="str">
        <x:v>AUD124</x:v>
      </x:c>
      <x:c r="C135" s="30" t="str">
        <x:v>Storage Area Photographs</x:v>
      </x:c>
      <x:c r="D135" s="30" t="str">
        <x:v>Photograph</x:v>
      </x:c>
      <x:c r="E135" s="30" t="str">
        <x:v>No</x:v>
      </x:c>
      <x:c r="F135" s="30" t="str">
        <x:v>Operational</x:v>
      </x:c>
      <x:c r="G135" s="30" t="str">
        <x:v>CORE</x:v>
      </x:c>
      <x:c r="H135" s="30" t="str">
        <x:v>Yes</x:v>
      </x:c>
      <x:c r="I135" s="30" t="str">
        <x:v>Useful during inspections.</x:v>
      </x:c>
    </x:row>
    <x:row r="136">
      <x:c r="A136" s="30" t="str">
        <x:v>EVD135</x:v>
      </x:c>
      <x:c r="B136" s="30" t="str">
        <x:v>AUD126</x:v>
      </x:c>
      <x:c r="C136" s="30" t="str">
        <x:v>Housekeeping Checklist</x:v>
      </x:c>
      <x:c r="D136" s="30" t="str">
        <x:v>Record</x:v>
      </x:c>
      <x:c r="E136" s="30" t="str">
        <x:v>Yes</x:v>
      </x:c>
      <x:c r="F136" s="30" t="str">
        <x:v>Operational</x:v>
      </x:c>
      <x:c r="G136" s="30" t="str">
        <x:v>CORE</x:v>
      </x:c>
      <x:c r="H136" s="30" t="str">
        <x:v>Yes</x:v>
      </x:c>
      <x:c r="I136" s="30" t="str">
        <x:v>Cleaning verification.</x:v>
      </x:c>
    </x:row>
    <x:row r="137">
      <x:c r="A137" s="30" t="str">
        <x:v>EVD136</x:v>
      </x:c>
      <x:c r="B137" s="30" t="str">
        <x:v>AUD126</x:v>
      </x:c>
      <x:c r="C137" s="30" t="str">
        <x:v>Cleaning Log</x:v>
      </x:c>
      <x:c r="D137" s="30" t="str">
        <x:v>Log Book</x:v>
      </x:c>
      <x:c r="E137" s="30" t="str">
        <x:v>Yes</x:v>
      </x:c>
      <x:c r="F137" s="30" t="str">
        <x:v>Operational</x:v>
      </x:c>
      <x:c r="G137" s="30" t="str">
        <x:v>CORE</x:v>
      </x:c>
      <x:c r="H137" s="30" t="str">
        <x:v>Yes</x:v>
      </x:c>
      <x:c r="I137" s="30" t="str">
        <x:v>Routine cleaning evidence.</x:v>
      </x:c>
    </x:row>
    <x:row r="138">
      <x:c r="A138" s="30" t="str">
        <x:v>EVD137</x:v>
      </x:c>
      <x:c r="B138" s="30" t="str">
        <x:v>AUD128</x:v>
      </x:c>
      <x:c r="C138" s="30" t="str">
        <x:v>Storage Arrangement SOP</x:v>
      </x:c>
      <x:c r="D138" s="30" t="str">
        <x:v>SOP</x:v>
      </x:c>
      <x:c r="E138" s="30" t="str">
        <x:v>Yes</x:v>
      </x:c>
      <x:c r="F138" s="30" t="str">
        <x:v>Operational</x:v>
      </x:c>
      <x:c r="G138" s="30" t="str">
        <x:v>CORE</x:v>
      </x:c>
      <x:c r="H138" s="30" t="str">
        <x:v>Yes</x:v>
      </x:c>
      <x:c r="I138" s="30" t="str">
        <x:v>Prevent contamination.</x:v>
      </x:c>
    </x:row>
    <x:row r="139">
      <x:c r="A139" s="30" t="str">
        <x:v>EVD138</x:v>
      </x:c>
      <x:c r="B139" s="30" t="str">
        <x:v>AUD128</x:v>
      </x:c>
      <x:c r="C139" s="30" t="str">
        <x:v>Storage Inspection Report</x:v>
      </x:c>
      <x:c r="D139" s="30" t="str">
        <x:v>Inspection Report</x:v>
      </x:c>
      <x:c r="E139" s="30" t="str">
        <x:v>Yes</x:v>
      </x:c>
      <x:c r="F139" s="30" t="str">
        <x:v>Statutory</x:v>
      </x:c>
      <x:c r="G139" s="30" t="str">
        <x:v>CORE</x:v>
      </x:c>
      <x:c r="H139" s="30" t="str">
        <x:v>Yes</x:v>
      </x:c>
      <x:c r="I139" s="30" t="str">
        <x:v>Verify storage compliance.</x:v>
      </x:c>
    </x:row>
    <x:row r="140">
      <x:c r="A140" s="30" t="str">
        <x:v>EVD139</x:v>
      </x:c>
      <x:c r="B140" s="30" t="str">
        <x:v>AUD130</x:v>
      </x:c>
      <x:c r="C140" s="30" t="str">
        <x:v>Damaged Stock Register</x:v>
      </x:c>
      <x:c r="D140" s="30" t="str">
        <x:v>Inventory Record</x:v>
      </x:c>
      <x:c r="E140" s="30" t="str">
        <x:v>Yes</x:v>
      </x:c>
      <x:c r="F140" s="30" t="str">
        <x:v>Operational</x:v>
      </x:c>
      <x:c r="G140" s="30" t="str">
        <x:v>CORE</x:v>
      </x:c>
      <x:c r="H140" s="30" t="str">
        <x:v>Yes</x:v>
      </x:c>
      <x:c r="I140" s="30" t="str">
        <x:v>Record damaged medicines.</x:v>
      </x:c>
    </x:row>
    <x:row r="141">
      <x:c r="A141" s="30" t="str">
        <x:v>EVD140</x:v>
      </x:c>
      <x:c r="B141" s="30" t="str">
        <x:v>AUD130</x:v>
      </x:c>
      <x:c r="C141" s="30" t="str">
        <x:v>Damaged Stock Disposal Record</x:v>
      </x:c>
      <x:c r="D141" s="30" t="str">
        <x:v>Inventory Record</x:v>
      </x:c>
      <x:c r="E141" s="30" t="str">
        <x:v>Yes</x:v>
      </x:c>
      <x:c r="F141" s="30" t="str">
        <x:v>Operational</x:v>
      </x:c>
      <x:c r="G141" s="30" t="str">
        <x:v>CORE</x:v>
      </x:c>
      <x:c r="H141" s="30" t="str">
        <x:v>Yes</x:v>
      </x:c>
      <x:c r="I141" s="30" t="str">
        <x:v>Traceability maintained.</x:v>
      </x:c>
    </x:row>
    <x:row r="142">
      <x:c r="A142" s="30" t="str">
        <x:v>EVD141</x:v>
      </x:c>
      <x:c r="B142" s="30" t="str">
        <x:v>AUD132</x:v>
      </x:c>
      <x:c r="C142" s="30" t="str">
        <x:v>Physical Stock Verification Report</x:v>
      </x:c>
      <x:c r="D142" s="30" t="str">
        <x:v>Inventory Record</x:v>
      </x:c>
      <x:c r="E142" s="30" t="str">
        <x:v>Yes</x:v>
      </x:c>
      <x:c r="F142" s="30" t="str">
        <x:v>Operational</x:v>
      </x:c>
      <x:c r="G142" s="30" t="str">
        <x:v>CORE</x:v>
      </x:c>
      <x:c r="H142" s="30" t="str">
        <x:v>Yes</x:v>
      </x:c>
      <x:c r="I142" s="30" t="str">
        <x:v>Inventory count evidence.</x:v>
      </x:c>
    </x:row>
    <x:row r="143">
      <x:c r="A143" s="30" t="str">
        <x:v>EVD142</x:v>
      </x:c>
      <x:c r="B143" s="30" t="str">
        <x:v>AUD132</x:v>
      </x:c>
      <x:c r="C143" s="30" t="str">
        <x:v>Stock Count Approval Sheet</x:v>
      </x:c>
      <x:c r="D143" s="30" t="str">
        <x:v>Approval</x:v>
      </x:c>
      <x:c r="E143" s="30" t="str">
        <x:v>Yes</x:v>
      </x:c>
      <x:c r="F143" s="30" t="str">
        <x:v>Permanent</x:v>
      </x:c>
      <x:c r="G143" s="30" t="str">
        <x:v>CORE</x:v>
      </x:c>
      <x:c r="H143" s="30" t="str">
        <x:v>Yes</x:v>
      </x:c>
      <x:c r="I143" s="30" t="str">
        <x:v>Supervisor approval.</x:v>
      </x:c>
    </x:row>
    <x:row r="144">
      <x:c r="A144" s="30" t="str">
        <x:v>EVD143</x:v>
      </x:c>
      <x:c r="B144" s="30" t="str">
        <x:v>AUD134</x:v>
      </x:c>
      <x:c r="C144" s="30" t="str">
        <x:v>Inventory Adjustment Register</x:v>
      </x:c>
      <x:c r="D144" s="30" t="str">
        <x:v>Inventory Record</x:v>
      </x:c>
      <x:c r="E144" s="30" t="str">
        <x:v>Yes</x:v>
      </x:c>
      <x:c r="F144" s="30" t="str">
        <x:v>Operational</x:v>
      </x:c>
      <x:c r="G144" s="30" t="str">
        <x:v>CORE</x:v>
      </x:c>
      <x:c r="H144" s="30" t="str">
        <x:v>Yes</x:v>
      </x:c>
      <x:c r="I144" s="30" t="str">
        <x:v>Record stock adjustments.</x:v>
      </x:c>
    </x:row>
    <x:row r="145">
      <x:c r="A145" s="30" t="str">
        <x:v>EVD144</x:v>
      </x:c>
      <x:c r="B145" s="30" t="str">
        <x:v>AUD134</x:v>
      </x:c>
      <x:c r="C145" s="30" t="str">
        <x:v>Inventory Investigation Report</x:v>
      </x:c>
      <x:c r="D145" s="30" t="str">
        <x:v>Inventory Record</x:v>
      </x:c>
      <x:c r="E145" s="30" t="str">
        <x:v>Yes</x:v>
      </x:c>
      <x:c r="F145" s="30" t="str">
        <x:v>Operational</x:v>
      </x:c>
      <x:c r="G145" s="30" t="str">
        <x:v>CORE</x:v>
      </x:c>
      <x:c r="H145" s="30" t="str">
        <x:v>Yes</x:v>
      </x:c>
      <x:c r="I145" s="30" t="str">
        <x:v>Explain discrepancies.</x:v>
      </x:c>
    </x:row>
    <x:row r="146">
      <x:c r="A146" s="30" t="str">
        <x:v>EVD145</x:v>
      </x:c>
      <x:c r="B146" s="30" t="str">
        <x:v>AUD136</x:v>
      </x:c>
      <x:c r="C146" s="30" t="str">
        <x:v>Stock Movement Register</x:v>
      </x:c>
      <x:c r="D146" s="30" t="str">
        <x:v>Inventory Record</x:v>
      </x:c>
      <x:c r="E146" s="30" t="str">
        <x:v>Yes</x:v>
      </x:c>
      <x:c r="F146" s="30" t="str">
        <x:v>Operational</x:v>
      </x:c>
      <x:c r="G146" s="30" t="str">
        <x:v>CORE</x:v>
      </x:c>
      <x:c r="H146" s="30" t="str">
        <x:v>Yes</x:v>
      </x:c>
      <x:c r="I146" s="30" t="str">
        <x:v>Complete inventory movement history.</x:v>
      </x:c>
    </x:row>
    <x:row r="147">
      <x:c r="A147" s="30" t="str">
        <x:v>EVD146</x:v>
      </x:c>
      <x:c r="B147" s="30" t="str">
        <x:v>AUD136</x:v>
      </x:c>
      <x:c r="C147" s="30" t="str">
        <x:v>Inventory Transaction Report</x:v>
      </x:c>
      <x:c r="D147" s="30" t="str">
        <x:v>Digital Record</x:v>
      </x:c>
      <x:c r="E147" s="30" t="str">
        <x:v>No</x:v>
      </x:c>
      <x:c r="F147" s="30" t="str">
        <x:v>Operational</x:v>
      </x:c>
      <x:c r="G147" s="30" t="str">
        <x:v>CORE</x:v>
      </x:c>
      <x:c r="H147" s="30" t="str">
        <x:v>Yes</x:v>
      </x:c>
      <x:c r="I147" s="30" t="str">
        <x:v>Electronic inventory evidence.</x:v>
      </x:c>
    </x:row>
    <x:row r="148">
      <x:c r="A148" s="30" t="str">
        <x:v>EVD147</x:v>
      </x:c>
      <x:c r="B148" s="30" t="str">
        <x:v>AUD138</x:v>
      </x:c>
      <x:c r="C148" s="30" t="str">
        <x:v>Obsolete Stock Register</x:v>
      </x:c>
      <x:c r="D148" s="30" t="str">
        <x:v>Inventory Record</x:v>
      </x:c>
      <x:c r="E148" s="30" t="str">
        <x:v>Yes</x:v>
      </x:c>
      <x:c r="F148" s="30" t="str">
        <x:v>Operational</x:v>
      </x:c>
      <x:c r="G148" s="30" t="str">
        <x:v>CORE</x:v>
      </x:c>
      <x:c r="H148" s="30" t="str">
        <x:v>Yes</x:v>
      </x:c>
      <x:c r="I148" s="30" t="str">
        <x:v>Identify obsolete inventory.</x:v>
      </x:c>
    </x:row>
    <x:row r="149">
      <x:c r="A149" s="30" t="str">
        <x:v>EVD148</x:v>
      </x:c>
      <x:c r="B149" s="30" t="str">
        <x:v>AUD138</x:v>
      </x:c>
      <x:c r="C149" s="30" t="str">
        <x:v>Disposal Authorization</x:v>
      </x:c>
      <x:c r="D149" s="30" t="str">
        <x:v>Approval</x:v>
      </x:c>
      <x:c r="E149" s="30" t="str">
        <x:v>Yes</x:v>
      </x:c>
      <x:c r="F149" s="30" t="str">
        <x:v>Permanent</x:v>
      </x:c>
      <x:c r="G149" s="30" t="str">
        <x:v>CORE</x:v>
      </x:c>
      <x:c r="H149" s="30" t="str">
        <x:v>Yes</x:v>
      </x:c>
      <x:c r="I149" s="30" t="str">
        <x:v>Required before disposal.</x:v>
      </x:c>
    </x:row>
    <x:row r="150">
      <x:c r="A150" s="30" t="str">
        <x:v>EVD149</x:v>
      </x:c>
      <x:c r="B150" s="30" t="str">
        <x:v>AUD140</x:v>
      </x:c>
      <x:c r="C150" s="30" t="str">
        <x:v>Quarantine Register</x:v>
      </x:c>
      <x:c r="D150" s="30" t="str">
        <x:v>Register</x:v>
      </x:c>
      <x:c r="E150" s="30" t="str">
        <x:v>Yes</x:v>
      </x:c>
      <x:c r="F150" s="30" t="str">
        <x:v>Statutory</x:v>
      </x:c>
      <x:c r="G150" s="30" t="str">
        <x:v>CORE</x:v>
      </x:c>
      <x:c r="H150" s="30" t="str">
        <x:v>Yes</x:v>
      </x:c>
      <x:c r="I150" s="30" t="str">
        <x:v>Quarantined medicines.</x:v>
      </x:c>
    </x:row>
    <x:row r="151">
      <x:c r="A151" s="30" t="str">
        <x:v>EVD150</x:v>
      </x:c>
      <x:c r="B151" s="30" t="str">
        <x:v>AUD140</x:v>
      </x:c>
      <x:c r="C151" s="30" t="str">
        <x:v>Quarantine Release Authorization</x:v>
      </x:c>
      <x:c r="D151" s="30" t="str">
        <x:v>Approval</x:v>
      </x:c>
      <x:c r="E151" s="30" t="str">
        <x:v>Yes</x:v>
      </x:c>
      <x:c r="F151" s="30" t="str">
        <x:v>Permanent</x:v>
      </x:c>
      <x:c r="G151" s="30" t="str">
        <x:v>CORE</x:v>
      </x:c>
      <x:c r="H151" s="30" t="str">
        <x:v>Yes</x:v>
      </x:c>
      <x:c r="I151" s="30" t="str">
        <x:v>Required before release.</x:v>
      </x:c>
    </x:row>
    <x:row r="152">
      <x:c r="A152" s="30" t="str">
        <x:v>EVD151</x:v>
      </x:c>
      <x:c r="B152" s="30" t="str">
        <x:v>AUD142</x:v>
      </x:c>
      <x:c r="C152" s="30" t="str">
        <x:v>Equipment Maintenance Log</x:v>
      </x:c>
      <x:c r="D152" s="30" t="str">
        <x:v>Log Book</x:v>
      </x:c>
      <x:c r="E152" s="30" t="str">
        <x:v>Yes</x:v>
      </x:c>
      <x:c r="F152" s="30" t="str">
        <x:v>Operational</x:v>
      </x:c>
      <x:c r="G152" s="30" t="str">
        <x:v>CORE</x:v>
      </x:c>
      <x:c r="H152" s="30" t="str">
        <x:v>Yes</x:v>
      </x:c>
      <x:c r="I152" s="30" t="str">
        <x:v>Preventive maintenance evidence.</x:v>
      </x:c>
    </x:row>
    <x:row r="153">
      <x:c r="A153" s="30" t="str">
        <x:v>EVD152</x:v>
      </x:c>
      <x:c r="B153" s="30" t="str">
        <x:v>AUD142</x:v>
      </x:c>
      <x:c r="C153" s="30" t="str">
        <x:v>Preventive Maintenance Schedule</x:v>
      </x:c>
      <x:c r="D153" s="30" t="str">
        <x:v>Record</x:v>
      </x:c>
      <x:c r="E153" s="30" t="str">
        <x:v>Yes</x:v>
      </x:c>
      <x:c r="F153" s="30" t="str">
        <x:v>Operational</x:v>
      </x:c>
      <x:c r="G153" s="30" t="str">
        <x:v>CORE</x:v>
      </x:c>
      <x:c r="H153" s="30" t="str">
        <x:v>Yes</x:v>
      </x:c>
      <x:c r="I153" s="30" t="str">
        <x:v>Maintenance planning.</x:v>
      </x:c>
    </x:row>
    <x:row r="154">
      <x:c r="A154" s="30" t="str">
        <x:v>EVD153</x:v>
      </x:c>
      <x:c r="B154" s="30" t="str">
        <x:v>AUD144</x:v>
      </x:c>
      <x:c r="C154" s="30" t="str">
        <x:v>Temperature Excursion Report</x:v>
      </x:c>
      <x:c r="D154" s="30" t="str">
        <x:v>Temperature Log</x:v>
      </x:c>
      <x:c r="E154" s="30" t="str">
        <x:v>Yes</x:v>
      </x:c>
      <x:c r="F154" s="30" t="str">
        <x:v>Operational</x:v>
      </x:c>
      <x:c r="G154" s="30" t="str">
        <x:v>CORE</x:v>
      </x:c>
      <x:c r="H154" s="30" t="str">
        <x:v>Yes</x:v>
      </x:c>
      <x:c r="I154" s="30" t="str">
        <x:v>Environmental deviation investigation.</x:v>
      </x:c>
    </x:row>
    <x:row r="155">
      <x:c r="A155" s="30" t="str">
        <x:v>EVD154</x:v>
      </x:c>
      <x:c r="B155" s="30" t="str">
        <x:v>AUD144</x:v>
      </x:c>
      <x:c r="C155" s="30" t="str">
        <x:v>CAPA Report</x:v>
      </x:c>
      <x:c r="D155" s="30" t="str">
        <x:v>Report</x:v>
      </x:c>
      <x:c r="E155" s="30" t="str">
        <x:v>Yes</x:v>
      </x:c>
      <x:c r="F155" s="30" t="str">
        <x:v>Operational</x:v>
      </x:c>
      <x:c r="G155" s="30" t="str">
        <x:v>CORE</x:v>
      </x:c>
      <x:c r="H155" s="30" t="str">
        <x:v>Yes</x:v>
      </x:c>
      <x:c r="I155" s="30" t="str">
        <x:v>Corrective action evidence.</x:v>
      </x:c>
    </x:row>
    <x:row r="156">
      <x:c r="A156" s="30" t="str">
        <x:v>EVD155</x:v>
      </x:c>
      <x:c r="B156" s="30" t="str">
        <x:v>AUD146</x:v>
      </x:c>
      <x:c r="C156" s="30" t="str">
        <x:v>Generator Maintenance Log</x:v>
      </x:c>
      <x:c r="D156" s="30" t="str">
        <x:v>Log Book</x:v>
      </x:c>
      <x:c r="E156" s="30" t="str">
        <x:v>Yes</x:v>
      </x:c>
      <x:c r="F156" s="30" t="str">
        <x:v>Operational</x:v>
      </x:c>
      <x:c r="G156" s="30" t="str">
        <x:v>CORE</x:v>
      </x:c>
      <x:c r="H156" s="30" t="str">
        <x:v>Yes</x:v>
      </x:c>
      <x:c r="I156" s="30" t="str">
        <x:v>Backup power availability.</x:v>
      </x:c>
    </x:row>
    <x:row r="157">
      <x:c r="A157" s="30" t="str">
        <x:v>EVD156</x:v>
      </x:c>
      <x:c r="B157" s="30" t="str">
        <x:v>AUD146</x:v>
      </x:c>
      <x:c r="C157" s="30" t="str">
        <x:v>Power Failure Test Record</x:v>
      </x:c>
      <x:c r="D157" s="30" t="str">
        <x:v>Record</x:v>
      </x:c>
      <x:c r="E157" s="30" t="str">
        <x:v>Yes</x:v>
      </x:c>
      <x:c r="F157" s="30" t="str">
        <x:v>Operational</x:v>
      </x:c>
      <x:c r="G157" s="30" t="str">
        <x:v>CORE</x:v>
      </x:c>
      <x:c r="H157" s="30" t="str">
        <x:v>Yes</x:v>
      </x:c>
      <x:c r="I157" s="30" t="str">
        <x:v>Emergency testing evidence.</x:v>
      </x:c>
    </x:row>
    <x:row r="158">
      <x:c r="A158" s="30" t="str">
        <x:v>EVD157</x:v>
      </x:c>
      <x:c r="B158" s="30" t="str">
        <x:v>AUD148</x:v>
      </x:c>
      <x:c r="C158" s="30" t="str">
        <x:v>Inventory System Audit Trail Report</x:v>
      </x:c>
      <x:c r="D158" s="30" t="str">
        <x:v>Digital Record</x:v>
      </x:c>
      <x:c r="E158" s="30" t="str">
        <x:v>Yes</x:v>
      </x:c>
      <x:c r="F158" s="30" t="str">
        <x:v>Operational</x:v>
      </x:c>
      <x:c r="G158" s="30" t="str">
        <x:v>CORE</x:v>
      </x:c>
      <x:c r="H158" s="30" t="str">
        <x:v>Yes</x:v>
      </x:c>
      <x:c r="I158" s="30" t="str">
        <x:v>Transaction history.</x:v>
      </x:c>
    </x:row>
    <x:row r="159">
      <x:c r="A159" s="30" t="str">
        <x:v>EVD158</x:v>
      </x:c>
      <x:c r="B159" s="30" t="str">
        <x:v>AUD148</x:v>
      </x:c>
      <x:c r="C159" s="30" t="str">
        <x:v>User Access Log</x:v>
      </x:c>
      <x:c r="D159" s="30" t="str">
        <x:v>Log Book</x:v>
      </x:c>
      <x:c r="E159" s="30" t="str">
        <x:v>Yes</x:v>
      </x:c>
      <x:c r="F159" s="30" t="str">
        <x:v>Operational</x:v>
      </x:c>
      <x:c r="G159" s="30" t="str">
        <x:v>CORE</x:v>
      </x:c>
      <x:c r="H159" s="30" t="str">
        <x:v>Yes</x:v>
      </x:c>
      <x:c r="I159" s="30" t="str">
        <x:v>Verify authorized system use.</x:v>
      </x:c>
    </x:row>
    <x:row r="160">
      <x:c r="A160" s="30" t="str">
        <x:v>EVD159</x:v>
      </x:c>
      <x:c r="B160" s="30" t="str">
        <x:v>AUD150</x:v>
      </x:c>
      <x:c r="C160" s="30" t="str">
        <x:v>Pest Control Service Report</x:v>
      </x:c>
      <x:c r="D160" s="30" t="str">
        <x:v>Inspection Report</x:v>
      </x:c>
      <x:c r="E160" s="30" t="str">
        <x:v>Yes</x:v>
      </x:c>
      <x:c r="F160" s="30" t="str">
        <x:v>Statutory</x:v>
      </x:c>
      <x:c r="G160" s="30" t="str">
        <x:v>CORE</x:v>
      </x:c>
      <x:c r="H160" s="30" t="str">
        <x:v>Yes</x:v>
      </x:c>
      <x:c r="I160" s="30" t="str">
        <x:v>Routine pest control.</x:v>
      </x:c>
    </x:row>
    <x:row r="161">
      <x:c r="A161" s="30" t="str">
        <x:v>EVD160</x:v>
      </x:c>
      <x:c r="B161" s="30" t="str">
        <x:v>AUD150</x:v>
      </x:c>
      <x:c r="C161" s="30" t="str">
        <x:v>Pest Control Agreement</x:v>
      </x:c>
      <x:c r="D161" s="30" t="str">
        <x:v>Agreement</x:v>
      </x:c>
      <x:c r="E161" s="30" t="str">
        <x:v>Yes</x:v>
      </x:c>
      <x:c r="F161" s="30" t="str">
        <x:v>Operational</x:v>
      </x:c>
      <x:c r="G161" s="30" t="str">
        <x:v>CORE</x:v>
      </x:c>
      <x:c r="H161" s="30" t="str">
        <x:v>Yes</x:v>
      </x:c>
      <x:c r="I161" s="30" t="str">
        <x:v>Contract with service provider.</x:v>
      </x:c>
    </x:row>
    <x:row r="162">
      <x:c r="A162" s="30" t="str">
        <x:v>EVD161</x:v>
      </x:c>
      <x:c r="B162" s="30" t="str">
        <x:v>AUD152</x:v>
      </x:c>
      <x:c r="C162" s="30" t="str">
        <x:v>Access Authorization Register</x:v>
      </x:c>
      <x:c r="D162" s="30" t="str">
        <x:v>Approval</x:v>
      </x:c>
      <x:c r="E162" s="30" t="str">
        <x:v>Yes</x:v>
      </x:c>
      <x:c r="F162" s="30" t="str">
        <x:v>Permanent</x:v>
      </x:c>
      <x:c r="G162" s="30" t="str">
        <x:v>CORE</x:v>
      </x:c>
      <x:c r="H162" s="30" t="str">
        <x:v>Yes</x:v>
      </x:c>
      <x:c r="I162" s="30" t="str">
        <x:v>Restricted storage access.</x:v>
      </x:c>
    </x:row>
    <x:row r="163">
      <x:c r="A163" s="30" t="str">
        <x:v>EVD162</x:v>
      </x:c>
      <x:c r="B163" s="30" t="str">
        <x:v>AUD152</x:v>
      </x:c>
      <x:c r="C163" s="30" t="str">
        <x:v>Electronic Door Access Report</x:v>
      </x:c>
      <x:c r="D163" s="30" t="str">
        <x:v>Digital Record</x:v>
      </x:c>
      <x:c r="E163" s="30" t="str">
        <x:v>No</x:v>
      </x:c>
      <x:c r="F163" s="30" t="str">
        <x:v>Operational</x:v>
      </x:c>
      <x:c r="G163" s="30" t="str">
        <x:v>CORE</x:v>
      </x:c>
      <x:c r="H163" s="30" t="str">
        <x:v>Yes</x:v>
      </x:c>
      <x:c r="I163" s="30" t="str">
        <x:v>Electronic access evidence.</x:v>
      </x:c>
    </x:row>
    <x:row r="164">
      <x:c r="A164" s="30" t="str">
        <x:v>EVD163</x:v>
      </x:c>
      <x:c r="B164" s="30" t="str">
        <x:v>AUD154</x:v>
      </x:c>
      <x:c r="C164" s="30" t="str">
        <x:v>Internal Storage Inspection Report</x:v>
      </x:c>
      <x:c r="D164" s="30" t="str">
        <x:v>Inspection Report</x:v>
      </x:c>
      <x:c r="E164" s="30" t="str">
        <x:v>Yes</x:v>
      </x:c>
      <x:c r="F164" s="30" t="str">
        <x:v>Statutory</x:v>
      </x:c>
      <x:c r="G164" s="30" t="str">
        <x:v>CORE</x:v>
      </x:c>
      <x:c r="H164" s="30" t="str">
        <x:v>Yes</x:v>
      </x:c>
      <x:c r="I164" s="30" t="str">
        <x:v>Periodic storage inspection.</x:v>
      </x:c>
    </x:row>
    <x:row r="165">
      <x:c r="A165" s="30" t="str">
        <x:v>EVD164</x:v>
      </x:c>
      <x:c r="B165" s="30" t="str">
        <x:v>AUD154</x:v>
      </x:c>
      <x:c r="C165" s="30" t="str">
        <x:v>Storage Audit Checklist</x:v>
      </x:c>
      <x:c r="D165" s="30" t="str">
        <x:v>Record</x:v>
      </x:c>
      <x:c r="E165" s="30" t="str">
        <x:v>Yes</x:v>
      </x:c>
      <x:c r="F165" s="30" t="str">
        <x:v>Operational</x:v>
      </x:c>
      <x:c r="G165" s="30" t="str">
        <x:v>CORE</x:v>
      </x:c>
      <x:c r="H165" s="30" t="str">
        <x:v>Yes</x:v>
      </x:c>
      <x:c r="I165" s="30" t="str">
        <x:v>Audit working document.</x:v>
      </x:c>
    </x:row>
    <x:row r="166">
      <x:c r="A166" s="30" t="str">
        <x:v>EVD165</x:v>
      </x:c>
      <x:c r="B166" s="30" t="str">
        <x:v>AUD154</x:v>
      </x:c>
      <x:c r="C166" s="30" t="str">
        <x:v>Corrective Action Register</x:v>
      </x:c>
      <x:c r="D166" s="30" t="str">
        <x:v>Register</x:v>
      </x:c>
      <x:c r="E166" s="30" t="str">
        <x:v>Yes</x:v>
      </x:c>
      <x:c r="F166" s="30" t="str">
        <x:v>Statutory</x:v>
      </x:c>
      <x:c r="G166" s="30" t="str">
        <x:v>CORE</x:v>
      </x:c>
      <x:c r="H166" s="30" t="str">
        <x:v>Yes</x:v>
      </x:c>
      <x:c r="I166" s="30" t="str">
        <x:v>Storage-related CAPA.</x:v>
      </x:c>
    </x:row>
    <x:row r="167">
      <x:c r="A167" s="30" t="str">
        <x:v>EVD166</x:v>
      </x:c>
      <x:c r="B167" s="30" t="str">
        <x:v>AUD154</x:v>
      </x:c>
      <x:c r="C167" s="30" t="str">
        <x:v>Storage Compliance Dashboard</x:v>
      </x:c>
      <x:c r="D167" s="30" t="str">
        <x:v>Digital Record</x:v>
      </x:c>
      <x:c r="E167" s="30" t="str">
        <x:v>No</x:v>
      </x:c>
      <x:c r="F167" s="30" t="str">
        <x:v>Operational</x:v>
      </x:c>
      <x:c r="G167" s="30" t="str">
        <x:v>CORE</x:v>
      </x:c>
      <x:c r="H167" s="30" t="str">
        <x:v>Yes</x:v>
      </x:c>
      <x:c r="I167" s="30" t="str">
        <x:v>Compliance monitoring.</x:v>
      </x:c>
    </x:row>
    <x:row r="168">
      <x:c r="A168" s="30" t="str">
        <x:v>EVD167</x:v>
      </x:c>
      <x:c r="B168" s="30" t="str">
        <x:v>AUD154</x:v>
      </x:c>
      <x:c r="C168" s="30" t="str">
        <x:v>Storage SOP Review Record</x:v>
      </x:c>
      <x:c r="D168" s="30" t="str">
        <x:v>SOP</x:v>
      </x:c>
      <x:c r="E168" s="30" t="str">
        <x:v>Yes</x:v>
      </x:c>
      <x:c r="F168" s="30" t="str">
        <x:v>Operational</x:v>
      </x:c>
      <x:c r="G168" s="30" t="str">
        <x:v>CORE</x:v>
      </x:c>
      <x:c r="H168" s="30" t="str">
        <x:v>Yes</x:v>
      </x:c>
      <x:c r="I168" s="30" t="str">
        <x:v>Evidence of SOP review.</x:v>
      </x:c>
    </x:row>
    <x:row r="169">
      <x:c r="A169" s="30" t="str">
        <x:v>EVD168</x:v>
      </x:c>
      <x:c r="B169" s="30" t="str">
        <x:v>AUD154</x:v>
      </x:c>
      <x:c r="C169" s="30" t="str">
        <x:v>Annual Storage Risk Assessment</x:v>
      </x:c>
      <x:c r="D169" s="30" t="str">
        <x:v>Record</x:v>
      </x:c>
      <x:c r="E169" s="30" t="str">
        <x:v>Yes</x:v>
      </x:c>
      <x:c r="F169" s="30" t="str">
        <x:v>Operational</x:v>
      </x:c>
      <x:c r="G169" s="30" t="str">
        <x:v>CORE</x:v>
      </x:c>
      <x:c r="H169" s="30" t="str">
        <x:v>Yes</x:v>
      </x:c>
      <x:c r="I169" s="30" t="str">
        <x:v>Risk evaluation evidence.</x:v>
      </x:c>
    </x:row>
    <x:row r="170">
      <x:c r="A170" s="30" t="str">
        <x:v>EVD169</x:v>
      </x:c>
      <x:c r="B170" s="30" t="str">
        <x:v>AUD154</x:v>
      </x:c>
      <x:c r="C170" s="30" t="str">
        <x:v>Storage Management Review Minutes</x:v>
      </x:c>
      <x:c r="D170" s="30" t="str">
        <x:v>Other</x:v>
      </x:c>
      <x:c r="E170" s="30" t="str">
        <x:v>Yes</x:v>
      </x:c>
      <x:c r="F170" s="30" t="str">
        <x:v>Operational</x:v>
      </x:c>
      <x:c r="G170" s="30" t="str">
        <x:v>CORE</x:v>
      </x:c>
      <x:c r="H170" s="30" t="str">
        <x:v>Yes</x:v>
      </x:c>
      <x:c r="I170" s="30" t="str">
        <x:v>Management oversight.</x:v>
      </x:c>
    </x:row>
    <x:row r="171">
      <x:c r="A171" s="30" t="str">
        <x:v>EVD170</x:v>
      </x:c>
      <x:c r="B171" s="30" t="str">
        <x:v>AUD154</x:v>
      </x:c>
      <x:c r="C171" s="30" t="str">
        <x:v>Storage KPI Report</x:v>
      </x:c>
      <x:c r="D171" s="30" t="str">
        <x:v>Digital Record</x:v>
      </x:c>
      <x:c r="E171" s="30" t="str">
        <x:v>No</x:v>
      </x:c>
      <x:c r="F171" s="30" t="str">
        <x:v>Operational</x:v>
      </x:c>
      <x:c r="G171" s="30" t="str">
        <x:v>CORE</x:v>
      </x:c>
      <x:c r="H171" s="30" t="str">
        <x:v>Yes</x:v>
      </x:c>
      <x:c r="I171" s="30" t="str">
        <x:v>Performance indicators.</x:v>
      </x:c>
    </x:row>
    <x:row r="172">
      <x:c r="A172" s="30" t="str">
        <x:v>EVD171</x:v>
      </x:c>
      <x:c r="B172" s="30" t="str">
        <x:v>AUD154</x:v>
      </x:c>
      <x:c r="C172" s="30" t="str">
        <x:v>Storage Compliance Improvement Plan</x:v>
      </x:c>
      <x:c r="D172" s="30" t="str">
        <x:v>Document</x:v>
      </x:c>
      <x:c r="E172" s="30" t="str">
        <x:v>No</x:v>
      </x:c>
      <x:c r="F172" s="30" t="str">
        <x:v>Operational</x:v>
      </x:c>
      <x:c r="G172" s="30" t="str">
        <x:v>CORE</x:v>
      </x:c>
      <x:c r="H172" s="30" t="str">
        <x:v>Yes</x:v>
      </x:c>
      <x:c r="I172" s="30" t="str">
        <x:v>Continuous improvement evidence.</x:v>
      </x:c>
    </x:row>
    <x:row r="173">
      <x:c r="A173" s="30" t="str">
        <x:v>EVD172</x:v>
      </x:c>
      <x:c r="B173" s="30" t="str">
        <x:v>AUD158</x:v>
      </x:c>
      <x:c r="C173" s="30" t="str">
        <x:v>Prescription and linked sale sample</x:v>
      </x:c>
      <x:c r="D173" s="30" t="str">
        <x:v>Prescription</x:v>
      </x:c>
      <x:c r="E173" s="30" t="str">
        <x:v>Yes</x:v>
      </x:c>
      <x:c r="F173" s="30" t="str">
        <x:v>Statutory</x:v>
      </x:c>
      <x:c r="G173" s="30" t="str">
        <x:v>CORE</x:v>
      </x:c>
      <x:c r="H173" s="30" t="str">
        <x:v>Yes</x:v>
      </x:c>
      <x:c r="I173" s="30" t="str">
        <x:v>P-2: Rule 65(9)(a) sample.</x:v>
      </x:c>
    </x:row>
    <x:row r="174">
      <x:c r="A174" s="30" t="str">
        <x:v>EVD173</x:v>
      </x:c>
      <x:c r="B174" s="30" t="str">
        <x:v>AUD158</x:v>
      </x:c>
      <x:c r="C174" s="30" t="str">
        <x:v>Rule 65 prescription register or qualifying cash/credit memo</x:v>
      </x:c>
      <x:c r="D174" s="30" t="str">
        <x:v>Register</x:v>
      </x:c>
      <x:c r="E174" s="30" t="str">
        <x:v>Yes</x:v>
      </x:c>
      <x:c r="F174" s="30" t="str">
        <x:v>Statutory</x:v>
      </x:c>
      <x:c r="G174" s="30" t="str">
        <x:v>CORE</x:v>
      </x:c>
      <x:c r="H174" s="30" t="str">
        <x:v>Yes</x:v>
      </x:c>
      <x:c r="I174" s="30" t="str">
        <x:v>P-2: no universal Schedule H-only register assertion.</x:v>
      </x:c>
    </x:row>
    <x:row r="175">
      <x:c r="A175" s="30" t="str">
        <x:v>EVD174</x:v>
      </x:c>
      <x:c r="B175" s="30" t="str">
        <x:v>AUD160</x:v>
      </x:c>
      <x:c r="C175" s="30" t="str">
        <x:v>Prescription containing Rule 65(10) particulars</x:v>
      </x:c>
      <x:c r="D175" s="30" t="str">
        <x:v>Prescription</x:v>
      </x:c>
      <x:c r="E175" s="30" t="str">
        <x:v>Yes</x:v>
      </x:c>
      <x:c r="F175" s="30" t="str">
        <x:v>Transactional</x:v>
      </x:c>
      <x:c r="G175" s="30" t="str">
        <x:v>CORE</x:v>
      </x:c>
      <x:c r="H175" s="30" t="str">
        <x:v>Yes</x:v>
      </x:c>
      <x:c r="I175" s="30" t="str">
        <x:v>P-2 validated.</x:v>
      </x:c>
    </x:row>
    <x:row r="176">
      <x:c r="A176" s="30" t="str">
        <x:v>EVD175</x:v>
      </x:c>
      <x:c r="B176" s="30" t="str">
        <x:v>AUD160</x:v>
      </x:c>
      <x:c r="C176" s="30" t="str">
        <x:v>Seller/date annotation and clarification/escalation record</x:v>
      </x:c>
      <x:c r="D176" s="30" t="str">
        <x:v>Record</x:v>
      </x:c>
      <x:c r="E176" s="30" t="str">
        <x:v>No</x:v>
      </x:c>
      <x:c r="F176" s="30" t="str">
        <x:v>Transactional</x:v>
      </x:c>
      <x:c r="G176" s="30" t="str">
        <x:v>CORE</x:v>
      </x:c>
      <x:c r="H176" s="30" t="str">
        <x:v>Yes</x:v>
      </x:c>
      <x:c r="I176" s="30" t="str">
        <x:v>P-2 validated.</x:v>
      </x:c>
    </x:row>
    <x:row r="177">
      <x:c r="A177" s="30" t="str">
        <x:v>EVD176</x:v>
      </x:c>
      <x:c r="B177" s="30" t="str">
        <x:v>AUD162</x:v>
      </x:c>
      <x:c r="C177" s="30" t="str">
        <x:v>Professional prescription-review / intervention record</x:v>
      </x:c>
      <x:c r="D177" s="30" t="str">
        <x:v>Record</x:v>
      </x:c>
      <x:c r="E177" s="30" t="str">
        <x:v>No</x:v>
      </x:c>
      <x:c r="F177" s="30" t="str">
        <x:v>Operational</x:v>
      </x:c>
      <x:c r="G177" s="30" t="str">
        <x:v>CORE</x:v>
      </x:c>
      <x:c r="H177" s="30" t="str">
        <x:v>Yes</x:v>
      </x:c>
      <x:c r="I177" s="30" t="str">
        <x:v>P-2: Pharmacy Practice Regulations control, not Rule 65 extraction.</x:v>
      </x:c>
    </x:row>
    <x:row r="178">
      <x:c r="A178" s="30" t="str">
        <x:v>EVD177</x:v>
      </x:c>
      <x:c r="B178" s="30" t="str">
        <x:v>AUD162</x:v>
      </x:c>
      <x:c r="C178" s="30" t="str">
        <x:v>Registered pharmacist registration certificate and roster</x:v>
      </x:c>
      <x:c r="D178" s="30" t="str">
        <x:v>Certificate</x:v>
      </x:c>
      <x:c r="E178" s="30" t="str">
        <x:v>Yes</x:v>
      </x:c>
      <x:c r="F178" s="30" t="str">
        <x:v>Permanent</x:v>
      </x:c>
      <x:c r="G178" s="30" t="str">
        <x:v>CORE</x:v>
      </x:c>
      <x:c r="H178" s="30" t="str">
        <x:v>Yes</x:v>
      </x:c>
      <x:c r="I178" s="30" t="str">
        <x:v>P-2 validated.</x:v>
      </x:c>
    </x:row>
    <x:row r="179">
      <x:c r="A179" s="30" t="str">
        <x:v>EVD178</x:v>
      </x:c>
      <x:c r="B179" s="30" t="str">
        <x:v>AUD164</x:v>
      </x:c>
      <x:c r="C179" s="30" t="str">
        <x:v>Archived H1 register, Schedule X prescriptions, institutional orders and wholesale memos</x:v>
      </x:c>
      <x:c r="D179" s="30" t="str">
        <x:v>Record</x:v>
      </x:c>
      <x:c r="E179" s="30" t="str">
        <x:v>Yes</x:v>
      </x:c>
      <x:c r="F179" s="30" t="str">
        <x:v>Statutory</x:v>
      </x:c>
      <x:c r="G179" s="30" t="str">
        <x:v>CORE</x:v>
      </x:c>
      <x:c r="H179" s="30" t="str">
        <x:v>Yes</x:v>
      </x:c>
      <x:c r="I179" s="30" t="str">
        <x:v>P-2 exact retention matrix.</x:v>
      </x:c>
    </x:row>
    <x:row r="180">
      <x:c r="A180" s="30" t="str">
        <x:v>EVD179</x:v>
      </x:c>
      <x:c r="B180" s="30" t="str">
        <x:v>AUD164</x:v>
      </x:c>
      <x:c r="C180" s="30" t="str">
        <x:v>Rule 65 retention schedule and archive index</x:v>
      </x:c>
      <x:c r="D180" s="30" t="str">
        <x:v>Document</x:v>
      </x:c>
      <x:c r="E180" s="30" t="str">
        <x:v>Yes</x:v>
      </x:c>
      <x:c r="F180" s="30" t="str">
        <x:v>Operational</x:v>
      </x:c>
      <x:c r="G180" s="30" t="str">
        <x:v>CORE</x:v>
      </x:c>
      <x:c r="H180" s="30" t="str">
        <x:v>Yes</x:v>
      </x:c>
      <x:c r="I180" s="30" t="str">
        <x:v>P-2 exact retention matrix.</x:v>
      </x:c>
    </x:row>
    <x:row r="181">
      <x:c r="A181" s="30" t="str">
        <x:v>EVD180</x:v>
      </x:c>
      <x:c r="B181" s="30" t="str">
        <x:v>AUD166</x:v>
      </x:c>
      <x:c r="C181" s="30" t="str">
        <x:v>Schedule H1 register, Schedule X register and applicable Rule 65 prescription records</x:v>
      </x:c>
      <x:c r="D181" s="30" t="str">
        <x:v>Register</x:v>
      </x:c>
      <x:c r="E181" s="30" t="str">
        <x:v>Yes</x:v>
      </x:c>
      <x:c r="F181" s="30" t="str">
        <x:v>Statutory</x:v>
      </x:c>
      <x:c r="G181" s="30" t="str">
        <x:v>CORE</x:v>
      </x:c>
      <x:c r="H181" s="30" t="str">
        <x:v>Yes</x:v>
      </x:c>
      <x:c r="I181" s="30" t="str">
        <x:v>P-2 corrected: no universal standalone Schedule H dispensing register.</x:v>
      </x:c>
    </x:row>
    <x:row r="182">
      <x:c r="A182" s="30" t="str">
        <x:v>EVD181</x:v>
      </x:c>
      <x:c r="B182" s="30" t="str">
        <x:v>AUD166</x:v>
      </x:c>
      <x:c r="C182" s="30" t="str">
        <x:v>Supporting prescriptions and signed institutional orders</x:v>
      </x:c>
      <x:c r="D182" s="30" t="str">
        <x:v>Prescription</x:v>
      </x:c>
      <x:c r="E182" s="30" t="str">
        <x:v>Yes</x:v>
      </x:c>
      <x:c r="F182" s="30" t="str">
        <x:v>Statutory</x:v>
      </x:c>
      <x:c r="G182" s="30" t="str">
        <x:v>CORE</x:v>
      </x:c>
      <x:c r="H182" s="30" t="str">
        <x:v>Yes</x:v>
      </x:c>
      <x:c r="I182" s="30" t="str">
        <x:v>P-2 validated.</x:v>
      </x:c>
    </x:row>
    <x:row r="183">
      <x:c r="A183" s="30" t="str">
        <x:v>EVD182</x:v>
      </x:c>
      <x:c r="B183" s="30" t="str">
        <x:v>AUD168</x:v>
      </x:c>
      <x:c r="C183" s="30" t="str">
        <x:v>Documentary and transaction evidence demonstrating: Design consumer-facing sale and service practices to avoid unfair trade practices and respect the statutory consumer-rights baseline.</x:v>
      </x:c>
      <x:c r="D183" s="30" t="str">
        <x:v>Record</x:v>
      </x:c>
      <x:c r="E183" s="30" t="str">
        <x:v>Yes</x:v>
      </x:c>
      <x:c r="F183" s="30" t="str">
        <x:v>Applicable statutory / operational period</x:v>
      </x:c>
      <x:c r="G183" s="30" t="str">
        <x:v>CORE</x:v>
      </x:c>
      <x:c r="H183" s="30" t="str">
        <x:v>Yes</x:v>
      </x:c>
      <x:c r="I183" s="30" t="str">
        <x:v>P-4 aligned to the normalized parent audit; legacy Evidence ID preserved.</x:v>
      </x:c>
    </x:row>
    <x:row r="184">
      <x:c r="A184" s="30" t="str">
        <x:v>EVD183</x:v>
      </x:c>
      <x:c r="B184" s="30" t="str">
        <x:v>AUD168</x:v>
      </x:c>
      <x:c r="C184" s="30" t="str">
        <x:v>Documentary and transaction evidence demonstrating: Design consumer-facing sale and service practices to avoid unfair trade practices and respect the statutory consumer-rights baseline.</x:v>
      </x:c>
      <x:c r="D184" s="30" t="str">
        <x:v>Record</x:v>
      </x:c>
      <x:c r="E184" s="30" t="str">
        <x:v>Yes</x:v>
      </x:c>
      <x:c r="F184" s="30" t="str">
        <x:v>Applicable statutory / operational period</x:v>
      </x:c>
      <x:c r="G184" s="30" t="str">
        <x:v>CORE</x:v>
      </x:c>
      <x:c r="H184" s="30" t="str">
        <x:v>Yes</x:v>
      </x:c>
      <x:c r="I184" s="30" t="str">
        <x:v>P-4 aligned to the normalized parent audit; legacy Evidence ID preserved.</x:v>
      </x:c>
    </x:row>
    <x:row r="185">
      <x:c r="A185" s="30" t="str">
        <x:v>EVD184</x:v>
      </x:c>
      <x:c r="B185" s="30" t="str">
        <x:v>AUD170</x:v>
      </x:c>
      <x:c r="C185" s="30" t="str">
        <x:v>Documentary and transaction evidence demonstrating: Respond to a lawful CCPA investigation and implement an applicable recall, reimbursement, discontinuance or modification order.</x:v>
      </x:c>
      <x:c r="D185" s="30" t="str">
        <x:v>Record</x:v>
      </x:c>
      <x:c r="E185" s="30" t="str">
        <x:v>Yes</x:v>
      </x:c>
      <x:c r="F185" s="30" t="str">
        <x:v>Applicable statutory / operational period</x:v>
      </x:c>
      <x:c r="G185" s="30" t="str">
        <x:v>CORE</x:v>
      </x:c>
      <x:c r="H185" s="30" t="str">
        <x:v>Yes</x:v>
      </x:c>
      <x:c r="I185" s="30" t="str">
        <x:v>P-4 aligned to the normalized parent audit; legacy Evidence ID preserved.</x:v>
      </x:c>
    </x:row>
    <x:row r="186">
      <x:c r="A186" s="30" t="str">
        <x:v>EVD185</x:v>
      </x:c>
      <x:c r="B186" s="30" t="str">
        <x:v>AUD170</x:v>
      </x:c>
      <x:c r="C186" s="30" t="str">
        <x:v>Documentary and transaction evidence demonstrating: Respond to a lawful CCPA investigation and implement an applicable recall, reimbursement, discontinuance or modification order.</x:v>
      </x:c>
      <x:c r="D186" s="30" t="str">
        <x:v>Record</x:v>
      </x:c>
      <x:c r="E186" s="30" t="str">
        <x:v>Yes</x:v>
      </x:c>
      <x:c r="F186" s="30" t="str">
        <x:v>Applicable statutory / operational period</x:v>
      </x:c>
      <x:c r="G186" s="30" t="str">
        <x:v>CORE</x:v>
      </x:c>
      <x:c r="H186" s="30" t="str">
        <x:v>Yes</x:v>
      </x:c>
      <x:c r="I186" s="30" t="str">
        <x:v>P-4 aligned to the normalized parent audit; legacy Evidence ID preserved.</x:v>
      </x:c>
    </x:row>
    <x:row r="187">
      <x:c r="A187" s="30" t="str">
        <x:v>EVD186</x:v>
      </x:c>
      <x:c r="B187" s="30" t="str">
        <x:v>AUD172</x:v>
      </x:c>
      <x:c r="C187" s="30" t="str">
        <x:v>Documentary and transaction evidence demonstrating: Do not engage in a practice falling within section 2(47), including false representations, deceptive price claims or refusal to issue a bill where required.</x:v>
      </x:c>
      <x:c r="D187" s="30" t="str">
        <x:v>Record</x:v>
      </x:c>
      <x:c r="E187" s="30" t="str">
        <x:v>Yes</x:v>
      </x:c>
      <x:c r="F187" s="30" t="str">
        <x:v>Applicable statutory / operational period</x:v>
      </x:c>
      <x:c r="G187" s="30" t="str">
        <x:v>CORE</x:v>
      </x:c>
      <x:c r="H187" s="30" t="str">
        <x:v>Yes</x:v>
      </x:c>
      <x:c r="I187" s="30" t="str">
        <x:v>P-4 aligned to the normalized parent audit; legacy Evidence ID preserved.</x:v>
      </x:c>
    </x:row>
    <x:row r="188">
      <x:c r="A188" s="30" t="str">
        <x:v>EVD187</x:v>
      </x:c>
      <x:c r="B188" s="30" t="str">
        <x:v>AUD172</x:v>
      </x:c>
      <x:c r="C188" s="30" t="str">
        <x:v>Documentary and transaction evidence demonstrating: Do not engage in a practice falling within section 2(47), including false representations, deceptive price claims or refusal to issue a bill where required.</x:v>
      </x:c>
      <x:c r="D188" s="30" t="str">
        <x:v>Record</x:v>
      </x:c>
      <x:c r="E188" s="30" t="str">
        <x:v>Yes</x:v>
      </x:c>
      <x:c r="F188" s="30" t="str">
        <x:v>Applicable statutory / operational period</x:v>
      </x:c>
      <x:c r="G188" s="30" t="str">
        <x:v>CORE</x:v>
      </x:c>
      <x:c r="H188" s="30" t="str">
        <x:v>Yes</x:v>
      </x:c>
      <x:c r="I188" s="30" t="str">
        <x:v>P-4 aligned to the normalized parent audit; legacy Evidence ID preserved.</x:v>
      </x:c>
    </x:row>
    <x:row r="189">
      <x:c r="A189" s="30" t="str">
        <x:v>EVD188</x:v>
      </x:c>
      <x:c r="B189" s="30" t="str">
        <x:v>AUD174</x:v>
      </x:c>
      <x:c r="C189" s="30" t="str">
        <x:v>Documentary and transaction evidence demonstrating: Do not cause a false or misleading advertisement and comply with any CCPA discontinuance/modification direction.</x:v>
      </x:c>
      <x:c r="D189" s="30" t="str">
        <x:v>Record</x:v>
      </x:c>
      <x:c r="E189" s="30" t="str">
        <x:v>Yes</x:v>
      </x:c>
      <x:c r="F189" s="30" t="str">
        <x:v>Applicable statutory / operational period</x:v>
      </x:c>
      <x:c r="G189" s="30" t="str">
        <x:v>CORE</x:v>
      </x:c>
      <x:c r="H189" s="30" t="str">
        <x:v>Yes</x:v>
      </x:c>
      <x:c r="I189" s="30" t="str">
        <x:v>P-4 aligned to the normalized parent audit; legacy Evidence ID preserved.</x:v>
      </x:c>
    </x:row>
    <x:row r="190">
      <x:c r="A190" s="30" t="str">
        <x:v>EVD189</x:v>
      </x:c>
      <x:c r="B190" s="30" t="str">
        <x:v>AUD174</x:v>
      </x:c>
      <x:c r="C190" s="30" t="str">
        <x:v>Documentary and transaction evidence demonstrating: Do not cause a false or misleading advertisement and comply with any CCPA discontinuance/modification direction.</x:v>
      </x:c>
      <x:c r="D190" s="30" t="str">
        <x:v>Record</x:v>
      </x:c>
      <x:c r="E190" s="30" t="str">
        <x:v>Yes</x:v>
      </x:c>
      <x:c r="F190" s="30" t="str">
        <x:v>Applicable statutory / operational period</x:v>
      </x:c>
      <x:c r="G190" s="30" t="str">
        <x:v>CORE</x:v>
      </x:c>
      <x:c r="H190" s="30" t="str">
        <x:v>Yes</x:v>
      </x:c>
      <x:c r="I190" s="30" t="str">
        <x:v>P-4 aligned to the normalized parent audit; legacy Evidence ID preserved.</x:v>
      </x:c>
    </x:row>
    <x:row r="191">
      <x:c r="A191" s="30" t="str">
        <x:v>EVD190</x:v>
      </x:c>
      <x:c r="B191" s="30" t="str">
        <x:v>AUD176</x:v>
      </x:c>
      <x:c r="C191" s="30" t="str">
        <x:v>Documentary and transaction evidence demonstrating: If operating in an e-commerce role, display required identity/seller information, appoint the prescribed grievance/nodal contact and operate the complaint mechanism under Rules 4-5.</x:v>
      </x:c>
      <x:c r="D191" s="30" t="str">
        <x:v>Record</x:v>
      </x:c>
      <x:c r="E191" s="30" t="str">
        <x:v>Yes</x:v>
      </x:c>
      <x:c r="F191" s="30" t="str">
        <x:v>Applicable statutory / operational period</x:v>
      </x:c>
      <x:c r="G191" s="30" t="str">
        <x:v>CORE</x:v>
      </x:c>
      <x:c r="H191" s="30" t="str">
        <x:v>Yes</x:v>
      </x:c>
      <x:c r="I191" s="30" t="str">
        <x:v>P-4 aligned to the normalized parent audit; legacy Evidence ID preserved.</x:v>
      </x:c>
    </x:row>
    <x:row r="192">
      <x:c r="A192" s="30" t="str">
        <x:v>EVD191</x:v>
      </x:c>
      <x:c r="B192" s="30" t="str">
        <x:v>AUD176</x:v>
      </x:c>
      <x:c r="C192" s="30" t="str">
        <x:v>Documentary and transaction evidence demonstrating: If operating in an e-commerce role, display required identity/seller information, appoint the prescribed grievance/nodal contact and operate the complaint mechanism under Rules 4-5.</x:v>
      </x:c>
      <x:c r="D192" s="30" t="str">
        <x:v>Record</x:v>
      </x:c>
      <x:c r="E192" s="30" t="str">
        <x:v>Yes</x:v>
      </x:c>
      <x:c r="F192" s="30" t="str">
        <x:v>Applicable statutory / operational period</x:v>
      </x:c>
      <x:c r="G192" s="30" t="str">
        <x:v>CORE</x:v>
      </x:c>
      <x:c r="H192" s="30" t="str">
        <x:v>Yes</x:v>
      </x:c>
      <x:c r="I192" s="30" t="str">
        <x:v>P-4 aligned to the normalized parent audit; legacy Evidence ID preserved.</x:v>
      </x:c>
    </x:row>
    <x:row r="193">
      <x:c r="A193" s="30" t="str">
        <x:v>EVD192</x:v>
      </x:c>
      <x:c r="B193" s="30" t="str">
        <x:v>AUD178</x:v>
      </x:c>
      <x:c r="C193" s="30" t="str">
        <x:v>Documentary and transaction evidence demonstrating: Where a regulated weighing/measuring instrument is used, obtain verification/stamping and keep it valid before transactional use.</x:v>
      </x:c>
      <x:c r="D193" s="30" t="str">
        <x:v>Record</x:v>
      </x:c>
      <x:c r="E193" s="30" t="str">
        <x:v>Yes</x:v>
      </x:c>
      <x:c r="F193" s="30" t="str">
        <x:v>Applicable statutory / operational period</x:v>
      </x:c>
      <x:c r="G193" s="30" t="str">
        <x:v>CORE</x:v>
      </x:c>
      <x:c r="H193" s="30" t="str">
        <x:v>Yes</x:v>
      </x:c>
      <x:c r="I193" s="30" t="str">
        <x:v>P-4 aligned to the normalized parent audit; legacy Evidence ID preserved.</x:v>
      </x:c>
    </x:row>
    <x:row r="194">
      <x:c r="A194" s="30" t="str">
        <x:v>EVD193</x:v>
      </x:c>
      <x:c r="B194" s="30" t="str">
        <x:v>AUD178</x:v>
      </x:c>
      <x:c r="C194" s="30" t="str">
        <x:v>Documentary and transaction evidence demonstrating: Where a regulated weighing/measuring instrument is used, obtain verification/stamping and keep it valid before transactional use.</x:v>
      </x:c>
      <x:c r="D194" s="30" t="str">
        <x:v>Record</x:v>
      </x:c>
      <x:c r="E194" s="30" t="str">
        <x:v>Yes</x:v>
      </x:c>
      <x:c r="F194" s="30" t="str">
        <x:v>Applicable statutory / operational period</x:v>
      </x:c>
      <x:c r="G194" s="30" t="str">
        <x:v>CORE</x:v>
      </x:c>
      <x:c r="H194" s="30" t="str">
        <x:v>Yes</x:v>
      </x:c>
      <x:c r="I194" s="30" t="str">
        <x:v>P-4 aligned to the normalized parent audit; legacy Evidence ID preserved.</x:v>
      </x:c>
    </x:row>
    <x:row r="195">
      <x:c r="A195" s="30" t="str">
        <x:v>EVD194</x:v>
      </x:c>
      <x:c r="B195" s="30" t="str">
        <x:v>AUD180</x:v>
      </x:c>
      <x:c r="C195" s="30" t="str">
        <x:v>Documentary and transaction evidence demonstrating: Do not use a non-standard or required-but-unverified weight/measure; retain the verification certificate/stamp evidence.</x:v>
      </x:c>
      <x:c r="D195" s="30" t="str">
        <x:v>Record</x:v>
      </x:c>
      <x:c r="E195" s="30" t="str">
        <x:v>Yes</x:v>
      </x:c>
      <x:c r="F195" s="30" t="str">
        <x:v>Applicable statutory / operational period</x:v>
      </x:c>
      <x:c r="G195" s="30" t="str">
        <x:v>CORE</x:v>
      </x:c>
      <x:c r="H195" s="30" t="str">
        <x:v>Yes</x:v>
      </x:c>
      <x:c r="I195" s="30" t="str">
        <x:v>P-4 aligned to the normalized parent audit; legacy Evidence ID preserved.</x:v>
      </x:c>
    </x:row>
    <x:row r="196">
      <x:c r="A196" s="30" t="str">
        <x:v>EVD195</x:v>
      </x:c>
      <x:c r="B196" s="30" t="str">
        <x:v>AUD180</x:v>
      </x:c>
      <x:c r="C196" s="30" t="str">
        <x:v>Documentary and transaction evidence demonstrating: Do not use a non-standard or required-but-unverified weight/measure; retain the verification certificate/stamp evidence.</x:v>
      </x:c>
      <x:c r="D196" s="30" t="str">
        <x:v>Record</x:v>
      </x:c>
      <x:c r="E196" s="30" t="str">
        <x:v>Yes</x:v>
      </x:c>
      <x:c r="F196" s="30" t="str">
        <x:v>Applicable statutory / operational period</x:v>
      </x:c>
      <x:c r="G196" s="30" t="str">
        <x:v>CORE</x:v>
      </x:c>
      <x:c r="H196" s="30" t="str">
        <x:v>Yes</x:v>
      </x:c>
      <x:c r="I196" s="30" t="str">
        <x:v>P-4 aligned to the normalized parent audit; legacy Evidence ID preserved.</x:v>
      </x:c>
    </x:row>
    <x:row r="197">
      <x:c r="A197" s="30" t="str">
        <x:v>EVD196</x:v>
      </x:c>
      <x:c r="B197" s="30" t="str">
        <x:v>AUD182</x:v>
      </x:c>
      <x:c r="C197" s="30" t="str">
        <x:v>Documentary and transaction evidence demonstrating: Permit lawful legal-metrology inspection and produce the covered instrument and records when required by an authorised officer.</x:v>
      </x:c>
      <x:c r="D197" s="30" t="str">
        <x:v>Record</x:v>
      </x:c>
      <x:c r="E197" s="30" t="str">
        <x:v>Yes</x:v>
      </x:c>
      <x:c r="F197" s="30" t="str">
        <x:v>Applicable statutory / operational period</x:v>
      </x:c>
      <x:c r="G197" s="30" t="str">
        <x:v>CORE</x:v>
      </x:c>
      <x:c r="H197" s="30" t="str">
        <x:v>Yes</x:v>
      </x:c>
      <x:c r="I197" s="30" t="str">
        <x:v>P-4 aligned to the normalized parent audit; legacy Evidence ID preserved.</x:v>
      </x:c>
    </x:row>
    <x:row r="198">
      <x:c r="A198" s="30" t="str">
        <x:v>EVD197</x:v>
      </x:c>
      <x:c r="B198" s="30" t="str">
        <x:v>AUD182</x:v>
      </x:c>
      <x:c r="C198" s="30" t="str">
        <x:v>Documentary and transaction evidence demonstrating: Permit lawful legal-metrology inspection and produce the covered instrument and records when required by an authorised officer.</x:v>
      </x:c>
      <x:c r="D198" s="30" t="str">
        <x:v>Record</x:v>
      </x:c>
      <x:c r="E198" s="30" t="str">
        <x:v>Yes</x:v>
      </x:c>
      <x:c r="F198" s="30" t="str">
        <x:v>Applicable statutory / operational period</x:v>
      </x:c>
      <x:c r="G198" s="30" t="str">
        <x:v>CORE</x:v>
      </x:c>
      <x:c r="H198" s="30" t="str">
        <x:v>Yes</x:v>
      </x:c>
      <x:c r="I198" s="30" t="str">
        <x:v>P-4 aligned to the normalized parent audit; legacy Evidence ID preserved.</x:v>
      </x:c>
    </x:row>
    <x:row r="199">
      <x:c r="A199" s="30" t="str">
        <x:v>EVD198</x:v>
      </x:c>
      <x:c r="B199" s="30" t="str">
        <x:v>AUD184</x:v>
      </x:c>
      <x:c r="C199" s="30" t="str">
        <x:v>Documentary and transaction evidence demonstrating: Do not sell, distribute, deliver, display or store for sale a pre-packaged commodity unless the package complies with the Act and Rules.</x:v>
      </x:c>
      <x:c r="D199" s="30" t="str">
        <x:v>Record</x:v>
      </x:c>
      <x:c r="E199" s="30" t="str">
        <x:v>Yes</x:v>
      </x:c>
      <x:c r="F199" s="30" t="str">
        <x:v>Applicable statutory / operational period</x:v>
      </x:c>
      <x:c r="G199" s="30" t="str">
        <x:v>CORE</x:v>
      </x:c>
      <x:c r="H199" s="30" t="str">
        <x:v>Yes</x:v>
      </x:c>
      <x:c r="I199" s="30" t="str">
        <x:v>P-4 aligned to the normalized parent audit; legacy Evidence ID preserved.</x:v>
      </x:c>
    </x:row>
    <x:row r="200">
      <x:c r="A200" s="30" t="str">
        <x:v>EVD199</x:v>
      </x:c>
      <x:c r="B200" s="30" t="str">
        <x:v>AUD184</x:v>
      </x:c>
      <x:c r="C200" s="30" t="str">
        <x:v>Documentary and transaction evidence demonstrating: Do not sell, distribute, deliver, display or store for sale a pre-packaged commodity unless the package complies with the Act and Rules.</x:v>
      </x:c>
      <x:c r="D200" s="30" t="str">
        <x:v>Record</x:v>
      </x:c>
      <x:c r="E200" s="30" t="str">
        <x:v>Yes</x:v>
      </x:c>
      <x:c r="F200" s="30" t="str">
        <x:v>Applicable statutory / operational period</x:v>
      </x:c>
      <x:c r="G200" s="30" t="str">
        <x:v>CORE</x:v>
      </x:c>
      <x:c r="H200" s="30" t="str">
        <x:v>Yes</x:v>
      </x:c>
      <x:c r="I200" s="30" t="str">
        <x:v>P-4 aligned to the normalized parent audit; legacy Evidence ID preserved.</x:v>
      </x:c>
    </x:row>
    <x:row r="201">
      <x:c r="A201" s="30" t="str">
        <x:v>EVD200</x:v>
      </x:c>
      <x:c r="B201" s="30" t="str">
        <x:v>AUD186</x:v>
      </x:c>
      <x:c r="C201" s="30" t="str">
        <x:v>Documentary and transaction evidence demonstrating: Do not sell an applicable packaged commodity above its declared retail sale price.</x:v>
      </x:c>
      <x:c r="D201" s="30" t="str">
        <x:v>Record</x:v>
      </x:c>
      <x:c r="E201" s="30" t="str">
        <x:v>Yes</x:v>
      </x:c>
      <x:c r="F201" s="30" t="str">
        <x:v>Applicable statutory / operational period</x:v>
      </x:c>
      <x:c r="G201" s="30" t="str">
        <x:v>CORE</x:v>
      </x:c>
      <x:c r="H201" s="30" t="str">
        <x:v>Yes</x:v>
      </x:c>
      <x:c r="I201" s="30" t="str">
        <x:v>P-4 aligned to the normalized parent audit; legacy Evidence ID preserved.</x:v>
      </x:c>
    </x:row>
    <x:row r="202">
      <x:c r="A202" s="30" t="str">
        <x:v>EVD201</x:v>
      </x:c>
      <x:c r="B202" s="30" t="str">
        <x:v>AUD186</x:v>
      </x:c>
      <x:c r="C202" s="30" t="str">
        <x:v>Documentary and transaction evidence demonstrating: Do not sell an applicable packaged commodity above its declared retail sale price.</x:v>
      </x:c>
      <x:c r="D202" s="30" t="str">
        <x:v>Record</x:v>
      </x:c>
      <x:c r="E202" s="30" t="str">
        <x:v>Yes</x:v>
      </x:c>
      <x:c r="F202" s="30" t="str">
        <x:v>Applicable statutory / operational period</x:v>
      </x:c>
      <x:c r="G202" s="30" t="str">
        <x:v>CORE</x:v>
      </x:c>
      <x:c r="H202" s="30" t="str">
        <x:v>Yes</x:v>
      </x:c>
      <x:c r="I202" s="30" t="str">
        <x:v>P-4 aligned to the normalized parent audit; legacy Evidence ID preserved.</x:v>
      </x:c>
    </x:row>
    <x:row r="203">
      <x:c r="A203" s="30" t="str">
        <x:v>EVD202</x:v>
      </x:c>
      <x:c r="B203" s="30" t="str">
        <x:v>AUD188</x:v>
      </x:c>
      <x:c r="C203" s="30" t="str">
        <x:v>Documentary and transaction evidence demonstrating: For e-commerce sale of applicable pre-packaged commodities, display the prescribed Rule 6 declarations on the digital/electronic network.</x:v>
      </x:c>
      <x:c r="D203" s="30" t="str">
        <x:v>Record</x:v>
      </x:c>
      <x:c r="E203" s="30" t="str">
        <x:v>Yes</x:v>
      </x:c>
      <x:c r="F203" s="30" t="str">
        <x:v>Applicable statutory / operational period</x:v>
      </x:c>
      <x:c r="G203" s="30" t="str">
        <x:v>CORE</x:v>
      </x:c>
      <x:c r="H203" s="30" t="str">
        <x:v>Yes</x:v>
      </x:c>
      <x:c r="I203" s="30" t="str">
        <x:v>P-4 aligned to the normalized parent audit; legacy Evidence ID preserved.</x:v>
      </x:c>
    </x:row>
    <x:row r="204">
      <x:c r="A204" s="30" t="str">
        <x:v>EVD203</x:v>
      </x:c>
      <x:c r="B204" s="30" t="str">
        <x:v>AUD188</x:v>
      </x:c>
      <x:c r="C204" s="30" t="str">
        <x:v>Documentary and transaction evidence demonstrating: For e-commerce sale of applicable pre-packaged commodities, display the prescribed Rule 6 declarations on the digital/electronic network.</x:v>
      </x:c>
      <x:c r="D204" s="30" t="str">
        <x:v>Record</x:v>
      </x:c>
      <x:c r="E204" s="30" t="str">
        <x:v>Yes</x:v>
      </x:c>
      <x:c r="F204" s="30" t="str">
        <x:v>Applicable statutory / operational period</x:v>
      </x:c>
      <x:c r="G204" s="30" t="str">
        <x:v>CORE</x:v>
      </x:c>
      <x:c r="H204" s="30" t="str">
        <x:v>Yes</x:v>
      </x:c>
      <x:c r="I204" s="30" t="str">
        <x:v>P-4 aligned to the normalized parent audit; legacy Evidence ID preserved.</x:v>
      </x:c>
    </x:row>
    <x:row r="205">
      <x:c r="A205" s="30" t="str">
        <x:v>EVD204</x:v>
      </x:c>
      <x:c r="B205" s="30" t="str">
        <x:v>AUD190</x:v>
      </x:c>
      <x:c r="C205" s="30" t="str">
        <x:v>Documentary and transaction evidence demonstrating: If handling SPDI, publish the prescribed privacy policy and operate a documented reasonable-security programme/standard with periodic review.</x:v>
      </x:c>
      <x:c r="D205" s="30" t="str">
        <x:v>Record</x:v>
      </x:c>
      <x:c r="E205" s="30" t="str">
        <x:v>Yes</x:v>
      </x:c>
      <x:c r="F205" s="30" t="str">
        <x:v>Applicable statutory / operational period</x:v>
      </x:c>
      <x:c r="G205" s="30" t="str">
        <x:v>CORE</x:v>
      </x:c>
      <x:c r="H205" s="30" t="str">
        <x:v>Yes</x:v>
      </x:c>
      <x:c r="I205" s="30" t="str">
        <x:v>P-4 aligned to the normalized parent audit; legacy Evidence ID preserved.</x:v>
      </x:c>
    </x:row>
    <x:row r="206">
      <x:c r="A206" s="30" t="str">
        <x:v>EVD205</x:v>
      </x:c>
      <x:c r="B206" s="30" t="str">
        <x:v>AUD190</x:v>
      </x:c>
      <x:c r="C206" s="30" t="str">
        <x:v>Documentary and transaction evidence demonstrating: If handling SPDI, publish the prescribed privacy policy and operate a documented reasonable-security programme/standard with periodic review.</x:v>
      </x:c>
      <x:c r="D206" s="30" t="str">
        <x:v>Record</x:v>
      </x:c>
      <x:c r="E206" s="30" t="str">
        <x:v>Yes</x:v>
      </x:c>
      <x:c r="F206" s="30" t="str">
        <x:v>Applicable statutory / operational period</x:v>
      </x:c>
      <x:c r="G206" s="30" t="str">
        <x:v>CORE</x:v>
      </x:c>
      <x:c r="H206" s="30" t="str">
        <x:v>Yes</x:v>
      </x:c>
      <x:c r="I206" s="30" t="str">
        <x:v>P-4 aligned to the normalized parent audit; legacy Evidence ID preserved.</x:v>
      </x:c>
    </x:row>
    <x:row r="207">
      <x:c r="A207" s="30" t="str">
        <x:v>EVD206</x:v>
      </x:c>
      <x:c r="B207" s="30" t="str">
        <x:v>AUD192</x:v>
      </x:c>
      <x:c r="C207" s="30" t="str">
        <x:v>Documentary and transaction evidence demonstrating: For SPDI, obtain consent, give required collection information, limit purpose/retention and provide review/correction mechanisms.</x:v>
      </x:c>
      <x:c r="D207" s="30" t="str">
        <x:v>Record</x:v>
      </x:c>
      <x:c r="E207" s="30" t="str">
        <x:v>Yes</x:v>
      </x:c>
      <x:c r="F207" s="30" t="str">
        <x:v>Applicable statutory / operational period</x:v>
      </x:c>
      <x:c r="G207" s="30" t="str">
        <x:v>CORE</x:v>
      </x:c>
      <x:c r="H207" s="30" t="str">
        <x:v>Yes</x:v>
      </x:c>
      <x:c r="I207" s="30" t="str">
        <x:v>P-4 aligned to the normalized parent audit; legacy Evidence ID preserved.</x:v>
      </x:c>
    </x:row>
    <x:row r="208">
      <x:c r="A208" s="30" t="str">
        <x:v>EVD207</x:v>
      </x:c>
      <x:c r="B208" s="30" t="str">
        <x:v>AUD192</x:v>
      </x:c>
      <x:c r="C208" s="30" t="str">
        <x:v>Documentary and transaction evidence demonstrating: For SPDI, obtain consent, give required collection information, limit purpose/retention and provide review/correction mechanisms.</x:v>
      </x:c>
      <x:c r="D208" s="30" t="str">
        <x:v>Record</x:v>
      </x:c>
      <x:c r="E208" s="30" t="str">
        <x:v>Yes</x:v>
      </x:c>
      <x:c r="F208" s="30" t="str">
        <x:v>Applicable statutory / operational period</x:v>
      </x:c>
      <x:c r="G208" s="30" t="str">
        <x:v>CORE</x:v>
      </x:c>
      <x:c r="H208" s="30" t="str">
        <x:v>Yes</x:v>
      </x:c>
      <x:c r="I208" s="30" t="str">
        <x:v>P-4 aligned to the normalized parent audit; legacy Evidence ID preserved.</x:v>
      </x:c>
    </x:row>
    <x:row r="209">
      <x:c r="A209" s="30" t="str">
        <x:v>EVD208</x:v>
      </x:c>
      <x:c r="B209" s="30" t="str">
        <x:v>AUD194</x:v>
      </x:c>
      <x:c r="C209" s="30" t="str">
        <x:v>Documentary and transaction evidence demonstrating: Do not disclose SPDI without prior permission unless a Rule 6 exception applies; prevent unlawful contractual disclosure.</x:v>
      </x:c>
      <x:c r="D209" s="30" t="str">
        <x:v>Record</x:v>
      </x:c>
      <x:c r="E209" s="30" t="str">
        <x:v>Yes</x:v>
      </x:c>
      <x:c r="F209" s="30" t="str">
        <x:v>Applicable statutory / operational period</x:v>
      </x:c>
      <x:c r="G209" s="30" t="str">
        <x:v>CORE</x:v>
      </x:c>
      <x:c r="H209" s="30" t="str">
        <x:v>Yes</x:v>
      </x:c>
      <x:c r="I209" s="30" t="str">
        <x:v>P-4 aligned to the normalized parent audit; legacy Evidence ID preserved.</x:v>
      </x:c>
    </x:row>
    <x:row r="210">
      <x:c r="A210" s="30" t="str">
        <x:v>EVD209</x:v>
      </x:c>
      <x:c r="B210" s="30" t="str">
        <x:v>AUD194</x:v>
      </x:c>
      <x:c r="C210" s="30" t="str">
        <x:v>Documentary and transaction evidence demonstrating: Do not disclose SPDI without prior permission unless a Rule 6 exception applies; prevent unlawful contractual disclosure.</x:v>
      </x:c>
      <x:c r="D210" s="30" t="str">
        <x:v>Record</x:v>
      </x:c>
      <x:c r="E210" s="30" t="str">
        <x:v>Yes</x:v>
      </x:c>
      <x:c r="F210" s="30" t="str">
        <x:v>Applicable statutory / operational period</x:v>
      </x:c>
      <x:c r="G210" s="30" t="str">
        <x:v>CORE</x:v>
      </x:c>
      <x:c r="H210" s="30" t="str">
        <x:v>Yes</x:v>
      </x:c>
      <x:c r="I210" s="30" t="str">
        <x:v>P-4 aligned to the normalized parent audit; legacy Evidence ID preserved.</x:v>
      </x:c>
    </x:row>
    <x:row r="211">
      <x:c r="A211" s="30" t="str">
        <x:v>EVD210</x:v>
      </x:c>
      <x:c r="B211" s="30" t="str">
        <x:v>AUD196</x:v>
      </x:c>
      <x:c r="C211" s="30" t="str">
        <x:v>Documentary and transaction evidence demonstrating: Apply intermediary due diligence only if the platform legally qualifies as an intermediary under current IT law.</x:v>
      </x:c>
      <x:c r="D211" s="30" t="str">
        <x:v>Record</x:v>
      </x:c>
      <x:c r="E211" s="30" t="str">
        <x:v>Yes</x:v>
      </x:c>
      <x:c r="F211" s="30" t="str">
        <x:v>Applicable statutory / operational period</x:v>
      </x:c>
      <x:c r="G211" s="30" t="str">
        <x:v>CORE</x:v>
      </x:c>
      <x:c r="H211" s="30" t="str">
        <x:v>Yes</x:v>
      </x:c>
      <x:c r="I211" s="30" t="str">
        <x:v>P-4 aligned to the normalized parent audit; legacy Evidence ID preserved.</x:v>
      </x:c>
    </x:row>
    <x:row r="212">
      <x:c r="A212" s="30" t="str">
        <x:v>EVD211</x:v>
      </x:c>
      <x:c r="B212" s="30" t="str">
        <x:v>AUD196</x:v>
      </x:c>
      <x:c r="C212" s="30" t="str">
        <x:v>Documentary and transaction evidence demonstrating: Apply intermediary due diligence only if the platform legally qualifies as an intermediary under current IT law.</x:v>
      </x:c>
      <x:c r="D212" s="30" t="str">
        <x:v>Record</x:v>
      </x:c>
      <x:c r="E212" s="30" t="str">
        <x:v>Yes</x:v>
      </x:c>
      <x:c r="F212" s="30" t="str">
        <x:v>Applicable statutory / operational period</x:v>
      </x:c>
      <x:c r="G212" s="30" t="str">
        <x:v>CORE</x:v>
      </x:c>
      <x:c r="H212" s="30" t="str">
        <x:v>Yes</x:v>
      </x:c>
      <x:c r="I212" s="30" t="str">
        <x:v>P-4 aligned to the normalized parent audit; legacy Evidence ID preserved.</x:v>
      </x:c>
    </x:row>
    <x:row r="213">
      <x:c r="A213" s="30" t="str">
        <x:v>EVD212</x:v>
      </x:c>
      <x:c r="B213" s="30" t="str">
        <x:v>AUD198</x:v>
      </x:c>
      <x:c r="C213" s="30" t="str">
        <x:v>Cold Chain Dispensing SOP</x:v>
      </x:c>
      <x:c r="D213" s="30" t="str">
        <x:v>SOP</x:v>
      </x:c>
      <x:c r="E213" s="30" t="str">
        <x:v>Yes</x:v>
      </x:c>
      <x:c r="F213" s="30" t="str">
        <x:v>Operational</x:v>
      </x:c>
      <x:c r="G213" s="30" t="str">
        <x:v>CORE</x:v>
      </x:c>
      <x:c r="H213" s="30" t="str">
        <x:v>No</x:v>
      </x:c>
      <x:c r="I213" s="30" t="str">
        <x:v>P-3 QUARANTINED: Generic State/local/permit/reference rows, penalty-only/fabricated DAMR extractions, and future-effective DPDP duties are not current production obligations.</x:v>
      </x:c>
    </x:row>
    <x:row r="214">
      <x:c r="A214" s="30" t="str">
        <x:v>EVD213</x:v>
      </x:c>
      <x:c r="B214" s="30" t="str">
        <x:v>AUD198</x:v>
      </x:c>
      <x:c r="C214" s="30" t="str">
        <x:v>Cold Chain Handling Record</x:v>
      </x:c>
      <x:c r="D214" s="30" t="str">
        <x:v>Record</x:v>
      </x:c>
      <x:c r="E214" s="30" t="str">
        <x:v>Yes</x:v>
      </x:c>
      <x:c r="F214" s="30" t="str">
        <x:v>Operational</x:v>
      </x:c>
      <x:c r="G214" s="30" t="str">
        <x:v>CORE</x:v>
      </x:c>
      <x:c r="H214" s="30" t="str">
        <x:v>No</x:v>
      </x:c>
      <x:c r="I214" s="30" t="str">
        <x:v>P-3 QUARANTINED: Generic State/local/permit/reference rows, penalty-only/fabricated DAMR extractions, and future-effective DPDP duties are not current production obligations.</x:v>
      </x:c>
    </x:row>
    <x:row r="215">
      <x:c r="A215" s="30" t="str">
        <x:v>EVD214</x:v>
      </x:c>
      <x:c r="B215" s="30" t="str">
        <x:v>AUD200</x:v>
      </x:c>
      <x:c r="C215" s="30" t="str">
        <x:v>Internal Dispensing Audit Report</x:v>
      </x:c>
      <x:c r="D215" s="30" t="str">
        <x:v>Report</x:v>
      </x:c>
      <x:c r="E215" s="30" t="str">
        <x:v>Yes</x:v>
      </x:c>
      <x:c r="F215" s="30" t="str">
        <x:v>Operational</x:v>
      </x:c>
      <x:c r="G215" s="30" t="str">
        <x:v>CORE</x:v>
      </x:c>
      <x:c r="H215" s="30" t="str">
        <x:v>No</x:v>
      </x:c>
      <x:c r="I215" s="30" t="str">
        <x:v>P-3 QUARANTINED: Generic State/local/permit/reference rows, penalty-only/fabricated DAMR extractions, and future-effective DPDP duties are not current production obligations.</x:v>
      </x:c>
    </x:row>
    <x:row r="216">
      <x:c r="A216" s="30" t="str">
        <x:v>EVD215</x:v>
      </x:c>
      <x:c r="B216" s="30" t="str">
        <x:v>AUD200</x:v>
      </x:c>
      <x:c r="C216" s="30" t="str">
        <x:v>Audit Observation Register</x:v>
      </x:c>
      <x:c r="D216" s="30" t="str">
        <x:v>Register</x:v>
      </x:c>
      <x:c r="E216" s="30" t="str">
        <x:v>Yes</x:v>
      </x:c>
      <x:c r="F216" s="30" t="str">
        <x:v>Statutory</x:v>
      </x:c>
      <x:c r="G216" s="30" t="str">
        <x:v>CORE</x:v>
      </x:c>
      <x:c r="H216" s="30" t="str">
        <x:v>No</x:v>
      </x:c>
      <x:c r="I216" s="30" t="str">
        <x:v>P-3 QUARANTINED: Generic State/local/permit/reference rows, penalty-only/fabricated DAMR extractions, and future-effective DPDP duties are not current production obligations.</x:v>
      </x:c>
    </x:row>
    <x:row r="217">
      <x:c r="A217" s="30" t="str">
        <x:v>EVD216</x:v>
      </x:c>
      <x:c r="B217" s="30" t="str">
        <x:v>AUD202</x:v>
      </x:c>
      <x:c r="C217" s="30" t="str">
        <x:v>Customer Complaint Register</x:v>
      </x:c>
      <x:c r="D217" s="30" t="str">
        <x:v>Register</x:v>
      </x:c>
      <x:c r="E217" s="30" t="str">
        <x:v>Yes</x:v>
      </x:c>
      <x:c r="F217" s="30" t="str">
        <x:v>Statutory</x:v>
      </x:c>
      <x:c r="G217" s="30" t="str">
        <x:v>CORE</x:v>
      </x:c>
      <x:c r="H217" s="30" t="str">
        <x:v>No</x:v>
      </x:c>
      <x:c r="I217" s="30" t="str">
        <x:v>P-3 QUARANTINED: Generic State/local/permit/reference rows, penalty-only/fabricated DAMR extractions, and future-effective DPDP duties are not current production obligations.</x:v>
      </x:c>
    </x:row>
    <x:row r="218">
      <x:c r="A218" s="30" t="str">
        <x:v>EVD217</x:v>
      </x:c>
      <x:c r="B218" s="30" t="str">
        <x:v>AUD202</x:v>
      </x:c>
      <x:c r="C218" s="30" t="str">
        <x:v>Complaint Investigation Report</x:v>
      </x:c>
      <x:c r="D218" s="30" t="str">
        <x:v>Report</x:v>
      </x:c>
      <x:c r="E218" s="30" t="str">
        <x:v>Yes</x:v>
      </x:c>
      <x:c r="F218" s="30" t="str">
        <x:v>Operational</x:v>
      </x:c>
      <x:c r="G218" s="30" t="str">
        <x:v>CORE</x:v>
      </x:c>
      <x:c r="H218" s="30" t="str">
        <x:v>No</x:v>
      </x:c>
      <x:c r="I218" s="30" t="str">
        <x:v>P-3 QUARANTINED: Generic State/local/permit/reference rows, penalty-only/fabricated DAMR extractions, and future-effective DPDP duties are not current production obligations.</x:v>
      </x:c>
    </x:row>
    <x:row r="219">
      <x:c r="A219" s="30" t="str">
        <x:v>EVD218</x:v>
      </x:c>
      <x:c r="B219" s="30" t="str">
        <x:v>AUD204</x:v>
      </x:c>
      <x:c r="C219" s="30" t="str">
        <x:v>Regulatory Inspection Report</x:v>
      </x:c>
      <x:c r="D219" s="30" t="str">
        <x:v>Inspection Report</x:v>
      </x:c>
      <x:c r="E219" s="30" t="str">
        <x:v>Yes</x:v>
      </x:c>
      <x:c r="F219" s="30" t="str">
        <x:v>Statutory</x:v>
      </x:c>
      <x:c r="G219" s="30" t="str">
        <x:v>CORE</x:v>
      </x:c>
      <x:c r="H219" s="30" t="str">
        <x:v>No</x:v>
      </x:c>
      <x:c r="I219" s="30" t="str">
        <x:v>P-3 QUARANTINED: Generic State/local/permit/reference rows, penalty-only/fabricated DAMR extractions, and future-effective DPDP duties are not current production obligations.</x:v>
      </x:c>
    </x:row>
    <x:row r="220">
      <x:c r="A220" s="30" t="str">
        <x:v>EVD219</x:v>
      </x:c>
      <x:c r="B220" s="30" t="str">
        <x:v>AUD204</x:v>
      </x:c>
      <x:c r="C220" s="30" t="str">
        <x:v>Regulatory Observation Closure Report</x:v>
      </x:c>
      <x:c r="D220" s="30" t="str">
        <x:v>Report</x:v>
      </x:c>
      <x:c r="E220" s="30" t="str">
        <x:v>Yes</x:v>
      </x:c>
      <x:c r="F220" s="30" t="str">
        <x:v>Operational</x:v>
      </x:c>
      <x:c r="G220" s="30" t="str">
        <x:v>CORE</x:v>
      </x:c>
      <x:c r="H220" s="30" t="str">
        <x:v>No</x:v>
      </x:c>
      <x:c r="I220" s="30" t="str">
        <x:v>P-3 QUARANTINED: Generic State/local/permit/reference rows, penalty-only/fabricated DAMR extractions, and future-effective DPDP duties are not current production obligations.</x:v>
      </x:c>
    </x:row>
    <x:row r="221">
      <x:c r="A221" s="30" t="str">
        <x:v>EVD220</x:v>
      </x:c>
      <x:c r="B221" s="30" t="str">
        <x:v>AUD206</x:v>
      </x:c>
      <x:c r="C221" s="30" t="str">
        <x:v>Dispensing Compliance Assessment Report</x:v>
      </x:c>
      <x:c r="D221" s="30" t="str">
        <x:v>Report</x:v>
      </x:c>
      <x:c r="E221" s="30" t="str">
        <x:v>Yes</x:v>
      </x:c>
      <x:c r="F221" s="30" t="str">
        <x:v>Operational</x:v>
      </x:c>
      <x:c r="G221" s="30" t="str">
        <x:v>CORE</x:v>
      </x:c>
      <x:c r="H221" s="30" t="str">
        <x:v>No</x:v>
      </x:c>
      <x:c r="I221" s="30" t="str">
        <x:v>P-3 QUARANTINED: Generic State/local/permit/reference rows, penalty-only/fabricated DAMR extractions, and future-effective DPDP duties are not current production obligations.</x:v>
      </x:c>
    </x:row>
    <x:row r="222">
      <x:c r="A222" s="30" t="str">
        <x:v>EVD221</x:v>
      </x:c>
      <x:c r="B222" s="30" t="str">
        <x:v>AUD206</x:v>
      </x:c>
      <x:c r="C222" s="30" t="str">
        <x:v>Dispensing Process Flow Diagram</x:v>
      </x:c>
      <x:c r="D222" s="30" t="str">
        <x:v>Document</x:v>
      </x:c>
      <x:c r="E222" s="30" t="str">
        <x:v>No</x:v>
      </x:c>
      <x:c r="F222" s="30" t="str">
        <x:v>Operational</x:v>
      </x:c>
      <x:c r="G222" s="30" t="str">
        <x:v>CORE</x:v>
      </x:c>
      <x:c r="H222" s="30" t="str">
        <x:v>No</x:v>
      </x:c>
      <x:c r="I222" s="30" t="str">
        <x:v>P-3 QUARANTINED: Generic State/local/permit/reference rows, penalty-only/fabricated DAMR extractions, and future-effective DPDP duties are not current production obligations.</x:v>
      </x:c>
    </x:row>
    <x:row r="223">
      <x:c r="A223" s="30" t="str">
        <x:v>EVD222</x:v>
      </x:c>
      <x:c r="B223" s="30" t="str">
        <x:v>AUD206</x:v>
      </x:c>
      <x:c r="C223" s="30" t="str">
        <x:v>Dispensing KPI Dashboard</x:v>
      </x:c>
      <x:c r="D223" s="30" t="str">
        <x:v>Digital Record</x:v>
      </x:c>
      <x:c r="E223" s="30" t="str">
        <x:v>No</x:v>
      </x:c>
      <x:c r="F223" s="30" t="str">
        <x:v>Operational</x:v>
      </x:c>
      <x:c r="G223" s="30" t="str">
        <x:v>CORE</x:v>
      </x:c>
      <x:c r="H223" s="30" t="str">
        <x:v>No</x:v>
      </x:c>
      <x:c r="I223" s="30" t="str">
        <x:v>P-3 QUARANTINED: Generic State/local/permit/reference rows, penalty-only/fabricated DAMR extractions, and future-effective DPDP duties are not current production obligations.</x:v>
      </x:c>
    </x:row>
    <x:row r="224">
      <x:c r="A224" s="30" t="str">
        <x:v>EVD223</x:v>
      </x:c>
      <x:c r="B224" s="30" t="str">
        <x:v>AUD206</x:v>
      </x:c>
      <x:c r="C224" s="30" t="str">
        <x:v>Annual Dispensing Risk Assessment</x:v>
      </x:c>
      <x:c r="D224" s="30" t="str">
        <x:v>Record</x:v>
      </x:c>
      <x:c r="E224" s="30" t="str">
        <x:v>Yes</x:v>
      </x:c>
      <x:c r="F224" s="30" t="str">
        <x:v>Operational</x:v>
      </x:c>
      <x:c r="G224" s="30" t="str">
        <x:v>CORE</x:v>
      </x:c>
      <x:c r="H224" s="30" t="str">
        <x:v>No</x:v>
      </x:c>
      <x:c r="I224" s="30" t="str">
        <x:v>P-3 QUARANTINED: Generic State/local/permit/reference rows, penalty-only/fabricated DAMR extractions, and future-effective DPDP duties are not current production obligations.</x:v>
      </x:c>
    </x:row>
    <x:row r="225">
      <x:c r="A225" s="30" t="str">
        <x:v>EVD224</x:v>
      </x:c>
      <x:c r="B225" s="30" t="str">
        <x:v>AUD206</x:v>
      </x:c>
      <x:c r="C225" s="30" t="str">
        <x:v>Dispensing Management Review Minutes</x:v>
      </x:c>
      <x:c r="D225" s="30" t="str">
        <x:v>Other</x:v>
      </x:c>
      <x:c r="E225" s="30" t="str">
        <x:v>Yes</x:v>
      </x:c>
      <x:c r="F225" s="30" t="str">
        <x:v>Operational</x:v>
      </x:c>
      <x:c r="G225" s="30" t="str">
        <x:v>CORE</x:v>
      </x:c>
      <x:c r="H225" s="30" t="str">
        <x:v>No</x:v>
      </x:c>
      <x:c r="I225" s="30" t="str">
        <x:v>P-3 QUARANTINED: Generic State/local/permit/reference rows, penalty-only/fabricated DAMR extractions, and future-effective DPDP duties are not current production obligations.</x:v>
      </x:c>
    </x:row>
    <x:row r="226">
      <x:c r="A226" s="30" t="str">
        <x:v>EVD225</x:v>
      </x:c>
      <x:c r="B226" s="30" t="str">
        <x:v>AUD206</x:v>
      </x:c>
      <x:c r="C226" s="30" t="str">
        <x:v>Dispensing CAPA Register</x:v>
      </x:c>
      <x:c r="D226" s="30" t="str">
        <x:v>Register</x:v>
      </x:c>
      <x:c r="E226" s="30" t="str">
        <x:v>Yes</x:v>
      </x:c>
      <x:c r="F226" s="30" t="str">
        <x:v>Statutory</x:v>
      </x:c>
      <x:c r="G226" s="30" t="str">
        <x:v>CORE</x:v>
      </x:c>
      <x:c r="H226" s="30" t="str">
        <x:v>No</x:v>
      </x:c>
      <x:c r="I226" s="30" t="str">
        <x:v>P-3 QUARANTINED: Generic State/local/permit/reference rows, penalty-only/fabricated DAMR extractions, and future-effective DPDP duties are not current production obligations.</x:v>
      </x:c>
    </x:row>
    <x:row r="227">
      <x:c r="A227" s="30" t="str">
        <x:v>EVD226</x:v>
      </x:c>
      <x:c r="B227" s="30" t="str">
        <x:v>AUD206</x:v>
      </x:c>
      <x:c r="C227" s="30" t="str">
        <x:v>Dispensing SOP Review Record</x:v>
      </x:c>
      <x:c r="D227" s="30" t="str">
        <x:v>SOP</x:v>
      </x:c>
      <x:c r="E227" s="30" t="str">
        <x:v>Yes</x:v>
      </x:c>
      <x:c r="F227" s="30" t="str">
        <x:v>Operational</x:v>
      </x:c>
      <x:c r="G227" s="30" t="str">
        <x:v>CORE</x:v>
      </x:c>
      <x:c r="H227" s="30" t="str">
        <x:v>No</x:v>
      </x:c>
      <x:c r="I227" s="30" t="str">
        <x:v>P-3 QUARANTINED: Generic State/local/permit/reference rows, penalty-only/fabricated DAMR extractions, and future-effective DPDP duties are not current production obligations.</x:v>
      </x:c>
    </x:row>
    <x:row r="228">
      <x:c r="A228" s="30" t="str">
        <x:v>EVD227</x:v>
      </x:c>
      <x:c r="B228" s="30" t="str">
        <x:v>AUD206</x:v>
      </x:c>
      <x:c r="C228" s="30" t="str">
        <x:v>Independent Dispensing Audit Working Papers</x:v>
      </x:c>
      <x:c r="D228" s="30" t="str">
        <x:v>Record</x:v>
      </x:c>
      <x:c r="E228" s="30" t="str">
        <x:v>Yes</x:v>
      </x:c>
      <x:c r="F228" s="30" t="str">
        <x:v>Operational</x:v>
      </x:c>
      <x:c r="G228" s="30" t="str">
        <x:v>CORE</x:v>
      </x:c>
      <x:c r="H228" s="30" t="str">
        <x:v>No</x:v>
      </x:c>
      <x:c r="I228" s="30" t="str">
        <x:v>P-3 QUARANTINED: Generic State/local/permit/reference rows, penalty-only/fabricated DAMR extractions, and future-effective DPDP duties are not current production obligations.</x:v>
      </x:c>
    </x:row>
    <x:row r="229">
      <x:c r="A229" s="30" t="str">
        <x:v>EVD228</x:v>
      </x:c>
      <x:c r="B229" s="30" t="str">
        <x:v>AUD206</x:v>
      </x:c>
      <x:c r="C229" s="30" t="str">
        <x:v>Annual Dispensing Compliance Improvement Plan</x:v>
      </x:c>
      <x:c r="D229" s="30" t="str">
        <x:v>Document</x:v>
      </x:c>
      <x:c r="E229" s="30" t="str">
        <x:v>No</x:v>
      </x:c>
      <x:c r="F229" s="30" t="str">
        <x:v>Operational</x:v>
      </x:c>
      <x:c r="G229" s="30" t="str">
        <x:v>CORE</x:v>
      </x:c>
      <x:c r="H229" s="30" t="str">
        <x:v>No</x:v>
      </x:c>
      <x:c r="I229" s="30" t="str">
        <x:v>P-3 QUARANTINED: Generic State/local/permit/reference rows, penalty-only/fabricated DAMR extractions, and future-effective DPDP duties are not current production obligations.</x:v>
      </x:c>
    </x:row>
    <x:row r="230">
      <x:c r="A230" s="30" t="str">
        <x:v>EVD229</x:v>
      </x:c>
      <x:c r="B230" s="30" t="str">
        <x:v>AUD210</x:v>
      </x:c>
      <x:c r="C230" s="30" t="str">
        <x:v>Documentary and transaction evidence demonstrating: Hold the applicable Drugs Rules sale licence or, for an exclusive medical-device seller without that licence, obtain and maintain Form MD-42 registration.</x:v>
      </x:c>
      <x:c r="D230" s="30" t="str">
        <x:v>Record</x:v>
      </x:c>
      <x:c r="E230" s="30" t="str">
        <x:v>Yes</x:v>
      </x:c>
      <x:c r="F230" s="30" t="str">
        <x:v>Applicable statutory / operational period</x:v>
      </x:c>
      <x:c r="G230" s="30" t="str">
        <x:v>CORE</x:v>
      </x:c>
      <x:c r="H230" s="30" t="str">
        <x:v>Yes</x:v>
      </x:c>
      <x:c r="I230" s="30" t="str">
        <x:v>P-4 aligned to the normalized parent audit; legacy Evidence ID preserved.</x:v>
      </x:c>
    </x:row>
    <x:row r="231">
      <x:c r="A231" s="30" t="str">
        <x:v>EVD230</x:v>
      </x:c>
      <x:c r="B231" s="30" t="str">
        <x:v>AUD210</x:v>
      </x:c>
      <x:c r="C231" s="30" t="str">
        <x:v>Documentary and transaction evidence demonstrating: Hold the applicable Drugs Rules sale licence or, for an exclusive medical-device seller without that licence, obtain and maintain Form MD-42 registration.</x:v>
      </x:c>
      <x:c r="D231" s="30" t="str">
        <x:v>Record</x:v>
      </x:c>
      <x:c r="E231" s="30" t="str">
        <x:v>Yes</x:v>
      </x:c>
      <x:c r="F231" s="30" t="str">
        <x:v>Applicable statutory / operational period</x:v>
      </x:c>
      <x:c r="G231" s="30" t="str">
        <x:v>CORE</x:v>
      </x:c>
      <x:c r="H231" s="30" t="str">
        <x:v>Yes</x:v>
      </x:c>
      <x:c r="I231" s="30" t="str">
        <x:v>P-4 aligned to the normalized parent audit; legacy Evidence ID preserved.</x:v>
      </x:c>
    </x:row>
    <x:row r="232">
      <x:c r="A232" s="30" t="str">
        <x:v>EVD231</x:v>
      </x:c>
      <x:c r="B232" s="30" t="str">
        <x:v>AUD212</x:v>
      </x:c>
      <x:c r="C232" s="30" t="str">
        <x:v>Documentary and transaction evidence demonstrating: Display the medical-device registration where applicable, maintain adequate premises and specified storage, and procure devices only from authorized sources.</x:v>
      </x:c>
      <x:c r="D232" s="30" t="str">
        <x:v>Record</x:v>
      </x:c>
      <x:c r="E232" s="30" t="str">
        <x:v>Yes</x:v>
      </x:c>
      <x:c r="F232" s="30" t="str">
        <x:v>Applicable statutory / operational period</x:v>
      </x:c>
      <x:c r="G232" s="30" t="str">
        <x:v>CORE</x:v>
      </x:c>
      <x:c r="H232" s="30" t="str">
        <x:v>Yes</x:v>
      </x:c>
      <x:c r="I232" s="30" t="str">
        <x:v>P-4 aligned to the normalized parent audit; legacy Evidence ID preserved.</x:v>
      </x:c>
    </x:row>
    <x:row r="233">
      <x:c r="A233" s="30" t="str">
        <x:v>EVD232</x:v>
      </x:c>
      <x:c r="B233" s="30" t="str">
        <x:v>AUD212</x:v>
      </x:c>
      <x:c r="C233" s="30" t="str">
        <x:v>Documentary and transaction evidence demonstrating: Display the medical-device registration where applicable, maintain adequate premises and specified storage, and procure devices only from authorized sources.</x:v>
      </x:c>
      <x:c r="D233" s="30" t="str">
        <x:v>Record</x:v>
      </x:c>
      <x:c r="E233" s="30" t="str">
        <x:v>Yes</x:v>
      </x:c>
      <x:c r="F233" s="30" t="str">
        <x:v>Applicable statutory / operational period</x:v>
      </x:c>
      <x:c r="G233" s="30" t="str">
        <x:v>CORE</x:v>
      </x:c>
      <x:c r="H233" s="30" t="str">
        <x:v>Yes</x:v>
      </x:c>
      <x:c r="I233" s="30" t="str">
        <x:v>P-4 aligned to the normalized parent audit; legacy Evidence ID preserved.</x:v>
      </x:c>
    </x:row>
    <x:row r="234">
      <x:c r="A234" s="30" t="str">
        <x:v>EVD233</x:v>
      </x:c>
      <x:c r="B234" s="30" t="str">
        <x:v>AUD214</x:v>
      </x:c>
      <x:c r="C234" s="30" t="str">
        <x:v>Documentary and transaction evidence demonstrating: Maintain medical-device purchase and sale records, provide inspection access, retain records for two years, and maintain the prescribed inspection book.</x:v>
      </x:c>
      <x:c r="D234" s="30" t="str">
        <x:v>Record</x:v>
      </x:c>
      <x:c r="E234" s="30" t="str">
        <x:v>Yes</x:v>
      </x:c>
      <x:c r="F234" s="30" t="str">
        <x:v>Applicable statutory / operational period</x:v>
      </x:c>
      <x:c r="G234" s="30" t="str">
        <x:v>CORE</x:v>
      </x:c>
      <x:c r="H234" s="30" t="str">
        <x:v>Yes</x:v>
      </x:c>
      <x:c r="I234" s="30" t="str">
        <x:v>P-4 aligned to the normalized parent audit; legacy Evidence ID preserved.</x:v>
      </x:c>
    </x:row>
    <x:row r="235">
      <x:c r="A235" s="30" t="str">
        <x:v>EVD234</x:v>
      </x:c>
      <x:c r="B235" s="30" t="str">
        <x:v>AUD214</x:v>
      </x:c>
      <x:c r="C235" s="30" t="str">
        <x:v>Documentary and transaction evidence demonstrating: Maintain medical-device purchase and sale records, provide inspection access, retain records for two years, and maintain the prescribed inspection book.</x:v>
      </x:c>
      <x:c r="D235" s="30" t="str">
        <x:v>Record</x:v>
      </x:c>
      <x:c r="E235" s="30" t="str">
        <x:v>Yes</x:v>
      </x:c>
      <x:c r="F235" s="30" t="str">
        <x:v>Applicable statutory / operational period</x:v>
      </x:c>
      <x:c r="G235" s="30" t="str">
        <x:v>CORE</x:v>
      </x:c>
      <x:c r="H235" s="30" t="str">
        <x:v>Yes</x:v>
      </x:c>
      <x:c r="I235" s="30" t="str">
        <x:v>P-4 aligned to the normalized parent audit; legacy Evidence ID preserved.</x:v>
      </x:c>
    </x:row>
    <x:row r="236">
      <x:c r="A236" s="30" t="str">
        <x:v>EVD235</x:v>
      </x:c>
      <x:c r="B236" s="30" t="str">
        <x:v>AUD216</x:v>
      </x:c>
      <x:c r="C236" s="30" t="str">
        <x:v>Documentary and transaction evidence demonstrating: Pay the prescribed retention fee every five years to maintain perpetual validity of Form MD-42 registration.</x:v>
      </x:c>
      <x:c r="D236" s="30" t="str">
        <x:v>Record</x:v>
      </x:c>
      <x:c r="E236" s="30" t="str">
        <x:v>Yes</x:v>
      </x:c>
      <x:c r="F236" s="30" t="str">
        <x:v>Applicable statutory / operational period</x:v>
      </x:c>
      <x:c r="G236" s="30" t="str">
        <x:v>CORE</x:v>
      </x:c>
      <x:c r="H236" s="30" t="str">
        <x:v>Yes</x:v>
      </x:c>
      <x:c r="I236" s="30" t="str">
        <x:v>P-4 aligned to the normalized parent audit; legacy Evidence ID preserved.</x:v>
      </x:c>
    </x:row>
    <x:row r="237">
      <x:c r="A237" s="30" t="str">
        <x:v>EVD236</x:v>
      </x:c>
      <x:c r="B237" s="30" t="str">
        <x:v>AUD216</x:v>
      </x:c>
      <x:c r="C237" s="30" t="str">
        <x:v>Documentary and transaction evidence demonstrating: Pay the prescribed retention fee every five years to maintain perpetual validity of Form MD-42 registration.</x:v>
      </x:c>
      <x:c r="D237" s="30" t="str">
        <x:v>Record</x:v>
      </x:c>
      <x:c r="E237" s="30" t="str">
        <x:v>Yes</x:v>
      </x:c>
      <x:c r="F237" s="30" t="str">
        <x:v>Applicable statutory / operational period</x:v>
      </x:c>
      <x:c r="G237" s="30" t="str">
        <x:v>CORE</x:v>
      </x:c>
      <x:c r="H237" s="30" t="str">
        <x:v>Yes</x:v>
      </x:c>
      <x:c r="I237" s="30" t="str">
        <x:v>P-4 aligned to the normalized parent audit; legacy Evidence ID preserved.</x:v>
      </x:c>
    </x:row>
    <x:row r="238">
      <x:c r="A238" s="30" t="str">
        <x:v>EVD237</x:v>
      </x:c>
      <x:c r="B238" s="30" t="str">
        <x:v>AUD218</x:v>
      </x:c>
      <x:c r="C238" s="30" t="str">
        <x:v>Documentary and transaction evidence demonstrating: Where Rule 88 applies, document supply to a hospital or similar institution through the prescribed delivery-challan process.</x:v>
      </x:c>
      <x:c r="D238" s="30" t="str">
        <x:v>Record</x:v>
      </x:c>
      <x:c r="E238" s="30" t="str">
        <x:v>Yes</x:v>
      </x:c>
      <x:c r="F238" s="30" t="str">
        <x:v>Applicable statutory / operational period</x:v>
      </x:c>
      <x:c r="G238" s="30" t="str">
        <x:v>CORE</x:v>
      </x:c>
      <x:c r="H238" s="30" t="str">
        <x:v>Yes</x:v>
      </x:c>
      <x:c r="I238" s="30" t="str">
        <x:v>P-4 aligned to the normalized parent audit; legacy Evidence ID preserved.</x:v>
      </x:c>
    </x:row>
    <x:row r="239">
      <x:c r="A239" s="30" t="str">
        <x:v>EVD238</x:v>
      </x:c>
      <x:c r="B239" s="30" t="str">
        <x:v>AUD218</x:v>
      </x:c>
      <x:c r="C239" s="30" t="str">
        <x:v>Documentary and transaction evidence demonstrating: Where Rule 88 applies, document supply to a hospital or similar institution through the prescribed delivery-challan process.</x:v>
      </x:c>
      <x:c r="D239" s="30" t="str">
        <x:v>Record</x:v>
      </x:c>
      <x:c r="E239" s="30" t="str">
        <x:v>Yes</x:v>
      </x:c>
      <x:c r="F239" s="30" t="str">
        <x:v>Applicable statutory / operational period</x:v>
      </x:c>
      <x:c r="G239" s="30" t="str">
        <x:v>CORE</x:v>
      </x:c>
      <x:c r="H239" s="30" t="str">
        <x:v>Yes</x:v>
      </x:c>
      <x:c r="I239" s="30" t="str">
        <x:v>P-4 aligned to the normalized parent audit; legacy Evidence ID preserved.</x:v>
      </x:c>
    </x:row>
    <x:row r="240">
      <x:c r="A240" s="30" t="str">
        <x:v>EVD239</x:v>
      </x:c>
      <x:c r="B240" s="30" t="str">
        <x:v>AUD220</x:v>
      </x:c>
      <x:c r="C240" s="30" t="str">
        <x:v>Documentary and transaction evidence demonstrating: Do not sell or distribute a cosmetic unless the Rule 33 origin, licensing, quality and labelling conditions are satisfied.</x:v>
      </x:c>
      <x:c r="D240" s="30" t="str">
        <x:v>Record</x:v>
      </x:c>
      <x:c r="E240" s="30" t="str">
        <x:v>Yes</x:v>
      </x:c>
      <x:c r="F240" s="30" t="str">
        <x:v>Applicable statutory / operational period</x:v>
      </x:c>
      <x:c r="G240" s="30" t="str">
        <x:v>CORE</x:v>
      </x:c>
      <x:c r="H240" s="30" t="str">
        <x:v>Yes</x:v>
      </x:c>
      <x:c r="I240" s="30" t="str">
        <x:v>P-4 aligned to the normalized parent audit; legacy Evidence ID preserved.</x:v>
      </x:c>
    </x:row>
    <x:row r="241">
      <x:c r="A241" s="30" t="str">
        <x:v>EVD240</x:v>
      </x:c>
      <x:c r="B241" s="30" t="str">
        <x:v>AUD220</x:v>
      </x:c>
      <x:c r="C241" s="30" t="str">
        <x:v>Documentary and transaction evidence demonstrating: Do not sell or distribute a cosmetic unless the Rule 33 origin, licensing, quality and labelling conditions are satisfied.</x:v>
      </x:c>
      <x:c r="D241" s="30" t="str">
        <x:v>Record</x:v>
      </x:c>
      <x:c r="E241" s="30" t="str">
        <x:v>Yes</x:v>
      </x:c>
      <x:c r="F241" s="30" t="str">
        <x:v>Applicable statutory / operational period</x:v>
      </x:c>
      <x:c r="G241" s="30" t="str">
        <x:v>CORE</x:v>
      </x:c>
      <x:c r="H241" s="30" t="str">
        <x:v>Yes</x:v>
      </x:c>
      <x:c r="I241" s="30" t="str">
        <x:v>P-4 aligned to the normalized parent audit; legacy Evidence ID preserved.</x:v>
      </x:c>
    </x:row>
    <x:row r="242">
      <x:c r="A242" s="30" t="str">
        <x:v>EVD241</x:v>
      </x:c>
      <x:c r="B242" s="30" t="str">
        <x:v>AUD222</x:v>
      </x:c>
      <x:c r="C242" s="30" t="str">
        <x:v>Documentary and transaction evidence demonstrating: Verify that cosmetics offered for sale or distribution bear the particulars required by Rule 34.</x:v>
      </x:c>
      <x:c r="D242" s="30" t="str">
        <x:v>Record</x:v>
      </x:c>
      <x:c r="E242" s="30" t="str">
        <x:v>Yes</x:v>
      </x:c>
      <x:c r="F242" s="30" t="str">
        <x:v>Applicable statutory / operational period</x:v>
      </x:c>
      <x:c r="G242" s="30" t="str">
        <x:v>CORE</x:v>
      </x:c>
      <x:c r="H242" s="30" t="str">
        <x:v>Yes</x:v>
      </x:c>
      <x:c r="I242" s="30" t="str">
        <x:v>P-4 aligned to the normalized parent audit; legacy Evidence ID preserved.</x:v>
      </x:c>
    </x:row>
    <x:row r="243">
      <x:c r="A243" s="30" t="str">
        <x:v>EVD242</x:v>
      </x:c>
      <x:c r="B243" s="30" t="str">
        <x:v>AUD222</x:v>
      </x:c>
      <x:c r="C243" s="30" t="str">
        <x:v>Documentary and transaction evidence demonstrating: Verify that cosmetics offered for sale or distribution bear the particulars required by Rule 34.</x:v>
      </x:c>
      <x:c r="D243" s="30" t="str">
        <x:v>Record</x:v>
      </x:c>
      <x:c r="E243" s="30" t="str">
        <x:v>Yes</x:v>
      </x:c>
      <x:c r="F243" s="30" t="str">
        <x:v>Applicable statutory / operational period</x:v>
      </x:c>
      <x:c r="G243" s="30" t="str">
        <x:v>CORE</x:v>
      </x:c>
      <x:c r="H243" s="30" t="str">
        <x:v>Yes</x:v>
      </x:c>
      <x:c r="I243" s="30" t="str">
        <x:v>P-4 aligned to the normalized parent audit; legacy Evidence ID preserved.</x:v>
      </x:c>
    </x:row>
    <x:row r="244">
      <x:c r="A244" s="30" t="str">
        <x:v>EVD243</x:v>
      </x:c>
      <x:c r="B244" s="30" t="str">
        <x:v>AUD224</x:v>
      </x:c>
      <x:c r="C244" s="30" t="str">
        <x:v>Documentary and transaction evidence demonstrating: Do not alter, obliterate or deface mandatory cosmetic labelling.</x:v>
      </x:c>
      <x:c r="D244" s="30" t="str">
        <x:v>Record</x:v>
      </x:c>
      <x:c r="E244" s="30" t="str">
        <x:v>Yes</x:v>
      </x:c>
      <x:c r="F244" s="30" t="str">
        <x:v>Applicable statutory / operational period</x:v>
      </x:c>
      <x:c r="G244" s="30" t="str">
        <x:v>CORE</x:v>
      </x:c>
      <x:c r="H244" s="30" t="str">
        <x:v>Yes</x:v>
      </x:c>
      <x:c r="I244" s="30" t="str">
        <x:v>P-4 aligned to the normalized parent audit; legacy Evidence ID preserved.</x:v>
      </x:c>
    </x:row>
    <x:row r="245">
      <x:c r="A245" s="30" t="str">
        <x:v>EVD244</x:v>
      </x:c>
      <x:c r="B245" s="30" t="str">
        <x:v>AUD224</x:v>
      </x:c>
      <x:c r="C245" s="30" t="str">
        <x:v>Documentary and transaction evidence demonstrating: Do not alter, obliterate or deface mandatory cosmetic labelling.</x:v>
      </x:c>
      <x:c r="D245" s="30" t="str">
        <x:v>Record</x:v>
      </x:c>
      <x:c r="E245" s="30" t="str">
        <x:v>Yes</x:v>
      </x:c>
      <x:c r="F245" s="30" t="str">
        <x:v>Applicable statutory / operational period</x:v>
      </x:c>
      <x:c r="G245" s="30" t="str">
        <x:v>CORE</x:v>
      </x:c>
      <x:c r="H245" s="30" t="str">
        <x:v>Yes</x:v>
      </x:c>
      <x:c r="I245" s="30" t="str">
        <x:v>P-4 aligned to the normalized parent audit; legacy Evidence ID preserved.</x:v>
      </x:c>
    </x:row>
    <x:row r="246">
      <x:c r="A246" s="30" t="str">
        <x:v>EVD245</x:v>
      </x:c>
      <x:c r="B246" s="30" t="str">
        <x:v>AUD226</x:v>
      </x:c>
      <x:c r="C246" s="30" t="str">
        <x:v>Documentary and transaction evidence demonstrating: Do not sell or distribute a cosmetic bearing a false or misleading claim.</x:v>
      </x:c>
      <x:c r="D246" s="30" t="str">
        <x:v>Record</x:v>
      </x:c>
      <x:c r="E246" s="30" t="str">
        <x:v>Yes</x:v>
      </x:c>
      <x:c r="F246" s="30" t="str">
        <x:v>Applicable statutory / operational period</x:v>
      </x:c>
      <x:c r="G246" s="30" t="str">
        <x:v>CORE</x:v>
      </x:c>
      <x:c r="H246" s="30" t="str">
        <x:v>Yes</x:v>
      </x:c>
      <x:c r="I246" s="30" t="str">
        <x:v>P-4 aligned to the normalized parent audit; legacy Evidence ID preserved.</x:v>
      </x:c>
    </x:row>
    <x:row r="247">
      <x:c r="A247" s="30" t="str">
        <x:v>EVD246</x:v>
      </x:c>
      <x:c r="B247" s="30" t="str">
        <x:v>AUD226</x:v>
      </x:c>
      <x:c r="C247" s="30" t="str">
        <x:v>Documentary and transaction evidence demonstrating: Do not sell or distribute a cosmetic bearing a false or misleading claim.</x:v>
      </x:c>
      <x:c r="D247" s="30" t="str">
        <x:v>Record</x:v>
      </x:c>
      <x:c r="E247" s="30" t="str">
        <x:v>Yes</x:v>
      </x:c>
      <x:c r="F247" s="30" t="str">
        <x:v>Applicable statutory / operational period</x:v>
      </x:c>
      <x:c r="G247" s="30" t="str">
        <x:v>CORE</x:v>
      </x:c>
      <x:c r="H247" s="30" t="str">
        <x:v>Yes</x:v>
      </x:c>
      <x:c r="I247" s="30" t="str">
        <x:v>P-4 aligned to the normalized parent audit; legacy Evidence ID preserved.</x:v>
      </x:c>
    </x:row>
    <x:row r="248">
      <x:c r="A248" s="30" t="str">
        <x:v>EVD247</x:v>
      </x:c>
      <x:c r="B248" s="30" t="str">
        <x:v>AUD228</x:v>
      </x:c>
      <x:c r="C248" s="30" t="str">
        <x:v>Documentary and transaction evidence demonstrating: Sell or distribute only cosmetics that comply with the standards, quality and safety requirements in Rule 39.</x:v>
      </x:c>
      <x:c r="D248" s="30" t="str">
        <x:v>Record</x:v>
      </x:c>
      <x:c r="E248" s="30" t="str">
        <x:v>Yes</x:v>
      </x:c>
      <x:c r="F248" s="30" t="str">
        <x:v>Applicable statutory / operational period</x:v>
      </x:c>
      <x:c r="G248" s="30" t="str">
        <x:v>CORE</x:v>
      </x:c>
      <x:c r="H248" s="30" t="str">
        <x:v>Yes</x:v>
      </x:c>
      <x:c r="I248" s="30" t="str">
        <x:v>P-4 aligned to the normalized parent audit; legacy Evidence ID preserved.</x:v>
      </x:c>
    </x:row>
    <x:row r="249">
      <x:c r="A249" s="30" t="str">
        <x:v>EVD248</x:v>
      </x:c>
      <x:c r="B249" s="30" t="str">
        <x:v>AUD228</x:v>
      </x:c>
      <x:c r="C249" s="30" t="str">
        <x:v>Documentary and transaction evidence demonstrating: Sell or distribute only cosmetics that comply with the standards, quality and safety requirements in Rule 39.</x:v>
      </x:c>
      <x:c r="D249" s="30" t="str">
        <x:v>Record</x:v>
      </x:c>
      <x:c r="E249" s="30" t="str">
        <x:v>Yes</x:v>
      </x:c>
      <x:c r="F249" s="30" t="str">
        <x:v>Applicable statutory / operational period</x:v>
      </x:c>
      <x:c r="G249" s="30" t="str">
        <x:v>CORE</x:v>
      </x:c>
      <x:c r="H249" s="30" t="str">
        <x:v>Yes</x:v>
      </x:c>
      <x:c r="I249" s="30" t="str">
        <x:v>P-4 aligned to the normalized parent audit; legacy Evidence ID preserved.</x:v>
      </x:c>
    </x:row>
    <x:row r="250">
      <x:c r="A250" s="30" t="str">
        <x:v>EVD249</x:v>
      </x:c>
      <x:c r="B250" s="30" t="str">
        <x:v>AUD230</x:v>
      </x:c>
      <x:c r="C250" s="30" t="str">
        <x:v>Promotional Campaign Approval</x:v>
      </x:c>
      <x:c r="D250" s="30" t="str">
        <x:v>Approval</x:v>
      </x:c>
      <x:c r="E250" s="30" t="str">
        <x:v>Yes</x:v>
      </x:c>
      <x:c r="F250" s="30" t="str">
        <x:v>Permanent</x:v>
      </x:c>
      <x:c r="G250" s="30" t="str">
        <x:v>CORE</x:v>
      </x:c>
      <x:c r="H250" s="30" t="str">
        <x:v>No</x:v>
      </x:c>
      <x:c r="I250" s="30" t="str">
        <x:v>P-2 QUARANTINED with AUD230; replacement evidence attached to AUD552.</x:v>
      </x:c>
    </x:row>
    <x:row r="251">
      <x:c r="A251" s="30" t="str">
        <x:v>EVD250</x:v>
      </x:c>
      <x:c r="B251" s="30" t="str">
        <x:v>AUD230</x:v>
      </x:c>
      <x:c r="C251" s="30" t="str">
        <x:v>Promotional Pricing Policy</x:v>
      </x:c>
      <x:c r="D251" s="30" t="str">
        <x:v>Other</x:v>
      </x:c>
      <x:c r="E251" s="30" t="str">
        <x:v>Yes</x:v>
      </x:c>
      <x:c r="F251" s="30" t="str">
        <x:v>Operational</x:v>
      </x:c>
      <x:c r="G251" s="30" t="str">
        <x:v>CORE</x:v>
      </x:c>
      <x:c r="H251" s="30" t="str">
        <x:v>No</x:v>
      </x:c>
      <x:c r="I251" s="30" t="str">
        <x:v>P-2 QUARANTINED with AUD230; replacement evidence attached to AUD552.</x:v>
      </x:c>
    </x:row>
    <x:row r="252">
      <x:c r="A252" s="30" t="str">
        <x:v>EVD251</x:v>
      </x:c>
      <x:c r="B252" s="30" t="str">
        <x:v>AUD232</x:v>
      </x:c>
      <x:c r="C252" s="30" t="str">
        <x:v>Medicine Substitution Register</x:v>
      </x:c>
      <x:c r="D252" s="30" t="str">
        <x:v>Register</x:v>
      </x:c>
      <x:c r="E252" s="30" t="str">
        <x:v>Yes</x:v>
      </x:c>
      <x:c r="F252" s="30" t="str">
        <x:v>Statutory</x:v>
      </x:c>
      <x:c r="G252" s="30" t="str">
        <x:v>CORE</x:v>
      </x:c>
      <x:c r="H252" s="30" t="str">
        <x:v>No</x:v>
      </x:c>
      <x:c r="I252" s="30" t="str">
        <x:v>P-2 QUARANTINED with AUD232; replacement evidence attached to AUD553.</x:v>
      </x:c>
    </x:row>
    <x:row r="253">
      <x:c r="A253" s="30" t="str">
        <x:v>EVD252</x:v>
      </x:c>
      <x:c r="B253" s="30" t="str">
        <x:v>AUD232</x:v>
      </x:c>
      <x:c r="C253" s="30" t="str">
        <x:v>Pharmacist Authorization Record</x:v>
      </x:c>
      <x:c r="D253" s="30" t="str">
        <x:v>Approval</x:v>
      </x:c>
      <x:c r="E253" s="30" t="str">
        <x:v>Yes</x:v>
      </x:c>
      <x:c r="F253" s="30" t="str">
        <x:v>Permanent</x:v>
      </x:c>
      <x:c r="G253" s="30" t="str">
        <x:v>CORE</x:v>
      </x:c>
      <x:c r="H253" s="30" t="str">
        <x:v>No</x:v>
      </x:c>
      <x:c r="I253" s="30" t="str">
        <x:v>P-2 QUARANTINED with AUD232; replacement evidence attached to AUD553.</x:v>
      </x:c>
    </x:row>
    <x:row r="254">
      <x:c r="A254" s="30" t="str">
        <x:v>EVD253</x:v>
      </x:c>
      <x:c r="B254" s="30" t="str">
        <x:v>AUD234</x:v>
      </x:c>
      <x:c r="C254" s="30" t="str">
        <x:v>Customer Complaint Register</x:v>
      </x:c>
      <x:c r="D254" s="30" t="str">
        <x:v>Register</x:v>
      </x:c>
      <x:c r="E254" s="30" t="str">
        <x:v>Yes</x:v>
      </x:c>
      <x:c r="F254" s="30" t="str">
        <x:v>Statutory</x:v>
      </x:c>
      <x:c r="G254" s="30" t="str">
        <x:v>CORE</x:v>
      </x:c>
      <x:c r="H254" s="30" t="str">
        <x:v>No</x:v>
      </x:c>
      <x:c r="I254" s="30" t="str">
        <x:v>P-2 QUARANTINED with AUD234; replacement evidence attached to AUD554.</x:v>
      </x:c>
    </x:row>
    <x:row r="255">
      <x:c r="A255" s="30" t="str">
        <x:v>EVD254</x:v>
      </x:c>
      <x:c r="B255" s="30" t="str">
        <x:v>AUD234</x:v>
      </x:c>
      <x:c r="C255" s="30" t="str">
        <x:v>Complaint Resolution Record</x:v>
      </x:c>
      <x:c r="D255" s="30" t="str">
        <x:v>Record</x:v>
      </x:c>
      <x:c r="E255" s="30" t="str">
        <x:v>Yes</x:v>
      </x:c>
      <x:c r="F255" s="30" t="str">
        <x:v>Operational</x:v>
      </x:c>
      <x:c r="G255" s="30" t="str">
        <x:v>CORE</x:v>
      </x:c>
      <x:c r="H255" s="30" t="str">
        <x:v>No</x:v>
      </x:c>
      <x:c r="I255" s="30" t="str">
        <x:v>P-2 QUARANTINED with AUD234; replacement evidence attached to AUD554.</x:v>
      </x:c>
    </x:row>
    <x:row r="256">
      <x:c r="A256" s="30" t="str">
        <x:v>EVD255</x:v>
      </x:c>
      <x:c r="B256" s="30" t="str">
        <x:v>AUD236</x:v>
      </x:c>
      <x:c r="C256" s="30" t="str">
        <x:v>Refund Register</x:v>
      </x:c>
      <x:c r="D256" s="30" t="str">
        <x:v>Register</x:v>
      </x:c>
      <x:c r="E256" s="30" t="str">
        <x:v>Yes</x:v>
      </x:c>
      <x:c r="F256" s="30" t="str">
        <x:v>Statutory</x:v>
      </x:c>
      <x:c r="G256" s="30" t="str">
        <x:v>CORE</x:v>
      </x:c>
      <x:c r="H256" s="30" t="str">
        <x:v>No</x:v>
      </x:c>
      <x:c r="I256" s="30" t="str">
        <x:v>P-2 QUARANTINED with AUD236; replacement evidence attached to AUD555.</x:v>
      </x:c>
    </x:row>
    <x:row r="257">
      <x:c r="A257" s="30" t="str">
        <x:v>EVD256</x:v>
      </x:c>
      <x:c r="B257" s="30" t="str">
        <x:v>AUD236</x:v>
      </x:c>
      <x:c r="C257" s="30" t="str">
        <x:v>Credit Note</x:v>
      </x:c>
      <x:c r="D257" s="30" t="str">
        <x:v>Document</x:v>
      </x:c>
      <x:c r="E257" s="30" t="str">
        <x:v>Yes</x:v>
      </x:c>
      <x:c r="F257" s="30" t="str">
        <x:v>Operational</x:v>
      </x:c>
      <x:c r="G257" s="30" t="str">
        <x:v>CORE</x:v>
      </x:c>
      <x:c r="H257" s="30" t="str">
        <x:v>No</x:v>
      </x:c>
      <x:c r="I257" s="30" t="str">
        <x:v>P-2 QUARANTINED with AUD236; replacement evidence attached to AUD555.</x:v>
      </x:c>
    </x:row>
    <x:row r="258">
      <x:c r="A258" s="30" t="str">
        <x:v>EVD257</x:v>
      </x:c>
      <x:c r="B258" s="30" t="str">
        <x:v>AUD238</x:v>
      </x:c>
      <x:c r="C258" s="30" t="str">
        <x:v>High-Value Medicine Register</x:v>
      </x:c>
      <x:c r="D258" s="30" t="str">
        <x:v>Register</x:v>
      </x:c>
      <x:c r="E258" s="30" t="str">
        <x:v>Yes</x:v>
      </x:c>
      <x:c r="F258" s="30" t="str">
        <x:v>Statutory</x:v>
      </x:c>
      <x:c r="G258" s="30" t="str">
        <x:v>CORE</x:v>
      </x:c>
      <x:c r="H258" s="30" t="str">
        <x:v>No</x:v>
      </x:c>
      <x:c r="I258" s="30" t="str">
        <x:v>P-2 QUARANTINED with AUD238; replacement evidence attached to AUD556.</x:v>
      </x:c>
    </x:row>
    <x:row r="259">
      <x:c r="A259" s="30" t="str">
        <x:v>EVD258</x:v>
      </x:c>
      <x:c r="B259" s="30" t="str">
        <x:v>AUD238</x:v>
      </x:c>
      <x:c r="C259" s="30" t="str">
        <x:v>Exceptional Sale Approval</x:v>
      </x:c>
      <x:c r="D259" s="30" t="str">
        <x:v>Sale Record</x:v>
      </x:c>
      <x:c r="E259" s="30" t="str">
        <x:v>Yes</x:v>
      </x:c>
      <x:c r="F259" s="30" t="str">
        <x:v>Transactional</x:v>
      </x:c>
      <x:c r="G259" s="30" t="str">
        <x:v>CORE</x:v>
      </x:c>
      <x:c r="H259" s="30" t="str">
        <x:v>No</x:v>
      </x:c>
      <x:c r="I259" s="30" t="str">
        <x:v>P-2 QUARANTINED with AUD238; replacement evidence attached to AUD556.</x:v>
      </x:c>
    </x:row>
    <x:row r="260">
      <x:c r="A260" s="30" t="str">
        <x:v>EVD259</x:v>
      </x:c>
      <x:c r="B260" s="30" t="str">
        <x:v>AUD240</x:v>
      </x:c>
      <x:c r="C260" s="30" t="str">
        <x:v>Approved Price List</x:v>
      </x:c>
      <x:c r="D260" s="30" t="str">
        <x:v>Document</x:v>
      </x:c>
      <x:c r="E260" s="30" t="str">
        <x:v>Yes</x:v>
      </x:c>
      <x:c r="F260" s="30" t="str">
        <x:v>Operational</x:v>
      </x:c>
      <x:c r="G260" s="30" t="str">
        <x:v>CORE</x:v>
      </x:c>
      <x:c r="H260" s="30" t="str">
        <x:v>No</x:v>
      </x:c>
      <x:c r="I260" s="30" t="str">
        <x:v>P-2 QUARANTINED with AUD240; replacement evidence attached to AUD557.</x:v>
      </x:c>
    </x:row>
    <x:row r="261">
      <x:c r="A261" s="30" t="str">
        <x:v>EVD260</x:v>
      </x:c>
      <x:c r="B261" s="30" t="str">
        <x:v>AUD240</x:v>
      </x:c>
      <x:c r="C261" s="30" t="str">
        <x:v>Price Revision Approval</x:v>
      </x:c>
      <x:c r="D261" s="30" t="str">
        <x:v>Approval</x:v>
      </x:c>
      <x:c r="E261" s="30" t="str">
        <x:v>Yes</x:v>
      </x:c>
      <x:c r="F261" s="30" t="str">
        <x:v>Permanent</x:v>
      </x:c>
      <x:c r="G261" s="30" t="str">
        <x:v>CORE</x:v>
      </x:c>
      <x:c r="H261" s="30" t="str">
        <x:v>No</x:v>
      </x:c>
      <x:c r="I261" s="30" t="str">
        <x:v>P-2 QUARANTINED with AUD240; replacement evidence attached to AUD557.</x:v>
      </x:c>
    </x:row>
    <x:row r="262">
      <x:c r="A262" s="30" t="str">
        <x:v>EVD261</x:v>
      </x:c>
      <x:c r="B262" s="30" t="str">
        <x:v>AUD242</x:v>
      </x:c>
      <x:c r="C262" s="30" t="str">
        <x:v>POS User Access Register</x:v>
      </x:c>
      <x:c r="D262" s="30" t="str">
        <x:v>Digital Record</x:v>
      </x:c>
      <x:c r="E262" s="30" t="str">
        <x:v>Yes</x:v>
      </x:c>
      <x:c r="F262" s="30" t="str">
        <x:v>Operational</x:v>
      </x:c>
      <x:c r="G262" s="30" t="str">
        <x:v>CORE</x:v>
      </x:c>
      <x:c r="H262" s="30" t="str">
        <x:v>No</x:v>
      </x:c>
      <x:c r="I262" s="30" t="str">
        <x:v>P-2 QUARANTINED with AUD242; replacement evidence attached to AUD558.</x:v>
      </x:c>
    </x:row>
    <x:row r="263">
      <x:c r="A263" s="30" t="str">
        <x:v>EVD262</x:v>
      </x:c>
      <x:c r="B263" s="30" t="str">
        <x:v>AUD242</x:v>
      </x:c>
      <x:c r="C263" s="30" t="str">
        <x:v>Price Override Audit Report</x:v>
      </x:c>
      <x:c r="D263" s="30" t="str">
        <x:v>Digital Record</x:v>
      </x:c>
      <x:c r="E263" s="30" t="str">
        <x:v>Yes</x:v>
      </x:c>
      <x:c r="F263" s="30" t="str">
        <x:v>Operational</x:v>
      </x:c>
      <x:c r="G263" s="30" t="str">
        <x:v>CORE</x:v>
      </x:c>
      <x:c r="H263" s="30" t="str">
        <x:v>No</x:v>
      </x:c>
      <x:c r="I263" s="30" t="str">
        <x:v>P-2 QUARANTINED with AUD242; replacement evidence attached to AUD558.</x:v>
      </x:c>
    </x:row>
    <x:row r="264">
      <x:c r="A264" s="30" t="str">
        <x:v>EVD263</x:v>
      </x:c>
      <x:c r="B264" s="30" t="str">
        <x:v>AUD244</x:v>
      </x:c>
      <x:c r="C264" s="30" t="str">
        <x:v>Cancelled Sales Register</x:v>
      </x:c>
      <x:c r="D264" s="30" t="str">
        <x:v>Sale Record</x:v>
      </x:c>
      <x:c r="E264" s="30" t="str">
        <x:v>Yes</x:v>
      </x:c>
      <x:c r="F264" s="30" t="str">
        <x:v>Transactional</x:v>
      </x:c>
      <x:c r="G264" s="30" t="str">
        <x:v>CORE</x:v>
      </x:c>
      <x:c r="H264" s="30" t="str">
        <x:v>No</x:v>
      </x:c>
      <x:c r="I264" s="30" t="str">
        <x:v>P-2 QUARANTINED with AUD244; replacement evidence attached to AUD559.</x:v>
      </x:c>
    </x:row>
    <x:row r="265">
      <x:c r="A265" s="30" t="str">
        <x:v>EVD264</x:v>
      </x:c>
      <x:c r="B265" s="30" t="str">
        <x:v>AUD244</x:v>
      </x:c>
      <x:c r="C265" s="30" t="str">
        <x:v>Cancellation Approval Record</x:v>
      </x:c>
      <x:c r="D265" s="30" t="str">
        <x:v>Approval</x:v>
      </x:c>
      <x:c r="E265" s="30" t="str">
        <x:v>Yes</x:v>
      </x:c>
      <x:c r="F265" s="30" t="str">
        <x:v>Permanent</x:v>
      </x:c>
      <x:c r="G265" s="30" t="str">
        <x:v>CORE</x:v>
      </x:c>
      <x:c r="H265" s="30" t="str">
        <x:v>No</x:v>
      </x:c>
      <x:c r="I265" s="30" t="str">
        <x:v>P-2 QUARANTINED with AUD244; replacement evidence attached to AUD559.</x:v>
      </x:c>
    </x:row>
    <x:row r="266">
      <x:c r="A266" s="30" t="str">
        <x:v>EVD265</x:v>
      </x:c>
      <x:c r="B266" s="30" t="str">
        <x:v>AUD246</x:v>
      </x:c>
      <x:c r="C266" s="30" t="str">
        <x:v>Daily Sales Reconciliation Report</x:v>
      </x:c>
      <x:c r="D266" s="30" t="str">
        <x:v>Sale Record</x:v>
      </x:c>
      <x:c r="E266" s="30" t="str">
        <x:v>Yes</x:v>
      </x:c>
      <x:c r="F266" s="30" t="str">
        <x:v>Transactional</x:v>
      </x:c>
      <x:c r="G266" s="30" t="str">
        <x:v>CORE</x:v>
      </x:c>
      <x:c r="H266" s="30" t="str">
        <x:v>No</x:v>
      </x:c>
      <x:c r="I266" s="30" t="str">
        <x:v>P-2 QUARANTINED with AUD246; replacement evidence attached to AUD560.</x:v>
      </x:c>
    </x:row>
    <x:row r="267">
      <x:c r="A267" s="30" t="str">
        <x:v>EVD266</x:v>
      </x:c>
      <x:c r="B267" s="30" t="str">
        <x:v>AUD246</x:v>
      </x:c>
      <x:c r="C267" s="30" t="str">
        <x:v>Cash Closing Report</x:v>
      </x:c>
      <x:c r="D267" s="30" t="str">
        <x:v>Report</x:v>
      </x:c>
      <x:c r="E267" s="30" t="str">
        <x:v>Yes</x:v>
      </x:c>
      <x:c r="F267" s="30" t="str">
        <x:v>Operational</x:v>
      </x:c>
      <x:c r="G267" s="30" t="str">
        <x:v>CORE</x:v>
      </x:c>
      <x:c r="H267" s="30" t="str">
        <x:v>No</x:v>
      </x:c>
      <x:c r="I267" s="30" t="str">
        <x:v>P-2 QUARANTINED with AUD246; replacement evidence attached to AUD560.</x:v>
      </x:c>
    </x:row>
    <x:row r="268">
      <x:c r="A268" s="30" t="str">
        <x:v>EVD267</x:v>
      </x:c>
      <x:c r="B268" s="30" t="str">
        <x:v>AUD248</x:v>
      </x:c>
      <x:c r="C268" s="30" t="str">
        <x:v>Documentary and transaction evidence demonstrating: Deliver pharmacy services in accordance with Good Pharmacy Practice principles.</x:v>
      </x:c>
      <x:c r="D268" s="30" t="str">
        <x:v>Record</x:v>
      </x:c>
      <x:c r="E268" s="30" t="str">
        <x:v>Yes</x:v>
      </x:c>
      <x:c r="F268" s="30" t="str">
        <x:v>Applicable statutory / operational period</x:v>
      </x:c>
      <x:c r="G268" s="30" t="str">
        <x:v>CORE</x:v>
      </x:c>
      <x:c r="H268" s="30" t="str">
        <x:v>Yes</x:v>
      </x:c>
      <x:c r="I268" s="30" t="str">
        <x:v>P-4 aligned to the normalized parent audit; legacy Evidence ID preserved.</x:v>
      </x:c>
    </x:row>
    <x:row r="269">
      <x:c r="A269" s="30" t="str">
        <x:v>EVD268</x:v>
      </x:c>
      <x:c r="B269" s="30" t="str">
        <x:v>AUD248</x:v>
      </x:c>
      <x:c r="C269" s="30" t="str">
        <x:v>Documentary and transaction evidence demonstrating: Deliver pharmacy services in accordance with Good Pharmacy Practice principles.</x:v>
      </x:c>
      <x:c r="D269" s="30" t="str">
        <x:v>Record</x:v>
      </x:c>
      <x:c r="E269" s="30" t="str">
        <x:v>Yes</x:v>
      </x:c>
      <x:c r="F269" s="30" t="str">
        <x:v>Applicable statutory / operational period</x:v>
      </x:c>
      <x:c r="G269" s="30" t="str">
        <x:v>CORE</x:v>
      </x:c>
      <x:c r="H269" s="30" t="str">
        <x:v>Yes</x:v>
      </x:c>
      <x:c r="I269" s="30" t="str">
        <x:v>P-4 aligned to the normalized parent audit; legacy Evidence ID preserved.</x:v>
      </x:c>
    </x:row>
    <x:row r="270">
      <x:c r="A270" s="30" t="str">
        <x:v>EVD269</x:v>
      </x:c>
      <x:c r="B270" s="30" t="str">
        <x:v>AUD250</x:v>
      </x:c>
      <x:c r="C270" s="30" t="str">
        <x:v>Documentary and transaction evidence demonstrating: Provide appropriate counselling to patients regarding medicine use, dosage and precautions.</x:v>
      </x:c>
      <x:c r="D270" s="30" t="str">
        <x:v>Record</x:v>
      </x:c>
      <x:c r="E270" s="30" t="str">
        <x:v>Yes</x:v>
      </x:c>
      <x:c r="F270" s="30" t="str">
        <x:v>Applicable statutory / operational period</x:v>
      </x:c>
      <x:c r="G270" s="30" t="str">
        <x:v>CORE</x:v>
      </x:c>
      <x:c r="H270" s="30" t="str">
        <x:v>Yes</x:v>
      </x:c>
      <x:c r="I270" s="30" t="str">
        <x:v>P-4 aligned to the normalized parent audit; legacy Evidence ID preserved.</x:v>
      </x:c>
    </x:row>
    <x:row r="271">
      <x:c r="A271" s="30" t="str">
        <x:v>EVD270</x:v>
      </x:c>
      <x:c r="B271" s="30" t="str">
        <x:v>AUD250</x:v>
      </x:c>
      <x:c r="C271" s="30" t="str">
        <x:v>Documentary and transaction evidence demonstrating: Provide appropriate counselling to patients regarding medicine use, dosage and precautions.</x:v>
      </x:c>
      <x:c r="D271" s="30" t="str">
        <x:v>Record</x:v>
      </x:c>
      <x:c r="E271" s="30" t="str">
        <x:v>Yes</x:v>
      </x:c>
      <x:c r="F271" s="30" t="str">
        <x:v>Applicable statutory / operational period</x:v>
      </x:c>
      <x:c r="G271" s="30" t="str">
        <x:v>CORE</x:v>
      </x:c>
      <x:c r="H271" s="30" t="str">
        <x:v>Yes</x:v>
      </x:c>
      <x:c r="I271" s="30" t="str">
        <x:v>P-4 aligned to the normalized parent audit; legacy Evidence ID preserved.</x:v>
      </x:c>
    </x:row>
    <x:row r="272">
      <x:c r="A272" s="30" t="str">
        <x:v>EVD271</x:v>
      </x:c>
      <x:c r="B272" s="30" t="str">
        <x:v>AUD252</x:v>
      </x:c>
      <x:c r="C272" s="30" t="str">
        <x:v>Documentary and transaction evidence demonstrating: Review each prescription for completeness, legality and appropriateness before dispensing.</x:v>
      </x:c>
      <x:c r="D272" s="30" t="str">
        <x:v>Record</x:v>
      </x:c>
      <x:c r="E272" s="30" t="str">
        <x:v>Yes</x:v>
      </x:c>
      <x:c r="F272" s="30" t="str">
        <x:v>Applicable statutory / operational period</x:v>
      </x:c>
      <x:c r="G272" s="30" t="str">
        <x:v>CORE</x:v>
      </x:c>
      <x:c r="H272" s="30" t="str">
        <x:v>Yes</x:v>
      </x:c>
      <x:c r="I272" s="30" t="str">
        <x:v>P-4 aligned to the normalized parent audit; legacy Evidence ID preserved.</x:v>
      </x:c>
    </x:row>
    <x:row r="273">
      <x:c r="A273" s="30" t="str">
        <x:v>EVD272</x:v>
      </x:c>
      <x:c r="B273" s="30" t="str">
        <x:v>AUD252</x:v>
      </x:c>
      <x:c r="C273" s="30" t="str">
        <x:v>Documentary and transaction evidence demonstrating: Review each prescription for completeness, legality and appropriateness before dispensing.</x:v>
      </x:c>
      <x:c r="D273" s="30" t="str">
        <x:v>Record</x:v>
      </x:c>
      <x:c r="E273" s="30" t="str">
        <x:v>Yes</x:v>
      </x:c>
      <x:c r="F273" s="30" t="str">
        <x:v>Applicable statutory / operational period</x:v>
      </x:c>
      <x:c r="G273" s="30" t="str">
        <x:v>CORE</x:v>
      </x:c>
      <x:c r="H273" s="30" t="str">
        <x:v>Yes</x:v>
      </x:c>
      <x:c r="I273" s="30" t="str">
        <x:v>P-4 aligned to the normalized parent audit; legacy Evidence ID preserved.</x:v>
      </x:c>
    </x:row>
    <x:row r="274">
      <x:c r="A274" s="30" t="str">
        <x:v>EVD273</x:v>
      </x:c>
      <x:c r="B274" s="30" t="str">
        <x:v>AUD254</x:v>
      </x:c>
      <x:c r="C274" s="30" t="str">
        <x:v>Documentary and transaction evidence demonstrating: Procure medicines only from licensed and authorized suppliers.</x:v>
      </x:c>
      <x:c r="D274" s="30" t="str">
        <x:v>Record</x:v>
      </x:c>
      <x:c r="E274" s="30" t="str">
        <x:v>Yes</x:v>
      </x:c>
      <x:c r="F274" s="30" t="str">
        <x:v>Applicable statutory / operational period</x:v>
      </x:c>
      <x:c r="G274" s="30" t="str">
        <x:v>CORE</x:v>
      </x:c>
      <x:c r="H274" s="30" t="str">
        <x:v>Yes</x:v>
      </x:c>
      <x:c r="I274" s="30" t="str">
        <x:v>P-4 aligned to the normalized parent audit; legacy Evidence ID preserved.</x:v>
      </x:c>
    </x:row>
    <x:row r="275">
      <x:c r="A275" s="30" t="str">
        <x:v>EVD274</x:v>
      </x:c>
      <x:c r="B275" s="30" t="str">
        <x:v>AUD254</x:v>
      </x:c>
      <x:c r="C275" s="30" t="str">
        <x:v>Documentary and transaction evidence demonstrating: Procure medicines only from licensed and authorized suppliers.</x:v>
      </x:c>
      <x:c r="D275" s="30" t="str">
        <x:v>Record</x:v>
      </x:c>
      <x:c r="E275" s="30" t="str">
        <x:v>Yes</x:v>
      </x:c>
      <x:c r="F275" s="30" t="str">
        <x:v>Applicable statutory / operational period</x:v>
      </x:c>
      <x:c r="G275" s="30" t="str">
        <x:v>CORE</x:v>
      </x:c>
      <x:c r="H275" s="30" t="str">
        <x:v>Yes</x:v>
      </x:c>
      <x:c r="I275" s="30" t="str">
        <x:v>P-4 aligned to the normalized parent audit; legacy Evidence ID preserved.</x:v>
      </x:c>
    </x:row>
    <x:row r="276">
      <x:c r="A276" s="30" t="str">
        <x:v>EVD275</x:v>
      </x:c>
      <x:c r="B276" s="30" t="str">
        <x:v>AUD256</x:v>
      </x:c>
      <x:c r="C276" s="30" t="str">
        <x:v>Documentary and transaction evidence demonstrating: Maintain suitable transportation and distribution conditions to preserve product quality.</x:v>
      </x:c>
      <x:c r="D276" s="30" t="str">
        <x:v>Record</x:v>
      </x:c>
      <x:c r="E276" s="30" t="str">
        <x:v>Yes</x:v>
      </x:c>
      <x:c r="F276" s="30" t="str">
        <x:v>Applicable statutory / operational period</x:v>
      </x:c>
      <x:c r="G276" s="30" t="str">
        <x:v>CORE</x:v>
      </x:c>
      <x:c r="H276" s="30" t="str">
        <x:v>Yes</x:v>
      </x:c>
      <x:c r="I276" s="30" t="str">
        <x:v>P-4 aligned to the normalized parent audit; legacy Evidence ID preserved.</x:v>
      </x:c>
    </x:row>
    <x:row r="277">
      <x:c r="A277" s="30" t="str">
        <x:v>EVD276</x:v>
      </x:c>
      <x:c r="B277" s="30" t="str">
        <x:v>AUD256</x:v>
      </x:c>
      <x:c r="C277" s="30" t="str">
        <x:v>Documentary and transaction evidence demonstrating: Maintain suitable transportation and distribution conditions to preserve product quality.</x:v>
      </x:c>
      <x:c r="D277" s="30" t="str">
        <x:v>Record</x:v>
      </x:c>
      <x:c r="E277" s="30" t="str">
        <x:v>Yes</x:v>
      </x:c>
      <x:c r="F277" s="30" t="str">
        <x:v>Applicable statutory / operational period</x:v>
      </x:c>
      <x:c r="G277" s="30" t="str">
        <x:v>CORE</x:v>
      </x:c>
      <x:c r="H277" s="30" t="str">
        <x:v>Yes</x:v>
      </x:c>
      <x:c r="I277" s="30" t="str">
        <x:v>P-4 aligned to the normalized parent audit; legacy Evidence ID preserved.</x:v>
      </x:c>
    </x:row>
    <x:row r="278">
      <x:c r="A278" s="30" t="str">
        <x:v>EVD277</x:v>
      </x:c>
      <x:c r="B278" s="30" t="str">
        <x:v>AUD258</x:v>
      </x:c>
      <x:c r="C278" s="30" t="str">
        <x:v>Documentary and transaction evidence demonstrating: Maintain complete and traceable distribution records for all pharmaceutical products.</x:v>
      </x:c>
      <x:c r="D278" s="30" t="str">
        <x:v>Record</x:v>
      </x:c>
      <x:c r="E278" s="30" t="str">
        <x:v>Yes</x:v>
      </x:c>
      <x:c r="F278" s="30" t="str">
        <x:v>Applicable statutory / operational period</x:v>
      </x:c>
      <x:c r="G278" s="30" t="str">
        <x:v>CORE</x:v>
      </x:c>
      <x:c r="H278" s="30" t="str">
        <x:v>Yes</x:v>
      </x:c>
      <x:c r="I278" s="30" t="str">
        <x:v>P-4 aligned to the normalized parent audit; legacy Evidence ID preserved.</x:v>
      </x:c>
    </x:row>
    <x:row r="279">
      <x:c r="A279" s="30" t="str">
        <x:v>EVD278</x:v>
      </x:c>
      <x:c r="B279" s="30" t="str">
        <x:v>AUD258</x:v>
      </x:c>
      <x:c r="C279" s="30" t="str">
        <x:v>Documentary and transaction evidence demonstrating: Maintain complete and traceable distribution records for all pharmaceutical products.</x:v>
      </x:c>
      <x:c r="D279" s="30" t="str">
        <x:v>Record</x:v>
      </x:c>
      <x:c r="E279" s="30" t="str">
        <x:v>Yes</x:v>
      </x:c>
      <x:c r="F279" s="30" t="str">
        <x:v>Applicable statutory / operational period</x:v>
      </x:c>
      <x:c r="G279" s="30" t="str">
        <x:v>CORE</x:v>
      </x:c>
      <x:c r="H279" s="30" t="str">
        <x:v>Yes</x:v>
      </x:c>
      <x:c r="I279" s="30" t="str">
        <x:v>P-4 aligned to the normalized parent audit; legacy Evidence ID preserved.</x:v>
      </x:c>
    </x:row>
    <x:row r="280">
      <x:c r="A280" s="30" t="str">
        <x:v>EVD279</x:v>
      </x:c>
      <x:c r="B280" s="30" t="str">
        <x:v>AUD258</x:v>
      </x:c>
      <x:c r="C280" s="30" t="str">
        <x:v>Documentary and transaction evidence demonstrating: Maintain complete and traceable distribution records for all pharmaceutical products.</x:v>
      </x:c>
      <x:c r="D280" s="30" t="str">
        <x:v>Record</x:v>
      </x:c>
      <x:c r="E280" s="30" t="str">
        <x:v>Yes</x:v>
      </x:c>
      <x:c r="F280" s="30" t="str">
        <x:v>Applicable statutory / operational period</x:v>
      </x:c>
      <x:c r="G280" s="30" t="str">
        <x:v>CORE</x:v>
      </x:c>
      <x:c r="H280" s="30" t="str">
        <x:v>Yes</x:v>
      </x:c>
      <x:c r="I280" s="30" t="str">
        <x:v>P-4 aligned to the normalized parent audit; legacy Evidence ID preserved.</x:v>
      </x:c>
    </x:row>
    <x:row r="281">
      <x:c r="A281" s="30" t="str">
        <x:v>EVD280</x:v>
      </x:c>
      <x:c r="B281" s="30" t="str">
        <x:v>AUD258</x:v>
      </x:c>
      <x:c r="C281" s="30" t="str">
        <x:v>Documentary and transaction evidence demonstrating: Maintain complete and traceable distribution records for all pharmaceutical products.</x:v>
      </x:c>
      <x:c r="D281" s="30" t="str">
        <x:v>Record</x:v>
      </x:c>
      <x:c r="E281" s="30" t="str">
        <x:v>Yes</x:v>
      </x:c>
      <x:c r="F281" s="30" t="str">
        <x:v>Applicable statutory / operational period</x:v>
      </x:c>
      <x:c r="G281" s="30" t="str">
        <x:v>CORE</x:v>
      </x:c>
      <x:c r="H281" s="30" t="str">
        <x:v>Yes</x:v>
      </x:c>
      <x:c r="I281" s="30" t="str">
        <x:v>P-4 aligned to the normalized parent audit; legacy Evidence ID preserved.</x:v>
      </x:c>
    </x:row>
    <x:row r="282">
      <x:c r="A282" s="30" t="str">
        <x:v>EVD281</x:v>
      </x:c>
      <x:c r="B282" s="30" t="str">
        <x:v>AUD258</x:v>
      </x:c>
      <x:c r="C282" s="30" t="str">
        <x:v>Documentary and transaction evidence demonstrating: Maintain complete and traceable distribution records for all pharmaceutical products.</x:v>
      </x:c>
      <x:c r="D282" s="30" t="str">
        <x:v>Record</x:v>
      </x:c>
      <x:c r="E282" s="30" t="str">
        <x:v>Yes</x:v>
      </x:c>
      <x:c r="F282" s="30" t="str">
        <x:v>Applicable statutory / operational period</x:v>
      </x:c>
      <x:c r="G282" s="30" t="str">
        <x:v>CORE</x:v>
      </x:c>
      <x:c r="H282" s="30" t="str">
        <x:v>Yes</x:v>
      </x:c>
      <x:c r="I282" s="30" t="str">
        <x:v>P-4 aligned to the normalized parent audit; legacy Evidence ID preserved.</x:v>
      </x:c>
    </x:row>
    <x:row r="283">
      <x:c r="A283" s="30" t="str">
        <x:v>EVD282</x:v>
      </x:c>
      <x:c r="B283" s="30" t="str">
        <x:v>AUD258</x:v>
      </x:c>
      <x:c r="C283" s="30" t="str">
        <x:v>Documentary and transaction evidence demonstrating: Maintain complete and traceable distribution records for all pharmaceutical products.</x:v>
      </x:c>
      <x:c r="D283" s="30" t="str">
        <x:v>Record</x:v>
      </x:c>
      <x:c r="E283" s="30" t="str">
        <x:v>Yes</x:v>
      </x:c>
      <x:c r="F283" s="30" t="str">
        <x:v>Applicable statutory / operational period</x:v>
      </x:c>
      <x:c r="G283" s="30" t="str">
        <x:v>CORE</x:v>
      </x:c>
      <x:c r="H283" s="30" t="str">
        <x:v>Yes</x:v>
      </x:c>
      <x:c r="I283" s="30" t="str">
        <x:v>P-4 aligned to the normalized parent audit; legacy Evidence ID preserved.</x:v>
      </x:c>
    </x:row>
    <x:row r="284">
      <x:c r="A284" s="30" t="str">
        <x:v>EVD283</x:v>
      </x:c>
      <x:c r="B284" s="30" t="str">
        <x:v>AUD258</x:v>
      </x:c>
      <x:c r="C284" s="30" t="str">
        <x:v>Documentary and transaction evidence demonstrating: Maintain complete and traceable distribution records for all pharmaceutical products.</x:v>
      </x:c>
      <x:c r="D284" s="30" t="str">
        <x:v>Record</x:v>
      </x:c>
      <x:c r="E284" s="30" t="str">
        <x:v>Yes</x:v>
      </x:c>
      <x:c r="F284" s="30" t="str">
        <x:v>Applicable statutory / operational period</x:v>
      </x:c>
      <x:c r="G284" s="30" t="str">
        <x:v>CORE</x:v>
      </x:c>
      <x:c r="H284" s="30" t="str">
        <x:v>Yes</x:v>
      </x:c>
      <x:c r="I284" s="30" t="str">
        <x:v>P-4 aligned to the normalized parent audit; legacy Evidence ID preserved.</x:v>
      </x:c>
    </x:row>
    <x:row r="285">
      <x:c r="A285" s="30" t="str">
        <x:v>EVD284</x:v>
      </x:c>
      <x:c r="B285" s="30" t="str">
        <x:v>AUD258</x:v>
      </x:c>
      <x:c r="C285" s="30" t="str">
        <x:v>Documentary and transaction evidence demonstrating: Maintain complete and traceable distribution records for all pharmaceutical products.</x:v>
      </x:c>
      <x:c r="D285" s="30" t="str">
        <x:v>Record</x:v>
      </x:c>
      <x:c r="E285" s="30" t="str">
        <x:v>Yes</x:v>
      </x:c>
      <x:c r="F285" s="30" t="str">
        <x:v>Applicable statutory / operational period</x:v>
      </x:c>
      <x:c r="G285" s="30" t="str">
        <x:v>CORE</x:v>
      </x:c>
      <x:c r="H285" s="30" t="str">
        <x:v>Yes</x:v>
      </x:c>
      <x:c r="I285" s="30" t="str">
        <x:v>P-4 aligned to the normalized parent audit; legacy Evidence ID preserved.</x:v>
      </x:c>
    </x:row>
    <x:row r="286">
      <x:c r="A286" s="30" t="str">
        <x:v>EVD285</x:v>
      </x:c>
      <x:c r="B286" s="30" t="str">
        <x:v>AUD258</x:v>
      </x:c>
      <x:c r="C286" s="30" t="str">
        <x:v>Documentary and transaction evidence demonstrating: Maintain complete and traceable distribution records for all pharmaceutical products.</x:v>
      </x:c>
      <x:c r="D286" s="30" t="str">
        <x:v>Record</x:v>
      </x:c>
      <x:c r="E286" s="30" t="str">
        <x:v>Yes</x:v>
      </x:c>
      <x:c r="F286" s="30" t="str">
        <x:v>Applicable statutory / operational period</x:v>
      </x:c>
      <x:c r="G286" s="30" t="str">
        <x:v>CORE</x:v>
      </x:c>
      <x:c r="H286" s="30" t="str">
        <x:v>Yes</x:v>
      </x:c>
      <x:c r="I286" s="30" t="str">
        <x:v>P-4 aligned to the normalized parent audit; legacy Evidence ID preserved.</x:v>
      </x:c>
    </x:row>
    <x:row r="287">
      <x:c r="A287" s="30" t="str">
        <x:v>EVD286</x:v>
      </x:c>
      <x:c r="B287" s="30" t="str">
        <x:v>AUD262</x:v>
      </x:c>
      <x:c r="C287" s="30" t="str">
        <x:v>Documentary and transaction evidence demonstrating: Continuously monitor and record storage temperature for all temperature-sensitive medicines.</x:v>
      </x:c>
      <x:c r="D287" s="30" t="str">
        <x:v>Record</x:v>
      </x:c>
      <x:c r="E287" s="30" t="str">
        <x:v>Yes</x:v>
      </x:c>
      <x:c r="F287" s="30" t="str">
        <x:v>Applicable statutory / operational period</x:v>
      </x:c>
      <x:c r="G287" s="30" t="str">
        <x:v>CORE</x:v>
      </x:c>
      <x:c r="H287" s="30" t="str">
        <x:v>Yes</x:v>
      </x:c>
      <x:c r="I287" s="30" t="str">
        <x:v>P-4 aligned to the normalized parent audit; legacy Evidence ID preserved.</x:v>
      </x:c>
    </x:row>
    <x:row r="288">
      <x:c r="A288" s="30" t="str">
        <x:v>EVD287</x:v>
      </x:c>
      <x:c r="B288" s="30" t="str">
        <x:v>AUD262</x:v>
      </x:c>
      <x:c r="C288" s="30" t="str">
        <x:v>Documentary and transaction evidence demonstrating: Continuously monitor and record storage temperature for all temperature-sensitive medicines.</x:v>
      </x:c>
      <x:c r="D288" s="30" t="str">
        <x:v>Record</x:v>
      </x:c>
      <x:c r="E288" s="30" t="str">
        <x:v>Yes</x:v>
      </x:c>
      <x:c r="F288" s="30" t="str">
        <x:v>Applicable statutory / operational period</x:v>
      </x:c>
      <x:c r="G288" s="30" t="str">
        <x:v>CORE</x:v>
      </x:c>
      <x:c r="H288" s="30" t="str">
        <x:v>Yes</x:v>
      </x:c>
      <x:c r="I288" s="30" t="str">
        <x:v>P-4 aligned to the normalized parent audit; legacy Evidence ID preserved.</x:v>
      </x:c>
    </x:row>
    <x:row r="289">
      <x:c r="A289" s="30" t="str">
        <x:v>EVD288</x:v>
      </x:c>
      <x:c r="B289" s="30" t="str">
        <x:v>AUD264</x:v>
      </x:c>
      <x:c r="C289" s="30" t="str">
        <x:v>Documentary and transaction evidence demonstrating: Monitor and maintain humidity within prescribed limits where applicable.</x:v>
      </x:c>
      <x:c r="D289" s="30" t="str">
        <x:v>Record</x:v>
      </x:c>
      <x:c r="E289" s="30" t="str">
        <x:v>Yes</x:v>
      </x:c>
      <x:c r="F289" s="30" t="str">
        <x:v>Applicable statutory / operational period</x:v>
      </x:c>
      <x:c r="G289" s="30" t="str">
        <x:v>CORE</x:v>
      </x:c>
      <x:c r="H289" s="30" t="str">
        <x:v>Yes</x:v>
      </x:c>
      <x:c r="I289" s="30" t="str">
        <x:v>P-4 aligned to the normalized parent audit; legacy Evidence ID preserved.</x:v>
      </x:c>
    </x:row>
    <x:row r="290">
      <x:c r="A290" s="30" t="str">
        <x:v>EVD289</x:v>
      </x:c>
      <x:c r="B290" s="30" t="str">
        <x:v>AUD264</x:v>
      </x:c>
      <x:c r="C290" s="30" t="str">
        <x:v>Documentary and transaction evidence demonstrating: Monitor and maintain humidity within prescribed limits where applicable.</x:v>
      </x:c>
      <x:c r="D290" s="30" t="str">
        <x:v>Record</x:v>
      </x:c>
      <x:c r="E290" s="30" t="str">
        <x:v>Yes</x:v>
      </x:c>
      <x:c r="F290" s="30" t="str">
        <x:v>Applicable statutory / operational period</x:v>
      </x:c>
      <x:c r="G290" s="30" t="str">
        <x:v>CORE</x:v>
      </x:c>
      <x:c r="H290" s="30" t="str">
        <x:v>Yes</x:v>
      </x:c>
      <x:c r="I290" s="30" t="str">
        <x:v>P-4 aligned to the normalized parent audit; legacy Evidence ID preserved.</x:v>
      </x:c>
    </x:row>
    <x:row r="291">
      <x:c r="A291" s="30" t="str">
        <x:v>EVD290</x:v>
      </x:c>
      <x:c r="B291" s="30" t="str">
        <x:v>AUD266</x:v>
      </x:c>
      <x:c r="C291" s="30" t="str">
        <x:v>Documentary and transaction evidence demonstrating: Follow the FEFO (First Expiry First Out) inventory management system for stock issuance.</x:v>
      </x:c>
      <x:c r="D291" s="30" t="str">
        <x:v>Record</x:v>
      </x:c>
      <x:c r="E291" s="30" t="str">
        <x:v>Yes</x:v>
      </x:c>
      <x:c r="F291" s="30" t="str">
        <x:v>Applicable statutory / operational period</x:v>
      </x:c>
      <x:c r="G291" s="30" t="str">
        <x:v>CORE</x:v>
      </x:c>
      <x:c r="H291" s="30" t="str">
        <x:v>Yes</x:v>
      </x:c>
      <x:c r="I291" s="30" t="str">
        <x:v>P-4 aligned to the normalized parent audit; legacy Evidence ID preserved.</x:v>
      </x:c>
    </x:row>
    <x:row r="292">
      <x:c r="A292" s="30" t="str">
        <x:v>EVD291</x:v>
      </x:c>
      <x:c r="B292" s="30" t="str">
        <x:v>AUD266</x:v>
      </x:c>
      <x:c r="C292" s="30" t="str">
        <x:v>Documentary and transaction evidence demonstrating: Follow the FEFO (First Expiry First Out) inventory management system for stock issuance.</x:v>
      </x:c>
      <x:c r="D292" s="30" t="str">
        <x:v>Record</x:v>
      </x:c>
      <x:c r="E292" s="30" t="str">
        <x:v>Yes</x:v>
      </x:c>
      <x:c r="F292" s="30" t="str">
        <x:v>Applicable statutory / operational period</x:v>
      </x:c>
      <x:c r="G292" s="30" t="str">
        <x:v>CORE</x:v>
      </x:c>
      <x:c r="H292" s="30" t="str">
        <x:v>Yes</x:v>
      </x:c>
      <x:c r="I292" s="30" t="str">
        <x:v>P-4 aligned to the normalized parent audit; legacy Evidence ID preserved.</x:v>
      </x:c>
    </x:row>
    <x:row r="293">
      <x:c r="A293" s="30" t="str">
        <x:v>EVD292</x:v>
      </x:c>
      <x:c r="B293" s="30" t="str">
        <x:v>AUD268</x:v>
      </x:c>
      <x:c r="C293" s="30" t="str">
        <x:v>Documentary and transaction evidence demonstrating: Segregate expired, damaged, recalled and rejected medicines from saleable inventory immediately.</x:v>
      </x:c>
      <x:c r="D293" s="30" t="str">
        <x:v>Record</x:v>
      </x:c>
      <x:c r="E293" s="30" t="str">
        <x:v>Yes</x:v>
      </x:c>
      <x:c r="F293" s="30" t="str">
        <x:v>Applicable statutory / operational period</x:v>
      </x:c>
      <x:c r="G293" s="30" t="str">
        <x:v>CORE</x:v>
      </x:c>
      <x:c r="H293" s="30" t="str">
        <x:v>Yes</x:v>
      </x:c>
      <x:c r="I293" s="30" t="str">
        <x:v>P-4 aligned to the normalized parent audit; legacy Evidence ID preserved.</x:v>
      </x:c>
    </x:row>
    <x:row r="294">
      <x:c r="A294" s="30" t="str">
        <x:v>EVD293</x:v>
      </x:c>
      <x:c r="B294" s="30" t="str">
        <x:v>AUD268</x:v>
      </x:c>
      <x:c r="C294" s="30" t="str">
        <x:v>Documentary and transaction evidence demonstrating: Segregate expired, damaged, recalled and rejected medicines from saleable inventory immediately.</x:v>
      </x:c>
      <x:c r="D294" s="30" t="str">
        <x:v>Record</x:v>
      </x:c>
      <x:c r="E294" s="30" t="str">
        <x:v>Yes</x:v>
      </x:c>
      <x:c r="F294" s="30" t="str">
        <x:v>Applicable statutory / operational period</x:v>
      </x:c>
      <x:c r="G294" s="30" t="str">
        <x:v>CORE</x:v>
      </x:c>
      <x:c r="H294" s="30" t="str">
        <x:v>Yes</x:v>
      </x:c>
      <x:c r="I294" s="30" t="str">
        <x:v>P-4 aligned to the normalized parent audit; legacy Evidence ID preserved.</x:v>
      </x:c>
    </x:row>
    <x:row r="295">
      <x:c r="A295" s="30" t="str">
        <x:v>EVD294</x:v>
      </x:c>
      <x:c r="B295" s="30" t="str">
        <x:v>AUD270</x:v>
      </x:c>
      <x:c r="C295" s="30" t="str">
        <x:v>Documentary and transaction evidence demonstrating: Maintain storage areas in a clean, hygienic and pest-free condition.</x:v>
      </x:c>
      <x:c r="D295" s="30" t="str">
        <x:v>Record</x:v>
      </x:c>
      <x:c r="E295" s="30" t="str">
        <x:v>Yes</x:v>
      </x:c>
      <x:c r="F295" s="30" t="str">
        <x:v>Applicable statutory / operational period</x:v>
      </x:c>
      <x:c r="G295" s="30" t="str">
        <x:v>CORE</x:v>
      </x:c>
      <x:c r="H295" s="30" t="str">
        <x:v>Yes</x:v>
      </x:c>
      <x:c r="I295" s="30" t="str">
        <x:v>P-4 aligned to the normalized parent audit; legacy Evidence ID preserved.</x:v>
      </x:c>
    </x:row>
    <x:row r="296">
      <x:c r="A296" s="30" t="str">
        <x:v>EVD295</x:v>
      </x:c>
      <x:c r="B296" s="30" t="str">
        <x:v>AUD270</x:v>
      </x:c>
      <x:c r="C296" s="30" t="str">
        <x:v>Documentary and transaction evidence demonstrating: Maintain storage areas in a clean, hygienic and pest-free condition.</x:v>
      </x:c>
      <x:c r="D296" s="30" t="str">
        <x:v>Record</x:v>
      </x:c>
      <x:c r="E296" s="30" t="str">
        <x:v>Yes</x:v>
      </x:c>
      <x:c r="F296" s="30" t="str">
        <x:v>Applicable statutory / operational period</x:v>
      </x:c>
      <x:c r="G296" s="30" t="str">
        <x:v>CORE</x:v>
      </x:c>
      <x:c r="H296" s="30" t="str">
        <x:v>Yes</x:v>
      </x:c>
      <x:c r="I296" s="30" t="str">
        <x:v>P-4 aligned to the normalized parent audit; legacy Evidence ID preserved.</x:v>
      </x:c>
    </x:row>
    <x:row r="297">
      <x:c r="A297" s="30" t="str">
        <x:v>EVD296</x:v>
      </x:c>
      <x:c r="B297" s="30" t="str">
        <x:v>AUD272</x:v>
      </x:c>
      <x:c r="C297" s="30" t="str">
        <x:v>Documentary and transaction evidence demonstrating: Initiate product recall immediately upon receipt of recall notice or identification of defective products.</x:v>
      </x:c>
      <x:c r="D297" s="30" t="str">
        <x:v>Record</x:v>
      </x:c>
      <x:c r="E297" s="30" t="str">
        <x:v>Yes</x:v>
      </x:c>
      <x:c r="F297" s="30" t="str">
        <x:v>Applicable statutory / operational period</x:v>
      </x:c>
      <x:c r="G297" s="30" t="str">
        <x:v>CORE</x:v>
      </x:c>
      <x:c r="H297" s="30" t="str">
        <x:v>Yes</x:v>
      </x:c>
      <x:c r="I297" s="30" t="str">
        <x:v>P-4 aligned to the normalized parent audit; legacy Evidence ID preserved.</x:v>
      </x:c>
    </x:row>
    <x:row r="298">
      <x:c r="A298" s="30" t="str">
        <x:v>EVD297</x:v>
      </x:c>
      <x:c r="B298" s="30" t="str">
        <x:v>AUD272</x:v>
      </x:c>
      <x:c r="C298" s="30" t="str">
        <x:v>Documentary and transaction evidence demonstrating: Initiate product recall immediately upon receipt of recall notice or identification of defective products.</x:v>
      </x:c>
      <x:c r="D298" s="30" t="str">
        <x:v>Record</x:v>
      </x:c>
      <x:c r="E298" s="30" t="str">
        <x:v>Yes</x:v>
      </x:c>
      <x:c r="F298" s="30" t="str">
        <x:v>Applicable statutory / operational period</x:v>
      </x:c>
      <x:c r="G298" s="30" t="str">
        <x:v>CORE</x:v>
      </x:c>
      <x:c r="H298" s="30" t="str">
        <x:v>Yes</x:v>
      </x:c>
      <x:c r="I298" s="30" t="str">
        <x:v>P-4 aligned to the normalized parent audit; legacy Evidence ID preserved.</x:v>
      </x:c>
    </x:row>
    <x:row r="299">
      <x:c r="A299" s="30" t="str">
        <x:v>EVD298</x:v>
      </x:c>
      <x:c r="B299" s="30" t="str">
        <x:v>AUD274</x:v>
      </x:c>
      <x:c r="C299" s="30" t="str">
        <x:v>Documentary and transaction evidence demonstrating: Classify recalled products according to the applicable recall category and risk level.</x:v>
      </x:c>
      <x:c r="D299" s="30" t="str">
        <x:v>Record</x:v>
      </x:c>
      <x:c r="E299" s="30" t="str">
        <x:v>Yes</x:v>
      </x:c>
      <x:c r="F299" s="30" t="str">
        <x:v>Applicable statutory / operational period</x:v>
      </x:c>
      <x:c r="G299" s="30" t="str">
        <x:v>CORE</x:v>
      </x:c>
      <x:c r="H299" s="30" t="str">
        <x:v>Yes</x:v>
      </x:c>
      <x:c r="I299" s="30" t="str">
        <x:v>P-4 aligned to the normalized parent audit; legacy Evidence ID preserved.</x:v>
      </x:c>
    </x:row>
    <x:row r="300">
      <x:c r="A300" s="30" t="str">
        <x:v>EVD299</x:v>
      </x:c>
      <x:c r="B300" s="30" t="str">
        <x:v>AUD274</x:v>
      </x:c>
      <x:c r="C300" s="30" t="str">
        <x:v>Documentary and transaction evidence demonstrating: Classify recalled products according to the applicable recall category and risk level.</x:v>
      </x:c>
      <x:c r="D300" s="30" t="str">
        <x:v>Record</x:v>
      </x:c>
      <x:c r="E300" s="30" t="str">
        <x:v>Yes</x:v>
      </x:c>
      <x:c r="F300" s="30" t="str">
        <x:v>Applicable statutory / operational period</x:v>
      </x:c>
      <x:c r="G300" s="30" t="str">
        <x:v>CORE</x:v>
      </x:c>
      <x:c r="H300" s="30" t="str">
        <x:v>Yes</x:v>
      </x:c>
      <x:c r="I300" s="30" t="str">
        <x:v>P-4 aligned to the normalized parent audit; legacy Evidence ID preserved.</x:v>
      </x:c>
    </x:row>
    <x:row r="301">
      <x:c r="A301" s="30" t="str">
        <x:v>EVD300</x:v>
      </x:c>
      <x:c r="B301" s="30" t="str">
        <x:v>AUD276</x:v>
      </x:c>
      <x:c r="C301" s="30" t="str">
        <x:v>Documentary and transaction evidence demonstrating: Notify customers, distributors and regulatory authorities as required during product recall.</x:v>
      </x:c>
      <x:c r="D301" s="30" t="str">
        <x:v>Record</x:v>
      </x:c>
      <x:c r="E301" s="30" t="str">
        <x:v>Yes</x:v>
      </x:c>
      <x:c r="F301" s="30" t="str">
        <x:v>Applicable statutory / operational period</x:v>
      </x:c>
      <x:c r="G301" s="30" t="str">
        <x:v>CORE</x:v>
      </x:c>
      <x:c r="H301" s="30" t="str">
        <x:v>Yes</x:v>
      </x:c>
      <x:c r="I301" s="30" t="str">
        <x:v>P-4 aligned to the normalized parent audit; legacy Evidence ID preserved.</x:v>
      </x:c>
    </x:row>
    <x:row r="302">
      <x:c r="A302" s="30" t="str">
        <x:v>EVD301</x:v>
      </x:c>
      <x:c r="B302" s="30" t="str">
        <x:v>AUD276</x:v>
      </x:c>
      <x:c r="C302" s="30" t="str">
        <x:v>Documentary and transaction evidence demonstrating: Notify customers, distributors and regulatory authorities as required during product recall.</x:v>
      </x:c>
      <x:c r="D302" s="30" t="str">
        <x:v>Record</x:v>
      </x:c>
      <x:c r="E302" s="30" t="str">
        <x:v>Yes</x:v>
      </x:c>
      <x:c r="F302" s="30" t="str">
        <x:v>Applicable statutory / operational period</x:v>
      </x:c>
      <x:c r="G302" s="30" t="str">
        <x:v>CORE</x:v>
      </x:c>
      <x:c r="H302" s="30" t="str">
        <x:v>Yes</x:v>
      </x:c>
      <x:c r="I302" s="30" t="str">
        <x:v>P-4 aligned to the normalized parent audit; legacy Evidence ID preserved.</x:v>
      </x:c>
    </x:row>
    <x:row r="303">
      <x:c r="A303" s="30" t="str">
        <x:v>EVD302</x:v>
      </x:c>
      <x:c r="B303" s="30" t="str">
        <x:v>AUD278</x:v>
      </x:c>
      <x:c r="C303" s="30" t="str">
        <x:v>Documentary and transaction evidence demonstrating: Verify the effectiveness of product recall by reconciling quantities distributed and recovered.</x:v>
      </x:c>
      <x:c r="D303" s="30" t="str">
        <x:v>Record</x:v>
      </x:c>
      <x:c r="E303" s="30" t="str">
        <x:v>Yes</x:v>
      </x:c>
      <x:c r="F303" s="30" t="str">
        <x:v>Applicable statutory / operational period</x:v>
      </x:c>
      <x:c r="G303" s="30" t="str">
        <x:v>CORE</x:v>
      </x:c>
      <x:c r="H303" s="30" t="str">
        <x:v>Yes</x:v>
      </x:c>
      <x:c r="I303" s="30" t="str">
        <x:v>P-4 aligned to the normalized parent audit; legacy Evidence ID preserved.</x:v>
      </x:c>
    </x:row>
    <x:row r="304">
      <x:c r="A304" s="30" t="str">
        <x:v>EVD303</x:v>
      </x:c>
      <x:c r="B304" s="30" t="str">
        <x:v>AUD278</x:v>
      </x:c>
      <x:c r="C304" s="30" t="str">
        <x:v>Documentary and transaction evidence demonstrating: Verify the effectiveness of product recall by reconciling quantities distributed and recovered.</x:v>
      </x:c>
      <x:c r="D304" s="30" t="str">
        <x:v>Record</x:v>
      </x:c>
      <x:c r="E304" s="30" t="str">
        <x:v>Yes</x:v>
      </x:c>
      <x:c r="F304" s="30" t="str">
        <x:v>Applicable statutory / operational period</x:v>
      </x:c>
      <x:c r="G304" s="30" t="str">
        <x:v>CORE</x:v>
      </x:c>
      <x:c r="H304" s="30" t="str">
        <x:v>Yes</x:v>
      </x:c>
      <x:c r="I304" s="30" t="str">
        <x:v>P-4 aligned to the normalized parent audit; legacy Evidence ID preserved.</x:v>
      </x:c>
    </x:row>
    <x:row r="305">
      <x:c r="A305" s="30" t="str">
        <x:v>EVD304</x:v>
      </x:c>
      <x:c r="B305" s="30" t="str">
        <x:v>AUD280</x:v>
      </x:c>
      <x:c r="C305" s="30" t="str">
        <x:v>Documentary and transaction evidence demonstrating: Maintain complete documentation supporting recall closure and regulatory reporting.</x:v>
      </x:c>
      <x:c r="D305" s="30" t="str">
        <x:v>Record</x:v>
      </x:c>
      <x:c r="E305" s="30" t="str">
        <x:v>Yes</x:v>
      </x:c>
      <x:c r="F305" s="30" t="str">
        <x:v>Applicable statutory / operational period</x:v>
      </x:c>
      <x:c r="G305" s="30" t="str">
        <x:v>CORE</x:v>
      </x:c>
      <x:c r="H305" s="30" t="str">
        <x:v>Yes</x:v>
      </x:c>
      <x:c r="I305" s="30" t="str">
        <x:v>P-4 aligned to the normalized parent audit; legacy Evidence ID preserved.</x:v>
      </x:c>
    </x:row>
    <x:row r="306">
      <x:c r="A306" s="30" t="str">
        <x:v>EVD305</x:v>
      </x:c>
      <x:c r="B306" s="30" t="str">
        <x:v>AUD280</x:v>
      </x:c>
      <x:c r="C306" s="30" t="str">
        <x:v>Documentary and transaction evidence demonstrating: Maintain complete documentation supporting recall closure and regulatory reporting.</x:v>
      </x:c>
      <x:c r="D306" s="30" t="str">
        <x:v>Record</x:v>
      </x:c>
      <x:c r="E306" s="30" t="str">
        <x:v>Yes</x:v>
      </x:c>
      <x:c r="F306" s="30" t="str">
        <x:v>Applicable statutory / operational period</x:v>
      </x:c>
      <x:c r="G306" s="30" t="str">
        <x:v>CORE</x:v>
      </x:c>
      <x:c r="H306" s="30" t="str">
        <x:v>Yes</x:v>
      </x:c>
      <x:c r="I306" s="30" t="str">
        <x:v>P-4 aligned to the normalized parent audit; legacy Evidence ID preserved.</x:v>
      </x:c>
    </x:row>
    <x:row r="307">
      <x:c r="A307" s="30" t="str">
        <x:v>EVD306</x:v>
      </x:c>
      <x:c r="B307" s="30" t="str">
        <x:v>AUD282</x:v>
      </x:c>
      <x:c r="C307" s="30" t="str">
        <x:v>Documentary and transaction evidence demonstrating: Establish a documented process for receiving product complaints from customers.</x:v>
      </x:c>
      <x:c r="D307" s="30" t="str">
        <x:v>Record</x:v>
      </x:c>
      <x:c r="E307" s="30" t="str">
        <x:v>Yes</x:v>
      </x:c>
      <x:c r="F307" s="30" t="str">
        <x:v>Applicable statutory / operational period</x:v>
      </x:c>
      <x:c r="G307" s="30" t="str">
        <x:v>CORE</x:v>
      </x:c>
      <x:c r="H307" s="30" t="str">
        <x:v>Yes</x:v>
      </x:c>
      <x:c r="I307" s="30" t="str">
        <x:v>P-4 aligned to the normalized parent audit; legacy Evidence ID preserved.</x:v>
      </x:c>
    </x:row>
    <x:row r="308">
      <x:c r="A308" s="30" t="str">
        <x:v>EVD307</x:v>
      </x:c>
      <x:c r="B308" s="30" t="str">
        <x:v>AUD282</x:v>
      </x:c>
      <x:c r="C308" s="30" t="str">
        <x:v>Documentary and transaction evidence demonstrating: Establish a documented process for receiving product complaints from customers.</x:v>
      </x:c>
      <x:c r="D308" s="30" t="str">
        <x:v>Record</x:v>
      </x:c>
      <x:c r="E308" s="30" t="str">
        <x:v>Yes</x:v>
      </x:c>
      <x:c r="F308" s="30" t="str">
        <x:v>Applicable statutory / operational period</x:v>
      </x:c>
      <x:c r="G308" s="30" t="str">
        <x:v>CORE</x:v>
      </x:c>
      <x:c r="H308" s="30" t="str">
        <x:v>Yes</x:v>
      </x:c>
      <x:c r="I308" s="30" t="str">
        <x:v>P-4 aligned to the normalized parent audit; legacy Evidence ID preserved.</x:v>
      </x:c>
    </x:row>
    <x:row r="309">
      <x:c r="A309" s="30" t="str">
        <x:v>EVD308</x:v>
      </x:c>
      <x:c r="B309" s="30" t="str">
        <x:v>AUD284</x:v>
      </x:c>
      <x:c r="C309" s="30" t="str">
        <x:v>Documentary and transaction evidence demonstrating: Investigate every product complaint and document findings appropriately.</x:v>
      </x:c>
      <x:c r="D309" s="30" t="str">
        <x:v>Record</x:v>
      </x:c>
      <x:c r="E309" s="30" t="str">
        <x:v>Yes</x:v>
      </x:c>
      <x:c r="F309" s="30" t="str">
        <x:v>Applicable statutory / operational period</x:v>
      </x:c>
      <x:c r="G309" s="30" t="str">
        <x:v>CORE</x:v>
      </x:c>
      <x:c r="H309" s="30" t="str">
        <x:v>Yes</x:v>
      </x:c>
      <x:c r="I309" s="30" t="str">
        <x:v>P-4 aligned to the normalized parent audit; legacy Evidence ID preserved.</x:v>
      </x:c>
    </x:row>
    <x:row r="310">
      <x:c r="A310" s="30" t="str">
        <x:v>EVD309</x:v>
      </x:c>
      <x:c r="B310" s="30" t="str">
        <x:v>AUD284</x:v>
      </x:c>
      <x:c r="C310" s="30" t="str">
        <x:v>Documentary and transaction evidence demonstrating: Investigate every product complaint and document findings appropriately.</x:v>
      </x:c>
      <x:c r="D310" s="30" t="str">
        <x:v>Record</x:v>
      </x:c>
      <x:c r="E310" s="30" t="str">
        <x:v>Yes</x:v>
      </x:c>
      <x:c r="F310" s="30" t="str">
        <x:v>Applicable statutory / operational period</x:v>
      </x:c>
      <x:c r="G310" s="30" t="str">
        <x:v>CORE</x:v>
      </x:c>
      <x:c r="H310" s="30" t="str">
        <x:v>Yes</x:v>
      </x:c>
      <x:c r="I310" s="30" t="str">
        <x:v>P-4 aligned to the normalized parent audit; legacy Evidence ID preserved.</x:v>
      </x:c>
    </x:row>
    <x:row r="311">
      <x:c r="A311" s="30" t="str">
        <x:v>EVD310</x:v>
      </x:c>
      <x:c r="B311" s="30" t="str">
        <x:v>AUD286</x:v>
      </x:c>
      <x:c r="C311" s="30" t="str">
        <x:v>Documentary and transaction evidence demonstrating: Maintain a complaint register and supporting investigation records.</x:v>
      </x:c>
      <x:c r="D311" s="30" t="str">
        <x:v>Record</x:v>
      </x:c>
      <x:c r="E311" s="30" t="str">
        <x:v>Yes</x:v>
      </x:c>
      <x:c r="F311" s="30" t="str">
        <x:v>Applicable statutory / operational period</x:v>
      </x:c>
      <x:c r="G311" s="30" t="str">
        <x:v>CORE</x:v>
      </x:c>
      <x:c r="H311" s="30" t="str">
        <x:v>Yes</x:v>
      </x:c>
      <x:c r="I311" s="30" t="str">
        <x:v>P-4 aligned to the normalized parent audit; legacy Evidence ID preserved.</x:v>
      </x:c>
    </x:row>
    <x:row r="312">
      <x:c r="A312" s="30" t="str">
        <x:v>EVD311</x:v>
      </x:c>
      <x:c r="B312" s="30" t="str">
        <x:v>AUD286</x:v>
      </x:c>
      <x:c r="C312" s="30" t="str">
        <x:v>Documentary and transaction evidence demonstrating: Maintain a complaint register and supporting investigation records.</x:v>
      </x:c>
      <x:c r="D312" s="30" t="str">
        <x:v>Record</x:v>
      </x:c>
      <x:c r="E312" s="30" t="str">
        <x:v>Yes</x:v>
      </x:c>
      <x:c r="F312" s="30" t="str">
        <x:v>Applicable statutory / operational period</x:v>
      </x:c>
      <x:c r="G312" s="30" t="str">
        <x:v>CORE</x:v>
      </x:c>
      <x:c r="H312" s="30" t="str">
        <x:v>Yes</x:v>
      </x:c>
      <x:c r="I312" s="30" t="str">
        <x:v>P-4 aligned to the normalized parent audit; legacy Evidence ID preserved.</x:v>
      </x:c>
    </x:row>
    <x:row r="313">
      <x:c r="A313" s="30" t="str">
        <x:v>EVD312</x:v>
      </x:c>
      <x:c r="B313" s="30" t="str">
        <x:v>AUD288</x:v>
      </x:c>
      <x:c r="C313" s="30" t="str">
        <x:v>Documentary and transaction evidence demonstrating: Close product complaints only after investigation, corrective action and documentation are completed.</x:v>
      </x:c>
      <x:c r="D313" s="30" t="str">
        <x:v>Record</x:v>
      </x:c>
      <x:c r="E313" s="30" t="str">
        <x:v>Yes</x:v>
      </x:c>
      <x:c r="F313" s="30" t="str">
        <x:v>Applicable statutory / operational period</x:v>
      </x:c>
      <x:c r="G313" s="30" t="str">
        <x:v>CORE</x:v>
      </x:c>
      <x:c r="H313" s="30" t="str">
        <x:v>Yes</x:v>
      </x:c>
      <x:c r="I313" s="30" t="str">
        <x:v>P-4 aligned to the normalized parent audit; legacy Evidence ID preserved.</x:v>
      </x:c>
    </x:row>
    <x:row r="314">
      <x:c r="A314" s="30" t="str">
        <x:v>EVD313</x:v>
      </x:c>
      <x:c r="B314" s="30" t="str">
        <x:v>AUD288</x:v>
      </x:c>
      <x:c r="C314" s="30" t="str">
        <x:v>Documentary and transaction evidence demonstrating: Close product complaints only after investigation, corrective action and documentation are completed.</x:v>
      </x:c>
      <x:c r="D314" s="30" t="str">
        <x:v>Record</x:v>
      </x:c>
      <x:c r="E314" s="30" t="str">
        <x:v>Yes</x:v>
      </x:c>
      <x:c r="F314" s="30" t="str">
        <x:v>Applicable statutory / operational period</x:v>
      </x:c>
      <x:c r="G314" s="30" t="str">
        <x:v>CORE</x:v>
      </x:c>
      <x:c r="H314" s="30" t="str">
        <x:v>Yes</x:v>
      </x:c>
      <x:c r="I314" s="30" t="str">
        <x:v>P-4 aligned to the normalized parent audit; legacy Evidence ID preserved.</x:v>
      </x:c>
    </x:row>
    <x:row r="315">
      <x:c r="A315" s="30" t="str">
        <x:v>EVD314</x:v>
      </x:c>
      <x:c r="B315" s="30" t="str">
        <x:v>AUD290</x:v>
      </x:c>
      <x:c r="C315" s="30" t="str">
        <x:v>Documentary and transaction evidence demonstrating: Report suspected adverse drug reactions to the Pharmacovigilance Programme of India whenever required.</x:v>
      </x:c>
      <x:c r="D315" s="30" t="str">
        <x:v>Record</x:v>
      </x:c>
      <x:c r="E315" s="30" t="str">
        <x:v>Yes</x:v>
      </x:c>
      <x:c r="F315" s="30" t="str">
        <x:v>Applicable statutory / operational period</x:v>
      </x:c>
      <x:c r="G315" s="30" t="str">
        <x:v>CORE</x:v>
      </x:c>
      <x:c r="H315" s="30" t="str">
        <x:v>Yes</x:v>
      </x:c>
      <x:c r="I315" s="30" t="str">
        <x:v>P-4 aligned to the normalized parent audit; legacy Evidence ID preserved.</x:v>
      </x:c>
    </x:row>
    <x:row r="316">
      <x:c r="A316" s="30" t="str">
        <x:v>EVD315</x:v>
      </x:c>
      <x:c r="B316" s="30" t="str">
        <x:v>AUD290</x:v>
      </x:c>
      <x:c r="C316" s="30" t="str">
        <x:v>Documentary and transaction evidence demonstrating: Report suspected adverse drug reactions to the Pharmacovigilance Programme of India whenever required.</x:v>
      </x:c>
      <x:c r="D316" s="30" t="str">
        <x:v>Record</x:v>
      </x:c>
      <x:c r="E316" s="30" t="str">
        <x:v>Yes</x:v>
      </x:c>
      <x:c r="F316" s="30" t="str">
        <x:v>Applicable statutory / operational period</x:v>
      </x:c>
      <x:c r="G316" s="30" t="str">
        <x:v>CORE</x:v>
      </x:c>
      <x:c r="H316" s="30" t="str">
        <x:v>Yes</x:v>
      </x:c>
      <x:c r="I316" s="30" t="str">
        <x:v>P-4 aligned to the normalized parent audit; legacy Evidence ID preserved.</x:v>
      </x:c>
    </x:row>
    <x:row r="317">
      <x:c r="A317" s="30" t="str">
        <x:v>EVD316</x:v>
      </x:c>
      <x:c r="B317" s="30" t="str">
        <x:v>AUD292</x:v>
      </x:c>
      <x:c r="C317" s="30" t="str">
        <x:v>Documentary and transaction evidence demonstrating: Maintain complete documentation for every reported adverse drug reaction.</x:v>
      </x:c>
      <x:c r="D317" s="30" t="str">
        <x:v>Record</x:v>
      </x:c>
      <x:c r="E317" s="30" t="str">
        <x:v>Yes</x:v>
      </x:c>
      <x:c r="F317" s="30" t="str">
        <x:v>Applicable statutory / operational period</x:v>
      </x:c>
      <x:c r="G317" s="30" t="str">
        <x:v>CORE</x:v>
      </x:c>
      <x:c r="H317" s="30" t="str">
        <x:v>Yes</x:v>
      </x:c>
      <x:c r="I317" s="30" t="str">
        <x:v>P-4 aligned to the normalized parent audit; legacy Evidence ID preserved.</x:v>
      </x:c>
    </x:row>
    <x:row r="318">
      <x:c r="A318" s="30" t="str">
        <x:v>EVD317</x:v>
      </x:c>
      <x:c r="B318" s="30" t="str">
        <x:v>AUD292</x:v>
      </x:c>
      <x:c r="C318" s="30" t="str">
        <x:v>Documentary and transaction evidence demonstrating: Maintain complete documentation for every reported adverse drug reaction.</x:v>
      </x:c>
      <x:c r="D318" s="30" t="str">
        <x:v>Record</x:v>
      </x:c>
      <x:c r="E318" s="30" t="str">
        <x:v>Yes</x:v>
      </x:c>
      <x:c r="F318" s="30" t="str">
        <x:v>Applicable statutory / operational period</x:v>
      </x:c>
      <x:c r="G318" s="30" t="str">
        <x:v>CORE</x:v>
      </x:c>
      <x:c r="H318" s="30" t="str">
        <x:v>Yes</x:v>
      </x:c>
      <x:c r="I318" s="30" t="str">
        <x:v>P-4 aligned to the normalized parent audit; legacy Evidence ID preserved.</x:v>
      </x:c>
    </x:row>
    <x:row r="319">
      <x:c r="A319" s="30" t="str">
        <x:v>EVD318</x:v>
      </x:c>
      <x:c r="B319" s="30" t="str">
        <x:v>AUD294</x:v>
      </x:c>
      <x:c r="C319" s="30" t="str">
        <x:v>Documentary and transaction evidence demonstrating: Escalate serious adverse drug reactions to the appropriate authority without delay.</x:v>
      </x:c>
      <x:c r="D319" s="30" t="str">
        <x:v>Record</x:v>
      </x:c>
      <x:c r="E319" s="30" t="str">
        <x:v>Yes</x:v>
      </x:c>
      <x:c r="F319" s="30" t="str">
        <x:v>Applicable statutory / operational period</x:v>
      </x:c>
      <x:c r="G319" s="30" t="str">
        <x:v>CORE</x:v>
      </x:c>
      <x:c r="H319" s="30" t="str">
        <x:v>Yes</x:v>
      </x:c>
      <x:c r="I319" s="30" t="str">
        <x:v>P-4 aligned to the normalized parent audit; legacy Evidence ID preserved.</x:v>
      </x:c>
    </x:row>
    <x:row r="320">
      <x:c r="A320" s="30" t="str">
        <x:v>EVD319</x:v>
      </x:c>
      <x:c r="B320" s="30" t="str">
        <x:v>AUD294</x:v>
      </x:c>
      <x:c r="C320" s="30" t="str">
        <x:v>Documentary and transaction evidence demonstrating: Escalate serious adverse drug reactions to the appropriate authority without delay.</x:v>
      </x:c>
      <x:c r="D320" s="30" t="str">
        <x:v>Record</x:v>
      </x:c>
      <x:c r="E320" s="30" t="str">
        <x:v>Yes</x:v>
      </x:c>
      <x:c r="F320" s="30" t="str">
        <x:v>Applicable statutory / operational period</x:v>
      </x:c>
      <x:c r="G320" s="30" t="str">
        <x:v>CORE</x:v>
      </x:c>
      <x:c r="H320" s="30" t="str">
        <x:v>Yes</x:v>
      </x:c>
      <x:c r="I320" s="30" t="str">
        <x:v>P-4 aligned to the normalized parent audit; legacy Evidence ID preserved.</x:v>
      </x:c>
    </x:row>
    <x:row r="321">
      <x:c r="A321" s="30" t="str">
        <x:v>EVD320</x:v>
      </x:c>
      <x:c r="B321" s="30" t="str">
        <x:v>AUD296</x:v>
      </x:c>
      <x:c r="C321" s="30" t="str">
        <x:v>Documentary and transaction evidence demonstrating: Maintain vaccines and biological products within the prescribed cold chain temperature range.</x:v>
      </x:c>
      <x:c r="D321" s="30" t="str">
        <x:v>Record</x:v>
      </x:c>
      <x:c r="E321" s="30" t="str">
        <x:v>Yes</x:v>
      </x:c>
      <x:c r="F321" s="30" t="str">
        <x:v>Applicable statutory / operational period</x:v>
      </x:c>
      <x:c r="G321" s="30" t="str">
        <x:v>CORE</x:v>
      </x:c>
      <x:c r="H321" s="30" t="str">
        <x:v>Yes</x:v>
      </x:c>
      <x:c r="I321" s="30" t="str">
        <x:v>P-4 aligned to the normalized parent audit; legacy Evidence ID preserved.</x:v>
      </x:c>
    </x:row>
    <x:row r="322">
      <x:c r="A322" s="30" t="str">
        <x:v>EVD321</x:v>
      </x:c>
      <x:c r="B322" s="30" t="str">
        <x:v>AUD296</x:v>
      </x:c>
      <x:c r="C322" s="30" t="str">
        <x:v>Documentary and transaction evidence demonstrating: Maintain vaccines and biological products within the prescribed cold chain temperature range.</x:v>
      </x:c>
      <x:c r="D322" s="30" t="str">
        <x:v>Record</x:v>
      </x:c>
      <x:c r="E322" s="30" t="str">
        <x:v>Yes</x:v>
      </x:c>
      <x:c r="F322" s="30" t="str">
        <x:v>Applicable statutory / operational period</x:v>
      </x:c>
      <x:c r="G322" s="30" t="str">
        <x:v>CORE</x:v>
      </x:c>
      <x:c r="H322" s="30" t="str">
        <x:v>Yes</x:v>
      </x:c>
      <x:c r="I322" s="30" t="str">
        <x:v>P-4 aligned to the normalized parent audit; legacy Evidence ID preserved.</x:v>
      </x:c>
    </x:row>
    <x:row r="323">
      <x:c r="A323" s="30" t="str">
        <x:v>EVD322</x:v>
      </x:c>
      <x:c r="B323" s="30" t="str">
        <x:v>AUD298</x:v>
      </x:c>
      <x:c r="C323" s="30" t="str">
        <x:v>Documentary and transaction evidence demonstrating: Record refrigerator temperatures at the prescribed frequency and retain logs for inspection.</x:v>
      </x:c>
      <x:c r="D323" s="30" t="str">
        <x:v>Record</x:v>
      </x:c>
      <x:c r="E323" s="30" t="str">
        <x:v>Yes</x:v>
      </x:c>
      <x:c r="F323" s="30" t="str">
        <x:v>Applicable statutory / operational period</x:v>
      </x:c>
      <x:c r="G323" s="30" t="str">
        <x:v>CORE</x:v>
      </x:c>
      <x:c r="H323" s="30" t="str">
        <x:v>Yes</x:v>
      </x:c>
      <x:c r="I323" s="30" t="str">
        <x:v>P-4 aligned to the normalized parent audit; legacy Evidence ID preserved.</x:v>
      </x:c>
    </x:row>
    <x:row r="324">
      <x:c r="A324" s="30" t="str">
        <x:v>EVD323</x:v>
      </x:c>
      <x:c r="B324" s="30" t="str">
        <x:v>AUD298</x:v>
      </x:c>
      <x:c r="C324" s="30" t="str">
        <x:v>Documentary and transaction evidence demonstrating: Record refrigerator temperatures at the prescribed frequency and retain logs for inspection.</x:v>
      </x:c>
      <x:c r="D324" s="30" t="str">
        <x:v>Record</x:v>
      </x:c>
      <x:c r="E324" s="30" t="str">
        <x:v>Yes</x:v>
      </x:c>
      <x:c r="F324" s="30" t="str">
        <x:v>Applicable statutory / operational period</x:v>
      </x:c>
      <x:c r="G324" s="30" t="str">
        <x:v>CORE</x:v>
      </x:c>
      <x:c r="H324" s="30" t="str">
        <x:v>Yes</x:v>
      </x:c>
      <x:c r="I324" s="30" t="str">
        <x:v>P-4 aligned to the normalized parent audit; legacy Evidence ID preserved.</x:v>
      </x:c>
    </x:row>
    <x:row r="325">
      <x:c r="A325" s="30" t="str">
        <x:v>EVD324</x:v>
      </x:c>
      <x:c r="B325" s="30" t="str">
        <x:v>AUD300</x:v>
      </x:c>
      <x:c r="C325" s="30" t="str">
        <x:v>Documentary and transaction evidence demonstrating: Validate and periodically qualify cold chain equipment before operational use.</x:v>
      </x:c>
      <x:c r="D325" s="30" t="str">
        <x:v>Record</x:v>
      </x:c>
      <x:c r="E325" s="30" t="str">
        <x:v>Yes</x:v>
      </x:c>
      <x:c r="F325" s="30" t="str">
        <x:v>Applicable statutory / operational period</x:v>
      </x:c>
      <x:c r="G325" s="30" t="str">
        <x:v>CORE</x:v>
      </x:c>
      <x:c r="H325" s="30" t="str">
        <x:v>Yes</x:v>
      </x:c>
      <x:c r="I325" s="30" t="str">
        <x:v>P-4 aligned to the normalized parent audit; legacy Evidence ID preserved.</x:v>
      </x:c>
    </x:row>
    <x:row r="326">
      <x:c r="A326" s="30" t="str">
        <x:v>EVD325</x:v>
      </x:c>
      <x:c r="B326" s="30" t="str">
        <x:v>AUD300</x:v>
      </x:c>
      <x:c r="C326" s="30" t="str">
        <x:v>Documentary and transaction evidence demonstrating: Validate and periodically qualify cold chain equipment before operational use.</x:v>
      </x:c>
      <x:c r="D326" s="30" t="str">
        <x:v>Record</x:v>
      </x:c>
      <x:c r="E326" s="30" t="str">
        <x:v>Yes</x:v>
      </x:c>
      <x:c r="F326" s="30" t="str">
        <x:v>Applicable statutory / operational period</x:v>
      </x:c>
      <x:c r="G326" s="30" t="str">
        <x:v>CORE</x:v>
      </x:c>
      <x:c r="H326" s="30" t="str">
        <x:v>Yes</x:v>
      </x:c>
      <x:c r="I326" s="30" t="str">
        <x:v>P-4 aligned to the normalized parent audit; legacy Evidence ID preserved.</x:v>
      </x:c>
    </x:row>
    <x:row r="327">
      <x:c r="A327" s="30" t="str">
        <x:v>EVD326</x:v>
      </x:c>
      <x:c r="B327" s="30" t="str">
        <x:v>AUD302</x:v>
      </x:c>
      <x:c r="C327" s="30" t="str">
        <x:v>Recall Module Audit Trail</x:v>
      </x:c>
      <x:c r="D327" s="30" t="str">
        <x:v>Digital Record</x:v>
      </x:c>
      <x:c r="E327" s="30" t="str">
        <x:v>Yes</x:v>
      </x:c>
      <x:c r="F327" s="30" t="str">
        <x:v>Operational</x:v>
      </x:c>
      <x:c r="G327" s="30" t="str">
        <x:v>CORE</x:v>
      </x:c>
      <x:c r="H327" s="30" t="str">
        <x:v>No</x:v>
      </x:c>
      <x:c r="I327" s="30" t="str">
        <x:v>P-4 QUARANTINED with inactive parent audit; legacy ID retained.</x:v>
      </x:c>
    </x:row>
    <x:row r="328">
      <x:c r="A328" s="30" t="str">
        <x:v>EVD327</x:v>
      </x:c>
      <x:c r="B328" s="30" t="str">
        <x:v>AUD302</x:v>
      </x:c>
      <x:c r="C328" s="30" t="str">
        <x:v>System User Access Report</x:v>
      </x:c>
      <x:c r="D328" s="30" t="str">
        <x:v>Digital Record</x:v>
      </x:c>
      <x:c r="E328" s="30" t="str">
        <x:v>Yes</x:v>
      </x:c>
      <x:c r="F328" s="30" t="str">
        <x:v>Operational</x:v>
      </x:c>
      <x:c r="G328" s="30" t="str">
        <x:v>CORE</x:v>
      </x:c>
      <x:c r="H328" s="30" t="str">
        <x:v>No</x:v>
      </x:c>
      <x:c r="I328" s="30" t="str">
        <x:v>P-4 QUARANTINED with inactive parent audit; legacy ID retained.</x:v>
      </x:c>
    </x:row>
    <x:row r="329">
      <x:c r="A329" s="30" t="str">
        <x:v>EVD328</x:v>
      </x:c>
      <x:c r="B329" s="30" t="str">
        <x:v>AUD304</x:v>
      </x:c>
      <x:c r="C329" s="30" t="str">
        <x:v>Internal Recall Audit Report</x:v>
      </x:c>
      <x:c r="D329" s="30" t="str">
        <x:v>Report</x:v>
      </x:c>
      <x:c r="E329" s="30" t="str">
        <x:v>Yes</x:v>
      </x:c>
      <x:c r="F329" s="30" t="str">
        <x:v>Operational</x:v>
      </x:c>
      <x:c r="G329" s="30" t="str">
        <x:v>CORE</x:v>
      </x:c>
      <x:c r="H329" s="30" t="str">
        <x:v>No</x:v>
      </x:c>
      <x:c r="I329" s="30" t="str">
        <x:v>P-4 QUARANTINED with inactive parent audit; legacy ID retained.</x:v>
      </x:c>
    </x:row>
    <x:row r="330">
      <x:c r="A330" s="30" t="str">
        <x:v>EVD329</x:v>
      </x:c>
      <x:c r="B330" s="30" t="str">
        <x:v>AUD304</x:v>
      </x:c>
      <x:c r="C330" s="30" t="str">
        <x:v>Recall Audit Observation Register</x:v>
      </x:c>
      <x:c r="D330" s="30" t="str">
        <x:v>Register</x:v>
      </x:c>
      <x:c r="E330" s="30" t="str">
        <x:v>Yes</x:v>
      </x:c>
      <x:c r="F330" s="30" t="str">
        <x:v>Statutory</x:v>
      </x:c>
      <x:c r="G330" s="30" t="str">
        <x:v>CORE</x:v>
      </x:c>
      <x:c r="H330" s="30" t="str">
        <x:v>No</x:v>
      </x:c>
      <x:c r="I330" s="30" t="str">
        <x:v>P-4 QUARANTINED with inactive parent audit; legacy ID retained.</x:v>
      </x:c>
    </x:row>
    <x:row r="331">
      <x:c r="A331" s="30" t="str">
        <x:v>EVD330</x:v>
      </x:c>
      <x:c r="B331" s="30" t="str">
        <x:v>AUD306</x:v>
      </x:c>
      <x:c r="C331" s="30" t="str">
        <x:v>Regulatory Inspection Report</x:v>
      </x:c>
      <x:c r="D331" s="30" t="str">
        <x:v>Inspection Report</x:v>
      </x:c>
      <x:c r="E331" s="30" t="str">
        <x:v>Yes</x:v>
      </x:c>
      <x:c r="F331" s="30" t="str">
        <x:v>Statutory</x:v>
      </x:c>
      <x:c r="G331" s="30" t="str">
        <x:v>CORE</x:v>
      </x:c>
      <x:c r="H331" s="30" t="str">
        <x:v>No</x:v>
      </x:c>
      <x:c r="I331" s="30" t="str">
        <x:v>P-4 QUARANTINED with inactive parent audit; legacy ID retained.</x:v>
      </x:c>
    </x:row>
    <x:row r="332">
      <x:c r="A332" s="30" t="str">
        <x:v>EVD331</x:v>
      </x:c>
      <x:c r="B332" s="30" t="str">
        <x:v>AUD306</x:v>
      </x:c>
      <x:c r="C332" s="30" t="str">
        <x:v>Regulatory Observation Closure Report</x:v>
      </x:c>
      <x:c r="D332" s="30" t="str">
        <x:v>Report</x:v>
      </x:c>
      <x:c r="E332" s="30" t="str">
        <x:v>Yes</x:v>
      </x:c>
      <x:c r="F332" s="30" t="str">
        <x:v>Operational</x:v>
      </x:c>
      <x:c r="G332" s="30" t="str">
        <x:v>CORE</x:v>
      </x:c>
      <x:c r="H332" s="30" t="str">
        <x:v>No</x:v>
      </x:c>
      <x:c r="I332" s="30" t="str">
        <x:v>P-4 QUARANTINED with inactive parent audit; legacy ID retained.</x:v>
      </x:c>
    </x:row>
    <x:row r="333">
      <x:c r="A333" s="30" t="str">
        <x:v>EVD332</x:v>
      </x:c>
      <x:c r="B333" s="30" t="str">
        <x:v>AUD308</x:v>
      </x:c>
      <x:c r="C333" s="30" t="str">
        <x:v>Recall &amp; Complaint KPI Dashboard</x:v>
      </x:c>
      <x:c r="D333" s="30" t="str">
        <x:v>Digital Record</x:v>
      </x:c>
      <x:c r="E333" s="30" t="str">
        <x:v>No</x:v>
      </x:c>
      <x:c r="F333" s="30" t="str">
        <x:v>Operational</x:v>
      </x:c>
      <x:c r="G333" s="30" t="str">
        <x:v>CORE</x:v>
      </x:c>
      <x:c r="H333" s="30" t="str">
        <x:v>No</x:v>
      </x:c>
      <x:c r="I333" s="30" t="str">
        <x:v>P-4 QUARANTINED with inactive parent audit; legacy ID retained.</x:v>
      </x:c>
    </x:row>
    <x:row r="334">
      <x:c r="A334" s="30" t="str">
        <x:v>EVD333</x:v>
      </x:c>
      <x:c r="B334" s="30" t="str">
        <x:v>AUD308</x:v>
      </x:c>
      <x:c r="C334" s="30" t="str">
        <x:v>Management Review Action Register</x:v>
      </x:c>
      <x:c r="D334" s="30" t="str">
        <x:v>Register</x:v>
      </x:c>
      <x:c r="E334" s="30" t="str">
        <x:v>Yes</x:v>
      </x:c>
      <x:c r="F334" s="30" t="str">
        <x:v>Statutory</x:v>
      </x:c>
      <x:c r="G334" s="30" t="str">
        <x:v>CORE</x:v>
      </x:c>
      <x:c r="H334" s="30" t="str">
        <x:v>No</x:v>
      </x:c>
      <x:c r="I334" s="30" t="str">
        <x:v>P-4 QUARANTINED with inactive parent audit; legacy ID retained.</x:v>
      </x:c>
    </x:row>
    <x:row r="335">
      <x:c r="A335" s="30" t="str">
        <x:v>EVD334</x:v>
      </x:c>
      <x:c r="B335" s="30" t="str">
        <x:v>AUD310</x:v>
      </x:c>
      <x:c r="C335" s="30" t="str">
        <x:v>Recall &amp; Complaint Compliance Assessment Report</x:v>
      </x:c>
      <x:c r="D335" s="30" t="str">
        <x:v>Report</x:v>
      </x:c>
      <x:c r="E335" s="30" t="str">
        <x:v>Yes</x:v>
      </x:c>
      <x:c r="F335" s="30" t="str">
        <x:v>Operational</x:v>
      </x:c>
      <x:c r="G335" s="30" t="str">
        <x:v>CORE</x:v>
      </x:c>
      <x:c r="H335" s="30" t="str">
        <x:v>No</x:v>
      </x:c>
      <x:c r="I335" s="30" t="str">
        <x:v>P-4 QUARANTINED with inactive parent audit; legacy ID retained.</x:v>
      </x:c>
    </x:row>
    <x:row r="336">
      <x:c r="A336" s="30" t="str">
        <x:v>EVD335</x:v>
      </x:c>
      <x:c r="B336" s="30" t="str">
        <x:v>AUD310</x:v>
      </x:c>
      <x:c r="C336" s="30" t="str">
        <x:v>Recall Process Flow Diagram</x:v>
      </x:c>
      <x:c r="D336" s="30" t="str">
        <x:v>Document</x:v>
      </x:c>
      <x:c r="E336" s="30" t="str">
        <x:v>No</x:v>
      </x:c>
      <x:c r="F336" s="30" t="str">
        <x:v>Operational</x:v>
      </x:c>
      <x:c r="G336" s="30" t="str">
        <x:v>CORE</x:v>
      </x:c>
      <x:c r="H336" s="30" t="str">
        <x:v>No</x:v>
      </x:c>
      <x:c r="I336" s="30" t="str">
        <x:v>P-4 QUARANTINED with inactive parent audit; legacy ID retained.</x:v>
      </x:c>
    </x:row>
    <x:row r="337">
      <x:c r="A337" s="30" t="str">
        <x:v>EVD336</x:v>
      </x:c>
      <x:c r="B337" s="30" t="str">
        <x:v>AUD310</x:v>
      </x:c>
      <x:c r="C337" s="30" t="str">
        <x:v>Annual Recall Risk Assessment</x:v>
      </x:c>
      <x:c r="D337" s="30" t="str">
        <x:v>Record</x:v>
      </x:c>
      <x:c r="E337" s="30" t="str">
        <x:v>Yes</x:v>
      </x:c>
      <x:c r="F337" s="30" t="str">
        <x:v>Operational</x:v>
      </x:c>
      <x:c r="G337" s="30" t="str">
        <x:v>CORE</x:v>
      </x:c>
      <x:c r="H337" s="30" t="str">
        <x:v>No</x:v>
      </x:c>
      <x:c r="I337" s="30" t="str">
        <x:v>P-4 QUARANTINED with inactive parent audit; legacy ID retained.</x:v>
      </x:c>
    </x:row>
    <x:row r="338">
      <x:c r="A338" s="30" t="str">
        <x:v>EVD337</x:v>
      </x:c>
      <x:c r="B338" s="30" t="str">
        <x:v>AUD310</x:v>
      </x:c>
      <x:c r="C338" s="30" t="str">
        <x:v>Recall &amp; Complaint SOP Review Record</x:v>
      </x:c>
      <x:c r="D338" s="30" t="str">
        <x:v>SOP</x:v>
      </x:c>
      <x:c r="E338" s="30" t="str">
        <x:v>Yes</x:v>
      </x:c>
      <x:c r="F338" s="30" t="str">
        <x:v>Operational</x:v>
      </x:c>
      <x:c r="G338" s="30" t="str">
        <x:v>CORE</x:v>
      </x:c>
      <x:c r="H338" s="30" t="str">
        <x:v>No</x:v>
      </x:c>
      <x:c r="I338" s="30" t="str">
        <x:v>P-4 QUARANTINED with inactive parent audit; legacy ID retained.</x:v>
      </x:c>
    </x:row>
    <x:row r="339">
      <x:c r="A339" s="30" t="str">
        <x:v>EVD338</x:v>
      </x:c>
      <x:c r="B339" s="30" t="str">
        <x:v>AUD310</x:v>
      </x:c>
      <x:c r="C339" s="30" t="str">
        <x:v>Recall CAPA Register</x:v>
      </x:c>
      <x:c r="D339" s="30" t="str">
        <x:v>Register</x:v>
      </x:c>
      <x:c r="E339" s="30" t="str">
        <x:v>Yes</x:v>
      </x:c>
      <x:c r="F339" s="30" t="str">
        <x:v>Statutory</x:v>
      </x:c>
      <x:c r="G339" s="30" t="str">
        <x:v>CORE</x:v>
      </x:c>
      <x:c r="H339" s="30" t="str">
        <x:v>No</x:v>
      </x:c>
      <x:c r="I339" s="30" t="str">
        <x:v>P-4 QUARANTINED with inactive parent audit; legacy ID retained.</x:v>
      </x:c>
    </x:row>
    <x:row r="340">
      <x:c r="A340" s="30" t="str">
        <x:v>EVD339</x:v>
      </x:c>
      <x:c r="B340" s="30" t="str">
        <x:v>AUD310</x:v>
      </x:c>
      <x:c r="C340" s="30" t="str">
        <x:v>Complaint CAPA Register</x:v>
      </x:c>
      <x:c r="D340" s="30" t="str">
        <x:v>Register</x:v>
      </x:c>
      <x:c r="E340" s="30" t="str">
        <x:v>Yes</x:v>
      </x:c>
      <x:c r="F340" s="30" t="str">
        <x:v>Statutory</x:v>
      </x:c>
      <x:c r="G340" s="30" t="str">
        <x:v>CORE</x:v>
      </x:c>
      <x:c r="H340" s="30" t="str">
        <x:v>No</x:v>
      </x:c>
      <x:c r="I340" s="30" t="str">
        <x:v>P-4 QUARANTINED with inactive parent audit; legacy ID retained.</x:v>
      </x:c>
    </x:row>
    <x:row r="341">
      <x:c r="A341" s="30" t="str">
        <x:v>EVD340</x:v>
      </x:c>
      <x:c r="B341" s="30" t="str">
        <x:v>AUD310</x:v>
      </x:c>
      <x:c r="C341" s="30" t="str">
        <x:v>Independent Audit Working Papers</x:v>
      </x:c>
      <x:c r="D341" s="30" t="str">
        <x:v>Record</x:v>
      </x:c>
      <x:c r="E341" s="30" t="str">
        <x:v>Yes</x:v>
      </x:c>
      <x:c r="F341" s="30" t="str">
        <x:v>Operational</x:v>
      </x:c>
      <x:c r="G341" s="30" t="str">
        <x:v>CORE</x:v>
      </x:c>
      <x:c r="H341" s="30" t="str">
        <x:v>No</x:v>
      </x:c>
      <x:c r="I341" s="30" t="str">
        <x:v>P-4 QUARANTINED with inactive parent audit; legacy ID retained.</x:v>
      </x:c>
    </x:row>
    <x:row r="342">
      <x:c r="A342" s="30" t="str">
        <x:v>EVD341</x:v>
      </x:c>
      <x:c r="B342" s="30" t="str">
        <x:v>AUD310</x:v>
      </x:c>
      <x:c r="C342" s="30" t="str">
        <x:v>Compliance Dashboard</x:v>
      </x:c>
      <x:c r="D342" s="30" t="str">
        <x:v>Digital Record</x:v>
      </x:c>
      <x:c r="E342" s="30" t="str">
        <x:v>No</x:v>
      </x:c>
      <x:c r="F342" s="30" t="str">
        <x:v>Operational</x:v>
      </x:c>
      <x:c r="G342" s="30" t="str">
        <x:v>CORE</x:v>
      </x:c>
      <x:c r="H342" s="30" t="str">
        <x:v>No</x:v>
      </x:c>
      <x:c r="I342" s="30" t="str">
        <x:v>P-4 QUARANTINED with inactive parent audit; legacy ID retained.</x:v>
      </x:c>
    </x:row>
    <x:row r="343">
      <x:c r="A343" s="30" t="str">
        <x:v>EVD342</x:v>
      </x:c>
      <x:c r="B343" s="30" t="str">
        <x:v>AUD310</x:v>
      </x:c>
      <x:c r="C343" s="30" t="str">
        <x:v>Continuous Improvement Plan</x:v>
      </x:c>
      <x:c r="D343" s="30" t="str">
        <x:v>Document</x:v>
      </x:c>
      <x:c r="E343" s="30" t="str">
        <x:v>No</x:v>
      </x:c>
      <x:c r="F343" s="30" t="str">
        <x:v>Operational</x:v>
      </x:c>
      <x:c r="G343" s="30" t="str">
        <x:v>CORE</x:v>
      </x:c>
      <x:c r="H343" s="30" t="str">
        <x:v>No</x:v>
      </x:c>
      <x:c r="I343" s="30" t="str">
        <x:v>P-4 QUARANTINED with inactive parent audit; legacy ID retained.</x:v>
      </x:c>
    </x:row>
    <x:row r="344">
      <x:c r="A344" s="30" t="str">
        <x:v>EVD343</x:v>
      </x:c>
      <x:c r="B344" s="30" t="str">
        <x:v>AUD314</x:v>
      </x:c>
      <x:c r="C344" s="30" t="str">
        <x:v>Biomedical Waste Segregation SOP</x:v>
      </x:c>
      <x:c r="D344" s="30" t="str">
        <x:v>SOP</x:v>
      </x:c>
      <x:c r="E344" s="30" t="str">
        <x:v>Yes</x:v>
      </x:c>
      <x:c r="F344" s="30" t="str">
        <x:v>Operational</x:v>
      </x:c>
      <x:c r="G344" s="30" t="str">
        <x:v>CORE</x:v>
      </x:c>
      <x:c r="H344" s="30" t="str">
        <x:v>No</x:v>
      </x:c>
      <x:c r="I344" s="30" t="str">
        <x:v>P-4 QUARANTINED with inactive parent audit; legacy ID retained.</x:v>
      </x:c>
    </x:row>
    <x:row r="345">
      <x:c r="A345" s="30" t="str">
        <x:v>EVD344</x:v>
      </x:c>
      <x:c r="B345" s="30" t="str">
        <x:v>AUD314</x:v>
      </x:c>
      <x:c r="C345" s="30" t="str">
        <x:v>Biomedical Waste Segregation Log</x:v>
      </x:c>
      <x:c r="D345" s="30" t="str">
        <x:v>Log Book</x:v>
      </x:c>
      <x:c r="E345" s="30" t="str">
        <x:v>Yes</x:v>
      </x:c>
      <x:c r="F345" s="30" t="str">
        <x:v>Operational</x:v>
      </x:c>
      <x:c r="G345" s="30" t="str">
        <x:v>CORE</x:v>
      </x:c>
      <x:c r="H345" s="30" t="str">
        <x:v>No</x:v>
      </x:c>
      <x:c r="I345" s="30" t="str">
        <x:v>P-4 QUARANTINED with inactive parent audit; legacy ID retained.</x:v>
      </x:c>
    </x:row>
    <x:row r="346">
      <x:c r="A346" s="30" t="str">
        <x:v>EVD345</x:v>
      </x:c>
      <x:c r="B346" s="30" t="str">
        <x:v>AUD316</x:v>
      </x:c>
      <x:c r="C346" s="30" t="str">
        <x:v>Expired Medicine Disposal Register</x:v>
      </x:c>
      <x:c r="D346" s="30" t="str">
        <x:v>Register</x:v>
      </x:c>
      <x:c r="E346" s="30" t="str">
        <x:v>Yes</x:v>
      </x:c>
      <x:c r="F346" s="30" t="str">
        <x:v>Statutory</x:v>
      </x:c>
      <x:c r="G346" s="30" t="str">
        <x:v>CORE</x:v>
      </x:c>
      <x:c r="H346" s="30" t="str">
        <x:v>No</x:v>
      </x:c>
      <x:c r="I346" s="30" t="str">
        <x:v>P-4 QUARANTINED with inactive parent audit; legacy ID retained.</x:v>
      </x:c>
    </x:row>
    <x:row r="347">
      <x:c r="A347" s="30" t="str">
        <x:v>EVD346</x:v>
      </x:c>
      <x:c r="B347" s="30" t="str">
        <x:v>AUD316</x:v>
      </x:c>
      <x:c r="C347" s="30" t="str">
        <x:v>Authorized Waste Disposal Certificate</x:v>
      </x:c>
      <x:c r="D347" s="30" t="str">
        <x:v>Certificate</x:v>
      </x:c>
      <x:c r="E347" s="30" t="str">
        <x:v>Yes</x:v>
      </x:c>
      <x:c r="F347" s="30" t="str">
        <x:v>Permanent</x:v>
      </x:c>
      <x:c r="G347" s="30" t="str">
        <x:v>CORE</x:v>
      </x:c>
      <x:c r="H347" s="30" t="str">
        <x:v>No</x:v>
      </x:c>
      <x:c r="I347" s="30" t="str">
        <x:v>P-4 QUARANTINED with inactive parent audit; legacy ID retained.</x:v>
      </x:c>
    </x:row>
    <x:row r="348">
      <x:c r="A348" s="30" t="str">
        <x:v>EVD347</x:v>
      </x:c>
      <x:c r="B348" s="30" t="str">
        <x:v>AUD318</x:v>
      </x:c>
      <x:c r="C348" s="30" t="str">
        <x:v>Hazardous Pharmaceutical Waste Register</x:v>
      </x:c>
      <x:c r="D348" s="30" t="str">
        <x:v>Register</x:v>
      </x:c>
      <x:c r="E348" s="30" t="str">
        <x:v>Yes</x:v>
      </x:c>
      <x:c r="F348" s="30" t="str">
        <x:v>Statutory</x:v>
      </x:c>
      <x:c r="G348" s="30" t="str">
        <x:v>CORE</x:v>
      </x:c>
      <x:c r="H348" s="30" t="str">
        <x:v>No</x:v>
      </x:c>
      <x:c r="I348" s="30" t="str">
        <x:v>P-4 QUARANTINED with inactive parent audit; legacy ID retained.</x:v>
      </x:c>
    </x:row>
    <x:row r="349">
      <x:c r="A349" s="30" t="str">
        <x:v>EVD348</x:v>
      </x:c>
      <x:c r="B349" s="30" t="str">
        <x:v>AUD318</x:v>
      </x:c>
      <x:c r="C349" s="30" t="str">
        <x:v>Hazardous Waste Container Labels</x:v>
      </x:c>
      <x:c r="D349" s="30" t="str">
        <x:v>Document</x:v>
      </x:c>
      <x:c r="E349" s="30" t="str">
        <x:v>Yes</x:v>
      </x:c>
      <x:c r="F349" s="30" t="str">
        <x:v>Operational</x:v>
      </x:c>
      <x:c r="G349" s="30" t="str">
        <x:v>CORE</x:v>
      </x:c>
      <x:c r="H349" s="30" t="str">
        <x:v>No</x:v>
      </x:c>
      <x:c r="I349" s="30" t="str">
        <x:v>P-4 QUARANTINED with inactive parent audit; legacy ID retained.</x:v>
      </x:c>
    </x:row>
    <x:row r="350">
      <x:c r="A350" s="30" t="str">
        <x:v>EVD349</x:v>
      </x:c>
      <x:c r="B350" s="30" t="str">
        <x:v>AUD320</x:v>
      </x:c>
      <x:c r="C350" s="30" t="str">
        <x:v>Biomedical Waste Collection Manifest</x:v>
      </x:c>
      <x:c r="D350" s="30" t="str">
        <x:v>Document</x:v>
      </x:c>
      <x:c r="E350" s="30" t="str">
        <x:v>Yes</x:v>
      </x:c>
      <x:c r="F350" s="30" t="str">
        <x:v>Operational</x:v>
      </x:c>
      <x:c r="G350" s="30" t="str">
        <x:v>CORE</x:v>
      </x:c>
      <x:c r="H350" s="30" t="str">
        <x:v>No</x:v>
      </x:c>
      <x:c r="I350" s="30" t="str">
        <x:v>P-4 QUARANTINED with inactive parent audit; legacy ID retained.</x:v>
      </x:c>
    </x:row>
    <x:row r="351">
      <x:c r="A351" s="30" t="str">
        <x:v>EVD350</x:v>
      </x:c>
      <x:c r="B351" s="30" t="str">
        <x:v>AUD320</x:v>
      </x:c>
      <x:c r="C351" s="30" t="str">
        <x:v>Authorization Certificate of Waste Disposal Agency</x:v>
      </x:c>
      <x:c r="D351" s="30" t="str">
        <x:v>Certificate</x:v>
      </x:c>
      <x:c r="E351" s="30" t="str">
        <x:v>Yes</x:v>
      </x:c>
      <x:c r="F351" s="30" t="str">
        <x:v>Permanent</x:v>
      </x:c>
      <x:c r="G351" s="30" t="str">
        <x:v>CORE</x:v>
      </x:c>
      <x:c r="H351" s="30" t="str">
        <x:v>No</x:v>
      </x:c>
      <x:c r="I351" s="30" t="str">
        <x:v>P-4 QUARANTINED with inactive parent audit; legacy ID retained.</x:v>
      </x:c>
    </x:row>
    <x:row r="352">
      <x:c r="A352" s="30" t="str">
        <x:v>EVD351</x:v>
      </x:c>
      <x:c r="B352" s="30" t="str">
        <x:v>AUD322</x:v>
      </x:c>
      <x:c r="C352" s="30" t="str">
        <x:v>Biomedical Waste Disposal Register</x:v>
      </x:c>
      <x:c r="D352" s="30" t="str">
        <x:v>Register</x:v>
      </x:c>
      <x:c r="E352" s="30" t="str">
        <x:v>Yes</x:v>
      </x:c>
      <x:c r="F352" s="30" t="str">
        <x:v>Statutory</x:v>
      </x:c>
      <x:c r="G352" s="30" t="str">
        <x:v>CORE</x:v>
      </x:c>
      <x:c r="H352" s="30" t="str">
        <x:v>No</x:v>
      </x:c>
      <x:c r="I352" s="30" t="str">
        <x:v>P-4 QUARANTINED with inactive parent audit; legacy ID retained.</x:v>
      </x:c>
    </x:row>
    <x:row r="353">
      <x:c r="A353" s="30" t="str">
        <x:v>EVD352</x:v>
      </x:c>
      <x:c r="B353" s="30" t="str">
        <x:v>AUD322</x:v>
      </x:c>
      <x:c r="C353" s="30" t="str">
        <x:v>Waste Quantity Reconciliation Report</x:v>
      </x:c>
      <x:c r="D353" s="30" t="str">
        <x:v>Report</x:v>
      </x:c>
      <x:c r="E353" s="30" t="str">
        <x:v>Yes</x:v>
      </x:c>
      <x:c r="F353" s="30" t="str">
        <x:v>Operational</x:v>
      </x:c>
      <x:c r="G353" s="30" t="str">
        <x:v>CORE</x:v>
      </x:c>
      <x:c r="H353" s="30" t="str">
        <x:v>No</x:v>
      </x:c>
      <x:c r="I353" s="30" t="str">
        <x:v>P-4 QUARANTINED with inactive parent audit; legacy ID retained.</x:v>
      </x:c>
    </x:row>
    <x:row r="354">
      <x:c r="A354" s="30" t="str">
        <x:v>EVD353</x:v>
      </x:c>
      <x:c r="B354" s="30" t="str">
        <x:v>AUD324</x:v>
      </x:c>
      <x:c r="C354" s="30" t="str">
        <x:v>Waste Storage Area Inspection Checklist</x:v>
      </x:c>
      <x:c r="D354" s="30" t="str">
        <x:v>Inspection Report</x:v>
      </x:c>
      <x:c r="E354" s="30" t="str">
        <x:v>Yes</x:v>
      </x:c>
      <x:c r="F354" s="30" t="str">
        <x:v>Statutory</x:v>
      </x:c>
      <x:c r="G354" s="30" t="str">
        <x:v>CORE</x:v>
      </x:c>
      <x:c r="H354" s="30" t="str">
        <x:v>No</x:v>
      </x:c>
      <x:c r="I354" s="30" t="str">
        <x:v>P-4 QUARANTINED with inactive parent audit; legacy ID retained.</x:v>
      </x:c>
    </x:row>
    <x:row r="355">
      <x:c r="A355" s="30" t="str">
        <x:v>EVD354</x:v>
      </x:c>
      <x:c r="B355" s="30" t="str">
        <x:v>AUD324</x:v>
      </x:c>
      <x:c r="C355" s="30" t="str">
        <x:v>Waste Storage Area Photograph</x:v>
      </x:c>
      <x:c r="D355" s="30" t="str">
        <x:v>Photograph</x:v>
      </x:c>
      <x:c r="E355" s="30" t="str">
        <x:v>No</x:v>
      </x:c>
      <x:c r="F355" s="30" t="str">
        <x:v>Operational</x:v>
      </x:c>
      <x:c r="G355" s="30" t="str">
        <x:v>CORE</x:v>
      </x:c>
      <x:c r="H355" s="30" t="str">
        <x:v>No</x:v>
      </x:c>
      <x:c r="I355" s="30" t="str">
        <x:v>P-4 QUARANTINED with inactive parent audit; legacy ID retained.</x:v>
      </x:c>
    </x:row>
    <x:row r="356">
      <x:c r="A356" s="30" t="str">
        <x:v>EVD355</x:v>
      </x:c>
      <x:c r="B356" s="30" t="str">
        <x:v>AUD326</x:v>
      </x:c>
      <x:c r="C356" s="30" t="str">
        <x:v>Pharmaceutical Waste Container Register</x:v>
      </x:c>
      <x:c r="D356" s="30" t="str">
        <x:v>Register</x:v>
      </x:c>
      <x:c r="E356" s="30" t="str">
        <x:v>Yes</x:v>
      </x:c>
      <x:c r="F356" s="30" t="str">
        <x:v>Statutory</x:v>
      </x:c>
      <x:c r="G356" s="30" t="str">
        <x:v>CORE</x:v>
      </x:c>
      <x:c r="H356" s="30" t="str">
        <x:v>No</x:v>
      </x:c>
      <x:c r="I356" s="30" t="str">
        <x:v>P-4 QUARANTINED with inactive parent audit; legacy ID retained.</x:v>
      </x:c>
    </x:row>
    <x:row r="357">
      <x:c r="A357" s="30" t="str">
        <x:v>EVD356</x:v>
      </x:c>
      <x:c r="B357" s="30" t="str">
        <x:v>AUD326</x:v>
      </x:c>
      <x:c r="C357" s="30" t="str">
        <x:v>Waste Container Inspection Report</x:v>
      </x:c>
      <x:c r="D357" s="30" t="str">
        <x:v>Inspection Report</x:v>
      </x:c>
      <x:c r="E357" s="30" t="str">
        <x:v>Yes</x:v>
      </x:c>
      <x:c r="F357" s="30" t="str">
        <x:v>Statutory</x:v>
      </x:c>
      <x:c r="G357" s="30" t="str">
        <x:v>CORE</x:v>
      </x:c>
      <x:c r="H357" s="30" t="str">
        <x:v>No</x:v>
      </x:c>
      <x:c r="I357" s="30" t="str">
        <x:v>P-4 QUARANTINED with inactive parent audit; legacy ID retained.</x:v>
      </x:c>
    </x:row>
    <x:row r="358">
      <x:c r="A358" s="30" t="str">
        <x:v>EVD357</x:v>
      </x:c>
      <x:c r="B358" s="30" t="str">
        <x:v>AUD328</x:v>
      </x:c>
      <x:c r="C358" s="30" t="str">
        <x:v>Controlled Drug Destruction Register</x:v>
      </x:c>
      <x:c r="D358" s="30" t="str">
        <x:v>Register</x:v>
      </x:c>
      <x:c r="E358" s="30" t="str">
        <x:v>Yes</x:v>
      </x:c>
      <x:c r="F358" s="30" t="str">
        <x:v>Statutory</x:v>
      </x:c>
      <x:c r="G358" s="30" t="str">
        <x:v>CORE</x:v>
      </x:c>
      <x:c r="H358" s="30" t="str">
        <x:v>No</x:v>
      </x:c>
      <x:c r="I358" s="30" t="str">
        <x:v>P-4 QUARANTINED with inactive parent audit; legacy ID retained.</x:v>
      </x:c>
    </x:row>
    <x:row r="359">
      <x:c r="A359" s="30" t="str">
        <x:v>EVD358</x:v>
      </x:c>
      <x:c r="B359" s="30" t="str">
        <x:v>AUD328</x:v>
      </x:c>
      <x:c r="C359" s="30" t="str">
        <x:v>Drug Destruction Authorization</x:v>
      </x:c>
      <x:c r="D359" s="30" t="str">
        <x:v>Approval</x:v>
      </x:c>
      <x:c r="E359" s="30" t="str">
        <x:v>Yes</x:v>
      </x:c>
      <x:c r="F359" s="30" t="str">
        <x:v>Permanent</x:v>
      </x:c>
      <x:c r="G359" s="30" t="str">
        <x:v>CORE</x:v>
      </x:c>
      <x:c r="H359" s="30" t="str">
        <x:v>No</x:v>
      </x:c>
      <x:c r="I359" s="30" t="str">
        <x:v>P-4 QUARANTINED with inactive parent audit; legacy ID retained.</x:v>
      </x:c>
    </x:row>
    <x:row r="360">
      <x:c r="A360" s="30" t="str">
        <x:v>EVD359</x:v>
      </x:c>
      <x:c r="B360" s="30" t="str">
        <x:v>AUD330</x:v>
      </x:c>
      <x:c r="C360" s="30" t="str">
        <x:v>Waste Handling Training Record</x:v>
      </x:c>
      <x:c r="D360" s="30" t="str">
        <x:v>Training Record</x:v>
      </x:c>
      <x:c r="E360" s="30" t="str">
        <x:v>Yes</x:v>
      </x:c>
      <x:c r="F360" s="30" t="str">
        <x:v>Operational</x:v>
      </x:c>
      <x:c r="G360" s="30" t="str">
        <x:v>CORE</x:v>
      </x:c>
      <x:c r="H360" s="30" t="str">
        <x:v>No</x:v>
      </x:c>
      <x:c r="I360" s="30" t="str">
        <x:v>P-4 QUARANTINED with inactive parent audit; legacy ID retained.</x:v>
      </x:c>
    </x:row>
    <x:row r="361">
      <x:c r="A361" s="30" t="str">
        <x:v>EVD360</x:v>
      </x:c>
      <x:c r="B361" s="30" t="str">
        <x:v>AUD330</x:v>
      </x:c>
      <x:c r="C361" s="30" t="str">
        <x:v>Waste Handling Attendance Register</x:v>
      </x:c>
      <x:c r="D361" s="30" t="str">
        <x:v>Register</x:v>
      </x:c>
      <x:c r="E361" s="30" t="str">
        <x:v>Yes</x:v>
      </x:c>
      <x:c r="F361" s="30" t="str">
        <x:v>Statutory</x:v>
      </x:c>
      <x:c r="G361" s="30" t="str">
        <x:v>CORE</x:v>
      </x:c>
      <x:c r="H361" s="30" t="str">
        <x:v>No</x:v>
      </x:c>
      <x:c r="I361" s="30" t="str">
        <x:v>P-4 QUARANTINED with inactive parent audit; legacy ID retained.</x:v>
      </x:c>
    </x:row>
    <x:row r="362">
      <x:c r="A362" s="30" t="str">
        <x:v>EVD361</x:v>
      </x:c>
      <x:c r="B362" s="30" t="str">
        <x:v>AUD332</x:v>
      </x:c>
      <x:c r="C362" s="30" t="str">
        <x:v>Spill Management SOP</x:v>
      </x:c>
      <x:c r="D362" s="30" t="str">
        <x:v>SOP</x:v>
      </x:c>
      <x:c r="E362" s="30" t="str">
        <x:v>Yes</x:v>
      </x:c>
      <x:c r="F362" s="30" t="str">
        <x:v>Operational</x:v>
      </x:c>
      <x:c r="G362" s="30" t="str">
        <x:v>CORE</x:v>
      </x:c>
      <x:c r="H362" s="30" t="str">
        <x:v>No</x:v>
      </x:c>
      <x:c r="I362" s="30" t="str">
        <x:v>P-4 QUARANTINED with inactive parent audit; legacy ID retained.</x:v>
      </x:c>
    </x:row>
    <x:row r="363">
      <x:c r="A363" s="30" t="str">
        <x:v>EVD362</x:v>
      </x:c>
      <x:c r="B363" s="30" t="str">
        <x:v>AUD332</x:v>
      </x:c>
      <x:c r="C363" s="30" t="str">
        <x:v>Spill Incident Register</x:v>
      </x:c>
      <x:c r="D363" s="30" t="str">
        <x:v>Register</x:v>
      </x:c>
      <x:c r="E363" s="30" t="str">
        <x:v>No</x:v>
      </x:c>
      <x:c r="F363" s="30" t="str">
        <x:v>Statutory</x:v>
      </x:c>
      <x:c r="G363" s="30" t="str">
        <x:v>CORE</x:v>
      </x:c>
      <x:c r="H363" s="30" t="str">
        <x:v>No</x:v>
      </x:c>
      <x:c r="I363" s="30" t="str">
        <x:v>P-4 QUARANTINED with inactive parent audit; legacy ID retained.</x:v>
      </x:c>
    </x:row>
    <x:row r="364">
      <x:c r="A364" s="30" t="str">
        <x:v>EVD363</x:v>
      </x:c>
      <x:c r="B364" s="30" t="str">
        <x:v>AUD334</x:v>
      </x:c>
      <x:c r="C364" s="30" t="str">
        <x:v>Waste Disposal Incident Report</x:v>
      </x:c>
      <x:c r="D364" s="30" t="str">
        <x:v>Report</x:v>
      </x:c>
      <x:c r="E364" s="30" t="str">
        <x:v>Yes</x:v>
      </x:c>
      <x:c r="F364" s="30" t="str">
        <x:v>Operational</x:v>
      </x:c>
      <x:c r="G364" s="30" t="str">
        <x:v>CORE</x:v>
      </x:c>
      <x:c r="H364" s="30" t="str">
        <x:v>No</x:v>
      </x:c>
      <x:c r="I364" s="30" t="str">
        <x:v>P-4 QUARANTINED with inactive parent audit; legacy ID retained.</x:v>
      </x:c>
    </x:row>
    <x:row r="365">
      <x:c r="A365" s="30" t="str">
        <x:v>EVD364</x:v>
      </x:c>
      <x:c r="B365" s="30" t="str">
        <x:v>AUD334</x:v>
      </x:c>
      <x:c r="C365" s="30" t="str">
        <x:v>Waste Disposal CAPA Report</x:v>
      </x:c>
      <x:c r="D365" s="30" t="str">
        <x:v>Report</x:v>
      </x:c>
      <x:c r="E365" s="30" t="str">
        <x:v>Yes</x:v>
      </x:c>
      <x:c r="F365" s="30" t="str">
        <x:v>Operational</x:v>
      </x:c>
      <x:c r="G365" s="30" t="str">
        <x:v>CORE</x:v>
      </x:c>
      <x:c r="H365" s="30" t="str">
        <x:v>No</x:v>
      </x:c>
      <x:c r="I365" s="30" t="str">
        <x:v>P-4 QUARANTINED with inactive parent audit; legacy ID retained.</x:v>
      </x:c>
    </x:row>
    <x:row r="366">
      <x:c r="A366" s="30" t="str">
        <x:v>EVD365</x:v>
      </x:c>
      <x:c r="B366" s="30" t="str">
        <x:v>AUD336</x:v>
      </x:c>
      <x:c r="C366" s="30" t="str">
        <x:v>Documentary and transaction evidence demonstrating: Deliver pharmacy services in accordance with Pharmacy Practice Regulations.</x:v>
      </x:c>
      <x:c r="D366" s="30" t="str">
        <x:v>Record</x:v>
      </x:c>
      <x:c r="E366" s="30" t="str">
        <x:v>Yes</x:v>
      </x:c>
      <x:c r="F366" s="30" t="str">
        <x:v>Applicable statutory / operational period</x:v>
      </x:c>
      <x:c r="G366" s="30" t="str">
        <x:v>CORE</x:v>
      </x:c>
      <x:c r="H366" s="30" t="str">
        <x:v>Yes</x:v>
      </x:c>
      <x:c r="I366" s="30" t="str">
        <x:v>P-4 aligned to the normalized parent audit; legacy Evidence ID preserved.</x:v>
      </x:c>
    </x:row>
    <x:row r="367">
      <x:c r="A367" s="30" t="str">
        <x:v>EVD366</x:v>
      </x:c>
      <x:c r="B367" s="30" t="str">
        <x:v>AUD336</x:v>
      </x:c>
      <x:c r="C367" s="30" t="str">
        <x:v>Documentary and transaction evidence demonstrating: Deliver pharmacy services in accordance with Pharmacy Practice Regulations.</x:v>
      </x:c>
      <x:c r="D367" s="30" t="str">
        <x:v>Record</x:v>
      </x:c>
      <x:c r="E367" s="30" t="str">
        <x:v>Yes</x:v>
      </x:c>
      <x:c r="F367" s="30" t="str">
        <x:v>Applicable statutory / operational period</x:v>
      </x:c>
      <x:c r="G367" s="30" t="str">
        <x:v>CORE</x:v>
      </x:c>
      <x:c r="H367" s="30" t="str">
        <x:v>Yes</x:v>
      </x:c>
      <x:c r="I367" s="30" t="str">
        <x:v>P-4 aligned to the normalized parent audit; legacy Evidence ID preserved.</x:v>
      </x:c>
    </x:row>
    <x:row r="368">
      <x:c r="A368" s="30" t="str">
        <x:v>EVD367</x:v>
      </x:c>
      <x:c r="B368" s="30" t="str">
        <x:v>AUD338</x:v>
      </x:c>
      <x:c r="C368" s="30" t="str">
        <x:v>Documentary and transaction evidence demonstrating: Review prescriptions for legality, completeness and clinical appropriateness before dispensing medicines.</x:v>
      </x:c>
      <x:c r="D368" s="30" t="str">
        <x:v>Record</x:v>
      </x:c>
      <x:c r="E368" s="30" t="str">
        <x:v>Yes</x:v>
      </x:c>
      <x:c r="F368" s="30" t="str">
        <x:v>Applicable statutory / operational period</x:v>
      </x:c>
      <x:c r="G368" s="30" t="str">
        <x:v>CORE</x:v>
      </x:c>
      <x:c r="H368" s="30" t="str">
        <x:v>Yes</x:v>
      </x:c>
      <x:c r="I368" s="30" t="str">
        <x:v>P-4 aligned to the normalized parent audit; legacy Evidence ID preserved.</x:v>
      </x:c>
    </x:row>
    <x:row r="369">
      <x:c r="A369" s="30" t="str">
        <x:v>EVD368</x:v>
      </x:c>
      <x:c r="B369" s="30" t="str">
        <x:v>AUD338</x:v>
      </x:c>
      <x:c r="C369" s="30" t="str">
        <x:v>Documentary and transaction evidence demonstrating: Review prescriptions for legality, completeness and clinical appropriateness before dispensing medicines.</x:v>
      </x:c>
      <x:c r="D369" s="30" t="str">
        <x:v>Record</x:v>
      </x:c>
      <x:c r="E369" s="30" t="str">
        <x:v>Yes</x:v>
      </x:c>
      <x:c r="F369" s="30" t="str">
        <x:v>Applicable statutory / operational period</x:v>
      </x:c>
      <x:c r="G369" s="30" t="str">
        <x:v>CORE</x:v>
      </x:c>
      <x:c r="H369" s="30" t="str">
        <x:v>Yes</x:v>
      </x:c>
      <x:c r="I369" s="30" t="str">
        <x:v>P-4 aligned to the normalized parent audit; legacy Evidence ID preserved.</x:v>
      </x:c>
    </x:row>
    <x:row r="370">
      <x:c r="A370" s="30" t="str">
        <x:v>EVD369</x:v>
      </x:c>
      <x:c r="B370" s="30" t="str">
        <x:v>AUD340</x:v>
      </x:c>
      <x:c r="C370" s="30" t="str">
        <x:v>Documentary and transaction evidence demonstrating: Provide appropriate patient counselling regarding dosage, storage, administration and precautions.</x:v>
      </x:c>
      <x:c r="D370" s="30" t="str">
        <x:v>Record</x:v>
      </x:c>
      <x:c r="E370" s="30" t="str">
        <x:v>Yes</x:v>
      </x:c>
      <x:c r="F370" s="30" t="str">
        <x:v>Applicable statutory / operational period</x:v>
      </x:c>
      <x:c r="G370" s="30" t="str">
        <x:v>CORE</x:v>
      </x:c>
      <x:c r="H370" s="30" t="str">
        <x:v>Yes</x:v>
      </x:c>
      <x:c r="I370" s="30" t="str">
        <x:v>P-4 aligned to the normalized parent audit; legacy Evidence ID preserved.</x:v>
      </x:c>
    </x:row>
    <x:row r="371">
      <x:c r="A371" s="30" t="str">
        <x:v>EVD370</x:v>
      </x:c>
      <x:c r="B371" s="30" t="str">
        <x:v>AUD340</x:v>
      </x:c>
      <x:c r="C371" s="30" t="str">
        <x:v>Documentary and transaction evidence demonstrating: Provide appropriate patient counselling regarding dosage, storage, administration and precautions.</x:v>
      </x:c>
      <x:c r="D371" s="30" t="str">
        <x:v>Record</x:v>
      </x:c>
      <x:c r="E371" s="30" t="str">
        <x:v>Yes</x:v>
      </x:c>
      <x:c r="F371" s="30" t="str">
        <x:v>Applicable statutory / operational period</x:v>
      </x:c>
      <x:c r="G371" s="30" t="str">
        <x:v>CORE</x:v>
      </x:c>
      <x:c r="H371" s="30" t="str">
        <x:v>Yes</x:v>
      </x:c>
      <x:c r="I371" s="30" t="str">
        <x:v>P-4 aligned to the normalized parent audit; legacy Evidence ID preserved.</x:v>
      </x:c>
    </x:row>
    <x:row r="372">
      <x:c r="A372" s="30" t="str">
        <x:v>EVD371</x:v>
      </x:c>
      <x:c r="B372" s="30" t="str">
        <x:v>AUD342</x:v>
      </x:c>
      <x:c r="C372" s="30" t="str">
        <x:v>Documentary and transaction evidence demonstrating: Maintain confidentiality of patient records and prescription information.</x:v>
      </x:c>
      <x:c r="D372" s="30" t="str">
        <x:v>Record</x:v>
      </x:c>
      <x:c r="E372" s="30" t="str">
        <x:v>Yes</x:v>
      </x:c>
      <x:c r="F372" s="30" t="str">
        <x:v>Applicable statutory / operational period</x:v>
      </x:c>
      <x:c r="G372" s="30" t="str">
        <x:v>CORE</x:v>
      </x:c>
      <x:c r="H372" s="30" t="str">
        <x:v>Yes</x:v>
      </x:c>
      <x:c r="I372" s="30" t="str">
        <x:v>P-4 aligned to the normalized parent audit; legacy Evidence ID preserved.</x:v>
      </x:c>
    </x:row>
    <x:row r="373">
      <x:c r="A373" s="30" t="str">
        <x:v>EVD372</x:v>
      </x:c>
      <x:c r="B373" s="30" t="str">
        <x:v>AUD342</x:v>
      </x:c>
      <x:c r="C373" s="30" t="str">
        <x:v>Documentary and transaction evidence demonstrating: Maintain confidentiality of patient records and prescription information.</x:v>
      </x:c>
      <x:c r="D373" s="30" t="str">
        <x:v>Record</x:v>
      </x:c>
      <x:c r="E373" s="30" t="str">
        <x:v>Yes</x:v>
      </x:c>
      <x:c r="F373" s="30" t="str">
        <x:v>Applicable statutory / operational period</x:v>
      </x:c>
      <x:c r="G373" s="30" t="str">
        <x:v>CORE</x:v>
      </x:c>
      <x:c r="H373" s="30" t="str">
        <x:v>Yes</x:v>
      </x:c>
      <x:c r="I373" s="30" t="str">
        <x:v>P-4 aligned to the normalized parent audit; legacy Evidence ID preserved.</x:v>
      </x:c>
    </x:row>
    <x:row r="374">
      <x:c r="A374" s="30" t="str">
        <x:v>EVD373</x:v>
      </x:c>
      <x:c r="B374" s="30" t="str">
        <x:v>AUD344</x:v>
      </x:c>
      <x:c r="C374" s="30" t="str">
        <x:v>Documentary and transaction evidence demonstrating: Participate in professional development programmes to maintain competency.</x:v>
      </x:c>
      <x:c r="D374" s="30" t="str">
        <x:v>Record</x:v>
      </x:c>
      <x:c r="E374" s="30" t="str">
        <x:v>Yes</x:v>
      </x:c>
      <x:c r="F374" s="30" t="str">
        <x:v>Applicable statutory / operational period</x:v>
      </x:c>
      <x:c r="G374" s="30" t="str">
        <x:v>CORE</x:v>
      </x:c>
      <x:c r="H374" s="30" t="str">
        <x:v>Yes</x:v>
      </x:c>
      <x:c r="I374" s="30" t="str">
        <x:v>P-4 aligned to the normalized parent audit; legacy Evidence ID preserved.</x:v>
      </x:c>
    </x:row>
    <x:row r="375">
      <x:c r="A375" s="30" t="str">
        <x:v>EVD374</x:v>
      </x:c>
      <x:c r="B375" s="30" t="str">
        <x:v>AUD344</x:v>
      </x:c>
      <x:c r="C375" s="30" t="str">
        <x:v>Documentary and transaction evidence demonstrating: Participate in professional development programmes to maintain competency.</x:v>
      </x:c>
      <x:c r="D375" s="30" t="str">
        <x:v>Record</x:v>
      </x:c>
      <x:c r="E375" s="30" t="str">
        <x:v>Yes</x:v>
      </x:c>
      <x:c r="F375" s="30" t="str">
        <x:v>Applicable statutory / operational period</x:v>
      </x:c>
      <x:c r="G375" s="30" t="str">
        <x:v>CORE</x:v>
      </x:c>
      <x:c r="H375" s="30" t="str">
        <x:v>Yes</x:v>
      </x:c>
      <x:c r="I375" s="30" t="str">
        <x:v>P-4 aligned to the normalized parent audit; legacy Evidence ID preserved.</x:v>
      </x:c>
    </x:row>
    <x:row r="376">
      <x:c r="A376" s="30" t="str">
        <x:v>EVD375</x:v>
      </x:c>
      <x:c r="B376" s="30" t="str">
        <x:v>AUD346</x:v>
      </x:c>
      <x:c r="C376" s="30" t="str">
        <x:v>Documentary and transaction evidence demonstrating: Obtain clinical-establishment registration before operation where the establishment role and jurisdiction trigger apply.</x:v>
      </x:c>
      <x:c r="D376" s="30" t="str">
        <x:v>Record</x:v>
      </x:c>
      <x:c r="E376" s="30" t="str">
        <x:v>Yes</x:v>
      </x:c>
      <x:c r="F376" s="30" t="str">
        <x:v>Applicable statutory / operational period</x:v>
      </x:c>
      <x:c r="G376" s="30" t="str">
        <x:v>CORE</x:v>
      </x:c>
      <x:c r="H376" s="30" t="str">
        <x:v>Yes</x:v>
      </x:c>
      <x:c r="I376" s="30" t="str">
        <x:v>P-4 aligned to the normalized parent audit; legacy Evidence ID preserved.</x:v>
      </x:c>
    </x:row>
    <x:row r="377">
      <x:c r="A377" s="30" t="str">
        <x:v>EVD376</x:v>
      </x:c>
      <x:c r="B377" s="30" t="str">
        <x:v>AUD346</x:v>
      </x:c>
      <x:c r="C377" s="30" t="str">
        <x:v>Documentary and transaction evidence demonstrating: Obtain clinical-establishment registration before operation where the establishment role and jurisdiction trigger apply.</x:v>
      </x:c>
      <x:c r="D377" s="30" t="str">
        <x:v>Record</x:v>
      </x:c>
      <x:c r="E377" s="30" t="str">
        <x:v>Yes</x:v>
      </x:c>
      <x:c r="F377" s="30" t="str">
        <x:v>Applicable statutory / operational period</x:v>
      </x:c>
      <x:c r="G377" s="30" t="str">
        <x:v>CORE</x:v>
      </x:c>
      <x:c r="H377" s="30" t="str">
        <x:v>Yes</x:v>
      </x:c>
      <x:c r="I377" s="30" t="str">
        <x:v>P-4 aligned to the normalized parent audit; legacy Evidence ID preserved.</x:v>
      </x:c>
    </x:row>
    <x:row r="378">
      <x:c r="A378" s="30" t="str">
        <x:v>EVD377</x:v>
      </x:c>
      <x:c r="B378" s="30" t="str">
        <x:v>AUD348</x:v>
      </x:c>
      <x:c r="C378" s="30" t="str">
        <x:v>Documentary and transaction evidence demonstrating: Where the clinical-establishment overlay applies, maintain prescribed minimum standards, personnel, records/reporting and emergency-stabilization arrangements.</x:v>
      </x:c>
      <x:c r="D378" s="30" t="str">
        <x:v>Record</x:v>
      </x:c>
      <x:c r="E378" s="30" t="str">
        <x:v>Yes</x:v>
      </x:c>
      <x:c r="F378" s="30" t="str">
        <x:v>Applicable statutory / operational period</x:v>
      </x:c>
      <x:c r="G378" s="30" t="str">
        <x:v>CORE</x:v>
      </x:c>
      <x:c r="H378" s="30" t="str">
        <x:v>Yes</x:v>
      </x:c>
      <x:c r="I378" s="30" t="str">
        <x:v>P-4 aligned to the normalized parent audit; legacy Evidence ID preserved.</x:v>
      </x:c>
    </x:row>
    <x:row r="379">
      <x:c r="A379" s="30" t="str">
        <x:v>EVD378</x:v>
      </x:c>
      <x:c r="B379" s="30" t="str">
        <x:v>AUD348</x:v>
      </x:c>
      <x:c r="C379" s="30" t="str">
        <x:v>Documentary and transaction evidence demonstrating: Where the clinical-establishment overlay applies, maintain prescribed minimum standards, personnel, records/reporting and emergency-stabilization arrangements.</x:v>
      </x:c>
      <x:c r="D379" s="30" t="str">
        <x:v>Record</x:v>
      </x:c>
      <x:c r="E379" s="30" t="str">
        <x:v>Yes</x:v>
      </x:c>
      <x:c r="F379" s="30" t="str">
        <x:v>Applicable statutory / operational period</x:v>
      </x:c>
      <x:c r="G379" s="30" t="str">
        <x:v>CORE</x:v>
      </x:c>
      <x:c r="H379" s="30" t="str">
        <x:v>Yes</x:v>
      </x:c>
      <x:c r="I379" s="30" t="str">
        <x:v>P-4 aligned to the normalized parent audit; legacy Evidence ID preserved.</x:v>
      </x:c>
    </x:row>
    <x:row r="380">
      <x:c r="A380" s="30" t="str">
        <x:v>EVD379</x:v>
      </x:c>
      <x:c r="B380" s="30" t="str">
        <x:v>AUD350</x:v>
      </x:c>
      <x:c r="C380" s="30" t="str">
        <x:v>Documentary and transaction evidence demonstrating: Display the registration certificate and complete applicable renewal/continuation requirements for the clinical establishment.</x:v>
      </x:c>
      <x:c r="D380" s="30" t="str">
        <x:v>Record</x:v>
      </x:c>
      <x:c r="E380" s="30" t="str">
        <x:v>Yes</x:v>
      </x:c>
      <x:c r="F380" s="30" t="str">
        <x:v>Applicable statutory / operational period</x:v>
      </x:c>
      <x:c r="G380" s="30" t="str">
        <x:v>CORE</x:v>
      </x:c>
      <x:c r="H380" s="30" t="str">
        <x:v>Yes</x:v>
      </x:c>
      <x:c r="I380" s="30" t="str">
        <x:v>P-4 aligned to the normalized parent audit; legacy Evidence ID preserved.</x:v>
      </x:c>
    </x:row>
    <x:row r="381">
      <x:c r="A381" s="30" t="str">
        <x:v>EVD380</x:v>
      </x:c>
      <x:c r="B381" s="30" t="str">
        <x:v>AUD350</x:v>
      </x:c>
      <x:c r="C381" s="30" t="str">
        <x:v>Documentary and transaction evidence demonstrating: Display the registration certificate and complete applicable renewal/continuation requirements for the clinical establishment.</x:v>
      </x:c>
      <x:c r="D381" s="30" t="str">
        <x:v>Record</x:v>
      </x:c>
      <x:c r="E381" s="30" t="str">
        <x:v>Yes</x:v>
      </x:c>
      <x:c r="F381" s="30" t="str">
        <x:v>Applicable statutory / operational period</x:v>
      </x:c>
      <x:c r="G381" s="30" t="str">
        <x:v>CORE</x:v>
      </x:c>
      <x:c r="H381" s="30" t="str">
        <x:v>Yes</x:v>
      </x:c>
      <x:c r="I381" s="30" t="str">
        <x:v>P-4 aligned to the normalized parent audit; legacy Evidence ID preserved.</x:v>
      </x:c>
    </x:row>
    <x:row r="382">
      <x:c r="A382" s="30" t="str">
        <x:v>EVD381</x:v>
      </x:c>
      <x:c r="B382" s="30" t="str">
        <x:v>AUD352</x:v>
      </x:c>
      <x:c r="C382" s="30" t="str">
        <x:v>Emergency Response SOP</x:v>
      </x:c>
      <x:c r="D382" s="30" t="str">
        <x:v>SOP</x:v>
      </x:c>
      <x:c r="E382" s="30" t="str">
        <x:v>Yes</x:v>
      </x:c>
      <x:c r="F382" s="30" t="str">
        <x:v>Operational</x:v>
      </x:c>
      <x:c r="G382" s="30" t="str">
        <x:v>CORE</x:v>
      </x:c>
      <x:c r="H382" s="30" t="str">
        <x:v>No</x:v>
      </x:c>
      <x:c r="I382" s="30" t="str">
        <x:v>P-4 QUARANTINED with inactive parent audit; legacy ID retained.</x:v>
      </x:c>
    </x:row>
    <x:row r="383">
      <x:c r="A383" s="30" t="str">
        <x:v>EVD382</x:v>
      </x:c>
      <x:c r="B383" s="30" t="str">
        <x:v>AUD352</x:v>
      </x:c>
      <x:c r="C383" s="30" t="str">
        <x:v>Emergency Drill Report</x:v>
      </x:c>
      <x:c r="D383" s="30" t="str">
        <x:v>Report</x:v>
      </x:c>
      <x:c r="E383" s="30" t="str">
        <x:v>Yes</x:v>
      </x:c>
      <x:c r="F383" s="30" t="str">
        <x:v>Operational</x:v>
      </x:c>
      <x:c r="G383" s="30" t="str">
        <x:v>CORE</x:v>
      </x:c>
      <x:c r="H383" s="30" t="str">
        <x:v>No</x:v>
      </x:c>
      <x:c r="I383" s="30" t="str">
        <x:v>P-4 QUARANTINED with inactive parent audit; legacy ID retained.</x:v>
      </x:c>
    </x:row>
    <x:row r="384">
      <x:c r="A384" s="30" t="str">
        <x:v>EVD383</x:v>
      </x:c>
      <x:c r="B384" s="30" t="str">
        <x:v>AUD354</x:v>
      </x:c>
      <x:c r="C384" s="30" t="str">
        <x:v>Waste Management KPI Report</x:v>
      </x:c>
      <x:c r="D384" s="30" t="str">
        <x:v>Digital Record</x:v>
      </x:c>
      <x:c r="E384" s="30" t="str">
        <x:v>No</x:v>
      </x:c>
      <x:c r="F384" s="30" t="str">
        <x:v>Operational</x:v>
      </x:c>
      <x:c r="G384" s="30" t="str">
        <x:v>CORE</x:v>
      </x:c>
      <x:c r="H384" s="30" t="str">
        <x:v>No</x:v>
      </x:c>
      <x:c r="I384" s="30" t="str">
        <x:v>P-4 QUARANTINED with inactive parent audit; legacy ID retained.</x:v>
      </x:c>
    </x:row>
    <x:row r="385">
      <x:c r="A385" s="30" t="str">
        <x:v>EVD384</x:v>
      </x:c>
      <x:c r="B385" s="30" t="str">
        <x:v>AUD354</x:v>
      </x:c>
      <x:c r="C385" s="30" t="str">
        <x:v>Waste Management Review Minutes</x:v>
      </x:c>
      <x:c r="D385" s="30" t="str">
        <x:v>Other</x:v>
      </x:c>
      <x:c r="E385" s="30" t="str">
        <x:v>Yes</x:v>
      </x:c>
      <x:c r="F385" s="30" t="str">
        <x:v>Operational</x:v>
      </x:c>
      <x:c r="G385" s="30" t="str">
        <x:v>CORE</x:v>
      </x:c>
      <x:c r="H385" s="30" t="str">
        <x:v>No</x:v>
      </x:c>
      <x:c r="I385" s="30" t="str">
        <x:v>P-4 QUARANTINED with inactive parent audit; legacy ID retained.</x:v>
      </x:c>
    </x:row>
    <x:row r="386">
      <x:c r="A386" s="30" t="str">
        <x:v>EVD385</x:v>
      </x:c>
      <x:c r="B386" s="30" t="str">
        <x:v>AUD356</x:v>
      </x:c>
      <x:c r="C386" s="30" t="str">
        <x:v>Waste Management System Audit Trail</x:v>
      </x:c>
      <x:c r="D386" s="30" t="str">
        <x:v>Digital Record</x:v>
      </x:c>
      <x:c r="E386" s="30" t="str">
        <x:v>Yes</x:v>
      </x:c>
      <x:c r="F386" s="30" t="str">
        <x:v>Operational</x:v>
      </x:c>
      <x:c r="G386" s="30" t="str">
        <x:v>CORE</x:v>
      </x:c>
      <x:c r="H386" s="30" t="str">
        <x:v>No</x:v>
      </x:c>
      <x:c r="I386" s="30" t="str">
        <x:v>P-4 QUARANTINED with inactive parent audit; legacy ID retained.</x:v>
      </x:c>
    </x:row>
    <x:row r="387">
      <x:c r="A387" s="30" t="str">
        <x:v>EVD386</x:v>
      </x:c>
      <x:c r="B387" s="30" t="str">
        <x:v>AUD356</x:v>
      </x:c>
      <x:c r="C387" s="30" t="str">
        <x:v>User Access Register</x:v>
      </x:c>
      <x:c r="D387" s="30" t="str">
        <x:v>Digital Record</x:v>
      </x:c>
      <x:c r="E387" s="30" t="str">
        <x:v>Yes</x:v>
      </x:c>
      <x:c r="F387" s="30" t="str">
        <x:v>Operational</x:v>
      </x:c>
      <x:c r="G387" s="30" t="str">
        <x:v>CORE</x:v>
      </x:c>
      <x:c r="H387" s="30" t="str">
        <x:v>No</x:v>
      </x:c>
      <x:c r="I387" s="30" t="str">
        <x:v>P-4 QUARANTINED with inactive parent audit; legacy ID retained.</x:v>
      </x:c>
    </x:row>
    <x:row r="388">
      <x:c r="A388" s="30" t="str">
        <x:v>EVD387</x:v>
      </x:c>
      <x:c r="B388" s="30" t="str">
        <x:v>AUD358</x:v>
      </x:c>
      <x:c r="C388" s="30" t="str">
        <x:v>Internal Waste Audit Report</x:v>
      </x:c>
      <x:c r="D388" s="30" t="str">
        <x:v>Report</x:v>
      </x:c>
      <x:c r="E388" s="30" t="str">
        <x:v>Yes</x:v>
      </x:c>
      <x:c r="F388" s="30" t="str">
        <x:v>Operational</x:v>
      </x:c>
      <x:c r="G388" s="30" t="str">
        <x:v>CORE</x:v>
      </x:c>
      <x:c r="H388" s="30" t="str">
        <x:v>No</x:v>
      </x:c>
      <x:c r="I388" s="30" t="str">
        <x:v>P-4 QUARANTINED with inactive parent audit; legacy ID retained.</x:v>
      </x:c>
    </x:row>
    <x:row r="389">
      <x:c r="A389" s="30" t="str">
        <x:v>EVD388</x:v>
      </x:c>
      <x:c r="B389" s="30" t="str">
        <x:v>AUD358</x:v>
      </x:c>
      <x:c r="C389" s="30" t="str">
        <x:v>Waste Audit CAPA Register</x:v>
      </x:c>
      <x:c r="D389" s="30" t="str">
        <x:v>Register</x:v>
      </x:c>
      <x:c r="E389" s="30" t="str">
        <x:v>Yes</x:v>
      </x:c>
      <x:c r="F389" s="30" t="str">
        <x:v>Statutory</x:v>
      </x:c>
      <x:c r="G389" s="30" t="str">
        <x:v>CORE</x:v>
      </x:c>
      <x:c r="H389" s="30" t="str">
        <x:v>No</x:v>
      </x:c>
      <x:c r="I389" s="30" t="str">
        <x:v>P-4 QUARANTINED with inactive parent audit; legacy ID retained.</x:v>
      </x:c>
    </x:row>
    <x:row r="390">
      <x:c r="A390" s="30" t="str">
        <x:v>EVD389</x:v>
      </x:c>
      <x:c r="B390" s="30" t="str">
        <x:v>AUD360</x:v>
      </x:c>
      <x:c r="C390" s="30" t="str">
        <x:v>Regulatory Compliance Tracking Register</x:v>
      </x:c>
      <x:c r="D390" s="30" t="str">
        <x:v>Register</x:v>
      </x:c>
      <x:c r="E390" s="30" t="str">
        <x:v>Yes</x:v>
      </x:c>
      <x:c r="F390" s="30" t="str">
        <x:v>Statutory</x:v>
      </x:c>
      <x:c r="G390" s="30" t="str">
        <x:v>CORE</x:v>
      </x:c>
      <x:c r="H390" s="30" t="str">
        <x:v>No</x:v>
      </x:c>
      <x:c r="I390" s="30" t="str">
        <x:v>P-4 QUARANTINED with inactive parent audit; legacy ID retained.</x:v>
      </x:c>
    </x:row>
    <x:row r="391">
      <x:c r="A391" s="30" t="str">
        <x:v>EVD390</x:v>
      </x:c>
      <x:c r="B391" s="30" t="str">
        <x:v>AUD360</x:v>
      </x:c>
      <x:c r="C391" s="30" t="str">
        <x:v>Regulatory Observation Closure Evidence</x:v>
      </x:c>
      <x:c r="D391" s="30" t="str">
        <x:v>Record</x:v>
      </x:c>
      <x:c r="E391" s="30" t="str">
        <x:v>Yes</x:v>
      </x:c>
      <x:c r="F391" s="30" t="str">
        <x:v>Operational</x:v>
      </x:c>
      <x:c r="G391" s="30" t="str">
        <x:v>CORE</x:v>
      </x:c>
      <x:c r="H391" s="30" t="str">
        <x:v>No</x:v>
      </x:c>
      <x:c r="I391" s="30" t="str">
        <x:v>P-4 QUARANTINED with inactive parent audit; legacy ID retained.</x:v>
      </x:c>
    </x:row>
    <x:row r="392">
      <x:c r="A392" s="30" t="str">
        <x:v>EVD391</x:v>
      </x:c>
      <x:c r="B392" s="30" t="str">
        <x:v>AUD362</x:v>
      </x:c>
      <x:c r="C392" s="30" t="str">
        <x:v>Waste Compliance Assessment Report</x:v>
      </x:c>
      <x:c r="D392" s="30" t="str">
        <x:v>Report</x:v>
      </x:c>
      <x:c r="E392" s="30" t="str">
        <x:v>Yes</x:v>
      </x:c>
      <x:c r="F392" s="30" t="str">
        <x:v>Operational</x:v>
      </x:c>
      <x:c r="G392" s="30" t="str">
        <x:v>CORE</x:v>
      </x:c>
      <x:c r="H392" s="30" t="str">
        <x:v>No</x:v>
      </x:c>
      <x:c r="I392" s="30" t="str">
        <x:v>P-4 QUARANTINED with inactive parent audit; legacy ID retained.</x:v>
      </x:c>
    </x:row>
    <x:row r="393">
      <x:c r="A393" s="30" t="str">
        <x:v>EVD392</x:v>
      </x:c>
      <x:c r="B393" s="30" t="str">
        <x:v>AUD362</x:v>
      </x:c>
      <x:c r="C393" s="30" t="str">
        <x:v>Annual Waste Risk Assessment</x:v>
      </x:c>
      <x:c r="D393" s="30" t="str">
        <x:v>Record</x:v>
      </x:c>
      <x:c r="E393" s="30" t="str">
        <x:v>Yes</x:v>
      </x:c>
      <x:c r="F393" s="30" t="str">
        <x:v>Operational</x:v>
      </x:c>
      <x:c r="G393" s="30" t="str">
        <x:v>CORE</x:v>
      </x:c>
      <x:c r="H393" s="30" t="str">
        <x:v>No</x:v>
      </x:c>
      <x:c r="I393" s="30" t="str">
        <x:v>P-4 QUARANTINED with inactive parent audit; legacy ID retained.</x:v>
      </x:c>
    </x:row>
    <x:row r="394">
      <x:c r="A394" s="30" t="str">
        <x:v>EVD393</x:v>
      </x:c>
      <x:c r="B394" s="30" t="str">
        <x:v>AUD362</x:v>
      </x:c>
      <x:c r="C394" s="30" t="str">
        <x:v>Waste Compliance Dashboard</x:v>
      </x:c>
      <x:c r="D394" s="30" t="str">
        <x:v>Digital Record</x:v>
      </x:c>
      <x:c r="E394" s="30" t="str">
        <x:v>No</x:v>
      </x:c>
      <x:c r="F394" s="30" t="str">
        <x:v>Operational</x:v>
      </x:c>
      <x:c r="G394" s="30" t="str">
        <x:v>CORE</x:v>
      </x:c>
      <x:c r="H394" s="30" t="str">
        <x:v>No</x:v>
      </x:c>
      <x:c r="I394" s="30" t="str">
        <x:v>P-4 QUARANTINED with inactive parent audit; legacy ID retained.</x:v>
      </x:c>
    </x:row>
    <x:row r="395">
      <x:c r="A395" s="30" t="str">
        <x:v>EVD394</x:v>
      </x:c>
      <x:c r="B395" s="30" t="str">
        <x:v>AUD362</x:v>
      </x:c>
      <x:c r="C395" s="30" t="str">
        <x:v>Waste Management Process Flow Diagram</x:v>
      </x:c>
      <x:c r="D395" s="30" t="str">
        <x:v>Document</x:v>
      </x:c>
      <x:c r="E395" s="30" t="str">
        <x:v>No</x:v>
      </x:c>
      <x:c r="F395" s="30" t="str">
        <x:v>Operational</x:v>
      </x:c>
      <x:c r="G395" s="30" t="str">
        <x:v>CORE</x:v>
      </x:c>
      <x:c r="H395" s="30" t="str">
        <x:v>No</x:v>
      </x:c>
      <x:c r="I395" s="30" t="str">
        <x:v>P-4 QUARANTINED with inactive parent audit; legacy ID retained.</x:v>
      </x:c>
    </x:row>
    <x:row r="396">
      <x:c r="A396" s="30" t="str">
        <x:v>EVD395</x:v>
      </x:c>
      <x:c r="B396" s="30" t="str">
        <x:v>AUD362</x:v>
      </x:c>
      <x:c r="C396" s="30" t="str">
        <x:v>Waste Management SOP Review Record</x:v>
      </x:c>
      <x:c r="D396" s="30" t="str">
        <x:v>SOP</x:v>
      </x:c>
      <x:c r="E396" s="30" t="str">
        <x:v>Yes</x:v>
      </x:c>
      <x:c r="F396" s="30" t="str">
        <x:v>Operational</x:v>
      </x:c>
      <x:c r="G396" s="30" t="str">
        <x:v>CORE</x:v>
      </x:c>
      <x:c r="H396" s="30" t="str">
        <x:v>No</x:v>
      </x:c>
      <x:c r="I396" s="30" t="str">
        <x:v>P-4 QUARANTINED with inactive parent audit; legacy ID retained.</x:v>
      </x:c>
    </x:row>
    <x:row r="397">
      <x:c r="A397" s="30" t="str">
        <x:v>EVD396</x:v>
      </x:c>
      <x:c r="B397" s="30" t="str">
        <x:v>AUD362</x:v>
      </x:c>
      <x:c r="C397" s="30" t="str">
        <x:v>Waste Management CAPA Register</x:v>
      </x:c>
      <x:c r="D397" s="30" t="str">
        <x:v>Register</x:v>
      </x:c>
      <x:c r="E397" s="30" t="str">
        <x:v>Yes</x:v>
      </x:c>
      <x:c r="F397" s="30" t="str">
        <x:v>Statutory</x:v>
      </x:c>
      <x:c r="G397" s="30" t="str">
        <x:v>CORE</x:v>
      </x:c>
      <x:c r="H397" s="30" t="str">
        <x:v>No</x:v>
      </x:c>
      <x:c r="I397" s="30" t="str">
        <x:v>P-4 QUARANTINED with inactive parent audit; legacy ID retained.</x:v>
      </x:c>
    </x:row>
    <x:row r="398">
      <x:c r="A398" s="30" t="str">
        <x:v>EVD397</x:v>
      </x:c>
      <x:c r="B398" s="30" t="str">
        <x:v>AUD362</x:v>
      </x:c>
      <x:c r="C398" s="30" t="str">
        <x:v>Independent Audit Working Papers</x:v>
      </x:c>
      <x:c r="D398" s="30" t="str">
        <x:v>Record</x:v>
      </x:c>
      <x:c r="E398" s="30" t="str">
        <x:v>Yes</x:v>
      </x:c>
      <x:c r="F398" s="30" t="str">
        <x:v>Operational</x:v>
      </x:c>
      <x:c r="G398" s="30" t="str">
        <x:v>CORE</x:v>
      </x:c>
      <x:c r="H398" s="30" t="str">
        <x:v>No</x:v>
      </x:c>
      <x:c r="I398" s="30" t="str">
        <x:v>P-4 QUARANTINED with inactive parent audit; legacy ID retained.</x:v>
      </x:c>
    </x:row>
    <x:row r="399">
      <x:c r="A399" s="30" t="str">
        <x:v>EVD398</x:v>
      </x:c>
      <x:c r="B399" s="30" t="str">
        <x:v>AUD362</x:v>
      </x:c>
      <x:c r="C399" s="30" t="str">
        <x:v>Annual Waste Compliance Improvement Plan</x:v>
      </x:c>
      <x:c r="D399" s="30" t="str">
        <x:v>Document</x:v>
      </x:c>
      <x:c r="E399" s="30" t="str">
        <x:v>No</x:v>
      </x:c>
      <x:c r="F399" s="30" t="str">
        <x:v>Operational</x:v>
      </x:c>
      <x:c r="G399" s="30" t="str">
        <x:v>CORE</x:v>
      </x:c>
      <x:c r="H399" s="30" t="str">
        <x:v>No</x:v>
      </x:c>
      <x:c r="I399" s="30" t="str">
        <x:v>P-4 QUARANTINED with inactive parent audit; legacy ID retained.</x:v>
      </x:c>
    </x:row>
    <x:row r="400">
      <x:c r="A400" s="30" t="str">
        <x:v>EVD399</x:v>
      </x:c>
      <x:c r="B400" s="30" t="str">
        <x:v>AUD362</x:v>
      </x:c>
      <x:c r="C400" s="30" t="str">
        <x:v>Waste Governance Review Report</x:v>
      </x:c>
      <x:c r="D400" s="30" t="str">
        <x:v>Report</x:v>
      </x:c>
      <x:c r="E400" s="30" t="str">
        <x:v>Yes</x:v>
      </x:c>
      <x:c r="F400" s="30" t="str">
        <x:v>Operational</x:v>
      </x:c>
      <x:c r="G400" s="30" t="str">
        <x:v>CORE</x:v>
      </x:c>
      <x:c r="H400" s="30" t="str">
        <x:v>No</x:v>
      </x:c>
      <x:c r="I400" s="30" t="str">
        <x:v>P-4 QUARANTINED with inactive parent audit; legacy ID retained.</x:v>
      </x:c>
    </x:row>
    <x:row r="401">
      <x:c r="A401" s="30" t="str">
        <x:v>EVD400</x:v>
      </x:c>
      <x:c r="B401" s="30" t="str">
        <x:v>AUD366</x:v>
      </x:c>
      <x:c r="C401" s="30" t="str">
        <x:v>Employee Qualification Certificates</x:v>
      </x:c>
      <x:c r="D401" s="30" t="str">
        <x:v>Certificate</x:v>
      </x:c>
      <x:c r="E401" s="30" t="str">
        <x:v>Yes</x:v>
      </x:c>
      <x:c r="F401" s="30" t="str">
        <x:v>Permanent</x:v>
      </x:c>
      <x:c r="G401" s="30" t="str">
        <x:v>CORE</x:v>
      </x:c>
      <x:c r="H401" s="30" t="str">
        <x:v>No</x:v>
      </x:c>
      <x:c r="I401" s="30" t="str">
        <x:v>P-3 QUARANTINED: Generic State/local/permit/reference rows, penalty-only/fabricated DAMR extractions, and future-effective DPDP duties are not current production obligations.</x:v>
      </x:c>
    </x:row>
    <x:row r="402">
      <x:c r="A402" s="30" t="str">
        <x:v>EVD401</x:v>
      </x:c>
      <x:c r="B402" s="30" t="str">
        <x:v>AUD366</x:v>
      </x:c>
      <x:c r="C402" s="30" t="str">
        <x:v>Employee Personnel File</x:v>
      </x:c>
      <x:c r="D402" s="30" t="str">
        <x:v>Record</x:v>
      </x:c>
      <x:c r="E402" s="30" t="str">
        <x:v>Yes</x:v>
      </x:c>
      <x:c r="F402" s="30" t="str">
        <x:v>Operational</x:v>
      </x:c>
      <x:c r="G402" s="30" t="str">
        <x:v>CORE</x:v>
      </x:c>
      <x:c r="H402" s="30" t="str">
        <x:v>No</x:v>
      </x:c>
      <x:c r="I402" s="30" t="str">
        <x:v>P-3 QUARANTINED: Generic State/local/permit/reference rows, penalty-only/fabricated DAMR extractions, and future-effective DPDP duties are not current production obligations.</x:v>
      </x:c>
    </x:row>
    <x:row r="403">
      <x:c r="A403" s="30" t="str">
        <x:v>EVD402</x:v>
      </x:c>
      <x:c r="B403" s="30" t="str">
        <x:v>AUD368</x:v>
      </x:c>
      <x:c r="C403" s="30" t="str">
        <x:v>Pharmacist Registration Certificate</x:v>
      </x:c>
      <x:c r="D403" s="30" t="str">
        <x:v>Certificate</x:v>
      </x:c>
      <x:c r="E403" s="30" t="str">
        <x:v>Yes</x:v>
      </x:c>
      <x:c r="F403" s="30" t="str">
        <x:v>Permanent</x:v>
      </x:c>
      <x:c r="G403" s="30" t="str">
        <x:v>CORE</x:v>
      </x:c>
      <x:c r="H403" s="30" t="str">
        <x:v>No</x:v>
      </x:c>
      <x:c r="I403" s="30" t="str">
        <x:v>P-3 QUARANTINED: Generic State/local/permit/reference rows, penalty-only/fabricated DAMR extractions, and future-effective DPDP duties are not current production obligations.</x:v>
      </x:c>
    </x:row>
    <x:row r="404">
      <x:c r="A404" s="30" t="str">
        <x:v>EVD403</x:v>
      </x:c>
      <x:c r="B404" s="30" t="str">
        <x:v>AUD368</x:v>
      </x:c>
      <x:c r="C404" s="30" t="str">
        <x:v>Pharmacy Council Registration Renewal Certificate</x:v>
      </x:c>
      <x:c r="D404" s="30" t="str">
        <x:v>Certificate</x:v>
      </x:c>
      <x:c r="E404" s="30" t="str">
        <x:v>Yes</x:v>
      </x:c>
      <x:c r="F404" s="30" t="str">
        <x:v>Permanent</x:v>
      </x:c>
      <x:c r="G404" s="30" t="str">
        <x:v>CORE</x:v>
      </x:c>
      <x:c r="H404" s="30" t="str">
        <x:v>No</x:v>
      </x:c>
      <x:c r="I404" s="30" t="str">
        <x:v>P-3 QUARANTINED: Generic State/local/permit/reference rows, penalty-only/fabricated DAMR extractions, and future-effective DPDP duties are not current production obligations.</x:v>
      </x:c>
    </x:row>
    <x:row r="405">
      <x:c r="A405" s="30" t="str">
        <x:v>EVD404</x:v>
      </x:c>
      <x:c r="B405" s="30" t="str">
        <x:v>AUD370</x:v>
      </x:c>
      <x:c r="C405" s="30" t="str">
        <x:v>Appointment Letter</x:v>
      </x:c>
      <x:c r="D405" s="30" t="str">
        <x:v>Document</x:v>
      </x:c>
      <x:c r="E405" s="30" t="str">
        <x:v>Yes</x:v>
      </x:c>
      <x:c r="F405" s="30" t="str">
        <x:v>Operational</x:v>
      </x:c>
      <x:c r="G405" s="30" t="str">
        <x:v>CORE</x:v>
      </x:c>
      <x:c r="H405" s="30" t="str">
        <x:v>No</x:v>
      </x:c>
      <x:c r="I405" s="30" t="str">
        <x:v>P-3 QUARANTINED: Generic State/local/permit/reference rows, penalty-only/fabricated DAMR extractions, and future-effective DPDP duties are not current production obligations.</x:v>
      </x:c>
    </x:row>
    <x:row r="406">
      <x:c r="A406" s="30" t="str">
        <x:v>EVD405</x:v>
      </x:c>
      <x:c r="B406" s="30" t="str">
        <x:v>AUD370</x:v>
      </x:c>
      <x:c r="C406" s="30" t="str">
        <x:v>Job Description</x:v>
      </x:c>
      <x:c r="D406" s="30" t="str">
        <x:v>Document</x:v>
      </x:c>
      <x:c r="E406" s="30" t="str">
        <x:v>Yes</x:v>
      </x:c>
      <x:c r="F406" s="30" t="str">
        <x:v>Operational</x:v>
      </x:c>
      <x:c r="G406" s="30" t="str">
        <x:v>CORE</x:v>
      </x:c>
      <x:c r="H406" s="30" t="str">
        <x:v>No</x:v>
      </x:c>
      <x:c r="I406" s="30" t="str">
        <x:v>P-3 QUARANTINED: Generic State/local/permit/reference rows, penalty-only/fabricated DAMR extractions, and future-effective DPDP duties are not current production obligations.</x:v>
      </x:c>
    </x:row>
    <x:row r="407">
      <x:c r="A407" s="30" t="str">
        <x:v>EVD406</x:v>
      </x:c>
      <x:c r="B407" s="30" t="str">
        <x:v>AUD372</x:v>
      </x:c>
      <x:c r="C407" s="30" t="str">
        <x:v>Employee Induction Training Record</x:v>
      </x:c>
      <x:c r="D407" s="30" t="str">
        <x:v>Training Record</x:v>
      </x:c>
      <x:c r="E407" s="30" t="str">
        <x:v>Yes</x:v>
      </x:c>
      <x:c r="F407" s="30" t="str">
        <x:v>Operational</x:v>
      </x:c>
      <x:c r="G407" s="30" t="str">
        <x:v>CORE</x:v>
      </x:c>
      <x:c r="H407" s="30" t="str">
        <x:v>No</x:v>
      </x:c>
      <x:c r="I407" s="30" t="str">
        <x:v>P-3 QUARANTINED: Generic State/local/permit/reference rows, penalty-only/fabricated DAMR extractions, and future-effective DPDP duties are not current production obligations.</x:v>
      </x:c>
    </x:row>
    <x:row r="408">
      <x:c r="A408" s="30" t="str">
        <x:v>EVD407</x:v>
      </x:c>
      <x:c r="B408" s="30" t="str">
        <x:v>AUD372</x:v>
      </x:c>
      <x:c r="C408" s="30" t="str">
        <x:v>Induction Training Attendance Sheet</x:v>
      </x:c>
      <x:c r="D408" s="30" t="str">
        <x:v>Training Record</x:v>
      </x:c>
      <x:c r="E408" s="30" t="str">
        <x:v>Yes</x:v>
      </x:c>
      <x:c r="F408" s="30" t="str">
        <x:v>Operational</x:v>
      </x:c>
      <x:c r="G408" s="30" t="str">
        <x:v>CORE</x:v>
      </x:c>
      <x:c r="H408" s="30" t="str">
        <x:v>No</x:v>
      </x:c>
      <x:c r="I408" s="30" t="str">
        <x:v>P-3 QUARANTINED: Generic State/local/permit/reference rows, penalty-only/fabricated DAMR extractions, and future-effective DPDP duties are not current production obligations.</x:v>
      </x:c>
    </x:row>
    <x:row r="409">
      <x:c r="A409" s="30" t="str">
        <x:v>EVD408</x:v>
      </x:c>
      <x:c r="B409" s="30" t="str">
        <x:v>AUD374</x:v>
      </x:c>
      <x:c r="C409" s="30" t="str">
        <x:v>Annual Regulatory Training Calendar</x:v>
      </x:c>
      <x:c r="D409" s="30" t="str">
        <x:v>Training Record</x:v>
      </x:c>
      <x:c r="E409" s="30" t="str">
        <x:v>Yes</x:v>
      </x:c>
      <x:c r="F409" s="30" t="str">
        <x:v>Operational</x:v>
      </x:c>
      <x:c r="G409" s="30" t="str">
        <x:v>CORE</x:v>
      </x:c>
      <x:c r="H409" s="30" t="str">
        <x:v>No</x:v>
      </x:c>
      <x:c r="I409" s="30" t="str">
        <x:v>P-3 QUARANTINED: Generic State/local/permit/reference rows, penalty-only/fabricated DAMR extractions, and future-effective DPDP duties are not current production obligations.</x:v>
      </x:c>
    </x:row>
    <x:row r="410">
      <x:c r="A410" s="30" t="str">
        <x:v>EVD409</x:v>
      </x:c>
      <x:c r="B410" s="30" t="str">
        <x:v>AUD374</x:v>
      </x:c>
      <x:c r="C410" s="30" t="str">
        <x:v>Regulatory Compliance Training Attendance Register</x:v>
      </x:c>
      <x:c r="D410" s="30" t="str">
        <x:v>Training Record</x:v>
      </x:c>
      <x:c r="E410" s="30" t="str">
        <x:v>Yes</x:v>
      </x:c>
      <x:c r="F410" s="30" t="str">
        <x:v>Operational</x:v>
      </x:c>
      <x:c r="G410" s="30" t="str">
        <x:v>CORE</x:v>
      </x:c>
      <x:c r="H410" s="30" t="str">
        <x:v>No</x:v>
      </x:c>
      <x:c r="I410" s="30" t="str">
        <x:v>P-3 QUARANTINED: Generic State/local/permit/reference rows, penalty-only/fabricated DAMR extractions, and future-effective DPDP duties are not current production obligations.</x:v>
      </x:c>
    </x:row>
    <x:row r="411">
      <x:c r="A411" s="30" t="str">
        <x:v>EVD410</x:v>
      </x:c>
      <x:c r="B411" s="30" t="str">
        <x:v>AUD374</x:v>
      </x:c>
      <x:c r="C411" s="30" t="str">
        <x:v>Training Effectiveness Assessment Report</x:v>
      </x:c>
      <x:c r="D411" s="30" t="str">
        <x:v>Training Record</x:v>
      </x:c>
      <x:c r="E411" s="30" t="str">
        <x:v>Yes</x:v>
      </x:c>
      <x:c r="F411" s="30" t="str">
        <x:v>Operational</x:v>
      </x:c>
      <x:c r="G411" s="30" t="str">
        <x:v>CORE</x:v>
      </x:c>
      <x:c r="H411" s="30" t="str">
        <x:v>No</x:v>
      </x:c>
      <x:c r="I411" s="30" t="str">
        <x:v>P-3 QUARANTINED: Generic State/local/permit/reference rows, penalty-only/fabricated DAMR extractions, and future-effective DPDP duties are not current production obligations.</x:v>
      </x:c>
    </x:row>
    <x:row r="412">
      <x:c r="A412" s="30" t="str">
        <x:v>EVD411</x:v>
      </x:c>
      <x:c r="B412" s="30" t="str">
        <x:v>AUD376</x:v>
      </x:c>
      <x:c r="C412" s="30" t="str">
        <x:v>SOP Distribution Register</x:v>
      </x:c>
      <x:c r="D412" s="30" t="str">
        <x:v>SOP</x:v>
      </x:c>
      <x:c r="E412" s="30" t="str">
        <x:v>Yes</x:v>
      </x:c>
      <x:c r="F412" s="30" t="str">
        <x:v>Operational</x:v>
      </x:c>
      <x:c r="G412" s="30" t="str">
        <x:v>CORE</x:v>
      </x:c>
      <x:c r="H412" s="30" t="str">
        <x:v>No</x:v>
      </x:c>
      <x:c r="I412" s="30" t="str">
        <x:v>P-3 QUARANTINED: Generic State/local/permit/reference rows, penalty-only/fabricated DAMR extractions, and future-effective DPDP duties are not current production obligations.</x:v>
      </x:c>
    </x:row>
    <x:row r="413">
      <x:c r="A413" s="30" t="str">
        <x:v>EVD412</x:v>
      </x:c>
      <x:c r="B413" s="30" t="str">
        <x:v>AUD376</x:v>
      </x:c>
      <x:c r="C413" s="30" t="str">
        <x:v>Employee SOP Acknowledgement Forms</x:v>
      </x:c>
      <x:c r="D413" s="30" t="str">
        <x:v>SOP</x:v>
      </x:c>
      <x:c r="E413" s="30" t="str">
        <x:v>Yes</x:v>
      </x:c>
      <x:c r="F413" s="30" t="str">
        <x:v>Operational</x:v>
      </x:c>
      <x:c r="G413" s="30" t="str">
        <x:v>CORE</x:v>
      </x:c>
      <x:c r="H413" s="30" t="str">
        <x:v>No</x:v>
      </x:c>
      <x:c r="I413" s="30" t="str">
        <x:v>P-3 QUARANTINED: Generic State/local/permit/reference rows, penalty-only/fabricated DAMR extractions, and future-effective DPDP duties are not current production obligations.</x:v>
      </x:c>
    </x:row>
    <x:row r="414">
      <x:c r="A414" s="30" t="str">
        <x:v>EVD413</x:v>
      </x:c>
      <x:c r="B414" s="30" t="str">
        <x:v>AUD378</x:v>
      </x:c>
      <x:c r="C414" s="30" t="str">
        <x:v>Competency Assessment Report</x:v>
      </x:c>
      <x:c r="D414" s="30" t="str">
        <x:v>Training Record</x:v>
      </x:c>
      <x:c r="E414" s="30" t="str">
        <x:v>Yes</x:v>
      </x:c>
      <x:c r="F414" s="30" t="str">
        <x:v>Operational</x:v>
      </x:c>
      <x:c r="G414" s="30" t="str">
        <x:v>CORE</x:v>
      </x:c>
      <x:c r="H414" s="30" t="str">
        <x:v>No</x:v>
      </x:c>
      <x:c r="I414" s="30" t="str">
        <x:v>P-3 QUARANTINED: Generic State/local/permit/reference rows, penalty-only/fabricated DAMR extractions, and future-effective DPDP duties are not current production obligations.</x:v>
      </x:c>
    </x:row>
    <x:row r="415">
      <x:c r="A415" s="30" t="str">
        <x:v>EVD414</x:v>
      </x:c>
      <x:c r="B415" s="30" t="str">
        <x:v>AUD378</x:v>
      </x:c>
      <x:c r="C415" s="30" t="str">
        <x:v>Retraining Record</x:v>
      </x:c>
      <x:c r="D415" s="30" t="str">
        <x:v>Training Record</x:v>
      </x:c>
      <x:c r="E415" s="30" t="str">
        <x:v>No</x:v>
      </x:c>
      <x:c r="F415" s="30" t="str">
        <x:v>Operational</x:v>
      </x:c>
      <x:c r="G415" s="30" t="str">
        <x:v>CORE</x:v>
      </x:c>
      <x:c r="H415" s="30" t="str">
        <x:v>No</x:v>
      </x:c>
      <x:c r="I415" s="30" t="str">
        <x:v>P-3 QUARANTINED: Generic State/local/permit/reference rows, penalty-only/fabricated DAMR extractions, and future-effective DPDP duties are not current production obligations.</x:v>
      </x:c>
    </x:row>
    <x:row r="416">
      <x:c r="A416" s="30" t="str">
        <x:v>EVD415</x:v>
      </x:c>
      <x:c r="B416" s="30" t="str">
        <x:v>AUD380</x:v>
      </x:c>
      <x:c r="C416" s="30" t="str">
        <x:v>Continuing Professional Education (CPE) Certificates</x:v>
      </x:c>
      <x:c r="D416" s="30" t="str">
        <x:v>Certificate</x:v>
      </x:c>
      <x:c r="E416" s="30" t="str">
        <x:v>Yes</x:v>
      </x:c>
      <x:c r="F416" s="30" t="str">
        <x:v>Permanent</x:v>
      </x:c>
      <x:c r="G416" s="30" t="str">
        <x:v>CORE</x:v>
      </x:c>
      <x:c r="H416" s="30" t="str">
        <x:v>No</x:v>
      </x:c>
      <x:c r="I416" s="30" t="str">
        <x:v>P-3 QUARANTINED: Generic State/local/permit/reference rows, penalty-only/fabricated DAMR extractions, and future-effective DPDP duties are not current production obligations.</x:v>
      </x:c>
    </x:row>
    <x:row r="417">
      <x:c r="A417" s="30" t="str">
        <x:v>EVD416</x:v>
      </x:c>
      <x:c r="B417" s="30" t="str">
        <x:v>AUD380</x:v>
      </x:c>
      <x:c r="C417" s="30" t="str">
        <x:v>Professional Development Register</x:v>
      </x:c>
      <x:c r="D417" s="30" t="str">
        <x:v>Register</x:v>
      </x:c>
      <x:c r="E417" s="30" t="str">
        <x:v>Yes</x:v>
      </x:c>
      <x:c r="F417" s="30" t="str">
        <x:v>Statutory</x:v>
      </x:c>
      <x:c r="G417" s="30" t="str">
        <x:v>CORE</x:v>
      </x:c>
      <x:c r="H417" s="30" t="str">
        <x:v>No</x:v>
      </x:c>
      <x:c r="I417" s="30" t="str">
        <x:v>P-3 QUARANTINED: Generic State/local/permit/reference rows, penalty-only/fabricated DAMR extractions, and future-effective DPDP duties are not current production obligations.</x:v>
      </x:c>
    </x:row>
    <x:row r="418">
      <x:c r="A418" s="30" t="str">
        <x:v>EVD417</x:v>
      </x:c>
      <x:c r="B418" s="30" t="str">
        <x:v>AUD382</x:v>
      </x:c>
      <x:c r="C418" s="30" t="str">
        <x:v>Pharmacist Attendance Register</x:v>
      </x:c>
      <x:c r="D418" s="30" t="str">
        <x:v>Register</x:v>
      </x:c>
      <x:c r="E418" s="30" t="str">
        <x:v>Yes</x:v>
      </x:c>
      <x:c r="F418" s="30" t="str">
        <x:v>Statutory</x:v>
      </x:c>
      <x:c r="G418" s="30" t="str">
        <x:v>CORE</x:v>
      </x:c>
      <x:c r="H418" s="30" t="str">
        <x:v>No</x:v>
      </x:c>
      <x:c r="I418" s="30" t="str">
        <x:v>P-3 QUARANTINED: Generic State/local/permit/reference rows, penalty-only/fabricated DAMR extractions, and future-effective DPDP duties are not current production obligations.</x:v>
      </x:c>
    </x:row>
    <x:row r="419">
      <x:c r="A419" s="30" t="str">
        <x:v>EVD418</x:v>
      </x:c>
      <x:c r="B419" s="30" t="str">
        <x:v>AUD382</x:v>
      </x:c>
      <x:c r="C419" s="30" t="str">
        <x:v>Duty Roster</x:v>
      </x:c>
      <x:c r="D419" s="30" t="str">
        <x:v>Record</x:v>
      </x:c>
      <x:c r="E419" s="30" t="str">
        <x:v>Yes</x:v>
      </x:c>
      <x:c r="F419" s="30" t="str">
        <x:v>Operational</x:v>
      </x:c>
      <x:c r="G419" s="30" t="str">
        <x:v>CORE</x:v>
      </x:c>
      <x:c r="H419" s="30" t="str">
        <x:v>No</x:v>
      </x:c>
      <x:c r="I419" s="30" t="str">
        <x:v>P-3 QUARANTINED: Generic State/local/permit/reference rows, penalty-only/fabricated DAMR extractions, and future-effective DPDP duties are not current production obligations.</x:v>
      </x:c>
    </x:row>
    <x:row r="420">
      <x:c r="A420" s="30" t="str">
        <x:v>EVD419</x:v>
      </x:c>
      <x:c r="B420" s="30" t="str">
        <x:v>AUD384</x:v>
      </x:c>
      <x:c r="C420" s="30" t="str">
        <x:v>Approved Manpower Plan</x:v>
      </x:c>
      <x:c r="D420" s="30" t="str">
        <x:v>Document</x:v>
      </x:c>
      <x:c r="E420" s="30" t="str">
        <x:v>Yes</x:v>
      </x:c>
      <x:c r="F420" s="30" t="str">
        <x:v>Operational</x:v>
      </x:c>
      <x:c r="G420" s="30" t="str">
        <x:v>CORE</x:v>
      </x:c>
      <x:c r="H420" s="30" t="str">
        <x:v>No</x:v>
      </x:c>
      <x:c r="I420" s="30" t="str">
        <x:v>P-3 QUARANTINED: Generic State/local/permit/reference rows, penalty-only/fabricated DAMR extractions, and future-effective DPDP duties are not current production obligations.</x:v>
      </x:c>
    </x:row>
    <x:row r="421">
      <x:c r="A421" s="30" t="str">
        <x:v>EVD420</x:v>
      </x:c>
      <x:c r="B421" s="30" t="str">
        <x:v>AUD384</x:v>
      </x:c>
      <x:c r="C421" s="30" t="str">
        <x:v>Organization Chart</x:v>
      </x:c>
      <x:c r="D421" s="30" t="str">
        <x:v>Document</x:v>
      </x:c>
      <x:c r="E421" s="30" t="str">
        <x:v>Yes</x:v>
      </x:c>
      <x:c r="F421" s="30" t="str">
        <x:v>Operational</x:v>
      </x:c>
      <x:c r="G421" s="30" t="str">
        <x:v>CORE</x:v>
      </x:c>
      <x:c r="H421" s="30" t="str">
        <x:v>No</x:v>
      </x:c>
      <x:c r="I421" s="30" t="str">
        <x:v>P-3 QUARANTINED: Generic State/local/permit/reference rows, penalty-only/fabricated DAMR extractions, and future-effective DPDP duties are not current production obligations.</x:v>
      </x:c>
    </x:row>
    <x:row r="422">
      <x:c r="A422" s="30" t="str">
        <x:v>EVD421</x:v>
      </x:c>
      <x:c r="B422" s="30" t="str">
        <x:v>AUD386</x:v>
      </x:c>
      <x:c r="C422" s="30" t="str">
        <x:v>Temporary Staff Qualification Certificates</x:v>
      </x:c>
      <x:c r="D422" s="30" t="str">
        <x:v>Certificate</x:v>
      </x:c>
      <x:c r="E422" s="30" t="str">
        <x:v>Yes</x:v>
      </x:c>
      <x:c r="F422" s="30" t="str">
        <x:v>Permanent</x:v>
      </x:c>
      <x:c r="G422" s="30" t="str">
        <x:v>CORE</x:v>
      </x:c>
      <x:c r="H422" s="30" t="str">
        <x:v>No</x:v>
      </x:c>
      <x:c r="I422" s="30" t="str">
        <x:v>P-3 QUARANTINED: Generic State/local/permit/reference rows, penalty-only/fabricated DAMR extractions, and future-effective DPDP duties are not current production obligations.</x:v>
      </x:c>
    </x:row>
    <x:row r="423">
      <x:c r="A423" s="30" t="str">
        <x:v>EVD422</x:v>
      </x:c>
      <x:c r="B423" s="30" t="str">
        <x:v>AUD386</x:v>
      </x:c>
      <x:c r="C423" s="30" t="str">
        <x:v>Temporary Staff Approval Record</x:v>
      </x:c>
      <x:c r="D423" s="30" t="str">
        <x:v>Approval</x:v>
      </x:c>
      <x:c r="E423" s="30" t="str">
        <x:v>Yes</x:v>
      </x:c>
      <x:c r="F423" s="30" t="str">
        <x:v>Permanent</x:v>
      </x:c>
      <x:c r="G423" s="30" t="str">
        <x:v>CORE</x:v>
      </x:c>
      <x:c r="H423" s="30" t="str">
        <x:v>No</x:v>
      </x:c>
      <x:c r="I423" s="30" t="str">
        <x:v>P-3 QUARANTINED: Generic State/local/permit/reference rows, penalty-only/fabricated DAMR extractions, and future-effective DPDP duties are not current production obligations.</x:v>
      </x:c>
    </x:row>
    <x:row r="424">
      <x:c r="A424" s="30" t="str">
        <x:v>EVD423</x:v>
      </x:c>
      <x:c r="B424" s="30" t="str">
        <x:v>AUD388</x:v>
      </x:c>
      <x:c r="C424" s="30" t="str">
        <x:v>Conflict of Interest Declaration Form</x:v>
      </x:c>
      <x:c r="D424" s="30" t="str">
        <x:v>Declaration</x:v>
      </x:c>
      <x:c r="E424" s="30" t="str">
        <x:v>Yes</x:v>
      </x:c>
      <x:c r="F424" s="30" t="str">
        <x:v>Operational</x:v>
      </x:c>
      <x:c r="G424" s="30" t="str">
        <x:v>CORE</x:v>
      </x:c>
      <x:c r="H424" s="30" t="str">
        <x:v>No</x:v>
      </x:c>
      <x:c r="I424" s="30" t="str">
        <x:v>P-3 QUARANTINED: Generic State/local/permit/reference rows, penalty-only/fabricated DAMR extractions, and future-effective DPDP duties are not current production obligations.</x:v>
      </x:c>
    </x:row>
    <x:row r="425">
      <x:c r="A425" s="30" t="str">
        <x:v>EVD424</x:v>
      </x:c>
      <x:c r="B425" s="30" t="str">
        <x:v>AUD388</x:v>
      </x:c>
      <x:c r="C425" s="30" t="str">
        <x:v>Conflict Review Register</x:v>
      </x:c>
      <x:c r="D425" s="30" t="str">
        <x:v>Register</x:v>
      </x:c>
      <x:c r="E425" s="30" t="str">
        <x:v>Yes</x:v>
      </x:c>
      <x:c r="F425" s="30" t="str">
        <x:v>Statutory</x:v>
      </x:c>
      <x:c r="G425" s="30" t="str">
        <x:v>CORE</x:v>
      </x:c>
      <x:c r="H425" s="30" t="str">
        <x:v>No</x:v>
      </x:c>
      <x:c r="I425" s="30" t="str">
        <x:v>P-3 QUARANTINED: Generic State/local/permit/reference rows, penalty-only/fabricated DAMR extractions, and future-effective DPDP duties are not current production obligations.</x:v>
      </x:c>
    </x:row>
    <x:row r="426">
      <x:c r="A426" s="30" t="str">
        <x:v>EVD425</x:v>
      </x:c>
      <x:c r="B426" s="30" t="str">
        <x:v>AUD390</x:v>
      </x:c>
      <x:c r="C426" s="30" t="str">
        <x:v>Disciplinary Action Register</x:v>
      </x:c>
      <x:c r="D426" s="30" t="str">
        <x:v>Register</x:v>
      </x:c>
      <x:c r="E426" s="30" t="str">
        <x:v>Yes</x:v>
      </x:c>
      <x:c r="F426" s="30" t="str">
        <x:v>Statutory</x:v>
      </x:c>
      <x:c r="G426" s="30" t="str">
        <x:v>CORE</x:v>
      </x:c>
      <x:c r="H426" s="30" t="str">
        <x:v>No</x:v>
      </x:c>
      <x:c r="I426" s="30" t="str">
        <x:v>P-3 QUARANTINED: Generic State/local/permit/reference rows, penalty-only/fabricated DAMR extractions, and future-effective DPDP duties are not current production obligations.</x:v>
      </x:c>
    </x:row>
    <x:row r="427">
      <x:c r="A427" s="30" t="str">
        <x:v>EVD426</x:v>
      </x:c>
      <x:c r="B427" s="30" t="str">
        <x:v>AUD390</x:v>
      </x:c>
      <x:c r="C427" s="30" t="str">
        <x:v>Disciplinary Investigation Report</x:v>
      </x:c>
      <x:c r="D427" s="30" t="str">
        <x:v>Report</x:v>
      </x:c>
      <x:c r="E427" s="30" t="str">
        <x:v>Yes</x:v>
      </x:c>
      <x:c r="F427" s="30" t="str">
        <x:v>Operational</x:v>
      </x:c>
      <x:c r="G427" s="30" t="str">
        <x:v>CORE</x:v>
      </x:c>
      <x:c r="H427" s="30" t="str">
        <x:v>No</x:v>
      </x:c>
      <x:c r="I427" s="30" t="str">
        <x:v>P-3 QUARANTINED: Generic State/local/permit/reference rows, penalty-only/fabricated DAMR extractions, and future-effective DPDP duties are not current production obligations.</x:v>
      </x:c>
    </x:row>
    <x:row r="428">
      <x:c r="A428" s="30" t="str">
        <x:v>EVD427</x:v>
      </x:c>
      <x:c r="B428" s="30" t="str">
        <x:v>AUD392</x:v>
      </x:c>
      <x:c r="C428" s="30" t="str">
        <x:v>Employee Medical Fitness Certificate</x:v>
      </x:c>
      <x:c r="D428" s="30" t="str">
        <x:v>Certificate</x:v>
      </x:c>
      <x:c r="E428" s="30" t="str">
        <x:v>Yes</x:v>
      </x:c>
      <x:c r="F428" s="30" t="str">
        <x:v>Permanent</x:v>
      </x:c>
      <x:c r="G428" s="30" t="str">
        <x:v>CORE</x:v>
      </x:c>
      <x:c r="H428" s="30" t="str">
        <x:v>No</x:v>
      </x:c>
      <x:c r="I428" s="30" t="str">
        <x:v>P-3 QUARANTINED: Generic State/local/permit/reference rows, penalty-only/fabricated DAMR extractions, and future-effective DPDP duties are not current production obligations.</x:v>
      </x:c>
    </x:row>
    <x:row r="429">
      <x:c r="A429" s="30" t="str">
        <x:v>EVD428</x:v>
      </x:c>
      <x:c r="B429" s="30" t="str">
        <x:v>AUD392</x:v>
      </x:c>
      <x:c r="C429" s="30" t="str">
        <x:v>Medical Examination Register</x:v>
      </x:c>
      <x:c r="D429" s="30" t="str">
        <x:v>Register</x:v>
      </x:c>
      <x:c r="E429" s="30" t="str">
        <x:v>Yes</x:v>
      </x:c>
      <x:c r="F429" s="30" t="str">
        <x:v>Statutory</x:v>
      </x:c>
      <x:c r="G429" s="30" t="str">
        <x:v>CORE</x:v>
      </x:c>
      <x:c r="H429" s="30" t="str">
        <x:v>No</x:v>
      </x:c>
      <x:c r="I429" s="30" t="str">
        <x:v>P-3 QUARANTINED: Generic State/local/permit/reference rows, penalty-only/fabricated DAMR extractions, and future-effective DPDP duties are not current production obligations.</x:v>
      </x:c>
    </x:row>
    <x:row r="430">
      <x:c r="A430" s="30" t="str">
        <x:v>EVD429</x:v>
      </x:c>
      <x:c r="B430" s="30" t="str">
        <x:v>AUD394</x:v>
      </x:c>
      <x:c r="C430" s="30" t="str">
        <x:v>User Access Authorization Form</x:v>
      </x:c>
      <x:c r="D430" s="30" t="str">
        <x:v>Approval</x:v>
      </x:c>
      <x:c r="E430" s="30" t="str">
        <x:v>Yes</x:v>
      </x:c>
      <x:c r="F430" s="30" t="str">
        <x:v>Permanent</x:v>
      </x:c>
      <x:c r="G430" s="30" t="str">
        <x:v>CORE</x:v>
      </x:c>
      <x:c r="H430" s="30" t="str">
        <x:v>No</x:v>
      </x:c>
      <x:c r="I430" s="30" t="str">
        <x:v>P-3 QUARANTINED: Generic State/local/permit/reference rows, penalty-only/fabricated DAMR extractions, and future-effective DPDP duties are not current production obligations.</x:v>
      </x:c>
    </x:row>
    <x:row r="431">
      <x:c r="A431" s="30" t="str">
        <x:v>EVD430</x:v>
      </x:c>
      <x:c r="B431" s="30" t="str">
        <x:v>AUD394</x:v>
      </x:c>
      <x:c r="C431" s="30" t="str">
        <x:v>User Access Matrix</x:v>
      </x:c>
      <x:c r="D431" s="30" t="str">
        <x:v>Record</x:v>
      </x:c>
      <x:c r="E431" s="30" t="str">
        <x:v>Yes</x:v>
      </x:c>
      <x:c r="F431" s="30" t="str">
        <x:v>Operational</x:v>
      </x:c>
      <x:c r="G431" s="30" t="str">
        <x:v>CORE</x:v>
      </x:c>
      <x:c r="H431" s="30" t="str">
        <x:v>No</x:v>
      </x:c>
      <x:c r="I431" s="30" t="str">
        <x:v>P-3 QUARANTINED: Generic State/local/permit/reference rows, penalty-only/fabricated DAMR extractions, and future-effective DPDP duties are not current production obligations.</x:v>
      </x:c>
    </x:row>
    <x:row r="432">
      <x:c r="A432" s="30" t="str">
        <x:v>EVD431</x:v>
      </x:c>
      <x:c r="B432" s="30" t="str">
        <x:v>AUD396</x:v>
      </x:c>
      <x:c r="C432" s="30" t="str">
        <x:v>User Deactivation Request</x:v>
      </x:c>
      <x:c r="D432" s="30" t="str">
        <x:v>Document</x:v>
      </x:c>
      <x:c r="E432" s="30" t="str">
        <x:v>Yes</x:v>
      </x:c>
      <x:c r="F432" s="30" t="str">
        <x:v>Operational</x:v>
      </x:c>
      <x:c r="G432" s="30" t="str">
        <x:v>CORE</x:v>
      </x:c>
      <x:c r="H432" s="30" t="str">
        <x:v>No</x:v>
      </x:c>
      <x:c r="I432" s="30" t="str">
        <x:v>P-3 QUARANTINED: Generic State/local/permit/reference rows, penalty-only/fabricated DAMR extractions, and future-effective DPDP duties are not current production obligations.</x:v>
      </x:c>
    </x:row>
    <x:row r="433">
      <x:c r="A433" s="30" t="str">
        <x:v>EVD432</x:v>
      </x:c>
      <x:c r="B433" s="30" t="str">
        <x:v>AUD396</x:v>
      </x:c>
      <x:c r="C433" s="30" t="str">
        <x:v>System Access Removal Log</x:v>
      </x:c>
      <x:c r="D433" s="30" t="str">
        <x:v>Log Book</x:v>
      </x:c>
      <x:c r="E433" s="30" t="str">
        <x:v>Yes</x:v>
      </x:c>
      <x:c r="F433" s="30" t="str">
        <x:v>Operational</x:v>
      </x:c>
      <x:c r="G433" s="30" t="str">
        <x:v>CORE</x:v>
      </x:c>
      <x:c r="H433" s="30" t="str">
        <x:v>No</x:v>
      </x:c>
      <x:c r="I433" s="30" t="str">
        <x:v>P-3 QUARANTINED: Generic State/local/permit/reference rows, penalty-only/fabricated DAMR extractions, and future-effective DPDP duties are not current production obligations.</x:v>
      </x:c>
    </x:row>
    <x:row r="434">
      <x:c r="A434" s="30" t="str">
        <x:v>EVD433</x:v>
      </x:c>
      <x:c r="B434" s="30" t="str">
        <x:v>AUD398</x:v>
      </x:c>
      <x:c r="C434" s="30" t="str">
        <x:v>Documentary and transaction evidence demonstrating: Before release, substantiate all objective claims and ensure the advertisement is truthful and not misleading by implication, omission, exaggeration or ambiguity.</x:v>
      </x:c>
      <x:c r="D434" s="30" t="str">
        <x:v>Record</x:v>
      </x:c>
      <x:c r="E434" s="30" t="str">
        <x:v>Yes</x:v>
      </x:c>
      <x:c r="F434" s="30" t="str">
        <x:v>Applicable statutory / operational period</x:v>
      </x:c>
      <x:c r="G434" s="30" t="str">
        <x:v>CORE</x:v>
      </x:c>
      <x:c r="H434" s="30" t="str">
        <x:v>Yes</x:v>
      </x:c>
      <x:c r="I434" s="30" t="str">
        <x:v>P-4 aligned to the normalized parent audit; legacy Evidence ID preserved.</x:v>
      </x:c>
    </x:row>
    <x:row r="435">
      <x:c r="A435" s="30" t="str">
        <x:v>EVD434</x:v>
      </x:c>
      <x:c r="B435" s="30" t="str">
        <x:v>AUD398</x:v>
      </x:c>
      <x:c r="C435" s="30" t="str">
        <x:v>Documentary and transaction evidence demonstrating: Before release, substantiate all objective claims and ensure the advertisement is truthful and not misleading by implication, omission, exaggeration or ambiguity.</x:v>
      </x:c>
      <x:c r="D435" s="30" t="str">
        <x:v>Record</x:v>
      </x:c>
      <x:c r="E435" s="30" t="str">
        <x:v>Yes</x:v>
      </x:c>
      <x:c r="F435" s="30" t="str">
        <x:v>Applicable statutory / operational period</x:v>
      </x:c>
      <x:c r="G435" s="30" t="str">
        <x:v>CORE</x:v>
      </x:c>
      <x:c r="H435" s="30" t="str">
        <x:v>Yes</x:v>
      </x:c>
      <x:c r="I435" s="30" t="str">
        <x:v>P-4 aligned to the normalized parent audit; legacy Evidence ID preserved.</x:v>
      </x:c>
    </x:row>
    <x:row r="436">
      <x:c r="A436" s="30" t="str">
        <x:v>EVD435</x:v>
      </x:c>
      <x:c r="B436" s="30" t="str">
        <x:v>AUD400</x:v>
      </x:c>
      <x:c r="C436" s="30" t="str">
        <x:v>Documentary and transaction evidence demonstrating: Use only clear, prominent disclaimers that do not conceal material information or contradict the main claim.</x:v>
      </x:c>
      <x:c r="D436" s="30" t="str">
        <x:v>Record</x:v>
      </x:c>
      <x:c r="E436" s="30" t="str">
        <x:v>Yes</x:v>
      </x:c>
      <x:c r="F436" s="30" t="str">
        <x:v>Applicable statutory / operational period</x:v>
      </x:c>
      <x:c r="G436" s="30" t="str">
        <x:v>CORE</x:v>
      </x:c>
      <x:c r="H436" s="30" t="str">
        <x:v>Yes</x:v>
      </x:c>
      <x:c r="I436" s="30" t="str">
        <x:v>P-4 aligned to the normalized parent audit; legacy Evidence ID preserved.</x:v>
      </x:c>
    </x:row>
    <x:row r="437">
      <x:c r="A437" s="30" t="str">
        <x:v>EVD436</x:v>
      </x:c>
      <x:c r="B437" s="30" t="str">
        <x:v>AUD400</x:v>
      </x:c>
      <x:c r="C437" s="30" t="str">
        <x:v>Documentary and transaction evidence demonstrating: Use only clear, prominent disclaimers that do not conceal material information or contradict the main claim.</x:v>
      </x:c>
      <x:c r="D437" s="30" t="str">
        <x:v>Record</x:v>
      </x:c>
      <x:c r="E437" s="30" t="str">
        <x:v>Yes</x:v>
      </x:c>
      <x:c r="F437" s="30" t="str">
        <x:v>Applicable statutory / operational period</x:v>
      </x:c>
      <x:c r="G437" s="30" t="str">
        <x:v>CORE</x:v>
      </x:c>
      <x:c r="H437" s="30" t="str">
        <x:v>Yes</x:v>
      </x:c>
      <x:c r="I437" s="30" t="str">
        <x:v>P-4 aligned to the normalized parent audit; legacy Evidence ID preserved.</x:v>
      </x:c>
    </x:row>
    <x:row r="438">
      <x:c r="A438" s="30" t="str">
        <x:v>EVD437</x:v>
      </x:c>
      <x:c r="B438" s="30" t="str">
        <x:v>AUD402</x:v>
      </x:c>
      <x:c r="C438" s="30" t="str">
        <x:v>Documentary and transaction evidence demonstrating: Do not advertise a product/service prohibited by law and document endorsement due diligence where an endorsement is used.</x:v>
      </x:c>
      <x:c r="D438" s="30" t="str">
        <x:v>Record</x:v>
      </x:c>
      <x:c r="E438" s="30" t="str">
        <x:v>Yes</x:v>
      </x:c>
      <x:c r="F438" s="30" t="str">
        <x:v>Applicable statutory / operational period</x:v>
      </x:c>
      <x:c r="G438" s="30" t="str">
        <x:v>CORE</x:v>
      </x:c>
      <x:c r="H438" s="30" t="str">
        <x:v>Yes</x:v>
      </x:c>
      <x:c r="I438" s="30" t="str">
        <x:v>P-4 aligned to the normalized parent audit; legacy Evidence ID preserved.</x:v>
      </x:c>
    </x:row>
    <x:row r="439">
      <x:c r="A439" s="30" t="str">
        <x:v>EVD438</x:v>
      </x:c>
      <x:c r="B439" s="30" t="str">
        <x:v>AUD402</x:v>
      </x:c>
      <x:c r="C439" s="30" t="str">
        <x:v>Documentary and transaction evidence demonstrating: Do not advertise a product/service prohibited by law and document endorsement due diligence where an endorsement is used.</x:v>
      </x:c>
      <x:c r="D439" s="30" t="str">
        <x:v>Record</x:v>
      </x:c>
      <x:c r="E439" s="30" t="str">
        <x:v>Yes</x:v>
      </x:c>
      <x:c r="F439" s="30" t="str">
        <x:v>Applicable statutory / operational period</x:v>
      </x:c>
      <x:c r="G439" s="30" t="str">
        <x:v>CORE</x:v>
      </x:c>
      <x:c r="H439" s="30" t="str">
        <x:v>Yes</x:v>
      </x:c>
      <x:c r="I439" s="30" t="str">
        <x:v>P-4 aligned to the normalized parent audit; legacy Evidence ID preserved.</x:v>
      </x:c>
    </x:row>
    <x:row r="440">
      <x:c r="A440" s="30" t="str">
        <x:v>EVD439</x:v>
      </x:c>
      <x:c r="B440" s="30" t="str">
        <x:v>AUD404</x:v>
      </x:c>
      <x:c r="C440" s="30" t="str">
        <x:v>Documentary and transaction evidence demonstrating: Do not advertise a drug for the section 3/Schedule prohibited purposes, diseases or conditions.</x:v>
      </x:c>
      <x:c r="D440" s="30" t="str">
        <x:v>Record</x:v>
      </x:c>
      <x:c r="E440" s="30" t="str">
        <x:v>Yes</x:v>
      </x:c>
      <x:c r="F440" s="30" t="str">
        <x:v>Applicable statutory / operational period</x:v>
      </x:c>
      <x:c r="G440" s="30" t="str">
        <x:v>CORE</x:v>
      </x:c>
      <x:c r="H440" s="30" t="str">
        <x:v>Yes</x:v>
      </x:c>
      <x:c r="I440" s="30" t="str">
        <x:v>P-4 aligned to the normalized parent audit; legacy Evidence ID preserved.</x:v>
      </x:c>
    </x:row>
    <x:row r="441">
      <x:c r="A441" s="30" t="str">
        <x:v>EVD440</x:v>
      </x:c>
      <x:c r="B441" s="30" t="str">
        <x:v>AUD404</x:v>
      </x:c>
      <x:c r="C441" s="30" t="str">
        <x:v>Documentary and transaction evidence demonstrating: Do not advertise a drug for the section 3/Schedule prohibited purposes, diseases or conditions.</x:v>
      </x:c>
      <x:c r="D441" s="30" t="str">
        <x:v>Record</x:v>
      </x:c>
      <x:c r="E441" s="30" t="str">
        <x:v>Yes</x:v>
      </x:c>
      <x:c r="F441" s="30" t="str">
        <x:v>Applicable statutory / operational period</x:v>
      </x:c>
      <x:c r="G441" s="30" t="str">
        <x:v>CORE</x:v>
      </x:c>
      <x:c r="H441" s="30" t="str">
        <x:v>Yes</x:v>
      </x:c>
      <x:c r="I441" s="30" t="str">
        <x:v>P-4 aligned to the normalized parent audit; legacy Evidence ID preserved.</x:v>
      </x:c>
    </x:row>
    <x:row r="442">
      <x:c r="A442" s="30" t="str">
        <x:v>EVD441</x:v>
      </x:c>
      <x:c r="B442" s="30" t="str">
        <x:v>AUD406</x:v>
      </x:c>
      <x:c r="C442" s="30" t="str">
        <x:v>Documentary and transaction evidence demonstrating: Do not issue a drug advertisement that gives a false impression, makes a false claim or is otherwise materially false/misleading.</x:v>
      </x:c>
      <x:c r="D442" s="30" t="str">
        <x:v>Record</x:v>
      </x:c>
      <x:c r="E442" s="30" t="str">
        <x:v>Yes</x:v>
      </x:c>
      <x:c r="F442" s="30" t="str">
        <x:v>Applicable statutory / operational period</x:v>
      </x:c>
      <x:c r="G442" s="30" t="str">
        <x:v>CORE</x:v>
      </x:c>
      <x:c r="H442" s="30" t="str">
        <x:v>Yes</x:v>
      </x:c>
      <x:c r="I442" s="30" t="str">
        <x:v>P-4 aligned to the normalized parent audit; legacy Evidence ID preserved.</x:v>
      </x:c>
    </x:row>
    <x:row r="443">
      <x:c r="A443" s="30" t="str">
        <x:v>EVD442</x:v>
      </x:c>
      <x:c r="B443" s="30" t="str">
        <x:v>AUD406</x:v>
      </x:c>
      <x:c r="C443" s="30" t="str">
        <x:v>Documentary and transaction evidence demonstrating: Do not issue a drug advertisement that gives a false impression, makes a false claim or is otherwise materially false/misleading.</x:v>
      </x:c>
      <x:c r="D443" s="30" t="str">
        <x:v>Record</x:v>
      </x:c>
      <x:c r="E443" s="30" t="str">
        <x:v>Yes</x:v>
      </x:c>
      <x:c r="F443" s="30" t="str">
        <x:v>Applicable statutory / operational period</x:v>
      </x:c>
      <x:c r="G443" s="30" t="str">
        <x:v>CORE</x:v>
      </x:c>
      <x:c r="H443" s="30" t="str">
        <x:v>Yes</x:v>
      </x:c>
      <x:c r="I443" s="30" t="str">
        <x:v>P-4 aligned to the normalized parent audit; legacy Evidence ID preserved.</x:v>
      </x:c>
    </x:row>
    <x:row r="444">
      <x:c r="A444" s="30" t="str">
        <x:v>EVD443</x:v>
      </x:c>
      <x:c r="B444" s="30" t="str">
        <x:v>AUD408</x:v>
      </x:c>
      <x:c r="C444" s="30" t="str">
        <x:v>Regulatory Awareness Session Record</x:v>
      </x:c>
      <x:c r="D444" s="30" t="str">
        <x:v>Training Record</x:v>
      </x:c>
      <x:c r="E444" s="30" t="str">
        <x:v>Yes</x:v>
      </x:c>
      <x:c r="F444" s="30" t="str">
        <x:v>Operational</x:v>
      </x:c>
      <x:c r="G444" s="30" t="str">
        <x:v>CORE</x:v>
      </x:c>
      <x:c r="H444" s="30" t="str">
        <x:v>No</x:v>
      </x:c>
      <x:c r="I444" s="30" t="str">
        <x:v>P-3 QUARANTINED: Generic State/local/permit/reference rows, penalty-only/fabricated DAMR extractions, and future-effective DPDP duties are not current production obligations.</x:v>
      </x:c>
    </x:row>
    <x:row r="445">
      <x:c r="A445" s="30" t="str">
        <x:v>EVD444</x:v>
      </x:c>
      <x:c r="B445" s="30" t="str">
        <x:v>AUD408</x:v>
      </x:c>
      <x:c r="C445" s="30" t="str">
        <x:v>Regulatory Update Communication</x:v>
      </x:c>
      <x:c r="D445" s="30" t="str">
        <x:v>Other</x:v>
      </x:c>
      <x:c r="E445" s="30" t="str">
        <x:v>Yes</x:v>
      </x:c>
      <x:c r="F445" s="30" t="str">
        <x:v>Operational</x:v>
      </x:c>
      <x:c r="G445" s="30" t="str">
        <x:v>CORE</x:v>
      </x:c>
      <x:c r="H445" s="30" t="str">
        <x:v>No</x:v>
      </x:c>
      <x:c r="I445" s="30" t="str">
        <x:v>P-3 QUARANTINED: Generic State/local/permit/reference rows, penalty-only/fabricated DAMR extractions, and future-effective DPDP duties are not current production obligations.</x:v>
      </x:c>
    </x:row>
    <x:row r="446">
      <x:c r="A446" s="30" t="str">
        <x:v>EVD445</x:v>
      </x:c>
      <x:c r="B446" s="30" t="str">
        <x:v>AUD410</x:v>
      </x:c>
      <x:c r="C446" s="30" t="str">
        <x:v>Personnel Compliance KPI Report</x:v>
      </x:c>
      <x:c r="D446" s="30" t="str">
        <x:v>Digital Record</x:v>
      </x:c>
      <x:c r="E446" s="30" t="str">
        <x:v>No</x:v>
      </x:c>
      <x:c r="F446" s="30" t="str">
        <x:v>Operational</x:v>
      </x:c>
      <x:c r="G446" s="30" t="str">
        <x:v>CORE</x:v>
      </x:c>
      <x:c r="H446" s="30" t="str">
        <x:v>No</x:v>
      </x:c>
      <x:c r="I446" s="30" t="str">
        <x:v>P-3 QUARANTINED: Generic State/local/permit/reference rows, penalty-only/fabricated DAMR extractions, and future-effective DPDP duties are not current production obligations.</x:v>
      </x:c>
    </x:row>
    <x:row r="447">
      <x:c r="A447" s="30" t="str">
        <x:v>EVD446</x:v>
      </x:c>
      <x:c r="B447" s="30" t="str">
        <x:v>AUD410</x:v>
      </x:c>
      <x:c r="C447" s="30" t="str">
        <x:v>Management Review Minutes (Personnel Compliance)</x:v>
      </x:c>
      <x:c r="D447" s="30" t="str">
        <x:v>Other</x:v>
      </x:c>
      <x:c r="E447" s="30" t="str">
        <x:v>Yes</x:v>
      </x:c>
      <x:c r="F447" s="30" t="str">
        <x:v>Operational</x:v>
      </x:c>
      <x:c r="G447" s="30" t="str">
        <x:v>CORE</x:v>
      </x:c>
      <x:c r="H447" s="30" t="str">
        <x:v>No</x:v>
      </x:c>
      <x:c r="I447" s="30" t="str">
        <x:v>P-3 QUARANTINED: Generic State/local/permit/reference rows, penalty-only/fabricated DAMR extractions, and future-effective DPDP duties are not current production obligations.</x:v>
      </x:c>
    </x:row>
    <x:row r="448">
      <x:c r="A448" s="30" t="str">
        <x:v>EVD447</x:v>
      </x:c>
      <x:c r="B448" s="30" t="str">
        <x:v>AUD412</x:v>
      </x:c>
      <x:c r="C448" s="30" t="str">
        <x:v>Internal Personnel Audit Plan</x:v>
      </x:c>
      <x:c r="D448" s="30" t="str">
        <x:v>Document</x:v>
      </x:c>
      <x:c r="E448" s="30" t="str">
        <x:v>Yes</x:v>
      </x:c>
      <x:c r="F448" s="30" t="str">
        <x:v>Operational</x:v>
      </x:c>
      <x:c r="G448" s="30" t="str">
        <x:v>CORE</x:v>
      </x:c>
      <x:c r="H448" s="30" t="str">
        <x:v>No</x:v>
      </x:c>
      <x:c r="I448" s="30" t="str">
        <x:v>P-3 QUARANTINED: Generic State/local/permit/reference rows, penalty-only/fabricated DAMR extractions, and future-effective DPDP duties are not current production obligations.</x:v>
      </x:c>
    </x:row>
    <x:row r="449">
      <x:c r="A449" s="30" t="str">
        <x:v>EVD448</x:v>
      </x:c>
      <x:c r="B449" s="30" t="str">
        <x:v>AUD412</x:v>
      </x:c>
      <x:c r="C449" s="30" t="str">
        <x:v>Personnel Audit Working Papers</x:v>
      </x:c>
      <x:c r="D449" s="30" t="str">
        <x:v>Record</x:v>
      </x:c>
      <x:c r="E449" s="30" t="str">
        <x:v>Yes</x:v>
      </x:c>
      <x:c r="F449" s="30" t="str">
        <x:v>Operational</x:v>
      </x:c>
      <x:c r="G449" s="30" t="str">
        <x:v>CORE</x:v>
      </x:c>
      <x:c r="H449" s="30" t="str">
        <x:v>No</x:v>
      </x:c>
      <x:c r="I449" s="30" t="str">
        <x:v>P-3 QUARANTINED: Generic State/local/permit/reference rows, penalty-only/fabricated DAMR extractions, and future-effective DPDP duties are not current production obligations.</x:v>
      </x:c>
    </x:row>
    <x:row r="450">
      <x:c r="A450" s="30" t="str">
        <x:v>EVD449</x:v>
      </x:c>
      <x:c r="B450" s="30" t="str">
        <x:v>AUD414</x:v>
      </x:c>
      <x:c r="C450" s="30" t="str">
        <x:v>Personnel Compliance Assessment Report</x:v>
      </x:c>
      <x:c r="D450" s="30" t="str">
        <x:v>Report</x:v>
      </x:c>
      <x:c r="E450" s="30" t="str">
        <x:v>Yes</x:v>
      </x:c>
      <x:c r="F450" s="30" t="str">
        <x:v>Operational</x:v>
      </x:c>
      <x:c r="G450" s="30" t="str">
        <x:v>CORE</x:v>
      </x:c>
      <x:c r="H450" s="30" t="str">
        <x:v>No</x:v>
      </x:c>
      <x:c r="I450" s="30" t="str">
        <x:v>P-3 QUARANTINED: Generic State/local/permit/reference rows, penalty-only/fabricated DAMR extractions, and future-effective DPDP duties are not current production obligations.</x:v>
      </x:c>
    </x:row>
    <x:row r="451">
      <x:c r="A451" s="30" t="str">
        <x:v>EVD450</x:v>
      </x:c>
      <x:c r="B451" s="30" t="str">
        <x:v>AUD414</x:v>
      </x:c>
      <x:c r="C451" s="30" t="str">
        <x:v>Annual Personnel Risk Assessment</x:v>
      </x:c>
      <x:c r="D451" s="30" t="str">
        <x:v>Record</x:v>
      </x:c>
      <x:c r="E451" s="30" t="str">
        <x:v>Yes</x:v>
      </x:c>
      <x:c r="F451" s="30" t="str">
        <x:v>Operational</x:v>
      </x:c>
      <x:c r="G451" s="30" t="str">
        <x:v>CORE</x:v>
      </x:c>
      <x:c r="H451" s="30" t="str">
        <x:v>No</x:v>
      </x:c>
      <x:c r="I451" s="30" t="str">
        <x:v>P-3 QUARANTINED: Generic State/local/permit/reference rows, penalty-only/fabricated DAMR extractions, and future-effective DPDP duties are not current production obligations.</x:v>
      </x:c>
    </x:row>
    <x:row r="452">
      <x:c r="A452" s="30" t="str">
        <x:v>EVD451</x:v>
      </x:c>
      <x:c r="B452" s="30" t="str">
        <x:v>AUD414</x:v>
      </x:c>
      <x:c r="C452" s="30" t="str">
        <x:v>Personnel Compliance Dashboard</x:v>
      </x:c>
      <x:c r="D452" s="30" t="str">
        <x:v>Digital Record</x:v>
      </x:c>
      <x:c r="E452" s="30" t="str">
        <x:v>No</x:v>
      </x:c>
      <x:c r="F452" s="30" t="str">
        <x:v>Operational</x:v>
      </x:c>
      <x:c r="G452" s="30" t="str">
        <x:v>CORE</x:v>
      </x:c>
      <x:c r="H452" s="30" t="str">
        <x:v>No</x:v>
      </x:c>
      <x:c r="I452" s="30" t="str">
        <x:v>P-3 QUARANTINED: Generic State/local/permit/reference rows, penalty-only/fabricated DAMR extractions, and future-effective DPDP duties are not current production obligations.</x:v>
      </x:c>
    </x:row>
    <x:row r="453">
      <x:c r="A453" s="30" t="str">
        <x:v>EVD452</x:v>
      </x:c>
      <x:c r="B453" s="30" t="str">
        <x:v>AUD414</x:v>
      </x:c>
      <x:c r="C453" s="30" t="str">
        <x:v>Personnel SOP Review Record</x:v>
      </x:c>
      <x:c r="D453" s="30" t="str">
        <x:v>SOP</x:v>
      </x:c>
      <x:c r="E453" s="30" t="str">
        <x:v>Yes</x:v>
      </x:c>
      <x:c r="F453" s="30" t="str">
        <x:v>Operational</x:v>
      </x:c>
      <x:c r="G453" s="30" t="str">
        <x:v>CORE</x:v>
      </x:c>
      <x:c r="H453" s="30" t="str">
        <x:v>No</x:v>
      </x:c>
      <x:c r="I453" s="30" t="str">
        <x:v>P-3 QUARANTINED: Generic State/local/permit/reference rows, penalty-only/fabricated DAMR extractions, and future-effective DPDP duties are not current production obligations.</x:v>
      </x:c>
    </x:row>
    <x:row r="454">
      <x:c r="A454" s="30" t="str">
        <x:v>EVD453</x:v>
      </x:c>
      <x:c r="B454" s="30" t="str">
        <x:v>AUD414</x:v>
      </x:c>
      <x:c r="C454" s="30" t="str">
        <x:v>Personnel Compliance Improvement Plan</x:v>
      </x:c>
      <x:c r="D454" s="30" t="str">
        <x:v>Document</x:v>
      </x:c>
      <x:c r="E454" s="30" t="str">
        <x:v>No</x:v>
      </x:c>
      <x:c r="F454" s="30" t="str">
        <x:v>Operational</x:v>
      </x:c>
      <x:c r="G454" s="30" t="str">
        <x:v>CORE</x:v>
      </x:c>
      <x:c r="H454" s="30" t="str">
        <x:v>No</x:v>
      </x:c>
      <x:c r="I454" s="30" t="str">
        <x:v>P-3 QUARANTINED: Generic State/local/permit/reference rows, penalty-only/fabricated DAMR extractions, and future-effective DPDP duties are not current production obligations.</x:v>
      </x:c>
    </x:row>
    <x:row r="455">
      <x:c r="A455" s="30" t="str">
        <x:v>EVD454</x:v>
      </x:c>
      <x:c r="B455" s="30" t="str">
        <x:v>AUD414</x:v>
      </x:c>
      <x:c r="C455" s="30" t="str">
        <x:v>Personnel Governance Review Minutes</x:v>
      </x:c>
      <x:c r="D455" s="30" t="str">
        <x:v>Other</x:v>
      </x:c>
      <x:c r="E455" s="30" t="str">
        <x:v>Yes</x:v>
      </x:c>
      <x:c r="F455" s="30" t="str">
        <x:v>Operational</x:v>
      </x:c>
      <x:c r="G455" s="30" t="str">
        <x:v>CORE</x:v>
      </x:c>
      <x:c r="H455" s="30" t="str">
        <x:v>No</x:v>
      </x:c>
      <x:c r="I455" s="30" t="str">
        <x:v>P-3 QUARANTINED: Generic State/local/permit/reference rows, penalty-only/fabricated DAMR extractions, and future-effective DPDP duties are not current production obligations.</x:v>
      </x:c>
    </x:row>
    <x:row r="456">
      <x:c r="A456" s="30" t="str">
        <x:v>EVD455</x:v>
      </x:c>
      <x:c r="B456" s="30" t="str">
        <x:v>AUD414</x:v>
      </x:c>
      <x:c r="C456" s="30" t="str">
        <x:v>Independent Personnel Audit Working Papers</x:v>
      </x:c>
      <x:c r="D456" s="30" t="str">
        <x:v>Record</x:v>
      </x:c>
      <x:c r="E456" s="30" t="str">
        <x:v>Yes</x:v>
      </x:c>
      <x:c r="F456" s="30" t="str">
        <x:v>Operational</x:v>
      </x:c>
      <x:c r="G456" s="30" t="str">
        <x:v>CORE</x:v>
      </x:c>
      <x:c r="H456" s="30" t="str">
        <x:v>No</x:v>
      </x:c>
      <x:c r="I456" s="30" t="str">
        <x:v>P-3 QUARANTINED: Generic State/local/permit/reference rows, penalty-only/fabricated DAMR extractions, and future-effective DPDP duties are not current production obligations.</x:v>
      </x:c>
    </x:row>
    <x:row r="457">
      <x:c r="A457" s="30" t="str">
        <x:v>EVD456</x:v>
      </x:c>
      <x:c r="B457" s="30" t="str">
        <x:v>AUD414</x:v>
      </x:c>
      <x:c r="C457" s="30" t="str">
        <x:v>Personnel Compliance Certification Report</x:v>
      </x:c>
      <x:c r="D457" s="30" t="str">
        <x:v>Report</x:v>
      </x:c>
      <x:c r="E457" s="30" t="str">
        <x:v>No</x:v>
      </x:c>
      <x:c r="F457" s="30" t="str">
        <x:v>Operational</x:v>
      </x:c>
      <x:c r="G457" s="30" t="str">
        <x:v>CORE</x:v>
      </x:c>
      <x:c r="H457" s="30" t="str">
        <x:v>No</x:v>
      </x:c>
      <x:c r="I457" s="30" t="str">
        <x:v>P-3 QUARANTINED: Generic State/local/permit/reference rows, penalty-only/fabricated DAMR extractions, and future-effective DPDP duties are not current production obligations.</x:v>
      </x:c>
    </x:row>
    <x:row r="458">
      <x:c r="A458" s="30" t="str">
        <x:v>EVD457</x:v>
      </x:c>
      <x:c r="B458" s="30" t="str">
        <x:v>AUD418</x:v>
      </x:c>
      <x:c r="C458" s="30" t="str">
        <x:v>Approved Standard Operating Procedure (SOP)</x:v>
      </x:c>
      <x:c r="D458" s="30" t="str">
        <x:v>SOP</x:v>
      </x:c>
      <x:c r="E458" s="30" t="str">
        <x:v>Yes</x:v>
      </x:c>
      <x:c r="F458" s="30" t="str">
        <x:v>Operational</x:v>
      </x:c>
      <x:c r="G458" s="30" t="str">
        <x:v>CORE</x:v>
      </x:c>
      <x:c r="H458" s="30" t="str">
        <x:v>No</x:v>
      </x:c>
      <x:c r="I458" s="30" t="str">
        <x:v>P-4 QUARANTINED with inactive parent audit; legacy ID retained.</x:v>
      </x:c>
    </x:row>
    <x:row r="459">
      <x:c r="A459" s="30" t="str">
        <x:v>EVD458</x:v>
      </x:c>
      <x:c r="B459" s="30" t="str">
        <x:v>AUD418</x:v>
      </x:c>
      <x:c r="C459" s="30" t="str">
        <x:v>SOP Approval Record</x:v>
      </x:c>
      <x:c r="D459" s="30" t="str">
        <x:v>SOP</x:v>
      </x:c>
      <x:c r="E459" s="30" t="str">
        <x:v>Yes</x:v>
      </x:c>
      <x:c r="F459" s="30" t="str">
        <x:v>Operational</x:v>
      </x:c>
      <x:c r="G459" s="30" t="str">
        <x:v>CORE</x:v>
      </x:c>
      <x:c r="H459" s="30" t="str">
        <x:v>No</x:v>
      </x:c>
      <x:c r="I459" s="30" t="str">
        <x:v>P-4 QUARANTINED with inactive parent audit; legacy ID retained.</x:v>
      </x:c>
    </x:row>
    <x:row r="460">
      <x:c r="A460" s="30" t="str">
        <x:v>EVD459</x:v>
      </x:c>
      <x:c r="B460" s="30" t="str">
        <x:v>AUD420</x:v>
      </x:c>
      <x:c r="C460" s="30" t="str">
        <x:v>SOP Review Schedule</x:v>
      </x:c>
      <x:c r="D460" s="30" t="str">
        <x:v>SOP</x:v>
      </x:c>
      <x:c r="E460" s="30" t="str">
        <x:v>Yes</x:v>
      </x:c>
      <x:c r="F460" s="30" t="str">
        <x:v>Operational</x:v>
      </x:c>
      <x:c r="G460" s="30" t="str">
        <x:v>CORE</x:v>
      </x:c>
      <x:c r="H460" s="30" t="str">
        <x:v>No</x:v>
      </x:c>
      <x:c r="I460" s="30" t="str">
        <x:v>P-4 QUARANTINED with inactive parent audit; legacy ID retained.</x:v>
      </x:c>
    </x:row>
    <x:row r="461">
      <x:c r="A461" s="30" t="str">
        <x:v>EVD460</x:v>
      </x:c>
      <x:c r="B461" s="30" t="str">
        <x:v>AUD420</x:v>
      </x:c>
      <x:c r="C461" s="30" t="str">
        <x:v>SOP Revision History</x:v>
      </x:c>
      <x:c r="D461" s="30" t="str">
        <x:v>SOP</x:v>
      </x:c>
      <x:c r="E461" s="30" t="str">
        <x:v>Yes</x:v>
      </x:c>
      <x:c r="F461" s="30" t="str">
        <x:v>Operational</x:v>
      </x:c>
      <x:c r="G461" s="30" t="str">
        <x:v>CORE</x:v>
      </x:c>
      <x:c r="H461" s="30" t="str">
        <x:v>No</x:v>
      </x:c>
      <x:c r="I461" s="30" t="str">
        <x:v>P-4 QUARANTINED with inactive parent audit; legacy ID retained.</x:v>
      </x:c>
    </x:row>
    <x:row r="462">
      <x:c r="A462" s="30" t="str">
        <x:v>EVD461</x:v>
      </x:c>
      <x:c r="B462" s="30" t="str">
        <x:v>AUD422</x:v>
      </x:c>
      <x:c r="C462" s="30" t="str">
        <x:v>Controlled Copy Register</x:v>
      </x:c>
      <x:c r="D462" s="30" t="str">
        <x:v>Register</x:v>
      </x:c>
      <x:c r="E462" s="30" t="str">
        <x:v>Yes</x:v>
      </x:c>
      <x:c r="F462" s="30" t="str">
        <x:v>Statutory</x:v>
      </x:c>
      <x:c r="G462" s="30" t="str">
        <x:v>CORE</x:v>
      </x:c>
      <x:c r="H462" s="30" t="str">
        <x:v>No</x:v>
      </x:c>
      <x:c r="I462" s="30" t="str">
        <x:v>P-4 QUARANTINED with inactive parent audit; legacy ID retained.</x:v>
      </x:c>
    </x:row>
    <x:row r="463">
      <x:c r="A463" s="30" t="str">
        <x:v>EVD462</x:v>
      </x:c>
      <x:c r="B463" s="30" t="str">
        <x:v>AUD422</x:v>
      </x:c>
      <x:c r="C463" s="30" t="str">
        <x:v>Master Document Register</x:v>
      </x:c>
      <x:c r="D463" s="30" t="str">
        <x:v>Register</x:v>
      </x:c>
      <x:c r="E463" s="30" t="str">
        <x:v>Yes</x:v>
      </x:c>
      <x:c r="F463" s="30" t="str">
        <x:v>Statutory</x:v>
      </x:c>
      <x:c r="G463" s="30" t="str">
        <x:v>CORE</x:v>
      </x:c>
      <x:c r="H463" s="30" t="str">
        <x:v>No</x:v>
      </x:c>
      <x:c r="I463" s="30" t="str">
        <x:v>P-4 QUARANTINED with inactive parent audit; legacy ID retained.</x:v>
      </x:c>
    </x:row>
    <x:row r="464">
      <x:c r="A464" s="30" t="str">
        <x:v>EVD463</x:v>
      </x:c>
      <x:c r="B464" s="30" t="str">
        <x:v>AUD424</x:v>
      </x:c>
      <x:c r="C464" s="30" t="str">
        <x:v>Obsolete SOP Archive Register</x:v>
      </x:c>
      <x:c r="D464" s="30" t="str">
        <x:v>SOP</x:v>
      </x:c>
      <x:c r="E464" s="30" t="str">
        <x:v>Yes</x:v>
      </x:c>
      <x:c r="F464" s="30" t="str">
        <x:v>Operational</x:v>
      </x:c>
      <x:c r="G464" s="30" t="str">
        <x:v>CORE</x:v>
      </x:c>
      <x:c r="H464" s="30" t="str">
        <x:v>No</x:v>
      </x:c>
      <x:c r="I464" s="30" t="str">
        <x:v>P-4 QUARANTINED with inactive parent audit; legacy ID retained.</x:v>
      </x:c>
    </x:row>
    <x:row r="465">
      <x:c r="A465" s="30" t="str">
        <x:v>EVD464</x:v>
      </x:c>
      <x:c r="B465" s="30" t="str">
        <x:v>AUD424</x:v>
      </x:c>
      <x:c r="C465" s="30" t="str">
        <x:v>Obsolete Document Withdrawal Record</x:v>
      </x:c>
      <x:c r="D465" s="30" t="str">
        <x:v>Record</x:v>
      </x:c>
      <x:c r="E465" s="30" t="str">
        <x:v>Yes</x:v>
      </x:c>
      <x:c r="F465" s="30" t="str">
        <x:v>Operational</x:v>
      </x:c>
      <x:c r="G465" s="30" t="str">
        <x:v>CORE</x:v>
      </x:c>
      <x:c r="H465" s="30" t="str">
        <x:v>No</x:v>
      </x:c>
      <x:c r="I465" s="30" t="str">
        <x:v>P-4 QUARANTINED with inactive parent audit; legacy ID retained.</x:v>
      </x:c>
    </x:row>
    <x:row r="466">
      <x:c r="A466" s="30" t="str">
        <x:v>EVD465</x:v>
      </x:c>
      <x:c r="B466" s="30" t="str">
        <x:v>AUD426</x:v>
      </x:c>
      <x:c r="C466" s="30" t="str">
        <x:v>SOP Communication Record</x:v>
      </x:c>
      <x:c r="D466" s="30" t="str">
        <x:v>SOP</x:v>
      </x:c>
      <x:c r="E466" s="30" t="str">
        <x:v>Yes</x:v>
      </x:c>
      <x:c r="F466" s="30" t="str">
        <x:v>Operational</x:v>
      </x:c>
      <x:c r="G466" s="30" t="str">
        <x:v>CORE</x:v>
      </x:c>
      <x:c r="H466" s="30" t="str">
        <x:v>No</x:v>
      </x:c>
      <x:c r="I466" s="30" t="str">
        <x:v>P-4 QUARANTINED with inactive parent audit; legacy ID retained.</x:v>
      </x:c>
    </x:row>
    <x:row r="467">
      <x:c r="A467" s="30" t="str">
        <x:v>EVD466</x:v>
      </x:c>
      <x:c r="B467" s="30" t="str">
        <x:v>AUD426</x:v>
      </x:c>
      <x:c r="C467" s="30" t="str">
        <x:v>Employee SOP Acknowledgement Form</x:v>
      </x:c>
      <x:c r="D467" s="30" t="str">
        <x:v>SOP</x:v>
      </x:c>
      <x:c r="E467" s="30" t="str">
        <x:v>Yes</x:v>
      </x:c>
      <x:c r="F467" s="30" t="str">
        <x:v>Operational</x:v>
      </x:c>
      <x:c r="G467" s="30" t="str">
        <x:v>CORE</x:v>
      </x:c>
      <x:c r="H467" s="30" t="str">
        <x:v>No</x:v>
      </x:c>
      <x:c r="I467" s="30" t="str">
        <x:v>P-4 QUARANTINED with inactive parent audit; legacy ID retained.</x:v>
      </x:c>
    </x:row>
    <x:row r="468">
      <x:c r="A468" s="30" t="str">
        <x:v>EVD467</x:v>
      </x:c>
      <x:c r="B468" s="30" t="str">
        <x:v>AUD428</x:v>
      </x:c>
      <x:c r="C468" s="30" t="str">
        <x:v>Document Numbering Register</x:v>
      </x:c>
      <x:c r="D468" s="30" t="str">
        <x:v>Register</x:v>
      </x:c>
      <x:c r="E468" s="30" t="str">
        <x:v>Yes</x:v>
      </x:c>
      <x:c r="F468" s="30" t="str">
        <x:v>Statutory</x:v>
      </x:c>
      <x:c r="G468" s="30" t="str">
        <x:v>CORE</x:v>
      </x:c>
      <x:c r="H468" s="30" t="str">
        <x:v>No</x:v>
      </x:c>
      <x:c r="I468" s="30" t="str">
        <x:v>P-4 QUARANTINED with inactive parent audit; legacy ID retained.</x:v>
      </x:c>
    </x:row>
    <x:row r="469">
      <x:c r="A469" s="30" t="str">
        <x:v>EVD468</x:v>
      </x:c>
      <x:c r="B469" s="30" t="str">
        <x:v>AUD428</x:v>
      </x:c>
      <x:c r="C469" s="30" t="str">
        <x:v>Version Control Log</x:v>
      </x:c>
      <x:c r="D469" s="30" t="str">
        <x:v>Log Book</x:v>
      </x:c>
      <x:c r="E469" s="30" t="str">
        <x:v>Yes</x:v>
      </x:c>
      <x:c r="F469" s="30" t="str">
        <x:v>Operational</x:v>
      </x:c>
      <x:c r="G469" s="30" t="str">
        <x:v>CORE</x:v>
      </x:c>
      <x:c r="H469" s="30" t="str">
        <x:v>No</x:v>
      </x:c>
      <x:c r="I469" s="30" t="str">
        <x:v>P-4 QUARANTINED with inactive parent audit; legacy ID retained.</x:v>
      </x:c>
    </x:row>
    <x:row r="470">
      <x:c r="A470" s="30" t="str">
        <x:v>EVD469</x:v>
      </x:c>
      <x:c r="B470" s="30" t="str">
        <x:v>AUD430</x:v>
      </x:c>
      <x:c r="C470" s="30" t="str">
        <x:v>Controlled Document Master List</x:v>
      </x:c>
      <x:c r="D470" s="30" t="str">
        <x:v>Register</x:v>
      </x:c>
      <x:c r="E470" s="30" t="str">
        <x:v>Yes</x:v>
      </x:c>
      <x:c r="F470" s="30" t="str">
        <x:v>Statutory</x:v>
      </x:c>
      <x:c r="G470" s="30" t="str">
        <x:v>CORE</x:v>
      </x:c>
      <x:c r="H470" s="30" t="str">
        <x:v>No</x:v>
      </x:c>
      <x:c r="I470" s="30" t="str">
        <x:v>P-4 QUARANTINED with inactive parent audit; legacy ID retained.</x:v>
      </x:c>
    </x:row>
    <x:row r="471">
      <x:c r="A471" s="30" t="str">
        <x:v>EVD470</x:v>
      </x:c>
      <x:c r="B471" s="30" t="str">
        <x:v>AUD430</x:v>
      </x:c>
      <x:c r="C471" s="30" t="str">
        <x:v>Document Distribution Register</x:v>
      </x:c>
      <x:c r="D471" s="30" t="str">
        <x:v>Register</x:v>
      </x:c>
      <x:c r="E471" s="30" t="str">
        <x:v>Yes</x:v>
      </x:c>
      <x:c r="F471" s="30" t="str">
        <x:v>Statutory</x:v>
      </x:c>
      <x:c r="G471" s="30" t="str">
        <x:v>CORE</x:v>
      </x:c>
      <x:c r="H471" s="30" t="str">
        <x:v>No</x:v>
      </x:c>
      <x:c r="I471" s="30" t="str">
        <x:v>P-4 QUARANTINED with inactive parent audit; legacy ID retained.</x:v>
      </x:c>
    </x:row>
    <x:row r="472">
      <x:c r="A472" s="30" t="str">
        <x:v>EVD471</x:v>
      </x:c>
      <x:c r="B472" s="30" t="str">
        <x:v>AUD432</x:v>
      </x:c>
      <x:c r="C472" s="30" t="str">
        <x:v>Document Access Authorization Matrix</x:v>
      </x:c>
      <x:c r="D472" s="30" t="str">
        <x:v>Approval</x:v>
      </x:c>
      <x:c r="E472" s="30" t="str">
        <x:v>Yes</x:v>
      </x:c>
      <x:c r="F472" s="30" t="str">
        <x:v>Permanent</x:v>
      </x:c>
      <x:c r="G472" s="30" t="str">
        <x:v>CORE</x:v>
      </x:c>
      <x:c r="H472" s="30" t="str">
        <x:v>No</x:v>
      </x:c>
      <x:c r="I472" s="30" t="str">
        <x:v>P-4 QUARANTINED with inactive parent audit; legacy ID retained.</x:v>
      </x:c>
    </x:row>
    <x:row r="473">
      <x:c r="A473" s="30" t="str">
        <x:v>EVD472</x:v>
      </x:c>
      <x:c r="B473" s="30" t="str">
        <x:v>AUD432</x:v>
      </x:c>
      <x:c r="C473" s="30" t="str">
        <x:v>Document System Access Log</x:v>
      </x:c>
      <x:c r="D473" s="30" t="str">
        <x:v>Log Book</x:v>
      </x:c>
      <x:c r="E473" s="30" t="str">
        <x:v>Yes</x:v>
      </x:c>
      <x:c r="F473" s="30" t="str">
        <x:v>Operational</x:v>
      </x:c>
      <x:c r="G473" s="30" t="str">
        <x:v>CORE</x:v>
      </x:c>
      <x:c r="H473" s="30" t="str">
        <x:v>No</x:v>
      </x:c>
      <x:c r="I473" s="30" t="str">
        <x:v>P-4 QUARANTINED with inactive parent audit; legacy ID retained.</x:v>
      </x:c>
    </x:row>
    <x:row r="474">
      <x:c r="A474" s="30" t="str">
        <x:v>EVD473</x:v>
      </x:c>
      <x:c r="B474" s="30" t="str">
        <x:v>AUD434</x:v>
      </x:c>
      <x:c r="C474" s="30" t="str">
        <x:v>Completed Manual Records</x:v>
      </x:c>
      <x:c r="D474" s="30" t="str">
        <x:v>Record</x:v>
      </x:c>
      <x:c r="E474" s="30" t="str">
        <x:v>Yes</x:v>
      </x:c>
      <x:c r="F474" s="30" t="str">
        <x:v>Operational</x:v>
      </x:c>
      <x:c r="G474" s="30" t="str">
        <x:v>CORE</x:v>
      </x:c>
      <x:c r="H474" s="30" t="str">
        <x:v>No</x:v>
      </x:c>
      <x:c r="I474" s="30" t="str">
        <x:v>P-4 QUARANTINED with inactive parent audit; legacy ID retained.</x:v>
      </x:c>
    </x:row>
    <x:row r="475">
      <x:c r="A475" s="30" t="str">
        <x:v>EVD474</x:v>
      </x:c>
      <x:c r="B475" s="30" t="str">
        <x:v>AUD434</x:v>
      </x:c>
      <x:c r="C475" s="30" t="str">
        <x:v>Good Documentation Practice (GDP) SOP</x:v>
      </x:c>
      <x:c r="D475" s="30" t="str">
        <x:v>SOP</x:v>
      </x:c>
      <x:c r="E475" s="30" t="str">
        <x:v>Yes</x:v>
      </x:c>
      <x:c r="F475" s="30" t="str">
        <x:v>Operational</x:v>
      </x:c>
      <x:c r="G475" s="30" t="str">
        <x:v>CORE</x:v>
      </x:c>
      <x:c r="H475" s="30" t="str">
        <x:v>No</x:v>
      </x:c>
      <x:c r="I475" s="30" t="str">
        <x:v>P-4 QUARANTINED with inactive parent audit; legacy ID retained.</x:v>
      </x:c>
    </x:row>
    <x:row r="476">
      <x:c r="A476" s="30" t="str">
        <x:v>EVD475</x:v>
      </x:c>
      <x:c r="B476" s="30" t="str">
        <x:v>AUD436</x:v>
      </x:c>
      <x:c r="C476" s="30" t="str">
        <x:v>Corrected Record Samples</x:v>
      </x:c>
      <x:c r="D476" s="30" t="str">
        <x:v>Record</x:v>
      </x:c>
      <x:c r="E476" s="30" t="str">
        <x:v>Yes</x:v>
      </x:c>
      <x:c r="F476" s="30" t="str">
        <x:v>Operational</x:v>
      </x:c>
      <x:c r="G476" s="30" t="str">
        <x:v>CORE</x:v>
      </x:c>
      <x:c r="H476" s="30" t="str">
        <x:v>No</x:v>
      </x:c>
      <x:c r="I476" s="30" t="str">
        <x:v>P-3 QUARANTINED: Generic State/local/permit/reference rows, penalty-only/fabricated DAMR extractions, and future-effective DPDP duties are not current production obligations.</x:v>
      </x:c>
    </x:row>
    <x:row r="477">
      <x:c r="A477" s="30" t="str">
        <x:v>EVD476</x:v>
      </x:c>
      <x:c r="B477" s="30" t="str">
        <x:v>AUD436</x:v>
      </x:c>
      <x:c r="C477" s="30" t="str">
        <x:v>Record Correction Register</x:v>
      </x:c>
      <x:c r="D477" s="30" t="str">
        <x:v>Register</x:v>
      </x:c>
      <x:c r="E477" s="30" t="str">
        <x:v>No</x:v>
      </x:c>
      <x:c r="F477" s="30" t="str">
        <x:v>Statutory</x:v>
      </x:c>
      <x:c r="G477" s="30" t="str">
        <x:v>CORE</x:v>
      </x:c>
      <x:c r="H477" s="30" t="str">
        <x:v>No</x:v>
      </x:c>
      <x:c r="I477" s="30" t="str">
        <x:v>P-3 QUARANTINED: Generic State/local/permit/reference rows, penalty-only/fabricated DAMR extractions, and future-effective DPDP duties are not current production obligations.</x:v>
      </x:c>
    </x:row>
    <x:row r="478">
      <x:c r="A478" s="30" t="str">
        <x:v>EVD477</x:v>
      </x:c>
      <x:c r="B478" s="30" t="str">
        <x:v>AUD438</x:v>
      </x:c>
      <x:c r="C478" s="30" t="str">
        <x:v>Electronic Audit Trail Report</x:v>
      </x:c>
      <x:c r="D478" s="30" t="str">
        <x:v>Digital Record</x:v>
      </x:c>
      <x:c r="E478" s="30" t="str">
        <x:v>Yes</x:v>
      </x:c>
      <x:c r="F478" s="30" t="str">
        <x:v>Operational</x:v>
      </x:c>
      <x:c r="G478" s="30" t="str">
        <x:v>CORE</x:v>
      </x:c>
      <x:c r="H478" s="30" t="str">
        <x:v>No</x:v>
      </x:c>
      <x:c r="I478" s="30" t="str">
        <x:v>P-3 QUARANTINED: Generic State/local/permit/reference rows, penalty-only/fabricated DAMR extractions, and future-effective DPDP duties are not current production obligations.</x:v>
      </x:c>
    </x:row>
    <x:row r="479">
      <x:c r="A479" s="30" t="str">
        <x:v>EVD478</x:v>
      </x:c>
      <x:c r="B479" s="30" t="str">
        <x:v>AUD438</x:v>
      </x:c>
      <x:c r="C479" s="30" t="str">
        <x:v>Audit Trail Review Log</x:v>
      </x:c>
      <x:c r="D479" s="30" t="str">
        <x:v>Log Book</x:v>
      </x:c>
      <x:c r="E479" s="30" t="str">
        <x:v>Yes</x:v>
      </x:c>
      <x:c r="F479" s="30" t="str">
        <x:v>Operational</x:v>
      </x:c>
      <x:c r="G479" s="30" t="str">
        <x:v>CORE</x:v>
      </x:c>
      <x:c r="H479" s="30" t="str">
        <x:v>No</x:v>
      </x:c>
      <x:c r="I479" s="30" t="str">
        <x:v>P-3 QUARANTINED: Generic State/local/permit/reference rows, penalty-only/fabricated DAMR extractions, and future-effective DPDP duties are not current production obligations.</x:v>
      </x:c>
    </x:row>
    <x:row r="480">
      <x:c r="A480" s="30" t="str">
        <x:v>EVD479</x:v>
      </x:c>
      <x:c r="B480" s="30" t="str">
        <x:v>AUD440</x:v>
      </x:c>
      <x:c r="C480" s="30" t="str">
        <x:v>Documentary and transaction evidence demonstrating: If the OSHWC Code applies, maintain the covered workplace-safety/health controls, provide required information/instruction and meet notified standards.</x:v>
      </x:c>
      <x:c r="D480" s="30" t="str">
        <x:v>Record</x:v>
      </x:c>
      <x:c r="E480" s="30" t="str">
        <x:v>Yes</x:v>
      </x:c>
      <x:c r="F480" s="30" t="str">
        <x:v>Applicable statutory / operational period</x:v>
      </x:c>
      <x:c r="G480" s="30" t="str">
        <x:v>CORE</x:v>
      </x:c>
      <x:c r="H480" s="30" t="str">
        <x:v>Yes</x:v>
      </x:c>
      <x:c r="I480" s="30" t="str">
        <x:v>P-4 aligned to the normalized parent audit; legacy Evidence ID preserved.</x:v>
      </x:c>
    </x:row>
    <x:row r="481">
      <x:c r="A481" s="30" t="str">
        <x:v>EVD480</x:v>
      </x:c>
      <x:c r="B481" s="30" t="str">
        <x:v>AUD440</x:v>
      </x:c>
      <x:c r="C481" s="30" t="str">
        <x:v>Documentary and transaction evidence demonstrating: If the OSHWC Code applies, maintain the covered workplace-safety/health controls, provide required information/instruction and meet notified standards.</x:v>
      </x:c>
      <x:c r="D481" s="30" t="str">
        <x:v>Record</x:v>
      </x:c>
      <x:c r="E481" s="30" t="str">
        <x:v>Yes</x:v>
      </x:c>
      <x:c r="F481" s="30" t="str">
        <x:v>Applicable statutory / operational period</x:v>
      </x:c>
      <x:c r="G481" s="30" t="str">
        <x:v>CORE</x:v>
      </x:c>
      <x:c r="H481" s="30" t="str">
        <x:v>Yes</x:v>
      </x:c>
      <x:c r="I481" s="30" t="str">
        <x:v>P-4 aligned to the normalized parent audit; legacy Evidence ID preserved.</x:v>
      </x:c>
    </x:row>
    <x:row r="482">
      <x:c r="A482" s="30" t="str">
        <x:v>EVD481</x:v>
      </x:c>
      <x:c r="B482" s="30" t="str">
        <x:v>AUD442</x:v>
      </x:c>
      <x:c r="C482" s="30" t="str">
        <x:v>Documentary and transaction evidence demonstrating: If covered, implement the applicable welfare, working-time and employee information/appointment-letter controls under the Code and 2026 Rules.</x:v>
      </x:c>
      <x:c r="D482" s="30" t="str">
        <x:v>Record</x:v>
      </x:c>
      <x:c r="E482" s="30" t="str">
        <x:v>Yes</x:v>
      </x:c>
      <x:c r="F482" s="30" t="str">
        <x:v>Applicable statutory / operational period</x:v>
      </x:c>
      <x:c r="G482" s="30" t="str">
        <x:v>CORE</x:v>
      </x:c>
      <x:c r="H482" s="30" t="str">
        <x:v>Yes</x:v>
      </x:c>
      <x:c r="I482" s="30" t="str">
        <x:v>P-4 aligned to the normalized parent audit; legacy Evidence ID preserved.</x:v>
      </x:c>
    </x:row>
    <x:row r="483">
      <x:c r="A483" s="30" t="str">
        <x:v>EVD482</x:v>
      </x:c>
      <x:c r="B483" s="30" t="str">
        <x:v>AUD442</x:v>
      </x:c>
      <x:c r="C483" s="30" t="str">
        <x:v>Documentary and transaction evidence demonstrating: If covered, implement the applicable welfare, working-time and employee information/appointment-letter controls under the Code and 2026 Rules.</x:v>
      </x:c>
      <x:c r="D483" s="30" t="str">
        <x:v>Record</x:v>
      </x:c>
      <x:c r="E483" s="30" t="str">
        <x:v>Yes</x:v>
      </x:c>
      <x:c r="F483" s="30" t="str">
        <x:v>Applicable statutory / operational period</x:v>
      </x:c>
      <x:c r="G483" s="30" t="str">
        <x:v>CORE</x:v>
      </x:c>
      <x:c r="H483" s="30" t="str">
        <x:v>Yes</x:v>
      </x:c>
      <x:c r="I483" s="30" t="str">
        <x:v>P-4 aligned to the normalized parent audit; legacy Evidence ID preserved.</x:v>
      </x:c>
    </x:row>
    <x:row r="484">
      <x:c r="A484" s="30" t="str">
        <x:v>EVD483</x:v>
      </x:c>
      <x:c r="B484" s="30" t="str">
        <x:v>AUD444</x:v>
      </x:c>
      <x:c r="C484" s="30" t="str">
        <x:v>Documentary and transaction evidence demonstrating: Report and record only the occupational accidents/dangerous occurrences prescribed for the covered establishment within the statutory timeline.</x:v>
      </x:c>
      <x:c r="D484" s="30" t="str">
        <x:v>Record</x:v>
      </x:c>
      <x:c r="E484" s="30" t="str">
        <x:v>Yes</x:v>
      </x:c>
      <x:c r="F484" s="30" t="str">
        <x:v>Applicable statutory / operational period</x:v>
      </x:c>
      <x:c r="G484" s="30" t="str">
        <x:v>CORE</x:v>
      </x:c>
      <x:c r="H484" s="30" t="str">
        <x:v>Yes</x:v>
      </x:c>
      <x:c r="I484" s="30" t="str">
        <x:v>P-4 aligned to the normalized parent audit; legacy Evidence ID preserved.</x:v>
      </x:c>
    </x:row>
    <x:row r="485">
      <x:c r="A485" s="30" t="str">
        <x:v>EVD484</x:v>
      </x:c>
      <x:c r="B485" s="30" t="str">
        <x:v>AUD444</x:v>
      </x:c>
      <x:c r="C485" s="30" t="str">
        <x:v>Documentary and transaction evidence demonstrating: Report and record only the occupational accidents/dangerous occurrences prescribed for the covered establishment within the statutory timeline.</x:v>
      </x:c>
      <x:c r="D485" s="30" t="str">
        <x:v>Record</x:v>
      </x:c>
      <x:c r="E485" s="30" t="str">
        <x:v>Yes</x:v>
      </x:c>
      <x:c r="F485" s="30" t="str">
        <x:v>Applicable statutory / operational period</x:v>
      </x:c>
      <x:c r="G485" s="30" t="str">
        <x:v>CORE</x:v>
      </x:c>
      <x:c r="H485" s="30" t="str">
        <x:v>Yes</x:v>
      </x:c>
      <x:c r="I485" s="30" t="str">
        <x:v>P-4 aligned to the normalized parent audit; legacy Evidence ID preserved.</x:v>
      </x:c>
    </x:row>
    <x:row r="486">
      <x:c r="A486" s="30" t="str">
        <x:v>EVD485</x:v>
      </x:c>
      <x:c r="B486" s="30" t="str">
        <x:v>AUD446</x:v>
      </x:c>
      <x:c r="C486" s="30" t="str">
        <x:v>Documentary and transaction evidence demonstrating: Perform temperature mapping of storage areas before commissioning and after major modifications.</x:v>
      </x:c>
      <x:c r="D486" s="30" t="str">
        <x:v>Record</x:v>
      </x:c>
      <x:c r="E486" s="30" t="str">
        <x:v>Yes</x:v>
      </x:c>
      <x:c r="F486" s="30" t="str">
        <x:v>Applicable statutory / operational period</x:v>
      </x:c>
      <x:c r="G486" s="30" t="str">
        <x:v>CORE</x:v>
      </x:c>
      <x:c r="H486" s="30" t="str">
        <x:v>Yes</x:v>
      </x:c>
      <x:c r="I486" s="30" t="str">
        <x:v>P-4 aligned to the normalized parent audit; legacy Evidence ID preserved.</x:v>
      </x:c>
    </x:row>
    <x:row r="487">
      <x:c r="A487" s="30" t="str">
        <x:v>EVD486</x:v>
      </x:c>
      <x:c r="B487" s="30" t="str">
        <x:v>AUD446</x:v>
      </x:c>
      <x:c r="C487" s="30" t="str">
        <x:v>Documentary and transaction evidence demonstrating: Perform temperature mapping of storage areas before commissioning and after major modifications.</x:v>
      </x:c>
      <x:c r="D487" s="30" t="str">
        <x:v>Record</x:v>
      </x:c>
      <x:c r="E487" s="30" t="str">
        <x:v>Yes</x:v>
      </x:c>
      <x:c r="F487" s="30" t="str">
        <x:v>Applicable statutory / operational period</x:v>
      </x:c>
      <x:c r="G487" s="30" t="str">
        <x:v>CORE</x:v>
      </x:c>
      <x:c r="H487" s="30" t="str">
        <x:v>Yes</x:v>
      </x:c>
      <x:c r="I487" s="30" t="str">
        <x:v>P-4 aligned to the normalized parent audit; legacy Evidence ID preserved.</x:v>
      </x:c>
    </x:row>
    <x:row r="488">
      <x:c r="A488" s="30" t="str">
        <x:v>EVD487</x:v>
      </x:c>
      <x:c r="B488" s="30" t="str">
        <x:v>AUD448</x:v>
      </x:c>
      <x:c r="C488" s="30" t="str">
        <x:v>Documentary and transaction evidence demonstrating: Revalidate temperature mapping periodically and after significant changes to storage conditions.</x:v>
      </x:c>
      <x:c r="D488" s="30" t="str">
        <x:v>Record</x:v>
      </x:c>
      <x:c r="E488" s="30" t="str">
        <x:v>Yes</x:v>
      </x:c>
      <x:c r="F488" s="30" t="str">
        <x:v>Applicable statutory / operational period</x:v>
      </x:c>
      <x:c r="G488" s="30" t="str">
        <x:v>CORE</x:v>
      </x:c>
      <x:c r="H488" s="30" t="str">
        <x:v>Yes</x:v>
      </x:c>
      <x:c r="I488" s="30" t="str">
        <x:v>P-4 aligned to the normalized parent audit; legacy Evidence ID preserved.</x:v>
      </x:c>
    </x:row>
    <x:row r="489">
      <x:c r="A489" s="30" t="str">
        <x:v>EVD488</x:v>
      </x:c>
      <x:c r="B489" s="30" t="str">
        <x:v>AUD448</x:v>
      </x:c>
      <x:c r="C489" s="30" t="str">
        <x:v>Documentary and transaction evidence demonstrating: Revalidate temperature mapping periodically and after significant changes to storage conditions.</x:v>
      </x:c>
      <x:c r="D489" s="30" t="str">
        <x:v>Record</x:v>
      </x:c>
      <x:c r="E489" s="30" t="str">
        <x:v>Yes</x:v>
      </x:c>
      <x:c r="F489" s="30" t="str">
        <x:v>Applicable statutory / operational period</x:v>
      </x:c>
      <x:c r="G489" s="30" t="str">
        <x:v>CORE</x:v>
      </x:c>
      <x:c r="H489" s="30" t="str">
        <x:v>Yes</x:v>
      </x:c>
      <x:c r="I489" s="30" t="str">
        <x:v>P-4 aligned to the normalized parent audit; legacy Evidence ID preserved.</x:v>
      </x:c>
    </x:row>
    <x:row r="490">
      <x:c r="A490" s="30" t="str">
        <x:v>EVD489</x:v>
      </x:c>
      <x:c r="B490" s="30" t="str">
        <x:v>AUD450</x:v>
      </x:c>
      <x:c r="C490" s="30" t="str">
        <x:v>Documentary and transaction evidence demonstrating: Maintain temperature mapping reports, protocols and validation records.</x:v>
      </x:c>
      <x:c r="D490" s="30" t="str">
        <x:v>Record</x:v>
      </x:c>
      <x:c r="E490" s="30" t="str">
        <x:v>Yes</x:v>
      </x:c>
      <x:c r="F490" s="30" t="str">
        <x:v>Applicable statutory / operational period</x:v>
      </x:c>
      <x:c r="G490" s="30" t="str">
        <x:v>CORE</x:v>
      </x:c>
      <x:c r="H490" s="30" t="str">
        <x:v>Yes</x:v>
      </x:c>
      <x:c r="I490" s="30" t="str">
        <x:v>P-4 aligned to the normalized parent audit; legacy Evidence ID preserved.</x:v>
      </x:c>
    </x:row>
    <x:row r="491">
      <x:c r="A491" s="30" t="str">
        <x:v>EVD490</x:v>
      </x:c>
      <x:c r="B491" s="30" t="str">
        <x:v>AUD450</x:v>
      </x:c>
      <x:c r="C491" s="30" t="str">
        <x:v>Documentary and transaction evidence demonstrating: Maintain temperature mapping reports, protocols and validation records.</x:v>
      </x:c>
      <x:c r="D491" s="30" t="str">
        <x:v>Record</x:v>
      </x:c>
      <x:c r="E491" s="30" t="str">
        <x:v>Yes</x:v>
      </x:c>
      <x:c r="F491" s="30" t="str">
        <x:v>Applicable statutory / operational period</x:v>
      </x:c>
      <x:c r="G491" s="30" t="str">
        <x:v>CORE</x:v>
      </x:c>
      <x:c r="H491" s="30" t="str">
        <x:v>Yes</x:v>
      </x:c>
      <x:c r="I491" s="30" t="str">
        <x:v>P-4 aligned to the normalized parent audit; legacy Evidence ID preserved.</x:v>
      </x:c>
    </x:row>
    <x:row r="492">
      <x:c r="A492" s="30" t="str">
        <x:v>EVD491</x:v>
      </x:c>
      <x:c r="B492" s="30" t="str">
        <x:v>AUD452</x:v>
      </x:c>
      <x:c r="C492" s="30" t="str">
        <x:v>Documentary and transaction evidence demonstrating: Calibrate all critical measuring instruments at approved intervals.</x:v>
      </x:c>
      <x:c r="D492" s="30" t="str">
        <x:v>Record</x:v>
      </x:c>
      <x:c r="E492" s="30" t="str">
        <x:v>Yes</x:v>
      </x:c>
      <x:c r="F492" s="30" t="str">
        <x:v>Applicable statutory / operational period</x:v>
      </x:c>
      <x:c r="G492" s="30" t="str">
        <x:v>CORE</x:v>
      </x:c>
      <x:c r="H492" s="30" t="str">
        <x:v>Yes</x:v>
      </x:c>
      <x:c r="I492" s="30" t="str">
        <x:v>P-4 aligned to the normalized parent audit; legacy Evidence ID preserved.</x:v>
      </x:c>
    </x:row>
    <x:row r="493">
      <x:c r="A493" s="30" t="str">
        <x:v>EVD492</x:v>
      </x:c>
      <x:c r="B493" s="30" t="str">
        <x:v>AUD452</x:v>
      </x:c>
      <x:c r="C493" s="30" t="str">
        <x:v>Documentary and transaction evidence demonstrating: Calibrate all critical measuring instruments at approved intervals.</x:v>
      </x:c>
      <x:c r="D493" s="30" t="str">
        <x:v>Record</x:v>
      </x:c>
      <x:c r="E493" s="30" t="str">
        <x:v>Yes</x:v>
      </x:c>
      <x:c r="F493" s="30" t="str">
        <x:v>Applicable statutory / operational period</x:v>
      </x:c>
      <x:c r="G493" s="30" t="str">
        <x:v>CORE</x:v>
      </x:c>
      <x:c r="H493" s="30" t="str">
        <x:v>Yes</x:v>
      </x:c>
      <x:c r="I493" s="30" t="str">
        <x:v>P-4 aligned to the normalized parent audit; legacy Evidence ID preserved.</x:v>
      </x:c>
    </x:row>
    <x:row r="494">
      <x:c r="A494" s="30" t="str">
        <x:v>EVD493</x:v>
      </x:c>
      <x:c r="B494" s="30" t="str">
        <x:v>AUD454</x:v>
      </x:c>
      <x:c r="C494" s="30" t="str">
        <x:v>Documentary and transaction evidence demonstrating: Qualify equipment before operational use and after major repairs where required.</x:v>
      </x:c>
      <x:c r="D494" s="30" t="str">
        <x:v>Record</x:v>
      </x:c>
      <x:c r="E494" s="30" t="str">
        <x:v>Yes</x:v>
      </x:c>
      <x:c r="F494" s="30" t="str">
        <x:v>Applicable statutory / operational period</x:v>
      </x:c>
      <x:c r="G494" s="30" t="str">
        <x:v>CORE</x:v>
      </x:c>
      <x:c r="H494" s="30" t="str">
        <x:v>Yes</x:v>
      </x:c>
      <x:c r="I494" s="30" t="str">
        <x:v>P-4 aligned to the normalized parent audit; legacy Evidence ID preserved.</x:v>
      </x:c>
    </x:row>
    <x:row r="495">
      <x:c r="A495" s="30" t="str">
        <x:v>EVD494</x:v>
      </x:c>
      <x:c r="B495" s="30" t="str">
        <x:v>AUD454</x:v>
      </x:c>
      <x:c r="C495" s="30" t="str">
        <x:v>Documentary and transaction evidence demonstrating: Qualify equipment before operational use and after major repairs where required.</x:v>
      </x:c>
      <x:c r="D495" s="30" t="str">
        <x:v>Record</x:v>
      </x:c>
      <x:c r="E495" s="30" t="str">
        <x:v>Yes</x:v>
      </x:c>
      <x:c r="F495" s="30" t="str">
        <x:v>Applicable statutory / operational period</x:v>
      </x:c>
      <x:c r="G495" s="30" t="str">
        <x:v>CORE</x:v>
      </x:c>
      <x:c r="H495" s="30" t="str">
        <x:v>Yes</x:v>
      </x:c>
      <x:c r="I495" s="30" t="str">
        <x:v>P-4 aligned to the normalized parent audit; legacy Evidence ID preserved.</x:v>
      </x:c>
    </x:row>
    <x:row r="496">
      <x:c r="A496" s="30" t="str">
        <x:v>EVD495</x:v>
      </x:c>
      <x:c r="B496" s="30" t="str">
        <x:v>AUD456</x:v>
      </x:c>
      <x:c r="C496" s="30" t="str">
        <x:v>Documentary and transaction evidence demonstrating: Implement a documented preventive maintenance programme for critical equipment.</x:v>
      </x:c>
      <x:c r="D496" s="30" t="str">
        <x:v>Record</x:v>
      </x:c>
      <x:c r="E496" s="30" t="str">
        <x:v>Yes</x:v>
      </x:c>
      <x:c r="F496" s="30" t="str">
        <x:v>Applicable statutory / operational period</x:v>
      </x:c>
      <x:c r="G496" s="30" t="str">
        <x:v>CORE</x:v>
      </x:c>
      <x:c r="H496" s="30" t="str">
        <x:v>Yes</x:v>
      </x:c>
      <x:c r="I496" s="30" t="str">
        <x:v>P-4 aligned to the normalized parent audit; legacy Evidence ID preserved.</x:v>
      </x:c>
    </x:row>
    <x:row r="497">
      <x:c r="A497" s="30" t="str">
        <x:v>EVD496</x:v>
      </x:c>
      <x:c r="B497" s="30" t="str">
        <x:v>AUD456</x:v>
      </x:c>
      <x:c r="C497" s="30" t="str">
        <x:v>Documentary and transaction evidence demonstrating: Implement a documented preventive maintenance programme for critical equipment.</x:v>
      </x:c>
      <x:c r="D497" s="30" t="str">
        <x:v>Record</x:v>
      </x:c>
      <x:c r="E497" s="30" t="str">
        <x:v>Yes</x:v>
      </x:c>
      <x:c r="F497" s="30" t="str">
        <x:v>Applicable statutory / operational period</x:v>
      </x:c>
      <x:c r="G497" s="30" t="str">
        <x:v>CORE</x:v>
      </x:c>
      <x:c r="H497" s="30" t="str">
        <x:v>Yes</x:v>
      </x:c>
      <x:c r="I497" s="30" t="str">
        <x:v>P-4 aligned to the normalized parent audit; legacy Evidence ID preserved.</x:v>
      </x:c>
    </x:row>
    <x:row r="498">
      <x:c r="A498" s="30" t="str">
        <x:v>EVD497</x:v>
      </x:c>
      <x:c r="B498" s="30" t="str">
        <x:v>AUD458</x:v>
      </x:c>
      <x:c r="C498" s="30" t="str">
        <x:v>Documentary and transaction evidence demonstrating: Maintain calibration certificates and calibration history for all critical instruments.</x:v>
      </x:c>
      <x:c r="D498" s="30" t="str">
        <x:v>Record</x:v>
      </x:c>
      <x:c r="E498" s="30" t="str">
        <x:v>Yes</x:v>
      </x:c>
      <x:c r="F498" s="30" t="str">
        <x:v>Applicable statutory / operational period</x:v>
      </x:c>
      <x:c r="G498" s="30" t="str">
        <x:v>CORE</x:v>
      </x:c>
      <x:c r="H498" s="30" t="str">
        <x:v>Yes</x:v>
      </x:c>
      <x:c r="I498" s="30" t="str">
        <x:v>P-4 aligned to the normalized parent audit; legacy Evidence ID preserved.</x:v>
      </x:c>
    </x:row>
    <x:row r="499">
      <x:c r="A499" s="30" t="str">
        <x:v>EVD498</x:v>
      </x:c>
      <x:c r="B499" s="30" t="str">
        <x:v>AUD458</x:v>
      </x:c>
      <x:c r="C499" s="30" t="str">
        <x:v>Documentary and transaction evidence demonstrating: Maintain calibration certificates and calibration history for all critical instruments.</x:v>
      </x:c>
      <x:c r="D499" s="30" t="str">
        <x:v>Record</x:v>
      </x:c>
      <x:c r="E499" s="30" t="str">
        <x:v>Yes</x:v>
      </x:c>
      <x:c r="F499" s="30" t="str">
        <x:v>Applicable statutory / operational period</x:v>
      </x:c>
      <x:c r="G499" s="30" t="str">
        <x:v>CORE</x:v>
      </x:c>
      <x:c r="H499" s="30" t="str">
        <x:v>Yes</x:v>
      </x:c>
      <x:c r="I499" s="30" t="str">
        <x:v>P-4 aligned to the normalized parent audit; legacy Evidence ID preserved.</x:v>
      </x:c>
    </x:row>
    <x:row r="500">
      <x:c r="A500" s="30" t="str">
        <x:v>EVD499</x:v>
      </x:c>
      <x:c r="B500" s="30" t="str">
        <x:v>AUD460</x:v>
      </x:c>
      <x:c r="C500" s="30" t="str">
        <x:v>Documentary and transaction evidence demonstrating: Verify equipment performance following maintenance or calibration activities.</x:v>
      </x:c>
      <x:c r="D500" s="30" t="str">
        <x:v>Record</x:v>
      </x:c>
      <x:c r="E500" s="30" t="str">
        <x:v>Yes</x:v>
      </x:c>
      <x:c r="F500" s="30" t="str">
        <x:v>Applicable statutory / operational period</x:v>
      </x:c>
      <x:c r="G500" s="30" t="str">
        <x:v>CORE</x:v>
      </x:c>
      <x:c r="H500" s="30" t="str">
        <x:v>Yes</x:v>
      </x:c>
      <x:c r="I500" s="30" t="str">
        <x:v>P-4 aligned to the normalized parent audit; legacy Evidence ID preserved.</x:v>
      </x:c>
    </x:row>
    <x:row r="501">
      <x:c r="A501" s="30" t="str">
        <x:v>EVD500</x:v>
      </x:c>
      <x:c r="B501" s="30" t="str">
        <x:v>AUD460</x:v>
      </x:c>
      <x:c r="C501" s="30" t="str">
        <x:v>Documentary and transaction evidence demonstrating: Verify equipment performance following maintenance or calibration activities.</x:v>
      </x:c>
      <x:c r="D501" s="30" t="str">
        <x:v>Record</x:v>
      </x:c>
      <x:c r="E501" s="30" t="str">
        <x:v>Yes</x:v>
      </x:c>
      <x:c r="F501" s="30" t="str">
        <x:v>Applicable statutory / operational period</x:v>
      </x:c>
      <x:c r="G501" s="30" t="str">
        <x:v>CORE</x:v>
      </x:c>
      <x:c r="H501" s="30" t="str">
        <x:v>Yes</x:v>
      </x:c>
      <x:c r="I501" s="30" t="str">
        <x:v>P-4 aligned to the normalized parent audit; legacy Evidence ID preserved.</x:v>
      </x:c>
    </x:row>
    <x:row r="502">
      <x:c r="A502" s="30" t="str">
        <x:v>EVD501</x:v>
      </x:c>
      <x:c r="B502" s="30" t="str">
        <x:v>AUD462</x:v>
      </x:c>
      <x:c r="C502" s="30" t="str">
        <x:v>Documentary and transaction evidence demonstrating: Clearly identify and segregate equipment that is overdue for calibration or found to be defective.</x:v>
      </x:c>
      <x:c r="D502" s="30" t="str">
        <x:v>Record</x:v>
      </x:c>
      <x:c r="E502" s="30" t="str">
        <x:v>Yes</x:v>
      </x:c>
      <x:c r="F502" s="30" t="str">
        <x:v>Applicable statutory / operational period</x:v>
      </x:c>
      <x:c r="G502" s="30" t="str">
        <x:v>CORE</x:v>
      </x:c>
      <x:c r="H502" s="30" t="str">
        <x:v>Yes</x:v>
      </x:c>
      <x:c r="I502" s="30" t="str">
        <x:v>P-4 aligned to the normalized parent audit; legacy Evidence ID preserved.</x:v>
      </x:c>
    </x:row>
    <x:row r="503">
      <x:c r="A503" s="30" t="str">
        <x:v>EVD502</x:v>
      </x:c>
      <x:c r="B503" s="30" t="str">
        <x:v>AUD462</x:v>
      </x:c>
      <x:c r="C503" s="30" t="str">
        <x:v>Documentary and transaction evidence demonstrating: Clearly identify and segregate equipment that is overdue for calibration or found to be defective.</x:v>
      </x:c>
      <x:c r="D503" s="30" t="str">
        <x:v>Record</x:v>
      </x:c>
      <x:c r="E503" s="30" t="str">
        <x:v>Yes</x:v>
      </x:c>
      <x:c r="F503" s="30" t="str">
        <x:v>Applicable statutory / operational period</x:v>
      </x:c>
      <x:c r="G503" s="30" t="str">
        <x:v>CORE</x:v>
      </x:c>
      <x:c r="H503" s="30" t="str">
        <x:v>Yes</x:v>
      </x:c>
      <x:c r="I503" s="30" t="str">
        <x:v>P-4 aligned to the normalized parent audit; legacy Evidence ID preserved.</x:v>
      </x:c>
    </x:row>
    <x:row r="504">
      <x:c r="A504" s="30" t="str">
        <x:v>EVD503</x:v>
      </x:c>
      <x:c r="B504" s="30" t="str">
        <x:v>AUD464</x:v>
      </x:c>
      <x:c r="C504" s="30" t="str">
        <x:v>Documentary and transaction evidence demonstrating: Ensure calibration is traceable to nationally or internationally recognized standards.</x:v>
      </x:c>
      <x:c r="D504" s="30" t="str">
        <x:v>Record</x:v>
      </x:c>
      <x:c r="E504" s="30" t="str">
        <x:v>Yes</x:v>
      </x:c>
      <x:c r="F504" s="30" t="str">
        <x:v>Applicable statutory / operational period</x:v>
      </x:c>
      <x:c r="G504" s="30" t="str">
        <x:v>CORE</x:v>
      </x:c>
      <x:c r="H504" s="30" t="str">
        <x:v>Yes</x:v>
      </x:c>
      <x:c r="I504" s="30" t="str">
        <x:v>P-4 aligned to the normalized parent audit; legacy Evidence ID preserved.</x:v>
      </x:c>
    </x:row>
    <x:row r="505">
      <x:c r="A505" s="30" t="str">
        <x:v>EVD504</x:v>
      </x:c>
      <x:c r="B505" s="30" t="str">
        <x:v>AUD464</x:v>
      </x:c>
      <x:c r="C505" s="30" t="str">
        <x:v>Documentary and transaction evidence demonstrating: Ensure calibration is traceable to nationally or internationally recognized standards.</x:v>
      </x:c>
      <x:c r="D505" s="30" t="str">
        <x:v>Record</x:v>
      </x:c>
      <x:c r="E505" s="30" t="str">
        <x:v>Yes</x:v>
      </x:c>
      <x:c r="F505" s="30" t="str">
        <x:v>Applicable statutory / operational period</x:v>
      </x:c>
      <x:c r="G505" s="30" t="str">
        <x:v>CORE</x:v>
      </x:c>
      <x:c r="H505" s="30" t="str">
        <x:v>Yes</x:v>
      </x:c>
      <x:c r="I505" s="30" t="str">
        <x:v>P-4 aligned to the normalized parent audit; legacy Evidence ID preserved.</x:v>
      </x:c>
    </x:row>
    <x:row r="506">
      <x:c r="A506" s="30" t="str">
        <x:v>EVD505</x:v>
      </x:c>
      <x:c r="B506" s="30" t="str">
        <x:v>AUD464</x:v>
      </x:c>
      <x:c r="C506" s="30" t="str">
        <x:v>Documentary and transaction evidence demonstrating: Ensure calibration is traceable to nationally or internationally recognized standards.</x:v>
      </x:c>
      <x:c r="D506" s="30" t="str">
        <x:v>Record</x:v>
      </x:c>
      <x:c r="E506" s="30" t="str">
        <x:v>Yes</x:v>
      </x:c>
      <x:c r="F506" s="30" t="str">
        <x:v>Applicable statutory / operational period</x:v>
      </x:c>
      <x:c r="G506" s="30" t="str">
        <x:v>CORE</x:v>
      </x:c>
      <x:c r="H506" s="30" t="str">
        <x:v>Yes</x:v>
      </x:c>
      <x:c r="I506" s="30" t="str">
        <x:v>P-4 aligned to the normalized parent audit; legacy Evidence ID preserved.</x:v>
      </x:c>
    </x:row>
    <x:row r="507">
      <x:c r="A507" s="30" t="str">
        <x:v>EVD506</x:v>
      </x:c>
      <x:c r="B507" s="30" t="str">
        <x:v>AUD464</x:v>
      </x:c>
      <x:c r="C507" s="30" t="str">
        <x:v>Documentary and transaction evidence demonstrating: Ensure calibration is traceable to nationally or internationally recognized standards.</x:v>
      </x:c>
      <x:c r="D507" s="30" t="str">
        <x:v>Record</x:v>
      </x:c>
      <x:c r="E507" s="30" t="str">
        <x:v>Yes</x:v>
      </x:c>
      <x:c r="F507" s="30" t="str">
        <x:v>Applicable statutory / operational period</x:v>
      </x:c>
      <x:c r="G507" s="30" t="str">
        <x:v>CORE</x:v>
      </x:c>
      <x:c r="H507" s="30" t="str">
        <x:v>Yes</x:v>
      </x:c>
      <x:c r="I507" s="30" t="str">
        <x:v>P-4 aligned to the normalized parent audit; legacy Evidence ID preserved.</x:v>
      </x:c>
    </x:row>
    <x:row r="508">
      <x:c r="A508" s="30" t="str">
        <x:v>EVD507</x:v>
      </x:c>
      <x:c r="B508" s="30" t="str">
        <x:v>AUD467</x:v>
      </x:c>
      <x:c r="C508" s="30" t="str">
        <x:v>Documentary and transaction evidence demonstrating: Periodically review the effectiveness of the calibration and maintenance programme.</x:v>
      </x:c>
      <x:c r="D508" s="30" t="str">
        <x:v>Record</x:v>
      </x:c>
      <x:c r="E508" s="30" t="str">
        <x:v>Yes</x:v>
      </x:c>
      <x:c r="F508" s="30" t="str">
        <x:v>Applicable statutory / operational period</x:v>
      </x:c>
      <x:c r="G508" s="30" t="str">
        <x:v>CORE</x:v>
      </x:c>
      <x:c r="H508" s="30" t="str">
        <x:v>Yes</x:v>
      </x:c>
      <x:c r="I508" s="30" t="str">
        <x:v>P-4 aligned to the normalized parent audit; legacy Evidence ID preserved.</x:v>
      </x:c>
    </x:row>
    <x:row r="509">
      <x:c r="A509" s="30" t="str">
        <x:v>EVD508</x:v>
      </x:c>
      <x:c r="B509" s="30" t="str">
        <x:v>AUD467</x:v>
      </x:c>
      <x:c r="C509" s="30" t="str">
        <x:v>Documentary and transaction evidence demonstrating: Periodically review the effectiveness of the calibration and maintenance programme.</x:v>
      </x:c>
      <x:c r="D509" s="30" t="str">
        <x:v>Record</x:v>
      </x:c>
      <x:c r="E509" s="30" t="str">
        <x:v>Yes</x:v>
      </x:c>
      <x:c r="F509" s="30" t="str">
        <x:v>Applicable statutory / operational period</x:v>
      </x:c>
      <x:c r="G509" s="30" t="str">
        <x:v>CORE</x:v>
      </x:c>
      <x:c r="H509" s="30" t="str">
        <x:v>Yes</x:v>
      </x:c>
      <x:c r="I509" s="30" t="str">
        <x:v>P-4 aligned to the normalized parent audit; legacy Evidence ID preserved.</x:v>
      </x:c>
    </x:row>
    <x:row r="510">
      <x:c r="A510" s="30" t="str">
        <x:v>EVD509</x:v>
      </x:c>
      <x:c r="B510" s="30" t="str">
        <x:v>AUD467</x:v>
      </x:c>
      <x:c r="C510" s="30" t="str">
        <x:v>Documentary and transaction evidence demonstrating: Periodically review the effectiveness of the calibration and maintenance programme.</x:v>
      </x:c>
      <x:c r="D510" s="30" t="str">
        <x:v>Record</x:v>
      </x:c>
      <x:c r="E510" s="30" t="str">
        <x:v>Yes</x:v>
      </x:c>
      <x:c r="F510" s="30" t="str">
        <x:v>Applicable statutory / operational period</x:v>
      </x:c>
      <x:c r="G510" s="30" t="str">
        <x:v>CORE</x:v>
      </x:c>
      <x:c r="H510" s="30" t="str">
        <x:v>Yes</x:v>
      </x:c>
      <x:c r="I510" s="30" t="str">
        <x:v>P-4 aligned to the normalized parent audit; legacy Evidence ID preserved.</x:v>
      </x:c>
    </x:row>
    <x:row r="511">
      <x:c r="A511" s="30" t="str">
        <x:v>EVD510</x:v>
      </x:c>
      <x:c r="B511" s="30" t="str">
        <x:v>AUD467</x:v>
      </x:c>
      <x:c r="C511" s="30" t="str">
        <x:v>Documentary and transaction evidence demonstrating: Periodically review the effectiveness of the calibration and maintenance programme.</x:v>
      </x:c>
      <x:c r="D511" s="30" t="str">
        <x:v>Record</x:v>
      </x:c>
      <x:c r="E511" s="30" t="str">
        <x:v>Yes</x:v>
      </x:c>
      <x:c r="F511" s="30" t="str">
        <x:v>Applicable statutory / operational period</x:v>
      </x:c>
      <x:c r="G511" s="30" t="str">
        <x:v>CORE</x:v>
      </x:c>
      <x:c r="H511" s="30" t="str">
        <x:v>Yes</x:v>
      </x:c>
      <x:c r="I511" s="30" t="str">
        <x:v>P-4 aligned to the normalized parent audit; legacy Evidence ID preserved.</x:v>
      </x:c>
    </x:row>
    <x:row r="512">
      <x:c r="A512" s="30" t="str">
        <x:v>EVD511</x:v>
      </x:c>
      <x:c r="B512" s="30" t="str">
        <x:v>AUD467</x:v>
      </x:c>
      <x:c r="C512" s="30" t="str">
        <x:v>Documentary and transaction evidence demonstrating: Periodically review the effectiveness of the calibration and maintenance programme.</x:v>
      </x:c>
      <x:c r="D512" s="30" t="str">
        <x:v>Record</x:v>
      </x:c>
      <x:c r="E512" s="30" t="str">
        <x:v>Yes</x:v>
      </x:c>
      <x:c r="F512" s="30" t="str">
        <x:v>Applicable statutory / operational period</x:v>
      </x:c>
      <x:c r="G512" s="30" t="str">
        <x:v>CORE</x:v>
      </x:c>
      <x:c r="H512" s="30" t="str">
        <x:v>Yes</x:v>
      </x:c>
      <x:c r="I512" s="30" t="str">
        <x:v>P-4 aligned to the normalized parent audit; legacy Evidence ID preserved.</x:v>
      </x:c>
    </x:row>
    <x:row r="513">
      <x:c r="A513" s="30" t="str">
        <x:v>EVD512</x:v>
      </x:c>
      <x:c r="B513" s="30" t="str">
        <x:v>AUD467</x:v>
      </x:c>
      <x:c r="C513" s="30" t="str">
        <x:v>Documentary and transaction evidence demonstrating: Periodically review the effectiveness of the calibration and maintenance programme.</x:v>
      </x:c>
      <x:c r="D513" s="30" t="str">
        <x:v>Record</x:v>
      </x:c>
      <x:c r="E513" s="30" t="str">
        <x:v>Yes</x:v>
      </x:c>
      <x:c r="F513" s="30" t="str">
        <x:v>Applicable statutory / operational period</x:v>
      </x:c>
      <x:c r="G513" s="30" t="str">
        <x:v>CORE</x:v>
      </x:c>
      <x:c r="H513" s="30" t="str">
        <x:v>Yes</x:v>
      </x:c>
      <x:c r="I513" s="30" t="str">
        <x:v>P-4 aligned to the normalized parent audit; legacy Evidence ID preserved.</x:v>
      </x:c>
    </x:row>
    <x:row r="514">
      <x:c r="A514" s="30" t="str">
        <x:v>EVD513</x:v>
      </x:c>
      <x:c r="B514" s="30" t="str">
        <x:v>AUD467</x:v>
      </x:c>
      <x:c r="C514" s="30" t="str">
        <x:v>Documentary and transaction evidence demonstrating: Periodically review the effectiveness of the calibration and maintenance programme.</x:v>
      </x:c>
      <x:c r="D514" s="30" t="str">
        <x:v>Record</x:v>
      </x:c>
      <x:c r="E514" s="30" t="str">
        <x:v>Yes</x:v>
      </x:c>
      <x:c r="F514" s="30" t="str">
        <x:v>Applicable statutory / operational period</x:v>
      </x:c>
      <x:c r="G514" s="30" t="str">
        <x:v>CORE</x:v>
      </x:c>
      <x:c r="H514" s="30" t="str">
        <x:v>Yes</x:v>
      </x:c>
      <x:c r="I514" s="30" t="str">
        <x:v>P-4 aligned to the normalized parent audit; legacy Evidence ID preserved.</x:v>
      </x:c>
    </x:row>
    <x:row r="515">
      <x:c r="A515" s="30" t="str">
        <x:v>EVD514</x:v>
      </x:c>
      <x:c r="B515" s="30" t="str">
        <x:v>AUD470</x:v>
      </x:c>
      <x:c r="C515" s="30" t="str">
        <x:v>Documentary and transaction evidence demonstrating: Synchronise ICT system clocks to NIC/NPL traceable NTP servers or another accurate time source traceable to them.</x:v>
      </x:c>
      <x:c r="D515" s="30" t="str">
        <x:v>Record</x:v>
      </x:c>
      <x:c r="E515" s="30" t="str">
        <x:v>Yes</x:v>
      </x:c>
      <x:c r="F515" s="30" t="str">
        <x:v>Applicable statutory / operational period</x:v>
      </x:c>
      <x:c r="G515" s="30" t="str">
        <x:v>CORE</x:v>
      </x:c>
      <x:c r="H515" s="30" t="str">
        <x:v>Yes</x:v>
      </x:c>
      <x:c r="I515" s="30" t="str">
        <x:v>P-4 aligned to the normalized parent audit; legacy Evidence ID preserved.</x:v>
      </x:c>
    </x:row>
    <x:row r="516">
      <x:c r="A516" s="30" t="str">
        <x:v>EVD515</x:v>
      </x:c>
      <x:c r="B516" s="30" t="str">
        <x:v>AUD470</x:v>
      </x:c>
      <x:c r="C516" s="30" t="str">
        <x:v>Documentary and transaction evidence demonstrating: Synchronise ICT system clocks to NIC/NPL traceable NTP servers or another accurate time source traceable to them.</x:v>
      </x:c>
      <x:c r="D516" s="30" t="str">
        <x:v>Record</x:v>
      </x:c>
      <x:c r="E516" s="30" t="str">
        <x:v>Yes</x:v>
      </x:c>
      <x:c r="F516" s="30" t="str">
        <x:v>Applicable statutory / operational period</x:v>
      </x:c>
      <x:c r="G516" s="30" t="str">
        <x:v>CORE</x:v>
      </x:c>
      <x:c r="H516" s="30" t="str">
        <x:v>Yes</x:v>
      </x:c>
      <x:c r="I516" s="30" t="str">
        <x:v>P-4 aligned to the normalized parent audit; legacy Evidence ID preserved.</x:v>
      </x:c>
    </x:row>
    <x:row r="517">
      <x:c r="A517" s="30" t="str">
        <x:v>EVD516</x:v>
      </x:c>
      <x:c r="B517" s="30" t="str">
        <x:v>AUD472</x:v>
      </x:c>
      <x:c r="C517" s="30" t="str">
        <x:v>Documentary and transaction evidence demonstrating: Report any specified Annexure I cyber incident to CERT-In within six hours of noticing it or being informed.</x:v>
      </x:c>
      <x:c r="D517" s="30" t="str">
        <x:v>Record</x:v>
      </x:c>
      <x:c r="E517" s="30" t="str">
        <x:v>Yes</x:v>
      </x:c>
      <x:c r="F517" s="30" t="str">
        <x:v>Applicable statutory / operational period</x:v>
      </x:c>
      <x:c r="G517" s="30" t="str">
        <x:v>CORE</x:v>
      </x:c>
      <x:c r="H517" s="30" t="str">
        <x:v>Yes</x:v>
      </x:c>
      <x:c r="I517" s="30" t="str">
        <x:v>P-4 aligned to the normalized parent audit; legacy Evidence ID preserved.</x:v>
      </x:c>
    </x:row>
    <x:row r="518">
      <x:c r="A518" s="30" t="str">
        <x:v>EVD517</x:v>
      </x:c>
      <x:c r="B518" s="30" t="str">
        <x:v>AUD472</x:v>
      </x:c>
      <x:c r="C518" s="30" t="str">
        <x:v>Documentary and transaction evidence demonstrating: Report any specified Annexure I cyber incident to CERT-In within six hours of noticing it or being informed.</x:v>
      </x:c>
      <x:c r="D518" s="30" t="str">
        <x:v>Record</x:v>
      </x:c>
      <x:c r="E518" s="30" t="str">
        <x:v>Yes</x:v>
      </x:c>
      <x:c r="F518" s="30" t="str">
        <x:v>Applicable statutory / operational period</x:v>
      </x:c>
      <x:c r="G518" s="30" t="str">
        <x:v>CORE</x:v>
      </x:c>
      <x:c r="H518" s="30" t="str">
        <x:v>Yes</x:v>
      </x:c>
      <x:c r="I518" s="30" t="str">
        <x:v>P-4 aligned to the normalized parent audit; legacy Evidence ID preserved.</x:v>
      </x:c>
    </x:row>
    <x:row r="519">
      <x:c r="A519" s="30" t="str">
        <x:v>EVD518</x:v>
      </x:c>
      <x:c r="B519" s="30" t="str">
        <x:v>AUD474</x:v>
      </x:c>
      <x:c r="C519" s="30" t="str">
        <x:v>Documentary and transaction evidence demonstrating: Enable ICT logs, retain them securely for a rolling 180 days within Indian jurisdiction and provide them to CERT-In when lawfully required.</x:v>
      </x:c>
      <x:c r="D519" s="30" t="str">
        <x:v>Record</x:v>
      </x:c>
      <x:c r="E519" s="30" t="str">
        <x:v>Yes</x:v>
      </x:c>
      <x:c r="F519" s="30" t="str">
        <x:v>Applicable statutory / operational period</x:v>
      </x:c>
      <x:c r="G519" s="30" t="str">
        <x:v>CORE</x:v>
      </x:c>
      <x:c r="H519" s="30" t="str">
        <x:v>Yes</x:v>
      </x:c>
      <x:c r="I519" s="30" t="str">
        <x:v>P-4 aligned to the normalized parent audit; legacy Evidence ID preserved.</x:v>
      </x:c>
    </x:row>
    <x:row r="520">
      <x:c r="A520" s="30" t="str">
        <x:v>EVD519</x:v>
      </x:c>
      <x:c r="B520" s="30" t="str">
        <x:v>AUD474</x:v>
      </x:c>
      <x:c r="C520" s="30" t="str">
        <x:v>Documentary and transaction evidence demonstrating: Enable ICT logs, retain them securely for a rolling 180 days within Indian jurisdiction and provide them to CERT-In when lawfully required.</x:v>
      </x:c>
      <x:c r="D520" s="30" t="str">
        <x:v>Record</x:v>
      </x:c>
      <x:c r="E520" s="30" t="str">
        <x:v>Yes</x:v>
      </x:c>
      <x:c r="F520" s="30" t="str">
        <x:v>Applicable statutory / operational period</x:v>
      </x:c>
      <x:c r="G520" s="30" t="str">
        <x:v>CORE</x:v>
      </x:c>
      <x:c r="H520" s="30" t="str">
        <x:v>Yes</x:v>
      </x:c>
      <x:c r="I520" s="30" t="str">
        <x:v>P-4 aligned to the normalized parent audit; legacy Evidence ID preserved.</x:v>
      </x:c>
    </x:row>
    <x:row r="521">
      <x:c r="A521" s="30" t="str">
        <x:v>EVD520</x:v>
      </x:c>
      <x:c r="B521" s="30" t="str">
        <x:v>AUD476</x:v>
      </x:c>
      <x:c r="C521" s="30" t="str">
        <x:v>Documentary and transaction evidence demonstrating: Designate, communicate and keep current the prescribed CERT-In point-of-contact details.</x:v>
      </x:c>
      <x:c r="D521" s="30" t="str">
        <x:v>Record</x:v>
      </x:c>
      <x:c r="E521" s="30" t="str">
        <x:v>Yes</x:v>
      </x:c>
      <x:c r="F521" s="30" t="str">
        <x:v>Applicable statutory / operational period</x:v>
      </x:c>
      <x:c r="G521" s="30" t="str">
        <x:v>CORE</x:v>
      </x:c>
      <x:c r="H521" s="30" t="str">
        <x:v>Yes</x:v>
      </x:c>
      <x:c r="I521" s="30" t="str">
        <x:v>P-4 aligned to the normalized parent audit; legacy Evidence ID preserved.</x:v>
      </x:c>
    </x:row>
    <x:row r="522">
      <x:c r="A522" s="30" t="str">
        <x:v>EVD521</x:v>
      </x:c>
      <x:c r="B522" s="30" t="str">
        <x:v>AUD476</x:v>
      </x:c>
      <x:c r="C522" s="30" t="str">
        <x:v>Documentary and transaction evidence demonstrating: Designate, communicate and keep current the prescribed CERT-In point-of-contact details.</x:v>
      </x:c>
      <x:c r="D522" s="30" t="str">
        <x:v>Record</x:v>
      </x:c>
      <x:c r="E522" s="30" t="str">
        <x:v>Yes</x:v>
      </x:c>
      <x:c r="F522" s="30" t="str">
        <x:v>Applicable statutory / operational period</x:v>
      </x:c>
      <x:c r="G522" s="30" t="str">
        <x:v>CORE</x:v>
      </x:c>
      <x:c r="H522" s="30" t="str">
        <x:v>Yes</x:v>
      </x:c>
      <x:c r="I522" s="30" t="str">
        <x:v>P-4 aligned to the normalized parent audit; legacy Evidence ID preserved.</x:v>
      </x:c>
    </x:row>
    <x:row r="523">
      <x:c r="A523" s="30" t="str">
        <x:v>EVD522</x:v>
      </x:c>
      <x:c r="B523" s="30" t="str">
        <x:v>AUD478</x:v>
      </x:c>
      <x:c r="C523" s="30" t="str">
        <x:v>Audit Observation Register</x:v>
      </x:c>
      <x:c r="D523" s="30" t="str">
        <x:v>Register</x:v>
      </x:c>
      <x:c r="E523" s="30" t="str">
        <x:v>Yes</x:v>
      </x:c>
      <x:c r="F523" s="30" t="str">
        <x:v>Statutory</x:v>
      </x:c>
      <x:c r="G523" s="30" t="str">
        <x:v>CORE</x:v>
      </x:c>
      <x:c r="H523" s="30" t="str">
        <x:v>No</x:v>
      </x:c>
      <x:c r="I523" s="30" t="str">
        <x:v>P-3 QUARANTINED: Generic State/local/permit/reference rows, penalty-only/fabricated DAMR extractions, and future-effective DPDP duties are not current production obligations.</x:v>
      </x:c>
    </x:row>
    <x:row r="524">
      <x:c r="A524" s="30" t="str">
        <x:v>EVD523</x:v>
      </x:c>
      <x:c r="B524" s="30" t="str">
        <x:v>AUD478</x:v>
      </x:c>
      <x:c r="C524" s="30" t="str">
        <x:v>Audit Risk Assessment Sheet</x:v>
      </x:c>
      <x:c r="D524" s="30" t="str">
        <x:v>Record</x:v>
      </x:c>
      <x:c r="E524" s="30" t="str">
        <x:v>Yes</x:v>
      </x:c>
      <x:c r="F524" s="30" t="str">
        <x:v>Operational</x:v>
      </x:c>
      <x:c r="G524" s="30" t="str">
        <x:v>CORE</x:v>
      </x:c>
      <x:c r="H524" s="30" t="str">
        <x:v>No</x:v>
      </x:c>
      <x:c r="I524" s="30" t="str">
        <x:v>P-3 QUARANTINED: Generic State/local/permit/reference rows, penalty-only/fabricated DAMR extractions, and future-effective DPDP duties are not current production obligations.</x:v>
      </x:c>
    </x:row>
    <x:row r="525">
      <x:c r="A525" s="30" t="str">
        <x:v>EVD524</x:v>
      </x:c>
      <x:c r="B525" s="30" t="str">
        <x:v>AUD480</x:v>
      </x:c>
      <x:c r="C525" s="30" t="str">
        <x:v>Final Internal Audit Report</x:v>
      </x:c>
      <x:c r="D525" s="30" t="str">
        <x:v>Report</x:v>
      </x:c>
      <x:c r="E525" s="30" t="str">
        <x:v>Yes</x:v>
      </x:c>
      <x:c r="F525" s="30" t="str">
        <x:v>Operational</x:v>
      </x:c>
      <x:c r="G525" s="30" t="str">
        <x:v>CORE</x:v>
      </x:c>
      <x:c r="H525" s="30" t="str">
        <x:v>No</x:v>
      </x:c>
      <x:c r="I525" s="30" t="str">
        <x:v>P-3 QUARANTINED: Generic State/local/permit/reference rows, penalty-only/fabricated DAMR extractions, and future-effective DPDP duties are not current production obligations.</x:v>
      </x:c>
    </x:row>
    <x:row r="526">
      <x:c r="A526" s="30" t="str">
        <x:v>EVD525</x:v>
      </x:c>
      <x:c r="B526" s="30" t="str">
        <x:v>AUD480</x:v>
      </x:c>
      <x:c r="C526" s="30" t="str">
        <x:v>Audit Report Issue Register</x:v>
      </x:c>
      <x:c r="D526" s="30" t="str">
        <x:v>Report</x:v>
      </x:c>
      <x:c r="E526" s="30" t="str">
        <x:v>Yes</x:v>
      </x:c>
      <x:c r="F526" s="30" t="str">
        <x:v>Operational</x:v>
      </x:c>
      <x:c r="G526" s="30" t="str">
        <x:v>CORE</x:v>
      </x:c>
      <x:c r="H526" s="30" t="str">
        <x:v>No</x:v>
      </x:c>
      <x:c r="I526" s="30" t="str">
        <x:v>P-3 QUARANTINED: Generic State/local/permit/reference rows, penalty-only/fabricated DAMR extractions, and future-effective DPDP duties are not current production obligations.</x:v>
      </x:c>
    </x:row>
    <x:row r="527">
      <x:c r="A527" s="30" t="str">
        <x:v>EVD526</x:v>
      </x:c>
      <x:c r="B527" s="30" t="str">
        <x:v>AUD482</x:v>
      </x:c>
      <x:c r="C527" s="30" t="str">
        <x:v>Management Response Register</x:v>
      </x:c>
      <x:c r="D527" s="30" t="str">
        <x:v>Register</x:v>
      </x:c>
      <x:c r="E527" s="30" t="str">
        <x:v>Yes</x:v>
      </x:c>
      <x:c r="F527" s="30" t="str">
        <x:v>Statutory</x:v>
      </x:c>
      <x:c r="G527" s="30" t="str">
        <x:v>CORE</x:v>
      </x:c>
      <x:c r="H527" s="30" t="str">
        <x:v>No</x:v>
      </x:c>
      <x:c r="I527" s="30" t="str">
        <x:v>P-3 QUARANTINED: Generic State/local/permit/reference rows, penalty-only/fabricated DAMR extractions, and future-effective DPDP duties are not current production obligations.</x:v>
      </x:c>
    </x:row>
    <x:row r="528">
      <x:c r="A528" s="30" t="str">
        <x:v>EVD527</x:v>
      </x:c>
      <x:c r="B528" s="30" t="str">
        <x:v>AUD482</x:v>
      </x:c>
      <x:c r="C528" s="30" t="str">
        <x:v>Approved Corrective Action Plan</x:v>
      </x:c>
      <x:c r="D528" s="30" t="str">
        <x:v>Record</x:v>
      </x:c>
      <x:c r="E528" s="30" t="str">
        <x:v>Yes</x:v>
      </x:c>
      <x:c r="F528" s="30" t="str">
        <x:v>Operational</x:v>
      </x:c>
      <x:c r="G528" s="30" t="str">
        <x:v>CORE</x:v>
      </x:c>
      <x:c r="H528" s="30" t="str">
        <x:v>No</x:v>
      </x:c>
      <x:c r="I528" s="30" t="str">
        <x:v>P-3 QUARANTINED: Generic State/local/permit/reference rows, penalty-only/fabricated DAMR extractions, and future-effective DPDP duties are not current production obligations.</x:v>
      </x:c>
    </x:row>
    <x:row r="529">
      <x:c r="A529" s="30" t="str">
        <x:v>EVD528</x:v>
      </x:c>
      <x:c r="B529" s="30" t="str">
        <x:v>AUD484</x:v>
      </x:c>
      <x:c r="C529" s="30" t="str">
        <x:v>CAPA Register</x:v>
      </x:c>
      <x:c r="D529" s="30" t="str">
        <x:v>Register</x:v>
      </x:c>
      <x:c r="E529" s="30" t="str">
        <x:v>Yes</x:v>
      </x:c>
      <x:c r="F529" s="30" t="str">
        <x:v>Statutory</x:v>
      </x:c>
      <x:c r="G529" s="30" t="str">
        <x:v>CORE</x:v>
      </x:c>
      <x:c r="H529" s="30" t="str">
        <x:v>No</x:v>
      </x:c>
      <x:c r="I529" s="30" t="str">
        <x:v>P-3 QUARANTINED: Generic State/local/permit/reference rows, penalty-only/fabricated DAMR extractions, and future-effective DPDP duties are not current production obligations.</x:v>
      </x:c>
    </x:row>
    <x:row r="530">
      <x:c r="A530" s="30" t="str">
        <x:v>EVD529</x:v>
      </x:c>
      <x:c r="B530" s="30" t="str">
        <x:v>AUD484</x:v>
      </x:c>
      <x:c r="C530" s="30" t="str">
        <x:v>Corrective Action Completion Evidence</x:v>
      </x:c>
      <x:c r="D530" s="30" t="str">
        <x:v>Record</x:v>
      </x:c>
      <x:c r="E530" s="30" t="str">
        <x:v>Yes</x:v>
      </x:c>
      <x:c r="F530" s="30" t="str">
        <x:v>Operational</x:v>
      </x:c>
      <x:c r="G530" s="30" t="str">
        <x:v>CORE</x:v>
      </x:c>
      <x:c r="H530" s="30" t="str">
        <x:v>No</x:v>
      </x:c>
      <x:c r="I530" s="30" t="str">
        <x:v>P-3 QUARANTINED: Generic State/local/permit/reference rows, penalty-only/fabricated DAMR extractions, and future-effective DPDP duties are not current production obligations.</x:v>
      </x:c>
    </x:row>
    <x:row r="531">
      <x:c r="A531" s="30" t="str">
        <x:v>EVD530</x:v>
      </x:c>
      <x:c r="B531" s="30" t="str">
        <x:v>AUD486</x:v>
      </x:c>
      <x:c r="C531" s="30" t="str">
        <x:v>Follow-up Audit Report</x:v>
      </x:c>
      <x:c r="D531" s="30" t="str">
        <x:v>Report</x:v>
      </x:c>
      <x:c r="E531" s="30" t="str">
        <x:v>Yes</x:v>
      </x:c>
      <x:c r="F531" s="30" t="str">
        <x:v>Operational</x:v>
      </x:c>
      <x:c r="G531" s="30" t="str">
        <x:v>CORE</x:v>
      </x:c>
      <x:c r="H531" s="30" t="str">
        <x:v>No</x:v>
      </x:c>
      <x:c r="I531" s="30" t="str">
        <x:v>P-3 QUARANTINED: Generic State/local/permit/reference rows, penalty-only/fabricated DAMR extractions, and future-effective DPDP duties are not current production obligations.</x:v>
      </x:c>
    </x:row>
    <x:row r="532">
      <x:c r="A532" s="30" t="str">
        <x:v>EVD531</x:v>
      </x:c>
      <x:c r="B532" s="30" t="str">
        <x:v>AUD486</x:v>
      </x:c>
      <x:c r="C532" s="30" t="str">
        <x:v>Follow-up Verification Checklist</x:v>
      </x:c>
      <x:c r="D532" s="30" t="str">
        <x:v>Record</x:v>
      </x:c>
      <x:c r="E532" s="30" t="str">
        <x:v>Yes</x:v>
      </x:c>
      <x:c r="F532" s="30" t="str">
        <x:v>Operational</x:v>
      </x:c>
      <x:c r="G532" s="30" t="str">
        <x:v>CORE</x:v>
      </x:c>
      <x:c r="H532" s="30" t="str">
        <x:v>No</x:v>
      </x:c>
      <x:c r="I532" s="30" t="str">
        <x:v>P-3 QUARANTINED: Generic State/local/permit/reference rows, penalty-only/fabricated DAMR extractions, and future-effective DPDP duties are not current production obligations.</x:v>
      </x:c>
    </x:row>
    <x:row r="533">
      <x:c r="A533" s="30" t="str">
        <x:v>EVD532</x:v>
      </x:c>
      <x:c r="B533" s="30" t="str">
        <x:v>AUD488</x:v>
      </x:c>
      <x:c r="C533" s="30" t="str">
        <x:v>Recurring Findings Trend Analysis</x:v>
      </x:c>
      <x:c r="D533" s="30" t="str">
        <x:v>Digital Record</x:v>
      </x:c>
      <x:c r="E533" s="30" t="str">
        <x:v>No</x:v>
      </x:c>
      <x:c r="F533" s="30" t="str">
        <x:v>Operational</x:v>
      </x:c>
      <x:c r="G533" s="30" t="str">
        <x:v>CORE</x:v>
      </x:c>
      <x:c r="H533" s="30" t="str">
        <x:v>No</x:v>
      </x:c>
      <x:c r="I533" s="30" t="str">
        <x:v>P-3 QUARANTINED: Generic State/local/permit/reference rows, penalty-only/fabricated DAMR extractions, and future-effective DPDP duties are not current production obligations.</x:v>
      </x:c>
    </x:row>
    <x:row r="534">
      <x:c r="A534" s="30" t="str">
        <x:v>EVD533</x:v>
      </x:c>
      <x:c r="B534" s="30" t="str">
        <x:v>AUD488</x:v>
      </x:c>
      <x:c r="C534" s="30" t="str">
        <x:v>Root Cause Analysis Report</x:v>
      </x:c>
      <x:c r="D534" s="30" t="str">
        <x:v>Report</x:v>
      </x:c>
      <x:c r="E534" s="30" t="str">
        <x:v>Yes</x:v>
      </x:c>
      <x:c r="F534" s="30" t="str">
        <x:v>Operational</x:v>
      </x:c>
      <x:c r="G534" s="30" t="str">
        <x:v>CORE</x:v>
      </x:c>
      <x:c r="H534" s="30" t="str">
        <x:v>No</x:v>
      </x:c>
      <x:c r="I534" s="30" t="str">
        <x:v>P-3 QUARANTINED: Generic State/local/permit/reference rows, penalty-only/fabricated DAMR extractions, and future-effective DPDP duties are not current production obligations.</x:v>
      </x:c>
    </x:row>
    <x:row r="535">
      <x:c r="A535" s="30" t="str">
        <x:v>EVD534</x:v>
      </x:c>
      <x:c r="B535" s="30" t="str">
        <x:v>AUD490</x:v>
      </x:c>
      <x:c r="C535" s="30" t="str">
        <x:v>Documentary and transaction evidence demonstrating: Maintain pharmacy premises, records and operations in a state of inspection readiness at all times.</x:v>
      </x:c>
      <x:c r="D535" s="30" t="str">
        <x:v>Record</x:v>
      </x:c>
      <x:c r="E535" s="30" t="str">
        <x:v>Yes</x:v>
      </x:c>
      <x:c r="F535" s="30" t="str">
        <x:v>Applicable statutory / operational period</x:v>
      </x:c>
      <x:c r="G535" s="30" t="str">
        <x:v>CORE</x:v>
      </x:c>
      <x:c r="H535" s="30" t="str">
        <x:v>Yes</x:v>
      </x:c>
      <x:c r="I535" s="30" t="str">
        <x:v>P-4 aligned to the normalized parent audit; legacy Evidence ID preserved.</x:v>
      </x:c>
    </x:row>
    <x:row r="536">
      <x:c r="A536" s="30" t="str">
        <x:v>EVD535</x:v>
      </x:c>
      <x:c r="B536" s="30" t="str">
        <x:v>AUD490</x:v>
      </x:c>
      <x:c r="C536" s="30" t="str">
        <x:v>Documentary and transaction evidence demonstrating: Maintain pharmacy premises, records and operations in a state of inspection readiness at all times.</x:v>
      </x:c>
      <x:c r="D536" s="30" t="str">
        <x:v>Record</x:v>
      </x:c>
      <x:c r="E536" s="30" t="str">
        <x:v>Yes</x:v>
      </x:c>
      <x:c r="F536" s="30" t="str">
        <x:v>Applicable statutory / operational period</x:v>
      </x:c>
      <x:c r="G536" s="30" t="str">
        <x:v>CORE</x:v>
      </x:c>
      <x:c r="H536" s="30" t="str">
        <x:v>Yes</x:v>
      </x:c>
      <x:c r="I536" s="30" t="str">
        <x:v>P-4 aligned to the normalized parent audit; legacy Evidence ID preserved.</x:v>
      </x:c>
    </x:row>
    <x:row r="537">
      <x:c r="A537" s="30" t="str">
        <x:v>EVD536</x:v>
      </x:c>
      <x:c r="B537" s="30" t="str">
        <x:v>AUD492</x:v>
      </x:c>
      <x:c r="C537" s="30" t="str">
        <x:v>Documentary and transaction evidence demonstrating: Ensure statutory licences, approvals and registers are readily available for inspection.</x:v>
      </x:c>
      <x:c r="D537" s="30" t="str">
        <x:v>Record</x:v>
      </x:c>
      <x:c r="E537" s="30" t="str">
        <x:v>Yes</x:v>
      </x:c>
      <x:c r="F537" s="30" t="str">
        <x:v>Applicable statutory / operational period</x:v>
      </x:c>
      <x:c r="G537" s="30" t="str">
        <x:v>CORE</x:v>
      </x:c>
      <x:c r="H537" s="30" t="str">
        <x:v>Yes</x:v>
      </x:c>
      <x:c r="I537" s="30" t="str">
        <x:v>P-4 aligned to the normalized parent audit; legacy Evidence ID preserved.</x:v>
      </x:c>
    </x:row>
    <x:row r="538">
      <x:c r="A538" s="30" t="str">
        <x:v>EVD537</x:v>
      </x:c>
      <x:c r="B538" s="30" t="str">
        <x:v>AUD492</x:v>
      </x:c>
      <x:c r="C538" s="30" t="str">
        <x:v>Documentary and transaction evidence demonstrating: Ensure statutory licences, approvals and registers are readily available for inspection.</x:v>
      </x:c>
      <x:c r="D538" s="30" t="str">
        <x:v>Record</x:v>
      </x:c>
      <x:c r="E538" s="30" t="str">
        <x:v>Yes</x:v>
      </x:c>
      <x:c r="F538" s="30" t="str">
        <x:v>Applicable statutory / operational period</x:v>
      </x:c>
      <x:c r="G538" s="30" t="str">
        <x:v>CORE</x:v>
      </x:c>
      <x:c r="H538" s="30" t="str">
        <x:v>Yes</x:v>
      </x:c>
      <x:c r="I538" s="30" t="str">
        <x:v>P-4 aligned to the normalized parent audit; legacy Evidence ID preserved.</x:v>
      </x:c>
    </x:row>
    <x:row r="539">
      <x:c r="A539" s="30" t="str">
        <x:v>EVD538</x:v>
      </x:c>
      <x:c r="B539" s="30" t="str">
        <x:v>AUD494</x:v>
      </x:c>
      <x:c r="C539" s="30" t="str">
        <x:v>Documentary and transaction evidence demonstrating: Maintain approved Standard Operating Procedures (SOPs) for all critical pharmacy processes.</x:v>
      </x:c>
      <x:c r="D539" s="30" t="str">
        <x:v>Record</x:v>
      </x:c>
      <x:c r="E539" s="30" t="str">
        <x:v>Yes</x:v>
      </x:c>
      <x:c r="F539" s="30" t="str">
        <x:v>Applicable statutory / operational period</x:v>
      </x:c>
      <x:c r="G539" s="30" t="str">
        <x:v>CORE</x:v>
      </x:c>
      <x:c r="H539" s="30" t="str">
        <x:v>Yes</x:v>
      </x:c>
      <x:c r="I539" s="30" t="str">
        <x:v>P-4 aligned to the normalized parent audit; legacy Evidence ID preserved.</x:v>
      </x:c>
    </x:row>
    <x:row r="540">
      <x:c r="A540" s="30" t="str">
        <x:v>EVD539</x:v>
      </x:c>
      <x:c r="B540" s="30" t="str">
        <x:v>AUD494</x:v>
      </x:c>
      <x:c r="C540" s="30" t="str">
        <x:v>Documentary and transaction evidence demonstrating: Maintain approved Standard Operating Procedures (SOPs) for all critical pharmacy processes.</x:v>
      </x:c>
      <x:c r="D540" s="30" t="str">
        <x:v>Record</x:v>
      </x:c>
      <x:c r="E540" s="30" t="str">
        <x:v>Yes</x:v>
      </x:c>
      <x:c r="F540" s="30" t="str">
        <x:v>Applicable statutory / operational period</x:v>
      </x:c>
      <x:c r="G540" s="30" t="str">
        <x:v>CORE</x:v>
      </x:c>
      <x:c r="H540" s="30" t="str">
        <x:v>Yes</x:v>
      </x:c>
      <x:c r="I540" s="30" t="str">
        <x:v>P-4 aligned to the normalized parent audit; legacy Evidence ID preserved.</x:v>
      </x:c>
    </x:row>
    <x:row r="541">
      <x:c r="A541" s="30" t="str">
        <x:v>EVD540</x:v>
      </x:c>
      <x:c r="B541" s="30" t="str">
        <x:v>AUD496</x:v>
      </x:c>
      <x:c r="C541" s="30" t="str">
        <x:v>Documentary and transaction evidence demonstrating: Review and respond to inspection observations within timelines prescribed by the authority.</x:v>
      </x:c>
      <x:c r="D541" s="30" t="str">
        <x:v>Record</x:v>
      </x:c>
      <x:c r="E541" s="30" t="str">
        <x:v>Yes</x:v>
      </x:c>
      <x:c r="F541" s="30" t="str">
        <x:v>Applicable statutory / operational period</x:v>
      </x:c>
      <x:c r="G541" s="30" t="str">
        <x:v>CORE</x:v>
      </x:c>
      <x:c r="H541" s="30" t="str">
        <x:v>Yes</x:v>
      </x:c>
      <x:c r="I541" s="30" t="str">
        <x:v>P-4 aligned to the normalized parent audit; legacy Evidence ID preserved.</x:v>
      </x:c>
    </x:row>
    <x:row r="542">
      <x:c r="A542" s="30" t="str">
        <x:v>EVD541</x:v>
      </x:c>
      <x:c r="B542" s="30" t="str">
        <x:v>AUD496</x:v>
      </x:c>
      <x:c r="C542" s="30" t="str">
        <x:v>Documentary and transaction evidence demonstrating: Review and respond to inspection observations within timelines prescribed by the authority.</x:v>
      </x:c>
      <x:c r="D542" s="30" t="str">
        <x:v>Record</x:v>
      </x:c>
      <x:c r="E542" s="30" t="str">
        <x:v>Yes</x:v>
      </x:c>
      <x:c r="F542" s="30" t="str">
        <x:v>Applicable statutory / operational period</x:v>
      </x:c>
      <x:c r="G542" s="30" t="str">
        <x:v>CORE</x:v>
      </x:c>
      <x:c r="H542" s="30" t="str">
        <x:v>Yes</x:v>
      </x:c>
      <x:c r="I542" s="30" t="str">
        <x:v>P-4 aligned to the normalized parent audit; legacy Evidence ID preserved.</x:v>
      </x:c>
    </x:row>
    <x:row r="543">
      <x:c r="A543" s="30" t="str">
        <x:v>EVD542</x:v>
      </x:c>
      <x:c r="B543" s="30" t="str">
        <x:v>AUD498</x:v>
      </x:c>
      <x:c r="C543" s="30" t="str">
        <x:v>Documentary and transaction evidence demonstrating: Implement corrective and preventive actions (CAPA) for all regulatory inspection observations.</x:v>
      </x:c>
      <x:c r="D543" s="30" t="str">
        <x:v>Record</x:v>
      </x:c>
      <x:c r="E543" s="30" t="str">
        <x:v>Yes</x:v>
      </x:c>
      <x:c r="F543" s="30" t="str">
        <x:v>Applicable statutory / operational period</x:v>
      </x:c>
      <x:c r="G543" s="30" t="str">
        <x:v>CORE</x:v>
      </x:c>
      <x:c r="H543" s="30" t="str">
        <x:v>Yes</x:v>
      </x:c>
      <x:c r="I543" s="30" t="str">
        <x:v>P-4 aligned to the normalized parent audit; legacy Evidence ID preserved.</x:v>
      </x:c>
    </x:row>
    <x:row r="544">
      <x:c r="A544" s="30" t="str">
        <x:v>EVD543</x:v>
      </x:c>
      <x:c r="B544" s="30" t="str">
        <x:v>AUD498</x:v>
      </x:c>
      <x:c r="C544" s="30" t="str">
        <x:v>Documentary and transaction evidence demonstrating: Implement corrective and preventive actions (CAPA) for all regulatory inspection observations.</x:v>
      </x:c>
      <x:c r="D544" s="30" t="str">
        <x:v>Record</x:v>
      </x:c>
      <x:c r="E544" s="30" t="str">
        <x:v>Yes</x:v>
      </x:c>
      <x:c r="F544" s="30" t="str">
        <x:v>Applicable statutory / operational period</x:v>
      </x:c>
      <x:c r="G544" s="30" t="str">
        <x:v>CORE</x:v>
      </x:c>
      <x:c r="H544" s="30" t="str">
        <x:v>Yes</x:v>
      </x:c>
      <x:c r="I544" s="30" t="str">
        <x:v>P-4 aligned to the normalized parent audit; legacy Evidence ID preserved.</x:v>
      </x:c>
    </x:row>
    <x:row r="545">
      <x:c r="A545" s="30" t="str">
        <x:v>EVD544</x:v>
      </x:c>
      <x:c r="B545" s="30" t="str">
        <x:v>AUD500</x:v>
      </x:c>
      <x:c r="C545" s="30" t="str">
        <x:v>Documentary and transaction evidence demonstrating: Conduct periodic internal compliance reviews covering all applicable pharmacy regulations.</x:v>
      </x:c>
      <x:c r="D545" s="30" t="str">
        <x:v>Record</x:v>
      </x:c>
      <x:c r="E545" s="30" t="str">
        <x:v>Yes</x:v>
      </x:c>
      <x:c r="F545" s="30" t="str">
        <x:v>Applicable statutory / operational period</x:v>
      </x:c>
      <x:c r="G545" s="30" t="str">
        <x:v>CORE</x:v>
      </x:c>
      <x:c r="H545" s="30" t="str">
        <x:v>Yes</x:v>
      </x:c>
      <x:c r="I545" s="30" t="str">
        <x:v>P-4 aligned to the normalized parent audit; legacy Evidence ID preserved.</x:v>
      </x:c>
    </x:row>
    <x:row r="546">
      <x:c r="A546" s="30" t="str">
        <x:v>EVD545</x:v>
      </x:c>
      <x:c r="B546" s="30" t="str">
        <x:v>AUD500</x:v>
      </x:c>
      <x:c r="C546" s="30" t="str">
        <x:v>Documentary and transaction evidence demonstrating: Conduct periodic internal compliance reviews covering all applicable pharmacy regulations.</x:v>
      </x:c>
      <x:c r="D546" s="30" t="str">
        <x:v>Record</x:v>
      </x:c>
      <x:c r="E546" s="30" t="str">
        <x:v>Yes</x:v>
      </x:c>
      <x:c r="F546" s="30" t="str">
        <x:v>Applicable statutory / operational period</x:v>
      </x:c>
      <x:c r="G546" s="30" t="str">
        <x:v>CORE</x:v>
      </x:c>
      <x:c r="H546" s="30" t="str">
        <x:v>Yes</x:v>
      </x:c>
      <x:c r="I546" s="30" t="str">
        <x:v>P-4 aligned to the normalized parent audit; legacy Evidence ID preserved.</x:v>
      </x:c>
    </x:row>
    <x:row r="547">
      <x:c r="A547" s="30" t="str">
        <x:v>EVD546</x:v>
      </x:c>
      <x:c r="B547" s="30" t="str">
        <x:v>AUD502</x:v>
      </x:c>
      <x:c r="C547" s="30" t="str">
        <x:v>Documentary and transaction evidence demonstrating: Establish and maintain an enterprise compliance governance framework.</x:v>
      </x:c>
      <x:c r="D547" s="30" t="str">
        <x:v>Record</x:v>
      </x:c>
      <x:c r="E547" s="30" t="str">
        <x:v>Yes</x:v>
      </x:c>
      <x:c r="F547" s="30" t="str">
        <x:v>Applicable statutory / operational period</x:v>
      </x:c>
      <x:c r="G547" s="30" t="str">
        <x:v>CORE</x:v>
      </x:c>
      <x:c r="H547" s="30" t="str">
        <x:v>Yes</x:v>
      </x:c>
      <x:c r="I547" s="30" t="str">
        <x:v>P-4 aligned to the normalized parent audit; legacy Evidence ID preserved.</x:v>
      </x:c>
    </x:row>
    <x:row r="548">
      <x:c r="A548" s="30" t="str">
        <x:v>EVD547</x:v>
      </x:c>
      <x:c r="B548" s="30" t="str">
        <x:v>AUD502</x:v>
      </x:c>
      <x:c r="C548" s="30" t="str">
        <x:v>Documentary and transaction evidence demonstrating: Establish and maintain an enterprise compliance governance framework.</x:v>
      </x:c>
      <x:c r="D548" s="30" t="str">
        <x:v>Record</x:v>
      </x:c>
      <x:c r="E548" s="30" t="str">
        <x:v>Yes</x:v>
      </x:c>
      <x:c r="F548" s="30" t="str">
        <x:v>Applicable statutory / operational period</x:v>
      </x:c>
      <x:c r="G548" s="30" t="str">
        <x:v>CORE</x:v>
      </x:c>
      <x:c r="H548" s="30" t="str">
        <x:v>Yes</x:v>
      </x:c>
      <x:c r="I548" s="30" t="str">
        <x:v>P-4 aligned to the normalized parent audit; legacy Evidence ID preserved.</x:v>
      </x:c>
    </x:row>
    <x:row r="549">
      <x:c r="A549" s="30" t="str">
        <x:v>EVD548</x:v>
      </x:c>
      <x:c r="B549" s="30" t="str">
        <x:v>AUD504</x:v>
      </x:c>
      <x:c r="C549" s="30" t="str">
        <x:v>Documentary and transaction evidence demonstrating: Assign clear ownership and accountability for every regulatory compliance obligation.</x:v>
      </x:c>
      <x:c r="D549" s="30" t="str">
        <x:v>Record</x:v>
      </x:c>
      <x:c r="E549" s="30" t="str">
        <x:v>Yes</x:v>
      </x:c>
      <x:c r="F549" s="30" t="str">
        <x:v>Applicable statutory / operational period</x:v>
      </x:c>
      <x:c r="G549" s="30" t="str">
        <x:v>CORE</x:v>
      </x:c>
      <x:c r="H549" s="30" t="str">
        <x:v>Yes</x:v>
      </x:c>
      <x:c r="I549" s="30" t="str">
        <x:v>P-4 aligned to the normalized parent audit; legacy Evidence ID preserved.</x:v>
      </x:c>
    </x:row>
    <x:row r="550">
      <x:c r="A550" s="30" t="str">
        <x:v>EVD549</x:v>
      </x:c>
      <x:c r="B550" s="30" t="str">
        <x:v>AUD504</x:v>
      </x:c>
      <x:c r="C550" s="30" t="str">
        <x:v>Documentary and transaction evidence demonstrating: Assign clear ownership and accountability for every regulatory compliance obligation.</x:v>
      </x:c>
      <x:c r="D550" s="30" t="str">
        <x:v>Record</x:v>
      </x:c>
      <x:c r="E550" s="30" t="str">
        <x:v>Yes</x:v>
      </x:c>
      <x:c r="F550" s="30" t="str">
        <x:v>Applicable statutory / operational period</x:v>
      </x:c>
      <x:c r="G550" s="30" t="str">
        <x:v>CORE</x:v>
      </x:c>
      <x:c r="H550" s="30" t="str">
        <x:v>Yes</x:v>
      </x:c>
      <x:c r="I550" s="30" t="str">
        <x:v>P-4 aligned to the normalized parent audit; legacy Evidence ID preserved.</x:v>
      </x:c>
    </x:row>
    <x:row r="551">
      <x:c r="A551" s="30" t="str">
        <x:v>EVD550</x:v>
      </x:c>
      <x:c r="B551" s="30" t="str">
        <x:v>AUD506</x:v>
      </x:c>
      <x:c r="C551" s="30" t="str">
        <x:v>Documentary and transaction evidence demonstrating: Monitor regulatory updates and assess their impact on pharmacy operations.</x:v>
      </x:c>
      <x:c r="D551" s="30" t="str">
        <x:v>Record</x:v>
      </x:c>
      <x:c r="E551" s="30" t="str">
        <x:v>Yes</x:v>
      </x:c>
      <x:c r="F551" s="30" t="str">
        <x:v>Applicable statutory / operational period</x:v>
      </x:c>
      <x:c r="G551" s="30" t="str">
        <x:v>CORE</x:v>
      </x:c>
      <x:c r="H551" s="30" t="str">
        <x:v>Yes</x:v>
      </x:c>
      <x:c r="I551" s="30" t="str">
        <x:v>P-4 aligned to the normalized parent audit; legacy Evidence ID preserved.</x:v>
      </x:c>
    </x:row>
    <x:row r="552">
      <x:c r="A552" s="30" t="str">
        <x:v>EVD551</x:v>
      </x:c>
      <x:c r="B552" s="30" t="str">
        <x:v>AUD506</x:v>
      </x:c>
      <x:c r="C552" s="30" t="str">
        <x:v>Documentary and transaction evidence demonstrating: Monitor regulatory updates and assess their impact on pharmacy operations.</x:v>
      </x:c>
      <x:c r="D552" s="30" t="str">
        <x:v>Record</x:v>
      </x:c>
      <x:c r="E552" s="30" t="str">
        <x:v>Yes</x:v>
      </x:c>
      <x:c r="F552" s="30" t="str">
        <x:v>Applicable statutory / operational period</x:v>
      </x:c>
      <x:c r="G552" s="30" t="str">
        <x:v>CORE</x:v>
      </x:c>
      <x:c r="H552" s="30" t="str">
        <x:v>Yes</x:v>
      </x:c>
      <x:c r="I552" s="30" t="str">
        <x:v>P-4 aligned to the normalized parent audit; legacy Evidence ID preserved.</x:v>
      </x:c>
    </x:row>
    <x:row r="553">
      <x:c r="A553" s="30" t="str">
        <x:v>EVD552</x:v>
      </x:c>
      <x:c r="B553" s="30" t="str">
        <x:v>AUD508</x:v>
      </x:c>
      <x:c r="C553" s="30" t="str">
        <x:v>Documentary and transaction evidence demonstrating: Maintain a compliance calendar covering all statutory obligations and due dates.</x:v>
      </x:c>
      <x:c r="D553" s="30" t="str">
        <x:v>Record</x:v>
      </x:c>
      <x:c r="E553" s="30" t="str">
        <x:v>Yes</x:v>
      </x:c>
      <x:c r="F553" s="30" t="str">
        <x:v>Applicable statutory / operational period</x:v>
      </x:c>
      <x:c r="G553" s="30" t="str">
        <x:v>CORE</x:v>
      </x:c>
      <x:c r="H553" s="30" t="str">
        <x:v>Yes</x:v>
      </x:c>
      <x:c r="I553" s="30" t="str">
        <x:v>P-4 aligned to the normalized parent audit; legacy Evidence ID preserved.</x:v>
      </x:c>
    </x:row>
    <x:row r="554">
      <x:c r="A554" s="30" t="str">
        <x:v>EVD553</x:v>
      </x:c>
      <x:c r="B554" s="30" t="str">
        <x:v>AUD508</x:v>
      </x:c>
      <x:c r="C554" s="30" t="str">
        <x:v>Documentary and transaction evidence demonstrating: Maintain a compliance calendar covering all statutory obligations and due dates.</x:v>
      </x:c>
      <x:c r="D554" s="30" t="str">
        <x:v>Record</x:v>
      </x:c>
      <x:c r="E554" s="30" t="str">
        <x:v>Yes</x:v>
      </x:c>
      <x:c r="F554" s="30" t="str">
        <x:v>Applicable statutory / operational period</x:v>
      </x:c>
      <x:c r="G554" s="30" t="str">
        <x:v>CORE</x:v>
      </x:c>
      <x:c r="H554" s="30" t="str">
        <x:v>Yes</x:v>
      </x:c>
      <x:c r="I554" s="30" t="str">
        <x:v>P-4 aligned to the normalized parent audit; legacy Evidence ID preserved.</x:v>
      </x:c>
    </x:row>
    <x:row r="555">
      <x:c r="A555" s="30" t="str">
        <x:v>EVD554</x:v>
      </x:c>
      <x:c r="B555" s="30" t="str">
        <x:v>AUD510</x:v>
      </x:c>
      <x:c r="C555" s="30" t="str">
        <x:v>Documentary and transaction evidence demonstrating: Submit periodic compliance reports to senior management.</x:v>
      </x:c>
      <x:c r="D555" s="30" t="str">
        <x:v>Record</x:v>
      </x:c>
      <x:c r="E555" s="30" t="str">
        <x:v>Yes</x:v>
      </x:c>
      <x:c r="F555" s="30" t="str">
        <x:v>Applicable statutory / operational period</x:v>
      </x:c>
      <x:c r="G555" s="30" t="str">
        <x:v>CORE</x:v>
      </x:c>
      <x:c r="H555" s="30" t="str">
        <x:v>Yes</x:v>
      </x:c>
      <x:c r="I555" s="30" t="str">
        <x:v>P-4 aligned to the normalized parent audit; legacy Evidence ID preserved.</x:v>
      </x:c>
    </x:row>
    <x:row r="556">
      <x:c r="A556" s="30" t="str">
        <x:v>EVD555</x:v>
      </x:c>
      <x:c r="B556" s="30" t="str">
        <x:v>AUD510</x:v>
      </x:c>
      <x:c r="C556" s="30" t="str">
        <x:v>Documentary and transaction evidence demonstrating: Submit periodic compliance reports to senior management.</x:v>
      </x:c>
      <x:c r="D556" s="30" t="str">
        <x:v>Record</x:v>
      </x:c>
      <x:c r="E556" s="30" t="str">
        <x:v>Yes</x:v>
      </x:c>
      <x:c r="F556" s="30" t="str">
        <x:v>Applicable statutory / operational period</x:v>
      </x:c>
      <x:c r="G556" s="30" t="str">
        <x:v>CORE</x:v>
      </x:c>
      <x:c r="H556" s="30" t="str">
        <x:v>Yes</x:v>
      </x:c>
      <x:c r="I556" s="30" t="str">
        <x:v>P-4 aligned to the normalized parent audit; legacy Evidence ID preserved.</x:v>
      </x:c>
    </x:row>
    <x:row r="557">
      <x:c r="A557" s="30" t="str">
        <x:v>EVD556</x:v>
      </x:c>
      <x:c r="B557" s="30" t="str">
        <x:v>AUD512</x:v>
      </x:c>
      <x:c r="C557" s="30" t="str">
        <x:v>Documentary and transaction evidence demonstrating: Perform periodic regulatory risk assessments and document mitigation measures.</x:v>
      </x:c>
      <x:c r="D557" s="30" t="str">
        <x:v>Record</x:v>
      </x:c>
      <x:c r="E557" s="30" t="str">
        <x:v>Yes</x:v>
      </x:c>
      <x:c r="F557" s="30" t="str">
        <x:v>Applicable statutory / operational period</x:v>
      </x:c>
      <x:c r="G557" s="30" t="str">
        <x:v>CORE</x:v>
      </x:c>
      <x:c r="H557" s="30" t="str">
        <x:v>Yes</x:v>
      </x:c>
      <x:c r="I557" s="30" t="str">
        <x:v>P-4 aligned to the normalized parent audit; legacy Evidence ID preserved.</x:v>
      </x:c>
    </x:row>
    <x:row r="558">
      <x:c r="A558" s="30" t="str">
        <x:v>EVD557</x:v>
      </x:c>
      <x:c r="B558" s="30" t="str">
        <x:v>AUD512</x:v>
      </x:c>
      <x:c r="C558" s="30" t="str">
        <x:v>Documentary and transaction evidence demonstrating: Perform periodic regulatory risk assessments and document mitigation measures.</x:v>
      </x:c>
      <x:c r="D558" s="30" t="str">
        <x:v>Record</x:v>
      </x:c>
      <x:c r="E558" s="30" t="str">
        <x:v>Yes</x:v>
      </x:c>
      <x:c r="F558" s="30" t="str">
        <x:v>Applicable statutory / operational period</x:v>
      </x:c>
      <x:c r="G558" s="30" t="str">
        <x:v>CORE</x:v>
      </x:c>
      <x:c r="H558" s="30" t="str">
        <x:v>Yes</x:v>
      </x:c>
      <x:c r="I558" s="30" t="str">
        <x:v>P-4 aligned to the normalized parent audit; legacy Evidence ID preserved.</x:v>
      </x:c>
    </x:row>
    <x:row r="559">
      <x:c r="A559" s="30" t="str">
        <x:v>EVD558</x:v>
      </x:c>
      <x:c r="B559" s="30" t="str">
        <x:v>AUD514</x:v>
      </x:c>
      <x:c r="C559" s="30" t="str">
        <x:v>Documentary and transaction evidence demonstrating: Conduct independent internal audits to evaluate regulatory compliance effectiveness.</x:v>
      </x:c>
      <x:c r="D559" s="30" t="str">
        <x:v>Record</x:v>
      </x:c>
      <x:c r="E559" s="30" t="str">
        <x:v>Yes</x:v>
      </x:c>
      <x:c r="F559" s="30" t="str">
        <x:v>Applicable statutory / operational period</x:v>
      </x:c>
      <x:c r="G559" s="30" t="str">
        <x:v>CORE</x:v>
      </x:c>
      <x:c r="H559" s="30" t="str">
        <x:v>Yes</x:v>
      </x:c>
      <x:c r="I559" s="30" t="str">
        <x:v>P-4 aligned to the normalized parent audit; legacy Evidence ID preserved.</x:v>
      </x:c>
    </x:row>
    <x:row r="560">
      <x:c r="A560" s="30" t="str">
        <x:v>EVD559</x:v>
      </x:c>
      <x:c r="B560" s="30" t="str">
        <x:v>AUD514</x:v>
      </x:c>
      <x:c r="C560" s="30" t="str">
        <x:v>Documentary and transaction evidence demonstrating: Conduct independent internal audits to evaluate regulatory compliance effectiveness.</x:v>
      </x:c>
      <x:c r="D560" s="30" t="str">
        <x:v>Record</x:v>
      </x:c>
      <x:c r="E560" s="30" t="str">
        <x:v>Yes</x:v>
      </x:c>
      <x:c r="F560" s="30" t="str">
        <x:v>Applicable statutory / operational period</x:v>
      </x:c>
      <x:c r="G560" s="30" t="str">
        <x:v>CORE</x:v>
      </x:c>
      <x:c r="H560" s="30" t="str">
        <x:v>Yes</x:v>
      </x:c>
      <x:c r="I560" s="30" t="str">
        <x:v>P-4 aligned to the normalized parent audit; legacy Evidence ID preserved.</x:v>
      </x:c>
    </x:row>
    <x:row r="561">
      <x:c r="A561" s="30" t="str">
        <x:v>EVD560</x:v>
      </x:c>
      <x:c r="B561" s="30" t="str">
        <x:v>AUD516</x:v>
      </x:c>
      <x:c r="C561" s="30" t="str">
        <x:v>Documentary and transaction evidence demonstrating: Maintain controlled regulatory documents with version control, approval history and archival records.</x:v>
      </x:c>
      <x:c r="D561" s="30" t="str">
        <x:v>Record</x:v>
      </x:c>
      <x:c r="E561" s="30" t="str">
        <x:v>Yes</x:v>
      </x:c>
      <x:c r="F561" s="30" t="str">
        <x:v>Applicable statutory / operational period</x:v>
      </x:c>
      <x:c r="G561" s="30" t="str">
        <x:v>CORE</x:v>
      </x:c>
      <x:c r="H561" s="30" t="str">
        <x:v>Yes</x:v>
      </x:c>
      <x:c r="I561" s="30" t="str">
        <x:v>P-4 aligned to the normalized parent audit; legacy Evidence ID preserved.</x:v>
      </x:c>
    </x:row>
    <x:row r="562">
      <x:c r="A562" s="30" t="str">
        <x:v>EVD561</x:v>
      </x:c>
      <x:c r="B562" s="30" t="str">
        <x:v>AUD516</x:v>
      </x:c>
      <x:c r="C562" s="30" t="str">
        <x:v>Documentary and transaction evidence demonstrating: Maintain controlled regulatory documents with version control, approval history and archival records.</x:v>
      </x:c>
      <x:c r="D562" s="30" t="str">
        <x:v>Record</x:v>
      </x:c>
      <x:c r="E562" s="30" t="str">
        <x:v>Yes</x:v>
      </x:c>
      <x:c r="F562" s="30" t="str">
        <x:v>Applicable statutory / operational period</x:v>
      </x:c>
      <x:c r="G562" s="30" t="str">
        <x:v>CORE</x:v>
      </x:c>
      <x:c r="H562" s="30" t="str">
        <x:v>Yes</x:v>
      </x:c>
      <x:c r="I562" s="30" t="str">
        <x:v>P-4 aligned to the normalized parent audit; legacy Evidence ID preserved.</x:v>
      </x:c>
    </x:row>
    <x:row r="563">
      <x:c r="A563" s="30" t="str">
        <x:v>EVD562</x:v>
      </x:c>
      <x:c r="B563" s="30" t="str">
        <x:v>AUD516</x:v>
      </x:c>
      <x:c r="C563" s="30" t="str">
        <x:v>Documentary and transaction evidence demonstrating: Maintain controlled regulatory documents with version control, approval history and archival records.</x:v>
      </x:c>
      <x:c r="D563" s="30" t="str">
        <x:v>Record</x:v>
      </x:c>
      <x:c r="E563" s="30" t="str">
        <x:v>Yes</x:v>
      </x:c>
      <x:c r="F563" s="30" t="str">
        <x:v>Applicable statutory / operational period</x:v>
      </x:c>
      <x:c r="G563" s="30" t="str">
        <x:v>CORE</x:v>
      </x:c>
      <x:c r="H563" s="30" t="str">
        <x:v>Yes</x:v>
      </x:c>
      <x:c r="I563" s="30" t="str">
        <x:v>P-4 aligned to the normalized parent audit; legacy Evidence ID preserved.</x:v>
      </x:c>
    </x:row>
    <x:row r="564">
      <x:c r="A564" s="30" t="str">
        <x:v>EVD563</x:v>
      </x:c>
      <x:c r="B564" s="30" t="str">
        <x:v>AUD519</x:v>
      </x:c>
      <x:c r="C564" s="30" t="str">
        <x:v>Documentary and transaction evidence demonstrating: Periodically review and improve the compliance management system through continual improvement initiatives.</x:v>
      </x:c>
      <x:c r="D564" s="30" t="str">
        <x:v>Record</x:v>
      </x:c>
      <x:c r="E564" s="30" t="str">
        <x:v>Yes</x:v>
      </x:c>
      <x:c r="F564" s="30" t="str">
        <x:v>Applicable statutory / operational period</x:v>
      </x:c>
      <x:c r="G564" s="30" t="str">
        <x:v>CORE</x:v>
      </x:c>
      <x:c r="H564" s="30" t="str">
        <x:v>Yes</x:v>
      </x:c>
      <x:c r="I564" s="30" t="str">
        <x:v>P-4 aligned to the normalized parent audit; legacy Evidence ID preserved.</x:v>
      </x:c>
    </x:row>
    <x:row r="565">
      <x:c r="A565" s="30" t="str">
        <x:v>EVD564</x:v>
      </x:c>
      <x:c r="B565" s="30" t="str">
        <x:v>AUD519</x:v>
      </x:c>
      <x:c r="C565" s="30" t="str">
        <x:v>Documentary and transaction evidence demonstrating: Periodically review and improve the compliance management system through continual improvement initiatives.</x:v>
      </x:c>
      <x:c r="D565" s="30" t="str">
        <x:v>Record</x:v>
      </x:c>
      <x:c r="E565" s="30" t="str">
        <x:v>Yes</x:v>
      </x:c>
      <x:c r="F565" s="30" t="str">
        <x:v>Applicable statutory / operational period</x:v>
      </x:c>
      <x:c r="G565" s="30" t="str">
        <x:v>CORE</x:v>
      </x:c>
      <x:c r="H565" s="30" t="str">
        <x:v>Yes</x:v>
      </x:c>
      <x:c r="I565" s="30" t="str">
        <x:v>P-4 aligned to the normalized parent audit; legacy Evidence ID preserved.</x:v>
      </x:c>
    </x:row>
    <x:row r="566">
      <x:c r="A566" s="30" t="str">
        <x:v>EVD565</x:v>
      </x:c>
      <x:c r="B566" s="30" t="str">
        <x:v>AUD519</x:v>
      </x:c>
      <x:c r="C566" s="30" t="str">
        <x:v>Documentary and transaction evidence demonstrating: Periodically review and improve the compliance management system through continual improvement initiatives.</x:v>
      </x:c>
      <x:c r="D566" s="30" t="str">
        <x:v>Record</x:v>
      </x:c>
      <x:c r="E566" s="30" t="str">
        <x:v>Yes</x:v>
      </x:c>
      <x:c r="F566" s="30" t="str">
        <x:v>Applicable statutory / operational period</x:v>
      </x:c>
      <x:c r="G566" s="30" t="str">
        <x:v>CORE</x:v>
      </x:c>
      <x:c r="H566" s="30" t="str">
        <x:v>Yes</x:v>
      </x:c>
      <x:c r="I566" s="30" t="str">
        <x:v>P-4 aligned to the normalized parent audit; legacy Evidence ID preserved.</x:v>
      </x:c>
    </x:row>
    <x:row r="567">
      <x:c r="A567" s="30" t="str">
        <x:v>EVD566</x:v>
      </x:c>
      <x:c r="B567" s="30" t="str">
        <x:v>AUD519</x:v>
      </x:c>
      <x:c r="C567" s="30" t="str">
        <x:v>Documentary and transaction evidence demonstrating: Periodically review and improve the compliance management system through continual improvement initiatives.</x:v>
      </x:c>
      <x:c r="D567" s="30" t="str">
        <x:v>Record</x:v>
      </x:c>
      <x:c r="E567" s="30" t="str">
        <x:v>Yes</x:v>
      </x:c>
      <x:c r="F567" s="30" t="str">
        <x:v>Applicable statutory / operational period</x:v>
      </x:c>
      <x:c r="G567" s="30" t="str">
        <x:v>CORE</x:v>
      </x:c>
      <x:c r="H567" s="30" t="str">
        <x:v>Yes</x:v>
      </x:c>
      <x:c r="I567" s="30" t="str">
        <x:v>P-4 aligned to the normalized parent audit; legacy Evidence ID preserved.</x:v>
      </x:c>
    </x:row>
    <x:row r="568">
      <x:c r="A568" s="30" t="str">
        <x:v>EVD567</x:v>
      </x:c>
      <x:c r="B568" s="30" t="str">
        <x:v>AUD519</x:v>
      </x:c>
      <x:c r="C568" s="30" t="str">
        <x:v>Documentary and transaction evidence demonstrating: Periodically review and improve the compliance management system through continual improvement initiatives.</x:v>
      </x:c>
      <x:c r="D568" s="30" t="str">
        <x:v>Record</x:v>
      </x:c>
      <x:c r="E568" s="30" t="str">
        <x:v>Yes</x:v>
      </x:c>
      <x:c r="F568" s="30" t="str">
        <x:v>Applicable statutory / operational period</x:v>
      </x:c>
      <x:c r="G568" s="30" t="str">
        <x:v>CORE</x:v>
      </x:c>
      <x:c r="H568" s="30" t="str">
        <x:v>Yes</x:v>
      </x:c>
      <x:c r="I568" s="30" t="str">
        <x:v>P-4 aligned to the normalized parent audit; legacy Evidence ID preserved.</x:v>
      </x:c>
    </x:row>
    <x:row r="569">
      <x:c r="A569" s="30" t="str">
        <x:v>EVD568</x:v>
      </x:c>
      <x:c r="B569" s="30" t="str">
        <x:v>AUD519</x:v>
      </x:c>
      <x:c r="C569" s="30" t="str">
        <x:v>Documentary and transaction evidence demonstrating: Periodically review and improve the compliance management system through continual improvement initiatives.</x:v>
      </x:c>
      <x:c r="D569" s="30" t="str">
        <x:v>Record</x:v>
      </x:c>
      <x:c r="E569" s="30" t="str">
        <x:v>Yes</x:v>
      </x:c>
      <x:c r="F569" s="30" t="str">
        <x:v>Applicable statutory / operational period</x:v>
      </x:c>
      <x:c r="G569" s="30" t="str">
        <x:v>CORE</x:v>
      </x:c>
      <x:c r="H569" s="30" t="str">
        <x:v>Yes</x:v>
      </x:c>
      <x:c r="I569" s="30" t="str">
        <x:v>P-4 aligned to the normalized parent audit; legacy Evidence ID preserved.</x:v>
      </x:c>
    </x:row>
    <x:row r="570">
      <x:c r="A570" s="30" t="str">
        <x:v>EVD569</x:v>
      </x:c>
      <x:c r="B570" s="30" t="str">
        <x:v>AUD519</x:v>
      </x:c>
      <x:c r="C570" s="30" t="str">
        <x:v>Documentary and transaction evidence demonstrating: Periodically review and improve the compliance management system through continual improvement initiatives.</x:v>
      </x:c>
      <x:c r="D570" s="30" t="str">
        <x:v>Record</x:v>
      </x:c>
      <x:c r="E570" s="30" t="str">
        <x:v>Yes</x:v>
      </x:c>
      <x:c r="F570" s="30" t="str">
        <x:v>Applicable statutory / operational period</x:v>
      </x:c>
      <x:c r="G570" s="30" t="str">
        <x:v>CORE</x:v>
      </x:c>
      <x:c r="H570" s="30" t="str">
        <x:v>Yes</x:v>
      </x:c>
      <x:c r="I570" s="30" t="str">
        <x:v>P-4 aligned to the normalized parent audit; legacy Evidence ID preserved.</x:v>
      </x:c>
    </x:row>
    <x:row r="571">
      <x:c r="A571" s="30" t="str">
        <x:v>EVD570</x:v>
      </x:c>
      <x:c r="B571" s="30" t="str">
        <x:v>AUD519</x:v>
      </x:c>
      <x:c r="C571" s="30" t="str">
        <x:v>Documentary and transaction evidence demonstrating: Periodically review and improve the compliance management system through continual improvement initiatives.</x:v>
      </x:c>
      <x:c r="D571" s="30" t="str">
        <x:v>Record</x:v>
      </x:c>
      <x:c r="E571" s="30" t="str">
        <x:v>Yes</x:v>
      </x:c>
      <x:c r="F571" s="30" t="str">
        <x:v>Applicable statutory / operational period</x:v>
      </x:c>
      <x:c r="G571" s="30" t="str">
        <x:v>CORE</x:v>
      </x:c>
      <x:c r="H571" s="30" t="str">
        <x:v>Yes</x:v>
      </x:c>
      <x:c r="I571" s="30" t="str">
        <x:v>P-4 aligned to the normalized parent audit; legacy Evidence ID preserved.</x:v>
      </x:c>
    </x:row>
    <x:row r="572">
      <x:c r="A572" s="30" t="str">
        <x:v>REVID001</x:v>
      </x:c>
      <x:c r="B572" s="30" t="str">
        <x:v>RAUD001</x:v>
      </x:c>
      <x:c r="C572" s="30" t="str">
        <x:v>Home delivery register, pharmacist authorization, prescription copy, delivery acknowledgement, proof of delivery</x:v>
      </x:c>
      <x:c r="D572" s="30" t="str">
        <x:v>Prescription</x:v>
      </x:c>
      <x:c r="E572" s="30" t="str">
        <x:v>Yes</x:v>
      </x:c>
      <x:c r="F572" s="30" t="str">
        <x:v>Long Term</x:v>
      </x:c>
      <x:c r="G572" s="30" t="str">
        <x:v>RETAIL</x:v>
      </x:c>
      <x:c r="H572" s="30" t="str">
        <x:v>Yes</x:v>
      </x:c>
      <x:c r="I572" s="30" t="str">
        <x:v>Transaction Verification</x:v>
      </x:c>
    </x:row>
    <x:row r="573">
      <x:c r="A573" s="30" t="str">
        <x:v>REVID002</x:v>
      </x:c>
      <x:c r="B573" s="30" t="str">
        <x:v>RAUD002</x:v>
      </x:c>
      <x:c r="C573" s="30" t="str">
        <x:v>Customer identity verification register, government ID verification record, collection acknowledgement</x:v>
      </x:c>
      <x:c r="D573" s="30" t="str">
        <x:v>Register</x:v>
      </x:c>
      <x:c r="E573" s="30" t="str">
        <x:v>Yes</x:v>
      </x:c>
      <x:c r="F573" s="30" t="str">
        <x:v>Long Term</x:v>
      </x:c>
      <x:c r="G573" s="30" t="str">
        <x:v>RETAIL</x:v>
      </x:c>
      <x:c r="H573" s="30" t="str">
        <x:v>Yes</x:v>
      </x:c>
      <x:c r="I573" s="30" t="str">
        <x:v>Document Verification</x:v>
      </x:c>
    </x:row>
    <x:row r="574">
      <x:c r="A574" s="30" t="str">
        <x:v>REVID003</x:v>
      </x:c>
      <x:c r="B574" s="30" t="str">
        <x:v>RAUD003</x:v>
      </x:c>
      <x:c r="C574" s="30" t="str">
        <x:v>Shelf access inspection report, restricted medicine access checklist, CCTV verification report</x:v>
      </x:c>
      <x:c r="D574" s="30" t="str">
        <x:v>Inspection Report</x:v>
      </x:c>
      <x:c r="E574" s="30" t="str">
        <x:v>Yes</x:v>
      </x:c>
      <x:c r="F574" s="30" t="str">
        <x:v>Statutory</x:v>
      </x:c>
      <x:c r="G574" s="30" t="str">
        <x:v>RETAIL</x:v>
      </x:c>
      <x:c r="H574" s="30" t="str">
        <x:v>Yes</x:v>
      </x:c>
      <x:c r="I574" s="30" t="str">
        <x:v>Physical Verification</x:v>
      </x:c>
    </x:row>
    <x:row r="575">
      <x:c r="A575" s="30" t="str">
        <x:v>REVID004</x:v>
      </x:c>
      <x:c r="B575" s="30" t="str">
        <x:v>RAUD004</x:v>
      </x:c>
      <x:c r="C575" s="30" t="str">
        <x:v>Statutory display checklist, pharmacy licence display photograph, pharmacist registration display, inspection records</x:v>
      </x:c>
      <x:c r="D575" s="30" t="str">
        <x:v>License</x:v>
      </x:c>
      <x:c r="E575" s="30" t="str">
        <x:v>Yes</x:v>
      </x:c>
      <x:c r="F575" s="30" t="str">
        <x:v>Permanent</x:v>
      </x:c>
      <x:c r="G575" s="30" t="str">
        <x:v>RETAIL</x:v>
      </x:c>
      <x:c r="H575" s="30" t="str">
        <x:v>Yes</x:v>
      </x:c>
      <x:c r="I575" s="30" t="str">
        <x:v>Visual Inspection</x:v>
      </x:c>
    </x:row>
    <x:row r="576">
      <x:c r="A576" s="30" t="str">
        <x:v>REVID005</x:v>
      </x:c>
      <x:c r="B576" s="30" t="str">
        <x:v>RAUD005</x:v>
      </x:c>
      <x:c r="C576" s="30" t="str">
        <x:v>Billing reports, dispensing register, inventory movement report, reconciliation worksheet</x:v>
      </x:c>
      <x:c r="D576" s="30" t="str">
        <x:v>Invoice</x:v>
      </x:c>
      <x:c r="E576" s="30" t="str">
        <x:v>Yes</x:v>
      </x:c>
      <x:c r="F576" s="30" t="str">
        <x:v>Transactional</x:v>
      </x:c>
      <x:c r="G576" s="30" t="str">
        <x:v>RETAIL</x:v>
      </x:c>
      <x:c r="H576" s="30" t="str">
        <x:v>Yes</x:v>
      </x:c>
      <x:c r="I576" s="30" t="str">
        <x:v>Reconciliation Audit</x:v>
      </x:c>
    </x:row>
    <x:row r="577">
      <x:c r="A577" s="30" t="str">
        <x:v>REVID006</x:v>
      </x:c>
      <x:c r="B577" s="30" t="str">
        <x:v>RAUD006</x:v>
      </x:c>
      <x:c r="C577" s="30" t="str">
        <x:v>Reserved medicine register, customer reservation log, inventory reservation report</x:v>
      </x:c>
      <x:c r="D577" s="30" t="str">
        <x:v>Log Book</x:v>
      </x:c>
      <x:c r="E577" s="30" t="str">
        <x:v>Yes</x:v>
      </x:c>
      <x:c r="F577" s="30" t="str">
        <x:v>Long Term</x:v>
      </x:c>
      <x:c r="G577" s="30" t="str">
        <x:v>RETAIL</x:v>
      </x:c>
      <x:c r="H577" s="30" t="str">
        <x:v>Yes</x:v>
      </x:c>
      <x:c r="I577" s="30" t="str">
        <x:v>Inventory Verification</x:v>
      </x:c>
    </x:row>
    <x:row r="578">
      <x:c r="A578" s="30" t="str">
        <x:v>REVID007</x:v>
      </x:c>
      <x:c r="B578" s="30" t="str">
        <x:v>RAUD007</x:v>
      </x:c>
      <x:c r="C578" s="30" t="str">
        <x:v>Daily pharmacy opening checklist, supervisor sign-off, deviation register</x:v>
      </x:c>
      <x:c r="D578" s="30" t="str">
        <x:v>Register</x:v>
      </x:c>
      <x:c r="E578" s="30" t="str">
        <x:v>Yes</x:v>
      </x:c>
      <x:c r="F578" s="30" t="str">
        <x:v>Statutory</x:v>
      </x:c>
      <x:c r="G578" s="30" t="str">
        <x:v>RETAIL</x:v>
      </x:c>
      <x:c r="H578" s="30" t="str">
        <x:v>Yes</x:v>
      </x:c>
      <x:c r="I578" s="30" t="str">
        <x:v>Operational Audit</x:v>
      </x:c>
    </x:row>
    <x:row r="579">
      <x:c r="A579" s="30" t="str">
        <x:v>REVID008</x:v>
      </x:c>
      <x:c r="B579" s="30" t="str">
        <x:v>RAUD008</x:v>
      </x:c>
      <x:c r="C579" s="30" t="str">
        <x:v>Pharmacy licence display photograph, pharmacist duty board, mandatory notice verification checklist</x:v>
      </x:c>
      <x:c r="D579" s="30" t="str">
        <x:v>License</x:v>
      </x:c>
      <x:c r="E579" s="30" t="str">
        <x:v>Yes</x:v>
      </x:c>
      <x:c r="F579" s="30" t="str">
        <x:v>Permanent</x:v>
      </x:c>
      <x:c r="G579" s="30" t="str">
        <x:v>RETAIL</x:v>
      </x:c>
      <x:c r="H579" s="30" t="str">
        <x:v>Yes</x:v>
      </x:c>
      <x:c r="I579" s="30" t="str">
        <x:v>Compliance Inspection</x:v>
      </x:c>
    </x:row>
    <x:row r="580">
      <x:c r="A580" s="30" t="str">
        <x:v>REVID009</x:v>
      </x:c>
      <x:c r="B580" s="30" t="str">
        <x:v>RAUD009</x:v>
      </x:c>
      <x:c r="C580" s="30" t="str">
        <x:v>Returned medicines register, segregation records, disposal authorization, destruction certificate</x:v>
      </x:c>
      <x:c r="D580" s="30" t="str">
        <x:v>Certificate</x:v>
      </x:c>
      <x:c r="E580" s="30" t="str">
        <x:v>Yes</x:v>
      </x:c>
      <x:c r="F580" s="30" t="str">
        <x:v>Permanent</x:v>
      </x:c>
      <x:c r="G580" s="30" t="str">
        <x:v>RETAIL</x:v>
      </x:c>
      <x:c r="H580" s="30" t="str">
        <x:v>Yes</x:v>
      </x:c>
      <x:c r="I580" s="30" t="str">
        <x:v>Document Verification</x:v>
      </x:c>
    </x:row>
    <x:row r="581">
      <x:c r="A581" s="30" t="str">
        <x:v>REVID010</x:v>
      </x:c>
      <x:c r="B581" s="30" t="str">
        <x:v>RAUD010</x:v>
      </x:c>
      <x:c r="C581" s="30" t="str">
        <x:v>Patient counselling register, counselling acknowledgement, pharmacist notes</x:v>
      </x:c>
      <x:c r="D581" s="30" t="str">
        <x:v>Register</x:v>
      </x:c>
      <x:c r="E581" s="30" t="str">
        <x:v>Yes</x:v>
      </x:c>
      <x:c r="F581" s="30" t="str">
        <x:v>Long Term</x:v>
      </x:c>
      <x:c r="G581" s="30" t="str">
        <x:v>RETAIL</x:v>
      </x:c>
      <x:c r="H581" s="30" t="str">
        <x:v>Yes</x:v>
      </x:c>
      <x:c r="I581" s="30" t="str">
        <x:v>Clinical Audit</x:v>
      </x:c>
    </x:row>
    <x:row r="582">
      <x:c r="A582" s="30" t="str">
        <x:v>REVID011</x:v>
      </x:c>
      <x:c r="B582" s="30" t="str">
        <x:v>RAUD011</x:v>
      </x:c>
      <x:c r="C582" s="30" t="str">
        <x:v>Prescription authenticity verification checklist, prescriber confirmation record, pharmacist approval</x:v>
      </x:c>
      <x:c r="D582" s="30" t="str">
        <x:v>Prescription</x:v>
      </x:c>
      <x:c r="E582" s="30" t="str">
        <x:v>Yes</x:v>
      </x:c>
      <x:c r="F582" s="30" t="str">
        <x:v>Long Term</x:v>
      </x:c>
      <x:c r="G582" s="30" t="str">
        <x:v>RETAIL</x:v>
      </x:c>
      <x:c r="H582" s="30" t="str">
        <x:v>Yes</x:v>
      </x:c>
      <x:c r="I582" s="30" t="str">
        <x:v>Clinical Verification</x:v>
      </x:c>
    </x:row>
    <x:row r="583">
      <x:c r="A583" s="30" t="str">
        <x:v>REVID012</x:v>
      </x:c>
      <x:c r="B583" s="30" t="str">
        <x:v>RAUD012</x:v>
      </x:c>
      <x:c r="C583" s="30" t="str">
        <x:v>Pharmacist attendance register, duty roster, biometric attendance report</x:v>
      </x:c>
      <x:c r="D583" s="30" t="str">
        <x:v>Report</x:v>
      </x:c>
      <x:c r="E583" s="30" t="str">
        <x:v>Yes</x:v>
      </x:c>
      <x:c r="F583" s="30" t="str">
        <x:v>Long Term</x:v>
      </x:c>
      <x:c r="G583" s="30" t="str">
        <x:v>RETAIL</x:v>
      </x:c>
      <x:c r="H583" s="30" t="str">
        <x:v>Yes</x:v>
      </x:c>
      <x:c r="I583" s="30" t="str">
        <x:v>HR Audit</x:v>
      </x:c>
    </x:row>
    <x:row r="584">
      <x:c r="A584" s="30" t="str">
        <x:v>REVID013</x:v>
      </x:c>
      <x:c r="B584" s="30" t="str">
        <x:v>RAUD013</x:v>
      </x:c>
      <x:c r="C584" s="30" t="str">
        <x:v>Electronic prescription archive, audit logs, backup verification report</x:v>
      </x:c>
      <x:c r="D584" s="30" t="str">
        <x:v>Log Book</x:v>
      </x:c>
      <x:c r="E584" s="30" t="str">
        <x:v>Yes</x:v>
      </x:c>
      <x:c r="F584" s="30" t="str">
        <x:v>Operational</x:v>
      </x:c>
      <x:c r="G584" s="30" t="str">
        <x:v>RETAIL</x:v>
      </x:c>
      <x:c r="H584" s="30" t="str">
        <x:v>Yes</x:v>
      </x:c>
      <x:c r="I584" s="30" t="str">
        <x:v>IT Audit</x:v>
      </x:c>
    </x:row>
    <x:row r="585">
      <x:c r="A585" s="30" t="str">
        <x:v>REVID014</x:v>
      </x:c>
      <x:c r="B585" s="30" t="str">
        <x:v>RAUD014</x:v>
      </x:c>
      <x:c r="C585" s="30" t="str">
        <x:v>Temperature logs, refrigerator monitoring reports, calibration certificates, excursion reports</x:v>
      </x:c>
      <x:c r="D585" s="30" t="str">
        <x:v>Certificate</x:v>
      </x:c>
      <x:c r="E585" s="30" t="str">
        <x:v>Yes</x:v>
      </x:c>
      <x:c r="F585" s="30" t="str">
        <x:v>Permanent</x:v>
      </x:c>
      <x:c r="G585" s="30" t="str">
        <x:v>RETAIL</x:v>
      </x:c>
      <x:c r="H585" s="30" t="str">
        <x:v>Yes</x:v>
      </x:c>
      <x:c r="I585" s="30" t="str">
        <x:v>Cold Chain Audit</x:v>
      </x:c>
    </x:row>
    <x:row r="586">
      <x:c r="A586" s="30" t="str">
        <x:v>REVID015</x:v>
      </x:c>
      <x:c r="B586" s="30" t="str">
        <x:v>RAUD015</x:v>
      </x:c>
      <x:c r="C586" s="30" t="str">
        <x:v>Dispensing register, batch number records, expiry verification report</x:v>
      </x:c>
      <x:c r="D586" s="30" t="str">
        <x:v>Report</x:v>
      </x:c>
      <x:c r="E586" s="30" t="str">
        <x:v>Yes</x:v>
      </x:c>
      <x:c r="F586" s="30" t="str">
        <x:v>Long Term</x:v>
      </x:c>
      <x:c r="G586" s="30" t="str">
        <x:v>RETAIL</x:v>
      </x:c>
      <x:c r="H586" s="30" t="str">
        <x:v>Yes</x:v>
      </x:c>
      <x:c r="I586" s="30" t="str">
        <x:v>Transaction Verification</x:v>
      </x:c>
    </x:row>
    <x:row r="587">
      <x:c r="A587" s="30" t="str">
        <x:v>REVID016</x:v>
      </x:c>
      <x:c r="B587" s="30" t="str">
        <x:v>RAUD016</x:v>
      </x:c>
      <x:c r="C587" s="30" t="str">
        <x:v>Customer complaint board inspection, statutory information display checklist</x:v>
      </x:c>
      <x:c r="D587" s="30" t="str">
        <x:v>Inspection Report</x:v>
      </x:c>
      <x:c r="E587" s="30" t="str">
        <x:v>Yes</x:v>
      </x:c>
      <x:c r="F587" s="30" t="str">
        <x:v>Statutory</x:v>
      </x:c>
      <x:c r="G587" s="30" t="str">
        <x:v>RETAIL</x:v>
      </x:c>
      <x:c r="H587" s="30" t="str">
        <x:v>Yes</x:v>
      </x:c>
      <x:c r="I587" s="30" t="str">
        <x:v>Visual Inspection</x:v>
      </x:c>
    </x:row>
    <x:row r="588">
      <x:c r="A588" s="30" t="str">
        <x:v>REVID017</x:v>
      </x:c>
      <x:c r="B588" s="30" t="str">
        <x:v>RAUD017</x:v>
      </x:c>
      <x:c r="C588" s="30" t="str">
        <x:v>High-risk medicine access log, restricted cabinet register, key control register</x:v>
      </x:c>
      <x:c r="D588" s="30" t="str">
        <x:v>Log Book</x:v>
      </x:c>
      <x:c r="E588" s="30" t="str">
        <x:v>Yes</x:v>
      </x:c>
      <x:c r="F588" s="30" t="str">
        <x:v>Operational</x:v>
      </x:c>
      <x:c r="G588" s="30" t="str">
        <x:v>RETAIL</x:v>
      </x:c>
      <x:c r="H588" s="30" t="str">
        <x:v>Yes</x:v>
      </x:c>
      <x:c r="I588" s="30" t="str">
        <x:v>Security Audit</x:v>
      </x:c>
    </x:row>
    <x:row r="589">
      <x:c r="A589" s="30" t="str">
        <x:v>REVID018</x:v>
      </x:c>
      <x:c r="B589" s="30" t="str">
        <x:v>RAUD018</x:v>
      </x:c>
      <x:c r="C589" s="30" t="str">
        <x:v>Promotional material approval, compliance review checklist, marketing authorization</x:v>
      </x:c>
      <x:c r="D589" s="30" t="str">
        <x:v>Approval</x:v>
      </x:c>
      <x:c r="E589" s="30" t="str">
        <x:v>Yes</x:v>
      </x:c>
      <x:c r="F589" s="30" t="str">
        <x:v>Permanent</x:v>
      </x:c>
      <x:c r="G589" s="30" t="str">
        <x:v>RETAIL</x:v>
      </x:c>
      <x:c r="H589" s="30" t="str">
        <x:v>Yes</x:v>
      </x:c>
      <x:c r="I589" s="30" t="str">
        <x:v>Documentation Review</x:v>
      </x:c>
    </x:row>
    <x:row r="590">
      <x:c r="A590" s="30" t="str">
        <x:v>REVID019</x:v>
      </x:c>
      <x:c r="B590" s="30" t="str">
        <x:v>RAUD019</x:v>
      </x:c>
      <x:c r="C590" s="30" t="str">
        <x:v>Controlled medicine stock register, physical stock count sheets, variance investigation report</x:v>
      </x:c>
      <x:c r="D590" s="30" t="str">
        <x:v>Inventory Record</x:v>
      </x:c>
      <x:c r="E590" s="30" t="str">
        <x:v>Yes</x:v>
      </x:c>
      <x:c r="F590" s="30" t="str">
        <x:v>Operational</x:v>
      </x:c>
      <x:c r="G590" s="30" t="str">
        <x:v>RETAIL</x:v>
      </x:c>
      <x:c r="H590" s="30" t="str">
        <x:v>Yes</x:v>
      </x:c>
      <x:c r="I590" s="30" t="str">
        <x:v>Stock Verification</x:v>
      </x:c>
    </x:row>
    <x:row r="591">
      <x:c r="A591" s="30" t="str">
        <x:v>REVID020</x:v>
      </x:c>
      <x:c r="B591" s="30" t="str">
        <x:v>RAUD020</x:v>
      </x:c>
      <x:c r="C591" s="30" t="str">
        <x:v>User access review reports, system access logs, role assignment register, deactivation records</x:v>
      </x:c>
      <x:c r="D591" s="30" t="str">
        <x:v>Log Book</x:v>
      </x:c>
      <x:c r="E591" s="30" t="str">
        <x:v>Yes</x:v>
      </x:c>
      <x:c r="F591" s="30" t="str">
        <x:v>Operational</x:v>
      </x:c>
      <x:c r="G591" s="30" t="str">
        <x:v>RETAIL</x:v>
      </x:c>
      <x:c r="H591" s="30" t="str">
        <x:v>Yes</x:v>
      </x:c>
      <x:c r="I591" s="30" t="str">
        <x:v>IT Security Audit</x:v>
      </x:c>
    </x:row>
    <x:row r="592">
      <x:c r="A592" s="30" t="str">
        <x:v>REVID021</x:v>
      </x:c>
      <x:c r="B592" s="30" t="str">
        <x:v>RAUD021</x:v>
      </x:c>
      <x:c r="C592" s="30" t="str">
        <x:v>LASA medicine register, warning label verification checklist, storage inspection records</x:v>
      </x:c>
      <x:c r="D592" s="30" t="str">
        <x:v>Inspection Report</x:v>
      </x:c>
      <x:c r="E592" s="30" t="str">
        <x:v>Yes</x:v>
      </x:c>
      <x:c r="F592" s="30" t="str">
        <x:v>Long Term</x:v>
      </x:c>
      <x:c r="G592" s="30" t="str">
        <x:v>RETAIL</x:v>
      </x:c>
      <x:c r="H592" s="30" t="str">
        <x:v>Yes</x:v>
      </x:c>
      <x:c r="I592" s="30" t="str">
        <x:v>Record Review &amp; Physical Verification</x:v>
      </x:c>
    </x:row>
    <x:row r="593">
      <x:c r="A593" s="30" t="str">
        <x:v>REVID022</x:v>
      </x:c>
      <x:c r="B593" s="30" t="str">
        <x:v>RAUD022</x:v>
      </x:c>
      <x:c r="C593" s="30" t="str">
        <x:v>Near-expiry inventory report, FEFO implementation records, stock rotation log</x:v>
      </x:c>
      <x:c r="D593" s="30" t="str">
        <x:v>Log Book</x:v>
      </x:c>
      <x:c r="E593" s="30" t="str">
        <x:v>Yes</x:v>
      </x:c>
      <x:c r="F593" s="30" t="str">
        <x:v>Long Term</x:v>
      </x:c>
      <x:c r="G593" s="30" t="str">
        <x:v>RETAIL</x:v>
      </x:c>
      <x:c r="H593" s="30" t="str">
        <x:v>Yes</x:v>
      </x:c>
      <x:c r="I593" s="30" t="str">
        <x:v>Inventory Verification</x:v>
      </x:c>
    </x:row>
    <x:row r="594">
      <x:c r="A594" s="30" t="str">
        <x:v>REVID023</x:v>
      </x:c>
      <x:c r="B594" s="30" t="str">
        <x:v>RAUD023</x:v>
      </x:c>
      <x:c r="C594" s="30" t="str">
        <x:v>Customer identity verification documents, authorization log, pharmacist verification record</x:v>
      </x:c>
      <x:c r="D594" s="30" t="str">
        <x:v>Log Book</x:v>
      </x:c>
      <x:c r="E594" s="30" t="str">
        <x:v>Yes</x:v>
      </x:c>
      <x:c r="F594" s="30" t="str">
        <x:v>Long Term</x:v>
      </x:c>
      <x:c r="G594" s="30" t="str">
        <x:v>RETAIL</x:v>
      </x:c>
      <x:c r="H594" s="30" t="str">
        <x:v>Yes</x:v>
      </x:c>
      <x:c r="I594" s="30" t="str">
        <x:v>Sample Verification</x:v>
      </x:c>
    </x:row>
    <x:row r="595">
      <x:c r="A595" s="30" t="str">
        <x:v>REVID024</x:v>
      </x:c>
      <x:c r="B595" s="30" t="str">
        <x:v>RAUD024</x:v>
      </x:c>
      <x:c r="C595" s="30" t="str">
        <x:v>Pharmacy opening checklist, supervisor approval, readiness inspection report</x:v>
      </x:c>
      <x:c r="D595" s="30" t="str">
        <x:v>Approval</x:v>
      </x:c>
      <x:c r="E595" s="30" t="str">
        <x:v>Yes</x:v>
      </x:c>
      <x:c r="F595" s="30" t="str">
        <x:v>Permanent</x:v>
      </x:c>
      <x:c r="G595" s="30" t="str">
        <x:v>RETAIL</x:v>
      </x:c>
      <x:c r="H595" s="30" t="str">
        <x:v>Yes</x:v>
      </x:c>
      <x:c r="I595" s="30" t="str">
        <x:v>Checklist Review</x:v>
      </x:c>
    </x:row>
    <x:row r="596">
      <x:c r="A596" s="30" t="str">
        <x:v>REVID025</x:v>
      </x:c>
      <x:c r="B596" s="30" t="str">
        <x:v>RAUD025</x:v>
      </x:c>
      <x:c r="C596" s="30" t="str">
        <x:v>Recall register, customer notification records, recovered stock reconciliation</x:v>
      </x:c>
      <x:c r="D596" s="30" t="str">
        <x:v>Inventory Record</x:v>
      </x:c>
      <x:c r="E596" s="30" t="str">
        <x:v>Yes</x:v>
      </x:c>
      <x:c r="F596" s="30" t="str">
        <x:v>Operational</x:v>
      </x:c>
      <x:c r="G596" s="30" t="str">
        <x:v>RETAIL</x:v>
      </x:c>
      <x:c r="H596" s="30" t="str">
        <x:v>Yes</x:v>
      </x:c>
      <x:c r="I596" s="30" t="str">
        <x:v>Traceability Verification</x:v>
      </x:c>
    </x:row>
    <x:row r="597">
      <x:c r="A597" s="30" t="str">
        <x:v>REVID026</x:v>
      </x:c>
      <x:c r="B597" s="30" t="str">
        <x:v>RAUD026</x:v>
      </x:c>
      <x:c r="C597" s="30" t="str">
        <x:v>Electronic dispensing audit logs, user activity reports, approval history</x:v>
      </x:c>
      <x:c r="D597" s="30" t="str">
        <x:v>Log Book</x:v>
      </x:c>
      <x:c r="E597" s="30" t="str">
        <x:v>Yes</x:v>
      </x:c>
      <x:c r="F597" s="30" t="str">
        <x:v>Operational</x:v>
      </x:c>
      <x:c r="G597" s="30" t="str">
        <x:v>RETAIL</x:v>
      </x:c>
      <x:c r="H597" s="30" t="str">
        <x:v>Yes</x:v>
      </x:c>
      <x:c r="I597" s="30" t="str">
        <x:v>IT Audit</x:v>
      </x:c>
    </x:row>
    <x:row r="598">
      <x:c r="A598" s="30" t="str">
        <x:v>REVID027</x:v>
      </x:c>
      <x:c r="B598" s="30" t="str">
        <x:v>RAUD027</x:v>
      </x:c>
      <x:c r="C598" s="30" t="str">
        <x:v>Segregation register, warehouse inspection report, quarantine records</x:v>
      </x:c>
      <x:c r="D598" s="30" t="str">
        <x:v>Inspection Report</x:v>
      </x:c>
      <x:c r="E598" s="30" t="str">
        <x:v>Yes</x:v>
      </x:c>
      <x:c r="F598" s="30" t="str">
        <x:v>Long Term</x:v>
      </x:c>
      <x:c r="G598" s="30" t="str">
        <x:v>RETAIL</x:v>
      </x:c>
      <x:c r="H598" s="30" t="str">
        <x:v>Yes</x:v>
      </x:c>
      <x:c r="I598" s="30" t="str">
        <x:v>Physical Inspection</x:v>
      </x:c>
    </x:row>
    <x:row r="599">
      <x:c r="A599" s="30" t="str">
        <x:v>REVID028</x:v>
      </x:c>
      <x:c r="B599" s="30" t="str">
        <x:v>RAUD028</x:v>
      </x:c>
      <x:c r="C599" s="30" t="str">
        <x:v>CCTV access logs, maintenance records, video retention register</x:v>
      </x:c>
      <x:c r="D599" s="30" t="str">
        <x:v>Log Book</x:v>
      </x:c>
      <x:c r="E599" s="30" t="str">
        <x:v>Yes</x:v>
      </x:c>
      <x:c r="F599" s="30" t="str">
        <x:v>Operational</x:v>
      </x:c>
      <x:c r="G599" s="30" t="str">
        <x:v>RETAIL</x:v>
      </x:c>
      <x:c r="H599" s="30" t="str">
        <x:v>Yes</x:v>
      </x:c>
      <x:c r="I599" s="30" t="str">
        <x:v>Security Audit</x:v>
      </x:c>
    </x:row>
    <x:row r="600">
      <x:c r="A600" s="30" t="str">
        <x:v>REVID029</x:v>
      </x:c>
      <x:c r="B600" s="30" t="str">
        <x:v>RAUD029</x:v>
      </x:c>
      <x:c r="C600" s="30" t="str">
        <x:v>Pharmacist intervention register, prescription clarification records</x:v>
      </x:c>
      <x:c r="D600" s="30" t="str">
        <x:v>Prescription</x:v>
      </x:c>
      <x:c r="E600" s="30" t="str">
        <x:v>Yes</x:v>
      </x:c>
      <x:c r="F600" s="30" t="str">
        <x:v>Long Term</x:v>
      </x:c>
      <x:c r="G600" s="30" t="str">
        <x:v>RETAIL</x:v>
      </x:c>
      <x:c r="H600" s="30" t="str">
        <x:v>Yes</x:v>
      </x:c>
      <x:c r="I600" s="30" t="str">
        <x:v>Clinical Review</x:v>
      </x:c>
    </x:row>
    <x:row r="601">
      <x:c r="A601" s="30" t="str">
        <x:v>REVID030</x:v>
      </x:c>
      <x:c r="B601" s="30" t="str">
        <x:v>RAUD030</x:v>
      </x:c>
      <x:c r="C601" s="30" t="str">
        <x:v>Pharmacy closing checklist, backup confirmation, cash reconciliation report</x:v>
      </x:c>
      <x:c r="D601" s="30" t="str">
        <x:v>Report</x:v>
      </x:c>
      <x:c r="E601" s="30" t="str">
        <x:v>Yes</x:v>
      </x:c>
      <x:c r="F601" s="30" t="str">
        <x:v>Operational</x:v>
      </x:c>
      <x:c r="G601" s="30" t="str">
        <x:v>RETAIL</x:v>
      </x:c>
      <x:c r="H601" s="30" t="str">
        <x:v>Yes</x:v>
      </x:c>
      <x:c r="I601" s="30" t="str">
        <x:v>Operational Audit</x:v>
      </x:c>
    </x:row>
    <x:row r="602">
      <x:c r="A602" s="30" t="str">
        <x:v>REVID031</x:v>
      </x:c>
      <x:c r="B602" s="30" t="str">
        <x:v>RAUD031</x:v>
      </x:c>
      <x:c r="C602" s="30" t="str">
        <x:v>Narcotic prescription register, statutory controlled drug register, stock reconciliation</x:v>
      </x:c>
      <x:c r="D602" s="30" t="str">
        <x:v>Prescription</x:v>
      </x:c>
      <x:c r="E602" s="30" t="str">
        <x:v>Yes</x:v>
      </x:c>
      <x:c r="F602" s="30" t="str">
        <x:v>Statutory</x:v>
      </x:c>
      <x:c r="G602" s="30" t="str">
        <x:v>RETAIL</x:v>
      </x:c>
      <x:c r="H602" s="30" t="str">
        <x:v>Yes</x:v>
      </x:c>
      <x:c r="I602" s="30" t="str">
        <x:v>Compliance Verification</x:v>
      </x:c>
    </x:row>
    <x:row r="603">
      <x:c r="A603" s="30" t="str">
        <x:v>REVID032</x:v>
      </x:c>
      <x:c r="B603" s="30" t="str">
        <x:v>RAUD032</x:v>
      </x:c>
      <x:c r="C603" s="30" t="str">
        <x:v>Emergency prescription processing reports, queue prioritization logs</x:v>
      </x:c>
      <x:c r="D603" s="30" t="str">
        <x:v>Log Book</x:v>
      </x:c>
      <x:c r="E603" s="30" t="str">
        <x:v>Yes</x:v>
      </x:c>
      <x:c r="F603" s="30" t="str">
        <x:v>Operational</x:v>
      </x:c>
      <x:c r="G603" s="30" t="str">
        <x:v>RETAIL</x:v>
      </x:c>
      <x:c r="H603" s="30" t="str">
        <x:v>Yes</x:v>
      </x:c>
      <x:c r="I603" s="30" t="str">
        <x:v>Transaction Review</x:v>
      </x:c>
    </x:row>
    <x:row r="604">
      <x:c r="A604" s="30" t="str">
        <x:v>REVID033</x:v>
      </x:c>
      <x:c r="B604" s="30" t="str">
        <x:v>RAUD033</x:v>
      </x:c>
      <x:c r="C604" s="30" t="str">
        <x:v>Customer consent register, communication consent logs, audit trail</x:v>
      </x:c>
      <x:c r="D604" s="30" t="str">
        <x:v>Log Book</x:v>
      </x:c>
      <x:c r="E604" s="30" t="str">
        <x:v>Yes</x:v>
      </x:c>
      <x:c r="F604" s="30" t="str">
        <x:v>Long Term</x:v>
      </x:c>
      <x:c r="G604" s="30" t="str">
        <x:v>RETAIL</x:v>
      </x:c>
      <x:c r="H604" s="30" t="str">
        <x:v>Yes</x:v>
      </x:c>
      <x:c r="I604" s="30" t="str">
        <x:v>Privacy Audit</x:v>
      </x:c>
    </x:row>
    <x:row r="605">
      <x:c r="A605" s="30" t="str">
        <x:v>REVID034</x:v>
      </x:c>
      <x:c r="B605" s="30" t="str">
        <x:v>RAUD034</x:v>
      </x:c>
      <x:c r="C605" s="30" t="str">
        <x:v>Generic substitution register, pharmacist approval records, customer acknowledgement</x:v>
      </x:c>
      <x:c r="D605" s="30" t="str">
        <x:v>Approval</x:v>
      </x:c>
      <x:c r="E605" s="30" t="str">
        <x:v>Yes</x:v>
      </x:c>
      <x:c r="F605" s="30" t="str">
        <x:v>Permanent</x:v>
      </x:c>
      <x:c r="G605" s="30" t="str">
        <x:v>RETAIL</x:v>
      </x:c>
      <x:c r="H605" s="30" t="str">
        <x:v>Yes</x:v>
      </x:c>
      <x:c r="I605" s="30" t="str">
        <x:v>Record Verification</x:v>
      </x:c>
    </x:row>
    <x:row r="606">
      <x:c r="A606" s="30" t="str">
        <x:v>REVID035</x:v>
      </x:c>
      <x:c r="B606" s="30" t="str">
        <x:v>RAUD035</x:v>
      </x:c>
      <x:c r="C606" s="30" t="str">
        <x:v>Refrigerator temperature deviation reports, CAPA records, maintenance logs</x:v>
      </x:c>
      <x:c r="D606" s="30" t="str">
        <x:v>Temperature Log</x:v>
      </x:c>
      <x:c r="E606" s="30" t="str">
        <x:v>Yes</x:v>
      </x:c>
      <x:c r="F606" s="30" t="str">
        <x:v>Long Term</x:v>
      </x:c>
      <x:c r="G606" s="30" t="str">
        <x:v>RETAIL</x:v>
      </x:c>
      <x:c r="H606" s="30" t="str">
        <x:v>Yes</x:v>
      </x:c>
      <x:c r="I606" s="30" t="str">
        <x:v>Environmental Audit</x:v>
      </x:c>
    </x:row>
    <x:row r="607">
      <x:c r="A607" s="30" t="str">
        <x:v>REVID036</x:v>
      </x:c>
      <x:c r="B607" s="30" t="str">
        <x:v>RAUD036</x:v>
      </x:c>
      <x:c r="C607" s="30" t="str">
        <x:v>Housekeeping checklist, accessibility inspection report, maintenance log</x:v>
      </x:c>
      <x:c r="D607" s="30" t="str">
        <x:v>Log Book</x:v>
      </x:c>
      <x:c r="E607" s="30" t="str">
        <x:v>Yes</x:v>
      </x:c>
      <x:c r="F607" s="30" t="str">
        <x:v>Operational</x:v>
      </x:c>
      <x:c r="G607" s="30" t="str">
        <x:v>RETAIL</x:v>
      </x:c>
      <x:c r="H607" s="30" t="str">
        <x:v>Yes</x:v>
      </x:c>
      <x:c r="I607" s="30" t="str">
        <x:v>Physical Inspection</x:v>
      </x:c>
    </x:row>
    <x:row r="608">
      <x:c r="A608" s="30" t="str">
        <x:v>REVID037</x:v>
      </x:c>
      <x:c r="B608" s="30" t="str">
        <x:v>RAUD037</x:v>
      </x:c>
      <x:c r="C608" s="30" t="str">
        <x:v>Verbal prescription register, pharmacist confirmation records, prescriber follow-up documentation</x:v>
      </x:c>
      <x:c r="D608" s="30" t="str">
        <x:v>Prescription</x:v>
      </x:c>
      <x:c r="E608" s="30" t="str">
        <x:v>Yes</x:v>
      </x:c>
      <x:c r="F608" s="30" t="str">
        <x:v>Long Term</x:v>
      </x:c>
      <x:c r="G608" s="30" t="str">
        <x:v>RETAIL</x:v>
      </x:c>
      <x:c r="H608" s="30" t="str">
        <x:v>Yes</x:v>
      </x:c>
      <x:c r="I608" s="30" t="str">
        <x:v>Record Sampling</x:v>
      </x:c>
    </x:row>
    <x:row r="609">
      <x:c r="A609" s="30" t="str">
        <x:v>REVID038</x:v>
      </x:c>
      <x:c r="B609" s="30" t="str">
        <x:v>RAUD038</x:v>
      </x:c>
      <x:c r="C609" s="30" t="str">
        <x:v>User access review reports, privileged access register, password policy compliance report</x:v>
      </x:c>
      <x:c r="D609" s="30" t="str">
        <x:v>Report</x:v>
      </x:c>
      <x:c r="E609" s="30" t="str">
        <x:v>Yes</x:v>
      </x:c>
      <x:c r="F609" s="30" t="str">
        <x:v>Long Term</x:v>
      </x:c>
      <x:c r="G609" s="30" t="str">
        <x:v>RETAIL</x:v>
      </x:c>
      <x:c r="H609" s="30" t="str">
        <x:v>Yes</x:v>
      </x:c>
      <x:c r="I609" s="30" t="str">
        <x:v>IT Security Audit</x:v>
      </x:c>
    </x:row>
    <x:row r="610">
      <x:c r="A610" s="30" t="str">
        <x:v>REVID039</x:v>
      </x:c>
      <x:c r="B610" s="30" t="str">
        <x:v>RAUD039</x:v>
      </x:c>
      <x:c r="C610" s="30" t="str">
        <x:v>Customer feedback register, complaint investigation reports, CAPA tracker</x:v>
      </x:c>
      <x:c r="D610" s="30" t="str">
        <x:v>Receipt</x:v>
      </x:c>
      <x:c r="E610" s="30" t="str">
        <x:v>Yes</x:v>
      </x:c>
      <x:c r="F610" s="30" t="str">
        <x:v>Long Term</x:v>
      </x:c>
      <x:c r="G610" s="30" t="str">
        <x:v>RETAIL</x:v>
      </x:c>
      <x:c r="H610" s="30" t="str">
        <x:v>Yes</x:v>
      </x:c>
      <x:c r="I610" s="30" t="str">
        <x:v>Quality Audit</x:v>
      </x:c>
    </x:row>
    <x:row r="611">
      <x:c r="A611" s="30" t="str">
        <x:v>REVID040</x:v>
      </x:c>
      <x:c r="B611" s="30" t="str">
        <x:v>RAUD040</x:v>
      </x:c>
      <x:c r="C611" s="30" t="str">
        <x:v>Monthly self-assessment report, compliance checklist, corrective action tracker</x:v>
      </x:c>
      <x:c r="D611" s="30" t="str">
        <x:v>Report</x:v>
      </x:c>
      <x:c r="E611" s="30" t="str">
        <x:v>Yes</x:v>
      </x:c>
      <x:c r="F611" s="30" t="str">
        <x:v>Long Term</x:v>
      </x:c>
      <x:c r="G611" s="30" t="str">
        <x:v>RETAIL</x:v>
      </x:c>
      <x:c r="H611" s="30" t="str">
        <x:v>Yes</x:v>
      </x:c>
      <x:c r="I611" s="30" t="str">
        <x:v>Compliance Verification</x:v>
      </x:c>
    </x:row>
    <x:row r="612">
      <x:c r="A612" s="30" t="str">
        <x:v>REVID041</x:v>
      </x:c>
      <x:c r="B612" s="30" t="str">
        <x:v>RAUD041</x:v>
      </x:c>
      <x:c r="C612" s="30" t="str">
        <x:v>Essential medicine stock reports, reorder records, stock availability dashboard</x:v>
      </x:c>
      <x:c r="D612" s="30" t="str">
        <x:v>Inventory Record</x:v>
      </x:c>
      <x:c r="E612" s="30" t="str">
        <x:v>Yes</x:v>
      </x:c>
      <x:c r="F612" s="30" t="str">
        <x:v>Long Term</x:v>
      </x:c>
      <x:c r="G612" s="30" t="str">
        <x:v>RETAIL</x:v>
      </x:c>
      <x:c r="H612" s="30" t="str">
        <x:v>Yes</x:v>
      </x:c>
      <x:c r="I612" s="30" t="str">
        <x:v>Inventory Verification</x:v>
      </x:c>
    </x:row>
    <x:row r="613">
      <x:c r="A613" s="30" t="str">
        <x:v>REVID042</x:v>
      </x:c>
      <x:c r="B613" s="30" t="str">
        <x:v>RAUD042</x:v>
      </x:c>
      <x:c r="C613" s="30" t="str">
        <x:v>Cancelled prescription register, pharmacist approval, cancellation reason records</x:v>
      </x:c>
      <x:c r="D613" s="30" t="str">
        <x:v>Prescription</x:v>
      </x:c>
      <x:c r="E613" s="30" t="str">
        <x:v>Yes</x:v>
      </x:c>
      <x:c r="F613" s="30" t="str">
        <x:v>Long Term</x:v>
      </x:c>
      <x:c r="G613" s="30" t="str">
        <x:v>RETAIL</x:v>
      </x:c>
      <x:c r="H613" s="30" t="str">
        <x:v>Yes</x:v>
      </x:c>
      <x:c r="I613" s="30" t="str">
        <x:v>Record Review</x:v>
      </x:c>
    </x:row>
    <x:row r="614">
      <x:c r="A614" s="30" t="str">
        <x:v>REVID043</x:v>
      </x:c>
      <x:c r="B614" s="30" t="str">
        <x:v>RAUD043</x:v>
      </x:c>
      <x:c r="C614" s="30" t="str">
        <x:v>Barcode scan logs, dispensing validation reports, barcode exception register</x:v>
      </x:c>
      <x:c r="D614" s="30" t="str">
        <x:v>Log Book</x:v>
      </x:c>
      <x:c r="E614" s="30" t="str">
        <x:v>Yes</x:v>
      </x:c>
      <x:c r="F614" s="30" t="str">
        <x:v>Long Term</x:v>
      </x:c>
      <x:c r="G614" s="30" t="str">
        <x:v>RETAIL</x:v>
      </x:c>
      <x:c r="H614" s="30" t="str">
        <x:v>Yes</x:v>
      </x:c>
      <x:c r="I614" s="30" t="str">
        <x:v>IT Audit</x:v>
      </x:c>
    </x:row>
    <x:row r="615">
      <x:c r="A615" s="30" t="str">
        <x:v>REVID044</x:v>
      </x:c>
      <x:c r="B615" s="30" t="str">
        <x:v>RAUD044</x:v>
      </x:c>
      <x:c r="C615" s="30" t="str">
        <x:v>Damaged stock register, quarantine records, disposal authorization</x:v>
      </x:c>
      <x:c r="D615" s="30" t="str">
        <x:v>Approval</x:v>
      </x:c>
      <x:c r="E615" s="30" t="str">
        <x:v>Yes</x:v>
      </x:c>
      <x:c r="F615" s="30" t="str">
        <x:v>Permanent</x:v>
      </x:c>
      <x:c r="G615" s="30" t="str">
        <x:v>RETAIL</x:v>
      </x:c>
      <x:c r="H615" s="30" t="str">
        <x:v>Yes</x:v>
      </x:c>
      <x:c r="I615" s="30" t="str">
        <x:v>Physical Verification</x:v>
      </x:c>
    </x:row>
    <x:row r="616">
      <x:c r="A616" s="30" t="str">
        <x:v>REVID045</x:v>
      </x:c>
      <x:c r="B616" s="30" t="str">
        <x:v>RAUD045</x:v>
      </x:c>
      <x:c r="C616" s="30" t="str">
        <x:v>Emergency response plan, drill reports, emergency contact register</x:v>
      </x:c>
      <x:c r="D616" s="30" t="str">
        <x:v>Report</x:v>
      </x:c>
      <x:c r="E616" s="30" t="str">
        <x:v>Yes</x:v>
      </x:c>
      <x:c r="F616" s="30" t="str">
        <x:v>Long Term</x:v>
      </x:c>
      <x:c r="G616" s="30" t="str">
        <x:v>RETAIL</x:v>
      </x:c>
      <x:c r="H616" s="30" t="str">
        <x:v>Yes</x:v>
      </x:c>
      <x:c r="I616" s="30" t="str">
        <x:v>Compliance Audit</x:v>
      </x:c>
    </x:row>
    <x:row r="617">
      <x:c r="A617" s="30" t="str">
        <x:v>REVID046</x:v>
      </x:c>
      <x:c r="B617" s="30" t="str">
        <x:v>RAUD046</x:v>
      </x:c>
      <x:c r="C617" s="30" t="str">
        <x:v>Accessibility inspection checklist, corrective action records, maintenance log</x:v>
      </x:c>
      <x:c r="D617" s="30" t="str">
        <x:v>Log Book</x:v>
      </x:c>
      <x:c r="E617" s="30" t="str">
        <x:v>Yes</x:v>
      </x:c>
      <x:c r="F617" s="30" t="str">
        <x:v>Operational</x:v>
      </x:c>
      <x:c r="G617" s="30" t="str">
        <x:v>RETAIL</x:v>
      </x:c>
      <x:c r="H617" s="30" t="str">
        <x:v>Yes</x:v>
      </x:c>
      <x:c r="I617" s="30" t="str">
        <x:v>Physical Inspection</x:v>
      </x:c>
    </x:row>
    <x:row r="618">
      <x:c r="A618" s="30" t="str">
        <x:v>REVID047</x:v>
      </x:c>
      <x:c r="B618" s="30" t="str">
        <x:v>RAUD047</x:v>
      </x:c>
      <x:c r="C618" s="30" t="str">
        <x:v>Medicine shortage register, supplier correspondence, customer notification records</x:v>
      </x:c>
      <x:c r="D618" s="30" t="str">
        <x:v>Inventory Record</x:v>
      </x:c>
      <x:c r="E618" s="30" t="str">
        <x:v>Yes</x:v>
      </x:c>
      <x:c r="F618" s="30" t="str">
        <x:v>Long Term</x:v>
      </x:c>
      <x:c r="G618" s="30" t="str">
        <x:v>RETAIL</x:v>
      </x:c>
      <x:c r="H618" s="30" t="str">
        <x:v>Yes</x:v>
      </x:c>
      <x:c r="I618" s="30" t="str">
        <x:v>Document Review</x:v>
      </x:c>
    </x:row>
    <x:row r="619">
      <x:c r="A619" s="30" t="str">
        <x:v>REVID048</x:v>
      </x:c>
      <x:c r="B619" s="30" t="str">
        <x:v>RAUD048</x:v>
      </x:c>
      <x:c r="C619" s="30" t="str">
        <x:v>Backup logs, restoration reports, backup monitoring dashboard</x:v>
      </x:c>
      <x:c r="D619" s="30" t="str">
        <x:v>Log Book</x:v>
      </x:c>
      <x:c r="E619" s="30" t="str">
        <x:v>Yes</x:v>
      </x:c>
      <x:c r="F619" s="30" t="str">
        <x:v>Long Term</x:v>
      </x:c>
      <x:c r="G619" s="30" t="str">
        <x:v>RETAIL</x:v>
      </x:c>
      <x:c r="H619" s="30" t="str">
        <x:v>Yes</x:v>
      </x:c>
      <x:c r="I619" s="30" t="str">
        <x:v>IT Audit</x:v>
      </x:c>
    </x:row>
    <x:row r="620">
      <x:c r="A620" s="30" t="str">
        <x:v>REVID049</x:v>
      </x:c>
      <x:c r="B620" s="30" t="str">
        <x:v>RAUD049</x:v>
      </x:c>
      <x:c r="C620" s="30" t="str">
        <x:v>Photographs of medicine safety displays, vaccination notices, public health advisory register</x:v>
      </x:c>
      <x:c r="D620" s="30" t="str">
        <x:v>Photograph</x:v>
      </x:c>
      <x:c r="E620" s="30" t="str">
        <x:v>Yes</x:v>
      </x:c>
      <x:c r="F620" s="30" t="str">
        <x:v>Operational</x:v>
      </x:c>
      <x:c r="G620" s="30" t="str">
        <x:v>RETAIL</x:v>
      </x:c>
      <x:c r="H620" s="30" t="str">
        <x:v>Yes</x:v>
      </x:c>
      <x:c r="I620" s="30" t="str">
        <x:v>Visual Inspection</x:v>
      </x:c>
    </x:row>
    <x:row r="621">
      <x:c r="A621" s="30" t="str">
        <x:v>REVID050</x:v>
      </x:c>
      <x:c r="B621" s="30" t="str">
        <x:v>RAUD050</x:v>
      </x:c>
      <x:c r="C621" s="30" t="str">
        <x:v>CAPA register, effectiveness review reports, management approvals</x:v>
      </x:c>
      <x:c r="D621" s="30" t="str">
        <x:v>Approval</x:v>
      </x:c>
      <x:c r="E621" s="30" t="str">
        <x:v>Yes</x:v>
      </x:c>
      <x:c r="F621" s="30" t="str">
        <x:v>Permanent</x:v>
      </x:c>
      <x:c r="G621" s="30" t="str">
        <x:v>RETAIL</x:v>
      </x:c>
      <x:c r="H621" s="30" t="str">
        <x:v>Yes</x:v>
      </x:c>
      <x:c r="I621" s="30" t="str">
        <x:v>CAPA Verification</x:v>
      </x:c>
    </x:row>
    <x:row r="622">
      <x:c r="A622" s="30" t="str">
        <x:v>REVID051</x:v>
      </x:c>
      <x:c r="B622" s="30" t="str">
        <x:v>RAUD051</x:v>
      </x:c>
      <x:c r="C622" s="30" t="str">
        <x:v>Counterfeit medicine register, quarantine records, investigation report, regulatory notification</x:v>
      </x:c>
      <x:c r="D622" s="30" t="str">
        <x:v>Report</x:v>
      </x:c>
      <x:c r="E622" s="30" t="str">
        <x:v>Yes</x:v>
      </x:c>
      <x:c r="F622" s="30" t="str">
        <x:v>Operational</x:v>
      </x:c>
      <x:c r="G622" s="30" t="str">
        <x:v>RETAIL</x:v>
      </x:c>
      <x:c r="H622" s="30" t="str">
        <x:v>Yes</x:v>
      </x:c>
      <x:c r="I622" s="30" t="str">
        <x:v>Compliance Verification</x:v>
      </x:c>
    </x:row>
    <x:row r="623">
      <x:c r="A623" s="30" t="str">
        <x:v>REVID052</x:v>
      </x:c>
      <x:c r="B623" s="30" t="str">
        <x:v>RAUD052</x:v>
      </x:c>
      <x:c r="C623" s="30" t="str">
        <x:v>Supplier licence copies, approval checklist, supplier evaluation report</x:v>
      </x:c>
      <x:c r="D623" s="30" t="str">
        <x:v>License</x:v>
      </x:c>
      <x:c r="E623" s="30" t="str">
        <x:v>Yes</x:v>
      </x:c>
      <x:c r="F623" s="30" t="str">
        <x:v>Permanent</x:v>
      </x:c>
      <x:c r="G623" s="30" t="str">
        <x:v>RETAIL</x:v>
      </x:c>
      <x:c r="H623" s="30" t="str">
        <x:v>Yes</x:v>
      </x:c>
      <x:c r="I623" s="30" t="str">
        <x:v>Supplier Audit</x:v>
      </x:c>
    </x:row>
    <x:row r="624">
      <x:c r="A624" s="30" t="str">
        <x:v>REVID053</x:v>
      </x:c>
      <x:c r="B624" s="30" t="str">
        <x:v>RAUD053</x:v>
      </x:c>
      <x:c r="C624" s="30" t="str">
        <x:v>Electronic invoice archive, backup verification report, audit trail logs</x:v>
      </x:c>
      <x:c r="D624" s="30" t="str">
        <x:v>Log Book</x:v>
      </x:c>
      <x:c r="E624" s="30" t="str">
        <x:v>Yes</x:v>
      </x:c>
      <x:c r="F624" s="30" t="str">
        <x:v>Operational</x:v>
      </x:c>
      <x:c r="G624" s="30" t="str">
        <x:v>RETAIL</x:v>
      </x:c>
      <x:c r="H624" s="30" t="str">
        <x:v>Yes</x:v>
      </x:c>
      <x:c r="I624" s="30" t="str">
        <x:v>IT &amp; Finance Audit</x:v>
      </x:c>
    </x:row>
    <x:row r="625">
      <x:c r="A625" s="30" t="str">
        <x:v>REVID054</x:v>
      </x:c>
      <x:c r="B625" s="30" t="str">
        <x:v>RAUD054</x:v>
      </x:c>
      <x:c r="C625" s="30" t="str">
        <x:v>Recall notification register, quarantine register, supplier communication</x:v>
      </x:c>
      <x:c r="D625" s="30" t="str">
        <x:v>Register</x:v>
      </x:c>
      <x:c r="E625" s="30" t="str">
        <x:v>Yes</x:v>
      </x:c>
      <x:c r="F625" s="30" t="str">
        <x:v>Statutory</x:v>
      </x:c>
      <x:c r="G625" s="30" t="str">
        <x:v>RETAIL</x:v>
      </x:c>
      <x:c r="H625" s="30" t="str">
        <x:v>Yes</x:v>
      </x:c>
      <x:c r="I625" s="30" t="str">
        <x:v>Recall Audit</x:v>
      </x:c>
    </x:row>
    <x:row r="626">
      <x:c r="A626" s="30" t="str">
        <x:v>REVID055</x:v>
      </x:c>
      <x:c r="B626" s="30" t="str">
        <x:v>RAUD055</x:v>
      </x:c>
      <x:c r="C626" s="30" t="str">
        <x:v>Power outage incident report, contingency implementation checklist, CAPA records</x:v>
      </x:c>
      <x:c r="D626" s="30" t="str">
        <x:v>Report</x:v>
      </x:c>
      <x:c r="E626" s="30" t="str">
        <x:v>Yes</x:v>
      </x:c>
      <x:c r="F626" s="30" t="str">
        <x:v>Long Term</x:v>
      </x:c>
      <x:c r="G626" s="30" t="str">
        <x:v>RETAIL</x:v>
      </x:c>
      <x:c r="H626" s="30" t="str">
        <x:v>Yes</x:v>
      </x:c>
      <x:c r="I626" s="30" t="str">
        <x:v>Incident Review</x:v>
      </x:c>
    </x:row>
    <x:row r="627">
      <x:c r="A627" s="30" t="str">
        <x:v>REVID056</x:v>
      </x:c>
      <x:c r="B627" s="30" t="str">
        <x:v>RAUD056</x:v>
      </x:c>
      <x:c r="C627" s="30" t="str">
        <x:v>Community health programme approval, attendance register, educational material, programme report</x:v>
      </x:c>
      <x:c r="D627" s="30" t="str">
        <x:v>Approval</x:v>
      </x:c>
      <x:c r="E627" s="30" t="str">
        <x:v>Yes</x:v>
      </x:c>
      <x:c r="F627" s="30" t="str">
        <x:v>Permanent</x:v>
      </x:c>
      <x:c r="G627" s="30" t="str">
        <x:v>RETAIL</x:v>
      </x:c>
      <x:c r="H627" s="30" t="str">
        <x:v>Yes</x:v>
      </x:c>
      <x:c r="I627" s="30" t="str">
        <x:v>Programme Audit</x:v>
      </x:c>
    </x:row>
    <x:row r="628">
      <x:c r="A628" s="30" t="str">
        <x:v>REVID057</x:v>
      </x:c>
      <x:c r="B628" s="30" t="str">
        <x:v>RAUD057</x:v>
      </x:c>
      <x:c r="C628" s="30" t="str">
        <x:v>Inventory variance report, RCA documentation, approval records, CAPA tracker</x:v>
      </x:c>
      <x:c r="D628" s="30" t="str">
        <x:v>Approval</x:v>
      </x:c>
      <x:c r="E628" s="30" t="str">
        <x:v>Yes</x:v>
      </x:c>
      <x:c r="F628" s="30" t="str">
        <x:v>Permanent</x:v>
      </x:c>
      <x:c r="G628" s="30" t="str">
        <x:v>RETAIL</x:v>
      </x:c>
      <x:c r="H628" s="30" t="str">
        <x:v>Yes</x:v>
      </x:c>
      <x:c r="I628" s="30" t="str">
        <x:v>Inventory Audit</x:v>
      </x:c>
    </x:row>
    <x:row r="629">
      <x:c r="A629" s="30" t="str">
        <x:v>REVID058</x:v>
      </x:c>
      <x:c r="B629" s="30" t="str">
        <x:v>RAUD058</x:v>
      </x:c>
      <x:c r="C629" s="30" t="str">
        <x:v>Session timeout configuration report, authentication settings, security validation report</x:v>
      </x:c>
      <x:c r="D629" s="30" t="str">
        <x:v>Report</x:v>
      </x:c>
      <x:c r="E629" s="30" t="str">
        <x:v>Yes</x:v>
      </x:c>
      <x:c r="F629" s="30" t="str">
        <x:v>Long Term</x:v>
      </x:c>
      <x:c r="G629" s="30" t="str">
        <x:v>RETAIL</x:v>
      </x:c>
      <x:c r="H629" s="30" t="str">
        <x:v>Yes</x:v>
      </x:c>
      <x:c r="I629" s="30" t="str">
        <x:v>Configuration Review</x:v>
      </x:c>
    </x:row>
    <x:row r="630">
      <x:c r="A630" s="30" t="str">
        <x:v>REVID059</x:v>
      </x:c>
      <x:c r="B630" s="30" t="str">
        <x:v>RAUD059</x:v>
      </x:c>
      <x:c r="C630" s="30" t="str">
        <x:v>Pharmacist counselling documentation, medicine safety guidance acknowledgement, counselling checklist</x:v>
      </x:c>
      <x:c r="D630" s="30" t="str">
        <x:v>Record</x:v>
      </x:c>
      <x:c r="E630" s="30" t="str">
        <x:v>Yes</x:v>
      </x:c>
      <x:c r="F630" s="30" t="str">
        <x:v>Long Term</x:v>
      </x:c>
      <x:c r="G630" s="30" t="str">
        <x:v>RETAIL</x:v>
      </x:c>
      <x:c r="H630" s="30" t="str">
        <x:v>Yes</x:v>
      </x:c>
      <x:c r="I630" s="30" t="str">
        <x:v>Clinical Verification</x:v>
      </x:c>
    </x:row>
    <x:row r="631">
      <x:c r="A631" s="30" t="str">
        <x:v>REVID060</x:v>
      </x:c>
      <x:c r="B631" s="30" t="str">
        <x:v>RAUD060</x:v>
      </x:c>
      <x:c r="C631" s="30" t="str">
        <x:v>Inspection readiness checklist, licence file, statutory register index, SOP master list</x:v>
      </x:c>
      <x:c r="D631" s="30" t="str">
        <x:v>License</x:v>
      </x:c>
      <x:c r="E631" s="30" t="str">
        <x:v>Yes</x:v>
      </x:c>
      <x:c r="F631" s="30" t="str">
        <x:v>Permanent</x:v>
      </x:c>
      <x:c r="G631" s="30" t="str">
        <x:v>RETAIL</x:v>
      </x:c>
      <x:c r="H631" s="30" t="str">
        <x:v>Yes</x:v>
      </x:c>
      <x:c r="I631" s="30" t="str">
        <x:v>Inspection Readiness Audit</x:v>
      </x:c>
    </x:row>
    <x:row r="632">
      <x:c r="A632" s="30" t="str">
        <x:v>REVID061</x:v>
      </x:c>
      <x:c r="B632" s="30" t="str">
        <x:v>RAUD061</x:v>
      </x:c>
      <x:c r="C632" s="30" t="str">
        <x:v>Disposal register, destruction certificates, inventory adjustment records, authorized disposal agency receipts</x:v>
      </x:c>
      <x:c r="D632" s="30" t="str">
        <x:v>Certificate</x:v>
      </x:c>
      <x:c r="E632" s="30" t="str">
        <x:v>Yes</x:v>
      </x:c>
      <x:c r="F632" s="30" t="str">
        <x:v>Permanent</x:v>
      </x:c>
      <x:c r="G632" s="30" t="str">
        <x:v>RETAIL</x:v>
      </x:c>
      <x:c r="H632" s="30" t="str">
        <x:v>Yes</x:v>
      </x:c>
      <x:c r="I632" s="30" t="str">
        <x:v>Document Verification</x:v>
      </x:c>
    </x:row>
    <x:row r="633">
      <x:c r="A633" s="30" t="str">
        <x:v>REVID062</x:v>
      </x:c>
      <x:c r="B633" s="30" t="str">
        <x:v>RAUD062</x:v>
      </x:c>
      <x:c r="C633" s="30" t="str">
        <x:v>Competency assessment forms, training completion certificates, qualification verification records</x:v>
      </x:c>
      <x:c r="D633" s="30" t="str">
        <x:v>Certificate</x:v>
      </x:c>
      <x:c r="E633" s="30" t="str">
        <x:v>Yes</x:v>
      </x:c>
      <x:c r="F633" s="30" t="str">
        <x:v>Permanent</x:v>
      </x:c>
      <x:c r="G633" s="30" t="str">
        <x:v>RETAIL</x:v>
      </x:c>
      <x:c r="H633" s="30" t="str">
        <x:v>Yes</x:v>
      </x:c>
      <x:c r="I633" s="30" t="str">
        <x:v>HR Audit</x:v>
      </x:c>
    </x:row>
    <x:row r="634">
      <x:c r="A634" s="30" t="str">
        <x:v>REVID063</x:v>
      </x:c>
      <x:c r="B634" s="30" t="str">
        <x:v>RAUD063</x:v>
      </x:c>
      <x:c r="C634" s="30" t="str">
        <x:v>Electronic consent register, consent withdrawal records, audit logs, access reports</x:v>
      </x:c>
      <x:c r="D634" s="30" t="str">
        <x:v>Log Book</x:v>
      </x:c>
      <x:c r="E634" s="30" t="str">
        <x:v>Yes</x:v>
      </x:c>
      <x:c r="F634" s="30" t="str">
        <x:v>Long Term</x:v>
      </x:c>
      <x:c r="G634" s="30" t="str">
        <x:v>RETAIL</x:v>
      </x:c>
      <x:c r="H634" s="30" t="str">
        <x:v>Yes</x:v>
      </x:c>
      <x:c r="I634" s="30" t="str">
        <x:v>Privacy Audit</x:v>
      </x:c>
    </x:row>
    <x:row r="635">
      <x:c r="A635" s="30" t="str">
        <x:v>REVID064</x:v>
      </x:c>
      <x:c r="B635" s="30" t="str">
        <x:v>RAUD064</x:v>
      </x:c>
      <x:c r="C635" s="30" t="str">
        <x:v>Temperature logs, humidity logs, pest control reports, environmental monitoring checklist</x:v>
      </x:c>
      <x:c r="D635" s="30" t="str">
        <x:v>Temperature Log</x:v>
      </x:c>
      <x:c r="E635" s="30" t="str">
        <x:v>Yes</x:v>
      </x:c>
      <x:c r="F635" s="30" t="str">
        <x:v>Long Term</x:v>
      </x:c>
      <x:c r="G635" s="30" t="str">
        <x:v>RETAIL</x:v>
      </x:c>
      <x:c r="H635" s="30" t="str">
        <x:v>Yes</x:v>
      </x:c>
      <x:c r="I635" s="30" t="str">
        <x:v>Environmental Verification</x:v>
      </x:c>
    </x:row>
    <x:row r="636">
      <x:c r="A636" s="30" t="str">
        <x:v>REVID065</x:v>
      </x:c>
      <x:c r="B636" s="30" t="str">
        <x:v>RAUD065</x:v>
      </x:c>
      <x:c r="C636" s="30" t="str">
        <x:v>Controlled medicine register, stock reconciliation report, discrepancy investigation records</x:v>
      </x:c>
      <x:c r="D636" s="30" t="str">
        <x:v>Inventory Record</x:v>
      </x:c>
      <x:c r="E636" s="30" t="str">
        <x:v>Yes</x:v>
      </x:c>
      <x:c r="F636" s="30" t="str">
        <x:v>Operational</x:v>
      </x:c>
      <x:c r="G636" s="30" t="str">
        <x:v>RETAIL</x:v>
      </x:c>
      <x:c r="H636" s="30" t="str">
        <x:v>Yes</x:v>
      </x:c>
      <x:c r="I636" s="30" t="str">
        <x:v>Reconciliation Audit</x:v>
      </x:c>
    </x:row>
    <x:row r="637">
      <x:c r="A637" s="30" t="str">
        <x:v>REVID066</x:v>
      </x:c>
      <x:c r="B637" s="30" t="str">
        <x:v>RAUD066</x:v>
      </x:c>
      <x:c r="C637" s="30" t="str">
        <x:v>Queue management reports, waiting time dashboard, customer communication log</x:v>
      </x:c>
      <x:c r="D637" s="30" t="str">
        <x:v>Log Book</x:v>
      </x:c>
      <x:c r="E637" s="30" t="str">
        <x:v>Yes</x:v>
      </x:c>
      <x:c r="F637" s="30" t="str">
        <x:v>Operational</x:v>
      </x:c>
      <x:c r="G637" s="30" t="str">
        <x:v>RETAIL</x:v>
      </x:c>
      <x:c r="H637" s="30" t="str">
        <x:v>Yes</x:v>
      </x:c>
      <x:c r="I637" s="30" t="str">
        <x:v>Process Verification</x:v>
      </x:c>
    </x:row>
    <x:row r="638">
      <x:c r="A638" s="30" t="str">
        <x:v>REVID067</x:v>
      </x:c>
      <x:c r="B638" s="30" t="str">
        <x:v>RAUD067</x:v>
      </x:c>
      <x:c r="C638" s="30" t="str">
        <x:v>Incident register, investigation report, RCA documentation, CAPA records</x:v>
      </x:c>
      <x:c r="D638" s="30" t="str">
        <x:v>Report</x:v>
      </x:c>
      <x:c r="E638" s="30" t="str">
        <x:v>Yes</x:v>
      </x:c>
      <x:c r="F638" s="30" t="str">
        <x:v>Operational</x:v>
      </x:c>
      <x:c r="G638" s="30" t="str">
        <x:v>RETAIL</x:v>
      </x:c>
      <x:c r="H638" s="30" t="str">
        <x:v>Yes</x:v>
      </x:c>
      <x:c r="I638" s="30" t="str">
        <x:v>Incident Audit</x:v>
      </x:c>
    </x:row>
    <x:row r="639">
      <x:c r="A639" s="30" t="str">
        <x:v>REVID068</x:v>
      </x:c>
      <x:c r="B639" s="30" t="str">
        <x:v>RAUD068</x:v>
      </x:c>
      <x:c r="C639" s="30" t="str">
        <x:v>Mobile device inventory, encryption report, remote wipe verification, compliance report</x:v>
      </x:c>
      <x:c r="D639" s="30" t="str">
        <x:v>Inventory Record</x:v>
      </x:c>
      <x:c r="E639" s="30" t="str">
        <x:v>Yes</x:v>
      </x:c>
      <x:c r="F639" s="30" t="str">
        <x:v>Long Term</x:v>
      </x:c>
      <x:c r="G639" s="30" t="str">
        <x:v>RETAIL</x:v>
      </x:c>
      <x:c r="H639" s="30" t="str">
        <x:v>Yes</x:v>
      </x:c>
      <x:c r="I639" s="30" t="str">
        <x:v>IT Security Audit</x:v>
      </x:c>
    </x:row>
    <x:row r="640">
      <x:c r="A640" s="30" t="str">
        <x:v>REVID069</x:v>
      </x:c>
      <x:c r="B640" s="30" t="str">
        <x:v>RAUD069</x:v>
      </x:c>
      <x:c r="C640" s="30" t="str">
        <x:v>Complaint register, investigation records, escalation log, CAPA tracker</x:v>
      </x:c>
      <x:c r="D640" s="30" t="str">
        <x:v>Log Book</x:v>
      </x:c>
      <x:c r="E640" s="30" t="str">
        <x:v>Yes</x:v>
      </x:c>
      <x:c r="F640" s="30" t="str">
        <x:v>Operational</x:v>
      </x:c>
      <x:c r="G640" s="30" t="str">
        <x:v>RETAIL</x:v>
      </x:c>
      <x:c r="H640" s="30" t="str">
        <x:v>Yes</x:v>
      </x:c>
      <x:c r="I640" s="30" t="str">
        <x:v>Compliance Audit</x:v>
      </x:c>
    </x:row>
    <x:row r="641">
      <x:c r="A641" s="30" t="str">
        <x:v>REVID070</x:v>
      </x:c>
      <x:c r="B641" s="30" t="str">
        <x:v>RAUD070</x:v>
      </x:c>
      <x:c r="C641" s="30" t="str">
        <x:v>Annual compliance report, governance review minutes, KPI dashboard, executive approval</x:v>
      </x:c>
      <x:c r="D641" s="30" t="str">
        <x:v>Approval</x:v>
      </x:c>
      <x:c r="E641" s="30" t="str">
        <x:v>Yes</x:v>
      </x:c>
      <x:c r="F641" s="30" t="str">
        <x:v>Permanent</x:v>
      </x:c>
      <x:c r="G641" s="30" t="str">
        <x:v>RETAIL</x:v>
      </x:c>
      <x:c r="H641" s="30" t="str">
        <x:v>Yes</x:v>
      </x:c>
      <x:c r="I641" s="30" t="str">
        <x:v>Governance Audit</x:v>
      </x:c>
    </x:row>
    <x:row r="642">
      <x:c r="A642" s="30" t="str">
        <x:v>REVID071</x:v>
      </x:c>
      <x:c r="B642" s="30" t="str">
        <x:v>RAUD071</x:v>
      </x:c>
      <x:c r="C642" s="30" t="str">
        <x:v>Supplier licence register, renewal tracker, supplier approval checklist, requalification reports</x:v>
      </x:c>
      <x:c r="D642" s="30" t="str">
        <x:v>License</x:v>
      </x:c>
      <x:c r="E642" s="30" t="str">
        <x:v>Yes</x:v>
      </x:c>
      <x:c r="F642" s="30" t="str">
        <x:v>Permanent</x:v>
      </x:c>
      <x:c r="G642" s="30" t="str">
        <x:v>RETAIL</x:v>
      </x:c>
      <x:c r="H642" s="30" t="str">
        <x:v>Yes</x:v>
      </x:c>
      <x:c r="I642" s="30" t="str">
        <x:v>Supplier Verification</x:v>
      </x:c>
    </x:row>
    <x:row r="643">
      <x:c r="A643" s="30" t="str">
        <x:v>REVID072</x:v>
      </x:c>
      <x:c r="B643" s="30" t="str">
        <x:v>RAUD072</x:v>
      </x:c>
      <x:c r="C643" s="30" t="str">
        <x:v>Prescription archive register, retrieval log, secure storage records, retention schedule</x:v>
      </x:c>
      <x:c r="D643" s="30" t="str">
        <x:v>Log Book</x:v>
      </x:c>
      <x:c r="E643" s="30" t="str">
        <x:v>Yes</x:v>
      </x:c>
      <x:c r="F643" s="30" t="str">
        <x:v>Long Term</x:v>
      </x:c>
      <x:c r="G643" s="30" t="str">
        <x:v>RETAIL</x:v>
      </x:c>
      <x:c r="H643" s="30" t="str">
        <x:v>Yes</x:v>
      </x:c>
      <x:c r="I643" s="30" t="str">
        <x:v>Archive Verification</x:v>
      </x:c>
    </x:row>
    <x:row r="644">
      <x:c r="A644" s="30" t="str">
        <x:v>REVID073</x:v>
      </x:c>
      <x:c r="B644" s="30" t="str">
        <x:v>RAUD073</x:v>
      </x:c>
      <x:c r="C644" s="30" t="str">
        <x:v>Integrity verification reports, checksum logs, tamper detection logs, backup validation reports</x:v>
      </x:c>
      <x:c r="D644" s="30" t="str">
        <x:v>Log Book</x:v>
      </x:c>
      <x:c r="E644" s="30" t="str">
        <x:v>Yes</x:v>
      </x:c>
      <x:c r="F644" s="30" t="str">
        <x:v>Operational</x:v>
      </x:c>
      <x:c r="G644" s="30" t="str">
        <x:v>RETAIL</x:v>
      </x:c>
      <x:c r="H644" s="30" t="str">
        <x:v>Yes</x:v>
      </x:c>
      <x:c r="I644" s="30" t="str">
        <x:v>IT Audit</x:v>
      </x:c>
    </x:row>
    <x:row r="645">
      <x:c r="A645" s="30" t="str">
        <x:v>REVID074</x:v>
      </x:c>
      <x:c r="B645" s="30" t="str">
        <x:v>RAUD074</x:v>
      </x:c>
      <x:c r="C645" s="30" t="str">
        <x:v>High-value medicine access log, CCTV extracts, secure storage inspection reports</x:v>
      </x:c>
      <x:c r="D645" s="30" t="str">
        <x:v>Log Book</x:v>
      </x:c>
      <x:c r="E645" s="30" t="str">
        <x:v>Yes</x:v>
      </x:c>
      <x:c r="F645" s="30" t="str">
        <x:v>Long Term</x:v>
      </x:c>
      <x:c r="G645" s="30" t="str">
        <x:v>RETAIL</x:v>
      </x:c>
      <x:c r="H645" s="30" t="str">
        <x:v>Yes</x:v>
      </x:c>
      <x:c r="I645" s="30" t="str">
        <x:v>Security Audit</x:v>
      </x:c>
    </x:row>
    <x:row r="646">
      <x:c r="A646" s="30" t="str">
        <x:v>REVID075</x:v>
      </x:c>
      <x:c r="B646" s="30" t="str">
        <x:v>RAUD075</x:v>
      </x:c>
      <x:c r="C646" s="30" t="str">
        <x:v>Counselling documentation, medicine administration guidance, pharmacist notes</x:v>
      </x:c>
      <x:c r="D646" s="30" t="str">
        <x:v>Record</x:v>
      </x:c>
      <x:c r="E646" s="30" t="str">
        <x:v>Yes</x:v>
      </x:c>
      <x:c r="F646" s="30" t="str">
        <x:v>Long Term</x:v>
      </x:c>
      <x:c r="G646" s="30" t="str">
        <x:v>RETAIL</x:v>
      </x:c>
      <x:c r="H646" s="30" t="str">
        <x:v>Yes</x:v>
      </x:c>
      <x:c r="I646" s="30" t="str">
        <x:v>Clinical Review</x:v>
      </x:c>
    </x:row>
    <x:row r="647">
      <x:c r="A647" s="30" t="str">
        <x:v>REVID076</x:v>
      </x:c>
      <x:c r="B647" s="30" t="str">
        <x:v>RAUD076</x:v>
      </x:c>
      <x:c r="C647" s="30" t="str">
        <x:v>Screening programme register, calibration certificates, screening results, staff qualification records</x:v>
      </x:c>
      <x:c r="D647" s="30" t="str">
        <x:v>Certificate</x:v>
      </x:c>
      <x:c r="E647" s="30" t="str">
        <x:v>Yes</x:v>
      </x:c>
      <x:c r="F647" s="30" t="str">
        <x:v>Permanent</x:v>
      </x:c>
      <x:c r="G647" s="30" t="str">
        <x:v>RETAIL</x:v>
      </x:c>
      <x:c r="H647" s="30" t="str">
        <x:v>Yes</x:v>
      </x:c>
      <x:c r="I647" s="30" t="str">
        <x:v>Programme Verification</x:v>
      </x:c>
    </x:row>
    <x:row r="648">
      <x:c r="A648" s="30" t="str">
        <x:v>REVID077</x:v>
      </x:c>
      <x:c r="B648" s="30" t="str">
        <x:v>RAUD077</x:v>
      </x:c>
      <x:c r="C648" s="30" t="str">
        <x:v>Customer recall notification log, acknowledgement records, unresolved notification tracker</x:v>
      </x:c>
      <x:c r="D648" s="30" t="str">
        <x:v>Log Book</x:v>
      </x:c>
      <x:c r="E648" s="30" t="str">
        <x:v>Yes</x:v>
      </x:c>
      <x:c r="F648" s="30" t="str">
        <x:v>Operational</x:v>
      </x:c>
      <x:c r="G648" s="30" t="str">
        <x:v>RETAIL</x:v>
      </x:c>
      <x:c r="H648" s="30" t="str">
        <x:v>Yes</x:v>
      </x:c>
      <x:c r="I648" s="30" t="str">
        <x:v>Recall Audit</x:v>
      </x:c>
    </x:row>
    <x:row r="649">
      <x:c r="A649" s="30" t="str">
        <x:v>REVID078</x:v>
      </x:c>
      <x:c r="B649" s="30" t="str">
        <x:v>RAUD078</x:v>
      </x:c>
      <x:c r="C649" s="30" t="str">
        <x:v>Vulnerability assessment reports, firewall configuration reports, patch deployment records, penetration test reports</x:v>
      </x:c>
      <x:c r="D649" s="30" t="str">
        <x:v>Report</x:v>
      </x:c>
      <x:c r="E649" s="30" t="str">
        <x:v>Yes</x:v>
      </x:c>
      <x:c r="F649" s="30" t="str">
        <x:v>Operational</x:v>
      </x:c>
      <x:c r="G649" s="30" t="str">
        <x:v>RETAIL</x:v>
      </x:c>
      <x:c r="H649" s="30" t="str">
        <x:v>Yes</x:v>
      </x:c>
      <x:c r="I649" s="30" t="str">
        <x:v>Cybersecurity Audit</x:v>
      </x:c>
    </x:row>
    <x:row r="650">
      <x:c r="A650" s="30" t="str">
        <x:v>REVID079</x:v>
      </x:c>
      <x:c r="B650" s="30" t="str">
        <x:v>RAUD079</x:v>
      </x:c>
      <x:c r="C650" s="30" t="str">
        <x:v>Privacy observation checklist, counselling area assessment, confidentiality compliance report</x:v>
      </x:c>
      <x:c r="D650" s="30" t="str">
        <x:v>Report</x:v>
      </x:c>
      <x:c r="E650" s="30" t="str">
        <x:v>Yes</x:v>
      </x:c>
      <x:c r="F650" s="30" t="str">
        <x:v>Long Term</x:v>
      </x:c>
      <x:c r="G650" s="30" t="str">
        <x:v>RETAIL</x:v>
      </x:c>
      <x:c r="H650" s="30" t="str">
        <x:v>Yes</x:v>
      </x:c>
      <x:c r="I650" s="30" t="str">
        <x:v>Observation Verification</x:v>
      </x:c>
    </x:row>
    <x:row r="651">
      <x:c r="A651" s="30" t="str">
        <x:v>REVID080</x:v>
      </x:c>
      <x:c r="B651" s="30" t="str">
        <x:v>RAUD080</x:v>
      </x:c>
      <x:c r="C651" s="30" t="str">
        <x:v>KPI dashboard, compliance trend analysis, management review minutes, improvement action tracker</x:v>
      </x:c>
      <x:c r="D651" s="30" t="str">
        <x:v>Record</x:v>
      </x:c>
      <x:c r="E651" s="30" t="str">
        <x:v>Yes</x:v>
      </x:c>
      <x:c r="F651" s="30" t="str">
        <x:v>Operational</x:v>
      </x:c>
      <x:c r="G651" s="30" t="str">
        <x:v>RETAIL</x:v>
      </x:c>
      <x:c r="H651" s="30" t="str">
        <x:v>Yes</x:v>
      </x:c>
      <x:c r="I651" s="30" t="str">
        <x:v>KPI Verification</x:v>
      </x:c>
    </x:row>
    <x:row r="652">
      <x:c r="A652" s="30" t="str">
        <x:v>REVID081</x:v>
      </x:c>
      <x:c r="B652" s="30" t="str">
        <x:v>RAUD081</x:v>
      </x:c>
      <x:c r="C652" s="30" t="str">
        <x:v>Purchase orders, supplier invoices, Goods Receipt Notes (GRN), inventory posting reports</x:v>
      </x:c>
      <x:c r="D652" s="30" t="str">
        <x:v>Invoice</x:v>
      </x:c>
      <x:c r="E652" s="30" t="str">
        <x:v>Yes</x:v>
      </x:c>
      <x:c r="F652" s="30" t="str">
        <x:v>Transactional</x:v>
      </x:c>
      <x:c r="G652" s="30" t="str">
        <x:v>RETAIL</x:v>
      </x:c>
      <x:c r="H652" s="30" t="str">
        <x:v>Yes</x:v>
      </x:c>
      <x:c r="I652" s="30" t="str">
        <x:v>Procurement Audit</x:v>
      </x:c>
    </x:row>
    <x:row r="653">
      <x:c r="A653" s="30" t="str">
        <x:v>REVID082</x:v>
      </x:c>
      <x:c r="B653" s="30" t="str">
        <x:v>RAUD082</x:v>
      </x:c>
      <x:c r="C653" s="30" t="str">
        <x:v>Pharmacist registration certificates, renewal records, monthly verification reports</x:v>
      </x:c>
      <x:c r="D653" s="30" t="str">
        <x:v>Certificate</x:v>
      </x:c>
      <x:c r="E653" s="30" t="str">
        <x:v>Yes</x:v>
      </x:c>
      <x:c r="F653" s="30" t="str">
        <x:v>Permanent</x:v>
      </x:c>
      <x:c r="G653" s="30" t="str">
        <x:v>RETAIL</x:v>
      </x:c>
      <x:c r="H653" s="30" t="str">
        <x:v>Yes</x:v>
      </x:c>
      <x:c r="I653" s="30" t="str">
        <x:v>Document Verification</x:v>
      </x:c>
    </x:row>
    <x:row r="654">
      <x:c r="A654" s="30" t="str">
        <x:v>REVID083</x:v>
      </x:c>
      <x:c r="B654" s="30" t="str">
        <x:v>RAUD083</x:v>
      </x:c>
      <x:c r="C654" s="30" t="str">
        <x:v>Electronic prescription validation logs, system configuration reports, override approval records</x:v>
      </x:c>
      <x:c r="D654" s="30" t="str">
        <x:v>Log Book</x:v>
      </x:c>
      <x:c r="E654" s="30" t="str">
        <x:v>Yes</x:v>
      </x:c>
      <x:c r="F654" s="30" t="str">
        <x:v>Long Term</x:v>
      </x:c>
      <x:c r="G654" s="30" t="str">
        <x:v>RETAIL</x:v>
      </x:c>
      <x:c r="H654" s="30" t="str">
        <x:v>Yes</x:v>
      </x:c>
      <x:c r="I654" s="30" t="str">
        <x:v>IT Application Audit</x:v>
      </x:c>
    </x:row>
    <x:row r="655">
      <x:c r="A655" s="30" t="str">
        <x:v>REVID084</x:v>
      </x:c>
      <x:c r="B655" s="30" t="str">
        <x:v>RAUD084</x:v>
      </x:c>
      <x:c r="C655" s="30" t="str">
        <x:v>Patient allergy register, dispensing alert logs, pharmacist intervention records</x:v>
      </x:c>
      <x:c r="D655" s="30" t="str">
        <x:v>Log Book</x:v>
      </x:c>
      <x:c r="E655" s="30" t="str">
        <x:v>Yes</x:v>
      </x:c>
      <x:c r="F655" s="30" t="str">
        <x:v>Long Term</x:v>
      </x:c>
      <x:c r="G655" s="30" t="str">
        <x:v>RETAIL</x:v>
      </x:c>
      <x:c r="H655" s="30" t="str">
        <x:v>Yes</x:v>
      </x:c>
      <x:c r="I655" s="30" t="str">
        <x:v>Clinical Audit</x:v>
      </x:c>
    </x:row>
    <x:row r="656">
      <x:c r="A656" s="30" t="str">
        <x:v>REVID085</x:v>
      </x:c>
      <x:c r="B656" s="30" t="str">
        <x:v>RAUD085</x:v>
      </x:c>
      <x:c r="C656" s="30" t="str">
        <x:v>Incoming goods inspection checklist, batch verification records, acceptance reports</x:v>
      </x:c>
      <x:c r="D656" s="30" t="str">
        <x:v>Inspection Report</x:v>
      </x:c>
      <x:c r="E656" s="30" t="str">
        <x:v>Yes</x:v>
      </x:c>
      <x:c r="F656" s="30" t="str">
        <x:v>Long Term</x:v>
      </x:c>
      <x:c r="G656" s="30" t="str">
        <x:v>RETAIL</x:v>
      </x:c>
      <x:c r="H656" s="30" t="str">
        <x:v>Yes</x:v>
      </x:c>
      <x:c r="I656" s="30" t="str">
        <x:v>Inventory Verification</x:v>
      </x:c>
    </x:row>
    <x:row r="657">
      <x:c r="A657" s="30" t="str">
        <x:v>REVID086</x:v>
      </x:c>
      <x:c r="B657" s="30" t="str">
        <x:v>RAUD086</x:v>
      </x:c>
      <x:c r="C657" s="30" t="str">
        <x:v>Delivery register, proof-of-delivery records, recipient verification log, pharmacist approval</x:v>
      </x:c>
      <x:c r="D657" s="30" t="str">
        <x:v>Log Book</x:v>
      </x:c>
      <x:c r="E657" s="30" t="str">
        <x:v>Yes</x:v>
      </x:c>
      <x:c r="F657" s="30" t="str">
        <x:v>Long Term</x:v>
      </x:c>
      <x:c r="G657" s="30" t="str">
        <x:v>RETAIL</x:v>
      </x:c>
      <x:c r="H657" s="30" t="str">
        <x:v>Yes</x:v>
      </x:c>
      <x:c r="I657" s="30" t="str">
        <x:v>Transaction Verification</x:v>
      </x:c>
    </x:row>
    <x:row r="658">
      <x:c r="A658" s="30" t="str">
        <x:v>REVID087</x:v>
      </x:c>
      <x:c r="B658" s="30" t="str">
        <x:v>RAUD087</x:v>
      </x:c>
      <x:c r="C658" s="30" t="str">
        <x:v>Automated expiry reports, FEFO implementation records, stock rotation register</x:v>
      </x:c>
      <x:c r="D658" s="30" t="str">
        <x:v>Inventory Record</x:v>
      </x:c>
      <x:c r="E658" s="30" t="str">
        <x:v>Yes</x:v>
      </x:c>
      <x:c r="F658" s="30" t="str">
        <x:v>Long Term</x:v>
      </x:c>
      <x:c r="G658" s="30" t="str">
        <x:v>RETAIL</x:v>
      </x:c>
      <x:c r="H658" s="30" t="str">
        <x:v>Yes</x:v>
      </x:c>
      <x:c r="I658" s="30" t="str">
        <x:v>Inventory Audit</x:v>
      </x:c>
    </x:row>
    <x:row r="659">
      <x:c r="A659" s="30" t="str">
        <x:v>REVID088</x:v>
      </x:c>
      <x:c r="B659" s="30" t="str">
        <x:v>RAUD088</x:v>
      </x:c>
      <x:c r="C659" s="30" t="str">
        <x:v>User access register, privileged access review reports, account deactivation records</x:v>
      </x:c>
      <x:c r="D659" s="30" t="str">
        <x:v>Report</x:v>
      </x:c>
      <x:c r="E659" s="30" t="str">
        <x:v>Yes</x:v>
      </x:c>
      <x:c r="F659" s="30" t="str">
        <x:v>Long Term</x:v>
      </x:c>
      <x:c r="G659" s="30" t="str">
        <x:v>RETAIL</x:v>
      </x:c>
      <x:c r="H659" s="30" t="str">
        <x:v>Yes</x:v>
      </x:c>
      <x:c r="I659" s="30" t="str">
        <x:v>IT Security Audit</x:v>
      </x:c>
    </x:row>
    <x:row r="660">
      <x:c r="A660" s="30" t="str">
        <x:v>REVID089</x:v>
      </x:c>
      <x:c r="B660" s="30" t="str">
        <x:v>RAUD089</x:v>
      </x:c>
      <x:c r="C660" s="30" t="str">
        <x:v>Patient information leaflet inventory, version history, approval records</x:v>
      </x:c>
      <x:c r="D660" s="30" t="str">
        <x:v>Approval</x:v>
      </x:c>
      <x:c r="E660" s="30" t="str">
        <x:v>Yes</x:v>
      </x:c>
      <x:c r="F660" s="30" t="str">
        <x:v>Permanent</x:v>
      </x:c>
      <x:c r="G660" s="30" t="str">
        <x:v>RETAIL</x:v>
      </x:c>
      <x:c r="H660" s="30" t="str">
        <x:v>Yes</x:v>
      </x:c>
      <x:c r="I660" s="30" t="str">
        <x:v>Documentation Review</x:v>
      </x:c>
    </x:row>
    <x:row r="661">
      <x:c r="A661" s="30" t="str">
        <x:v>REVID090</x:v>
      </x:c>
      <x:c r="B661" s="30" t="str">
        <x:v>RAUD090</x:v>
      </x:c>
      <x:c r="C661" s="30" t="str">
        <x:v>Monthly compliance reports, management review minutes, compliance dashboard</x:v>
      </x:c>
      <x:c r="D661" s="30" t="str">
        <x:v>Report</x:v>
      </x:c>
      <x:c r="E661" s="30" t="str">
        <x:v>Yes</x:v>
      </x:c>
      <x:c r="F661" s="30" t="str">
        <x:v>Operational</x:v>
      </x:c>
      <x:c r="G661" s="30" t="str">
        <x:v>RETAIL</x:v>
      </x:c>
      <x:c r="H661" s="30" t="str">
        <x:v>Yes</x:v>
      </x:c>
      <x:c r="I661" s="30" t="str">
        <x:v>Governance Audit</x:v>
      </x:c>
    </x:row>
    <x:row r="662">
      <x:c r="A662" s="30" t="str">
        <x:v>REVID091</x:v>
      </x:c>
      <x:c r="B662" s="30" t="str">
        <x:v>RAUD091</x:v>
      </x:c>
      <x:c r="C662" s="30" t="str">
        <x:v>Reservation register, stock allocation records, cancellation log, inventory release records</x:v>
      </x:c>
      <x:c r="D662" s="30" t="str">
        <x:v>Log Book</x:v>
      </x:c>
      <x:c r="E662" s="30" t="str">
        <x:v>Yes</x:v>
      </x:c>
      <x:c r="F662" s="30" t="str">
        <x:v>Long Term</x:v>
      </x:c>
      <x:c r="G662" s="30" t="str">
        <x:v>RETAIL</x:v>
      </x:c>
      <x:c r="H662" s="30" t="str">
        <x:v>Yes</x:v>
      </x:c>
      <x:c r="I662" s="30" t="str">
        <x:v>Inventory Verification</x:v>
      </x:c>
    </x:row>
    <x:row r="663">
      <x:c r="A663" s="30" t="str">
        <x:v>REVID092</x:v>
      </x:c>
      <x:c r="B663" s="30" t="str">
        <x:v>RAUD092</x:v>
      </x:c>
      <x:c r="C663" s="30" t="str">
        <x:v>Prescription amendment register, pharmacist approval, prescriber communication records</x:v>
      </x:c>
      <x:c r="D663" s="30" t="str">
        <x:v>Prescription</x:v>
      </x:c>
      <x:c r="E663" s="30" t="str">
        <x:v>Yes</x:v>
      </x:c>
      <x:c r="F663" s="30" t="str">
        <x:v>Long Term</x:v>
      </x:c>
      <x:c r="G663" s="30" t="str">
        <x:v>RETAIL</x:v>
      </x:c>
      <x:c r="H663" s="30" t="str">
        <x:v>Yes</x:v>
      </x:c>
      <x:c r="I663" s="30" t="str">
        <x:v>Clinical Audit</x:v>
      </x:c>
    </x:row>
    <x:row r="664">
      <x:c r="A664" s="30" t="str">
        <x:v>REVID093</x:v>
      </x:c>
      <x:c r="B664" s="30" t="str">
        <x:v>RAUD093</x:v>
      </x:c>
      <x:c r="C664" s="30" t="str">
        <x:v>Electronic prescription queue reports, processing logs, workflow exception register</x:v>
      </x:c>
      <x:c r="D664" s="30" t="str">
        <x:v>Log Book</x:v>
      </x:c>
      <x:c r="E664" s="30" t="str">
        <x:v>Yes</x:v>
      </x:c>
      <x:c r="F664" s="30" t="str">
        <x:v>Long Term</x:v>
      </x:c>
      <x:c r="G664" s="30" t="str">
        <x:v>RETAIL</x:v>
      </x:c>
      <x:c r="H664" s="30" t="str">
        <x:v>Yes</x:v>
      </x:c>
      <x:c r="I664" s="30" t="str">
        <x:v>Workflow Audit</x:v>
      </x:c>
    </x:row>
    <x:row r="665">
      <x:c r="A665" s="30" t="str">
        <x:v>REVID094</x:v>
      </x:c>
      <x:c r="B665" s="30" t="str">
        <x:v>RAUD094</x:v>
      </x:c>
      <x:c r="C665" s="30" t="str">
        <x:v>Drug interaction alerts, pharmacist intervention forms, dispensing approval records</x:v>
      </x:c>
      <x:c r="D665" s="30" t="str">
        <x:v>Approval</x:v>
      </x:c>
      <x:c r="E665" s="30" t="str">
        <x:v>Yes</x:v>
      </x:c>
      <x:c r="F665" s="30" t="str">
        <x:v>Permanent</x:v>
      </x:c>
      <x:c r="G665" s="30" t="str">
        <x:v>RETAIL</x:v>
      </x:c>
      <x:c r="H665" s="30" t="str">
        <x:v>Yes</x:v>
      </x:c>
      <x:c r="I665" s="30" t="str">
        <x:v>Clinical Verification</x:v>
      </x:c>
    </x:row>
    <x:row r="666">
      <x:c r="A666" s="30" t="str">
        <x:v>REVID095</x:v>
      </x:c>
      <x:c r="B666" s="30" t="str">
        <x:v>RAUD095</x:v>
      </x:c>
      <x:c r="C666" s="30" t="str">
        <x:v>Dispensing labels, label verification checklist, pharmacist approval records</x:v>
      </x:c>
      <x:c r="D666" s="30" t="str">
        <x:v>Approval</x:v>
      </x:c>
      <x:c r="E666" s="30" t="str">
        <x:v>Yes</x:v>
      </x:c>
      <x:c r="F666" s="30" t="str">
        <x:v>Permanent</x:v>
      </x:c>
      <x:c r="G666" s="30" t="str">
        <x:v>RETAIL</x:v>
      </x:c>
      <x:c r="H666" s="30" t="str">
        <x:v>Yes</x:v>
      </x:c>
      <x:c r="I666" s="30" t="str">
        <x:v>Sample Verification</x:v>
      </x:c>
    </x:row>
    <x:row r="667">
      <x:c r="A667" s="30" t="str">
        <x:v>REVID096</x:v>
      </x:c>
      <x:c r="B667" s="30" t="str">
        <x:v>RAUD096</x:v>
      </x:c>
      <x:c r="C667" s="30" t="str">
        <x:v>Shelf inspection reports, restricted access verification checklist, inspection photographs</x:v>
      </x:c>
      <x:c r="D667" s="30" t="str">
        <x:v>Inspection Report</x:v>
      </x:c>
      <x:c r="E667" s="30" t="str">
        <x:v>Yes</x:v>
      </x:c>
      <x:c r="F667" s="30" t="str">
        <x:v>Statutory</x:v>
      </x:c>
      <x:c r="G667" s="30" t="str">
        <x:v>RETAIL</x:v>
      </x:c>
      <x:c r="H667" s="30" t="str">
        <x:v>Yes</x:v>
      </x:c>
      <x:c r="I667" s="30" t="str">
        <x:v>Physical Verification</x:v>
      </x:c>
    </x:row>
    <x:row r="668">
      <x:c r="A668" s="30" t="str">
        <x:v>REVID097</x:v>
      </x:c>
      <x:c r="B668" s="30" t="str">
        <x:v>RAUD097</x:v>
      </x:c>
      <x:c r="C668" s="30" t="str">
        <x:v>Dispensing incident register, RCA report, CAPA documentation, effectiveness review</x:v>
      </x:c>
      <x:c r="D668" s="30" t="str">
        <x:v>Report</x:v>
      </x:c>
      <x:c r="E668" s="30" t="str">
        <x:v>Yes</x:v>
      </x:c>
      <x:c r="F668" s="30" t="str">
        <x:v>Operational</x:v>
      </x:c>
      <x:c r="G668" s="30" t="str">
        <x:v>RETAIL</x:v>
      </x:c>
      <x:c r="H668" s="30" t="str">
        <x:v>Yes</x:v>
      </x:c>
      <x:c r="I668" s="30" t="str">
        <x:v>Incident Audit</x:v>
      </x:c>
    </x:row>
    <x:row r="669">
      <x:c r="A669" s="30" t="str">
        <x:v>REVID098</x:v>
      </x:c>
      <x:c r="B669" s="30" t="str">
        <x:v>RAUD098</x:v>
      </x:c>
      <x:c r="C669" s="30" t="str">
        <x:v>System uptime reports, outage investigation reports, recovery logs</x:v>
      </x:c>
      <x:c r="D669" s="30" t="str">
        <x:v>Log Book</x:v>
      </x:c>
      <x:c r="E669" s="30" t="str">
        <x:v>Yes</x:v>
      </x:c>
      <x:c r="F669" s="30" t="str">
        <x:v>Long Term</x:v>
      </x:c>
      <x:c r="G669" s="30" t="str">
        <x:v>RETAIL</x:v>
      </x:c>
      <x:c r="H669" s="30" t="str">
        <x:v>Yes</x:v>
      </x:c>
      <x:c r="I669" s="30" t="str">
        <x:v>IT Operations Audit</x:v>
      </x:c>
    </x:row>
    <x:row r="670">
      <x:c r="A670" s="30" t="str">
        <x:v>REVID099</x:v>
      </x:c>
      <x:c r="B670" s="30" t="str">
        <x:v>RAUD099</x:v>
      </x:c>
      <x:c r="C670" s="30" t="str">
        <x:v>Pharmacy licence display photographs, statutory notice checklist, public disclosure verification report</x:v>
      </x:c>
      <x:c r="D670" s="30" t="str">
        <x:v>License</x:v>
      </x:c>
      <x:c r="E670" s="30" t="str">
        <x:v>Yes</x:v>
      </x:c>
      <x:c r="F670" s="30" t="str">
        <x:v>Permanent</x:v>
      </x:c>
      <x:c r="G670" s="30" t="str">
        <x:v>RETAIL</x:v>
      </x:c>
      <x:c r="H670" s="30" t="str">
        <x:v>Yes</x:v>
      </x:c>
      <x:c r="I670" s="30" t="str">
        <x:v>Compliance Inspection</x:v>
      </x:c>
    </x:row>
    <x:row r="671">
      <x:c r="A671" s="30" t="str">
        <x:v>REVID100</x:v>
      </x:c>
      <x:c r="B671" s="30" t="str">
        <x:v>RAUD100</x:v>
      </x:c>
      <x:c r="C671" s="30" t="str">
        <x:v>Compliance maturity assessment report, scoring methodology, improvement roadmap, executive approval</x:v>
      </x:c>
      <x:c r="D671" s="30" t="str">
        <x:v>Log Book</x:v>
      </x:c>
      <x:c r="E671" s="30" t="str">
        <x:v>Yes</x:v>
      </x:c>
      <x:c r="F671" s="30" t="str">
        <x:v>Operational</x:v>
      </x:c>
      <x:c r="G671" s="30" t="str">
        <x:v>RETAIL</x:v>
      </x:c>
      <x:c r="H671" s="30" t="str">
        <x:v>Yes</x:v>
      </x:c>
      <x:c r="I671" s="30" t="str">
        <x:v>Governance Verification</x:v>
      </x:c>
    </x:row>
    <x:row r="672">
      <x:c r="A672" s="30" t="str">
        <x:v>REVID101</x:v>
      </x:c>
      <x:c r="B672" s="30" t="str">
        <x:v>RAUD101</x:v>
      </x:c>
      <x:c r="C672" s="30" t="str">
        <x:v>Customer identity verification register, access log, retention schedule, authorization records</x:v>
      </x:c>
      <x:c r="D672" s="30" t="str">
        <x:v>Log Book</x:v>
      </x:c>
      <x:c r="E672" s="30" t="str">
        <x:v>Yes</x:v>
      </x:c>
      <x:c r="F672" s="30" t="str">
        <x:v>Long Term</x:v>
      </x:c>
      <x:c r="G672" s="30" t="str">
        <x:v>RETAIL</x:v>
      </x:c>
      <x:c r="H672" s="30" t="str">
        <x:v>Yes</x:v>
      </x:c>
      <x:c r="I672" s="30" t="str">
        <x:v>Privacy Audit</x:v>
      </x:c>
    </x:row>
    <x:row r="673">
      <x:c r="A673" s="30" t="str">
        <x:v>REVID102</x:v>
      </x:c>
      <x:c r="B673" s="30" t="str">
        <x:v>RAUD102</x:v>
      </x:c>
      <x:c r="C673" s="30" t="str">
        <x:v>Prescription revalidation register, pharmacist approval records, dispensing history</x:v>
      </x:c>
      <x:c r="D673" s="30" t="str">
        <x:v>Prescription</x:v>
      </x:c>
      <x:c r="E673" s="30" t="str">
        <x:v>Yes</x:v>
      </x:c>
      <x:c r="F673" s="30" t="str">
        <x:v>Long Term</x:v>
      </x:c>
      <x:c r="G673" s="30" t="str">
        <x:v>RETAIL</x:v>
      </x:c>
      <x:c r="H673" s="30" t="str">
        <x:v>Yes</x:v>
      </x:c>
      <x:c r="I673" s="30" t="str">
        <x:v>Clinical Verification</x:v>
      </x:c>
    </x:row>
    <x:row r="674">
      <x:c r="A674" s="30" t="str">
        <x:v>REVID103</x:v>
      </x:c>
      <x:c r="B674" s="30" t="str">
        <x:v>RAUD103</x:v>
      </x:c>
      <x:c r="C674" s="30" t="str">
        <x:v>Digital approval logs, electronic signature verification reports, audit trail records</x:v>
      </x:c>
      <x:c r="D674" s="30" t="str">
        <x:v>Log Book</x:v>
      </x:c>
      <x:c r="E674" s="30" t="str">
        <x:v>Yes</x:v>
      </x:c>
      <x:c r="F674" s="30" t="str">
        <x:v>Operational</x:v>
      </x:c>
      <x:c r="G674" s="30" t="str">
        <x:v>RETAIL</x:v>
      </x:c>
      <x:c r="H674" s="30" t="str">
        <x:v>Yes</x:v>
      </x:c>
      <x:c r="I674" s="30" t="str">
        <x:v>IT Security Audit</x:v>
      </x:c>
    </x:row>
    <x:row r="675">
      <x:c r="A675" s="30" t="str">
        <x:v>REVID104</x:v>
      </x:c>
      <x:c r="B675" s="30" t="str">
        <x:v>RAUD104</x:v>
      </x:c>
      <x:c r="C675" s="30" t="str">
        <x:v>Returned medicine assessment forms, pharmacist evaluation records, disposition approvals</x:v>
      </x:c>
      <x:c r="D675" s="30" t="str">
        <x:v>Approval</x:v>
      </x:c>
      <x:c r="E675" s="30" t="str">
        <x:v>Yes</x:v>
      </x:c>
      <x:c r="F675" s="30" t="str">
        <x:v>Permanent</x:v>
      </x:c>
      <x:c r="G675" s="30" t="str">
        <x:v>RETAIL</x:v>
      </x:c>
      <x:c r="H675" s="30" t="str">
        <x:v>Yes</x:v>
      </x:c>
      <x:c r="I675" s="30" t="str">
        <x:v>Quality Audit</x:v>
      </x:c>
    </x:row>
    <x:row r="676">
      <x:c r="A676" s="30" t="str">
        <x:v>REVID105</x:v>
      </x:c>
      <x:c r="B676" s="30" t="str">
        <x:v>RAUD105</x:v>
      </x:c>
      <x:c r="C676" s="30" t="str">
        <x:v>Mock recall exercise report, traceability test results, CAPA records</x:v>
      </x:c>
      <x:c r="D676" s="30" t="str">
        <x:v>Report</x:v>
      </x:c>
      <x:c r="E676" s="30" t="str">
        <x:v>Yes</x:v>
      </x:c>
      <x:c r="F676" s="30" t="str">
        <x:v>Operational</x:v>
      </x:c>
      <x:c r="G676" s="30" t="str">
        <x:v>RETAIL</x:v>
      </x:c>
      <x:c r="H676" s="30" t="str">
        <x:v>Yes</x:v>
      </x:c>
      <x:c r="I676" s="30" t="str">
        <x:v>Recall Verification</x:v>
      </x:c>
    </x:row>
    <x:row r="677">
      <x:c r="A677" s="30" t="str">
        <x:v>REVID106</x:v>
      </x:c>
      <x:c r="B677" s="30" t="str">
        <x:v>RAUD106</x:v>
      </x:c>
      <x:c r="C677" s="30" t="str">
        <x:v>Reservation expiry report, inventory release records, system alert logs</x:v>
      </x:c>
      <x:c r="D677" s="30" t="str">
        <x:v>Log Book</x:v>
      </x:c>
      <x:c r="E677" s="30" t="str">
        <x:v>Yes</x:v>
      </x:c>
      <x:c r="F677" s="30" t="str">
        <x:v>Long Term</x:v>
      </x:c>
      <x:c r="G677" s="30" t="str">
        <x:v>RETAIL</x:v>
      </x:c>
      <x:c r="H677" s="30" t="str">
        <x:v>Yes</x:v>
      </x:c>
      <x:c r="I677" s="30" t="str">
        <x:v>Inventory Audit</x:v>
      </x:c>
    </x:row>
    <x:row r="678">
      <x:c r="A678" s="30" t="str">
        <x:v>REVID107</x:v>
      </x:c>
      <x:c r="B678" s="30" t="str">
        <x:v>RAUD107</x:v>
      </x:c>
      <x:c r="C678" s="30" t="str">
        <x:v>Inventory adjustment register, approval workflow, supporting investigation documents</x:v>
      </x:c>
      <x:c r="D678" s="30" t="str">
        <x:v>Approval</x:v>
      </x:c>
      <x:c r="E678" s="30" t="str">
        <x:v>Yes</x:v>
      </x:c>
      <x:c r="F678" s="30" t="str">
        <x:v>Permanent</x:v>
      </x:c>
      <x:c r="G678" s="30" t="str">
        <x:v>RETAIL</x:v>
      </x:c>
      <x:c r="H678" s="30" t="str">
        <x:v>Yes</x:v>
      </x:c>
      <x:c r="I678" s="30" t="str">
        <x:v>Governance Audit</x:v>
      </x:c>
    </x:row>
    <x:row r="679">
      <x:c r="A679" s="30" t="str">
        <x:v>REVID108</x:v>
      </x:c>
      <x:c r="B679" s="30" t="str">
        <x:v>RAUD108</x:v>
      </x:c>
      <x:c r="C679" s="30" t="str">
        <x:v>Software change requests, test evidence, deployment approvals, rollback records</x:v>
      </x:c>
      <x:c r="D679" s="30" t="str">
        <x:v>Digital Record</x:v>
      </x:c>
      <x:c r="E679" s="30" t="str">
        <x:v>Yes</x:v>
      </x:c>
      <x:c r="F679" s="30" t="str">
        <x:v>Operational</x:v>
      </x:c>
      <x:c r="G679" s="30" t="str">
        <x:v>RETAIL</x:v>
      </x:c>
      <x:c r="H679" s="30" t="str">
        <x:v>Yes</x:v>
      </x:c>
      <x:c r="I679" s="30" t="str">
        <x:v>IT Audit</x:v>
      </x:c>
    </x:row>
    <x:row r="680">
      <x:c r="A680" s="30" t="str">
        <x:v>REVID109</x:v>
      </x:c>
      <x:c r="B680" s="30" t="str">
        <x:v>RAUD109</x:v>
      </x:c>
      <x:c r="C680" s="30" t="str">
        <x:v>Educational material approval register, version history, periodic review records</x:v>
      </x:c>
      <x:c r="D680" s="30" t="str">
        <x:v>Approval</x:v>
      </x:c>
      <x:c r="E680" s="30" t="str">
        <x:v>Yes</x:v>
      </x:c>
      <x:c r="F680" s="30" t="str">
        <x:v>Permanent</x:v>
      </x:c>
      <x:c r="G680" s="30" t="str">
        <x:v>RETAIL</x:v>
      </x:c>
      <x:c r="H680" s="30" t="str">
        <x:v>Yes</x:v>
      </x:c>
      <x:c r="I680" s="30" t="str">
        <x:v>Documentation Review</x:v>
      </x:c>
    </x:row>
    <x:row r="681">
      <x:c r="A681" s="30" t="str">
        <x:v>REVID110</x:v>
      </x:c>
      <x:c r="B681" s="30" t="str">
        <x:v>RAUD110</x:v>
      </x:c>
      <x:c r="C681" s="30" t="str">
        <x:v>Management review minutes, attendance records, decision log, action tracker</x:v>
      </x:c>
      <x:c r="D681" s="30" t="str">
        <x:v>Log Book</x:v>
      </x:c>
      <x:c r="E681" s="30" t="str">
        <x:v>Yes</x:v>
      </x:c>
      <x:c r="F681" s="30" t="str">
        <x:v>Operational</x:v>
      </x:c>
      <x:c r="G681" s="30" t="str">
        <x:v>RETAIL</x:v>
      </x:c>
      <x:c r="H681" s="30" t="str">
        <x:v>Yes</x:v>
      </x:c>
      <x:c r="I681" s="30" t="str">
        <x:v>Governance Audit</x:v>
      </x:c>
    </x:row>
    <x:row r="682">
      <x:c r="A682" s="30" t="str">
        <x:v>REVID111</x:v>
      </x:c>
      <x:c r="B682" s="30" t="str">
        <x:v>RAUD111</x:v>
      </x:c>
      <x:c r="C682" s="30" t="str">
        <x:v>Authorized representative forms, identity verification documents, medicine collection acknowledgement</x:v>
      </x:c>
      <x:c r="D682" s="30" t="str">
        <x:v>Approval</x:v>
      </x:c>
      <x:c r="E682" s="30" t="str">
        <x:v>Yes</x:v>
      </x:c>
      <x:c r="F682" s="30" t="str">
        <x:v>Permanent</x:v>
      </x:c>
      <x:c r="G682" s="30" t="str">
        <x:v>RETAIL</x:v>
      </x:c>
      <x:c r="H682" s="30" t="str">
        <x:v>Yes</x:v>
      </x:c>
      <x:c r="I682" s="30" t="str">
        <x:v>Transaction Verification</x:v>
      </x:c>
    </x:row>
    <x:row r="683">
      <x:c r="A683" s="30" t="str">
        <x:v>REVID112</x:v>
      </x:c>
      <x:c r="B683" s="30" t="str">
        <x:v>RAUD112</x:v>
      </x:c>
      <x:c r="C683" s="30" t="str">
        <x:v>Prescription clarification register, prescriber communication log, pharmacist notes</x:v>
      </x:c>
      <x:c r="D683" s="30" t="str">
        <x:v>Log Book</x:v>
      </x:c>
      <x:c r="E683" s="30" t="str">
        <x:v>Yes</x:v>
      </x:c>
      <x:c r="F683" s="30" t="str">
        <x:v>Long Term</x:v>
      </x:c>
      <x:c r="G683" s="30" t="str">
        <x:v>RETAIL</x:v>
      </x:c>
      <x:c r="H683" s="30" t="str">
        <x:v>Yes</x:v>
      </x:c>
      <x:c r="I683" s="30" t="str">
        <x:v>Clinical Audit</x:v>
      </x:c>
    </x:row>
    <x:row r="684">
      <x:c r="A684" s="30" t="str">
        <x:v>REVID113</x:v>
      </x:c>
      <x:c r="B684" s="30" t="str">
        <x:v>RAUD113</x:v>
      </x:c>
      <x:c r="C684" s="30" t="str">
        <x:v>Electronic archive reports, backup verification logs, retrieval test records</x:v>
      </x:c>
      <x:c r="D684" s="30" t="str">
        <x:v>Log Book</x:v>
      </x:c>
      <x:c r="E684" s="30" t="str">
        <x:v>Yes</x:v>
      </x:c>
      <x:c r="F684" s="30" t="str">
        <x:v>Operational</x:v>
      </x:c>
      <x:c r="G684" s="30" t="str">
        <x:v>RETAIL</x:v>
      </x:c>
      <x:c r="H684" s="30" t="str">
        <x:v>Yes</x:v>
      </x:c>
      <x:c r="I684" s="30" t="str">
        <x:v>Records Audit</x:v>
      </x:c>
    </x:row>
    <x:row r="685">
      <x:c r="A685" s="30" t="str">
        <x:v>REVID114</x:v>
      </x:c>
      <x:c r="B685" s="30" t="str">
        <x:v>RAUD114</x:v>
      </x:c>
      <x:c r="C685" s="30" t="str">
        <x:v>Shelf organization checklist, medicine classification report, inspection photographs</x:v>
      </x:c>
      <x:c r="D685" s="30" t="str">
        <x:v>Inspection Report</x:v>
      </x:c>
      <x:c r="E685" s="30" t="str">
        <x:v>Yes</x:v>
      </x:c>
      <x:c r="F685" s="30" t="str">
        <x:v>Statutory</x:v>
      </x:c>
      <x:c r="G685" s="30" t="str">
        <x:v>RETAIL</x:v>
      </x:c>
      <x:c r="H685" s="30" t="str">
        <x:v>Yes</x:v>
      </x:c>
      <x:c r="I685" s="30" t="str">
        <x:v>Physical Inspection</x:v>
      </x:c>
    </x:row>
    <x:row r="686">
      <x:c r="A686" s="30" t="str">
        <x:v>REVID115</x:v>
      </x:c>
      <x:c r="B686" s="30" t="str">
        <x:v>RAUD115</x:v>
      </x:c>
      <x:c r="C686" s="30" t="str">
        <x:v>Recall closure report, recovered stock reconciliation, management approval, closure certificate</x:v>
      </x:c>
      <x:c r="D686" s="30" t="str">
        <x:v>Certificate</x:v>
      </x:c>
      <x:c r="E686" s="30" t="str">
        <x:v>Yes</x:v>
      </x:c>
      <x:c r="F686" s="30" t="str">
        <x:v>Permanent</x:v>
      </x:c>
      <x:c r="G686" s="30" t="str">
        <x:v>RETAIL</x:v>
      </x:c>
      <x:c r="H686" s="30" t="str">
        <x:v>Yes</x:v>
      </x:c>
      <x:c r="I686" s="30" t="str">
        <x:v>Recall Audit</x:v>
      </x:c>
    </x:row>
    <x:row r="687">
      <x:c r="A687" s="30" t="str">
        <x:v>REVID116</x:v>
      </x:c>
      <x:c r="B687" s="30" t="str">
        <x:v>RAUD116</x:v>
      </x:c>
      <x:c r="C687" s="30" t="str">
        <x:v>Appointment register, attendance records, cancellation log, follow-up documentation</x:v>
      </x:c>
      <x:c r="D687" s="30" t="str">
        <x:v>Log Book</x:v>
      </x:c>
      <x:c r="E687" s="30" t="str">
        <x:v>Yes</x:v>
      </x:c>
      <x:c r="F687" s="30" t="str">
        <x:v>Operational</x:v>
      </x:c>
      <x:c r="G687" s="30" t="str">
        <x:v>RETAIL</x:v>
      </x:c>
      <x:c r="H687" s="30" t="str">
        <x:v>Yes</x:v>
      </x:c>
      <x:c r="I687" s="30" t="str">
        <x:v>Operational Audit</x:v>
      </x:c>
    </x:row>
    <x:row r="688">
      <x:c r="A688" s="30" t="str">
        <x:v>REVID117</x:v>
      </x:c>
      <x:c r="B688" s="30" t="str">
        <x:v>RAUD117</x:v>
      </x:c>
      <x:c r="C688" s="30" t="str">
        <x:v>Inventory anomaly investigation report, RCA documentation, CAPA records</x:v>
      </x:c>
      <x:c r="D688" s="30" t="str">
        <x:v>Inventory Record</x:v>
      </x:c>
      <x:c r="E688" s="30" t="str">
        <x:v>Yes</x:v>
      </x:c>
      <x:c r="F688" s="30" t="str">
        <x:v>Operational</x:v>
      </x:c>
      <x:c r="G688" s="30" t="str">
        <x:v>RETAIL</x:v>
      </x:c>
      <x:c r="H688" s="30" t="str">
        <x:v>Yes</x:v>
      </x:c>
      <x:c r="I688" s="30" t="str">
        <x:v>Inventory Audit</x:v>
      </x:c>
    </x:row>
    <x:row r="689">
      <x:c r="A689" s="30" t="str">
        <x:v>REVID118</x:v>
      </x:c>
      <x:c r="B689" s="30" t="str">
        <x:v>RAUD118</x:v>
      </x:c>
      <x:c r="C689" s="30" t="str">
        <x:v>Security monitoring logs, cybersecurity incident reports, response documentation</x:v>
      </x:c>
      <x:c r="D689" s="30" t="str">
        <x:v>Log Book</x:v>
      </x:c>
      <x:c r="E689" s="30" t="str">
        <x:v>Yes</x:v>
      </x:c>
      <x:c r="F689" s="30" t="str">
        <x:v>Operational</x:v>
      </x:c>
      <x:c r="G689" s="30" t="str">
        <x:v>RETAIL</x:v>
      </x:c>
      <x:c r="H689" s="30" t="str">
        <x:v>Yes</x:v>
      </x:c>
      <x:c r="I689" s="30" t="str">
        <x:v>IT Security Audit</x:v>
      </x:c>
    </x:row>
    <x:row r="690">
      <x:c r="A690" s="30" t="str">
        <x:v>REVID119</x:v>
      </x:c>
      <x:c r="B690" s="30" t="str">
        <x:v>RAUD119</x:v>
      </x:c>
      <x:c r="C690" s="30" t="str">
        <x:v>Public health display checklist, antimicrobial stewardship notices, ADR reporting information, inspection photographs</x:v>
      </x:c>
      <x:c r="D690" s="30" t="str">
        <x:v>Inspection Report</x:v>
      </x:c>
      <x:c r="E690" s="30" t="str">
        <x:v>Yes</x:v>
      </x:c>
      <x:c r="F690" s="30" t="str">
        <x:v>Statutory</x:v>
      </x:c>
      <x:c r="G690" s="30" t="str">
        <x:v>RETAIL</x:v>
      </x:c>
      <x:c r="H690" s="30" t="str">
        <x:v>Yes</x:v>
      </x:c>
      <x:c r="I690" s="30" t="str">
        <x:v>Visual Verification</x:v>
      </x:c>
    </x:row>
    <x:row r="691">
      <x:c r="A691" s="30" t="str">
        <x:v>REVID120</x:v>
      </x:c>
      <x:c r="B691" s="30" t="str">
        <x:v>RAUD120</x:v>
      </x:c>
      <x:c r="C691" s="30" t="str">
        <x:v>Compliance improvement programme, progress reports, KPI reviews, executive approval records</x:v>
      </x:c>
      <x:c r="D691" s="30" t="str">
        <x:v>Approval</x:v>
      </x:c>
      <x:c r="E691" s="30" t="str">
        <x:v>Yes</x:v>
      </x:c>
      <x:c r="F691" s="30" t="str">
        <x:v>Permanent</x:v>
      </x:c>
      <x:c r="G691" s="30" t="str">
        <x:v>RETAIL</x:v>
      </x:c>
      <x:c r="H691" s="30" t="str">
        <x:v>Yes</x:v>
      </x:c>
      <x:c r="I691" s="30" t="str">
        <x:v>Governance Verification</x:v>
      </x:c>
    </x:row>
    <x:row r="692">
      <x:c r="A692" s="30" t="str">
        <x:v>REVID121</x:v>
      </x:c>
      <x:c r="B692" s="30" t="str">
        <x:v>RAUD121</x:v>
      </x:c>
      <x:c r="C692" s="30" t="str">
        <x:v>Dual verification register, verifier signatures, dispensing records, pharmacist authorization</x:v>
      </x:c>
      <x:c r="D692" s="30" t="str">
        <x:v>Approval</x:v>
      </x:c>
      <x:c r="E692" s="30" t="str">
        <x:v>Yes</x:v>
      </x:c>
      <x:c r="F692" s="30" t="str">
        <x:v>Permanent</x:v>
      </x:c>
      <x:c r="G692" s="30" t="str">
        <x:v>RETAIL</x:v>
      </x:c>
      <x:c r="H692" s="30" t="str">
        <x:v>Yes</x:v>
      </x:c>
      <x:c r="I692" s="30" t="str">
        <x:v>Transaction Verification</x:v>
      </x:c>
    </x:row>
    <x:row r="693">
      <x:c r="A693" s="30" t="str">
        <x:v>REVID122</x:v>
      </x:c>
      <x:c r="B693" s="30" t="str">
        <x:v>RAUD122</x:v>
      </x:c>
      <x:c r="C693" s="30" t="str">
        <x:v>Prescription completeness checklist, pending prescription register, pharmacist review records</x:v>
      </x:c>
      <x:c r="D693" s="30" t="str">
        <x:v>Prescription</x:v>
      </x:c>
      <x:c r="E693" s="30" t="str">
        <x:v>Yes</x:v>
      </x:c>
      <x:c r="F693" s="30" t="str">
        <x:v>Long Term</x:v>
      </x:c>
      <x:c r="G693" s="30" t="str">
        <x:v>RETAIL</x:v>
      </x:c>
      <x:c r="H693" s="30" t="str">
        <x:v>Yes</x:v>
      </x:c>
      <x:c r="I693" s="30" t="str">
        <x:v>Record Review</x:v>
      </x:c>
    </x:row>
    <x:row r="694">
      <x:c r="A694" s="30" t="str">
        <x:v>REVID123</x:v>
      </x:c>
      <x:c r="B694" s="30" t="str">
        <x:v>RAUD123</x:v>
      </x:c>
      <x:c r="C694" s="30" t="str">
        <x:v>System audit logs, retention reports, archive verification records, log integrity reports</x:v>
      </x:c>
      <x:c r="D694" s="30" t="str">
        <x:v>Log Book</x:v>
      </x:c>
      <x:c r="E694" s="30" t="str">
        <x:v>Yes</x:v>
      </x:c>
      <x:c r="F694" s="30" t="str">
        <x:v>Operational</x:v>
      </x:c>
      <x:c r="G694" s="30" t="str">
        <x:v>RETAIL</x:v>
      </x:c>
      <x:c r="H694" s="30" t="str">
        <x:v>Yes</x:v>
      </x:c>
      <x:c r="I694" s="30" t="str">
        <x:v>IT Audit</x:v>
      </x:c>
    </x:row>
    <x:row r="695">
      <x:c r="A695" s="30" t="str">
        <x:v>REVID124</x:v>
      </x:c>
      <x:c r="B695" s="30" t="str">
        <x:v>RAUD124</x:v>
      </x:c>
      <x:c r="C695" s="30" t="str">
        <x:v>Dispensing verification checklist, batch verification records, expiry confirmation log</x:v>
      </x:c>
      <x:c r="D695" s="30" t="str">
        <x:v>Log Book</x:v>
      </x:c>
      <x:c r="E695" s="30" t="str">
        <x:v>Yes</x:v>
      </x:c>
      <x:c r="F695" s="30" t="str">
        <x:v>Long Term</x:v>
      </x:c>
      <x:c r="G695" s="30" t="str">
        <x:v>RETAIL</x:v>
      </x:c>
      <x:c r="H695" s="30" t="str">
        <x:v>Yes</x:v>
      </x:c>
      <x:c r="I695" s="30" t="str">
        <x:v>Sample Verification</x:v>
      </x:c>
    </x:row>
    <x:row r="696">
      <x:c r="A696" s="30" t="str">
        <x:v>REVID125</x:v>
      </x:c>
      <x:c r="B696" s="30" t="str">
        <x:v>RAUD125</x:v>
      </x:c>
      <x:c r="C696" s="30" t="str">
        <x:v>Critical recall register, escalation log, management approval, closure documentation</x:v>
      </x:c>
      <x:c r="D696" s="30" t="str">
        <x:v>Log Book</x:v>
      </x:c>
      <x:c r="E696" s="30" t="str">
        <x:v>Yes</x:v>
      </x:c>
      <x:c r="F696" s="30" t="str">
        <x:v>Operational</x:v>
      </x:c>
      <x:c r="G696" s="30" t="str">
        <x:v>RETAIL</x:v>
      </x:c>
      <x:c r="H696" s="30" t="str">
        <x:v>Yes</x:v>
      </x:c>
      <x:c r="I696" s="30" t="str">
        <x:v>Recall Audit</x:v>
      </x:c>
    </x:row>
    <x:row r="697">
      <x:c r="A697" s="30" t="str">
        <x:v>REVID126</x:v>
      </x:c>
      <x:c r="B697" s="30" t="str">
        <x:v>RAUD126</x:v>
      </x:c>
      <x:c r="C697" s="30" t="str">
        <x:v>Online reservation validation reports, customer verification records, reservation log</x:v>
      </x:c>
      <x:c r="D697" s="30" t="str">
        <x:v>Log Book</x:v>
      </x:c>
      <x:c r="E697" s="30" t="str">
        <x:v>Yes</x:v>
      </x:c>
      <x:c r="F697" s="30" t="str">
        <x:v>Long Term</x:v>
      </x:c>
      <x:c r="G697" s="30" t="str">
        <x:v>RETAIL</x:v>
      </x:c>
      <x:c r="H697" s="30" t="str">
        <x:v>Yes</x:v>
      </x:c>
      <x:c r="I697" s="30" t="str">
        <x:v>Transaction Verification</x:v>
      </x:c>
    </x:row>
    <x:row r="698">
      <x:c r="A698" s="30" t="str">
        <x:v>REVID127</x:v>
      </x:c>
      <x:c r="B698" s="30" t="str">
        <x:v>RAUD127</x:v>
      </x:c>
      <x:c r="C698" s="30" t="str">
        <x:v>Inventory adjustment approvals, investigation reports, management authorization records</x:v>
      </x:c>
      <x:c r="D698" s="30" t="str">
        <x:v>Approval</x:v>
      </x:c>
      <x:c r="E698" s="30" t="str">
        <x:v>Yes</x:v>
      </x:c>
      <x:c r="F698" s="30" t="str">
        <x:v>Permanent</x:v>
      </x:c>
      <x:c r="G698" s="30" t="str">
        <x:v>RETAIL</x:v>
      </x:c>
      <x:c r="H698" s="30" t="str">
        <x:v>Yes</x:v>
      </x:c>
      <x:c r="I698" s="30" t="str">
        <x:v>Governance Audit</x:v>
      </x:c>
    </x:row>
    <x:row r="699">
      <x:c r="A699" s="30" t="str">
        <x:v>REVID128</x:v>
      </x:c>
      <x:c r="B699" s="30" t="str">
        <x:v>RAUD128</x:v>
      </x:c>
      <x:c r="C699" s="30" t="str">
        <x:v>Backup restoration reports, recovery validation reports, management approvals</x:v>
      </x:c>
      <x:c r="D699" s="30" t="str">
        <x:v>Approval</x:v>
      </x:c>
      <x:c r="E699" s="30" t="str">
        <x:v>Yes</x:v>
      </x:c>
      <x:c r="F699" s="30" t="str">
        <x:v>Permanent</x:v>
      </x:c>
      <x:c r="G699" s="30" t="str">
        <x:v>RETAIL</x:v>
      </x:c>
      <x:c r="H699" s="30" t="str">
        <x:v>Yes</x:v>
      </x:c>
      <x:c r="I699" s="30" t="str">
        <x:v>Recovery Verification</x:v>
      </x:c>
    </x:row>
    <x:row r="700">
      <x:c r="A700" s="30" t="str">
        <x:v>REVID129</x:v>
      </x:c>
      <x:c r="B700" s="30" t="str">
        <x:v>RAUD129</x:v>
      </x:c>
      <x:c r="C700" s="30" t="str">
        <x:v>Educational programme approval, scientific review records, presentation materials, attendance register</x:v>
      </x:c>
      <x:c r="D700" s="30" t="str">
        <x:v>Approval</x:v>
      </x:c>
      <x:c r="E700" s="30" t="str">
        <x:v>Yes</x:v>
      </x:c>
      <x:c r="F700" s="30" t="str">
        <x:v>Permanent</x:v>
      </x:c>
      <x:c r="G700" s="30" t="str">
        <x:v>RETAIL</x:v>
      </x:c>
      <x:c r="H700" s="30" t="str">
        <x:v>Yes</x:v>
      </x:c>
      <x:c r="I700" s="30" t="str">
        <x:v>Programme Verification</x:v>
      </x:c>
    </x:row>
    <x:row r="701">
      <x:c r="A701" s="30" t="str">
        <x:v>REVID130</x:v>
      </x:c>
      <x:c r="B701" s="30" t="str">
        <x:v>RAUD130</x:v>
      </x:c>
      <x:c r="C701" s="30" t="str">
        <x:v>Compliance risk register, mitigation tracker, management review minutes, risk assessment reports</x:v>
      </x:c>
      <x:c r="D701" s="30" t="str">
        <x:v>Report</x:v>
      </x:c>
      <x:c r="E701" s="30" t="str">
        <x:v>Yes</x:v>
      </x:c>
      <x:c r="F701" s="30" t="str">
        <x:v>Operational</x:v>
      </x:c>
      <x:c r="G701" s="30" t="str">
        <x:v>RETAIL</x:v>
      </x:c>
      <x:c r="H701" s="30" t="str">
        <x:v>Yes</x:v>
      </x:c>
      <x:c r="I701" s="30" t="str">
        <x:v>Risk Audit</x:v>
      </x:c>
    </x:row>
    <x:row r="702">
      <x:c r="A702" s="30" t="str">
        <x:v>REVID131</x:v>
      </x:c>
      <x:c r="B702" s="30" t="str">
        <x:v>RAUD131</x:v>
      </x:c>
      <x:c r="C702" s="30" t="str">
        <x:v>Pharmacist authorization log, dispensing approval record, medicine handover acknowledgement</x:v>
      </x:c>
      <x:c r="D702" s="30" t="str">
        <x:v>Log Book</x:v>
      </x:c>
      <x:c r="E702" s="30" t="str">
        <x:v>Yes</x:v>
      </x:c>
      <x:c r="F702" s="30" t="str">
        <x:v>Long Term</x:v>
      </x:c>
      <x:c r="G702" s="30" t="str">
        <x:v>RETAIL</x:v>
      </x:c>
      <x:c r="H702" s="30" t="str">
        <x:v>Yes</x:v>
      </x:c>
      <x:c r="I702" s="30" t="str">
        <x:v>Transaction Audit</x:v>
      </x:c>
    </x:row>
    <x:row r="703">
      <x:c r="A703" s="30" t="str">
        <x:v>REVID132</x:v>
      </x:c>
      <x:c r="B703" s="30" t="str">
        <x:v>RAUD132</x:v>
      </x:c>
      <x:c r="C703" s="30" t="str">
        <x:v>Prescription archive review reports, retention verification checklist, secure storage inspection records</x:v>
      </x:c>
      <x:c r="D703" s="30" t="str">
        <x:v>Prescription</x:v>
      </x:c>
      <x:c r="E703" s="30" t="str">
        <x:v>Yes</x:v>
      </x:c>
      <x:c r="F703" s="30" t="str">
        <x:v>Long Term</x:v>
      </x:c>
      <x:c r="G703" s="30" t="str">
        <x:v>RETAIL</x:v>
      </x:c>
      <x:c r="H703" s="30" t="str">
        <x:v>Yes</x:v>
      </x:c>
      <x:c r="I703" s="30" t="str">
        <x:v>Records Audit</x:v>
      </x:c>
    </x:row>
    <x:row r="704">
      <x:c r="A704" s="30" t="str">
        <x:v>REVID133</x:v>
      </x:c>
      <x:c r="B704" s="30" t="str">
        <x:v>RAUD133</x:v>
      </x:c>
      <x:c r="C704" s="30" t="str">
        <x:v>System synchronization reports, reconciliation records, interface error logs, corrective action reports</x:v>
      </x:c>
      <x:c r="D704" s="30" t="str">
        <x:v>Log Book</x:v>
      </x:c>
      <x:c r="E704" s="30" t="str">
        <x:v>Yes</x:v>
      </x:c>
      <x:c r="F704" s="30" t="str">
        <x:v>Operational</x:v>
      </x:c>
      <x:c r="G704" s="30" t="str">
        <x:v>RETAIL</x:v>
      </x:c>
      <x:c r="H704" s="30" t="str">
        <x:v>Yes</x:v>
      </x:c>
      <x:c r="I704" s="30" t="str">
        <x:v>IT Systems Audit</x:v>
      </x:c>
    </x:row>
    <x:row r="705">
      <x:c r="A705" s="30" t="str">
        <x:v>REVID134</x:v>
      </x:c>
      <x:c r="B705" s="30" t="str">
        <x:v>RAUD134</x:v>
      </x:c>
      <x:c r="C705" s="30" t="str">
        <x:v>Independent verification checklist, packaging verification records, pharmacist approval</x:v>
      </x:c>
      <x:c r="D705" s="30" t="str">
        <x:v>Approval</x:v>
      </x:c>
      <x:c r="E705" s="30" t="str">
        <x:v>Yes</x:v>
      </x:c>
      <x:c r="F705" s="30" t="str">
        <x:v>Permanent</x:v>
      </x:c>
      <x:c r="G705" s="30" t="str">
        <x:v>RETAIL</x:v>
      </x:c>
      <x:c r="H705" s="30" t="str">
        <x:v>Yes</x:v>
      </x:c>
      <x:c r="I705" s="30" t="str">
        <x:v>Quality Audit</x:v>
      </x:c>
    </x:row>
    <x:row r="706">
      <x:c r="A706" s="30" t="str">
        <x:v>REVID135</x:v>
      </x:c>
      <x:c r="B706" s="30" t="str">
        <x:v>RAUD135</x:v>
      </x:c>
      <x:c r="C706" s="30" t="str">
        <x:v>Safety alert register, quarantine records, implementation reports, closure approvals</x:v>
      </x:c>
      <x:c r="D706" s="30" t="str">
        <x:v>Approval</x:v>
      </x:c>
      <x:c r="E706" s="30" t="str">
        <x:v>Yes</x:v>
      </x:c>
      <x:c r="F706" s="30" t="str">
        <x:v>Permanent</x:v>
      </x:c>
      <x:c r="G706" s="30" t="str">
        <x:v>RETAIL</x:v>
      </x:c>
      <x:c r="H706" s="30" t="str">
        <x:v>Yes</x:v>
      </x:c>
      <x:c r="I706" s="30" t="str">
        <x:v>Regulatory Audit</x:v>
      </x:c>
    </x:row>
    <x:row r="707">
      <x:c r="A707" s="30" t="str">
        <x:v>REVID136</x:v>
      </x:c>
      <x:c r="B707" s="30" t="str">
        <x:v>RAUD136</x:v>
      </x:c>
      <x:c r="C707" s="30" t="str">
        <x:v>Token generation reports, queue management logs, cancellation reports, audit trail</x:v>
      </x:c>
      <x:c r="D707" s="30" t="str">
        <x:v>Log Book</x:v>
      </x:c>
      <x:c r="E707" s="30" t="str">
        <x:v>Yes</x:v>
      </x:c>
      <x:c r="F707" s="30" t="str">
        <x:v>Operational</x:v>
      </x:c>
      <x:c r="G707" s="30" t="str">
        <x:v>RETAIL</x:v>
      </x:c>
      <x:c r="H707" s="30" t="str">
        <x:v>Yes</x:v>
      </x:c>
      <x:c r="I707" s="30" t="str">
        <x:v>Operational Audit</x:v>
      </x:c>
    </x:row>
    <x:row r="708">
      <x:c r="A708" s="30" t="str">
        <x:v>REVID137</x:v>
      </x:c>
      <x:c r="B708" s="30" t="str">
        <x:v>RAUD137</x:v>
      </x:c>
      <x:c r="C708" s="30" t="str">
        <x:v>Inventory trend reports, discrepancy analysis, CAPA documentation, management review</x:v>
      </x:c>
      <x:c r="D708" s="30" t="str">
        <x:v>Inventory Record</x:v>
      </x:c>
      <x:c r="E708" s="30" t="str">
        <x:v>Yes</x:v>
      </x:c>
      <x:c r="F708" s="30" t="str">
        <x:v>Operational</x:v>
      </x:c>
      <x:c r="G708" s="30" t="str">
        <x:v>RETAIL</x:v>
      </x:c>
      <x:c r="H708" s="30" t="str">
        <x:v>Yes</x:v>
      </x:c>
      <x:c r="I708" s="30" t="str">
        <x:v>Inventory Audit</x:v>
      </x:c>
    </x:row>
    <x:row r="709">
      <x:c r="A709" s="30" t="str">
        <x:v>REVID138</x:v>
      </x:c>
      <x:c r="B709" s="30" t="str">
        <x:v>RAUD138</x:v>
      </x:c>
      <x:c r="C709" s="30" t="str">
        <x:v>Cybersecurity incident reports, containment records, recovery documentation, lessons learned report</x:v>
      </x:c>
      <x:c r="D709" s="30" t="str">
        <x:v>Report</x:v>
      </x:c>
      <x:c r="E709" s="30" t="str">
        <x:v>Yes</x:v>
      </x:c>
      <x:c r="F709" s="30" t="str">
        <x:v>Operational</x:v>
      </x:c>
      <x:c r="G709" s="30" t="str">
        <x:v>RETAIL</x:v>
      </x:c>
      <x:c r="H709" s="30" t="str">
        <x:v>Yes</x:v>
      </x:c>
      <x:c r="I709" s="30" t="str">
        <x:v>Cybersecurity Audit</x:v>
      </x:c>
    </x:row>
    <x:row r="710">
      <x:c r="A710" s="30" t="str">
        <x:v>REVID139</x:v>
      </x:c>
      <x:c r="B710" s="30" t="str">
        <x:v>RAUD139</x:v>
      </x:c>
      <x:c r="C710" s="30" t="str">
        <x:v>Customer notification register, delivery confirmation, confidentiality verification, communication records</x:v>
      </x:c>
      <x:c r="D710" s="30" t="str">
        <x:v>Register</x:v>
      </x:c>
      <x:c r="E710" s="30" t="str">
        <x:v>Yes</x:v>
      </x:c>
      <x:c r="F710" s="30" t="str">
        <x:v>Long Term</x:v>
      </x:c>
      <x:c r="G710" s="30" t="str">
        <x:v>RETAIL</x:v>
      </x:c>
      <x:c r="H710" s="30" t="str">
        <x:v>Yes</x:v>
      </x:c>
      <x:c r="I710" s="30" t="str">
        <x:v>Communication Audit</x:v>
      </x:c>
    </x:row>
    <x:row r="711">
      <x:c r="A711" s="30" t="str">
        <x:v>REVID140</x:v>
      </x:c>
      <x:c r="B711" s="30" t="str">
        <x:v>RAUD140</x:v>
      </x:c>
      <x:c r="C711" s="30" t="str">
        <x:v>Compliance dashboard, KPI reports, management review minutes, action tracker</x:v>
      </x:c>
      <x:c r="D711" s="30" t="str">
        <x:v>Report</x:v>
      </x:c>
      <x:c r="E711" s="30" t="str">
        <x:v>Yes</x:v>
      </x:c>
      <x:c r="F711" s="30" t="str">
        <x:v>Operational</x:v>
      </x:c>
      <x:c r="G711" s="30" t="str">
        <x:v>RETAIL</x:v>
      </x:c>
      <x:c r="H711" s="30" t="str">
        <x:v>Yes</x:v>
      </x:c>
      <x:c r="I711" s="30" t="str">
        <x:v>Governance Verification</x:v>
      </x:c>
    </x:row>
    <x:row r="712">
      <x:c r="A712" s="30" t="str">
        <x:v>REVID141</x:v>
      </x:c>
      <x:c r="B712" s="30" t="str">
        <x:v>RAUD141</x:v>
      </x:c>
      <x:c r="C712" s="30" t="str">
        <x:v>Controlled medicine physical verification sheets, stock reconciliation register, discrepancy investigation reports, supervisor approval</x:v>
      </x:c>
      <x:c r="D712" s="30" t="str">
        <x:v>Approval</x:v>
      </x:c>
      <x:c r="E712" s="30" t="str">
        <x:v>Yes</x:v>
      </x:c>
      <x:c r="F712" s="30" t="str">
        <x:v>Permanent</x:v>
      </x:c>
      <x:c r="G712" s="30" t="str">
        <x:v>RETAIL</x:v>
      </x:c>
      <x:c r="H712" s="30" t="str">
        <x:v>Yes</x:v>
      </x:c>
      <x:c r="I712" s="30" t="str">
        <x:v>Physical Stock Verification</x:v>
      </x:c>
    </x:row>
    <x:row r="713">
      <x:c r="A713" s="30" t="str">
        <x:v>REVID142</x:v>
      </x:c>
      <x:c r="B713" s="30" t="str">
        <x:v>RAUD142</x:v>
      </x:c>
      <x:c r="C713" s="30" t="str">
        <x:v>Prescription expiry alert reports, blocked dispensing logs, pharmacist override approvals, review register</x:v>
      </x:c>
      <x:c r="D713" s="30" t="str">
        <x:v>Log Book</x:v>
      </x:c>
      <x:c r="E713" s="30" t="str">
        <x:v>Yes</x:v>
      </x:c>
      <x:c r="F713" s="30" t="str">
        <x:v>Long Term</x:v>
      </x:c>
      <x:c r="G713" s="30" t="str">
        <x:v>RETAIL</x:v>
      </x:c>
      <x:c r="H713" s="30" t="str">
        <x:v>Yes</x:v>
      </x:c>
      <x:c r="I713" s="30" t="str">
        <x:v>System &amp; Clinical Audit</x:v>
      </x:c>
    </x:row>
    <x:row r="714">
      <x:c r="A714" s="30" t="str">
        <x:v>REVID143</x:v>
      </x:c>
      <x:c r="B714" s="30" t="str">
        <x:v>RAUD143</x:v>
      </x:c>
      <x:c r="C714" s="30" t="str">
        <x:v>API authentication logs, encryption validation reports, penetration testing reports, access monitoring logs</x:v>
      </x:c>
      <x:c r="D714" s="30" t="str">
        <x:v>Log Book</x:v>
      </x:c>
      <x:c r="E714" s="30" t="str">
        <x:v>Yes</x:v>
      </x:c>
      <x:c r="F714" s="30" t="str">
        <x:v>Operational</x:v>
      </x:c>
      <x:c r="G714" s="30" t="str">
        <x:v>RETAIL</x:v>
      </x:c>
      <x:c r="H714" s="30" t="str">
        <x:v>Yes</x:v>
      </x:c>
      <x:c r="I714" s="30" t="str">
        <x:v>IT Security Audit</x:v>
      </x:c>
    </x:row>
    <x:row r="715">
      <x:c r="A715" s="30" t="str">
        <x:v>REVID144</x:v>
      </x:c>
      <x:c r="B715" s="30" t="str">
        <x:v>RAUD144</x:v>
      </x:c>
      <x:c r="C715" s="30" t="str">
        <x:v>High-risk medicine verification checklist, dual verification forms, pharmacist authorization records</x:v>
      </x:c>
      <x:c r="D715" s="30" t="str">
        <x:v>Approval</x:v>
      </x:c>
      <x:c r="E715" s="30" t="str">
        <x:v>Yes</x:v>
      </x:c>
      <x:c r="F715" s="30" t="str">
        <x:v>Permanent</x:v>
      </x:c>
      <x:c r="G715" s="30" t="str">
        <x:v>RETAIL</x:v>
      </x:c>
      <x:c r="H715" s="30" t="str">
        <x:v>Yes</x:v>
      </x:c>
      <x:c r="I715" s="30" t="str">
        <x:v>Clinical Verification</x:v>
      </x:c>
    </x:row>
    <x:row r="716">
      <x:c r="A716" s="30" t="str">
        <x:v>REVID145</x:v>
      </x:c>
      <x:c r="B716" s="30" t="str">
        <x:v>RAUD145</x:v>
      </x:c>
      <x:c r="C716" s="30" t="str">
        <x:v>Regulatory communication register, impact assessment report, SOP revision records, staff acknowledgement register</x:v>
      </x:c>
      <x:c r="D716" s="30" t="str">
        <x:v>SOP</x:v>
      </x:c>
      <x:c r="E716" s="30" t="str">
        <x:v>Yes</x:v>
      </x:c>
      <x:c r="F716" s="30" t="str">
        <x:v>Operational</x:v>
      </x:c>
      <x:c r="G716" s="30" t="str">
        <x:v>RETAIL</x:v>
      </x:c>
      <x:c r="H716" s="30" t="str">
        <x:v>Yes</x:v>
      </x:c>
      <x:c r="I716" s="30" t="str">
        <x:v>Compliance Audit</x:v>
      </x:c>
    </x:row>
    <x:row r="717">
      <x:c r="A717" s="30" t="str">
        <x:v>REVID146</x:v>
      </x:c>
      <x:c r="B717" s="30" t="str">
        <x:v>RAUD146</x:v>
      </x:c>
      <x:c r="C717" s="30" t="str">
        <x:v>Digital payment reconciliation reports, failed transaction logs, refund register, investigation reports</x:v>
      </x:c>
      <x:c r="D717" s="30" t="str">
        <x:v>Log Book</x:v>
      </x:c>
      <x:c r="E717" s="30" t="str">
        <x:v>Yes</x:v>
      </x:c>
      <x:c r="F717" s="30" t="str">
        <x:v>Operational</x:v>
      </x:c>
      <x:c r="G717" s="30" t="str">
        <x:v>RETAIL</x:v>
      </x:c>
      <x:c r="H717" s="30" t="str">
        <x:v>Yes</x:v>
      </x:c>
      <x:c r="I717" s="30" t="str">
        <x:v>Finance Audit</x:v>
      </x:c>
    </x:row>
    <x:row r="718">
      <x:c r="A718" s="30" t="str">
        <x:v>REVID147</x:v>
      </x:c>
      <x:c r="B718" s="30" t="str">
        <x:v>RAUD147</x:v>
      </x:c>
      <x:c r="C718" s="30" t="str">
        <x:v>Inventory shortage register, stock loss investigation report, escalation records, management approvals</x:v>
      </x:c>
      <x:c r="D718" s="30" t="str">
        <x:v>Approval</x:v>
      </x:c>
      <x:c r="E718" s="30" t="str">
        <x:v>Yes</x:v>
      </x:c>
      <x:c r="F718" s="30" t="str">
        <x:v>Permanent</x:v>
      </x:c>
      <x:c r="G718" s="30" t="str">
        <x:v>RETAIL</x:v>
      </x:c>
      <x:c r="H718" s="30" t="str">
        <x:v>Yes</x:v>
      </x:c>
      <x:c r="I718" s="30" t="str">
        <x:v>Inventory Audit</x:v>
      </x:c>
    </x:row>
    <x:row r="719">
      <x:c r="A719" s="30" t="str">
        <x:v>REVID148</x:v>
      </x:c>
      <x:c r="B719" s="30" t="str">
        <x:v>RAUD148</x:v>
      </x:c>
      <x:c r="C719" s="30" t="str">
        <x:v>Administrative user activity logs, privileged access review reports, anomaly investigation reports</x:v>
      </x:c>
      <x:c r="D719" s="30" t="str">
        <x:v>Log Book</x:v>
      </x:c>
      <x:c r="E719" s="30" t="str">
        <x:v>Yes</x:v>
      </x:c>
      <x:c r="F719" s="30" t="str">
        <x:v>Operational</x:v>
      </x:c>
      <x:c r="G719" s="30" t="str">
        <x:v>RETAIL</x:v>
      </x:c>
      <x:c r="H719" s="30" t="str">
        <x:v>Yes</x:v>
      </x:c>
      <x:c r="I719" s="30" t="str">
        <x:v>IT Security Audit</x:v>
      </x:c>
    </x:row>
    <x:row r="720">
      <x:c r="A720" s="30" t="str">
        <x:v>REVID149</x:v>
      </x:c>
      <x:c r="B720" s="30" t="str">
        <x:v>RAUD149</x:v>
      </x:c>
      <x:c r="C720" s="30" t="str">
        <x:v>Public health campaign display checklist, seasonal advisory notices, inspection photographs</x:v>
      </x:c>
      <x:c r="D720" s="30" t="str">
        <x:v>Inspection Report</x:v>
      </x:c>
      <x:c r="E720" s="30" t="str">
        <x:v>Yes</x:v>
      </x:c>
      <x:c r="F720" s="30" t="str">
        <x:v>Statutory</x:v>
      </x:c>
      <x:c r="G720" s="30" t="str">
        <x:v>RETAIL</x:v>
      </x:c>
      <x:c r="H720" s="30" t="str">
        <x:v>Yes</x:v>
      </x:c>
      <x:c r="I720" s="30" t="str">
        <x:v>Visual Verification</x:v>
      </x:c>
    </x:row>
    <x:row r="721">
      <x:c r="A721" s="30" t="str">
        <x:v>REVID150</x:v>
      </x:c>
      <x:c r="B721" s="30" t="str">
        <x:v>RAUD150</x:v>
      </x:c>
      <x:c r="C721" s="30" t="str">
        <x:v>Regulatory Assurance Programme reports, governance review minutes, compliance improvement tracker, executive approvals</x:v>
      </x:c>
      <x:c r="D721" s="30" t="str">
        <x:v>Approval</x:v>
      </x:c>
      <x:c r="E721" s="30" t="str">
        <x:v>Yes</x:v>
      </x:c>
      <x:c r="F721" s="30" t="str">
        <x:v>Permanent</x:v>
      </x:c>
      <x:c r="G721" s="30" t="str">
        <x:v>RETAIL</x:v>
      </x:c>
      <x:c r="H721" s="30" t="str">
        <x:v>Yes</x:v>
      </x:c>
      <x:c r="I721" s="30" t="str">
        <x:v>Governance Audit</x:v>
      </x:c>
    </x:row>
    <x:row r="722">
      <x:c r="A722" s="30" t="str">
        <x:v>REVID151</x:v>
      </x:c>
      <x:c r="B722" s="30" t="str">
        <x:v>RAUD151</x:v>
      </x:c>
      <x:c r="C722" s="30" t="str">
        <x:v>Controlled prescription register, issue register, reconciliation sheets, pharmacist verification records</x:v>
      </x:c>
      <x:c r="D722" s="30" t="str">
        <x:v>Prescription</x:v>
      </x:c>
      <x:c r="E722" s="30" t="str">
        <x:v>Yes</x:v>
      </x:c>
      <x:c r="F722" s="30" t="str">
        <x:v>Transactional</x:v>
      </x:c>
      <x:c r="G722" s="30" t="str">
        <x:v>RETAIL</x:v>
      </x:c>
      <x:c r="H722" s="30" t="str">
        <x:v>Yes</x:v>
      </x:c>
      <x:c r="I722" s="30" t="str">
        <x:v>Register Verification</x:v>
      </x:c>
    </x:row>
    <x:row r="723">
      <x:c r="A723" s="30" t="str">
        <x:v>REVID152</x:v>
      </x:c>
      <x:c r="B723" s="30" t="str">
        <x:v>RAUD152</x:v>
      </x:c>
      <x:c r="C723" s="30" t="str">
        <x:v>Duplicate dispensing detection reports, override approvals, pharmacist intervention records</x:v>
      </x:c>
      <x:c r="D723" s="30" t="str">
        <x:v>Approval</x:v>
      </x:c>
      <x:c r="E723" s="30" t="str">
        <x:v>Yes</x:v>
      </x:c>
      <x:c r="F723" s="30" t="str">
        <x:v>Permanent</x:v>
      </x:c>
      <x:c r="G723" s="30" t="str">
        <x:v>RETAIL</x:v>
      </x:c>
      <x:c r="H723" s="30" t="str">
        <x:v>Yes</x:v>
      </x:c>
      <x:c r="I723" s="30" t="str">
        <x:v>Clinical Audit</x:v>
      </x:c>
    </x:row>
    <x:row r="724">
      <x:c r="A724" s="30" t="str">
        <x:v>REVID153</x:v>
      </x:c>
      <x:c r="B724" s="30" t="str">
        <x:v>RAUD153</x:v>
      </x:c>
      <x:c r="C724" s="30" t="str">
        <x:v>Workflow audit logs, dispensing process reports, exception reports, audit trail exports</x:v>
      </x:c>
      <x:c r="D724" s="30" t="str">
        <x:v>Log Book</x:v>
      </x:c>
      <x:c r="E724" s="30" t="str">
        <x:v>Yes</x:v>
      </x:c>
      <x:c r="F724" s="30" t="str">
        <x:v>Operational</x:v>
      </x:c>
      <x:c r="G724" s="30" t="str">
        <x:v>RETAIL</x:v>
      </x:c>
      <x:c r="H724" s="30" t="str">
        <x:v>Yes</x:v>
      </x:c>
      <x:c r="I724" s="30" t="str">
        <x:v>Workflow Audit</x:v>
      </x:c>
    </x:row>
    <x:row r="725">
      <x:c r="A725" s="30" t="str">
        <x:v>REVID154</x:v>
      </x:c>
      <x:c r="B725" s="30" t="str">
        <x:v>RAUD154</x:v>
      </x:c>
      <x:c r="C725" s="30" t="str">
        <x:v>Prescription quantity reconciliation reports, billing reports, inventory deduction reports</x:v>
      </x:c>
      <x:c r="D725" s="30" t="str">
        <x:v>Invoice</x:v>
      </x:c>
      <x:c r="E725" s="30" t="str">
        <x:v>Yes</x:v>
      </x:c>
      <x:c r="F725" s="30" t="str">
        <x:v>Transactional</x:v>
      </x:c>
      <x:c r="G725" s="30" t="str">
        <x:v>RETAIL</x:v>
      </x:c>
      <x:c r="H725" s="30" t="str">
        <x:v>Yes</x:v>
      </x:c>
      <x:c r="I725" s="30" t="str">
        <x:v>Reconciliation Audit</x:v>
      </x:c>
    </x:row>
    <x:row r="726">
      <x:c r="A726" s="30" t="str">
        <x:v>REVID155</x:v>
      </x:c>
      <x:c r="B726" s="30" t="str">
        <x:v>RAUD155</x:v>
      </x:c>
      <x:c r="C726" s="30" t="str">
        <x:v>Regulatory inspection file, inspection checklist, supporting documents, compliance response records</x:v>
      </x:c>
      <x:c r="D726" s="30" t="str">
        <x:v>Inspection Report</x:v>
      </x:c>
      <x:c r="E726" s="30" t="str">
        <x:v>Yes</x:v>
      </x:c>
      <x:c r="F726" s="30" t="str">
        <x:v>Statutory</x:v>
      </x:c>
      <x:c r="G726" s="30" t="str">
        <x:v>RETAIL</x:v>
      </x:c>
      <x:c r="H726" s="30" t="str">
        <x:v>Yes</x:v>
      </x:c>
      <x:c r="I726" s="30" t="str">
        <x:v>Regulatory Inspection</x:v>
      </x:c>
    </x:row>
    <x:row r="727">
      <x:c r="A727" s="30" t="str">
        <x:v>REVID156</x:v>
      </x:c>
      <x:c r="B727" s="30" t="str">
        <x:v>RAUD156</x:v>
      </x:c>
      <x:c r="C727" s="30" t="str">
        <x:v>Self-service kiosk access logs, customer authentication reports, transaction audit logs</x:v>
      </x:c>
      <x:c r="D727" s="30" t="str">
        <x:v>Log Book</x:v>
      </x:c>
      <x:c r="E727" s="30" t="str">
        <x:v>Yes</x:v>
      </x:c>
      <x:c r="F727" s="30" t="str">
        <x:v>Long Term</x:v>
      </x:c>
      <x:c r="G727" s="30" t="str">
        <x:v>RETAIL</x:v>
      </x:c>
      <x:c r="H727" s="30" t="str">
        <x:v>Yes</x:v>
      </x:c>
      <x:c r="I727" s="30" t="str">
        <x:v>IT Operations Audit</x:v>
      </x:c>
    </x:row>
    <x:row r="728">
      <x:c r="A728" s="30" t="str">
        <x:v>REVID157</x:v>
      </x:c>
      <x:c r="B728" s="30" t="str">
        <x:v>RAUD157</x:v>
      </x:c>
      <x:c r="C728" s="30" t="str">
        <x:v>Inventory loss investigation reports, management review notes, corrective action documentation</x:v>
      </x:c>
      <x:c r="D728" s="30" t="str">
        <x:v>Inventory Record</x:v>
      </x:c>
      <x:c r="E728" s="30" t="str">
        <x:v>Yes</x:v>
      </x:c>
      <x:c r="F728" s="30" t="str">
        <x:v>Operational</x:v>
      </x:c>
      <x:c r="G728" s="30" t="str">
        <x:v>RETAIL</x:v>
      </x:c>
      <x:c r="H728" s="30" t="str">
        <x:v>Yes</x:v>
      </x:c>
      <x:c r="I728" s="30" t="str">
        <x:v>Governance Audit</x:v>
      </x:c>
    </x:row>
    <x:row r="729">
      <x:c r="A729" s="30" t="str">
        <x:v>REVID158</x:v>
      </x:c>
      <x:c r="B729" s="30" t="str">
        <x:v>RAUD158</x:v>
      </x:c>
      <x:c r="C729" s="30" t="str">
        <x:v>Disaster recovery test reports, recovery validation records, recovery objective verification reports</x:v>
      </x:c>
      <x:c r="D729" s="30" t="str">
        <x:v>Report</x:v>
      </x:c>
      <x:c r="E729" s="30" t="str">
        <x:v>Yes</x:v>
      </x:c>
      <x:c r="F729" s="30" t="str">
        <x:v>Operational</x:v>
      </x:c>
      <x:c r="G729" s="30" t="str">
        <x:v>RETAIL</x:v>
      </x:c>
      <x:c r="H729" s="30" t="str">
        <x:v>Yes</x:v>
      </x:c>
      <x:c r="I729" s="30" t="str">
        <x:v>Business Continuity Audit</x:v>
      </x:c>
    </x:row>
    <x:row r="730">
      <x:c r="A730" s="30" t="str">
        <x:v>REVID159</x:v>
      </x:c>
      <x:c r="B730" s="30" t="str">
        <x:v>RAUD159</x:v>
      </x:c>
      <x:c r="C730" s="30" t="str">
        <x:v>Community outreach programme reports, attendance records, outcome evaluation reports</x:v>
      </x:c>
      <x:c r="D730" s="30" t="str">
        <x:v>Report</x:v>
      </x:c>
      <x:c r="E730" s="30" t="str">
        <x:v>Yes</x:v>
      </x:c>
      <x:c r="F730" s="30" t="str">
        <x:v>Long Term</x:v>
      </x:c>
      <x:c r="G730" s="30" t="str">
        <x:v>RETAIL</x:v>
      </x:c>
      <x:c r="H730" s="30" t="str">
        <x:v>Yes</x:v>
      </x:c>
      <x:c r="I730" s="30" t="str">
        <x:v>Programme Audit</x:v>
      </x:c>
    </x:row>
    <x:row r="731">
      <x:c r="A731" s="30" t="str">
        <x:v>REVID160</x:v>
      </x:c>
      <x:c r="B731" s="30" t="str">
        <x:v>RAUD160</x:v>
      </x:c>
      <x:c r="C731" s="30" t="str">
        <x:v>Enterprise compliance dashboard, trend analysis reports, executive governance review, improvement roadmap</x:v>
      </x:c>
      <x:c r="D731" s="30" t="str">
        <x:v>Report</x:v>
      </x:c>
      <x:c r="E731" s="30" t="str">
        <x:v>Yes</x:v>
      </x:c>
      <x:c r="F731" s="30" t="str">
        <x:v>Operational</x:v>
      </x:c>
      <x:c r="G731" s="30" t="str">
        <x:v>RETAIL</x:v>
      </x:c>
      <x:c r="H731" s="30" t="str">
        <x:v>Yes</x:v>
      </x:c>
      <x:c r="I731" s="30" t="str">
        <x:v>Executive Governance Audit</x:v>
      </x:c>
    </x:row>
    <x:row r="732">
      <x:c r="A732" s="30" t="str">
        <x:v>REVID161</x:v>
      </x:c>
      <x:c r="B732" s="30" t="str">
        <x:v>RAUD161</x:v>
      </x:c>
      <x:c r="C732" s="30" t="str">
        <x:v>Forged prescription investigation report, pharmacist assessment, escalation records, case closure documentation</x:v>
      </x:c>
      <x:c r="D732" s="30" t="str">
        <x:v>Prescription</x:v>
      </x:c>
      <x:c r="E732" s="30" t="str">
        <x:v>Yes</x:v>
      </x:c>
      <x:c r="F732" s="30" t="str">
        <x:v>Transactional</x:v>
      </x:c>
      <x:c r="G732" s="30" t="str">
        <x:v>RETAIL</x:v>
      </x:c>
      <x:c r="H732" s="30" t="str">
        <x:v>Yes</x:v>
      </x:c>
      <x:c r="I732" s="30" t="str">
        <x:v>Compliance Audit</x:v>
      </x:c>
    </x:row>
    <x:row r="733">
      <x:c r="A733" s="30" t="str">
        <x:v>REVID162</x:v>
      </x:c>
      <x:c r="B733" s="30" t="str">
        <x:v>RAUD162</x:v>
      </x:c>
      <x:c r="C733" s="30" t="str">
        <x:v>Shift handover register, pending prescription log, controlled medicine handover checklist, supervisor sign-off</x:v>
      </x:c>
      <x:c r="D733" s="30" t="str">
        <x:v>Log Book</x:v>
      </x:c>
      <x:c r="E733" s="30" t="str">
        <x:v>Yes</x:v>
      </x:c>
      <x:c r="F733" s="30" t="str">
        <x:v>Long Term</x:v>
      </x:c>
      <x:c r="G733" s="30" t="str">
        <x:v>RETAIL</x:v>
      </x:c>
      <x:c r="H733" s="30" t="str">
        <x:v>Yes</x:v>
      </x:c>
      <x:c r="I733" s="30" t="str">
        <x:v>Operational Audit</x:v>
      </x:c>
    </x:row>
    <x:row r="734">
      <x:c r="A734" s="30" t="str">
        <x:v>REVID163</x:v>
      </x:c>
      <x:c r="B734" s="30" t="str">
        <x:v>RAUD163</x:v>
      </x:c>
      <x:c r="C734" s="30" t="str">
        <x:v>Cloud security assessment report, access review, encryption validation, backup reports, vendor compliance report</x:v>
      </x:c>
      <x:c r="D734" s="30" t="str">
        <x:v>Report</x:v>
      </x:c>
      <x:c r="E734" s="30" t="str">
        <x:v>Yes</x:v>
      </x:c>
      <x:c r="F734" s="30" t="str">
        <x:v>Operational</x:v>
      </x:c>
      <x:c r="G734" s="30" t="str">
        <x:v>RETAIL</x:v>
      </x:c>
      <x:c r="H734" s="30" t="str">
        <x:v>Yes</x:v>
      </x:c>
      <x:c r="I734" s="30" t="str">
        <x:v>IT Security Audit</x:v>
      </x:c>
    </x:row>
    <x:row r="735">
      <x:c r="A735" s="30" t="str">
        <x:v>REVID164</x:v>
      </x:c>
      <x:c r="B735" s="30" t="str">
        <x:v>RAUD164</x:v>
      </x:c>
      <x:c r="C735" s="30" t="str">
        <x:v>Packaging verification checklist, dispatch approval, pharmacist verification, shipment records</x:v>
      </x:c>
      <x:c r="D735" s="30" t="str">
        <x:v>Approval</x:v>
      </x:c>
      <x:c r="E735" s="30" t="str">
        <x:v>Yes</x:v>
      </x:c>
      <x:c r="F735" s="30" t="str">
        <x:v>Permanent</x:v>
      </x:c>
      <x:c r="G735" s="30" t="str">
        <x:v>RETAIL</x:v>
      </x:c>
      <x:c r="H735" s="30" t="str">
        <x:v>Yes</x:v>
      </x:c>
      <x:c r="I735" s="30" t="str">
        <x:v>Sample Verification</x:v>
      </x:c>
    </x:row>
    <x:row r="736">
      <x:c r="A736" s="30" t="str">
        <x:v>REVID165</x:v>
      </x:c>
      <x:c r="B736" s="30" t="str">
        <x:v>RAUD165</x:v>
      </x:c>
      <x:c r="C736" s="30" t="str">
        <x:v>Regulatory observation tracker, CAPA register, effectiveness review, closure approvals</x:v>
      </x:c>
      <x:c r="D736" s="30" t="str">
        <x:v>Approval</x:v>
      </x:c>
      <x:c r="E736" s="30" t="str">
        <x:v>Yes</x:v>
      </x:c>
      <x:c r="F736" s="30" t="str">
        <x:v>Permanent</x:v>
      </x:c>
      <x:c r="G736" s="30" t="str">
        <x:v>RETAIL</x:v>
      </x:c>
      <x:c r="H736" s="30" t="str">
        <x:v>Yes</x:v>
      </x:c>
      <x:c r="I736" s="30" t="str">
        <x:v>Compliance Audit</x:v>
      </x:c>
    </x:row>
    <x:row r="737">
      <x:c r="A737" s="30" t="str">
        <x:v>REVID166</x:v>
      </x:c>
      <x:c r="B737" s="30" t="str">
        <x:v>RAUD166</x:v>
      </x:c>
      <x:c r="C737" s="30" t="str">
        <x:v>Customer profile review reports, access logs, profile update history, privacy review records</x:v>
      </x:c>
      <x:c r="D737" s="30" t="str">
        <x:v>Log Book</x:v>
      </x:c>
      <x:c r="E737" s="30" t="str">
        <x:v>Yes</x:v>
      </x:c>
      <x:c r="F737" s="30" t="str">
        <x:v>Long Term</x:v>
      </x:c>
      <x:c r="G737" s="30" t="str">
        <x:v>RETAIL</x:v>
      </x:c>
      <x:c r="H737" s="30" t="str">
        <x:v>Yes</x:v>
      </x:c>
      <x:c r="I737" s="30" t="str">
        <x:v>Privacy Audit</x:v>
      </x:c>
    </x:row>
    <x:row r="738">
      <x:c r="A738" s="30" t="str">
        <x:v>REVID167</x:v>
      </x:c>
      <x:c r="B738" s="30" t="str">
        <x:v>RAUD167</x:v>
      </x:c>
      <x:c r="C738" s="30" t="str">
        <x:v>Inventory KPI dashboard, variance analysis reports, management review records</x:v>
      </x:c>
      <x:c r="D738" s="30" t="str">
        <x:v>Inventory Record</x:v>
      </x:c>
      <x:c r="E738" s="30" t="str">
        <x:v>Yes</x:v>
      </x:c>
      <x:c r="F738" s="30" t="str">
        <x:v>Operational</x:v>
      </x:c>
      <x:c r="G738" s="30" t="str">
        <x:v>RETAIL</x:v>
      </x:c>
      <x:c r="H738" s="30" t="str">
        <x:v>Yes</x:v>
      </x:c>
      <x:c r="I738" s="30" t="str">
        <x:v>KPI Verification</x:v>
      </x:c>
    </x:row>
    <x:row r="739">
      <x:c r="A739" s="30" t="str">
        <x:v>REVID168</x:v>
      </x:c>
      <x:c r="B739" s="30" t="str">
        <x:v>RAUD168</x:v>
      </x:c>
      <x:c r="C739" s="30" t="str">
        <x:v>Patch deployment reports, vulnerability remediation records, testing evidence, approval records</x:v>
      </x:c>
      <x:c r="D739" s="30" t="str">
        <x:v>Approval</x:v>
      </x:c>
      <x:c r="E739" s="30" t="str">
        <x:v>Yes</x:v>
      </x:c>
      <x:c r="F739" s="30" t="str">
        <x:v>Permanent</x:v>
      </x:c>
      <x:c r="G739" s="30" t="str">
        <x:v>RETAIL</x:v>
      </x:c>
      <x:c r="H739" s="30" t="str">
        <x:v>Yes</x:v>
      </x:c>
      <x:c r="I739" s="30" t="str">
        <x:v>IT Audit</x:v>
      </x:c>
    </x:row>
    <x:row r="740">
      <x:c r="A740" s="30" t="str">
        <x:v>REVID169</x:v>
      </x:c>
      <x:c r="B740" s="30" t="str">
        <x:v>RAUD169</x:v>
      </x:c>
      <x:c r="C740" s="30" t="str">
        <x:v>Government health campaign reports, attendance register, statutory submissions, programme approvals</x:v>
      </x:c>
      <x:c r="D740" s="30" t="str">
        <x:v>Approval</x:v>
      </x:c>
      <x:c r="E740" s="30" t="str">
        <x:v>Yes</x:v>
      </x:c>
      <x:c r="F740" s="30" t="str">
        <x:v>Permanent</x:v>
      </x:c>
      <x:c r="G740" s="30" t="str">
        <x:v>RETAIL</x:v>
      </x:c>
      <x:c r="H740" s="30" t="str">
        <x:v>Yes</x:v>
      </x:c>
      <x:c r="I740" s="30" t="str">
        <x:v>Programme Audit</x:v>
      </x:c>
    </x:row>
    <x:row r="741">
      <x:c r="A741" s="30" t="str">
        <x:v>REVID170</x:v>
      </x:c>
      <x:c r="B741" s="30" t="str">
        <x:v>RAUD170</x:v>
      </x:c>
      <x:c r="C741" s="30" t="str">
        <x:v>Compliance Governance Framework, committee charter, governance review reports, delegation matrix</x:v>
      </x:c>
      <x:c r="D741" s="30" t="str">
        <x:v>Report</x:v>
      </x:c>
      <x:c r="E741" s="30" t="str">
        <x:v>Yes</x:v>
      </x:c>
      <x:c r="F741" s="30" t="str">
        <x:v>Operational</x:v>
      </x:c>
      <x:c r="G741" s="30" t="str">
        <x:v>RETAIL</x:v>
      </x:c>
      <x:c r="H741" s="30" t="str">
        <x:v>Yes</x:v>
      </x:c>
      <x:c r="I741" s="30" t="str">
        <x:v>Governance Audit</x:v>
      </x:c>
    </x:row>
    <x:row r="742">
      <x:c r="A742" s="30" t="str">
        <x:v>REVID171</x:v>
      </x:c>
      <x:c r="B742" s="30" t="str">
        <x:v>RAUD171</x:v>
      </x:c>
      <x:c r="C742" s="30" t="str">
        <x:v>Prescription exception register, pharmacist intervention records, review reports</x:v>
      </x:c>
      <x:c r="D742" s="30" t="str">
        <x:v>Prescription</x:v>
      </x:c>
      <x:c r="E742" s="30" t="str">
        <x:v>Yes</x:v>
      </x:c>
      <x:c r="F742" s="30" t="str">
        <x:v>Long Term</x:v>
      </x:c>
      <x:c r="G742" s="30" t="str">
        <x:v>RETAIL</x:v>
      </x:c>
      <x:c r="H742" s="30" t="str">
        <x:v>Yes</x:v>
      </x:c>
      <x:c r="I742" s="30" t="str">
        <x:v>Clinical Audit</x:v>
      </x:c>
    </x:row>
    <x:row r="743">
      <x:c r="A743" s="30" t="str">
        <x:v>REVID172</x:v>
      </x:c>
      <x:c r="B743" s="30" t="str">
        <x:v>RAUD172</x:v>
      </x:c>
      <x:c r="C743" s="30" t="str">
        <x:v>Alternate pharmacist duty roster, coverage approval records, attendance register</x:v>
      </x:c>
      <x:c r="D743" s="30" t="str">
        <x:v>Approval</x:v>
      </x:c>
      <x:c r="E743" s="30" t="str">
        <x:v>Yes</x:v>
      </x:c>
      <x:c r="F743" s="30" t="str">
        <x:v>Permanent</x:v>
      </x:c>
      <x:c r="G743" s="30" t="str">
        <x:v>RETAIL</x:v>
      </x:c>
      <x:c r="H743" s="30" t="str">
        <x:v>Yes</x:v>
      </x:c>
      <x:c r="I743" s="30" t="str">
        <x:v>HR Audit</x:v>
      </x:c>
    </x:row>
    <x:row r="744">
      <x:c r="A744" s="30" t="str">
        <x:v>REVID173</x:v>
      </x:c>
      <x:c r="B744" s="30" t="str">
        <x:v>RAUD173</x:v>
      </x:c>
      <x:c r="C744" s="30" t="str">
        <x:v>Automated communication logs, delivery reports, audit trail, communication security report</x:v>
      </x:c>
      <x:c r="D744" s="30" t="str">
        <x:v>Log Book</x:v>
      </x:c>
      <x:c r="E744" s="30" t="str">
        <x:v>Yes</x:v>
      </x:c>
      <x:c r="F744" s="30" t="str">
        <x:v>Long Term</x:v>
      </x:c>
      <x:c r="G744" s="30" t="str">
        <x:v>RETAIL</x:v>
      </x:c>
      <x:c r="H744" s="30" t="str">
        <x:v>Yes</x:v>
      </x:c>
      <x:c r="I744" s="30" t="str">
        <x:v>IT Audit</x:v>
      </x:c>
    </x:row>
    <x:row r="745">
      <x:c r="A745" s="30" t="str">
        <x:v>REVID174</x:v>
      </x:c>
      <x:c r="B745" s="30" t="str">
        <x:v>RAUD174</x:v>
      </x:c>
      <x:c r="C745" s="30" t="str">
        <x:v>Refrigerator access logs, maintenance records, calibration certificates, temperature excursion reports</x:v>
      </x:c>
      <x:c r="D745" s="30" t="str">
        <x:v>Certificate</x:v>
      </x:c>
      <x:c r="E745" s="30" t="str">
        <x:v>Yes</x:v>
      </x:c>
      <x:c r="F745" s="30" t="str">
        <x:v>Permanent</x:v>
      </x:c>
      <x:c r="G745" s="30" t="str">
        <x:v>RETAIL</x:v>
      </x:c>
      <x:c r="H745" s="30" t="str">
        <x:v>Yes</x:v>
      </x:c>
      <x:c r="I745" s="30" t="str">
        <x:v>Cold Chain Audit</x:v>
      </x:c>
    </x:row>
    <x:row r="746">
      <x:c r="A746" s="30" t="str">
        <x:v>REVID175</x:v>
      </x:c>
      <x:c r="B746" s="30" t="str">
        <x:v>RAUD175</x:v>
      </x:c>
      <x:c r="C746" s="30" t="str">
        <x:v>Emergency contact register, periodic review records, emergency communication test reports</x:v>
      </x:c>
      <x:c r="D746" s="30" t="str">
        <x:v>Report</x:v>
      </x:c>
      <x:c r="E746" s="30" t="str">
        <x:v>Yes</x:v>
      </x:c>
      <x:c r="F746" s="30" t="str">
        <x:v>Long Term</x:v>
      </x:c>
      <x:c r="G746" s="30" t="str">
        <x:v>RETAIL</x:v>
      </x:c>
      <x:c r="H746" s="30" t="str">
        <x:v>Yes</x:v>
      </x:c>
      <x:c r="I746" s="30" t="str">
        <x:v>Emergency Audit</x:v>
      </x:c>
    </x:row>
    <x:row r="747">
      <x:c r="A747" s="30" t="str">
        <x:v>REVID176</x:v>
      </x:c>
      <x:c r="B747" s="30" t="str">
        <x:v>RAUD176</x:v>
      </x:c>
      <x:c r="C747" s="30" t="str">
        <x:v>Appointment management reports, attendance records, cancellation log, follow-up register</x:v>
      </x:c>
      <x:c r="D747" s="30" t="str">
        <x:v>Log Book</x:v>
      </x:c>
      <x:c r="E747" s="30" t="str">
        <x:v>Yes</x:v>
      </x:c>
      <x:c r="F747" s="30" t="str">
        <x:v>Operational</x:v>
      </x:c>
      <x:c r="G747" s="30" t="str">
        <x:v>RETAIL</x:v>
      </x:c>
      <x:c r="H747" s="30" t="str">
        <x:v>Yes</x:v>
      </x:c>
      <x:c r="I747" s="30" t="str">
        <x:v>Operational Verification</x:v>
      </x:c>
    </x:row>
    <x:row r="748">
      <x:c r="A748" s="30" t="str">
        <x:v>REVID177</x:v>
      </x:c>
      <x:c r="B748" s="30" t="str">
        <x:v>RAUD177</x:v>
      </x:c>
      <x:c r="C748" s="30" t="str">
        <x:v>Inventory verification reports, discrepancy investigation records, stock count sheets</x:v>
      </x:c>
      <x:c r="D748" s="30" t="str">
        <x:v>Inventory Record</x:v>
      </x:c>
      <x:c r="E748" s="30" t="str">
        <x:v>Yes</x:v>
      </x:c>
      <x:c r="F748" s="30" t="str">
        <x:v>Operational</x:v>
      </x:c>
      <x:c r="G748" s="30" t="str">
        <x:v>RETAIL</x:v>
      </x:c>
      <x:c r="H748" s="30" t="str">
        <x:v>Yes</x:v>
      </x:c>
      <x:c r="I748" s="30" t="str">
        <x:v>Inventory Audit</x:v>
      </x:c>
    </x:row>
    <x:row r="749">
      <x:c r="A749" s="30" t="str">
        <x:v>REVID178</x:v>
      </x:c>
      <x:c r="B749" s="30" t="str">
        <x:v>RAUD178</x:v>
      </x:c>
      <x:c r="C749" s="30" t="str">
        <x:v>Configuration management register, change approvals, deployment records, rollback documentation</x:v>
      </x:c>
      <x:c r="D749" s="30" t="str">
        <x:v>Approval</x:v>
      </x:c>
      <x:c r="E749" s="30" t="str">
        <x:v>Yes</x:v>
      </x:c>
      <x:c r="F749" s="30" t="str">
        <x:v>Permanent</x:v>
      </x:c>
      <x:c r="G749" s="30" t="str">
        <x:v>RETAIL</x:v>
      </x:c>
      <x:c r="H749" s="30" t="str">
        <x:v>Yes</x:v>
      </x:c>
      <x:c r="I749" s="30" t="str">
        <x:v>IT Governance Audit</x:v>
      </x:c>
    </x:row>
    <x:row r="750">
      <x:c r="A750" s="30" t="str">
        <x:v>REVID179</x:v>
      </x:c>
      <x:c r="B750" s="30" t="str">
        <x:v>RAUD179</x:v>
      </x:c>
      <x:c r="C750" s="30" t="str">
        <x:v>Educational material register, approval records, version history, obsolete document withdrawal log</x:v>
      </x:c>
      <x:c r="D750" s="30" t="str">
        <x:v>Log Book</x:v>
      </x:c>
      <x:c r="E750" s="30" t="str">
        <x:v>Yes</x:v>
      </x:c>
      <x:c r="F750" s="30" t="str">
        <x:v>Long Term</x:v>
      </x:c>
      <x:c r="G750" s="30" t="str">
        <x:v>RETAIL</x:v>
      </x:c>
      <x:c r="H750" s="30" t="str">
        <x:v>Yes</x:v>
      </x:c>
      <x:c r="I750" s="30" t="str">
        <x:v>Documentation Audit</x:v>
      </x:c>
    </x:row>
    <x:row r="751">
      <x:c r="A751" s="30" t="str">
        <x:v>REVID180</x:v>
      </x:c>
      <x:c r="B751" s="30" t="str">
        <x:v>RAUD180</x:v>
      </x:c>
      <x:c r="C751" s="30" t="str">
        <x:v>Executive compliance meeting minutes, compliance dashboard, strategic action tracker, governance reports</x:v>
      </x:c>
      <x:c r="D751" s="30" t="str">
        <x:v>Report</x:v>
      </x:c>
      <x:c r="E751" s="30" t="str">
        <x:v>Yes</x:v>
      </x:c>
      <x:c r="F751" s="30" t="str">
        <x:v>Operational</x:v>
      </x:c>
      <x:c r="G751" s="30" t="str">
        <x:v>RETAIL</x:v>
      </x:c>
      <x:c r="H751" s="30" t="str">
        <x:v>Yes</x:v>
      </x:c>
      <x:c r="I751" s="30" t="str">
        <x:v>Governance Verification</x:v>
      </x:c>
    </x:row>
    <x:row r="752">
      <x:c r="A752" s="30" t="str">
        <x:v>REVID181</x:v>
      </x:c>
      <x:c r="B752" s="30" t="str">
        <x:v>RAUD181</x:v>
      </x:c>
      <x:c r="C752" s="30" t="str">
        <x:v>Prescription turnaround KPI reports, workflow analysis reports, staffing adjustment records, management review minutes</x:v>
      </x:c>
      <x:c r="D752" s="30" t="str">
        <x:v>Prescription</x:v>
      </x:c>
      <x:c r="E752" s="30" t="str">
        <x:v>Yes</x:v>
      </x:c>
      <x:c r="F752" s="30" t="str">
        <x:v>Long Term</x:v>
      </x:c>
      <x:c r="G752" s="30" t="str">
        <x:v>RETAIL</x:v>
      </x:c>
      <x:c r="H752" s="30" t="str">
        <x:v>Yes</x:v>
      </x:c>
      <x:c r="I752" s="30" t="str">
        <x:v>KPI Verification</x:v>
      </x:c>
    </x:row>
    <x:row r="753">
      <x:c r="A753" s="30" t="str">
        <x:v>REVID182</x:v>
      </x:c>
      <x:c r="B753" s="30" t="str">
        <x:v>RAUD182</x:v>
      </x:c>
      <x:c r="C753" s="30" t="str">
        <x:v>Delegation matrix, authorization records, pharmacist accountability register, supervision reports</x:v>
      </x:c>
      <x:c r="D753" s="30" t="str">
        <x:v>Approval</x:v>
      </x:c>
      <x:c r="E753" s="30" t="str">
        <x:v>Yes</x:v>
      </x:c>
      <x:c r="F753" s="30" t="str">
        <x:v>Permanent</x:v>
      </x:c>
      <x:c r="G753" s="30" t="str">
        <x:v>RETAIL</x:v>
      </x:c>
      <x:c r="H753" s="30" t="str">
        <x:v>Yes</x:v>
      </x:c>
      <x:c r="I753" s="30" t="str">
        <x:v>Compliance Audit</x:v>
      </x:c>
    </x:row>
    <x:row r="754">
      <x:c r="A754" s="30" t="str">
        <x:v>REVID183</x:v>
      </x:c>
      <x:c r="B754" s="30" t="str">
        <x:v>RAUD183</x:v>
      </x:c>
      <x:c r="C754" s="30" t="str">
        <x:v>Interface monitoring logs, reconciliation reports, system exception register, corrective action records</x:v>
      </x:c>
      <x:c r="D754" s="30" t="str">
        <x:v>Log Book</x:v>
      </x:c>
      <x:c r="E754" s="30" t="str">
        <x:v>Yes</x:v>
      </x:c>
      <x:c r="F754" s="30" t="str">
        <x:v>Operational</x:v>
      </x:c>
      <x:c r="G754" s="30" t="str">
        <x:v>RETAIL</x:v>
      </x:c>
      <x:c r="H754" s="30" t="str">
        <x:v>Yes</x:v>
      </x:c>
      <x:c r="I754" s="30" t="str">
        <x:v>IT Systems Audit</x:v>
      </x:c>
    </x:row>
    <x:row r="755">
      <x:c r="A755" s="30" t="str">
        <x:v>REVID184</x:v>
      </x:c>
      <x:c r="B755" s="30" t="str">
        <x:v>RAUD184</x:v>
      </x:c>
      <x:c r="C755" s="30" t="str">
        <x:v>Dispensing records, counselling documentation, pharmacist approval records, customer acknowledgement forms</x:v>
      </x:c>
      <x:c r="D755" s="30" t="str">
        <x:v>Approval</x:v>
      </x:c>
      <x:c r="E755" s="30" t="str">
        <x:v>Yes</x:v>
      </x:c>
      <x:c r="F755" s="30" t="str">
        <x:v>Permanent</x:v>
      </x:c>
      <x:c r="G755" s="30" t="str">
        <x:v>RETAIL</x:v>
      </x:c>
      <x:c r="H755" s="30" t="str">
        <x:v>Yes</x:v>
      </x:c>
      <x:c r="I755" s="30" t="str">
        <x:v>Documentation Audit</x:v>
      </x:c>
    </x:row>
    <x:row r="756">
      <x:c r="A756" s="30" t="str">
        <x:v>REVID185</x:v>
      </x:c>
      <x:c r="B756" s="30" t="str">
        <x:v>RAUD185</x:v>
      </x:c>
      <x:c r="C756" s="30" t="str">
        <x:v>Regulatory communication register, implementation tracker, document retention register, management review minutes</x:v>
      </x:c>
      <x:c r="D756" s="30" t="str">
        <x:v>Register</x:v>
      </x:c>
      <x:c r="E756" s="30" t="str">
        <x:v>Yes</x:v>
      </x:c>
      <x:c r="F756" s="30" t="str">
        <x:v>Statutory</x:v>
      </x:c>
      <x:c r="G756" s="30" t="str">
        <x:v>RETAIL</x:v>
      </x:c>
      <x:c r="H756" s="30" t="str">
        <x:v>Yes</x:v>
      </x:c>
      <x:c r="I756" s="30" t="str">
        <x:v>Compliance Audit</x:v>
      </x:c>
    </x:row>
    <x:row r="757">
      <x:c r="A757" s="30" t="str">
        <x:v>REVID186</x:v>
      </x:c>
      <x:c r="B757" s="30" t="str">
        <x:v>RAUD186</x:v>
      </x:c>
      <x:c r="C757" s="30" t="str">
        <x:v>Electronic proof-of-delivery records, GPS confirmation logs (where applicable), recipient verification records</x:v>
      </x:c>
      <x:c r="D757" s="30" t="str">
        <x:v>Log Book</x:v>
      </x:c>
      <x:c r="E757" s="30" t="str">
        <x:v>Yes</x:v>
      </x:c>
      <x:c r="F757" s="30" t="str">
        <x:v>Long Term</x:v>
      </x:c>
      <x:c r="G757" s="30" t="str">
        <x:v>RETAIL</x:v>
      </x:c>
      <x:c r="H757" s="30" t="str">
        <x:v>Yes</x:v>
      </x:c>
      <x:c r="I757" s="30" t="str">
        <x:v>Transaction Verification</x:v>
      </x:c>
    </x:row>
    <x:row r="758">
      <x:c r="A758" s="30" t="str">
        <x:v>REVID187</x:v>
      </x:c>
      <x:c r="B758" s="30" t="str">
        <x:v>RAUD187</x:v>
      </x:c>
      <x:c r="C758" s="30" t="str">
        <x:v>Inventory turnover reports, ageing stock analysis, dead stock reports, stock-out analysis</x:v>
      </x:c>
      <x:c r="D758" s="30" t="str">
        <x:v>Inventory Record</x:v>
      </x:c>
      <x:c r="E758" s="30" t="str">
        <x:v>Yes</x:v>
      </x:c>
      <x:c r="F758" s="30" t="str">
        <x:v>Operational</x:v>
      </x:c>
      <x:c r="G758" s="30" t="str">
        <x:v>RETAIL</x:v>
      </x:c>
      <x:c r="H758" s="30" t="str">
        <x:v>Yes</x:v>
      </x:c>
      <x:c r="I758" s="30" t="str">
        <x:v>Inventory Audit</x:v>
      </x:c>
    </x:row>
    <x:row r="759">
      <x:c r="A759" s="30" t="str">
        <x:v>REVID188</x:v>
      </x:c>
      <x:c r="B759" s="30" t="str">
        <x:v>RAUD188</x:v>
      </x:c>
      <x:c r="C759" s="30" t="str">
        <x:v>Application performance reports, infrastructure monitoring dashboards, database health reports, incident logs</x:v>
      </x:c>
      <x:c r="D759" s="30" t="str">
        <x:v>Log Book</x:v>
      </x:c>
      <x:c r="E759" s="30" t="str">
        <x:v>Yes</x:v>
      </x:c>
      <x:c r="F759" s="30" t="str">
        <x:v>Long Term</x:v>
      </x:c>
      <x:c r="G759" s="30" t="str">
        <x:v>RETAIL</x:v>
      </x:c>
      <x:c r="H759" s="30" t="str">
        <x:v>Yes</x:v>
      </x:c>
      <x:c r="I759" s="30" t="str">
        <x:v>IT Operations Audit</x:v>
      </x:c>
    </x:row>
    <x:row r="760">
      <x:c r="A760" s="30" t="str">
        <x:v>REVID189</x:v>
      </x:c>
      <x:c r="B760" s="30" t="str">
        <x:v>RAUD189</x:v>
      </x:c>
      <x:c r="C760" s="30" t="str">
        <x:v>Public health collaboration agreements, statutory reports, programme implementation records, approval documentation</x:v>
      </x:c>
      <x:c r="D760" s="30" t="str">
        <x:v>Approval</x:v>
      </x:c>
      <x:c r="E760" s="30" t="str">
        <x:v>Yes</x:v>
      </x:c>
      <x:c r="F760" s="30" t="str">
        <x:v>Permanent</x:v>
      </x:c>
      <x:c r="G760" s="30" t="str">
        <x:v>RETAIL</x:v>
      </x:c>
      <x:c r="H760" s="30" t="str">
        <x:v>Yes</x:v>
      </x:c>
      <x:c r="I760" s="30" t="str">
        <x:v>Programme Audit</x:v>
      </x:c>
    </x:row>
    <x:row r="761">
      <x:c r="A761" s="30" t="str">
        <x:v>REVID190</x:v>
      </x:c>
      <x:c r="B761" s="30" t="str">
        <x:v>RAUD190</x:v>
      </x:c>
      <x:c r="C761" s="30" t="str">
        <x:v>Compliance reporting framework, report distribution register, approval records, document retention schedule</x:v>
      </x:c>
      <x:c r="D761" s="30" t="str">
        <x:v>Approval</x:v>
      </x:c>
      <x:c r="E761" s="30" t="str">
        <x:v>Yes</x:v>
      </x:c>
      <x:c r="F761" s="30" t="str">
        <x:v>Permanent</x:v>
      </x:c>
      <x:c r="G761" s="30" t="str">
        <x:v>RETAIL</x:v>
      </x:c>
      <x:c r="H761" s="30" t="str">
        <x:v>Yes</x:v>
      </x:c>
      <x:c r="I761" s="30" t="str">
        <x:v>Governance Audit</x:v>
      </x:c>
    </x:row>
    <x:row r="762">
      <x:c r="A762" s="30" t="str">
        <x:v>REVID191</x:v>
      </x:c>
      <x:c r="B762" s="30" t="str">
        <x:v>RAUD191</x:v>
      </x:c>
      <x:c r="C762" s="30" t="str">
        <x:v>Prescription records, billing reports, inventory transaction logs, reconciliation reports</x:v>
      </x:c>
      <x:c r="D762" s="30" t="str">
        <x:v>Log Book</x:v>
      </x:c>
      <x:c r="E762" s="30" t="str">
        <x:v>Yes</x:v>
      </x:c>
      <x:c r="F762" s="30" t="str">
        <x:v>Operational</x:v>
      </x:c>
      <x:c r="G762" s="30" t="str">
        <x:v>RETAIL</x:v>
      </x:c>
      <x:c r="H762" s="30" t="str">
        <x:v>Yes</x:v>
      </x:c>
      <x:c r="I762" s="30" t="str">
        <x:v>Reconciliation Audit</x:v>
      </x:c>
    </x:row>
    <x:row r="763">
      <x:c r="A763" s="30" t="str">
        <x:v>REVID192</x:v>
      </x:c>
      <x:c r="B763" s="30" t="str">
        <x:v>RAUD192</x:v>
      </x:c>
      <x:c r="C763" s="30" t="str">
        <x:v>Pharmacist workload reports, staffing analysis, overtime reports, management action plans</x:v>
      </x:c>
      <x:c r="D763" s="30" t="str">
        <x:v>Report</x:v>
      </x:c>
      <x:c r="E763" s="30" t="str">
        <x:v>Yes</x:v>
      </x:c>
      <x:c r="F763" s="30" t="str">
        <x:v>Long Term</x:v>
      </x:c>
      <x:c r="G763" s="30" t="str">
        <x:v>RETAIL</x:v>
      </x:c>
      <x:c r="H763" s="30" t="str">
        <x:v>Yes</x:v>
      </x:c>
      <x:c r="I763" s="30" t="str">
        <x:v>HR Audit</x:v>
      </x:c>
    </x:row>
    <x:row r="764">
      <x:c r="A764" s="30" t="str">
        <x:v>REVID193</x:v>
      </x:c>
      <x:c r="B764" s="30" t="str">
        <x:v>RAUD193</x:v>
      </x:c>
      <x:c r="C764" s="30" t="str">
        <x:v>Disaster recovery documentation, alternate processing procedures, recovery test reports, management approvals</x:v>
      </x:c>
      <x:c r="D764" s="30" t="str">
        <x:v>Approval</x:v>
      </x:c>
      <x:c r="E764" s="30" t="str">
        <x:v>Yes</x:v>
      </x:c>
      <x:c r="F764" s="30" t="str">
        <x:v>Permanent</x:v>
      </x:c>
      <x:c r="G764" s="30" t="str">
        <x:v>RETAIL</x:v>
      </x:c>
      <x:c r="H764" s="30" t="str">
        <x:v>Yes</x:v>
      </x:c>
      <x:c r="I764" s="30" t="str">
        <x:v>DR Governance Audit</x:v>
      </x:c>
    </x:row>
    <x:row r="765">
      <x:c r="A765" s="30" t="str">
        <x:v>REVID194</x:v>
      </x:c>
      <x:c r="B765" s="30" t="str">
        <x:v>RAUD194</x:v>
      </x:c>
      <x:c r="C765" s="30" t="str">
        <x:v>Customer acknowledgement forms, digital confirmation logs, delivery records, pharmacist verification</x:v>
      </x:c>
      <x:c r="D765" s="30" t="str">
        <x:v>Log Book</x:v>
      </x:c>
      <x:c r="E765" s="30" t="str">
        <x:v>Yes</x:v>
      </x:c>
      <x:c r="F765" s="30" t="str">
        <x:v>Long Term</x:v>
      </x:c>
      <x:c r="G765" s="30" t="str">
        <x:v>RETAIL</x:v>
      </x:c>
      <x:c r="H765" s="30" t="str">
        <x:v>Yes</x:v>
      </x:c>
      <x:c r="I765" s="30" t="str">
        <x:v>Transaction Verification</x:v>
      </x:c>
    </x:row>
    <x:row r="766">
      <x:c r="A766" s="30" t="str">
        <x:v>REVID195</x:v>
      </x:c>
      <x:c r="B766" s="30" t="str">
        <x:v>RAUD195</x:v>
      </x:c>
      <x:c r="C766" s="30" t="str">
        <x:v>Statutory pharmacy reports, submission acknowledgements, supporting schedules, retention register</x:v>
      </x:c>
      <x:c r="D766" s="30" t="str">
        <x:v>Report</x:v>
      </x:c>
      <x:c r="E766" s="30" t="str">
        <x:v>Yes</x:v>
      </x:c>
      <x:c r="F766" s="30" t="str">
        <x:v>Statutory</x:v>
      </x:c>
      <x:c r="G766" s="30" t="str">
        <x:v>RETAIL</x:v>
      </x:c>
      <x:c r="H766" s="30" t="str">
        <x:v>Yes</x:v>
      </x:c>
      <x:c r="I766" s="30" t="str">
        <x:v>Compliance Verification</x:v>
      </x:c>
    </x:row>
    <x:row r="767">
      <x:c r="A767" s="30" t="str">
        <x:v>REVID196</x:v>
      </x:c>
      <x:c r="B767" s="30" t="str">
        <x:v>RAUD196</x:v>
      </x:c>
      <x:c r="C767" s="30" t="str">
        <x:v>Customer communication preference register, consent updates, privacy audit logs, modification history</x:v>
      </x:c>
      <x:c r="D767" s="30" t="str">
        <x:v>Log Book</x:v>
      </x:c>
      <x:c r="E767" s="30" t="str">
        <x:v>Yes</x:v>
      </x:c>
      <x:c r="F767" s="30" t="str">
        <x:v>Long Term</x:v>
      </x:c>
      <x:c r="G767" s="30" t="str">
        <x:v>RETAIL</x:v>
      </x:c>
      <x:c r="H767" s="30" t="str">
        <x:v>Yes</x:v>
      </x:c>
      <x:c r="I767" s="30" t="str">
        <x:v>Privacy Audit</x:v>
      </x:c>
    </x:row>
    <x:row r="768">
      <x:c r="A768" s="30" t="str">
        <x:v>REVID197</x:v>
      </x:c>
      <x:c r="B768" s="30" t="str">
        <x:v>RAUD197</x:v>
      </x:c>
      <x:c r="C768" s="30" t="str">
        <x:v>Demand forecast reports, seasonal analysis, supplier lead-time reports, procurement approvals</x:v>
      </x:c>
      <x:c r="D768" s="30" t="str">
        <x:v>Approval</x:v>
      </x:c>
      <x:c r="E768" s="30" t="str">
        <x:v>Yes</x:v>
      </x:c>
      <x:c r="F768" s="30" t="str">
        <x:v>Permanent</x:v>
      </x:c>
      <x:c r="G768" s="30" t="str">
        <x:v>RETAIL</x:v>
      </x:c>
      <x:c r="H768" s="30" t="str">
        <x:v>Yes</x:v>
      </x:c>
      <x:c r="I768" s="30" t="str">
        <x:v>Procurement Audit</x:v>
      </x:c>
    </x:row>
    <x:row r="769">
      <x:c r="A769" s="30" t="str">
        <x:v>REVID198</x:v>
      </x:c>
      <x:c r="B769" s="30" t="str">
        <x:v>RAUD198</x:v>
      </x:c>
      <x:c r="C769" s="30" t="str">
        <x:v>Database maintenance logs, integrity verification reports, optimization reports, approval records</x:v>
      </x:c>
      <x:c r="D769" s="30" t="str">
        <x:v>Log Book</x:v>
      </x:c>
      <x:c r="E769" s="30" t="str">
        <x:v>Yes</x:v>
      </x:c>
      <x:c r="F769" s="30" t="str">
        <x:v>Operational</x:v>
      </x:c>
      <x:c r="G769" s="30" t="str">
        <x:v>RETAIL</x:v>
      </x:c>
      <x:c r="H769" s="30" t="str">
        <x:v>Yes</x:v>
      </x:c>
      <x:c r="I769" s="30" t="str">
        <x:v>Database Audit</x:v>
      </x:c>
    </x:row>
    <x:row r="770">
      <x:c r="A770" s="30" t="str">
        <x:v>REVID199</x:v>
      </x:c>
      <x:c r="B770" s="30" t="str">
        <x:v>RAUD199</x:v>
      </x:c>
      <x:c r="C770" s="30" t="str">
        <x:v>Community health campaign evaluation reports, participant feedback, outcome analysis, management review</x:v>
      </x:c>
      <x:c r="D770" s="30" t="str">
        <x:v>Receipt</x:v>
      </x:c>
      <x:c r="E770" s="30" t="str">
        <x:v>Yes</x:v>
      </x:c>
      <x:c r="F770" s="30" t="str">
        <x:v>Long Term</x:v>
      </x:c>
      <x:c r="G770" s="30" t="str">
        <x:v>RETAIL</x:v>
      </x:c>
      <x:c r="H770" s="30" t="str">
        <x:v>Yes</x:v>
      </x:c>
      <x:c r="I770" s="30" t="str">
        <x:v>Programme Evaluation</x:v>
      </x:c>
    </x:row>
    <x:row r="771">
      <x:c r="A771" s="30" t="str">
        <x:v>REVID200</x:v>
      </x:c>
      <x:c r="B771" s="30" t="str">
        <x:v>RAUD200</x:v>
      </x:c>
      <x:c r="C771" s="30" t="str">
        <x:v>Regulatory compliance strategy document, annual strategic review, improvement roadmap, executive approvals</x:v>
      </x:c>
      <x:c r="D771" s="30" t="str">
        <x:v>Approval</x:v>
      </x:c>
      <x:c r="E771" s="30" t="str">
        <x:v>Yes</x:v>
      </x:c>
      <x:c r="F771" s="30" t="str">
        <x:v>Permanent</x:v>
      </x:c>
      <x:c r="G771" s="30" t="str">
        <x:v>RETAIL</x:v>
      </x:c>
      <x:c r="H771" s="30" t="str">
        <x:v>Yes</x:v>
      </x:c>
      <x:c r="I771" s="30" t="str">
        <x:v>Governance Verification</x:v>
      </x:c>
    </x:row>
    <x:row r="772">
      <x:c r="A772" s="30" t="str">
        <x:v>REVID201</x:v>
      </x:c>
      <x:c r="B772" s="30" t="str">
        <x:v>RAUD201</x:v>
      </x:c>
      <x:c r="C772" s="30" t="str">
        <x:v>Peak-hour prescription turnaround reports, workflow optimization reports, staffing adjustment approvals, KPI dashboard</x:v>
      </x:c>
      <x:c r="D772" s="30" t="str">
        <x:v>Prescription</x:v>
      </x:c>
      <x:c r="E772" s="30" t="str">
        <x:v>Yes</x:v>
      </x:c>
      <x:c r="F772" s="30" t="str">
        <x:v>Long Term</x:v>
      </x:c>
      <x:c r="G772" s="30" t="str">
        <x:v>RETAIL</x:v>
      </x:c>
      <x:c r="H772" s="30" t="str">
        <x:v>Yes</x:v>
      </x:c>
      <x:c r="I772" s="30" t="str">
        <x:v>KPI Audit</x:v>
      </x:c>
    </x:row>
    <x:row r="773">
      <x:c r="A773" s="30" t="str">
        <x:v>REVID202</x:v>
      </x:c>
      <x:c r="B773" s="30" t="str">
        <x:v>RAUD202</x:v>
      </x:c>
      <x:c r="C773" s="30" t="str">
        <x:v>Authorization matrix, segregation of duties report, delegated authority register, annual review records</x:v>
      </x:c>
      <x:c r="D773" s="30" t="str">
        <x:v>Approval</x:v>
      </x:c>
      <x:c r="E773" s="30" t="str">
        <x:v>Yes</x:v>
      </x:c>
      <x:c r="F773" s="30" t="str">
        <x:v>Permanent</x:v>
      </x:c>
      <x:c r="G773" s="30" t="str">
        <x:v>RETAIL</x:v>
      </x:c>
      <x:c r="H773" s="30" t="str">
        <x:v>Yes</x:v>
      </x:c>
      <x:c r="I773" s="30" t="str">
        <x:v>Governance Audit</x:v>
      </x:c>
    </x:row>
    <x:row r="774">
      <x:c r="A774" s="30" t="str">
        <x:v>REVID203</x:v>
      </x:c>
      <x:c r="B774" s="30" t="str">
        <x:v>RAUD203</x:v>
      </x:c>
      <x:c r="C774" s="30" t="str">
        <x:v>API authentication logs, encryption certificates, penetration test reports, vulnerability remediation tracker</x:v>
      </x:c>
      <x:c r="D774" s="30" t="str">
        <x:v>Certificate</x:v>
      </x:c>
      <x:c r="E774" s="30" t="str">
        <x:v>Yes</x:v>
      </x:c>
      <x:c r="F774" s="30" t="str">
        <x:v>Permanent</x:v>
      </x:c>
      <x:c r="G774" s="30" t="str">
        <x:v>RETAIL</x:v>
      </x:c>
      <x:c r="H774" s="30" t="str">
        <x:v>Yes</x:v>
      </x:c>
      <x:c r="I774" s="30" t="str">
        <x:v>IT Security Audit</x:v>
      </x:c>
    </x:row>
    <x:row r="775">
      <x:c r="A775" s="30" t="str">
        <x:v>REVID204</x:v>
      </x:c>
      <x:c r="B775" s="30" t="str">
        <x:v>RAUD204</x:v>
      </x:c>
      <x:c r="C775" s="30" t="str">
        <x:v>Dispensing documentation audit reports, sampling records, CAPA register, effectiveness verification report</x:v>
      </x:c>
      <x:c r="D775" s="30" t="str">
        <x:v>Report</x:v>
      </x:c>
      <x:c r="E775" s="30" t="str">
        <x:v>Yes</x:v>
      </x:c>
      <x:c r="F775" s="30" t="str">
        <x:v>Operational</x:v>
      </x:c>
      <x:c r="G775" s="30" t="str">
        <x:v>RETAIL</x:v>
      </x:c>
      <x:c r="H775" s="30" t="str">
        <x:v>Yes</x:v>
      </x:c>
      <x:c r="I775" s="30" t="str">
        <x:v>Quality Audit</x:v>
      </x:c>
    </x:row>
    <x:row r="776">
      <x:c r="A776" s="30" t="str">
        <x:v>REVID205</x:v>
      </x:c>
      <x:c r="B776" s="30" t="str">
        <x:v>RAUD205</x:v>
      </x:c>
      <x:c r="C776" s="30" t="str">
        <x:v>Regulatory inspection action tracker, overdue action reports, management escalation records, closure approvals</x:v>
      </x:c>
      <x:c r="D776" s="30" t="str">
        <x:v>Approval</x:v>
      </x:c>
      <x:c r="E776" s="30" t="str">
        <x:v>Yes</x:v>
      </x:c>
      <x:c r="F776" s="30" t="str">
        <x:v>Permanent</x:v>
      </x:c>
      <x:c r="G776" s="30" t="str">
        <x:v>RETAIL</x:v>
      </x:c>
      <x:c r="H776" s="30" t="str">
        <x:v>Yes</x:v>
      </x:c>
      <x:c r="I776" s="30" t="str">
        <x:v>Compliance Audit</x:v>
      </x:c>
    </x:row>
    <x:row r="777">
      <x:c r="A777" s="30" t="str">
        <x:v>REVID206</x:v>
      </x:c>
      <x:c r="B777" s="30" t="str">
        <x:v>RAUD206</x:v>
      </x:c>
      <x:c r="C777" s="30" t="str">
        <x:v>Mobile application security assessment, authentication logs, encryption validation, audit trail reports</x:v>
      </x:c>
      <x:c r="D777" s="30" t="str">
        <x:v>Log Book</x:v>
      </x:c>
      <x:c r="E777" s="30" t="str">
        <x:v>Yes</x:v>
      </x:c>
      <x:c r="F777" s="30" t="str">
        <x:v>Operational</x:v>
      </x:c>
      <x:c r="G777" s="30" t="str">
        <x:v>RETAIL</x:v>
      </x:c>
      <x:c r="H777" s="30" t="str">
        <x:v>Yes</x:v>
      </x:c>
      <x:c r="I777" s="30" t="str">
        <x:v>IT Security Audit</x:v>
      </x:c>
    </x:row>
    <x:row r="778">
      <x:c r="A778" s="30" t="str">
        <x:v>REVID207</x:v>
      </x:c>
      <x:c r="B778" s="30" t="str">
        <x:v>RAUD207</x:v>
      </x:c>
      <x:c r="C778" s="30" t="str">
        <x:v>Inventory analytics dashboard, ageing analysis, stock-out reports, procurement efficiency reports</x:v>
      </x:c>
      <x:c r="D778" s="30" t="str">
        <x:v>Inventory Record</x:v>
      </x:c>
      <x:c r="E778" s="30" t="str">
        <x:v>Yes</x:v>
      </x:c>
      <x:c r="F778" s="30" t="str">
        <x:v>Operational</x:v>
      </x:c>
      <x:c r="G778" s="30" t="str">
        <x:v>RETAIL</x:v>
      </x:c>
      <x:c r="H778" s="30" t="str">
        <x:v>Yes</x:v>
      </x:c>
      <x:c r="I778" s="30" t="str">
        <x:v>Inventory Audit</x:v>
      </x:c>
    </x:row>
    <x:row r="779">
      <x:c r="A779" s="30" t="str">
        <x:v>REVID208</x:v>
      </x:c>
      <x:c r="B779" s="30" t="str">
        <x:v>RAUD208</x:v>
      </x:c>
      <x:c r="C779" s="30" t="str">
        <x:v>Infrastructure monitoring reports, server health reports, network monitoring logs, incident response records</x:v>
      </x:c>
      <x:c r="D779" s="30" t="str">
        <x:v>Log Book</x:v>
      </x:c>
      <x:c r="E779" s="30" t="str">
        <x:v>Yes</x:v>
      </x:c>
      <x:c r="F779" s="30" t="str">
        <x:v>Long Term</x:v>
      </x:c>
      <x:c r="G779" s="30" t="str">
        <x:v>RETAIL</x:v>
      </x:c>
      <x:c r="H779" s="30" t="str">
        <x:v>Yes</x:v>
      </x:c>
      <x:c r="I779" s="30" t="str">
        <x:v>IT Operations Audit</x:v>
      </x:c>
    </x:row>
    <x:row r="780">
      <x:c r="A780" s="30" t="str">
        <x:v>REVID209</x:v>
      </x:c>
      <x:c r="B780" s="30" t="str">
        <x:v>RAUD209</x:v>
      </x:c>
      <x:c r="C780" s="30" t="str">
        <x:v>Healthcare partnership agreements, confidentiality agreements, governance review reports, compliance assessments</x:v>
      </x:c>
      <x:c r="D780" s="30" t="str">
        <x:v>Agreement</x:v>
      </x:c>
      <x:c r="E780" s="30" t="str">
        <x:v>Yes</x:v>
      </x:c>
      <x:c r="F780" s="30" t="str">
        <x:v>Operational</x:v>
      </x:c>
      <x:c r="G780" s="30" t="str">
        <x:v>RETAIL</x:v>
      </x:c>
      <x:c r="H780" s="30" t="str">
        <x:v>Yes</x:v>
      </x:c>
      <x:c r="I780" s="30" t="str">
        <x:v>Compliance Audit</x:v>
      </x:c>
    </x:row>
    <x:row r="781">
      <x:c r="A781" s="30" t="str">
        <x:v>REVID210</x:v>
      </x:c>
      <x:c r="B781" s="30" t="str">
        <x:v>RAUD210</x:v>
      </x:c>
      <x:c r="C781" s="30" t="str">
        <x:v>Enterprise compliance programme review, audit summary, inspection summary, risk register, improvement tracker</x:v>
      </x:c>
      <x:c r="D781" s="30" t="str">
        <x:v>Inspection Report</x:v>
      </x:c>
      <x:c r="E781" s="30" t="str">
        <x:v>Yes</x:v>
      </x:c>
      <x:c r="F781" s="30" t="str">
        <x:v>Statutory</x:v>
      </x:c>
      <x:c r="G781" s="30" t="str">
        <x:v>RETAIL</x:v>
      </x:c>
      <x:c r="H781" s="30" t="str">
        <x:v>Yes</x:v>
      </x:c>
      <x:c r="I781" s="30" t="str">
        <x:v>Enterprise Audit</x:v>
      </x:c>
    </x:row>
    <x:row r="782">
      <x:c r="A782" s="30" t="str">
        <x:v>REVID211</x:v>
      </x:c>
      <x:c r="B782" s="30" t="str">
        <x:v>RAUD211</x:v>
      </x:c>
      <x:c r="C782" s="30" t="str">
        <x:v>Business continuity exercise reports, scenario test results, corrective action tracker, management approval</x:v>
      </x:c>
      <x:c r="D782" s="30" t="str">
        <x:v>Approval</x:v>
      </x:c>
      <x:c r="E782" s="30" t="str">
        <x:v>Yes</x:v>
      </x:c>
      <x:c r="F782" s="30" t="str">
        <x:v>Permanent</x:v>
      </x:c>
      <x:c r="G782" s="30" t="str">
        <x:v>RETAIL</x:v>
      </x:c>
      <x:c r="H782" s="30" t="str">
        <x:v>Yes</x:v>
      </x:c>
      <x:c r="I782" s="30" t="str">
        <x:v>Business Continuity Audit</x:v>
      </x:c>
    </x:row>
    <x:row r="783">
      <x:c r="A783" s="30" t="str">
        <x:v>REVID212</x:v>
      </x:c>
      <x:c r="B783" s="30" t="str">
        <x:v>RAUD212</x:v>
      </x:c>
      <x:c r="C783" s="30" t="str">
        <x:v>Cross-training records, competency assessments, refresher training reports, workforce resilience plans</x:v>
      </x:c>
      <x:c r="D783" s="30" t="str">
        <x:v>Training Record</x:v>
      </x:c>
      <x:c r="E783" s="30" t="str">
        <x:v>Yes</x:v>
      </x:c>
      <x:c r="F783" s="30" t="str">
        <x:v>Operational</x:v>
      </x:c>
      <x:c r="G783" s="30" t="str">
        <x:v>RETAIL</x:v>
      </x:c>
      <x:c r="H783" s="30" t="str">
        <x:v>Yes</x:v>
      </x:c>
      <x:c r="I783" s="30" t="str">
        <x:v>HR Audit</x:v>
      </x:c>
    </x:row>
    <x:row r="784">
      <x:c r="A784" s="30" t="str">
        <x:v>REVID213</x:v>
      </x:c>
      <x:c r="B784" s="30" t="str">
        <x:v>RAUD213</x:v>
      </x:c>
      <x:c r="C784" s="30" t="str">
        <x:v>Customer portal security assessment, MFA reports, access review reports, session logs</x:v>
      </x:c>
      <x:c r="D784" s="30" t="str">
        <x:v>Log Book</x:v>
      </x:c>
      <x:c r="E784" s="30" t="str">
        <x:v>Yes</x:v>
      </x:c>
      <x:c r="F784" s="30" t="str">
        <x:v>Operational</x:v>
      </x:c>
      <x:c r="G784" s="30" t="str">
        <x:v>RETAIL</x:v>
      </x:c>
      <x:c r="H784" s="30" t="str">
        <x:v>Yes</x:v>
      </x:c>
      <x:c r="I784" s="30" t="str">
        <x:v>IT Security Audit</x:v>
      </x:c>
    </x:row>
    <x:row r="785">
      <x:c r="A785" s="30" t="str">
        <x:v>REVID214</x:v>
      </x:c>
      <x:c r="B785" s="30" t="str">
        <x:v>RAUD214</x:v>
      </x:c>
      <x:c r="C785" s="30" t="str">
        <x:v>Dispensing quality assessment reports, customer feedback analysis, error trend reports, improvement plans</x:v>
      </x:c>
      <x:c r="D785" s="30" t="str">
        <x:v>Receipt</x:v>
      </x:c>
      <x:c r="E785" s="30" t="str">
        <x:v>Yes</x:v>
      </x:c>
      <x:c r="F785" s="30" t="str">
        <x:v>Transactional</x:v>
      </x:c>
      <x:c r="G785" s="30" t="str">
        <x:v>RETAIL</x:v>
      </x:c>
      <x:c r="H785" s="30" t="str">
        <x:v>Yes</x:v>
      </x:c>
      <x:c r="I785" s="30" t="str">
        <x:v>Quality Assurance Audit</x:v>
      </x:c>
    </x:row>
    <x:row r="786">
      <x:c r="A786" s="30" t="str">
        <x:v>REVID215</x:v>
      </x:c>
      <x:c r="B786" s="30" t="str">
        <x:v>RAUD215</x:v>
      </x:c>
      <x:c r="C786" s="30" t="str">
        <x:v>Compliance escalation register, patient safety incident reports, management decisions, CAPA closure reports</x:v>
      </x:c>
      <x:c r="D786" s="30" t="str">
        <x:v>Report</x:v>
      </x:c>
      <x:c r="E786" s="30" t="str">
        <x:v>Yes</x:v>
      </x:c>
      <x:c r="F786" s="30" t="str">
        <x:v>Operational</x:v>
      </x:c>
      <x:c r="G786" s="30" t="str">
        <x:v>RETAIL</x:v>
      </x:c>
      <x:c r="H786" s="30" t="str">
        <x:v>Yes</x:v>
      </x:c>
      <x:c r="I786" s="30" t="str">
        <x:v>Compliance Audit</x:v>
      </x:c>
    </x:row>
    <x:row r="787">
      <x:c r="A787" s="30" t="str">
        <x:v>REVID216</x:v>
      </x:c>
      <x:c r="B787" s="30" t="str">
        <x:v>RAUD216</x:v>
      </x:c>
      <x:c r="C787" s="30" t="str">
        <x:v>Online order validation reports, prescription verification records, payment confirmations, pharmacist approval logs</x:v>
      </x:c>
      <x:c r="D787" s="30" t="str">
        <x:v>Log Book</x:v>
      </x:c>
      <x:c r="E787" s="30" t="str">
        <x:v>Yes</x:v>
      </x:c>
      <x:c r="F787" s="30" t="str">
        <x:v>Long Term</x:v>
      </x:c>
      <x:c r="G787" s="30" t="str">
        <x:v>RETAIL</x:v>
      </x:c>
      <x:c r="H787" s="30" t="str">
        <x:v>Yes</x:v>
      </x:c>
      <x:c r="I787" s="30" t="str">
        <x:v>Transaction Verification</x:v>
      </x:c>
    </x:row>
    <x:row r="788">
      <x:c r="A788" s="30" t="str">
        <x:v>REVID217</x:v>
      </x:c>
      <x:c r="B788" s="30" t="str">
        <x:v>RAUD217</x:v>
      </x:c>
      <x:c r="C788" s="30" t="str">
        <x:v>Inventory benchmarking reports, KPI comparison reports, management review records, improvement action plans</x:v>
      </x:c>
      <x:c r="D788" s="30" t="str">
        <x:v>Inventory Record</x:v>
      </x:c>
      <x:c r="E788" s="30" t="str">
        <x:v>Yes</x:v>
      </x:c>
      <x:c r="F788" s="30" t="str">
        <x:v>Operational</x:v>
      </x:c>
      <x:c r="G788" s="30" t="str">
        <x:v>RETAIL</x:v>
      </x:c>
      <x:c r="H788" s="30" t="str">
        <x:v>Yes</x:v>
      </x:c>
      <x:c r="I788" s="30" t="str">
        <x:v>KPI Audit</x:v>
      </x:c>
    </x:row>
    <x:row r="789">
      <x:c r="A789" s="30" t="str">
        <x:v>REVID218</x:v>
      </x:c>
      <x:c r="B789" s="30" t="str">
        <x:v>RAUD218</x:v>
      </x:c>
      <x:c r="C789" s="30" t="str">
        <x:v>Endpoint compliance reports, device inventory, encryption verification, endpoint protection dashboard</x:v>
      </x:c>
      <x:c r="D789" s="30" t="str">
        <x:v>Inventory Record</x:v>
      </x:c>
      <x:c r="E789" s="30" t="str">
        <x:v>Yes</x:v>
      </x:c>
      <x:c r="F789" s="30" t="str">
        <x:v>Operational</x:v>
      </x:c>
      <x:c r="G789" s="30" t="str">
        <x:v>RETAIL</x:v>
      </x:c>
      <x:c r="H789" s="30" t="str">
        <x:v>Yes</x:v>
      </x:c>
      <x:c r="I789" s="30" t="str">
        <x:v>IT Security Audit</x:v>
      </x:c>
    </x:row>
    <x:row r="790">
      <x:c r="A790" s="30" t="str">
        <x:v>REVID219</x:v>
      </x:c>
      <x:c r="B790" s="30" t="str">
        <x:v>RAUD219</x:v>
      </x:c>
      <x:c r="C790" s="30" t="str">
        <x:v>Community wellness programme approval, attendance records, evaluation reports, outcome measurements</x:v>
      </x:c>
      <x:c r="D790" s="30" t="str">
        <x:v>Approval</x:v>
      </x:c>
      <x:c r="E790" s="30" t="str">
        <x:v>Yes</x:v>
      </x:c>
      <x:c r="F790" s="30" t="str">
        <x:v>Permanent</x:v>
      </x:c>
      <x:c r="G790" s="30" t="str">
        <x:v>RETAIL</x:v>
      </x:c>
      <x:c r="H790" s="30" t="str">
        <x:v>Yes</x:v>
      </x:c>
      <x:c r="I790" s="30" t="str">
        <x:v>Programme Audit</x:v>
      </x:c>
    </x:row>
    <x:row r="791">
      <x:c r="A791" s="30" t="str">
        <x:v>REVID220</x:v>
      </x:c>
      <x:c r="B791" s="30" t="str">
        <x:v>RAUD220</x:v>
      </x:c>
      <x:c r="C791" s="30" t="str">
        <x:v>Compliance effectiveness assessment report, KPI evaluation, audit summary, CAPA effectiveness report, executive approval</x:v>
      </x:c>
      <x:c r="D791" s="30" t="str">
        <x:v>Approval</x:v>
      </x:c>
      <x:c r="E791" s="30" t="str">
        <x:v>Yes</x:v>
      </x:c>
      <x:c r="F791" s="30" t="str">
        <x:v>Permanent</x:v>
      </x:c>
      <x:c r="G791" s="30" t="str">
        <x:v>RETAIL</x:v>
      </x:c>
      <x:c r="H791" s="30" t="str">
        <x:v>Yes</x:v>
      </x:c>
      <x:c r="I791" s="30" t="str">
        <x:v>Governance Verification</x:v>
      </x:c>
    </x:row>
    <x:row r="792">
      <x:c r="A792" s="30" t="str">
        <x:v>REVID221</x:v>
      </x:c>
      <x:c r="B792" s="30" t="str">
        <x:v>RAUD221</x:v>
      </x:c>
      <x:c r="C792" s="30" t="str">
        <x:v>Seasonal demand forecast, procurement plan, supplier lead-time analysis, inventory availability report</x:v>
      </x:c>
      <x:c r="D792" s="30" t="str">
        <x:v>Inventory Record</x:v>
      </x:c>
      <x:c r="E792" s="30" t="str">
        <x:v>Yes</x:v>
      </x:c>
      <x:c r="F792" s="30" t="str">
        <x:v>Operational</x:v>
      </x:c>
      <x:c r="G792" s="30" t="str">
        <x:v>RETAIL</x:v>
      </x:c>
      <x:c r="H792" s="30" t="str">
        <x:v>Yes</x:v>
      </x:c>
      <x:c r="I792" s="30" t="str">
        <x:v>Procurement Audit</x:v>
      </x:c>
    </x:row>
    <x:row r="793">
      <x:c r="A793" s="30" t="str">
        <x:v>REVID222</x:v>
      </x:c>
      <x:c r="B793" s="30" t="str">
        <x:v>RAUD222</x:v>
      </x:c>
      <x:c r="C793" s="30" t="str">
        <x:v>Temporary staff onboarding checklist, competency assessment, orientation records, authorization register</x:v>
      </x:c>
      <x:c r="D793" s="30" t="str">
        <x:v>Approval</x:v>
      </x:c>
      <x:c r="E793" s="30" t="str">
        <x:v>Yes</x:v>
      </x:c>
      <x:c r="F793" s="30" t="str">
        <x:v>Permanent</x:v>
      </x:c>
      <x:c r="G793" s="30" t="str">
        <x:v>RETAIL</x:v>
      </x:c>
      <x:c r="H793" s="30" t="str">
        <x:v>Yes</x:v>
      </x:c>
      <x:c r="I793" s="30" t="str">
        <x:v>HR Audit</x:v>
      </x:c>
    </x:row>
    <x:row r="794">
      <x:c r="A794" s="30" t="str">
        <x:v>REVID223</x:v>
      </x:c>
      <x:c r="B794" s="30" t="str">
        <x:v>RAUD223</x:v>
      </x:c>
      <x:c r="C794" s="30" t="str">
        <x:v>Consent withdrawal register, processing log, audit trail, customer communication update records</x:v>
      </x:c>
      <x:c r="D794" s="30" t="str">
        <x:v>Log Book</x:v>
      </x:c>
      <x:c r="E794" s="30" t="str">
        <x:v>Yes</x:v>
      </x:c>
      <x:c r="F794" s="30" t="str">
        <x:v>Long Term</x:v>
      </x:c>
      <x:c r="G794" s="30" t="str">
        <x:v>RETAIL</x:v>
      </x:c>
      <x:c r="H794" s="30" t="str">
        <x:v>Yes</x:v>
      </x:c>
      <x:c r="I794" s="30" t="str">
        <x:v>Privacy Audit</x:v>
      </x:c>
    </x:row>
    <x:row r="795">
      <x:c r="A795" s="30" t="str">
        <x:v>REVID224</x:v>
      </x:c>
      <x:c r="B795" s="30" t="str">
        <x:v>RAUD224</x:v>
      </x:c>
      <x:c r="C795" s="30" t="str">
        <x:v>Dispensing accuracy audit reports, sampling records, error analysis, CAPA documentation</x:v>
      </x:c>
      <x:c r="D795" s="30" t="str">
        <x:v>Report</x:v>
      </x:c>
      <x:c r="E795" s="30" t="str">
        <x:v>Yes</x:v>
      </x:c>
      <x:c r="F795" s="30" t="str">
        <x:v>Operational</x:v>
      </x:c>
      <x:c r="G795" s="30" t="str">
        <x:v>RETAIL</x:v>
      </x:c>
      <x:c r="H795" s="30" t="str">
        <x:v>Yes</x:v>
      </x:c>
      <x:c r="I795" s="30" t="str">
        <x:v>Quality Audit</x:v>
      </x:c>
    </x:row>
    <x:row r="796">
      <x:c r="A796" s="30" t="str">
        <x:v>REVID225</x:v>
      </x:c>
      <x:c r="B796" s="30" t="str">
        <x:v>RAUD225</x:v>
      </x:c>
      <x:c r="C796" s="30" t="str">
        <x:v>Regulatory change register, impact assessment reports, SOP revision history, training attendance records</x:v>
      </x:c>
      <x:c r="D796" s="30" t="str">
        <x:v>SOP</x:v>
      </x:c>
      <x:c r="E796" s="30" t="str">
        <x:v>Yes</x:v>
      </x:c>
      <x:c r="F796" s="30" t="str">
        <x:v>Operational</x:v>
      </x:c>
      <x:c r="G796" s="30" t="str">
        <x:v>RETAIL</x:v>
      </x:c>
      <x:c r="H796" s="30" t="str">
        <x:v>Yes</x:v>
      </x:c>
      <x:c r="I796" s="30" t="str">
        <x:v>Compliance Audit</x:v>
      </x:c>
    </x:row>
    <x:row r="797">
      <x:c r="A797" s="30" t="str">
        <x:v>REVID226</x:v>
      </x:c>
      <x:c r="B797" s="30" t="str">
        <x:v>RAUD226</x:v>
      </x:c>
      <x:c r="C797" s="30" t="str">
        <x:v>Omnichannel order reports, transaction logs, prescription validation records, pharmacist approval records</x:v>
      </x:c>
      <x:c r="D797" s="30" t="str">
        <x:v>Log Book</x:v>
      </x:c>
      <x:c r="E797" s="30" t="str">
        <x:v>Yes</x:v>
      </x:c>
      <x:c r="F797" s="30" t="str">
        <x:v>Long Term</x:v>
      </x:c>
      <x:c r="G797" s="30" t="str">
        <x:v>RETAIL</x:v>
      </x:c>
      <x:c r="H797" s="30" t="str">
        <x:v>Yes</x:v>
      </x:c>
      <x:c r="I797" s="30" t="str">
        <x:v>Transaction Audit</x:v>
      </x:c>
    </x:row>
    <x:row r="798">
      <x:c r="A798" s="30" t="str">
        <x:v>REVID227</x:v>
      </x:c>
      <x:c r="B798" s="30" t="str">
        <x:v>RAUD227</x:v>
      </x:c>
      <x:c r="C798" s="30" t="str">
        <x:v>Inventory Review Committee minutes, attendance register, inventory KPI reports, action tracker</x:v>
      </x:c>
      <x:c r="D798" s="30" t="str">
        <x:v>Inventory Record</x:v>
      </x:c>
      <x:c r="E798" s="30" t="str">
        <x:v>Yes</x:v>
      </x:c>
      <x:c r="F798" s="30" t="str">
        <x:v>Operational</x:v>
      </x:c>
      <x:c r="G798" s="30" t="str">
        <x:v>RETAIL</x:v>
      </x:c>
      <x:c r="H798" s="30" t="str">
        <x:v>Yes</x:v>
      </x:c>
      <x:c r="I798" s="30" t="str">
        <x:v>Governance Audit</x:v>
      </x:c>
    </x:row>
    <x:row r="799">
      <x:c r="A799" s="30" t="str">
        <x:v>REVID228</x:v>
      </x:c>
      <x:c r="B799" s="30" t="str">
        <x:v>RAUD228</x:v>
      </x:c>
      <x:c r="C799" s="30" t="str">
        <x:v>Cyber resilience assessment, vulnerability reports, threat monitoring logs, disaster recovery test reports</x:v>
      </x:c>
      <x:c r="D799" s="30" t="str">
        <x:v>Log Book</x:v>
      </x:c>
      <x:c r="E799" s="30" t="str">
        <x:v>Yes</x:v>
      </x:c>
      <x:c r="F799" s="30" t="str">
        <x:v>Operational</x:v>
      </x:c>
      <x:c r="G799" s="30" t="str">
        <x:v>RETAIL</x:v>
      </x:c>
      <x:c r="H799" s="30" t="str">
        <x:v>Yes</x:v>
      </x:c>
      <x:c r="I799" s="30" t="str">
        <x:v>IT Security Audit</x:v>
      </x:c>
    </x:row>
    <x:row r="800">
      <x:c r="A800" s="30" t="str">
        <x:v>REVID229</x:v>
      </x:c>
      <x:c r="B800" s="30" t="str">
        <x:v>RAUD229</x:v>
      </x:c>
      <x:c r="C800" s="30" t="str">
        <x:v>Community programme report, participation statistics, outcome analysis, management review, regulatory submissions</x:v>
      </x:c>
      <x:c r="D800" s="30" t="str">
        <x:v>Report</x:v>
      </x:c>
      <x:c r="E800" s="30" t="str">
        <x:v>Yes</x:v>
      </x:c>
      <x:c r="F800" s="30" t="str">
        <x:v>Long Term</x:v>
      </x:c>
      <x:c r="G800" s="30" t="str">
        <x:v>RETAIL</x:v>
      </x:c>
      <x:c r="H800" s="30" t="str">
        <x:v>Yes</x:v>
      </x:c>
      <x:c r="I800" s="30" t="str">
        <x:v>Programme Audit</x:v>
      </x:c>
    </x:row>
    <x:row r="801">
      <x:c r="A801" s="30" t="str">
        <x:v>REVID230</x:v>
      </x:c>
      <x:c r="B801" s="30" t="str">
        <x:v>RAUD230</x:v>
      </x:c>
      <x:c r="C801" s="30" t="str">
        <x:v>Integrated governance review report, audit summary, risk register, patient safety review, executive approval</x:v>
      </x:c>
      <x:c r="D801" s="30" t="str">
        <x:v>Approval</x:v>
      </x:c>
      <x:c r="E801" s="30" t="str">
        <x:v>Yes</x:v>
      </x:c>
      <x:c r="F801" s="30" t="str">
        <x:v>Permanent</x:v>
      </x:c>
      <x:c r="G801" s="30" t="str">
        <x:v>RETAIL</x:v>
      </x:c>
      <x:c r="H801" s="30" t="str">
        <x:v>Yes</x:v>
      </x:c>
      <x:c r="I801" s="30" t="str">
        <x:v>Enterprise Audit</x:v>
      </x:c>
    </x:row>
    <x:row r="802">
      <x:c r="A802" s="30" t="str">
        <x:v>REVID231</x:v>
      </x:c>
      <x:c r="B802" s="30" t="str">
        <x:v>RAUD231</x:v>
      </x:c>
      <x:c r="C802" s="30" t="str">
        <x:v>Business continuity exercise report, IT recovery validation, inventory continuity report, CAPA tracker</x:v>
      </x:c>
      <x:c r="D802" s="30" t="str">
        <x:v>Inventory Record</x:v>
      </x:c>
      <x:c r="E802" s="30" t="str">
        <x:v>Yes</x:v>
      </x:c>
      <x:c r="F802" s="30" t="str">
        <x:v>Operational</x:v>
      </x:c>
      <x:c r="G802" s="30" t="str">
        <x:v>RETAIL</x:v>
      </x:c>
      <x:c r="H802" s="30" t="str">
        <x:v>Yes</x:v>
      </x:c>
      <x:c r="I802" s="30" t="str">
        <x:v>Business Continuity Audit</x:v>
      </x:c>
    </x:row>
    <x:row r="803">
      <x:c r="A803" s="30" t="str">
        <x:v>REVID232</x:v>
      </x:c>
      <x:c r="B803" s="30" t="str">
        <x:v>RAUD232</x:v>
      </x:c>
      <x:c r="C803" s="30" t="str">
        <x:v>Annual employee compliance declarations, ethics acknowledgements, confidentiality declarations, approval register</x:v>
      </x:c>
      <x:c r="D803" s="30" t="str">
        <x:v>Approval</x:v>
      </x:c>
      <x:c r="E803" s="30" t="str">
        <x:v>Yes</x:v>
      </x:c>
      <x:c r="F803" s="30" t="str">
        <x:v>Permanent</x:v>
      </x:c>
      <x:c r="G803" s="30" t="str">
        <x:v>RETAIL</x:v>
      </x:c>
      <x:c r="H803" s="30" t="str">
        <x:v>Yes</x:v>
      </x:c>
      <x:c r="I803" s="30" t="str">
        <x:v>HR Compliance Audit</x:v>
      </x:c>
    </x:row>
    <x:row r="804">
      <x:c r="A804" s="30" t="str">
        <x:v>REVID233</x:v>
      </x:c>
      <x:c r="B804" s="30" t="str">
        <x:v>RAUD233</x:v>
      </x:c>
      <x:c r="C804" s="30" t="str">
        <x:v>Electronic dispensing archive, immutable audit logs, retention schedule, backup verification reports</x:v>
      </x:c>
      <x:c r="D804" s="30" t="str">
        <x:v>Log Book</x:v>
      </x:c>
      <x:c r="E804" s="30" t="str">
        <x:v>Yes</x:v>
      </x:c>
      <x:c r="F804" s="30" t="str">
        <x:v>Operational</x:v>
      </x:c>
      <x:c r="G804" s="30" t="str">
        <x:v>RETAIL</x:v>
      </x:c>
      <x:c r="H804" s="30" t="str">
        <x:v>Yes</x:v>
      </x:c>
      <x:c r="I804" s="30" t="str">
        <x:v>IT Records Audit</x:v>
      </x:c>
    </x:row>
    <x:row r="805">
      <x:c r="A805" s="30" t="str">
        <x:v>REVID234</x:v>
      </x:c>
      <x:c r="B805" s="30" t="str">
        <x:v>RAUD234</x:v>
      </x:c>
      <x:c r="C805" s="30" t="str">
        <x:v>Internal inspection reports, inspection checklist, observation register, CAPA tracker</x:v>
      </x:c>
      <x:c r="D805" s="30" t="str">
        <x:v>Inspection Report</x:v>
      </x:c>
      <x:c r="E805" s="30" t="str">
        <x:v>Yes</x:v>
      </x:c>
      <x:c r="F805" s="30" t="str">
        <x:v>Statutory</x:v>
      </x:c>
      <x:c r="G805" s="30" t="str">
        <x:v>RETAIL</x:v>
      </x:c>
      <x:c r="H805" s="30" t="str">
        <x:v>Yes</x:v>
      </x:c>
      <x:c r="I805" s="30" t="str">
        <x:v>Compliance Inspection</x:v>
      </x:c>
    </x:row>
    <x:row r="806">
      <x:c r="A806" s="30" t="str">
        <x:v>REVID235</x:v>
      </x:c>
      <x:c r="B806" s="30" t="str">
        <x:v>RAUD235</x:v>
      </x:c>
      <x:c r="C806" s="30" t="str">
        <x:v>Regulatory escalation register, event classification records, notification evidence, management approvals</x:v>
      </x:c>
      <x:c r="D806" s="30" t="str">
        <x:v>Approval</x:v>
      </x:c>
      <x:c r="E806" s="30" t="str">
        <x:v>Yes</x:v>
      </x:c>
      <x:c r="F806" s="30" t="str">
        <x:v>Permanent</x:v>
      </x:c>
      <x:c r="G806" s="30" t="str">
        <x:v>RETAIL</x:v>
      </x:c>
      <x:c r="H806" s="30" t="str">
        <x:v>Yes</x:v>
      </x:c>
      <x:c r="I806" s="30" t="str">
        <x:v>Compliance Audit</x:v>
      </x:c>
    </x:row>
    <x:row r="807">
      <x:c r="A807" s="30" t="str">
        <x:v>REVID236</x:v>
      </x:c>
      <x:c r="B807" s="30" t="str">
        <x:v>RAUD236</x:v>
      </x:c>
      <x:c r="C807" s="30" t="str">
        <x:v>Customer identity verification records, complaint register, privacy audit report, service quality assessments</x:v>
      </x:c>
      <x:c r="D807" s="30" t="str">
        <x:v>Report</x:v>
      </x:c>
      <x:c r="E807" s="30" t="str">
        <x:v>Yes</x:v>
      </x:c>
      <x:c r="F807" s="30" t="str">
        <x:v>Long Term</x:v>
      </x:c>
      <x:c r="G807" s="30" t="str">
        <x:v>RETAIL</x:v>
      </x:c>
      <x:c r="H807" s="30" t="str">
        <x:v>Yes</x:v>
      </x:c>
      <x:c r="I807" s="30" t="str">
        <x:v>Quality Audit</x:v>
      </x:c>
    </x:row>
    <x:row r="808">
      <x:c r="A808" s="30" t="str">
        <x:v>REVID237</x:v>
      </x:c>
      <x:c r="B808" s="30" t="str">
        <x:v>RAUD237</x:v>
      </x:c>
      <x:c r="C808" s="30" t="str">
        <x:v>Annual inventory governance assessment, supplier performance reports, expiry analysis, inventory security review</x:v>
      </x:c>
      <x:c r="D808" s="30" t="str">
        <x:v>Inventory Record</x:v>
      </x:c>
      <x:c r="E808" s="30" t="str">
        <x:v>Yes</x:v>
      </x:c>
      <x:c r="F808" s="30" t="str">
        <x:v>Operational</x:v>
      </x:c>
      <x:c r="G808" s="30" t="str">
        <x:v>RETAIL</x:v>
      </x:c>
      <x:c r="H808" s="30" t="str">
        <x:v>Yes</x:v>
      </x:c>
      <x:c r="I808" s="30" t="str">
        <x:v>Governance Audit</x:v>
      </x:c>
    </x:row>
    <x:row r="809">
      <x:c r="A809" s="30" t="str">
        <x:v>REVID238</x:v>
      </x:c>
      <x:c r="B809" s="30" t="str">
        <x:v>RAUD238</x:v>
      </x:c>
      <x:c r="C809" s="30" t="str">
        <x:v>Information security governance report, cyber risk assessment, incident response review, executive approvals</x:v>
      </x:c>
      <x:c r="D809" s="30" t="str">
        <x:v>Approval</x:v>
      </x:c>
      <x:c r="E809" s="30" t="str">
        <x:v>Yes</x:v>
      </x:c>
      <x:c r="F809" s="30" t="str">
        <x:v>Permanent</x:v>
      </x:c>
      <x:c r="G809" s="30" t="str">
        <x:v>RETAIL</x:v>
      </x:c>
      <x:c r="H809" s="30" t="str">
        <x:v>Yes</x:v>
      </x:c>
      <x:c r="I809" s="30" t="str">
        <x:v>Information Security Audit</x:v>
      </x:c>
    </x:row>
    <x:row r="810">
      <x:c r="A810" s="30" t="str">
        <x:v>REVID239</x:v>
      </x:c>
      <x:c r="B810" s="30" t="str">
        <x:v>RAUD239</x:v>
      </x:c>
      <x:c r="C810" s="30" t="str">
        <x:v>Community healthcare impact assessment, programme evaluation report, participant feedback, management review</x:v>
      </x:c>
      <x:c r="D810" s="30" t="str">
        <x:v>Receipt</x:v>
      </x:c>
      <x:c r="E810" s="30" t="str">
        <x:v>Yes</x:v>
      </x:c>
      <x:c r="F810" s="30" t="str">
        <x:v>Long Term</x:v>
      </x:c>
      <x:c r="G810" s="30" t="str">
        <x:v>RETAIL</x:v>
      </x:c>
      <x:c r="H810" s="30" t="str">
        <x:v>Yes</x:v>
      </x:c>
      <x:c r="I810" s="30" t="str">
        <x:v>Programme Evaluation</x:v>
      </x:c>
    </x:row>
    <x:row r="811">
      <x:c r="A811" s="30" t="str">
        <x:v>REVID240</x:v>
      </x:c>
      <x:c r="B811" s="30" t="str">
        <x:v>RAUD240</x:v>
      </x:c>
      <x:c r="C811" s="30" t="str">
        <x:v>Retail Pharmacy Regulatory Excellence Framework, annual governance review, regulatory compliance assessment, patient safety review, inventory governance review, cybersecurity assessment, executive approval, strategic improvement roadmap</x:v>
      </x:c>
      <x:c r="D811" s="30" t="str">
        <x:v>Approval</x:v>
      </x:c>
      <x:c r="E811" s="30" t="str">
        <x:v>Yes</x:v>
      </x:c>
      <x:c r="F811" s="30" t="str">
        <x:v>Permanent</x:v>
      </x:c>
      <x:c r="G811" s="30" t="str">
        <x:v>RETAIL</x:v>
      </x:c>
      <x:c r="H811" s="30" t="str">
        <x:v>Yes</x:v>
      </x:c>
      <x:c r="I811" s="30" t="str">
        <x:v>Enterprise Governance Audit</x:v>
      </x:c>
    </x:row>
    <x:row r="812">
      <x:c r="A812" s="30" t="str">
        <x:v>WEVID001</x:v>
      </x:c>
      <x:c r="B812" s="30" t="str">
        <x:v>WAUD001</x:v>
      </x:c>
      <x:c r="C812" s="30" t="str">
        <x:v>Warehouse zoning layout, segregation SOP, inspection records</x:v>
      </x:c>
      <x:c r="D812" s="30" t="str">
        <x:v>SOP</x:v>
      </x:c>
      <x:c r="E812" s="30" t="str">
        <x:v>Yes</x:v>
      </x:c>
      <x:c r="F812" s="30" t="str">
        <x:v>Long Term</x:v>
      </x:c>
      <x:c r="G812" s="30" t="str">
        <x:v>WHOLESALE</x:v>
      </x:c>
      <x:c r="H812" s="30" t="str">
        <x:v>Yes</x:v>
      </x:c>
      <x:c r="I812" s="30" t="str">
        <x:v>Document review and physical verification</x:v>
      </x:c>
    </x:row>
    <x:row r="813">
      <x:c r="A813" s="30" t="str">
        <x:v>WEVID002</x:v>
      </x:c>
      <x:c r="B813" s="30" t="str">
        <x:v>WAUD002</x:v>
      </x:c>
      <x:c r="C813" s="30" t="str">
        <x:v>Dispatch authorization register, approved dispatch records</x:v>
      </x:c>
      <x:c r="D813" s="30" t="str">
        <x:v>Digital Record</x:v>
      </x:c>
      <x:c r="E813" s="30" t="str">
        <x:v>Yes</x:v>
      </x:c>
      <x:c r="F813" s="30" t="str">
        <x:v>Long Term</x:v>
      </x:c>
      <x:c r="G813" s="30" t="str">
        <x:v>WHOLESALE</x:v>
      </x:c>
      <x:c r="H813" s="30" t="str">
        <x:v>Yes</x:v>
      </x:c>
      <x:c r="I813" s="30" t="str">
        <x:v>Sample transaction verification</x:v>
      </x:c>
    </x:row>
    <x:row r="814">
      <x:c r="A814" s="30" t="str">
        <x:v>WEVID003</x:v>
      </x:c>
      <x:c r="B814" s="30" t="str">
        <x:v>WAUD003</x:v>
      </x:c>
      <x:c r="C814" s="30" t="str">
        <x:v>Customer drug licence copies, licence verification log</x:v>
      </x:c>
      <x:c r="D814" s="30" t="str">
        <x:v>License</x:v>
      </x:c>
      <x:c r="E814" s="30" t="str">
        <x:v>Yes</x:v>
      </x:c>
      <x:c r="F814" s="30" t="str">
        <x:v>Permanent</x:v>
      </x:c>
      <x:c r="G814" s="30" t="str">
        <x:v>WHOLESALE</x:v>
      </x:c>
      <x:c r="H814" s="30" t="str">
        <x:v>Yes</x:v>
      </x:c>
      <x:c r="I814" s="30" t="str">
        <x:v>Licence validation and sample review</x:v>
      </x:c>
    </x:row>
    <x:row r="815">
      <x:c r="A815" s="30" t="str">
        <x:v>WEVID004</x:v>
      </x:c>
      <x:c r="B815" s="30" t="str">
        <x:v>WAUD004</x:v>
      </x:c>
      <x:c r="C815" s="30" t="str">
        <x:v>Batch traceability reports, ERP inventory movement records</x:v>
      </x:c>
      <x:c r="D815" s="30" t="str">
        <x:v>Inventory Record</x:v>
      </x:c>
      <x:c r="E815" s="30" t="str">
        <x:v>Yes</x:v>
      </x:c>
      <x:c r="F815" s="30" t="str">
        <x:v>Long Term</x:v>
      </x:c>
      <x:c r="G815" s="30" t="str">
        <x:v>WHOLESALE</x:v>
      </x:c>
      <x:c r="H815" s="30" t="str">
        <x:v>Yes</x:v>
      </x:c>
      <x:c r="I815" s="30" t="str">
        <x:v>End-to-end traceability testing</x:v>
      </x:c>
    </x:row>
    <x:row r="816">
      <x:c r="A816" s="30" t="str">
        <x:v>WEVID005</x:v>
      </x:c>
      <x:c r="B816" s="30" t="str">
        <x:v>WAUD005</x:v>
      </x:c>
      <x:c r="C816" s="30" t="str">
        <x:v>FEFO inventory reports, expiry stock reports</x:v>
      </x:c>
      <x:c r="D816" s="30" t="str">
        <x:v>Inventory Record</x:v>
      </x:c>
      <x:c r="E816" s="30" t="str">
        <x:v>Yes</x:v>
      </x:c>
      <x:c r="F816" s="30" t="str">
        <x:v>Long Term</x:v>
      </x:c>
      <x:c r="G816" s="30" t="str">
        <x:v>WHOLESALE</x:v>
      </x:c>
      <x:c r="H816" s="30" t="str">
        <x:v>Yes</x:v>
      </x:c>
      <x:c r="I816" s="30" t="str">
        <x:v>ERP and physical stock verification</x:v>
      </x:c>
    </x:row>
    <x:row r="817">
      <x:c r="A817" s="30" t="str">
        <x:v>WEVID006</x:v>
      </x:c>
      <x:c r="B817" s="30" t="str">
        <x:v>WAUD006</x:v>
      </x:c>
      <x:c r="C817" s="30" t="str">
        <x:v>Temperature mapping protocol, reports, calibration certificates</x:v>
      </x:c>
      <x:c r="D817" s="30" t="str">
        <x:v>Certificate</x:v>
      </x:c>
      <x:c r="E817" s="30" t="str">
        <x:v>Yes</x:v>
      </x:c>
      <x:c r="F817" s="30" t="str">
        <x:v>Permanent</x:v>
      </x:c>
      <x:c r="G817" s="30" t="str">
        <x:v>WHOLESALE</x:v>
      </x:c>
      <x:c r="H817" s="30" t="str">
        <x:v>Yes</x:v>
      </x:c>
      <x:c r="I817" s="30" t="str">
        <x:v>Technical document review</x:v>
      </x:c>
    </x:row>
    <x:row r="818">
      <x:c r="A818" s="30" t="str">
        <x:v>WEVID007</x:v>
      </x:c>
      <x:c r="B818" s="30" t="str">
        <x:v>WAUD007</x:v>
      </x:c>
      <x:c r="C818" s="30" t="str">
        <x:v>Cold-chain temperature logs, excursion reports, transport validation reports</x:v>
      </x:c>
      <x:c r="D818" s="30" t="str">
        <x:v>Temperature Log</x:v>
      </x:c>
      <x:c r="E818" s="30" t="str">
        <x:v>Yes</x:v>
      </x:c>
      <x:c r="F818" s="30" t="str">
        <x:v>Long Term</x:v>
      </x:c>
      <x:c r="G818" s="30" t="str">
        <x:v>WHOLESALE</x:v>
      </x:c>
      <x:c r="H818" s="30" t="str">
        <x:v>Yes</x:v>
      </x:c>
      <x:c r="I818" s="30" t="str">
        <x:v>Temperature trend analysis</x:v>
      </x:c>
    </x:row>
    <x:row r="819">
      <x:c r="A819" s="30" t="str">
        <x:v>WEVID008</x:v>
      </x:c>
      <x:c r="B819" s="30" t="str">
        <x:v>WAUD008</x:v>
      </x:c>
      <x:c r="C819" s="30" t="str">
        <x:v>Vehicle qualification reports, maintenance records</x:v>
      </x:c>
      <x:c r="D819" s="30" t="str">
        <x:v>Report</x:v>
      </x:c>
      <x:c r="E819" s="30" t="str">
        <x:v>Yes</x:v>
      </x:c>
      <x:c r="F819" s="30" t="str">
        <x:v>Long Term</x:v>
      </x:c>
      <x:c r="G819" s="30" t="str">
        <x:v>WHOLESALE</x:v>
      </x:c>
      <x:c r="H819" s="30" t="str">
        <x:v>Yes</x:v>
      </x:c>
      <x:c r="I819" s="30" t="str">
        <x:v>Record review and physical inspection</x:v>
      </x:c>
    </x:row>
    <x:row r="820">
      <x:c r="A820" s="30" t="str">
        <x:v>WEVID009</x:v>
      </x:c>
      <x:c r="B820" s="30" t="str">
        <x:v>WAUD009</x:v>
      </x:c>
      <x:c r="C820" s="30" t="str">
        <x:v>Delivery challans, dispatch register, invoices</x:v>
      </x:c>
      <x:c r="D820" s="30" t="str">
        <x:v>Invoice</x:v>
      </x:c>
      <x:c r="E820" s="30" t="str">
        <x:v>Yes</x:v>
      </x:c>
      <x:c r="F820" s="30" t="str">
        <x:v>Long Term</x:v>
      </x:c>
      <x:c r="G820" s="30" t="str">
        <x:v>WHOLESALE</x:v>
      </x:c>
      <x:c r="H820" s="30" t="str">
        <x:v>Yes</x:v>
      </x:c>
      <x:c r="I820" s="30" t="str">
        <x:v>Document sampling</x:v>
      </x:c>
    </x:row>
    <x:row r="821">
      <x:c r="A821" s="30" t="str">
        <x:v>WEVID010</x:v>
      </x:c>
      <x:c r="B821" s="30" t="str">
        <x:v>WAUD010</x:v>
      </x:c>
      <x:c r="C821" s="30" t="str">
        <x:v>Returned goods register, inspection checklist, disposition records</x:v>
      </x:c>
      <x:c r="D821" s="30" t="str">
        <x:v>Inspection Report</x:v>
      </x:c>
      <x:c r="E821" s="30" t="str">
        <x:v>Yes</x:v>
      </x:c>
      <x:c r="F821" s="30" t="str">
        <x:v>Long Term</x:v>
      </x:c>
      <x:c r="G821" s="30" t="str">
        <x:v>WHOLESALE</x:v>
      </x:c>
      <x:c r="H821" s="30" t="str">
        <x:v>Yes</x:v>
      </x:c>
      <x:c r="I821" s="30" t="str">
        <x:v>Return file verification</x:v>
      </x:c>
    </x:row>
    <x:row r="822">
      <x:c r="A822" s="30" t="str">
        <x:v>WEVID011</x:v>
      </x:c>
      <x:c r="B822" s="30" t="str">
        <x:v>WAUD011</x:v>
      </x:c>
      <x:c r="C822" s="30" t="str">
        <x:v>Recall SOP, mock recall reports, recall communication records</x:v>
      </x:c>
      <x:c r="D822" s="30" t="str">
        <x:v>SOP</x:v>
      </x:c>
      <x:c r="E822" s="30" t="str">
        <x:v>Yes</x:v>
      </x:c>
      <x:c r="F822" s="30" t="str">
        <x:v>Operational</x:v>
      </x:c>
      <x:c r="G822" s="30" t="str">
        <x:v>WHOLESALE</x:v>
      </x:c>
      <x:c r="H822" s="30" t="str">
        <x:v>Yes</x:v>
      </x:c>
      <x:c r="I822" s="30" t="str">
        <x:v>SOP review and effectiveness assessment</x:v>
      </x:c>
    </x:row>
    <x:row r="823">
      <x:c r="A823" s="30" t="str">
        <x:v>WEVID012</x:v>
      </x:c>
      <x:c r="B823" s="30" t="str">
        <x:v>WAUD012</x:v>
      </x:c>
      <x:c r="C823" s="30" t="str">
        <x:v>Approved supplier list, supplier qualification reports, evaluation records</x:v>
      </x:c>
      <x:c r="D823" s="30" t="str">
        <x:v>Report</x:v>
      </x:c>
      <x:c r="E823" s="30" t="str">
        <x:v>Yes</x:v>
      </x:c>
      <x:c r="F823" s="30" t="str">
        <x:v>Long Term</x:v>
      </x:c>
      <x:c r="G823" s="30" t="str">
        <x:v>WHOLESALE</x:v>
      </x:c>
      <x:c r="H823" s="30" t="str">
        <x:v>Yes</x:v>
      </x:c>
      <x:c r="I823" s="30" t="str">
        <x:v>Supplier file review</x:v>
      </x:c>
    </x:row>
    <x:row r="824">
      <x:c r="A824" s="30" t="str">
        <x:v>WEVID013</x:v>
      </x:c>
      <x:c r="B824" s="30" t="str">
        <x:v>WAUD013</x:v>
      </x:c>
      <x:c r="C824" s="30" t="str">
        <x:v>Complaint register, investigation reports, CAPA records</x:v>
      </x:c>
      <x:c r="D824" s="30" t="str">
        <x:v>Report</x:v>
      </x:c>
      <x:c r="E824" s="30" t="str">
        <x:v>Yes</x:v>
      </x:c>
      <x:c r="F824" s="30" t="str">
        <x:v>Long Term</x:v>
      </x:c>
      <x:c r="G824" s="30" t="str">
        <x:v>WHOLESALE</x:v>
      </x:c>
      <x:c r="H824" s="30" t="str">
        <x:v>Yes</x:v>
      </x:c>
      <x:c r="I824" s="30" t="str">
        <x:v>Complaint lifecycle review</x:v>
      </x:c>
    </x:row>
    <x:row r="825">
      <x:c r="A825" s="30" t="str">
        <x:v>WEVID014</x:v>
      </x:c>
      <x:c r="B825" s="30" t="str">
        <x:v>WAUD014</x:v>
      </x:c>
      <x:c r="C825" s="30" t="str">
        <x:v>Risk assessment reports, mitigation action tracker</x:v>
      </x:c>
      <x:c r="D825" s="30" t="str">
        <x:v>Report</x:v>
      </x:c>
      <x:c r="E825" s="30" t="str">
        <x:v>Yes</x:v>
      </x:c>
      <x:c r="F825" s="30" t="str">
        <x:v>Long Term</x:v>
      </x:c>
      <x:c r="G825" s="30" t="str">
        <x:v>WHOLESALE</x:v>
      </x:c>
      <x:c r="H825" s="30" t="str">
        <x:v>Yes</x:v>
      </x:c>
      <x:c r="I825" s="30" t="str">
        <x:v>Risk register verification</x:v>
      </x:c>
    </x:row>
    <x:row r="826">
      <x:c r="A826" s="30" t="str">
        <x:v>WEVID015</x:v>
      </x:c>
      <x:c r="B826" s="30" t="str">
        <x:v>WAUD015</x:v>
      </x:c>
      <x:c r="C826" s="30" t="str">
        <x:v>CCTV logs, visitor register, access control logs</x:v>
      </x:c>
      <x:c r="D826" s="30" t="str">
        <x:v>Log Book</x:v>
      </x:c>
      <x:c r="E826" s="30" t="str">
        <x:v>Yes</x:v>
      </x:c>
      <x:c r="F826" s="30" t="str">
        <x:v>Operational</x:v>
      </x:c>
      <x:c r="G826" s="30" t="str">
        <x:v>WHOLESALE</x:v>
      </x:c>
      <x:c r="H826" s="30" t="str">
        <x:v>Yes</x:v>
      </x:c>
      <x:c r="I826" s="30" t="str">
        <x:v>Physical verification and record review</x:v>
      </x:c>
    </x:row>
    <x:row r="827">
      <x:c r="A827" s="30" t="str">
        <x:v>WEVID016</x:v>
      </x:c>
      <x:c r="B827" s="30" t="str">
        <x:v>WAUD016</x:v>
      </x:c>
      <x:c r="C827" s="30" t="str">
        <x:v>Pest control service reports, inspection reports, corrective action records</x:v>
      </x:c>
      <x:c r="D827" s="30" t="str">
        <x:v>Inspection Report</x:v>
      </x:c>
      <x:c r="E827" s="30" t="str">
        <x:v>Yes</x:v>
      </x:c>
      <x:c r="F827" s="30" t="str">
        <x:v>Long Term</x:v>
      </x:c>
      <x:c r="G827" s="30" t="str">
        <x:v>WHOLESALE</x:v>
      </x:c>
      <x:c r="H827" s="30" t="str">
        <x:v>Yes</x:v>
      </x:c>
      <x:c r="I827" s="30" t="str">
        <x:v>Vendor report verification</x:v>
      </x:c>
    </x:row>
    <x:row r="828">
      <x:c r="A828" s="30" t="str">
        <x:v>WEVID017</x:v>
      </x:c>
      <x:c r="B828" s="30" t="str">
        <x:v>WAUD017</x:v>
      </x:c>
      <x:c r="C828" s="30" t="str">
        <x:v>Cleaning SOP, cleaning logs, validation reports</x:v>
      </x:c>
      <x:c r="D828" s="30" t="str">
        <x:v>Log Book</x:v>
      </x:c>
      <x:c r="E828" s="30" t="str">
        <x:v>Yes</x:v>
      </x:c>
      <x:c r="F828" s="30" t="str">
        <x:v>Long Term</x:v>
      </x:c>
      <x:c r="G828" s="30" t="str">
        <x:v>WHOLESALE</x:v>
      </x:c>
      <x:c r="H828" s="30" t="str">
        <x:v>Yes</x:v>
      </x:c>
      <x:c r="I828" s="30" t="str">
        <x:v>SOP and record review</x:v>
      </x:c>
    </x:row>
    <x:row r="829">
      <x:c r="A829" s="30" t="str">
        <x:v>WEVID018</x:v>
      </x:c>
      <x:c r="B829" s="30" t="str">
        <x:v>WAUD018</x:v>
      </x:c>
      <x:c r="C829" s="30" t="str">
        <x:v>Physical stock verification reports, reconciliation statements, investigation reports</x:v>
      </x:c>
      <x:c r="D829" s="30" t="str">
        <x:v>Inventory Record</x:v>
      </x:c>
      <x:c r="E829" s="30" t="str">
        <x:v>Yes</x:v>
      </x:c>
      <x:c r="F829" s="30" t="str">
        <x:v>Long Term</x:v>
      </x:c>
      <x:c r="G829" s="30" t="str">
        <x:v>WHOLESALE</x:v>
      </x:c>
      <x:c r="H829" s="30" t="str">
        <x:v>Yes</x:v>
      </x:c>
      <x:c r="I829" s="30" t="str">
        <x:v>Stock verification and reconciliation</x:v>
      </x:c>
    </x:row>
    <x:row r="830">
      <x:c r="A830" s="30" t="str">
        <x:v>WEVID019</x:v>
      </x:c>
      <x:c r="B830" s="30" t="str">
        <x:v>WAUD019</x:v>
      </x:c>
      <x:c r="C830" s="30" t="str">
        <x:v>GDP training records, attendance sheets, competency assessment reports</x:v>
      </x:c>
      <x:c r="D830" s="30" t="str">
        <x:v>Training Record</x:v>
      </x:c>
      <x:c r="E830" s="30" t="str">
        <x:v>Yes</x:v>
      </x:c>
      <x:c r="F830" s="30" t="str">
        <x:v>Long Term</x:v>
      </x:c>
      <x:c r="G830" s="30" t="str">
        <x:v>WHOLESALE</x:v>
      </x:c>
      <x:c r="H830" s="30" t="str">
        <x:v>Yes</x:v>
      </x:c>
      <x:c r="I830" s="30" t="str">
        <x:v>Training file review</x:v>
      </x:c>
    </x:row>
    <x:row r="831">
      <x:c r="A831" s="30" t="str">
        <x:v>WEVID020</x:v>
      </x:c>
      <x:c r="B831" s="30" t="str">
        <x:v>WAUD020</x:v>
      </x:c>
      <x:c r="C831" s="30" t="str">
        <x:v>Management review minutes, KPI reports, action closure tracker</x:v>
      </x:c>
      <x:c r="D831" s="30" t="str">
        <x:v>Report</x:v>
      </x:c>
      <x:c r="E831" s="30" t="str">
        <x:v>Yes</x:v>
      </x:c>
      <x:c r="F831" s="30" t="str">
        <x:v>Long Term</x:v>
      </x:c>
      <x:c r="G831" s="30" t="str">
        <x:v>WHOLESALE</x:v>
      </x:c>
      <x:c r="H831" s="30" t="str">
        <x:v>Yes</x:v>
      </x:c>
      <x:c r="I831" s="30" t="str">
        <x:v>Review of management records</x:v>
      </x:c>
    </x:row>
    <x:row r="832">
      <x:c r="A832" s="30" t="str">
        <x:v>HOSEVID001</x:v>
      </x:c>
      <x:c r="B832" s="30" t="str">
        <x:v>HOSAUD001</x:v>
      </x:c>
      <x:c r="C832" s="30" t="str">
        <x:v>Verified inpatient medication orders, pharmacist verification log</x:v>
      </x:c>
      <x:c r="D832" s="30" t="str">
        <x:v>Log Book</x:v>
      </x:c>
      <x:c r="E832" s="30" t="str">
        <x:v>Yes</x:v>
      </x:c>
      <x:c r="F832" s="30" t="str">
        <x:v>Long Term</x:v>
      </x:c>
      <x:c r="G832" s="30" t="str">
        <x:v>HOSPITAL</x:v>
      </x:c>
      <x:c r="H832" s="30" t="str">
        <x:v>Yes</x:v>
      </x:c>
      <x:c r="I832" s="30" t="str">
        <x:v>Document review and sample verification</x:v>
      </x:c>
    </x:row>
    <x:row r="833">
      <x:c r="A833" s="30" t="str">
        <x:v>HOSEVID002</x:v>
      </x:c>
      <x:c r="B833" s="30" t="str">
        <x:v>HOSAUD002</x:v>
      </x:c>
      <x:c r="C833" s="30" t="str">
        <x:v>Ward stock register, issue/return records, reconciliation reports</x:v>
      </x:c>
      <x:c r="D833" s="30" t="str">
        <x:v>Inventory Record</x:v>
      </x:c>
      <x:c r="E833" s="30" t="str">
        <x:v>Yes</x:v>
      </x:c>
      <x:c r="F833" s="30" t="str">
        <x:v>Long Term</x:v>
      </x:c>
      <x:c r="G833" s="30" t="str">
        <x:v>HOSPITAL</x:v>
      </x:c>
      <x:c r="H833" s="30" t="str">
        <x:v>Yes</x:v>
      </x:c>
      <x:c r="I833" s="30" t="str">
        <x:v>Physical verification and document review</x:v>
      </x:c>
    </x:row>
    <x:row r="834">
      <x:c r="A834" s="30" t="str">
        <x:v>HOSEVID003</x:v>
      </x:c>
      <x:c r="B834" s="30" t="str">
        <x:v>HOSAUD003</x:v>
      </x:c>
      <x:c r="C834" s="30" t="str">
        <x:v>Patient-specific dispensing records, medication labels</x:v>
      </x:c>
      <x:c r="D834" s="30" t="str">
        <x:v>Record</x:v>
      </x:c>
      <x:c r="E834" s="30" t="str">
        <x:v>Yes</x:v>
      </x:c>
      <x:c r="F834" s="30" t="str">
        <x:v>Long Term</x:v>
      </x:c>
      <x:c r="G834" s="30" t="str">
        <x:v>HOSPITAL</x:v>
      </x:c>
      <x:c r="H834" s="30" t="str">
        <x:v>Yes</x:v>
      </x:c>
      <x:c r="I834" s="30" t="str">
        <x:v>Patient file reconciliation</x:v>
      </x:c>
    </x:row>
    <x:row r="835">
      <x:c r="A835" s="30" t="str">
        <x:v>HOSEVID004</x:v>
      </x:c>
      <x:c r="B835" s="30" t="str">
        <x:v>HOSAUD004</x:v>
      </x:c>
      <x:c r="C835" s="30" t="str">
        <x:v>Crash cart inspection checklist, replenishment records</x:v>
      </x:c>
      <x:c r="D835" s="30" t="str">
        <x:v>Inspection Report</x:v>
      </x:c>
      <x:c r="E835" s="30" t="str">
        <x:v>Yes</x:v>
      </x:c>
      <x:c r="F835" s="30" t="str">
        <x:v>Long Term</x:v>
      </x:c>
      <x:c r="G835" s="30" t="str">
        <x:v>HOSPITAL</x:v>
      </x:c>
      <x:c r="H835" s="30" t="str">
        <x:v>Yes</x:v>
      </x:c>
      <x:c r="I835" s="30" t="str">
        <x:v>Physical verification</x:v>
      </x:c>
    </x:row>
    <x:row r="836">
      <x:c r="A836" s="30" t="str">
        <x:v>HOSEVID005</x:v>
      </x:c>
      <x:c r="B836" s="30" t="str">
        <x:v>HOSAUD005</x:v>
      </x:c>
      <x:c r="C836" s="30" t="str">
        <x:v>High-alert medicine register, storage photographs, SOP</x:v>
      </x:c>
      <x:c r="D836" s="30" t="str">
        <x:v>SOP</x:v>
      </x:c>
      <x:c r="E836" s="30" t="str">
        <x:v>Yes</x:v>
      </x:c>
      <x:c r="F836" s="30" t="str">
        <x:v>Long Term</x:v>
      </x:c>
      <x:c r="G836" s="30" t="str">
        <x:v>HOSPITAL</x:v>
      </x:c>
      <x:c r="H836" s="30" t="str">
        <x:v>Yes</x:v>
      </x:c>
      <x:c r="I836" s="30" t="str">
        <x:v>Physical inspection and document review</x:v>
      </x:c>
    </x:row>
    <x:row r="837">
      <x:c r="A837" s="30" t="str">
        <x:v>HOSEVID006</x:v>
      </x:c>
      <x:c r="B837" s="30" t="str">
        <x:v>HOSAUD006</x:v>
      </x:c>
      <x:c r="C837" s="30" t="str">
        <x:v>Narcotic issue register, controlled drug reconciliation reports</x:v>
      </x:c>
      <x:c r="D837" s="30" t="str">
        <x:v>Report</x:v>
      </x:c>
      <x:c r="E837" s="30" t="str">
        <x:v>Yes</x:v>
      </x:c>
      <x:c r="F837" s="30" t="str">
        <x:v>Long Term</x:v>
      </x:c>
      <x:c r="G837" s="30" t="str">
        <x:v>HOSPITAL</x:v>
      </x:c>
      <x:c r="H837" s="30" t="str">
        <x:v>Yes</x:v>
      </x:c>
      <x:c r="I837" s="30" t="str">
        <x:v>Register verification</x:v>
      </x:c>
    </x:row>
    <x:row r="838">
      <x:c r="A838" s="30" t="str">
        <x:v>HOSEVID007</x:v>
      </x:c>
      <x:c r="B838" s="30" t="str">
        <x:v>HOSAUD007</x:v>
      </x:c>
      <x:c r="C838" s="30" t="str">
        <x:v>Medication Administration Records (MAR), dispensing logs</x:v>
      </x:c>
      <x:c r="D838" s="30" t="str">
        <x:v>Log Book</x:v>
      </x:c>
      <x:c r="E838" s="30" t="str">
        <x:v>Yes</x:v>
      </x:c>
      <x:c r="F838" s="30" t="str">
        <x:v>Long Term</x:v>
      </x:c>
      <x:c r="G838" s="30" t="str">
        <x:v>HOSPITAL</x:v>
      </x:c>
      <x:c r="H838" s="30" t="str">
        <x:v>Yes</x:v>
      </x:c>
      <x:c r="I838" s="30" t="str">
        <x:v>Cross-verification</x:v>
      </x:c>
    </x:row>
    <x:row r="839">
      <x:c r="A839" s="30" t="str">
        <x:v>HOSEVID008</x:v>
      </x:c>
      <x:c r="B839" s="30" t="str">
        <x:v>HOSAUD008</x:v>
      </x:c>
      <x:c r="C839" s="30" t="str">
        <x:v>Medication error register, CAPA records, investigation reports</x:v>
      </x:c>
      <x:c r="D839" s="30" t="str">
        <x:v>Report</x:v>
      </x:c>
      <x:c r="E839" s="30" t="str">
        <x:v>Yes</x:v>
      </x:c>
      <x:c r="F839" s="30" t="str">
        <x:v>Long Term</x:v>
      </x:c>
      <x:c r="G839" s="30" t="str">
        <x:v>HOSPITAL</x:v>
      </x:c>
      <x:c r="H839" s="30" t="str">
        <x:v>Yes</x:v>
      </x:c>
      <x:c r="I839" s="30" t="str">
        <x:v>CAPA review</x:v>
      </x:c>
    </x:row>
    <x:row r="840">
      <x:c r="A840" s="30" t="str">
        <x:v>HOSEVID009</x:v>
      </x:c>
      <x:c r="B840" s="30" t="str">
        <x:v>HOSAUD009</x:v>
      </x:c>
      <x:c r="C840" s="30" t="str">
        <x:v>LASA medicine list, storage labels, awareness records</x:v>
      </x:c>
      <x:c r="D840" s="30" t="str">
        <x:v>Record</x:v>
      </x:c>
      <x:c r="E840" s="30" t="str">
        <x:v>Yes</x:v>
      </x:c>
      <x:c r="F840" s="30" t="str">
        <x:v>Long Term</x:v>
      </x:c>
      <x:c r="G840" s="30" t="str">
        <x:v>HOSPITAL</x:v>
      </x:c>
      <x:c r="H840" s="30" t="str">
        <x:v>Yes</x:v>
      </x:c>
      <x:c r="I840" s="30" t="str">
        <x:v>Physical verification</x:v>
      </x:c>
    </x:row>
    <x:row r="841">
      <x:c r="A841" s="30" t="str">
        <x:v>HOSEVID010</x:v>
      </x:c>
      <x:c r="B841" s="30" t="str">
        <x:v>HOSAUD010</x:v>
      </x:c>
      <x:c r="C841" s="30" t="str">
        <x:v>ADR reports, pharmacovigilance submissions, acknowledgement records</x:v>
      </x:c>
      <x:c r="D841" s="30" t="str">
        <x:v>Report</x:v>
      </x:c>
      <x:c r="E841" s="30" t="str">
        <x:v>Yes</x:v>
      </x:c>
      <x:c r="F841" s="30" t="str">
        <x:v>Long Term</x:v>
      </x:c>
      <x:c r="G841" s="30" t="str">
        <x:v>HOSPITAL</x:v>
      </x:c>
      <x:c r="H841" s="30" t="str">
        <x:v>Yes</x:v>
      </x:c>
      <x:c r="I841" s="30" t="str">
        <x:v>Regulatory submission verification</x:v>
      </x:c>
    </x:row>
    <x:row r="842">
      <x:c r="A842" s="30" t="str">
        <x:v>HOSEVID011</x:v>
      </x:c>
      <x:c r="B842" s="30" t="str">
        <x:v>HOSAUD011</x:v>
      </x:c>
      <x:c r="C842" s="30" t="str">
        <x:v>Antimicrobial stewardship review reports, committee minutes</x:v>
      </x:c>
      <x:c r="D842" s="30" t="str">
        <x:v>Report</x:v>
      </x:c>
      <x:c r="E842" s="30" t="str">
        <x:v>Yes</x:v>
      </x:c>
      <x:c r="F842" s="30" t="str">
        <x:v>Long Term</x:v>
      </x:c>
      <x:c r="G842" s="30" t="str">
        <x:v>HOSPITAL</x:v>
      </x:c>
      <x:c r="H842" s="30" t="str">
        <x:v>Yes</x:v>
      </x:c>
      <x:c r="I842" s="30" t="str">
        <x:v>Committee record review</x:v>
      </x:c>
    </x:row>
    <x:row r="843">
      <x:c r="A843" s="30" t="str">
        <x:v>HOSEVID012</x:v>
      </x:c>
      <x:c r="B843" s="30" t="str">
        <x:v>HOSAUD012</x:v>
      </x:c>
      <x:c r="C843" s="30" t="str">
        <x:v>Clinical pharmacist intervention log, physician communication records</x:v>
      </x:c>
      <x:c r="D843" s="30" t="str">
        <x:v>Log Book</x:v>
      </x:c>
      <x:c r="E843" s="30" t="str">
        <x:v>Yes</x:v>
      </x:c>
      <x:c r="F843" s="30" t="str">
        <x:v>Long Term</x:v>
      </x:c>
      <x:c r="G843" s="30" t="str">
        <x:v>HOSPITAL</x:v>
      </x:c>
      <x:c r="H843" s="30" t="str">
        <x:v>Yes</x:v>
      </x:c>
      <x:c r="I843" s="30" t="str">
        <x:v>Intervention sampling</x:v>
      </x:c>
    </x:row>
    <x:row r="844">
      <x:c r="A844" s="30" t="str">
        <x:v>HOSEVID013</x:v>
      </x:c>
      <x:c r="B844" s="30" t="str">
        <x:v>HOSAUD013</x:v>
      </x:c>
      <x:c r="C844" s="30" t="str">
        <x:v>Returned medicine inspection forms, disposition records</x:v>
      </x:c>
      <x:c r="D844" s="30" t="str">
        <x:v>Inspection Report</x:v>
      </x:c>
      <x:c r="E844" s="30" t="str">
        <x:v>Yes</x:v>
      </x:c>
      <x:c r="F844" s="30" t="str">
        <x:v>Long Term</x:v>
      </x:c>
      <x:c r="G844" s="30" t="str">
        <x:v>HOSPITAL</x:v>
      </x:c>
      <x:c r="H844" s="30" t="str">
        <x:v>Yes</x:v>
      </x:c>
      <x:c r="I844" s="30" t="str">
        <x:v>Record verification</x:v>
      </x:c>
    </x:row>
    <x:row r="845">
      <x:c r="A845" s="30" t="str">
        <x:v>HOSEVID014</x:v>
      </x:c>
      <x:c r="B845" s="30" t="str">
        <x:v>HOSAUD014</x:v>
      </x:c>
      <x:c r="C845" s="30" t="str">
        <x:v>Inter-ward medicine transfer register, authorization records</x:v>
      </x:c>
      <x:c r="D845" s="30" t="str">
        <x:v>Approval</x:v>
      </x:c>
      <x:c r="E845" s="30" t="str">
        <x:v>Yes</x:v>
      </x:c>
      <x:c r="F845" s="30" t="str">
        <x:v>Permanent</x:v>
      </x:c>
      <x:c r="G845" s="30" t="str">
        <x:v>HOSPITAL</x:v>
      </x:c>
      <x:c r="H845" s="30" t="str">
        <x:v>Yes</x:v>
      </x:c>
      <x:c r="I845" s="30" t="str">
        <x:v>Register review</x:v>
      </x:c>
    </x:row>
    <x:row r="846">
      <x:c r="A846" s="30" t="str">
        <x:v>HOSEVID015</x:v>
      </x:c>
      <x:c r="B846" s="30" t="str">
        <x:v>HOSAUD015</x:v>
      </x:c>
      <x:c r="C846" s="30" t="str">
        <x:v>Refrigerator temperature logs, excursion reports</x:v>
      </x:c>
      <x:c r="D846" s="30" t="str">
        <x:v>Temperature Log</x:v>
      </x:c>
      <x:c r="E846" s="30" t="str">
        <x:v>Yes</x:v>
      </x:c>
      <x:c r="F846" s="30" t="str">
        <x:v>Long Term</x:v>
      </x:c>
      <x:c r="G846" s="30" t="str">
        <x:v>HOSPITAL</x:v>
      </x:c>
      <x:c r="H846" s="30" t="str">
        <x:v>Yes</x:v>
      </x:c>
      <x:c r="I846" s="30" t="str">
        <x:v>Temperature trend review</x:v>
      </x:c>
    </x:row>
    <x:row r="847">
      <x:c r="A847" s="30" t="str">
        <x:v>HOSEVID016</x:v>
      </x:c>
      <x:c r="B847" s="30" t="str">
        <x:v>HOSAUD016</x:v>
      </x:c>
      <x:c r="C847" s="30" t="str">
        <x:v>Ward floor stock audit reports, reconciliation statements</x:v>
      </x:c>
      <x:c r="D847" s="30" t="str">
        <x:v>Inventory Record</x:v>
      </x:c>
      <x:c r="E847" s="30" t="str">
        <x:v>Yes</x:v>
      </x:c>
      <x:c r="F847" s="30" t="str">
        <x:v>Long Term</x:v>
      </x:c>
      <x:c r="G847" s="30" t="str">
        <x:v>HOSPITAL</x:v>
      </x:c>
      <x:c r="H847" s="30" t="str">
        <x:v>Yes</x:v>
      </x:c>
      <x:c r="I847" s="30" t="str">
        <x:v>Audit report review</x:v>
      </x:c>
    </x:row>
    <x:row r="848">
      <x:c r="A848" s="30" t="str">
        <x:v>HOSEVID017</x:v>
      </x:c>
      <x:c r="B848" s="30" t="str">
        <x:v>HOSAUD017</x:v>
      </x:c>
      <x:c r="C848" s="30" t="str">
        <x:v>Emergency medicine checklist, stock verification reports</x:v>
      </x:c>
      <x:c r="D848" s="30" t="str">
        <x:v>Inspection Report</x:v>
      </x:c>
      <x:c r="E848" s="30" t="str">
        <x:v>Yes</x:v>
      </x:c>
      <x:c r="F848" s="30" t="str">
        <x:v>Long Term</x:v>
      </x:c>
      <x:c r="G848" s="30" t="str">
        <x:v>HOSPITAL</x:v>
      </x:c>
      <x:c r="H848" s="30" t="str">
        <x:v>Yes</x:v>
      </x:c>
      <x:c r="I848" s="30" t="str">
        <x:v>Physical verification</x:v>
      </x:c>
    </x:row>
    <x:row r="849">
      <x:c r="A849" s="30" t="str">
        <x:v>HOSEVID018</x:v>
      </x:c>
      <x:c r="B849" s="30" t="str">
        <x:v>HOSAUD018</x:v>
      </x:c>
      <x:c r="C849" s="30" t="str">
        <x:v>Medication reconciliation forms, discharge medication records</x:v>
      </x:c>
      <x:c r="D849" s="30" t="str">
        <x:v>Record</x:v>
      </x:c>
      <x:c r="E849" s="30" t="str">
        <x:v>Yes</x:v>
      </x:c>
      <x:c r="F849" s="30" t="str">
        <x:v>Long Term</x:v>
      </x:c>
      <x:c r="G849" s="30" t="str">
        <x:v>HOSPITAL</x:v>
      </x:c>
      <x:c r="H849" s="30" t="str">
        <x:v>Yes</x:v>
      </x:c>
      <x:c r="I849" s="30" t="str">
        <x:v>Patient record review</x:v>
      </x:c>
    </x:row>
    <x:row r="850">
      <x:c r="A850" s="30" t="str">
        <x:v>HOSEVID019</x:v>
      </x:c>
      <x:c r="B850" s="30" t="str">
        <x:v>HOSAUD019</x:v>
      </x:c>
      <x:c r="C850" s="30" t="str">
        <x:v>Investigational drug accountability log, dispensing records</x:v>
      </x:c>
      <x:c r="D850" s="30" t="str">
        <x:v>Log Book</x:v>
      </x:c>
      <x:c r="E850" s="30" t="str">
        <x:v>Yes</x:v>
      </x:c>
      <x:c r="F850" s="30" t="str">
        <x:v>Long Term</x:v>
      </x:c>
      <x:c r="G850" s="30" t="str">
        <x:v>HOSPITAL</x:v>
      </x:c>
      <x:c r="H850" s="30" t="str">
        <x:v>Yes</x:v>
      </x:c>
      <x:c r="I850" s="30" t="str">
        <x:v>Accountability reconciliation</x:v>
      </x:c>
    </x:row>
    <x:row r="851">
      <x:c r="A851" s="30" t="str">
        <x:v>HOSEVID020</x:v>
      </x:c>
      <x:c r="B851" s="30" t="str">
        <x:v>HOSAUD020</x:v>
      </x:c>
      <x:c r="C851" s="30" t="str">
        <x:v>Patient care area storage inspection reports, corrective action records</x:v>
      </x:c>
      <x:c r="D851" s="30" t="str">
        <x:v>Inspection Report</x:v>
      </x:c>
      <x:c r="E851" s="30" t="str">
        <x:v>Yes</x:v>
      </x:c>
      <x:c r="F851" s="30" t="str">
        <x:v>Long Term</x:v>
      </x:c>
      <x:c r="G851" s="30" t="str">
        <x:v>HOSPITAL</x:v>
      </x:c>
      <x:c r="H851" s="30" t="str">
        <x:v>Yes</x:v>
      </x:c>
      <x:c r="I851" s="30" t="str">
        <x:v>Physical inspection and document review</x:v>
      </x:c>
    </x:row>
    <x:row r="852">
      <x:c r="A852" s="30" t="str">
        <x:v>HOSEVID021</x:v>
      </x:c>
      <x:c r="B852" s="30" t="str">
        <x:v>HOSAUD021</x:v>
      </x:c>
      <x:c r="C852" s="30" t="str">
        <x:v>Antimicrobial stewardship reports, restricted antibiotic review records, committee minutes</x:v>
      </x:c>
      <x:c r="D852" s="30" t="str">
        <x:v>Report</x:v>
      </x:c>
      <x:c r="E852" s="30" t="str">
        <x:v>Yes</x:v>
      </x:c>
      <x:c r="F852" s="30" t="str">
        <x:v>Long Term</x:v>
      </x:c>
      <x:c r="G852" s="30" t="str">
        <x:v>HOSPITAL</x:v>
      </x:c>
      <x:c r="H852" s="30" t="str">
        <x:v>Yes</x:v>
      </x:c>
      <x:c r="I852" s="30" t="str">
        <x:v>Committee record review</x:v>
      </x:c>
    </x:row>
    <x:row r="853">
      <x:c r="A853" s="30" t="str">
        <x:v>HOSEVID022</x:v>
      </x:c>
      <x:c r="B853" s="30" t="str">
        <x:v>HOSAUD022</x:v>
      </x:c>
      <x:c r="C853" s="30" t="str">
        <x:v>Patient-owned medicine assessment forms, admission reconciliation records</x:v>
      </x:c>
      <x:c r="D853" s="30" t="str">
        <x:v>Record</x:v>
      </x:c>
      <x:c r="E853" s="30" t="str">
        <x:v>Yes</x:v>
      </x:c>
      <x:c r="F853" s="30" t="str">
        <x:v>Long Term</x:v>
      </x:c>
      <x:c r="G853" s="30" t="str">
        <x:v>HOSPITAL</x:v>
      </x:c>
      <x:c r="H853" s="30" t="str">
        <x:v>Yes</x:v>
      </x:c>
      <x:c r="I853" s="30" t="str">
        <x:v>Patient record verification</x:v>
      </x:c>
    </x:row>
    <x:row r="854">
      <x:c r="A854" s="30" t="str">
        <x:v>HOSEVID023</x:v>
      </x:c>
      <x:c r="B854" s="30" t="str">
        <x:v>HOSAUD023</x:v>
      </x:c>
      <x:c r="C854" s="30" t="str">
        <x:v>Investigational medicine storage log, temperature records, restricted access log</x:v>
      </x:c>
      <x:c r="D854" s="30" t="str">
        <x:v>Temperature Log</x:v>
      </x:c>
      <x:c r="E854" s="30" t="str">
        <x:v>Yes</x:v>
      </x:c>
      <x:c r="F854" s="30" t="str">
        <x:v>Long Term</x:v>
      </x:c>
      <x:c r="G854" s="30" t="str">
        <x:v>HOSPITAL</x:v>
      </x:c>
      <x:c r="H854" s="30" t="str">
        <x:v>Yes</x:v>
      </x:c>
      <x:c r="I854" s="30" t="str">
        <x:v>Physical inspection and log review</x:v>
      </x:c>
    </x:row>
    <x:row r="855">
      <x:c r="A855" s="30" t="str">
        <x:v>HOSEVID024</x:v>
      </x:c>
      <x:c r="B855" s="30" t="str">
        <x:v>HOSAUD024</x:v>
      </x:c>
      <x:c r="C855" s="30" t="str">
        <x:v>Investigational drug accountability log, destruction certificates, dispensing records</x:v>
      </x:c>
      <x:c r="D855" s="30" t="str">
        <x:v>Certificate</x:v>
      </x:c>
      <x:c r="E855" s="30" t="str">
        <x:v>Yes</x:v>
      </x:c>
      <x:c r="F855" s="30" t="str">
        <x:v>Permanent</x:v>
      </x:c>
      <x:c r="G855" s="30" t="str">
        <x:v>HOSPITAL</x:v>
      </x:c>
      <x:c r="H855" s="30" t="str">
        <x:v>Yes</x:v>
      </x:c>
      <x:c r="I855" s="30" t="str">
        <x:v>Accountability reconciliation</x:v>
      </x:c>
    </x:row>
    <x:row r="856">
      <x:c r="A856" s="30" t="str">
        <x:v>HOSEVID025</x:v>
      </x:c>
      <x:c r="B856" s="30" t="str">
        <x:v>HOSAUD025</x:v>
      </x:c>
      <x:c r="C856" s="30" t="str">
        <x:v>Blood product storage temperature logs, issue register, deviation records</x:v>
      </x:c>
      <x:c r="D856" s="30" t="str">
        <x:v>Temperature Log</x:v>
      </x:c>
      <x:c r="E856" s="30" t="str">
        <x:v>Yes</x:v>
      </x:c>
      <x:c r="F856" s="30" t="str">
        <x:v>Operational</x:v>
      </x:c>
      <x:c r="G856" s="30" t="str">
        <x:v>HOSPITAL</x:v>
      </x:c>
      <x:c r="H856" s="30" t="str">
        <x:v>Yes</x:v>
      </x:c>
      <x:c r="I856" s="30" t="str">
        <x:v>Temperature and register verification</x:v>
      </x:c>
    </x:row>
    <x:row r="857">
      <x:c r="A857" s="30" t="str">
        <x:v>HOSEVID026</x:v>
      </x:c>
      <x:c r="B857" s="30" t="str">
        <x:v>HOSAUD026</x:v>
      </x:c>
      <x:c r="C857" s="30" t="str">
        <x:v>Vaccine temperature logs, cold-chain monitoring reports, excursion reports</x:v>
      </x:c>
      <x:c r="D857" s="30" t="str">
        <x:v>Temperature Log</x:v>
      </x:c>
      <x:c r="E857" s="30" t="str">
        <x:v>Yes</x:v>
      </x:c>
      <x:c r="F857" s="30" t="str">
        <x:v>Long Term</x:v>
      </x:c>
      <x:c r="G857" s="30" t="str">
        <x:v>HOSPITAL</x:v>
      </x:c>
      <x:c r="H857" s="30" t="str">
        <x:v>Yes</x:v>
      </x:c>
      <x:c r="I857" s="30" t="str">
        <x:v>Temperature trend analysis</x:v>
      </x:c>
    </x:row>
    <x:row r="858">
      <x:c r="A858" s="30" t="str">
        <x:v>HOSEVID027</x:v>
      </x:c>
      <x:c r="B858" s="30" t="str">
        <x:v>HOSAUD027</x:v>
      </x:c>
      <x:c r="C858" s="30" t="str">
        <x:v>Satellite pharmacy SOPs, inspection reports, governance review minutes</x:v>
      </x:c>
      <x:c r="D858" s="30" t="str">
        <x:v>SOP</x:v>
      </x:c>
      <x:c r="E858" s="30" t="str">
        <x:v>Yes</x:v>
      </x:c>
      <x:c r="F858" s="30" t="str">
        <x:v>Long Term</x:v>
      </x:c>
      <x:c r="G858" s="30" t="str">
        <x:v>HOSPITAL</x:v>
      </x:c>
      <x:c r="H858" s="30" t="str">
        <x:v>Yes</x:v>
      </x:c>
      <x:c r="I858" s="30" t="str">
        <x:v>SOP and audit review</x:v>
      </x:c>
    </x:row>
    <x:row r="859">
      <x:c r="A859" s="30" t="str">
        <x:v>HOSEVID028</x:v>
      </x:c>
      <x:c r="B859" s="30" t="str">
        <x:v>HOSAUD028</x:v>
      </x:c>
      <x:c r="C859" s="30" t="str">
        <x:v>Automated dispensing cabinet access logs, reconciliation reports, exception reports</x:v>
      </x:c>
      <x:c r="D859" s="30" t="str">
        <x:v>Log Book</x:v>
      </x:c>
      <x:c r="E859" s="30" t="str">
        <x:v>Yes</x:v>
      </x:c>
      <x:c r="F859" s="30" t="str">
        <x:v>Long Term</x:v>
      </x:c>
      <x:c r="G859" s="30" t="str">
        <x:v>HOSPITAL</x:v>
      </x:c>
      <x:c r="H859" s="30" t="str">
        <x:v>Yes</x:v>
      </x:c>
      <x:c r="I859" s="30" t="str">
        <x:v>System log verification</x:v>
      </x:c>
    </x:row>
    <x:row r="860">
      <x:c r="A860" s="30" t="str">
        <x:v>HOSEVID029</x:v>
      </x:c>
      <x:c r="B860" s="30" t="str">
        <x:v>HOSAUD029</x:v>
      </x:c>
      <x:c r="C860" s="30" t="str">
        <x:v>Medication safety dashboard, incident trend reports, CAPA tracker</x:v>
      </x:c>
      <x:c r="D860" s="30" t="str">
        <x:v>Report</x:v>
      </x:c>
      <x:c r="E860" s="30" t="str">
        <x:v>Yes</x:v>
      </x:c>
      <x:c r="F860" s="30" t="str">
        <x:v>Long Term</x:v>
      </x:c>
      <x:c r="G860" s="30" t="str">
        <x:v>HOSPITAL</x:v>
      </x:c>
      <x:c r="H860" s="30" t="str">
        <x:v>Yes</x:v>
      </x:c>
      <x:c r="I860" s="30" t="str">
        <x:v>Trend analysis</x:v>
      </x:c>
    </x:row>
    <x:row r="861">
      <x:c r="A861" s="30" t="str">
        <x:v>HOSEVID030</x:v>
      </x:c>
      <x:c r="B861" s="30" t="str">
        <x:v>HOSAUD030</x:v>
      </x:c>
      <x:c r="C861" s="30" t="str">
        <x:v>Approved hospital formulary, committee minutes, revision history</x:v>
      </x:c>
      <x:c r="D861" s="30" t="str">
        <x:v>Record</x:v>
      </x:c>
      <x:c r="E861" s="30" t="str">
        <x:v>Yes</x:v>
      </x:c>
      <x:c r="F861" s="30" t="str">
        <x:v>Long Term</x:v>
      </x:c>
      <x:c r="G861" s="30" t="str">
        <x:v>HOSPITAL</x:v>
      </x:c>
      <x:c r="H861" s="30" t="str">
        <x:v>Yes</x:v>
      </x:c>
      <x:c r="I861" s="30" t="str">
        <x:v>Committee review</x:v>
      </x:c>
    </x:row>
    <x:row r="862">
      <x:c r="A862" s="30" t="str">
        <x:v>HOSEVID031</x:v>
      </x:c>
      <x:c r="B862" s="30" t="str">
        <x:v>HOSAUD031</x:v>
      </x:c>
      <x:c r="C862" s="30" t="str">
        <x:v>Drug shortage tracker, supplier communications, substitution approvals</x:v>
      </x:c>
      <x:c r="D862" s="30" t="str">
        <x:v>Approval</x:v>
      </x:c>
      <x:c r="E862" s="30" t="str">
        <x:v>Yes</x:v>
      </x:c>
      <x:c r="F862" s="30" t="str">
        <x:v>Permanent</x:v>
      </x:c>
      <x:c r="G862" s="30" t="str">
        <x:v>HOSPITAL</x:v>
      </x:c>
      <x:c r="H862" s="30" t="str">
        <x:v>Yes</x:v>
      </x:c>
      <x:c r="I862" s="30" t="str">
        <x:v>Procurement file review</x:v>
      </x:c>
    </x:row>
    <x:row r="863">
      <x:c r="A863" s="30" t="str">
        <x:v>HOSEVID032</x:v>
      </x:c>
      <x:c r="B863" s="30" t="str">
        <x:v>HOSAUD032</x:v>
      </x:c>
      <x:c r="C863" s="30" t="str">
        <x:v>Emergency pharmaceutical inventory reports, disaster preparedness records</x:v>
      </x:c>
      <x:c r="D863" s="30" t="str">
        <x:v>Inventory Record</x:v>
      </x:c>
      <x:c r="E863" s="30" t="str">
        <x:v>Yes</x:v>
      </x:c>
      <x:c r="F863" s="30" t="str">
        <x:v>Long Term</x:v>
      </x:c>
      <x:c r="G863" s="30" t="str">
        <x:v>HOSPITAL</x:v>
      </x:c>
      <x:c r="H863" s="30" t="str">
        <x:v>Yes</x:v>
      </x:c>
      <x:c r="I863" s="30" t="str">
        <x:v>Inventory verification</x:v>
      </x:c>
    </x:row>
    <x:row r="864">
      <x:c r="A864" s="30" t="str">
        <x:v>HOSEVID033</x:v>
      </x:c>
      <x:c r="B864" s="30" t="str">
        <x:v>HOSAUD033</x:v>
      </x:c>
      <x:c r="C864" s="30" t="str">
        <x:v>Vendor agreements, SLA reviews, outsourced pharmacy performance reports</x:v>
      </x:c>
      <x:c r="D864" s="30" t="str">
        <x:v>Agreement</x:v>
      </x:c>
      <x:c r="E864" s="30" t="str">
        <x:v>Yes</x:v>
      </x:c>
      <x:c r="F864" s="30" t="str">
        <x:v>Long Term</x:v>
      </x:c>
      <x:c r="G864" s="30" t="str">
        <x:v>HOSPITAL</x:v>
      </x:c>
      <x:c r="H864" s="30" t="str">
        <x:v>Yes</x:v>
      </x:c>
      <x:c r="I864" s="30" t="str">
        <x:v>Vendor performance review</x:v>
      </x:c>
    </x:row>
    <x:row r="865">
      <x:c r="A865" s="30" t="str">
        <x:v>HOSEVID034</x:v>
      </x:c>
      <x:c r="B865" s="30" t="str">
        <x:v>HOSAUD034</x:v>
      </x:c>
      <x:c r="C865" s="30" t="str">
        <x:v>Telepharmacy consultation logs, authentication records, audit trail</x:v>
      </x:c>
      <x:c r="D865" s="30" t="str">
        <x:v>Log Book</x:v>
      </x:c>
      <x:c r="E865" s="30" t="str">
        <x:v>Yes</x:v>
      </x:c>
      <x:c r="F865" s="30" t="str">
        <x:v>Long Term</x:v>
      </x:c>
      <x:c r="G865" s="30" t="str">
        <x:v>HOSPITAL</x:v>
      </x:c>
      <x:c r="H865" s="30" t="str">
        <x:v>Yes</x:v>
      </x:c>
      <x:c r="I865" s="30" t="str">
        <x:v>System audit and documentation review</x:v>
      </x:c>
    </x:row>
    <x:row r="866">
      <x:c r="A866" s="30" t="str">
        <x:v>HOSEVID035</x:v>
      </x:c>
      <x:c r="B866" s="30" t="str">
        <x:v>HOSAUD035</x:v>
      </x:c>
      <x:c r="C866" s="30" t="str">
        <x:v>Hazardous medicine handling logs, PPE records, disposal manifests</x:v>
      </x:c>
      <x:c r="D866" s="30" t="str">
        <x:v>Log Book</x:v>
      </x:c>
      <x:c r="E866" s="30" t="str">
        <x:v>Yes</x:v>
      </x:c>
      <x:c r="F866" s="30" t="str">
        <x:v>Long Term</x:v>
      </x:c>
      <x:c r="G866" s="30" t="str">
        <x:v>HOSPITAL</x:v>
      </x:c>
      <x:c r="H866" s="30" t="str">
        <x:v>Yes</x:v>
      </x:c>
      <x:c r="I866" s="30" t="str">
        <x:v>Physical verification and record review</x:v>
      </x:c>
    </x:row>
    <x:row r="867">
      <x:c r="A867" s="30" t="str">
        <x:v>HOSEVID036</x:v>
      </x:c>
      <x:c r="B867" s="30" t="str">
        <x:v>HOSAUD036</x:v>
      </x:c>
      <x:c r="C867" s="30" t="str">
        <x:v>Pharmacist credentialing files, competency assessments, continuing education records</x:v>
      </x:c>
      <x:c r="D867" s="30" t="str">
        <x:v>Training Record</x:v>
      </x:c>
      <x:c r="E867" s="30" t="str">
        <x:v>Yes</x:v>
      </x:c>
      <x:c r="F867" s="30" t="str">
        <x:v>Long Term</x:v>
      </x:c>
      <x:c r="G867" s="30" t="str">
        <x:v>HOSPITAL</x:v>
      </x:c>
      <x:c r="H867" s="30" t="str">
        <x:v>Yes</x:v>
      </x:c>
      <x:c r="I867" s="30" t="str">
        <x:v>Personnel file review</x:v>
      </x:c>
    </x:row>
    <x:row r="868">
      <x:c r="A868" s="30" t="str">
        <x:v>HOSEVID037</x:v>
      </x:c>
      <x:c r="B868" s="30" t="str">
        <x:v>HOSAUD037</x:v>
      </x:c>
      <x:c r="C868" s="30" t="str">
        <x:v>Pharmacy KPI dashboard, monthly performance reports, trend analysis</x:v>
      </x:c>
      <x:c r="D868" s="30" t="str">
        <x:v>Report</x:v>
      </x:c>
      <x:c r="E868" s="30" t="str">
        <x:v>Yes</x:v>
      </x:c>
      <x:c r="F868" s="30" t="str">
        <x:v>Long Term</x:v>
      </x:c>
      <x:c r="G868" s="30" t="str">
        <x:v>HOSPITAL</x:v>
      </x:c>
      <x:c r="H868" s="30" t="str">
        <x:v>Yes</x:v>
      </x:c>
      <x:c r="I868" s="30" t="str">
        <x:v>KPI verification</x:v>
      </x:c>
    </x:row>
    <x:row r="869">
      <x:c r="A869" s="30" t="str">
        <x:v>HOSEVID038</x:v>
      </x:c>
      <x:c r="B869" s="30" t="str">
        <x:v>HOSAUD038</x:v>
      </x:c>
      <x:c r="C869" s="30" t="str">
        <x:v>Pharmacy governance committee minutes, action tracker, compliance reports</x:v>
      </x:c>
      <x:c r="D869" s="30" t="str">
        <x:v>Report</x:v>
      </x:c>
      <x:c r="E869" s="30" t="str">
        <x:v>Yes</x:v>
      </x:c>
      <x:c r="F869" s="30" t="str">
        <x:v>Long Term</x:v>
      </x:c>
      <x:c r="G869" s="30" t="str">
        <x:v>HOSPITAL</x:v>
      </x:c>
      <x:c r="H869" s="30" t="str">
        <x:v>Yes</x:v>
      </x:c>
      <x:c r="I869" s="30" t="str">
        <x:v>Committee record review</x:v>
      </x:c>
    </x:row>
    <x:row r="870">
      <x:c r="A870" s="30" t="str">
        <x:v>HOSEVID039</x:v>
      </x:c>
      <x:c r="B870" s="30" t="str">
        <x:v>HOSAUD039</x:v>
      </x:c>
      <x:c r="C870" s="30" t="str">
        <x:v>Medication safety indicator reports, CAPA records, improvement plans</x:v>
      </x:c>
      <x:c r="D870" s="30" t="str">
        <x:v>Report</x:v>
      </x:c>
      <x:c r="E870" s="30" t="str">
        <x:v>Yes</x:v>
      </x:c>
      <x:c r="F870" s="30" t="str">
        <x:v>Long Term</x:v>
      </x:c>
      <x:c r="G870" s="30" t="str">
        <x:v>HOSPITAL</x:v>
      </x:c>
      <x:c r="H870" s="30" t="str">
        <x:v>Yes</x:v>
      </x:c>
      <x:c r="I870" s="30" t="str">
        <x:v>Indicator and CAPA review</x:v>
      </x:c>
    </x:row>
    <x:row r="871">
      <x:c r="A871" s="30" t="str">
        <x:v>HOSEVID040</x:v>
      </x:c>
      <x:c r="B871" s="30" t="str">
        <x:v>HOSAUD040</x:v>
      </x:c>
      <x:c r="C871" s="30" t="str">
        <x:v>Pharmacy QMS manual, internal audit reports, management review minutes, quality objectives</x:v>
      </x:c>
      <x:c r="D871" s="30" t="str">
        <x:v>Report</x:v>
      </x:c>
      <x:c r="E871" s="30" t="str">
        <x:v>Yes</x:v>
      </x:c>
      <x:c r="F871" s="30" t="str">
        <x:v>Operational</x:v>
      </x:c>
      <x:c r="G871" s="30" t="str">
        <x:v>HOSPITAL</x:v>
      </x:c>
      <x:c r="H871" s="30" t="str">
        <x:v>Yes</x:v>
      </x:c>
      <x:c r="I871" s="30" t="str">
        <x:v>QMS documentation review</x:v>
      </x:c>
    </x:row>
    <x:row r="872">
      <x:c r="A872" s="30" t="str">
        <x:v>CEVID001</x:v>
      </x:c>
      <x:c r="B872" s="30" t="str">
        <x:v>CAUD001</x:v>
      </x:c>
      <x:c r="C872" s="30" t="str">
        <x:v>Corporate SOP repository, revision history, branch acknowledgement records</x:v>
      </x:c>
      <x:c r="D872" s="30" t="str">
        <x:v>SOP</x:v>
      </x:c>
      <x:c r="E872" s="30" t="str">
        <x:v>Yes</x:v>
      </x:c>
      <x:c r="F872" s="30" t="str">
        <x:v>Long Term</x:v>
      </x:c>
      <x:c r="G872" s="30" t="str">
        <x:v>CHAIN</x:v>
      </x:c>
      <x:c r="H872" s="30" t="str">
        <x:v>Yes</x:v>
      </x:c>
      <x:c r="I872" s="30" t="str">
        <x:v>Document review and branch sampling</x:v>
      </x:c>
    </x:row>
    <x:row r="873">
      <x:c r="A873" s="30" t="str">
        <x:v>CEVID002</x:v>
      </x:c>
      <x:c r="B873" s="30" t="str">
        <x:v>CAUD002</x:v>
      </x:c>
      <x:c r="C873" s="30" t="str">
        <x:v>Branch licence register, renewal tracker, regulatory approvals</x:v>
      </x:c>
      <x:c r="D873" s="30" t="str">
        <x:v>License</x:v>
      </x:c>
      <x:c r="E873" s="30" t="str">
        <x:v>Yes</x:v>
      </x:c>
      <x:c r="F873" s="30" t="str">
        <x:v>Permanent</x:v>
      </x:c>
      <x:c r="G873" s="30" t="str">
        <x:v>CHAIN</x:v>
      </x:c>
      <x:c r="H873" s="30" t="str">
        <x:v>Yes</x:v>
      </x:c>
      <x:c r="I873" s="30" t="str">
        <x:v>Licence verification</x:v>
      </x:c>
    </x:row>
    <x:row r="874">
      <x:c r="A874" s="30" t="str">
        <x:v>CEVID003</x:v>
      </x:c>
      <x:c r="B874" s="30" t="str">
        <x:v>CAUD003</x:v>
      </x:c>
      <x:c r="C874" s="30" t="str">
        <x:v>Approved supplier register, purchase approvals, procurement records</x:v>
      </x:c>
      <x:c r="D874" s="30" t="str">
        <x:v>Purchase Record</x:v>
      </x:c>
      <x:c r="E874" s="30" t="str">
        <x:v>Yes</x:v>
      </x:c>
      <x:c r="F874" s="30" t="str">
        <x:v>Long Term</x:v>
      </x:c>
      <x:c r="G874" s="30" t="str">
        <x:v>CHAIN</x:v>
      </x:c>
      <x:c r="H874" s="30" t="str">
        <x:v>Yes</x:v>
      </x:c>
      <x:c r="I874" s="30" t="str">
        <x:v>Procurement transaction review</x:v>
      </x:c>
    </x:row>
    <x:row r="875">
      <x:c r="A875" s="30" t="str">
        <x:v>CEVID004</x:v>
      </x:c>
      <x:c r="B875" s="30" t="str">
        <x:v>CAUD004</x:v>
      </x:c>
      <x:c r="C875" s="30" t="str">
        <x:v>Inventory reconciliation reports, ERP inventory reports</x:v>
      </x:c>
      <x:c r="D875" s="30" t="str">
        <x:v>Inventory Record</x:v>
      </x:c>
      <x:c r="E875" s="30" t="str">
        <x:v>Yes</x:v>
      </x:c>
      <x:c r="F875" s="30" t="str">
        <x:v>Long Term</x:v>
      </x:c>
      <x:c r="G875" s="30" t="str">
        <x:v>CHAIN</x:v>
      </x:c>
      <x:c r="H875" s="30" t="str">
        <x:v>Yes</x:v>
      </x:c>
      <x:c r="I875" s="30" t="str">
        <x:v>Physical and ERP verification</x:v>
      </x:c>
    </x:row>
    <x:row r="876">
      <x:c r="A876" s="30" t="str">
        <x:v>CEVID005</x:v>
      </x:c>
      <x:c r="B876" s="30" t="str">
        <x:v>CAUD005</x:v>
      </x:c>
      <x:c r="C876" s="30" t="str">
        <x:v>Inter-branch transfer register, authorization records, stock reconciliation reports</x:v>
      </x:c>
      <x:c r="D876" s="30" t="str">
        <x:v>Approval</x:v>
      </x:c>
      <x:c r="E876" s="30" t="str">
        <x:v>Yes</x:v>
      </x:c>
      <x:c r="F876" s="30" t="str">
        <x:v>Permanent</x:v>
      </x:c>
      <x:c r="G876" s="30" t="str">
        <x:v>CHAIN</x:v>
      </x:c>
      <x:c r="H876" s="30" t="str">
        <x:v>Yes</x:v>
      </x:c>
      <x:c r="I876" s="30" t="str">
        <x:v>Transfer record verification</x:v>
      </x:c>
    </x:row>
    <x:row r="877">
      <x:c r="A877" s="30" t="str">
        <x:v>CEVID006</x:v>
      </x:c>
      <x:c r="B877" s="30" t="str">
        <x:v>CAUD006</x:v>
      </x:c>
      <x:c r="C877" s="30" t="str">
        <x:v>Recall SOP, recall communication records, mock recall reports</x:v>
      </x:c>
      <x:c r="D877" s="30" t="str">
        <x:v>SOP</x:v>
      </x:c>
      <x:c r="E877" s="30" t="str">
        <x:v>Yes</x:v>
      </x:c>
      <x:c r="F877" s="30" t="str">
        <x:v>Operational</x:v>
      </x:c>
      <x:c r="G877" s="30" t="str">
        <x:v>CHAIN</x:v>
      </x:c>
      <x:c r="H877" s="30" t="str">
        <x:v>Yes</x:v>
      </x:c>
      <x:c r="I877" s="30" t="str">
        <x:v>Recall effectiveness review</x:v>
      </x:c>
    </x:row>
    <x:row r="878">
      <x:c r="A878" s="30" t="str">
        <x:v>CEVID007</x:v>
      </x:c>
      <x:c r="B878" s="30" t="str">
        <x:v>CAUD007</x:v>
      </x:c>
      <x:c r="C878" s="30" t="str">
        <x:v>Complaint register, investigation reports, CAPA documentation</x:v>
      </x:c>
      <x:c r="D878" s="30" t="str">
        <x:v>Report</x:v>
      </x:c>
      <x:c r="E878" s="30" t="str">
        <x:v>Yes</x:v>
      </x:c>
      <x:c r="F878" s="30" t="str">
        <x:v>Long Term</x:v>
      </x:c>
      <x:c r="G878" s="30" t="str">
        <x:v>CHAIN</x:v>
      </x:c>
      <x:c r="H878" s="30" t="str">
        <x:v>Yes</x:v>
      </x:c>
      <x:c r="I878" s="30" t="str">
        <x:v>Complaint lifecycle review</x:v>
      </x:c>
    </x:row>
    <x:row r="879">
      <x:c r="A879" s="30" t="str">
        <x:v>CEVID008</x:v>
      </x:c>
      <x:c r="B879" s="30" t="str">
        <x:v>CAUD008</x:v>
      </x:c>
      <x:c r="C879" s="30" t="str">
        <x:v>CAPA tracker, effectiveness verification reports</x:v>
      </x:c>
      <x:c r="D879" s="30" t="str">
        <x:v>Report</x:v>
      </x:c>
      <x:c r="E879" s="30" t="str">
        <x:v>Yes</x:v>
      </x:c>
      <x:c r="F879" s="30" t="str">
        <x:v>Long Term</x:v>
      </x:c>
      <x:c r="G879" s="30" t="str">
        <x:v>CHAIN</x:v>
      </x:c>
      <x:c r="H879" s="30" t="str">
        <x:v>Yes</x:v>
      </x:c>
      <x:c r="I879" s="30" t="str">
        <x:v>CAPA closure verification</x:v>
      </x:c>
    </x:row>
    <x:row r="880">
      <x:c r="A880" s="30" t="str">
        <x:v>CEVID009</x:v>
      </x:c>
      <x:c r="B880" s="30" t="str">
        <x:v>CAUD009</x:v>
      </x:c>
      <x:c r="C880" s="30" t="str">
        <x:v>Annual audit plan, branch audit reports, audit checklists</x:v>
      </x:c>
      <x:c r="D880" s="30" t="str">
        <x:v>Report</x:v>
      </x:c>
      <x:c r="E880" s="30" t="str">
        <x:v>Yes</x:v>
      </x:c>
      <x:c r="F880" s="30" t="str">
        <x:v>Operational</x:v>
      </x:c>
      <x:c r="G880" s="30" t="str">
        <x:v>CHAIN</x:v>
      </x:c>
      <x:c r="H880" s="30" t="str">
        <x:v>Yes</x:v>
      </x:c>
      <x:c r="I880" s="30" t="str">
        <x:v>Audit documentation review</x:v>
      </x:c>
    </x:row>
    <x:row r="881">
      <x:c r="A881" s="30" t="str">
        <x:v>CEVID010</x:v>
      </x:c>
      <x:c r="B881" s="30" t="str">
        <x:v>CAUD010</x:v>
      </x:c>
      <x:c r="C881" s="30" t="str">
        <x:v>Training matrix, attendance records, competency assessments</x:v>
      </x:c>
      <x:c r="D881" s="30" t="str">
        <x:v>Training Record</x:v>
      </x:c>
      <x:c r="E881" s="30" t="str">
        <x:v>Yes</x:v>
      </x:c>
      <x:c r="F881" s="30" t="str">
        <x:v>Long Term</x:v>
      </x:c>
      <x:c r="G881" s="30" t="str">
        <x:v>CHAIN</x:v>
      </x:c>
      <x:c r="H881" s="30" t="str">
        <x:v>Yes</x:v>
      </x:c>
      <x:c r="I881" s="30" t="str">
        <x:v>Training file review</x:v>
      </x:c>
    </x:row>
    <x:row r="882">
      <x:c r="A882" s="30" t="str">
        <x:v>CEVID011</x:v>
      </x:c>
      <x:c r="B882" s="30" t="str">
        <x:v>CAUD011</x:v>
      </x:c>
      <x:c r="C882" s="30" t="str">
        <x:v>KPI dashboards, monthly performance reports</x:v>
      </x:c>
      <x:c r="D882" s="30" t="str">
        <x:v>Report</x:v>
      </x:c>
      <x:c r="E882" s="30" t="str">
        <x:v>Yes</x:v>
      </x:c>
      <x:c r="F882" s="30" t="str">
        <x:v>Long Term</x:v>
      </x:c>
      <x:c r="G882" s="30" t="str">
        <x:v>CHAIN</x:v>
      </x:c>
      <x:c r="H882" s="30" t="str">
        <x:v>Yes</x:v>
      </x:c>
      <x:c r="I882" s="30" t="str">
        <x:v>KPI trend analysis</x:v>
      </x:c>
    </x:row>
    <x:row r="883">
      <x:c r="A883" s="30" t="str">
        <x:v>CEVID012</x:v>
      </x:c>
      <x:c r="B883" s="30" t="str">
        <x:v>CAUD012</x:v>
      </x:c>
      <x:c r="C883" s="30" t="str">
        <x:v>Branch compliance dashboard, compliance exception reports</x:v>
      </x:c>
      <x:c r="D883" s="30" t="str">
        <x:v>Report</x:v>
      </x:c>
      <x:c r="E883" s="30" t="str">
        <x:v>Yes</x:v>
      </x:c>
      <x:c r="F883" s="30" t="str">
        <x:v>Long Term</x:v>
      </x:c>
      <x:c r="G883" s="30" t="str">
        <x:v>CHAIN</x:v>
      </x:c>
      <x:c r="H883" s="30" t="str">
        <x:v>Yes</x:v>
      </x:c>
      <x:c r="I883" s="30" t="str">
        <x:v>Dashboard verification</x:v>
      </x:c>
    </x:row>
    <x:row r="884">
      <x:c r="A884" s="30" t="str">
        <x:v>CEVID013</x:v>
      </x:c>
      <x:c r="B884" s="30" t="str">
        <x:v>CAUD013</x:v>
      </x:c>
      <x:c r="C884" s="30" t="str">
        <x:v>Controlled document register, document approval history</x:v>
      </x:c>
      <x:c r="D884" s="30" t="str">
        <x:v>Approval</x:v>
      </x:c>
      <x:c r="E884" s="30" t="str">
        <x:v>Yes</x:v>
      </x:c>
      <x:c r="F884" s="30" t="str">
        <x:v>Permanent</x:v>
      </x:c>
      <x:c r="G884" s="30" t="str">
        <x:v>CHAIN</x:v>
      </x:c>
      <x:c r="H884" s="30" t="str">
        <x:v>Yes</x:v>
      </x:c>
      <x:c r="I884" s="30" t="str">
        <x:v>Version control verification</x:v>
      </x:c>
    </x:row>
    <x:row r="885">
      <x:c r="A885" s="30" t="str">
        <x:v>CEVID014</x:v>
      </x:c>
      <x:c r="B885" s="30" t="str">
        <x:v>CAUD014</x:v>
      </x:c>
      <x:c r="C885" s="30" t="str">
        <x:v>Branch temperature logs, deviation reports, corrective action records</x:v>
      </x:c>
      <x:c r="D885" s="30" t="str">
        <x:v>Temperature Log</x:v>
      </x:c>
      <x:c r="E885" s="30" t="str">
        <x:v>Yes</x:v>
      </x:c>
      <x:c r="F885" s="30" t="str">
        <x:v>Long Term</x:v>
      </x:c>
      <x:c r="G885" s="30" t="str">
        <x:v>CHAIN</x:v>
      </x:c>
      <x:c r="H885" s="30" t="str">
        <x:v>Yes</x:v>
      </x:c>
      <x:c r="I885" s="30" t="str">
        <x:v>Temperature trend review</x:v>
      </x:c>
    </x:row>
    <x:row r="886">
      <x:c r="A886" s="30" t="str">
        <x:v>CEVID015</x:v>
      </x:c>
      <x:c r="B886" s="30" t="str">
        <x:v>CAUD015</x:v>
      </x:c>
      <x:c r="C886" s="30" t="str">
        <x:v>Supplier evaluation reports, vendor scorecards, review minutes</x:v>
      </x:c>
      <x:c r="D886" s="30" t="str">
        <x:v>Report</x:v>
      </x:c>
      <x:c r="E886" s="30" t="str">
        <x:v>Yes</x:v>
      </x:c>
      <x:c r="F886" s="30" t="str">
        <x:v>Long Term</x:v>
      </x:c>
      <x:c r="G886" s="30" t="str">
        <x:v>CHAIN</x:v>
      </x:c>
      <x:c r="H886" s="30" t="str">
        <x:v>Yes</x:v>
      </x:c>
      <x:c r="I886" s="30" t="str">
        <x:v>Supplier performance verification</x:v>
      </x:c>
    </x:row>
    <x:row r="887">
      <x:c r="A887" s="30" t="str">
        <x:v>CEVID016</x:v>
      </x:c>
      <x:c r="B887" s="30" t="str">
        <x:v>CAUD016</x:v>
      </x:c>
      <x:c r="C887" s="30" t="str">
        <x:v>Enterprise risk register, mitigation tracker, review minutes</x:v>
      </x:c>
      <x:c r="D887" s="30" t="str">
        <x:v>Register</x:v>
      </x:c>
      <x:c r="E887" s="30" t="str">
        <x:v>Yes</x:v>
      </x:c>
      <x:c r="F887" s="30" t="str">
        <x:v>Long Term</x:v>
      </x:c>
      <x:c r="G887" s="30" t="str">
        <x:v>CHAIN</x:v>
      </x:c>
      <x:c r="H887" s="30" t="str">
        <x:v>Yes</x:v>
      </x:c>
      <x:c r="I887" s="30" t="str">
        <x:v>Risk register review</x:v>
      </x:c>
    </x:row>
    <x:row r="888">
      <x:c r="A888" s="30" t="str">
        <x:v>CEVID017</x:v>
      </x:c>
      <x:c r="B888" s="30" t="str">
        <x:v>CAUD017</x:v>
      </x:c>
      <x:c r="C888" s="30" t="str">
        <x:v>Franchise audit reports, corrective action records</x:v>
      </x:c>
      <x:c r="D888" s="30" t="str">
        <x:v>Report</x:v>
      </x:c>
      <x:c r="E888" s="30" t="str">
        <x:v>Yes</x:v>
      </x:c>
      <x:c r="F888" s="30" t="str">
        <x:v>Long Term</x:v>
      </x:c>
      <x:c r="G888" s="30" t="str">
        <x:v>CHAIN</x:v>
      </x:c>
      <x:c r="H888" s="30" t="str">
        <x:v>Yes</x:v>
      </x:c>
      <x:c r="I888" s="30" t="str">
        <x:v>Franchise audit verification</x:v>
      </x:c>
    </x:row>
    <x:row r="889">
      <x:c r="A889" s="30" t="str">
        <x:v>CEVID018</x:v>
      </x:c>
      <x:c r="B889" s="30" t="str">
        <x:v>CAUD018</x:v>
      </x:c>
      <x:c r="C889" s="30" t="str">
        <x:v>Business continuity plan, BCP test reports, recovery exercise reports</x:v>
      </x:c>
      <x:c r="D889" s="30" t="str">
        <x:v>Report</x:v>
      </x:c>
      <x:c r="E889" s="30" t="str">
        <x:v>Yes</x:v>
      </x:c>
      <x:c r="F889" s="30" t="str">
        <x:v>Operational</x:v>
      </x:c>
      <x:c r="G889" s="30" t="str">
        <x:v>CHAIN</x:v>
      </x:c>
      <x:c r="H889" s="30" t="str">
        <x:v>Yes</x:v>
      </x:c>
      <x:c r="I889" s="30" t="str">
        <x:v>BCP testing verification</x:v>
      </x:c>
    </x:row>
    <x:row r="890">
      <x:c r="A890" s="30" t="str">
        <x:v>CEVID019</x:v>
      </x:c>
      <x:c r="B890" s="30" t="str">
        <x:v>CAUD019</x:v>
      </x:c>
      <x:c r="C890" s="30" t="str">
        <x:v>Compliance calendar, statutory filing acknowledgements, regulatory correspondence</x:v>
      </x:c>
      <x:c r="D890" s="30" t="str">
        <x:v>Record</x:v>
      </x:c>
      <x:c r="E890" s="30" t="str">
        <x:v>Yes</x:v>
      </x:c>
      <x:c r="F890" s="30" t="str">
        <x:v>Statutory</x:v>
      </x:c>
      <x:c r="G890" s="30" t="str">
        <x:v>CHAIN</x:v>
      </x:c>
      <x:c r="H890" s="30" t="str">
        <x:v>Yes</x:v>
      </x:c>
      <x:c r="I890" s="30" t="str">
        <x:v>Filing verification</x:v>
      </x:c>
    </x:row>
    <x:row r="891">
      <x:c r="A891" s="30" t="str">
        <x:v>CEVID020</x:v>
      </x:c>
      <x:c r="B891" s="30" t="str">
        <x:v>CAUD020</x:v>
      </x:c>
      <x:c r="C891" s="30" t="str">
        <x:v>Management review minutes, enterprise quality reports, action tracker</x:v>
      </x:c>
      <x:c r="D891" s="30" t="str">
        <x:v>Report</x:v>
      </x:c>
      <x:c r="E891" s="30" t="str">
        <x:v>Yes</x:v>
      </x:c>
      <x:c r="F891" s="30" t="str">
        <x:v>Operational</x:v>
      </x:c>
      <x:c r="G891" s="30" t="str">
        <x:v>CHAIN</x:v>
      </x:c>
      <x:c r="H891" s="30" t="str">
        <x:v>Yes</x:v>
      </x:c>
      <x:c r="I891" s="30" t="str">
        <x:v>Management review verification</x:v>
      </x:c>
    </x:row>
    <x:row r="892">
      <x:c r="A892" s="30" t="str">
        <x:v>EEVID001</x:v>
      </x:c>
      <x:c r="B892" s="30" t="str">
        <x:v>EAUD001</x:v>
      </x:c>
      <x:c r="C892" s="30" t="str">
        <x:v>Electronic prescription validation logs, pharmacist approval records</x:v>
      </x:c>
      <x:c r="D892" s="30" t="str">
        <x:v>Log Book</x:v>
      </x:c>
      <x:c r="E892" s="30" t="str">
        <x:v>Yes</x:v>
      </x:c>
      <x:c r="F892" s="30" t="str">
        <x:v>Long Term</x:v>
      </x:c>
      <x:c r="G892" s="30" t="str">
        <x:v>EPHARMACY</x:v>
      </x:c>
      <x:c r="H892" s="30" t="str">
        <x:v>Yes</x:v>
      </x:c>
      <x:c r="I892" s="30" t="str">
        <x:v>System log review and sample verification</x:v>
      </x:c>
    </x:row>
    <x:row r="893">
      <x:c r="A893" s="30" t="str">
        <x:v>EEVID002</x:v>
      </x:c>
      <x:c r="B893" s="30" t="str">
        <x:v>EAUD002</x:v>
      </x:c>
      <x:c r="C893" s="30" t="str">
        <x:v>Customer KYC documents, identity verification logs</x:v>
      </x:c>
      <x:c r="D893" s="30" t="str">
        <x:v>Log Book</x:v>
      </x:c>
      <x:c r="E893" s="30" t="str">
        <x:v>Yes</x:v>
      </x:c>
      <x:c r="F893" s="30" t="str">
        <x:v>Long Term</x:v>
      </x:c>
      <x:c r="G893" s="30" t="str">
        <x:v>EPHARMACY</x:v>
      </x:c>
      <x:c r="H893" s="30" t="str">
        <x:v>Yes</x:v>
      </x:c>
      <x:c r="I893" s="30" t="str">
        <x:v>Document review</x:v>
      </x:c>
    </x:row>
    <x:row r="894">
      <x:c r="A894" s="30" t="str">
        <x:v>EEVID003</x:v>
      </x:c>
      <x:c r="B894" s="30" t="str">
        <x:v>EAUD003</x:v>
      </x:c>
      <x:c r="C894" s="30" t="str">
        <x:v>Electronic pharmacist approval workflow logs</x:v>
      </x:c>
      <x:c r="D894" s="30" t="str">
        <x:v>Log Book</x:v>
      </x:c>
      <x:c r="E894" s="30" t="str">
        <x:v>Yes</x:v>
      </x:c>
      <x:c r="F894" s="30" t="str">
        <x:v>Long Term</x:v>
      </x:c>
      <x:c r="G894" s="30" t="str">
        <x:v>EPHARMACY</x:v>
      </x:c>
      <x:c r="H894" s="30" t="str">
        <x:v>Yes</x:v>
      </x:c>
      <x:c r="I894" s="30" t="str">
        <x:v>Workflow verification</x:v>
      </x:c>
    </x:row>
    <x:row r="895">
      <x:c r="A895" s="30" t="str">
        <x:v>EEVID004</x:v>
      </x:c>
      <x:c r="B895" s="30" t="str">
        <x:v>EAUD004</x:v>
      </x:c>
      <x:c r="C895" s="30" t="str">
        <x:v>Telemedicine consultation references linked to prescription orders</x:v>
      </x:c>
      <x:c r="D895" s="30" t="str">
        <x:v>Prescription</x:v>
      </x:c>
      <x:c r="E895" s="30" t="str">
        <x:v>Yes</x:v>
      </x:c>
      <x:c r="F895" s="30" t="str">
        <x:v>Long Term</x:v>
      </x:c>
      <x:c r="G895" s="30" t="str">
        <x:v>EPHARMACY</x:v>
      </x:c>
      <x:c r="H895" s="30" t="str">
        <x:v>Yes</x:v>
      </x:c>
      <x:c r="I895" s="30" t="str">
        <x:v>Cross-reference verification</x:v>
      </x:c>
    </x:row>
    <x:row r="896">
      <x:c r="A896" s="30" t="str">
        <x:v>EEVID005</x:v>
      </x:c>
      <x:c r="B896" s="30" t="str">
        <x:v>EAUD005</x:v>
      </x:c>
      <x:c r="C896" s="30" t="str">
        <x:v>Electronic consent records, consent version history</x:v>
      </x:c>
      <x:c r="D896" s="30" t="str">
        <x:v>Digital Record</x:v>
      </x:c>
      <x:c r="E896" s="30" t="str">
        <x:v>Yes</x:v>
      </x:c>
      <x:c r="F896" s="30" t="str">
        <x:v>Long Term</x:v>
      </x:c>
      <x:c r="G896" s="30" t="str">
        <x:v>EPHARMACY</x:v>
      </x:c>
      <x:c r="H896" s="30" t="str">
        <x:v>Yes</x:v>
      </x:c>
      <x:c r="I896" s="30" t="str">
        <x:v>Consent audit</x:v>
      </x:c>
    </x:row>
    <x:row r="897">
      <x:c r="A897" s="30" t="str">
        <x:v>EEVID006</x:v>
      </x:c>
      <x:c r="B897" s="30" t="str">
        <x:v>EAUD006</x:v>
      </x:c>
      <x:c r="C897" s="30" t="str">
        <x:v>Electronic prescription archive, dispensing records, backup logs</x:v>
      </x:c>
      <x:c r="D897" s="30" t="str">
        <x:v>Log Book</x:v>
      </x:c>
      <x:c r="E897" s="30" t="str">
        <x:v>Yes</x:v>
      </x:c>
      <x:c r="F897" s="30" t="str">
        <x:v>Operational</x:v>
      </x:c>
      <x:c r="G897" s="30" t="str">
        <x:v>EPHARMACY</x:v>
      </x:c>
      <x:c r="H897" s="30" t="str">
        <x:v>Yes</x:v>
      </x:c>
      <x:c r="I897" s="30" t="str">
        <x:v>Archive retrieval testing</x:v>
      </x:c>
    </x:row>
    <x:row r="898">
      <x:c r="A898" s="30" t="str">
        <x:v>EEVID007</x:v>
      </x:c>
      <x:c r="B898" s="30" t="str">
        <x:v>EAUD007</x:v>
      </x:c>
      <x:c r="C898" s="30" t="str">
        <x:v>Order validation reports, exception logs</x:v>
      </x:c>
      <x:c r="D898" s="30" t="str">
        <x:v>Log Book</x:v>
      </x:c>
      <x:c r="E898" s="30" t="str">
        <x:v>Yes</x:v>
      </x:c>
      <x:c r="F898" s="30" t="str">
        <x:v>Long Term</x:v>
      </x:c>
      <x:c r="G898" s="30" t="str">
        <x:v>EPHARMACY</x:v>
      </x:c>
      <x:c r="H898" s="30" t="str">
        <x:v>Yes</x:v>
      </x:c>
      <x:c r="I898" s="30" t="str">
        <x:v>System verification</x:v>
      </x:c>
    </x:row>
    <x:row r="899">
      <x:c r="A899" s="30" t="str">
        <x:v>EEVID008</x:v>
      </x:c>
      <x:c r="B899" s="30" t="str">
        <x:v>EAUD008</x:v>
      </x:c>
      <x:c r="C899" s="30" t="str">
        <x:v>Payment gateway transaction logs, reconciliation reports</x:v>
      </x:c>
      <x:c r="D899" s="30" t="str">
        <x:v>Log Book</x:v>
      </x:c>
      <x:c r="E899" s="30" t="str">
        <x:v>Yes</x:v>
      </x:c>
      <x:c r="F899" s="30" t="str">
        <x:v>Operational</x:v>
      </x:c>
      <x:c r="G899" s="30" t="str">
        <x:v>EPHARMACY</x:v>
      </x:c>
      <x:c r="H899" s="30" t="str">
        <x:v>Yes</x:v>
      </x:c>
      <x:c r="I899" s="30" t="str">
        <x:v>Financial reconciliation</x:v>
      </x:c>
    </x:row>
    <x:row r="900">
      <x:c r="A900" s="30" t="str">
        <x:v>EEVID009</x:v>
      </x:c>
      <x:c r="B900" s="30" t="str">
        <x:v>EAUD009</x:v>
      </x:c>
      <x:c r="C900" s="30" t="str">
        <x:v>SIEM reports, firewall logs, security monitoring reports</x:v>
      </x:c>
      <x:c r="D900" s="30" t="str">
        <x:v>Log Book</x:v>
      </x:c>
      <x:c r="E900" s="30" t="str">
        <x:v>Yes</x:v>
      </x:c>
      <x:c r="F900" s="30" t="str">
        <x:v>Long Term</x:v>
      </x:c>
      <x:c r="G900" s="30" t="str">
        <x:v>EPHARMACY</x:v>
      </x:c>
      <x:c r="H900" s="30" t="str">
        <x:v>Yes</x:v>
      </x:c>
      <x:c r="I900" s="30" t="str">
        <x:v>Security monitoring review</x:v>
      </x:c>
    </x:row>
    <x:row r="901">
      <x:c r="A901" s="30" t="str">
        <x:v>EEVID010</x:v>
      </x:c>
      <x:c r="B901" s="30" t="str">
        <x:v>EAUD010</x:v>
      </x:c>
      <x:c r="C901" s="30" t="str">
        <x:v>Encryption configuration, key management records</x:v>
      </x:c>
      <x:c r="D901" s="30" t="str">
        <x:v>Record</x:v>
      </x:c>
      <x:c r="E901" s="30" t="str">
        <x:v>Yes</x:v>
      </x:c>
      <x:c r="F901" s="30" t="str">
        <x:v>Long Term</x:v>
      </x:c>
      <x:c r="G901" s="30" t="str">
        <x:v>EPHARMACY</x:v>
      </x:c>
      <x:c r="H901" s="30" t="str">
        <x:v>Yes</x:v>
      </x:c>
      <x:c r="I901" s="30" t="str">
        <x:v>Technical configuration review</x:v>
      </x:c>
    </x:row>
    <x:row r="902">
      <x:c r="A902" s="30" t="str">
        <x:v>EEVID011</x:v>
      </x:c>
      <x:c r="B902" s="30" t="str">
        <x:v>EAUD011</x:v>
      </x:c>
      <x:c r="C902" s="30" t="str">
        <x:v>Published privacy notices, acknowledgement records</x:v>
      </x:c>
      <x:c r="D902" s="30" t="str">
        <x:v>Record</x:v>
      </x:c>
      <x:c r="E902" s="30" t="str">
        <x:v>Yes</x:v>
      </x:c>
      <x:c r="F902" s="30" t="str">
        <x:v>Long Term</x:v>
      </x:c>
      <x:c r="G902" s="30" t="str">
        <x:v>EPHARMACY</x:v>
      </x:c>
      <x:c r="H902" s="30" t="str">
        <x:v>Yes</x:v>
      </x:c>
      <x:c r="I902" s="30" t="str">
        <x:v>Version review</x:v>
      </x:c>
    </x:row>
    <x:row r="903">
      <x:c r="A903" s="30" t="str">
        <x:v>EEVID012</x:v>
      </x:c>
      <x:c r="B903" s="30" t="str">
        <x:v>EAUD012</x:v>
      </x:c>
      <x:c r="C903" s="30" t="str">
        <x:v>Central audit logs, log integrity reports</x:v>
      </x:c>
      <x:c r="D903" s="30" t="str">
        <x:v>Log Book</x:v>
      </x:c>
      <x:c r="E903" s="30" t="str">
        <x:v>Yes</x:v>
      </x:c>
      <x:c r="F903" s="30" t="str">
        <x:v>Long Term</x:v>
      </x:c>
      <x:c r="G903" s="30" t="str">
        <x:v>EPHARMACY</x:v>
      </x:c>
      <x:c r="H903" s="30" t="str">
        <x:v>Yes</x:v>
      </x:c>
      <x:c r="I903" s="30" t="str">
        <x:v>Log integrity validation</x:v>
      </x:c>
    </x:row>
    <x:row r="904">
      <x:c r="A904" s="30" t="str">
        <x:v>EEVID013</x:v>
      </x:c>
      <x:c r="B904" s="30" t="str">
        <x:v>EAUD013</x:v>
      </x:c>
      <x:c r="C904" s="30" t="str">
        <x:v>Approved courier list, courier qualification reports</x:v>
      </x:c>
      <x:c r="D904" s="30" t="str">
        <x:v>Report</x:v>
      </x:c>
      <x:c r="E904" s="30" t="str">
        <x:v>Yes</x:v>
      </x:c>
      <x:c r="F904" s="30" t="str">
        <x:v>Long Term</x:v>
      </x:c>
      <x:c r="G904" s="30" t="str">
        <x:v>EPHARMACY</x:v>
      </x:c>
      <x:c r="H904" s="30" t="str">
        <x:v>Yes</x:v>
      </x:c>
      <x:c r="I904" s="30" t="str">
        <x:v>Vendor review</x:v>
      </x:c>
    </x:row>
    <x:row r="905">
      <x:c r="A905" s="30" t="str">
        <x:v>EEVID014</x:v>
      </x:c>
      <x:c r="B905" s="30" t="str">
        <x:v>EAUD014</x:v>
      </x:c>
      <x:c r="C905" s="30" t="str">
        <x:v>Shipment tracking reports, proof of delivery records</x:v>
      </x:c>
      <x:c r="D905" s="30" t="str">
        <x:v>Log Book</x:v>
      </x:c>
      <x:c r="E905" s="30" t="str">
        <x:v>Yes</x:v>
      </x:c>
      <x:c r="F905" s="30" t="str">
        <x:v>Long Term</x:v>
      </x:c>
      <x:c r="G905" s="30" t="str">
        <x:v>EPHARMACY</x:v>
      </x:c>
      <x:c r="H905" s="30" t="str">
        <x:v>Yes</x:v>
      </x:c>
      <x:c r="I905" s="30" t="str">
        <x:v>Tracking verification</x:v>
      </x:c>
    </x:row>
    <x:row r="906">
      <x:c r="A906" s="30" t="str">
        <x:v>EEVID015</x:v>
      </x:c>
      <x:c r="B906" s="30" t="str">
        <x:v>EAUD015</x:v>
      </x:c>
      <x:c r="C906" s="30" t="str">
        <x:v>Cold-chain temperature logs, excursion reports</x:v>
      </x:c>
      <x:c r="D906" s="30" t="str">
        <x:v>Temperature Log</x:v>
      </x:c>
      <x:c r="E906" s="30" t="str">
        <x:v>Yes</x:v>
      </x:c>
      <x:c r="F906" s="30" t="str">
        <x:v>Long Term</x:v>
      </x:c>
      <x:c r="G906" s="30" t="str">
        <x:v>EPHARMACY</x:v>
      </x:c>
      <x:c r="H906" s="30" t="str">
        <x:v>Yes</x:v>
      </x:c>
      <x:c r="I906" s="30" t="str">
        <x:v>Temperature trend review</x:v>
      </x:c>
    </x:row>
    <x:row r="907">
      <x:c r="A907" s="30" t="str">
        <x:v>EEVID016</x:v>
      </x:c>
      <x:c r="B907" s="30" t="str">
        <x:v>EAUD016</x:v>
      </x:c>
      <x:c r="C907" s="30" t="str">
        <x:v>Complaint register, investigation reports, CAPA records</x:v>
      </x:c>
      <x:c r="D907" s="30" t="str">
        <x:v>Report</x:v>
      </x:c>
      <x:c r="E907" s="30" t="str">
        <x:v>Yes</x:v>
      </x:c>
      <x:c r="F907" s="30" t="str">
        <x:v>Long Term</x:v>
      </x:c>
      <x:c r="G907" s="30" t="str">
        <x:v>EPHARMACY</x:v>
      </x:c>
      <x:c r="H907" s="30" t="str">
        <x:v>Yes</x:v>
      </x:c>
      <x:c r="I907" s="30" t="str">
        <x:v>Complaint lifecycle review</x:v>
      </x:c>
    </x:row>
    <x:row r="908">
      <x:c r="A908" s="30" t="str">
        <x:v>EEVID017</x:v>
      </x:c>
      <x:c r="B908" s="30" t="str">
        <x:v>EAUD017</x:v>
      </x:c>
      <x:c r="C908" s="30" t="str">
        <x:v>Fraud detection reports, rejected prescription records</x:v>
      </x:c>
      <x:c r="D908" s="30" t="str">
        <x:v>Prescription</x:v>
      </x:c>
      <x:c r="E908" s="30" t="str">
        <x:v>Yes</x:v>
      </x:c>
      <x:c r="F908" s="30" t="str">
        <x:v>Long Term</x:v>
      </x:c>
      <x:c r="G908" s="30" t="str">
        <x:v>EPHARMACY</x:v>
      </x:c>
      <x:c r="H908" s="30" t="str">
        <x:v>Yes</x:v>
      </x:c>
      <x:c r="I908" s="30" t="str">
        <x:v>Fraud detection review</x:v>
      </x:c>
    </x:row>
    <x:row r="909">
      <x:c r="A909" s="30" t="str">
        <x:v>EEVID018</x:v>
      </x:c>
      <x:c r="B909" s="30" t="str">
        <x:v>EAUD018</x:v>
      </x:c>
      <x:c r="C909" s="30" t="str">
        <x:v>Fraud monitoring dashboard, investigation reports</x:v>
      </x:c>
      <x:c r="D909" s="30" t="str">
        <x:v>Report</x:v>
      </x:c>
      <x:c r="E909" s="30" t="str">
        <x:v>Yes</x:v>
      </x:c>
      <x:c r="F909" s="30" t="str">
        <x:v>Long Term</x:v>
      </x:c>
      <x:c r="G909" s="30" t="str">
        <x:v>EPHARMACY</x:v>
      </x:c>
      <x:c r="H909" s="30" t="str">
        <x:v>Yes</x:v>
      </x:c>
      <x:c r="I909" s="30" t="str">
        <x:v>Analytics verification</x:v>
      </x:c>
    </x:row>
    <x:row r="910">
      <x:c r="A910" s="30" t="str">
        <x:v>EEVID019</x:v>
      </x:c>
      <x:c r="B910" s="30" t="str">
        <x:v>EAUD019</x:v>
      </x:c>
      <x:c r="C910" s="30" t="str">
        <x:v>Consultation linkage reports, dispensing transaction records</x:v>
      </x:c>
      <x:c r="D910" s="30" t="str">
        <x:v>Report</x:v>
      </x:c>
      <x:c r="E910" s="30" t="str">
        <x:v>Yes</x:v>
      </x:c>
      <x:c r="F910" s="30" t="str">
        <x:v>Long Term</x:v>
      </x:c>
      <x:c r="G910" s="30" t="str">
        <x:v>EPHARMACY</x:v>
      </x:c>
      <x:c r="H910" s="30" t="str">
        <x:v>Yes</x:v>
      </x:c>
      <x:c r="I910" s="30" t="str">
        <x:v>Cross-reference verification</x:v>
      </x:c>
    </x:row>
    <x:row r="911">
      <x:c r="A911" s="30" t="str">
        <x:v>EEVID020</x:v>
      </x:c>
      <x:c r="B911" s="30" t="str">
        <x:v>EAUD020</x:v>
      </x:c>
      <x:c r="C911" s="30" t="str">
        <x:v>Governance committee minutes, cybersecurity review reports, compliance dashboards</x:v>
      </x:c>
      <x:c r="D911" s="30" t="str">
        <x:v>Report</x:v>
      </x:c>
      <x:c r="E911" s="30" t="str">
        <x:v>Yes</x:v>
      </x:c>
      <x:c r="F911" s="30" t="str">
        <x:v>Operational</x:v>
      </x:c>
      <x:c r="G911" s="30" t="str">
        <x:v>EPHARMACY</x:v>
      </x:c>
      <x:c r="H911" s="30" t="str">
        <x:v>Yes</x:v>
      </x:c>
      <x:c r="I911" s="30" t="str">
        <x:v>Governance review</x:v>
      </x:c>
    </x:row>
    <x:row r="912">
      <x:c r="A912" s="30" t="str">
        <x:v>EEVID021</x:v>
      </x:c>
      <x:c r="B912" s="30" t="str">
        <x:v>EAUD021</x:v>
      </x:c>
      <x:c r="C912" s="30" t="str">
        <x:v>Multi-factor authentication logs, privileged access reports</x:v>
      </x:c>
      <x:c r="D912" s="30" t="str">
        <x:v>Log Book</x:v>
      </x:c>
      <x:c r="E912" s="30" t="str">
        <x:v>Yes</x:v>
      </x:c>
      <x:c r="F912" s="30" t="str">
        <x:v>Long Term</x:v>
      </x:c>
      <x:c r="G912" s="30" t="str">
        <x:v>EPHARMACY</x:v>
      </x:c>
      <x:c r="H912" s="30" t="str">
        <x:v>Yes</x:v>
      </x:c>
      <x:c r="I912" s="30" t="str">
        <x:v>MFA log review</x:v>
      </x:c>
    </x:row>
    <x:row r="913">
      <x:c r="A913" s="30" t="str">
        <x:v>EEVID022</x:v>
      </x:c>
      <x:c r="B913" s="30" t="str">
        <x:v>EAUD022</x:v>
      </x:c>
      <x:c r="C913" s="30" t="str">
        <x:v>User access matrix, role assignment approvals, access review reports</x:v>
      </x:c>
      <x:c r="D913" s="30" t="str">
        <x:v>Approval</x:v>
      </x:c>
      <x:c r="E913" s="30" t="str">
        <x:v>Yes</x:v>
      </x:c>
      <x:c r="F913" s="30" t="str">
        <x:v>Permanent</x:v>
      </x:c>
      <x:c r="G913" s="30" t="str">
        <x:v>EPHARMACY</x:v>
      </x:c>
      <x:c r="H913" s="30" t="str">
        <x:v>Yes</x:v>
      </x:c>
      <x:c r="I913" s="30" t="str">
        <x:v>RBAC verification</x:v>
      </x:c>
    </x:row>
    <x:row r="914">
      <x:c r="A914" s="30" t="str">
        <x:v>EEVID023</x:v>
      </x:c>
      <x:c r="B914" s="30" t="str">
        <x:v>EAUD023</x:v>
      </x:c>
      <x:c r="C914" s="30" t="str">
        <x:v>Encryption configuration reports, key management records, TLS configuration evidence</x:v>
      </x:c>
      <x:c r="D914" s="30" t="str">
        <x:v>Report</x:v>
      </x:c>
      <x:c r="E914" s="30" t="str">
        <x:v>Yes</x:v>
      </x:c>
      <x:c r="F914" s="30" t="str">
        <x:v>Long Term</x:v>
      </x:c>
      <x:c r="G914" s="30" t="str">
        <x:v>EPHARMACY</x:v>
      </x:c>
      <x:c r="H914" s="30" t="str">
        <x:v>Yes</x:v>
      </x:c>
      <x:c r="I914" s="30" t="str">
        <x:v>Technical configuration review</x:v>
      </x:c>
    </x:row>
    <x:row r="915">
      <x:c r="A915" s="30" t="str">
        <x:v>EEVID024</x:v>
      </x:c>
      <x:c r="B915" s="30" t="str">
        <x:v>EAUD024</x:v>
      </x:c>
      <x:c r="C915" s="30" t="str">
        <x:v>Backup logs, restoration test reports, disaster recovery test results</x:v>
      </x:c>
      <x:c r="D915" s="30" t="str">
        <x:v>Log Book</x:v>
      </x:c>
      <x:c r="E915" s="30" t="str">
        <x:v>Yes</x:v>
      </x:c>
      <x:c r="F915" s="30" t="str">
        <x:v>Operational</x:v>
      </x:c>
      <x:c r="G915" s="30" t="str">
        <x:v>EPHARMACY</x:v>
      </x:c>
      <x:c r="H915" s="30" t="str">
        <x:v>Yes</x:v>
      </x:c>
      <x:c r="I915" s="30" t="str">
        <x:v>Backup and recovery verification</x:v>
      </x:c>
    </x:row>
    <x:row r="916">
      <x:c r="A916" s="30" t="str">
        <x:v>EEVID025</x:v>
      </x:c>
      <x:c r="B916" s="30" t="str">
        <x:v>EAUD025</x:v>
      </x:c>
      <x:c r="C916" s="30" t="str">
        <x:v>Security incident register, investigation reports, CAPA documentation</x:v>
      </x:c>
      <x:c r="D916" s="30" t="str">
        <x:v>Report</x:v>
      </x:c>
      <x:c r="E916" s="30" t="str">
        <x:v>Yes</x:v>
      </x:c>
      <x:c r="F916" s="30" t="str">
        <x:v>Long Term</x:v>
      </x:c>
      <x:c r="G916" s="30" t="str">
        <x:v>EPHARMACY</x:v>
      </x:c>
      <x:c r="H916" s="30" t="str">
        <x:v>Yes</x:v>
      </x:c>
      <x:c r="I916" s="30" t="str">
        <x:v>Incident lifecycle review</x:v>
      </x:c>
    </x:row>
    <x:row r="917">
      <x:c r="A917" s="30" t="str">
        <x:v>EEVID026</x:v>
      </x:c>
      <x:c r="B917" s="30" t="str">
        <x:v>EAUD026</x:v>
      </x:c>
      <x:c r="C917" s="30" t="str">
        <x:v>Data retention schedule, archival reports, retention audit records</x:v>
      </x:c>
      <x:c r="D917" s="30" t="str">
        <x:v>Report</x:v>
      </x:c>
      <x:c r="E917" s="30" t="str">
        <x:v>Yes</x:v>
      </x:c>
      <x:c r="F917" s="30" t="str">
        <x:v>Operational</x:v>
      </x:c>
      <x:c r="G917" s="30" t="str">
        <x:v>EPHARMACY</x:v>
      </x:c>
      <x:c r="H917" s="30" t="str">
        <x:v>Yes</x:v>
      </x:c>
      <x:c r="I917" s="30" t="str">
        <x:v>Retention compliance review</x:v>
      </x:c>
    </x:row>
    <x:row r="918">
      <x:c r="A918" s="30" t="str">
        <x:v>EEVID027</x:v>
      </x:c>
      <x:c r="B918" s="30" t="str">
        <x:v>EAUD027</x:v>
      </x:c>
      <x:c r="C918" s="30" t="str">
        <x:v>Secure deletion logs, deletion approval records, system audit logs</x:v>
      </x:c>
      <x:c r="D918" s="30" t="str">
        <x:v>Log Book</x:v>
      </x:c>
      <x:c r="E918" s="30" t="str">
        <x:v>Yes</x:v>
      </x:c>
      <x:c r="F918" s="30" t="str">
        <x:v>Long Term</x:v>
      </x:c>
      <x:c r="G918" s="30" t="str">
        <x:v>EPHARMACY</x:v>
      </x:c>
      <x:c r="H918" s="30" t="str">
        <x:v>Yes</x:v>
      </x:c>
      <x:c r="I918" s="30" t="str">
        <x:v>Deletion verification</x:v>
      </x:c>
    </x:row>
    <x:row r="919">
      <x:c r="A919" s="30" t="str">
        <x:v>EEVID028</x:v>
      </x:c>
      <x:c r="B919" s="30" t="str">
        <x:v>EAUD028</x:v>
      </x:c>
      <x:c r="C919" s="30" t="str">
        <x:v>Vendor due diligence reports, security assessments, approval records</x:v>
      </x:c>
      <x:c r="D919" s="30" t="str">
        <x:v>Approval</x:v>
      </x:c>
      <x:c r="E919" s="30" t="str">
        <x:v>Yes</x:v>
      </x:c>
      <x:c r="F919" s="30" t="str">
        <x:v>Permanent</x:v>
      </x:c>
      <x:c r="G919" s="30" t="str">
        <x:v>EPHARMACY</x:v>
      </x:c>
      <x:c r="H919" s="30" t="str">
        <x:v>Yes</x:v>
      </x:c>
      <x:c r="I919" s="30" t="str">
        <x:v>Vendor review</x:v>
      </x:c>
    </x:row>
    <x:row r="920">
      <x:c r="A920" s="30" t="str">
        <x:v>EEVID029</x:v>
      </x:c>
      <x:c r="B920" s="30" t="str">
        <x:v>EAUD029</x:v>
      </x:c>
      <x:c r="C920" s="30" t="str">
        <x:v>API gateway logs, authentication logs, API security reports</x:v>
      </x:c>
      <x:c r="D920" s="30" t="str">
        <x:v>Log Book</x:v>
      </x:c>
      <x:c r="E920" s="30" t="str">
        <x:v>Yes</x:v>
      </x:c>
      <x:c r="F920" s="30" t="str">
        <x:v>Long Term</x:v>
      </x:c>
      <x:c r="G920" s="30" t="str">
        <x:v>EPHARMACY</x:v>
      </x:c>
      <x:c r="H920" s="30" t="str">
        <x:v>Yes</x:v>
      </x:c>
      <x:c r="I920" s="30" t="str">
        <x:v>API security verification</x:v>
      </x:c>
    </x:row>
    <x:row r="921">
      <x:c r="A921" s="30" t="str">
        <x:v>EEVID030</x:v>
      </x:c>
      <x:c r="B921" s="30" t="str">
        <x:v>EAUD030</x:v>
      </x:c>
      <x:c r="C921" s="30" t="str">
        <x:v>Secure SDLC documentation, code review records, security test reports</x:v>
      </x:c>
      <x:c r="D921" s="30" t="str">
        <x:v>Report</x:v>
      </x:c>
      <x:c r="E921" s="30" t="str">
        <x:v>Yes</x:v>
      </x:c>
      <x:c r="F921" s="30" t="str">
        <x:v>Operational</x:v>
      </x:c>
      <x:c r="G921" s="30" t="str">
        <x:v>EPHARMACY</x:v>
      </x:c>
      <x:c r="H921" s="30" t="str">
        <x:v>Yes</x:v>
      </x:c>
      <x:c r="I921" s="30" t="str">
        <x:v>SDLC compliance review</x:v>
      </x:c>
    </x:row>
    <x:row r="922">
      <x:c r="A922" s="30" t="str">
        <x:v>EEVID031</x:v>
      </x:c>
      <x:c r="B922" s="30" t="str">
        <x:v>EAUD031</x:v>
      </x:c>
      <x:c r="C922" s="30" t="str">
        <x:v>VAPT reports, remediation tracker, vulnerability closure evidence</x:v>
      </x:c>
      <x:c r="D922" s="30" t="str">
        <x:v>Report</x:v>
      </x:c>
      <x:c r="E922" s="30" t="str">
        <x:v>Yes</x:v>
      </x:c>
      <x:c r="F922" s="30" t="str">
        <x:v>Long Term</x:v>
      </x:c>
      <x:c r="G922" s="30" t="str">
        <x:v>EPHARMACY</x:v>
      </x:c>
      <x:c r="H922" s="30" t="str">
        <x:v>Yes</x:v>
      </x:c>
      <x:c r="I922" s="30" t="str">
        <x:v>VAPT verification</x:v>
      </x:c>
    </x:row>
    <x:row r="923">
      <x:c r="A923" s="30" t="str">
        <x:v>EEVID032</x:v>
      </x:c>
      <x:c r="B923" s="30" t="str">
        <x:v>EAUD032</x:v>
      </x:c>
      <x:c r="C923" s="30" t="str">
        <x:v>SIEM alerts, security event logs, incident escalation records</x:v>
      </x:c>
      <x:c r="D923" s="30" t="str">
        <x:v>Log Book</x:v>
      </x:c>
      <x:c r="E923" s="30" t="str">
        <x:v>Yes</x:v>
      </x:c>
      <x:c r="F923" s="30" t="str">
        <x:v>Long Term</x:v>
      </x:c>
      <x:c r="G923" s="30" t="str">
        <x:v>EPHARMACY</x:v>
      </x:c>
      <x:c r="H923" s="30" t="str">
        <x:v>Yes</x:v>
      </x:c>
      <x:c r="I923" s="30" t="str">
        <x:v>SIEM review</x:v>
      </x:c>
    </x:row>
    <x:row r="924">
      <x:c r="A924" s="30" t="str">
        <x:v>EEVID033</x:v>
      </x:c>
      <x:c r="B924" s="30" t="str">
        <x:v>EAUD033</x:v>
      </x:c>
      <x:c r="C924" s="30" t="str">
        <x:v>Duplicate order detection reports, exception logs</x:v>
      </x:c>
      <x:c r="D924" s="30" t="str">
        <x:v>Log Book</x:v>
      </x:c>
      <x:c r="E924" s="30" t="str">
        <x:v>Yes</x:v>
      </x:c>
      <x:c r="F924" s="30" t="str">
        <x:v>Long Term</x:v>
      </x:c>
      <x:c r="G924" s="30" t="str">
        <x:v>EPHARMACY</x:v>
      </x:c>
      <x:c r="H924" s="30" t="str">
        <x:v>Yes</x:v>
      </x:c>
      <x:c r="I924" s="30" t="str">
        <x:v>Analytics review</x:v>
      </x:c>
    </x:row>
    <x:row r="925">
      <x:c r="A925" s="30" t="str">
        <x:v>EEVID034</x:v>
      </x:c>
      <x:c r="B925" s="30" t="str">
        <x:v>EAUD034</x:v>
      </x:c>
      <x:c r="C925" s="30" t="str">
        <x:v>Controlled medicine approval records, dispensing authorization logs</x:v>
      </x:c>
      <x:c r="D925" s="30" t="str">
        <x:v>Log Book</x:v>
      </x:c>
      <x:c r="E925" s="30" t="str">
        <x:v>Yes</x:v>
      </x:c>
      <x:c r="F925" s="30" t="str">
        <x:v>Long Term</x:v>
      </x:c>
      <x:c r="G925" s="30" t="str">
        <x:v>EPHARMACY</x:v>
      </x:c>
      <x:c r="H925" s="30" t="str">
        <x:v>Yes</x:v>
      </x:c>
      <x:c r="I925" s="30" t="str">
        <x:v>Prescription verification</x:v>
      </x:c>
    </x:row>
    <x:row r="926">
      <x:c r="A926" s="30" t="str">
        <x:v>EEVID035</x:v>
      </x:c>
      <x:c r="B926" s="30" t="str">
        <x:v>EAUD035</x:v>
      </x:c>
      <x:c r="C926" s="30" t="str">
        <x:v>Refund approvals, cancellation records, financial audit trail</x:v>
      </x:c>
      <x:c r="D926" s="30" t="str">
        <x:v>Approval</x:v>
      </x:c>
      <x:c r="E926" s="30" t="str">
        <x:v>Yes</x:v>
      </x:c>
      <x:c r="F926" s="30" t="str">
        <x:v>Permanent</x:v>
      </x:c>
      <x:c r="G926" s="30" t="str">
        <x:v>EPHARMACY</x:v>
      </x:c>
      <x:c r="H926" s="30" t="str">
        <x:v>Yes</x:v>
      </x:c>
      <x:c r="I926" s="30" t="str">
        <x:v>Financial transaction review</x:v>
      </x:c>
    </x:row>
    <x:row r="927">
      <x:c r="A927" s="30" t="str">
        <x:v>EEVID036</x:v>
      </x:c>
      <x:c r="B927" s="30" t="str">
        <x:v>EAUD036</x:v>
      </x:c>
      <x:c r="C927" s="30" t="str">
        <x:v>Customer notification logs, SMS/email delivery reports</x:v>
      </x:c>
      <x:c r="D927" s="30" t="str">
        <x:v>Log Book</x:v>
      </x:c>
      <x:c r="E927" s="30" t="str">
        <x:v>Yes</x:v>
      </x:c>
      <x:c r="F927" s="30" t="str">
        <x:v>Operational</x:v>
      </x:c>
      <x:c r="G927" s="30" t="str">
        <x:v>EPHARMACY</x:v>
      </x:c>
      <x:c r="H927" s="30" t="str">
        <x:v>Yes</x:v>
      </x:c>
      <x:c r="I927" s="30" t="str">
        <x:v>Notification verification</x:v>
      </x:c>
    </x:row>
    <x:row r="928">
      <x:c r="A928" s="30" t="str">
        <x:v>EEVID037</x:v>
      </x:c>
      <x:c r="B928" s="30" t="str">
        <x:v>EAUD037</x:v>
      </x:c>
      <x:c r="C928" s="30" t="str">
        <x:v>Digitally signed regulatory documents, integrity verification reports</x:v>
      </x:c>
      <x:c r="D928" s="30" t="str">
        <x:v>Digital Record</x:v>
      </x:c>
      <x:c r="E928" s="30" t="str">
        <x:v>Yes</x:v>
      </x:c>
      <x:c r="F928" s="30" t="str">
        <x:v>Operational</x:v>
      </x:c>
      <x:c r="G928" s="30" t="str">
        <x:v>EPHARMACY</x:v>
      </x:c>
      <x:c r="H928" s="30" t="str">
        <x:v>Yes</x:v>
      </x:c>
      <x:c r="I928" s="30" t="str">
        <x:v>Digital signature validation</x:v>
      </x:c>
    </x:row>
    <x:row r="929">
      <x:c r="A929" s="30" t="str">
        <x:v>EEVID038</x:v>
      </x:c>
      <x:c r="B929" s="30" t="str">
        <x:v>EAUD038</x:v>
      </x:c>
      <x:c r="C929" s="30" t="str">
        <x:v>Compliance analytics dashboard, trend reports, management review records</x:v>
      </x:c>
      <x:c r="D929" s="30" t="str">
        <x:v>Report</x:v>
      </x:c>
      <x:c r="E929" s="30" t="str">
        <x:v>Yes</x:v>
      </x:c>
      <x:c r="F929" s="30" t="str">
        <x:v>Long Term</x:v>
      </x:c>
      <x:c r="G929" s="30" t="str">
        <x:v>EPHARMACY</x:v>
      </x:c>
      <x:c r="H929" s="30" t="str">
        <x:v>Yes</x:v>
      </x:c>
      <x:c r="I929" s="30" t="str">
        <x:v>Dashboard verification</x:v>
      </x:c>
    </x:row>
    <x:row r="930">
      <x:c r="A930" s="30" t="str">
        <x:v>EEVID039</x:v>
      </x:c>
      <x:c r="B930" s="30" t="str">
        <x:v>EAUD039</x:v>
      </x:c>
      <x:c r="C930" s="30" t="str">
        <x:v>Uptime reports, SLA dashboards, availability monitoring logs</x:v>
      </x:c>
      <x:c r="D930" s="30" t="str">
        <x:v>Log Book</x:v>
      </x:c>
      <x:c r="E930" s="30" t="str">
        <x:v>Yes</x:v>
      </x:c>
      <x:c r="F930" s="30" t="str">
        <x:v>Long Term</x:v>
      </x:c>
      <x:c r="G930" s="30" t="str">
        <x:v>EPHARMACY</x:v>
      </x:c>
      <x:c r="H930" s="30" t="str">
        <x:v>Yes</x:v>
      </x:c>
      <x:c r="I930" s="30" t="str">
        <x:v>SLA verification</x:v>
      </x:c>
    </x:row>
    <x:row r="931">
      <x:c r="A931" s="30" t="str">
        <x:v>EEVID040</x:v>
      </x:c>
      <x:c r="B931" s="30" t="str">
        <x:v>EAUD040</x:v>
      </x:c>
      <x:c r="C931" s="30" t="str">
        <x:v>Governance committee minutes, cybersecurity review reports, digital risk register</x:v>
      </x:c>
      <x:c r="D931" s="30" t="str">
        <x:v>Digital Record</x:v>
      </x:c>
      <x:c r="E931" s="30" t="str">
        <x:v>Yes</x:v>
      </x:c>
      <x:c r="F931" s="30" t="str">
        <x:v>Operational</x:v>
      </x:c>
      <x:c r="G931" s="30" t="str">
        <x:v>EPHARMACY</x:v>
      </x:c>
      <x:c r="H931" s="30" t="str">
        <x:v>Yes</x:v>
      </x:c>
      <x:c r="I931" s="30" t="str">
        <x:v>Governance review</x:v>
      </x:c>
    </x:row>
    <x:row r="932">
      <x:c r="A932" s="30" t="str">
        <x:v>EEVID041</x:v>
      </x:c>
      <x:c r="B932" s="30" t="str">
        <x:v>EAUD041</x:v>
      </x:c>
      <x:c r="C932" s="30" t="str">
        <x:v>Online grievance register, acknowledgement logs, investigation reports, closure records</x:v>
      </x:c>
      <x:c r="D932" s="30" t="str">
        <x:v>Log Book</x:v>
      </x:c>
      <x:c r="E932" s="30" t="str">
        <x:v>Yes</x:v>
      </x:c>
      <x:c r="F932" s="30" t="str">
        <x:v>Long Term</x:v>
      </x:c>
      <x:c r="G932" s="30" t="str">
        <x:v>EPHARMACY</x:v>
      </x:c>
      <x:c r="H932" s="30" t="str">
        <x:v>Yes</x:v>
      </x:c>
      <x:c r="I932" s="30" t="str">
        <x:v>Grievance workflow review</x:v>
      </x:c>
    </x:row>
    <x:row r="933">
      <x:c r="A933" s="30" t="str">
        <x:v>EEVID042</x:v>
      </x:c>
      <x:c r="B933" s="30" t="str">
        <x:v>EAUD042</x:v>
      </x:c>
      <x:c r="C933" s="30" t="str">
        <x:v>Seller onboarding checklist, licence verification records, periodic compliance review reports</x:v>
      </x:c>
      <x:c r="D933" s="30" t="str">
        <x:v>License</x:v>
      </x:c>
      <x:c r="E933" s="30" t="str">
        <x:v>Yes</x:v>
      </x:c>
      <x:c r="F933" s="30" t="str">
        <x:v>Permanent</x:v>
      </x:c>
      <x:c r="G933" s="30" t="str">
        <x:v>EPHARMACY</x:v>
      </x:c>
      <x:c r="H933" s="30" t="str">
        <x:v>Yes</x:v>
      </x:c>
      <x:c r="I933" s="30" t="str">
        <x:v>Seller due diligence verification</x:v>
      </x:c>
    </x:row>
    <x:row r="934">
      <x:c r="A934" s="30" t="str">
        <x:v>EEVID043</x:v>
      </x:c>
      <x:c r="B934" s="30" t="str">
        <x:v>EAUD043</x:v>
      </x:c>
      <x:c r="C934" s="30" t="str">
        <x:v>Advertisement approval forms, regulatory review records, published content archive</x:v>
      </x:c>
      <x:c r="D934" s="30" t="str">
        <x:v>Approval</x:v>
      </x:c>
      <x:c r="E934" s="30" t="str">
        <x:v>Yes</x:v>
      </x:c>
      <x:c r="F934" s="30" t="str">
        <x:v>Permanent</x:v>
      </x:c>
      <x:c r="G934" s="30" t="str">
        <x:v>EPHARMACY</x:v>
      </x:c>
      <x:c r="H934" s="30" t="str">
        <x:v>Yes</x:v>
      </x:c>
      <x:c r="I934" s="30" t="str">
        <x:v>Advertisement review</x:v>
      </x:c>
    </x:row>
    <x:row r="935">
      <x:c r="A935" s="30" t="str">
        <x:v>EEVID044</x:v>
      </x:c>
      <x:c r="B935" s="30" t="str">
        <x:v>EAUD044</x:v>
      </x:c>
      <x:c r="C935" s="30" t="str">
        <x:v>Search algorithm review reports, recommendation engine validation records, governance approvals</x:v>
      </x:c>
      <x:c r="D935" s="30" t="str">
        <x:v>Digital Record</x:v>
      </x:c>
      <x:c r="E935" s="30" t="str">
        <x:v>Yes</x:v>
      </x:c>
      <x:c r="F935" s="30" t="str">
        <x:v>Long Term</x:v>
      </x:c>
      <x:c r="G935" s="30" t="str">
        <x:v>EPHARMACY</x:v>
      </x:c>
      <x:c r="H935" s="30" t="str">
        <x:v>Yes</x:v>
      </x:c>
      <x:c r="I935" s="30" t="str">
        <x:v>Algorithm governance verification</x:v>
      </x:c>
    </x:row>
    <x:row r="936">
      <x:c r="A936" s="30" t="str">
        <x:v>EEVID045</x:v>
      </x:c>
      <x:c r="B936" s="30" t="str">
        <x:v>EAUD045</x:v>
      </x:c>
      <x:c r="C936" s="30" t="str">
        <x:v>Order cancellation register, approval workflow logs, audit trail reports</x:v>
      </x:c>
      <x:c r="D936" s="30" t="str">
        <x:v>Log Book</x:v>
      </x:c>
      <x:c r="E936" s="30" t="str">
        <x:v>Yes</x:v>
      </x:c>
      <x:c r="F936" s="30" t="str">
        <x:v>Long Term</x:v>
      </x:c>
      <x:c r="G936" s="30" t="str">
        <x:v>EPHARMACY</x:v>
      </x:c>
      <x:c r="H936" s="30" t="str">
        <x:v>Yes</x:v>
      </x:c>
      <x:c r="I936" s="30" t="str">
        <x:v>Cancellation workflow review</x:v>
      </x:c>
    </x:row>
    <x:row r="937">
      <x:c r="A937" s="30" t="str">
        <x:v>EEVID046</x:v>
      </x:c>
      <x:c r="B937" s="30" t="str">
        <x:v>EAUD046</x:v>
      </x:c>
      <x:c r="C937" s="30" t="str">
        <x:v>Return requests, inspection reports, disposition records, approval logs</x:v>
      </x:c>
      <x:c r="D937" s="30" t="str">
        <x:v>Log Book</x:v>
      </x:c>
      <x:c r="E937" s="30" t="str">
        <x:v>Yes</x:v>
      </x:c>
      <x:c r="F937" s="30" t="str">
        <x:v>Long Term</x:v>
      </x:c>
      <x:c r="G937" s="30" t="str">
        <x:v>EPHARMACY</x:v>
      </x:c>
      <x:c r="H937" s="30" t="str">
        <x:v>Yes</x:v>
      </x:c>
      <x:c r="I937" s="30" t="str">
        <x:v>Return process verification</x:v>
      </x:c>
    </x:row>
    <x:row r="938">
      <x:c r="A938" s="30" t="str">
        <x:v>EEVID047</x:v>
      </x:c>
      <x:c r="B938" s="30" t="str">
        <x:v>EAUD047</x:v>
      </x:c>
      <x:c r="C938" s="30" t="str">
        <x:v>Failed delivery reports, courier acknowledgements, re-dispatch approval records, integrity inspection reports</x:v>
      </x:c>
      <x:c r="D938" s="30" t="str">
        <x:v>Log Book</x:v>
      </x:c>
      <x:c r="E938" s="30" t="str">
        <x:v>Yes</x:v>
      </x:c>
      <x:c r="F938" s="30" t="str">
        <x:v>Long Term</x:v>
      </x:c>
      <x:c r="G938" s="30" t="str">
        <x:v>EPHARMACY</x:v>
      </x:c>
      <x:c r="H938" s="30" t="str">
        <x:v>Yes</x:v>
      </x:c>
      <x:c r="I938" s="30" t="str">
        <x:v>Delivery exception review</x:v>
      </x:c>
    </x:row>
    <x:row r="939">
      <x:c r="A939" s="30" t="str">
        <x:v>EEVID048</x:v>
      </x:c>
      <x:c r="B939" s="30" t="str">
        <x:v>EAUD048</x:v>
      </x:c>
      <x:c r="C939" s="30" t="str">
        <x:v>Product information approval records, catalogue revision history, content validation reports</x:v>
      </x:c>
      <x:c r="D939" s="30" t="str">
        <x:v>Log Book</x:v>
      </x:c>
      <x:c r="E939" s="30" t="str">
        <x:v>Yes</x:v>
      </x:c>
      <x:c r="F939" s="30" t="str">
        <x:v>Long Term</x:v>
      </x:c>
      <x:c r="G939" s="30" t="str">
        <x:v>EPHARMACY</x:v>
      </x:c>
      <x:c r="H939" s="30" t="str">
        <x:v>Yes</x:v>
      </x:c>
      <x:c r="I939" s="30" t="str">
        <x:v>Content accuracy verification</x:v>
      </x:c>
    </x:row>
    <x:row r="940">
      <x:c r="A940" s="30" t="str">
        <x:v>EEVID049</x:v>
      </x:c>
      <x:c r="B940" s="30" t="str">
        <x:v>EAUD049</x:v>
      </x:c>
      <x:c r="C940" s="30" t="str">
        <x:v>Immutable audit trail logs, transaction history, log integrity verification reports</x:v>
      </x:c>
      <x:c r="D940" s="30" t="str">
        <x:v>Log Book</x:v>
      </x:c>
      <x:c r="E940" s="30" t="str">
        <x:v>Yes</x:v>
      </x:c>
      <x:c r="F940" s="30" t="str">
        <x:v>Operational</x:v>
      </x:c>
      <x:c r="G940" s="30" t="str">
        <x:v>EPHARMACY</x:v>
      </x:c>
      <x:c r="H940" s="30" t="str">
        <x:v>Yes</x:v>
      </x:c>
      <x:c r="I940" s="30" t="str">
        <x:v>Audit trail integrity validation</x:v>
      </x:c>
    </x:row>
    <x:row r="941">
      <x:c r="A941" s="30" t="str">
        <x:v>EEVID050</x:v>
      </x:c>
      <x:c r="B941" s="30" t="str">
        <x:v>EAUD050</x:v>
      </x:c>
      <x:c r="C941" s="30" t="str">
        <x:v>Executive governance meeting minutes, digital compliance dashboard, cybersecurity review reports, action tracker</x:v>
      </x:c>
      <x:c r="D941" s="30" t="str">
        <x:v>Digital Record</x:v>
      </x:c>
      <x:c r="E941" s="30" t="str">
        <x:v>Yes</x:v>
      </x:c>
      <x:c r="F941" s="30" t="str">
        <x:v>Operational</x:v>
      </x:c>
      <x:c r="G941" s="30" t="str">
        <x:v>EPHARMACY</x:v>
      </x:c>
      <x:c r="H941" s="30" t="str">
        <x:v>Yes</x:v>
      </x:c>
      <x:c r="I941" s="30" t="str">
        <x:v>Governance review and action verification</x:v>
      </x:c>
    </x:row>
    <x:row r="942">
      <x:c r="A942" s="30" t="str">
        <x:v>IEVID001</x:v>
      </x:c>
      <x:c r="B942" s="30" t="str">
        <x:v>IAUD001</x:v>
      </x:c>
      <x:c r="C942" s="30" t="str">
        <x:v>Institutional authorization register, approved customer master, authorization approvals</x:v>
      </x:c>
      <x:c r="D942" s="30" t="str">
        <x:v>Approval</x:v>
      </x:c>
      <x:c r="E942" s="30" t="str">
        <x:v>Yes</x:v>
      </x:c>
      <x:c r="F942" s="30" t="str">
        <x:v>Permanent</x:v>
      </x:c>
      <x:c r="G942" s="30" t="str">
        <x:v>INSTITUTIONAL</x:v>
      </x:c>
      <x:c r="H942" s="30" t="str">
        <x:v>Yes</x:v>
      </x:c>
      <x:c r="I942" s="30" t="str">
        <x:v>Document review and sampling</x:v>
      </x:c>
    </x:row>
    <x:row r="943">
      <x:c r="A943" s="30" t="str">
        <x:v>IEVID002</x:v>
      </x:c>
      <x:c r="B943" s="30" t="str">
        <x:v>IAUD002</x:v>
      </x:c>
      <x:c r="C943" s="30" t="str">
        <x:v>Bulk medicine requisition forms, approval workflow records</x:v>
      </x:c>
      <x:c r="D943" s="30" t="str">
        <x:v>Approval</x:v>
      </x:c>
      <x:c r="E943" s="30" t="str">
        <x:v>Yes</x:v>
      </x:c>
      <x:c r="F943" s="30" t="str">
        <x:v>Permanent</x:v>
      </x:c>
      <x:c r="G943" s="30" t="str">
        <x:v>INSTITUTIONAL</x:v>
      </x:c>
      <x:c r="H943" s="30" t="str">
        <x:v>Yes</x:v>
      </x:c>
      <x:c r="I943" s="30" t="str">
        <x:v>Approval verification</x:v>
      </x:c>
    </x:row>
    <x:row r="944">
      <x:c r="A944" s="30" t="str">
        <x:v>IEVID003</x:v>
      </x:c>
      <x:c r="B944" s="30" t="str">
        <x:v>IAUD003</x:v>
      </x:c>
      <x:c r="C944" s="30" t="str">
        <x:v>Department issue register, batch traceability records, issue vouchers</x:v>
      </x:c>
      <x:c r="D944" s="30" t="str">
        <x:v>Register</x:v>
      </x:c>
      <x:c r="E944" s="30" t="str">
        <x:v>Yes</x:v>
      </x:c>
      <x:c r="F944" s="30" t="str">
        <x:v>Long Term</x:v>
      </x:c>
      <x:c r="G944" s="30" t="str">
        <x:v>INSTITUTIONAL</x:v>
      </x:c>
      <x:c r="H944" s="30" t="str">
        <x:v>Yes</x:v>
      </x:c>
      <x:c r="I944" s="30" t="str">
        <x:v>Batch traceability verification</x:v>
      </x:c>
    </x:row>
    <x:row r="945">
      <x:c r="A945" s="30" t="str">
        <x:v>IEVID004</x:v>
      </x:c>
      <x:c r="B945" s="30" t="str">
        <x:v>IAUD004</x:v>
      </x:c>
      <x:c r="C945" s="30" t="str">
        <x:v>Inventory reconciliation reports, physical stock verification sheets</x:v>
      </x:c>
      <x:c r="D945" s="30" t="str">
        <x:v>Inventory Record</x:v>
      </x:c>
      <x:c r="E945" s="30" t="str">
        <x:v>Yes</x:v>
      </x:c>
      <x:c r="F945" s="30" t="str">
        <x:v>Long Term</x:v>
      </x:c>
      <x:c r="G945" s="30" t="str">
        <x:v>INSTITUTIONAL</x:v>
      </x:c>
      <x:c r="H945" s="30" t="str">
        <x:v>Yes</x:v>
      </x:c>
      <x:c r="I945" s="30" t="str">
        <x:v>Stock reconciliation review</x:v>
      </x:c>
    </x:row>
    <x:row r="946">
      <x:c r="A946" s="30" t="str">
        <x:v>IEVID005</x:v>
      </x:c>
      <x:c r="B946" s="30" t="str">
        <x:v>IAUD005</x:v>
      </x:c>
      <x:c r="C946" s="30" t="str">
        <x:v>Medicine return forms, inspection reports, disposition approvals</x:v>
      </x:c>
      <x:c r="D946" s="30" t="str">
        <x:v>Approval</x:v>
      </x:c>
      <x:c r="E946" s="30" t="str">
        <x:v>Yes</x:v>
      </x:c>
      <x:c r="F946" s="30" t="str">
        <x:v>Permanent</x:v>
      </x:c>
      <x:c r="G946" s="30" t="str">
        <x:v>INSTITUTIONAL</x:v>
      </x:c>
      <x:c r="H946" s="30" t="str">
        <x:v>Yes</x:v>
      </x:c>
      <x:c r="I946" s="30" t="str">
        <x:v>Return documentation review</x:v>
      </x:c>
    </x:row>
    <x:row r="947">
      <x:c r="A947" s="30" t="str">
        <x:v>IEVID006</x:v>
      </x:c>
      <x:c r="B947" s="30" t="str">
        <x:v>IAUD006</x:v>
      </x:c>
      <x:c r="C947" s="30" t="str">
        <x:v>Emergency medicine stock list, inventory verification reports</x:v>
      </x:c>
      <x:c r="D947" s="30" t="str">
        <x:v>Inventory Record</x:v>
      </x:c>
      <x:c r="E947" s="30" t="str">
        <x:v>Yes</x:v>
      </x:c>
      <x:c r="F947" s="30" t="str">
        <x:v>Long Term</x:v>
      </x:c>
      <x:c r="G947" s="30" t="str">
        <x:v>INSTITUTIONAL</x:v>
      </x:c>
      <x:c r="H947" s="30" t="str">
        <x:v>Yes</x:v>
      </x:c>
      <x:c r="I947" s="30" t="str">
        <x:v>Physical verification</x:v>
      </x:c>
    </x:row>
    <x:row r="948">
      <x:c r="A948" s="30" t="str">
        <x:v>IEVID007</x:v>
      </x:c>
      <x:c r="B948" s="30" t="str">
        <x:v>IAUD007</x:v>
      </x:c>
      <x:c r="C948" s="30" t="str">
        <x:v>Controlled medicine issue register, reconciliation reports</x:v>
      </x:c>
      <x:c r="D948" s="30" t="str">
        <x:v>Report</x:v>
      </x:c>
      <x:c r="E948" s="30" t="str">
        <x:v>Yes</x:v>
      </x:c>
      <x:c r="F948" s="30" t="str">
        <x:v>Operational</x:v>
      </x:c>
      <x:c r="G948" s="30" t="str">
        <x:v>INSTITUTIONAL</x:v>
      </x:c>
      <x:c r="H948" s="30" t="str">
        <x:v>Yes</x:v>
      </x:c>
      <x:c r="I948" s="30" t="str">
        <x:v>Register reconciliation</x:v>
      </x:c>
    </x:row>
    <x:row r="949">
      <x:c r="A949" s="30" t="str">
        <x:v>IEVID008</x:v>
      </x:c>
      <x:c r="B949" s="30" t="str">
        <x:v>IAUD008</x:v>
      </x:c>
      <x:c r="C949" s="30" t="str">
        <x:v>Institutional supply agreements, contract review reports</x:v>
      </x:c>
      <x:c r="D949" s="30" t="str">
        <x:v>Agreement</x:v>
      </x:c>
      <x:c r="E949" s="30" t="str">
        <x:v>Yes</x:v>
      </x:c>
      <x:c r="F949" s="30" t="str">
        <x:v>Operational</x:v>
      </x:c>
      <x:c r="G949" s="30" t="str">
        <x:v>INSTITUTIONAL</x:v>
      </x:c>
      <x:c r="H949" s="30" t="str">
        <x:v>Yes</x:v>
      </x:c>
      <x:c r="I949" s="30" t="str">
        <x:v>Contract verification</x:v>
      </x:c>
    </x:row>
    <x:row r="950">
      <x:c r="A950" s="30" t="str">
        <x:v>IEVID009</x:v>
      </x:c>
      <x:c r="B950" s="30" t="str">
        <x:v>IAUD009</x:v>
      </x:c>
      <x:c r="C950" s="30" t="str">
        <x:v>Institutional compliance review reports, compliance checklists</x:v>
      </x:c>
      <x:c r="D950" s="30" t="str">
        <x:v>Report</x:v>
      </x:c>
      <x:c r="E950" s="30" t="str">
        <x:v>Yes</x:v>
      </x:c>
      <x:c r="F950" s="30" t="str">
        <x:v>Long Term</x:v>
      </x:c>
      <x:c r="G950" s="30" t="str">
        <x:v>INSTITUTIONAL</x:v>
      </x:c>
      <x:c r="H950" s="30" t="str">
        <x:v>Yes</x:v>
      </x:c>
      <x:c r="I950" s="30" t="str">
        <x:v>Compliance review</x:v>
      </x:c>
    </x:row>
    <x:row r="951">
      <x:c r="A951" s="30" t="str">
        <x:v>IEVID010</x:v>
      </x:c>
      <x:c r="B951" s="30" t="str">
        <x:v>IAUD010</x:v>
      </x:c>
      <x:c r="C951" s="30" t="str">
        <x:v>Governance committee minutes, action tracker, management review reports</x:v>
      </x:c>
      <x:c r="D951" s="30" t="str">
        <x:v>Report</x:v>
      </x:c>
      <x:c r="E951" s="30" t="str">
        <x:v>Yes</x:v>
      </x:c>
      <x:c r="F951" s="30" t="str">
        <x:v>Operational</x:v>
      </x:c>
      <x:c r="G951" s="30" t="str">
        <x:v>INSTITUTIONAL</x:v>
      </x:c>
      <x:c r="H951" s="30" t="str">
        <x:v>Yes</x:v>
      </x:c>
      <x:c r="I951" s="30" t="str">
        <x:v>Governance review</x:v>
      </x:c>
    </x:row>
    <x:row r="952">
      <x:c r="A952" s="30" t="str">
        <x:v>IEVID011</x:v>
      </x:c>
      <x:c r="B952" s="30" t="str">
        <x:v>IAUD011</x:v>
      </x:c>
      <x:c r="C952" s="30" t="str">
        <x:v>Recall notices, department communication logs, recall closure reports</x:v>
      </x:c>
      <x:c r="D952" s="30" t="str">
        <x:v>Log Book</x:v>
      </x:c>
      <x:c r="E952" s="30" t="str">
        <x:v>Yes</x:v>
      </x:c>
      <x:c r="F952" s="30" t="str">
        <x:v>Operational</x:v>
      </x:c>
      <x:c r="G952" s="30" t="str">
        <x:v>INSTITUTIONAL</x:v>
      </x:c>
      <x:c r="H952" s="30" t="str">
        <x:v>Yes</x:v>
      </x:c>
      <x:c r="I952" s="30" t="str">
        <x:v>Recall effectiveness verification</x:v>
      </x:c>
    </x:row>
    <x:row r="953">
      <x:c r="A953" s="30" t="str">
        <x:v>IEVID012</x:v>
      </x:c>
      <x:c r="B953" s="30" t="str">
        <x:v>IAUD012</x:v>
      </x:c>
      <x:c r="C953" s="30" t="str">
        <x:v>Approved formulary, formulary exception approvals, dispensing records</x:v>
      </x:c>
      <x:c r="D953" s="30" t="str">
        <x:v>Approval</x:v>
      </x:c>
      <x:c r="E953" s="30" t="str">
        <x:v>Yes</x:v>
      </x:c>
      <x:c r="F953" s="30" t="str">
        <x:v>Permanent</x:v>
      </x:c>
      <x:c r="G953" s="30" t="str">
        <x:v>INSTITUTIONAL</x:v>
      </x:c>
      <x:c r="H953" s="30" t="str">
        <x:v>Yes</x:v>
      </x:c>
      <x:c r="I953" s="30" t="str">
        <x:v>Formulary verification</x:v>
      </x:c>
    </x:row>
    <x:row r="954">
      <x:c r="A954" s="30" t="str">
        <x:v>IEVID013</x:v>
      </x:c>
      <x:c r="B954" s="30" t="str">
        <x:v>IAUD013</x:v>
      </x:c>
      <x:c r="C954" s="30" t="str">
        <x:v>Inter-department transfer register, transfer approvals, reconciliation reports</x:v>
      </x:c>
      <x:c r="D954" s="30" t="str">
        <x:v>Approval</x:v>
      </x:c>
      <x:c r="E954" s="30" t="str">
        <x:v>Yes</x:v>
      </x:c>
      <x:c r="F954" s="30" t="str">
        <x:v>Permanent</x:v>
      </x:c>
      <x:c r="G954" s="30" t="str">
        <x:v>INSTITUTIONAL</x:v>
      </x:c>
      <x:c r="H954" s="30" t="str">
        <x:v>Yes</x:v>
      </x:c>
      <x:c r="I954" s="30" t="str">
        <x:v>Transfer verification</x:v>
      </x:c>
    </x:row>
    <x:row r="955">
      <x:c r="A955" s="30" t="str">
        <x:v>IEVID014</x:v>
      </x:c>
      <x:c r="B955" s="30" t="str">
        <x:v>IAUD014</x:v>
      </x:c>
      <x:c r="C955" s="30" t="str">
        <x:v>Near-expiry inventory reports, redistribution approvals, stock movement records</x:v>
      </x:c>
      <x:c r="D955" s="30" t="str">
        <x:v>Approval</x:v>
      </x:c>
      <x:c r="E955" s="30" t="str">
        <x:v>Yes</x:v>
      </x:c>
      <x:c r="F955" s="30" t="str">
        <x:v>Permanent</x:v>
      </x:c>
      <x:c r="G955" s="30" t="str">
        <x:v>INSTITUTIONAL</x:v>
      </x:c>
      <x:c r="H955" s="30" t="str">
        <x:v>Yes</x:v>
      </x:c>
      <x:c r="I955" s="30" t="str">
        <x:v>Expiry management review</x:v>
      </x:c>
    </x:row>
    <x:row r="956">
      <x:c r="A956" s="30" t="str">
        <x:v>IEVID015</x:v>
      </x:c>
      <x:c r="B956" s="30" t="str">
        <x:v>IAUD015</x:v>
      </x:c>
      <x:c r="C956" s="30" t="str">
        <x:v>Vendor evaluation reports, supplier scorecards, CAPA records</x:v>
      </x:c>
      <x:c r="D956" s="30" t="str">
        <x:v>Report</x:v>
      </x:c>
      <x:c r="E956" s="30" t="str">
        <x:v>Yes</x:v>
      </x:c>
      <x:c r="F956" s="30" t="str">
        <x:v>Long Term</x:v>
      </x:c>
      <x:c r="G956" s="30" t="str">
        <x:v>INSTITUTIONAL</x:v>
      </x:c>
      <x:c r="H956" s="30" t="str">
        <x:v>Yes</x:v>
      </x:c>
      <x:c r="I956" s="30" t="str">
        <x:v>Vendor assessment review</x:v>
      </x:c>
    </x:row>
    <x:row r="957">
      <x:c r="A957" s="30" t="str">
        <x:v>IEVID016</x:v>
      </x:c>
      <x:c r="B957" s="30" t="str">
        <x:v>IAUD016</x:v>
      </x:c>
      <x:c r="C957" s="30" t="str">
        <x:v>Emergency preparedness plan, drill reports, emergency SOP revisions</x:v>
      </x:c>
      <x:c r="D957" s="30" t="str">
        <x:v>SOP</x:v>
      </x:c>
      <x:c r="E957" s="30" t="str">
        <x:v>Yes</x:v>
      </x:c>
      <x:c r="F957" s="30" t="str">
        <x:v>Operational</x:v>
      </x:c>
      <x:c r="G957" s="30" t="str">
        <x:v>INSTITUTIONAL</x:v>
      </x:c>
      <x:c r="H957" s="30" t="str">
        <x:v>Yes</x:v>
      </x:c>
      <x:c r="I957" s="30" t="str">
        <x:v>Drill verification</x:v>
      </x:c>
    </x:row>
    <x:row r="958">
      <x:c r="A958" s="30" t="str">
        <x:v>IEVID017</x:v>
      </x:c>
      <x:c r="B958" s="30" t="str">
        <x:v>IAUD017</x:v>
      </x:c>
      <x:c r="C958" s="30" t="str">
        <x:v>Institutional compliance reports, submission acknowledgements</x:v>
      </x:c>
      <x:c r="D958" s="30" t="str">
        <x:v>Report</x:v>
      </x:c>
      <x:c r="E958" s="30" t="str">
        <x:v>Yes</x:v>
      </x:c>
      <x:c r="F958" s="30" t="str">
        <x:v>Long Term</x:v>
      </x:c>
      <x:c r="G958" s="30" t="str">
        <x:v>INSTITUTIONAL</x:v>
      </x:c>
      <x:c r="H958" s="30" t="str">
        <x:v>Yes</x:v>
      </x:c>
      <x:c r="I958" s="30" t="str">
        <x:v>Reporting verification</x:v>
      </x:c>
    </x:row>
    <x:row r="959">
      <x:c r="A959" s="30" t="str">
        <x:v>IEVID018</x:v>
      </x:c>
      <x:c r="B959" s="30" t="str">
        <x:v>IAUD018</x:v>
      </x:c>
      <x:c r="C959" s="30" t="str">
        <x:v>Staff competency matrix, training attendance, assessment results</x:v>
      </x:c>
      <x:c r="D959" s="30" t="str">
        <x:v>Training Record</x:v>
      </x:c>
      <x:c r="E959" s="30" t="str">
        <x:v>Yes</x:v>
      </x:c>
      <x:c r="F959" s="30" t="str">
        <x:v>Long Term</x:v>
      </x:c>
      <x:c r="G959" s="30" t="str">
        <x:v>INSTITUTIONAL</x:v>
      </x:c>
      <x:c r="H959" s="30" t="str">
        <x:v>Yes</x:v>
      </x:c>
      <x:c r="I959" s="30" t="str">
        <x:v>Training record review</x:v>
      </x:c>
    </x:row>
    <x:row r="960">
      <x:c r="A960" s="30" t="str">
        <x:v>IEVID019</x:v>
      </x:c>
      <x:c r="B960" s="30" t="str">
        <x:v>IAUD019</x:v>
      </x:c>
      <x:c r="C960" s="30" t="str">
        <x:v>QA review reports, internal audit findings, CAPA tracker</x:v>
      </x:c>
      <x:c r="D960" s="30" t="str">
        <x:v>Report</x:v>
      </x:c>
      <x:c r="E960" s="30" t="str">
        <x:v>Yes</x:v>
      </x:c>
      <x:c r="F960" s="30" t="str">
        <x:v>Operational</x:v>
      </x:c>
      <x:c r="G960" s="30" t="str">
        <x:v>INSTITUTIONAL</x:v>
      </x:c>
      <x:c r="H960" s="30" t="str">
        <x:v>Yes</x:v>
      </x:c>
      <x:c r="I960" s="30" t="str">
        <x:v>QA review verification</x:v>
      </x:c>
    </x:row>
    <x:row r="961">
      <x:c r="A961" s="30" t="str">
        <x:v>IEVID020</x:v>
      </x:c>
      <x:c r="B961" s="30" t="str">
        <x:v>IAUD020</x:v>
      </x:c>
      <x:c r="C961" s="30" t="str">
        <x:v>Compliance maturity assessment report, improvement roadmap, management approvals</x:v>
      </x:c>
      <x:c r="D961" s="30" t="str">
        <x:v>Approval</x:v>
      </x:c>
      <x:c r="E961" s="30" t="str">
        <x:v>Yes</x:v>
      </x:c>
      <x:c r="F961" s="30" t="str">
        <x:v>Permanent</x:v>
      </x:c>
      <x:c r="G961" s="30" t="str">
        <x:v>INSTITUTIONAL</x:v>
      </x:c>
      <x:c r="H961" s="30" t="str">
        <x:v>Yes</x:v>
      </x:c>
      <x:c r="I961" s="30" t="str">
        <x:v>Maturity assessment verification</x:v>
      </x:c>
    </x:row>
    <x:row r="962">
      <x:c r="A962" s="30" t="str">
        <x:v>SEVID001</x:v>
      </x:c>
      <x:c r="B962" s="30" t="str">
        <x:v>SAUD001</x:v>
      </x:c>
      <x:c r="C962" s="30" t="str">
        <x:v>Cytotoxic medicine handling logs, PPE issuance records, hazardous drug preparation records, staff competency certificates</x:v>
      </x:c>
      <x:c r="D962" s="30" t="str">
        <x:v>Certificate</x:v>
      </x:c>
      <x:c r="E962" s="30" t="str">
        <x:v>Yes</x:v>
      </x:c>
      <x:c r="F962" s="30" t="str">
        <x:v>Permanent</x:v>
      </x:c>
      <x:c r="G962" s="30" t="str">
        <x:v>SPECIALIZED</x:v>
      </x:c>
      <x:c r="H962" s="30" t="str">
        <x:v>Yes</x:v>
      </x:c>
      <x:c r="I962" s="30" t="str">
        <x:v>Document review and process observation</x:v>
      </x:c>
    </x:row>
    <x:row r="963">
      <x:c r="A963" s="30" t="str">
        <x:v>SEVID002</x:v>
      </x:c>
      <x:c r="B963" s="30" t="str">
        <x:v>SAUD002</x:v>
      </x:c>
      <x:c r="C963" s="30" t="str">
        <x:v>Hazardous medicine storage inspection reports, segregation records, storage temperature logs</x:v>
      </x:c>
      <x:c r="D963" s="30" t="str">
        <x:v>Temperature Log</x:v>
      </x:c>
      <x:c r="E963" s="30" t="str">
        <x:v>Yes</x:v>
      </x:c>
      <x:c r="F963" s="30" t="str">
        <x:v>Long Term</x:v>
      </x:c>
      <x:c r="G963" s="30" t="str">
        <x:v>SPECIALIZED</x:v>
      </x:c>
      <x:c r="H963" s="30" t="str">
        <x:v>Yes</x:v>
      </x:c>
      <x:c r="I963" s="30" t="str">
        <x:v>Physical inspection</x:v>
      </x:c>
    </x:row>
    <x:row r="964">
      <x:c r="A964" s="30" t="str">
        <x:v>SEVID003</x:v>
      </x:c>
      <x:c r="B964" s="30" t="str">
        <x:v>SAUD003</x:v>
      </x:c>
      <x:c r="C964" s="30" t="str">
        <x:v>Cold-chain qualification reports, temperature mapping reports, continuous monitoring logs</x:v>
      </x:c>
      <x:c r="D964" s="30" t="str">
        <x:v>Temperature Log</x:v>
      </x:c>
      <x:c r="E964" s="30" t="str">
        <x:v>Yes</x:v>
      </x:c>
      <x:c r="F964" s="30" t="str">
        <x:v>Operational</x:v>
      </x:c>
      <x:c r="G964" s="30" t="str">
        <x:v>SPECIALIZED</x:v>
      </x:c>
      <x:c r="H964" s="30" t="str">
        <x:v>Yes</x:v>
      </x:c>
      <x:c r="I964" s="30" t="str">
        <x:v>Qualification verification</x:v>
      </x:c>
    </x:row>
    <x:row r="965">
      <x:c r="A965" s="30" t="str">
        <x:v>SEVID004</x:v>
      </x:c>
      <x:c r="B965" s="30" t="str">
        <x:v>SAUD004</x:v>
      </x:c>
      <x:c r="C965" s="30" t="str">
        <x:v>Controlled medicine reconciliation reports, inventory verification records</x:v>
      </x:c>
      <x:c r="D965" s="30" t="str">
        <x:v>Inventory Record</x:v>
      </x:c>
      <x:c r="E965" s="30" t="str">
        <x:v>Yes</x:v>
      </x:c>
      <x:c r="F965" s="30" t="str">
        <x:v>Operational</x:v>
      </x:c>
      <x:c r="G965" s="30" t="str">
        <x:v>SPECIALIZED</x:v>
      </x:c>
      <x:c r="H965" s="30" t="str">
        <x:v>Yes</x:v>
      </x:c>
      <x:c r="I965" s="30" t="str">
        <x:v>Inventory reconciliation</x:v>
      </x:c>
    </x:row>
    <x:row r="966">
      <x:c r="A966" s="30" t="str">
        <x:v>SEVID005</x:v>
      </x:c>
      <x:c r="B966" s="30" t="str">
        <x:v>SAUD005</x:v>
      </x:c>
      <x:c r="C966" s="30" t="str">
        <x:v>Independent verification checklist, dispensing authorization records</x:v>
      </x:c>
      <x:c r="D966" s="30" t="str">
        <x:v>Approval</x:v>
      </x:c>
      <x:c r="E966" s="30" t="str">
        <x:v>Yes</x:v>
      </x:c>
      <x:c r="F966" s="30" t="str">
        <x:v>Permanent</x:v>
      </x:c>
      <x:c r="G966" s="30" t="str">
        <x:v>SPECIALIZED</x:v>
      </x:c>
      <x:c r="H966" s="30" t="str">
        <x:v>Yes</x:v>
      </x:c>
      <x:c r="I966" s="30" t="str">
        <x:v>Sample verification</x:v>
      </x:c>
    </x:row>
    <x:row r="967">
      <x:c r="A967" s="30" t="str">
        <x:v>SEVID006</x:v>
      </x:c>
      <x:c r="B967" s="30" t="str">
        <x:v>SAUD006</x:v>
      </x:c>
      <x:c r="C967" s="30" t="str">
        <x:v>Vaccine temperature excursion reports, CAPA records, product disposition approvals</x:v>
      </x:c>
      <x:c r="D967" s="30" t="str">
        <x:v>Temperature Log</x:v>
      </x:c>
      <x:c r="E967" s="30" t="str">
        <x:v>Yes</x:v>
      </x:c>
      <x:c r="F967" s="30" t="str">
        <x:v>Operational</x:v>
      </x:c>
      <x:c r="G967" s="30" t="str">
        <x:v>SPECIALIZED</x:v>
      </x:c>
      <x:c r="H967" s="30" t="str">
        <x:v>Yes</x:v>
      </x:c>
      <x:c r="I967" s="30" t="str">
        <x:v>Excursion investigation review</x:v>
      </x:c>
    </x:row>
    <x:row r="968">
      <x:c r="A968" s="30" t="str">
        <x:v>SEVID007</x:v>
      </x:c>
      <x:c r="B968" s="30" t="str">
        <x:v>SAUD007</x:v>
      </x:c>
      <x:c r="C968" s="30" t="str">
        <x:v>Biologic batch traceability register, dispensing records, recall linkage reports</x:v>
      </x:c>
      <x:c r="D968" s="30" t="str">
        <x:v>Log Book</x:v>
      </x:c>
      <x:c r="E968" s="30" t="str">
        <x:v>Yes</x:v>
      </x:c>
      <x:c r="F968" s="30" t="str">
        <x:v>Operational</x:v>
      </x:c>
      <x:c r="G968" s="30" t="str">
        <x:v>SPECIALIZED</x:v>
      </x:c>
      <x:c r="H968" s="30" t="str">
        <x:v>Yes</x:v>
      </x:c>
      <x:c r="I968" s="30" t="str">
        <x:v>Batch traceability testing</x:v>
      </x:c>
    </x:row>
    <x:row r="969">
      <x:c r="A969" s="30" t="str">
        <x:v>SEVID008</x:v>
      </x:c>
      <x:c r="B969" s="30" t="str">
        <x:v>SAUD008</x:v>
      </x:c>
      <x:c r="C969" s="30" t="str">
        <x:v>Investigational medicine accountability logs, receipt records, return documentation</x:v>
      </x:c>
      <x:c r="D969" s="30" t="str">
        <x:v>Log Book</x:v>
      </x:c>
      <x:c r="E969" s="30" t="str">
        <x:v>Yes</x:v>
      </x:c>
      <x:c r="F969" s="30" t="str">
        <x:v>Long Term</x:v>
      </x:c>
      <x:c r="G969" s="30" t="str">
        <x:v>SPECIALIZED</x:v>
      </x:c>
      <x:c r="H969" s="30" t="str">
        <x:v>Yes</x:v>
      </x:c>
      <x:c r="I969" s="30" t="str">
        <x:v>Accountability verification</x:v>
      </x:c>
    </x:row>
    <x:row r="970">
      <x:c r="A970" s="30" t="str">
        <x:v>SEVID009</x:v>
      </x:c>
      <x:c r="B970" s="30" t="str">
        <x:v>SAUD009</x:v>
      </x:c>
      <x:c r="C970" s="30" t="str">
        <x:v>Hazardous pharmaceutical waste manifests, biomedical waste disposal certificates</x:v>
      </x:c>
      <x:c r="D970" s="30" t="str">
        <x:v>Certificate</x:v>
      </x:c>
      <x:c r="E970" s="30" t="str">
        <x:v>Yes</x:v>
      </x:c>
      <x:c r="F970" s="30" t="str">
        <x:v>Permanent</x:v>
      </x:c>
      <x:c r="G970" s="30" t="str">
        <x:v>SPECIALIZED</x:v>
      </x:c>
      <x:c r="H970" s="30" t="str">
        <x:v>Yes</x:v>
      </x:c>
      <x:c r="I970" s="30" t="str">
        <x:v>Disposal verification</x:v>
      </x:c>
    </x:row>
    <x:row r="971">
      <x:c r="A971" s="30" t="str">
        <x:v>SEVID010</x:v>
      </x:c>
      <x:c r="B971" s="30" t="str">
        <x:v>SAUD010</x:v>
      </x:c>
      <x:c r="C971" s="30" t="str">
        <x:v>Staff competency matrix, specialist training certificates, assessment results</x:v>
      </x:c>
      <x:c r="D971" s="30" t="str">
        <x:v>Certificate</x:v>
      </x:c>
      <x:c r="E971" s="30" t="str">
        <x:v>Yes</x:v>
      </x:c>
      <x:c r="F971" s="30" t="str">
        <x:v>Permanent</x:v>
      </x:c>
      <x:c r="G971" s="30" t="str">
        <x:v>SPECIALIZED</x:v>
      </x:c>
      <x:c r="H971" s="30" t="str">
        <x:v>Yes</x:v>
      </x:c>
      <x:c r="I971" s="30" t="str">
        <x:v>Competency review</x:v>
      </x:c>
    </x:row>
    <x:row r="972">
      <x:c r="A972" s="30" t="str">
        <x:v>SEVID011</x:v>
      </x:c>
      <x:c r="B972" s="30" t="str">
        <x:v>SAUD011</x:v>
      </x:c>
      <x:c r="C972" s="30" t="str">
        <x:v>Radiation handling logs, dosimetry reports, radiopharmaceutical inventory register</x:v>
      </x:c>
      <x:c r="D972" s="30" t="str">
        <x:v>Log Book</x:v>
      </x:c>
      <x:c r="E972" s="30" t="str">
        <x:v>Yes</x:v>
      </x:c>
      <x:c r="F972" s="30" t="str">
        <x:v>Operational</x:v>
      </x:c>
      <x:c r="G972" s="30" t="str">
        <x:v>SPECIALIZED</x:v>
      </x:c>
      <x:c r="H972" s="30" t="str">
        <x:v>Yes</x:v>
      </x:c>
      <x:c r="I972" s="30" t="str">
        <x:v>Radiation safety verification</x:v>
      </x:c>
    </x:row>
    <x:row r="973">
      <x:c r="A973" s="30" t="str">
        <x:v>SEVID012</x:v>
      </x:c>
      <x:c r="B973" s="30" t="str">
        <x:v>SAUD012</x:v>
      </x:c>
      <x:c r="C973" s="30" t="str">
        <x:v>Physical verification reports, surprise stock check reports, discrepancy investigation records</x:v>
      </x:c>
      <x:c r="D973" s="30" t="str">
        <x:v>Inventory Record</x:v>
      </x:c>
      <x:c r="E973" s="30" t="str">
        <x:v>Yes</x:v>
      </x:c>
      <x:c r="F973" s="30" t="str">
        <x:v>Operational</x:v>
      </x:c>
      <x:c r="G973" s="30" t="str">
        <x:v>SPECIALIZED</x:v>
      </x:c>
      <x:c r="H973" s="30" t="str">
        <x:v>Yes</x:v>
      </x:c>
      <x:c r="I973" s="30" t="str">
        <x:v>Physical stock verification</x:v>
      </x:c>
    </x:row>
    <x:row r="974">
      <x:c r="A974" s="30" t="str">
        <x:v>SEVID013</x:v>
      </x:c>
      <x:c r="B974" s="30" t="str">
        <x:v>SAUD013</x:v>
      </x:c>
      <x:c r="C974" s="30" t="str">
        <x:v>High-value inventory reports, approval logs, movement register</x:v>
      </x:c>
      <x:c r="D974" s="30" t="str">
        <x:v>Log Book</x:v>
      </x:c>
      <x:c r="E974" s="30" t="str">
        <x:v>Yes</x:v>
      </x:c>
      <x:c r="F974" s="30" t="str">
        <x:v>Operational</x:v>
      </x:c>
      <x:c r="G974" s="30" t="str">
        <x:v>SPECIALIZED</x:v>
      </x:c>
      <x:c r="H974" s="30" t="str">
        <x:v>Yes</x:v>
      </x:c>
      <x:c r="I974" s="30" t="str">
        <x:v>Inventory governance review</x:v>
      </x:c>
    </x:row>
    <x:row r="975">
      <x:c r="A975" s="30" t="str">
        <x:v>SEVID014</x:v>
      </x:c>
      <x:c r="B975" s="30" t="str">
        <x:v>SAUD014</x:v>
      </x:c>
      <x:c r="C975" s="30" t="str">
        <x:v>Temperature excursion investigations, risk assessments, product release/disposal decisions</x:v>
      </x:c>
      <x:c r="D975" s="30" t="str">
        <x:v>Temperature Log</x:v>
      </x:c>
      <x:c r="E975" s="30" t="str">
        <x:v>Yes</x:v>
      </x:c>
      <x:c r="F975" s="30" t="str">
        <x:v>Operational</x:v>
      </x:c>
      <x:c r="G975" s="30" t="str">
        <x:v>SPECIALIZED</x:v>
      </x:c>
      <x:c r="H975" s="30" t="str">
        <x:v>Yes</x:v>
      </x:c>
      <x:c r="I975" s="30" t="str">
        <x:v>CAPA verification</x:v>
      </x:c>
    </x:row>
    <x:row r="976">
      <x:c r="A976" s="30" t="str">
        <x:v>SEVID015</x:v>
      </x:c>
      <x:c r="B976" s="30" t="str">
        <x:v>SAUD015</x:v>
      </x:c>
      <x:c r="C976" s="30" t="str">
        <x:v>Adverse event reports, pharmacovigilance submissions, follow-up investigations</x:v>
      </x:c>
      <x:c r="D976" s="30" t="str">
        <x:v>Report</x:v>
      </x:c>
      <x:c r="E976" s="30" t="str">
        <x:v>Yes</x:v>
      </x:c>
      <x:c r="F976" s="30" t="str">
        <x:v>Operational</x:v>
      </x:c>
      <x:c r="G976" s="30" t="str">
        <x:v>SPECIALIZED</x:v>
      </x:c>
      <x:c r="H976" s="30" t="str">
        <x:v>Yes</x:v>
      </x:c>
      <x:c r="I976" s="30" t="str">
        <x:v>Safety reporting review</x:v>
      </x:c>
    </x:row>
    <x:row r="977">
      <x:c r="A977" s="30" t="str">
        <x:v>SEVID016</x:v>
      </x:c>
      <x:c r="B977" s="30" t="str">
        <x:v>SAUD016</x:v>
      </x:c>
      <x:c r="C977" s="30" t="str">
        <x:v>Manufacturer safety alerts, implementation tracker, acknowledgement records</x:v>
      </x:c>
      <x:c r="D977" s="30" t="str">
        <x:v>Record</x:v>
      </x:c>
      <x:c r="E977" s="30" t="str">
        <x:v>Yes</x:v>
      </x:c>
      <x:c r="F977" s="30" t="str">
        <x:v>Long Term</x:v>
      </x:c>
      <x:c r="G977" s="30" t="str">
        <x:v>SPECIALIZED</x:v>
      </x:c>
      <x:c r="H977" s="30" t="str">
        <x:v>Yes</x:v>
      </x:c>
      <x:c r="I977" s="30" t="str">
        <x:v>Communication verification</x:v>
      </x:c>
    </x:row>
    <x:row r="978">
      <x:c r="A978" s="30" t="str">
        <x:v>SEVID017</x:v>
      </x:c>
      <x:c r="B978" s="30" t="str">
        <x:v>SAUD017</x:v>
      </x:c>
      <x:c r="C978" s="30" t="str">
        <x:v>Receipt records, preparation worksheets, dispensing documentation</x:v>
      </x:c>
      <x:c r="D978" s="30" t="str">
        <x:v>Receipt</x:v>
      </x:c>
      <x:c r="E978" s="30" t="str">
        <x:v>Yes</x:v>
      </x:c>
      <x:c r="F978" s="30" t="str">
        <x:v>Transactional</x:v>
      </x:c>
      <x:c r="G978" s="30" t="str">
        <x:v>SPECIALIZED</x:v>
      </x:c>
      <x:c r="H978" s="30" t="str">
        <x:v>Yes</x:v>
      </x:c>
      <x:c r="I978" s="30" t="str">
        <x:v>Documentation completeness review</x:v>
      </x:c>
    </x:row>
    <x:row r="979">
      <x:c r="A979" s="30" t="str">
        <x:v>SEVID018</x:v>
      </x:c>
      <x:c r="B979" s="30" t="str">
        <x:v>SAUD018</x:v>
      </x:c>
      <x:c r="C979" s="30" t="str">
        <x:v>Patient counselling records, acknowledgement forms, educational material</x:v>
      </x:c>
      <x:c r="D979" s="30" t="str">
        <x:v>Record</x:v>
      </x:c>
      <x:c r="E979" s="30" t="str">
        <x:v>Yes</x:v>
      </x:c>
      <x:c r="F979" s="30" t="str">
        <x:v>Long Term</x:v>
      </x:c>
      <x:c r="G979" s="30" t="str">
        <x:v>SPECIALIZED</x:v>
      </x:c>
      <x:c r="H979" s="30" t="str">
        <x:v>Yes</x:v>
      </x:c>
      <x:c r="I979" s="30" t="str">
        <x:v>Record verification</x:v>
      </x:c>
    </x:row>
    <x:row r="980">
      <x:c r="A980" s="30" t="str">
        <x:v>SEVID019</x:v>
      </x:c>
      <x:c r="B980" s="30" t="str">
        <x:v>SAUD019</x:v>
      </x:c>
      <x:c r="C980" s="30" t="str">
        <x:v>Recall notifications, retrieval logs, effectiveness check reports</x:v>
      </x:c>
      <x:c r="D980" s="30" t="str">
        <x:v>Log Book</x:v>
      </x:c>
      <x:c r="E980" s="30" t="str">
        <x:v>Yes</x:v>
      </x:c>
      <x:c r="F980" s="30" t="str">
        <x:v>Operational</x:v>
      </x:c>
      <x:c r="G980" s="30" t="str">
        <x:v>SPECIALIZED</x:v>
      </x:c>
      <x:c r="H980" s="30" t="str">
        <x:v>Yes</x:v>
      </x:c>
      <x:c r="I980" s="30" t="str">
        <x:v>Recall effectiveness testing</x:v>
      </x:c>
    </x:row>
    <x:row r="981">
      <x:c r="A981" s="30" t="str">
        <x:v>SEVID020</x:v>
      </x:c>
      <x:c r="B981" s="30" t="str">
        <x:v>SAUD020</x:v>
      </x:c>
      <x:c r="C981" s="30" t="str">
        <x:v>Quality assurance reports, CAPA register, internal audit reports</x:v>
      </x:c>
      <x:c r="D981" s="30" t="str">
        <x:v>Report</x:v>
      </x:c>
      <x:c r="E981" s="30" t="str">
        <x:v>Yes</x:v>
      </x:c>
      <x:c r="F981" s="30" t="str">
        <x:v>Operational</x:v>
      </x:c>
      <x:c r="G981" s="30" t="str">
        <x:v>SPECIALIZED</x:v>
      </x:c>
      <x:c r="H981" s="30" t="str">
        <x:v>Yes</x:v>
      </x:c>
      <x:c r="I981" s="30" t="str">
        <x:v>QA programme verification</x:v>
      </x:c>
    </x:row>
    <x:row r="982">
      <x:c r="A982" s="30" t="str">
        <x:v>SEVID021</x:v>
      </x:c>
      <x:c r="B982" s="30" t="str">
        <x:v>SAUD021</x:v>
      </x:c>
      <x:c r="C982" s="30" t="str">
        <x:v>Compassionate-use approvals, ethics committee recommendations (where applicable), patient consent forms, dispensing records</x:v>
      </x:c>
      <x:c r="D982" s="30" t="str">
        <x:v>Approval</x:v>
      </x:c>
      <x:c r="E982" s="30" t="str">
        <x:v>Yes</x:v>
      </x:c>
      <x:c r="F982" s="30" t="str">
        <x:v>Permanent</x:v>
      </x:c>
      <x:c r="G982" s="30" t="str">
        <x:v>SPECIALIZED</x:v>
      </x:c>
      <x:c r="H982" s="30" t="str">
        <x:v>Yes</x:v>
      </x:c>
      <x:c r="I982" s="30" t="str">
        <x:v>Approval and patient file review</x:v>
      </x:c>
    </x:row>
    <x:row r="983">
      <x:c r="A983" s="30" t="str">
        <x:v>SEVID022</x:v>
      </x:c>
      <x:c r="B983" s="30" t="str">
        <x:v>SAUD022</x:v>
      </x:c>
      <x:c r="C983" s="30" t="str">
        <x:v>Medicine shortage register, allocation committee decisions, prioritization criteria, approval records</x:v>
      </x:c>
      <x:c r="D983" s="30" t="str">
        <x:v>Approval</x:v>
      </x:c>
      <x:c r="E983" s="30" t="str">
        <x:v>Yes</x:v>
      </x:c>
      <x:c r="F983" s="30" t="str">
        <x:v>Permanent</x:v>
      </x:c>
      <x:c r="G983" s="30" t="str">
        <x:v>SPECIALIZED</x:v>
      </x:c>
      <x:c r="H983" s="30" t="str">
        <x:v>Yes</x:v>
      </x:c>
      <x:c r="I983" s="30" t="str">
        <x:v>Allocation review</x:v>
      </x:c>
    </x:row>
    <x:row r="984">
      <x:c r="A984" s="30" t="str">
        <x:v>SEVID023</x:v>
      </x:c>
      <x:c r="B984" s="30" t="str">
        <x:v>SAUD023</x:v>
      </x:c>
      <x:c r="C984" s="30" t="str">
        <x:v>Multidisciplinary team (MDT) meeting minutes, treatment approvals, pharmacy intervention records</x:v>
      </x:c>
      <x:c r="D984" s="30" t="str">
        <x:v>Approval</x:v>
      </x:c>
      <x:c r="E984" s="30" t="str">
        <x:v>Yes</x:v>
      </x:c>
      <x:c r="F984" s="30" t="str">
        <x:v>Permanent</x:v>
      </x:c>
      <x:c r="G984" s="30" t="str">
        <x:v>SPECIALIZED</x:v>
      </x:c>
      <x:c r="H984" s="30" t="str">
        <x:v>Yes</x:v>
      </x:c>
      <x:c r="I984" s="30" t="str">
        <x:v>MDT documentation review</x:v>
      </x:c>
    </x:row>
    <x:row r="985">
      <x:c r="A985" s="30" t="str">
        <x:v>SEVID024</x:v>
      </x:c>
      <x:c r="B985" s="30" t="str">
        <x:v>SAUD024</x:v>
      </x:c>
      <x:c r="C985" s="30" t="str">
        <x:v>Patient support programme enrolment records, manufacturer agreements, periodic review reports</x:v>
      </x:c>
      <x:c r="D985" s="30" t="str">
        <x:v>Agreement</x:v>
      </x:c>
      <x:c r="E985" s="30" t="str">
        <x:v>Yes</x:v>
      </x:c>
      <x:c r="F985" s="30" t="str">
        <x:v>Operational</x:v>
      </x:c>
      <x:c r="G985" s="30" t="str">
        <x:v>SPECIALIZED</x:v>
      </x:c>
      <x:c r="H985" s="30" t="str">
        <x:v>Yes</x:v>
      </x:c>
      <x:c r="I985" s="30" t="str">
        <x:v>Programme governance verification</x:v>
      </x:c>
    </x:row>
    <x:row r="986">
      <x:c r="A986" s="30" t="str">
        <x:v>SEVID025</x:v>
      </x:c>
      <x:c r="B986" s="30" t="str">
        <x:v>SAUD025</x:v>
      </x:c>
      <x:c r="C986" s="30" t="str">
        <x:v>Restricted medicine authorization forms, prescribing approvals, dispensing authorization logs</x:v>
      </x:c>
      <x:c r="D986" s="30" t="str">
        <x:v>Log Book</x:v>
      </x:c>
      <x:c r="E986" s="30" t="str">
        <x:v>Yes</x:v>
      </x:c>
      <x:c r="F986" s="30" t="str">
        <x:v>Operational</x:v>
      </x:c>
      <x:c r="G986" s="30" t="str">
        <x:v>SPECIALIZED</x:v>
      </x:c>
      <x:c r="H986" s="30" t="str">
        <x:v>Yes</x:v>
      </x:c>
      <x:c r="I986" s="30" t="str">
        <x:v>Authorization verification</x:v>
      </x:c>
    </x:row>
    <x:row r="987">
      <x:c r="A987" s="30" t="str">
        <x:v>SEVID026</x:v>
      </x:c>
      <x:c r="B987" s="30" t="str">
        <x:v>SAUD026</x:v>
      </x:c>
      <x:c r="C987" s="30" t="str">
        <x:v>High-value inventory reports, approval workflow records, stock verification reports</x:v>
      </x:c>
      <x:c r="D987" s="30" t="str">
        <x:v>Approval</x:v>
      </x:c>
      <x:c r="E987" s="30" t="str">
        <x:v>Yes</x:v>
      </x:c>
      <x:c r="F987" s="30" t="str">
        <x:v>Permanent</x:v>
      </x:c>
      <x:c r="G987" s="30" t="str">
        <x:v>SPECIALIZED</x:v>
      </x:c>
      <x:c r="H987" s="30" t="str">
        <x:v>Yes</x:v>
      </x:c>
      <x:c r="I987" s="30" t="str">
        <x:v>Inventory governance review</x:v>
      </x:c>
    </x:row>
    <x:row r="988">
      <x:c r="A988" s="30" t="str">
        <x:v>SEVID027</x:v>
      </x:c>
      <x:c r="B988" s="30" t="str">
        <x:v>SAUD027</x:v>
      </x:c>
      <x:c r="C988" s="30" t="str">
        <x:v>KPI dashboard, compliance trend reports, management review presentations</x:v>
      </x:c>
      <x:c r="D988" s="30" t="str">
        <x:v>Report</x:v>
      </x:c>
      <x:c r="E988" s="30" t="str">
        <x:v>Yes</x:v>
      </x:c>
      <x:c r="F988" s="30" t="str">
        <x:v>Long Term</x:v>
      </x:c>
      <x:c r="G988" s="30" t="str">
        <x:v>SPECIALIZED</x:v>
      </x:c>
      <x:c r="H988" s="30" t="str">
        <x:v>Yes</x:v>
      </x:c>
      <x:c r="I988" s="30" t="str">
        <x:v>KPI validation</x:v>
      </x:c>
    </x:row>
    <x:row r="989">
      <x:c r="A989" s="30" t="str">
        <x:v>SEVID028</x:v>
      </x:c>
      <x:c r="B989" s="30" t="str">
        <x:v>SAUD028</x:v>
      </x:c>
      <x:c r="C989" s="30" t="str">
        <x:v>Executive governance meeting minutes, strategic risk register, action tracker</x:v>
      </x:c>
      <x:c r="D989" s="30" t="str">
        <x:v>Register</x:v>
      </x:c>
      <x:c r="E989" s="30" t="str">
        <x:v>Yes</x:v>
      </x:c>
      <x:c r="F989" s="30" t="str">
        <x:v>Statutory</x:v>
      </x:c>
      <x:c r="G989" s="30" t="str">
        <x:v>SPECIALIZED</x:v>
      </x:c>
      <x:c r="H989" s="30" t="str">
        <x:v>Yes</x:v>
      </x:c>
      <x:c r="I989" s="30" t="str">
        <x:v>Governance review</x:v>
      </x:c>
    </x:row>
    <x:row r="990">
      <x:c r="A990" s="30" t="str">
        <x:v>SEVID029</x:v>
      </x:c>
      <x:c r="B990" s="30" t="str">
        <x:v>SAUD029</x:v>
      </x:c>
      <x:c r="C990" s="30" t="str">
        <x:v>CAPA register, effectiveness review reports, corrective action closure evidence</x:v>
      </x:c>
      <x:c r="D990" s="30" t="str">
        <x:v>Report</x:v>
      </x:c>
      <x:c r="E990" s="30" t="str">
        <x:v>Yes</x:v>
      </x:c>
      <x:c r="F990" s="30" t="str">
        <x:v>Operational</x:v>
      </x:c>
      <x:c r="G990" s="30" t="str">
        <x:v>SPECIALIZED</x:v>
      </x:c>
      <x:c r="H990" s="30" t="str">
        <x:v>Yes</x:v>
      </x:c>
      <x:c r="I990" s="30" t="str">
        <x:v>CAPA effectiveness verification</x:v>
      </x:c>
    </x:row>
    <x:row r="991">
      <x:c r="A991" s="30" t="str">
        <x:v>SEVID030</x:v>
      </x:c>
      <x:c r="B991" s="30" t="str">
        <x:v>SAUD030</x:v>
      </x:c>
      <x:c r="C991" s="30" t="str">
        <x:v>Annual compliance maturity assessment report, maturity scorecard, management-approved improvement roadmap</x:v>
      </x:c>
      <x:c r="D991" s="30" t="str">
        <x:v>Report</x:v>
      </x:c>
      <x:c r="E991" s="30" t="str">
        <x:v>Yes</x:v>
      </x:c>
      <x:c r="F991" s="30" t="str">
        <x:v>Operational</x:v>
      </x:c>
      <x:c r="G991" s="30" t="str">
        <x:v>SPECIALIZED</x:v>
      </x:c>
      <x:c r="H991" s="30" t="str">
        <x:v>Yes</x:v>
      </x:c>
      <x:c r="I991" s="30" t="str">
        <x:v>Maturity assessment review</x:v>
      </x:c>
    </x:row>
    <x:row r="992">
      <x:c r="A992" s="30" t="str">
        <x:v>HOMEVID001</x:v>
      </x:c>
      <x:c r="B992" s="30" t="str">
        <x:v>HOMAUD001</x:v>
      </x:c>
      <x:c r="C992" s="30" t="str">
        <x:v>Homeopathic medicine classification register, pharmacopoeial reference list, product master records</x:v>
      </x:c>
      <x:c r="D992" s="30" t="str">
        <x:v>Register</x:v>
      </x:c>
      <x:c r="E992" s="30" t="str">
        <x:v>Yes</x:v>
      </x:c>
      <x:c r="F992" s="30" t="str">
        <x:v>Statutory</x:v>
      </x:c>
      <x:c r="G992" s="30" t="str">
        <x:v>HOMEOPATHIC</x:v>
      </x:c>
      <x:c r="H992" s="30" t="str">
        <x:v>Yes</x:v>
      </x:c>
      <x:c r="I992" s="30" t="str">
        <x:v>Product classification verification</x:v>
      </x:c>
    </x:row>
    <x:row r="993">
      <x:c r="A993" s="30" t="str">
        <x:v>HOMEVID002</x:v>
      </x:c>
      <x:c r="B993" s="30" t="str">
        <x:v>HOMAUD002</x:v>
      </x:c>
      <x:c r="C993" s="30" t="str">
        <x:v>Mother tincture inventory register, storage temperature logs, inspection reports</x:v>
      </x:c>
      <x:c r="D993" s="30" t="str">
        <x:v>Temperature Log</x:v>
      </x:c>
      <x:c r="E993" s="30" t="str">
        <x:v>Yes</x:v>
      </x:c>
      <x:c r="F993" s="30" t="str">
        <x:v>Operational</x:v>
      </x:c>
      <x:c r="G993" s="30" t="str">
        <x:v>HOMEOPATHIC</x:v>
      </x:c>
      <x:c r="H993" s="30" t="str">
        <x:v>Yes</x:v>
      </x:c>
      <x:c r="I993" s="30" t="str">
        <x:v>Physical inspection and document review</x:v>
      </x:c>
    </x:row>
    <x:row r="994">
      <x:c r="A994" s="30" t="str">
        <x:v>HOMEVID003</x:v>
      </x:c>
      <x:c r="B994" s="30" t="str">
        <x:v>HOMAUD003</x:v>
      </x:c>
      <x:c r="C994" s="30" t="str">
        <x:v>Potency identification register, shelf segregation records, label verification checklist</x:v>
      </x:c>
      <x:c r="D994" s="30" t="str">
        <x:v>Register</x:v>
      </x:c>
      <x:c r="E994" s="30" t="str">
        <x:v>Yes</x:v>
      </x:c>
      <x:c r="F994" s="30" t="str">
        <x:v>Long Term</x:v>
      </x:c>
      <x:c r="G994" s="30" t="str">
        <x:v>HOMEOPATHIC</x:v>
      </x:c>
      <x:c r="H994" s="30" t="str">
        <x:v>Yes</x:v>
      </x:c>
      <x:c r="I994" s="30" t="str">
        <x:v>Potency verification</x:v>
      </x:c>
    </x:row>
    <x:row r="995">
      <x:c r="A995" s="30" t="str">
        <x:v>HOMEVID004</x:v>
      </x:c>
      <x:c r="B995" s="30" t="str">
        <x:v>HOMAUD004</x:v>
      </x:c>
      <x:c r="C995" s="30" t="str">
        <x:v>Dilution preparation worksheets, batch preparation log, SOP compliance records</x:v>
      </x:c>
      <x:c r="D995" s="30" t="str">
        <x:v>Log Book</x:v>
      </x:c>
      <x:c r="E995" s="30" t="str">
        <x:v>Yes</x:v>
      </x:c>
      <x:c r="F995" s="30" t="str">
        <x:v>Operational</x:v>
      </x:c>
      <x:c r="G995" s="30" t="str">
        <x:v>HOMEOPATHIC</x:v>
      </x:c>
      <x:c r="H995" s="30" t="str">
        <x:v>Yes</x:v>
      </x:c>
      <x:c r="I995" s="30" t="str">
        <x:v>Batch record review</x:v>
      </x:c>
    </x:row>
    <x:row r="996">
      <x:c r="A996" s="30" t="str">
        <x:v>HOMEVID005</x:v>
      </x:c>
      <x:c r="B996" s="30" t="str">
        <x:v>HOMAUD005</x:v>
      </x:c>
      <x:c r="C996" s="30" t="str">
        <x:v>Dispensing register, patient dispensing records, batch traceability documents</x:v>
      </x:c>
      <x:c r="D996" s="30" t="str">
        <x:v>Register</x:v>
      </x:c>
      <x:c r="E996" s="30" t="str">
        <x:v>Yes</x:v>
      </x:c>
      <x:c r="F996" s="30" t="str">
        <x:v>Statutory</x:v>
      </x:c>
      <x:c r="G996" s="30" t="str">
        <x:v>HOMEOPATHIC</x:v>
      </x:c>
      <x:c r="H996" s="30" t="str">
        <x:v>Yes</x:v>
      </x:c>
      <x:c r="I996" s="30" t="str">
        <x:v>Dispensing traceability verification</x:v>
      </x:c>
    </x:row>
    <x:row r="997">
      <x:c r="A997" s="30" t="str">
        <x:v>HOMEVID006</x:v>
      </x:c>
      <x:c r="B997" s="30" t="str">
        <x:v>HOMAUD006</x:v>
      </x:c>
      <x:c r="C997" s="30" t="str">
        <x:v>Label verification checklist, dispensing labels, independent verification records</x:v>
      </x:c>
      <x:c r="D997" s="30" t="str">
        <x:v>Record</x:v>
      </x:c>
      <x:c r="E997" s="30" t="str">
        <x:v>Yes</x:v>
      </x:c>
      <x:c r="F997" s="30" t="str">
        <x:v>Long Term</x:v>
      </x:c>
      <x:c r="G997" s="30" t="str">
        <x:v>HOMEOPATHIC</x:v>
      </x:c>
      <x:c r="H997" s="30" t="str">
        <x:v>Yes</x:v>
      </x:c>
      <x:c r="I997" s="30" t="str">
        <x:v>Label review</x:v>
      </x:c>
    </x:row>
    <x:row r="998">
      <x:c r="A998" s="30" t="str">
        <x:v>HOMEVID007</x:v>
      </x:c>
      <x:c r="B998" s="30" t="str">
        <x:v>HOMAUD007</x:v>
      </x:c>
      <x:c r="C998" s="30" t="str">
        <x:v>Stock rotation register, FEFO reports, inventory movement records</x:v>
      </x:c>
      <x:c r="D998" s="30" t="str">
        <x:v>Inventory Record</x:v>
      </x:c>
      <x:c r="E998" s="30" t="str">
        <x:v>Yes</x:v>
      </x:c>
      <x:c r="F998" s="30" t="str">
        <x:v>Long Term</x:v>
      </x:c>
      <x:c r="G998" s="30" t="str">
        <x:v>HOMEOPATHIC</x:v>
      </x:c>
      <x:c r="H998" s="30" t="str">
        <x:v>Yes</x:v>
      </x:c>
      <x:c r="I998" s="30" t="str">
        <x:v>Inventory verification</x:v>
      </x:c>
    </x:row>
    <x:row r="999">
      <x:c r="A999" s="30" t="str">
        <x:v>HOMEVID008</x:v>
      </x:c>
      <x:c r="B999" s="30" t="str">
        <x:v>HOMAUD008</x:v>
      </x:c>
      <x:c r="C999" s="30" t="str">
        <x:v>Expiry monitoring reports, near-expiry register, disposal approvals</x:v>
      </x:c>
      <x:c r="D999" s="30" t="str">
        <x:v>Approval</x:v>
      </x:c>
      <x:c r="E999" s="30" t="str">
        <x:v>Yes</x:v>
      </x:c>
      <x:c r="F999" s="30" t="str">
        <x:v>Permanent</x:v>
      </x:c>
      <x:c r="G999" s="30" t="str">
        <x:v>HOMEOPATHIC</x:v>
      </x:c>
      <x:c r="H999" s="30" t="str">
        <x:v>Yes</x:v>
      </x:c>
      <x:c r="I999" s="30" t="str">
        <x:v>Expiry review</x:v>
      </x:c>
    </x:row>
    <x:row r="1000">
      <x:c r="A1000" s="30" t="str">
        <x:v>HOMEVID009</x:v>
      </x:c>
      <x:c r="B1000" s="30" t="str">
        <x:v>HOMAUD009</x:v>
      </x:c>
      <x:c r="C1000" s="30" t="str">
        <x:v>Cleaning logs, contamination prevention checklist, sanitation records</x:v>
      </x:c>
      <x:c r="D1000" s="30" t="str">
        <x:v>Log Book</x:v>
      </x:c>
      <x:c r="E1000" s="30" t="str">
        <x:v>Yes</x:v>
      </x:c>
      <x:c r="F1000" s="30" t="str">
        <x:v>Long Term</x:v>
      </x:c>
      <x:c r="G1000" s="30" t="str">
        <x:v>HOMEOPATHIC</x:v>
      </x:c>
      <x:c r="H1000" s="30" t="str">
        <x:v>Yes</x:v>
      </x:c>
      <x:c r="I1000" s="30" t="str">
        <x:v>Process observation</x:v>
      </x:c>
    </x:row>
    <x:row r="1001">
      <x:c r="A1001" s="30" t="str">
        <x:v>HOMEVID010</x:v>
      </x:c>
      <x:c r="B1001" s="30" t="str">
        <x:v>HOMAUD010</x:v>
      </x:c>
      <x:c r="C1001" s="30" t="str">
        <x:v>Temperature and humidity logs, environmental monitoring reports</x:v>
      </x:c>
      <x:c r="D1001" s="30" t="str">
        <x:v>Temperature Log</x:v>
      </x:c>
      <x:c r="E1001" s="30" t="str">
        <x:v>Yes</x:v>
      </x:c>
      <x:c r="F1001" s="30" t="str">
        <x:v>Long Term</x:v>
      </x:c>
      <x:c r="G1001" s="30" t="str">
        <x:v>HOMEOPATHIC</x:v>
      </x:c>
      <x:c r="H1001" s="30" t="str">
        <x:v>Yes</x:v>
      </x:c>
      <x:c r="I1001" s="30" t="str">
        <x:v>Environmental verification</x:v>
      </x:c>
    </x:row>
    <x:row r="1002">
      <x:c r="A1002" s="30" t="str">
        <x:v>HOMEVID011</x:v>
      </x:c>
      <x:c r="B1002" s="30" t="str">
        <x:v>HOMAUD011</x:v>
      </x:c>
      <x:c r="C1002" s="30" t="str">
        <x:v>Batch traceability register, receipt records, dispensing records</x:v>
      </x:c>
      <x:c r="D1002" s="30" t="str">
        <x:v>Receipt</x:v>
      </x:c>
      <x:c r="E1002" s="30" t="str">
        <x:v>Yes</x:v>
      </x:c>
      <x:c r="F1002" s="30" t="str">
        <x:v>Transactional</x:v>
      </x:c>
      <x:c r="G1002" s="30" t="str">
        <x:v>HOMEOPATHIC</x:v>
      </x:c>
      <x:c r="H1002" s="30" t="str">
        <x:v>Yes</x:v>
      </x:c>
      <x:c r="I1002" s="30" t="str">
        <x:v>Batch traceability testing</x:v>
      </x:c>
    </x:row>
    <x:row r="1003">
      <x:c r="A1003" s="30" t="str">
        <x:v>HOMEVID012</x:v>
      </x:c>
      <x:c r="B1003" s="30" t="str">
        <x:v>HOMAUD012</x:v>
      </x:c>
      <x:c r="C1003" s="30" t="str">
        <x:v>Patient counselling records, counselling acknowledgement forms</x:v>
      </x:c>
      <x:c r="D1003" s="30" t="str">
        <x:v>Record</x:v>
      </x:c>
      <x:c r="E1003" s="30" t="str">
        <x:v>Yes</x:v>
      </x:c>
      <x:c r="F1003" s="30" t="str">
        <x:v>Long Term</x:v>
      </x:c>
      <x:c r="G1003" s="30" t="str">
        <x:v>HOMEOPATHIC</x:v>
      </x:c>
      <x:c r="H1003" s="30" t="str">
        <x:v>Yes</x:v>
      </x:c>
      <x:c r="I1003" s="30" t="str">
        <x:v>Patient record review</x:v>
      </x:c>
    </x:row>
    <x:row r="1004">
      <x:c r="A1004" s="30" t="str">
        <x:v>HOMEVID013</x:v>
      </x:c>
      <x:c r="B1004" s="30" t="str">
        <x:v>HOMAUD013</x:v>
      </x:c>
      <x:c r="C1004" s="30" t="str">
        <x:v>Dispensing documentation, prescription register, document control logs</x:v>
      </x:c>
      <x:c r="D1004" s="30" t="str">
        <x:v>Log Book</x:v>
      </x:c>
      <x:c r="E1004" s="30" t="str">
        <x:v>Yes</x:v>
      </x:c>
      <x:c r="F1004" s="30" t="str">
        <x:v>Operational</x:v>
      </x:c>
      <x:c r="G1004" s="30" t="str">
        <x:v>HOMEOPATHIC</x:v>
      </x:c>
      <x:c r="H1004" s="30" t="str">
        <x:v>Yes</x:v>
      </x:c>
      <x:c r="I1004" s="30" t="str">
        <x:v>Documentation completeness review</x:v>
      </x:c>
    </x:row>
    <x:row r="1005">
      <x:c r="A1005" s="30" t="str">
        <x:v>HOMEVID014</x:v>
      </x:c>
      <x:c r="B1005" s="30" t="str">
        <x:v>HOMAUD014</x:v>
      </x:c>
      <x:c r="C1005" s="30" t="str">
        <x:v>Complaint register, investigation reports, CAPA records</x:v>
      </x:c>
      <x:c r="D1005" s="30" t="str">
        <x:v>Report</x:v>
      </x:c>
      <x:c r="E1005" s="30" t="str">
        <x:v>Yes</x:v>
      </x:c>
      <x:c r="F1005" s="30" t="str">
        <x:v>Operational</x:v>
      </x:c>
      <x:c r="G1005" s="30" t="str">
        <x:v>HOMEOPATHIC</x:v>
      </x:c>
      <x:c r="H1005" s="30" t="str">
        <x:v>Yes</x:v>
      </x:c>
      <x:c r="I1005" s="30" t="str">
        <x:v>Complaint investigation review</x:v>
      </x:c>
    </x:row>
    <x:row r="1006">
      <x:c r="A1006" s="30" t="str">
        <x:v>HOMEVID015</x:v>
      </x:c>
      <x:c r="B1006" s="30" t="str">
        <x:v>HOMAUD015</x:v>
      </x:c>
      <x:c r="C1006" s="30" t="str">
        <x:v>Recall register, customer notification records, recall effectiveness reports</x:v>
      </x:c>
      <x:c r="D1006" s="30" t="str">
        <x:v>Report</x:v>
      </x:c>
      <x:c r="E1006" s="30" t="str">
        <x:v>Yes</x:v>
      </x:c>
      <x:c r="F1006" s="30" t="str">
        <x:v>Operational</x:v>
      </x:c>
      <x:c r="G1006" s="30" t="str">
        <x:v>HOMEOPATHIC</x:v>
      </x:c>
      <x:c r="H1006" s="30" t="str">
        <x:v>Yes</x:v>
      </x:c>
      <x:c r="I1006" s="30" t="str">
        <x:v>Mock recall and record verification</x:v>
      </x:c>
    </x:row>
    <x:row r="1007">
      <x:c r="A1007" s="30" t="str">
        <x:v>HOMEVID016</x:v>
      </x:c>
      <x:c r="B1007" s="30" t="str">
        <x:v>HOMAUD016</x:v>
      </x:c>
      <x:c r="C1007" s="30" t="str">
        <x:v>Supplier qualification files, supplier audit reports, vendor evaluation scorecards</x:v>
      </x:c>
      <x:c r="D1007" s="30" t="str">
        <x:v>Report</x:v>
      </x:c>
      <x:c r="E1007" s="30" t="str">
        <x:v>Yes</x:v>
      </x:c>
      <x:c r="F1007" s="30" t="str">
        <x:v>Operational</x:v>
      </x:c>
      <x:c r="G1007" s="30" t="str">
        <x:v>HOMEOPATHIC</x:v>
      </x:c>
      <x:c r="H1007" s="30" t="str">
        <x:v>Yes</x:v>
      </x:c>
      <x:c r="I1007" s="30" t="str">
        <x:v>Supplier file review</x:v>
      </x:c>
    </x:row>
    <x:row r="1008">
      <x:c r="A1008" s="30" t="str">
        <x:v>HOMEVID017</x:v>
      </x:c>
      <x:c r="B1008" s="30" t="str">
        <x:v>HOMAUD017</x:v>
      </x:c>
      <x:c r="C1008" s="30" t="str">
        <x:v>Staff competency matrix, training attendance records, assessment reports</x:v>
      </x:c>
      <x:c r="D1008" s="30" t="str">
        <x:v>Training Record</x:v>
      </x:c>
      <x:c r="E1008" s="30" t="str">
        <x:v>Yes</x:v>
      </x:c>
      <x:c r="F1008" s="30" t="str">
        <x:v>Long Term</x:v>
      </x:c>
      <x:c r="G1008" s="30" t="str">
        <x:v>HOMEOPATHIC</x:v>
      </x:c>
      <x:c r="H1008" s="30" t="str">
        <x:v>Yes</x:v>
      </x:c>
      <x:c r="I1008" s="30" t="str">
        <x:v>Competency verification</x:v>
      </x:c>
    </x:row>
    <x:row r="1009">
      <x:c r="A1009" s="30" t="str">
        <x:v>HOMEVID018</x:v>
      </x:c>
      <x:c r="B1009" s="30" t="str">
        <x:v>HOMAUD018</x:v>
      </x:c>
      <x:c r="C1009" s="30" t="str">
        <x:v>QA review reports, internal audit reports, CAPA tracker</x:v>
      </x:c>
      <x:c r="D1009" s="30" t="str">
        <x:v>Report</x:v>
      </x:c>
      <x:c r="E1009" s="30" t="str">
        <x:v>Yes</x:v>
      </x:c>
      <x:c r="F1009" s="30" t="str">
        <x:v>Operational</x:v>
      </x:c>
      <x:c r="G1009" s="30" t="str">
        <x:v>HOMEOPATHIC</x:v>
      </x:c>
      <x:c r="H1009" s="30" t="str">
        <x:v>Yes</x:v>
      </x:c>
      <x:c r="I1009" s="30" t="str">
        <x:v>QA programme review</x:v>
      </x:c>
    </x:row>
    <x:row r="1010">
      <x:c r="A1010" s="30" t="str">
        <x:v>HOMEVID019</x:v>
      </x:c>
      <x:c r="B1010" s="30" t="str">
        <x:v>HOMAUD019</x:v>
      </x:c>
      <x:c r="C1010" s="30" t="str">
        <x:v>Compliance review reports, regulatory monitoring checklist, corrective action tracker</x:v>
      </x:c>
      <x:c r="D1010" s="30" t="str">
        <x:v>Report</x:v>
      </x:c>
      <x:c r="E1010" s="30" t="str">
        <x:v>Yes</x:v>
      </x:c>
      <x:c r="F1010" s="30" t="str">
        <x:v>Operational</x:v>
      </x:c>
      <x:c r="G1010" s="30" t="str">
        <x:v>HOMEOPATHIC</x:v>
      </x:c>
      <x:c r="H1010" s="30" t="str">
        <x:v>Yes</x:v>
      </x:c>
      <x:c r="I1010" s="30" t="str">
        <x:v>Compliance review verification</x:v>
      </x:c>
    </x:row>
    <x:row r="1011">
      <x:c r="A1011" s="30" t="str">
        <x:v>HOMEVID020</x:v>
      </x:c>
      <x:c r="B1011" s="30" t="str">
        <x:v>HOMAUD020</x:v>
      </x:c>
      <x:c r="C1011" s="30" t="str">
        <x:v>Governance review minutes, compliance maturity assessment report, improvement roadmap</x:v>
      </x:c>
      <x:c r="D1011" s="30" t="str">
        <x:v>Report</x:v>
      </x:c>
      <x:c r="E1011" s="30" t="str">
        <x:v>Yes</x:v>
      </x:c>
      <x:c r="F1011" s="30" t="str">
        <x:v>Operational</x:v>
      </x:c>
      <x:c r="G1011" s="30" t="str">
        <x:v>HOMEOPATHIC</x:v>
      </x:c>
      <x:c r="H1011" s="30" t="str">
        <x:v>Yes</x:v>
      </x:c>
      <x:c r="I1011" s="30" t="str">
        <x:v>Governance assessment verification</x:v>
      </x:c>
    </x:row>
    <x:row r="1012">
      <x:c r="A1012" s="30" t="str">
        <x:v>AEVID001</x:v>
      </x:c>
      <x:c r="B1012" s="30" t="str">
        <x:v>AAUD001</x:v>
      </x:c>
      <x:c r="C1012" s="30" t="str">
        <x:v>AYUSH medicine classification register, pharmacopoeial classification records, product master</x:v>
      </x:c>
      <x:c r="D1012" s="30" t="str">
        <x:v>Register</x:v>
      </x:c>
      <x:c r="E1012" s="30" t="str">
        <x:v>Yes</x:v>
      </x:c>
      <x:c r="F1012" s="30" t="str">
        <x:v>Statutory</x:v>
      </x:c>
      <x:c r="G1012" s="30" t="str">
        <x:v>AYUSH</x:v>
      </x:c>
      <x:c r="H1012" s="30" t="str">
        <x:v>Yes</x:v>
      </x:c>
      <x:c r="I1012" s="30" t="str">
        <x:v>Product classification verification</x:v>
      </x:c>
    </x:row>
    <x:row r="1013">
      <x:c r="A1013" s="30" t="str">
        <x:v>AEVID002</x:v>
      </x:c>
      <x:c r="B1013" s="30" t="str">
        <x:v>AAUD002</x:v>
      </x:c>
      <x:c r="C1013" s="30" t="str">
        <x:v>Manufacturer licences, distributor authorization certificates, supplier verification checklist</x:v>
      </x:c>
      <x:c r="D1013" s="30" t="str">
        <x:v>License</x:v>
      </x:c>
      <x:c r="E1013" s="30" t="str">
        <x:v>Yes</x:v>
      </x:c>
      <x:c r="F1013" s="30" t="str">
        <x:v>Permanent</x:v>
      </x:c>
      <x:c r="G1013" s="30" t="str">
        <x:v>AYUSH</x:v>
      </x:c>
      <x:c r="H1013" s="30" t="str">
        <x:v>Yes</x:v>
      </x:c>
      <x:c r="I1013" s="30" t="str">
        <x:v>Licence verification</x:v>
      </x:c>
    </x:row>
    <x:row r="1014">
      <x:c r="A1014" s="30" t="str">
        <x:v>AEVID003</x:v>
      </x:c>
      <x:c r="B1014" s="30" t="str">
        <x:v>AAUD003</x:v>
      </x:c>
      <x:c r="C1014" s="30" t="str">
        <x:v>Raw material traceability register, batch receipt records, dispensing traceability records</x:v>
      </x:c>
      <x:c r="D1014" s="30" t="str">
        <x:v>Receipt</x:v>
      </x:c>
      <x:c r="E1014" s="30" t="str">
        <x:v>Yes</x:v>
      </x:c>
      <x:c r="F1014" s="30" t="str">
        <x:v>Transactional</x:v>
      </x:c>
      <x:c r="G1014" s="30" t="str">
        <x:v>AYUSH</x:v>
      </x:c>
      <x:c r="H1014" s="30" t="str">
        <x:v>Yes</x:v>
      </x:c>
      <x:c r="I1014" s="30" t="str">
        <x:v>Batch traceability testing</x:v>
      </x:c>
    </x:row>
    <x:row r="1015">
      <x:c r="A1015" s="30" t="str">
        <x:v>AEVID004</x:v>
      </x:c>
      <x:c r="B1015" s="30" t="str">
        <x:v>AAUD004</x:v>
      </x:c>
      <x:c r="C1015" s="30" t="str">
        <x:v>Storage inspection reports, temperature and humidity logs, environmental monitoring records</x:v>
      </x:c>
      <x:c r="D1015" s="30" t="str">
        <x:v>Temperature Log</x:v>
      </x:c>
      <x:c r="E1015" s="30" t="str">
        <x:v>Yes</x:v>
      </x:c>
      <x:c r="F1015" s="30" t="str">
        <x:v>Operational</x:v>
      </x:c>
      <x:c r="G1015" s="30" t="str">
        <x:v>AYUSH</x:v>
      </x:c>
      <x:c r="H1015" s="30" t="str">
        <x:v>Yes</x:v>
      </x:c>
      <x:c r="I1015" s="30" t="str">
        <x:v>Storage condition verification</x:v>
      </x:c>
    </x:row>
    <x:row r="1016">
      <x:c r="A1016" s="30" t="str">
        <x:v>AEVID005</x:v>
      </x:c>
      <x:c r="B1016" s="30" t="str">
        <x:v>AAUD005</x:v>
      </x:c>
      <x:c r="C1016" s="30" t="str">
        <x:v>Label verification checklist, approved label formats, dispensing labels</x:v>
      </x:c>
      <x:c r="D1016" s="30" t="str">
        <x:v>Record</x:v>
      </x:c>
      <x:c r="E1016" s="30" t="str">
        <x:v>Yes</x:v>
      </x:c>
      <x:c r="F1016" s="30" t="str">
        <x:v>Long Term</x:v>
      </x:c>
      <x:c r="G1016" s="30" t="str">
        <x:v>AYUSH</x:v>
      </x:c>
      <x:c r="H1016" s="30" t="str">
        <x:v>Yes</x:v>
      </x:c>
      <x:c r="I1016" s="30" t="str">
        <x:v>Label verification review</x:v>
      </x:c>
    </x:row>
    <x:row r="1017">
      <x:c r="A1017" s="30" t="str">
        <x:v>AEVID006</x:v>
      </x:c>
      <x:c r="B1017" s="30" t="str">
        <x:v>AAUD006</x:v>
      </x:c>
      <x:c r="C1017" s="30" t="str">
        <x:v>Traditional dosage form dispensing register, dispensing SOP compliance records</x:v>
      </x:c>
      <x:c r="D1017" s="30" t="str">
        <x:v>SOP</x:v>
      </x:c>
      <x:c r="E1017" s="30" t="str">
        <x:v>Yes</x:v>
      </x:c>
      <x:c r="F1017" s="30" t="str">
        <x:v>Operational</x:v>
      </x:c>
      <x:c r="G1017" s="30" t="str">
        <x:v>AYUSH</x:v>
      </x:c>
      <x:c r="H1017" s="30" t="str">
        <x:v>Yes</x:v>
      </x:c>
      <x:c r="I1017" s="30" t="str">
        <x:v>Dispensing process review</x:v>
      </x:c>
    </x:row>
    <x:row r="1018">
      <x:c r="A1018" s="30" t="str">
        <x:v>AEVID007</x:v>
      </x:c>
      <x:c r="B1018" s="30" t="str">
        <x:v>AAUD007</x:v>
      </x:c>
      <x:c r="C1018" s="30" t="str">
        <x:v>Patient counselling records, counselling acknowledgement forms, patient information leaflets</x:v>
      </x:c>
      <x:c r="D1018" s="30" t="str">
        <x:v>Record</x:v>
      </x:c>
      <x:c r="E1018" s="30" t="str">
        <x:v>Yes</x:v>
      </x:c>
      <x:c r="F1018" s="30" t="str">
        <x:v>Long Term</x:v>
      </x:c>
      <x:c r="G1018" s="30" t="str">
        <x:v>AYUSH</x:v>
      </x:c>
      <x:c r="H1018" s="30" t="str">
        <x:v>Yes</x:v>
      </x:c>
      <x:c r="I1018" s="30" t="str">
        <x:v>Counselling record verification</x:v>
      </x:c>
    </x:row>
    <x:row r="1019">
      <x:c r="A1019" s="30" t="str">
        <x:v>AEVID008</x:v>
      </x:c>
      <x:c r="B1019" s="30" t="str">
        <x:v>AAUD008</x:v>
      </x:c>
      <x:c r="C1019" s="30" t="str">
        <x:v>Classical formulation register, proprietary formulation documentation, reference sources</x:v>
      </x:c>
      <x:c r="D1019" s="30" t="str">
        <x:v>Register</x:v>
      </x:c>
      <x:c r="E1019" s="30" t="str">
        <x:v>Yes</x:v>
      </x:c>
      <x:c r="F1019" s="30" t="str">
        <x:v>Statutory</x:v>
      </x:c>
      <x:c r="G1019" s="30" t="str">
        <x:v>AYUSH</x:v>
      </x:c>
      <x:c r="H1019" s="30" t="str">
        <x:v>Yes</x:v>
      </x:c>
      <x:c r="I1019" s="30" t="str">
        <x:v>Documentation review</x:v>
      </x:c>
    </x:row>
    <x:row r="1020">
      <x:c r="A1020" s="30" t="str">
        <x:v>AEVID009</x:v>
      </x:c>
      <x:c r="B1020" s="30" t="str">
        <x:v>AAUD009</x:v>
      </x:c>
      <x:c r="C1020" s="30" t="str">
        <x:v>QA review reports, internal audit reports, CAPA tracker, quality review checklist</x:v>
      </x:c>
      <x:c r="D1020" s="30" t="str">
        <x:v>Report</x:v>
      </x:c>
      <x:c r="E1020" s="30" t="str">
        <x:v>Yes</x:v>
      </x:c>
      <x:c r="F1020" s="30" t="str">
        <x:v>Operational</x:v>
      </x:c>
      <x:c r="G1020" s="30" t="str">
        <x:v>AYUSH</x:v>
      </x:c>
      <x:c r="H1020" s="30" t="str">
        <x:v>Yes</x:v>
      </x:c>
      <x:c r="I1020" s="30" t="str">
        <x:v>QA programme verification</x:v>
      </x:c>
    </x:row>
    <x:row r="1021">
      <x:c r="A1021" s="30" t="str">
        <x:v>AEVID010</x:v>
      </x:c>
      <x:c r="B1021" s="30" t="str">
        <x:v>AAUD010</x:v>
      </x:c>
      <x:c r="C1021" s="30" t="str">
        <x:v>Regulatory update tracker, implementation log, management review records</x:v>
      </x:c>
      <x:c r="D1021" s="30" t="str">
        <x:v>Log Book</x:v>
      </x:c>
      <x:c r="E1021" s="30" t="str">
        <x:v>Yes</x:v>
      </x:c>
      <x:c r="F1021" s="30" t="str">
        <x:v>Operational</x:v>
      </x:c>
      <x:c r="G1021" s="30" t="str">
        <x:v>AYUSH</x:v>
      </x:c>
      <x:c r="H1021" s="30" t="str">
        <x:v>Yes</x:v>
      </x:c>
      <x:c r="I1021" s="30" t="str">
        <x:v>Regulatory update verification</x:v>
      </x:c>
    </x:row>
    <x:row r="1022">
      <x:c r="A1022" s="30" t="str">
        <x:v>AEVID011</x:v>
      </x:c>
      <x:c r="B1022" s="30" t="str">
        <x:v>AAUD011</x:v>
      </x:c>
      <x:c r="C1022" s="30" t="str">
        <x:v>Recall register, recall notification records, recall effectiveness reports</x:v>
      </x:c>
      <x:c r="D1022" s="30" t="str">
        <x:v>Report</x:v>
      </x:c>
      <x:c r="E1022" s="30" t="str">
        <x:v>Yes</x:v>
      </x:c>
      <x:c r="F1022" s="30" t="str">
        <x:v>Operational</x:v>
      </x:c>
      <x:c r="G1022" s="30" t="str">
        <x:v>AYUSH</x:v>
      </x:c>
      <x:c r="H1022" s="30" t="str">
        <x:v>Yes</x:v>
      </x:c>
      <x:c r="I1022" s="30" t="str">
        <x:v>Recall effectiveness verification</x:v>
      </x:c>
    </x:row>
    <x:row r="1023">
      <x:c r="A1023" s="30" t="str">
        <x:v>AEVID012</x:v>
      </x:c>
      <x:c r="B1023" s="30" t="str">
        <x:v>AAUD012</x:v>
      </x:c>
      <x:c r="C1023" s="30" t="str">
        <x:v>Expiry monitoring register, segregation records, disposal approvals</x:v>
      </x:c>
      <x:c r="D1023" s="30" t="str">
        <x:v>Approval</x:v>
      </x:c>
      <x:c r="E1023" s="30" t="str">
        <x:v>Yes</x:v>
      </x:c>
      <x:c r="F1023" s="30" t="str">
        <x:v>Permanent</x:v>
      </x:c>
      <x:c r="G1023" s="30" t="str">
        <x:v>AYUSH</x:v>
      </x:c>
      <x:c r="H1023" s="30" t="str">
        <x:v>Yes</x:v>
      </x:c>
      <x:c r="I1023" s="30" t="str">
        <x:v>Expiry monitoring review</x:v>
      </x:c>
    </x:row>
    <x:row r="1024">
      <x:c r="A1024" s="30" t="str">
        <x:v>AEVID013</x:v>
      </x:c>
      <x:c r="B1024" s="30" t="str">
        <x:v>AAUD013</x:v>
      </x:c>
      <x:c r="C1024" s="30" t="str">
        <x:v>AYUSH practitioner registration verification, prescription register, dispensing authorization records</x:v>
      </x:c>
      <x:c r="D1024" s="30" t="str">
        <x:v>Prescription</x:v>
      </x:c>
      <x:c r="E1024" s="30" t="str">
        <x:v>Yes</x:v>
      </x:c>
      <x:c r="F1024" s="30" t="str">
        <x:v>Transactional</x:v>
      </x:c>
      <x:c r="G1024" s="30" t="str">
        <x:v>AYUSH</x:v>
      </x:c>
      <x:c r="H1024" s="30" t="str">
        <x:v>Yes</x:v>
      </x:c>
      <x:c r="I1024" s="30" t="str">
        <x:v>Prescription verification</x:v>
      </x:c>
    </x:row>
    <x:row r="1025">
      <x:c r="A1025" s="30" t="str">
        <x:v>AEVID014</x:v>
      </x:c>
      <x:c r="B1025" s="30" t="str">
        <x:v>AAUD014</x:v>
      </x:c>
      <x:c r="C1025" s="30" t="str">
        <x:v>AYUSH dispensing register, patient dispensing records, document control register</x:v>
      </x:c>
      <x:c r="D1025" s="30" t="str">
        <x:v>Register</x:v>
      </x:c>
      <x:c r="E1025" s="30" t="str">
        <x:v>Yes</x:v>
      </x:c>
      <x:c r="F1025" s="30" t="str">
        <x:v>Statutory</x:v>
      </x:c>
      <x:c r="G1025" s="30" t="str">
        <x:v>AYUSH</x:v>
      </x:c>
      <x:c r="H1025" s="30" t="str">
        <x:v>Yes</x:v>
      </x:c>
      <x:c r="I1025" s="30" t="str">
        <x:v>Documentation completeness review</x:v>
      </x:c>
    </x:row>
    <x:row r="1026">
      <x:c r="A1026" s="30" t="str">
        <x:v>AEVID015</x:v>
      </x:c>
      <x:c r="B1026" s="30" t="str">
        <x:v>AAUD015</x:v>
      </x:c>
      <x:c r="C1026" s="30" t="str">
        <x:v>Competency matrix, training attendance records, assessment reports, continuing education certificates</x:v>
      </x:c>
      <x:c r="D1026" s="30" t="str">
        <x:v>Certificate</x:v>
      </x:c>
      <x:c r="E1026" s="30" t="str">
        <x:v>Yes</x:v>
      </x:c>
      <x:c r="F1026" s="30" t="str">
        <x:v>Permanent</x:v>
      </x:c>
      <x:c r="G1026" s="30" t="str">
        <x:v>AYUSH</x:v>
      </x:c>
      <x:c r="H1026" s="30" t="str">
        <x:v>Yes</x:v>
      </x:c>
      <x:c r="I1026" s="30" t="str">
        <x:v>Competency verification</x:v>
      </x:c>
    </x:row>
    <x:row r="1027">
      <x:c r="A1027" s="30" t="str">
        <x:v>AEVID016</x:v>
      </x:c>
      <x:c r="B1027" s="30" t="str">
        <x:v>AAUD016</x:v>
      </x:c>
      <x:c r="C1027" s="30" t="str">
        <x:v>Supplier evaluation reports, supplier scorecards, supplier audit reports</x:v>
      </x:c>
      <x:c r="D1027" s="30" t="str">
        <x:v>Report</x:v>
      </x:c>
      <x:c r="E1027" s="30" t="str">
        <x:v>Yes</x:v>
      </x:c>
      <x:c r="F1027" s="30" t="str">
        <x:v>Operational</x:v>
      </x:c>
      <x:c r="G1027" s="30" t="str">
        <x:v>AYUSH</x:v>
      </x:c>
      <x:c r="H1027" s="30" t="str">
        <x:v>Yes</x:v>
      </x:c>
      <x:c r="I1027" s="30" t="str">
        <x:v>Supplier performance review</x:v>
      </x:c>
    </x:row>
    <x:row r="1028">
      <x:c r="A1028" s="30" t="str">
        <x:v>AEVID017</x:v>
      </x:c>
      <x:c r="B1028" s="30" t="str">
        <x:v>AAUD017</x:v>
      </x:c>
      <x:c r="C1028" s="30" t="str">
        <x:v>Compliance reports, management review minutes, compliance dashboard</x:v>
      </x:c>
      <x:c r="D1028" s="30" t="str">
        <x:v>Report</x:v>
      </x:c>
      <x:c r="E1028" s="30" t="str">
        <x:v>Yes</x:v>
      </x:c>
      <x:c r="F1028" s="30" t="str">
        <x:v>Operational</x:v>
      </x:c>
      <x:c r="G1028" s="30" t="str">
        <x:v>AYUSH</x:v>
      </x:c>
      <x:c r="H1028" s="30" t="str">
        <x:v>Yes</x:v>
      </x:c>
      <x:c r="I1028" s="30" t="str">
        <x:v>Management review verification</x:v>
      </x:c>
    </x:row>
    <x:row r="1029">
      <x:c r="A1029" s="30" t="str">
        <x:v>AEVID018</x:v>
      </x:c>
      <x:c r="B1029" s="30" t="str">
        <x:v>AAUD018</x:v>
      </x:c>
      <x:c r="C1029" s="30" t="str">
        <x:v>CAPA register, corrective action plans, effectiveness review reports</x:v>
      </x:c>
      <x:c r="D1029" s="30" t="str">
        <x:v>Report</x:v>
      </x:c>
      <x:c r="E1029" s="30" t="str">
        <x:v>Yes</x:v>
      </x:c>
      <x:c r="F1029" s="30" t="str">
        <x:v>Operational</x:v>
      </x:c>
      <x:c r="G1029" s="30" t="str">
        <x:v>AYUSH</x:v>
      </x:c>
      <x:c r="H1029" s="30" t="str">
        <x:v>Yes</x:v>
      </x:c>
      <x:c r="I1029" s="30" t="str">
        <x:v>CAPA effectiveness verification</x:v>
      </x:c>
    </x:row>
    <x:row r="1030">
      <x:c r="A1030" s="30" t="str">
        <x:v>AEVID019</x:v>
      </x:c>
      <x:c r="B1030" s="30" t="str">
        <x:v>AAUD019</x:v>
      </x:c>
      <x:c r="C1030" s="30" t="str">
        <x:v>Internal quality review reports, inspection checklists, audit observations</x:v>
      </x:c>
      <x:c r="D1030" s="30" t="str">
        <x:v>Inspection Report</x:v>
      </x:c>
      <x:c r="E1030" s="30" t="str">
        <x:v>Yes</x:v>
      </x:c>
      <x:c r="F1030" s="30" t="str">
        <x:v>Statutory</x:v>
      </x:c>
      <x:c r="G1030" s="30" t="str">
        <x:v>AYUSH</x:v>
      </x:c>
      <x:c r="H1030" s="30" t="str">
        <x:v>Yes</x:v>
      </x:c>
      <x:c r="I1030" s="30" t="str">
        <x:v>Internal review verification</x:v>
      </x:c>
    </x:row>
    <x:row r="1031">
      <x:c r="A1031" s="30" t="str">
        <x:v>AEVID020</x:v>
      </x:c>
      <x:c r="B1031" s="30" t="str">
        <x:v>AAUD020</x:v>
      </x:c>
      <x:c r="C1031" s="30" t="str">
        <x:v>Governance review minutes, compliance maturity assessment report, improvement roadmap, management approvals</x:v>
      </x:c>
      <x:c r="D1031" s="30" t="str">
        <x:v>Approval</x:v>
      </x:c>
      <x:c r="E1031" s="30" t="str">
        <x:v>Yes</x:v>
      </x:c>
      <x:c r="F1031" s="30" t="str">
        <x:v>Permanent</x:v>
      </x:c>
      <x:c r="G1031" s="30" t="str">
        <x:v>AYUSH</x:v>
      </x:c>
      <x:c r="H1031" s="30" t="str">
        <x:v>Yes</x:v>
      </x:c>
      <x:c r="I1031" s="30" t="str">
        <x:v>Governance assessment verification</x:v>
      </x:c>
    </x:row>
    <x:row r="1032">
      <x:c r="A1032" s="33" t="str">
        <x:v>EVD571</x:v>
      </x:c>
      <x:c r="B1032" s="33" t="str">
        <x:v>AUD522</x:v>
      </x:c>
      <x:c r="C1032" s="33" t="str">
        <x:v>Form 35 Inspection Book and corrective-action evidence</x:v>
      </x:c>
      <x:c r="D1032" s="33" t="str">
        <x:v>Inspection Report</x:v>
      </x:c>
      <x:c r="E1032" s="33" t="str">
        <x:v>Yes</x:v>
      </x:c>
      <x:c r="F1032" s="33" t="str">
        <x:v>Permanent</x:v>
      </x:c>
      <x:c r="G1032" s="33" t="str">
        <x:v>CORE</x:v>
      </x:c>
      <x:c r="H1032" s="33" t="str">
        <x:v>Yes</x:v>
      </x:c>
      <x:c r="I1032" s="33" t="str">
        <x:v>P-2 validated evidence chain.</x:v>
      </x:c>
    </x:row>
    <x:row r="1033">
      <x:c r="A1033" s="33" t="str">
        <x:v>EVD572</x:v>
      </x:c>
      <x:c r="B1033" s="33" t="str">
        <x:v>AUD523</x:v>
      </x:c>
      <x:c r="C1033" s="33" t="str">
        <x:v>Expired-stock quarantine register and photographs</x:v>
      </x:c>
      <x:c r="D1033" s="33" t="str">
        <x:v>Inventory Record</x:v>
      </x:c>
      <x:c r="E1033" s="33" t="str">
        <x:v>Yes</x:v>
      </x:c>
      <x:c r="F1033" s="33" t="str">
        <x:v>Statutory</x:v>
      </x:c>
      <x:c r="G1033" s="33" t="str">
        <x:v>CORE</x:v>
      </x:c>
      <x:c r="H1033" s="33" t="str">
        <x:v>Yes</x:v>
      </x:c>
      <x:c r="I1033" s="33" t="str">
        <x:v>P-2 validated evidence chain.</x:v>
      </x:c>
    </x:row>
    <x:row r="1034">
      <x:c r="A1034" s="33" t="str">
        <x:v>EVD573</x:v>
      </x:c>
      <x:c r="B1034" s="33" t="str">
        <x:v>AUD524</x:v>
      </x:c>
      <x:c r="C1034" s="33" t="str">
        <x:v>Sample/scheme stock register and authorization</x:v>
      </x:c>
      <x:c r="D1034" s="33" t="str">
        <x:v>Register</x:v>
      </x:c>
      <x:c r="E1034" s="33" t="str">
        <x:v>Yes</x:v>
      </x:c>
      <x:c r="F1034" s="33" t="str">
        <x:v>Statutory</x:v>
      </x:c>
      <x:c r="G1034" s="33" t="str">
        <x:v>CORE</x:v>
      </x:c>
      <x:c r="H1034" s="33" t="str">
        <x:v>Yes</x:v>
      </x:c>
      <x:c r="I1034" s="33" t="str">
        <x:v>P-2 validated evidence chain.</x:v>
      </x:c>
    </x:row>
    <x:row r="1035">
      <x:c r="A1035" s="33" t="str">
        <x:v>EVD574</x:v>
      </x:c>
      <x:c r="B1035" s="33" t="str">
        <x:v>AUD525</x:v>
      </x:c>
      <x:c r="C1035" s="33" t="str">
        <x:v>Repacked-supply label samples and pharmacist record</x:v>
      </x:c>
      <x:c r="D1035" s="33" t="str">
        <x:v>Photograph</x:v>
      </x:c>
      <x:c r="E1035" s="33" t="str">
        <x:v>Yes</x:v>
      </x:c>
      <x:c r="F1035" s="33" t="str">
        <x:v>Transactional</x:v>
      </x:c>
      <x:c r="G1035" s="33" t="str">
        <x:v>CORE</x:v>
      </x:c>
      <x:c r="H1035" s="33" t="str">
        <x:v>Yes</x:v>
      </x:c>
      <x:c r="I1035" s="33" t="str">
        <x:v>P-2 validated evidence chain.</x:v>
      </x:c>
    </x:row>
    <x:row r="1036">
      <x:c r="A1036" s="33" t="str">
        <x:v>EVD575</x:v>
      </x:c>
      <x:c r="B1036" s="33" t="str">
        <x:v>AUD526</x:v>
      </x:c>
      <x:c r="C1036" s="33" t="str">
        <x:v>Veterinary-stock storage photograph and checklist</x:v>
      </x:c>
      <x:c r="D1036" s="33" t="str">
        <x:v>Photograph</x:v>
      </x:c>
      <x:c r="E1036" s="33" t="str">
        <x:v>Yes</x:v>
      </x:c>
      <x:c r="F1036" s="33" t="str">
        <x:v>Operational</x:v>
      </x:c>
      <x:c r="G1036" s="33" t="str">
        <x:v>CORE</x:v>
      </x:c>
      <x:c r="H1036" s="33" t="str">
        <x:v>Yes</x:v>
      </x:c>
      <x:c r="I1036" s="33" t="str">
        <x:v>P-2 validated evidence chain.</x:v>
      </x:c>
    </x:row>
    <x:row r="1037">
      <x:c r="A1037" s="33" t="str">
        <x:v>EVD576</x:v>
      </x:c>
      <x:c r="B1037" s="33" t="str">
        <x:v>AUD527</x:v>
      </x:c>
      <x:c r="C1037" s="33" t="str">
        <x:v>Mock inspection report and action tracker</x:v>
      </x:c>
      <x:c r="D1037" s="33" t="str">
        <x:v>Inspection Report</x:v>
      </x:c>
      <x:c r="E1037" s="33" t="str">
        <x:v>Yes</x:v>
      </x:c>
      <x:c r="F1037" s="33" t="str">
        <x:v>Operational</x:v>
      </x:c>
      <x:c r="G1037" s="33" t="str">
        <x:v>CORE</x:v>
      </x:c>
      <x:c r="H1037" s="33" t="str">
        <x:v>Yes</x:v>
      </x:c>
      <x:c r="I1037" s="33" t="str">
        <x:v>P-2 validated evidence chain.</x:v>
      </x:c>
    </x:row>
    <x:row r="1038">
      <x:c r="A1038" s="33" t="str">
        <x:v>EVD577</x:v>
      </x:c>
      <x:c r="B1038" s="33" t="str">
        <x:v>AUD528</x:v>
      </x:c>
      <x:c r="C1038" s="33" t="str">
        <x:v>Displayed licence photograph, staff list and constitution-change filings</x:v>
      </x:c>
      <x:c r="D1038" s="33" t="str">
        <x:v>License</x:v>
      </x:c>
      <x:c r="E1038" s="33" t="str">
        <x:v>Yes</x:v>
      </x:c>
      <x:c r="F1038" s="33" t="str">
        <x:v>Permanent</x:v>
      </x:c>
      <x:c r="G1038" s="33" t="str">
        <x:v>CORE</x:v>
      </x:c>
      <x:c r="H1038" s="33" t="str">
        <x:v>Yes</x:v>
      </x:c>
      <x:c r="I1038" s="33" t="str">
        <x:v>P-2 validated evidence chain.</x:v>
      </x:c>
    </x:row>
    <x:row r="1039">
      <x:c r="A1039" s="33" t="str">
        <x:v>EVD578</x:v>
      </x:c>
      <x:c r="B1039" s="33" t="str">
        <x:v>AUD529</x:v>
      </x:c>
      <x:c r="C1039" s="33" t="str">
        <x:v>Enforcement orders, disposal permission and verified licence submissions</x:v>
      </x:c>
      <x:c r="D1039" s="33" t="str">
        <x:v>Approval</x:v>
      </x:c>
      <x:c r="E1039" s="33" t="str">
        <x:v>Yes</x:v>
      </x:c>
      <x:c r="F1039" s="33" t="str">
        <x:v>Permanent</x:v>
      </x:c>
      <x:c r="G1039" s="33" t="str">
        <x:v>CORE</x:v>
      </x:c>
      <x:c r="H1039" s="33" t="str">
        <x:v>Yes</x:v>
      </x:c>
      <x:c r="I1039" s="33" t="str">
        <x:v>P-2 validated evidence chain.</x:v>
      </x:c>
    </x:row>
    <x:row r="1040">
      <x:c r="A1040" s="33" t="str">
        <x:v>EVD579</x:v>
      </x:c>
      <x:c r="B1040" s="33" t="str">
        <x:v>AUD530</x:v>
      </x:c>
      <x:c r="C1040" s="33" t="str">
        <x:v>Form 20A/21A and sampled restricted stock list</x:v>
      </x:c>
      <x:c r="D1040" s="33" t="str">
        <x:v>License</x:v>
      </x:c>
      <x:c r="E1040" s="33" t="str">
        <x:v>Yes</x:v>
      </x:c>
      <x:c r="F1040" s="33" t="str">
        <x:v>Permanent</x:v>
      </x:c>
      <x:c r="G1040" s="33" t="str">
        <x:v>CORE</x:v>
      </x:c>
      <x:c r="H1040" s="33" t="str">
        <x:v>Yes</x:v>
      </x:c>
      <x:c r="I1040" s="33" t="str">
        <x:v>P-2 validated evidence chain.</x:v>
      </x:c>
    </x:row>
    <x:row r="1041">
      <x:c r="A1041" s="33" t="str">
        <x:v>EVD580</x:v>
      </x:c>
      <x:c r="B1041" s="33" t="str">
        <x:v>AUD531</x:v>
      </x:c>
      <x:c r="C1041" s="33" t="str">
        <x:v>Vehicle licence, application and vehicle stock/category checklist</x:v>
      </x:c>
      <x:c r="D1041" s="33" t="str">
        <x:v>License</x:v>
      </x:c>
      <x:c r="E1041" s="33" t="str">
        <x:v>Yes</x:v>
      </x:c>
      <x:c r="F1041" s="33" t="str">
        <x:v>Permanent</x:v>
      </x:c>
      <x:c r="G1041" s="33" t="str">
        <x:v>CORE</x:v>
      </x:c>
      <x:c r="H1041" s="33" t="str">
        <x:v>Yes</x:v>
      </x:c>
      <x:c r="I1041" s="33" t="str">
        <x:v>P-2 validated evidence chain.</x:v>
      </x:c>
    </x:row>
    <x:row r="1042">
      <x:c r="A1042" s="33" t="str">
        <x:v>EVD581</x:v>
      </x:c>
      <x:c r="B1042" s="33" t="str">
        <x:v>AUD532</x:v>
      </x:c>
      <x:c r="C1042" s="33" t="str">
        <x:v>Form 20C/20D, Form 19B application and competent-person credentials</x:v>
      </x:c>
      <x:c r="D1042" s="33" t="str">
        <x:v>License</x:v>
      </x:c>
      <x:c r="E1042" s="33" t="str">
        <x:v>Yes</x:v>
      </x:c>
      <x:c r="F1042" s="33" t="str">
        <x:v>Permanent</x:v>
      </x:c>
      <x:c r="G1042" s="33" t="str">
        <x:v>CORE</x:v>
      </x:c>
      <x:c r="H1042" s="33" t="str">
        <x:v>Yes</x:v>
      </x:c>
      <x:c r="I1042" s="33" t="str">
        <x:v>P-2 validated evidence chain.</x:v>
      </x:c>
    </x:row>
    <x:row r="1043">
      <x:c r="A1043" s="33" t="str">
        <x:v>EVD582</x:v>
      </x:c>
      <x:c r="B1043" s="33" t="str">
        <x:v>AUD533</x:v>
      </x:c>
      <x:c r="C1043" s="33" t="str">
        <x:v>Homeopathic alcohol purchase/sale register and supervision evidence</x:v>
      </x:c>
      <x:c r="D1043" s="33" t="str">
        <x:v>Register</x:v>
      </x:c>
      <x:c r="E1043" s="33" t="str">
        <x:v>Yes</x:v>
      </x:c>
      <x:c r="F1043" s="33" t="str">
        <x:v>Statutory</x:v>
      </x:c>
      <x:c r="G1043" s="33" t="str">
        <x:v>CORE</x:v>
      </x:c>
      <x:c r="H1043" s="33" t="str">
        <x:v>Yes</x:v>
      </x:c>
      <x:c r="I1043" s="33" t="str">
        <x:v>P-2 validated evidence chain.</x:v>
      </x:c>
    </x:row>
    <x:row r="1044">
      <x:c r="A1044" s="33" t="str">
        <x:v>EVD583</x:v>
      </x:c>
      <x:c r="B1044" s="33" t="str">
        <x:v>AUD534</x:v>
      </x:c>
      <x:c r="C1044" s="33" t="str">
        <x:v>Rule 67H order, appeal and closure records</x:v>
      </x:c>
      <x:c r="D1044" s="33" t="str">
        <x:v>Approval</x:v>
      </x:c>
      <x:c r="E1044" s="33" t="str">
        <x:v>Yes</x:v>
      </x:c>
      <x:c r="F1044" s="33" t="str">
        <x:v>Permanent</x:v>
      </x:c>
      <x:c r="G1044" s="33" t="str">
        <x:v>CORE</x:v>
      </x:c>
      <x:c r="H1044" s="33" t="str">
        <x:v>Yes</x:v>
      </x:c>
      <x:c r="I1044" s="33" t="str">
        <x:v>P-2 validated evidence chain.</x:v>
      </x:c>
    </x:row>
    <x:row r="1045">
      <x:c r="A1045" s="33" t="str">
        <x:v>EVD584</x:v>
      </x:c>
      <x:c r="B1045" s="33" t="str">
        <x:v>AUD535</x:v>
      </x:c>
      <x:c r="C1045" s="33" t="str">
        <x:v>Schedule N premises/equipment checklist and photographs</x:v>
      </x:c>
      <x:c r="D1045" s="33" t="str">
        <x:v>Inspection Report</x:v>
      </x:c>
      <x:c r="E1045" s="33" t="str">
        <x:v>Yes</x:v>
      </x:c>
      <x:c r="F1045" s="33" t="str">
        <x:v>Operational</x:v>
      </x:c>
      <x:c r="G1045" s="33" t="str">
        <x:v>CORE</x:v>
      </x:c>
      <x:c r="H1045" s="33" t="str">
        <x:v>Yes</x:v>
      </x:c>
      <x:c r="I1045" s="33" t="str">
        <x:v>P-2 validated evidence chain.</x:v>
      </x:c>
    </x:row>
    <x:row r="1046">
      <x:c r="A1046" s="33" t="str">
        <x:v>EVD585</x:v>
      </x:c>
      <x:c r="B1046" s="33" t="str">
        <x:v>AUD536</x:v>
      </x:c>
      <x:c r="C1046" s="33" t="str">
        <x:v>Signed institutional orders linked to sale invoices</x:v>
      </x:c>
      <x:c r="D1046" s="33" t="str">
        <x:v>Document</x:v>
      </x:c>
      <x:c r="E1046" s="33" t="str">
        <x:v>Yes</x:v>
      </x:c>
      <x:c r="F1046" s="33" t="str">
        <x:v>Statutory</x:v>
      </x:c>
      <x:c r="G1046" s="33" t="str">
        <x:v>CORE</x:v>
      </x:c>
      <x:c r="H1046" s="33" t="str">
        <x:v>Yes</x:v>
      </x:c>
      <x:c r="I1046" s="33" t="str">
        <x:v>P-2 validated evidence chain.</x:v>
      </x:c>
    </x:row>
    <x:row r="1047">
      <x:c r="A1047" s="33" t="str">
        <x:v>EVD586</x:v>
      </x:c>
      <x:c r="B1047" s="33" t="str">
        <x:v>AUD537</x:v>
      </x:c>
      <x:c r="C1047" s="33" t="str">
        <x:v>Sale-licence application, fee receipt and issued licence</x:v>
      </x:c>
      <x:c r="D1047" s="33" t="str">
        <x:v>Document</x:v>
      </x:c>
      <x:c r="E1047" s="33" t="str">
        <x:v>Yes</x:v>
      </x:c>
      <x:c r="F1047" s="33" t="str">
        <x:v>Statutory</x:v>
      </x:c>
      <x:c r="G1047" s="33" t="str">
        <x:v>CORE</x:v>
      </x:c>
      <x:c r="H1047" s="33" t="str">
        <x:v>Yes</x:v>
      </x:c>
      <x:c r="I1047" s="33" t="str">
        <x:v>P-2 validated evidence chain.</x:v>
      </x:c>
    </x:row>
    <x:row r="1048">
      <x:c r="A1048" s="33" t="str">
        <x:v>EVD587</x:v>
      </x:c>
      <x:c r="B1048" s="33" t="str">
        <x:v>AUD538</x:v>
      </x:c>
      <x:c r="C1048" s="33" t="str">
        <x:v>Current Forms 20/20B/20F/20G/21/21B and product-category mapping</x:v>
      </x:c>
      <x:c r="D1048" s="33" t="str">
        <x:v>License</x:v>
      </x:c>
      <x:c r="E1048" s="33" t="str">
        <x:v>Yes</x:v>
      </x:c>
      <x:c r="F1048" s="33" t="str">
        <x:v>Permanent</x:v>
      </x:c>
      <x:c r="G1048" s="33" t="str">
        <x:v>CORE</x:v>
      </x:c>
      <x:c r="H1048" s="33" t="str">
        <x:v>Yes</x:v>
      </x:c>
      <x:c r="I1048" s="33" t="str">
        <x:v>P-2 validated evidence chain.</x:v>
      </x:c>
    </x:row>
    <x:row r="1049">
      <x:c r="A1049" s="33" t="str">
        <x:v>EVD588</x:v>
      </x:c>
      <x:c r="B1049" s="33" t="str">
        <x:v>AUD539</x:v>
      </x:c>
      <x:c r="C1049" s="33" t="str">
        <x:v>Approved layout, staff credentials and premises/storage inspection checklist</x:v>
      </x:c>
      <x:c r="D1049" s="33" t="str">
        <x:v>Inspection Report</x:v>
      </x:c>
      <x:c r="E1049" s="33" t="str">
        <x:v>Yes</x:v>
      </x:c>
      <x:c r="F1049" s="33" t="str">
        <x:v>Statutory</x:v>
      </x:c>
      <x:c r="G1049" s="33" t="str">
        <x:v>CORE</x:v>
      </x:c>
      <x:c r="H1049" s="33" t="str">
        <x:v>Yes</x:v>
      </x:c>
      <x:c r="I1049" s="33" t="str">
        <x:v>P-2 validated evidence chain.</x:v>
      </x:c>
    </x:row>
    <x:row r="1050">
      <x:c r="A1050" s="33" t="str">
        <x:v>EVD589</x:v>
      </x:c>
      <x:c r="B1050" s="33" t="str">
        <x:v>AUD540</x:v>
      </x:c>
      <x:c r="C1050" s="33" t="str">
        <x:v>Sample prescriptions linked to sale invoices/dispensing records</x:v>
      </x:c>
      <x:c r="D1050" s="33" t="str">
        <x:v>Prescription</x:v>
      </x:c>
      <x:c r="E1050" s="33" t="str">
        <x:v>Yes</x:v>
      </x:c>
      <x:c r="F1050" s="33" t="str">
        <x:v>Transactional</x:v>
      </x:c>
      <x:c r="G1050" s="33" t="str">
        <x:v>CORE</x:v>
      </x:c>
      <x:c r="H1050" s="33" t="str">
        <x:v>Yes</x:v>
      </x:c>
      <x:c r="I1050" s="33" t="str">
        <x:v>P-2 validated evidence chain.</x:v>
      </x:c>
    </x:row>
    <x:row r="1051">
      <x:c r="A1051" s="33" t="str">
        <x:v>EVD590</x:v>
      </x:c>
      <x:c r="B1051" s="33" t="str">
        <x:v>AUD541</x:v>
      </x:c>
      <x:c r="C1051" s="33" t="str">
        <x:v>Pharmacist registration, duty roster and dispensing supervision evidence</x:v>
      </x:c>
      <x:c r="D1051" s="33" t="str">
        <x:v>Certificate</x:v>
      </x:c>
      <x:c r="E1051" s="33" t="str">
        <x:v>Yes</x:v>
      </x:c>
      <x:c r="F1051" s="33" t="str">
        <x:v>Permanent</x:v>
      </x:c>
      <x:c r="G1051" s="33" t="str">
        <x:v>CORE</x:v>
      </x:c>
      <x:c r="H1051" s="33" t="str">
        <x:v>Yes</x:v>
      </x:c>
      <x:c r="I1051" s="33" t="str">
        <x:v>P-2 validated evidence chain.</x:v>
      </x:c>
    </x:row>
    <x:row r="1052">
      <x:c r="A1052" s="33" t="str">
        <x:v>EVD591</x:v>
      </x:c>
      <x:c r="B1052" s="33" t="str">
        <x:v>AUD542</x:v>
      </x:c>
      <x:c r="C1052" s="33" t="str">
        <x:v>Prescription register/memos, purchase bills and wholesale sale records</x:v>
      </x:c>
      <x:c r="D1052" s="33" t="str">
        <x:v>Register</x:v>
      </x:c>
      <x:c r="E1052" s="33" t="str">
        <x:v>Yes</x:v>
      </x:c>
      <x:c r="F1052" s="33" t="str">
        <x:v>Statutory</x:v>
      </x:c>
      <x:c r="G1052" s="33" t="str">
        <x:v>CORE</x:v>
      </x:c>
      <x:c r="H1052" s="33" t="str">
        <x:v>Yes</x:v>
      </x:c>
      <x:c r="I1052" s="33" t="str">
        <x:v>P-2 validated evidence chain.</x:v>
      </x:c>
    </x:row>
    <x:row r="1053">
      <x:c r="A1053" s="33" t="str">
        <x:v>EVD592</x:v>
      </x:c>
      <x:c r="B1053" s="33" t="str">
        <x:v>AUD543</x:v>
      </x:c>
      <x:c r="C1053" s="33" t="str">
        <x:v>Retention schedule and sampled statutory registers/memos/prescriptions</x:v>
      </x:c>
      <x:c r="D1053" s="33" t="str">
        <x:v>Record</x:v>
      </x:c>
      <x:c r="E1053" s="33" t="str">
        <x:v>Yes</x:v>
      </x:c>
      <x:c r="F1053" s="33" t="str">
        <x:v>Statutory</x:v>
      </x:c>
      <x:c r="G1053" s="33" t="str">
        <x:v>CORE</x:v>
      </x:c>
      <x:c r="H1053" s="33" t="str">
        <x:v>Yes</x:v>
      </x:c>
      <x:c r="I1053" s="33" t="str">
        <x:v>P-2 validated evidence chain.</x:v>
      </x:c>
    </x:row>
    <x:row r="1054">
      <x:c r="A1054" s="33" t="str">
        <x:v>EVD593</x:v>
      </x:c>
      <x:c r="B1054" s="33" t="str">
        <x:v>AUD544</x:v>
      </x:c>
      <x:c r="C1054" s="33" t="str">
        <x:v>Photographs or inspection checklist of sampled labelled packs</x:v>
      </x:c>
      <x:c r="D1054" s="33" t="str">
        <x:v>Photograph</x:v>
      </x:c>
      <x:c r="E1054" s="33" t="str">
        <x:v>Yes</x:v>
      </x:c>
      <x:c r="F1054" s="33" t="str">
        <x:v>Operational</x:v>
      </x:c>
      <x:c r="G1054" s="33" t="str">
        <x:v>CORE</x:v>
      </x:c>
      <x:c r="H1054" s="33" t="str">
        <x:v>Yes</x:v>
      </x:c>
      <x:c r="I1054" s="33" t="str">
        <x:v>P-2 validated evidence chain.</x:v>
      </x:c>
    </x:row>
    <x:row r="1055">
      <x:c r="A1055" s="33" t="str">
        <x:v>EVD594</x:v>
      </x:c>
      <x:c r="B1055" s="33" t="str">
        <x:v>AUD545</x:v>
      </x:c>
      <x:c r="C1055" s="33" t="str">
        <x:v>Goods-receipt label checklist and sampled product photographs</x:v>
      </x:c>
      <x:c r="D1055" s="33" t="str">
        <x:v>Inspection Report</x:v>
      </x:c>
      <x:c r="E1055" s="33" t="str">
        <x:v>Yes</x:v>
      </x:c>
      <x:c r="F1055" s="33" t="str">
        <x:v>Operational</x:v>
      </x:c>
      <x:c r="G1055" s="33" t="str">
        <x:v>CORE</x:v>
      </x:c>
      <x:c r="H1055" s="33" t="str">
        <x:v>Yes</x:v>
      </x:c>
      <x:c r="I1055" s="33" t="str">
        <x:v>P-2 validated evidence chain.</x:v>
      </x:c>
    </x:row>
    <x:row r="1056">
      <x:c r="A1056" s="33" t="str">
        <x:v>EVD595</x:v>
      </x:c>
      <x:c r="B1056" s="33" t="str">
        <x:v>AUD546</x:v>
      </x:c>
      <x:c r="C1056" s="33" t="str">
        <x:v>Annotated Schedule H prescriptions and dispensing history</x:v>
      </x:c>
      <x:c r="D1056" s="33" t="str">
        <x:v>Prescription</x:v>
      </x:c>
      <x:c r="E1056" s="33" t="str">
        <x:v>Yes</x:v>
      </x:c>
      <x:c r="F1056" s="33" t="str">
        <x:v>Transactional</x:v>
      </x:c>
      <x:c r="G1056" s="33" t="str">
        <x:v>CORE</x:v>
      </x:c>
      <x:c r="H1056" s="33" t="str">
        <x:v>Yes</x:v>
      </x:c>
      <x:c r="I1056" s="33" t="str">
        <x:v>P-2 validated evidence chain.</x:v>
      </x:c>
    </x:row>
    <x:row r="1057">
      <x:c r="A1057" s="33" t="str">
        <x:v>EVD596</x:v>
      </x:c>
      <x:c r="B1057" s="33" t="str">
        <x:v>AUD547</x:v>
      </x:c>
      <x:c r="C1057" s="33" t="str">
        <x:v>Schedule H1 product list, invoices, prescriptions and H1 register</x:v>
      </x:c>
      <x:c r="D1057" s="33" t="str">
        <x:v>Register</x:v>
      </x:c>
      <x:c r="E1057" s="33" t="str">
        <x:v>Yes</x:v>
      </x:c>
      <x:c r="F1057" s="33" t="str">
        <x:v>Statutory</x:v>
      </x:c>
      <x:c r="G1057" s="33" t="str">
        <x:v>CORE</x:v>
      </x:c>
      <x:c r="H1057" s="33" t="str">
        <x:v>Yes</x:v>
      </x:c>
      <x:c r="I1057" s="33" t="str">
        <x:v>P-2 validated evidence chain.</x:v>
      </x:c>
    </x:row>
    <x:row r="1058">
      <x:c r="A1058" s="33" t="str">
        <x:v>EVD597</x:v>
      </x:c>
      <x:c r="B1058" s="33" t="str">
        <x:v>AUD548</x:v>
      </x:c>
      <x:c r="C1058" s="33" t="str">
        <x:v>Duplicate Schedule X prescriptions and linked sale records</x:v>
      </x:c>
      <x:c r="D1058" s="33" t="str">
        <x:v>Prescription</x:v>
      </x:c>
      <x:c r="E1058" s="33" t="str">
        <x:v>Yes</x:v>
      </x:c>
      <x:c r="F1058" s="33" t="str">
        <x:v>Statutory</x:v>
      </x:c>
      <x:c r="G1058" s="33" t="str">
        <x:v>CORE</x:v>
      </x:c>
      <x:c r="H1058" s="33" t="str">
        <x:v>Yes</x:v>
      </x:c>
      <x:c r="I1058" s="33" t="str">
        <x:v>P-2 validated evidence chain.</x:v>
      </x:c>
    </x:row>
    <x:row r="1059">
      <x:c r="A1059" s="33" t="str">
        <x:v>EVD598</x:v>
      </x:c>
      <x:c r="B1059" s="33" t="str">
        <x:v>AUD549</x:v>
      </x:c>
      <x:c r="C1059" s="33" t="str">
        <x:v>Schedule G label inspection checklist</x:v>
      </x:c>
      <x:c r="D1059" s="33" t="str">
        <x:v>Inspection Report</x:v>
      </x:c>
      <x:c r="E1059" s="33" t="str">
        <x:v>Yes</x:v>
      </x:c>
      <x:c r="F1059" s="33" t="str">
        <x:v>Operational</x:v>
      </x:c>
      <x:c r="G1059" s="33" t="str">
        <x:v>CORE</x:v>
      </x:c>
      <x:c r="H1059" s="33" t="str">
        <x:v>Yes</x:v>
      </x:c>
      <x:c r="I1059" s="33" t="str">
        <x:v>P-2 validated evidence chain.</x:v>
      </x:c>
    </x:row>
    <x:row r="1060">
      <x:c r="A1060" s="33" t="str">
        <x:v>EVD599</x:v>
      </x:c>
      <x:c r="B1060" s="33" t="str">
        <x:v>AUD550</x:v>
      </x:c>
      <x:c r="C1060" s="33" t="str">
        <x:v>Schedule K applicability memo and supporting eligibility evidence</x:v>
      </x:c>
      <x:c r="D1060" s="33" t="str">
        <x:v>Document</x:v>
      </x:c>
      <x:c r="E1060" s="33" t="str">
        <x:v>Yes</x:v>
      </x:c>
      <x:c r="F1060" s="33" t="str">
        <x:v>Statutory</x:v>
      </x:c>
      <x:c r="G1060" s="33" t="str">
        <x:v>CORE</x:v>
      </x:c>
      <x:c r="H1060" s="33" t="str">
        <x:v>Yes</x:v>
      </x:c>
      <x:c r="I1060" s="33" t="str">
        <x:v>P-2 validated evidence chain.</x:v>
      </x:c>
    </x:row>
    <x:row r="1061">
      <x:c r="A1061" s="33" t="str">
        <x:v>EVD600</x:v>
      </x:c>
      <x:c r="B1061" s="33" t="str">
        <x:v>AUD551</x:v>
      </x:c>
      <x:c r="C1061" s="33" t="str">
        <x:v>H2 receipt checklist and QR/barcode scan evidence</x:v>
      </x:c>
      <x:c r="D1061" s="33" t="str">
        <x:v>Digital Record</x:v>
      </x:c>
      <x:c r="E1061" s="33" t="str">
        <x:v>Yes</x:v>
      </x:c>
      <x:c r="F1061" s="33" t="str">
        <x:v>Operational</x:v>
      </x:c>
      <x:c r="G1061" s="33" t="str">
        <x:v>CORE</x:v>
      </x:c>
      <x:c r="H1061" s="33" t="str">
        <x:v>Yes</x:v>
      </x:c>
      <x:c r="I1061" s="33" t="str">
        <x:v>P-2 validated evidence chain.</x:v>
      </x:c>
    </x:row>
    <x:row r="1062">
      <x:c r="A1062" s="33" t="str">
        <x:v>EVD601</x:v>
      </x:c>
      <x:c r="B1062" s="33" t="str">
        <x:v>AUD552</x:v>
      </x:c>
      <x:c r="C1062" s="33" t="str">
        <x:v>Location register and site-specific licences</x:v>
      </x:c>
      <x:c r="D1062" s="33" t="str">
        <x:v>License</x:v>
      </x:c>
      <x:c r="E1062" s="33" t="str">
        <x:v>Yes</x:v>
      </x:c>
      <x:c r="F1062" s="33" t="str">
        <x:v>Permanent</x:v>
      </x:c>
      <x:c r="G1062" s="33" t="str">
        <x:v>CORE</x:v>
      </x:c>
      <x:c r="H1062" s="33" t="str">
        <x:v>Yes</x:v>
      </x:c>
      <x:c r="I1062" s="33" t="str">
        <x:v>P-2 validated evidence chain.</x:v>
      </x:c>
    </x:row>
    <x:row r="1063">
      <x:c r="A1063" s="33" t="str">
        <x:v>EVD602</x:v>
      </x:c>
      <x:c r="B1063" s="33" t="str">
        <x:v>AUD553</x:v>
      </x:c>
      <x:c r="C1063" s="33" t="str">
        <x:v>Licence issue date, retention-fee receipt and due-date tracker</x:v>
      </x:c>
      <x:c r="D1063" s="33" t="str">
        <x:v>Receipt</x:v>
      </x:c>
      <x:c r="E1063" s="33" t="str">
        <x:v>Yes</x:v>
      </x:c>
      <x:c r="F1063" s="33" t="str">
        <x:v>Permanent</x:v>
      </x:c>
      <x:c r="G1063" s="33" t="str">
        <x:v>CORE</x:v>
      </x:c>
      <x:c r="H1063" s="33" t="str">
        <x:v>Yes</x:v>
      </x:c>
      <x:c r="I1063" s="33" t="str">
        <x:v>P-2 validated evidence chain.</x:v>
      </x:c>
    </x:row>
    <x:row r="1064">
      <x:c r="A1064" s="33" t="str">
        <x:v>EVD603</x:v>
      </x:c>
      <x:c r="B1064" s="33" t="str">
        <x:v>AUD554</x:v>
      </x:c>
      <x:c r="C1064" s="33" t="str">
        <x:v>Authority demand, lease/title/constitution records and submission acknowledgement</x:v>
      </x:c>
      <x:c r="D1064" s="33" t="str">
        <x:v>Document</x:v>
      </x:c>
      <x:c r="E1064" s="33" t="str">
        <x:v>Yes</x:v>
      </x:c>
      <x:c r="F1064" s="33" t="str">
        <x:v>Permanent</x:v>
      </x:c>
      <x:c r="G1064" s="33" t="str">
        <x:v>CORE</x:v>
      </x:c>
      <x:c r="H1064" s="33" t="str">
        <x:v>Yes</x:v>
      </x:c>
      <x:c r="I1064" s="33" t="str">
        <x:v>P-2 validated evidence chain.</x:v>
      </x:c>
    </x:row>
    <x:row r="1065">
      <x:c r="A1065" s="33" t="str">
        <x:v>EVD604</x:v>
      </x:c>
      <x:c r="B1065" s="33" t="str">
        <x:v>AUD555</x:v>
      </x:c>
      <x:c r="C1065" s="33" t="str">
        <x:v>Schedule H1 register and linked prescriptions/invoices</x:v>
      </x:c>
      <x:c r="D1065" s="33" t="str">
        <x:v>Register</x:v>
      </x:c>
      <x:c r="E1065" s="33" t="str">
        <x:v>Yes</x:v>
      </x:c>
      <x:c r="F1065" s="33" t="str">
        <x:v>Statutory</x:v>
      </x:c>
      <x:c r="G1065" s="33" t="str">
        <x:v>CORE</x:v>
      </x:c>
      <x:c r="H1065" s="33" t="str">
        <x:v>Yes</x:v>
      </x:c>
      <x:c r="I1065" s="33" t="str">
        <x:v>P-2 validated evidence chain.</x:v>
      </x:c>
    </x:row>
    <x:row r="1066">
      <x:c r="A1066" s="33" t="str">
        <x:v>EVD605</x:v>
      </x:c>
      <x:c r="B1066" s="33" t="str">
        <x:v>AUD556</x:v>
      </x:c>
      <x:c r="C1066" s="33" t="str">
        <x:v>Wholesale cash/credit memo carbon copies</x:v>
      </x:c>
      <x:c r="D1066" s="33" t="str">
        <x:v>Sale Record</x:v>
      </x:c>
      <x:c r="E1066" s="33" t="str">
        <x:v>Yes</x:v>
      </x:c>
      <x:c r="F1066" s="33" t="str">
        <x:v>Statutory</x:v>
      </x:c>
      <x:c r="G1066" s="33" t="str">
        <x:v>CORE</x:v>
      </x:c>
      <x:c r="H1066" s="33" t="str">
        <x:v>Yes</x:v>
      </x:c>
      <x:c r="I1066" s="33" t="str">
        <x:v>P-2 validated evidence chain.</x:v>
      </x:c>
    </x:row>
    <x:row r="1067">
      <x:c r="A1067" s="33" t="str">
        <x:v>EVD606</x:v>
      </x:c>
      <x:c r="B1067" s="33" t="str">
        <x:v>AUD557</x:v>
      </x:c>
      <x:c r="C1067" s="33" t="str">
        <x:v>H1/X reconciliation and exception-investigation report</x:v>
      </x:c>
      <x:c r="D1067" s="33" t="str">
        <x:v>Inventory Record</x:v>
      </x:c>
      <x:c r="E1067" s="33" t="str">
        <x:v>Yes</x:v>
      </x:c>
      <x:c r="F1067" s="33" t="str">
        <x:v>Operational</x:v>
      </x:c>
      <x:c r="G1067" s="33" t="str">
        <x:v>CORE</x:v>
      </x:c>
      <x:c r="H1067" s="33" t="str">
        <x:v>Yes</x:v>
      </x:c>
      <x:c r="I1067" s="33" t="str">
        <x:v>P-2 validated evidence chain.</x:v>
      </x:c>
    </x:row>
    <x:row r="1068">
      <x:c r="A1068" s="33" t="str">
        <x:v>EVD607</x:v>
      </x:c>
      <x:c r="B1068" s="33" t="str">
        <x:v>AUD558</x:v>
      </x:c>
      <x:c r="C1068" s="33" t="str">
        <x:v>Schedule X storage photograph and access-control checklist</x:v>
      </x:c>
      <x:c r="D1068" s="33" t="str">
        <x:v>Photograph</x:v>
      </x:c>
      <x:c r="E1068" s="33" t="str">
        <x:v>Yes</x:v>
      </x:c>
      <x:c r="F1068" s="33" t="str">
        <x:v>Operational</x:v>
      </x:c>
      <x:c r="G1068" s="33" t="str">
        <x:v>CORE</x:v>
      </x:c>
      <x:c r="H1068" s="33" t="str">
        <x:v>Yes</x:v>
      </x:c>
      <x:c r="I1068" s="33" t="str">
        <x:v>P-2 validated evidence chain.</x:v>
      </x:c>
    </x:row>
    <x:row r="1069">
      <x:c r="A1069" s="33" t="str">
        <x:v>EVD608</x:v>
      </x:c>
      <x:c r="B1069" s="33" t="str">
        <x:v>AUD559</x:v>
      </x:c>
      <x:c r="C1069" s="33" t="str">
        <x:v>Bound Schedule X register and transaction samples</x:v>
      </x:c>
      <x:c r="D1069" s="33" t="str">
        <x:v>Register</x:v>
      </x:c>
      <x:c r="E1069" s="33" t="str">
        <x:v>Yes</x:v>
      </x:c>
      <x:c r="F1069" s="33" t="str">
        <x:v>Statutory</x:v>
      </x:c>
      <x:c r="G1069" s="33" t="str">
        <x:v>CORE</x:v>
      </x:c>
      <x:c r="H1069" s="33" t="str">
        <x:v>Yes</x:v>
      </x:c>
      <x:c r="I1069" s="33" t="str">
        <x:v>P-2 validated evidence chain.</x:v>
      </x:c>
    </x:row>
    <x:row r="1070">
      <x:c r="A1070" s="33" t="str">
        <x:v>EVD609</x:v>
      </x:c>
      <x:c r="B1070" s="33" t="str">
        <x:v>AUD560</x:v>
      </x:c>
      <x:c r="C1070" s="33" t="str">
        <x:v>Sample prescriptions and dispensing annotations</x:v>
      </x:c>
      <x:c r="D1070" s="33" t="str">
        <x:v>Prescription</x:v>
      </x:c>
      <x:c r="E1070" s="33" t="str">
        <x:v>Yes</x:v>
      </x:c>
      <x:c r="F1070" s="33" t="str">
        <x:v>Transactional</x:v>
      </x:c>
      <x:c r="G1070" s="33" t="str">
        <x:v>CORE</x:v>
      </x:c>
      <x:c r="H1070" s="33" t="str">
        <x:v>Yes</x:v>
      </x:c>
      <x:c r="I1070" s="33" t="str">
        <x:v>P-2 validated evidence chain.</x:v>
      </x:c>
    </x:row>
    <x:row r="1071">
      <x:c r="A1071" s="33" t="str">
        <x:v>EVD610</x:v>
      </x:c>
      <x:c r="B1071" s="33" t="str">
        <x:v>AUD561</x:v>
      </x:c>
      <x:c r="C1071" s="33" t="str">
        <x:v>Waste SOP, collector agreement/receipts and segregation logs</x:v>
      </x:c>
      <x:c r="D1071" s="33" t="str">
        <x:v>Document</x:v>
      </x:c>
      <x:c r="E1071" s="33" t="str">
        <x:v>Yes</x:v>
      </x:c>
      <x:c r="F1071" s="33" t="str">
        <x:v>Statutory</x:v>
      </x:c>
      <x:c r="G1071" s="33" t="str">
        <x:v>CORE</x:v>
      </x:c>
      <x:c r="H1071" s="33" t="str">
        <x:v>Yes</x:v>
      </x:c>
      <x:c r="I1071" s="33" t="str">
        <x:v>P-3 primary evidence.</x:v>
      </x:c>
    </x:row>
    <x:row r="1072">
      <x:c r="A1072" s="33" t="str">
        <x:v>EVD611</x:v>
      </x:c>
      <x:c r="B1072" s="33" t="str">
        <x:v>AUD562</x:v>
      </x:c>
      <x:c r="C1072" s="33" t="str">
        <x:v>Interview/sample corroboration, photographs or system extract</x:v>
      </x:c>
      <x:c r="D1072" s="33" t="str">
        <x:v>Report</x:v>
      </x:c>
      <x:c r="E1072" s="33" t="str">
        <x:v>Yes</x:v>
      </x:c>
      <x:c r="F1072" s="33" t="str">
        <x:v>Operational</x:v>
      </x:c>
      <x:c r="G1072" s="33" t="str">
        <x:v>CORE</x:v>
      </x:c>
      <x:c r="H1072" s="33" t="str">
        <x:v>Yes</x:v>
      </x:c>
      <x:c r="I1072" s="33" t="str">
        <x:v>P-3 operating-effectiveness evidence.</x:v>
      </x:c>
    </x:row>
    <x:row r="1073">
      <x:c r="A1073" s="33" t="str">
        <x:v>EVD612</x:v>
      </x:c>
      <x:c r="B1073" s="33" t="str">
        <x:v>AUD563</x:v>
      </x:c>
      <x:c r="C1073" s="33" t="str">
        <x:v>Threshold assessment, water bills, waste measurements and portal/EBWGR records</x:v>
      </x:c>
      <x:c r="D1073" s="33" t="str">
        <x:v>Report</x:v>
      </x:c>
      <x:c r="E1073" s="33" t="str">
        <x:v>Yes</x:v>
      </x:c>
      <x:c r="F1073" s="33" t="str">
        <x:v>Statutory</x:v>
      </x:c>
      <x:c r="G1073" s="33" t="str">
        <x:v>CORE</x:v>
      </x:c>
      <x:c r="H1073" s="33" t="str">
        <x:v>Yes</x:v>
      </x:c>
      <x:c r="I1073" s="33" t="str">
        <x:v>P-3 primary evidence.</x:v>
      </x:c>
    </x:row>
    <x:row r="1074">
      <x:c r="A1074" s="33" t="str">
        <x:v>EVD613</x:v>
      </x:c>
      <x:c r="B1074" s="33" t="str">
        <x:v>AUD564</x:v>
      </x:c>
      <x:c r="C1074" s="33" t="str">
        <x:v>Interview/sample corroboration, photographs or system extract</x:v>
      </x:c>
      <x:c r="D1074" s="33" t="str">
        <x:v>Report</x:v>
      </x:c>
      <x:c r="E1074" s="33" t="str">
        <x:v>Yes</x:v>
      </x:c>
      <x:c r="F1074" s="33" t="str">
        <x:v>Operational</x:v>
      </x:c>
      <x:c r="G1074" s="33" t="str">
        <x:v>CORE</x:v>
      </x:c>
      <x:c r="H1074" s="33" t="str">
        <x:v>Yes</x:v>
      </x:c>
      <x:c r="I1074" s="33" t="str">
        <x:v>P-3 operating-effectiveness evidence.</x:v>
      </x:c>
    </x:row>
    <x:row r="1075">
      <x:c r="A1075" s="33" t="str">
        <x:v>EVD614</x:v>
      </x:c>
      <x:c r="B1075" s="33" t="str">
        <x:v>AUD565</x:v>
      </x:c>
      <x:c r="C1075" s="33" t="str">
        <x:v>Plastic waste logs, handover receipts and compliant packaging declarations</x:v>
      </x:c>
      <x:c r="D1075" s="33" t="str">
        <x:v>Record</x:v>
      </x:c>
      <x:c r="E1075" s="33" t="str">
        <x:v>Yes</x:v>
      </x:c>
      <x:c r="F1075" s="33" t="str">
        <x:v>Statutory</x:v>
      </x:c>
      <x:c r="G1075" s="33" t="str">
        <x:v>CORE</x:v>
      </x:c>
      <x:c r="H1075" s="33" t="str">
        <x:v>Yes</x:v>
      </x:c>
      <x:c r="I1075" s="33" t="str">
        <x:v>P-3 primary evidence.</x:v>
      </x:c>
    </x:row>
    <x:row r="1076">
      <x:c r="A1076" s="33" t="str">
        <x:v>EVD615</x:v>
      </x:c>
      <x:c r="B1076" s="33" t="str">
        <x:v>AUD566</x:v>
      </x:c>
      <x:c r="C1076" s="33" t="str">
        <x:v>Interview/sample corroboration, photographs or system extract</x:v>
      </x:c>
      <x:c r="D1076" s="33" t="str">
        <x:v>Report</x:v>
      </x:c>
      <x:c r="E1076" s="33" t="str">
        <x:v>Yes</x:v>
      </x:c>
      <x:c r="F1076" s="33" t="str">
        <x:v>Operational</x:v>
      </x:c>
      <x:c r="G1076" s="33" t="str">
        <x:v>CORE</x:v>
      </x:c>
      <x:c r="H1076" s="33" t="str">
        <x:v>Yes</x:v>
      </x:c>
      <x:c r="I1076" s="33" t="str">
        <x:v>P-3 operating-effectiveness evidence.</x:v>
      </x:c>
    </x:row>
    <x:row r="1077">
      <x:c r="A1077" s="33" t="str">
        <x:v>EVD616</x:v>
      </x:c>
      <x:c r="B1077" s="33" t="str">
        <x:v>AUD567</x:v>
      </x:c>
      <x:c r="C1077" s="33" t="str">
        <x:v>Battery replacement log and authorised handover receipt</x:v>
      </x:c>
      <x:c r="D1077" s="33" t="str">
        <x:v>Record</x:v>
      </x:c>
      <x:c r="E1077" s="33" t="str">
        <x:v>Yes</x:v>
      </x:c>
      <x:c r="F1077" s="33" t="str">
        <x:v>Statutory</x:v>
      </x:c>
      <x:c r="G1077" s="33" t="str">
        <x:v>CORE</x:v>
      </x:c>
      <x:c r="H1077" s="33" t="str">
        <x:v>Yes</x:v>
      </x:c>
      <x:c r="I1077" s="33" t="str">
        <x:v>P-3 primary evidence.</x:v>
      </x:c>
    </x:row>
    <x:row r="1078">
      <x:c r="A1078" s="33" t="str">
        <x:v>EVD617</x:v>
      </x:c>
      <x:c r="B1078" s="33" t="str">
        <x:v>AUD568</x:v>
      </x:c>
      <x:c r="C1078" s="33" t="str">
        <x:v>Interview/sample corroboration, photographs or system extract</x:v>
      </x:c>
      <x:c r="D1078" s="33" t="str">
        <x:v>Report</x:v>
      </x:c>
      <x:c r="E1078" s="33" t="str">
        <x:v>Yes</x:v>
      </x:c>
      <x:c r="F1078" s="33" t="str">
        <x:v>Operational</x:v>
      </x:c>
      <x:c r="G1078" s="33" t="str">
        <x:v>CORE</x:v>
      </x:c>
      <x:c r="H1078" s="33" t="str">
        <x:v>Yes</x:v>
      </x:c>
      <x:c r="I1078" s="33" t="str">
        <x:v>P-3 operating-effectiveness evidence.</x:v>
      </x:c>
    </x:row>
    <x:row r="1079">
      <x:c r="A1079" s="33" t="str">
        <x:v>EVD618</x:v>
      </x:c>
      <x:c r="B1079" s="33" t="str">
        <x:v>AUD569</x:v>
      </x:c>
      <x:c r="C1079" s="33" t="str">
        <x:v>EEE inventory, threshold worksheet and registered-recipient handover receipts</x:v>
      </x:c>
      <x:c r="D1079" s="33" t="str">
        <x:v>Inventory Record</x:v>
      </x:c>
      <x:c r="E1079" s="33" t="str">
        <x:v>Yes</x:v>
      </x:c>
      <x:c r="F1079" s="33" t="str">
        <x:v>Statutory</x:v>
      </x:c>
      <x:c r="G1079" s="33" t="str">
        <x:v>CORE</x:v>
      </x:c>
      <x:c r="H1079" s="33" t="str">
        <x:v>Yes</x:v>
      </x:c>
      <x:c r="I1079" s="33" t="str">
        <x:v>P-3 primary evidence.</x:v>
      </x:c>
    </x:row>
    <x:row r="1080">
      <x:c r="A1080" s="33" t="str">
        <x:v>EVD619</x:v>
      </x:c>
      <x:c r="B1080" s="33" t="str">
        <x:v>AUD570</x:v>
      </x:c>
      <x:c r="C1080" s="33" t="str">
        <x:v>Interview/sample corroboration, photographs or system extract</x:v>
      </x:c>
      <x:c r="D1080" s="33" t="str">
        <x:v>Report</x:v>
      </x:c>
      <x:c r="E1080" s="33" t="str">
        <x:v>Yes</x:v>
      </x:c>
      <x:c r="F1080" s="33" t="str">
        <x:v>Operational</x:v>
      </x:c>
      <x:c r="G1080" s="33" t="str">
        <x:v>CORE</x:v>
      </x:c>
      <x:c r="H1080" s="33" t="str">
        <x:v>Yes</x:v>
      </x:c>
      <x:c r="I1080" s="33" t="str">
        <x:v>P-3 operating-effectiveness evidence.</x:v>
      </x:c>
    </x:row>
    <x:row r="1081">
      <x:c r="A1081" s="33" t="str">
        <x:v>EVD620</x:v>
      </x:c>
      <x:c r="B1081" s="33" t="str">
        <x:v>AUD571</x:v>
      </x:c>
      <x:c r="C1081" s="33" t="str">
        <x:v>Waste classification, authorization, storage log and manifest</x:v>
      </x:c>
      <x:c r="D1081" s="33" t="str">
        <x:v>Register</x:v>
      </x:c>
      <x:c r="E1081" s="33" t="str">
        <x:v>Yes</x:v>
      </x:c>
      <x:c r="F1081" s="33" t="str">
        <x:v>Statutory</x:v>
      </x:c>
      <x:c r="G1081" s="33" t="str">
        <x:v>CORE</x:v>
      </x:c>
      <x:c r="H1081" s="33" t="str">
        <x:v>Yes</x:v>
      </x:c>
      <x:c r="I1081" s="33" t="str">
        <x:v>P-3 primary evidence.</x:v>
      </x:c>
    </x:row>
    <x:row r="1082">
      <x:c r="A1082" s="33" t="str">
        <x:v>EVD621</x:v>
      </x:c>
      <x:c r="B1082" s="33" t="str">
        <x:v>AUD572</x:v>
      </x:c>
      <x:c r="C1082" s="33" t="str">
        <x:v>Interview/sample corroboration, photographs or system extract</x:v>
      </x:c>
      <x:c r="D1082" s="33" t="str">
        <x:v>Report</x:v>
      </x:c>
      <x:c r="E1082" s="33" t="str">
        <x:v>Yes</x:v>
      </x:c>
      <x:c r="F1082" s="33" t="str">
        <x:v>Operational</x:v>
      </x:c>
      <x:c r="G1082" s="33" t="str">
        <x:v>CORE</x:v>
      </x:c>
      <x:c r="H1082" s="33" t="str">
        <x:v>Yes</x:v>
      </x:c>
      <x:c r="I1082" s="33" t="str">
        <x:v>P-3 operating-effectiveness evidence.</x:v>
      </x:c>
    </x:row>
    <x:row r="1083">
      <x:c r="A1083" s="33" t="str">
        <x:v>EVD622</x:v>
      </x:c>
      <x:c r="B1083" s="33" t="str">
        <x:v>AUD573</x:v>
      </x:c>
      <x:c r="C1083" s="33" t="str">
        <x:v>Applicability assessment, consent order and compliance returns/records</x:v>
      </x:c>
      <x:c r="D1083" s="33" t="str">
        <x:v>Approval</x:v>
      </x:c>
      <x:c r="E1083" s="33" t="str">
        <x:v>Yes</x:v>
      </x:c>
      <x:c r="F1083" s="33" t="str">
        <x:v>Statutory</x:v>
      </x:c>
      <x:c r="G1083" s="33" t="str">
        <x:v>CORE</x:v>
      </x:c>
      <x:c r="H1083" s="33" t="str">
        <x:v>Yes</x:v>
      </x:c>
      <x:c r="I1083" s="33" t="str">
        <x:v>P-3 primary evidence.</x:v>
      </x:c>
    </x:row>
    <x:row r="1084">
      <x:c r="A1084" s="33" t="str">
        <x:v>EVD623</x:v>
      </x:c>
      <x:c r="B1084" s="33" t="str">
        <x:v>AUD574</x:v>
      </x:c>
      <x:c r="C1084" s="33" t="str">
        <x:v>Interview/sample corroboration, photographs or system extract</x:v>
      </x:c>
      <x:c r="D1084" s="33" t="str">
        <x:v>Report</x:v>
      </x:c>
      <x:c r="E1084" s="33" t="str">
        <x:v>Yes</x:v>
      </x:c>
      <x:c r="F1084" s="33" t="str">
        <x:v>Operational</x:v>
      </x:c>
      <x:c r="G1084" s="33" t="str">
        <x:v>CORE</x:v>
      </x:c>
      <x:c r="H1084" s="33" t="str">
        <x:v>Yes</x:v>
      </x:c>
      <x:c r="I1084" s="33" t="str">
        <x:v>P-3 operating-effectiveness evidence.</x:v>
      </x:c>
    </x:row>
    <x:row r="1085">
      <x:c r="A1085" s="33" t="str">
        <x:v>EVD624</x:v>
      </x:c>
      <x:c r="B1085" s="33" t="str">
        <x:v>AUD575</x:v>
      </x:c>
      <x:c r="C1085" s="33" t="str">
        <x:v>Applicability assessment, consent order and emission-source records</x:v>
      </x:c>
      <x:c r="D1085" s="33" t="str">
        <x:v>Approval</x:v>
      </x:c>
      <x:c r="E1085" s="33" t="str">
        <x:v>Yes</x:v>
      </x:c>
      <x:c r="F1085" s="33" t="str">
        <x:v>Statutory</x:v>
      </x:c>
      <x:c r="G1085" s="33" t="str">
        <x:v>CORE</x:v>
      </x:c>
      <x:c r="H1085" s="33" t="str">
        <x:v>Yes</x:v>
      </x:c>
      <x:c r="I1085" s="33" t="str">
        <x:v>P-3 primary evidence.</x:v>
      </x:c>
    </x:row>
    <x:row r="1086">
      <x:c r="A1086" s="33" t="str">
        <x:v>EVD625</x:v>
      </x:c>
      <x:c r="B1086" s="33" t="str">
        <x:v>AUD576</x:v>
      </x:c>
      <x:c r="C1086" s="33" t="str">
        <x:v>Interview/sample corroboration, photographs or system extract</x:v>
      </x:c>
      <x:c r="D1086" s="33" t="str">
        <x:v>Report</x:v>
      </x:c>
      <x:c r="E1086" s="33" t="str">
        <x:v>Yes</x:v>
      </x:c>
      <x:c r="F1086" s="33" t="str">
        <x:v>Operational</x:v>
      </x:c>
      <x:c r="G1086" s="33" t="str">
        <x:v>CORE</x:v>
      </x:c>
      <x:c r="H1086" s="33" t="str">
        <x:v>Yes</x:v>
      </x:c>
      <x:c r="I1086" s="33" t="str">
        <x:v>P-3 operating-effectiveness evidence.</x:v>
      </x:c>
    </x:row>
    <x:row r="1087">
      <x:c r="A1087" s="33" t="str">
        <x:v>EVD626</x:v>
      </x:c>
      <x:c r="B1087" s="33" t="str">
        <x:v>AUD577</x:v>
      </x:c>
      <x:c r="C1087" s="33" t="str">
        <x:v>Project waste plan, photographs and handover receipts</x:v>
      </x:c>
      <x:c r="D1087" s="33" t="str">
        <x:v>Report</x:v>
      </x:c>
      <x:c r="E1087" s="33" t="str">
        <x:v>Yes</x:v>
      </x:c>
      <x:c r="F1087" s="33" t="str">
        <x:v>Statutory</x:v>
      </x:c>
      <x:c r="G1087" s="33" t="str">
        <x:v>CORE</x:v>
      </x:c>
      <x:c r="H1087" s="33" t="str">
        <x:v>Yes</x:v>
      </x:c>
      <x:c r="I1087" s="33" t="str">
        <x:v>P-3 primary evidence.</x:v>
      </x:c>
    </x:row>
    <x:row r="1088">
      <x:c r="A1088" s="33" t="str">
        <x:v>EVD627</x:v>
      </x:c>
      <x:c r="B1088" s="33" t="str">
        <x:v>AUD578</x:v>
      </x:c>
      <x:c r="C1088" s="33" t="str">
        <x:v>Interview/sample corroboration, photographs or system extract</x:v>
      </x:c>
      <x:c r="D1088" s="33" t="str">
        <x:v>Report</x:v>
      </x:c>
      <x:c r="E1088" s="33" t="str">
        <x:v>Yes</x:v>
      </x:c>
      <x:c r="F1088" s="33" t="str">
        <x:v>Operational</x:v>
      </x:c>
      <x:c r="G1088" s="33" t="str">
        <x:v>CORE</x:v>
      </x:c>
      <x:c r="H1088" s="33" t="str">
        <x:v>Yes</x:v>
      </x:c>
      <x:c r="I1088" s="33" t="str">
        <x:v>P-3 operating-effectiveness evidence.</x:v>
      </x:c>
    </x:row>
    <x:row r="1089">
      <x:c r="A1089" s="33" t="str">
        <x:v>EVD628</x:v>
      </x:c>
      <x:c r="B1089" s="33" t="str">
        <x:v>AUD579</x:v>
      </x:c>
      <x:c r="C1089" s="33" t="str">
        <x:v>Minimum-wage notification, employee master and payroll reconciliation</x:v>
      </x:c>
      <x:c r="D1089" s="33" t="str">
        <x:v>Report</x:v>
      </x:c>
      <x:c r="E1089" s="33" t="str">
        <x:v>Yes</x:v>
      </x:c>
      <x:c r="F1089" s="33" t="str">
        <x:v>Statutory</x:v>
      </x:c>
      <x:c r="G1089" s="33" t="str">
        <x:v>CORE</x:v>
      </x:c>
      <x:c r="H1089" s="33" t="str">
        <x:v>Yes</x:v>
      </x:c>
      <x:c r="I1089" s="33" t="str">
        <x:v>P-3 primary evidence.</x:v>
      </x:c>
    </x:row>
    <x:row r="1090">
      <x:c r="A1090" s="33" t="str">
        <x:v>EVD629</x:v>
      </x:c>
      <x:c r="B1090" s="33" t="str">
        <x:v>AUD580</x:v>
      </x:c>
      <x:c r="C1090" s="33" t="str">
        <x:v>Interview/sample corroboration, photographs or system extract</x:v>
      </x:c>
      <x:c r="D1090" s="33" t="str">
        <x:v>Report</x:v>
      </x:c>
      <x:c r="E1090" s="33" t="str">
        <x:v>Yes</x:v>
      </x:c>
      <x:c r="F1090" s="33" t="str">
        <x:v>Operational</x:v>
      </x:c>
      <x:c r="G1090" s="33" t="str">
        <x:v>CORE</x:v>
      </x:c>
      <x:c r="H1090" s="33" t="str">
        <x:v>Yes</x:v>
      </x:c>
      <x:c r="I1090" s="33" t="str">
        <x:v>P-3 operating-effectiveness evidence.</x:v>
      </x:c>
    </x:row>
    <x:row r="1091">
      <x:c r="A1091" s="33" t="str">
        <x:v>EVD630</x:v>
      </x:c>
      <x:c r="B1091" s="33" t="str">
        <x:v>AUD581</x:v>
      </x:c>
      <x:c r="C1091" s="33" t="str">
        <x:v>Payroll register, bank proof and deduction authorisations</x:v>
      </x:c>
      <x:c r="D1091" s="33" t="str">
        <x:v>Register</x:v>
      </x:c>
      <x:c r="E1091" s="33" t="str">
        <x:v>Yes</x:v>
      </x:c>
      <x:c r="F1091" s="33" t="str">
        <x:v>Statutory</x:v>
      </x:c>
      <x:c r="G1091" s="33" t="str">
        <x:v>CORE</x:v>
      </x:c>
      <x:c r="H1091" s="33" t="str">
        <x:v>Yes</x:v>
      </x:c>
      <x:c r="I1091" s="33" t="str">
        <x:v>P-3 primary evidence.</x:v>
      </x:c>
    </x:row>
    <x:row r="1092">
      <x:c r="A1092" s="33" t="str">
        <x:v>EVD631</x:v>
      </x:c>
      <x:c r="B1092" s="33" t="str">
        <x:v>AUD582</x:v>
      </x:c>
      <x:c r="C1092" s="33" t="str">
        <x:v>Interview/sample corroboration, photographs or system extract</x:v>
      </x:c>
      <x:c r="D1092" s="33" t="str">
        <x:v>Report</x:v>
      </x:c>
      <x:c r="E1092" s="33" t="str">
        <x:v>Yes</x:v>
      </x:c>
      <x:c r="F1092" s="33" t="str">
        <x:v>Operational</x:v>
      </x:c>
      <x:c r="G1092" s="33" t="str">
        <x:v>CORE</x:v>
      </x:c>
      <x:c r="H1092" s="33" t="str">
        <x:v>Yes</x:v>
      </x:c>
      <x:c r="I1092" s="33" t="str">
        <x:v>P-3 operating-effectiveness evidence.</x:v>
      </x:c>
    </x:row>
    <x:row r="1093">
      <x:c r="A1093" s="33" t="str">
        <x:v>EVD632</x:v>
      </x:c>
      <x:c r="B1093" s="33" t="str">
        <x:v>AUD583</x:v>
      </x:c>
      <x:c r="C1093" s="33" t="str">
        <x:v>Registers, wage slips, displayed notice and rule-jurisdiction assessment</x:v>
      </x:c>
      <x:c r="D1093" s="33" t="str">
        <x:v>Register</x:v>
      </x:c>
      <x:c r="E1093" s="33" t="str">
        <x:v>Yes</x:v>
      </x:c>
      <x:c r="F1093" s="33" t="str">
        <x:v>Statutory</x:v>
      </x:c>
      <x:c r="G1093" s="33" t="str">
        <x:v>CORE</x:v>
      </x:c>
      <x:c r="H1093" s="33" t="str">
        <x:v>Yes</x:v>
      </x:c>
      <x:c r="I1093" s="33" t="str">
        <x:v>P-3 primary evidence.</x:v>
      </x:c>
    </x:row>
    <x:row r="1094">
      <x:c r="A1094" s="33" t="str">
        <x:v>EVD633</x:v>
      </x:c>
      <x:c r="B1094" s="33" t="str">
        <x:v>AUD584</x:v>
      </x:c>
      <x:c r="C1094" s="33" t="str">
        <x:v>Interview/sample corroboration, photographs or system extract</x:v>
      </x:c>
      <x:c r="D1094" s="33" t="str">
        <x:v>Report</x:v>
      </x:c>
      <x:c r="E1094" s="33" t="str">
        <x:v>Yes</x:v>
      </x:c>
      <x:c r="F1094" s="33" t="str">
        <x:v>Operational</x:v>
      </x:c>
      <x:c r="G1094" s="33" t="str">
        <x:v>CORE</x:v>
      </x:c>
      <x:c r="H1094" s="33" t="str">
        <x:v>Yes</x:v>
      </x:c>
      <x:c r="I1094" s="33" t="str">
        <x:v>P-3 operating-effectiveness evidence.</x:v>
      </x:c>
    </x:row>
    <x:row r="1095">
      <x:c r="A1095" s="33" t="str">
        <x:v>P4EVID001</x:v>
      </x:c>
      <x:c r="B1095" s="33" t="str">
        <x:v>AUD002</x:v>
      </x:c>
      <x:c r="C1095" s="33" t="str">
        <x:v>Documentary and transaction evidence demonstrating: Ensure that no drug is sold, stocked, exhibited or distributed in violation of the Drugs and Cosmetics Act.</x:v>
      </x:c>
      <x:c r="D1095" s="33" t="str">
        <x:v>Record</x:v>
      </x:c>
      <x:c r="E1095" s="33" t="str">
        <x:v>Yes</x:v>
      </x:c>
      <x:c r="F1095" s="33" t="str">
        <x:v>Applicable statutory / operational period</x:v>
      </x:c>
      <x:c r="G1095" s="33" t="str">
        <x:v>P4_VALIDATION</x:v>
      </x:c>
      <x:c r="H1095" s="33" t="str">
        <x:v>Yes</x:v>
      </x:c>
      <x:c r="I1095" s="33" t="str">
        <x:v>P-4 chain-closure evidence; exact document type follows the applicable law, licence or internal control.</x:v>
      </x:c>
    </x:row>
    <x:row r="1096">
      <x:c r="A1096" s="33" t="str">
        <x:v>P4EVID002</x:v>
      </x:c>
      <x:c r="B1096" s="33" t="str">
        <x:v>AUD003</x:v>
      </x:c>
      <x:c r="C1096" s="33" t="str">
        <x:v>Documentary and transaction evidence demonstrating: Ensure that no drug is sold, stocked, exhibited or distributed in violation of the Drugs and Cosmetics Act.</x:v>
      </x:c>
      <x:c r="D1096" s="33" t="str">
        <x:v>Record</x:v>
      </x:c>
      <x:c r="E1096" s="33" t="str">
        <x:v>Yes</x:v>
      </x:c>
      <x:c r="F1096" s="33" t="str">
        <x:v>Applicable statutory / operational period</x:v>
      </x:c>
      <x:c r="G1096" s="33" t="str">
        <x:v>P4_VALIDATION</x:v>
      </x:c>
      <x:c r="H1096" s="33" t="str">
        <x:v>Yes</x:v>
      </x:c>
      <x:c r="I1096" s="33" t="str">
        <x:v>P-4 chain-closure evidence; exact document type follows the applicable law, licence or internal control.</x:v>
      </x:c>
    </x:row>
    <x:row r="1097">
      <x:c r="A1097" s="33" t="str">
        <x:v>P4EVID003</x:v>
      </x:c>
      <x:c r="B1097" s="33" t="str">
        <x:v>AUD005</x:v>
      </x:c>
      <x:c r="C1097" s="33" t="str">
        <x:v>Documentary and transaction evidence demonstrating: Maintain documentary evidence identifying the source of procurement for every drug supplied or stocked.</x:v>
      </x:c>
      <x:c r="D1097" s="33" t="str">
        <x:v>Record</x:v>
      </x:c>
      <x:c r="E1097" s="33" t="str">
        <x:v>Yes</x:v>
      </x:c>
      <x:c r="F1097" s="33" t="str">
        <x:v>Applicable statutory / operational period</x:v>
      </x:c>
      <x:c r="G1097" s="33" t="str">
        <x:v>P4_VALIDATION</x:v>
      </x:c>
      <x:c r="H1097" s="33" t="str">
        <x:v>Yes</x:v>
      </x:c>
      <x:c r="I1097" s="33" t="str">
        <x:v>P-4 chain-closure evidence; exact document type follows the applicable law, licence or internal control.</x:v>
      </x:c>
    </x:row>
    <x:row r="1098">
      <x:c r="A1098" s="33" t="str">
        <x:v>P4EVID004</x:v>
      </x:c>
      <x:c r="B1098" s="33" t="str">
        <x:v>AUD007</x:v>
      </x:c>
      <x:c r="C1098" s="33" t="str">
        <x:v>Documentary and transaction evidence demonstrating: Maintain all statutory registers and records in the prescribed manner.</x:v>
      </x:c>
      <x:c r="D1098" s="33" t="str">
        <x:v>Record</x:v>
      </x:c>
      <x:c r="E1098" s="33" t="str">
        <x:v>Yes</x:v>
      </x:c>
      <x:c r="F1098" s="33" t="str">
        <x:v>Applicable statutory / operational period</x:v>
      </x:c>
      <x:c r="G1098" s="33" t="str">
        <x:v>P4_VALIDATION</x:v>
      </x:c>
      <x:c r="H1098" s="33" t="str">
        <x:v>Yes</x:v>
      </x:c>
      <x:c r="I1098" s="33" t="str">
        <x:v>P-4 chain-closure evidence; exact document type follows the applicable law, licence or internal control.</x:v>
      </x:c>
    </x:row>
    <x:row r="1099">
      <x:c r="A1099" s="33" t="str">
        <x:v>P4EVID005</x:v>
      </x:c>
      <x:c r="B1099" s="33" t="str">
        <x:v>AUD009</x:v>
      </x:c>
      <x:c r="C1099" s="33" t="str">
        <x:v>Documentary and transaction evidence demonstrating: Preserve statutory records for the period prescribed under applicable law.</x:v>
      </x:c>
      <x:c r="D1099" s="33" t="str">
        <x:v>Record</x:v>
      </x:c>
      <x:c r="E1099" s="33" t="str">
        <x:v>Yes</x:v>
      </x:c>
      <x:c r="F1099" s="33" t="str">
        <x:v>Applicable statutory / operational period</x:v>
      </x:c>
      <x:c r="G1099" s="33" t="str">
        <x:v>P4_VALIDATION</x:v>
      </x:c>
      <x:c r="H1099" s="33" t="str">
        <x:v>Yes</x:v>
      </x:c>
      <x:c r="I1099" s="33" t="str">
        <x:v>P-4 chain-closure evidence; exact document type follows the applicable law, licence or internal control.</x:v>
      </x:c>
    </x:row>
    <x:row r="1100">
      <x:c r="A1100" s="33" t="str">
        <x:v>P4EVID006</x:v>
      </x:c>
      <x:c r="B1100" s="33" t="str">
        <x:v>AUD010</x:v>
      </x:c>
      <x:c r="C1100" s="33" t="str">
        <x:v>Documentary and transaction evidence demonstrating: Preserve statutory records for the period prescribed under applicable law.</x:v>
      </x:c>
      <x:c r="D1100" s="33" t="str">
        <x:v>Record</x:v>
      </x:c>
      <x:c r="E1100" s="33" t="str">
        <x:v>Yes</x:v>
      </x:c>
      <x:c r="F1100" s="33" t="str">
        <x:v>Applicable statutory / operational period</x:v>
      </x:c>
      <x:c r="G1100" s="33" t="str">
        <x:v>P4_VALIDATION</x:v>
      </x:c>
      <x:c r="H1100" s="33" t="str">
        <x:v>Yes</x:v>
      </x:c>
      <x:c r="I1100" s="33" t="str">
        <x:v>P-4 chain-closure evidence; exact document type follows the applicable law, licence or internal control.</x:v>
      </x:c>
    </x:row>
    <x:row r="1101">
      <x:c r="A1101" s="33" t="str">
        <x:v>P4EVID007</x:v>
      </x:c>
      <x:c r="B1101" s="33" t="str">
        <x:v>AUD012</x:v>
      </x:c>
      <x:c r="C1101" s="33" t="str">
        <x:v>Documentary and transaction evidence demonstrating: Facilitate inspection by Drug Inspectors and provide access to licensed premises.</x:v>
      </x:c>
      <x:c r="D1101" s="33" t="str">
        <x:v>Record</x:v>
      </x:c>
      <x:c r="E1101" s="33" t="str">
        <x:v>Yes</x:v>
      </x:c>
      <x:c r="F1101" s="33" t="str">
        <x:v>Applicable statutory / operational period</x:v>
      </x:c>
      <x:c r="G1101" s="33" t="str">
        <x:v>P4_VALIDATION</x:v>
      </x:c>
      <x:c r="H1101" s="33" t="str">
        <x:v>Yes</x:v>
      </x:c>
      <x:c r="I1101" s="33" t="str">
        <x:v>P-4 chain-closure evidence; exact document type follows the applicable law, licence or internal control.</x:v>
      </x:c>
    </x:row>
    <x:row r="1102">
      <x:c r="A1102" s="33" t="str">
        <x:v>P4EVID008</x:v>
      </x:c>
      <x:c r="B1102" s="33" t="str">
        <x:v>AUD014</x:v>
      </x:c>
      <x:c r="C1102" s="33" t="str">
        <x:v>Documentary and transaction evidence demonstrating: Cooperate during sample collection and inspection procedures carried out by Drug Inspectors.</x:v>
      </x:c>
      <x:c r="D1102" s="33" t="str">
        <x:v>Record</x:v>
      </x:c>
      <x:c r="E1102" s="33" t="str">
        <x:v>Yes</x:v>
      </x:c>
      <x:c r="F1102" s="33" t="str">
        <x:v>Applicable statutory / operational period</x:v>
      </x:c>
      <x:c r="G1102" s="33" t="str">
        <x:v>P4_VALIDATION</x:v>
      </x:c>
      <x:c r="H1102" s="33" t="str">
        <x:v>Yes</x:v>
      </x:c>
      <x:c r="I1102" s="33" t="str">
        <x:v>P-4 chain-closure evidence; exact document type follows the applicable law, licence or internal control.</x:v>
      </x:c>
    </x:row>
    <x:row r="1103">
      <x:c r="A1103" s="33" t="str">
        <x:v>P4EVID009</x:v>
      </x:c>
      <x:c r="B1103" s="33" t="str">
        <x:v>AUD016</x:v>
      </x:c>
      <x:c r="C1103" s="33" t="str">
        <x:v>Documentary and transaction evidence demonstrating: Prevent sale, stock, exhibition, offer for sale or distribution of drugs in contravention of Section 18.</x:v>
      </x:c>
      <x:c r="D1103" s="33" t="str">
        <x:v>Record</x:v>
      </x:c>
      <x:c r="E1103" s="33" t="str">
        <x:v>Yes</x:v>
      </x:c>
      <x:c r="F1103" s="33" t="str">
        <x:v>Applicable statutory / operational period</x:v>
      </x:c>
      <x:c r="G1103" s="33" t="str">
        <x:v>P4_VALIDATION</x:v>
      </x:c>
      <x:c r="H1103" s="33" t="str">
        <x:v>Yes</x:v>
      </x:c>
      <x:c r="I1103" s="33" t="str">
        <x:v>P-4 chain-closure evidence; exact document type follows the applicable law, licence or internal control.</x:v>
      </x:c>
    </x:row>
    <x:row r="1104">
      <x:c r="A1104" s="33" t="str">
        <x:v>P4EVID010</x:v>
      </x:c>
      <x:c r="B1104" s="33" t="str">
        <x:v>AUD018</x:v>
      </x:c>
      <x:c r="C1104" s="33" t="str">
        <x:v>Documentary and transaction evidence demonstrating: Ensure every cosmetic offered for sale or distribution complies with Rule 33 and the applicable origin, licensing, quality and labelling requirements.</x:v>
      </x:c>
      <x:c r="D1104" s="33" t="str">
        <x:v>Record</x:v>
      </x:c>
      <x:c r="E1104" s="33" t="str">
        <x:v>Yes</x:v>
      </x:c>
      <x:c r="F1104" s="33" t="str">
        <x:v>Applicable statutory / operational period</x:v>
      </x:c>
      <x:c r="G1104" s="33" t="str">
        <x:v>P4_VALIDATION</x:v>
      </x:c>
      <x:c r="H1104" s="33" t="str">
        <x:v>Yes</x:v>
      </x:c>
      <x:c r="I1104" s="33" t="str">
        <x:v>P-4 chain-closure evidence; exact document type follows the applicable law, licence or internal control.</x:v>
      </x:c>
    </x:row>
    <x:row r="1105">
      <x:c r="A1105" s="33" t="str">
        <x:v>P4EVID011</x:v>
      </x:c>
      <x:c r="B1105" s="33" t="str">
        <x:v>AUD020</x:v>
      </x:c>
      <x:c r="C1105" s="33" t="str">
        <x:v>Documentary and transaction evidence demonstrating: Furnish manufacturer/source information lawfully required under Section 18A.</x:v>
      </x:c>
      <x:c r="D1105" s="33" t="str">
        <x:v>Record</x:v>
      </x:c>
      <x:c r="E1105" s="33" t="str">
        <x:v>Yes</x:v>
      </x:c>
      <x:c r="F1105" s="33" t="str">
        <x:v>Applicable statutory / operational period</x:v>
      </x:c>
      <x:c r="G1105" s="33" t="str">
        <x:v>P4_VALIDATION</x:v>
      </x:c>
      <x:c r="H1105" s="33" t="str">
        <x:v>Yes</x:v>
      </x:c>
      <x:c r="I1105" s="33" t="str">
        <x:v>P-4 chain-closure evidence; exact document type follows the applicable law, licence or internal control.</x:v>
      </x:c>
    </x:row>
    <x:row r="1106">
      <x:c r="A1106" s="33" t="str">
        <x:v>P4EVID012</x:v>
      </x:c>
      <x:c r="B1106" s="33" t="str">
        <x:v>AUD022</x:v>
      </x:c>
      <x:c r="C1106" s="33" t="str">
        <x:v>Documentary and transaction evidence demonstrating: Maintain prescribed records and furnish information required under Section 18B.</x:v>
      </x:c>
      <x:c r="D1106" s="33" t="str">
        <x:v>Record</x:v>
      </x:c>
      <x:c r="E1106" s="33" t="str">
        <x:v>Yes</x:v>
      </x:c>
      <x:c r="F1106" s="33" t="str">
        <x:v>Applicable statutory / operational period</x:v>
      </x:c>
      <x:c r="G1106" s="33" t="str">
        <x:v>P4_VALIDATION</x:v>
      </x:c>
      <x:c r="H1106" s="33" t="str">
        <x:v>Yes</x:v>
      </x:c>
      <x:c r="I1106" s="33" t="str">
        <x:v>P-4 chain-closure evidence; exact document type follows the applicable law, licence or internal control.</x:v>
      </x:c>
    </x:row>
    <x:row r="1107">
      <x:c r="A1107" s="33" t="str">
        <x:v>P4EVID013</x:v>
      </x:c>
      <x:c r="B1107" s="33" t="str">
        <x:v>AUD054</x:v>
      </x:c>
      <x:c r="C1107" s="33" t="str">
        <x:v>Documentary and transaction evidence demonstrating: Ensure only pharmacists whose names appear in the State Register are engaged in professional pharmacy practice.</x:v>
      </x:c>
      <x:c r="D1107" s="33" t="str">
        <x:v>Record</x:v>
      </x:c>
      <x:c r="E1107" s="33" t="str">
        <x:v>Yes</x:v>
      </x:c>
      <x:c r="F1107" s="33" t="str">
        <x:v>Applicable statutory / operational period</x:v>
      </x:c>
      <x:c r="G1107" s="33" t="str">
        <x:v>P4_VALIDATION</x:v>
      </x:c>
      <x:c r="H1107" s="33" t="str">
        <x:v>Yes</x:v>
      </x:c>
      <x:c r="I1107" s="33" t="str">
        <x:v>P-4 chain-closure evidence; exact document type follows the applicable law, licence or internal control.</x:v>
      </x:c>
    </x:row>
    <x:row r="1108">
      <x:c r="A1108" s="33" t="str">
        <x:v>P4EVID014</x:v>
      </x:c>
      <x:c r="B1108" s="33" t="str">
        <x:v>AUD056</x:v>
      </x:c>
      <x:c r="C1108" s="33" t="str">
        <x:v>Documentary and transaction evidence demonstrating: Verify and retain evidence of each practising pharmacist's current State Register entry as an internal control supporting the operative registration and dispensing duties.</x:v>
      </x:c>
      <x:c r="D1108" s="33" t="str">
        <x:v>Record</x:v>
      </x:c>
      <x:c r="E1108" s="33" t="str">
        <x:v>Yes</x:v>
      </x:c>
      <x:c r="F1108" s="33" t="str">
        <x:v>Applicable statutory / operational period</x:v>
      </x:c>
      <x:c r="G1108" s="33" t="str">
        <x:v>P4_VALIDATION</x:v>
      </x:c>
      <x:c r="H1108" s="33" t="str">
        <x:v>Yes</x:v>
      </x:c>
      <x:c r="I1108" s="33" t="str">
        <x:v>P-4 chain-closure evidence; exact document type follows the applicable law, licence or internal control.</x:v>
      </x:c>
    </x:row>
    <x:row r="1109">
      <x:c r="A1109" s="33" t="str">
        <x:v>P4EVID015</x:v>
      </x:c>
      <x:c r="B1109" s="33" t="str">
        <x:v>AUD058</x:v>
      </x:c>
      <x:c r="C1109" s="33" t="str">
        <x:v>Documentary and transaction evidence demonstrating: Ensure dispensing activities are carried out under the supervision of a Registered Pharmacist.</x:v>
      </x:c>
      <x:c r="D1109" s="33" t="str">
        <x:v>Record</x:v>
      </x:c>
      <x:c r="E1109" s="33" t="str">
        <x:v>Yes</x:v>
      </x:c>
      <x:c r="F1109" s="33" t="str">
        <x:v>Applicable statutory / operational period</x:v>
      </x:c>
      <x:c r="G1109" s="33" t="str">
        <x:v>P4_VALIDATION</x:v>
      </x:c>
      <x:c r="H1109" s="33" t="str">
        <x:v>Yes</x:v>
      </x:c>
      <x:c r="I1109" s="33" t="str">
        <x:v>P-4 chain-closure evidence; exact document type follows the applicable law, licence or internal control.</x:v>
      </x:c>
    </x:row>
    <x:row r="1110">
      <x:c r="A1110" s="33" t="str">
        <x:v>P4EVID016</x:v>
      </x:c>
      <x:c r="B1110" s="33" t="str">
        <x:v>AUD060</x:v>
      </x:c>
      <x:c r="C1110" s="33" t="str">
        <x:v>Documentary and transaction evidence demonstrating: Ensure pharmacists comply with the professional code of ethics and standards of conduct.</x:v>
      </x:c>
      <x:c r="D1110" s="33" t="str">
        <x:v>Record</x:v>
      </x:c>
      <x:c r="E1110" s="33" t="str">
        <x:v>Yes</x:v>
      </x:c>
      <x:c r="F1110" s="33" t="str">
        <x:v>Applicable statutory / operational period</x:v>
      </x:c>
      <x:c r="G1110" s="33" t="str">
        <x:v>P4_VALIDATION</x:v>
      </x:c>
      <x:c r="H1110" s="33" t="str">
        <x:v>Yes</x:v>
      </x:c>
      <x:c r="I1110" s="33" t="str">
        <x:v>P-4 chain-closure evidence; exact document type follows the applicable law, licence or internal control.</x:v>
      </x:c>
    </x:row>
    <x:row r="1111">
      <x:c r="A1111" s="33" t="str">
        <x:v>P4EVID017</x:v>
      </x:c>
      <x:c r="B1111" s="33" t="str">
        <x:v>AUD062</x:v>
      </x:c>
      <x:c r="C1111" s="33" t="str">
        <x:v>Documentary and transaction evidence demonstrating: Maintain records of continuing professional education and competency development.</x:v>
      </x:c>
      <x:c r="D1111" s="33" t="str">
        <x:v>Record</x:v>
      </x:c>
      <x:c r="E1111" s="33" t="str">
        <x:v>Yes</x:v>
      </x:c>
      <x:c r="F1111" s="33" t="str">
        <x:v>Applicable statutory / operational period</x:v>
      </x:c>
      <x:c r="G1111" s="33" t="str">
        <x:v>P4_VALIDATION</x:v>
      </x:c>
      <x:c r="H1111" s="33" t="str">
        <x:v>Yes</x:v>
      </x:c>
      <x:c r="I1111" s="33" t="str">
        <x:v>P-4 chain-closure evidence; exact document type follows the applicable law, licence or internal control.</x:v>
      </x:c>
    </x:row>
    <x:row r="1112">
      <x:c r="A1112" s="33" t="str">
        <x:v>P4EVID018</x:v>
      </x:c>
      <x:c r="B1112" s="33" t="str">
        <x:v>AUD064</x:v>
      </x:c>
      <x:c r="C1112" s="33" t="str">
        <x:v>Documentary and transaction evidence demonstrating: Display the current scheduled-formulation price list and supplementary list conspicuously at the premises.</x:v>
      </x:c>
      <x:c r="D1112" s="33" t="str">
        <x:v>Record</x:v>
      </x:c>
      <x:c r="E1112" s="33" t="str">
        <x:v>Yes</x:v>
      </x:c>
      <x:c r="F1112" s="33" t="str">
        <x:v>Applicable statutory / operational period</x:v>
      </x:c>
      <x:c r="G1112" s="33" t="str">
        <x:v>P4_VALIDATION</x:v>
      </x:c>
      <x:c r="H1112" s="33" t="str">
        <x:v>Yes</x:v>
      </x:c>
      <x:c r="I1112" s="33" t="str">
        <x:v>P-4 chain-closure evidence; exact document type follows the applicable law, licence or internal control.</x:v>
      </x:c>
    </x:row>
    <x:row r="1113">
      <x:c r="A1113" s="33" t="str">
        <x:v>P4EVID019</x:v>
      </x:c>
      <x:c r="B1113" s="33" t="str">
        <x:v>AUD066</x:v>
      </x:c>
      <x:c r="C1113" s="33" t="str">
        <x:v>Documentary and transaction evidence demonstrating: Display the current non-scheduled-formulation price list conspicuously at the premises.</x:v>
      </x:c>
      <x:c r="D1113" s="33" t="str">
        <x:v>Record</x:v>
      </x:c>
      <x:c r="E1113" s="33" t="str">
        <x:v>Yes</x:v>
      </x:c>
      <x:c r="F1113" s="33" t="str">
        <x:v>Applicable statutory / operational period</x:v>
      </x:c>
      <x:c r="G1113" s="33" t="str">
        <x:v>P4_VALIDATION</x:v>
      </x:c>
      <x:c r="H1113" s="33" t="str">
        <x:v>Yes</x:v>
      </x:c>
      <x:c r="I1113" s="33" t="str">
        <x:v>P-4 chain-closure evidence; exact document type follows the applicable law, licence or internal control.</x:v>
      </x:c>
    </x:row>
    <x:row r="1114">
      <x:c r="A1114" s="33" t="str">
        <x:v>P4EVID020</x:v>
      </x:c>
      <x:c r="B1114" s="33" t="str">
        <x:v>AUD068</x:v>
      </x:c>
      <x:c r="C1114" s="33" t="str">
        <x:v>Documentary and transaction evidence demonstrating: Do not sell a formulation above the lower of the current price-list price or label price, plus applicable local taxes.</x:v>
      </x:c>
      <x:c r="D1114" s="33" t="str">
        <x:v>Record</x:v>
      </x:c>
      <x:c r="E1114" s="33" t="str">
        <x:v>Yes</x:v>
      </x:c>
      <x:c r="F1114" s="33" t="str">
        <x:v>Applicable statutory / operational period</x:v>
      </x:c>
      <x:c r="G1114" s="33" t="str">
        <x:v>P4_VALIDATION</x:v>
      </x:c>
      <x:c r="H1114" s="33" t="str">
        <x:v>Yes</x:v>
      </x:c>
      <x:c r="I1114" s="33" t="str">
        <x:v>P-4 chain-closure evidence; exact document type follows the applicable law, licence or internal control.</x:v>
      </x:c>
    </x:row>
    <x:row r="1115">
      <x:c r="A1115" s="33" t="str">
        <x:v>P4EVID021</x:v>
      </x:c>
      <x:c r="B1115" s="33" t="str">
        <x:v>AUD070</x:v>
      </x:c>
      <x:c r="C1115" s="33" t="str">
        <x:v>Documentary and transaction evidence demonstrating: When selling a split quantity, charge no more than the pro-rata price for that quantity.</x:v>
      </x:c>
      <x:c r="D1115" s="33" t="str">
        <x:v>Record</x:v>
      </x:c>
      <x:c r="E1115" s="33" t="str">
        <x:v>Yes</x:v>
      </x:c>
      <x:c r="F1115" s="33" t="str">
        <x:v>Applicable statutory / operational period</x:v>
      </x:c>
      <x:c r="G1115" s="33" t="str">
        <x:v>P4_VALIDATION</x:v>
      </x:c>
      <x:c r="H1115" s="33" t="str">
        <x:v>Yes</x:v>
      </x:c>
      <x:c r="I1115" s="33" t="str">
        <x:v>P-4 chain-closure evidence; exact document type follows the applicable law, licence or internal control.</x:v>
      </x:c>
    </x:row>
    <x:row r="1116">
      <x:c r="A1116" s="33" t="str">
        <x:v>P4EVID022</x:v>
      </x:c>
      <x:c r="B1116" s="33" t="str">
        <x:v>AUD072</x:v>
      </x:c>
      <x:c r="C1116" s="33" t="str">
        <x:v>Documentary and transaction evidence demonstrating: Do not withhold or refuse sale of a formulation that is available for sale to a customer.</x:v>
      </x:c>
      <x:c r="D1116" s="33" t="str">
        <x:v>Record</x:v>
      </x:c>
      <x:c r="E1116" s="33" t="str">
        <x:v>Yes</x:v>
      </x:c>
      <x:c r="F1116" s="33" t="str">
        <x:v>Applicable statutory / operational period</x:v>
      </x:c>
      <x:c r="G1116" s="33" t="str">
        <x:v>P4_VALIDATION</x:v>
      </x:c>
      <x:c r="H1116" s="33" t="str">
        <x:v>Yes</x:v>
      </x:c>
      <x:c r="I1116" s="33" t="str">
        <x:v>P-4 chain-closure evidence; exact document type follows the applicable law, licence or internal control.</x:v>
      </x:c>
    </x:row>
    <x:row r="1117">
      <x:c r="A1117" s="33" t="str">
        <x:v>P4EVID023</x:v>
      </x:c>
      <x:c r="B1117" s="33" t="str">
        <x:v>AUD074</x:v>
      </x:c>
      <x:c r="C1117" s="33" t="str">
        <x:v>Documentary and transaction evidence demonstrating: Ensure narcotic and psychotropic substances are handled only as permitted under law.</x:v>
      </x:c>
      <x:c r="D1117" s="33" t="str">
        <x:v>Record</x:v>
      </x:c>
      <x:c r="E1117" s="33" t="str">
        <x:v>Yes</x:v>
      </x:c>
      <x:c r="F1117" s="33" t="str">
        <x:v>Applicable statutory / operational period</x:v>
      </x:c>
      <x:c r="G1117" s="33" t="str">
        <x:v>P4_VALIDATION</x:v>
      </x:c>
      <x:c r="H1117" s="33" t="str">
        <x:v>Yes</x:v>
      </x:c>
      <x:c r="I1117" s="33" t="str">
        <x:v>P-4 chain-closure evidence; exact document type follows the applicable law, licence or internal control.</x:v>
      </x:c>
    </x:row>
    <x:row r="1118">
      <x:c r="A1118" s="33" t="str">
        <x:v>P4EVID024</x:v>
      </x:c>
      <x:c r="B1118" s="33" t="str">
        <x:v>AUD084</x:v>
      </x:c>
      <x:c r="C1118" s="33" t="str">
        <x:v>Documentary and transaction evidence demonstrating: Possess Essential Narcotic Drugs only under authorization permitted by Rule 52A.</x:v>
      </x:c>
      <x:c r="D1118" s="33" t="str">
        <x:v>Record</x:v>
      </x:c>
      <x:c r="E1118" s="33" t="str">
        <x:v>Yes</x:v>
      </x:c>
      <x:c r="F1118" s="33" t="str">
        <x:v>Applicable statutory / operational period</x:v>
      </x:c>
      <x:c r="G1118" s="33" t="str">
        <x:v>P4_VALIDATION</x:v>
      </x:c>
      <x:c r="H1118" s="33" t="str">
        <x:v>Yes</x:v>
      </x:c>
      <x:c r="I1118" s="33" t="str">
        <x:v>P-4 chain-closure evidence; exact document type follows the applicable law, licence or internal control.</x:v>
      </x:c>
    </x:row>
    <x:row r="1119">
      <x:c r="A1119" s="33" t="str">
        <x:v>P4EVID025</x:v>
      </x:c>
      <x:c r="B1119" s="33" t="str">
        <x:v>AUD086</x:v>
      </x:c>
      <x:c r="C1119" s="33" t="str">
        <x:v>Documentary and transaction evidence demonstrating: Maintain the applicable State licence as a dealer or chemist for possession and sale of Essential Narcotic Drugs and comply with its conditions.</x:v>
      </x:c>
      <x:c r="D1119" s="33" t="str">
        <x:v>Record</x:v>
      </x:c>
      <x:c r="E1119" s="33" t="str">
        <x:v>Yes</x:v>
      </x:c>
      <x:c r="F1119" s="33" t="str">
        <x:v>Applicable statutory / operational period</x:v>
      </x:c>
      <x:c r="G1119" s="33" t="str">
        <x:v>P4_VALIDATION</x:v>
      </x:c>
      <x:c r="H1119" s="33" t="str">
        <x:v>Yes</x:v>
      </x:c>
      <x:c r="I1119" s="33" t="str">
        <x:v>P-4 chain-closure evidence; exact document type follows the applicable law, licence or internal control.</x:v>
      </x:c>
    </x:row>
    <x:row r="1120">
      <x:c r="A1120" s="33" t="str">
        <x:v>P4EVID026</x:v>
      </x:c>
      <x:c r="B1120" s="33" t="str">
        <x:v>AUD088</x:v>
      </x:c>
      <x:c r="C1120" s="33" t="str">
        <x:v>Documentary and transaction evidence demonstrating: Sell an Essential Narcotic Drug only against a legally valid prescription and in accordance with the Drugs Rules, 1945.</x:v>
      </x:c>
      <x:c r="D1120" s="33" t="str">
        <x:v>Record</x:v>
      </x:c>
      <x:c r="E1120" s="33" t="str">
        <x:v>Yes</x:v>
      </x:c>
      <x:c r="F1120" s="33" t="str">
        <x:v>Applicable statutory / operational period</x:v>
      </x:c>
      <x:c r="G1120" s="33" t="str">
        <x:v>P4_VALIDATION</x:v>
      </x:c>
      <x:c r="H1120" s="33" t="str">
        <x:v>Yes</x:v>
      </x:c>
      <x:c r="I1120" s="33" t="str">
        <x:v>P-4 chain-closure evidence; exact document type follows the applicable law, licence or internal control.</x:v>
      </x:c>
    </x:row>
    <x:row r="1121">
      <x:c r="A1121" s="33" t="str">
        <x:v>P4EVID027</x:v>
      </x:c>
      <x:c r="B1121" s="33" t="str">
        <x:v>AUD090</x:v>
      </x:c>
      <x:c r="C1121" s="33" t="str">
        <x:v>Documentary and transaction evidence demonstrating: Ensure each applicable Essential Narcotic Drug consignment has the prescribed Form 3C documentation and retain supporting documents for two years.</x:v>
      </x:c>
      <x:c r="D1121" s="33" t="str">
        <x:v>Record</x:v>
      </x:c>
      <x:c r="E1121" s="33" t="str">
        <x:v>Yes</x:v>
      </x:c>
      <x:c r="F1121" s="33" t="str">
        <x:v>Applicable statutory / operational period</x:v>
      </x:c>
      <x:c r="G1121" s="33" t="str">
        <x:v>P4_VALIDATION</x:v>
      </x:c>
      <x:c r="H1121" s="33" t="str">
        <x:v>Yes</x:v>
      </x:c>
      <x:c r="I1121" s="33" t="str">
        <x:v>P-4 chain-closure evidence; exact document type follows the applicable law, licence or internal control.</x:v>
      </x:c>
    </x:row>
    <x:row r="1122">
      <x:c r="A1122" s="33" t="str">
        <x:v>P4EVID028</x:v>
      </x:c>
      <x:c r="B1122" s="33" t="str">
        <x:v>AUD092</x:v>
      </x:c>
      <x:c r="C1122" s="33" t="str">
        <x:v>Documentary and transaction evidence demonstrating: Complete the prescribed declaration/documentation and account-book entries for transmission of Essential Narcotic Drugs by post, courier, rail or road.</x:v>
      </x:c>
      <x:c r="D1122" s="33" t="str">
        <x:v>Record</x:v>
      </x:c>
      <x:c r="E1122" s="33" t="str">
        <x:v>Yes</x:v>
      </x:c>
      <x:c r="F1122" s="33" t="str">
        <x:v>Applicable statutory / operational period</x:v>
      </x:c>
      <x:c r="G1122" s="33" t="str">
        <x:v>P4_VALIDATION</x:v>
      </x:c>
      <x:c r="H1122" s="33" t="str">
        <x:v>Yes</x:v>
      </x:c>
      <x:c r="I1122" s="33" t="str">
        <x:v>P-4 chain-closure evidence; exact document type follows the applicable law, licence or internal control.</x:v>
      </x:c>
    </x:row>
    <x:row r="1123">
      <x:c r="A1123" s="33" t="str">
        <x:v>P4EVID029</x:v>
      </x:c>
      <x:c r="B1123" s="33" t="str">
        <x:v>AUD094</x:v>
      </x:c>
      <x:c r="C1123" s="33" t="str">
        <x:v>Documentary and transaction evidence demonstrating: If the establishment is a BMW occupier/generator, implement the Rule 4 occupier programme, including segregation governance, employee training/immunisation, barcoding/traceability where applicable and non-mixing controls.</x:v>
      </x:c>
      <x:c r="D1123" s="33" t="str">
        <x:v>Record</x:v>
      </x:c>
      <x:c r="E1123" s="33" t="str">
        <x:v>Yes</x:v>
      </x:c>
      <x:c r="F1123" s="33" t="str">
        <x:v>Applicable statutory / operational period</x:v>
      </x:c>
      <x:c r="G1123" s="33" t="str">
        <x:v>P4_VALIDATION</x:v>
      </x:c>
      <x:c r="H1123" s="33" t="str">
        <x:v>Yes</x:v>
      </x:c>
      <x:c r="I1123" s="33" t="str">
        <x:v>P-4 chain-closure evidence; exact document type follows the applicable law, licence or internal control.</x:v>
      </x:c>
    </x:row>
    <x:row r="1124">
      <x:c r="A1124" s="33" t="str">
        <x:v>P4EVID030</x:v>
      </x:c>
      <x:c r="B1124" s="33" t="str">
        <x:v>AUD096</x:v>
      </x:c>
      <x:c r="C1124" s="33" t="str">
        <x:v>Documentary and transaction evidence demonstrating: Segregate BMW at the point of generation into the prescribed colour-coded bags/containers, label/package it and keep it separate from municipal waste.</x:v>
      </x:c>
      <x:c r="D1124" s="33" t="str">
        <x:v>Record</x:v>
      </x:c>
      <x:c r="E1124" s="33" t="str">
        <x:v>Yes</x:v>
      </x:c>
      <x:c r="F1124" s="33" t="str">
        <x:v>Applicable statutory / operational period</x:v>
      </x:c>
      <x:c r="G1124" s="33" t="str">
        <x:v>P4_VALIDATION</x:v>
      </x:c>
      <x:c r="H1124" s="33" t="str">
        <x:v>Yes</x:v>
      </x:c>
      <x:c r="I1124" s="33" t="str">
        <x:v>P-4 chain-closure evidence; exact document type follows the applicable law, licence or internal control.</x:v>
      </x:c>
    </x:row>
    <x:row r="1125">
      <x:c r="A1125" s="33" t="str">
        <x:v>P4EVID031</x:v>
      </x:c>
      <x:c r="B1125" s="33" t="str">
        <x:v>AUD098</x:v>
      </x:c>
      <x:c r="C1125" s="33" t="str">
        <x:v>Documentary and transaction evidence demonstrating: Transfer BMW only through the permitted treatment/disposal route, including the authorised common facility where required; do not use ordinary solid-waste disposal.</x:v>
      </x:c>
      <x:c r="D1125" s="33" t="str">
        <x:v>Record</x:v>
      </x:c>
      <x:c r="E1125" s="33" t="str">
        <x:v>Yes</x:v>
      </x:c>
      <x:c r="F1125" s="33" t="str">
        <x:v>Applicable statutory / operational period</x:v>
      </x:c>
      <x:c r="G1125" s="33" t="str">
        <x:v>P4_VALIDATION</x:v>
      </x:c>
      <x:c r="H1125" s="33" t="str">
        <x:v>Yes</x:v>
      </x:c>
      <x:c r="I1125" s="33" t="str">
        <x:v>P-4 chain-closure evidence; exact document type follows the applicable law, licence or internal control.</x:v>
      </x:c>
    </x:row>
    <x:row r="1126">
      <x:c r="A1126" s="33" t="str">
        <x:v>P4EVID032</x:v>
      </x:c>
      <x:c r="B1126" s="33" t="str">
        <x:v>AUD100</x:v>
      </x:c>
      <x:c r="C1126" s="33" t="str">
        <x:v>Documentary and transaction evidence demonstrating: Maintain BMW records; submit Form IV annual report by 30 June for the preceding calendar year; report major accidents in the prescribed form/time.</x:v>
      </x:c>
      <x:c r="D1126" s="33" t="str">
        <x:v>Record</x:v>
      </x:c>
      <x:c r="E1126" s="33" t="str">
        <x:v>Yes</x:v>
      </x:c>
      <x:c r="F1126" s="33" t="str">
        <x:v>Applicable statutory / operational period</x:v>
      </x:c>
      <x:c r="G1126" s="33" t="str">
        <x:v>P4_VALIDATION</x:v>
      </x:c>
      <x:c r="H1126" s="33" t="str">
        <x:v>Yes</x:v>
      </x:c>
      <x:c r="I1126" s="33" t="str">
        <x:v>P-4 chain-closure evidence; exact document type follows the applicable law, licence or internal control.</x:v>
      </x:c>
    </x:row>
    <x:row r="1127">
      <x:c r="A1127" s="33" t="str">
        <x:v>P4EVID033</x:v>
      </x:c>
      <x:c r="B1127" s="33" t="str">
        <x:v>AUD102</x:v>
      </x:c>
      <x:c r="C1127" s="33" t="str">
        <x:v>Documentary and transaction evidence demonstrating: Obtain and maintain BMW authorization in Form II from the prescribed authority before/while handling BMW, irrespective of quantity.</x:v>
      </x:c>
      <x:c r="D1127" s="33" t="str">
        <x:v>Record</x:v>
      </x:c>
      <x:c r="E1127" s="33" t="str">
        <x:v>Yes</x:v>
      </x:c>
      <x:c r="F1127" s="33" t="str">
        <x:v>Applicable statutory / operational period</x:v>
      </x:c>
      <x:c r="G1127" s="33" t="str">
        <x:v>P4_VALIDATION</x:v>
      </x:c>
      <x:c r="H1127" s="33" t="str">
        <x:v>Yes</x:v>
      </x:c>
      <x:c r="I1127" s="33" t="str">
        <x:v>P-4 chain-closure evidence; exact document type follows the applicable law, licence or internal control.</x:v>
      </x:c>
    </x:row>
    <x:row r="1128">
      <x:c r="A1128" s="33" t="str">
        <x:v>P4EVID034</x:v>
      </x:c>
      <x:c r="B1128" s="33" t="str">
        <x:v>AUD103</x:v>
      </x:c>
      <x:c r="C1128" s="33" t="str">
        <x:v>Documentary and transaction evidence demonstrating: Obtain and maintain BMW authorization in Form II from the prescribed authority before/while handling BMW, irrespective of quantity.</x:v>
      </x:c>
      <x:c r="D1128" s="33" t="str">
        <x:v>Record</x:v>
      </x:c>
      <x:c r="E1128" s="33" t="str">
        <x:v>Yes</x:v>
      </x:c>
      <x:c r="F1128" s="33" t="str">
        <x:v>Applicable statutory / operational period</x:v>
      </x:c>
      <x:c r="G1128" s="33" t="str">
        <x:v>P4_VALIDATION</x:v>
      </x:c>
      <x:c r="H1128" s="33" t="str">
        <x:v>Yes</x:v>
      </x:c>
      <x:c r="I1128" s="33" t="str">
        <x:v>P-4 chain-closure evidence; exact document type follows the applicable law, licence or internal control.</x:v>
      </x:c>
    </x:row>
    <x:row r="1129">
      <x:c r="A1129" s="33" t="str">
        <x:v>P4EVID035</x:v>
      </x:c>
      <x:c r="B1129" s="33" t="str">
        <x:v>AUD104</x:v>
      </x:c>
      <x:c r="C1129" s="33" t="str">
        <x:v>Documentary and transaction evidence demonstrating: Obtain and maintain BMW authorization in Form II from the prescribed authority before/while handling BMW, irrespective of quantity.</x:v>
      </x:c>
      <x:c r="D1129" s="33" t="str">
        <x:v>Record</x:v>
      </x:c>
      <x:c r="E1129" s="33" t="str">
        <x:v>Yes</x:v>
      </x:c>
      <x:c r="F1129" s="33" t="str">
        <x:v>Applicable statutory / operational period</x:v>
      </x:c>
      <x:c r="G1129" s="33" t="str">
        <x:v>P4_VALIDATION</x:v>
      </x:c>
      <x:c r="H1129" s="33" t="str">
        <x:v>Yes</x:v>
      </x:c>
      <x:c r="I1129" s="33" t="str">
        <x:v>P-4 chain-closure evidence; exact document type follows the applicable law, licence or internal control.</x:v>
      </x:c>
    </x:row>
    <x:row r="1130">
      <x:c r="A1130" s="33" t="str">
        <x:v>P4EVID036</x:v>
      </x:c>
      <x:c r="B1130" s="33" t="str">
        <x:v>AUD105</x:v>
      </x:c>
      <x:c r="C1130" s="33" t="str">
        <x:v>Documentary and transaction evidence demonstrating: Obtain and maintain BMW authorization in Form II from the prescribed authority before/while handling BMW, irrespective of quantity.</x:v>
      </x:c>
      <x:c r="D1130" s="33" t="str">
        <x:v>Record</x:v>
      </x:c>
      <x:c r="E1130" s="33" t="str">
        <x:v>Yes</x:v>
      </x:c>
      <x:c r="F1130" s="33" t="str">
        <x:v>Applicable statutory / operational period</x:v>
      </x:c>
      <x:c r="G1130" s="33" t="str">
        <x:v>P4_VALIDATION</x:v>
      </x:c>
      <x:c r="H1130" s="33" t="str">
        <x:v>Yes</x:v>
      </x:c>
      <x:c r="I1130" s="33" t="str">
        <x:v>P-4 chain-closure evidence; exact document type follows the applicable law, licence or internal control.</x:v>
      </x:c>
    </x:row>
    <x:row r="1131">
      <x:c r="A1131" s="33" t="str">
        <x:v>P4EVID037</x:v>
      </x:c>
      <x:c r="B1131" s="33" t="str">
        <x:v>AUD117</x:v>
      </x:c>
      <x:c r="C1131" s="33" t="str">
        <x:v>Documentary and transaction evidence demonstrating: Assess current EPF coverage under the Social Security Code/notifications and complete registration when the establishment trigger is met.</x:v>
      </x:c>
      <x:c r="D1131" s="33" t="str">
        <x:v>Record</x:v>
      </x:c>
      <x:c r="E1131" s="33" t="str">
        <x:v>Yes</x:v>
      </x:c>
      <x:c r="F1131" s="33" t="str">
        <x:v>Applicable statutory / operational period</x:v>
      </x:c>
      <x:c r="G1131" s="33" t="str">
        <x:v>P4_VALIDATION</x:v>
      </x:c>
      <x:c r="H1131" s="33" t="str">
        <x:v>Yes</x:v>
      </x:c>
      <x:c r="I1131" s="33" t="str">
        <x:v>P-4 chain-closure evidence; exact document type follows the applicable law, licence or internal control.</x:v>
      </x:c>
    </x:row>
    <x:row r="1132">
      <x:c r="A1132" s="33" t="str">
        <x:v>P4EVID038</x:v>
      </x:c>
      <x:c r="B1132" s="33" t="str">
        <x:v>AUD119</x:v>
      </x:c>
      <x:c r="C1132" s="33" t="str">
        <x:v>Documentary and transaction evidence demonstrating: For covered employees, compute, deduct and remit provident-fund contributions under the current Code, 2026 Rules and applicable scheme/notifications.</x:v>
      </x:c>
      <x:c r="D1132" s="33" t="str">
        <x:v>Record</x:v>
      </x:c>
      <x:c r="E1132" s="33" t="str">
        <x:v>Yes</x:v>
      </x:c>
      <x:c r="F1132" s="33" t="str">
        <x:v>Applicable statutory / operational period</x:v>
      </x:c>
      <x:c r="G1132" s="33" t="str">
        <x:v>P4_VALIDATION</x:v>
      </x:c>
      <x:c r="H1132" s="33" t="str">
        <x:v>Yes</x:v>
      </x:c>
      <x:c r="I1132" s="33" t="str">
        <x:v>P-4 chain-closure evidence; exact document type follows the applicable law, licence or internal control.</x:v>
      </x:c>
    </x:row>
    <x:row r="1133">
      <x:c r="A1133" s="33" t="str">
        <x:v>P4EVID039</x:v>
      </x:c>
      <x:c r="B1133" s="33" t="str">
        <x:v>AUD121</x:v>
      </x:c>
      <x:c r="C1133" s="33" t="str">
        <x:v>Documentary and transaction evidence demonstrating: Maintain complete EPF membership, wage, nomination, contribution and electronic filing records for covered employees.</x:v>
      </x:c>
      <x:c r="D1133" s="33" t="str">
        <x:v>Record</x:v>
      </x:c>
      <x:c r="E1133" s="33" t="str">
        <x:v>Yes</x:v>
      </x:c>
      <x:c r="F1133" s="33" t="str">
        <x:v>Applicable statutory / operational period</x:v>
      </x:c>
      <x:c r="G1133" s="33" t="str">
        <x:v>P4_VALIDATION</x:v>
      </x:c>
      <x:c r="H1133" s="33" t="str">
        <x:v>Yes</x:v>
      </x:c>
      <x:c r="I1133" s="33" t="str">
        <x:v>P-4 chain-closure evidence; exact document type follows the applicable law, licence or internal control.</x:v>
      </x:c>
    </x:row>
    <x:row r="1134">
      <x:c r="A1134" s="33" t="str">
        <x:v>P4EVID040</x:v>
      </x:c>
      <x:c r="B1134" s="33" t="str">
        <x:v>AUD123</x:v>
      </x:c>
      <x:c r="C1134" s="33" t="str">
        <x:v>Documentary and transaction evidence demonstrating: Deposit EPF contributions and submit the applicable electronic return/challan within the current prescribed monthly timeline.</x:v>
      </x:c>
      <x:c r="D1134" s="33" t="str">
        <x:v>Record</x:v>
      </x:c>
      <x:c r="E1134" s="33" t="str">
        <x:v>Yes</x:v>
      </x:c>
      <x:c r="F1134" s="33" t="str">
        <x:v>Applicable statutory / operational period</x:v>
      </x:c>
      <x:c r="G1134" s="33" t="str">
        <x:v>P4_VALIDATION</x:v>
      </x:c>
      <x:c r="H1134" s="33" t="str">
        <x:v>Yes</x:v>
      </x:c>
      <x:c r="I1134" s="33" t="str">
        <x:v>P-4 chain-closure evidence; exact document type follows the applicable law, licence or internal control.</x:v>
      </x:c>
    </x:row>
    <x:row r="1135">
      <x:c r="A1135" s="33" t="str">
        <x:v>P4EVID041</x:v>
      </x:c>
      <x:c r="B1135" s="33" t="str">
        <x:v>AUD125</x:v>
      </x:c>
      <x:c r="C1135" s="33" t="str">
        <x:v>Documentary and transaction evidence demonstrating: Preserve and produce applicable provident-fund records for the period prescribed by the current Code/Rules/scheme; do not rely on an unsupported generic period.</x:v>
      </x:c>
      <x:c r="D1135" s="33" t="str">
        <x:v>Record</x:v>
      </x:c>
      <x:c r="E1135" s="33" t="str">
        <x:v>Yes</x:v>
      </x:c>
      <x:c r="F1135" s="33" t="str">
        <x:v>Applicable statutory / operational period</x:v>
      </x:c>
      <x:c r="G1135" s="33" t="str">
        <x:v>P4_VALIDATION</x:v>
      </x:c>
      <x:c r="H1135" s="33" t="str">
        <x:v>Yes</x:v>
      </x:c>
      <x:c r="I1135" s="33" t="str">
        <x:v>P-4 chain-closure evidence; exact document type follows the applicable law, licence or internal control.</x:v>
      </x:c>
    </x:row>
    <x:row r="1136">
      <x:c r="A1136" s="33" t="str">
        <x:v>P4EVID042</x:v>
      </x:c>
      <x:c r="B1136" s="33" t="str">
        <x:v>AUD127</x:v>
      </x:c>
      <x:c r="C1136" s="33" t="str">
        <x:v>Documentary and transaction evidence demonstrating: Assess current ESI coverage under the Social Security Code/notifications and register the establishment and covered employees when triggered.</x:v>
      </x:c>
      <x:c r="D1136" s="33" t="str">
        <x:v>Record</x:v>
      </x:c>
      <x:c r="E1136" s="33" t="str">
        <x:v>Yes</x:v>
      </x:c>
      <x:c r="F1136" s="33" t="str">
        <x:v>Applicable statutory / operational period</x:v>
      </x:c>
      <x:c r="G1136" s="33" t="str">
        <x:v>P4_VALIDATION</x:v>
      </x:c>
      <x:c r="H1136" s="33" t="str">
        <x:v>Yes</x:v>
      </x:c>
      <x:c r="I1136" s="33" t="str">
        <x:v>P-4 chain-closure evidence; exact document type follows the applicable law, licence or internal control.</x:v>
      </x:c>
    </x:row>
    <x:row r="1137">
      <x:c r="A1137" s="33" t="str">
        <x:v>P4EVID043</x:v>
      </x:c>
      <x:c r="B1137" s="33" t="str">
        <x:v>AUD129</x:v>
      </x:c>
      <x:c r="C1137" s="33" t="str">
        <x:v>Documentary and transaction evidence demonstrating: For covered employees, compute, deduct and remit ESI contributions within the current prescribed timeline.</x:v>
      </x:c>
      <x:c r="D1137" s="33" t="str">
        <x:v>Record</x:v>
      </x:c>
      <x:c r="E1137" s="33" t="str">
        <x:v>Yes</x:v>
      </x:c>
      <x:c r="F1137" s="33" t="str">
        <x:v>Applicable statutory / operational period</x:v>
      </x:c>
      <x:c r="G1137" s="33" t="str">
        <x:v>P4_VALIDATION</x:v>
      </x:c>
      <x:c r="H1137" s="33" t="str">
        <x:v>Yes</x:v>
      </x:c>
      <x:c r="I1137" s="33" t="str">
        <x:v>P-4 chain-closure evidence; exact document type follows the applicable law, licence or internal control.</x:v>
      </x:c>
    </x:row>
    <x:row r="1138">
      <x:c r="A1138" s="33" t="str">
        <x:v>P4EVID044</x:v>
      </x:c>
      <x:c r="B1138" s="33" t="str">
        <x:v>AUD131</x:v>
      </x:c>
      <x:c r="C1138" s="33" t="str">
        <x:v>Documentary and transaction evidence demonstrating: Maintain complete ESI registration, wage, contribution, accident and benefit-supporting records for covered employees.</x:v>
      </x:c>
      <x:c r="D1138" s="33" t="str">
        <x:v>Record</x:v>
      </x:c>
      <x:c r="E1138" s="33" t="str">
        <x:v>Yes</x:v>
      </x:c>
      <x:c r="F1138" s="33" t="str">
        <x:v>Applicable statutory / operational period</x:v>
      </x:c>
      <x:c r="G1138" s="33" t="str">
        <x:v>P4_VALIDATION</x:v>
      </x:c>
      <x:c r="H1138" s="33" t="str">
        <x:v>Yes</x:v>
      </x:c>
      <x:c r="I1138" s="33" t="str">
        <x:v>P-4 chain-closure evidence; exact document type follows the applicable law, licence or internal control.</x:v>
      </x:c>
    </x:row>
    <x:row r="1139">
      <x:c r="A1139" s="33" t="str">
        <x:v>P4EVID045</x:v>
      </x:c>
      <x:c r="B1139" s="33" t="str">
        <x:v>AUD133</x:v>
      </x:c>
      <x:c r="C1139" s="33" t="str">
        <x:v>Documentary and transaction evidence demonstrating: Submit the applicable ESI electronic contribution filing/declaration at the frequency and due date prescribed for the establishment.</x:v>
      </x:c>
      <x:c r="D1139" s="33" t="str">
        <x:v>Record</x:v>
      </x:c>
      <x:c r="E1139" s="33" t="str">
        <x:v>Yes</x:v>
      </x:c>
      <x:c r="F1139" s="33" t="str">
        <x:v>Applicable statutory / operational period</x:v>
      </x:c>
      <x:c r="G1139" s="33" t="str">
        <x:v>P4_VALIDATION</x:v>
      </x:c>
      <x:c r="H1139" s="33" t="str">
        <x:v>Yes</x:v>
      </x:c>
      <x:c r="I1139" s="33" t="str">
        <x:v>P-4 chain-closure evidence; exact document type follows the applicable law, licence or internal control.</x:v>
      </x:c>
    </x:row>
    <x:row r="1140">
      <x:c r="A1140" s="33" t="str">
        <x:v>P4EVID046</x:v>
      </x:c>
      <x:c r="B1140" s="33" t="str">
        <x:v>AUD135</x:v>
      </x:c>
      <x:c r="C1140" s="33" t="str">
        <x:v>Documentary and transaction evidence demonstrating: Produce applicable EPF/ESI records to an authorised inspector-cum-facilitator or authority when lawfully demanded.</x:v>
      </x:c>
      <x:c r="D1140" s="33" t="str">
        <x:v>Record</x:v>
      </x:c>
      <x:c r="E1140" s="33" t="str">
        <x:v>Yes</x:v>
      </x:c>
      <x:c r="F1140" s="33" t="str">
        <x:v>Applicable statutory / operational period</x:v>
      </x:c>
      <x:c r="G1140" s="33" t="str">
        <x:v>P4_VALIDATION</x:v>
      </x:c>
      <x:c r="H1140" s="33" t="str">
        <x:v>Yes</x:v>
      </x:c>
      <x:c r="I1140" s="33" t="str">
        <x:v>P-4 chain-closure evidence; exact document type follows the applicable law, licence or internal control.</x:v>
      </x:c>
    </x:row>
    <x:row r="1141">
      <x:c r="A1141" s="33" t="str">
        <x:v>P4EVID047</x:v>
      </x:c>
      <x:c r="B1141" s="33" t="str">
        <x:v>AUD137</x:v>
      </x:c>
      <x:c r="C1141" s="33" t="str">
        <x:v>Documentary and transaction evidence demonstrating: Assess CGST/SGST registration liability by turnover, compulsory-registration and voluntary-registration rules; register in each required State before/within the statutory timeline.</x:v>
      </x:c>
      <x:c r="D1141" s="33" t="str">
        <x:v>Record</x:v>
      </x:c>
      <x:c r="E1141" s="33" t="str">
        <x:v>Yes</x:v>
      </x:c>
      <x:c r="F1141" s="33" t="str">
        <x:v>Applicable statutory / operational period</x:v>
      </x:c>
      <x:c r="G1141" s="33" t="str">
        <x:v>P4_VALIDATION</x:v>
      </x:c>
      <x:c r="H1141" s="33" t="str">
        <x:v>Yes</x:v>
      </x:c>
      <x:c r="I1141" s="33" t="str">
        <x:v>P-4 chain-closure evidence; exact document type follows the applicable law, licence or internal control.</x:v>
      </x:c>
    </x:row>
    <x:row r="1142">
      <x:c r="A1142" s="33" t="str">
        <x:v>P4EVID048</x:v>
      </x:c>
      <x:c r="B1142" s="33" t="str">
        <x:v>AUD139</x:v>
      </x:c>
      <x:c r="C1142" s="33" t="str">
        <x:v>Documentary and transaction evidence demonstrating: Issue the correct GST tax invoice, bill of supply or credit/debit document with prescribed particulars for each applicable supply.</x:v>
      </x:c>
      <x:c r="D1142" s="33" t="str">
        <x:v>Record</x:v>
      </x:c>
      <x:c r="E1142" s="33" t="str">
        <x:v>Yes</x:v>
      </x:c>
      <x:c r="F1142" s="33" t="str">
        <x:v>Applicable statutory / operational period</x:v>
      </x:c>
      <x:c r="G1142" s="33" t="str">
        <x:v>P4_VALIDATION</x:v>
      </x:c>
      <x:c r="H1142" s="33" t="str">
        <x:v>Yes</x:v>
      </x:c>
      <x:c r="I1142" s="33" t="str">
        <x:v>P-4 chain-closure evidence; exact document type follows the applicable law, licence or internal control.</x:v>
      </x:c>
    </x:row>
    <x:row r="1143">
      <x:c r="A1143" s="33" t="str">
        <x:v>P4EVID049</x:v>
      </x:c>
      <x:c r="B1143" s="33" t="str">
        <x:v>AUD141</x:v>
      </x:c>
      <x:c r="C1143" s="33" t="str">
        <x:v>Documentary and transaction evidence demonstrating: Maintain the prescribed GST accounts, invoices, e-way/e-invoice records and supporting documents for the applicable retention period.</x:v>
      </x:c>
      <x:c r="D1143" s="33" t="str">
        <x:v>Record</x:v>
      </x:c>
      <x:c r="E1143" s="33" t="str">
        <x:v>Yes</x:v>
      </x:c>
      <x:c r="F1143" s="33" t="str">
        <x:v>Applicable statutory / operational period</x:v>
      </x:c>
      <x:c r="G1143" s="33" t="str">
        <x:v>P4_VALIDATION</x:v>
      </x:c>
      <x:c r="H1143" s="33" t="str">
        <x:v>Yes</x:v>
      </x:c>
      <x:c r="I1143" s="33" t="str">
        <x:v>P-4 chain-closure evidence; exact document type follows the applicable law, licence or internal control.</x:v>
      </x:c>
    </x:row>
    <x:row r="1144">
      <x:c r="A1144" s="33" t="str">
        <x:v>P4EVID050</x:v>
      </x:c>
      <x:c r="B1144" s="33" t="str">
        <x:v>AUD143</x:v>
      </x:c>
      <x:c r="C1144" s="33" t="str">
        <x:v>Documentary and transaction evidence demonstrating: File only the GST returns/statements applicable to the taxpayer profile and scheme at the notified frequency and due date.</x:v>
      </x:c>
      <x:c r="D1144" s="33" t="str">
        <x:v>Record</x:v>
      </x:c>
      <x:c r="E1144" s="33" t="str">
        <x:v>Yes</x:v>
      </x:c>
      <x:c r="F1144" s="33" t="str">
        <x:v>Applicable statutory / operational period</x:v>
      </x:c>
      <x:c r="G1144" s="33" t="str">
        <x:v>P4_VALIDATION</x:v>
      </x:c>
      <x:c r="H1144" s="33" t="str">
        <x:v>Yes</x:v>
      </x:c>
      <x:c r="I1144" s="33" t="str">
        <x:v>P-4 chain-closure evidence; exact document type follows the applicable law, licence or internal control.</x:v>
      </x:c>
    </x:row>
    <x:row r="1145">
      <x:c r="A1145" s="33" t="str">
        <x:v>P4EVID051</x:v>
      </x:c>
      <x:c r="B1145" s="33" t="str">
        <x:v>AUD145</x:v>
      </x:c>
      <x:c r="C1145" s="33" t="str">
        <x:v>Documentary and transaction evidence demonstrating: Discharge self-assessed GST, interest and other liability through the electronic ledgers by the due date applicable to the return/scheme.</x:v>
      </x:c>
      <x:c r="D1145" s="33" t="str">
        <x:v>Record</x:v>
      </x:c>
      <x:c r="E1145" s="33" t="str">
        <x:v>Yes</x:v>
      </x:c>
      <x:c r="F1145" s="33" t="str">
        <x:v>Applicable statutory / operational period</x:v>
      </x:c>
      <x:c r="G1145" s="33" t="str">
        <x:v>P4_VALIDATION</x:v>
      </x:c>
      <x:c r="H1145" s="33" t="str">
        <x:v>Yes</x:v>
      </x:c>
      <x:c r="I1145" s="33" t="str">
        <x:v>P-4 chain-closure evidence; exact document type follows the applicable law, licence or internal control.</x:v>
      </x:c>
    </x:row>
    <x:row r="1146">
      <x:c r="A1146" s="33" t="str">
        <x:v>P4EVID052</x:v>
      </x:c>
      <x:c r="B1146" s="33" t="str">
        <x:v>AUD147</x:v>
      </x:c>
      <x:c r="C1146" s="33" t="str">
        <x:v>Documentary and transaction evidence demonstrating: File the return of income for Tax Year 2026-27 onward under section 263 of the Income-tax Act, 2025 using the applicable Income-tax Rules, 2026 form and due date.</x:v>
      </x:c>
      <x:c r="D1146" s="33" t="str">
        <x:v>Record</x:v>
      </x:c>
      <x:c r="E1146" s="33" t="str">
        <x:v>Yes</x:v>
      </x:c>
      <x:c r="F1146" s="33" t="str">
        <x:v>Applicable statutory / operational period</x:v>
      </x:c>
      <x:c r="G1146" s="33" t="str">
        <x:v>P4_VALIDATION</x:v>
      </x:c>
      <x:c r="H1146" s="33" t="str">
        <x:v>Yes</x:v>
      </x:c>
      <x:c r="I1146" s="33" t="str">
        <x:v>P-4 chain-closure evidence; exact document type follows the applicable law, licence or internal control.</x:v>
      </x:c>
    </x:row>
    <x:row r="1147">
      <x:c r="A1147" s="33" t="str">
        <x:v>P4EVID053</x:v>
      </x:c>
      <x:c r="B1147" s="33" t="str">
        <x:v>AUD149</x:v>
      </x:c>
      <x:c r="C1147" s="33" t="str">
        <x:v>Documentary and transaction evidence demonstrating: Deduct, deposit and report salary withholding under the Income-tax Act, 2025 and Income-tax Rules, 2026 for payments governed by the new Act.</x:v>
      </x:c>
      <x:c r="D1147" s="33" t="str">
        <x:v>Record</x:v>
      </x:c>
      <x:c r="E1147" s="33" t="str">
        <x:v>Yes</x:v>
      </x:c>
      <x:c r="F1147" s="33" t="str">
        <x:v>Applicable statutory / operational period</x:v>
      </x:c>
      <x:c r="G1147" s="33" t="str">
        <x:v>P4_VALIDATION</x:v>
      </x:c>
      <x:c r="H1147" s="33" t="str">
        <x:v>Yes</x:v>
      </x:c>
      <x:c r="I1147" s="33" t="str">
        <x:v>P-4 chain-closure evidence; exact document type follows the applicable law, licence or internal control.</x:v>
      </x:c>
    </x:row>
    <x:row r="1148">
      <x:c r="A1148" s="33" t="str">
        <x:v>P4EVID054</x:v>
      </x:c>
      <x:c r="B1148" s="33" t="str">
        <x:v>AUD151</x:v>
      </x:c>
      <x:c r="C1148" s="33" t="str">
        <x:v>Documentary and transaction evidence demonstrating: For applicable payments/receipts on or after 1 April 2026, use the relevant section 393/394 table item, deduct/collect, deposit and report under the current Rules.</x:v>
      </x:c>
      <x:c r="D1148" s="33" t="str">
        <x:v>Record</x:v>
      </x:c>
      <x:c r="E1148" s="33" t="str">
        <x:v>Yes</x:v>
      </x:c>
      <x:c r="F1148" s="33" t="str">
        <x:v>Applicable statutory / operational period</x:v>
      </x:c>
      <x:c r="G1148" s="33" t="str">
        <x:v>P4_VALIDATION</x:v>
      </x:c>
      <x:c r="H1148" s="33" t="str">
        <x:v>Yes</x:v>
      </x:c>
      <x:c r="I1148" s="33" t="str">
        <x:v>P-4 chain-closure evidence; exact document type follows the applicable law, licence or internal control.</x:v>
      </x:c>
    </x:row>
    <x:row r="1149">
      <x:c r="A1149" s="33" t="str">
        <x:v>P4EVID055</x:v>
      </x:c>
      <x:c r="B1149" s="33" t="str">
        <x:v>AUD153</x:v>
      </x:c>
      <x:c r="C1149" s="33" t="str">
        <x:v>Documentary and transaction evidence demonstrating: Maintain the books and documents required by the Income-tax Act, 2025 and Rules, 2026 for the entity/business profile.</x:v>
      </x:c>
      <x:c r="D1149" s="33" t="str">
        <x:v>Record</x:v>
      </x:c>
      <x:c r="E1149" s="33" t="str">
        <x:v>Yes</x:v>
      </x:c>
      <x:c r="F1149" s="33" t="str">
        <x:v>Applicable statutory / operational period</x:v>
      </x:c>
      <x:c r="G1149" s="33" t="str">
        <x:v>P4_VALIDATION</x:v>
      </x:c>
      <x:c r="H1149" s="33" t="str">
        <x:v>Yes</x:v>
      </x:c>
      <x:c r="I1149" s="33" t="str">
        <x:v>P-4 chain-closure evidence; exact document type follows the applicable law, licence or internal control.</x:v>
      </x:c>
    </x:row>
    <x:row r="1150">
      <x:c r="A1150" s="33" t="str">
        <x:v>P4EVID056</x:v>
      </x:c>
      <x:c r="B1150" s="33" t="str">
        <x:v>AUD155</x:v>
      </x:c>
      <x:c r="C1150" s="33" t="str">
        <x:v>Documentary and transaction evidence demonstrating: Obtain and furnish a tax-audit report only where the current statutory threshold/condition applies.</x:v>
      </x:c>
      <x:c r="D1150" s="33" t="str">
        <x:v>Record</x:v>
      </x:c>
      <x:c r="E1150" s="33" t="str">
        <x:v>Yes</x:v>
      </x:c>
      <x:c r="F1150" s="33" t="str">
        <x:v>Applicable statutory / operational period</x:v>
      </x:c>
      <x:c r="G1150" s="33" t="str">
        <x:v>P4_VALIDATION</x:v>
      </x:c>
      <x:c r="H1150" s="33" t="str">
        <x:v>Yes</x:v>
      </x:c>
      <x:c r="I1150" s="33" t="str">
        <x:v>P-4 chain-closure evidence; exact document type follows the applicable law, licence or internal control.</x:v>
      </x:c>
    </x:row>
    <x:row r="1151">
      <x:c r="A1151" s="33" t="str">
        <x:v>P4EVID057</x:v>
      </x:c>
      <x:c r="B1151" s="33" t="str">
        <x:v>AUD156</x:v>
      </x:c>
      <x:c r="C1151" s="33" t="str">
        <x:v>Documentary and transaction evidence demonstrating: Obtain and furnish a tax-audit report only where the current statutory threshold/condition applies.</x:v>
      </x:c>
      <x:c r="D1151" s="33" t="str">
        <x:v>Record</x:v>
      </x:c>
      <x:c r="E1151" s="33" t="str">
        <x:v>Yes</x:v>
      </x:c>
      <x:c r="F1151" s="33" t="str">
        <x:v>Applicable statutory / operational period</x:v>
      </x:c>
      <x:c r="G1151" s="33" t="str">
        <x:v>P4_VALIDATION</x:v>
      </x:c>
      <x:c r="H1151" s="33" t="str">
        <x:v>Yes</x:v>
      </x:c>
      <x:c r="I1151" s="33" t="str">
        <x:v>P-4 chain-closure evidence; exact document type follows the applicable law, licence or internal control.</x:v>
      </x:c>
    </x:row>
    <x:row r="1152">
      <x:c r="A1152" s="33" t="str">
        <x:v>P4EVID058</x:v>
      </x:c>
      <x:c r="B1152" s="33" t="str">
        <x:v>AUD157</x:v>
      </x:c>
      <x:c r="C1152" s="33" t="str">
        <x:v>Documentary and transaction evidence demonstrating: Obtain and furnish a tax-audit report only where the current statutory threshold/condition applies.</x:v>
      </x:c>
      <x:c r="D1152" s="33" t="str">
        <x:v>Record</x:v>
      </x:c>
      <x:c r="E1152" s="33" t="str">
        <x:v>Yes</x:v>
      </x:c>
      <x:c r="F1152" s="33" t="str">
        <x:v>Applicable statutory / operational period</x:v>
      </x:c>
      <x:c r="G1152" s="33" t="str">
        <x:v>P4_VALIDATION</x:v>
      </x:c>
      <x:c r="H1152" s="33" t="str">
        <x:v>Yes</x:v>
      </x:c>
      <x:c r="I1152" s="33" t="str">
        <x:v>P-4 chain-closure evidence; exact document type follows the applicable law, licence or internal control.</x:v>
      </x:c>
    </x:row>
    <x:row r="1153">
      <x:c r="A1153" s="33" t="str">
        <x:v>P4EVID059</x:v>
      </x:c>
      <x:c r="B1153" s="33" t="str">
        <x:v>AUD159</x:v>
      </x:c>
      <x:c r="C1153" s="33" t="str">
        <x:v>Documentary and transaction evidence demonstrating: Before dispensing Schedule H/H1/X, verify the prescription is written, signed and dated, identifies the patient, amount and dose, follows repeat directions, is seller-annotated, and is not substituted.</x:v>
      </x:c>
      <x:c r="D1153" s="33" t="str">
        <x:v>Record</x:v>
      </x:c>
      <x:c r="E1153" s="33" t="str">
        <x:v>Yes</x:v>
      </x:c>
      <x:c r="F1153" s="33" t="str">
        <x:v>Applicable statutory / operational period</x:v>
      </x:c>
      <x:c r="G1153" s="33" t="str">
        <x:v>P4_VALIDATION</x:v>
      </x:c>
      <x:c r="H1153" s="33" t="str">
        <x:v>Yes</x:v>
      </x:c>
      <x:c r="I1153" s="33" t="str">
        <x:v>P-4 chain-closure evidence; exact document type follows the applicable law, licence or internal control.</x:v>
      </x:c>
    </x:row>
    <x:row r="1154">
      <x:c r="A1154" s="33" t="str">
        <x:v>P4EVID060</x:v>
      </x:c>
      <x:c r="B1154" s="33" t="str">
        <x:v>AUD161</x:v>
      </x:c>
      <x:c r="C1154" s="33" t="str">
        <x:v>Documentary and transaction evidence demonstrating: Ensure compounding and non-wholesale supply of a drug on prescription is performed by or under the personal supervision of a registered pharmacist.</x:v>
      </x:c>
      <x:c r="D1154" s="33" t="str">
        <x:v>Record</x:v>
      </x:c>
      <x:c r="E1154" s="33" t="str">
        <x:v>Yes</x:v>
      </x:c>
      <x:c r="F1154" s="33" t="str">
        <x:v>Applicable statutory / operational period</x:v>
      </x:c>
      <x:c r="G1154" s="33" t="str">
        <x:v>P4_VALIDATION</x:v>
      </x:c>
      <x:c r="H1154" s="33" t="str">
        <x:v>Yes</x:v>
      </x:c>
      <x:c r="I1154" s="33" t="str">
        <x:v>P-4 chain-closure evidence; exact document type follows the applicable law, licence or internal control.</x:v>
      </x:c>
    </x:row>
    <x:row r="1155">
      <x:c r="A1155" s="33" t="str">
        <x:v>P4EVID061</x:v>
      </x:c>
      <x:c r="B1155" s="33" t="str">
        <x:v>AUD163</x:v>
      </x:c>
      <x:c r="C1155" s="33" t="str">
        <x:v>Documentary and transaction evidence demonstrating: Review prescriptions for legality, completeness and clinical appropriateness before dispensing medicines.</x:v>
      </x:c>
      <x:c r="D1155" s="33" t="str">
        <x:v>Record</x:v>
      </x:c>
      <x:c r="E1155" s="33" t="str">
        <x:v>Yes</x:v>
      </x:c>
      <x:c r="F1155" s="33" t="str">
        <x:v>Applicable statutory / operational period</x:v>
      </x:c>
      <x:c r="G1155" s="33" t="str">
        <x:v>P4_VALIDATION</x:v>
      </x:c>
      <x:c r="H1155" s="33" t="str">
        <x:v>Yes</x:v>
      </x:c>
      <x:c r="I1155" s="33" t="str">
        <x:v>P-4 chain-closure evidence; exact document type follows the applicable law, licence or internal control.</x:v>
      </x:c>
    </x:row>
    <x:row r="1156">
      <x:c r="A1156" s="33" t="str">
        <x:v>P4EVID062</x:v>
      </x:c>
      <x:c r="B1156" s="33" t="str">
        <x:v>AUD165</x:v>
      </x:c>
      <x:c r="C1156" s="33" t="str">
        <x:v>Documentary and transaction evidence demonstrating: Produce Rule 65 registers and records to an Inspector on demand and preserve them for at least two years from the last entry unless a specific three-year or transaction-based period applies.</x:v>
      </x:c>
      <x:c r="D1156" s="33" t="str">
        <x:v>Record</x:v>
      </x:c>
      <x:c r="E1156" s="33" t="str">
        <x:v>Yes</x:v>
      </x:c>
      <x:c r="F1156" s="33" t="str">
        <x:v>Applicable statutory / operational period</x:v>
      </x:c>
      <x:c r="G1156" s="33" t="str">
        <x:v>P4_VALIDATION</x:v>
      </x:c>
      <x:c r="H1156" s="33" t="str">
        <x:v>Yes</x:v>
      </x:c>
      <x:c r="I1156" s="33" t="str">
        <x:v>P-4 chain-closure evidence; exact document type follows the applicable law, licence or internal control.</x:v>
      </x:c>
    </x:row>
    <x:row r="1157">
      <x:c r="A1157" s="33" t="str">
        <x:v>P4EVID063</x:v>
      </x:c>
      <x:c r="B1157" s="33" t="str">
        <x:v>AUD167</x:v>
      </x:c>
      <x:c r="C1157" s="33" t="str">
        <x:v>Documentary and transaction evidence demonstrating: Perform a documented risk-based review of Schedule H1/X dispensing and inventory movements to identify unusual patterns; this is an internal best-practice control, not a statutory monthly register duty.</x:v>
      </x:c>
      <x:c r="D1157" s="33" t="str">
        <x:v>Record</x:v>
      </x:c>
      <x:c r="E1157" s="33" t="str">
        <x:v>Yes</x:v>
      </x:c>
      <x:c r="F1157" s="33" t="str">
        <x:v>Applicable statutory / operational period</x:v>
      </x:c>
      <x:c r="G1157" s="33" t="str">
        <x:v>P4_VALIDATION</x:v>
      </x:c>
      <x:c r="H1157" s="33" t="str">
        <x:v>Yes</x:v>
      </x:c>
      <x:c r="I1157" s="33" t="str">
        <x:v>P-4 chain-closure evidence; exact document type follows the applicable law, licence or internal control.</x:v>
      </x:c>
    </x:row>
    <x:row r="1158">
      <x:c r="A1158" s="33" t="str">
        <x:v>P4EVID064</x:v>
      </x:c>
      <x:c r="B1158" s="33" t="str">
        <x:v>AUD169</x:v>
      </x:c>
      <x:c r="C1158" s="33" t="str">
        <x:v>Documentary and transaction evidence demonstrating: Design consumer-facing sale and service practices to avoid unfair trade practices and respect the statutory consumer-rights baseline.</x:v>
      </x:c>
      <x:c r="D1158" s="33" t="str">
        <x:v>Record</x:v>
      </x:c>
      <x:c r="E1158" s="33" t="str">
        <x:v>Yes</x:v>
      </x:c>
      <x:c r="F1158" s="33" t="str">
        <x:v>Applicable statutory / operational period</x:v>
      </x:c>
      <x:c r="G1158" s="33" t="str">
        <x:v>P4_VALIDATION</x:v>
      </x:c>
      <x:c r="H1158" s="33" t="str">
        <x:v>Yes</x:v>
      </x:c>
      <x:c r="I1158" s="33" t="str">
        <x:v>P-4 chain-closure evidence; exact document type follows the applicable law, licence or internal control.</x:v>
      </x:c>
    </x:row>
    <x:row r="1159">
      <x:c r="A1159" s="33" t="str">
        <x:v>P4EVID065</x:v>
      </x:c>
      <x:c r="B1159" s="33" t="str">
        <x:v>AUD171</x:v>
      </x:c>
      <x:c r="C1159" s="33" t="str">
        <x:v>Documentary and transaction evidence demonstrating: Respond to a lawful CCPA investigation and implement an applicable recall, reimbursement, discontinuance or modification order.</x:v>
      </x:c>
      <x:c r="D1159" s="33" t="str">
        <x:v>Record</x:v>
      </x:c>
      <x:c r="E1159" s="33" t="str">
        <x:v>Yes</x:v>
      </x:c>
      <x:c r="F1159" s="33" t="str">
        <x:v>Applicable statutory / operational period</x:v>
      </x:c>
      <x:c r="G1159" s="33" t="str">
        <x:v>P4_VALIDATION</x:v>
      </x:c>
      <x:c r="H1159" s="33" t="str">
        <x:v>Yes</x:v>
      </x:c>
      <x:c r="I1159" s="33" t="str">
        <x:v>P-4 chain-closure evidence; exact document type follows the applicable law, licence or internal control.</x:v>
      </x:c>
    </x:row>
    <x:row r="1160">
      <x:c r="A1160" s="33" t="str">
        <x:v>P4EVID066</x:v>
      </x:c>
      <x:c r="B1160" s="33" t="str">
        <x:v>AUD173</x:v>
      </x:c>
      <x:c r="C1160" s="33" t="str">
        <x:v>Documentary and transaction evidence demonstrating: Do not engage in a practice falling within section 2(47), including false representations, deceptive price claims or refusal to issue a bill where required.</x:v>
      </x:c>
      <x:c r="D1160" s="33" t="str">
        <x:v>Record</x:v>
      </x:c>
      <x:c r="E1160" s="33" t="str">
        <x:v>Yes</x:v>
      </x:c>
      <x:c r="F1160" s="33" t="str">
        <x:v>Applicable statutory / operational period</x:v>
      </x:c>
      <x:c r="G1160" s="33" t="str">
        <x:v>P4_VALIDATION</x:v>
      </x:c>
      <x:c r="H1160" s="33" t="str">
        <x:v>Yes</x:v>
      </x:c>
      <x:c r="I1160" s="33" t="str">
        <x:v>P-4 chain-closure evidence; exact document type follows the applicable law, licence or internal control.</x:v>
      </x:c>
    </x:row>
    <x:row r="1161">
      <x:c r="A1161" s="33" t="str">
        <x:v>P4EVID067</x:v>
      </x:c>
      <x:c r="B1161" s="33" t="str">
        <x:v>AUD175</x:v>
      </x:c>
      <x:c r="C1161" s="33" t="str">
        <x:v>Documentary and transaction evidence demonstrating: Do not cause a false or misleading advertisement and comply with any CCPA discontinuance/modification direction.</x:v>
      </x:c>
      <x:c r="D1161" s="33" t="str">
        <x:v>Record</x:v>
      </x:c>
      <x:c r="E1161" s="33" t="str">
        <x:v>Yes</x:v>
      </x:c>
      <x:c r="F1161" s="33" t="str">
        <x:v>Applicable statutory / operational period</x:v>
      </x:c>
      <x:c r="G1161" s="33" t="str">
        <x:v>P4_VALIDATION</x:v>
      </x:c>
      <x:c r="H1161" s="33" t="str">
        <x:v>Yes</x:v>
      </x:c>
      <x:c r="I1161" s="33" t="str">
        <x:v>P-4 chain-closure evidence; exact document type follows the applicable law, licence or internal control.</x:v>
      </x:c>
    </x:row>
    <x:row r="1162">
      <x:c r="A1162" s="33" t="str">
        <x:v>P4EVID068</x:v>
      </x:c>
      <x:c r="B1162" s="33" t="str">
        <x:v>AUD177</x:v>
      </x:c>
      <x:c r="C1162" s="33" t="str">
        <x:v>Documentary and transaction evidence demonstrating: If operating in an e-commerce role, display required identity/seller information, appoint the prescribed grievance/nodal contact and operate the complaint mechanism under Rules 4-5.</x:v>
      </x:c>
      <x:c r="D1162" s="33" t="str">
        <x:v>Record</x:v>
      </x:c>
      <x:c r="E1162" s="33" t="str">
        <x:v>Yes</x:v>
      </x:c>
      <x:c r="F1162" s="33" t="str">
        <x:v>Applicable statutory / operational period</x:v>
      </x:c>
      <x:c r="G1162" s="33" t="str">
        <x:v>P4_VALIDATION</x:v>
      </x:c>
      <x:c r="H1162" s="33" t="str">
        <x:v>Yes</x:v>
      </x:c>
      <x:c r="I1162" s="33" t="str">
        <x:v>P-4 chain-closure evidence; exact document type follows the applicable law, licence or internal control.</x:v>
      </x:c>
    </x:row>
    <x:row r="1163">
      <x:c r="A1163" s="33" t="str">
        <x:v>P4EVID069</x:v>
      </x:c>
      <x:c r="B1163" s="33" t="str">
        <x:v>AUD179</x:v>
      </x:c>
      <x:c r="C1163" s="33" t="str">
        <x:v>Documentary and transaction evidence demonstrating: Where a regulated weighing/measuring instrument is used, obtain verification/stamping and keep it valid before transactional use.</x:v>
      </x:c>
      <x:c r="D1163" s="33" t="str">
        <x:v>Record</x:v>
      </x:c>
      <x:c r="E1163" s="33" t="str">
        <x:v>Yes</x:v>
      </x:c>
      <x:c r="F1163" s="33" t="str">
        <x:v>Applicable statutory / operational period</x:v>
      </x:c>
      <x:c r="G1163" s="33" t="str">
        <x:v>P4_VALIDATION</x:v>
      </x:c>
      <x:c r="H1163" s="33" t="str">
        <x:v>Yes</x:v>
      </x:c>
      <x:c r="I1163" s="33" t="str">
        <x:v>P-4 chain-closure evidence; exact document type follows the applicable law, licence or internal control.</x:v>
      </x:c>
    </x:row>
    <x:row r="1164">
      <x:c r="A1164" s="33" t="str">
        <x:v>P4EVID070</x:v>
      </x:c>
      <x:c r="B1164" s="33" t="str">
        <x:v>AUD181</x:v>
      </x:c>
      <x:c r="C1164" s="33" t="str">
        <x:v>Documentary and transaction evidence demonstrating: Do not use a non-standard or required-but-unverified weight/measure; retain the verification certificate/stamp evidence.</x:v>
      </x:c>
      <x:c r="D1164" s="33" t="str">
        <x:v>Record</x:v>
      </x:c>
      <x:c r="E1164" s="33" t="str">
        <x:v>Yes</x:v>
      </x:c>
      <x:c r="F1164" s="33" t="str">
        <x:v>Applicable statutory / operational period</x:v>
      </x:c>
      <x:c r="G1164" s="33" t="str">
        <x:v>P4_VALIDATION</x:v>
      </x:c>
      <x:c r="H1164" s="33" t="str">
        <x:v>Yes</x:v>
      </x:c>
      <x:c r="I1164" s="33" t="str">
        <x:v>P-4 chain-closure evidence; exact document type follows the applicable law, licence or internal control.</x:v>
      </x:c>
    </x:row>
    <x:row r="1165">
      <x:c r="A1165" s="33" t="str">
        <x:v>P4EVID071</x:v>
      </x:c>
      <x:c r="B1165" s="33" t="str">
        <x:v>AUD183</x:v>
      </x:c>
      <x:c r="C1165" s="33" t="str">
        <x:v>Documentary and transaction evidence demonstrating: Permit lawful legal-metrology inspection and produce the covered instrument and records when required by an authorised officer.</x:v>
      </x:c>
      <x:c r="D1165" s="33" t="str">
        <x:v>Record</x:v>
      </x:c>
      <x:c r="E1165" s="33" t="str">
        <x:v>Yes</x:v>
      </x:c>
      <x:c r="F1165" s="33" t="str">
        <x:v>Applicable statutory / operational period</x:v>
      </x:c>
      <x:c r="G1165" s="33" t="str">
        <x:v>P4_VALIDATION</x:v>
      </x:c>
      <x:c r="H1165" s="33" t="str">
        <x:v>Yes</x:v>
      </x:c>
      <x:c r="I1165" s="33" t="str">
        <x:v>P-4 chain-closure evidence; exact document type follows the applicable law, licence or internal control.</x:v>
      </x:c>
    </x:row>
    <x:row r="1166">
      <x:c r="A1166" s="33" t="str">
        <x:v>P4EVID072</x:v>
      </x:c>
      <x:c r="B1166" s="33" t="str">
        <x:v>AUD185</x:v>
      </x:c>
      <x:c r="C1166" s="33" t="str">
        <x:v>Documentary and transaction evidence demonstrating: Do not sell, distribute, deliver, display or store for sale a pre-packaged commodity unless the package complies with the Act and Rules.</x:v>
      </x:c>
      <x:c r="D1166" s="33" t="str">
        <x:v>Record</x:v>
      </x:c>
      <x:c r="E1166" s="33" t="str">
        <x:v>Yes</x:v>
      </x:c>
      <x:c r="F1166" s="33" t="str">
        <x:v>Applicable statutory / operational period</x:v>
      </x:c>
      <x:c r="G1166" s="33" t="str">
        <x:v>P4_VALIDATION</x:v>
      </x:c>
      <x:c r="H1166" s="33" t="str">
        <x:v>Yes</x:v>
      </x:c>
      <x:c r="I1166" s="33" t="str">
        <x:v>P-4 chain-closure evidence; exact document type follows the applicable law, licence or internal control.</x:v>
      </x:c>
    </x:row>
    <x:row r="1167">
      <x:c r="A1167" s="33" t="str">
        <x:v>P4EVID073</x:v>
      </x:c>
      <x:c r="B1167" s="33" t="str">
        <x:v>AUD187</x:v>
      </x:c>
      <x:c r="C1167" s="33" t="str">
        <x:v>Documentary and transaction evidence demonstrating: Do not sell an applicable packaged commodity above its declared retail sale price.</x:v>
      </x:c>
      <x:c r="D1167" s="33" t="str">
        <x:v>Record</x:v>
      </x:c>
      <x:c r="E1167" s="33" t="str">
        <x:v>Yes</x:v>
      </x:c>
      <x:c r="F1167" s="33" t="str">
        <x:v>Applicable statutory / operational period</x:v>
      </x:c>
      <x:c r="G1167" s="33" t="str">
        <x:v>P4_VALIDATION</x:v>
      </x:c>
      <x:c r="H1167" s="33" t="str">
        <x:v>Yes</x:v>
      </x:c>
      <x:c r="I1167" s="33" t="str">
        <x:v>P-4 chain-closure evidence; exact document type follows the applicable law, licence or internal control.</x:v>
      </x:c>
    </x:row>
    <x:row r="1168">
      <x:c r="A1168" s="33" t="str">
        <x:v>P4EVID074</x:v>
      </x:c>
      <x:c r="B1168" s="33" t="str">
        <x:v>AUD189</x:v>
      </x:c>
      <x:c r="C1168" s="33" t="str">
        <x:v>Documentary and transaction evidence demonstrating: For e-commerce sale of applicable pre-packaged commodities, display the prescribed Rule 6 declarations on the digital/electronic network.</x:v>
      </x:c>
      <x:c r="D1168" s="33" t="str">
        <x:v>Record</x:v>
      </x:c>
      <x:c r="E1168" s="33" t="str">
        <x:v>Yes</x:v>
      </x:c>
      <x:c r="F1168" s="33" t="str">
        <x:v>Applicable statutory / operational period</x:v>
      </x:c>
      <x:c r="G1168" s="33" t="str">
        <x:v>P4_VALIDATION</x:v>
      </x:c>
      <x:c r="H1168" s="33" t="str">
        <x:v>Yes</x:v>
      </x:c>
      <x:c r="I1168" s="33" t="str">
        <x:v>P-4 chain-closure evidence; exact document type follows the applicable law, licence or internal control.</x:v>
      </x:c>
    </x:row>
    <x:row r="1169">
      <x:c r="A1169" s="33" t="str">
        <x:v>P4EVID075</x:v>
      </x:c>
      <x:c r="B1169" s="33" t="str">
        <x:v>AUD191</x:v>
      </x:c>
      <x:c r="C1169" s="33" t="str">
        <x:v>Documentary and transaction evidence demonstrating: If handling SPDI, publish the prescribed privacy policy and operate a documented reasonable-security programme/standard with periodic review.</x:v>
      </x:c>
      <x:c r="D1169" s="33" t="str">
        <x:v>Record</x:v>
      </x:c>
      <x:c r="E1169" s="33" t="str">
        <x:v>Yes</x:v>
      </x:c>
      <x:c r="F1169" s="33" t="str">
        <x:v>Applicable statutory / operational period</x:v>
      </x:c>
      <x:c r="G1169" s="33" t="str">
        <x:v>P4_VALIDATION</x:v>
      </x:c>
      <x:c r="H1169" s="33" t="str">
        <x:v>Yes</x:v>
      </x:c>
      <x:c r="I1169" s="33" t="str">
        <x:v>P-4 chain-closure evidence; exact document type follows the applicable law, licence or internal control.</x:v>
      </x:c>
    </x:row>
    <x:row r="1170">
      <x:c r="A1170" s="33" t="str">
        <x:v>P4EVID076</x:v>
      </x:c>
      <x:c r="B1170" s="33" t="str">
        <x:v>AUD193</x:v>
      </x:c>
      <x:c r="C1170" s="33" t="str">
        <x:v>Documentary and transaction evidence demonstrating: For SPDI, obtain consent, give required collection information, limit purpose/retention and provide review/correction mechanisms.</x:v>
      </x:c>
      <x:c r="D1170" s="33" t="str">
        <x:v>Record</x:v>
      </x:c>
      <x:c r="E1170" s="33" t="str">
        <x:v>Yes</x:v>
      </x:c>
      <x:c r="F1170" s="33" t="str">
        <x:v>Applicable statutory / operational period</x:v>
      </x:c>
      <x:c r="G1170" s="33" t="str">
        <x:v>P4_VALIDATION</x:v>
      </x:c>
      <x:c r="H1170" s="33" t="str">
        <x:v>Yes</x:v>
      </x:c>
      <x:c r="I1170" s="33" t="str">
        <x:v>P-4 chain-closure evidence; exact document type follows the applicable law, licence or internal control.</x:v>
      </x:c>
    </x:row>
    <x:row r="1171">
      <x:c r="A1171" s="33" t="str">
        <x:v>P4EVID077</x:v>
      </x:c>
      <x:c r="B1171" s="33" t="str">
        <x:v>AUD195</x:v>
      </x:c>
      <x:c r="C1171" s="33" t="str">
        <x:v>Documentary and transaction evidence demonstrating: Do not disclose SPDI without prior permission unless a Rule 6 exception applies; prevent unlawful contractual disclosure.</x:v>
      </x:c>
      <x:c r="D1171" s="33" t="str">
        <x:v>Record</x:v>
      </x:c>
      <x:c r="E1171" s="33" t="str">
        <x:v>Yes</x:v>
      </x:c>
      <x:c r="F1171" s="33" t="str">
        <x:v>Applicable statutory / operational period</x:v>
      </x:c>
      <x:c r="G1171" s="33" t="str">
        <x:v>P4_VALIDATION</x:v>
      </x:c>
      <x:c r="H1171" s="33" t="str">
        <x:v>Yes</x:v>
      </x:c>
      <x:c r="I1171" s="33" t="str">
        <x:v>P-4 chain-closure evidence; exact document type follows the applicable law, licence or internal control.</x:v>
      </x:c>
    </x:row>
    <x:row r="1172">
      <x:c r="A1172" s="33" t="str">
        <x:v>P4EVID078</x:v>
      </x:c>
      <x:c r="B1172" s="33" t="str">
        <x:v>AUD197</x:v>
      </x:c>
      <x:c r="C1172" s="33" t="str">
        <x:v>Documentary and transaction evidence demonstrating: Apply intermediary due diligence only if the platform legally qualifies as an intermediary under current IT law.</x:v>
      </x:c>
      <x:c r="D1172" s="33" t="str">
        <x:v>Record</x:v>
      </x:c>
      <x:c r="E1172" s="33" t="str">
        <x:v>Yes</x:v>
      </x:c>
      <x:c r="F1172" s="33" t="str">
        <x:v>Applicable statutory / operational period</x:v>
      </x:c>
      <x:c r="G1172" s="33" t="str">
        <x:v>P4_VALIDATION</x:v>
      </x:c>
      <x:c r="H1172" s="33" t="str">
        <x:v>Yes</x:v>
      </x:c>
      <x:c r="I1172" s="33" t="str">
        <x:v>P-4 chain-closure evidence; exact document type follows the applicable law, licence or internal control.</x:v>
      </x:c>
    </x:row>
    <x:row r="1173">
      <x:c r="A1173" s="33" t="str">
        <x:v>P4EVID079</x:v>
      </x:c>
      <x:c r="B1173" s="33" t="str">
        <x:v>AUD211</x:v>
      </x:c>
      <x:c r="C1173" s="33" t="str">
        <x:v>Documentary and transaction evidence demonstrating: Hold the applicable Drugs Rules sale licence or, for an exclusive medical-device seller without that licence, obtain and maintain Form MD-42 registration.</x:v>
      </x:c>
      <x:c r="D1173" s="33" t="str">
        <x:v>Record</x:v>
      </x:c>
      <x:c r="E1173" s="33" t="str">
        <x:v>Yes</x:v>
      </x:c>
      <x:c r="F1173" s="33" t="str">
        <x:v>Applicable statutory / operational period</x:v>
      </x:c>
      <x:c r="G1173" s="33" t="str">
        <x:v>P4_VALIDATION</x:v>
      </x:c>
      <x:c r="H1173" s="33" t="str">
        <x:v>Yes</x:v>
      </x:c>
      <x:c r="I1173" s="33" t="str">
        <x:v>P-4 chain-closure evidence; exact document type follows the applicable law, licence or internal control.</x:v>
      </x:c>
    </x:row>
    <x:row r="1174">
      <x:c r="A1174" s="33" t="str">
        <x:v>P4EVID080</x:v>
      </x:c>
      <x:c r="B1174" s="33" t="str">
        <x:v>AUD213</x:v>
      </x:c>
      <x:c r="C1174" s="33" t="str">
        <x:v>Documentary and transaction evidence demonstrating: Display the medical-device registration where applicable, maintain adequate premises and specified storage, and procure devices only from authorized sources.</x:v>
      </x:c>
      <x:c r="D1174" s="33" t="str">
        <x:v>Record</x:v>
      </x:c>
      <x:c r="E1174" s="33" t="str">
        <x:v>Yes</x:v>
      </x:c>
      <x:c r="F1174" s="33" t="str">
        <x:v>Applicable statutory / operational period</x:v>
      </x:c>
      <x:c r="G1174" s="33" t="str">
        <x:v>P4_VALIDATION</x:v>
      </x:c>
      <x:c r="H1174" s="33" t="str">
        <x:v>Yes</x:v>
      </x:c>
      <x:c r="I1174" s="33" t="str">
        <x:v>P-4 chain-closure evidence; exact document type follows the applicable law, licence or internal control.</x:v>
      </x:c>
    </x:row>
    <x:row r="1175">
      <x:c r="A1175" s="33" t="str">
        <x:v>P4EVID081</x:v>
      </x:c>
      <x:c r="B1175" s="33" t="str">
        <x:v>AUD215</x:v>
      </x:c>
      <x:c r="C1175" s="33" t="str">
        <x:v>Documentary and transaction evidence demonstrating: Maintain medical-device purchase and sale records, provide inspection access, retain records for two years, and maintain the prescribed inspection book.</x:v>
      </x:c>
      <x:c r="D1175" s="33" t="str">
        <x:v>Record</x:v>
      </x:c>
      <x:c r="E1175" s="33" t="str">
        <x:v>Yes</x:v>
      </x:c>
      <x:c r="F1175" s="33" t="str">
        <x:v>Applicable statutory / operational period</x:v>
      </x:c>
      <x:c r="G1175" s="33" t="str">
        <x:v>P4_VALIDATION</x:v>
      </x:c>
      <x:c r="H1175" s="33" t="str">
        <x:v>Yes</x:v>
      </x:c>
      <x:c r="I1175" s="33" t="str">
        <x:v>P-4 chain-closure evidence; exact document type follows the applicable law, licence or internal control.</x:v>
      </x:c>
    </x:row>
    <x:row r="1176">
      <x:c r="A1176" s="33" t="str">
        <x:v>P4EVID082</x:v>
      </x:c>
      <x:c r="B1176" s="33" t="str">
        <x:v>AUD217</x:v>
      </x:c>
      <x:c r="C1176" s="33" t="str">
        <x:v>Documentary and transaction evidence demonstrating: Pay the prescribed retention fee every five years to maintain perpetual validity of Form MD-42 registration.</x:v>
      </x:c>
      <x:c r="D1176" s="33" t="str">
        <x:v>Record</x:v>
      </x:c>
      <x:c r="E1176" s="33" t="str">
        <x:v>Yes</x:v>
      </x:c>
      <x:c r="F1176" s="33" t="str">
        <x:v>Applicable statutory / operational period</x:v>
      </x:c>
      <x:c r="G1176" s="33" t="str">
        <x:v>P4_VALIDATION</x:v>
      </x:c>
      <x:c r="H1176" s="33" t="str">
        <x:v>Yes</x:v>
      </x:c>
      <x:c r="I1176" s="33" t="str">
        <x:v>P-4 chain-closure evidence; exact document type follows the applicable law, licence or internal control.</x:v>
      </x:c>
    </x:row>
    <x:row r="1177">
      <x:c r="A1177" s="33" t="str">
        <x:v>P4EVID083</x:v>
      </x:c>
      <x:c r="B1177" s="33" t="str">
        <x:v>AUD219</x:v>
      </x:c>
      <x:c r="C1177" s="33" t="str">
        <x:v>Documentary and transaction evidence demonstrating: Where Rule 88 applies, document supply to a hospital or similar institution through the prescribed delivery-challan process.</x:v>
      </x:c>
      <x:c r="D1177" s="33" t="str">
        <x:v>Record</x:v>
      </x:c>
      <x:c r="E1177" s="33" t="str">
        <x:v>Yes</x:v>
      </x:c>
      <x:c r="F1177" s="33" t="str">
        <x:v>Applicable statutory / operational period</x:v>
      </x:c>
      <x:c r="G1177" s="33" t="str">
        <x:v>P4_VALIDATION</x:v>
      </x:c>
      <x:c r="H1177" s="33" t="str">
        <x:v>Yes</x:v>
      </x:c>
      <x:c r="I1177" s="33" t="str">
        <x:v>P-4 chain-closure evidence; exact document type follows the applicable law, licence or internal control.</x:v>
      </x:c>
    </x:row>
    <x:row r="1178">
      <x:c r="A1178" s="33" t="str">
        <x:v>P4EVID084</x:v>
      </x:c>
      <x:c r="B1178" s="33" t="str">
        <x:v>AUD221</x:v>
      </x:c>
      <x:c r="C1178" s="33" t="str">
        <x:v>Documentary and transaction evidence demonstrating: Do not sell or distribute a cosmetic unless the Rule 33 origin, licensing, quality and labelling conditions are satisfied.</x:v>
      </x:c>
      <x:c r="D1178" s="33" t="str">
        <x:v>Record</x:v>
      </x:c>
      <x:c r="E1178" s="33" t="str">
        <x:v>Yes</x:v>
      </x:c>
      <x:c r="F1178" s="33" t="str">
        <x:v>Applicable statutory / operational period</x:v>
      </x:c>
      <x:c r="G1178" s="33" t="str">
        <x:v>P4_VALIDATION</x:v>
      </x:c>
      <x:c r="H1178" s="33" t="str">
        <x:v>Yes</x:v>
      </x:c>
      <x:c r="I1178" s="33" t="str">
        <x:v>P-4 chain-closure evidence; exact document type follows the applicable law, licence or internal control.</x:v>
      </x:c>
    </x:row>
    <x:row r="1179">
      <x:c r="A1179" s="33" t="str">
        <x:v>P4EVID085</x:v>
      </x:c>
      <x:c r="B1179" s="33" t="str">
        <x:v>AUD223</x:v>
      </x:c>
      <x:c r="C1179" s="33" t="str">
        <x:v>Documentary and transaction evidence demonstrating: Verify that cosmetics offered for sale or distribution bear the particulars required by Rule 34.</x:v>
      </x:c>
      <x:c r="D1179" s="33" t="str">
        <x:v>Record</x:v>
      </x:c>
      <x:c r="E1179" s="33" t="str">
        <x:v>Yes</x:v>
      </x:c>
      <x:c r="F1179" s="33" t="str">
        <x:v>Applicable statutory / operational period</x:v>
      </x:c>
      <x:c r="G1179" s="33" t="str">
        <x:v>P4_VALIDATION</x:v>
      </x:c>
      <x:c r="H1179" s="33" t="str">
        <x:v>Yes</x:v>
      </x:c>
      <x:c r="I1179" s="33" t="str">
        <x:v>P-4 chain-closure evidence; exact document type follows the applicable law, licence or internal control.</x:v>
      </x:c>
    </x:row>
    <x:row r="1180">
      <x:c r="A1180" s="33" t="str">
        <x:v>P4EVID086</x:v>
      </x:c>
      <x:c r="B1180" s="33" t="str">
        <x:v>AUD225</x:v>
      </x:c>
      <x:c r="C1180" s="33" t="str">
        <x:v>Documentary and transaction evidence demonstrating: Do not alter, obliterate or deface mandatory cosmetic labelling.</x:v>
      </x:c>
      <x:c r="D1180" s="33" t="str">
        <x:v>Record</x:v>
      </x:c>
      <x:c r="E1180" s="33" t="str">
        <x:v>Yes</x:v>
      </x:c>
      <x:c r="F1180" s="33" t="str">
        <x:v>Applicable statutory / operational period</x:v>
      </x:c>
      <x:c r="G1180" s="33" t="str">
        <x:v>P4_VALIDATION</x:v>
      </x:c>
      <x:c r="H1180" s="33" t="str">
        <x:v>Yes</x:v>
      </x:c>
      <x:c r="I1180" s="33" t="str">
        <x:v>P-4 chain-closure evidence; exact document type follows the applicable law, licence or internal control.</x:v>
      </x:c>
    </x:row>
    <x:row r="1181">
      <x:c r="A1181" s="33" t="str">
        <x:v>P4EVID087</x:v>
      </x:c>
      <x:c r="B1181" s="33" t="str">
        <x:v>AUD227</x:v>
      </x:c>
      <x:c r="C1181" s="33" t="str">
        <x:v>Documentary and transaction evidence demonstrating: Do not sell or distribute a cosmetic bearing a false or misleading claim.</x:v>
      </x:c>
      <x:c r="D1181" s="33" t="str">
        <x:v>Record</x:v>
      </x:c>
      <x:c r="E1181" s="33" t="str">
        <x:v>Yes</x:v>
      </x:c>
      <x:c r="F1181" s="33" t="str">
        <x:v>Applicable statutory / operational period</x:v>
      </x:c>
      <x:c r="G1181" s="33" t="str">
        <x:v>P4_VALIDATION</x:v>
      </x:c>
      <x:c r="H1181" s="33" t="str">
        <x:v>Yes</x:v>
      </x:c>
      <x:c r="I1181" s="33" t="str">
        <x:v>P-4 chain-closure evidence; exact document type follows the applicable law, licence or internal control.</x:v>
      </x:c>
    </x:row>
    <x:row r="1182">
      <x:c r="A1182" s="33" t="str">
        <x:v>P4EVID088</x:v>
      </x:c>
      <x:c r="B1182" s="33" t="str">
        <x:v>AUD229</x:v>
      </x:c>
      <x:c r="C1182" s="33" t="str">
        <x:v>Documentary and transaction evidence demonstrating: Sell or distribute only cosmetics that comply with the standards, quality and safety requirements in Rule 39.</x:v>
      </x:c>
      <x:c r="D1182" s="33" t="str">
        <x:v>Record</x:v>
      </x:c>
      <x:c r="E1182" s="33" t="str">
        <x:v>Yes</x:v>
      </x:c>
      <x:c r="F1182" s="33" t="str">
        <x:v>Applicable statutory / operational period</x:v>
      </x:c>
      <x:c r="G1182" s="33" t="str">
        <x:v>P4_VALIDATION</x:v>
      </x:c>
      <x:c r="H1182" s="33" t="str">
        <x:v>Yes</x:v>
      </x:c>
      <x:c r="I1182" s="33" t="str">
        <x:v>P-4 chain-closure evidence; exact document type follows the applicable law, licence or internal control.</x:v>
      </x:c>
    </x:row>
    <x:row r="1183">
      <x:c r="A1183" s="33" t="str">
        <x:v>P4EVID089</x:v>
      </x:c>
      <x:c r="B1183" s="33" t="str">
        <x:v>AUD249</x:v>
      </x:c>
      <x:c r="C1183" s="33" t="str">
        <x:v>Documentary and transaction evidence demonstrating: Deliver pharmacy services in accordance with Good Pharmacy Practice principles.</x:v>
      </x:c>
      <x:c r="D1183" s="33" t="str">
        <x:v>Record</x:v>
      </x:c>
      <x:c r="E1183" s="33" t="str">
        <x:v>Yes</x:v>
      </x:c>
      <x:c r="F1183" s="33" t="str">
        <x:v>Applicable statutory / operational period</x:v>
      </x:c>
      <x:c r="G1183" s="33" t="str">
        <x:v>P4_VALIDATION</x:v>
      </x:c>
      <x:c r="H1183" s="33" t="str">
        <x:v>Yes</x:v>
      </x:c>
      <x:c r="I1183" s="33" t="str">
        <x:v>P-4 chain-closure evidence; exact document type follows the applicable law, licence or internal control.</x:v>
      </x:c>
    </x:row>
    <x:row r="1184">
      <x:c r="A1184" s="33" t="str">
        <x:v>P4EVID090</x:v>
      </x:c>
      <x:c r="B1184" s="33" t="str">
        <x:v>AUD251</x:v>
      </x:c>
      <x:c r="C1184" s="33" t="str">
        <x:v>Documentary and transaction evidence demonstrating: Provide appropriate counselling to patients regarding medicine use, dosage and precautions.</x:v>
      </x:c>
      <x:c r="D1184" s="33" t="str">
        <x:v>Record</x:v>
      </x:c>
      <x:c r="E1184" s="33" t="str">
        <x:v>Yes</x:v>
      </x:c>
      <x:c r="F1184" s="33" t="str">
        <x:v>Applicable statutory / operational period</x:v>
      </x:c>
      <x:c r="G1184" s="33" t="str">
        <x:v>P4_VALIDATION</x:v>
      </x:c>
      <x:c r="H1184" s="33" t="str">
        <x:v>Yes</x:v>
      </x:c>
      <x:c r="I1184" s="33" t="str">
        <x:v>P-4 chain-closure evidence; exact document type follows the applicable law, licence or internal control.</x:v>
      </x:c>
    </x:row>
    <x:row r="1185">
      <x:c r="A1185" s="33" t="str">
        <x:v>P4EVID091</x:v>
      </x:c>
      <x:c r="B1185" s="33" t="str">
        <x:v>AUD253</x:v>
      </x:c>
      <x:c r="C1185" s="33" t="str">
        <x:v>Documentary and transaction evidence demonstrating: Review each prescription for completeness, legality and appropriateness before dispensing.</x:v>
      </x:c>
      <x:c r="D1185" s="33" t="str">
        <x:v>Record</x:v>
      </x:c>
      <x:c r="E1185" s="33" t="str">
        <x:v>Yes</x:v>
      </x:c>
      <x:c r="F1185" s="33" t="str">
        <x:v>Applicable statutory / operational period</x:v>
      </x:c>
      <x:c r="G1185" s="33" t="str">
        <x:v>P4_VALIDATION</x:v>
      </x:c>
      <x:c r="H1185" s="33" t="str">
        <x:v>Yes</x:v>
      </x:c>
      <x:c r="I1185" s="33" t="str">
        <x:v>P-4 chain-closure evidence; exact document type follows the applicable law, licence or internal control.</x:v>
      </x:c>
    </x:row>
    <x:row r="1186">
      <x:c r="A1186" s="33" t="str">
        <x:v>P4EVID092</x:v>
      </x:c>
      <x:c r="B1186" s="33" t="str">
        <x:v>AUD255</x:v>
      </x:c>
      <x:c r="C1186" s="33" t="str">
        <x:v>Documentary and transaction evidence demonstrating: Procure medicines only from licensed and authorized suppliers.</x:v>
      </x:c>
      <x:c r="D1186" s="33" t="str">
        <x:v>Record</x:v>
      </x:c>
      <x:c r="E1186" s="33" t="str">
        <x:v>Yes</x:v>
      </x:c>
      <x:c r="F1186" s="33" t="str">
        <x:v>Applicable statutory / operational period</x:v>
      </x:c>
      <x:c r="G1186" s="33" t="str">
        <x:v>P4_VALIDATION</x:v>
      </x:c>
      <x:c r="H1186" s="33" t="str">
        <x:v>Yes</x:v>
      </x:c>
      <x:c r="I1186" s="33" t="str">
        <x:v>P-4 chain-closure evidence; exact document type follows the applicable law, licence or internal control.</x:v>
      </x:c>
    </x:row>
    <x:row r="1187">
      <x:c r="A1187" s="33" t="str">
        <x:v>P4EVID093</x:v>
      </x:c>
      <x:c r="B1187" s="33" t="str">
        <x:v>AUD257</x:v>
      </x:c>
      <x:c r="C1187" s="33" t="str">
        <x:v>Documentary and transaction evidence demonstrating: Maintain suitable transportation and distribution conditions to preserve product quality.</x:v>
      </x:c>
      <x:c r="D1187" s="33" t="str">
        <x:v>Record</x:v>
      </x:c>
      <x:c r="E1187" s="33" t="str">
        <x:v>Yes</x:v>
      </x:c>
      <x:c r="F1187" s="33" t="str">
        <x:v>Applicable statutory / operational period</x:v>
      </x:c>
      <x:c r="G1187" s="33" t="str">
        <x:v>P4_VALIDATION</x:v>
      </x:c>
      <x:c r="H1187" s="33" t="str">
        <x:v>Yes</x:v>
      </x:c>
      <x:c r="I1187" s="33" t="str">
        <x:v>P-4 chain-closure evidence; exact document type follows the applicable law, licence or internal control.</x:v>
      </x:c>
    </x:row>
    <x:row r="1188">
      <x:c r="A1188" s="33" t="str">
        <x:v>P4EVID094</x:v>
      </x:c>
      <x:c r="B1188" s="33" t="str">
        <x:v>AUD259</x:v>
      </x:c>
      <x:c r="C1188" s="33" t="str">
        <x:v>Documentary and transaction evidence demonstrating: Maintain complete and traceable distribution records for all pharmaceutical products.</x:v>
      </x:c>
      <x:c r="D1188" s="33" t="str">
        <x:v>Record</x:v>
      </x:c>
      <x:c r="E1188" s="33" t="str">
        <x:v>Yes</x:v>
      </x:c>
      <x:c r="F1188" s="33" t="str">
        <x:v>Applicable statutory / operational period</x:v>
      </x:c>
      <x:c r="G1188" s="33" t="str">
        <x:v>P4_VALIDATION</x:v>
      </x:c>
      <x:c r="H1188" s="33" t="str">
        <x:v>Yes</x:v>
      </x:c>
      <x:c r="I1188" s="33" t="str">
        <x:v>P-4 chain-closure evidence; exact document type follows the applicable law, licence or internal control.</x:v>
      </x:c>
    </x:row>
    <x:row r="1189">
      <x:c r="A1189" s="33" t="str">
        <x:v>P4EVID095</x:v>
      </x:c>
      <x:c r="B1189" s="33" t="str">
        <x:v>AUD260</x:v>
      </x:c>
      <x:c r="C1189" s="33" t="str">
        <x:v>Documentary and transaction evidence demonstrating: Maintain complete and traceable distribution records for all pharmaceutical products.</x:v>
      </x:c>
      <x:c r="D1189" s="33" t="str">
        <x:v>Record</x:v>
      </x:c>
      <x:c r="E1189" s="33" t="str">
        <x:v>Yes</x:v>
      </x:c>
      <x:c r="F1189" s="33" t="str">
        <x:v>Applicable statutory / operational period</x:v>
      </x:c>
      <x:c r="G1189" s="33" t="str">
        <x:v>P4_VALIDATION</x:v>
      </x:c>
      <x:c r="H1189" s="33" t="str">
        <x:v>Yes</x:v>
      </x:c>
      <x:c r="I1189" s="33" t="str">
        <x:v>P-4 chain-closure evidence; exact document type follows the applicable law, licence or internal control.</x:v>
      </x:c>
    </x:row>
    <x:row r="1190">
      <x:c r="A1190" s="33" t="str">
        <x:v>P4EVID096</x:v>
      </x:c>
      <x:c r="B1190" s="33" t="str">
        <x:v>AUD261</x:v>
      </x:c>
      <x:c r="C1190" s="33" t="str">
        <x:v>Documentary and transaction evidence demonstrating: Maintain complete and traceable distribution records for all pharmaceutical products.</x:v>
      </x:c>
      <x:c r="D1190" s="33" t="str">
        <x:v>Record</x:v>
      </x:c>
      <x:c r="E1190" s="33" t="str">
        <x:v>Yes</x:v>
      </x:c>
      <x:c r="F1190" s="33" t="str">
        <x:v>Applicable statutory / operational period</x:v>
      </x:c>
      <x:c r="G1190" s="33" t="str">
        <x:v>P4_VALIDATION</x:v>
      </x:c>
      <x:c r="H1190" s="33" t="str">
        <x:v>Yes</x:v>
      </x:c>
      <x:c r="I1190" s="33" t="str">
        <x:v>P-4 chain-closure evidence; exact document type follows the applicable law, licence or internal control.</x:v>
      </x:c>
    </x:row>
    <x:row r="1191">
      <x:c r="A1191" s="33" t="str">
        <x:v>P4EVID097</x:v>
      </x:c>
      <x:c r="B1191" s="33" t="str">
        <x:v>AUD263</x:v>
      </x:c>
      <x:c r="C1191" s="33" t="str">
        <x:v>Documentary and transaction evidence demonstrating: Continuously monitor and record storage temperature for all temperature-sensitive medicines.</x:v>
      </x:c>
      <x:c r="D1191" s="33" t="str">
        <x:v>Record</x:v>
      </x:c>
      <x:c r="E1191" s="33" t="str">
        <x:v>Yes</x:v>
      </x:c>
      <x:c r="F1191" s="33" t="str">
        <x:v>Applicable statutory / operational period</x:v>
      </x:c>
      <x:c r="G1191" s="33" t="str">
        <x:v>P4_VALIDATION</x:v>
      </x:c>
      <x:c r="H1191" s="33" t="str">
        <x:v>Yes</x:v>
      </x:c>
      <x:c r="I1191" s="33" t="str">
        <x:v>P-4 chain-closure evidence; exact document type follows the applicable law, licence or internal control.</x:v>
      </x:c>
    </x:row>
    <x:row r="1192">
      <x:c r="A1192" s="33" t="str">
        <x:v>P4EVID098</x:v>
      </x:c>
      <x:c r="B1192" s="33" t="str">
        <x:v>AUD265</x:v>
      </x:c>
      <x:c r="C1192" s="33" t="str">
        <x:v>Documentary and transaction evidence demonstrating: Monitor and maintain humidity within prescribed limits where applicable.</x:v>
      </x:c>
      <x:c r="D1192" s="33" t="str">
        <x:v>Record</x:v>
      </x:c>
      <x:c r="E1192" s="33" t="str">
        <x:v>Yes</x:v>
      </x:c>
      <x:c r="F1192" s="33" t="str">
        <x:v>Applicable statutory / operational period</x:v>
      </x:c>
      <x:c r="G1192" s="33" t="str">
        <x:v>P4_VALIDATION</x:v>
      </x:c>
      <x:c r="H1192" s="33" t="str">
        <x:v>Yes</x:v>
      </x:c>
      <x:c r="I1192" s="33" t="str">
        <x:v>P-4 chain-closure evidence; exact document type follows the applicable law, licence or internal control.</x:v>
      </x:c>
    </x:row>
    <x:row r="1193">
      <x:c r="A1193" s="33" t="str">
        <x:v>P4EVID099</x:v>
      </x:c>
      <x:c r="B1193" s="33" t="str">
        <x:v>AUD267</x:v>
      </x:c>
      <x:c r="C1193" s="33" t="str">
        <x:v>Documentary and transaction evidence demonstrating: Follow the FEFO (First Expiry First Out) inventory management system for stock issuance.</x:v>
      </x:c>
      <x:c r="D1193" s="33" t="str">
        <x:v>Record</x:v>
      </x:c>
      <x:c r="E1193" s="33" t="str">
        <x:v>Yes</x:v>
      </x:c>
      <x:c r="F1193" s="33" t="str">
        <x:v>Applicable statutory / operational period</x:v>
      </x:c>
      <x:c r="G1193" s="33" t="str">
        <x:v>P4_VALIDATION</x:v>
      </x:c>
      <x:c r="H1193" s="33" t="str">
        <x:v>Yes</x:v>
      </x:c>
      <x:c r="I1193" s="33" t="str">
        <x:v>P-4 chain-closure evidence; exact document type follows the applicable law, licence or internal control.</x:v>
      </x:c>
    </x:row>
    <x:row r="1194">
      <x:c r="A1194" s="33" t="str">
        <x:v>P4EVID100</x:v>
      </x:c>
      <x:c r="B1194" s="33" t="str">
        <x:v>AUD269</x:v>
      </x:c>
      <x:c r="C1194" s="33" t="str">
        <x:v>Documentary and transaction evidence demonstrating: Segregate expired, damaged, recalled and rejected medicines from saleable inventory immediately.</x:v>
      </x:c>
      <x:c r="D1194" s="33" t="str">
        <x:v>Record</x:v>
      </x:c>
      <x:c r="E1194" s="33" t="str">
        <x:v>Yes</x:v>
      </x:c>
      <x:c r="F1194" s="33" t="str">
        <x:v>Applicable statutory / operational period</x:v>
      </x:c>
      <x:c r="G1194" s="33" t="str">
        <x:v>P4_VALIDATION</x:v>
      </x:c>
      <x:c r="H1194" s="33" t="str">
        <x:v>Yes</x:v>
      </x:c>
      <x:c r="I1194" s="33" t="str">
        <x:v>P-4 chain-closure evidence; exact document type follows the applicable law, licence or internal control.</x:v>
      </x:c>
    </x:row>
    <x:row r="1195">
      <x:c r="A1195" s="33" t="str">
        <x:v>P4EVID101</x:v>
      </x:c>
      <x:c r="B1195" s="33" t="str">
        <x:v>AUD271</x:v>
      </x:c>
      <x:c r="C1195" s="33" t="str">
        <x:v>Documentary and transaction evidence demonstrating: Maintain storage areas in a clean, hygienic and pest-free condition.</x:v>
      </x:c>
      <x:c r="D1195" s="33" t="str">
        <x:v>Record</x:v>
      </x:c>
      <x:c r="E1195" s="33" t="str">
        <x:v>Yes</x:v>
      </x:c>
      <x:c r="F1195" s="33" t="str">
        <x:v>Applicable statutory / operational period</x:v>
      </x:c>
      <x:c r="G1195" s="33" t="str">
        <x:v>P4_VALIDATION</x:v>
      </x:c>
      <x:c r="H1195" s="33" t="str">
        <x:v>Yes</x:v>
      </x:c>
      <x:c r="I1195" s="33" t="str">
        <x:v>P-4 chain-closure evidence; exact document type follows the applicable law, licence or internal control.</x:v>
      </x:c>
    </x:row>
    <x:row r="1196">
      <x:c r="A1196" s="33" t="str">
        <x:v>P4EVID102</x:v>
      </x:c>
      <x:c r="B1196" s="33" t="str">
        <x:v>AUD273</x:v>
      </x:c>
      <x:c r="C1196" s="33" t="str">
        <x:v>Documentary and transaction evidence demonstrating: Initiate product recall immediately upon receipt of recall notice or identification of defective products.</x:v>
      </x:c>
      <x:c r="D1196" s="33" t="str">
        <x:v>Record</x:v>
      </x:c>
      <x:c r="E1196" s="33" t="str">
        <x:v>Yes</x:v>
      </x:c>
      <x:c r="F1196" s="33" t="str">
        <x:v>Applicable statutory / operational period</x:v>
      </x:c>
      <x:c r="G1196" s="33" t="str">
        <x:v>P4_VALIDATION</x:v>
      </x:c>
      <x:c r="H1196" s="33" t="str">
        <x:v>Yes</x:v>
      </x:c>
      <x:c r="I1196" s="33" t="str">
        <x:v>P-4 chain-closure evidence; exact document type follows the applicable law, licence or internal control.</x:v>
      </x:c>
    </x:row>
    <x:row r="1197">
      <x:c r="A1197" s="33" t="str">
        <x:v>P4EVID103</x:v>
      </x:c>
      <x:c r="B1197" s="33" t="str">
        <x:v>AUD275</x:v>
      </x:c>
      <x:c r="C1197" s="33" t="str">
        <x:v>Documentary and transaction evidence demonstrating: Classify recalled products according to the applicable recall category and risk level.</x:v>
      </x:c>
      <x:c r="D1197" s="33" t="str">
        <x:v>Record</x:v>
      </x:c>
      <x:c r="E1197" s="33" t="str">
        <x:v>Yes</x:v>
      </x:c>
      <x:c r="F1197" s="33" t="str">
        <x:v>Applicable statutory / operational period</x:v>
      </x:c>
      <x:c r="G1197" s="33" t="str">
        <x:v>P4_VALIDATION</x:v>
      </x:c>
      <x:c r="H1197" s="33" t="str">
        <x:v>Yes</x:v>
      </x:c>
      <x:c r="I1197" s="33" t="str">
        <x:v>P-4 chain-closure evidence; exact document type follows the applicable law, licence or internal control.</x:v>
      </x:c>
    </x:row>
    <x:row r="1198">
      <x:c r="A1198" s="33" t="str">
        <x:v>P4EVID104</x:v>
      </x:c>
      <x:c r="B1198" s="33" t="str">
        <x:v>AUD277</x:v>
      </x:c>
      <x:c r="C1198" s="33" t="str">
        <x:v>Documentary and transaction evidence demonstrating: Notify customers, distributors and regulatory authorities as required during product recall.</x:v>
      </x:c>
      <x:c r="D1198" s="33" t="str">
        <x:v>Record</x:v>
      </x:c>
      <x:c r="E1198" s="33" t="str">
        <x:v>Yes</x:v>
      </x:c>
      <x:c r="F1198" s="33" t="str">
        <x:v>Applicable statutory / operational period</x:v>
      </x:c>
      <x:c r="G1198" s="33" t="str">
        <x:v>P4_VALIDATION</x:v>
      </x:c>
      <x:c r="H1198" s="33" t="str">
        <x:v>Yes</x:v>
      </x:c>
      <x:c r="I1198" s="33" t="str">
        <x:v>P-4 chain-closure evidence; exact document type follows the applicable law, licence or internal control.</x:v>
      </x:c>
    </x:row>
    <x:row r="1199">
      <x:c r="A1199" s="33" t="str">
        <x:v>P4EVID105</x:v>
      </x:c>
      <x:c r="B1199" s="33" t="str">
        <x:v>AUD279</x:v>
      </x:c>
      <x:c r="C1199" s="33" t="str">
        <x:v>Documentary and transaction evidence demonstrating: Verify the effectiveness of product recall by reconciling quantities distributed and recovered.</x:v>
      </x:c>
      <x:c r="D1199" s="33" t="str">
        <x:v>Record</x:v>
      </x:c>
      <x:c r="E1199" s="33" t="str">
        <x:v>Yes</x:v>
      </x:c>
      <x:c r="F1199" s="33" t="str">
        <x:v>Applicable statutory / operational period</x:v>
      </x:c>
      <x:c r="G1199" s="33" t="str">
        <x:v>P4_VALIDATION</x:v>
      </x:c>
      <x:c r="H1199" s="33" t="str">
        <x:v>Yes</x:v>
      </x:c>
      <x:c r="I1199" s="33" t="str">
        <x:v>P-4 chain-closure evidence; exact document type follows the applicable law, licence or internal control.</x:v>
      </x:c>
    </x:row>
    <x:row r="1200">
      <x:c r="A1200" s="33" t="str">
        <x:v>P4EVID106</x:v>
      </x:c>
      <x:c r="B1200" s="33" t="str">
        <x:v>AUD281</x:v>
      </x:c>
      <x:c r="C1200" s="33" t="str">
        <x:v>Documentary and transaction evidence demonstrating: Maintain complete documentation supporting recall closure and regulatory reporting.</x:v>
      </x:c>
      <x:c r="D1200" s="33" t="str">
        <x:v>Record</x:v>
      </x:c>
      <x:c r="E1200" s="33" t="str">
        <x:v>Yes</x:v>
      </x:c>
      <x:c r="F1200" s="33" t="str">
        <x:v>Applicable statutory / operational period</x:v>
      </x:c>
      <x:c r="G1200" s="33" t="str">
        <x:v>P4_VALIDATION</x:v>
      </x:c>
      <x:c r="H1200" s="33" t="str">
        <x:v>Yes</x:v>
      </x:c>
      <x:c r="I1200" s="33" t="str">
        <x:v>P-4 chain-closure evidence; exact document type follows the applicable law, licence or internal control.</x:v>
      </x:c>
    </x:row>
    <x:row r="1201">
      <x:c r="A1201" s="33" t="str">
        <x:v>P4EVID107</x:v>
      </x:c>
      <x:c r="B1201" s="33" t="str">
        <x:v>AUD283</x:v>
      </x:c>
      <x:c r="C1201" s="33" t="str">
        <x:v>Documentary and transaction evidence demonstrating: Establish a documented process for receiving product complaints from customers.</x:v>
      </x:c>
      <x:c r="D1201" s="33" t="str">
        <x:v>Record</x:v>
      </x:c>
      <x:c r="E1201" s="33" t="str">
        <x:v>Yes</x:v>
      </x:c>
      <x:c r="F1201" s="33" t="str">
        <x:v>Applicable statutory / operational period</x:v>
      </x:c>
      <x:c r="G1201" s="33" t="str">
        <x:v>P4_VALIDATION</x:v>
      </x:c>
      <x:c r="H1201" s="33" t="str">
        <x:v>Yes</x:v>
      </x:c>
      <x:c r="I1201" s="33" t="str">
        <x:v>P-4 chain-closure evidence; exact document type follows the applicable law, licence or internal control.</x:v>
      </x:c>
    </x:row>
    <x:row r="1202">
      <x:c r="A1202" s="33" t="str">
        <x:v>P4EVID108</x:v>
      </x:c>
      <x:c r="B1202" s="33" t="str">
        <x:v>AUD285</x:v>
      </x:c>
      <x:c r="C1202" s="33" t="str">
        <x:v>Documentary and transaction evidence demonstrating: Investigate every product complaint and document findings appropriately.</x:v>
      </x:c>
      <x:c r="D1202" s="33" t="str">
        <x:v>Record</x:v>
      </x:c>
      <x:c r="E1202" s="33" t="str">
        <x:v>Yes</x:v>
      </x:c>
      <x:c r="F1202" s="33" t="str">
        <x:v>Applicable statutory / operational period</x:v>
      </x:c>
      <x:c r="G1202" s="33" t="str">
        <x:v>P4_VALIDATION</x:v>
      </x:c>
      <x:c r="H1202" s="33" t="str">
        <x:v>Yes</x:v>
      </x:c>
      <x:c r="I1202" s="33" t="str">
        <x:v>P-4 chain-closure evidence; exact document type follows the applicable law, licence or internal control.</x:v>
      </x:c>
    </x:row>
    <x:row r="1203">
      <x:c r="A1203" s="33" t="str">
        <x:v>P4EVID109</x:v>
      </x:c>
      <x:c r="B1203" s="33" t="str">
        <x:v>AUD287</x:v>
      </x:c>
      <x:c r="C1203" s="33" t="str">
        <x:v>Documentary and transaction evidence demonstrating: Maintain a complaint register and supporting investigation records.</x:v>
      </x:c>
      <x:c r="D1203" s="33" t="str">
        <x:v>Record</x:v>
      </x:c>
      <x:c r="E1203" s="33" t="str">
        <x:v>Yes</x:v>
      </x:c>
      <x:c r="F1203" s="33" t="str">
        <x:v>Applicable statutory / operational period</x:v>
      </x:c>
      <x:c r="G1203" s="33" t="str">
        <x:v>P4_VALIDATION</x:v>
      </x:c>
      <x:c r="H1203" s="33" t="str">
        <x:v>Yes</x:v>
      </x:c>
      <x:c r="I1203" s="33" t="str">
        <x:v>P-4 chain-closure evidence; exact document type follows the applicable law, licence or internal control.</x:v>
      </x:c>
    </x:row>
    <x:row r="1204">
      <x:c r="A1204" s="33" t="str">
        <x:v>P4EVID110</x:v>
      </x:c>
      <x:c r="B1204" s="33" t="str">
        <x:v>AUD289</x:v>
      </x:c>
      <x:c r="C1204" s="33" t="str">
        <x:v>Documentary and transaction evidence demonstrating: Close product complaints only after investigation, corrective action and documentation are completed.</x:v>
      </x:c>
      <x:c r="D1204" s="33" t="str">
        <x:v>Record</x:v>
      </x:c>
      <x:c r="E1204" s="33" t="str">
        <x:v>Yes</x:v>
      </x:c>
      <x:c r="F1204" s="33" t="str">
        <x:v>Applicable statutory / operational period</x:v>
      </x:c>
      <x:c r="G1204" s="33" t="str">
        <x:v>P4_VALIDATION</x:v>
      </x:c>
      <x:c r="H1204" s="33" t="str">
        <x:v>Yes</x:v>
      </x:c>
      <x:c r="I1204" s="33" t="str">
        <x:v>P-4 chain-closure evidence; exact document type follows the applicable law, licence or internal control.</x:v>
      </x:c>
    </x:row>
    <x:row r="1205">
      <x:c r="A1205" s="33" t="str">
        <x:v>P4EVID111</x:v>
      </x:c>
      <x:c r="B1205" s="33" t="str">
        <x:v>AUD291</x:v>
      </x:c>
      <x:c r="C1205" s="33" t="str">
        <x:v>Documentary and transaction evidence demonstrating: Report suspected adverse drug reactions to the Pharmacovigilance Programme of India whenever required.</x:v>
      </x:c>
      <x:c r="D1205" s="33" t="str">
        <x:v>Record</x:v>
      </x:c>
      <x:c r="E1205" s="33" t="str">
        <x:v>Yes</x:v>
      </x:c>
      <x:c r="F1205" s="33" t="str">
        <x:v>Applicable statutory / operational period</x:v>
      </x:c>
      <x:c r="G1205" s="33" t="str">
        <x:v>P4_VALIDATION</x:v>
      </x:c>
      <x:c r="H1205" s="33" t="str">
        <x:v>Yes</x:v>
      </x:c>
      <x:c r="I1205" s="33" t="str">
        <x:v>P-4 chain-closure evidence; exact document type follows the applicable law, licence or internal control.</x:v>
      </x:c>
    </x:row>
    <x:row r="1206">
      <x:c r="A1206" s="33" t="str">
        <x:v>P4EVID112</x:v>
      </x:c>
      <x:c r="B1206" s="33" t="str">
        <x:v>AUD293</x:v>
      </x:c>
      <x:c r="C1206" s="33" t="str">
        <x:v>Documentary and transaction evidence demonstrating: Maintain complete documentation for every reported adverse drug reaction.</x:v>
      </x:c>
      <x:c r="D1206" s="33" t="str">
        <x:v>Record</x:v>
      </x:c>
      <x:c r="E1206" s="33" t="str">
        <x:v>Yes</x:v>
      </x:c>
      <x:c r="F1206" s="33" t="str">
        <x:v>Applicable statutory / operational period</x:v>
      </x:c>
      <x:c r="G1206" s="33" t="str">
        <x:v>P4_VALIDATION</x:v>
      </x:c>
      <x:c r="H1206" s="33" t="str">
        <x:v>Yes</x:v>
      </x:c>
      <x:c r="I1206" s="33" t="str">
        <x:v>P-4 chain-closure evidence; exact document type follows the applicable law, licence or internal control.</x:v>
      </x:c>
    </x:row>
    <x:row r="1207">
      <x:c r="A1207" s="33" t="str">
        <x:v>P4EVID113</x:v>
      </x:c>
      <x:c r="B1207" s="33" t="str">
        <x:v>AUD295</x:v>
      </x:c>
      <x:c r="C1207" s="33" t="str">
        <x:v>Documentary and transaction evidence demonstrating: Escalate serious adverse drug reactions to the appropriate authority without delay.</x:v>
      </x:c>
      <x:c r="D1207" s="33" t="str">
        <x:v>Record</x:v>
      </x:c>
      <x:c r="E1207" s="33" t="str">
        <x:v>Yes</x:v>
      </x:c>
      <x:c r="F1207" s="33" t="str">
        <x:v>Applicable statutory / operational period</x:v>
      </x:c>
      <x:c r="G1207" s="33" t="str">
        <x:v>P4_VALIDATION</x:v>
      </x:c>
      <x:c r="H1207" s="33" t="str">
        <x:v>Yes</x:v>
      </x:c>
      <x:c r="I1207" s="33" t="str">
        <x:v>P-4 chain-closure evidence; exact document type follows the applicable law, licence or internal control.</x:v>
      </x:c>
    </x:row>
    <x:row r="1208">
      <x:c r="A1208" s="33" t="str">
        <x:v>P4EVID114</x:v>
      </x:c>
      <x:c r="B1208" s="33" t="str">
        <x:v>AUD297</x:v>
      </x:c>
      <x:c r="C1208" s="33" t="str">
        <x:v>Documentary and transaction evidence demonstrating: Maintain vaccines and biological products within the prescribed cold chain temperature range.</x:v>
      </x:c>
      <x:c r="D1208" s="33" t="str">
        <x:v>Record</x:v>
      </x:c>
      <x:c r="E1208" s="33" t="str">
        <x:v>Yes</x:v>
      </x:c>
      <x:c r="F1208" s="33" t="str">
        <x:v>Applicable statutory / operational period</x:v>
      </x:c>
      <x:c r="G1208" s="33" t="str">
        <x:v>P4_VALIDATION</x:v>
      </x:c>
      <x:c r="H1208" s="33" t="str">
        <x:v>Yes</x:v>
      </x:c>
      <x:c r="I1208" s="33" t="str">
        <x:v>P-4 chain-closure evidence; exact document type follows the applicable law, licence or internal control.</x:v>
      </x:c>
    </x:row>
    <x:row r="1209">
      <x:c r="A1209" s="33" t="str">
        <x:v>P4EVID115</x:v>
      </x:c>
      <x:c r="B1209" s="33" t="str">
        <x:v>AUD299</x:v>
      </x:c>
      <x:c r="C1209" s="33" t="str">
        <x:v>Documentary and transaction evidence demonstrating: Record refrigerator temperatures at the prescribed frequency and retain logs for inspection.</x:v>
      </x:c>
      <x:c r="D1209" s="33" t="str">
        <x:v>Record</x:v>
      </x:c>
      <x:c r="E1209" s="33" t="str">
        <x:v>Yes</x:v>
      </x:c>
      <x:c r="F1209" s="33" t="str">
        <x:v>Applicable statutory / operational period</x:v>
      </x:c>
      <x:c r="G1209" s="33" t="str">
        <x:v>P4_VALIDATION</x:v>
      </x:c>
      <x:c r="H1209" s="33" t="str">
        <x:v>Yes</x:v>
      </x:c>
      <x:c r="I1209" s="33" t="str">
        <x:v>P-4 chain-closure evidence; exact document type follows the applicable law, licence or internal control.</x:v>
      </x:c>
    </x:row>
    <x:row r="1210">
      <x:c r="A1210" s="33" t="str">
        <x:v>P4EVID116</x:v>
      </x:c>
      <x:c r="B1210" s="33" t="str">
        <x:v>AUD301</x:v>
      </x:c>
      <x:c r="C1210" s="33" t="str">
        <x:v>Documentary and transaction evidence demonstrating: Validate and periodically qualify cold chain equipment before operational use.</x:v>
      </x:c>
      <x:c r="D1210" s="33" t="str">
        <x:v>Record</x:v>
      </x:c>
      <x:c r="E1210" s="33" t="str">
        <x:v>Yes</x:v>
      </x:c>
      <x:c r="F1210" s="33" t="str">
        <x:v>Applicable statutory / operational period</x:v>
      </x:c>
      <x:c r="G1210" s="33" t="str">
        <x:v>P4_VALIDATION</x:v>
      </x:c>
      <x:c r="H1210" s="33" t="str">
        <x:v>Yes</x:v>
      </x:c>
      <x:c r="I1210" s="33" t="str">
        <x:v>P-4 chain-closure evidence; exact document type follows the applicable law, licence or internal control.</x:v>
      </x:c>
    </x:row>
    <x:row r="1211">
      <x:c r="A1211" s="33" t="str">
        <x:v>P4EVID117</x:v>
      </x:c>
      <x:c r="B1211" s="33" t="str">
        <x:v>AUD337</x:v>
      </x:c>
      <x:c r="C1211" s="33" t="str">
        <x:v>Documentary and transaction evidence demonstrating: Deliver pharmacy services in accordance with Pharmacy Practice Regulations.</x:v>
      </x:c>
      <x:c r="D1211" s="33" t="str">
        <x:v>Record</x:v>
      </x:c>
      <x:c r="E1211" s="33" t="str">
        <x:v>Yes</x:v>
      </x:c>
      <x:c r="F1211" s="33" t="str">
        <x:v>Applicable statutory / operational period</x:v>
      </x:c>
      <x:c r="G1211" s="33" t="str">
        <x:v>P4_VALIDATION</x:v>
      </x:c>
      <x:c r="H1211" s="33" t="str">
        <x:v>Yes</x:v>
      </x:c>
      <x:c r="I1211" s="33" t="str">
        <x:v>P-4 chain-closure evidence; exact document type follows the applicable law, licence or internal control.</x:v>
      </x:c>
    </x:row>
    <x:row r="1212">
      <x:c r="A1212" s="33" t="str">
        <x:v>P4EVID118</x:v>
      </x:c>
      <x:c r="B1212" s="33" t="str">
        <x:v>AUD339</x:v>
      </x:c>
      <x:c r="C1212" s="33" t="str">
        <x:v>Documentary and transaction evidence demonstrating: Review prescriptions for legality, completeness and clinical appropriateness before dispensing medicines.</x:v>
      </x:c>
      <x:c r="D1212" s="33" t="str">
        <x:v>Record</x:v>
      </x:c>
      <x:c r="E1212" s="33" t="str">
        <x:v>Yes</x:v>
      </x:c>
      <x:c r="F1212" s="33" t="str">
        <x:v>Applicable statutory / operational period</x:v>
      </x:c>
      <x:c r="G1212" s="33" t="str">
        <x:v>P4_VALIDATION</x:v>
      </x:c>
      <x:c r="H1212" s="33" t="str">
        <x:v>Yes</x:v>
      </x:c>
      <x:c r="I1212" s="33" t="str">
        <x:v>P-4 chain-closure evidence; exact document type follows the applicable law, licence or internal control.</x:v>
      </x:c>
    </x:row>
    <x:row r="1213">
      <x:c r="A1213" s="33" t="str">
        <x:v>P4EVID119</x:v>
      </x:c>
      <x:c r="B1213" s="33" t="str">
        <x:v>AUD341</x:v>
      </x:c>
      <x:c r="C1213" s="33" t="str">
        <x:v>Documentary and transaction evidence demonstrating: Provide appropriate patient counselling regarding dosage, storage, administration and precautions.</x:v>
      </x:c>
      <x:c r="D1213" s="33" t="str">
        <x:v>Record</x:v>
      </x:c>
      <x:c r="E1213" s="33" t="str">
        <x:v>Yes</x:v>
      </x:c>
      <x:c r="F1213" s="33" t="str">
        <x:v>Applicable statutory / operational period</x:v>
      </x:c>
      <x:c r="G1213" s="33" t="str">
        <x:v>P4_VALIDATION</x:v>
      </x:c>
      <x:c r="H1213" s="33" t="str">
        <x:v>Yes</x:v>
      </x:c>
      <x:c r="I1213" s="33" t="str">
        <x:v>P-4 chain-closure evidence; exact document type follows the applicable law, licence or internal control.</x:v>
      </x:c>
    </x:row>
    <x:row r="1214">
      <x:c r="A1214" s="33" t="str">
        <x:v>P4EVID120</x:v>
      </x:c>
      <x:c r="B1214" s="33" t="str">
        <x:v>AUD343</x:v>
      </x:c>
      <x:c r="C1214" s="33" t="str">
        <x:v>Documentary and transaction evidence demonstrating: Maintain confidentiality of patient records and prescription information.</x:v>
      </x:c>
      <x:c r="D1214" s="33" t="str">
        <x:v>Record</x:v>
      </x:c>
      <x:c r="E1214" s="33" t="str">
        <x:v>Yes</x:v>
      </x:c>
      <x:c r="F1214" s="33" t="str">
        <x:v>Applicable statutory / operational period</x:v>
      </x:c>
      <x:c r="G1214" s="33" t="str">
        <x:v>P4_VALIDATION</x:v>
      </x:c>
      <x:c r="H1214" s="33" t="str">
        <x:v>Yes</x:v>
      </x:c>
      <x:c r="I1214" s="33" t="str">
        <x:v>P-4 chain-closure evidence; exact document type follows the applicable law, licence or internal control.</x:v>
      </x:c>
    </x:row>
    <x:row r="1215">
      <x:c r="A1215" s="33" t="str">
        <x:v>P4EVID121</x:v>
      </x:c>
      <x:c r="B1215" s="33" t="str">
        <x:v>AUD345</x:v>
      </x:c>
      <x:c r="C1215" s="33" t="str">
        <x:v>Documentary and transaction evidence demonstrating: Participate in professional development programmes to maintain competency.</x:v>
      </x:c>
      <x:c r="D1215" s="33" t="str">
        <x:v>Record</x:v>
      </x:c>
      <x:c r="E1215" s="33" t="str">
        <x:v>Yes</x:v>
      </x:c>
      <x:c r="F1215" s="33" t="str">
        <x:v>Applicable statutory / operational period</x:v>
      </x:c>
      <x:c r="G1215" s="33" t="str">
        <x:v>P4_VALIDATION</x:v>
      </x:c>
      <x:c r="H1215" s="33" t="str">
        <x:v>Yes</x:v>
      </x:c>
      <x:c r="I1215" s="33" t="str">
        <x:v>P-4 chain-closure evidence; exact document type follows the applicable law, licence or internal control.</x:v>
      </x:c>
    </x:row>
    <x:row r="1216">
      <x:c r="A1216" s="33" t="str">
        <x:v>P4EVID122</x:v>
      </x:c>
      <x:c r="B1216" s="33" t="str">
        <x:v>AUD347</x:v>
      </x:c>
      <x:c r="C1216" s="33" t="str">
        <x:v>Documentary and transaction evidence demonstrating: Obtain clinical-establishment registration before operation where the establishment role and jurisdiction trigger apply.</x:v>
      </x:c>
      <x:c r="D1216" s="33" t="str">
        <x:v>Record</x:v>
      </x:c>
      <x:c r="E1216" s="33" t="str">
        <x:v>Yes</x:v>
      </x:c>
      <x:c r="F1216" s="33" t="str">
        <x:v>Applicable statutory / operational period</x:v>
      </x:c>
      <x:c r="G1216" s="33" t="str">
        <x:v>P4_VALIDATION</x:v>
      </x:c>
      <x:c r="H1216" s="33" t="str">
        <x:v>Yes</x:v>
      </x:c>
      <x:c r="I1216" s="33" t="str">
        <x:v>P-4 chain-closure evidence; exact document type follows the applicable law, licence or internal control.</x:v>
      </x:c>
    </x:row>
    <x:row r="1217">
      <x:c r="A1217" s="33" t="str">
        <x:v>P4EVID123</x:v>
      </x:c>
      <x:c r="B1217" s="33" t="str">
        <x:v>AUD349</x:v>
      </x:c>
      <x:c r="C1217" s="33" t="str">
        <x:v>Documentary and transaction evidence demonstrating: Where the clinical-establishment overlay applies, maintain prescribed minimum standards, personnel, records/reporting and emergency-stabilization arrangements.</x:v>
      </x:c>
      <x:c r="D1217" s="33" t="str">
        <x:v>Record</x:v>
      </x:c>
      <x:c r="E1217" s="33" t="str">
        <x:v>Yes</x:v>
      </x:c>
      <x:c r="F1217" s="33" t="str">
        <x:v>Applicable statutory / operational period</x:v>
      </x:c>
      <x:c r="G1217" s="33" t="str">
        <x:v>P4_VALIDATION</x:v>
      </x:c>
      <x:c r="H1217" s="33" t="str">
        <x:v>Yes</x:v>
      </x:c>
      <x:c r="I1217" s="33" t="str">
        <x:v>P-4 chain-closure evidence; exact document type follows the applicable law, licence or internal control.</x:v>
      </x:c>
    </x:row>
    <x:row r="1218">
      <x:c r="A1218" s="33" t="str">
        <x:v>P4EVID124</x:v>
      </x:c>
      <x:c r="B1218" s="33" t="str">
        <x:v>AUD351</x:v>
      </x:c>
      <x:c r="C1218" s="33" t="str">
        <x:v>Documentary and transaction evidence demonstrating: Display the registration certificate and complete applicable renewal/continuation requirements for the clinical establishment.</x:v>
      </x:c>
      <x:c r="D1218" s="33" t="str">
        <x:v>Record</x:v>
      </x:c>
      <x:c r="E1218" s="33" t="str">
        <x:v>Yes</x:v>
      </x:c>
      <x:c r="F1218" s="33" t="str">
        <x:v>Applicable statutory / operational period</x:v>
      </x:c>
      <x:c r="G1218" s="33" t="str">
        <x:v>P4_VALIDATION</x:v>
      </x:c>
      <x:c r="H1218" s="33" t="str">
        <x:v>Yes</x:v>
      </x:c>
      <x:c r="I1218" s="33" t="str">
        <x:v>P-4 chain-closure evidence; exact document type follows the applicable law, licence or internal control.</x:v>
      </x:c>
    </x:row>
    <x:row r="1219">
      <x:c r="A1219" s="33" t="str">
        <x:v>P4EVID125</x:v>
      </x:c>
      <x:c r="B1219" s="33" t="str">
        <x:v>AUD399</x:v>
      </x:c>
      <x:c r="C1219" s="33" t="str">
        <x:v>Documentary and transaction evidence demonstrating: Before release, substantiate all objective claims and ensure the advertisement is truthful and not misleading by implication, omission, exaggeration or ambiguity.</x:v>
      </x:c>
      <x:c r="D1219" s="33" t="str">
        <x:v>Record</x:v>
      </x:c>
      <x:c r="E1219" s="33" t="str">
        <x:v>Yes</x:v>
      </x:c>
      <x:c r="F1219" s="33" t="str">
        <x:v>Applicable statutory / operational period</x:v>
      </x:c>
      <x:c r="G1219" s="33" t="str">
        <x:v>P4_VALIDATION</x:v>
      </x:c>
      <x:c r="H1219" s="33" t="str">
        <x:v>Yes</x:v>
      </x:c>
      <x:c r="I1219" s="33" t="str">
        <x:v>P-4 chain-closure evidence; exact document type follows the applicable law, licence or internal control.</x:v>
      </x:c>
    </x:row>
    <x:row r="1220">
      <x:c r="A1220" s="33" t="str">
        <x:v>P4EVID126</x:v>
      </x:c>
      <x:c r="B1220" s="33" t="str">
        <x:v>AUD401</x:v>
      </x:c>
      <x:c r="C1220" s="33" t="str">
        <x:v>Documentary and transaction evidence demonstrating: Use only clear, prominent disclaimers that do not conceal material information or contradict the main claim.</x:v>
      </x:c>
      <x:c r="D1220" s="33" t="str">
        <x:v>Record</x:v>
      </x:c>
      <x:c r="E1220" s="33" t="str">
        <x:v>Yes</x:v>
      </x:c>
      <x:c r="F1220" s="33" t="str">
        <x:v>Applicable statutory / operational period</x:v>
      </x:c>
      <x:c r="G1220" s="33" t="str">
        <x:v>P4_VALIDATION</x:v>
      </x:c>
      <x:c r="H1220" s="33" t="str">
        <x:v>Yes</x:v>
      </x:c>
      <x:c r="I1220" s="33" t="str">
        <x:v>P-4 chain-closure evidence; exact document type follows the applicable law, licence or internal control.</x:v>
      </x:c>
    </x:row>
    <x:row r="1221">
      <x:c r="A1221" s="33" t="str">
        <x:v>P4EVID127</x:v>
      </x:c>
      <x:c r="B1221" s="33" t="str">
        <x:v>AUD403</x:v>
      </x:c>
      <x:c r="C1221" s="33" t="str">
        <x:v>Documentary and transaction evidence demonstrating: Do not advertise a product/service prohibited by law and document endorsement due diligence where an endorsement is used.</x:v>
      </x:c>
      <x:c r="D1221" s="33" t="str">
        <x:v>Record</x:v>
      </x:c>
      <x:c r="E1221" s="33" t="str">
        <x:v>Yes</x:v>
      </x:c>
      <x:c r="F1221" s="33" t="str">
        <x:v>Applicable statutory / operational period</x:v>
      </x:c>
      <x:c r="G1221" s="33" t="str">
        <x:v>P4_VALIDATION</x:v>
      </x:c>
      <x:c r="H1221" s="33" t="str">
        <x:v>Yes</x:v>
      </x:c>
      <x:c r="I1221" s="33" t="str">
        <x:v>P-4 chain-closure evidence; exact document type follows the applicable law, licence or internal control.</x:v>
      </x:c>
    </x:row>
    <x:row r="1222">
      <x:c r="A1222" s="33" t="str">
        <x:v>P4EVID128</x:v>
      </x:c>
      <x:c r="B1222" s="33" t="str">
        <x:v>AUD405</x:v>
      </x:c>
      <x:c r="C1222" s="33" t="str">
        <x:v>Documentary and transaction evidence demonstrating: Do not advertise a drug for the section 3/Schedule prohibited purposes, diseases or conditions.</x:v>
      </x:c>
      <x:c r="D1222" s="33" t="str">
        <x:v>Record</x:v>
      </x:c>
      <x:c r="E1222" s="33" t="str">
        <x:v>Yes</x:v>
      </x:c>
      <x:c r="F1222" s="33" t="str">
        <x:v>Applicable statutory / operational period</x:v>
      </x:c>
      <x:c r="G1222" s="33" t="str">
        <x:v>P4_VALIDATION</x:v>
      </x:c>
      <x:c r="H1222" s="33" t="str">
        <x:v>Yes</x:v>
      </x:c>
      <x:c r="I1222" s="33" t="str">
        <x:v>P-4 chain-closure evidence; exact document type follows the applicable law, licence or internal control.</x:v>
      </x:c>
    </x:row>
    <x:row r="1223">
      <x:c r="A1223" s="33" t="str">
        <x:v>P4EVID129</x:v>
      </x:c>
      <x:c r="B1223" s="33" t="str">
        <x:v>AUD407</x:v>
      </x:c>
      <x:c r="C1223" s="33" t="str">
        <x:v>Documentary and transaction evidence demonstrating: Do not issue a drug advertisement that gives a false impression, makes a false claim or is otherwise materially false/misleading.</x:v>
      </x:c>
      <x:c r="D1223" s="33" t="str">
        <x:v>Record</x:v>
      </x:c>
      <x:c r="E1223" s="33" t="str">
        <x:v>Yes</x:v>
      </x:c>
      <x:c r="F1223" s="33" t="str">
        <x:v>Applicable statutory / operational period</x:v>
      </x:c>
      <x:c r="G1223" s="33" t="str">
        <x:v>P4_VALIDATION</x:v>
      </x:c>
      <x:c r="H1223" s="33" t="str">
        <x:v>Yes</x:v>
      </x:c>
      <x:c r="I1223" s="33" t="str">
        <x:v>P-4 chain-closure evidence; exact document type follows the applicable law, licence or internal control.</x:v>
      </x:c>
    </x:row>
    <x:row r="1224">
      <x:c r="A1224" s="33" t="str">
        <x:v>P4EVID130</x:v>
      </x:c>
      <x:c r="B1224" s="33" t="str">
        <x:v>AUD441</x:v>
      </x:c>
      <x:c r="C1224" s="33" t="str">
        <x:v>Documentary and transaction evidence demonstrating: If the OSHWC Code applies, maintain the covered workplace-safety/health controls, provide required information/instruction and meet notified standards.</x:v>
      </x:c>
      <x:c r="D1224" s="33" t="str">
        <x:v>Record</x:v>
      </x:c>
      <x:c r="E1224" s="33" t="str">
        <x:v>Yes</x:v>
      </x:c>
      <x:c r="F1224" s="33" t="str">
        <x:v>Applicable statutory / operational period</x:v>
      </x:c>
      <x:c r="G1224" s="33" t="str">
        <x:v>P4_VALIDATION</x:v>
      </x:c>
      <x:c r="H1224" s="33" t="str">
        <x:v>Yes</x:v>
      </x:c>
      <x:c r="I1224" s="33" t="str">
        <x:v>P-4 chain-closure evidence; exact document type follows the applicable law, licence or internal control.</x:v>
      </x:c>
    </x:row>
    <x:row r="1225">
      <x:c r="A1225" s="33" t="str">
        <x:v>P4EVID131</x:v>
      </x:c>
      <x:c r="B1225" s="33" t="str">
        <x:v>AUD443</x:v>
      </x:c>
      <x:c r="C1225" s="33" t="str">
        <x:v>Documentary and transaction evidence demonstrating: If covered, implement the applicable welfare, working-time and employee information/appointment-letter controls under the Code and 2026 Rules.</x:v>
      </x:c>
      <x:c r="D1225" s="33" t="str">
        <x:v>Record</x:v>
      </x:c>
      <x:c r="E1225" s="33" t="str">
        <x:v>Yes</x:v>
      </x:c>
      <x:c r="F1225" s="33" t="str">
        <x:v>Applicable statutory / operational period</x:v>
      </x:c>
      <x:c r="G1225" s="33" t="str">
        <x:v>P4_VALIDATION</x:v>
      </x:c>
      <x:c r="H1225" s="33" t="str">
        <x:v>Yes</x:v>
      </x:c>
      <x:c r="I1225" s="33" t="str">
        <x:v>P-4 chain-closure evidence; exact document type follows the applicable law, licence or internal control.</x:v>
      </x:c>
    </x:row>
    <x:row r="1226">
      <x:c r="A1226" s="33" t="str">
        <x:v>P4EVID132</x:v>
      </x:c>
      <x:c r="B1226" s="33" t="str">
        <x:v>AUD445</x:v>
      </x:c>
      <x:c r="C1226" s="33" t="str">
        <x:v>Documentary and transaction evidence demonstrating: Report and record only the occupational accidents/dangerous occurrences prescribed for the covered establishment within the statutory timeline.</x:v>
      </x:c>
      <x:c r="D1226" s="33" t="str">
        <x:v>Record</x:v>
      </x:c>
      <x:c r="E1226" s="33" t="str">
        <x:v>Yes</x:v>
      </x:c>
      <x:c r="F1226" s="33" t="str">
        <x:v>Applicable statutory / operational period</x:v>
      </x:c>
      <x:c r="G1226" s="33" t="str">
        <x:v>P4_VALIDATION</x:v>
      </x:c>
      <x:c r="H1226" s="33" t="str">
        <x:v>Yes</x:v>
      </x:c>
      <x:c r="I1226" s="33" t="str">
        <x:v>P-4 chain-closure evidence; exact document type follows the applicable law, licence or internal control.</x:v>
      </x:c>
    </x:row>
    <x:row r="1227">
      <x:c r="A1227" s="33" t="str">
        <x:v>P4EVID133</x:v>
      </x:c>
      <x:c r="B1227" s="33" t="str">
        <x:v>AUD447</x:v>
      </x:c>
      <x:c r="C1227" s="33" t="str">
        <x:v>Documentary and transaction evidence demonstrating: Perform temperature mapping of storage areas before commissioning and after major modifications.</x:v>
      </x:c>
      <x:c r="D1227" s="33" t="str">
        <x:v>Record</x:v>
      </x:c>
      <x:c r="E1227" s="33" t="str">
        <x:v>Yes</x:v>
      </x:c>
      <x:c r="F1227" s="33" t="str">
        <x:v>Applicable statutory / operational period</x:v>
      </x:c>
      <x:c r="G1227" s="33" t="str">
        <x:v>P4_VALIDATION</x:v>
      </x:c>
      <x:c r="H1227" s="33" t="str">
        <x:v>Yes</x:v>
      </x:c>
      <x:c r="I1227" s="33" t="str">
        <x:v>P-4 chain-closure evidence; exact document type follows the applicable law, licence or internal control.</x:v>
      </x:c>
    </x:row>
    <x:row r="1228">
      <x:c r="A1228" s="33" t="str">
        <x:v>P4EVID134</x:v>
      </x:c>
      <x:c r="B1228" s="33" t="str">
        <x:v>AUD449</x:v>
      </x:c>
      <x:c r="C1228" s="33" t="str">
        <x:v>Documentary and transaction evidence demonstrating: Revalidate temperature mapping periodically and after significant changes to storage conditions.</x:v>
      </x:c>
      <x:c r="D1228" s="33" t="str">
        <x:v>Record</x:v>
      </x:c>
      <x:c r="E1228" s="33" t="str">
        <x:v>Yes</x:v>
      </x:c>
      <x:c r="F1228" s="33" t="str">
        <x:v>Applicable statutory / operational period</x:v>
      </x:c>
      <x:c r="G1228" s="33" t="str">
        <x:v>P4_VALIDATION</x:v>
      </x:c>
      <x:c r="H1228" s="33" t="str">
        <x:v>Yes</x:v>
      </x:c>
      <x:c r="I1228" s="33" t="str">
        <x:v>P-4 chain-closure evidence; exact document type follows the applicable law, licence or internal control.</x:v>
      </x:c>
    </x:row>
    <x:row r="1229">
      <x:c r="A1229" s="33" t="str">
        <x:v>P4EVID135</x:v>
      </x:c>
      <x:c r="B1229" s="33" t="str">
        <x:v>AUD451</x:v>
      </x:c>
      <x:c r="C1229" s="33" t="str">
        <x:v>Documentary and transaction evidence demonstrating: Maintain temperature mapping reports, protocols and validation records.</x:v>
      </x:c>
      <x:c r="D1229" s="33" t="str">
        <x:v>Record</x:v>
      </x:c>
      <x:c r="E1229" s="33" t="str">
        <x:v>Yes</x:v>
      </x:c>
      <x:c r="F1229" s="33" t="str">
        <x:v>Applicable statutory / operational period</x:v>
      </x:c>
      <x:c r="G1229" s="33" t="str">
        <x:v>P4_VALIDATION</x:v>
      </x:c>
      <x:c r="H1229" s="33" t="str">
        <x:v>Yes</x:v>
      </x:c>
      <x:c r="I1229" s="33" t="str">
        <x:v>P-4 chain-closure evidence; exact document type follows the applicable law, licence or internal control.</x:v>
      </x:c>
    </x:row>
    <x:row r="1230">
      <x:c r="A1230" s="33" t="str">
        <x:v>P4EVID136</x:v>
      </x:c>
      <x:c r="B1230" s="33" t="str">
        <x:v>AUD453</x:v>
      </x:c>
      <x:c r="C1230" s="33" t="str">
        <x:v>Documentary and transaction evidence demonstrating: Calibrate all critical measuring instruments at approved intervals.</x:v>
      </x:c>
      <x:c r="D1230" s="33" t="str">
        <x:v>Record</x:v>
      </x:c>
      <x:c r="E1230" s="33" t="str">
        <x:v>Yes</x:v>
      </x:c>
      <x:c r="F1230" s="33" t="str">
        <x:v>Applicable statutory / operational period</x:v>
      </x:c>
      <x:c r="G1230" s="33" t="str">
        <x:v>P4_VALIDATION</x:v>
      </x:c>
      <x:c r="H1230" s="33" t="str">
        <x:v>Yes</x:v>
      </x:c>
      <x:c r="I1230" s="33" t="str">
        <x:v>P-4 chain-closure evidence; exact document type follows the applicable law, licence or internal control.</x:v>
      </x:c>
    </x:row>
    <x:row r="1231">
      <x:c r="A1231" s="33" t="str">
        <x:v>P4EVID137</x:v>
      </x:c>
      <x:c r="B1231" s="33" t="str">
        <x:v>AUD455</x:v>
      </x:c>
      <x:c r="C1231" s="33" t="str">
        <x:v>Documentary and transaction evidence demonstrating: Qualify equipment before operational use and after major repairs where required.</x:v>
      </x:c>
      <x:c r="D1231" s="33" t="str">
        <x:v>Record</x:v>
      </x:c>
      <x:c r="E1231" s="33" t="str">
        <x:v>Yes</x:v>
      </x:c>
      <x:c r="F1231" s="33" t="str">
        <x:v>Applicable statutory / operational period</x:v>
      </x:c>
      <x:c r="G1231" s="33" t="str">
        <x:v>P4_VALIDATION</x:v>
      </x:c>
      <x:c r="H1231" s="33" t="str">
        <x:v>Yes</x:v>
      </x:c>
      <x:c r="I1231" s="33" t="str">
        <x:v>P-4 chain-closure evidence; exact document type follows the applicable law, licence or internal control.</x:v>
      </x:c>
    </x:row>
    <x:row r="1232">
      <x:c r="A1232" s="33" t="str">
        <x:v>P4EVID138</x:v>
      </x:c>
      <x:c r="B1232" s="33" t="str">
        <x:v>AUD457</x:v>
      </x:c>
      <x:c r="C1232" s="33" t="str">
        <x:v>Documentary and transaction evidence demonstrating: Implement a documented preventive maintenance programme for critical equipment.</x:v>
      </x:c>
      <x:c r="D1232" s="33" t="str">
        <x:v>Record</x:v>
      </x:c>
      <x:c r="E1232" s="33" t="str">
        <x:v>Yes</x:v>
      </x:c>
      <x:c r="F1232" s="33" t="str">
        <x:v>Applicable statutory / operational period</x:v>
      </x:c>
      <x:c r="G1232" s="33" t="str">
        <x:v>P4_VALIDATION</x:v>
      </x:c>
      <x:c r="H1232" s="33" t="str">
        <x:v>Yes</x:v>
      </x:c>
      <x:c r="I1232" s="33" t="str">
        <x:v>P-4 chain-closure evidence; exact document type follows the applicable law, licence or internal control.</x:v>
      </x:c>
    </x:row>
    <x:row r="1233">
      <x:c r="A1233" s="33" t="str">
        <x:v>P4EVID139</x:v>
      </x:c>
      <x:c r="B1233" s="33" t="str">
        <x:v>AUD459</x:v>
      </x:c>
      <x:c r="C1233" s="33" t="str">
        <x:v>Documentary and transaction evidence demonstrating: Maintain calibration certificates and calibration history for all critical instruments.</x:v>
      </x:c>
      <x:c r="D1233" s="33" t="str">
        <x:v>Record</x:v>
      </x:c>
      <x:c r="E1233" s="33" t="str">
        <x:v>Yes</x:v>
      </x:c>
      <x:c r="F1233" s="33" t="str">
        <x:v>Applicable statutory / operational period</x:v>
      </x:c>
      <x:c r="G1233" s="33" t="str">
        <x:v>P4_VALIDATION</x:v>
      </x:c>
      <x:c r="H1233" s="33" t="str">
        <x:v>Yes</x:v>
      </x:c>
      <x:c r="I1233" s="33" t="str">
        <x:v>P-4 chain-closure evidence; exact document type follows the applicable law, licence or internal control.</x:v>
      </x:c>
    </x:row>
    <x:row r="1234">
      <x:c r="A1234" s="33" t="str">
        <x:v>P4EVID140</x:v>
      </x:c>
      <x:c r="B1234" s="33" t="str">
        <x:v>AUD461</x:v>
      </x:c>
      <x:c r="C1234" s="33" t="str">
        <x:v>Documentary and transaction evidence demonstrating: Verify equipment performance following maintenance or calibration activities.</x:v>
      </x:c>
      <x:c r="D1234" s="33" t="str">
        <x:v>Record</x:v>
      </x:c>
      <x:c r="E1234" s="33" t="str">
        <x:v>Yes</x:v>
      </x:c>
      <x:c r="F1234" s="33" t="str">
        <x:v>Applicable statutory / operational period</x:v>
      </x:c>
      <x:c r="G1234" s="33" t="str">
        <x:v>P4_VALIDATION</x:v>
      </x:c>
      <x:c r="H1234" s="33" t="str">
        <x:v>Yes</x:v>
      </x:c>
      <x:c r="I1234" s="33" t="str">
        <x:v>P-4 chain-closure evidence; exact document type follows the applicable law, licence or internal control.</x:v>
      </x:c>
    </x:row>
    <x:row r="1235">
      <x:c r="A1235" s="33" t="str">
        <x:v>P4EVID141</x:v>
      </x:c>
      <x:c r="B1235" s="33" t="str">
        <x:v>AUD463</x:v>
      </x:c>
      <x:c r="C1235" s="33" t="str">
        <x:v>Documentary and transaction evidence demonstrating: Clearly identify and segregate equipment that is overdue for calibration or found to be defective.</x:v>
      </x:c>
      <x:c r="D1235" s="33" t="str">
        <x:v>Record</x:v>
      </x:c>
      <x:c r="E1235" s="33" t="str">
        <x:v>Yes</x:v>
      </x:c>
      <x:c r="F1235" s="33" t="str">
        <x:v>Applicable statutory / operational period</x:v>
      </x:c>
      <x:c r="G1235" s="33" t="str">
        <x:v>P4_VALIDATION</x:v>
      </x:c>
      <x:c r="H1235" s="33" t="str">
        <x:v>Yes</x:v>
      </x:c>
      <x:c r="I1235" s="33" t="str">
        <x:v>P-4 chain-closure evidence; exact document type follows the applicable law, licence or internal control.</x:v>
      </x:c>
    </x:row>
    <x:row r="1236">
      <x:c r="A1236" s="33" t="str">
        <x:v>P4EVID142</x:v>
      </x:c>
      <x:c r="B1236" s="33" t="str">
        <x:v>AUD465</x:v>
      </x:c>
      <x:c r="C1236" s="33" t="str">
        <x:v>Documentary and transaction evidence demonstrating: Ensure calibration is traceable to nationally or internationally recognized standards.</x:v>
      </x:c>
      <x:c r="D1236" s="33" t="str">
        <x:v>Record</x:v>
      </x:c>
      <x:c r="E1236" s="33" t="str">
        <x:v>Yes</x:v>
      </x:c>
      <x:c r="F1236" s="33" t="str">
        <x:v>Applicable statutory / operational period</x:v>
      </x:c>
      <x:c r="G1236" s="33" t="str">
        <x:v>P4_VALIDATION</x:v>
      </x:c>
      <x:c r="H1236" s="33" t="str">
        <x:v>Yes</x:v>
      </x:c>
      <x:c r="I1236" s="33" t="str">
        <x:v>P-4 chain-closure evidence; exact document type follows the applicable law, licence or internal control.</x:v>
      </x:c>
    </x:row>
    <x:row r="1237">
      <x:c r="A1237" s="33" t="str">
        <x:v>P4EVID143</x:v>
      </x:c>
      <x:c r="B1237" s="33" t="str">
        <x:v>AUD466</x:v>
      </x:c>
      <x:c r="C1237" s="33" t="str">
        <x:v>Documentary and transaction evidence demonstrating: Ensure calibration is traceable to nationally or internationally recognized standards.</x:v>
      </x:c>
      <x:c r="D1237" s="33" t="str">
        <x:v>Record</x:v>
      </x:c>
      <x:c r="E1237" s="33" t="str">
        <x:v>Yes</x:v>
      </x:c>
      <x:c r="F1237" s="33" t="str">
        <x:v>Applicable statutory / operational period</x:v>
      </x:c>
      <x:c r="G1237" s="33" t="str">
        <x:v>P4_VALIDATION</x:v>
      </x:c>
      <x:c r="H1237" s="33" t="str">
        <x:v>Yes</x:v>
      </x:c>
      <x:c r="I1237" s="33" t="str">
        <x:v>P-4 chain-closure evidence; exact document type follows the applicable law, licence or internal control.</x:v>
      </x:c>
    </x:row>
    <x:row r="1238">
      <x:c r="A1238" s="33" t="str">
        <x:v>P4EVID144</x:v>
      </x:c>
      <x:c r="B1238" s="33" t="str">
        <x:v>AUD468</x:v>
      </x:c>
      <x:c r="C1238" s="33" t="str">
        <x:v>Documentary and transaction evidence demonstrating: Periodically review the effectiveness of the calibration and maintenance programme.</x:v>
      </x:c>
      <x:c r="D1238" s="33" t="str">
        <x:v>Record</x:v>
      </x:c>
      <x:c r="E1238" s="33" t="str">
        <x:v>Yes</x:v>
      </x:c>
      <x:c r="F1238" s="33" t="str">
        <x:v>Applicable statutory / operational period</x:v>
      </x:c>
      <x:c r="G1238" s="33" t="str">
        <x:v>P4_VALIDATION</x:v>
      </x:c>
      <x:c r="H1238" s="33" t="str">
        <x:v>Yes</x:v>
      </x:c>
      <x:c r="I1238" s="33" t="str">
        <x:v>P-4 chain-closure evidence; exact document type follows the applicable law, licence or internal control.</x:v>
      </x:c>
    </x:row>
    <x:row r="1239">
      <x:c r="A1239" s="33" t="str">
        <x:v>P4EVID145</x:v>
      </x:c>
      <x:c r="B1239" s="33" t="str">
        <x:v>AUD469</x:v>
      </x:c>
      <x:c r="C1239" s="33" t="str">
        <x:v>Documentary and transaction evidence demonstrating: Periodically review the effectiveness of the calibration and maintenance programme.</x:v>
      </x:c>
      <x:c r="D1239" s="33" t="str">
        <x:v>Record</x:v>
      </x:c>
      <x:c r="E1239" s="33" t="str">
        <x:v>Yes</x:v>
      </x:c>
      <x:c r="F1239" s="33" t="str">
        <x:v>Applicable statutory / operational period</x:v>
      </x:c>
      <x:c r="G1239" s="33" t="str">
        <x:v>P4_VALIDATION</x:v>
      </x:c>
      <x:c r="H1239" s="33" t="str">
        <x:v>Yes</x:v>
      </x:c>
      <x:c r="I1239" s="33" t="str">
        <x:v>P-4 chain-closure evidence; exact document type follows the applicable law, licence or internal control.</x:v>
      </x:c>
    </x:row>
    <x:row r="1240">
      <x:c r="A1240" s="33" t="str">
        <x:v>P4EVID146</x:v>
      </x:c>
      <x:c r="B1240" s="33" t="str">
        <x:v>AUD471</x:v>
      </x:c>
      <x:c r="C1240" s="33" t="str">
        <x:v>Documentary and transaction evidence demonstrating: Synchronise ICT system clocks to NIC/NPL traceable NTP servers or another accurate time source traceable to them.</x:v>
      </x:c>
      <x:c r="D1240" s="33" t="str">
        <x:v>Record</x:v>
      </x:c>
      <x:c r="E1240" s="33" t="str">
        <x:v>Yes</x:v>
      </x:c>
      <x:c r="F1240" s="33" t="str">
        <x:v>Applicable statutory / operational period</x:v>
      </x:c>
      <x:c r="G1240" s="33" t="str">
        <x:v>P4_VALIDATION</x:v>
      </x:c>
      <x:c r="H1240" s="33" t="str">
        <x:v>Yes</x:v>
      </x:c>
      <x:c r="I1240" s="33" t="str">
        <x:v>P-4 chain-closure evidence; exact document type follows the applicable law, licence or internal control.</x:v>
      </x:c>
    </x:row>
    <x:row r="1241">
      <x:c r="A1241" s="33" t="str">
        <x:v>P4EVID147</x:v>
      </x:c>
      <x:c r="B1241" s="33" t="str">
        <x:v>AUD473</x:v>
      </x:c>
      <x:c r="C1241" s="33" t="str">
        <x:v>Documentary and transaction evidence demonstrating: Report any specified Annexure I cyber incident to CERT-In within six hours of noticing it or being informed.</x:v>
      </x:c>
      <x:c r="D1241" s="33" t="str">
        <x:v>Record</x:v>
      </x:c>
      <x:c r="E1241" s="33" t="str">
        <x:v>Yes</x:v>
      </x:c>
      <x:c r="F1241" s="33" t="str">
        <x:v>Applicable statutory / operational period</x:v>
      </x:c>
      <x:c r="G1241" s="33" t="str">
        <x:v>P4_VALIDATION</x:v>
      </x:c>
      <x:c r="H1241" s="33" t="str">
        <x:v>Yes</x:v>
      </x:c>
      <x:c r="I1241" s="33" t="str">
        <x:v>P-4 chain-closure evidence; exact document type follows the applicable law, licence or internal control.</x:v>
      </x:c>
    </x:row>
    <x:row r="1242">
      <x:c r="A1242" s="33" t="str">
        <x:v>P4EVID148</x:v>
      </x:c>
      <x:c r="B1242" s="33" t="str">
        <x:v>AUD475</x:v>
      </x:c>
      <x:c r="C1242" s="33" t="str">
        <x:v>Documentary and transaction evidence demonstrating: Enable ICT logs, retain them securely for a rolling 180 days within Indian jurisdiction and provide them to CERT-In when lawfully required.</x:v>
      </x:c>
      <x:c r="D1242" s="33" t="str">
        <x:v>Record</x:v>
      </x:c>
      <x:c r="E1242" s="33" t="str">
        <x:v>Yes</x:v>
      </x:c>
      <x:c r="F1242" s="33" t="str">
        <x:v>Applicable statutory / operational period</x:v>
      </x:c>
      <x:c r="G1242" s="33" t="str">
        <x:v>P4_VALIDATION</x:v>
      </x:c>
      <x:c r="H1242" s="33" t="str">
        <x:v>Yes</x:v>
      </x:c>
      <x:c r="I1242" s="33" t="str">
        <x:v>P-4 chain-closure evidence; exact document type follows the applicable law, licence or internal control.</x:v>
      </x:c>
    </x:row>
    <x:row r="1243">
      <x:c r="A1243" s="33" t="str">
        <x:v>P4EVID149</x:v>
      </x:c>
      <x:c r="B1243" s="33" t="str">
        <x:v>AUD477</x:v>
      </x:c>
      <x:c r="C1243" s="33" t="str">
        <x:v>Documentary and transaction evidence demonstrating: Designate, communicate and keep current the prescribed CERT-In point-of-contact details.</x:v>
      </x:c>
      <x:c r="D1243" s="33" t="str">
        <x:v>Record</x:v>
      </x:c>
      <x:c r="E1243" s="33" t="str">
        <x:v>Yes</x:v>
      </x:c>
      <x:c r="F1243" s="33" t="str">
        <x:v>Applicable statutory / operational period</x:v>
      </x:c>
      <x:c r="G1243" s="33" t="str">
        <x:v>P4_VALIDATION</x:v>
      </x:c>
      <x:c r="H1243" s="33" t="str">
        <x:v>Yes</x:v>
      </x:c>
      <x:c r="I1243" s="33" t="str">
        <x:v>P-4 chain-closure evidence; exact document type follows the applicable law, licence or internal control.</x:v>
      </x:c>
    </x:row>
    <x:row r="1244">
      <x:c r="A1244" s="33" t="str">
        <x:v>P4EVID150</x:v>
      </x:c>
      <x:c r="B1244" s="33" t="str">
        <x:v>AUD491</x:v>
      </x:c>
      <x:c r="C1244" s="33" t="str">
        <x:v>Documentary and transaction evidence demonstrating: Maintain pharmacy premises, records and operations in a state of inspection readiness at all times.</x:v>
      </x:c>
      <x:c r="D1244" s="33" t="str">
        <x:v>Record</x:v>
      </x:c>
      <x:c r="E1244" s="33" t="str">
        <x:v>Yes</x:v>
      </x:c>
      <x:c r="F1244" s="33" t="str">
        <x:v>Applicable statutory / operational period</x:v>
      </x:c>
      <x:c r="G1244" s="33" t="str">
        <x:v>P4_VALIDATION</x:v>
      </x:c>
      <x:c r="H1244" s="33" t="str">
        <x:v>Yes</x:v>
      </x:c>
      <x:c r="I1244" s="33" t="str">
        <x:v>P-4 chain-closure evidence; exact document type follows the applicable law, licence or internal control.</x:v>
      </x:c>
    </x:row>
    <x:row r="1245">
      <x:c r="A1245" s="33" t="str">
        <x:v>P4EVID151</x:v>
      </x:c>
      <x:c r="B1245" s="33" t="str">
        <x:v>AUD493</x:v>
      </x:c>
      <x:c r="C1245" s="33" t="str">
        <x:v>Documentary and transaction evidence demonstrating: Ensure statutory licences, approvals and registers are readily available for inspection.</x:v>
      </x:c>
      <x:c r="D1245" s="33" t="str">
        <x:v>Record</x:v>
      </x:c>
      <x:c r="E1245" s="33" t="str">
        <x:v>Yes</x:v>
      </x:c>
      <x:c r="F1245" s="33" t="str">
        <x:v>Applicable statutory / operational period</x:v>
      </x:c>
      <x:c r="G1245" s="33" t="str">
        <x:v>P4_VALIDATION</x:v>
      </x:c>
      <x:c r="H1245" s="33" t="str">
        <x:v>Yes</x:v>
      </x:c>
      <x:c r="I1245" s="33" t="str">
        <x:v>P-4 chain-closure evidence; exact document type follows the applicable law, licence or internal control.</x:v>
      </x:c>
    </x:row>
    <x:row r="1246">
      <x:c r="A1246" s="33" t="str">
        <x:v>P4EVID152</x:v>
      </x:c>
      <x:c r="B1246" s="33" t="str">
        <x:v>AUD495</x:v>
      </x:c>
      <x:c r="C1246" s="33" t="str">
        <x:v>Documentary and transaction evidence demonstrating: Maintain approved Standard Operating Procedures (SOPs) for all critical pharmacy processes.</x:v>
      </x:c>
      <x:c r="D1246" s="33" t="str">
        <x:v>Record</x:v>
      </x:c>
      <x:c r="E1246" s="33" t="str">
        <x:v>Yes</x:v>
      </x:c>
      <x:c r="F1246" s="33" t="str">
        <x:v>Applicable statutory / operational period</x:v>
      </x:c>
      <x:c r="G1246" s="33" t="str">
        <x:v>P4_VALIDATION</x:v>
      </x:c>
      <x:c r="H1246" s="33" t="str">
        <x:v>Yes</x:v>
      </x:c>
      <x:c r="I1246" s="33" t="str">
        <x:v>P-4 chain-closure evidence; exact document type follows the applicable law, licence or internal control.</x:v>
      </x:c>
    </x:row>
    <x:row r="1247">
      <x:c r="A1247" s="33" t="str">
        <x:v>P4EVID153</x:v>
      </x:c>
      <x:c r="B1247" s="33" t="str">
        <x:v>AUD497</x:v>
      </x:c>
      <x:c r="C1247" s="33" t="str">
        <x:v>Documentary and transaction evidence demonstrating: Review and respond to inspection observations within timelines prescribed by the authority.</x:v>
      </x:c>
      <x:c r="D1247" s="33" t="str">
        <x:v>Record</x:v>
      </x:c>
      <x:c r="E1247" s="33" t="str">
        <x:v>Yes</x:v>
      </x:c>
      <x:c r="F1247" s="33" t="str">
        <x:v>Applicable statutory / operational period</x:v>
      </x:c>
      <x:c r="G1247" s="33" t="str">
        <x:v>P4_VALIDATION</x:v>
      </x:c>
      <x:c r="H1247" s="33" t="str">
        <x:v>Yes</x:v>
      </x:c>
      <x:c r="I1247" s="33" t="str">
        <x:v>P-4 chain-closure evidence; exact document type follows the applicable law, licence or internal control.</x:v>
      </x:c>
    </x:row>
    <x:row r="1248">
      <x:c r="A1248" s="33" t="str">
        <x:v>P4EVID154</x:v>
      </x:c>
      <x:c r="B1248" s="33" t="str">
        <x:v>AUD499</x:v>
      </x:c>
      <x:c r="C1248" s="33" t="str">
        <x:v>Documentary and transaction evidence demonstrating: Implement corrective and preventive actions (CAPA) for all regulatory inspection observations.</x:v>
      </x:c>
      <x:c r="D1248" s="33" t="str">
        <x:v>Record</x:v>
      </x:c>
      <x:c r="E1248" s="33" t="str">
        <x:v>Yes</x:v>
      </x:c>
      <x:c r="F1248" s="33" t="str">
        <x:v>Applicable statutory / operational period</x:v>
      </x:c>
      <x:c r="G1248" s="33" t="str">
        <x:v>P4_VALIDATION</x:v>
      </x:c>
      <x:c r="H1248" s="33" t="str">
        <x:v>Yes</x:v>
      </x:c>
      <x:c r="I1248" s="33" t="str">
        <x:v>P-4 chain-closure evidence; exact document type follows the applicable law, licence or internal control.</x:v>
      </x:c>
    </x:row>
    <x:row r="1249">
      <x:c r="A1249" s="33" t="str">
        <x:v>P4EVID155</x:v>
      </x:c>
      <x:c r="B1249" s="33" t="str">
        <x:v>AUD501</x:v>
      </x:c>
      <x:c r="C1249" s="33" t="str">
        <x:v>Documentary and transaction evidence demonstrating: Conduct periodic internal compliance reviews covering all applicable pharmacy regulations.</x:v>
      </x:c>
      <x:c r="D1249" s="33" t="str">
        <x:v>Record</x:v>
      </x:c>
      <x:c r="E1249" s="33" t="str">
        <x:v>Yes</x:v>
      </x:c>
      <x:c r="F1249" s="33" t="str">
        <x:v>Applicable statutory / operational period</x:v>
      </x:c>
      <x:c r="G1249" s="33" t="str">
        <x:v>P4_VALIDATION</x:v>
      </x:c>
      <x:c r="H1249" s="33" t="str">
        <x:v>Yes</x:v>
      </x:c>
      <x:c r="I1249" s="33" t="str">
        <x:v>P-4 chain-closure evidence; exact document type follows the applicable law, licence or internal control.</x:v>
      </x:c>
    </x:row>
    <x:row r="1250">
      <x:c r="A1250" s="33" t="str">
        <x:v>P4EVID156</x:v>
      </x:c>
      <x:c r="B1250" s="33" t="str">
        <x:v>AUD503</x:v>
      </x:c>
      <x:c r="C1250" s="33" t="str">
        <x:v>Documentary and transaction evidence demonstrating: Establish and maintain an enterprise compliance governance framework.</x:v>
      </x:c>
      <x:c r="D1250" s="33" t="str">
        <x:v>Record</x:v>
      </x:c>
      <x:c r="E1250" s="33" t="str">
        <x:v>Yes</x:v>
      </x:c>
      <x:c r="F1250" s="33" t="str">
        <x:v>Applicable statutory / operational period</x:v>
      </x:c>
      <x:c r="G1250" s="33" t="str">
        <x:v>P4_VALIDATION</x:v>
      </x:c>
      <x:c r="H1250" s="33" t="str">
        <x:v>Yes</x:v>
      </x:c>
      <x:c r="I1250" s="33" t="str">
        <x:v>P-4 chain-closure evidence; exact document type follows the applicable law, licence or internal control.</x:v>
      </x:c>
    </x:row>
    <x:row r="1251">
      <x:c r="A1251" s="33" t="str">
        <x:v>P4EVID157</x:v>
      </x:c>
      <x:c r="B1251" s="33" t="str">
        <x:v>AUD505</x:v>
      </x:c>
      <x:c r="C1251" s="33" t="str">
        <x:v>Documentary and transaction evidence demonstrating: Assign clear ownership and accountability for every regulatory compliance obligation.</x:v>
      </x:c>
      <x:c r="D1251" s="33" t="str">
        <x:v>Record</x:v>
      </x:c>
      <x:c r="E1251" s="33" t="str">
        <x:v>Yes</x:v>
      </x:c>
      <x:c r="F1251" s="33" t="str">
        <x:v>Applicable statutory / operational period</x:v>
      </x:c>
      <x:c r="G1251" s="33" t="str">
        <x:v>P4_VALIDATION</x:v>
      </x:c>
      <x:c r="H1251" s="33" t="str">
        <x:v>Yes</x:v>
      </x:c>
      <x:c r="I1251" s="33" t="str">
        <x:v>P-4 chain-closure evidence; exact document type follows the applicable law, licence or internal control.</x:v>
      </x:c>
    </x:row>
    <x:row r="1252">
      <x:c r="A1252" s="33" t="str">
        <x:v>P4EVID158</x:v>
      </x:c>
      <x:c r="B1252" s="33" t="str">
        <x:v>AUD507</x:v>
      </x:c>
      <x:c r="C1252" s="33" t="str">
        <x:v>Documentary and transaction evidence demonstrating: Monitor regulatory updates and assess their impact on pharmacy operations.</x:v>
      </x:c>
      <x:c r="D1252" s="33" t="str">
        <x:v>Record</x:v>
      </x:c>
      <x:c r="E1252" s="33" t="str">
        <x:v>Yes</x:v>
      </x:c>
      <x:c r="F1252" s="33" t="str">
        <x:v>Applicable statutory / operational period</x:v>
      </x:c>
      <x:c r="G1252" s="33" t="str">
        <x:v>P4_VALIDATION</x:v>
      </x:c>
      <x:c r="H1252" s="33" t="str">
        <x:v>Yes</x:v>
      </x:c>
      <x:c r="I1252" s="33" t="str">
        <x:v>P-4 chain-closure evidence; exact document type follows the applicable law, licence or internal control.</x:v>
      </x:c>
    </x:row>
    <x:row r="1253">
      <x:c r="A1253" s="33" t="str">
        <x:v>P4EVID159</x:v>
      </x:c>
      <x:c r="B1253" s="33" t="str">
        <x:v>AUD509</x:v>
      </x:c>
      <x:c r="C1253" s="33" t="str">
        <x:v>Documentary and transaction evidence demonstrating: Maintain a compliance calendar covering all statutory obligations and due dates.</x:v>
      </x:c>
      <x:c r="D1253" s="33" t="str">
        <x:v>Record</x:v>
      </x:c>
      <x:c r="E1253" s="33" t="str">
        <x:v>Yes</x:v>
      </x:c>
      <x:c r="F1253" s="33" t="str">
        <x:v>Applicable statutory / operational period</x:v>
      </x:c>
      <x:c r="G1253" s="33" t="str">
        <x:v>P4_VALIDATION</x:v>
      </x:c>
      <x:c r="H1253" s="33" t="str">
        <x:v>Yes</x:v>
      </x:c>
      <x:c r="I1253" s="33" t="str">
        <x:v>P-4 chain-closure evidence; exact document type follows the applicable law, licence or internal control.</x:v>
      </x:c>
    </x:row>
    <x:row r="1254">
      <x:c r="A1254" s="33" t="str">
        <x:v>P4EVID160</x:v>
      </x:c>
      <x:c r="B1254" s="33" t="str">
        <x:v>AUD511</x:v>
      </x:c>
      <x:c r="C1254" s="33" t="str">
        <x:v>Documentary and transaction evidence demonstrating: Submit periodic compliance reports to senior management.</x:v>
      </x:c>
      <x:c r="D1254" s="33" t="str">
        <x:v>Record</x:v>
      </x:c>
      <x:c r="E1254" s="33" t="str">
        <x:v>Yes</x:v>
      </x:c>
      <x:c r="F1254" s="33" t="str">
        <x:v>Applicable statutory / operational period</x:v>
      </x:c>
      <x:c r="G1254" s="33" t="str">
        <x:v>P4_VALIDATION</x:v>
      </x:c>
      <x:c r="H1254" s="33" t="str">
        <x:v>Yes</x:v>
      </x:c>
      <x:c r="I1254" s="33" t="str">
        <x:v>P-4 chain-closure evidence; exact document type follows the applicable law, licence or internal control.</x:v>
      </x:c>
    </x:row>
    <x:row r="1255">
      <x:c r="A1255" s="33" t="str">
        <x:v>P4EVID161</x:v>
      </x:c>
      <x:c r="B1255" s="33" t="str">
        <x:v>AUD513</x:v>
      </x:c>
      <x:c r="C1255" s="33" t="str">
        <x:v>Documentary and transaction evidence demonstrating: Perform periodic regulatory risk assessments and document mitigation measures.</x:v>
      </x:c>
      <x:c r="D1255" s="33" t="str">
        <x:v>Record</x:v>
      </x:c>
      <x:c r="E1255" s="33" t="str">
        <x:v>Yes</x:v>
      </x:c>
      <x:c r="F1255" s="33" t="str">
        <x:v>Applicable statutory / operational period</x:v>
      </x:c>
      <x:c r="G1255" s="33" t="str">
        <x:v>P4_VALIDATION</x:v>
      </x:c>
      <x:c r="H1255" s="33" t="str">
        <x:v>Yes</x:v>
      </x:c>
      <x:c r="I1255" s="33" t="str">
        <x:v>P-4 chain-closure evidence; exact document type follows the applicable law, licence or internal control.</x:v>
      </x:c>
    </x:row>
    <x:row r="1256">
      <x:c r="A1256" s="33" t="str">
        <x:v>P4EVID162</x:v>
      </x:c>
      <x:c r="B1256" s="33" t="str">
        <x:v>AUD515</x:v>
      </x:c>
      <x:c r="C1256" s="33" t="str">
        <x:v>Documentary and transaction evidence demonstrating: Conduct independent internal audits to evaluate regulatory compliance effectiveness.</x:v>
      </x:c>
      <x:c r="D1256" s="33" t="str">
        <x:v>Record</x:v>
      </x:c>
      <x:c r="E1256" s="33" t="str">
        <x:v>Yes</x:v>
      </x:c>
      <x:c r="F1256" s="33" t="str">
        <x:v>Applicable statutory / operational period</x:v>
      </x:c>
      <x:c r="G1256" s="33" t="str">
        <x:v>P4_VALIDATION</x:v>
      </x:c>
      <x:c r="H1256" s="33" t="str">
        <x:v>Yes</x:v>
      </x:c>
      <x:c r="I1256" s="33" t="str">
        <x:v>P-4 chain-closure evidence; exact document type follows the applicable law, licence or internal control.</x:v>
      </x:c>
    </x:row>
    <x:row r="1257">
      <x:c r="A1257" s="33" t="str">
        <x:v>P4EVID163</x:v>
      </x:c>
      <x:c r="B1257" s="33" t="str">
        <x:v>AUD517</x:v>
      </x:c>
      <x:c r="C1257" s="33" t="str">
        <x:v>Documentary and transaction evidence demonstrating: Maintain controlled regulatory documents with version control, approval history and archival records.</x:v>
      </x:c>
      <x:c r="D1257" s="33" t="str">
        <x:v>Record</x:v>
      </x:c>
      <x:c r="E1257" s="33" t="str">
        <x:v>Yes</x:v>
      </x:c>
      <x:c r="F1257" s="33" t="str">
        <x:v>Applicable statutory / operational period</x:v>
      </x:c>
      <x:c r="G1257" s="33" t="str">
        <x:v>P4_VALIDATION</x:v>
      </x:c>
      <x:c r="H1257" s="33" t="str">
        <x:v>Yes</x:v>
      </x:c>
      <x:c r="I1257" s="33" t="str">
        <x:v>P-4 chain-closure evidence; exact document type follows the applicable law, licence or internal control.</x:v>
      </x:c>
    </x:row>
    <x:row r="1258">
      <x:c r="A1258" s="33" t="str">
        <x:v>P4EVID164</x:v>
      </x:c>
      <x:c r="B1258" s="33" t="str">
        <x:v>AUD518</x:v>
      </x:c>
      <x:c r="C1258" s="33" t="str">
        <x:v>Documentary and transaction evidence demonstrating: Maintain controlled regulatory documents with version control, approval history and archival records.</x:v>
      </x:c>
      <x:c r="D1258" s="33" t="str">
        <x:v>Record</x:v>
      </x:c>
      <x:c r="E1258" s="33" t="str">
        <x:v>Yes</x:v>
      </x:c>
      <x:c r="F1258" s="33" t="str">
        <x:v>Applicable statutory / operational period</x:v>
      </x:c>
      <x:c r="G1258" s="33" t="str">
        <x:v>P4_VALIDATION</x:v>
      </x:c>
      <x:c r="H1258" s="33" t="str">
        <x:v>Yes</x:v>
      </x:c>
      <x:c r="I1258" s="33" t="str">
        <x:v>P-4 chain-closure evidence; exact document type follows the applicable law, licence or internal control.</x:v>
      </x:c>
    </x:row>
    <x:row r="1259">
      <x:c r="A1259" s="33" t="str">
        <x:v>P4EVID165</x:v>
      </x:c>
      <x:c r="B1259" s="33" t="str">
        <x:v>AUD520</x:v>
      </x:c>
      <x:c r="C1259" s="33" t="str">
        <x:v>Documentary and transaction evidence demonstrating: Periodically review and improve the compliance management system through continual improvement initiatives.</x:v>
      </x:c>
      <x:c r="D1259" s="33" t="str">
        <x:v>Record</x:v>
      </x:c>
      <x:c r="E1259" s="33" t="str">
        <x:v>Yes</x:v>
      </x:c>
      <x:c r="F1259" s="33" t="str">
        <x:v>Applicable statutory / operational period</x:v>
      </x:c>
      <x:c r="G1259" s="33" t="str">
        <x:v>P4_VALIDATION</x:v>
      </x:c>
      <x:c r="H1259" s="33" t="str">
        <x:v>Yes</x:v>
      </x:c>
      <x:c r="I1259" s="33" t="str">
        <x:v>P-4 chain-closure evidence; exact document type follows the applicable law, licence or internal control.</x:v>
      </x:c>
    </x:row>
    <x:row r="1260">
      <x:c r="A1260" s="33" t="str">
        <x:v>P4EVID166</x:v>
      </x:c>
      <x:c r="B1260" s="33" t="str">
        <x:v>AUD521</x:v>
      </x:c>
      <x:c r="C1260" s="33" t="str">
        <x:v>Documentary and transaction evidence demonstrating: Periodically review and improve the compliance management system through continual improvement initiatives.</x:v>
      </x:c>
      <x:c r="D1260" s="33" t="str">
        <x:v>Record</x:v>
      </x:c>
      <x:c r="E1260" s="33" t="str">
        <x:v>Yes</x:v>
      </x:c>
      <x:c r="F1260" s="33" t="str">
        <x:v>Applicable statutory / operational period</x:v>
      </x:c>
      <x:c r="G1260" s="33" t="str">
        <x:v>P4_VALIDATION</x:v>
      </x:c>
      <x:c r="H1260" s="33" t="str">
        <x:v>Yes</x:v>
      </x:c>
      <x:c r="I1260" s="33" t="str">
        <x:v>P-4 chain-closure evidence; exact document type follows the applicable law, licence or internal control.</x:v>
      </x:c>
    </x:row>
  </x:sheetData>
  <x:pageMargins left="0.7" right="0.7" top="0.75" bottom="0.75" header="0.3" footer="0.3"/>
  <x:tableParts count="1">
    <x:tablePart xmlns:r="http://schemas.openxmlformats.org/officeDocument/2006/relationships" r:id="R9e32d8fb92b648b1"/>
  </x:tableParts>
</x:worksheet>
</file>

<file path=xl/worksheets/sheet13.xml><?xml version="1.0" encoding="utf-8"?>
<x:worksheet xmlns:x="http://schemas.openxmlformats.org/spreadsheetml/2006/main">
  <x:sheetFormatPr baseColWidth="8" defaultRowHeight="15"/>
  <x:cols>
    <x:col min="1" max="1" width="22" customWidth="1"/>
    <x:col min="2" max="2" width="10" customWidth="1"/>
    <x:col min="3" max="3" width="48" customWidth="1"/>
    <x:col min="4" max="4" width="12" customWidth="1"/>
    <x:col min="5" max="5" width="48" customWidth="1"/>
    <x:col min="6" max="6" width="22" customWidth="1"/>
    <x:col min="7" max="7" width="10" customWidth="1"/>
    <x:col min="8" max="8" width="10" customWidth="1"/>
    <x:col min="9" max="9" width="48" customWidth="1"/>
  </x:cols>
  <x:sheetData>
    <x:row r="1" ht="28" customHeight="1">
      <x:c r="A1" s="31" t="str">
        <x:v>Observation ID</x:v>
      </x:c>
      <x:c r="B1" s="31" t="str">
        <x:v>Audit ID</x:v>
      </x:c>
      <x:c r="C1" s="31" t="str">
        <x:v>Observation Template</x:v>
      </x:c>
      <x:c r="D1" s="31" t="str">
        <x:v>Risk Level</x:v>
      </x:c>
      <x:c r="E1" s="31" t="str">
        <x:v>Recommendation</x:v>
      </x:c>
      <x:c r="F1" s="31" t="str">
        <x:v>Observation Category</x:v>
      </x:c>
      <x:c r="G1" s="31" t="str">
        <x:v>Origin</x:v>
      </x:c>
      <x:c r="H1" s="31" t="str">
        <x:v>Active</x:v>
      </x:c>
      <x:c r="I1" s="31" t="str">
        <x:v>Remarks</x:v>
      </x:c>
    </x:row>
    <x:row r="2">
      <x:c r="A2" s="30" t="str">
        <x:v>OBS001</x:v>
      </x:c>
      <x:c r="B2" s="30" t="str">
        <x:v>AUD001</x:v>
      </x:c>
      <x:c r="C2" s="30" t="str">
        <x:v>Valid drug sale licence was not available, had expired, or did not correspond to the licensed premises.</x:v>
      </x:c>
      <x:c r="D2" s="30" t="str">
        <x:v>Critical</x:v>
      </x:c>
      <x:c r="E2" s="30" t="str">
        <x:v>Obtain or renew the valid drug sale licence immediately and ensure it reflects the current licensed premises.</x:v>
      </x:c>
      <x:c r="F2" s="30" t="str">
        <x:v>Licensing</x:v>
      </x:c>
      <x:c r="G2" s="30" t="str">
        <x:v>CORE</x:v>
      </x:c>
      <x:c r="H2" s="30" t="str">
        <x:v>Yes</x:v>
      </x:c>
      <x:c r="I2" s="30" t="str">
        <x:v>Regulatory non-compliance may lead to suspension of operations.</x:v>
      </x:c>
    </x:row>
    <x:row r="3">
      <x:c r="A3" s="30" t="str">
        <x:v>OBS002</x:v>
      </x:c>
      <x:c r="B3" s="30" t="str">
        <x:v>AUD004</x:v>
      </x:c>
      <x:c r="C3" s="30" t="str">
        <x:v>Drug licence renewal was not completed before expiry, resulting in lapse of licence validity.</x:v>
      </x:c>
      <x:c r="D3" s="30" t="str">
        <x:v>Critical</x:v>
      </x:c>
      <x:c r="E3" s="30" t="str">
        <x:v>Complete licence renewal well before the expiry date and establish a renewal tracking mechanism.</x:v>
      </x:c>
      <x:c r="F3" s="30" t="str">
        <x:v>Licensing</x:v>
      </x:c>
      <x:c r="G3" s="30" t="str">
        <x:v>CORE</x:v>
      </x:c>
      <x:c r="H3" s="30" t="str">
        <x:v>Yes</x:v>
      </x:c>
      <x:c r="I3" s="30" t="str">
        <x:v>Prevent business interruption.</x:v>
      </x:c>
    </x:row>
    <x:row r="4">
      <x:c r="A4" s="30" t="str">
        <x:v>OBS003</x:v>
      </x:c>
      <x:c r="B4" s="30" t="str">
        <x:v>AUD006</x:v>
      </x:c>
      <x:c r="C4" s="30" t="str">
        <x:v>Pharmacy operations were conducted from premises not covered under the approved drug licence.</x:v>
      </x:c>
      <x:c r="D4" s="30" t="str">
        <x:v>Critical</x:v>
      </x:c>
      <x:c r="E4" s="30" t="str">
        <x:v>Operate only from premises approved by the Licensing Authority or obtain prior approval for changes.</x:v>
      </x:c>
      <x:c r="F4" s="30" t="str">
        <x:v>Digital / E-Pharmacy</x:v>
      </x:c>
      <x:c r="G4" s="30" t="str">
        <x:v>CORE</x:v>
      </x:c>
      <x:c r="H4" s="30" t="str">
        <x:v>Yes</x:v>
      </x:c>
      <x:c r="I4" s="30" t="str">
        <x:v>Unauthorized premises are a serious regulatory violation.</x:v>
      </x:c>
    </x:row>
    <x:row r="5">
      <x:c r="A5" s="30" t="str">
        <x:v>OBS004</x:v>
      </x:c>
      <x:c r="B5" s="30" t="str">
        <x:v>AUD008</x:v>
      </x:c>
      <x:c r="C5" s="30" t="str">
        <x:v>Registered pharmacist was not available during pharmacy operating hours or supervision records were inadequate.</x:v>
      </x:c>
      <x:c r="D5" s="30" t="str">
        <x:v>Critical</x:v>
      </x:c>
      <x:c r="E5" s="30" t="str">
        <x:v>Ensure continuous supervision by a registered pharmacist and maintain complete attendance records.</x:v>
      </x:c>
      <x:c r="F5" s="30" t="str">
        <x:v>Licensing</x:v>
      </x:c>
      <x:c r="G5" s="30" t="str">
        <x:v>CORE</x:v>
      </x:c>
      <x:c r="H5" s="30" t="str">
        <x:v>Yes</x:v>
      </x:c>
      <x:c r="I5" s="30" t="str">
        <x:v>Mandatory statutory requirement.</x:v>
      </x:c>
    </x:row>
    <x:row r="6">
      <x:c r="A6" s="30" t="str">
        <x:v>OBS005</x:v>
      </x:c>
      <x:c r="B6" s="30" t="str">
        <x:v>AUD011</x:v>
      </x:c>
      <x:c r="C6" s="30" t="str">
        <x:v>Ownership details did not match the particulars recorded in the drug licence.</x:v>
      </x:c>
      <x:c r="D6" s="30" t="str">
        <x:v>High</x:v>
      </x:c>
      <x:c r="E6" s="30" t="str">
        <x:v>Update the licence promptly following any ownership or constitution change.</x:v>
      </x:c>
      <x:c r="F6" s="30" t="str">
        <x:v>Licensing</x:v>
      </x:c>
      <x:c r="G6" s="30" t="str">
        <x:v>CORE</x:v>
      </x:c>
      <x:c r="H6" s="30" t="str">
        <x:v>Yes</x:v>
      </x:c>
      <x:c r="I6" s="30" t="str">
        <x:v>Regulatory approval should precede operational changes.</x:v>
      </x:c>
    </x:row>
    <x:row r="7">
      <x:c r="A7" s="30" t="str">
        <x:v>OBS006</x:v>
      </x:c>
      <x:c r="B7" s="30" t="str">
        <x:v>AUD013</x:v>
      </x:c>
      <x:c r="C7" s="30" t="str">
        <x:v>Change of pharmacist was not reported to the Licensing Authority within the prescribed timeline.</x:v>
      </x:c>
      <x:c r="D7" s="30" t="str">
        <x:v>High</x:v>
      </x:c>
      <x:c r="E7" s="30" t="str">
        <x:v>Notify the Licensing Authority immediately and retain acknowledgement of submission.</x:v>
      </x:c>
      <x:c r="F7" s="30" t="str">
        <x:v>Personnel</x:v>
      </x:c>
      <x:c r="G7" s="30" t="str">
        <x:v>CORE</x:v>
      </x:c>
      <x:c r="H7" s="30" t="str">
        <x:v>Yes</x:v>
      </x:c>
      <x:c r="I7" s="30" t="str">
        <x:v>Timely reporting is mandatory.</x:v>
      </x:c>
    </x:row>
    <x:row r="8">
      <x:c r="A8" s="30" t="str">
        <x:v>OBS007</x:v>
      </x:c>
      <x:c r="B8" s="30" t="str">
        <x:v>AUD015</x:v>
      </x:c>
      <x:c r="C8" s="30" t="str">
        <x:v>Statutory records prescribed under applicable drug regulations were incomplete, inaccurate, or unavailable.</x:v>
      </x:c>
      <x:c r="D8" s="30" t="str">
        <x:v>High</x:v>
      </x:c>
      <x:c r="E8" s="30" t="str">
        <x:v>Maintain all statutory registers completely, accurately, and contemporaneously.</x:v>
      </x:c>
      <x:c r="F8" s="30" t="str">
        <x:v>Digital / E-Pharmacy</x:v>
      </x:c>
      <x:c r="G8" s="30" t="str">
        <x:v>CORE</x:v>
      </x:c>
      <x:c r="H8" s="30" t="str">
        <x:v>Yes</x:v>
      </x:c>
      <x:c r="I8" s="30" t="str">
        <x:v>Records should be readily available for inspection.</x:v>
      </x:c>
    </x:row>
    <x:row r="9">
      <x:c r="A9" s="30" t="str">
        <x:v>OBS008</x:v>
      </x:c>
      <x:c r="B9" s="30" t="str">
        <x:v>AUD017</x:v>
      </x:c>
      <x:c r="C9" s="30" t="str">
        <x:v>Licence amendments were not obtained prior to implementing regulated operational changes.</x:v>
      </x:c>
      <x:c r="D9" s="30" t="str">
        <x:v>High</x:v>
      </x:c>
      <x:c r="E9" s="30" t="str">
        <x:v>Obtain formal licence amendment approval before implementing any regulated changes.</x:v>
      </x:c>
      <x:c r="F9" s="30" t="str">
        <x:v>Digital / E-Pharmacy</x:v>
      </x:c>
      <x:c r="G9" s="30" t="str">
        <x:v>CORE</x:v>
      </x:c>
      <x:c r="H9" s="30" t="str">
        <x:v>Yes</x:v>
      </x:c>
      <x:c r="I9" s="30" t="str">
        <x:v>Prevent unauthorized operations.</x:v>
      </x:c>
    </x:row>
    <x:row r="10">
      <x:c r="A10" s="30" t="str">
        <x:v>OBS009</x:v>
      </x:c>
      <x:c r="B10" s="30" t="str">
        <x:v>AUD019</x:v>
      </x:c>
      <x:c r="C10" s="30" t="str">
        <x:v>Mandatory licence or statutory information was not displayed prominently at the pharmacy.</x:v>
      </x:c>
      <x:c r="D10" s="30" t="str">
        <x:v>Medium</x:v>
      </x:c>
      <x:c r="E10" s="30" t="str">
        <x:v>Display the current valid licence and all mandatory statutory information in a conspicuous location.</x:v>
      </x:c>
      <x:c r="F10" s="30" t="str">
        <x:v>Licensing</x:v>
      </x:c>
      <x:c r="G10" s="30" t="str">
        <x:v>CORE</x:v>
      </x:c>
      <x:c r="H10" s="30" t="str">
        <x:v>Yes</x:v>
      </x:c>
      <x:c r="I10" s="30" t="str">
        <x:v>Improves regulatory transparency.</x:v>
      </x:c>
    </x:row>
    <x:row r="11">
      <x:c r="A11" s="30" t="str">
        <x:v>OBS010</x:v>
      </x:c>
      <x:c r="B11" s="30" t="str">
        <x:v>AUD021</x:v>
      </x:c>
      <x:c r="C11" s="30" t="str">
        <x:v>Inspection book was unavailable, incomplete, or inspection observations were not closed.</x:v>
      </x:c>
      <x:c r="D11" s="30" t="str">
        <x:v>High</x:v>
      </x:c>
      <x:c r="E11" s="30" t="str">
        <x:v>Maintain the inspection book at the premises and promptly address all inspection observations.</x:v>
      </x:c>
      <x:c r="F11" s="30" t="str">
        <x:v>Infrastructure</x:v>
      </x:c>
      <x:c r="G11" s="30" t="str">
        <x:v>CORE</x:v>
      </x:c>
      <x:c r="H11" s="30" t="str">
        <x:v>Yes</x:v>
      </x:c>
      <x:c r="I11" s="30" t="str">
        <x:v>Essential during regulatory inspections.</x:v>
      </x:c>
    </x:row>
    <x:row r="12">
      <x:c r="A12" s="30" t="str">
        <x:v>OBS011</x:v>
      </x:c>
      <x:c r="B12" s="30" t="str">
        <x:v>AUD023</x:v>
      </x:c>
      <x:c r="C12" s="30" t="str">
        <x:v>Pharmacy conducted activities beyond the scope permitted under the issued drug licence.</x:v>
      </x:c>
      <x:c r="D12" s="30" t="str">
        <x:v>Critical</x:v>
      </x:c>
      <x:c r="E12" s="30" t="str">
        <x:v>Restrict operations strictly to activities authorized under the licence or obtain additional approvals.</x:v>
      </x:c>
      <x:c r="F12" s="30" t="str">
        <x:v>Digital / E-Pharmacy</x:v>
      </x:c>
      <x:c r="G12" s="30" t="str">
        <x:v>CORE</x:v>
      </x:c>
      <x:c r="H12" s="30" t="str">
        <x:v>No</x:v>
      </x:c>
      <x:c r="I12" s="30" t="str">
        <x:v>P-2 QUARANTINED with AUD023; replacement observation attached to AUD537.</x:v>
      </x:c>
    </x:row>
    <x:row r="13">
      <x:c r="A13" s="30" t="str">
        <x:v>OBS012</x:v>
      </x:c>
      <x:c r="B13" s="30" t="str">
        <x:v>AUD025</x:v>
      </x:c>
      <x:c r="C13" s="30" t="str">
        <x:v>Access to medicine storage or dispensing areas was not adequately restricted.</x:v>
      </x:c>
      <x:c r="D13" s="30" t="str">
        <x:v>High</x:v>
      </x:c>
      <x:c r="E13" s="30" t="str">
        <x:v>Implement appropriate physical access controls and maintain access records.</x:v>
      </x:c>
      <x:c r="F13" s="30" t="str">
        <x:v>Digital / E-Pharmacy</x:v>
      </x:c>
      <x:c r="G13" s="30" t="str">
        <x:v>CORE</x:v>
      </x:c>
      <x:c r="H13" s="30" t="str">
        <x:v>No</x:v>
      </x:c>
      <x:c r="I13" s="30" t="str">
        <x:v>P-2 QUARANTINED with AUD025; replacement observation attached to AUD538.</x:v>
      </x:c>
    </x:row>
    <x:row r="14">
      <x:c r="A14" s="30" t="str">
        <x:v>OBS013</x:v>
      </x:c>
      <x:c r="B14" s="30" t="str">
        <x:v>AUD027</x:v>
      </x:c>
      <x:c r="C14" s="30" t="str">
        <x:v>Statutory records were not preserved for the minimum retention period prescribed by law.</x:v>
      </x:c>
      <x:c r="D14" s="30" t="str">
        <x:v>Medium</x:v>
      </x:c>
      <x:c r="E14" s="30" t="str">
        <x:v>Retain records for the prescribed period and implement a documented retention policy.</x:v>
      </x:c>
      <x:c r="F14" s="30" t="str">
        <x:v>Documentation</x:v>
      </x:c>
      <x:c r="G14" s="30" t="str">
        <x:v>CORE</x:v>
      </x:c>
      <x:c r="H14" s="30" t="str">
        <x:v>No</x:v>
      </x:c>
      <x:c r="I14" s="30" t="str">
        <x:v>P-2 QUARANTINED with AUD027; replacement observation attached to AUD539.</x:v>
      </x:c>
    </x:row>
    <x:row r="15">
      <x:c r="A15" s="30" t="str">
        <x:v>OBS014</x:v>
      </x:c>
      <x:c r="B15" s="30" t="str">
        <x:v>AUD029</x:v>
      </x:c>
      <x:c r="C15" s="30" t="str">
        <x:v>Regulatory correspondence was incomplete, improperly filed, or could not be readily produced.</x:v>
      </x:c>
      <x:c r="D15" s="30" t="str">
        <x:v>Medium</x:v>
      </x:c>
      <x:c r="E15" s="30" t="str">
        <x:v>Maintain organized files for all regulatory communications with proper indexing.</x:v>
      </x:c>
      <x:c r="F15" s="30" t="str">
        <x:v>Regulatory Filing</x:v>
      </x:c>
      <x:c r="G15" s="30" t="str">
        <x:v>CORE</x:v>
      </x:c>
      <x:c r="H15" s="30" t="str">
        <x:v>No</x:v>
      </x:c>
      <x:c r="I15" s="30" t="str">
        <x:v>P-2 QUARANTINED with AUD029; replacement observation attached to AUD540.</x:v>
      </x:c>
    </x:row>
    <x:row r="16">
      <x:c r="A16" s="30" t="str">
        <x:v>OBS015</x:v>
      </x:c>
      <x:c r="B16" s="30" t="str">
        <x:v>AUD031</x:v>
      </x:c>
      <x:c r="C16" s="30" t="str">
        <x:v>Regulatory notices were not responded to within prescribed timelines or supporting records were unavailable.</x:v>
      </x:c>
      <x:c r="D16" s="30" t="str">
        <x:v>High</x:v>
      </x:c>
      <x:c r="E16" s="30" t="str">
        <x:v>Establish a tracking mechanism for regulatory notices and document all responses.</x:v>
      </x:c>
      <x:c r="F16" s="30" t="str">
        <x:v>Regulatory Filing</x:v>
      </x:c>
      <x:c r="G16" s="30" t="str">
        <x:v>CORE</x:v>
      </x:c>
      <x:c r="H16" s="30" t="str">
        <x:v>No</x:v>
      </x:c>
      <x:c r="I16" s="30" t="str">
        <x:v>P-2 QUARANTINED with AUD031; replacement observation attached to AUD541.</x:v>
      </x:c>
    </x:row>
    <x:row r="17">
      <x:c r="A17" s="30" t="str">
        <x:v>OBS016</x:v>
      </x:c>
      <x:c r="B17" s="30" t="str">
        <x:v>AUD033</x:v>
      </x:c>
      <x:c r="C17" s="30" t="str">
        <x:v>Mandatory statutory returns were not submitted or submission evidence was unavailable.</x:v>
      </x:c>
      <x:c r="D17" s="30" t="str">
        <x:v>High</x:v>
      </x:c>
      <x:c r="E17" s="30" t="str">
        <x:v>Submit all statutory returns within prescribed timelines and retain acknowledgements.</x:v>
      </x:c>
      <x:c r="F17" s="30" t="str">
        <x:v>Regulatory Filing</x:v>
      </x:c>
      <x:c r="G17" s="30" t="str">
        <x:v>CORE</x:v>
      </x:c>
      <x:c r="H17" s="30" t="str">
        <x:v>No</x:v>
      </x:c>
      <x:c r="I17" s="30" t="str">
        <x:v>P-2 QUARANTINED with AUD033; replacement observation attached to AUD542.</x:v>
      </x:c>
    </x:row>
    <x:row r="18">
      <x:c r="A18" s="30" t="str">
        <x:v>OBS017</x:v>
      </x:c>
      <x:c r="B18" s="30" t="str">
        <x:v>AUD035</x:v>
      </x:c>
      <x:c r="C18" s="30" t="str">
        <x:v>Prescribed regulatory fees were not paid on time or payment evidence was unavailable.</x:v>
      </x:c>
      <x:c r="D18" s="30" t="str">
        <x:v>Medium</x:v>
      </x:c>
      <x:c r="E18" s="30" t="str">
        <x:v>Pay applicable statutory fees before due dates and maintain payment records.</x:v>
      </x:c>
      <x:c r="F18" s="30" t="str">
        <x:v>Digital / E-Pharmacy</x:v>
      </x:c>
      <x:c r="G18" s="30" t="str">
        <x:v>CORE</x:v>
      </x:c>
      <x:c r="H18" s="30" t="str">
        <x:v>No</x:v>
      </x:c>
      <x:c r="I18" s="30" t="str">
        <x:v>P-2 QUARANTINED with AUD035; replacement observation attached to AUD543.</x:v>
      </x:c>
    </x:row>
    <x:row r="19">
      <x:c r="A19" s="30" t="str">
        <x:v>OBS018</x:v>
      </x:c>
      <x:c r="B19" s="30" t="str">
        <x:v>AUD037</x:v>
      </x:c>
      <x:c r="C19" s="30" t="str">
        <x:v>Duplicate licence was obtained without following prescribed procedures or supporting records were unavailable.</x:v>
      </x:c>
      <x:c r="D19" s="30" t="str">
        <x:v>Low</x:v>
      </x:c>
      <x:c r="E19" s="30" t="str">
        <x:v>Follow prescribed procedures while applying for duplicate licences and retain documentation.</x:v>
      </x:c>
      <x:c r="F19" s="30" t="str">
        <x:v>Digital / E-Pharmacy</x:v>
      </x:c>
      <x:c r="G19" s="30" t="str">
        <x:v>CORE</x:v>
      </x:c>
      <x:c r="H19" s="30" t="str">
        <x:v>No</x:v>
      </x:c>
      <x:c r="I19" s="30" t="str">
        <x:v>P-2 QUARANTINED with AUD037; replacement observation attached to AUD544.</x:v>
      </x:c>
    </x:row>
    <x:row r="20">
      <x:c r="A20" s="30" t="str">
        <x:v>OBS019</x:v>
      </x:c>
      <x:c r="B20" s="30" t="str">
        <x:v>AUD039</x:v>
      </x:c>
      <x:c r="C20" s="30" t="str">
        <x:v>Pharmacy premises deviated materially from the approved layout without regulatory approval.</x:v>
      </x:c>
      <x:c r="D20" s="30" t="str">
        <x:v>High</x:v>
      </x:c>
      <x:c r="E20" s="30" t="str">
        <x:v>Obtain approval before modifying licensed premises and update layout records.</x:v>
      </x:c>
      <x:c r="F20" s="30" t="str">
        <x:v>Digital / E-Pharmacy</x:v>
      </x:c>
      <x:c r="G20" s="30" t="str">
        <x:v>CORE</x:v>
      </x:c>
      <x:c r="H20" s="30" t="str">
        <x:v>No</x:v>
      </x:c>
      <x:c r="I20" s="30" t="str">
        <x:v>P-2 QUARANTINED with AUD039; replacement observation attached to AUD545.</x:v>
      </x:c>
    </x:row>
    <x:row r="21">
      <x:c r="A21" s="30" t="str">
        <x:v>OBS020</x:v>
      </x:c>
      <x:c r="B21" s="30" t="str">
        <x:v>AUD041</x:v>
      </x:c>
      <x:c r="C21" s="30" t="str">
        <x:v>Pharmacy signboard or mandatory statutory display did not comply with regulatory requirements.</x:v>
      </x:c>
      <x:c r="D21" s="30" t="str">
        <x:v>Medium</x:v>
      </x:c>
      <x:c r="E21" s="30" t="str">
        <x:v>Update signboard and statutory displays to meet applicable legal requirements.</x:v>
      </x:c>
      <x:c r="F21" s="30" t="str">
        <x:v>Digital / E-Pharmacy</x:v>
      </x:c>
      <x:c r="G21" s="30" t="str">
        <x:v>CORE</x:v>
      </x:c>
      <x:c r="H21" s="30" t="str">
        <x:v>No</x:v>
      </x:c>
      <x:c r="I21" s="30" t="str">
        <x:v>P-2 QUARANTINED with AUD041; replacement observation attached to AUD546.</x:v>
      </x:c>
    </x:row>
    <x:row r="22">
      <x:c r="A22" s="30" t="str">
        <x:v>OBS021</x:v>
      </x:c>
      <x:c r="B22" s="30" t="str">
        <x:v>AUD043</x:v>
      </x:c>
      <x:c r="C22" s="30" t="str">
        <x:v>Backup or preservation arrangements for statutory records were inadequate or ineffective.</x:v>
      </x:c>
      <x:c r="D22" s="30" t="str">
        <x:v>Medium</x:v>
      </x:c>
      <x:c r="E22" s="30" t="str">
        <x:v>Implement secure record backup and preservation controls for physical and electronic records.</x:v>
      </x:c>
      <x:c r="F22" s="30" t="str">
        <x:v>Documentation</x:v>
      </x:c>
      <x:c r="G22" s="30" t="str">
        <x:v>CORE</x:v>
      </x:c>
      <x:c r="H22" s="30" t="str">
        <x:v>No</x:v>
      </x:c>
      <x:c r="I22" s="30" t="str">
        <x:v>P-2 QUARANTINED with AUD043; replacement observation attached to AUD547.</x:v>
      </x:c>
    </x:row>
    <x:row r="23">
      <x:c r="A23" s="30" t="str">
        <x:v>OBS022</x:v>
      </x:c>
      <x:c r="B23" s="30" t="str">
        <x:v>AUD045</x:v>
      </x:c>
      <x:c r="C23" s="30" t="str">
        <x:v>Inspection observations were not tracked, monitored, or closed within reasonable timelines.</x:v>
      </x:c>
      <x:c r="D23" s="30" t="str">
        <x:v>High</x:v>
      </x:c>
      <x:c r="E23" s="30" t="str">
        <x:v>Maintain an inspection action tracker and verify timely closure of all observations.</x:v>
      </x:c>
      <x:c r="F23" s="30" t="str">
        <x:v>Other</x:v>
      </x:c>
      <x:c r="G23" s="30" t="str">
        <x:v>CORE</x:v>
      </x:c>
      <x:c r="H23" s="30" t="str">
        <x:v>No</x:v>
      </x:c>
      <x:c r="I23" s="30" t="str">
        <x:v>P-2 QUARANTINED with AUD045; replacement observation attached to AUD548.</x:v>
      </x:c>
    </x:row>
    <x:row r="24">
      <x:c r="A24" s="30" t="str">
        <x:v>OBS023</x:v>
      </x:c>
      <x:c r="B24" s="30" t="str">
        <x:v>AUD047</x:v>
      </x:c>
      <x:c r="C24" s="30" t="str">
        <x:v>Required regulatory approvals supporting pharmacy operations were unavailable or expired.</x:v>
      </x:c>
      <x:c r="D24" s="30" t="str">
        <x:v>Critical</x:v>
      </x:c>
      <x:c r="E24" s="30" t="str">
        <x:v>Obtain and maintain all applicable regulatory approvals before commencing regulated activities.</x:v>
      </x:c>
      <x:c r="F24" s="30" t="str">
        <x:v>Digital / E-Pharmacy</x:v>
      </x:c>
      <x:c r="G24" s="30" t="str">
        <x:v>CORE</x:v>
      </x:c>
      <x:c r="H24" s="30" t="str">
        <x:v>No</x:v>
      </x:c>
      <x:c r="I24" s="30" t="str">
        <x:v>P-2 QUARANTINED with AUD047; replacement observation attached to AUD549.</x:v>
      </x:c>
    </x:row>
    <x:row r="25">
      <x:c r="A25" s="30" t="str">
        <x:v>OBS024</x:v>
      </x:c>
      <x:c r="B25" s="30" t="str">
        <x:v>AUD049</x:v>
      </x:c>
      <x:c r="C25" s="30" t="str">
        <x:v>Periodic management review of regulatory compliance was not conducted or documented.</x:v>
      </x:c>
      <x:c r="D25" s="30" t="str">
        <x:v>Medium</x:v>
      </x:c>
      <x:c r="E25" s="30" t="str">
        <x:v>Conduct scheduled compliance review meetings and document decisions and follow-up actions.</x:v>
      </x:c>
      <x:c r="F25" s="30" t="str">
        <x:v>Regulatory Filing</x:v>
      </x:c>
      <x:c r="G25" s="30" t="str">
        <x:v>CORE</x:v>
      </x:c>
      <x:c r="H25" s="30" t="str">
        <x:v>No</x:v>
      </x:c>
      <x:c r="I25" s="30" t="str">
        <x:v>P-2 QUARANTINED with AUD049; replacement observation attached to AUD550.</x:v>
      </x:c>
    </x:row>
    <x:row r="26">
      <x:c r="A26" s="30" t="str">
        <x:v>OBS025</x:v>
      </x:c>
      <x:c r="B26" s="30" t="str">
        <x:v>AUD051</x:v>
      </x:c>
      <x:c r="C26" s="30" t="str">
        <x:v>Internal compliance monitoring was absent, ineffective, or inadequately documented.</x:v>
      </x:c>
      <x:c r="D26" s="30" t="str">
        <x:v>High</x:v>
      </x:c>
      <x:c r="E26" s="30" t="str">
        <x:v>Implement a documented internal compliance monitoring program with periodic reporting and corrective actions.</x:v>
      </x:c>
      <x:c r="F26" s="30" t="str">
        <x:v>Regulatory Filing</x:v>
      </x:c>
      <x:c r="G26" s="30" t="str">
        <x:v>CORE</x:v>
      </x:c>
      <x:c r="H26" s="30" t="str">
        <x:v>No</x:v>
      </x:c>
      <x:c r="I26" s="30" t="str">
        <x:v>P-2 QUARANTINED with AUD051; replacement observation attached to AUD551.</x:v>
      </x:c>
    </x:row>
    <x:row r="27">
      <x:c r="A27" s="30" t="str">
        <x:v>OBS026</x:v>
      </x:c>
      <x:c r="B27" s="30" t="str">
        <x:v>AUD053</x:v>
      </x:c>
      <x:c r="C27" s="30" t="str">
        <x:v>Medicines were procured from suppliers without valid drug licences or supplier authorization could not be verified.</x:v>
      </x:c>
      <x:c r="D27" s="30" t="str">
        <x:v>Critical</x:v>
      </x:c>
      <x:c r="E27" s="30" t="str">
        <x:v>Procure medicines only from licensed and approved suppliers after verifying licence validity.</x:v>
      </x:c>
      <x:c r="F27" s="30" t="str">
        <x:v>Digital / E-Pharmacy</x:v>
      </x:c>
      <x:c r="G27" s="30" t="str">
        <x:v>CORE</x:v>
      </x:c>
      <x:c r="H27" s="30" t="str">
        <x:v>Yes</x:v>
      </x:c>
      <x:c r="I27" s="30" t="str">
        <x:v>Supplier qualification should be periodically reviewed.</x:v>
      </x:c>
    </x:row>
    <x:row r="28">
      <x:c r="A28" s="30" t="str">
        <x:v>OBS027</x:v>
      </x:c>
      <x:c r="B28" s="30" t="str">
        <x:v>AUD055</x:v>
      </x:c>
      <x:c r="C28" s="30" t="str">
        <x:v>Purchase invoices were incomplete, inaccurate, or missing mandatory statutory particulars.</x:v>
      </x:c>
      <x:c r="D28" s="30" t="str">
        <x:v>High</x:v>
      </x:c>
      <x:c r="E28" s="30" t="str">
        <x:v>Ensure every procurement transaction is supported by a complete statutory invoice.</x:v>
      </x:c>
      <x:c r="F28" s="30" t="str">
        <x:v>Inventory</x:v>
      </x:c>
      <x:c r="G28" s="30" t="str">
        <x:v>CORE</x:v>
      </x:c>
      <x:c r="H28" s="30" t="str">
        <x:v>Yes</x:v>
      </x:c>
      <x:c r="I28" s="30" t="str">
        <x:v>Invoice should support full traceability.</x:v>
      </x:c>
    </x:row>
    <x:row r="29">
      <x:c r="A29" s="30" t="str">
        <x:v>OBS028</x:v>
      </x:c>
      <x:c r="B29" s="30" t="str">
        <x:v>AUD057</x:v>
      </x:c>
      <x:c r="C29" s="30" t="str">
        <x:v>Incoming drug consignments were not inspected or receipt inspection records were incomplete.</x:v>
      </x:c>
      <x:c r="D29" s="30" t="str">
        <x:v>High</x:v>
      </x:c>
      <x:c r="E29" s="30" t="str">
        <x:v>Perform and document inspection of every inward consignment before acceptance.</x:v>
      </x:c>
      <x:c r="F29" s="30" t="str">
        <x:v>Documentation</x:v>
      </x:c>
      <x:c r="G29" s="30" t="str">
        <x:v>CORE</x:v>
      </x:c>
      <x:c r="H29" s="30" t="str">
        <x:v>Yes</x:v>
      </x:c>
      <x:c r="I29" s="30" t="str">
        <x:v>Inspection should cover quantity, condition and documentation.</x:v>
      </x:c>
    </x:row>
    <x:row r="30">
      <x:c r="A30" s="30" t="str">
        <x:v>OBS029</x:v>
      </x:c>
      <x:c r="B30" s="30" t="str">
        <x:v>AUD059</x:v>
      </x:c>
      <x:c r="C30" s="30" t="str">
        <x:v>Batch number, manufacturing date or expiry date were not verified during receipt of medicines.</x:v>
      </x:c>
      <x:c r="D30" s="30" t="str">
        <x:v>High</x:v>
      </x:c>
      <x:c r="E30" s="30" t="str">
        <x:v>Verify and document batch details for every received consignment.</x:v>
      </x:c>
      <x:c r="F30" s="30" t="str">
        <x:v>Storage</x:v>
      </x:c>
      <x:c r="G30" s="30" t="str">
        <x:v>CORE</x:v>
      </x:c>
      <x:c r="H30" s="30" t="str">
        <x:v>Yes</x:v>
      </x:c>
      <x:c r="I30" s="30" t="str">
        <x:v>Prevent acceptance of non-compliant stock.</x:v>
      </x:c>
    </x:row>
    <x:row r="31">
      <x:c r="A31" s="30" t="str">
        <x:v>OBS030</x:v>
      </x:c>
      <x:c r="B31" s="30" t="str">
        <x:v>AUD061</x:v>
      </x:c>
      <x:c r="C31" s="30" t="str">
        <x:v>Damaged, tampered or suspect medicines were accepted into inventory without segregation.</x:v>
      </x:c>
      <x:c r="D31" s="30" t="str">
        <x:v>Critical</x:v>
      </x:c>
      <x:c r="E31" s="30" t="str">
        <x:v>Reject or immediately quarantine damaged consignments and notify the supplier.</x:v>
      </x:c>
      <x:c r="F31" s="30" t="str">
        <x:v>Storage</x:v>
      </x:c>
      <x:c r="G31" s="30" t="str">
        <x:v>CORE</x:v>
      </x:c>
      <x:c r="H31" s="30" t="str">
        <x:v>Yes</x:v>
      </x:c>
      <x:c r="I31" s="30" t="str">
        <x:v>Prevent inadvertent sale or dispensing.</x:v>
      </x:c>
    </x:row>
    <x:row r="32">
      <x:c r="A32" s="30" t="str">
        <x:v>OBS031</x:v>
      </x:c>
      <x:c r="B32" s="30" t="str">
        <x:v>AUD063</x:v>
      </x:c>
      <x:c r="C32" s="30" t="str">
        <x:v>Purchase records were incomplete, inaccurate or could not be reconciled with procurement transactions.</x:v>
      </x:c>
      <x:c r="D32" s="30" t="str">
        <x:v>High</x:v>
      </x:c>
      <x:c r="E32" s="30" t="str">
        <x:v>Maintain complete purchase records for every procurement transaction.</x:v>
      </x:c>
      <x:c r="F32" s="30" t="str">
        <x:v>Inventory</x:v>
      </x:c>
      <x:c r="G32" s="30" t="str">
        <x:v>CORE</x:v>
      </x:c>
      <x:c r="H32" s="30" t="str">
        <x:v>Yes</x:v>
      </x:c>
      <x:c r="I32" s="30" t="str">
        <x:v>Records should support end-to-end traceability.</x:v>
      </x:c>
    </x:row>
    <x:row r="33">
      <x:c r="A33" s="30" t="str">
        <x:v>OBS032</x:v>
      </x:c>
      <x:c r="B33" s="30" t="str">
        <x:v>AUD065</x:v>
      </x:c>
      <x:c r="C33" s="30" t="str">
        <x:v>Cold-chain medicines were received without evidence of temperature compliance during transportation.</x:v>
      </x:c>
      <x:c r="D33" s="30" t="str">
        <x:v>Critical</x:v>
      </x:c>
      <x:c r="E33" s="30" t="str">
        <x:v>Accept cold-chain products only after verifying transportation temperature records.</x:v>
      </x:c>
      <x:c r="F33" s="30" t="str">
        <x:v>Storage</x:v>
      </x:c>
      <x:c r="G33" s="30" t="str">
        <x:v>CORE</x:v>
      </x:c>
      <x:c r="H33" s="30" t="str">
        <x:v>Yes</x:v>
      </x:c>
      <x:c r="I33" s="30" t="str">
        <x:v>Temperature excursions should be investigated.</x:v>
      </x:c>
    </x:row>
    <x:row r="34">
      <x:c r="A34" s="30" t="str">
        <x:v>OBS033</x:v>
      </x:c>
      <x:c r="B34" s="30" t="str">
        <x:v>AUD067</x:v>
      </x:c>
      <x:c r="C34" s="30" t="str">
        <x:v>Controlled drugs were received without maintaining prescribed statutory registers.</x:v>
      </x:c>
      <x:c r="D34" s="30" t="str">
        <x:v>Critical</x:v>
      </x:c>
      <x:c r="E34" s="30" t="str">
        <x:v>Record every receipt of controlled drugs in the applicable statutory register immediately upon receipt.</x:v>
      </x:c>
      <x:c r="F34" s="30" t="str">
        <x:v>Controlled Drugs</x:v>
      </x:c>
      <x:c r="G34" s="30" t="str">
        <x:v>CORE</x:v>
      </x:c>
      <x:c r="H34" s="30" t="str">
        <x:v>Yes</x:v>
      </x:c>
      <x:c r="I34" s="30" t="str">
        <x:v>Mandatory regulatory requirement.</x:v>
      </x:c>
    </x:row>
    <x:row r="35">
      <x:c r="A35" s="30" t="str">
        <x:v>OBS034</x:v>
      </x:c>
      <x:c r="B35" s="30" t="str">
        <x:v>AUD069</x:v>
      </x:c>
      <x:c r="C35" s="30" t="str">
        <x:v>Supplier qualification or periodic supplier evaluation was not performed or documented.</x:v>
      </x:c>
      <x:c r="D35" s="30" t="str">
        <x:v>Medium</x:v>
      </x:c>
      <x:c r="E35" s="30" t="str">
        <x:v>Implement a documented supplier qualification and periodic evaluation program.</x:v>
      </x:c>
      <x:c r="F35" s="30" t="str">
        <x:v>Personnel</x:v>
      </x:c>
      <x:c r="G35" s="30" t="str">
        <x:v>CORE</x:v>
      </x:c>
      <x:c r="H35" s="30" t="str">
        <x:v>Yes</x:v>
      </x:c>
      <x:c r="I35" s="30" t="str">
        <x:v>Evaluate regulatory compliance of suppliers.</x:v>
      </x:c>
    </x:row>
    <x:row r="36">
      <x:c r="A36" s="30" t="str">
        <x:v>OBS035</x:v>
      </x:c>
      <x:c r="B36" s="30" t="str">
        <x:v>AUD071</x:v>
      </x:c>
      <x:c r="C36" s="30" t="str">
        <x:v>Procurement was made from suppliers not included in the approved supplier list.</x:v>
      </x:c>
      <x:c r="D36" s="30" t="str">
        <x:v>High</x:v>
      </x:c>
      <x:c r="E36" s="30" t="str">
        <x:v>Restrict procurement to approved suppliers unless formally authorized.</x:v>
      </x:c>
      <x:c r="F36" s="30" t="str">
        <x:v>Digital / E-Pharmacy</x:v>
      </x:c>
      <x:c r="G36" s="30" t="str">
        <x:v>CORE</x:v>
      </x:c>
      <x:c r="H36" s="30" t="str">
        <x:v>Yes</x:v>
      </x:c>
      <x:c r="I36" s="30" t="str">
        <x:v>Unauthorized suppliers increase compliance risk.</x:v>
      </x:c>
    </x:row>
    <x:row r="37">
      <x:c r="A37" s="30" t="str">
        <x:v>OBS036</x:v>
      </x:c>
      <x:c r="B37" s="30" t="str">
        <x:v>AUD073</x:v>
      </x:c>
      <x:c r="C37" s="30" t="str">
        <x:v>Quantity received did not match purchase orders or supplier invoices and discrepancies were not investigated.</x:v>
      </x:c>
      <x:c r="D37" s="30" t="str">
        <x:v>Medium</x:v>
      </x:c>
      <x:c r="E37" s="30" t="str">
        <x:v>Investigate and document all procurement quantity variances before stock acceptance.</x:v>
      </x:c>
      <x:c r="F37" s="30" t="str">
        <x:v>Inventory</x:v>
      </x:c>
      <x:c r="G37" s="30" t="str">
        <x:v>CORE</x:v>
      </x:c>
      <x:c r="H37" s="30" t="str">
        <x:v>Yes</x:v>
      </x:c>
      <x:c r="I37" s="30" t="str">
        <x:v>Maintain reconciliation records.</x:v>
      </x:c>
    </x:row>
    <x:row r="38">
      <x:c r="A38" s="30" t="str">
        <x:v>OBS037</x:v>
      </x:c>
      <x:c r="B38" s="30" t="str">
        <x:v>AUD075</x:v>
      </x:c>
      <x:c r="C38" s="30" t="str">
        <x:v>Free samples were received or handled without appropriate documentation or authorization.</x:v>
      </x:c>
      <x:c r="D38" s="30" t="str">
        <x:v>Medium</x:v>
      </x:c>
      <x:c r="E38" s="30" t="str">
        <x:v>Maintain dedicated records and approvals for receipt and handling of free samples.</x:v>
      </x:c>
      <x:c r="F38" s="30" t="str">
        <x:v>Digital / E-Pharmacy</x:v>
      </x:c>
      <x:c r="G38" s="30" t="str">
        <x:v>CORE</x:v>
      </x:c>
      <x:c r="H38" s="30" t="str">
        <x:v>No</x:v>
      </x:c>
      <x:c r="I38" s="30" t="str">
        <x:v>P-4 QUARANTINED with inactive parent audit; legacy ID retained.</x:v>
      </x:c>
    </x:row>
    <x:row r="39">
      <x:c r="A39" s="30" t="str">
        <x:v>OBS038</x:v>
      </x:c>
      <x:c r="B39" s="30" t="str">
        <x:v>AUD077</x:v>
      </x:c>
      <x:c r="C39" s="30" t="str">
        <x:v>Recalled medicines received from suppliers were not promptly identified or quarantined.</x:v>
      </x:c>
      <x:c r="D39" s="30" t="str">
        <x:v>Critical</x:v>
      </x:c>
      <x:c r="E39" s="30" t="str">
        <x:v>Immediately identify, quarantine and control recalled medicines upon receipt of recall notification.</x:v>
      </x:c>
      <x:c r="F39" s="30" t="str">
        <x:v>Quality</x:v>
      </x:c>
      <x:c r="G39" s="30" t="str">
        <x:v>CORE</x:v>
      </x:c>
      <x:c r="H39" s="30" t="str">
        <x:v>No</x:v>
      </x:c>
      <x:c r="I39" s="30" t="str">
        <x:v>P-4 QUARANTINED with inactive parent audit; legacy ID retained.</x:v>
      </x:c>
    </x:row>
    <x:row r="40">
      <x:c r="A40" s="30" t="str">
        <x:v>OBS039</x:v>
      </x:c>
      <x:c r="B40" s="30" t="str">
        <x:v>AUD079</x:v>
      </x:c>
      <x:c r="C40" s="30" t="str">
        <x:v>Procurement records were not retained for the prescribed statutory retention period.</x:v>
      </x:c>
      <x:c r="D40" s="30" t="str">
        <x:v>Medium</x:v>
      </x:c>
      <x:c r="E40" s="30" t="str">
        <x:v>Preserve procurement records according to the approved retention schedule.</x:v>
      </x:c>
      <x:c r="F40" s="30" t="str">
        <x:v>Digital / E-Pharmacy</x:v>
      </x:c>
      <x:c r="G40" s="30" t="str">
        <x:v>CORE</x:v>
      </x:c>
      <x:c r="H40" s="30" t="str">
        <x:v>No</x:v>
      </x:c>
      <x:c r="I40" s="30" t="str">
        <x:v>P-4 QUARANTINED with inactive parent audit; legacy ID retained.</x:v>
      </x:c>
    </x:row>
    <x:row r="41">
      <x:c r="A41" s="30" t="str">
        <x:v>OBS040</x:v>
      </x:c>
      <x:c r="B41" s="30" t="str">
        <x:v>AUD081</x:v>
      </x:c>
      <x:c r="C41" s="30" t="str">
        <x:v>Procurement system permitted unauthorized modification of procurement records or lacked audit trail controls.</x:v>
      </x:c>
      <x:c r="D41" s="30" t="str">
        <x:v>High</x:v>
      </x:c>
      <x:c r="E41" s="30" t="str">
        <x:v>Strengthen system access controls and enable complete audit trail functionality.</x:v>
      </x:c>
      <x:c r="F41" s="30" t="str">
        <x:v>Documentation</x:v>
      </x:c>
      <x:c r="G41" s="30" t="str">
        <x:v>CORE</x:v>
      </x:c>
      <x:c r="H41" s="30" t="str">
        <x:v>No</x:v>
      </x:c>
      <x:c r="I41" s="30" t="str">
        <x:v>P-4 QUARANTINED with inactive parent audit; legacy ID retained.</x:v>
      </x:c>
    </x:row>
    <x:row r="42">
      <x:c r="A42" s="30" t="str">
        <x:v>OBS041</x:v>
      </x:c>
      <x:c r="B42" s="30" t="str">
        <x:v>AUD083</x:v>
      </x:c>
      <x:c r="C42" s="30" t="str">
        <x:v>Medicines lacking complete manufacturing, batch or expiry information were accepted into inventory.</x:v>
      </x:c>
      <x:c r="D42" s="30" t="str">
        <x:v>High</x:v>
      </x:c>
      <x:c r="E42" s="30" t="str">
        <x:v>Reject products that do not comply with statutory labelling requirements.</x:v>
      </x:c>
      <x:c r="F42" s="30" t="str">
        <x:v>Storage</x:v>
      </x:c>
      <x:c r="G42" s="30" t="str">
        <x:v>CORE</x:v>
      </x:c>
      <x:c r="H42" s="30" t="str">
        <x:v>Yes</x:v>
      </x:c>
      <x:c r="I42" s="30" t="str">
        <x:v>Verify labels during receipt inspection.</x:v>
      </x:c>
    </x:row>
    <x:row r="43">
      <x:c r="A43" s="30" t="str">
        <x:v>OBS042</x:v>
      </x:c>
      <x:c r="B43" s="30" t="str">
        <x:v>AUD085</x:v>
      </x:c>
      <x:c r="C43" s="30" t="str">
        <x:v>Imported medicines were procured without verifying applicable import approvals or licences.</x:v>
      </x:c>
      <x:c r="D43" s="30" t="str">
        <x:v>Critical</x:v>
      </x:c>
      <x:c r="E43" s="30" t="str">
        <x:v>Procure imported medicines only after verifying applicable regulatory approvals.</x:v>
      </x:c>
      <x:c r="F43" s="30" t="str">
        <x:v>Digital / E-Pharmacy</x:v>
      </x:c>
      <x:c r="G43" s="30" t="str">
        <x:v>CORE</x:v>
      </x:c>
      <x:c r="H43" s="30" t="str">
        <x:v>Yes</x:v>
      </x:c>
      <x:c r="I43" s="30" t="str">
        <x:v>Maintain import documentation.</x:v>
      </x:c>
    </x:row>
    <x:row r="44">
      <x:c r="A44" s="30" t="str">
        <x:v>OBS043</x:v>
      </x:c>
      <x:c r="B44" s="30" t="str">
        <x:v>AUD087</x:v>
      </x:c>
      <x:c r="C44" s="30" t="str">
        <x:v>Procurement personnel did not consistently follow approved procurement SOPs.</x:v>
      </x:c>
      <x:c r="D44" s="30" t="str">
        <x:v>Medium</x:v>
      </x:c>
      <x:c r="E44" s="30" t="str">
        <x:v>Provide refresher training and monitor adherence to procurement procedures.</x:v>
      </x:c>
      <x:c r="F44" s="30" t="str">
        <x:v>Digital / E-Pharmacy</x:v>
      </x:c>
      <x:c r="G44" s="30" t="str">
        <x:v>CORE</x:v>
      </x:c>
      <x:c r="H44" s="30" t="str">
        <x:v>Yes</x:v>
      </x:c>
      <x:c r="I44" s="30" t="str">
        <x:v>Periodically assess procedural compliance.</x:v>
      </x:c>
    </x:row>
    <x:row r="45">
      <x:c r="A45" s="30" t="str">
        <x:v>OBS044</x:v>
      </x:c>
      <x:c r="B45" s="30" t="str">
        <x:v>AUD089</x:v>
      </x:c>
      <x:c r="C45" s="30" t="str">
        <x:v>Vendor master records were outdated, incomplete or not periodically reviewed.</x:v>
      </x:c>
      <x:c r="D45" s="30" t="str">
        <x:v>Medium</x:v>
      </x:c>
      <x:c r="E45" s="30" t="str">
        <x:v>Periodically review and update vendor master records under controlled procedures.</x:v>
      </x:c>
      <x:c r="F45" s="30" t="str">
        <x:v>Documentation</x:v>
      </x:c>
      <x:c r="G45" s="30" t="str">
        <x:v>CORE</x:v>
      </x:c>
      <x:c r="H45" s="30" t="str">
        <x:v>Yes</x:v>
      </x:c>
      <x:c r="I45" s="30" t="str">
        <x:v>Remove inactive or unauthorized vendors.</x:v>
      </x:c>
    </x:row>
    <x:row r="46">
      <x:c r="A46" s="30" t="str">
        <x:v>OBS045</x:v>
      </x:c>
      <x:c r="B46" s="30" t="str">
        <x:v>AUD091</x:v>
      </x:c>
      <x:c r="C46" s="30" t="str">
        <x:v>Emergency procurement was undertaken without documented authorization or justification.</x:v>
      </x:c>
      <x:c r="D46" s="30" t="str">
        <x:v>High</x:v>
      </x:c>
      <x:c r="E46" s="30" t="str">
        <x:v>Ensure emergency purchases receive formal approval with documented justification.</x:v>
      </x:c>
      <x:c r="F46" s="30" t="str">
        <x:v>Digital / E-Pharmacy</x:v>
      </x:c>
      <x:c r="G46" s="30" t="str">
        <x:v>CORE</x:v>
      </x:c>
      <x:c r="H46" s="30" t="str">
        <x:v>Yes</x:v>
      </x:c>
      <x:c r="I46" s="30" t="str">
        <x:v>Follow emergency procurement SOP.</x:v>
      </x:c>
    </x:row>
    <x:row r="47">
      <x:c r="A47" s="30" t="str">
        <x:v>OBS046</x:v>
      </x:c>
      <x:c r="B47" s="30" t="str">
        <x:v>AUD093</x:v>
      </x:c>
      <x:c r="C47" s="30" t="str">
        <x:v>Procurement deviations were not documented, investigated or supported by corrective actions.</x:v>
      </x:c>
      <x:c r="D47" s="30" t="str">
        <x:v>Medium</x:v>
      </x:c>
      <x:c r="E47" s="30" t="str">
        <x:v>Record every procurement deviation and implement documented CAPA.</x:v>
      </x:c>
      <x:c r="F47" s="30" t="str">
        <x:v>Quality</x:v>
      </x:c>
      <x:c r="G47" s="30" t="str">
        <x:v>CORE</x:v>
      </x:c>
      <x:c r="H47" s="30" t="str">
        <x:v>Yes</x:v>
      </x:c>
      <x:c r="I47" s="30" t="str">
        <x:v>Trend deviations periodically.</x:v>
      </x:c>
    </x:row>
    <x:row r="48">
      <x:c r="A48" s="30" t="str">
        <x:v>OBS047</x:v>
      </x:c>
      <x:c r="B48" s="30" t="str">
        <x:v>AUD095</x:v>
      </x:c>
      <x:c r="C48" s="30" t="str">
        <x:v>Procurement documentation did not support complete batch-level product traceability.</x:v>
      </x:c>
      <x:c r="D48" s="30" t="str">
        <x:v>High</x:v>
      </x:c>
      <x:c r="E48" s="30" t="str">
        <x:v>Maintain procurement records that enable complete supplier-to-stock traceability.</x:v>
      </x:c>
      <x:c r="F48" s="30" t="str">
        <x:v>Inventory</x:v>
      </x:c>
      <x:c r="G48" s="30" t="str">
        <x:v>CORE</x:v>
      </x:c>
      <x:c r="H48" s="30" t="str">
        <x:v>Yes</x:v>
      </x:c>
      <x:c r="I48" s="30" t="str">
        <x:v>Essential during recalls.</x:v>
      </x:c>
    </x:row>
    <x:row r="49">
      <x:c r="A49" s="30" t="str">
        <x:v>OBS048</x:v>
      </x:c>
      <x:c r="B49" s="30" t="str">
        <x:v>AUD097</x:v>
      </x:c>
      <x:c r="C49" s="30" t="str">
        <x:v>Controlled procurement documents were inadequately managed, resulting in version control deficiencies.</x:v>
      </x:c>
      <x:c r="D49" s="30" t="str">
        <x:v>Medium</x:v>
      </x:c>
      <x:c r="E49" s="30" t="str">
        <x:v>Implement robust document control procedures with version management.</x:v>
      </x:c>
      <x:c r="F49" s="30" t="str">
        <x:v>Documentation</x:v>
      </x:c>
      <x:c r="G49" s="30" t="str">
        <x:v>CORE</x:v>
      </x:c>
      <x:c r="H49" s="30" t="str">
        <x:v>Yes</x:v>
      </x:c>
      <x:c r="I49" s="30" t="str">
        <x:v>Withdraw obsolete documents promptly.</x:v>
      </x:c>
    </x:row>
    <x:row r="50">
      <x:c r="A50" s="30" t="str">
        <x:v>OBS049</x:v>
      </x:c>
      <x:c r="B50" s="30" t="str">
        <x:v>AUD099</x:v>
      </x:c>
      <x:c r="C50" s="30" t="str">
        <x:v>Procurement compliance performance was not periodically reviewed by management.</x:v>
      </x:c>
      <x:c r="D50" s="30" t="str">
        <x:v>Medium</x:v>
      </x:c>
      <x:c r="E50" s="30" t="str">
        <x:v>Conduct periodic management reviews of procurement compliance and document action plans.</x:v>
      </x:c>
      <x:c r="F50" s="30" t="str">
        <x:v>Documentation</x:v>
      </x:c>
      <x:c r="G50" s="30" t="str">
        <x:v>CORE</x:v>
      </x:c>
      <x:c r="H50" s="30" t="str">
        <x:v>Yes</x:v>
      </x:c>
      <x:c r="I50" s="30" t="str">
        <x:v>Monitor procurement KPIs.</x:v>
      </x:c>
    </x:row>
    <x:row r="51">
      <x:c r="A51" s="30" t="str">
        <x:v>OBS050</x:v>
      </x:c>
      <x:c r="B51" s="30" t="str">
        <x:v>AUD101</x:v>
      </x:c>
      <x:c r="C51" s="30" t="str">
        <x:v>Internal audits did not adequately evaluate procurement compliance controls or corrective actions.</x:v>
      </x:c>
      <x:c r="D51" s="30" t="str">
        <x:v>High</x:v>
      </x:c>
      <x:c r="E51" s="30" t="str">
        <x:v>Expand internal audit coverage to include procurement controls and verify effectiveness of corrective actions.</x:v>
      </x:c>
      <x:c r="F51" s="30" t="str">
        <x:v>Other</x:v>
      </x:c>
      <x:c r="G51" s="30" t="str">
        <x:v>CORE</x:v>
      </x:c>
      <x:c r="H51" s="30" t="str">
        <x:v>Yes</x:v>
      </x:c>
      <x:c r="I51" s="30" t="str">
        <x:v>Incorporate procurement into annual audit program.</x:v>
      </x:c>
    </x:row>
    <x:row r="52">
      <x:c r="A52" s="30" t="str">
        <x:v>OBS051</x:v>
      </x:c>
      <x:c r="B52" s="30" t="str">
        <x:v>AUD106</x:v>
      </x:c>
      <x:c r="C52" s="30" t="str">
        <x:v>Medicines were stored under conditions inconsistent with manufacturer instructions or approved storage procedures.</x:v>
      </x:c>
      <x:c r="D52" s="30" t="str">
        <x:v>High</x:v>
      </x:c>
      <x:c r="E52" s="30" t="str">
        <x:v>Store all medicines strictly in accordance with manufacturer recommendations and approved SOPs.</x:v>
      </x:c>
      <x:c r="F52" s="30" t="str">
        <x:v>Digital / E-Pharmacy</x:v>
      </x:c>
      <x:c r="G52" s="30" t="str">
        <x:v>CORE</x:v>
      </x:c>
      <x:c r="H52" s="30" t="str">
        <x:v>No</x:v>
      </x:c>
      <x:c r="I52" s="30" t="str">
        <x:v>P-3 QUARANTINED: Generic State/local/permit/reference rows, penalty-only/fabricated DAMR extractions, and future-effective DPDP duties are not current production obligations.</x:v>
      </x:c>
    </x:row>
    <x:row r="53">
      <x:c r="A53" s="30" t="str">
        <x:v>OBS052</x:v>
      </x:c>
      <x:c r="B53" s="30" t="str">
        <x:v>AUD108</x:v>
      </x:c>
      <x:c r="C53" s="30" t="str">
        <x:v>Temperature monitoring records were incomplete, inaccurate, or temperature monitoring was not performed as prescribed.</x:v>
      </x:c>
      <x:c r="D53" s="30" t="str">
        <x:v>Critical</x:v>
      </x:c>
      <x:c r="E53" s="30" t="str">
        <x:v>Continuously monitor and document storage temperatures using calibrated equipment.</x:v>
      </x:c>
      <x:c r="F53" s="30" t="str">
        <x:v>Storage</x:v>
      </x:c>
      <x:c r="G53" s="30" t="str">
        <x:v>CORE</x:v>
      </x:c>
      <x:c r="H53" s="30" t="str">
        <x:v>No</x:v>
      </x:c>
      <x:c r="I53" s="30" t="str">
        <x:v>P-3 QUARANTINED: Generic State/local/permit/reference rows, penalty-only/fabricated DAMR extractions, and future-effective DPDP duties are not current production obligations.</x:v>
      </x:c>
    </x:row>
    <x:row r="54">
      <x:c r="A54" s="30" t="str">
        <x:v>OBS053</x:v>
      </x:c>
      <x:c r="B54" s="30" t="str">
        <x:v>AUD110</x:v>
      </x:c>
      <x:c r="C54" s="30" t="str">
        <x:v>Humidity monitoring was not performed or records were unavailable for humidity-sensitive medicines.</x:v>
      </x:c>
      <x:c r="D54" s="30" t="str">
        <x:v>High</x:v>
      </x:c>
      <x:c r="E54" s="30" t="str">
        <x:v>Monitor and document humidity levels wherever required by product specifications.</x:v>
      </x:c>
      <x:c r="F54" s="30" t="str">
        <x:v>Storage</x:v>
      </x:c>
      <x:c r="G54" s="30" t="str">
        <x:v>CORE</x:v>
      </x:c>
      <x:c r="H54" s="30" t="str">
        <x:v>No</x:v>
      </x:c>
      <x:c r="I54" s="30" t="str">
        <x:v>P-3 QUARANTINED: Generic State/local/permit/reference rows, penalty-only/fabricated DAMR extractions, and future-effective DPDP duties are not current production obligations.</x:v>
      </x:c>
    </x:row>
    <x:row r="55">
      <x:c r="A55" s="30" t="str">
        <x:v>OBS054</x:v>
      </x:c>
      <x:c r="B55" s="30" t="str">
        <x:v>AUD112</x:v>
      </x:c>
      <x:c r="C55" s="30" t="str">
        <x:v>Refrigerated medicines were stored outside the prescribed temperature range or monitoring records were incomplete.</x:v>
      </x:c>
      <x:c r="D55" s="30" t="str">
        <x:v>Critical</x:v>
      </x:c>
      <x:c r="E55" s="30" t="str">
        <x:v>Maintain refrigerator temperatures within specified limits and investigate all excursions.</x:v>
      </x:c>
      <x:c r="F55" s="30" t="str">
        <x:v>Storage</x:v>
      </x:c>
      <x:c r="G55" s="30" t="str">
        <x:v>CORE</x:v>
      </x:c>
      <x:c r="H55" s="30" t="str">
        <x:v>No</x:v>
      </x:c>
      <x:c r="I55" s="30" t="str">
        <x:v>P-3 QUARANTINED: Generic State/local/permit/reference rows, penalty-only/fabricated DAMR extractions, and future-effective DPDP duties are not current production obligations.</x:v>
      </x:c>
    </x:row>
    <x:row r="56">
      <x:c r="A56" s="30" t="str">
        <x:v>OBS055</x:v>
      </x:c>
      <x:c r="B56" s="30" t="str">
        <x:v>AUD114</x:v>
      </x:c>
      <x:c r="C56" s="30" t="str">
        <x:v>Refrigerators intended for medicine storage contained non-pharmaceutical items or were used for multiple purposes.</x:v>
      </x:c>
      <x:c r="D56" s="30" t="str">
        <x:v>Medium</x:v>
      </x:c>
      <x:c r="E56" s="30" t="str">
        <x:v>Dedicate refrigeration equipment exclusively for pharmaceutical storage.</x:v>
      </x:c>
      <x:c r="F56" s="30" t="str">
        <x:v>Storage</x:v>
      </x:c>
      <x:c r="G56" s="30" t="str">
        <x:v>CORE</x:v>
      </x:c>
      <x:c r="H56" s="30" t="str">
        <x:v>No</x:v>
      </x:c>
      <x:c r="I56" s="30" t="str">
        <x:v>P-3 QUARANTINED: Generic State/local/permit/reference rows, penalty-only/fabricated DAMR extractions, and future-effective DPDP duties are not current production obligations.</x:v>
      </x:c>
    </x:row>
    <x:row r="57">
      <x:c r="A57" s="30" t="str">
        <x:v>OBS056</x:v>
      </x:c>
      <x:c r="B57" s="30" t="str">
        <x:v>AUD116</x:v>
      </x:c>
      <x:c r="C57" s="30" t="str">
        <x:v>Expired medicines were not promptly segregated from saleable inventory.</x:v>
      </x:c>
      <x:c r="D57" s="30" t="str">
        <x:v>Critical</x:v>
      </x:c>
      <x:c r="E57" s="30" t="str">
        <x:v>Immediately remove expired medicines from saleable stock and maintain an expired stock register.</x:v>
      </x:c>
      <x:c r="F57" s="30" t="str">
        <x:v>Storage</x:v>
      </x:c>
      <x:c r="G57" s="30" t="str">
        <x:v>CORE</x:v>
      </x:c>
      <x:c r="H57" s="30" t="str">
        <x:v>Yes</x:v>
      </x:c>
      <x:c r="I57" s="30" t="str">
        <x:v>Prevent accidental dispensing.</x:v>
      </x:c>
    </x:row>
    <x:row r="58">
      <x:c r="A58" s="30" t="str">
        <x:v>OBS057</x:v>
      </x:c>
      <x:c r="B58" s="30" t="str">
        <x:v>AUD118</x:v>
      </x:c>
      <x:c r="C58" s="30" t="str">
        <x:v>Near-expiry medicines were not identified or monitored, increasing the risk of expiry before sale or dispensing.</x:v>
      </x:c>
      <x:c r="D58" s="30" t="str">
        <x:v>High</x:v>
      </x:c>
      <x:c r="E58" s="30" t="str">
        <x:v>Implement periodic near-expiry reviews and follow FEFO principles.</x:v>
      </x:c>
      <x:c r="F58" s="30" t="str">
        <x:v>Storage</x:v>
      </x:c>
      <x:c r="G58" s="30" t="str">
        <x:v>CORE</x:v>
      </x:c>
      <x:c r="H58" s="30" t="str">
        <x:v>Yes</x:v>
      </x:c>
      <x:c r="I58" s="30" t="str">
        <x:v>Monitor inventory proactively.</x:v>
      </x:c>
    </x:row>
    <x:row r="59">
      <x:c r="A59" s="30" t="str">
        <x:v>OBS058</x:v>
      </x:c>
      <x:c r="B59" s="30" t="str">
        <x:v>AUD120</x:v>
      </x:c>
      <x:c r="C59" s="30" t="str">
        <x:v>First-Expiry-First-Out (FEFO) inventory management was not consistently implemented.</x:v>
      </x:c>
      <x:c r="D59" s="30" t="str">
        <x:v>High</x:v>
      </x:c>
      <x:c r="E59" s="30" t="str">
        <x:v>Adopt FEFO inventory practices and periodically verify stock rotation.</x:v>
      </x:c>
      <x:c r="F59" s="30" t="str">
        <x:v>Storage</x:v>
      </x:c>
      <x:c r="G59" s="30" t="str">
        <x:v>CORE</x:v>
      </x:c>
      <x:c r="H59" s="30" t="str">
        <x:v>Yes</x:v>
      </x:c>
      <x:c r="I59" s="30" t="str">
        <x:v>Improve inventory control.</x:v>
      </x:c>
    </x:row>
    <x:row r="60">
      <x:c r="A60" s="30" t="str">
        <x:v>OBS059</x:v>
      </x:c>
      <x:c r="B60" s="30" t="str">
        <x:v>AUD122</x:v>
      </x:c>
      <x:c r="C60" s="30" t="str">
        <x:v>Controlled medicines were not stored in secured restricted-access storage.</x:v>
      </x:c>
      <x:c r="D60" s="30" t="str">
        <x:v>Critical</x:v>
      </x:c>
      <x:c r="E60" s="30" t="str">
        <x:v>Store controlled medicines in locked storage accessible only to authorized personnel.</x:v>
      </x:c>
      <x:c r="F60" s="30" t="str">
        <x:v>Storage</x:v>
      </x:c>
      <x:c r="G60" s="30" t="str">
        <x:v>CORE</x:v>
      </x:c>
      <x:c r="H60" s="30" t="str">
        <x:v>Yes</x:v>
      </x:c>
      <x:c r="I60" s="30" t="str">
        <x:v>Mandatory statutory control.</x:v>
      </x:c>
    </x:row>
    <x:row r="61">
      <x:c r="A61" s="30" t="str">
        <x:v>OBS060</x:v>
      </x:c>
      <x:c r="B61" s="30" t="str">
        <x:v>AUD124</x:v>
      </x:c>
      <x:c r="C61" s="30" t="str">
        <x:v>Medicines were exposed to direct sunlight, excessive heat, moisture or other unsuitable environmental conditions.</x:v>
      </x:c>
      <x:c r="D61" s="30" t="str">
        <x:v>High</x:v>
      </x:c>
      <x:c r="E61" s="30" t="str">
        <x:v>Protect medicines from adverse environmental conditions through appropriate storage controls.</x:v>
      </x:c>
      <x:c r="F61" s="30" t="str">
        <x:v>Digital / E-Pharmacy</x:v>
      </x:c>
      <x:c r="G61" s="30" t="str">
        <x:v>CORE</x:v>
      </x:c>
      <x:c r="H61" s="30" t="str">
        <x:v>Yes</x:v>
      </x:c>
      <x:c r="I61" s="30" t="str">
        <x:v>Preserve product quality.</x:v>
      </x:c>
    </x:row>
    <x:row r="62">
      <x:c r="A62" s="30" t="str">
        <x:v>OBS061</x:v>
      </x:c>
      <x:c r="B62" s="30" t="str">
        <x:v>AUD126</x:v>
      </x:c>
      <x:c r="C62" s="30" t="str">
        <x:v>Storage shelves and medicine storage areas were inadequately maintained or lacked appropriate housekeeping.</x:v>
      </x:c>
      <x:c r="D62" s="30" t="str">
        <x:v>Medium</x:v>
      </x:c>
      <x:c r="E62" s="30" t="str">
        <x:v>Maintain clean, hygienic and organized storage areas through scheduled housekeeping.</x:v>
      </x:c>
      <x:c r="F62" s="30" t="str">
        <x:v>Digital / E-Pharmacy</x:v>
      </x:c>
      <x:c r="G62" s="30" t="str">
        <x:v>CORE</x:v>
      </x:c>
      <x:c r="H62" s="30" t="str">
        <x:v>Yes</x:v>
      </x:c>
      <x:c r="I62" s="30" t="str">
        <x:v>Document routine cleaning.</x:v>
      </x:c>
    </x:row>
    <x:row r="63">
      <x:c r="A63" s="30" t="str">
        <x:v>OBS062</x:v>
      </x:c>
      <x:c r="B63" s="30" t="str">
        <x:v>AUD128</x:v>
      </x:c>
      <x:c r="C63" s="30" t="str">
        <x:v>Medicines were stored in a manner that increased the risk of contamination, deterioration or cross-mixing.</x:v>
      </x:c>
      <x:c r="D63" s="30" t="str">
        <x:v>High</x:v>
      </x:c>
      <x:c r="E63" s="30" t="str">
        <x:v>Implement appropriate segregation and storage practices to preserve product integrity.</x:v>
      </x:c>
      <x:c r="F63" s="30" t="str">
        <x:v>Digital / E-Pharmacy</x:v>
      </x:c>
      <x:c r="G63" s="30" t="str">
        <x:v>CORE</x:v>
      </x:c>
      <x:c r="H63" s="30" t="str">
        <x:v>Yes</x:v>
      </x:c>
      <x:c r="I63" s="30" t="str">
        <x:v>Follow approved storage SOPs.</x:v>
      </x:c>
    </x:row>
    <x:row r="64">
      <x:c r="A64" s="30" t="str">
        <x:v>OBS063</x:v>
      </x:c>
      <x:c r="B64" s="30" t="str">
        <x:v>AUD130</x:v>
      </x:c>
      <x:c r="C64" s="30" t="str">
        <x:v>Damaged medicines were retained in saleable inventory or were not properly identified.</x:v>
      </x:c>
      <x:c r="D64" s="30" t="str">
        <x:v>High</x:v>
      </x:c>
      <x:c r="E64" s="30" t="str">
        <x:v>Immediately segregate damaged medicines and document their disposition.</x:v>
      </x:c>
      <x:c r="F64" s="30" t="str">
        <x:v>Inventory</x:v>
      </x:c>
      <x:c r="G64" s="30" t="str">
        <x:v>CORE</x:v>
      </x:c>
      <x:c r="H64" s="30" t="str">
        <x:v>Yes</x:v>
      </x:c>
      <x:c r="I64" s="30" t="str">
        <x:v>Prevent accidental dispensing.</x:v>
      </x:c>
    </x:row>
    <x:row r="65">
      <x:c r="A65" s="30" t="str">
        <x:v>OBS064</x:v>
      </x:c>
      <x:c r="B65" s="30" t="str">
        <x:v>AUD132</x:v>
      </x:c>
      <x:c r="C65" s="30" t="str">
        <x:v>Periodic physical inventory verification was not conducted or inventory records were inaccurate.</x:v>
      </x:c>
      <x:c r="D65" s="30" t="str">
        <x:v>Medium</x:v>
      </x:c>
      <x:c r="E65" s="30" t="str">
        <x:v>Conduct scheduled stock verification and reconcile physical inventory with records.</x:v>
      </x:c>
      <x:c r="F65" s="30" t="str">
        <x:v>Inventory</x:v>
      </x:c>
      <x:c r="G65" s="30" t="str">
        <x:v>CORE</x:v>
      </x:c>
      <x:c r="H65" s="30" t="str">
        <x:v>Yes</x:v>
      </x:c>
      <x:c r="I65" s="30" t="str">
        <x:v>Investigate inventory variances.</x:v>
      </x:c>
    </x:row>
    <x:row r="66">
      <x:c r="A66" s="30" t="str">
        <x:v>OBS065</x:v>
      </x:c>
      <x:c r="B66" s="30" t="str">
        <x:v>AUD134</x:v>
      </x:c>
      <x:c r="C66" s="30" t="str">
        <x:v>Inventory discrepancies were not investigated or adjustment approvals were unavailable.</x:v>
      </x:c>
      <x:c r="D66" s="30" t="str">
        <x:v>Medium</x:v>
      </x:c>
      <x:c r="E66" s="30" t="str">
        <x:v>Investigate all inventory variances and obtain appropriate approvals before adjustments.</x:v>
      </x:c>
      <x:c r="F66" s="30" t="str">
        <x:v>Digital / E-Pharmacy</x:v>
      </x:c>
      <x:c r="G66" s="30" t="str">
        <x:v>CORE</x:v>
      </x:c>
      <x:c r="H66" s="30" t="str">
        <x:v>Yes</x:v>
      </x:c>
      <x:c r="I66" s="30" t="str">
        <x:v>Maintain complete audit trail.</x:v>
      </x:c>
    </x:row>
    <x:row r="67">
      <x:c r="A67" s="30" t="str">
        <x:v>OBS066</x:v>
      </x:c>
      <x:c r="B67" s="30" t="str">
        <x:v>AUD136</x:v>
      </x:c>
      <x:c r="C67" s="30" t="str">
        <x:v>Stock movement records were incomplete, inaccurate or not maintained contemporaneously.</x:v>
      </x:c>
      <x:c r="D67" s="30" t="str">
        <x:v>Medium</x:v>
      </x:c>
      <x:c r="E67" s="30" t="str">
        <x:v>Record all stock movements promptly and reconcile inventory balances periodically.</x:v>
      </x:c>
      <x:c r="F67" s="30" t="str">
        <x:v>Inventory</x:v>
      </x:c>
      <x:c r="G67" s="30" t="str">
        <x:v>CORE</x:v>
      </x:c>
      <x:c r="H67" s="30" t="str">
        <x:v>Yes</x:v>
      </x:c>
      <x:c r="I67" s="30" t="str">
        <x:v>Ensure inventory traceability.</x:v>
      </x:c>
    </x:row>
    <x:row r="68">
      <x:c r="A68" s="30" t="str">
        <x:v>OBS067</x:v>
      </x:c>
      <x:c r="B68" s="30" t="str">
        <x:v>AUD138</x:v>
      </x:c>
      <x:c r="C68" s="30" t="str">
        <x:v>Obsolete medicines were not identified, segregated or disposed of appropriately.</x:v>
      </x:c>
      <x:c r="D68" s="30" t="str">
        <x:v>Medium</x:v>
      </x:c>
      <x:c r="E68" s="30" t="str">
        <x:v>Periodically review inventory for obsolete stock and dispose of obsolete medicines through approved procedures.</x:v>
      </x:c>
      <x:c r="F68" s="30" t="str">
        <x:v>Digital / E-Pharmacy</x:v>
      </x:c>
      <x:c r="G68" s="30" t="str">
        <x:v>CORE</x:v>
      </x:c>
      <x:c r="H68" s="30" t="str">
        <x:v>Yes</x:v>
      </x:c>
      <x:c r="I68" s="30" t="str">
        <x:v>Avoid accidental sale.</x:v>
      </x:c>
    </x:row>
    <x:row r="69">
      <x:c r="A69" s="30" t="str">
        <x:v>OBS068</x:v>
      </x:c>
      <x:c r="B69" s="30" t="str">
        <x:v>AUD140</x:v>
      </x:c>
      <x:c r="C69" s="30" t="str">
        <x:v>Quarantined medicines were inadequately identified or mixed with saleable inventory.</x:v>
      </x:c>
      <x:c r="D69" s="30" t="str">
        <x:v>High</x:v>
      </x:c>
      <x:c r="E69" s="30" t="str">
        <x:v>Maintain clearly identified quarantine areas with controlled release procedures.</x:v>
      </x:c>
      <x:c r="F69" s="30" t="str">
        <x:v>Inventory</x:v>
      </x:c>
      <x:c r="G69" s="30" t="str">
        <x:v>CORE</x:v>
      </x:c>
      <x:c r="H69" s="30" t="str">
        <x:v>Yes</x:v>
      </x:c>
      <x:c r="I69" s="30" t="str">
        <x:v>Prevent unintended distribution.</x:v>
      </x:c>
    </x:row>
    <x:row r="70">
      <x:c r="A70" s="30" t="str">
        <x:v>OBS069</x:v>
      </x:c>
      <x:c r="B70" s="30" t="str">
        <x:v>AUD142</x:v>
      </x:c>
      <x:c r="C70" s="30" t="str">
        <x:v>Storage equipment such as refrigerators or cold storage units were inadequately maintained or preventive maintenance records were unavailable.</x:v>
      </x:c>
      <x:c r="D70" s="30" t="str">
        <x:v>High</x:v>
      </x:c>
      <x:c r="E70" s="30" t="str">
        <x:v>Implement preventive maintenance schedules and maintain supporting records.</x:v>
      </x:c>
      <x:c r="F70" s="30" t="str">
        <x:v>Storage</x:v>
      </x:c>
      <x:c r="G70" s="30" t="str">
        <x:v>CORE</x:v>
      </x:c>
      <x:c r="H70" s="30" t="str">
        <x:v>Yes</x:v>
      </x:c>
      <x:c r="I70" s="30" t="str">
        <x:v>Equipment reliability is critical.</x:v>
      </x:c>
    </x:row>
    <x:row r="71">
      <x:c r="A71" s="30" t="str">
        <x:v>OBS070</x:v>
      </x:c>
      <x:c r="B71" s="30" t="str">
        <x:v>AUD144</x:v>
      </x:c>
      <x:c r="C71" s="30" t="str">
        <x:v>Environmental monitoring deviations were not investigated or corrective actions were ineffective.</x:v>
      </x:c>
      <x:c r="D71" s="30" t="str">
        <x:v>High</x:v>
      </x:c>
      <x:c r="E71" s="30" t="str">
        <x:v>Investigate every environmental deviation and implement documented CAPA.</x:v>
      </x:c>
      <x:c r="F71" s="30" t="str">
        <x:v>Quality</x:v>
      </x:c>
      <x:c r="G71" s="30" t="str">
        <x:v>CORE</x:v>
      </x:c>
      <x:c r="H71" s="30" t="str">
        <x:v>Yes</x:v>
      </x:c>
      <x:c r="I71" s="30" t="str">
        <x:v>Monitor effectiveness of corrective actions.</x:v>
      </x:c>
    </x:row>
    <x:row r="72">
      <x:c r="A72" s="30" t="str">
        <x:v>OBS071</x:v>
      </x:c>
      <x:c r="B72" s="30" t="str">
        <x:v>AUD146</x:v>
      </x:c>
      <x:c r="C72" s="30" t="str">
        <x:v>Backup power arrangements for temperature-sensitive storage were unavailable, inadequate or not periodically tested.</x:v>
      </x:c>
      <x:c r="D72" s="30" t="str">
        <x:v>Critical</x:v>
      </x:c>
      <x:c r="E72" s="30" t="str">
        <x:v>Provide reliable backup power systems and conduct periodic functional testing.</x:v>
      </x:c>
      <x:c r="F72" s="30" t="str">
        <x:v>Storage</x:v>
      </x:c>
      <x:c r="G72" s="30" t="str">
        <x:v>CORE</x:v>
      </x:c>
      <x:c r="H72" s="30" t="str">
        <x:v>Yes</x:v>
      </x:c>
      <x:c r="I72" s="30" t="str">
        <x:v>Essential for cold-chain continuity.</x:v>
      </x:c>
    </x:row>
    <x:row r="73">
      <x:c r="A73" s="30" t="str">
        <x:v>OBS072</x:v>
      </x:c>
      <x:c r="B73" s="30" t="str">
        <x:v>AUD148</x:v>
      </x:c>
      <x:c r="C73" s="30" t="str">
        <x:v>Inventory management system lacked adequate audit trails or unauthorized modifications could not be detected.</x:v>
      </x:c>
      <x:c r="D73" s="30" t="str">
        <x:v>High</x:v>
      </x:c>
      <x:c r="E73" s="30" t="str">
        <x:v>Enable audit trails and periodically review system access and transaction logs.</x:v>
      </x:c>
      <x:c r="F73" s="30" t="str">
        <x:v>Inventory</x:v>
      </x:c>
      <x:c r="G73" s="30" t="str">
        <x:v>CORE</x:v>
      </x:c>
      <x:c r="H73" s="30" t="str">
        <x:v>Yes</x:v>
      </x:c>
      <x:c r="I73" s="30" t="str">
        <x:v>Strengthen IT controls.</x:v>
      </x:c>
    </x:row>
    <x:row r="74">
      <x:c r="A74" s="30" t="str">
        <x:v>OBS073</x:v>
      </x:c>
      <x:c r="B74" s="30" t="str">
        <x:v>AUD150</x:v>
      </x:c>
      <x:c r="C74" s="30" t="str">
        <x:v>Pest control measures were ineffective or pest control records were incomplete.</x:v>
      </x:c>
      <x:c r="D74" s="30" t="str">
        <x:v>High</x:v>
      </x:c>
      <x:c r="E74" s="30" t="str">
        <x:v>Implement scheduled pest control activities and maintain complete inspection records.</x:v>
      </x:c>
      <x:c r="F74" s="30" t="str">
        <x:v>Documentation</x:v>
      </x:c>
      <x:c r="G74" s="30" t="str">
        <x:v>CORE</x:v>
      </x:c>
      <x:c r="H74" s="30" t="str">
        <x:v>Yes</x:v>
      </x:c>
      <x:c r="I74" s="30" t="str">
        <x:v>Prevent contamination risks.</x:v>
      </x:c>
    </x:row>
    <x:row r="75">
      <x:c r="A75" s="30" t="str">
        <x:v>OBS074</x:v>
      </x:c>
      <x:c r="B75" s="30" t="str">
        <x:v>AUD152</x:v>
      </x:c>
      <x:c r="C75" s="30" t="str">
        <x:v>Access to medicine storage areas was not adequately restricted or authorization records were incomplete.</x:v>
      </x:c>
      <x:c r="D75" s="30" t="str">
        <x:v>High</x:v>
      </x:c>
      <x:c r="E75" s="30" t="str">
        <x:v>Restrict storage access to authorized personnel and periodically review access rights.</x:v>
      </x:c>
      <x:c r="F75" s="30" t="str">
        <x:v>Storage</x:v>
      </x:c>
      <x:c r="G75" s="30" t="str">
        <x:v>CORE</x:v>
      </x:c>
      <x:c r="H75" s="30" t="str">
        <x:v>Yes</x:v>
      </x:c>
      <x:c r="I75" s="30" t="str">
        <x:v>Maintain physical security.</x:v>
      </x:c>
    </x:row>
    <x:row r="76">
      <x:c r="A76" s="30" t="str">
        <x:v>OBS075</x:v>
      </x:c>
      <x:c r="B76" s="30" t="str">
        <x:v>AUD154</x:v>
      </x:c>
      <x:c r="C76" s="30" t="str">
        <x:v>Internal inspections of storage facilities were not conducted, inadequately documented or corrective actions remained open.</x:v>
      </x:c>
      <x:c r="D76" s="30" t="str">
        <x:v>Medium</x:v>
      </x:c>
      <x:c r="E76" s="30" t="str">
        <x:v>Conduct periodic storage inspections, document findings and ensure timely closure of corrective actions.</x:v>
      </x:c>
      <x:c r="F76" s="30" t="str">
        <x:v>Storage</x:v>
      </x:c>
      <x:c r="G76" s="30" t="str">
        <x:v>CORE</x:v>
      </x:c>
      <x:c r="H76" s="30" t="str">
        <x:v>Yes</x:v>
      </x:c>
      <x:c r="I76" s="30" t="str">
        <x:v>Supports continuous storage compliance.</x:v>
      </x:c>
    </x:row>
    <x:row r="77">
      <x:c r="A77" s="30" t="str">
        <x:v>OBS076</x:v>
      </x:c>
      <x:c r="B77" s="30" t="str">
        <x:v>AUD158</x:v>
      </x:c>
      <x:c r="C77" s="30" t="str">
        <x:v>Schedule H/H1/X drugs were sold by retail without a compliant RMP prescription.</x:v>
      </x:c>
      <x:c r="D77" s="30" t="str">
        <x:v>Critical</x:v>
      </x:c>
      <x:c r="E77" s="30" t="str">
        <x:v>Stop non-prescription supply and enforce Rule 65(9)(a) validation.</x:v>
      </x:c>
      <x:c r="F77" s="30" t="str">
        <x:v>Prescription</x:v>
      </x:c>
      <x:c r="G77" s="30" t="str">
        <x:v>CORE</x:v>
      </x:c>
      <x:c r="H77" s="30" t="str">
        <x:v>Yes</x:v>
      </x:c>
      <x:c r="I77" s="30" t="str">
        <x:v>P-2 RESCUED.</x:v>
      </x:c>
    </x:row>
    <x:row r="78">
      <x:c r="A78" s="30" t="str">
        <x:v>OBS077</x:v>
      </x:c>
      <x:c r="B78" s="30" t="str">
        <x:v>AUD160</x:v>
      </x:c>
      <x:c r="C78" s="30" t="str">
        <x:v>A prescription lacked one or more Rule 65(10) particulars or required dispensing annotation.</x:v>
      </x:c>
      <x:c r="D78" s="30" t="str">
        <x:v>High</x:v>
      </x:c>
      <x:c r="E78" s="30" t="str">
        <x:v>Block dispensing until the prescription and annotation requirements are satisfied.</x:v>
      </x:c>
      <x:c r="F78" s="30" t="str">
        <x:v>Prescription</x:v>
      </x:c>
      <x:c r="G78" s="30" t="str">
        <x:v>CORE</x:v>
      </x:c>
      <x:c r="H78" s="30" t="str">
        <x:v>Yes</x:v>
      </x:c>
      <x:c r="I78" s="30" t="str">
        <x:v>P-2 RESCUED.</x:v>
      </x:c>
    </x:row>
    <x:row r="79">
      <x:c r="A79" s="30" t="str">
        <x:v>OBS078</x:v>
      </x:c>
      <x:c r="B79" s="30" t="str">
        <x:v>AUD162</x:v>
      </x:c>
      <x:c r="C79" s="30" t="str">
        <x:v>Professional clinical prescription review was not performed or evidenced under the Pharmacy Practice Regulations.</x:v>
      </x:c>
      <x:c r="D79" s="30" t="str">
        <x:v>High</x:v>
      </x:c>
      <x:c r="E79" s="30" t="str">
        <x:v>Implement professional review and intervention documentation; do not cite this as a Rule 65 clinical-appropriateness duty.</x:v>
      </x:c>
      <x:c r="F79" s="30" t="str">
        <x:v>Patient Safety</x:v>
      </x:c>
      <x:c r="G79" s="30" t="str">
        <x:v>CORE</x:v>
      </x:c>
      <x:c r="H79" s="30" t="str">
        <x:v>Yes</x:v>
      </x:c>
      <x:c r="I79" s="30" t="str">
        <x:v>P-2 RESCUED / RECLASSIFIED.</x:v>
      </x:c>
    </x:row>
    <x:row r="80">
      <x:c r="A80" s="30" t="str">
        <x:v>OBS079</x:v>
      </x:c>
      <x:c r="B80" s="30" t="str">
        <x:v>AUD164</x:v>
      </x:c>
      <x:c r="C80" s="30" t="str">
        <x:v>Rule 65 records were not retained for the applicable two-year or three-year period.</x:v>
      </x:c>
      <x:c r="D80" s="30" t="str">
        <x:v>High</x:v>
      </x:c>
      <x:c r="E80" s="30" t="str">
        <x:v>Apply the P-2 retention matrix and restore retrievable statutory archives.</x:v>
      </x:c>
      <x:c r="F80" s="30" t="str">
        <x:v>Documentation</x:v>
      </x:c>
      <x:c r="G80" s="30" t="str">
        <x:v>CORE</x:v>
      </x:c>
      <x:c r="H80" s="30" t="str">
        <x:v>Yes</x:v>
      </x:c>
      <x:c r="I80" s="30" t="str">
        <x:v>P-2 RESCUED.</x:v>
      </x:c>
    </x:row>
    <x:row r="81">
      <x:c r="A81" s="30" t="str">
        <x:v>OBS080</x:v>
      </x:c>
      <x:c r="B81" s="30" t="str">
        <x:v>AUD166</x:v>
      </x:c>
      <x:c r="C81" s="30" t="str">
        <x:v>Schedule H/H1/X prescription-only controls were breached or a non-existent universal Schedule H register was relied upon.</x:v>
      </x:c>
      <x:c r="D81" s="30" t="str">
        <x:v>Critical</x:v>
      </x:c>
      <x:c r="E81" s="30" t="str">
        <x:v>Enforce prescription controls and use only the registers actually required by Rule 65.</x:v>
      </x:c>
      <x:c r="F81" s="30" t="str">
        <x:v>Controlled Drugs</x:v>
      </x:c>
      <x:c r="G81" s="30" t="str">
        <x:v>CORE</x:v>
      </x:c>
      <x:c r="H81" s="30" t="str">
        <x:v>Yes</x:v>
      </x:c>
      <x:c r="I81" s="30" t="str">
        <x:v>P-2 RESCUED.</x:v>
      </x:c>
    </x:row>
    <x:row r="82">
      <x:c r="A82" s="30" t="str">
        <x:v>OBS081</x:v>
      </x:c>
      <x:c r="B82" s="30" t="str">
        <x:v>AUD168</x:v>
      </x:c>
      <x:c r="C82" s="30" t="str">
        <x:v>Design consumer-facing sale and service practices to avoid unfair trade practices and respect the statutory consumer-rights baseline. was not demonstrated or did not operate effectively for the sample tested.</x:v>
      </x:c>
      <x:c r="D82" s="30" t="str">
        <x:v>High</x:v>
      </x:c>
      <x:c r="E82" s="30" t="str">
        <x:v>Implement the requirement, assign ownership, correct affected records or transactions, and retain evidence of operating effectiveness: Design consumer-facing sale and service practices to avoid unfair trade practices and respect the statutory consumer-rights baseline.</x:v>
      </x:c>
      <x:c r="F82" s="30" t="str">
        <x:v>CA062</x:v>
      </x:c>
      <x:c r="G82" s="30" t="str">
        <x:v>CORE</x:v>
      </x:c>
      <x:c r="H82" s="30" t="str">
        <x:v>Yes</x:v>
      </x:c>
      <x:c r="I82" s="30" t="str">
        <x:v>P-4 aligned to the normalized parent audit; legacy Observation ID preserved.</x:v>
      </x:c>
    </x:row>
    <x:row r="83">
      <x:c r="A83" s="30" t="str">
        <x:v>OBS082</x:v>
      </x:c>
      <x:c r="B83" s="30" t="str">
        <x:v>AUD170</x:v>
      </x:c>
      <x:c r="C83" s="30" t="str">
        <x:v>Respond to a lawful CCPA investigation and implement an applicable recall, reimbursement, discontinuance or modification order. was not demonstrated or did not operate effectively for the sample tested.</x:v>
      </x:c>
      <x:c r="D83" s="30" t="str">
        <x:v>High</x:v>
      </x:c>
      <x:c r="E83" s="30" t="str">
        <x:v>Implement the requirement, assign ownership, correct affected records or transactions, and retain evidence of operating effectiveness: Respond to a lawful CCPA investigation and implement an applicable recall, reimbursement, discontinuance or modification order.</x:v>
      </x:c>
      <x:c r="F83" s="30" t="str">
        <x:v>CA062</x:v>
      </x:c>
      <x:c r="G83" s="30" t="str">
        <x:v>CORE</x:v>
      </x:c>
      <x:c r="H83" s="30" t="str">
        <x:v>Yes</x:v>
      </x:c>
      <x:c r="I83" s="30" t="str">
        <x:v>P-4 aligned to the normalized parent audit; legacy Observation ID preserved.</x:v>
      </x:c>
    </x:row>
    <x:row r="84">
      <x:c r="A84" s="30" t="str">
        <x:v>OBS083</x:v>
      </x:c>
      <x:c r="B84" s="30" t="str">
        <x:v>AUD172</x:v>
      </x:c>
      <x:c r="C84" s="30" t="str">
        <x:v>Do not engage in a practice falling within section 2(47), including false representations, deceptive price claims or refusal to issue a bill where required. was not demonstrated or did not operate effectively for the sample tested.</x:v>
      </x:c>
      <x:c r="D84" s="30" t="str">
        <x:v>High</x:v>
      </x:c>
      <x:c r="E84" s="30" t="str">
        <x:v>Implement the requirement, assign ownership, correct affected records or transactions, and retain evidence of operating effectiveness: Do not engage in a practice falling within section 2(47), including false representations, deceptive price claims or refusal to issue a bill where required.</x:v>
      </x:c>
      <x:c r="F84" s="30" t="str">
        <x:v>CA062</x:v>
      </x:c>
      <x:c r="G84" s="30" t="str">
        <x:v>CORE</x:v>
      </x:c>
      <x:c r="H84" s="30" t="str">
        <x:v>Yes</x:v>
      </x:c>
      <x:c r="I84" s="30" t="str">
        <x:v>P-4 aligned to the normalized parent audit; legacy Observation ID preserved.</x:v>
      </x:c>
    </x:row>
    <x:row r="85">
      <x:c r="A85" s="30" t="str">
        <x:v>OBS084</x:v>
      </x:c>
      <x:c r="B85" s="30" t="str">
        <x:v>AUD174</x:v>
      </x:c>
      <x:c r="C85" s="30" t="str">
        <x:v>Do not cause a false or misleading advertisement and comply with any CCPA discontinuance/modification direction. was not demonstrated or did not operate effectively for the sample tested.</x:v>
      </x:c>
      <x:c r="D85" s="30" t="str">
        <x:v>High</x:v>
      </x:c>
      <x:c r="E85" s="30" t="str">
        <x:v>Implement the requirement, assign ownership, correct affected records or transactions, and retain evidence of operating effectiveness: Do not cause a false or misleading advertisement and comply with any CCPA discontinuance/modification direction.</x:v>
      </x:c>
      <x:c r="F85" s="30" t="str">
        <x:v>CA064</x:v>
      </x:c>
      <x:c r="G85" s="30" t="str">
        <x:v>CORE</x:v>
      </x:c>
      <x:c r="H85" s="30" t="str">
        <x:v>Yes</x:v>
      </x:c>
      <x:c r="I85" s="30" t="str">
        <x:v>P-4 aligned to the normalized parent audit; legacy Observation ID preserved.</x:v>
      </x:c>
    </x:row>
    <x:row r="86">
      <x:c r="A86" s="30" t="str">
        <x:v>OBS085</x:v>
      </x:c>
      <x:c r="B86" s="30" t="str">
        <x:v>AUD176</x:v>
      </x:c>
      <x:c r="C86" s="30" t="str">
        <x:v>If operating in an e-commerce role, display required identity/seller information, appoint the prescribed grievance/nodal contact and operate the complaint mechanism under Rules 4-5. was not demonstrated or did not operate effectively for the sample tested.</x:v>
      </x:c>
      <x:c r="D86" s="30" t="str">
        <x:v>High</x:v>
      </x:c>
      <x:c r="E86" s="30" t="str">
        <x:v>Implement the requirement, assign ownership, correct affected records or transactions, and retain evidence of operating effectiveness: If operating in an e-commerce role, display required identity/seller information, appoint the prescribed grievance/nodal contact and operate the complaint mechanism under Rules 4-5.</x:v>
      </x:c>
      <x:c r="F86" s="30" t="str">
        <x:v>CA065</x:v>
      </x:c>
      <x:c r="G86" s="30" t="str">
        <x:v>CORE</x:v>
      </x:c>
      <x:c r="H86" s="30" t="str">
        <x:v>Yes</x:v>
      </x:c>
      <x:c r="I86" s="30" t="str">
        <x:v>P-4 aligned to the normalized parent audit; legacy Observation ID preserved.</x:v>
      </x:c>
    </x:row>
    <x:row r="87">
      <x:c r="A87" s="30" t="str">
        <x:v>OBS086</x:v>
      </x:c>
      <x:c r="B87" s="30" t="str">
        <x:v>AUD178</x:v>
      </x:c>
      <x:c r="C87" s="30" t="str">
        <x:v>Where a regulated weighing/measuring instrument is used, obtain verification/stamping and keep it valid before transactional use. was not demonstrated or did not operate effectively for the sample tested.</x:v>
      </x:c>
      <x:c r="D87" s="30" t="str">
        <x:v>High</x:v>
      </x:c>
      <x:c r="E87" s="30" t="str">
        <x:v>Implement the requirement, assign ownership, correct affected records or transactions, and retain evidence of operating effectiveness: Where a regulated weighing/measuring instrument is used, obtain verification/stamping and keep it valid before transactional use.</x:v>
      </x:c>
      <x:c r="F87" s="30" t="str">
        <x:v>CA066</x:v>
      </x:c>
      <x:c r="G87" s="30" t="str">
        <x:v>CORE</x:v>
      </x:c>
      <x:c r="H87" s="30" t="str">
        <x:v>Yes</x:v>
      </x:c>
      <x:c r="I87" s="30" t="str">
        <x:v>P-4 aligned to the normalized parent audit; legacy Observation ID preserved.</x:v>
      </x:c>
    </x:row>
    <x:row r="88">
      <x:c r="A88" s="30" t="str">
        <x:v>OBS087</x:v>
      </x:c>
      <x:c r="B88" s="30" t="str">
        <x:v>AUD180</x:v>
      </x:c>
      <x:c r="C88" s="30" t="str">
        <x:v>Do not use a non-standard or required-but-unverified weight/measure; retain the verification certificate/stamp evidence. was not demonstrated or did not operate effectively for the sample tested.</x:v>
      </x:c>
      <x:c r="D88" s="30" t="str">
        <x:v>High</x:v>
      </x:c>
      <x:c r="E88" s="30" t="str">
        <x:v>Implement the requirement, assign ownership, correct affected records or transactions, and retain evidence of operating effectiveness: Do not use a non-standard or required-but-unverified weight/measure; retain the verification certificate/stamp evidence.</x:v>
      </x:c>
      <x:c r="F88" s="30" t="str">
        <x:v>CA068</x:v>
      </x:c>
      <x:c r="G88" s="30" t="str">
        <x:v>CORE</x:v>
      </x:c>
      <x:c r="H88" s="30" t="str">
        <x:v>Yes</x:v>
      </x:c>
      <x:c r="I88" s="30" t="str">
        <x:v>P-4 aligned to the normalized parent audit; legacy Observation ID preserved.</x:v>
      </x:c>
    </x:row>
    <x:row r="89">
      <x:c r="A89" s="30" t="str">
        <x:v>OBS088</x:v>
      </x:c>
      <x:c r="B89" s="30" t="str">
        <x:v>AUD182</x:v>
      </x:c>
      <x:c r="C89" s="30" t="str">
        <x:v>Permit lawful legal-metrology inspection and produce the covered instrument and records when required by an authorised officer. was not demonstrated or did not operate effectively for the sample tested.</x:v>
      </x:c>
      <x:c r="D89" s="30" t="str">
        <x:v>High</x:v>
      </x:c>
      <x:c r="E89" s="30" t="str">
        <x:v>Implement the requirement, assign ownership, correct affected records or transactions, and retain evidence of operating effectiveness: Permit lawful legal-metrology inspection and produce the covered instrument and records when required by an authorised officer.</x:v>
      </x:c>
      <x:c r="F89" s="30" t="str">
        <x:v>CA066</x:v>
      </x:c>
      <x:c r="G89" s="30" t="str">
        <x:v>CORE</x:v>
      </x:c>
      <x:c r="H89" s="30" t="str">
        <x:v>Yes</x:v>
      </x:c>
      <x:c r="I89" s="30" t="str">
        <x:v>P-4 aligned to the normalized parent audit; legacy Observation ID preserved.</x:v>
      </x:c>
    </x:row>
    <x:row r="90">
      <x:c r="A90" s="30" t="str">
        <x:v>OBS089</x:v>
      </x:c>
      <x:c r="B90" s="30" t="str">
        <x:v>AUD184</x:v>
      </x:c>
      <x:c r="C90" s="30" t="str">
        <x:v>Do not sell, distribute, deliver, display or store for sale a pre-packaged commodity unless the package complies with the Act and Rules. was not demonstrated or did not operate effectively for the sample tested.</x:v>
      </x:c>
      <x:c r="D90" s="30" t="str">
        <x:v>High</x:v>
      </x:c>
      <x:c r="E90" s="30" t="str">
        <x:v>Implement the requirement, assign ownership, correct affected records or transactions, and retain evidence of operating effectiveness: Do not sell, distribute, deliver, display or store for sale a pre-packaged commodity unless the package complies with the Act and Rules.</x:v>
      </x:c>
      <x:c r="F90" s="30" t="str">
        <x:v>CA067</x:v>
      </x:c>
      <x:c r="G90" s="30" t="str">
        <x:v>CORE</x:v>
      </x:c>
      <x:c r="H90" s="30" t="str">
        <x:v>Yes</x:v>
      </x:c>
      <x:c r="I90" s="30" t="str">
        <x:v>P-4 aligned to the normalized parent audit; legacy Observation ID preserved.</x:v>
      </x:c>
    </x:row>
    <x:row r="91">
      <x:c r="A91" s="30" t="str">
        <x:v>OBS090</x:v>
      </x:c>
      <x:c r="B91" s="30" t="str">
        <x:v>AUD186</x:v>
      </x:c>
      <x:c r="C91" s="30" t="str">
        <x:v>Do not sell an applicable packaged commodity above its declared retail sale price. was not demonstrated or did not operate effectively for the sample tested.</x:v>
      </x:c>
      <x:c r="D91" s="30" t="str">
        <x:v>High</x:v>
      </x:c>
      <x:c r="E91" s="30" t="str">
        <x:v>Implement the requirement, assign ownership, correct affected records or transactions, and retain evidence of operating effectiveness: Do not sell an applicable packaged commodity above its declared retail sale price.</x:v>
      </x:c>
      <x:c r="F91" s="30" t="str">
        <x:v>CA067</x:v>
      </x:c>
      <x:c r="G91" s="30" t="str">
        <x:v>CORE</x:v>
      </x:c>
      <x:c r="H91" s="30" t="str">
        <x:v>Yes</x:v>
      </x:c>
      <x:c r="I91" s="30" t="str">
        <x:v>P-4 aligned to the normalized parent audit; legacy Observation ID preserved.</x:v>
      </x:c>
    </x:row>
    <x:row r="92">
      <x:c r="A92" s="30" t="str">
        <x:v>OBS091</x:v>
      </x:c>
      <x:c r="B92" s="30" t="str">
        <x:v>AUD188</x:v>
      </x:c>
      <x:c r="C92" s="30" t="str">
        <x:v>For e-commerce sale of applicable pre-packaged commodities, display the prescribed Rule 6 declarations on the digital/electronic network. was not demonstrated or did not operate effectively for the sample tested.</x:v>
      </x:c>
      <x:c r="D92" s="30" t="str">
        <x:v>High</x:v>
      </x:c>
      <x:c r="E92" s="30" t="str">
        <x:v>Implement the requirement, assign ownership, correct affected records or transactions, and retain evidence of operating effectiveness: For e-commerce sale of applicable pre-packaged commodities, display the prescribed Rule 6 declarations on the digital/electronic network.</x:v>
      </x:c>
      <x:c r="F92" s="30" t="str">
        <x:v>CA031</x:v>
      </x:c>
      <x:c r="G92" s="30" t="str">
        <x:v>CORE</x:v>
      </x:c>
      <x:c r="H92" s="30" t="str">
        <x:v>Yes</x:v>
      </x:c>
      <x:c r="I92" s="30" t="str">
        <x:v>P-4 aligned to the normalized parent audit; legacy Observation ID preserved.</x:v>
      </x:c>
    </x:row>
    <x:row r="93">
      <x:c r="A93" s="30" t="str">
        <x:v>OBS092</x:v>
      </x:c>
      <x:c r="B93" s="30" t="str">
        <x:v>AUD190</x:v>
      </x:c>
      <x:c r="C93" s="30" t="str">
        <x:v>If handling SPDI, publish the prescribed privacy policy and operate a documented reasonable-security programme/standard with periodic review. was not demonstrated or did not operate effectively for the sample tested.</x:v>
      </x:c>
      <x:c r="D93" s="30" t="str">
        <x:v>High</x:v>
      </x:c>
      <x:c r="E93" s="30" t="str">
        <x:v>Implement the requirement, assign ownership, correct affected records or transactions, and retain evidence of operating effectiveness: If handling SPDI, publish the prescribed privacy policy and operate a documented reasonable-security programme/standard with periodic review.</x:v>
      </x:c>
      <x:c r="F93" s="30" t="str">
        <x:v>CA071</x:v>
      </x:c>
      <x:c r="G93" s="30" t="str">
        <x:v>CORE</x:v>
      </x:c>
      <x:c r="H93" s="30" t="str">
        <x:v>Yes</x:v>
      </x:c>
      <x:c r="I93" s="30" t="str">
        <x:v>P-4 aligned to the normalized parent audit; legacy Observation ID preserved.</x:v>
      </x:c>
    </x:row>
    <x:row r="94">
      <x:c r="A94" s="30" t="str">
        <x:v>OBS093</x:v>
      </x:c>
      <x:c r="B94" s="30" t="str">
        <x:v>AUD192</x:v>
      </x:c>
      <x:c r="C94" s="30" t="str">
        <x:v>For SPDI, obtain consent, give required collection information, limit purpose/retention and provide review/correction mechanisms. was not demonstrated or did not operate effectively for the sample tested.</x:v>
      </x:c>
      <x:c r="D94" s="30" t="str">
        <x:v>High</x:v>
      </x:c>
      <x:c r="E94" s="30" t="str">
        <x:v>Implement the requirement, assign ownership, correct affected records or transactions, and retain evidence of operating effectiveness: For SPDI, obtain consent, give required collection information, limit purpose/retention and provide review/correction mechanisms.</x:v>
      </x:c>
      <x:c r="F94" s="30" t="str">
        <x:v>CA072</x:v>
      </x:c>
      <x:c r="G94" s="30" t="str">
        <x:v>CORE</x:v>
      </x:c>
      <x:c r="H94" s="30" t="str">
        <x:v>Yes</x:v>
      </x:c>
      <x:c r="I94" s="30" t="str">
        <x:v>P-4 aligned to the normalized parent audit; legacy Observation ID preserved.</x:v>
      </x:c>
    </x:row>
    <x:row r="95">
      <x:c r="A95" s="30" t="str">
        <x:v>OBS094</x:v>
      </x:c>
      <x:c r="B95" s="30" t="str">
        <x:v>AUD194</x:v>
      </x:c>
      <x:c r="C95" s="30" t="str">
        <x:v>Do not disclose SPDI without prior permission unless a Rule 6 exception applies; prevent unlawful contractual disclosure. was not demonstrated or did not operate effectively for the sample tested.</x:v>
      </x:c>
      <x:c r="D95" s="30" t="str">
        <x:v>High</x:v>
      </x:c>
      <x:c r="E95" s="30" t="str">
        <x:v>Implement the requirement, assign ownership, correct affected records or transactions, and retain evidence of operating effectiveness: Do not disclose SPDI without prior permission unless a Rule 6 exception applies; prevent unlawful contractual disclosure.</x:v>
      </x:c>
      <x:c r="F95" s="30" t="str">
        <x:v>CA071</x:v>
      </x:c>
      <x:c r="G95" s="30" t="str">
        <x:v>CORE</x:v>
      </x:c>
      <x:c r="H95" s="30" t="str">
        <x:v>Yes</x:v>
      </x:c>
      <x:c r="I95" s="30" t="str">
        <x:v>P-4 aligned to the normalized parent audit; legacy Observation ID preserved.</x:v>
      </x:c>
    </x:row>
    <x:row r="96">
      <x:c r="A96" s="30" t="str">
        <x:v>OBS095</x:v>
      </x:c>
      <x:c r="B96" s="30" t="str">
        <x:v>AUD196</x:v>
      </x:c>
      <x:c r="C96" s="30" t="str">
        <x:v>Apply intermediary due diligence only if the platform legally qualifies as an intermediary under current IT law. was not demonstrated or did not operate effectively for the sample tested.</x:v>
      </x:c>
      <x:c r="D96" s="30" t="str">
        <x:v>High</x:v>
      </x:c>
      <x:c r="E96" s="30" t="str">
        <x:v>Implement the requirement, assign ownership, correct affected records or transactions, and retain evidence of operating effectiveness: Apply intermediary due diligence only if the platform legally qualifies as an intermediary under current IT law.</x:v>
      </x:c>
      <x:c r="F96" s="30" t="str">
        <x:v>CA069</x:v>
      </x:c>
      <x:c r="G96" s="30" t="str">
        <x:v>CORE</x:v>
      </x:c>
      <x:c r="H96" s="30" t="str">
        <x:v>Yes</x:v>
      </x:c>
      <x:c r="I96" s="30" t="str">
        <x:v>P-4 aligned to the normalized parent audit; legacy Observation ID preserved.</x:v>
      </x:c>
    </x:row>
    <x:row r="97">
      <x:c r="A97" s="30" t="str">
        <x:v>OBS096</x:v>
      </x:c>
      <x:c r="B97" s="30" t="str">
        <x:v>AUD198</x:v>
      </x:c>
      <x:c r="C97" s="30" t="str">
        <x:v>Refrigerated medicines were exposed to unsuitable temperatures during dispensing.</x:v>
      </x:c>
      <x:c r="D97" s="30" t="str">
        <x:v>High</x:v>
      </x:c>
      <x:c r="E97" s="30" t="str">
        <x:v>Minimize temperature exposure during dispensing of refrigerated medicines by following approved cold-chain procedures.</x:v>
      </x:c>
      <x:c r="F97" s="30" t="str">
        <x:v>Digital / E-Pharmacy</x:v>
      </x:c>
      <x:c r="G97" s="30" t="str">
        <x:v>CORE</x:v>
      </x:c>
      <x:c r="H97" s="30" t="str">
        <x:v>No</x:v>
      </x:c>
      <x:c r="I97" s="30" t="str">
        <x:v>P-3 QUARANTINED: Generic State/local/permit/reference rows, penalty-only/fabricated DAMR extractions, and future-effective DPDP duties are not current production obligations.</x:v>
      </x:c>
    </x:row>
    <x:row r="98">
      <x:c r="A98" s="30" t="str">
        <x:v>OBS097</x:v>
      </x:c>
      <x:c r="B98" s="30" t="str">
        <x:v>AUD200</x:v>
      </x:c>
      <x:c r="C98" s="30" t="str">
        <x:v>Internal audits did not adequately evaluate dispensing operations or corrective actions remained ineffective.</x:v>
      </x:c>
      <x:c r="D98" s="30" t="str">
        <x:v>Medium</x:v>
      </x:c>
      <x:c r="E98" s="30" t="str">
        <x:v>Include comprehensive dispensing compliance reviews in the internal audit program.</x:v>
      </x:c>
      <x:c r="F98" s="30" t="str">
        <x:v>Other</x:v>
      </x:c>
      <x:c r="G98" s="30" t="str">
        <x:v>CORE</x:v>
      </x:c>
      <x:c r="H98" s="30" t="str">
        <x:v>No</x:v>
      </x:c>
      <x:c r="I98" s="30" t="str">
        <x:v>P-3 QUARANTINED: Generic State/local/permit/reference rows, penalty-only/fabricated DAMR extractions, and future-effective DPDP duties are not current production obligations.</x:v>
      </x:c>
    </x:row>
    <x:row r="99">
      <x:c r="A99" s="30" t="str">
        <x:v>OBS098</x:v>
      </x:c>
      <x:c r="B99" s="30" t="str">
        <x:v>AUD202</x:v>
      </x:c>
      <x:c r="C99" s="30" t="str">
        <x:v>Customer complaints relating to dispensing were inadequately investigated or corrective actions were not documented.</x:v>
      </x:c>
      <x:c r="D99" s="30" t="str">
        <x:v>Medium</x:v>
      </x:c>
      <x:c r="E99" s="30" t="str">
        <x:v>Investigate all dispensing complaints promptly and implement documented corrective actions.</x:v>
      </x:c>
      <x:c r="F99" s="30" t="str">
        <x:v>Quality</x:v>
      </x:c>
      <x:c r="G99" s="30" t="str">
        <x:v>CORE</x:v>
      </x:c>
      <x:c r="H99" s="30" t="str">
        <x:v>No</x:v>
      </x:c>
      <x:c r="I99" s="30" t="str">
        <x:v>P-3 QUARANTINED: Generic State/local/permit/reference rows, penalty-only/fabricated DAMR extractions, and future-effective DPDP duties are not current production obligations.</x:v>
      </x:c>
    </x:row>
    <x:row r="100">
      <x:c r="A100" s="30" t="str">
        <x:v>OBS099</x:v>
      </x:c>
      <x:c r="B100" s="30" t="str">
        <x:v>AUD204</x:v>
      </x:c>
      <x:c r="C100" s="30" t="str">
        <x:v>Regulatory inspection observations relating to dispensing remained unresolved or inadequately documented.</x:v>
      </x:c>
      <x:c r="D100" s="30" t="str">
        <x:v>High</x:v>
      </x:c>
      <x:c r="E100" s="30" t="str">
        <x:v>Track and close all regulatory inspection observations within prescribed timelines.</x:v>
      </x:c>
      <x:c r="F100" s="30" t="str">
        <x:v>Regulatory Filing</x:v>
      </x:c>
      <x:c r="G100" s="30" t="str">
        <x:v>CORE</x:v>
      </x:c>
      <x:c r="H100" s="30" t="str">
        <x:v>No</x:v>
      </x:c>
      <x:c r="I100" s="30" t="str">
        <x:v>P-3 QUARANTINED: Generic State/local/permit/reference rows, penalty-only/fabricated DAMR extractions, and future-effective DPDP duties are not current production obligations.</x:v>
      </x:c>
    </x:row>
    <x:row r="101">
      <x:c r="A101" s="30" t="str">
        <x:v>OBS100</x:v>
      </x:c>
      <x:c r="B101" s="30" t="str">
        <x:v>AUD206</x:v>
      </x:c>
      <x:c r="C101" s="30" t="str">
        <x:v>Overall dispensing operations demonstrated weaknesses in regulatory compliance, documentation or operational controls.</x:v>
      </x:c>
      <x:c r="D101" s="30" t="str">
        <x:v>High</x:v>
      </x:c>
      <x:c r="E101" s="30" t="str">
        <x:v>Perform comprehensive reviews of dispensing operations and strengthen governance, monitoring and compliance controls.</x:v>
      </x:c>
      <x:c r="F101" s="30" t="str">
        <x:v>Regulatory Filing</x:v>
      </x:c>
      <x:c r="G101" s="30" t="str">
        <x:v>CORE</x:v>
      </x:c>
      <x:c r="H101" s="30" t="str">
        <x:v>No</x:v>
      </x:c>
      <x:c r="I101" s="30" t="str">
        <x:v>P-3 QUARANTINED: Generic State/local/permit/reference rows, penalty-only/fabricated DAMR extractions, and future-effective DPDP duties are not current production obligations.</x:v>
      </x:c>
    </x:row>
    <x:row r="102">
      <x:c r="A102" s="30" t="str">
        <x:v>OBS101</x:v>
      </x:c>
      <x:c r="B102" s="30" t="str">
        <x:v>AUD210</x:v>
      </x:c>
      <x:c r="C102" s="30" t="str">
        <x:v>Hold the applicable Drugs Rules sale licence or, for an exclusive medical-device seller without that licence, obtain and maintain Form MD-42 registration. was not demonstrated or did not operate effectively for the sample tested.</x:v>
      </x:c>
      <x:c r="D102" s="30" t="str">
        <x:v>High</x:v>
      </x:c>
      <x:c r="E102" s="30" t="str">
        <x:v>Implement the requirement, assign ownership, correct affected records or transactions, and retain evidence of operating effectiveness: Hold the applicable Drugs Rules sale licence or, for an exclusive medical-device seller without that licence, obtain and maintain Form MD-42 registration.</x:v>
      </x:c>
      <x:c r="F102" s="30" t="str">
        <x:v>CA009</x:v>
      </x:c>
      <x:c r="G102" s="30" t="str">
        <x:v>CORE</x:v>
      </x:c>
      <x:c r="H102" s="30" t="str">
        <x:v>Yes</x:v>
      </x:c>
      <x:c r="I102" s="30" t="str">
        <x:v>P-4 aligned to the normalized parent audit; legacy Observation ID preserved.</x:v>
      </x:c>
    </x:row>
    <x:row r="103">
      <x:c r="A103" s="30" t="str">
        <x:v>OBS102</x:v>
      </x:c>
      <x:c r="B103" s="30" t="str">
        <x:v>AUD212</x:v>
      </x:c>
      <x:c r="C103" s="30" t="str">
        <x:v>Display the medical-device registration where applicable, maintain adequate premises and specified storage, and procure devices only from authorized sources. was not demonstrated or did not operate effectively for the sample tested.</x:v>
      </x:c>
      <x:c r="D103" s="30" t="str">
        <x:v>High</x:v>
      </x:c>
      <x:c r="E103" s="30" t="str">
        <x:v>Implement the requirement, assign ownership, correct affected records or transactions, and retain evidence of operating effectiveness: Display the medical-device registration where applicable, maintain adequate premises and specified storage, and procure devices only from authorized sources.</x:v>
      </x:c>
      <x:c r="F103" s="30" t="str">
        <x:v>CA009</x:v>
      </x:c>
      <x:c r="G103" s="30" t="str">
        <x:v>CORE</x:v>
      </x:c>
      <x:c r="H103" s="30" t="str">
        <x:v>Yes</x:v>
      </x:c>
      <x:c r="I103" s="30" t="str">
        <x:v>P-4 aligned to the normalized parent audit; legacy Observation ID preserved.</x:v>
      </x:c>
    </x:row>
    <x:row r="104">
      <x:c r="A104" s="30" t="str">
        <x:v>OBS103</x:v>
      </x:c>
      <x:c r="B104" s="30" t="str">
        <x:v>AUD214</x:v>
      </x:c>
      <x:c r="C104" s="30" t="str">
        <x:v>Maintain medical-device purchase and sale records, provide inspection access, retain records for two years, and maintain the prescribed inspection book. was not demonstrated or did not operate effectively for the sample tested.</x:v>
      </x:c>
      <x:c r="D104" s="30" t="str">
        <x:v>High</x:v>
      </x:c>
      <x:c r="E104" s="30" t="str">
        <x:v>Implement the requirement, assign ownership, correct affected records or transactions, and retain evidence of operating effectiveness: Maintain medical-device purchase and sale records, provide inspection access, retain records for two years, and maintain the prescribed inspection book.</x:v>
      </x:c>
      <x:c r="F104" s="30" t="str">
        <x:v>CA019</x:v>
      </x:c>
      <x:c r="G104" s="30" t="str">
        <x:v>CORE</x:v>
      </x:c>
      <x:c r="H104" s="30" t="str">
        <x:v>Yes</x:v>
      </x:c>
      <x:c r="I104" s="30" t="str">
        <x:v>P-4 aligned to the normalized parent audit; legacy Observation ID preserved.</x:v>
      </x:c>
    </x:row>
    <x:row r="105">
      <x:c r="A105" s="30" t="str">
        <x:v>OBS104</x:v>
      </x:c>
      <x:c r="B105" s="30" t="str">
        <x:v>AUD216</x:v>
      </x:c>
      <x:c r="C105" s="30" t="str">
        <x:v>Pay the prescribed retention fee every five years to maintain perpetual validity of Form MD-42 registration. was not demonstrated or did not operate effectively for the sample tested.</x:v>
      </x:c>
      <x:c r="D105" s="30" t="str">
        <x:v>High</x:v>
      </x:c>
      <x:c r="E105" s="30" t="str">
        <x:v>Implement the requirement, assign ownership, correct affected records or transactions, and retain evidence of operating effectiveness: Pay the prescribed retention fee every five years to maintain perpetual validity of Form MD-42 registration.</x:v>
      </x:c>
      <x:c r="F105" s="30" t="str">
        <x:v>CA007</x:v>
      </x:c>
      <x:c r="G105" s="30" t="str">
        <x:v>CORE</x:v>
      </x:c>
      <x:c r="H105" s="30" t="str">
        <x:v>Yes</x:v>
      </x:c>
      <x:c r="I105" s="30" t="str">
        <x:v>P-4 aligned to the normalized parent audit; legacy Observation ID preserved.</x:v>
      </x:c>
    </x:row>
    <x:row r="106">
      <x:c r="A106" s="30" t="str">
        <x:v>OBS105</x:v>
      </x:c>
      <x:c r="B106" s="30" t="str">
        <x:v>AUD218</x:v>
      </x:c>
      <x:c r="C106" s="30" t="str">
        <x:v>Where Rule 88 applies, document supply to a hospital or similar institution through the prescribed delivery-challan process. was not demonstrated or did not operate effectively for the sample tested.</x:v>
      </x:c>
      <x:c r="D106" s="30" t="str">
        <x:v>High</x:v>
      </x:c>
      <x:c r="E106" s="30" t="str">
        <x:v>Implement the requirement, assign ownership, correct affected records or transactions, and retain evidence of operating effectiveness: Where Rule 88 applies, document supply to a hospital or similar institution through the prescribed delivery-challan process.</x:v>
      </x:c>
      <x:c r="F106" s="30" t="str">
        <x:v>CA022</x:v>
      </x:c>
      <x:c r="G106" s="30" t="str">
        <x:v>CORE</x:v>
      </x:c>
      <x:c r="H106" s="30" t="str">
        <x:v>Yes</x:v>
      </x:c>
      <x:c r="I106" s="30" t="str">
        <x:v>P-4 aligned to the normalized parent audit; legacy Observation ID preserved.</x:v>
      </x:c>
    </x:row>
    <x:row r="107">
      <x:c r="A107" s="30" t="str">
        <x:v>OBS106</x:v>
      </x:c>
      <x:c r="B107" s="30" t="str">
        <x:v>AUD220</x:v>
      </x:c>
      <x:c r="C107" s="30" t="str">
        <x:v>Do not sell or distribute a cosmetic unless the Rule 33 origin, licensing, quality and labelling conditions are satisfied. was not demonstrated or did not operate effectively for the sample tested.</x:v>
      </x:c>
      <x:c r="D107" s="30" t="str">
        <x:v>High</x:v>
      </x:c>
      <x:c r="E107" s="30" t="str">
        <x:v>Implement the requirement, assign ownership, correct affected records or transactions, and retain evidence of operating effectiveness: Do not sell or distribute a cosmetic unless the Rule 33 origin, licensing, quality and labelling conditions are satisfied.</x:v>
      </x:c>
      <x:c r="F107" s="30" t="str">
        <x:v>CA016</x:v>
      </x:c>
      <x:c r="G107" s="30" t="str">
        <x:v>CORE</x:v>
      </x:c>
      <x:c r="H107" s="30" t="str">
        <x:v>Yes</x:v>
      </x:c>
      <x:c r="I107" s="30" t="str">
        <x:v>P-4 aligned to the normalized parent audit; legacy Observation ID preserved.</x:v>
      </x:c>
    </x:row>
    <x:row r="108">
      <x:c r="A108" s="30" t="str">
        <x:v>OBS107</x:v>
      </x:c>
      <x:c r="B108" s="30" t="str">
        <x:v>AUD222</x:v>
      </x:c>
      <x:c r="C108" s="30" t="str">
        <x:v>Verify that cosmetics offered for sale or distribution bear the particulars required by Rule 34. was not demonstrated or did not operate effectively for the sample tested.</x:v>
      </x:c>
      <x:c r="D108" s="30" t="str">
        <x:v>High</x:v>
      </x:c>
      <x:c r="E108" s="30" t="str">
        <x:v>Implement the requirement, assign ownership, correct affected records or transactions, and retain evidence of operating effectiveness: Verify that cosmetics offered for sale or distribution bear the particulars required by Rule 34.</x:v>
      </x:c>
      <x:c r="F108" s="30" t="str">
        <x:v>CA007</x:v>
      </x:c>
      <x:c r="G108" s="30" t="str">
        <x:v>CORE</x:v>
      </x:c>
      <x:c r="H108" s="30" t="str">
        <x:v>Yes</x:v>
      </x:c>
      <x:c r="I108" s="30" t="str">
        <x:v>P-4 aligned to the normalized parent audit; legacy Observation ID preserved.</x:v>
      </x:c>
    </x:row>
    <x:row r="109">
      <x:c r="A109" s="30" t="str">
        <x:v>OBS108</x:v>
      </x:c>
      <x:c r="B109" s="30" t="str">
        <x:v>AUD224</x:v>
      </x:c>
      <x:c r="C109" s="30" t="str">
        <x:v>Do not alter, obliterate or deface mandatory cosmetic labelling. was not demonstrated or did not operate effectively for the sample tested.</x:v>
      </x:c>
      <x:c r="D109" s="30" t="str">
        <x:v>High</x:v>
      </x:c>
      <x:c r="E109" s="30" t="str">
        <x:v>Implement the requirement, assign ownership, correct affected records or transactions, and retain evidence of operating effectiveness: Do not alter, obliterate or deface mandatory cosmetic labelling.</x:v>
      </x:c>
      <x:c r="F109" s="30" t="str">
        <x:v>CA067</x:v>
      </x:c>
      <x:c r="G109" s="30" t="str">
        <x:v>CORE</x:v>
      </x:c>
      <x:c r="H109" s="30" t="str">
        <x:v>Yes</x:v>
      </x:c>
      <x:c r="I109" s="30" t="str">
        <x:v>P-4 aligned to the normalized parent audit; legacy Observation ID preserved.</x:v>
      </x:c>
    </x:row>
    <x:row r="110">
      <x:c r="A110" s="30" t="str">
        <x:v>OBS109</x:v>
      </x:c>
      <x:c r="B110" s="30" t="str">
        <x:v>AUD226</x:v>
      </x:c>
      <x:c r="C110" s="30" t="str">
        <x:v>Do not sell or distribute a cosmetic bearing a false or misleading claim. was not demonstrated or did not operate effectively for the sample tested.</x:v>
      </x:c>
      <x:c r="D110" s="30" t="str">
        <x:v>High</x:v>
      </x:c>
      <x:c r="E110" s="30" t="str">
        <x:v>Implement the requirement, assign ownership, correct affected records or transactions, and retain evidence of operating effectiveness: Do not sell or distribute a cosmetic bearing a false or misleading claim.</x:v>
      </x:c>
      <x:c r="F110" s="30" t="str">
        <x:v>CA019</x:v>
      </x:c>
      <x:c r="G110" s="30" t="str">
        <x:v>CORE</x:v>
      </x:c>
      <x:c r="H110" s="30" t="str">
        <x:v>Yes</x:v>
      </x:c>
      <x:c r="I110" s="30" t="str">
        <x:v>P-4 aligned to the normalized parent audit; legacy Observation ID preserved.</x:v>
      </x:c>
    </x:row>
    <x:row r="111">
      <x:c r="A111" s="30" t="str">
        <x:v>OBS110</x:v>
      </x:c>
      <x:c r="B111" s="30" t="str">
        <x:v>AUD228</x:v>
      </x:c>
      <x:c r="C111" s="30" t="str">
        <x:v>Sell or distribute only cosmetics that comply with the standards, quality and safety requirements in Rule 39. was not demonstrated or did not operate effectively for the sample tested.</x:v>
      </x:c>
      <x:c r="D111" s="30" t="str">
        <x:v>High</x:v>
      </x:c>
      <x:c r="E111" s="30" t="str">
        <x:v>Implement the requirement, assign ownership, correct affected records or transactions, and retain evidence of operating effectiveness: Sell or distribute only cosmetics that comply with the standards, quality and safety requirements in Rule 39.</x:v>
      </x:c>
      <x:c r="F111" s="30" t="str">
        <x:v>CA022</x:v>
      </x:c>
      <x:c r="G111" s="30" t="str">
        <x:v>CORE</x:v>
      </x:c>
      <x:c r="H111" s="30" t="str">
        <x:v>Yes</x:v>
      </x:c>
      <x:c r="I111" s="30" t="str">
        <x:v>P-4 aligned to the normalized parent audit; legacy Observation ID preserved.</x:v>
      </x:c>
    </x:row>
    <x:row r="112">
      <x:c r="A112" s="30" t="str">
        <x:v>OBS111</x:v>
      </x:c>
      <x:c r="B112" s="30" t="str">
        <x:v>AUD230</x:v>
      </x:c>
      <x:c r="C112" s="30" t="str">
        <x:v>Promotional discounts or marketing activities did not comply with applicable regulatory or organizational requirements.</x:v>
      </x:c>
      <x:c r="D112" s="30" t="str">
        <x:v>Medium</x:v>
      </x:c>
      <x:c r="E112" s="30" t="str">
        <x:v>Ensure promotional activities are approved and comply with applicable regulations.</x:v>
      </x:c>
      <x:c r="F112" s="30" t="str">
        <x:v>Digital / E-Pharmacy</x:v>
      </x:c>
      <x:c r="G112" s="30" t="str">
        <x:v>CORE</x:v>
      </x:c>
      <x:c r="H112" s="30" t="str">
        <x:v>No</x:v>
      </x:c>
      <x:c r="I112" s="30" t="str">
        <x:v>P-2 QUARANTINED with AUD230; replacement observation attached to AUD552.</x:v>
      </x:c>
    </x:row>
    <x:row r="113">
      <x:c r="A113" s="30" t="str">
        <x:v>OBS112</x:v>
      </x:c>
      <x:c r="B113" s="30" t="str">
        <x:v>AUD232</x:v>
      </x:c>
      <x:c r="C113" s="30" t="str">
        <x:v>Medicine substitution was performed without appropriate authorization or documentation.</x:v>
      </x:c>
      <x:c r="D113" s="30" t="str">
        <x:v>High</x:v>
      </x:c>
      <x:c r="E113" s="30" t="str">
        <x:v>Allow medicine substitution only where legally permissible and supported by documented approval.</x:v>
      </x:c>
      <x:c r="F113" s="30" t="str">
        <x:v>Digital / E-Pharmacy</x:v>
      </x:c>
      <x:c r="G113" s="30" t="str">
        <x:v>CORE</x:v>
      </x:c>
      <x:c r="H113" s="30" t="str">
        <x:v>No</x:v>
      </x:c>
      <x:c r="I113" s="30" t="str">
        <x:v>P-2 QUARANTINED with AUD232; replacement observation attached to AUD553.</x:v>
      </x:c>
    </x:row>
    <x:row r="114">
      <x:c r="A114" s="30" t="str">
        <x:v>OBS113</x:v>
      </x:c>
      <x:c r="B114" s="30" t="str">
        <x:v>AUD234</x:v>
      </x:c>
      <x:c r="C114" s="30" t="str">
        <x:v>Customer complaints relating to medicine sales were not adequately investigated or resolved.</x:v>
      </x:c>
      <x:c r="D114" s="30" t="str">
        <x:v>Medium</x:v>
      </x:c>
      <x:c r="E114" s="30" t="str">
        <x:v>Investigate customer complaints promptly and document corrective actions.</x:v>
      </x:c>
      <x:c r="F114" s="30" t="str">
        <x:v>Quality</x:v>
      </x:c>
      <x:c r="G114" s="30" t="str">
        <x:v>CORE</x:v>
      </x:c>
      <x:c r="H114" s="30" t="str">
        <x:v>No</x:v>
      </x:c>
      <x:c r="I114" s="30" t="str">
        <x:v>P-2 QUARANTINED with AUD234; replacement observation attached to AUD554.</x:v>
      </x:c>
    </x:row>
    <x:row r="115">
      <x:c r="A115" s="30" t="str">
        <x:v>OBS114</x:v>
      </x:c>
      <x:c r="B115" s="30" t="str">
        <x:v>AUD236</x:v>
      </x:c>
      <x:c r="C115" s="30" t="str">
        <x:v>Refunds or credit notes were processed without appropriate authorization or supporting documentation.</x:v>
      </x:c>
      <x:c r="D115" s="30" t="str">
        <x:v>Medium</x:v>
      </x:c>
      <x:c r="E115" s="30" t="str">
        <x:v>Ensure all refunds are supported by documented approvals and complete records.</x:v>
      </x:c>
      <x:c r="F115" s="30" t="str">
        <x:v>Digital / E-Pharmacy</x:v>
      </x:c>
      <x:c r="G115" s="30" t="str">
        <x:v>CORE</x:v>
      </x:c>
      <x:c r="H115" s="30" t="str">
        <x:v>No</x:v>
      </x:c>
      <x:c r="I115" s="30" t="str">
        <x:v>P-2 QUARANTINED with AUD236; replacement observation attached to AUD555.</x:v>
      </x:c>
    </x:row>
    <x:row r="116">
      <x:c r="A116" s="30" t="str">
        <x:v>OBS115</x:v>
      </x:c>
      <x:c r="B116" s="30" t="str">
        <x:v>AUD238</x:v>
      </x:c>
      <x:c r="C116" s="30" t="str">
        <x:v>High-value medicines were sold without enhanced authorization or monitoring controls.</x:v>
      </x:c>
      <x:c r="D116" s="30" t="str">
        <x:v>High</x:v>
      </x:c>
      <x:c r="E116" s="30" t="str">
        <x:v>Implement additional controls for high-value medicine transactions.</x:v>
      </x:c>
      <x:c r="F116" s="30" t="str">
        <x:v>Other</x:v>
      </x:c>
      <x:c r="G116" s="30" t="str">
        <x:v>CORE</x:v>
      </x:c>
      <x:c r="H116" s="30" t="str">
        <x:v>No</x:v>
      </x:c>
      <x:c r="I116" s="30" t="str">
        <x:v>P-2 QUARANTINED with AUD238; replacement observation attached to AUD556.</x:v>
      </x:c>
    </x:row>
    <x:row r="117">
      <x:c r="A117" s="30" t="str">
        <x:v>OBS116</x:v>
      </x:c>
      <x:c r="B117" s="30" t="str">
        <x:v>AUD240</x:v>
      </x:c>
      <x:c r="C117" s="30" t="str">
        <x:v>Medicine prices displayed to customers differed from billing system prices.</x:v>
      </x:c>
      <x:c r="D117" s="30" t="str">
        <x:v>Medium</x:v>
      </x:c>
      <x:c r="E117" s="30" t="str">
        <x:v>Maintain consistency between displayed prices and billing system master data.</x:v>
      </x:c>
      <x:c r="F117" s="30" t="str">
        <x:v>Documentation</x:v>
      </x:c>
      <x:c r="G117" s="30" t="str">
        <x:v>CORE</x:v>
      </x:c>
      <x:c r="H117" s="30" t="str">
        <x:v>No</x:v>
      </x:c>
      <x:c r="I117" s="30" t="str">
        <x:v>P-2 QUARANTINED with AUD240; replacement observation attached to AUD557.</x:v>
      </x:c>
    </x:row>
    <x:row r="118">
      <x:c r="A118" s="30" t="str">
        <x:v>OBS117</x:v>
      </x:c>
      <x:c r="B118" s="30" t="str">
        <x:v>AUD242</x:v>
      </x:c>
      <x:c r="C118" s="30" t="str">
        <x:v>Unauthorized price overrides were performed within the POS or billing system.</x:v>
      </x:c>
      <x:c r="D118" s="30" t="str">
        <x:v>High</x:v>
      </x:c>
      <x:c r="E118" s="30" t="str">
        <x:v>Restrict price override privileges and periodically review override reports.</x:v>
      </x:c>
      <x:c r="F118" s="30" t="str">
        <x:v>Regulatory Filing</x:v>
      </x:c>
      <x:c r="G118" s="30" t="str">
        <x:v>CORE</x:v>
      </x:c>
      <x:c r="H118" s="30" t="str">
        <x:v>No</x:v>
      </x:c>
      <x:c r="I118" s="30" t="str">
        <x:v>P-2 QUARANTINED with AUD242; replacement observation attached to AUD558.</x:v>
      </x:c>
    </x:row>
    <x:row r="119">
      <x:c r="A119" s="30" t="str">
        <x:v>OBS118</x:v>
      </x:c>
      <x:c r="B119" s="30" t="str">
        <x:v>AUD244</x:v>
      </x:c>
      <x:c r="C119" s="30" t="str">
        <x:v>Cancelled sales transactions lacked appropriate authorization or supporting documentation.</x:v>
      </x:c>
      <x:c r="D119" s="30" t="str">
        <x:v>Medium</x:v>
      </x:c>
      <x:c r="E119" s="30" t="str">
        <x:v>Require supervisory approval for all cancelled transactions and maintain supporting records.</x:v>
      </x:c>
      <x:c r="F119" s="30" t="str">
        <x:v>Digital / E-Pharmacy</x:v>
      </x:c>
      <x:c r="G119" s="30" t="str">
        <x:v>CORE</x:v>
      </x:c>
      <x:c r="H119" s="30" t="str">
        <x:v>No</x:v>
      </x:c>
      <x:c r="I119" s="30" t="str">
        <x:v>P-2 QUARANTINED with AUD244; replacement observation attached to AUD559.</x:v>
      </x:c>
    </x:row>
    <x:row r="120">
      <x:c r="A120" s="30" t="str">
        <x:v>OBS119</x:v>
      </x:c>
      <x:c r="B120" s="30" t="str">
        <x:v>AUD246</x:v>
      </x:c>
      <x:c r="C120" s="30" t="str">
        <x:v>Daily sales reconciliation was incomplete, delayed or unexplained differences remained unresolved.</x:v>
      </x:c>
      <x:c r="D120" s="30" t="str">
        <x:v>Medium</x:v>
      </x:c>
      <x:c r="E120" s="30" t="str">
        <x:v>Perform daily reconciliation of cash, digital receipts and system sales with documented approvals.</x:v>
      </x:c>
      <x:c r="F120" s="30" t="str">
        <x:v>Digital / E-Pharmacy</x:v>
      </x:c>
      <x:c r="G120" s="30" t="str">
        <x:v>CORE</x:v>
      </x:c>
      <x:c r="H120" s="30" t="str">
        <x:v>No</x:v>
      </x:c>
      <x:c r="I120" s="30" t="str">
        <x:v>P-2 QUARANTINED with AUD246; replacement observation attached to AUD560.</x:v>
      </x:c>
    </x:row>
    <x:row r="121">
      <x:c r="A121" s="30" t="str">
        <x:v>OBS120</x:v>
      </x:c>
      <x:c r="B121" s="30" t="str">
        <x:v>AUD248</x:v>
      </x:c>
      <x:c r="C121" s="30" t="str">
        <x:v>Deliver pharmacy services in accordance with Good Pharmacy Practice principles. was not demonstrated or did not operate effectively for the sample tested.</x:v>
      </x:c>
      <x:c r="D121" s="30" t="str">
        <x:v>High</x:v>
      </x:c>
      <x:c r="E121" s="30" t="str">
        <x:v>Implement the requirement, assign ownership, correct affected records or transactions, and retain evidence of operating effectiveness: Deliver pharmacy services in accordance with Good Pharmacy Practice principles.</x:v>
      </x:c>
      <x:c r="F121" s="30" t="str">
        <x:v>CA021</x:v>
      </x:c>
      <x:c r="G121" s="30" t="str">
        <x:v>CORE</x:v>
      </x:c>
      <x:c r="H121" s="30" t="str">
        <x:v>Yes</x:v>
      </x:c>
      <x:c r="I121" s="30" t="str">
        <x:v>P-4 aligned to the normalized parent audit; legacy Observation ID preserved.</x:v>
      </x:c>
    </x:row>
    <x:row r="122">
      <x:c r="A122" s="30" t="str">
        <x:v>OBS121</x:v>
      </x:c>
      <x:c r="B122" s="30" t="str">
        <x:v>AUD250</x:v>
      </x:c>
      <x:c r="C122" s="30" t="str">
        <x:v>Provide appropriate counselling to patients regarding medicine use, dosage and precautions. was not demonstrated or did not operate effectively for the sample tested.</x:v>
      </x:c>
      <x:c r="D122" s="30" t="str">
        <x:v>High</x:v>
      </x:c>
      <x:c r="E122" s="30" t="str">
        <x:v>Implement the requirement, assign ownership, correct affected records or transactions, and retain evidence of operating effectiveness: Provide appropriate counselling to patients regarding medicine use, dosage and precautions.</x:v>
      </x:c>
      <x:c r="F122" s="30" t="str">
        <x:v>CA021</x:v>
      </x:c>
      <x:c r="G122" s="30" t="str">
        <x:v>CORE</x:v>
      </x:c>
      <x:c r="H122" s="30" t="str">
        <x:v>Yes</x:v>
      </x:c>
      <x:c r="I122" s="30" t="str">
        <x:v>P-4 aligned to the normalized parent audit; legacy Observation ID preserved.</x:v>
      </x:c>
    </x:row>
    <x:row r="123">
      <x:c r="A123" s="30" t="str">
        <x:v>OBS122</x:v>
      </x:c>
      <x:c r="B123" s="30" t="str">
        <x:v>AUD252</x:v>
      </x:c>
      <x:c r="C123" s="30" t="str">
        <x:v>Review each prescription for completeness, legality and appropriateness before dispensing. was not demonstrated or did not operate effectively for the sample tested.</x:v>
      </x:c>
      <x:c r="D123" s="30" t="str">
        <x:v>High</x:v>
      </x:c>
      <x:c r="E123" s="30" t="str">
        <x:v>Implement the requirement, assign ownership, correct affected records or transactions, and retain evidence of operating effectiveness: Review each prescription for completeness, legality and appropriateness before dispensing.</x:v>
      </x:c>
      <x:c r="F123" s="30" t="str">
        <x:v>CA021</x:v>
      </x:c>
      <x:c r="G123" s="30" t="str">
        <x:v>CORE</x:v>
      </x:c>
      <x:c r="H123" s="30" t="str">
        <x:v>Yes</x:v>
      </x:c>
      <x:c r="I123" s="30" t="str">
        <x:v>P-4 aligned to the normalized parent audit; legacy Observation ID preserved.</x:v>
      </x:c>
    </x:row>
    <x:row r="124">
      <x:c r="A124" s="30" t="str">
        <x:v>OBS123</x:v>
      </x:c>
      <x:c r="B124" s="30" t="str">
        <x:v>AUD254</x:v>
      </x:c>
      <x:c r="C124" s="30" t="str">
        <x:v>Procure medicines only from licensed and authorized suppliers. was not demonstrated or did not operate effectively for the sample tested.</x:v>
      </x:c>
      <x:c r="D124" s="30" t="str">
        <x:v>High</x:v>
      </x:c>
      <x:c r="E124" s="30" t="str">
        <x:v>Implement the requirement, assign ownership, correct affected records or transactions, and retain evidence of operating effectiveness: Procure medicines only from licensed and authorized suppliers.</x:v>
      </x:c>
      <x:c r="F124" s="30" t="str">
        <x:v>CA011</x:v>
      </x:c>
      <x:c r="G124" s="30" t="str">
        <x:v>CORE</x:v>
      </x:c>
      <x:c r="H124" s="30" t="str">
        <x:v>Yes</x:v>
      </x:c>
      <x:c r="I124" s="30" t="str">
        <x:v>P-4 aligned to the normalized parent audit; legacy Observation ID preserved.</x:v>
      </x:c>
    </x:row>
    <x:row r="125">
      <x:c r="A125" s="30" t="str">
        <x:v>OBS124</x:v>
      </x:c>
      <x:c r="B125" s="30" t="str">
        <x:v>AUD256</x:v>
      </x:c>
      <x:c r="C125" s="30" t="str">
        <x:v>Maintain suitable transportation and distribution conditions to preserve product quality. was not demonstrated or did not operate effectively for the sample tested.</x:v>
      </x:c>
      <x:c r="D125" s="30" t="str">
        <x:v>High</x:v>
      </x:c>
      <x:c r="E125" s="30" t="str">
        <x:v>Implement the requirement, assign ownership, correct affected records or transactions, and retain evidence of operating effectiveness: Maintain suitable transportation and distribution conditions to preserve product quality.</x:v>
      </x:c>
      <x:c r="F125" s="30" t="str">
        <x:v>CA012</x:v>
      </x:c>
      <x:c r="G125" s="30" t="str">
        <x:v>CORE</x:v>
      </x:c>
      <x:c r="H125" s="30" t="str">
        <x:v>Yes</x:v>
      </x:c>
      <x:c r="I125" s="30" t="str">
        <x:v>P-4 aligned to the normalized parent audit; legacy Observation ID preserved.</x:v>
      </x:c>
    </x:row>
    <x:row r="126">
      <x:c r="A126" s="30" t="str">
        <x:v>OBS125</x:v>
      </x:c>
      <x:c r="B126" s="30" t="str">
        <x:v>AUD258</x:v>
      </x:c>
      <x:c r="C126" s="30" t="str">
        <x:v>Maintain complete and traceable distribution records for all pharmaceutical products. was not demonstrated or did not operate effectively for the sample tested.</x:v>
      </x:c>
      <x:c r="D126" s="30" t="str">
        <x:v>High</x:v>
      </x:c>
      <x:c r="E126" s="30" t="str">
        <x:v>Implement the requirement, assign ownership, correct affected records or transactions, and retain evidence of operating effectiveness: Maintain complete and traceable distribution records for all pharmaceutical products.</x:v>
      </x:c>
      <x:c r="F126" s="30" t="str">
        <x:v>CA019</x:v>
      </x:c>
      <x:c r="G126" s="30" t="str">
        <x:v>CORE</x:v>
      </x:c>
      <x:c r="H126" s="30" t="str">
        <x:v>Yes</x:v>
      </x:c>
      <x:c r="I126" s="30" t="str">
        <x:v>P-4 aligned to the normalized parent audit; legacy Observation ID preserved.</x:v>
      </x:c>
    </x:row>
    <x:row r="127">
      <x:c r="A127" s="30" t="str">
        <x:v>OBS126</x:v>
      </x:c>
      <x:c r="B127" s="30" t="str">
        <x:v>AUD262</x:v>
      </x:c>
      <x:c r="C127" s="30" t="str">
        <x:v>Continuously monitor and record storage temperature for all temperature-sensitive medicines. was not demonstrated or did not operate effectively for the sample tested.</x:v>
      </x:c>
      <x:c r="D127" s="30" t="str">
        <x:v>High</x:v>
      </x:c>
      <x:c r="E127" s="30" t="str">
        <x:v>Implement the requirement, assign ownership, correct affected records or transactions, and retain evidence of operating effectiveness: Continuously monitor and record storage temperature for all temperature-sensitive medicines.</x:v>
      </x:c>
      <x:c r="F127" s="30" t="str">
        <x:v>CA007</x:v>
      </x:c>
      <x:c r="G127" s="30" t="str">
        <x:v>CORE</x:v>
      </x:c>
      <x:c r="H127" s="30" t="str">
        <x:v>Yes</x:v>
      </x:c>
      <x:c r="I127" s="30" t="str">
        <x:v>P-4 aligned to the normalized parent audit; legacy Observation ID preserved.</x:v>
      </x:c>
    </x:row>
    <x:row r="128">
      <x:c r="A128" s="30" t="str">
        <x:v>OBS127</x:v>
      </x:c>
      <x:c r="B128" s="30" t="str">
        <x:v>AUD264</x:v>
      </x:c>
      <x:c r="C128" s="30" t="str">
        <x:v>Monitor and maintain humidity within prescribed limits where applicable. was not demonstrated or did not operate effectively for the sample tested.</x:v>
      </x:c>
      <x:c r="D128" s="30" t="str">
        <x:v>High</x:v>
      </x:c>
      <x:c r="E128" s="30" t="str">
        <x:v>Implement the requirement, assign ownership, correct affected records or transactions, and retain evidence of operating effectiveness: Monitor and maintain humidity within prescribed limits where applicable.</x:v>
      </x:c>
      <x:c r="F128" s="30" t="str">
        <x:v>CA007</x:v>
      </x:c>
      <x:c r="G128" s="30" t="str">
        <x:v>CORE</x:v>
      </x:c>
      <x:c r="H128" s="30" t="str">
        <x:v>Yes</x:v>
      </x:c>
      <x:c r="I128" s="30" t="str">
        <x:v>P-4 aligned to the normalized parent audit; legacy Observation ID preserved.</x:v>
      </x:c>
    </x:row>
    <x:row r="129">
      <x:c r="A129" s="30" t="str">
        <x:v>OBS128</x:v>
      </x:c>
      <x:c r="B129" s="30" t="str">
        <x:v>AUD266</x:v>
      </x:c>
      <x:c r="C129" s="30" t="str">
        <x:v>Follow the FEFO (First Expiry First Out) inventory management system for stock issuance. was not demonstrated or did not operate effectively for the sample tested.</x:v>
      </x:c>
      <x:c r="D129" s="30" t="str">
        <x:v>High</x:v>
      </x:c>
      <x:c r="E129" s="30" t="str">
        <x:v>Implement the requirement, assign ownership, correct affected records or transactions, and retain evidence of operating effectiveness: Follow the FEFO (First Expiry First Out) inventory management system for stock issuance.</x:v>
      </x:c>
      <x:c r="F129" s="30" t="str">
        <x:v>CA012</x:v>
      </x:c>
      <x:c r="G129" s="30" t="str">
        <x:v>CORE</x:v>
      </x:c>
      <x:c r="H129" s="30" t="str">
        <x:v>Yes</x:v>
      </x:c>
      <x:c r="I129" s="30" t="str">
        <x:v>P-4 aligned to the normalized parent audit; legacy Observation ID preserved.</x:v>
      </x:c>
    </x:row>
    <x:row r="130">
      <x:c r="A130" s="30" t="str">
        <x:v>OBS129</x:v>
      </x:c>
      <x:c r="B130" s="30" t="str">
        <x:v>AUD268</x:v>
      </x:c>
      <x:c r="C130" s="30" t="str">
        <x:v>Segregate expired, damaged, recalled and rejected medicines from saleable inventory immediately. was not demonstrated or did not operate effectively for the sample tested.</x:v>
      </x:c>
      <x:c r="D130" s="30" t="str">
        <x:v>High</x:v>
      </x:c>
      <x:c r="E130" s="30" t="str">
        <x:v>Implement the requirement, assign ownership, correct affected records or transactions, and retain evidence of operating effectiveness: Segregate expired, damaged, recalled and rejected medicines from saleable inventory immediately.</x:v>
      </x:c>
      <x:c r="F130" s="30" t="str">
        <x:v>CA013</x:v>
      </x:c>
      <x:c r="G130" s="30" t="str">
        <x:v>CORE</x:v>
      </x:c>
      <x:c r="H130" s="30" t="str">
        <x:v>Yes</x:v>
      </x:c>
      <x:c r="I130" s="30" t="str">
        <x:v>P-4 aligned to the normalized parent audit; legacy Observation ID preserved.</x:v>
      </x:c>
    </x:row>
    <x:row r="131">
      <x:c r="A131" s="30" t="str">
        <x:v>OBS130</x:v>
      </x:c>
      <x:c r="B131" s="30" t="str">
        <x:v>AUD270</x:v>
      </x:c>
      <x:c r="C131" s="30" t="str">
        <x:v>Maintain storage areas in a clean, hygienic and pest-free condition. was not demonstrated or did not operate effectively for the sample tested.</x:v>
      </x:c>
      <x:c r="D131" s="30" t="str">
        <x:v>High</x:v>
      </x:c>
      <x:c r="E131" s="30" t="str">
        <x:v>Implement the requirement, assign ownership, correct affected records or transactions, and retain evidence of operating effectiveness: Maintain storage areas in a clean, hygienic and pest-free condition.</x:v>
      </x:c>
      <x:c r="F131" s="30" t="str">
        <x:v>CA007</x:v>
      </x:c>
      <x:c r="G131" s="30" t="str">
        <x:v>CORE</x:v>
      </x:c>
      <x:c r="H131" s="30" t="str">
        <x:v>Yes</x:v>
      </x:c>
      <x:c r="I131" s="30" t="str">
        <x:v>P-4 aligned to the normalized parent audit; legacy Observation ID preserved.</x:v>
      </x:c>
    </x:row>
    <x:row r="132">
      <x:c r="A132" s="30" t="str">
        <x:v>OBS131</x:v>
      </x:c>
      <x:c r="B132" s="30" t="str">
        <x:v>AUD272</x:v>
      </x:c>
      <x:c r="C132" s="30" t="str">
        <x:v>Initiate product recall immediately upon receipt of recall notice or identification of defective products. was not demonstrated or did not operate effectively for the sample tested.</x:v>
      </x:c>
      <x:c r="D132" s="30" t="str">
        <x:v>High</x:v>
      </x:c>
      <x:c r="E132" s="30" t="str">
        <x:v>Implement the requirement, assign ownership, correct affected records or transactions, and retain evidence of operating effectiveness: Initiate product recall immediately upon receipt of recall notice or identification of defective products.</x:v>
      </x:c>
      <x:c r="F132" s="30" t="str">
        <x:v>CA022</x:v>
      </x:c>
      <x:c r="G132" s="30" t="str">
        <x:v>CORE</x:v>
      </x:c>
      <x:c r="H132" s="30" t="str">
        <x:v>Yes</x:v>
      </x:c>
      <x:c r="I132" s="30" t="str">
        <x:v>P-4 aligned to the normalized parent audit; legacy Observation ID preserved.</x:v>
      </x:c>
    </x:row>
    <x:row r="133">
      <x:c r="A133" s="30" t="str">
        <x:v>OBS132</x:v>
      </x:c>
      <x:c r="B133" s="30" t="str">
        <x:v>AUD274</x:v>
      </x:c>
      <x:c r="C133" s="30" t="str">
        <x:v>Classify recalled products according to the applicable recall category and risk level. was not demonstrated or did not operate effectively for the sample tested.</x:v>
      </x:c>
      <x:c r="D133" s="30" t="str">
        <x:v>High</x:v>
      </x:c>
      <x:c r="E133" s="30" t="str">
        <x:v>Implement the requirement, assign ownership, correct affected records or transactions, and retain evidence of operating effectiveness: Classify recalled products according to the applicable recall category and risk level.</x:v>
      </x:c>
      <x:c r="F133" s="30" t="str">
        <x:v>CA022</x:v>
      </x:c>
      <x:c r="G133" s="30" t="str">
        <x:v>CORE</x:v>
      </x:c>
      <x:c r="H133" s="30" t="str">
        <x:v>Yes</x:v>
      </x:c>
      <x:c r="I133" s="30" t="str">
        <x:v>P-4 aligned to the normalized parent audit; legacy Observation ID preserved.</x:v>
      </x:c>
    </x:row>
    <x:row r="134">
      <x:c r="A134" s="30" t="str">
        <x:v>OBS133</x:v>
      </x:c>
      <x:c r="B134" s="30" t="str">
        <x:v>AUD276</x:v>
      </x:c>
      <x:c r="C134" s="30" t="str">
        <x:v>Notify customers, distributors and regulatory authorities as required during product recall. was not demonstrated or did not operate effectively for the sample tested.</x:v>
      </x:c>
      <x:c r="D134" s="30" t="str">
        <x:v>High</x:v>
      </x:c>
      <x:c r="E134" s="30" t="str">
        <x:v>Implement the requirement, assign ownership, correct affected records or transactions, and retain evidence of operating effectiveness: Notify customers, distributors and regulatory authorities as required during product recall.</x:v>
      </x:c>
      <x:c r="F134" s="30" t="str">
        <x:v>CA022</x:v>
      </x:c>
      <x:c r="G134" s="30" t="str">
        <x:v>CORE</x:v>
      </x:c>
      <x:c r="H134" s="30" t="str">
        <x:v>Yes</x:v>
      </x:c>
      <x:c r="I134" s="30" t="str">
        <x:v>P-4 aligned to the normalized parent audit; legacy Observation ID preserved.</x:v>
      </x:c>
    </x:row>
    <x:row r="135">
      <x:c r="A135" s="30" t="str">
        <x:v>OBS134</x:v>
      </x:c>
      <x:c r="B135" s="30" t="str">
        <x:v>AUD278</x:v>
      </x:c>
      <x:c r="C135" s="30" t="str">
        <x:v>Verify the effectiveness of product recall by reconciling quantities distributed and recovered. was not demonstrated or did not operate effectively for the sample tested.</x:v>
      </x:c>
      <x:c r="D135" s="30" t="str">
        <x:v>High</x:v>
      </x:c>
      <x:c r="E135" s="30" t="str">
        <x:v>Implement the requirement, assign ownership, correct affected records or transactions, and retain evidence of operating effectiveness: Verify the effectiveness of product recall by reconciling quantities distributed and recovered.</x:v>
      </x:c>
      <x:c r="F135" s="30" t="str">
        <x:v>CA022</x:v>
      </x:c>
      <x:c r="G135" s="30" t="str">
        <x:v>CORE</x:v>
      </x:c>
      <x:c r="H135" s="30" t="str">
        <x:v>Yes</x:v>
      </x:c>
      <x:c r="I135" s="30" t="str">
        <x:v>P-4 aligned to the normalized parent audit; legacy Observation ID preserved.</x:v>
      </x:c>
    </x:row>
    <x:row r="136">
      <x:c r="A136" s="30" t="str">
        <x:v>OBS135</x:v>
      </x:c>
      <x:c r="B136" s="30" t="str">
        <x:v>AUD280</x:v>
      </x:c>
      <x:c r="C136" s="30" t="str">
        <x:v>Maintain complete documentation supporting recall closure and regulatory reporting. was not demonstrated or did not operate effectively for the sample tested.</x:v>
      </x:c>
      <x:c r="D136" s="30" t="str">
        <x:v>High</x:v>
      </x:c>
      <x:c r="E136" s="30" t="str">
        <x:v>Implement the requirement, assign ownership, correct affected records or transactions, and retain evidence of operating effectiveness: Maintain complete documentation supporting recall closure and regulatory reporting.</x:v>
      </x:c>
      <x:c r="F136" s="30" t="str">
        <x:v>CA022</x:v>
      </x:c>
      <x:c r="G136" s="30" t="str">
        <x:v>CORE</x:v>
      </x:c>
      <x:c r="H136" s="30" t="str">
        <x:v>Yes</x:v>
      </x:c>
      <x:c r="I136" s="30" t="str">
        <x:v>P-4 aligned to the normalized parent audit; legacy Observation ID preserved.</x:v>
      </x:c>
    </x:row>
    <x:row r="137">
      <x:c r="A137" s="30" t="str">
        <x:v>OBS136</x:v>
      </x:c>
      <x:c r="B137" s="30" t="str">
        <x:v>AUD282</x:v>
      </x:c>
      <x:c r="C137" s="30" t="str">
        <x:v>Establish a documented process for receiving product complaints from customers. was not demonstrated or did not operate effectively for the sample tested.</x:v>
      </x:c>
      <x:c r="D137" s="30" t="str">
        <x:v>High</x:v>
      </x:c>
      <x:c r="E137" s="30" t="str">
        <x:v>Implement the requirement, assign ownership, correct affected records or transactions, and retain evidence of operating effectiveness: Establish a documented process for receiving product complaints from customers.</x:v>
      </x:c>
      <x:c r="F137" s="30" t="str">
        <x:v>CA023</x:v>
      </x:c>
      <x:c r="G137" s="30" t="str">
        <x:v>CORE</x:v>
      </x:c>
      <x:c r="H137" s="30" t="str">
        <x:v>Yes</x:v>
      </x:c>
      <x:c r="I137" s="30" t="str">
        <x:v>P-4 aligned to the normalized parent audit; legacy Observation ID preserved.</x:v>
      </x:c>
    </x:row>
    <x:row r="138">
      <x:c r="A138" s="30" t="str">
        <x:v>OBS137</x:v>
      </x:c>
      <x:c r="B138" s="30" t="str">
        <x:v>AUD284</x:v>
      </x:c>
      <x:c r="C138" s="30" t="str">
        <x:v>Investigate every product complaint and document findings appropriately. was not demonstrated or did not operate effectively for the sample tested.</x:v>
      </x:c>
      <x:c r="D138" s="30" t="str">
        <x:v>High</x:v>
      </x:c>
      <x:c r="E138" s="30" t="str">
        <x:v>Implement the requirement, assign ownership, correct affected records or transactions, and retain evidence of operating effectiveness: Investigate every product complaint and document findings appropriately.</x:v>
      </x:c>
      <x:c r="F138" s="30" t="str">
        <x:v>CA023</x:v>
      </x:c>
      <x:c r="G138" s="30" t="str">
        <x:v>CORE</x:v>
      </x:c>
      <x:c r="H138" s="30" t="str">
        <x:v>Yes</x:v>
      </x:c>
      <x:c r="I138" s="30" t="str">
        <x:v>P-4 aligned to the normalized parent audit; legacy Observation ID preserved.</x:v>
      </x:c>
    </x:row>
    <x:row r="139">
      <x:c r="A139" s="30" t="str">
        <x:v>OBS138</x:v>
      </x:c>
      <x:c r="B139" s="30" t="str">
        <x:v>AUD286</x:v>
      </x:c>
      <x:c r="C139" s="30" t="str">
        <x:v>Maintain a complaint register and supporting investigation records. was not demonstrated or did not operate effectively for the sample tested.</x:v>
      </x:c>
      <x:c r="D139" s="30" t="str">
        <x:v>High</x:v>
      </x:c>
      <x:c r="E139" s="30" t="str">
        <x:v>Implement the requirement, assign ownership, correct affected records or transactions, and retain evidence of operating effectiveness: Maintain a complaint register and supporting investigation records.</x:v>
      </x:c>
      <x:c r="F139" s="30" t="str">
        <x:v>CA023</x:v>
      </x:c>
      <x:c r="G139" s="30" t="str">
        <x:v>CORE</x:v>
      </x:c>
      <x:c r="H139" s="30" t="str">
        <x:v>Yes</x:v>
      </x:c>
      <x:c r="I139" s="30" t="str">
        <x:v>P-4 aligned to the normalized parent audit; legacy Observation ID preserved.</x:v>
      </x:c>
    </x:row>
    <x:row r="140">
      <x:c r="A140" s="30" t="str">
        <x:v>OBS139</x:v>
      </x:c>
      <x:c r="B140" s="30" t="str">
        <x:v>AUD288</x:v>
      </x:c>
      <x:c r="C140" s="30" t="str">
        <x:v>Close product complaints only after investigation, corrective action and documentation are completed. was not demonstrated or did not operate effectively for the sample tested.</x:v>
      </x:c>
      <x:c r="D140" s="30" t="str">
        <x:v>High</x:v>
      </x:c>
      <x:c r="E140" s="30" t="str">
        <x:v>Implement the requirement, assign ownership, correct affected records or transactions, and retain evidence of operating effectiveness: Close product complaints only after investigation, corrective action and documentation are completed.</x:v>
      </x:c>
      <x:c r="F140" s="30" t="str">
        <x:v>CA023</x:v>
      </x:c>
      <x:c r="G140" s="30" t="str">
        <x:v>CORE</x:v>
      </x:c>
      <x:c r="H140" s="30" t="str">
        <x:v>Yes</x:v>
      </x:c>
      <x:c r="I140" s="30" t="str">
        <x:v>P-4 aligned to the normalized parent audit; legacy Observation ID preserved.</x:v>
      </x:c>
    </x:row>
    <x:row r="141">
      <x:c r="A141" s="30" t="str">
        <x:v>OBS140</x:v>
      </x:c>
      <x:c r="B141" s="30" t="str">
        <x:v>AUD290</x:v>
      </x:c>
      <x:c r="C141" s="30" t="str">
        <x:v>Report suspected adverse drug reactions to the Pharmacovigilance Programme of India whenever required. was not demonstrated or did not operate effectively for the sample tested.</x:v>
      </x:c>
      <x:c r="D141" s="30" t="str">
        <x:v>High</x:v>
      </x:c>
      <x:c r="E141" s="30" t="str">
        <x:v>Implement the requirement, assign ownership, correct affected records or transactions, and retain evidence of operating effectiveness: Report suspected adverse drug reactions to the Pharmacovigilance Programme of India whenever required.</x:v>
      </x:c>
      <x:c r="F141" s="30" t="str">
        <x:v>CA024</x:v>
      </x:c>
      <x:c r="G141" s="30" t="str">
        <x:v>CORE</x:v>
      </x:c>
      <x:c r="H141" s="30" t="str">
        <x:v>Yes</x:v>
      </x:c>
      <x:c r="I141" s="30" t="str">
        <x:v>P-4 aligned to the normalized parent audit; legacy Observation ID preserved.</x:v>
      </x:c>
    </x:row>
    <x:row r="142">
      <x:c r="A142" s="30" t="str">
        <x:v>OBS141</x:v>
      </x:c>
      <x:c r="B142" s="30" t="str">
        <x:v>AUD292</x:v>
      </x:c>
      <x:c r="C142" s="30" t="str">
        <x:v>Maintain complete documentation for every reported adverse drug reaction. was not demonstrated or did not operate effectively for the sample tested.</x:v>
      </x:c>
      <x:c r="D142" s="30" t="str">
        <x:v>High</x:v>
      </x:c>
      <x:c r="E142" s="30" t="str">
        <x:v>Implement the requirement, assign ownership, correct affected records or transactions, and retain evidence of operating effectiveness: Maintain complete documentation for every reported adverse drug reaction.</x:v>
      </x:c>
      <x:c r="F142" s="30" t="str">
        <x:v>CA024</x:v>
      </x:c>
      <x:c r="G142" s="30" t="str">
        <x:v>CORE</x:v>
      </x:c>
      <x:c r="H142" s="30" t="str">
        <x:v>Yes</x:v>
      </x:c>
      <x:c r="I142" s="30" t="str">
        <x:v>P-4 aligned to the normalized parent audit; legacy Observation ID preserved.</x:v>
      </x:c>
    </x:row>
    <x:row r="143">
      <x:c r="A143" s="30" t="str">
        <x:v>OBS142</x:v>
      </x:c>
      <x:c r="B143" s="30" t="str">
        <x:v>AUD294</x:v>
      </x:c>
      <x:c r="C143" s="30" t="str">
        <x:v>Escalate serious adverse drug reactions to the appropriate authority without delay. was not demonstrated or did not operate effectively for the sample tested.</x:v>
      </x:c>
      <x:c r="D143" s="30" t="str">
        <x:v>High</x:v>
      </x:c>
      <x:c r="E143" s="30" t="str">
        <x:v>Implement the requirement, assign ownership, correct affected records or transactions, and retain evidence of operating effectiveness: Escalate serious adverse drug reactions to the appropriate authority without delay.</x:v>
      </x:c>
      <x:c r="F143" s="30" t="str">
        <x:v>CA024</x:v>
      </x:c>
      <x:c r="G143" s="30" t="str">
        <x:v>CORE</x:v>
      </x:c>
      <x:c r="H143" s="30" t="str">
        <x:v>Yes</x:v>
      </x:c>
      <x:c r="I143" s="30" t="str">
        <x:v>P-4 aligned to the normalized parent audit; legacy Observation ID preserved.</x:v>
      </x:c>
    </x:row>
    <x:row r="144">
      <x:c r="A144" s="30" t="str">
        <x:v>OBS143</x:v>
      </x:c>
      <x:c r="B144" s="30" t="str">
        <x:v>AUD296</x:v>
      </x:c>
      <x:c r="C144" s="30" t="str">
        <x:v>Maintain vaccines and biological products within the prescribed cold chain temperature range. was not demonstrated or did not operate effectively for the sample tested.</x:v>
      </x:c>
      <x:c r="D144" s="30" t="str">
        <x:v>High</x:v>
      </x:c>
      <x:c r="E144" s="30" t="str">
        <x:v>Implement the requirement, assign ownership, correct affected records or transactions, and retain evidence of operating effectiveness: Maintain vaccines and biological products within the prescribed cold chain temperature range.</x:v>
      </x:c>
      <x:c r="F144" s="30" t="str">
        <x:v>CA008</x:v>
      </x:c>
      <x:c r="G144" s="30" t="str">
        <x:v>CORE</x:v>
      </x:c>
      <x:c r="H144" s="30" t="str">
        <x:v>Yes</x:v>
      </x:c>
      <x:c r="I144" s="30" t="str">
        <x:v>P-4 aligned to the normalized parent audit; legacy Observation ID preserved.</x:v>
      </x:c>
    </x:row>
    <x:row r="145">
      <x:c r="A145" s="30" t="str">
        <x:v>OBS144</x:v>
      </x:c>
      <x:c r="B145" s="30" t="str">
        <x:v>AUD298</x:v>
      </x:c>
      <x:c r="C145" s="30" t="str">
        <x:v>Record refrigerator temperatures at the prescribed frequency and retain logs for inspection. was not demonstrated or did not operate effectively for the sample tested.</x:v>
      </x:c>
      <x:c r="D145" s="30" t="str">
        <x:v>High</x:v>
      </x:c>
      <x:c r="E145" s="30" t="str">
        <x:v>Implement the requirement, assign ownership, correct affected records or transactions, and retain evidence of operating effectiveness: Record refrigerator temperatures at the prescribed frequency and retain logs for inspection.</x:v>
      </x:c>
      <x:c r="F145" s="30" t="str">
        <x:v>CA008</x:v>
      </x:c>
      <x:c r="G145" s="30" t="str">
        <x:v>CORE</x:v>
      </x:c>
      <x:c r="H145" s="30" t="str">
        <x:v>Yes</x:v>
      </x:c>
      <x:c r="I145" s="30" t="str">
        <x:v>P-4 aligned to the normalized parent audit; legacy Observation ID preserved.</x:v>
      </x:c>
    </x:row>
    <x:row r="146">
      <x:c r="A146" s="30" t="str">
        <x:v>OBS145</x:v>
      </x:c>
      <x:c r="B146" s="30" t="str">
        <x:v>AUD300</x:v>
      </x:c>
      <x:c r="C146" s="30" t="str">
        <x:v>Validate and periodically qualify cold chain equipment before operational use. was not demonstrated or did not operate effectively for the sample tested.</x:v>
      </x:c>
      <x:c r="D146" s="30" t="str">
        <x:v>High</x:v>
      </x:c>
      <x:c r="E146" s="30" t="str">
        <x:v>Implement the requirement, assign ownership, correct affected records or transactions, and retain evidence of operating effectiveness: Validate and periodically qualify cold chain equipment before operational use.</x:v>
      </x:c>
      <x:c r="F146" s="30" t="str">
        <x:v>CA009</x:v>
      </x:c>
      <x:c r="G146" s="30" t="str">
        <x:v>CORE</x:v>
      </x:c>
      <x:c r="H146" s="30" t="str">
        <x:v>Yes</x:v>
      </x:c>
      <x:c r="I146" s="30" t="str">
        <x:v>P-4 aligned to the normalized parent audit; legacy Observation ID preserved.</x:v>
      </x:c>
    </x:row>
    <x:row r="147">
      <x:c r="A147" s="30" t="str">
        <x:v>OBS146</x:v>
      </x:c>
      <x:c r="B147" s="30" t="str">
        <x:v>AUD302</x:v>
      </x:c>
      <x:c r="C147" s="30" t="str">
        <x:v>Electronic recall or complaint management systems lacked adequate audit trail or access controls.</x:v>
      </x:c>
      <x:c r="D147" s="30" t="str">
        <x:v>High</x:v>
      </x:c>
      <x:c r="E147" s="30" t="str">
        <x:v>Enable audit trails and strengthen system access controls for recall and complaint management systems.</x:v>
      </x:c>
      <x:c r="F147" s="30" t="str">
        <x:v>Quality</x:v>
      </x:c>
      <x:c r="G147" s="30" t="str">
        <x:v>CORE</x:v>
      </x:c>
      <x:c r="H147" s="30" t="str">
        <x:v>No</x:v>
      </x:c>
      <x:c r="I147" s="30" t="str">
        <x:v>P-4 QUARANTINED with inactive parent audit; legacy ID retained.</x:v>
      </x:c>
    </x:row>
    <x:row r="148">
      <x:c r="A148" s="30" t="str">
        <x:v>OBS147</x:v>
      </x:c>
      <x:c r="B148" s="30" t="str">
        <x:v>AUD304</x:v>
      </x:c>
      <x:c r="C148" s="30" t="str">
        <x:v>Internal audits did not adequately evaluate recall and complaint management controls.</x:v>
      </x:c>
      <x:c r="D148" s="30" t="str">
        <x:v>Medium</x:v>
      </x:c>
      <x:c r="E148" s="30" t="str">
        <x:v>Expand audit coverage to include recall effectiveness, complaint management and pharmacovigilance controls.</x:v>
      </x:c>
      <x:c r="F148" s="30" t="str">
        <x:v>Quality</x:v>
      </x:c>
      <x:c r="G148" s="30" t="str">
        <x:v>CORE</x:v>
      </x:c>
      <x:c r="H148" s="30" t="str">
        <x:v>No</x:v>
      </x:c>
      <x:c r="I148" s="30" t="str">
        <x:v>P-4 QUARANTINED with inactive parent audit; legacy ID retained.</x:v>
      </x:c>
    </x:row>
    <x:row r="149">
      <x:c r="A149" s="30" t="str">
        <x:v>OBS148</x:v>
      </x:c>
      <x:c r="B149" s="30" t="str">
        <x:v>AUD306</x:v>
      </x:c>
      <x:c r="C149" s="30" t="str">
        <x:v>Regulatory inspection observations relating to recalls or complaints remained unresolved or inadequately documented.</x:v>
      </x:c>
      <x:c r="D149" s="30" t="str">
        <x:v>High</x:v>
      </x:c>
      <x:c r="E149" s="30" t="str">
        <x:v>Monitor and close all recall- and complaint-related regulatory observations within prescribed timelines.</x:v>
      </x:c>
      <x:c r="F149" s="30" t="str">
        <x:v>Regulatory Filing</x:v>
      </x:c>
      <x:c r="G149" s="30" t="str">
        <x:v>CORE</x:v>
      </x:c>
      <x:c r="H149" s="30" t="str">
        <x:v>No</x:v>
      </x:c>
      <x:c r="I149" s="30" t="str">
        <x:v>P-4 QUARANTINED with inactive parent audit; legacy ID retained.</x:v>
      </x:c>
    </x:row>
    <x:row r="150">
      <x:c r="A150" s="30" t="str">
        <x:v>OBS149</x:v>
      </x:c>
      <x:c r="B150" s="30" t="str">
        <x:v>AUD308</x:v>
      </x:c>
      <x:c r="C150" s="30" t="str">
        <x:v>Management review of recall performance and complaint trends was inadequate or undocumented.</x:v>
      </x:c>
      <x:c r="D150" s="30" t="str">
        <x:v>Medium</x:v>
      </x:c>
      <x:c r="E150" s="30" t="str">
        <x:v>Conduct periodic management reviews of recall performance indicators and complaint trends with documented action plans.</x:v>
      </x:c>
      <x:c r="F150" s="30" t="str">
        <x:v>Quality</x:v>
      </x:c>
      <x:c r="G150" s="30" t="str">
        <x:v>CORE</x:v>
      </x:c>
      <x:c r="H150" s="30" t="str">
        <x:v>No</x:v>
      </x:c>
      <x:c r="I150" s="30" t="str">
        <x:v>P-4 QUARANTINED with inactive parent audit; legacy ID retained.</x:v>
      </x:c>
    </x:row>
    <x:row r="151">
      <x:c r="A151" s="30" t="str">
        <x:v>OBS150</x:v>
      </x:c>
      <x:c r="B151" s="30" t="str">
        <x:v>AUD310</x:v>
      </x:c>
      <x:c r="C151" s="30" t="str">
        <x:v>Recall and complaint management processes demonstrated weaknesses in regulatory compliance, governance or operational controls.</x:v>
      </x:c>
      <x:c r="D151" s="30" t="str">
        <x:v>High</x:v>
      </x:c>
      <x:c r="E151" s="30" t="str">
        <x:v>Perform comprehensive reviews of recall and complaint management processes and strengthen enterprise compliance controls.</x:v>
      </x:c>
      <x:c r="F151" s="30" t="str">
        <x:v>Regulatory Filing</x:v>
      </x:c>
      <x:c r="G151" s="30" t="str">
        <x:v>CORE</x:v>
      </x:c>
      <x:c r="H151" s="30" t="str">
        <x:v>No</x:v>
      </x:c>
      <x:c r="I151" s="30" t="str">
        <x:v>P-4 QUARANTINED with inactive parent audit; legacy ID retained.</x:v>
      </x:c>
    </x:row>
    <x:row r="152">
      <x:c r="A152" s="30" t="str">
        <x:v>OBS151</x:v>
      </x:c>
      <x:c r="B152" s="30" t="str">
        <x:v>AUD314</x:v>
      </x:c>
      <x:c r="C152" s="30" t="str">
        <x:v>Biomedical waste was not segregated at the point of generation in accordance with prescribed colour coding and regulatory requirements.</x:v>
      </x:c>
      <x:c r="D152" s="30" t="str">
        <x:v>High</x:v>
      </x:c>
      <x:c r="E152" s="30" t="str">
        <x:v>Implement proper biomedical waste segregation procedures and monitor compliance daily.</x:v>
      </x:c>
      <x:c r="F152" s="30" t="str">
        <x:v>Storage</x:v>
      </x:c>
      <x:c r="G152" s="30" t="str">
        <x:v>CORE</x:v>
      </x:c>
      <x:c r="H152" s="30" t="str">
        <x:v>No</x:v>
      </x:c>
      <x:c r="I152" s="30" t="str">
        <x:v>P-4 QUARANTINED with inactive parent audit; legacy ID retained.</x:v>
      </x:c>
    </x:row>
    <x:row r="153">
      <x:c r="A153" s="30" t="str">
        <x:v>OBS152</x:v>
      </x:c>
      <x:c r="B153" s="30" t="str">
        <x:v>AUD316</x:v>
      </x:c>
      <x:c r="C153" s="30" t="str">
        <x:v>Expired medicines were disposed of through unauthorized methods or disposal records were incomplete.</x:v>
      </x:c>
      <x:c r="D153" s="30" t="str">
        <x:v>Critical</x:v>
      </x:c>
      <x:c r="E153" s="30" t="str">
        <x:v>Dispose of expired medicines only through authorized agencies and maintain complete disposal documentation.</x:v>
      </x:c>
      <x:c r="F153" s="30" t="str">
        <x:v>Storage</x:v>
      </x:c>
      <x:c r="G153" s="30" t="str">
        <x:v>CORE</x:v>
      </x:c>
      <x:c r="H153" s="30" t="str">
        <x:v>No</x:v>
      </x:c>
      <x:c r="I153" s="30" t="str">
        <x:v>P-4 QUARANTINED with inactive parent audit; legacy ID retained.</x:v>
      </x:c>
    </x:row>
    <x:row r="154">
      <x:c r="A154" s="30" t="str">
        <x:v>OBS153</x:v>
      </x:c>
      <x:c r="B154" s="30" t="str">
        <x:v>AUD318</x:v>
      </x:c>
      <x:c r="C154" s="30" t="str">
        <x:v>Hazardous pharmaceutical waste was not identified or segregated separately from general waste.</x:v>
      </x:c>
      <x:c r="D154" s="30" t="str">
        <x:v>High</x:v>
      </x:c>
      <x:c r="E154" s="30" t="str">
        <x:v>Segregate hazardous pharmaceutical waste using approved procedures and clearly identified containers.</x:v>
      </x:c>
      <x:c r="F154" s="30" t="str">
        <x:v>Digital / E-Pharmacy</x:v>
      </x:c>
      <x:c r="G154" s="30" t="str">
        <x:v>CORE</x:v>
      </x:c>
      <x:c r="H154" s="30" t="str">
        <x:v>No</x:v>
      </x:c>
      <x:c r="I154" s="30" t="str">
        <x:v>P-4 QUARANTINED with inactive parent audit; legacy ID retained.</x:v>
      </x:c>
    </x:row>
    <x:row r="155">
      <x:c r="A155" s="30" t="str">
        <x:v>OBS154</x:v>
      </x:c>
      <x:c r="B155" s="30" t="str">
        <x:v>AUD320</x:v>
      </x:c>
      <x:c r="C155" s="30" t="str">
        <x:v>Biomedical waste was handed over to unauthorized agencies or authorization records were unavailable.</x:v>
      </x:c>
      <x:c r="D155" s="30" t="str">
        <x:v>Critical</x:v>
      </x:c>
      <x:c r="E155" s="30" t="str">
        <x:v>Engage only authorized biomedical waste disposal agencies and periodically verify authorization validity.</x:v>
      </x:c>
      <x:c r="F155" s="30" t="str">
        <x:v>Documentation</x:v>
      </x:c>
      <x:c r="G155" s="30" t="str">
        <x:v>CORE</x:v>
      </x:c>
      <x:c r="H155" s="30" t="str">
        <x:v>No</x:v>
      </x:c>
      <x:c r="I155" s="30" t="str">
        <x:v>P-4 QUARANTINED with inactive parent audit; legacy ID retained.</x:v>
      </x:c>
    </x:row>
    <x:row r="156">
      <x:c r="A156" s="30" t="str">
        <x:v>OBS155</x:v>
      </x:c>
      <x:c r="B156" s="30" t="str">
        <x:v>AUD322</x:v>
      </x:c>
      <x:c r="C156" s="30" t="str">
        <x:v>Biomedical waste collection and disposal records were incomplete or quantities could not be reconciled.</x:v>
      </x:c>
      <x:c r="D156" s="30" t="str">
        <x:v>Medium</x:v>
      </x:c>
      <x:c r="E156" s="30" t="str">
        <x:v>Maintain complete waste collection records and periodically reconcile generated and disposed quantities.</x:v>
      </x:c>
      <x:c r="F156" s="30" t="str">
        <x:v>Documentation</x:v>
      </x:c>
      <x:c r="G156" s="30" t="str">
        <x:v>CORE</x:v>
      </x:c>
      <x:c r="H156" s="30" t="str">
        <x:v>No</x:v>
      </x:c>
      <x:c r="I156" s="30" t="str">
        <x:v>P-4 QUARANTINED with inactive parent audit; legacy ID retained.</x:v>
      </x:c>
    </x:row>
    <x:row r="157">
      <x:c r="A157" s="30" t="str">
        <x:v>OBS156</x:v>
      </x:c>
      <x:c r="B157" s="30" t="str">
        <x:v>AUD324</x:v>
      </x:c>
      <x:c r="C157" s="30" t="str">
        <x:v>Waste storage areas were inadequately secured, poorly maintained or lacked appropriate identification.</x:v>
      </x:c>
      <x:c r="D157" s="30" t="str">
        <x:v>Medium</x:v>
      </x:c>
      <x:c r="E157" s="30" t="str">
        <x:v>Maintain secure, clearly identified and hygienic waste storage areas.</x:v>
      </x:c>
      <x:c r="F157" s="30" t="str">
        <x:v>Digital / E-Pharmacy</x:v>
      </x:c>
      <x:c r="G157" s="30" t="str">
        <x:v>CORE</x:v>
      </x:c>
      <x:c r="H157" s="30" t="str">
        <x:v>No</x:v>
      </x:c>
      <x:c r="I157" s="30" t="str">
        <x:v>P-4 QUARANTINED with inactive parent audit; legacy ID retained.</x:v>
      </x:c>
    </x:row>
    <x:row r="158">
      <x:c r="A158" s="30" t="str">
        <x:v>OBS157</x:v>
      </x:c>
      <x:c r="B158" s="30" t="str">
        <x:v>AUD326</x:v>
      </x:c>
      <x:c r="C158" s="30" t="str">
        <x:v>Pharmaceutical waste containers were improperly labelled, damaged or unsuitable for intended use.</x:v>
      </x:c>
      <x:c r="D158" s="30" t="str">
        <x:v>Medium</x:v>
      </x:c>
      <x:c r="E158" s="30" t="str">
        <x:v>Use approved, properly labelled waste containers and inspect them periodically.</x:v>
      </x:c>
      <x:c r="F158" s="30" t="str">
        <x:v>Digital / E-Pharmacy</x:v>
      </x:c>
      <x:c r="G158" s="30" t="str">
        <x:v>CORE</x:v>
      </x:c>
      <x:c r="H158" s="30" t="str">
        <x:v>No</x:v>
      </x:c>
      <x:c r="I158" s="30" t="str">
        <x:v>P-4 QUARANTINED with inactive parent audit; legacy ID retained.</x:v>
      </x:c>
    </x:row>
    <x:row r="159">
      <x:c r="A159" s="30" t="str">
        <x:v>OBS158</x:v>
      </x:c>
      <x:c r="B159" s="30" t="str">
        <x:v>AUD328</x:v>
      </x:c>
      <x:c r="C159" s="30" t="str">
        <x:v>Controlled drugs were destroyed without following prescribed statutory procedures or approvals.</x:v>
      </x:c>
      <x:c r="D159" s="30" t="str">
        <x:v>Critical</x:v>
      </x:c>
      <x:c r="E159" s="30" t="str">
        <x:v>Destroy controlled drugs only under approved procedures with complete supporting documentation.</x:v>
      </x:c>
      <x:c r="F159" s="30" t="str">
        <x:v>Controlled Drugs</x:v>
      </x:c>
      <x:c r="G159" s="30" t="str">
        <x:v>CORE</x:v>
      </x:c>
      <x:c r="H159" s="30" t="str">
        <x:v>No</x:v>
      </x:c>
      <x:c r="I159" s="30" t="str">
        <x:v>P-4 QUARANTINED with inactive parent audit; legacy ID retained.</x:v>
      </x:c>
    </x:row>
    <x:row r="160">
      <x:c r="A160" s="30" t="str">
        <x:v>OBS159</x:v>
      </x:c>
      <x:c r="B160" s="30" t="str">
        <x:v>AUD330</x:v>
      </x:c>
      <x:c r="C160" s="30" t="str">
        <x:v>Personnel handling pharmaceutical waste were inadequately trained or training records were unavailable.</x:v>
      </x:c>
      <x:c r="D160" s="30" t="str">
        <x:v>Medium</x:v>
      </x:c>
      <x:c r="E160" s="30" t="str">
        <x:v>Provide periodic waste management training and maintain competency records.</x:v>
      </x:c>
      <x:c r="F160" s="30" t="str">
        <x:v>Personnel</x:v>
      </x:c>
      <x:c r="G160" s="30" t="str">
        <x:v>CORE</x:v>
      </x:c>
      <x:c r="H160" s="30" t="str">
        <x:v>No</x:v>
      </x:c>
      <x:c r="I160" s="30" t="str">
        <x:v>P-4 QUARANTINED with inactive parent audit; legacy ID retained.</x:v>
      </x:c>
    </x:row>
    <x:row r="161">
      <x:c r="A161" s="30" t="str">
        <x:v>OBS160</x:v>
      </x:c>
      <x:c r="B161" s="30" t="str">
        <x:v>AUD332</x:v>
      </x:c>
      <x:c r="C161" s="30" t="str">
        <x:v>Spill management procedures were unavailable, ineffective or not followed during spill incidents.</x:v>
      </x:c>
      <x:c r="D161" s="30" t="str">
        <x:v>High</x:v>
      </x:c>
      <x:c r="E161" s="30" t="str">
        <x:v>Establish spill response procedures, maintain spill kits and conduct periodic drills.</x:v>
      </x:c>
      <x:c r="F161" s="30" t="str">
        <x:v>Other</x:v>
      </x:c>
      <x:c r="G161" s="30" t="str">
        <x:v>CORE</x:v>
      </x:c>
      <x:c r="H161" s="30" t="str">
        <x:v>No</x:v>
      </x:c>
      <x:c r="I161" s="30" t="str">
        <x:v>P-4 QUARANTINED with inactive parent audit; legacy ID retained.</x:v>
      </x:c>
    </x:row>
    <x:row r="162">
      <x:c r="A162" s="30" t="str">
        <x:v>OBS161</x:v>
      </x:c>
      <x:c r="B162" s="30" t="str">
        <x:v>AUD334</x:v>
      </x:c>
      <x:c r="C162" s="30" t="str">
        <x:v>Waste disposal incidents were not documented, investigated or corrective actions were ineffective.</x:v>
      </x:c>
      <x:c r="D162" s="30" t="str">
        <x:v>Medium</x:v>
      </x:c>
      <x:c r="E162" s="30" t="str">
        <x:v>Record all waste incidents, perform root cause analysis and implement documented CAPA.</x:v>
      </x:c>
      <x:c r="F162" s="30" t="str">
        <x:v>Quality</x:v>
      </x:c>
      <x:c r="G162" s="30" t="str">
        <x:v>CORE</x:v>
      </x:c>
      <x:c r="H162" s="30" t="str">
        <x:v>No</x:v>
      </x:c>
      <x:c r="I162" s="30" t="str">
        <x:v>P-4 QUARANTINED with inactive parent audit; legacy ID retained.</x:v>
      </x:c>
    </x:row>
    <x:row r="163">
      <x:c r="A163" s="30" t="str">
        <x:v>OBS162</x:v>
      </x:c>
      <x:c r="B163" s="30" t="str">
        <x:v>AUD336</x:v>
      </x:c>
      <x:c r="C163" s="30" t="str">
        <x:v>Deliver pharmacy services in accordance with Pharmacy Practice Regulations. was not demonstrated or did not operate effectively for the sample tested.</x:v>
      </x:c>
      <x:c r="D163" s="30" t="str">
        <x:v>High</x:v>
      </x:c>
      <x:c r="E163" s="30" t="str">
        <x:v>Implement the requirement, assign ownership, correct affected records or transactions, and retain evidence of operating effectiveness: Deliver pharmacy services in accordance with Pharmacy Practice Regulations.</x:v>
      </x:c>
      <x:c r="F163" s="30" t="str">
        <x:v>CA021</x:v>
      </x:c>
      <x:c r="G163" s="30" t="str">
        <x:v>CORE</x:v>
      </x:c>
      <x:c r="H163" s="30" t="str">
        <x:v>Yes</x:v>
      </x:c>
      <x:c r="I163" s="30" t="str">
        <x:v>P-4 aligned to the normalized parent audit; legacy Observation ID preserved.</x:v>
      </x:c>
    </x:row>
    <x:row r="164">
      <x:c r="A164" s="30" t="str">
        <x:v>OBS163</x:v>
      </x:c>
      <x:c r="B164" s="30" t="str">
        <x:v>AUD338</x:v>
      </x:c>
      <x:c r="C164" s="30" t="str">
        <x:v>Review prescriptions for legality, completeness and clinical appropriateness before dispensing medicines. was not demonstrated or did not operate effectively for the sample tested.</x:v>
      </x:c>
      <x:c r="D164" s="30" t="str">
        <x:v>High</x:v>
      </x:c>
      <x:c r="E164" s="30" t="str">
        <x:v>Implement the requirement, assign ownership, correct affected records or transactions, and retain evidence of operating effectiveness: Review prescriptions for legality, completeness and clinical appropriateness before dispensing medicines.</x:v>
      </x:c>
      <x:c r="F164" s="30" t="str">
        <x:v>CA015</x:v>
      </x:c>
      <x:c r="G164" s="30" t="str">
        <x:v>CORE</x:v>
      </x:c>
      <x:c r="H164" s="30" t="str">
        <x:v>Yes</x:v>
      </x:c>
      <x:c r="I164" s="30" t="str">
        <x:v>P-4 aligned to the normalized parent audit; legacy Observation ID preserved.</x:v>
      </x:c>
    </x:row>
    <x:row r="165">
      <x:c r="A165" s="30" t="str">
        <x:v>OBS164</x:v>
      </x:c>
      <x:c r="B165" s="30" t="str">
        <x:v>AUD340</x:v>
      </x:c>
      <x:c r="C165" s="30" t="str">
        <x:v>Provide appropriate patient counselling regarding dosage, storage, administration and precautions. was not demonstrated or did not operate effectively for the sample tested.</x:v>
      </x:c>
      <x:c r="D165" s="30" t="str">
        <x:v>High</x:v>
      </x:c>
      <x:c r="E165" s="30" t="str">
        <x:v>Implement the requirement, assign ownership, correct affected records or transactions, and retain evidence of operating effectiveness: Provide appropriate patient counselling regarding dosage, storage, administration and precautions.</x:v>
      </x:c>
      <x:c r="F165" s="30" t="str">
        <x:v>CA021</x:v>
      </x:c>
      <x:c r="G165" s="30" t="str">
        <x:v>CORE</x:v>
      </x:c>
      <x:c r="H165" s="30" t="str">
        <x:v>Yes</x:v>
      </x:c>
      <x:c r="I165" s="30" t="str">
        <x:v>P-4 aligned to the normalized parent audit; legacy Observation ID preserved.</x:v>
      </x:c>
    </x:row>
    <x:row r="166">
      <x:c r="A166" s="30" t="str">
        <x:v>OBS165</x:v>
      </x:c>
      <x:c r="B166" s="30" t="str">
        <x:v>AUD342</x:v>
      </x:c>
      <x:c r="C166" s="30" t="str">
        <x:v>Maintain confidentiality of patient records and prescription information. was not demonstrated or did not operate effectively for the sample tested.</x:v>
      </x:c>
      <x:c r="D166" s="30" t="str">
        <x:v>High</x:v>
      </x:c>
      <x:c r="E166" s="30" t="str">
        <x:v>Implement the requirement, assign ownership, correct affected records or transactions, and retain evidence of operating effectiveness: Maintain confidentiality of patient records and prescription information.</x:v>
      </x:c>
      <x:c r="F166" s="30" t="str">
        <x:v>CA071</x:v>
      </x:c>
      <x:c r="G166" s="30" t="str">
        <x:v>CORE</x:v>
      </x:c>
      <x:c r="H166" s="30" t="str">
        <x:v>Yes</x:v>
      </x:c>
      <x:c r="I166" s="30" t="str">
        <x:v>P-4 aligned to the normalized parent audit; legacy Observation ID preserved.</x:v>
      </x:c>
    </x:row>
    <x:row r="167">
      <x:c r="A167" s="30" t="str">
        <x:v>OBS166</x:v>
      </x:c>
      <x:c r="B167" s="30" t="str">
        <x:v>AUD344</x:v>
      </x:c>
      <x:c r="C167" s="30" t="str">
        <x:v>Participate in professional development programmes to maintain competency. was not demonstrated or did not operate effectively for the sample tested.</x:v>
      </x:c>
      <x:c r="D167" s="30" t="str">
        <x:v>High</x:v>
      </x:c>
      <x:c r="E167" s="30" t="str">
        <x:v>Implement the requirement, assign ownership, correct affected records or transactions, and retain evidence of operating effectiveness: Participate in professional development programmes to maintain competency.</x:v>
      </x:c>
      <x:c r="F167" s="30" t="str">
        <x:v>CA049</x:v>
      </x:c>
      <x:c r="G167" s="30" t="str">
        <x:v>CORE</x:v>
      </x:c>
      <x:c r="H167" s="30" t="str">
        <x:v>Yes</x:v>
      </x:c>
      <x:c r="I167" s="30" t="str">
        <x:v>P-4 aligned to the normalized parent audit; legacy Observation ID preserved.</x:v>
      </x:c>
    </x:row>
    <x:row r="168">
      <x:c r="A168" s="30" t="str">
        <x:v>OBS167</x:v>
      </x:c>
      <x:c r="B168" s="30" t="str">
        <x:v>AUD346</x:v>
      </x:c>
      <x:c r="C168" s="30" t="str">
        <x:v>Obtain clinical-establishment registration before operation where the establishment role and jurisdiction trigger apply. was not demonstrated or did not operate effectively for the sample tested.</x:v>
      </x:c>
      <x:c r="D168" s="30" t="str">
        <x:v>High</x:v>
      </x:c>
      <x:c r="E168" s="30" t="str">
        <x:v>Implement the requirement, assign ownership, correct affected records or transactions, and retain evidence of operating effectiveness: Obtain clinical-establishment registration before operation where the establishment role and jurisdiction trigger apply.</x:v>
      </x:c>
      <x:c r="F168" s="30" t="str">
        <x:v>CA056</x:v>
      </x:c>
      <x:c r="G168" s="30" t="str">
        <x:v>CORE</x:v>
      </x:c>
      <x:c r="H168" s="30" t="str">
        <x:v>Yes</x:v>
      </x:c>
      <x:c r="I168" s="30" t="str">
        <x:v>P-4 aligned to the normalized parent audit; legacy Observation ID preserved.</x:v>
      </x:c>
    </x:row>
    <x:row r="169">
      <x:c r="A169" s="30" t="str">
        <x:v>OBS168</x:v>
      </x:c>
      <x:c r="B169" s="30" t="str">
        <x:v>AUD348</x:v>
      </x:c>
      <x:c r="C169" s="30" t="str">
        <x:v>Where the clinical-establishment overlay applies, maintain prescribed minimum standards, personnel, records/reporting and emergency-stabilization arrangements. was not demonstrated or did not operate effectively for the sample tested.</x:v>
      </x:c>
      <x:c r="D169" s="30" t="str">
        <x:v>High</x:v>
      </x:c>
      <x:c r="E169" s="30" t="str">
        <x:v>Implement the requirement, assign ownership, correct affected records or transactions, and retain evidence of operating effectiveness: Where the clinical-establishment overlay applies, maintain prescribed minimum standards, personnel, records/reporting and emergency-stabilization arrangements.</x:v>
      </x:c>
      <x:c r="F169" s="30" t="str">
        <x:v>CA056</x:v>
      </x:c>
      <x:c r="G169" s="30" t="str">
        <x:v>CORE</x:v>
      </x:c>
      <x:c r="H169" s="30" t="str">
        <x:v>Yes</x:v>
      </x:c>
      <x:c r="I169" s="30" t="str">
        <x:v>P-4 aligned to the normalized parent audit; legacy Observation ID preserved.</x:v>
      </x:c>
    </x:row>
    <x:row r="170">
      <x:c r="A170" s="30" t="str">
        <x:v>OBS169</x:v>
      </x:c>
      <x:c r="B170" s="30" t="str">
        <x:v>AUD350</x:v>
      </x:c>
      <x:c r="C170" s="30" t="str">
        <x:v>Display the registration certificate and complete applicable renewal/continuation requirements for the clinical establishment. was not demonstrated or did not operate effectively for the sample tested.</x:v>
      </x:c>
      <x:c r="D170" s="30" t="str">
        <x:v>High</x:v>
      </x:c>
      <x:c r="E170" s="30" t="str">
        <x:v>Implement the requirement, assign ownership, correct affected records or transactions, and retain evidence of operating effectiveness: Display the registration certificate and complete applicable renewal/continuation requirements for the clinical establishment.</x:v>
      </x:c>
      <x:c r="F170" s="30" t="str">
        <x:v>CA020</x:v>
      </x:c>
      <x:c r="G170" s="30" t="str">
        <x:v>CORE</x:v>
      </x:c>
      <x:c r="H170" s="30" t="str">
        <x:v>Yes</x:v>
      </x:c>
      <x:c r="I170" s="30" t="str">
        <x:v>P-4 aligned to the normalized parent audit; legacy Observation ID preserved.</x:v>
      </x:c>
    </x:row>
    <x:row r="171">
      <x:c r="A171" s="30" t="str">
        <x:v>OBS170</x:v>
      </x:c>
      <x:c r="B171" s="30" t="str">
        <x:v>AUD352</x:v>
      </x:c>
      <x:c r="C171" s="30" t="str">
        <x:v>Emergency preparedness for waste-related incidents was inadequate or emergency procedures were not periodically tested.</x:v>
      </x:c>
      <x:c r="D171" s="30" t="str">
        <x:v>High</x:v>
      </x:c>
      <x:c r="E171" s="30" t="str">
        <x:v>Conduct periodic emergency drills and maintain emergency response readiness.</x:v>
      </x:c>
      <x:c r="F171" s="30" t="str">
        <x:v>Other</x:v>
      </x:c>
      <x:c r="G171" s="30" t="str">
        <x:v>CORE</x:v>
      </x:c>
      <x:c r="H171" s="30" t="str">
        <x:v>No</x:v>
      </x:c>
      <x:c r="I171" s="30" t="str">
        <x:v>P-4 QUARANTINED with inactive parent audit; legacy ID retained.</x:v>
      </x:c>
    </x:row>
    <x:row r="172">
      <x:c r="A172" s="30" t="str">
        <x:v>OBS171</x:v>
      </x:c>
      <x:c r="B172" s="30" t="str">
        <x:v>AUD354</x:v>
      </x:c>
      <x:c r="C172" s="30" t="str">
        <x:v>Management review of pharmaceutical waste management performance was not conducted or inadequately documented.</x:v>
      </x:c>
      <x:c r="D172" s="30" t="str">
        <x:v>Medium</x:v>
      </x:c>
      <x:c r="E172" s="30" t="str">
        <x:v>Periodically review waste management KPIs and document management decisions.</x:v>
      </x:c>
      <x:c r="F172" s="30" t="str">
        <x:v>Documentation</x:v>
      </x:c>
      <x:c r="G172" s="30" t="str">
        <x:v>CORE</x:v>
      </x:c>
      <x:c r="H172" s="30" t="str">
        <x:v>No</x:v>
      </x:c>
      <x:c r="I172" s="30" t="str">
        <x:v>P-4 QUARANTINED with inactive parent audit; legacy ID retained.</x:v>
      </x:c>
    </x:row>
    <x:row r="173">
      <x:c r="A173" s="30" t="str">
        <x:v>OBS172</x:v>
      </x:c>
      <x:c r="B173" s="30" t="str">
        <x:v>AUD356</x:v>
      </x:c>
      <x:c r="C173" s="30" t="str">
        <x:v>Electronic waste management records lacked adequate audit trail or system access controls.</x:v>
      </x:c>
      <x:c r="D173" s="30" t="str">
        <x:v>Medium</x:v>
      </x:c>
      <x:c r="E173" s="30" t="str">
        <x:v>Strengthen electronic record controls and periodically review audit trails.</x:v>
      </x:c>
      <x:c r="F173" s="30" t="str">
        <x:v>Documentation</x:v>
      </x:c>
      <x:c r="G173" s="30" t="str">
        <x:v>CORE</x:v>
      </x:c>
      <x:c r="H173" s="30" t="str">
        <x:v>No</x:v>
      </x:c>
      <x:c r="I173" s="30" t="str">
        <x:v>P-4 QUARANTINED with inactive parent audit; legacy ID retained.</x:v>
      </x:c>
    </x:row>
    <x:row r="174">
      <x:c r="A174" s="30" t="str">
        <x:v>OBS173</x:v>
      </x:c>
      <x:c r="B174" s="30" t="str">
        <x:v>AUD358</x:v>
      </x:c>
      <x:c r="C174" s="30" t="str">
        <x:v>Internal audits did not adequately evaluate pharmaceutical waste management controls.</x:v>
      </x:c>
      <x:c r="D174" s="30" t="str">
        <x:v>Medium</x:v>
      </x:c>
      <x:c r="E174" s="30" t="str">
        <x:v>Expand audit scope to include waste management compliance and verify CAPA effectiveness.</x:v>
      </x:c>
      <x:c r="F174" s="30" t="str">
        <x:v>Quality</x:v>
      </x:c>
      <x:c r="G174" s="30" t="str">
        <x:v>CORE</x:v>
      </x:c>
      <x:c r="H174" s="30" t="str">
        <x:v>No</x:v>
      </x:c>
      <x:c r="I174" s="30" t="str">
        <x:v>P-4 QUARANTINED with inactive parent audit; legacy ID retained.</x:v>
      </x:c>
    </x:row>
    <x:row r="175">
      <x:c r="A175" s="30" t="str">
        <x:v>OBS174</x:v>
      </x:c>
      <x:c r="B175" s="30" t="str">
        <x:v>AUD360</x:v>
      </x:c>
      <x:c r="C175" s="30" t="str">
        <x:v>Regulatory observations relating to pharmaceutical waste management remained unresolved beyond prescribed timelines.</x:v>
      </x:c>
      <x:c r="D175" s="30" t="str">
        <x:v>High</x:v>
      </x:c>
      <x:c r="E175" s="30" t="str">
        <x:v>Implement a structured regulatory observation tracking and closure process.</x:v>
      </x:c>
      <x:c r="F175" s="30" t="str">
        <x:v>Regulatory Filing</x:v>
      </x:c>
      <x:c r="G175" s="30" t="str">
        <x:v>CORE</x:v>
      </x:c>
      <x:c r="H175" s="30" t="str">
        <x:v>No</x:v>
      </x:c>
      <x:c r="I175" s="30" t="str">
        <x:v>P-4 QUARANTINED with inactive parent audit; legacy ID retained.</x:v>
      </x:c>
    </x:row>
    <x:row r="176">
      <x:c r="A176" s="30" t="str">
        <x:v>OBS175</x:v>
      </x:c>
      <x:c r="B176" s="30" t="str">
        <x:v>AUD362</x:v>
      </x:c>
      <x:c r="C176" s="30" t="str">
        <x:v>Pharmaceutical waste management processes demonstrated weaknesses in regulatory compliance, governance or operational controls.</x:v>
      </x:c>
      <x:c r="D176" s="30" t="str">
        <x:v>High</x:v>
      </x:c>
      <x:c r="E176" s="30" t="str">
        <x:v>Conduct comprehensive reviews of pharmaceutical waste management and strengthen governance, monitoring and internal controls.</x:v>
      </x:c>
      <x:c r="F176" s="30" t="str">
        <x:v>Regulatory Filing</x:v>
      </x:c>
      <x:c r="G176" s="30" t="str">
        <x:v>CORE</x:v>
      </x:c>
      <x:c r="H176" s="30" t="str">
        <x:v>No</x:v>
      </x:c>
      <x:c r="I176" s="30" t="str">
        <x:v>P-4 QUARANTINED with inactive parent audit; legacy ID retained.</x:v>
      </x:c>
    </x:row>
    <x:row r="177">
      <x:c r="A177" s="30" t="str">
        <x:v>OBS176</x:v>
      </x:c>
      <x:c r="B177" s="30" t="str">
        <x:v>AUD366</x:v>
      </x:c>
      <x:c r="C177" s="30" t="str">
        <x:v>Personnel performing regulated pharmacy activities did not possess the prescribed qualifications or supporting records were unavailable.</x:v>
      </x:c>
      <x:c r="D177" s="30" t="str">
        <x:v>Critical</x:v>
      </x:c>
      <x:c r="E177" s="30" t="str">
        <x:v>Ensure only appropriately qualified personnel perform regulated activities and maintain complete qualification records.</x:v>
      </x:c>
      <x:c r="F177" s="30" t="str">
        <x:v>Digital / E-Pharmacy</x:v>
      </x:c>
      <x:c r="G177" s="30" t="str">
        <x:v>CORE</x:v>
      </x:c>
      <x:c r="H177" s="30" t="str">
        <x:v>No</x:v>
      </x:c>
      <x:c r="I177" s="30" t="str">
        <x:v>P-3 QUARANTINED: Generic State/local/permit/reference rows, penalty-only/fabricated DAMR extractions, and future-effective DPDP duties are not current production obligations.</x:v>
      </x:c>
    </x:row>
    <x:row r="178">
      <x:c r="A178" s="30" t="str">
        <x:v>OBS177</x:v>
      </x:c>
      <x:c r="B178" s="30" t="str">
        <x:v>AUD368</x:v>
      </x:c>
      <x:c r="C178" s="30" t="str">
        <x:v>Pharmacist registration certificates were expired, invalid or could not be verified.</x:v>
      </x:c>
      <x:c r="D178" s="30" t="str">
        <x:v>Critical</x:v>
      </x:c>
      <x:c r="E178" s="30" t="str">
        <x:v>Verify pharmacist registration periodically and ensure timely renewal before expiry.</x:v>
      </x:c>
      <x:c r="F178" s="30" t="str">
        <x:v>Licensing</x:v>
      </x:c>
      <x:c r="G178" s="30" t="str">
        <x:v>CORE</x:v>
      </x:c>
      <x:c r="H178" s="30" t="str">
        <x:v>No</x:v>
      </x:c>
      <x:c r="I178" s="30" t="str">
        <x:v>P-3 QUARANTINED: Generic State/local/permit/reference rows, penalty-only/fabricated DAMR extractions, and future-effective DPDP duties are not current production obligations.</x:v>
      </x:c>
    </x:row>
    <x:row r="179">
      <x:c r="A179" s="30" t="str">
        <x:v>OBS178</x:v>
      </x:c>
      <x:c r="B179" s="30" t="str">
        <x:v>AUD370</x:v>
      </x:c>
      <x:c r="C179" s="30" t="str">
        <x:v>Appointment letters or job responsibilities did not adequately define regulatory duties.</x:v>
      </x:c>
      <x:c r="D179" s="30" t="str">
        <x:v>Medium</x:v>
      </x:c>
      <x:c r="E179" s="30" t="str">
        <x:v>Clearly define regulatory responsibilities in appointment letters and job descriptions.</x:v>
      </x:c>
      <x:c r="F179" s="30" t="str">
        <x:v>Digital / E-Pharmacy</x:v>
      </x:c>
      <x:c r="G179" s="30" t="str">
        <x:v>CORE</x:v>
      </x:c>
      <x:c r="H179" s="30" t="str">
        <x:v>No</x:v>
      </x:c>
      <x:c r="I179" s="30" t="str">
        <x:v>P-3 QUARANTINED: Generic State/local/permit/reference rows, penalty-only/fabricated DAMR extractions, and future-effective DPDP duties are not current production obligations.</x:v>
      </x:c>
    </x:row>
    <x:row r="180">
      <x:c r="A180" s="30" t="str">
        <x:v>OBS179</x:v>
      </x:c>
      <x:c r="B180" s="30" t="str">
        <x:v>AUD372</x:v>
      </x:c>
      <x:c r="C180" s="30" t="str">
        <x:v>Employees commenced regulated duties before completing mandatory induction training.</x:v>
      </x:c>
      <x:c r="D180" s="30" t="str">
        <x:v>High</x:v>
      </x:c>
      <x:c r="E180" s="30" t="str">
        <x:v>Complete induction training before assigning pharmacy-related responsibilities.</x:v>
      </x:c>
      <x:c r="F180" s="30" t="str">
        <x:v>Personnel</x:v>
      </x:c>
      <x:c r="G180" s="30" t="str">
        <x:v>CORE</x:v>
      </x:c>
      <x:c r="H180" s="30" t="str">
        <x:v>No</x:v>
      </x:c>
      <x:c r="I180" s="30" t="str">
        <x:v>P-3 QUARANTINED: Generic State/local/permit/reference rows, penalty-only/fabricated DAMR extractions, and future-effective DPDP duties are not current production obligations.</x:v>
      </x:c>
    </x:row>
    <x:row r="181">
      <x:c r="A181" s="30" t="str">
        <x:v>OBS180</x:v>
      </x:c>
      <x:c r="B181" s="30" t="str">
        <x:v>AUD374</x:v>
      </x:c>
      <x:c r="C181" s="30" t="str">
        <x:v>Periodic regulatory compliance training was not conducted or attendance records were incomplete.</x:v>
      </x:c>
      <x:c r="D181" s="30" t="str">
        <x:v>Medium</x:v>
      </x:c>
      <x:c r="E181" s="30" t="str">
        <x:v>Conduct scheduled regulatory training programs and maintain complete training records.</x:v>
      </x:c>
      <x:c r="F181" s="30" t="str">
        <x:v>Personnel</x:v>
      </x:c>
      <x:c r="G181" s="30" t="str">
        <x:v>CORE</x:v>
      </x:c>
      <x:c r="H181" s="30" t="str">
        <x:v>No</x:v>
      </x:c>
      <x:c r="I181" s="30" t="str">
        <x:v>P-3 QUARANTINED: Generic State/local/permit/reference rows, penalty-only/fabricated DAMR extractions, and future-effective DPDP duties are not current production obligations.</x:v>
      </x:c>
    </x:row>
    <x:row r="182">
      <x:c r="A182" s="30" t="str">
        <x:v>OBS181</x:v>
      </x:c>
      <x:c r="B182" s="30" t="str">
        <x:v>AUD376</x:v>
      </x:c>
      <x:c r="C182" s="30" t="str">
        <x:v>Approved SOPs were unavailable to employees or personnel were unaware of applicable procedures.</x:v>
      </x:c>
      <x:c r="D182" s="30" t="str">
        <x:v>Medium</x:v>
      </x:c>
      <x:c r="E182" s="30" t="str">
        <x:v>Ensure current SOPs are accessible to relevant personnel and periodically reinforce awareness.</x:v>
      </x:c>
      <x:c r="F182" s="30" t="str">
        <x:v>Digital / E-Pharmacy</x:v>
      </x:c>
      <x:c r="G182" s="30" t="str">
        <x:v>CORE</x:v>
      </x:c>
      <x:c r="H182" s="30" t="str">
        <x:v>No</x:v>
      </x:c>
      <x:c r="I182" s="30" t="str">
        <x:v>P-3 QUARANTINED: Generic State/local/permit/reference rows, penalty-only/fabricated DAMR extractions, and future-effective DPDP duties are not current production obligations.</x:v>
      </x:c>
    </x:row>
    <x:row r="183">
      <x:c r="A183" s="30" t="str">
        <x:v>OBS182</x:v>
      </x:c>
      <x:c r="B183" s="30" t="str">
        <x:v>AUD378</x:v>
      </x:c>
      <x:c r="C183" s="30" t="str">
        <x:v>Competency assessments were not performed following regulatory training or assessment records were unavailable.</x:v>
      </x:c>
      <x:c r="D183" s="30" t="str">
        <x:v>Medium</x:v>
      </x:c>
      <x:c r="E183" s="30" t="str">
        <x:v>Conduct competency assessments after training and implement retraining where necessary.</x:v>
      </x:c>
      <x:c r="F183" s="30" t="str">
        <x:v>Personnel</x:v>
      </x:c>
      <x:c r="G183" s="30" t="str">
        <x:v>CORE</x:v>
      </x:c>
      <x:c r="H183" s="30" t="str">
        <x:v>No</x:v>
      </x:c>
      <x:c r="I183" s="30" t="str">
        <x:v>P-3 QUARANTINED: Generic State/local/permit/reference rows, penalty-only/fabricated DAMR extractions, and future-effective DPDP duties are not current production obligations.</x:v>
      </x:c>
    </x:row>
    <x:row r="184">
      <x:c r="A184" s="30" t="str">
        <x:v>OBS183</x:v>
      </x:c>
      <x:c r="B184" s="30" t="str">
        <x:v>AUD380</x:v>
      </x:c>
      <x:c r="C184" s="30" t="str">
        <x:v>Continuing professional education requirements were not fulfilled or supporting certificates were unavailable.</x:v>
      </x:c>
      <x:c r="D184" s="30" t="str">
        <x:v>Medium</x:v>
      </x:c>
      <x:c r="E184" s="30" t="str">
        <x:v>Monitor professional education requirements and maintain updated competency records.</x:v>
      </x:c>
      <x:c r="F184" s="30" t="str">
        <x:v>Personnel</x:v>
      </x:c>
      <x:c r="G184" s="30" t="str">
        <x:v>CORE</x:v>
      </x:c>
      <x:c r="H184" s="30" t="str">
        <x:v>No</x:v>
      </x:c>
      <x:c r="I184" s="30" t="str">
        <x:v>P-3 QUARANTINED: Generic State/local/permit/reference rows, penalty-only/fabricated DAMR extractions, and future-effective DPDP duties are not current production obligations.</x:v>
      </x:c>
    </x:row>
    <x:row r="185">
      <x:c r="A185" s="30" t="str">
        <x:v>OBS184</x:v>
      </x:c>
      <x:c r="B185" s="30" t="str">
        <x:v>AUD382</x:v>
      </x:c>
      <x:c r="C185" s="30" t="str">
        <x:v>Pharmacist attendance records did not demonstrate continuous supervision during pharmacy operating hours.</x:v>
      </x:c>
      <x:c r="D185" s="30" t="str">
        <x:v>High</x:v>
      </x:c>
      <x:c r="E185" s="30" t="str">
        <x:v>Maintain accurate attendance records and ensure pharmacist availability throughout operational hours.</x:v>
      </x:c>
      <x:c r="F185" s="30" t="str">
        <x:v>Personnel</x:v>
      </x:c>
      <x:c r="G185" s="30" t="str">
        <x:v>CORE</x:v>
      </x:c>
      <x:c r="H185" s="30" t="str">
        <x:v>No</x:v>
      </x:c>
      <x:c r="I185" s="30" t="str">
        <x:v>P-3 QUARANTINED: Generic State/local/permit/reference rows, penalty-only/fabricated DAMR extractions, and future-effective DPDP duties are not current production obligations.</x:v>
      </x:c>
    </x:row>
    <x:row r="186">
      <x:c r="A186" s="30" t="str">
        <x:v>OBS185</x:v>
      </x:c>
      <x:c r="B186" s="30" t="str">
        <x:v>AUD384</x:v>
      </x:c>
      <x:c r="C186" s="30" t="str">
        <x:v>Staffing levels were inadequate to ensure effective regulatory compliance and operational supervision.</x:v>
      </x:c>
      <x:c r="D186" s="30" t="str">
        <x:v>High</x:v>
      </x:c>
      <x:c r="E186" s="30" t="str">
        <x:v>Periodically assess staffing requirements and maintain adequate qualified personnel.</x:v>
      </x:c>
      <x:c r="F186" s="30" t="str">
        <x:v>Personnel</x:v>
      </x:c>
      <x:c r="G186" s="30" t="str">
        <x:v>CORE</x:v>
      </x:c>
      <x:c r="H186" s="30" t="str">
        <x:v>No</x:v>
      </x:c>
      <x:c r="I186" s="30" t="str">
        <x:v>P-3 QUARANTINED: Generic State/local/permit/reference rows, penalty-only/fabricated DAMR extractions, and future-effective DPDP duties are not current production obligations.</x:v>
      </x:c>
    </x:row>
    <x:row r="187">
      <x:c r="A187" s="30" t="str">
        <x:v>OBS186</x:v>
      </x:c>
      <x:c r="B187" s="30" t="str">
        <x:v>AUD386</x:v>
      </x:c>
      <x:c r="C187" s="30" t="str">
        <x:v>Temporary or contract personnel performed regulated activities without verification of qualifications or approvals.</x:v>
      </x:c>
      <x:c r="D187" s="30" t="str">
        <x:v>High</x:v>
      </x:c>
      <x:c r="E187" s="30" t="str">
        <x:v>Verify qualifications and obtain formal authorization before assigning regulated duties.</x:v>
      </x:c>
      <x:c r="F187" s="30" t="str">
        <x:v>Digital / E-Pharmacy</x:v>
      </x:c>
      <x:c r="G187" s="30" t="str">
        <x:v>CORE</x:v>
      </x:c>
      <x:c r="H187" s="30" t="str">
        <x:v>No</x:v>
      </x:c>
      <x:c r="I187" s="30" t="str">
        <x:v>P-3 QUARANTINED: Generic State/local/permit/reference rows, penalty-only/fabricated DAMR extractions, and future-effective DPDP duties are not current production obligations.</x:v>
      </x:c>
    </x:row>
    <x:row r="188">
      <x:c r="A188" s="30" t="str">
        <x:v>OBS187</x:v>
      </x:c>
      <x:c r="B188" s="30" t="str">
        <x:v>AUD388</x:v>
      </x:c>
      <x:c r="C188" s="30" t="str">
        <x:v>Conflict of interest declarations were unavailable, incomplete or not periodically reviewed.</x:v>
      </x:c>
      <x:c r="D188" s="30" t="str">
        <x:v>Medium</x:v>
      </x:c>
      <x:c r="E188" s="30" t="str">
        <x:v>Obtain annual conflict of interest declarations and review identified conflicts.</x:v>
      </x:c>
      <x:c r="F188" s="30" t="str">
        <x:v>Other</x:v>
      </x:c>
      <x:c r="G188" s="30" t="str">
        <x:v>CORE</x:v>
      </x:c>
      <x:c r="H188" s="30" t="str">
        <x:v>No</x:v>
      </x:c>
      <x:c r="I188" s="30" t="str">
        <x:v>P-3 QUARANTINED: Generic State/local/permit/reference rows, penalty-only/fabricated DAMR extractions, and future-effective DPDP duties are not current production obligations.</x:v>
      </x:c>
    </x:row>
    <x:row r="189">
      <x:c r="A189" s="30" t="str">
        <x:v>OBS188</x:v>
      </x:c>
      <x:c r="B189" s="30" t="str">
        <x:v>AUD390</x:v>
      </x:c>
      <x:c r="C189" s="30" t="str">
        <x:v>Regulatory disciplinary matters involving personnel were inadequately documented or corrective actions were ineffective.</x:v>
      </x:c>
      <x:c r="D189" s="30" t="str">
        <x:v>Medium</x:v>
      </x:c>
      <x:c r="E189" s="30" t="str">
        <x:v>Document disciplinary proceedings completely and implement appropriate corrective measures.</x:v>
      </x:c>
      <x:c r="F189" s="30" t="str">
        <x:v>Digital / E-Pharmacy</x:v>
      </x:c>
      <x:c r="G189" s="30" t="str">
        <x:v>CORE</x:v>
      </x:c>
      <x:c r="H189" s="30" t="str">
        <x:v>No</x:v>
      </x:c>
      <x:c r="I189" s="30" t="str">
        <x:v>P-3 QUARANTINED: Generic State/local/permit/reference rows, penalty-only/fabricated DAMR extractions, and future-effective DPDP duties are not current production obligations.</x:v>
      </x:c>
    </x:row>
    <x:row r="190">
      <x:c r="A190" s="30" t="str">
        <x:v>OBS189</x:v>
      </x:c>
      <x:c r="B190" s="30" t="str">
        <x:v>AUD392</x:v>
      </x:c>
      <x:c r="C190" s="30" t="str">
        <x:v>Employee medical fitness records were unavailable, outdated or not maintained where applicable.</x:v>
      </x:c>
      <x:c r="D190" s="30" t="str">
        <x:v>Medium</x:v>
      </x:c>
      <x:c r="E190" s="30" t="str">
        <x:v>Periodically assess employee medical fitness and maintain required occupational health records.</x:v>
      </x:c>
      <x:c r="F190" s="30" t="str">
        <x:v>Digital / E-Pharmacy</x:v>
      </x:c>
      <x:c r="G190" s="30" t="str">
        <x:v>CORE</x:v>
      </x:c>
      <x:c r="H190" s="30" t="str">
        <x:v>No</x:v>
      </x:c>
      <x:c r="I190" s="30" t="str">
        <x:v>P-3 QUARANTINED: Generic State/local/permit/reference rows, penalty-only/fabricated DAMR extractions, and future-effective DPDP duties are not current production obligations.</x:v>
      </x:c>
    </x:row>
    <x:row r="191">
      <x:c r="A191" s="30" t="str">
        <x:v>OBS190</x:v>
      </x:c>
      <x:c r="B191" s="30" t="str">
        <x:v>AUD394</x:v>
      </x:c>
      <x:c r="C191" s="30" t="str">
        <x:v>User access rights within pharmacy systems exceeded job responsibilities or authorization records were incomplete.</x:v>
      </x:c>
      <x:c r="D191" s="30" t="str">
        <x:v>High</x:v>
      </x:c>
      <x:c r="E191" s="30" t="str">
        <x:v>Implement role-based access controls and periodically review user privileges.</x:v>
      </x:c>
      <x:c r="F191" s="30" t="str">
        <x:v>Documentation</x:v>
      </x:c>
      <x:c r="G191" s="30" t="str">
        <x:v>CORE</x:v>
      </x:c>
      <x:c r="H191" s="30" t="str">
        <x:v>No</x:v>
      </x:c>
      <x:c r="I191" s="30" t="str">
        <x:v>P-3 QUARANTINED: Generic State/local/permit/reference rows, penalty-only/fabricated DAMR extractions, and future-effective DPDP duties are not current production obligations.</x:v>
      </x:c>
    </x:row>
    <x:row r="192">
      <x:c r="A192" s="30" t="str">
        <x:v>OBS191</x:v>
      </x:c>
      <x:c r="B192" s="30" t="str">
        <x:v>AUD396</x:v>
      </x:c>
      <x:c r="C192" s="30" t="str">
        <x:v>System access for resigned or transferred personnel remained active after employment changes.</x:v>
      </x:c>
      <x:c r="D192" s="30" t="str">
        <x:v>High</x:v>
      </x:c>
      <x:c r="E192" s="30" t="str">
        <x:v>Immediately revoke system access following resignation, transfer or termination.</x:v>
      </x:c>
      <x:c r="F192" s="30" t="str">
        <x:v>Personnel</x:v>
      </x:c>
      <x:c r="G192" s="30" t="str">
        <x:v>CORE</x:v>
      </x:c>
      <x:c r="H192" s="30" t="str">
        <x:v>No</x:v>
      </x:c>
      <x:c r="I192" s="30" t="str">
        <x:v>P-3 QUARANTINED: Generic State/local/permit/reference rows, penalty-only/fabricated DAMR extractions, and future-effective DPDP duties are not current production obligations.</x:v>
      </x:c>
    </x:row>
    <x:row r="193">
      <x:c r="A193" s="30" t="str">
        <x:v>OBS192</x:v>
      </x:c>
      <x:c r="B193" s="30" t="str">
        <x:v>AUD398</x:v>
      </x:c>
      <x:c r="C193" s="30" t="str">
        <x:v>Before release, substantiate all objective claims and ensure the advertisement is truthful and not misleading by implication, omission, exaggeration or ambiguity. was not demonstrated or did not operate effectively for the sample tested.</x:v>
      </x:c>
      <x:c r="D193" s="30" t="str">
        <x:v>High</x:v>
      </x:c>
      <x:c r="E193" s="30" t="str">
        <x:v>Implement the requirement, assign ownership, correct affected records or transactions, and retain evidence of operating effectiveness: Before release, substantiate all objective claims and ensure the advertisement is truthful and not misleading by implication, omission, exaggeration or ambiguity.</x:v>
      </x:c>
      <x:c r="F193" s="30" t="str">
        <x:v>CA064</x:v>
      </x:c>
      <x:c r="G193" s="30" t="str">
        <x:v>CORE</x:v>
      </x:c>
      <x:c r="H193" s="30" t="str">
        <x:v>Yes</x:v>
      </x:c>
      <x:c r="I193" s="30" t="str">
        <x:v>P-4 aligned to the normalized parent audit; legacy Observation ID preserved.</x:v>
      </x:c>
    </x:row>
    <x:row r="194">
      <x:c r="A194" s="30" t="str">
        <x:v>OBS193</x:v>
      </x:c>
      <x:c r="B194" s="30" t="str">
        <x:v>AUD400</x:v>
      </x:c>
      <x:c r="C194" s="30" t="str">
        <x:v>Use only clear, prominent disclaimers that do not conceal material information or contradict the main claim. was not demonstrated or did not operate effectively for the sample tested.</x:v>
      </x:c>
      <x:c r="D194" s="30" t="str">
        <x:v>High</x:v>
      </x:c>
      <x:c r="E194" s="30" t="str">
        <x:v>Implement the requirement, assign ownership, correct affected records or transactions, and retain evidence of operating effectiveness: Use only clear, prominent disclaimers that do not conceal material information or contradict the main claim.</x:v>
      </x:c>
      <x:c r="F194" s="30" t="str">
        <x:v>CA064</x:v>
      </x:c>
      <x:c r="G194" s="30" t="str">
        <x:v>CORE</x:v>
      </x:c>
      <x:c r="H194" s="30" t="str">
        <x:v>Yes</x:v>
      </x:c>
      <x:c r="I194" s="30" t="str">
        <x:v>P-4 aligned to the normalized parent audit; legacy Observation ID preserved.</x:v>
      </x:c>
    </x:row>
    <x:row r="195">
      <x:c r="A195" s="30" t="str">
        <x:v>OBS194</x:v>
      </x:c>
      <x:c r="B195" s="30" t="str">
        <x:v>AUD402</x:v>
      </x:c>
      <x:c r="C195" s="30" t="str">
        <x:v>Do not advertise a product/service prohibited by law and document endorsement due diligence where an endorsement is used. was not demonstrated or did not operate effectively for the sample tested.</x:v>
      </x:c>
      <x:c r="D195" s="30" t="str">
        <x:v>High</x:v>
      </x:c>
      <x:c r="E195" s="30" t="str">
        <x:v>Implement the requirement, assign ownership, correct affected records or transactions, and retain evidence of operating effectiveness: Do not advertise a product/service prohibited by law and document endorsement due diligence where an endorsement is used.</x:v>
      </x:c>
      <x:c r="F195" s="30" t="str">
        <x:v>CA064</x:v>
      </x:c>
      <x:c r="G195" s="30" t="str">
        <x:v>CORE</x:v>
      </x:c>
      <x:c r="H195" s="30" t="str">
        <x:v>Yes</x:v>
      </x:c>
      <x:c r="I195" s="30" t="str">
        <x:v>P-4 aligned to the normalized parent audit; legacy Observation ID preserved.</x:v>
      </x:c>
    </x:row>
    <x:row r="196">
      <x:c r="A196" s="30" t="str">
        <x:v>OBS195</x:v>
      </x:c>
      <x:c r="B196" s="30" t="str">
        <x:v>AUD404</x:v>
      </x:c>
      <x:c r="C196" s="30" t="str">
        <x:v>Do not advertise a drug for the section 3/Schedule prohibited purposes, diseases or conditions. was not demonstrated or did not operate effectively for the sample tested.</x:v>
      </x:c>
      <x:c r="D196" s="30" t="str">
        <x:v>High</x:v>
      </x:c>
      <x:c r="E196" s="30" t="str">
        <x:v>Implement the requirement, assign ownership, correct affected records or transactions, and retain evidence of operating effectiveness: Do not advertise a drug for the section 3/Schedule prohibited purposes, diseases or conditions.</x:v>
      </x:c>
      <x:c r="F196" s="30" t="str">
        <x:v>CA064</x:v>
      </x:c>
      <x:c r="G196" s="30" t="str">
        <x:v>CORE</x:v>
      </x:c>
      <x:c r="H196" s="30" t="str">
        <x:v>Yes</x:v>
      </x:c>
      <x:c r="I196" s="30" t="str">
        <x:v>P-4 aligned to the normalized parent audit; legacy Observation ID preserved.</x:v>
      </x:c>
    </x:row>
    <x:row r="197">
      <x:c r="A197" s="30" t="str">
        <x:v>OBS196</x:v>
      </x:c>
      <x:c r="B197" s="30" t="str">
        <x:v>AUD406</x:v>
      </x:c>
      <x:c r="C197" s="30" t="str">
        <x:v>Do not issue a drug advertisement that gives a false impression, makes a false claim or is otherwise materially false/misleading. was not demonstrated or did not operate effectively for the sample tested.</x:v>
      </x:c>
      <x:c r="D197" s="30" t="str">
        <x:v>High</x:v>
      </x:c>
      <x:c r="E197" s="30" t="str">
        <x:v>Implement the requirement, assign ownership, correct affected records or transactions, and retain evidence of operating effectiveness: Do not issue a drug advertisement that gives a false impression, makes a false claim or is otherwise materially false/misleading.</x:v>
      </x:c>
      <x:c r="F197" s="30" t="str">
        <x:v>CA064</x:v>
      </x:c>
      <x:c r="G197" s="30" t="str">
        <x:v>CORE</x:v>
      </x:c>
      <x:c r="H197" s="30" t="str">
        <x:v>Yes</x:v>
      </x:c>
      <x:c r="I197" s="30" t="str">
        <x:v>P-4 aligned to the normalized parent audit; legacy Observation ID preserved.</x:v>
      </x:c>
    </x:row>
    <x:row r="198">
      <x:c r="A198" s="30" t="str">
        <x:v>OBS197</x:v>
      </x:c>
      <x:c r="B198" s="30" t="str">
        <x:v>AUD408</x:v>
      </x:c>
      <x:c r="C198" s="30" t="str">
        <x:v>Personnel awareness of recent regulatory updates was inadequate or awareness programs were not conducted.</x:v>
      </x:c>
      <x:c r="D198" s="30" t="str">
        <x:v>Medium</x:v>
      </x:c>
      <x:c r="E198" s="30" t="str">
        <x:v>Conduct periodic regulatory awareness programs and assess employee understanding.</x:v>
      </x:c>
      <x:c r="F198" s="30" t="str">
        <x:v>Personnel</x:v>
      </x:c>
      <x:c r="G198" s="30" t="str">
        <x:v>CORE</x:v>
      </x:c>
      <x:c r="H198" s="30" t="str">
        <x:v>No</x:v>
      </x:c>
      <x:c r="I198" s="30" t="str">
        <x:v>P-3 QUARANTINED: Generic State/local/permit/reference rows, penalty-only/fabricated DAMR extractions, and future-effective DPDP duties are not current production obligations.</x:v>
      </x:c>
    </x:row>
    <x:row r="199">
      <x:c r="A199" s="30" t="str">
        <x:v>OBS198</x:v>
      </x:c>
      <x:c r="B199" s="30" t="str">
        <x:v>AUD410</x:v>
      </x:c>
      <x:c r="C199" s="30" t="str">
        <x:v>Personnel compliance KPIs were not reviewed periodically by management or management actions were undocumented.</x:v>
      </x:c>
      <x:c r="D199" s="30" t="str">
        <x:v>Medium</x:v>
      </x:c>
      <x:c r="E199" s="30" t="str">
        <x:v>Periodically review personnel compliance indicators and document management decisions.</x:v>
      </x:c>
      <x:c r="F199" s="30" t="str">
        <x:v>Personnel</x:v>
      </x:c>
      <x:c r="G199" s="30" t="str">
        <x:v>CORE</x:v>
      </x:c>
      <x:c r="H199" s="30" t="str">
        <x:v>No</x:v>
      </x:c>
      <x:c r="I199" s="30" t="str">
        <x:v>P-3 QUARANTINED: Generic State/local/permit/reference rows, penalty-only/fabricated DAMR extractions, and future-effective DPDP duties are not current production obligations.</x:v>
      </x:c>
    </x:row>
    <x:row r="200">
      <x:c r="A200" s="30" t="str">
        <x:v>OBS199</x:v>
      </x:c>
      <x:c r="B200" s="30" t="str">
        <x:v>AUD412</x:v>
      </x:c>
      <x:c r="C200" s="30" t="str">
        <x:v>Internal audits did not adequately evaluate personnel compliance controls or audit recommendations remained unresolved.</x:v>
      </x:c>
      <x:c r="D200" s="30" t="str">
        <x:v>Medium</x:v>
      </x:c>
      <x:c r="E200" s="30" t="str">
        <x:v>Expand audit coverage to include personnel compliance and verify effectiveness of corrective actions.</x:v>
      </x:c>
      <x:c r="F200" s="30" t="str">
        <x:v>Personnel</x:v>
      </x:c>
      <x:c r="G200" s="30" t="str">
        <x:v>CORE</x:v>
      </x:c>
      <x:c r="H200" s="30" t="str">
        <x:v>No</x:v>
      </x:c>
      <x:c r="I200" s="30" t="str">
        <x:v>P-3 QUARANTINED: Generic State/local/permit/reference rows, penalty-only/fabricated DAMR extractions, and future-effective DPDP duties are not current production obligations.</x:v>
      </x:c>
    </x:row>
    <x:row r="201">
      <x:c r="A201" s="30" t="str">
        <x:v>OBS200</x:v>
      </x:c>
      <x:c r="B201" s="30" t="str">
        <x:v>AUD414</x:v>
      </x:c>
      <x:c r="C201" s="30" t="str">
        <x:v>Personnel management processes demonstrated weaknesses in regulatory compliance, governance or operational controls.</x:v>
      </x:c>
      <x:c r="D201" s="30" t="str">
        <x:v>High</x:v>
      </x:c>
      <x:c r="E201" s="30" t="str">
        <x:v>Conduct comprehensive reviews of personnel compliance processes and strengthen governance, monitoring and internal controls.</x:v>
      </x:c>
      <x:c r="F201" s="30" t="str">
        <x:v>Personnel</x:v>
      </x:c>
      <x:c r="G201" s="30" t="str">
        <x:v>CORE</x:v>
      </x:c>
      <x:c r="H201" s="30" t="str">
        <x:v>No</x:v>
      </x:c>
      <x:c r="I201" s="30" t="str">
        <x:v>P-3 QUARANTINED: Generic State/local/permit/reference rows, penalty-only/fabricated DAMR extractions, and future-effective DPDP duties are not current production obligations.</x:v>
      </x:c>
    </x:row>
    <x:row r="202">
      <x:c r="A202" s="30" t="str">
        <x:v>OBS201</x:v>
      </x:c>
      <x:c r="B202" s="30" t="str">
        <x:v>AUD418</x:v>
      </x:c>
      <x:c r="C202" s="30" t="str">
        <x:v>Standard Operating Procedures (SOPs) were unavailable, unapproved, or not formally authorized before implementation.</x:v>
      </x:c>
      <x:c r="D202" s="30" t="str">
        <x:v>High</x:v>
      </x:c>
      <x:c r="E202" s="30" t="str">
        <x:v>Ensure all SOPs are formally reviewed, approved and issued before implementation.</x:v>
      </x:c>
      <x:c r="F202" s="30" t="str">
        <x:v>Digital / E-Pharmacy</x:v>
      </x:c>
      <x:c r="G202" s="30" t="str">
        <x:v>CORE</x:v>
      </x:c>
      <x:c r="H202" s="30" t="str">
        <x:v>No</x:v>
      </x:c>
      <x:c r="I202" s="30" t="str">
        <x:v>P-4 QUARANTINED with inactive parent audit; legacy ID retained.</x:v>
      </x:c>
    </x:row>
    <x:row r="203">
      <x:c r="A203" s="30" t="str">
        <x:v>OBS202</x:v>
      </x:c>
      <x:c r="B203" s="30" t="str">
        <x:v>AUD420</x:v>
      </x:c>
      <x:c r="C203" s="30" t="str">
        <x:v>SOPs were not reviewed within the prescribed review cycle or review records were unavailable.</x:v>
      </x:c>
      <x:c r="D203" s="30" t="str">
        <x:v>Medium</x:v>
      </x:c>
      <x:c r="E203" s="30" t="str">
        <x:v>Establish a document review calendar and periodically review all SOPs.</x:v>
      </x:c>
      <x:c r="F203" s="30" t="str">
        <x:v>Quality</x:v>
      </x:c>
      <x:c r="G203" s="30" t="str">
        <x:v>CORE</x:v>
      </x:c>
      <x:c r="H203" s="30" t="str">
        <x:v>No</x:v>
      </x:c>
      <x:c r="I203" s="30" t="str">
        <x:v>P-4 QUARANTINED with inactive parent audit; legacy ID retained.</x:v>
      </x:c>
    </x:row>
    <x:row r="204">
      <x:c r="A204" s="30" t="str">
        <x:v>OBS203</x:v>
      </x:c>
      <x:c r="B204" s="30" t="str">
        <x:v>AUD422</x:v>
      </x:c>
      <x:c r="C204" s="30" t="str">
        <x:v>Controlled copies of SOPs were unavailable at the point of use or obsolete copies remained in circulation.</x:v>
      </x:c>
      <x:c r="D204" s="30" t="str">
        <x:v>High</x:v>
      </x:c>
      <x:c r="E204" s="30" t="str">
        <x:v>Maintain controlled document distribution and immediately withdraw obsolete copies.</x:v>
      </x:c>
      <x:c r="F204" s="30" t="str">
        <x:v>Quality</x:v>
      </x:c>
      <x:c r="G204" s="30" t="str">
        <x:v>CORE</x:v>
      </x:c>
      <x:c r="H204" s="30" t="str">
        <x:v>No</x:v>
      </x:c>
      <x:c r="I204" s="30" t="str">
        <x:v>P-4 QUARANTINED with inactive parent audit; legacy ID retained.</x:v>
      </x:c>
    </x:row>
    <x:row r="205">
      <x:c r="A205" s="30" t="str">
        <x:v>OBS204</x:v>
      </x:c>
      <x:c r="B205" s="30" t="str">
        <x:v>AUD424</x:v>
      </x:c>
      <x:c r="C205" s="30" t="str">
        <x:v>Obsolete documents were not archived properly or remained available for operational use.</x:v>
      </x:c>
      <x:c r="D205" s="30" t="str">
        <x:v>High</x:v>
      </x:c>
      <x:c r="E205" s="30" t="str">
        <x:v>Archive obsolete documents under controlled conditions and prevent operational use.</x:v>
      </x:c>
      <x:c r="F205" s="30" t="str">
        <x:v>Documentation</x:v>
      </x:c>
      <x:c r="G205" s="30" t="str">
        <x:v>CORE</x:v>
      </x:c>
      <x:c r="H205" s="30" t="str">
        <x:v>No</x:v>
      </x:c>
      <x:c r="I205" s="30" t="str">
        <x:v>P-4 QUARANTINED with inactive parent audit; legacy ID retained.</x:v>
      </x:c>
    </x:row>
    <x:row r="206">
      <x:c r="A206" s="30" t="str">
        <x:v>OBS205</x:v>
      </x:c>
      <x:c r="B206" s="30" t="str">
        <x:v>AUD426</x:v>
      </x:c>
      <x:c r="C206" s="30" t="str">
        <x:v>Personnel were not informed of revised SOPs or acknowledgements of revised procedures were unavailable.</x:v>
      </x:c>
      <x:c r="D206" s="30" t="str">
        <x:v>Medium</x:v>
      </x:c>
      <x:c r="E206" s="30" t="str">
        <x:v>Communicate every SOP revision to affected personnel and obtain documented acknowledgements.</x:v>
      </x:c>
      <x:c r="F206" s="30" t="str">
        <x:v>Personnel</x:v>
      </x:c>
      <x:c r="G206" s="30" t="str">
        <x:v>CORE</x:v>
      </x:c>
      <x:c r="H206" s="30" t="str">
        <x:v>No</x:v>
      </x:c>
      <x:c r="I206" s="30" t="str">
        <x:v>P-4 QUARANTINED with inactive parent audit; legacy ID retained.</x:v>
      </x:c>
    </x:row>
    <x:row r="207">
      <x:c r="A207" s="30" t="str">
        <x:v>OBS206</x:v>
      </x:c>
      <x:c r="B207" s="30" t="str">
        <x:v>AUD428</x:v>
      </x:c>
      <x:c r="C207" s="30" t="str">
        <x:v>Document numbering or version control practices were inconsistent, resulting in document identification errors.</x:v>
      </x:c>
      <x:c r="D207" s="30" t="str">
        <x:v>Medium</x:v>
      </x:c>
      <x:c r="E207" s="30" t="str">
        <x:v>Implement standardized document numbering and version control procedures.</x:v>
      </x:c>
      <x:c r="F207" s="30" t="str">
        <x:v>Documentation</x:v>
      </x:c>
      <x:c r="G207" s="30" t="str">
        <x:v>CORE</x:v>
      </x:c>
      <x:c r="H207" s="30" t="str">
        <x:v>No</x:v>
      </x:c>
      <x:c r="I207" s="30" t="str">
        <x:v>P-4 QUARANTINED with inactive parent audit; legacy ID retained.</x:v>
      </x:c>
    </x:row>
    <x:row r="208">
      <x:c r="A208" s="30" t="str">
        <x:v>OBS207</x:v>
      </x:c>
      <x:c r="B208" s="30" t="str">
        <x:v>AUD430</x:v>
      </x:c>
      <x:c r="C208" s="30" t="str">
        <x:v>Master document registers were incomplete, inaccurate or not periodically updated.</x:v>
      </x:c>
      <x:c r="D208" s="30" t="str">
        <x:v>Medium</x:v>
      </x:c>
      <x:c r="E208" s="30" t="str">
        <x:v>Maintain a complete and current master register for all controlled documents.</x:v>
      </x:c>
      <x:c r="F208" s="30" t="str">
        <x:v>Documentation</x:v>
      </x:c>
      <x:c r="G208" s="30" t="str">
        <x:v>CORE</x:v>
      </x:c>
      <x:c r="H208" s="30" t="str">
        <x:v>No</x:v>
      </x:c>
      <x:c r="I208" s="30" t="str">
        <x:v>P-4 QUARANTINED with inactive parent audit; legacy ID retained.</x:v>
      </x:c>
    </x:row>
    <x:row r="209">
      <x:c r="A209" s="30" t="str">
        <x:v>OBS208</x:v>
      </x:c>
      <x:c r="B209" s="30" t="str">
        <x:v>AUD432</x:v>
      </x:c>
      <x:c r="C209" s="30" t="str">
        <x:v>Access to controlled documents was not restricted or unauthorized personnel could modify documents.</x:v>
      </x:c>
      <x:c r="D209" s="30" t="str">
        <x:v>High</x:v>
      </x:c>
      <x:c r="E209" s="30" t="str">
        <x:v>Restrict document access based on roles and maintain audit trails for document changes.</x:v>
      </x:c>
      <x:c r="F209" s="30" t="str">
        <x:v>Personnel</x:v>
      </x:c>
      <x:c r="G209" s="30" t="str">
        <x:v>CORE</x:v>
      </x:c>
      <x:c r="H209" s="30" t="str">
        <x:v>No</x:v>
      </x:c>
      <x:c r="I209" s="30" t="str">
        <x:v>P-4 QUARANTINED with inactive parent audit; legacy ID retained.</x:v>
      </x:c>
    </x:row>
    <x:row r="210">
      <x:c r="A210" s="30" t="str">
        <x:v>OBS209</x:v>
      </x:c>
      <x:c r="B210" s="30" t="str">
        <x:v>AUD434</x:v>
      </x:c>
      <x:c r="C210" s="30" t="str">
        <x:v>Good Documentation Practices (GDP) were not consistently followed while recording regulatory information.</x:v>
      </x:c>
      <x:c r="D210" s="30" t="str">
        <x:v>High</x:v>
      </x:c>
      <x:c r="E210" s="30" t="str">
        <x:v>Train personnel on GDP principles and periodically review documentation quality.</x:v>
      </x:c>
      <x:c r="F210" s="30" t="str">
        <x:v>Personnel</x:v>
      </x:c>
      <x:c r="G210" s="30" t="str">
        <x:v>CORE</x:v>
      </x:c>
      <x:c r="H210" s="30" t="str">
        <x:v>No</x:v>
      </x:c>
      <x:c r="I210" s="30" t="str">
        <x:v>P-4 QUARANTINED with inactive parent audit; legacy ID retained.</x:v>
      </x:c>
    </x:row>
    <x:row r="211">
      <x:c r="A211" s="30" t="str">
        <x:v>OBS210</x:v>
      </x:c>
      <x:c r="B211" s="30" t="str">
        <x:v>AUD436</x:v>
      </x:c>
      <x:c r="C211" s="30" t="str">
        <x:v>Corrections to records were made without following approved Good Documentation Practice requirements.</x:v>
      </x:c>
      <x:c r="D211" s="30" t="str">
        <x:v>Medium</x:v>
      </x:c>
      <x:c r="E211" s="30" t="str">
        <x:v>Ensure all corrections preserve original entries, include reasons and are properly authenticated.</x:v>
      </x:c>
      <x:c r="F211" s="30" t="str">
        <x:v>Digital / E-Pharmacy</x:v>
      </x:c>
      <x:c r="G211" s="30" t="str">
        <x:v>CORE</x:v>
      </x:c>
      <x:c r="H211" s="30" t="str">
        <x:v>No</x:v>
      </x:c>
      <x:c r="I211" s="30" t="str">
        <x:v>P-3 QUARANTINED: Generic State/local/permit/reference rows, penalty-only/fabricated DAMR extractions, and future-effective DPDP duties are not current production obligations.</x:v>
      </x:c>
    </x:row>
    <x:row r="212">
      <x:c r="A212" s="30" t="str">
        <x:v>OBS211</x:v>
      </x:c>
      <x:c r="B212" s="30" t="str">
        <x:v>AUD438</x:v>
      </x:c>
      <x:c r="C212" s="30" t="str">
        <x:v>Electronic records lacked complete audit trails or audit trail reviews were not performed.</x:v>
      </x:c>
      <x:c r="D212" s="30" t="str">
        <x:v>High</x:v>
      </x:c>
      <x:c r="E212" s="30" t="str">
        <x:v>Enable audit trail functionality and periodically review system-generated audit logs.</x:v>
      </x:c>
      <x:c r="F212" s="30" t="str">
        <x:v>Documentation</x:v>
      </x:c>
      <x:c r="G212" s="30" t="str">
        <x:v>CORE</x:v>
      </x:c>
      <x:c r="H212" s="30" t="str">
        <x:v>No</x:v>
      </x:c>
      <x:c r="I212" s="30" t="str">
        <x:v>P-3 QUARANTINED: Generic State/local/permit/reference rows, penalty-only/fabricated DAMR extractions, and future-effective DPDP duties are not current production obligations.</x:v>
      </x:c>
    </x:row>
    <x:row r="213">
      <x:c r="A213" s="30" t="str">
        <x:v>OBS212</x:v>
      </x:c>
      <x:c r="B213" s="30" t="str">
        <x:v>AUD440</x:v>
      </x:c>
      <x:c r="C213" s="30" t="str">
        <x:v>If the OSHWC Code applies, maintain the covered workplace-safety/health controls, provide required information/instruction and meet notified standards. was not demonstrated or did not operate effectively for the sample tested.</x:v>
      </x:c>
      <x:c r="D213" s="30" t="str">
        <x:v>High</x:v>
      </x:c>
      <x:c r="E213" s="30" t="str">
        <x:v>Implement the requirement, assign ownership, correct affected records or transactions, and retain evidence of operating effectiveness: If the OSHWC Code applies, maintain the covered workplace-safety/health controls, provide required information/instruction and meet notified standards.</x:v>
      </x:c>
      <x:c r="F213" s="30" t="str">
        <x:v>CA044</x:v>
      </x:c>
      <x:c r="G213" s="30" t="str">
        <x:v>CORE</x:v>
      </x:c>
      <x:c r="H213" s="30" t="str">
        <x:v>Yes</x:v>
      </x:c>
      <x:c r="I213" s="30" t="str">
        <x:v>P-4 aligned to the normalized parent audit; legacy Observation ID preserved.</x:v>
      </x:c>
    </x:row>
    <x:row r="214">
      <x:c r="A214" s="30" t="str">
        <x:v>OBS213</x:v>
      </x:c>
      <x:c r="B214" s="30" t="str">
        <x:v>AUD442</x:v>
      </x:c>
      <x:c r="C214" s="30" t="str">
        <x:v>If covered, implement the applicable welfare, working-time and employee information/appointment-letter controls under the Code and 2026 Rules. was not demonstrated or did not operate effectively for the sample tested.</x:v>
      </x:c>
      <x:c r="D214" s="30" t="str">
        <x:v>High</x:v>
      </x:c>
      <x:c r="E214" s="30" t="str">
        <x:v>Implement the requirement, assign ownership, correct affected records or transactions, and retain evidence of operating effectiveness: If covered, implement the applicable welfare, working-time and employee information/appointment-letter controls under the Code and 2026 Rules.</x:v>
      </x:c>
      <x:c r="F214" s="30" t="str">
        <x:v>CA044</x:v>
      </x:c>
      <x:c r="G214" s="30" t="str">
        <x:v>CORE</x:v>
      </x:c>
      <x:c r="H214" s="30" t="str">
        <x:v>Yes</x:v>
      </x:c>
      <x:c r="I214" s="30" t="str">
        <x:v>P-4 aligned to the normalized parent audit; legacy Observation ID preserved.</x:v>
      </x:c>
    </x:row>
    <x:row r="215">
      <x:c r="A215" s="30" t="str">
        <x:v>OBS214</x:v>
      </x:c>
      <x:c r="B215" s="30" t="str">
        <x:v>AUD444</x:v>
      </x:c>
      <x:c r="C215" s="30" t="str">
        <x:v>Report and record only the occupational accidents/dangerous occurrences prescribed for the covered establishment within the statutory timeline. was not demonstrated or did not operate effectively for the sample tested.</x:v>
      </x:c>
      <x:c r="D215" s="30" t="str">
        <x:v>High</x:v>
      </x:c>
      <x:c r="E215" s="30" t="str">
        <x:v>Implement the requirement, assign ownership, correct affected records or transactions, and retain evidence of operating effectiveness: Report and record only the occupational accidents/dangerous occurrences prescribed for the covered establishment within the statutory timeline.</x:v>
      </x:c>
      <x:c r="F215" s="30" t="str">
        <x:v>CA044</x:v>
      </x:c>
      <x:c r="G215" s="30" t="str">
        <x:v>CORE</x:v>
      </x:c>
      <x:c r="H215" s="30" t="str">
        <x:v>Yes</x:v>
      </x:c>
      <x:c r="I215" s="30" t="str">
        <x:v>P-4 aligned to the normalized parent audit; legacy Observation ID preserved.</x:v>
      </x:c>
    </x:row>
    <x:row r="216">
      <x:c r="A216" s="30" t="str">
        <x:v>OBS215</x:v>
      </x:c>
      <x:c r="B216" s="30" t="str">
        <x:v>AUD446</x:v>
      </x:c>
      <x:c r="C216" s="30" t="str">
        <x:v>Perform temperature mapping of storage areas before commissioning and after major modifications. was not demonstrated or did not operate effectively for the sample tested.</x:v>
      </x:c>
      <x:c r="D216" s="30" t="str">
        <x:v>High</x:v>
      </x:c>
      <x:c r="E216" s="30" t="str">
        <x:v>Implement the requirement, assign ownership, correct affected records or transactions, and retain evidence of operating effectiveness: Perform temperature mapping of storage areas before commissioning and after major modifications.</x:v>
      </x:c>
      <x:c r="F216" s="30" t="str">
        <x:v>CA008</x:v>
      </x:c>
      <x:c r="G216" s="30" t="str">
        <x:v>CORE</x:v>
      </x:c>
      <x:c r="H216" s="30" t="str">
        <x:v>Yes</x:v>
      </x:c>
      <x:c r="I216" s="30" t="str">
        <x:v>P-4 aligned to the normalized parent audit; legacy Observation ID preserved.</x:v>
      </x:c>
    </x:row>
    <x:row r="217">
      <x:c r="A217" s="30" t="str">
        <x:v>OBS216</x:v>
      </x:c>
      <x:c r="B217" s="30" t="str">
        <x:v>AUD448</x:v>
      </x:c>
      <x:c r="C217" s="30" t="str">
        <x:v>Revalidate temperature mapping periodically and after significant changes to storage conditions. was not demonstrated or did not operate effectively for the sample tested.</x:v>
      </x:c>
      <x:c r="D217" s="30" t="str">
        <x:v>High</x:v>
      </x:c>
      <x:c r="E217" s="30" t="str">
        <x:v>Implement the requirement, assign ownership, correct affected records or transactions, and retain evidence of operating effectiveness: Revalidate temperature mapping periodically and after significant changes to storage conditions.</x:v>
      </x:c>
      <x:c r="F217" s="30" t="str">
        <x:v>CA008</x:v>
      </x:c>
      <x:c r="G217" s="30" t="str">
        <x:v>CORE</x:v>
      </x:c>
      <x:c r="H217" s="30" t="str">
        <x:v>Yes</x:v>
      </x:c>
      <x:c r="I217" s="30" t="str">
        <x:v>P-4 aligned to the normalized parent audit; legacy Observation ID preserved.</x:v>
      </x:c>
    </x:row>
    <x:row r="218">
      <x:c r="A218" s="30" t="str">
        <x:v>OBS217</x:v>
      </x:c>
      <x:c r="B218" s="30" t="str">
        <x:v>AUD450</x:v>
      </x:c>
      <x:c r="C218" s="30" t="str">
        <x:v>Maintain temperature mapping reports, protocols and validation records. was not demonstrated or did not operate effectively for the sample tested.</x:v>
      </x:c>
      <x:c r="D218" s="30" t="str">
        <x:v>High</x:v>
      </x:c>
      <x:c r="E218" s="30" t="str">
        <x:v>Implement the requirement, assign ownership, correct affected records or transactions, and retain evidence of operating effectiveness: Maintain temperature mapping reports, protocols and validation records.</x:v>
      </x:c>
      <x:c r="F218" s="30" t="str">
        <x:v>CA020</x:v>
      </x:c>
      <x:c r="G218" s="30" t="str">
        <x:v>CORE</x:v>
      </x:c>
      <x:c r="H218" s="30" t="str">
        <x:v>Yes</x:v>
      </x:c>
      <x:c r="I218" s="30" t="str">
        <x:v>P-4 aligned to the normalized parent audit; legacy Observation ID preserved.</x:v>
      </x:c>
    </x:row>
    <x:row r="219">
      <x:c r="A219" s="30" t="str">
        <x:v>OBS218</x:v>
      </x:c>
      <x:c r="B219" s="30" t="str">
        <x:v>AUD452</x:v>
      </x:c>
      <x:c r="C219" s="30" t="str">
        <x:v>Calibrate all critical measuring instruments at approved intervals. was not demonstrated or did not operate effectively for the sample tested.</x:v>
      </x:c>
      <x:c r="D219" s="30" t="str">
        <x:v>High</x:v>
      </x:c>
      <x:c r="E219" s="30" t="str">
        <x:v>Implement the requirement, assign ownership, correct affected records or transactions, and retain evidence of operating effectiveness: Calibrate all critical measuring instruments at approved intervals.</x:v>
      </x:c>
      <x:c r="F219" s="30" t="str">
        <x:v>CA009</x:v>
      </x:c>
      <x:c r="G219" s="30" t="str">
        <x:v>CORE</x:v>
      </x:c>
      <x:c r="H219" s="30" t="str">
        <x:v>Yes</x:v>
      </x:c>
      <x:c r="I219" s="30" t="str">
        <x:v>P-4 aligned to the normalized parent audit; legacy Observation ID preserved.</x:v>
      </x:c>
    </x:row>
    <x:row r="220">
      <x:c r="A220" s="30" t="str">
        <x:v>OBS219</x:v>
      </x:c>
      <x:c r="B220" s="30" t="str">
        <x:v>AUD454</x:v>
      </x:c>
      <x:c r="C220" s="30" t="str">
        <x:v>Qualify equipment before operational use and after major repairs where required. was not demonstrated or did not operate effectively for the sample tested.</x:v>
      </x:c>
      <x:c r="D220" s="30" t="str">
        <x:v>High</x:v>
      </x:c>
      <x:c r="E220" s="30" t="str">
        <x:v>Implement the requirement, assign ownership, correct affected records or transactions, and retain evidence of operating effectiveness: Qualify equipment before operational use and after major repairs where required.</x:v>
      </x:c>
      <x:c r="F220" s="30" t="str">
        <x:v>CA009</x:v>
      </x:c>
      <x:c r="G220" s="30" t="str">
        <x:v>CORE</x:v>
      </x:c>
      <x:c r="H220" s="30" t="str">
        <x:v>Yes</x:v>
      </x:c>
      <x:c r="I220" s="30" t="str">
        <x:v>P-4 aligned to the normalized parent audit; legacy Observation ID preserved.</x:v>
      </x:c>
    </x:row>
    <x:row r="221">
      <x:c r="A221" s="30" t="str">
        <x:v>OBS220</x:v>
      </x:c>
      <x:c r="B221" s="30" t="str">
        <x:v>AUD456</x:v>
      </x:c>
      <x:c r="C221" s="30" t="str">
        <x:v>Implement a documented preventive maintenance programme for critical equipment. was not demonstrated or did not operate effectively for the sample tested.</x:v>
      </x:c>
      <x:c r="D221" s="30" t="str">
        <x:v>High</x:v>
      </x:c>
      <x:c r="E221" s="30" t="str">
        <x:v>Implement the requirement, assign ownership, correct affected records or transactions, and retain evidence of operating effectiveness: Implement a documented preventive maintenance programme for critical equipment.</x:v>
      </x:c>
      <x:c r="F221" s="30" t="str">
        <x:v>CA009</x:v>
      </x:c>
      <x:c r="G221" s="30" t="str">
        <x:v>CORE</x:v>
      </x:c>
      <x:c r="H221" s="30" t="str">
        <x:v>Yes</x:v>
      </x:c>
      <x:c r="I221" s="30" t="str">
        <x:v>P-4 aligned to the normalized parent audit; legacy Observation ID preserved.</x:v>
      </x:c>
    </x:row>
    <x:row r="222">
      <x:c r="A222" s="30" t="str">
        <x:v>OBS221</x:v>
      </x:c>
      <x:c r="B222" s="30" t="str">
        <x:v>AUD458</x:v>
      </x:c>
      <x:c r="C222" s="30" t="str">
        <x:v>Maintain calibration certificates and calibration history for all critical instruments. was not demonstrated or did not operate effectively for the sample tested.</x:v>
      </x:c>
      <x:c r="D222" s="30" t="str">
        <x:v>High</x:v>
      </x:c>
      <x:c r="E222" s="30" t="str">
        <x:v>Implement the requirement, assign ownership, correct affected records or transactions, and retain evidence of operating effectiveness: Maintain calibration certificates and calibration history for all critical instruments.</x:v>
      </x:c>
      <x:c r="F222" s="30" t="str">
        <x:v>CA020</x:v>
      </x:c>
      <x:c r="G222" s="30" t="str">
        <x:v>CORE</x:v>
      </x:c>
      <x:c r="H222" s="30" t="str">
        <x:v>Yes</x:v>
      </x:c>
      <x:c r="I222" s="30" t="str">
        <x:v>P-4 aligned to the normalized parent audit; legacy Observation ID preserved.</x:v>
      </x:c>
    </x:row>
    <x:row r="223">
      <x:c r="A223" s="30" t="str">
        <x:v>OBS222</x:v>
      </x:c>
      <x:c r="B223" s="30" t="str">
        <x:v>AUD460</x:v>
      </x:c>
      <x:c r="C223" s="30" t="str">
        <x:v>Verify equipment performance following maintenance or calibration activities. was not demonstrated or did not operate effectively for the sample tested.</x:v>
      </x:c>
      <x:c r="D223" s="30" t="str">
        <x:v>High</x:v>
      </x:c>
      <x:c r="E223" s="30" t="str">
        <x:v>Implement the requirement, assign ownership, correct affected records or transactions, and retain evidence of operating effectiveness: Verify equipment performance following maintenance or calibration activities.</x:v>
      </x:c>
      <x:c r="F223" s="30" t="str">
        <x:v>CA009</x:v>
      </x:c>
      <x:c r="G223" s="30" t="str">
        <x:v>CORE</x:v>
      </x:c>
      <x:c r="H223" s="30" t="str">
        <x:v>Yes</x:v>
      </x:c>
      <x:c r="I223" s="30" t="str">
        <x:v>P-4 aligned to the normalized parent audit; legacy Observation ID preserved.</x:v>
      </x:c>
    </x:row>
    <x:row r="224">
      <x:c r="A224" s="30" t="str">
        <x:v>OBS223</x:v>
      </x:c>
      <x:c r="B224" s="30" t="str">
        <x:v>AUD462</x:v>
      </x:c>
      <x:c r="C224" s="30" t="str">
        <x:v>Clearly identify and segregate equipment that is overdue for calibration or found to be defective. was not demonstrated or did not operate effectively for the sample tested.</x:v>
      </x:c>
      <x:c r="D224" s="30" t="str">
        <x:v>High</x:v>
      </x:c>
      <x:c r="E224" s="30" t="str">
        <x:v>Implement the requirement, assign ownership, correct affected records or transactions, and retain evidence of operating effectiveness: Clearly identify and segregate equipment that is overdue for calibration or found to be defective.</x:v>
      </x:c>
      <x:c r="F224" s="30" t="str">
        <x:v>CA009</x:v>
      </x:c>
      <x:c r="G224" s="30" t="str">
        <x:v>CORE</x:v>
      </x:c>
      <x:c r="H224" s="30" t="str">
        <x:v>Yes</x:v>
      </x:c>
      <x:c r="I224" s="30" t="str">
        <x:v>P-4 aligned to the normalized parent audit; legacy Observation ID preserved.</x:v>
      </x:c>
    </x:row>
    <x:row r="225">
      <x:c r="A225" s="30" t="str">
        <x:v>OBS224</x:v>
      </x:c>
      <x:c r="B225" s="30" t="str">
        <x:v>AUD464</x:v>
      </x:c>
      <x:c r="C225" s="30" t="str">
        <x:v>Ensure calibration is traceable to nationally or internationally recognized standards. was not demonstrated or did not operate effectively for the sample tested.</x:v>
      </x:c>
      <x:c r="D225" s="30" t="str">
        <x:v>High</x:v>
      </x:c>
      <x:c r="E225" s="30" t="str">
        <x:v>Implement the requirement, assign ownership, correct affected records or transactions, and retain evidence of operating effectiveness: Ensure calibration is traceable to nationally or internationally recognized standards.</x:v>
      </x:c>
      <x:c r="F225" s="30" t="str">
        <x:v>CA009</x:v>
      </x:c>
      <x:c r="G225" s="30" t="str">
        <x:v>CORE</x:v>
      </x:c>
      <x:c r="H225" s="30" t="str">
        <x:v>Yes</x:v>
      </x:c>
      <x:c r="I225" s="30" t="str">
        <x:v>P-4 aligned to the normalized parent audit; legacy Observation ID preserved.</x:v>
      </x:c>
    </x:row>
    <x:row r="226">
      <x:c r="A226" s="30" t="str">
        <x:v>OBS225</x:v>
      </x:c>
      <x:c r="B226" s="30" t="str">
        <x:v>AUD467</x:v>
      </x:c>
      <x:c r="C226" s="30" t="str">
        <x:v>Periodically review the effectiveness of the calibration and maintenance programme. was not demonstrated or did not operate effectively for the sample tested.</x:v>
      </x:c>
      <x:c r="D226" s="30" t="str">
        <x:v>High</x:v>
      </x:c>
      <x:c r="E226" s="30" t="str">
        <x:v>Implement the requirement, assign ownership, correct affected records or transactions, and retain evidence of operating effectiveness: Periodically review the effectiveness of the calibration and maintenance programme.</x:v>
      </x:c>
      <x:c r="F226" s="30" t="str">
        <x:v>CA083</x:v>
      </x:c>
      <x:c r="G226" s="30" t="str">
        <x:v>CORE</x:v>
      </x:c>
      <x:c r="H226" s="30" t="str">
        <x:v>Yes</x:v>
      </x:c>
      <x:c r="I226" s="30" t="str">
        <x:v>P-4 aligned to the normalized parent audit; legacy Observation ID preserved.</x:v>
      </x:c>
    </x:row>
    <x:row r="227">
      <x:c r="A227" s="30" t="str">
        <x:v>OBS226</x:v>
      </x:c>
      <x:c r="B227" s="30" t="str">
        <x:v>AUD470</x:v>
      </x:c>
      <x:c r="C227" s="30" t="str">
        <x:v>Synchronise ICT system clocks to NIC/NPL traceable NTP servers or another accurate time source traceable to them. was not demonstrated or did not operate effectively for the sample tested.</x:v>
      </x:c>
      <x:c r="D227" s="30" t="str">
        <x:v>High</x:v>
      </x:c>
      <x:c r="E227" s="30" t="str">
        <x:v>Implement the requirement, assign ownership, correct affected records or transactions, and retain evidence of operating effectiveness: Synchronise ICT system clocks to NIC/NPL traceable NTP servers or another accurate time source traceable to them.</x:v>
      </x:c>
      <x:c r="F227" s="30" t="str">
        <x:v>CA072</x:v>
      </x:c>
      <x:c r="G227" s="30" t="str">
        <x:v>CORE</x:v>
      </x:c>
      <x:c r="H227" s="30" t="str">
        <x:v>Yes</x:v>
      </x:c>
      <x:c r="I227" s="30" t="str">
        <x:v>P-4 aligned to the normalized parent audit; legacy Observation ID preserved.</x:v>
      </x:c>
    </x:row>
    <x:row r="228">
      <x:c r="A228" s="30" t="str">
        <x:v>OBS227</x:v>
      </x:c>
      <x:c r="B228" s="30" t="str">
        <x:v>AUD472</x:v>
      </x:c>
      <x:c r="C228" s="30" t="str">
        <x:v>Report any specified Annexure I cyber incident to CERT-In within six hours of noticing it or being informed. was not demonstrated or did not operate effectively for the sample tested.</x:v>
      </x:c>
      <x:c r="D228" s="30" t="str">
        <x:v>Critical</x:v>
      </x:c>
      <x:c r="E228" s="30" t="str">
        <x:v>Implement the requirement, assign ownership, correct affected records or transactions, and retain evidence of operating effectiveness: Report any specified Annexure I cyber incident to CERT-In within six hours of noticing it or being informed.</x:v>
      </x:c>
      <x:c r="F228" s="30" t="str">
        <x:v>CA072</x:v>
      </x:c>
      <x:c r="G228" s="30" t="str">
        <x:v>CORE</x:v>
      </x:c>
      <x:c r="H228" s="30" t="str">
        <x:v>Yes</x:v>
      </x:c>
      <x:c r="I228" s="30" t="str">
        <x:v>P-4 aligned to the normalized parent audit; legacy Observation ID preserved.</x:v>
      </x:c>
    </x:row>
    <x:row r="229">
      <x:c r="A229" s="30" t="str">
        <x:v>OBS228</x:v>
      </x:c>
      <x:c r="B229" s="30" t="str">
        <x:v>AUD474</x:v>
      </x:c>
      <x:c r="C229" s="30" t="str">
        <x:v>Enable ICT logs, retain them securely for a rolling 180 days within Indian jurisdiction and provide them to CERT-In when lawfully required. was not demonstrated or did not operate effectively for the sample tested.</x:v>
      </x:c>
      <x:c r="D229" s="30" t="str">
        <x:v>High</x:v>
      </x:c>
      <x:c r="E229" s="30" t="str">
        <x:v>Implement the requirement, assign ownership, correct affected records or transactions, and retain evidence of operating effectiveness: Enable ICT logs, retain them securely for a rolling 180 days within Indian jurisdiction and provide them to CERT-In when lawfully required.</x:v>
      </x:c>
      <x:c r="F229" s="30" t="str">
        <x:v>CA072</x:v>
      </x:c>
      <x:c r="G229" s="30" t="str">
        <x:v>CORE</x:v>
      </x:c>
      <x:c r="H229" s="30" t="str">
        <x:v>Yes</x:v>
      </x:c>
      <x:c r="I229" s="30" t="str">
        <x:v>P-4 aligned to the normalized parent audit; legacy Observation ID preserved.</x:v>
      </x:c>
    </x:row>
    <x:row r="230">
      <x:c r="A230" s="30" t="str">
        <x:v>OBS229</x:v>
      </x:c>
      <x:c r="B230" s="30" t="str">
        <x:v>AUD476</x:v>
      </x:c>
      <x:c r="C230" s="30" t="str">
        <x:v>Designate, communicate and keep current the prescribed CERT-In point-of-contact details. was not demonstrated or did not operate effectively for the sample tested.</x:v>
      </x:c>
      <x:c r="D230" s="30" t="str">
        <x:v>High</x:v>
      </x:c>
      <x:c r="E230" s="30" t="str">
        <x:v>Implement the requirement, assign ownership, correct affected records or transactions, and retain evidence of operating effectiveness: Designate, communicate and keep current the prescribed CERT-In point-of-contact details.</x:v>
      </x:c>
      <x:c r="F230" s="30" t="str">
        <x:v>CA072</x:v>
      </x:c>
      <x:c r="G230" s="30" t="str">
        <x:v>CORE</x:v>
      </x:c>
      <x:c r="H230" s="30" t="str">
        <x:v>Yes</x:v>
      </x:c>
      <x:c r="I230" s="30" t="str">
        <x:v>P-4 aligned to the normalized parent audit; legacy Observation ID preserved.</x:v>
      </x:c>
    </x:row>
    <x:row r="231">
      <x:c r="A231" s="30" t="str">
        <x:v>OBS230</x:v>
      </x:c>
      <x:c r="B231" s="30" t="str">
        <x:v>AUD478</x:v>
      </x:c>
      <x:c r="C231" s="30" t="str">
        <x:v>Audit observations were inconsistently classified or risk ratings were not supported by documented assessment criteria.</x:v>
      </x:c>
      <x:c r="D231" s="30" t="str">
        <x:v>Medium</x:v>
      </x:c>
      <x:c r="E231" s="30" t="str">
        <x:v>Establish standardized risk-rating criteria and ensure consistent classification of audit findings.</x:v>
      </x:c>
      <x:c r="F231" s="30" t="str">
        <x:v>Documentation</x:v>
      </x:c>
      <x:c r="G231" s="30" t="str">
        <x:v>CORE</x:v>
      </x:c>
      <x:c r="H231" s="30" t="str">
        <x:v>No</x:v>
      </x:c>
      <x:c r="I231" s="30" t="str">
        <x:v>P-3 QUARANTINED: Generic State/local/permit/reference rows, penalty-only/fabricated DAMR extractions, and future-effective DPDP duties are not current production obligations.</x:v>
      </x:c>
    </x:row>
    <x:row r="232">
      <x:c r="A232" s="30" t="str">
        <x:v>OBS231</x:v>
      </x:c>
      <x:c r="B232" s="30" t="str">
        <x:v>AUD480</x:v>
      </x:c>
      <x:c r="C232" s="30" t="str">
        <x:v>Internal audit reports were issued after significant delays or mandatory reporting timelines were not achieved.</x:v>
      </x:c>
      <x:c r="D232" s="30" t="str">
        <x:v>Medium</x:v>
      </x:c>
      <x:c r="E232" s="30" t="str">
        <x:v>Issue audit reports promptly after audit completion and monitor reporting performance.</x:v>
      </x:c>
      <x:c r="F232" s="30" t="str">
        <x:v>Regulatory Filing</x:v>
      </x:c>
      <x:c r="G232" s="30" t="str">
        <x:v>CORE</x:v>
      </x:c>
      <x:c r="H232" s="30" t="str">
        <x:v>No</x:v>
      </x:c>
      <x:c r="I232" s="30" t="str">
        <x:v>P-3 QUARANTINED: Generic State/local/permit/reference rows, penalty-only/fabricated DAMR extractions, and future-effective DPDP duties are not current production obligations.</x:v>
      </x:c>
    </x:row>
    <x:row r="233">
      <x:c r="A233" s="30" t="str">
        <x:v>OBS232</x:v>
      </x:c>
      <x:c r="B233" s="30" t="str">
        <x:v>AUD482</x:v>
      </x:c>
      <x:c r="C233" s="30" t="str">
        <x:v>Management responses to audit observations were incomplete, delayed or lacked committed corrective actions.</x:v>
      </x:c>
      <x:c r="D233" s="30" t="str">
        <x:v>Medium</x:v>
      </x:c>
      <x:c r="E233" s="30" t="str">
        <x:v>Require formal management responses with defined responsibilities and implementation timelines.</x:v>
      </x:c>
      <x:c r="F233" s="30" t="str">
        <x:v>Other</x:v>
      </x:c>
      <x:c r="G233" s="30" t="str">
        <x:v>CORE</x:v>
      </x:c>
      <x:c r="H233" s="30" t="str">
        <x:v>No</x:v>
      </x:c>
      <x:c r="I233" s="30" t="str">
        <x:v>P-3 QUARANTINED: Generic State/local/permit/reference rows, penalty-only/fabricated DAMR extractions, and future-effective DPDP duties are not current production obligations.</x:v>
      </x:c>
    </x:row>
    <x:row r="234">
      <x:c r="A234" s="30" t="str">
        <x:v>OBS233</x:v>
      </x:c>
      <x:c r="B234" s="30" t="str">
        <x:v>AUD484</x:v>
      </x:c>
      <x:c r="C234" s="30" t="str">
        <x:v>Corrective and preventive actions (CAPA) arising from audit findings were overdue or ineffective.</x:v>
      </x:c>
      <x:c r="D234" s="30" t="str">
        <x:v>High</x:v>
      </x:c>
      <x:c r="E234" s="30" t="str">
        <x:v>Track all CAPA items through formal monitoring until effectiveness has been verified.</x:v>
      </x:c>
      <x:c r="F234" s="30" t="str">
        <x:v>Quality</x:v>
      </x:c>
      <x:c r="G234" s="30" t="str">
        <x:v>CORE</x:v>
      </x:c>
      <x:c r="H234" s="30" t="str">
        <x:v>No</x:v>
      </x:c>
      <x:c r="I234" s="30" t="str">
        <x:v>P-3 QUARANTINED: Generic State/local/permit/reference rows, penalty-only/fabricated DAMR extractions, and future-effective DPDP duties are not current production obligations.</x:v>
      </x:c>
    </x:row>
    <x:row r="235">
      <x:c r="A235" s="30" t="str">
        <x:v>OBS234</x:v>
      </x:c>
      <x:c r="B235" s="30" t="str">
        <x:v>AUD486</x:v>
      </x:c>
      <x:c r="C235" s="30" t="str">
        <x:v>Follow-up audits were not conducted to verify implementation and effectiveness of corrective actions.</x:v>
      </x:c>
      <x:c r="D235" s="30" t="str">
        <x:v>Medium</x:v>
      </x:c>
      <x:c r="E235" s="30" t="str">
        <x:v>Schedule follow-up audits to validate CAPA implementation before formal closure.</x:v>
      </x:c>
      <x:c r="F235" s="30" t="str">
        <x:v>Quality</x:v>
      </x:c>
      <x:c r="G235" s="30" t="str">
        <x:v>CORE</x:v>
      </x:c>
      <x:c r="H235" s="30" t="str">
        <x:v>No</x:v>
      </x:c>
      <x:c r="I235" s="30" t="str">
        <x:v>P-3 QUARANTINED: Generic State/local/permit/reference rows, penalty-only/fabricated DAMR extractions, and future-effective DPDP duties are not current production obligations.</x:v>
      </x:c>
    </x:row>
    <x:row r="236">
      <x:c r="A236" s="30" t="str">
        <x:v>OBS235</x:v>
      </x:c>
      <x:c r="B236" s="30" t="str">
        <x:v>AUD488</x:v>
      </x:c>
      <x:c r="C236" s="30" t="str">
        <x:v>Recurring audit observations indicated ineffective root cause analysis or inadequate preventive controls.</x:v>
      </x:c>
      <x:c r="D236" s="30" t="str">
        <x:v>High</x:v>
      </x:c>
      <x:c r="E236" s="30" t="str">
        <x:v>Perform comprehensive root cause analysis and strengthen preventive controls to eliminate recurring issues.</x:v>
      </x:c>
      <x:c r="F236" s="30" t="str">
        <x:v>Other</x:v>
      </x:c>
      <x:c r="G236" s="30" t="str">
        <x:v>CORE</x:v>
      </x:c>
      <x:c r="H236" s="30" t="str">
        <x:v>No</x:v>
      </x:c>
      <x:c r="I236" s="30" t="str">
        <x:v>P-3 QUARANTINED: Generic State/local/permit/reference rows, penalty-only/fabricated DAMR extractions, and future-effective DPDP duties are not current production obligations.</x:v>
      </x:c>
    </x:row>
    <x:row r="237">
      <x:c r="A237" s="30" t="str">
        <x:v>OBS236</x:v>
      </x:c>
      <x:c r="B237" s="30" t="str">
        <x:v>AUD490</x:v>
      </x:c>
      <x:c r="C237" s="30" t="str">
        <x:v>Maintain pharmacy premises, records and operations in a state of inspection readiness at all times. was not demonstrated or did not operate effectively for the sample tested.</x:v>
      </x:c>
      <x:c r="D237" s="30" t="str">
        <x:v>High</x:v>
      </x:c>
      <x:c r="E237" s="30" t="str">
        <x:v>Implement the requirement, assign ownership, correct affected records or transactions, and retain evidence of operating effectiveness: Maintain pharmacy premises, records and operations in a state of inspection readiness at all times.</x:v>
      </x:c>
      <x:c r="F237" s="30" t="str">
        <x:v>CA077</x:v>
      </x:c>
      <x:c r="G237" s="30" t="str">
        <x:v>CORE</x:v>
      </x:c>
      <x:c r="H237" s="30" t="str">
        <x:v>Yes</x:v>
      </x:c>
      <x:c r="I237" s="30" t="str">
        <x:v>P-4 aligned to the normalized parent audit; legacy Observation ID preserved.</x:v>
      </x:c>
    </x:row>
    <x:row r="238">
      <x:c r="A238" s="30" t="str">
        <x:v>OBS237</x:v>
      </x:c>
      <x:c r="B238" s="30" t="str">
        <x:v>AUD492</x:v>
      </x:c>
      <x:c r="C238" s="30" t="str">
        <x:v>Ensure statutory licences, approvals and registers are readily available for inspection. was not demonstrated or did not operate effectively for the sample tested.</x:v>
      </x:c>
      <x:c r="D238" s="30" t="str">
        <x:v>High</x:v>
      </x:c>
      <x:c r="E238" s="30" t="str">
        <x:v>Implement the requirement, assign ownership, correct affected records or transactions, and retain evidence of operating effectiveness: Ensure statutory licences, approvals and registers are readily available for inspection.</x:v>
      </x:c>
      <x:c r="F238" s="30" t="str">
        <x:v>CA019</x:v>
      </x:c>
      <x:c r="G238" s="30" t="str">
        <x:v>CORE</x:v>
      </x:c>
      <x:c r="H238" s="30" t="str">
        <x:v>Yes</x:v>
      </x:c>
      <x:c r="I238" s="30" t="str">
        <x:v>P-4 aligned to the normalized parent audit; legacy Observation ID preserved.</x:v>
      </x:c>
    </x:row>
    <x:row r="239">
      <x:c r="A239" s="30" t="str">
        <x:v>OBS238</x:v>
      </x:c>
      <x:c r="B239" s="30" t="str">
        <x:v>AUD494</x:v>
      </x:c>
      <x:c r="C239" s="30" t="str">
        <x:v>Maintain approved Standard Operating Procedures (SOPs) for all critical pharmacy processes. was not demonstrated or did not operate effectively for the sample tested.</x:v>
      </x:c>
      <x:c r="D239" s="30" t="str">
        <x:v>High</x:v>
      </x:c>
      <x:c r="E239" s="30" t="str">
        <x:v>Implement the requirement, assign ownership, correct affected records or transactions, and retain evidence of operating effectiveness: Maintain approved Standard Operating Procedures (SOPs) for all critical pharmacy processes.</x:v>
      </x:c>
      <x:c r="F239" s="30" t="str">
        <x:v>CA096</x:v>
      </x:c>
      <x:c r="G239" s="30" t="str">
        <x:v>CORE</x:v>
      </x:c>
      <x:c r="H239" s="30" t="str">
        <x:v>Yes</x:v>
      </x:c>
      <x:c r="I239" s="30" t="str">
        <x:v>P-4 aligned to the normalized parent audit; legacy Observation ID preserved.</x:v>
      </x:c>
    </x:row>
    <x:row r="240">
      <x:c r="A240" s="30" t="str">
        <x:v>OBS239</x:v>
      </x:c>
      <x:c r="B240" s="30" t="str">
        <x:v>AUD496</x:v>
      </x:c>
      <x:c r="C240" s="30" t="str">
        <x:v>Review and respond to inspection observations within timelines prescribed by the authority. was not demonstrated or did not operate effectively for the sample tested.</x:v>
      </x:c>
      <x:c r="D240" s="30" t="str">
        <x:v>High</x:v>
      </x:c>
      <x:c r="E240" s="30" t="str">
        <x:v>Implement the requirement, assign ownership, correct affected records or transactions, and retain evidence of operating effectiveness: Review and respond to inspection observations within timelines prescribed by the authority.</x:v>
      </x:c>
      <x:c r="F240" s="30" t="str">
        <x:v>CA097</x:v>
      </x:c>
      <x:c r="G240" s="30" t="str">
        <x:v>CORE</x:v>
      </x:c>
      <x:c r="H240" s="30" t="str">
        <x:v>Yes</x:v>
      </x:c>
      <x:c r="I240" s="30" t="str">
        <x:v>P-4 aligned to the normalized parent audit; legacy Observation ID preserved.</x:v>
      </x:c>
    </x:row>
    <x:row r="241">
      <x:c r="A241" s="30" t="str">
        <x:v>OBS240</x:v>
      </x:c>
      <x:c r="B241" s="30" t="str">
        <x:v>AUD498</x:v>
      </x:c>
      <x:c r="C241" s="30" t="str">
        <x:v>Implement corrective and preventive actions (CAPA) for all regulatory inspection observations. was not demonstrated or did not operate effectively for the sample tested.</x:v>
      </x:c>
      <x:c r="D241" s="30" t="str">
        <x:v>High</x:v>
      </x:c>
      <x:c r="E241" s="30" t="str">
        <x:v>Implement the requirement, assign ownership, correct affected records or transactions, and retain evidence of operating effectiveness: Implement corrective and preventive actions (CAPA) for all regulatory inspection observations.</x:v>
      </x:c>
      <x:c r="F241" s="30" t="str">
        <x:v>CA098</x:v>
      </x:c>
      <x:c r="G241" s="30" t="str">
        <x:v>CORE</x:v>
      </x:c>
      <x:c r="H241" s="30" t="str">
        <x:v>Yes</x:v>
      </x:c>
      <x:c r="I241" s="30" t="str">
        <x:v>P-4 aligned to the normalized parent audit; legacy Observation ID preserved.</x:v>
      </x:c>
    </x:row>
    <x:row r="242">
      <x:c r="A242" s="30" t="str">
        <x:v>OBS241</x:v>
      </x:c>
      <x:c r="B242" s="30" t="str">
        <x:v>AUD500</x:v>
      </x:c>
      <x:c r="C242" s="30" t="str">
        <x:v>Conduct periodic internal compliance reviews covering all applicable pharmacy regulations. was not demonstrated or did not operate effectively for the sample tested.</x:v>
      </x:c>
      <x:c r="D242" s="30" t="str">
        <x:v>High</x:v>
      </x:c>
      <x:c r="E242" s="30" t="str">
        <x:v>Implement the requirement, assign ownership, correct affected records or transactions, and retain evidence of operating effectiveness: Conduct periodic internal compliance reviews covering all applicable pharmacy regulations.</x:v>
      </x:c>
      <x:c r="F242" s="30" t="str">
        <x:v>CA083</x:v>
      </x:c>
      <x:c r="G242" s="30" t="str">
        <x:v>CORE</x:v>
      </x:c>
      <x:c r="H242" s="30" t="str">
        <x:v>Yes</x:v>
      </x:c>
      <x:c r="I242" s="30" t="str">
        <x:v>P-4 aligned to the normalized parent audit; legacy Observation ID preserved.</x:v>
      </x:c>
    </x:row>
    <x:row r="243">
      <x:c r="A243" s="30" t="str">
        <x:v>OBS242</x:v>
      </x:c>
      <x:c r="B243" s="30" t="str">
        <x:v>AUD502</x:v>
      </x:c>
      <x:c r="C243" s="30" t="str">
        <x:v>Establish and maintain an enterprise compliance governance framework. was not demonstrated or did not operate effectively for the sample tested.</x:v>
      </x:c>
      <x:c r="D243" s="30" t="str">
        <x:v>High</x:v>
      </x:c>
      <x:c r="E243" s="30" t="str">
        <x:v>Implement the requirement, assign ownership, correct affected records or transactions, and retain evidence of operating effectiveness: Establish and maintain an enterprise compliance governance framework.</x:v>
      </x:c>
      <x:c r="F243" s="30" t="str">
        <x:v>CA099</x:v>
      </x:c>
      <x:c r="G243" s="30" t="str">
        <x:v>CORE</x:v>
      </x:c>
      <x:c r="H243" s="30" t="str">
        <x:v>Yes</x:v>
      </x:c>
      <x:c r="I243" s="30" t="str">
        <x:v>P-4 aligned to the normalized parent audit; legacy Observation ID preserved.</x:v>
      </x:c>
    </x:row>
    <x:row r="244">
      <x:c r="A244" s="30" t="str">
        <x:v>OBS243</x:v>
      </x:c>
      <x:c r="B244" s="30" t="str">
        <x:v>AUD504</x:v>
      </x:c>
      <x:c r="C244" s="30" t="str">
        <x:v>Assign clear ownership and accountability for every regulatory compliance obligation. was not demonstrated or did not operate effectively for the sample tested.</x:v>
      </x:c>
      <x:c r="D244" s="30" t="str">
        <x:v>High</x:v>
      </x:c>
      <x:c r="E244" s="30" t="str">
        <x:v>Implement the requirement, assign ownership, correct affected records or transactions, and retain evidence of operating effectiveness: Assign clear ownership and accountability for every regulatory compliance obligation.</x:v>
      </x:c>
      <x:c r="F244" s="30" t="str">
        <x:v>CA100</x:v>
      </x:c>
      <x:c r="G244" s="30" t="str">
        <x:v>CORE</x:v>
      </x:c>
      <x:c r="H244" s="30" t="str">
        <x:v>Yes</x:v>
      </x:c>
      <x:c r="I244" s="30" t="str">
        <x:v>P-4 aligned to the normalized parent audit; legacy Observation ID preserved.</x:v>
      </x:c>
    </x:row>
    <x:row r="245">
      <x:c r="A245" s="30" t="str">
        <x:v>OBS244</x:v>
      </x:c>
      <x:c r="B245" s="30" t="str">
        <x:v>AUD506</x:v>
      </x:c>
      <x:c r="C245" s="30" t="str">
        <x:v>Monitor regulatory updates and assess their impact on pharmacy operations. was not demonstrated or did not operate effectively for the sample tested.</x:v>
      </x:c>
      <x:c r="D245" s="30" t="str">
        <x:v>High</x:v>
      </x:c>
      <x:c r="E245" s="30" t="str">
        <x:v>Implement the requirement, assign ownership, correct affected records or transactions, and retain evidence of operating effectiveness: Monitor regulatory updates and assess their impact on pharmacy operations.</x:v>
      </x:c>
      <x:c r="F245" s="30" t="str">
        <x:v>CA084</x:v>
      </x:c>
      <x:c r="G245" s="30" t="str">
        <x:v>CORE</x:v>
      </x:c>
      <x:c r="H245" s="30" t="str">
        <x:v>Yes</x:v>
      </x:c>
      <x:c r="I245" s="30" t="str">
        <x:v>P-4 aligned to the normalized parent audit; legacy Observation ID preserved.</x:v>
      </x:c>
    </x:row>
    <x:row r="246">
      <x:c r="A246" s="30" t="str">
        <x:v>OBS245</x:v>
      </x:c>
      <x:c r="B246" s="30" t="str">
        <x:v>AUD508</x:v>
      </x:c>
      <x:c r="C246" s="30" t="str">
        <x:v>Maintain a compliance calendar covering all statutory obligations and due dates. was not demonstrated or did not operate effectively for the sample tested.</x:v>
      </x:c>
      <x:c r="D246" s="30" t="str">
        <x:v>High</x:v>
      </x:c>
      <x:c r="E246" s="30" t="str">
        <x:v>Implement the requirement, assign ownership, correct affected records or transactions, and retain evidence of operating effectiveness: Maintain a compliance calendar covering all statutory obligations and due dates.</x:v>
      </x:c>
      <x:c r="F246" s="30" t="str">
        <x:v>CA088</x:v>
      </x:c>
      <x:c r="G246" s="30" t="str">
        <x:v>CORE</x:v>
      </x:c>
      <x:c r="H246" s="30" t="str">
        <x:v>Yes</x:v>
      </x:c>
      <x:c r="I246" s="30" t="str">
        <x:v>P-4 aligned to the normalized parent audit; legacy Observation ID preserved.</x:v>
      </x:c>
    </x:row>
    <x:row r="247">
      <x:c r="A247" s="30" t="str">
        <x:v>OBS246</x:v>
      </x:c>
      <x:c r="B247" s="30" t="str">
        <x:v>AUD510</x:v>
      </x:c>
      <x:c r="C247" s="30" t="str">
        <x:v>Submit periodic compliance reports to senior management. was not demonstrated or did not operate effectively for the sample tested.</x:v>
      </x:c>
      <x:c r="D247" s="30" t="str">
        <x:v>High</x:v>
      </x:c>
      <x:c r="E247" s="30" t="str">
        <x:v>Implement the requirement, assign ownership, correct affected records or transactions, and retain evidence of operating effectiveness: Submit periodic compliance reports to senior management.</x:v>
      </x:c>
      <x:c r="F247" s="30" t="str">
        <x:v>CA086</x:v>
      </x:c>
      <x:c r="G247" s="30" t="str">
        <x:v>CORE</x:v>
      </x:c>
      <x:c r="H247" s="30" t="str">
        <x:v>Yes</x:v>
      </x:c>
      <x:c r="I247" s="30" t="str">
        <x:v>P-4 aligned to the normalized parent audit; legacy Observation ID preserved.</x:v>
      </x:c>
    </x:row>
    <x:row r="248">
      <x:c r="A248" s="30" t="str">
        <x:v>OBS247</x:v>
      </x:c>
      <x:c r="B248" s="30" t="str">
        <x:v>AUD512</x:v>
      </x:c>
      <x:c r="C248" s="30" t="str">
        <x:v>Perform periodic regulatory risk assessments and document mitigation measures. was not demonstrated or did not operate effectively for the sample tested.</x:v>
      </x:c>
      <x:c r="D248" s="30" t="str">
        <x:v>High</x:v>
      </x:c>
      <x:c r="E248" s="30" t="str">
        <x:v>Implement the requirement, assign ownership, correct affected records or transactions, and retain evidence of operating effectiveness: Perform periodic regulatory risk assessments and document mitigation measures.</x:v>
      </x:c>
      <x:c r="F248" s="30" t="str">
        <x:v>CA087</x:v>
      </x:c>
      <x:c r="G248" s="30" t="str">
        <x:v>CORE</x:v>
      </x:c>
      <x:c r="H248" s="30" t="str">
        <x:v>Yes</x:v>
      </x:c>
      <x:c r="I248" s="30" t="str">
        <x:v>P-4 aligned to the normalized parent audit; legacy Observation ID preserved.</x:v>
      </x:c>
    </x:row>
    <x:row r="249">
      <x:c r="A249" s="30" t="str">
        <x:v>OBS248</x:v>
      </x:c>
      <x:c r="B249" s="30" t="str">
        <x:v>AUD514</x:v>
      </x:c>
      <x:c r="C249" s="30" t="str">
        <x:v>Conduct independent internal audits to evaluate regulatory compliance effectiveness. was not demonstrated or did not operate effectively for the sample tested.</x:v>
      </x:c>
      <x:c r="D249" s="30" t="str">
        <x:v>High</x:v>
      </x:c>
      <x:c r="E249" s="30" t="str">
        <x:v>Implement the requirement, assign ownership, correct affected records or transactions, and retain evidence of operating effectiveness: Conduct independent internal audits to evaluate regulatory compliance effectiveness.</x:v>
      </x:c>
      <x:c r="F249" s="30" t="str">
        <x:v>CA083</x:v>
      </x:c>
      <x:c r="G249" s="30" t="str">
        <x:v>CORE</x:v>
      </x:c>
      <x:c r="H249" s="30" t="str">
        <x:v>Yes</x:v>
      </x:c>
      <x:c r="I249" s="30" t="str">
        <x:v>P-4 aligned to the normalized parent audit; legacy Observation ID preserved.</x:v>
      </x:c>
    </x:row>
    <x:row r="250">
      <x:c r="A250" s="30" t="str">
        <x:v>OBS249</x:v>
      </x:c>
      <x:c r="B250" s="30" t="str">
        <x:v>AUD516</x:v>
      </x:c>
      <x:c r="C250" s="30" t="str">
        <x:v>Maintain controlled regulatory documents with version control, approval history and archival records. was not demonstrated or did not operate effectively for the sample tested.</x:v>
      </x:c>
      <x:c r="D250" s="30" t="str">
        <x:v>High</x:v>
      </x:c>
      <x:c r="E250" s="30" t="str">
        <x:v>Implement the requirement, assign ownership, correct affected records or transactions, and retain evidence of operating effectiveness: Maintain controlled regulatory documents with version control, approval history and archival records.</x:v>
      </x:c>
      <x:c r="F250" s="30" t="str">
        <x:v>CA097</x:v>
      </x:c>
      <x:c r="G250" s="30" t="str">
        <x:v>CORE</x:v>
      </x:c>
      <x:c r="H250" s="30" t="str">
        <x:v>Yes</x:v>
      </x:c>
      <x:c r="I250" s="30" t="str">
        <x:v>P-4 aligned to the normalized parent audit; legacy Observation ID preserved.</x:v>
      </x:c>
    </x:row>
    <x:row r="251">
      <x:c r="A251" s="30" t="str">
        <x:v>OBS250</x:v>
      </x:c>
      <x:c r="B251" s="30" t="str">
        <x:v>AUD519</x:v>
      </x:c>
      <x:c r="C251" s="30" t="str">
        <x:v>Periodically review and improve the compliance management system through continual improvement initiatives. was not demonstrated or did not operate effectively for the sample tested.</x:v>
      </x:c>
      <x:c r="D251" s="30" t="str">
        <x:v>High</x:v>
      </x:c>
      <x:c r="E251" s="30" t="str">
        <x:v>Implement the requirement, assign ownership, correct affected records or transactions, and retain evidence of operating effectiveness: Periodically review and improve the compliance management system through continual improvement initiatives.</x:v>
      </x:c>
      <x:c r="F251" s="30" t="str">
        <x:v>CA089</x:v>
      </x:c>
      <x:c r="G251" s="30" t="str">
        <x:v>CORE</x:v>
      </x:c>
      <x:c r="H251" s="30" t="str">
        <x:v>Yes</x:v>
      </x:c>
      <x:c r="I251" s="30" t="str">
        <x:v>P-4 aligned to the normalized parent audit; legacy Observation ID preserved.</x:v>
      </x:c>
    </x:row>
    <x:row r="252">
      <x:c r="A252" s="30" t="str">
        <x:v>ROBS001</x:v>
      </x:c>
      <x:c r="B252" s="30" t="str">
        <x:v>RAUD001</x:v>
      </x:c>
      <x:c r="C252" s="30" t="str">
        <x:v>Home delivery records were incomplete or pharmacist authorization was missing for sampled prescriptions.</x:v>
      </x:c>
      <x:c r="D252" s="30" t="str">
        <x:v>High</x:v>
      </x:c>
      <x:c r="E252" s="30" t="str">
        <x:v>Strengthen delivery verification controls and ensure pharmacist authorization before dispatch.</x:v>
      </x:c>
      <x:c r="F252" s="30" t="str">
        <x:v>Digital / E-Pharmacy</x:v>
      </x:c>
      <x:c r="G252" s="30" t="str">
        <x:v>RETAIL</x:v>
      </x:c>
      <x:c r="H252" s="30" t="str">
        <x:v>Yes</x:v>
      </x:c>
      <x:c r="I252" s="30" t="str">
        <x:v>Open until CAPA closure</x:v>
      </x:c>
    </x:row>
    <x:row r="253">
      <x:c r="A253" s="30" t="str">
        <x:v>ROBS002</x:v>
      </x:c>
      <x:c r="B253" s="30" t="str">
        <x:v>RAUD002</x:v>
      </x:c>
      <x:c r="C253" s="30" t="str">
        <x:v>Customer identity verification was not consistently documented during Click &amp; Collect transactions.</x:v>
      </x:c>
      <x:c r="D253" s="30" t="str">
        <x:v>Medium</x:v>
      </x:c>
      <x:c r="E253" s="30" t="str">
        <x:v>Implement mandatory identity verification checklist before medicine handover.</x:v>
      </x:c>
      <x:c r="F253" s="30" t="str">
        <x:v>Digital / E-Pharmacy</x:v>
      </x:c>
      <x:c r="G253" s="30" t="str">
        <x:v>RETAIL</x:v>
      </x:c>
      <x:c r="H253" s="30" t="str">
        <x:v>Yes</x:v>
      </x:c>
      <x:c r="I253" s="30" t="str">
        <x:v>Review quarterly</x:v>
      </x:c>
    </x:row>
    <x:row r="254">
      <x:c r="A254" s="30" t="str">
        <x:v>ROBS003</x:v>
      </x:c>
      <x:c r="B254" s="30" t="str">
        <x:v>RAUD003</x:v>
      </x:c>
      <x:c r="C254" s="30" t="str">
        <x:v>Prescription medicines were accessible to customers without pharmacist intervention.</x:v>
      </x:c>
      <x:c r="D254" s="30" t="str">
        <x:v>High</x:v>
      </x:c>
      <x:c r="E254" s="30" t="str">
        <x:v>Reorganize shelves to comply with prescription medicine access restrictions.</x:v>
      </x:c>
      <x:c r="F254" s="30" t="str">
        <x:v>Prescription</x:v>
      </x:c>
      <x:c r="G254" s="30" t="str">
        <x:v>RETAIL</x:v>
      </x:c>
      <x:c r="H254" s="30" t="str">
        <x:v>Yes</x:v>
      </x:c>
      <x:c r="I254" s="30" t="str">
        <x:v>Immediate corrective action required</x:v>
      </x:c>
    </x:row>
    <x:row r="255">
      <x:c r="A255" s="30" t="str">
        <x:v>ROBS004</x:v>
      </x:c>
      <x:c r="B255" s="30" t="str">
        <x:v>RAUD004</x:v>
      </x:c>
      <x:c r="C255" s="30" t="str">
        <x:v>Mandatory consumer information displays were outdated or incomplete.</x:v>
      </x:c>
      <x:c r="D255" s="30" t="str">
        <x:v>Medium</x:v>
      </x:c>
      <x:c r="E255" s="30" t="str">
        <x:v>Update statutory notices and establish periodic display verification.</x:v>
      </x:c>
      <x:c r="F255" s="30" t="str">
        <x:v>Documentation</x:v>
      </x:c>
      <x:c r="G255" s="30" t="str">
        <x:v>RETAIL</x:v>
      </x:c>
      <x:c r="H255" s="30" t="str">
        <x:v>Yes</x:v>
      </x:c>
      <x:c r="I255" s="30" t="str">
        <x:v>Verify next audit cycle</x:v>
      </x:c>
    </x:row>
    <x:row r="256">
      <x:c r="A256" s="30" t="str">
        <x:v>ROBS005</x:v>
      </x:c>
      <x:c r="B256" s="30" t="str">
        <x:v>RAUD005</x:v>
      </x:c>
      <x:c r="C256" s="30" t="str">
        <x:v>Billing records did not fully reconcile with dispensing and inventory transactions.</x:v>
      </x:c>
      <x:c r="D256" s="30" t="str">
        <x:v>High</x:v>
      </x:c>
      <x:c r="E256" s="30" t="str">
        <x:v>Perform periodic reconciliation and investigate variances promptly.</x:v>
      </x:c>
      <x:c r="F256" s="30" t="str">
        <x:v>Inventory</x:v>
      </x:c>
      <x:c r="G256" s="30" t="str">
        <x:v>RETAIL</x:v>
      </x:c>
      <x:c r="H256" s="30" t="str">
        <x:v>Yes</x:v>
      </x:c>
      <x:c r="I256" s="30" t="str">
        <x:v>Finance review required</x:v>
      </x:c>
    </x:row>
    <x:row r="257">
      <x:c r="A257" s="30" t="str">
        <x:v>ROBS006</x:v>
      </x:c>
      <x:c r="B257" s="30" t="str">
        <x:v>RAUD006</x:v>
      </x:c>
      <x:c r="C257" s="30" t="str">
        <x:v>Reserved medicines were not adequately segregated from saleable stock.</x:v>
      </x:c>
      <x:c r="D257" s="30" t="str">
        <x:v>Medium</x:v>
      </x:c>
      <x:c r="E257" s="30" t="str">
        <x:v>Implement physical segregation with reservation identification labels.</x:v>
      </x:c>
      <x:c r="F257" s="30" t="str">
        <x:v>Storage</x:v>
      </x:c>
      <x:c r="G257" s="30" t="str">
        <x:v>RETAIL</x:v>
      </x:c>
      <x:c r="H257" s="30" t="str">
        <x:v>Yes</x:v>
      </x:c>
      <x:c r="I257" s="30" t="str">
        <x:v>Inventory improvement</x:v>
      </x:c>
    </x:row>
    <x:row r="258">
      <x:c r="A258" s="30" t="str">
        <x:v>ROBS007</x:v>
      </x:c>
      <x:c r="B258" s="30" t="str">
        <x:v>RAUD007</x:v>
      </x:c>
      <x:c r="C258" s="30" t="str">
        <x:v>Daily opening inspection checklist was incomplete for sampled dates.</x:v>
      </x:c>
      <x:c r="D258" s="30" t="str">
        <x:v>Medium</x:v>
      </x:c>
      <x:c r="E258" s="30" t="str">
        <x:v>Enforce supervisor review before pharmacy opening.</x:v>
      </x:c>
      <x:c r="F258" s="30" t="str">
        <x:v>Documentation</x:v>
      </x:c>
      <x:c r="G258" s="30" t="str">
        <x:v>RETAIL</x:v>
      </x:c>
      <x:c r="H258" s="30" t="str">
        <x:v>Yes</x:v>
      </x:c>
      <x:c r="I258" s="30" t="str">
        <x:v>Monitor monthly</x:v>
      </x:c>
    </x:row>
    <x:row r="259">
      <x:c r="A259" s="30" t="str">
        <x:v>ROBS008</x:v>
      </x:c>
      <x:c r="B259" s="30" t="str">
        <x:v>RAUD008</x:v>
      </x:c>
      <x:c r="C259" s="30" t="str">
        <x:v>Pharmacy licence or pharmacist information display was partially missing.</x:v>
      </x:c>
      <x:c r="D259" s="30" t="str">
        <x:v>Low</x:v>
      </x:c>
      <x:c r="E259" s="30" t="str">
        <x:v>Update public display immediately and include monthly verification.</x:v>
      </x:c>
      <x:c r="F259" s="30" t="str">
        <x:v>Licensing</x:v>
      </x:c>
      <x:c r="G259" s="30" t="str">
        <x:v>RETAIL</x:v>
      </x:c>
      <x:c r="H259" s="30" t="str">
        <x:v>Yes</x:v>
      </x:c>
      <x:c r="I259" s="30" t="str">
        <x:v>Minor observation</x:v>
      </x:c>
    </x:row>
    <x:row r="260">
      <x:c r="A260" s="30" t="str">
        <x:v>ROBS009</x:v>
      </x:c>
      <x:c r="B260" s="30" t="str">
        <x:v>RAUD009</x:v>
      </x:c>
      <x:c r="C260" s="30" t="str">
        <x:v>Returned medicine documentation lacked complete disposition evidence.</x:v>
      </x:c>
      <x:c r="D260" s="30" t="str">
        <x:v>High</x:v>
      </x:c>
      <x:c r="E260" s="30" t="str">
        <x:v>Maintain complete return-to-disposal traceability records.</x:v>
      </x:c>
      <x:c r="F260" s="30" t="str">
        <x:v>Regulatory Filing</x:v>
      </x:c>
      <x:c r="G260" s="30" t="str">
        <x:v>RETAIL</x:v>
      </x:c>
      <x:c r="H260" s="30" t="str">
        <x:v>Yes</x:v>
      </x:c>
      <x:c r="I260" s="30" t="str">
        <x:v>CAPA required</x:v>
      </x:c>
    </x:row>
    <x:row r="261">
      <x:c r="A261" s="30" t="str">
        <x:v>ROBS010</x:v>
      </x:c>
      <x:c r="B261" s="30" t="str">
        <x:v>RAUD010</x:v>
      </x:c>
      <x:c r="C261" s="30" t="str">
        <x:v>Counselling documentation for high-risk medicines was inconsistent.</x:v>
      </x:c>
      <x:c r="D261" s="30" t="str">
        <x:v>High</x:v>
      </x:c>
      <x:c r="E261" s="30" t="str">
        <x:v>Standardize pharmacist counselling documentation.</x:v>
      </x:c>
      <x:c r="F261" s="30" t="str">
        <x:v>Personnel</x:v>
      </x:c>
      <x:c r="G261" s="30" t="str">
        <x:v>RETAIL</x:v>
      </x:c>
      <x:c r="H261" s="30" t="str">
        <x:v>Yes</x:v>
      </x:c>
      <x:c r="I261" s="30" t="str">
        <x:v>Clinical review required</x:v>
      </x:c>
    </x:row>
    <x:row r="262">
      <x:c r="A262" s="30" t="str">
        <x:v>ROBS011</x:v>
      </x:c>
      <x:c r="B262" s="30" t="str">
        <x:v>RAUD011</x:v>
      </x:c>
      <x:c r="C262" s="30" t="str">
        <x:v>Prescription authenticity verification procedures were not consistently evidenced.</x:v>
      </x:c>
      <x:c r="D262" s="30" t="str">
        <x:v>High</x:v>
      </x:c>
      <x:c r="E262" s="30" t="str">
        <x:v>Introduce mandatory verification checklist for all applicable prescriptions.</x:v>
      </x:c>
      <x:c r="F262" s="30" t="str">
        <x:v>Digital / E-Pharmacy</x:v>
      </x:c>
      <x:c r="G262" s="30" t="str">
        <x:v>RETAIL</x:v>
      </x:c>
      <x:c r="H262" s="30" t="str">
        <x:v>Yes</x:v>
      </x:c>
      <x:c r="I262" s="30" t="str">
        <x:v>Compliance issue</x:v>
      </x:c>
    </x:row>
    <x:row r="263">
      <x:c r="A263" s="30" t="str">
        <x:v>ROBS012</x:v>
      </x:c>
      <x:c r="B263" s="30" t="str">
        <x:v>RAUD012</x:v>
      </x:c>
      <x:c r="C263" s="30" t="str">
        <x:v>Continuous pharmacist supervision could not be demonstrated for selected shifts.</x:v>
      </x:c>
      <x:c r="D263" s="30" t="str">
        <x:v>High</x:v>
      </x:c>
      <x:c r="E263" s="30" t="str">
        <x:v>Strengthen roster management and attendance monitoring.</x:v>
      </x:c>
      <x:c r="F263" s="30" t="str">
        <x:v>Personnel</x:v>
      </x:c>
      <x:c r="G263" s="30" t="str">
        <x:v>RETAIL</x:v>
      </x:c>
      <x:c r="H263" s="30" t="str">
        <x:v>Yes</x:v>
      </x:c>
      <x:c r="I263" s="30" t="str">
        <x:v>Regulatory significance</x:v>
      </x:c>
    </x:row>
    <x:row r="264">
      <x:c r="A264" s="30" t="str">
        <x:v>ROBS013</x:v>
      </x:c>
      <x:c r="B264" s="30" t="str">
        <x:v>RAUD013</x:v>
      </x:c>
      <x:c r="C264" s="30" t="str">
        <x:v>Electronic prescription archive controls were not fully documented.</x:v>
      </x:c>
      <x:c r="D264" s="30" t="str">
        <x:v>High</x:v>
      </x:c>
      <x:c r="E264" s="30" t="str">
        <x:v>Improve audit logging and archive governance.</x:v>
      </x:c>
      <x:c r="F264" s="30" t="str">
        <x:v>Prescription</x:v>
      </x:c>
      <x:c r="G264" s="30" t="str">
        <x:v>RETAIL</x:v>
      </x:c>
      <x:c r="H264" s="30" t="str">
        <x:v>Yes</x:v>
      </x:c>
      <x:c r="I264" s="30" t="str">
        <x:v>IT follow-up required</x:v>
      </x:c>
    </x:row>
    <x:row r="265">
      <x:c r="A265" s="30" t="str">
        <x:v>ROBS014</x:v>
      </x:c>
      <x:c r="B265" s="30" t="str">
        <x:v>RAUD014</x:v>
      </x:c>
      <x:c r="C265" s="30" t="str">
        <x:v>Cold-chain documentation showed isolated temperature recording gaps.</x:v>
      </x:c>
      <x:c r="D265" s="30" t="str">
        <x:v>High</x:v>
      </x:c>
      <x:c r="E265" s="30" t="str">
        <x:v>Enhance continuous temperature monitoring and exception management.</x:v>
      </x:c>
      <x:c r="F265" s="30" t="str">
        <x:v>Storage</x:v>
      </x:c>
      <x:c r="G265" s="30" t="str">
        <x:v>RETAIL</x:v>
      </x:c>
      <x:c r="H265" s="30" t="str">
        <x:v>Yes</x:v>
      </x:c>
      <x:c r="I265" s="30" t="str">
        <x:v>Cold-chain CAPA</x:v>
      </x:c>
    </x:row>
    <x:row r="266">
      <x:c r="A266" s="30" t="str">
        <x:v>ROBS015</x:v>
      </x:c>
      <x:c r="B266" s="30" t="str">
        <x:v>RAUD015</x:v>
      </x:c>
      <x:c r="C266" s="30" t="str">
        <x:v>Dispensing records lacked complete batch or expiry traceability for sampled medicines.</x:v>
      </x:c>
      <x:c r="D266" s="30" t="str">
        <x:v>High</x:v>
      </x:c>
      <x:c r="E266" s="30" t="str">
        <x:v>Make traceability fields mandatory in dispensing workflow.</x:v>
      </x:c>
      <x:c r="F266" s="30" t="str">
        <x:v>Storage</x:v>
      </x:c>
      <x:c r="G266" s="30" t="str">
        <x:v>RETAIL</x:v>
      </x:c>
      <x:c r="H266" s="30" t="str">
        <x:v>Yes</x:v>
      </x:c>
      <x:c r="I266" s="30" t="str">
        <x:v>Immediate improvement</x:v>
      </x:c>
    </x:row>
    <x:row r="267">
      <x:c r="A267" s="30" t="str">
        <x:v>ROBS016</x:v>
      </x:c>
      <x:c r="B267" s="30" t="str">
        <x:v>RAUD016</x:v>
      </x:c>
      <x:c r="C267" s="30" t="str">
        <x:v>Customer rights and complaint information was not consistently displayed.</x:v>
      </x:c>
      <x:c r="D267" s="30" t="str">
        <x:v>Medium</x:v>
      </x:c>
      <x:c r="E267" s="30" t="str">
        <x:v>Standardize statutory customer information displays.</x:v>
      </x:c>
      <x:c r="F267" s="30" t="str">
        <x:v>Quality</x:v>
      </x:c>
      <x:c r="G267" s="30" t="str">
        <x:v>RETAIL</x:v>
      </x:c>
      <x:c r="H267" s="30" t="str">
        <x:v>Yes</x:v>
      </x:c>
      <x:c r="I267" s="30" t="str">
        <x:v>Follow-up inspection</x:v>
      </x:c>
    </x:row>
    <x:row r="268">
      <x:c r="A268" s="30" t="str">
        <x:v>ROBS017</x:v>
      </x:c>
      <x:c r="B268" s="30" t="str">
        <x:v>RAUD017</x:v>
      </x:c>
      <x:c r="C268" s="30" t="str">
        <x:v>Access logs for high-risk medicines were incomplete.</x:v>
      </x:c>
      <x:c r="D268" s="30" t="str">
        <x:v>High</x:v>
      </x:c>
      <x:c r="E268" s="30" t="str">
        <x:v>Enforce access logging and periodic supervisory review.</x:v>
      </x:c>
      <x:c r="F268" s="30" t="str">
        <x:v>Documentation</x:v>
      </x:c>
      <x:c r="G268" s="30" t="str">
        <x:v>RETAIL</x:v>
      </x:c>
      <x:c r="H268" s="30" t="str">
        <x:v>Yes</x:v>
      </x:c>
      <x:c r="I268" s="30" t="str">
        <x:v>Security enhancement</x:v>
      </x:c>
    </x:row>
    <x:row r="269">
      <x:c r="A269" s="30" t="str">
        <x:v>ROBS018</x:v>
      </x:c>
      <x:c r="B269" s="30" t="str">
        <x:v>RAUD018</x:v>
      </x:c>
      <x:c r="C269" s="30" t="str">
        <x:v>Promotional materials lacked documented regulatory approval.</x:v>
      </x:c>
      <x:c r="D269" s="30" t="str">
        <x:v>Medium</x:v>
      </x:c>
      <x:c r="E269" s="30" t="str">
        <x:v>Route all promotional materials through compliance approval workflow.</x:v>
      </x:c>
      <x:c r="F269" s="30" t="str">
        <x:v>Digital / E-Pharmacy</x:v>
      </x:c>
      <x:c r="G269" s="30" t="str">
        <x:v>RETAIL</x:v>
      </x:c>
      <x:c r="H269" s="30" t="str">
        <x:v>Yes</x:v>
      </x:c>
      <x:c r="I269" s="30" t="str">
        <x:v>Marketing compliance</x:v>
      </x:c>
    </x:row>
    <x:row r="270">
      <x:c r="A270" s="30" t="str">
        <x:v>ROBS019</x:v>
      </x:c>
      <x:c r="B270" s="30" t="str">
        <x:v>RAUD019</x:v>
      </x:c>
      <x:c r="C270" s="30" t="str">
        <x:v>Controlled medicine reconciliation identified unexplained stock variance.</x:v>
      </x:c>
      <x:c r="D270" s="30" t="str">
        <x:v>High</x:v>
      </x:c>
      <x:c r="E270" s="30" t="str">
        <x:v>Investigate discrepancies immediately and strengthen reconciliation controls.</x:v>
      </x:c>
      <x:c r="F270" s="30" t="str">
        <x:v>Inventory</x:v>
      </x:c>
      <x:c r="G270" s="30" t="str">
        <x:v>RETAIL</x:v>
      </x:c>
      <x:c r="H270" s="30" t="str">
        <x:v>Yes</x:v>
      </x:c>
      <x:c r="I270" s="30" t="str">
        <x:v>Critical observation</x:v>
      </x:c>
    </x:row>
    <x:row r="271">
      <x:c r="A271" s="30" t="str">
        <x:v>ROBS020</x:v>
      </x:c>
      <x:c r="B271" s="30" t="str">
        <x:v>RAUD020</x:v>
      </x:c>
      <x:c r="C271" s="30" t="str">
        <x:v>User access reviews for patient information systems were overdue.</x:v>
      </x:c>
      <x:c r="D271" s="30" t="str">
        <x:v>High</x:v>
      </x:c>
      <x:c r="E271" s="30" t="str">
        <x:v>Perform periodic access certification and revoke obsolete accounts promptly.</x:v>
      </x:c>
      <x:c r="F271" s="30" t="str">
        <x:v>Patient Safety</x:v>
      </x:c>
      <x:c r="G271" s="30" t="str">
        <x:v>RETAIL</x:v>
      </x:c>
      <x:c r="H271" s="30" t="str">
        <x:v>Yes</x:v>
      </x:c>
      <x:c r="I271" s="30" t="str">
        <x:v>Information security observation</x:v>
      </x:c>
    </x:row>
    <x:row r="272">
      <x:c r="A272" s="30" t="str">
        <x:v>ROBS021</x:v>
      </x:c>
      <x:c r="B272" s="30" t="str">
        <x:v>RAUD021</x:v>
      </x:c>
      <x:c r="C272" s="30" t="str">
        <x:v>LASA medicine controls were not consistently implemented, increasing the likelihood of dispensing errors.</x:v>
      </x:c>
      <x:c r="D272" s="30" t="str">
        <x:v>High</x:v>
      </x:c>
      <x:c r="E272" s="30" t="str">
        <x:v>Strengthen LASA segregation, warning labels, and independent verification procedures.</x:v>
      </x:c>
      <x:c r="F272" s="30" t="str">
        <x:v>Storage</x:v>
      </x:c>
      <x:c r="G272" s="30" t="str">
        <x:v>RETAIL</x:v>
      </x:c>
      <x:c r="H272" s="30" t="str">
        <x:v>Yes</x:v>
      </x:c>
      <x:c r="I272" s="30" t="str">
        <x:v>Patient safety priority</x:v>
      </x:c>
    </x:row>
    <x:row r="273">
      <x:c r="A273" s="30" t="str">
        <x:v>ROBS022</x:v>
      </x:c>
      <x:c r="B273" s="30" t="str">
        <x:v>RAUD022</x:v>
      </x:c>
      <x:c r="C273" s="30" t="str">
        <x:v>FEFO implementation was inconsistent and near-expiry medicines remained in active dispensing shelves.</x:v>
      </x:c>
      <x:c r="D273" s="30" t="str">
        <x:v>High</x:v>
      </x:c>
      <x:c r="E273" s="30" t="str">
        <x:v>Improve expiry monitoring and enforce FEFO stock rotation daily.</x:v>
      </x:c>
      <x:c r="F273" s="30" t="str">
        <x:v>Storage</x:v>
      </x:c>
      <x:c r="G273" s="30" t="str">
        <x:v>RETAIL</x:v>
      </x:c>
      <x:c r="H273" s="30" t="str">
        <x:v>Yes</x:v>
      </x:c>
      <x:c r="I273" s="30" t="str">
        <x:v>Inventory improvement</x:v>
      </x:c>
    </x:row>
    <x:row r="274">
      <x:c r="A274" s="30" t="str">
        <x:v>ROBS023</x:v>
      </x:c>
      <x:c r="B274" s="30" t="str">
        <x:v>RAUD023</x:v>
      </x:c>
      <x:c r="C274" s="30" t="str">
        <x:v>Customer identity verification records were incomplete for selected controlled transactions.</x:v>
      </x:c>
      <x:c r="D274" s="30" t="str">
        <x:v>High</x:v>
      </x:c>
      <x:c r="E274" s="30" t="str">
        <x:v>Make identity verification mandatory before medicine release.</x:v>
      </x:c>
      <x:c r="F274" s="30" t="str">
        <x:v>Digital / E-Pharmacy</x:v>
      </x:c>
      <x:c r="G274" s="30" t="str">
        <x:v>RETAIL</x:v>
      </x:c>
      <x:c r="H274" s="30" t="str">
        <x:v>Yes</x:v>
      </x:c>
      <x:c r="I274" s="30" t="str">
        <x:v>Compliance gap</x:v>
      </x:c>
    </x:row>
    <x:row r="275">
      <x:c r="A275" s="30" t="str">
        <x:v>ROBS024</x:v>
      </x:c>
      <x:c r="B275" s="30" t="str">
        <x:v>RAUD024</x:v>
      </x:c>
      <x:c r="C275" s="30" t="str">
        <x:v>Pharmacy opening checklist was not fully completed before commencement of operations.</x:v>
      </x:c>
      <x:c r="D275" s="30" t="str">
        <x:v>Medium</x:v>
      </x:c>
      <x:c r="E275" s="30" t="str">
        <x:v>Require supervisor approval prior to opening each day.</x:v>
      </x:c>
      <x:c r="F275" s="30" t="str">
        <x:v>Digital / E-Pharmacy</x:v>
      </x:c>
      <x:c r="G275" s="30" t="str">
        <x:v>RETAIL</x:v>
      </x:c>
      <x:c r="H275" s="30" t="str">
        <x:v>Yes</x:v>
      </x:c>
      <x:c r="I275" s="30" t="str">
        <x:v>Operational control</x:v>
      </x:c>
    </x:row>
    <x:row r="276">
      <x:c r="A276" s="30" t="str">
        <x:v>ROBS025</x:v>
      </x:c>
      <x:c r="B276" s="30" t="str">
        <x:v>RAUD025</x:v>
      </x:c>
      <x:c r="C276" s="30" t="str">
        <x:v>Recall traceability documentation was incomplete for sampled recalled medicines.</x:v>
      </x:c>
      <x:c r="D276" s="30" t="str">
        <x:v>High</x:v>
      </x:c>
      <x:c r="E276" s="30" t="str">
        <x:v>Maintain complete customer traceability and recall documentation.</x:v>
      </x:c>
      <x:c r="F276" s="30" t="str">
        <x:v>Quality</x:v>
      </x:c>
      <x:c r="G276" s="30" t="str">
        <x:v>RETAIL</x:v>
      </x:c>
      <x:c r="H276" s="30" t="str">
        <x:v>Yes</x:v>
      </x:c>
      <x:c r="I276" s="30" t="str">
        <x:v>Regulatory significance</x:v>
      </x:c>
    </x:row>
    <x:row r="277">
      <x:c r="A277" s="30" t="str">
        <x:v>ROBS026</x:v>
      </x:c>
      <x:c r="B277" s="30" t="str">
        <x:v>RAUD026</x:v>
      </x:c>
      <x:c r="C277" s="30" t="str">
        <x:v>Electronic dispensing audit logs were incomplete or not retained for the required period.</x:v>
      </x:c>
      <x:c r="D277" s="30" t="str">
        <x:v>High</x:v>
      </x:c>
      <x:c r="E277" s="30" t="str">
        <x:v>Strengthen audit log retention and monitoring controls.</x:v>
      </x:c>
      <x:c r="F277" s="30" t="str">
        <x:v>Documentation</x:v>
      </x:c>
      <x:c r="G277" s="30" t="str">
        <x:v>RETAIL</x:v>
      </x:c>
      <x:c r="H277" s="30" t="str">
        <x:v>Yes</x:v>
      </x:c>
      <x:c r="I277" s="30" t="str">
        <x:v>IT compliance</x:v>
      </x:c>
    </x:row>
    <x:row r="278">
      <x:c r="A278" s="30" t="str">
        <x:v>ROBS027</x:v>
      </x:c>
      <x:c r="B278" s="30" t="str">
        <x:v>RAUD027</x:v>
      </x:c>
      <x:c r="C278" s="30" t="str">
        <x:v>Quarantined medicines were not consistently segregated from active inventory.</x:v>
      </x:c>
      <x:c r="D278" s="30" t="str">
        <x:v>High</x:v>
      </x:c>
      <x:c r="E278" s="30" t="str">
        <x:v>Improve quarantine controls and perform periodic segregation audits.</x:v>
      </x:c>
      <x:c r="F278" s="30" t="str">
        <x:v>Storage</x:v>
      </x:c>
      <x:c r="G278" s="30" t="str">
        <x:v>RETAIL</x:v>
      </x:c>
      <x:c r="H278" s="30" t="str">
        <x:v>Yes</x:v>
      </x:c>
      <x:c r="I278" s="30" t="str">
        <x:v>Inventory control</x:v>
      </x:c>
    </x:row>
    <x:row r="279">
      <x:c r="A279" s="30" t="str">
        <x:v>ROBS028</x:v>
      </x:c>
      <x:c r="B279" s="30" t="str">
        <x:v>RAUD028</x:v>
      </x:c>
      <x:c r="C279" s="30" t="str">
        <x:v>CCTV retention and retrieval procedures were not fully documented.</x:v>
      </x:c>
      <x:c r="D279" s="30" t="str">
        <x:v>Medium</x:v>
      </x:c>
      <x:c r="E279" s="30" t="str">
        <x:v>Establish documented CCTV retention and retrieval SOPs.</x:v>
      </x:c>
      <x:c r="F279" s="30" t="str">
        <x:v>Quality</x:v>
      </x:c>
      <x:c r="G279" s="30" t="str">
        <x:v>RETAIL</x:v>
      </x:c>
      <x:c r="H279" s="30" t="str">
        <x:v>Yes</x:v>
      </x:c>
      <x:c r="I279" s="30" t="str">
        <x:v>Security improvement</x:v>
      </x:c>
    </x:row>
    <x:row r="280">
      <x:c r="A280" s="30" t="str">
        <x:v>ROBS029</x:v>
      </x:c>
      <x:c r="B280" s="30" t="str">
        <x:v>RAUD029</x:v>
      </x:c>
      <x:c r="C280" s="30" t="str">
        <x:v>Pharmacist intervention records lacked adequate justification in selected cases.</x:v>
      </x:c>
      <x:c r="D280" s="30" t="str">
        <x:v>Medium</x:v>
      </x:c>
      <x:c r="E280" s="30" t="str">
        <x:v>Standardize intervention documentation with mandatory justification fields.</x:v>
      </x:c>
      <x:c r="F280" s="30" t="str">
        <x:v>Personnel</x:v>
      </x:c>
      <x:c r="G280" s="30" t="str">
        <x:v>RETAIL</x:v>
      </x:c>
      <x:c r="H280" s="30" t="str">
        <x:v>Yes</x:v>
      </x:c>
      <x:c r="I280" s="30" t="str">
        <x:v>Clinical governance</x:v>
      </x:c>
    </x:row>
    <x:row r="281">
      <x:c r="A281" s="30" t="str">
        <x:v>ROBS030</x:v>
      </x:c>
      <x:c r="B281" s="30" t="str">
        <x:v>RAUD030</x:v>
      </x:c>
      <x:c r="C281" s="30" t="str">
        <x:v>Pharmacy closing checklist was incomplete and backup confirmation was unavailable.</x:v>
      </x:c>
      <x:c r="D281" s="30" t="str">
        <x:v>Medium</x:v>
      </x:c>
      <x:c r="E281" s="30" t="str">
        <x:v>Complete closing checklist before end-of-day authorization.</x:v>
      </x:c>
      <x:c r="F281" s="30" t="str">
        <x:v>Documentation</x:v>
      </x:c>
      <x:c r="G281" s="30" t="str">
        <x:v>RETAIL</x:v>
      </x:c>
      <x:c r="H281" s="30" t="str">
        <x:v>Yes</x:v>
      </x:c>
      <x:c r="I281" s="30" t="str">
        <x:v>Operational improvement</x:v>
      </x:c>
    </x:row>
    <x:row r="282">
      <x:c r="A282" s="30" t="str">
        <x:v>ROBS031</x:v>
      </x:c>
      <x:c r="B282" s="30" t="str">
        <x:v>RAUD031</x:v>
      </x:c>
      <x:c r="C282" s="30" t="str">
        <x:v>Controlled medicine registers did not fully reconcile with physical stock.</x:v>
      </x:c>
      <x:c r="D282" s="30" t="str">
        <x:v>High</x:v>
      </x:c>
      <x:c r="E282" s="30" t="str">
        <x:v>Investigate discrepancies immediately and strengthen reconciliation controls.</x:v>
      </x:c>
      <x:c r="F282" s="30" t="str">
        <x:v>Inventory</x:v>
      </x:c>
      <x:c r="G282" s="30" t="str">
        <x:v>RETAIL</x:v>
      </x:c>
      <x:c r="H282" s="30" t="str">
        <x:v>Yes</x:v>
      </x:c>
      <x:c r="I282" s="30" t="str">
        <x:v>Critical observation</x:v>
      </x:c>
    </x:row>
    <x:row r="283">
      <x:c r="A283" s="30" t="str">
        <x:v>ROBS032</x:v>
      </x:c>
      <x:c r="B283" s="30" t="str">
        <x:v>RAUD032</x:v>
      </x:c>
      <x:c r="C283" s="30" t="str">
        <x:v>Emergency prescription prioritization was not consistently followed during peak hours.</x:v>
      </x:c>
      <x:c r="D283" s="30" t="str">
        <x:v>Medium</x:v>
      </x:c>
      <x:c r="E283" s="30" t="str">
        <x:v>Reinforce emergency prescription prioritization procedures.</x:v>
      </x:c>
      <x:c r="F283" s="30" t="str">
        <x:v>Prescription</x:v>
      </x:c>
      <x:c r="G283" s="30" t="str">
        <x:v>RETAIL</x:v>
      </x:c>
      <x:c r="H283" s="30" t="str">
        <x:v>Yes</x:v>
      </x:c>
      <x:c r="I283" s="30" t="str">
        <x:v>Workflow improvement</x:v>
      </x:c>
    </x:row>
    <x:row r="284">
      <x:c r="A284" s="30" t="str">
        <x:v>ROBS033</x:v>
      </x:c>
      <x:c r="B284" s="30" t="str">
        <x:v>RAUD033</x:v>
      </x:c>
      <x:c r="C284" s="30" t="str">
        <x:v>Customer consent records were incomplete for selected digital communication channels.</x:v>
      </x:c>
      <x:c r="D284" s="30" t="str">
        <x:v>Medium</x:v>
      </x:c>
      <x:c r="E284" s="30" t="str">
        <x:v>Maintain centralized consent management with periodic reviews.</x:v>
      </x:c>
      <x:c r="F284" s="30" t="str">
        <x:v>Digital / E-Pharmacy</x:v>
      </x:c>
      <x:c r="G284" s="30" t="str">
        <x:v>RETAIL</x:v>
      </x:c>
      <x:c r="H284" s="30" t="str">
        <x:v>Yes</x:v>
      </x:c>
      <x:c r="I284" s="30" t="str">
        <x:v>Privacy compliance</x:v>
      </x:c>
    </x:row>
    <x:row r="285">
      <x:c r="A285" s="30" t="str">
        <x:v>ROBS034</x:v>
      </x:c>
      <x:c r="B285" s="30" t="str">
        <x:v>RAUD034</x:v>
      </x:c>
      <x:c r="C285" s="30" t="str">
        <x:v>Generic substitution decisions lacked complete pharmacist justification.</x:v>
      </x:c>
      <x:c r="D285" s="30" t="str">
        <x:v>Medium</x:v>
      </x:c>
      <x:c r="E285" s="30" t="str">
        <x:v>Require documented rationale for every generic substitution.</x:v>
      </x:c>
      <x:c r="F285" s="30" t="str">
        <x:v>Personnel</x:v>
      </x:c>
      <x:c r="G285" s="30" t="str">
        <x:v>RETAIL</x:v>
      </x:c>
      <x:c r="H285" s="30" t="str">
        <x:v>Yes</x:v>
      </x:c>
      <x:c r="I285" s="30" t="str">
        <x:v>Dispensing governance</x:v>
      </x:c>
    </x:row>
    <x:row r="286">
      <x:c r="A286" s="30" t="str">
        <x:v>ROBS035</x:v>
      </x:c>
      <x:c r="B286" s="30" t="str">
        <x:v>RAUD035</x:v>
      </x:c>
      <x:c r="C286" s="30" t="str">
        <x:v>Temperature excursion investigations were not completed within prescribed timelines.</x:v>
      </x:c>
      <x:c r="D286" s="30" t="str">
        <x:v>High</x:v>
      </x:c>
      <x:c r="E286" s="30" t="str">
        <x:v>Implement escalation procedures for cold-chain deviations.</x:v>
      </x:c>
      <x:c r="F286" s="30" t="str">
        <x:v>Storage</x:v>
      </x:c>
      <x:c r="G286" s="30" t="str">
        <x:v>RETAIL</x:v>
      </x:c>
      <x:c r="H286" s="30" t="str">
        <x:v>Yes</x:v>
      </x:c>
      <x:c r="I286" s="30" t="str">
        <x:v>Cold-chain compliance</x:v>
      </x:c>
    </x:row>
    <x:row r="287">
      <x:c r="A287" s="30" t="str">
        <x:v>ROBS036</x:v>
      </x:c>
      <x:c r="B287" s="30" t="str">
        <x:v>RAUD036</x:v>
      </x:c>
      <x:c r="C287" s="30" t="str">
        <x:v>Housekeeping and customer waiting area inspections were inconsistently documented.</x:v>
      </x:c>
      <x:c r="D287" s="30" t="str">
        <x:v>Low</x:v>
      </x:c>
      <x:c r="E287" s="30" t="str">
        <x:v>Introduce standardized facility inspection records.</x:v>
      </x:c>
      <x:c r="F287" s="30" t="str">
        <x:v>Infrastructure</x:v>
      </x:c>
      <x:c r="G287" s="30" t="str">
        <x:v>RETAIL</x:v>
      </x:c>
      <x:c r="H287" s="30" t="str">
        <x:v>Yes</x:v>
      </x:c>
      <x:c r="I287" s="30" t="str">
        <x:v>Facility management</x:v>
      </x:c>
    </x:row>
    <x:row r="288">
      <x:c r="A288" s="30" t="str">
        <x:v>ROBS037</x:v>
      </x:c>
      <x:c r="B288" s="30" t="str">
        <x:v>RAUD037</x:v>
      </x:c>
      <x:c r="C288" s="30" t="str">
        <x:v>Verbal prescription documentation lacked timely prescriber confirmation.</x:v>
      </x:c>
      <x:c r="D288" s="30" t="str">
        <x:v>High</x:v>
      </x:c>
      <x:c r="E288" s="30" t="str">
        <x:v>Ensure prompt written confirmation and pharmacist verification.</x:v>
      </x:c>
      <x:c r="F288" s="30" t="str">
        <x:v>Prescription</x:v>
      </x:c>
      <x:c r="G288" s="30" t="str">
        <x:v>RETAIL</x:v>
      </x:c>
      <x:c r="H288" s="30" t="str">
        <x:v>Yes</x:v>
      </x:c>
      <x:c r="I288" s="30" t="str">
        <x:v>Regulatory compliance</x:v>
      </x:c>
    </x:row>
    <x:row r="289">
      <x:c r="A289" s="30" t="str">
        <x:v>ROBS038</x:v>
      </x:c>
      <x:c r="B289" s="30" t="str">
        <x:v>RAUD038</x:v>
      </x:c>
      <x:c r="C289" s="30" t="str">
        <x:v>User access reviews identified inactive accounts that remained enabled.</x:v>
      </x:c>
      <x:c r="D289" s="30" t="str">
        <x:v>High</x:v>
      </x:c>
      <x:c r="E289" s="30" t="str">
        <x:v>Perform periodic user access certification and immediate account deactivation.</x:v>
      </x:c>
      <x:c r="F289" s="30" t="str">
        <x:v>Other</x:v>
      </x:c>
      <x:c r="G289" s="30" t="str">
        <x:v>RETAIL</x:v>
      </x:c>
      <x:c r="H289" s="30" t="str">
        <x:v>Yes</x:v>
      </x:c>
      <x:c r="I289" s="30" t="str">
        <x:v>Information security</x:v>
      </x:c>
    </x:row>
    <x:row r="290">
      <x:c r="A290" s="30" t="str">
        <x:v>ROBS039</x:v>
      </x:c>
      <x:c r="B290" s="30" t="str">
        <x:v>RAUD039</x:v>
      </x:c>
      <x:c r="C290" s="30" t="str">
        <x:v>Complaint investigations did not consistently document root cause analysis and CAPA effectiveness.</x:v>
      </x:c>
      <x:c r="D290" s="30" t="str">
        <x:v>Medium</x:v>
      </x:c>
      <x:c r="E290" s="30" t="str">
        <x:v>Standardize complaint investigation and CAPA verification procedures.</x:v>
      </x:c>
      <x:c r="F290" s="30" t="str">
        <x:v>Quality</x:v>
      </x:c>
      <x:c r="G290" s="30" t="str">
        <x:v>RETAIL</x:v>
      </x:c>
      <x:c r="H290" s="30" t="str">
        <x:v>Yes</x:v>
      </x:c>
      <x:c r="I290" s="30" t="str">
        <x:v>Quality management</x:v>
      </x:c>
    </x:row>
    <x:row r="291">
      <x:c r="A291" s="30" t="str">
        <x:v>ROBS040</x:v>
      </x:c>
      <x:c r="B291" s="30" t="str">
        <x:v>RAUD040</x:v>
      </x:c>
      <x:c r="C291" s="30" t="str">
        <x:v>Monthly self-assessments identified recurring compliance observations without evidence of sustained improvement.</x:v>
      </x:c>
      <x:c r="D291" s="30" t="str">
        <x:v>High</x:v>
      </x:c>
      <x:c r="E291" s="30" t="str">
        <x:v>Strengthen management review and verify long-term effectiveness of corrective actions.</x:v>
      </x:c>
      <x:c r="F291" s="30" t="str">
        <x:v>Other</x:v>
      </x:c>
      <x:c r="G291" s="30" t="str">
        <x:v>RETAIL</x:v>
      </x:c>
      <x:c r="H291" s="30" t="str">
        <x:v>Yes</x:v>
      </x:c>
      <x:c r="I291" s="30" t="str">
        <x:v>Continuous improvement required</x:v>
      </x:c>
    </x:row>
    <x:row r="292">
      <x:c r="A292" s="30" t="str">
        <x:v>ROBS041</x:v>
      </x:c>
      <x:c r="B292" s="30" t="str">
        <x:v>RAUD041</x:v>
      </x:c>
      <x:c r="C292" s="30" t="str">
        <x:v>Essential medicine stock levels were below approved minimum levels for selected medicines.</x:v>
      </x:c>
      <x:c r="D292" s="30" t="str">
        <x:v>High</x:v>
      </x:c>
      <x:c r="E292" s="30" t="str">
        <x:v>Strengthen replenishment planning and monitor minimum stock alerts daily.</x:v>
      </x:c>
      <x:c r="F292" s="30" t="str">
        <x:v>Digital / E-Pharmacy</x:v>
      </x:c>
      <x:c r="G292" s="30" t="str">
        <x:v>RETAIL</x:v>
      </x:c>
      <x:c r="H292" s="30" t="str">
        <x:v>Yes</x:v>
      </x:c>
      <x:c r="I292" s="30" t="str">
        <x:v>Patient care impact</x:v>
      </x:c>
    </x:row>
    <x:row r="293">
      <x:c r="A293" s="30" t="str">
        <x:v>ROBS042</x:v>
      </x:c>
      <x:c r="B293" s="30" t="str">
        <x:v>RAUD042</x:v>
      </x:c>
      <x:c r="C293" s="30" t="str">
        <x:v>Cancelled prescription records lacked complete authorization and cancellation justification.</x:v>
      </x:c>
      <x:c r="D293" s="30" t="str">
        <x:v>Medium</x:v>
      </x:c>
      <x:c r="E293" s="30" t="str">
        <x:v>Enforce mandatory pharmacist authorization and cancellation documentation.</x:v>
      </x:c>
      <x:c r="F293" s="30" t="str">
        <x:v>Prescription</x:v>
      </x:c>
      <x:c r="G293" s="30" t="str">
        <x:v>RETAIL</x:v>
      </x:c>
      <x:c r="H293" s="30" t="str">
        <x:v>Yes</x:v>
      </x:c>
      <x:c r="I293" s="30" t="str">
        <x:v>Documentation improvement</x:v>
      </x:c>
    </x:row>
    <x:row r="294">
      <x:c r="A294" s="30" t="str">
        <x:v>ROBS043</x:v>
      </x:c>
      <x:c r="B294" s="30" t="str">
        <x:v>RAUD043</x:v>
      </x:c>
      <x:c r="C294" s="30" t="str">
        <x:v>Barcode validation exceptions were overridden without adequate justification.</x:v>
      </x:c>
      <x:c r="D294" s="30" t="str">
        <x:v>High</x:v>
      </x:c>
      <x:c r="E294" s="30" t="str">
        <x:v>Require documented pharmacist approval for every barcode override.</x:v>
      </x:c>
      <x:c r="F294" s="30" t="str">
        <x:v>Digital / E-Pharmacy</x:v>
      </x:c>
      <x:c r="G294" s="30" t="str">
        <x:v>RETAIL</x:v>
      </x:c>
      <x:c r="H294" s="30" t="str">
        <x:v>Yes</x:v>
      </x:c>
      <x:c r="I294" s="30" t="str">
        <x:v>Dispensing safety</x:v>
      </x:c>
    </x:row>
    <x:row r="295">
      <x:c r="A295" s="30" t="str">
        <x:v>ROBS044</x:v>
      </x:c>
      <x:c r="B295" s="30" t="str">
        <x:v>RAUD044</x:v>
      </x:c>
      <x:c r="C295" s="30" t="str">
        <x:v>Damaged medicines remained in active storage before segregation.</x:v>
      </x:c>
      <x:c r="D295" s="30" t="str">
        <x:v>High</x:v>
      </x:c>
      <x:c r="E295" s="30" t="str">
        <x:v>Immediately segregate damaged medicines into designated quarantine locations.</x:v>
      </x:c>
      <x:c r="F295" s="30" t="str">
        <x:v>Storage</x:v>
      </x:c>
      <x:c r="G295" s="30" t="str">
        <x:v>RETAIL</x:v>
      </x:c>
      <x:c r="H295" s="30" t="str">
        <x:v>Yes</x:v>
      </x:c>
      <x:c r="I295" s="30" t="str">
        <x:v>Inventory compliance</x:v>
      </x:c>
    </x:row>
    <x:row r="296">
      <x:c r="A296" s="30" t="str">
        <x:v>ROBS045</x:v>
      </x:c>
      <x:c r="B296" s="30" t="str">
        <x:v>RAUD045</x:v>
      </x:c>
      <x:c r="C296" s="30" t="str">
        <x:v>Emergency preparedness documentation was incomplete and drill evidence was unavailable.</x:v>
      </x:c>
      <x:c r="D296" s="30" t="str">
        <x:v>High</x:v>
      </x:c>
      <x:c r="E296" s="30" t="str">
        <x:v>Conduct scheduled emergency drills and retain documented evidence.</x:v>
      </x:c>
      <x:c r="F296" s="30" t="str">
        <x:v>Documentation</x:v>
      </x:c>
      <x:c r="G296" s="30" t="str">
        <x:v>RETAIL</x:v>
      </x:c>
      <x:c r="H296" s="30" t="str">
        <x:v>Yes</x:v>
      </x:c>
      <x:c r="I296" s="30" t="str">
        <x:v>Emergency preparedness</x:v>
      </x:c>
    </x:row>
    <x:row r="297">
      <x:c r="A297" s="30" t="str">
        <x:v>ROBS046</x:v>
      </x:c>
      <x:c r="B297" s="30" t="str">
        <x:v>RAUD046</x:v>
      </x:c>
      <x:c r="C297" s="30" t="str">
        <x:v>Accessibility inspections identified deficiencies affecting elderly and differently-abled customers.</x:v>
      </x:c>
      <x:c r="D297" s="30" t="str">
        <x:v>Medium</x:v>
      </x:c>
      <x:c r="E297" s="30" t="str">
        <x:v>Complete accessibility improvements and verify through follow-up inspection.</x:v>
      </x:c>
      <x:c r="F297" s="30" t="str">
        <x:v>Other</x:v>
      </x:c>
      <x:c r="G297" s="30" t="str">
        <x:v>RETAIL</x:v>
      </x:c>
      <x:c r="H297" s="30" t="str">
        <x:v>Yes</x:v>
      </x:c>
      <x:c r="I297" s="30" t="str">
        <x:v>Customer service enhancement</x:v>
      </x:c>
    </x:row>
    <x:row r="298">
      <x:c r="A298" s="30" t="str">
        <x:v>ROBS047</x:v>
      </x:c>
      <x:c r="B298" s="30" t="str">
        <x:v>RAUD047</x:v>
      </x:c>
      <x:c r="C298" s="30" t="str">
        <x:v>Medicine shortage management lacked timely customer communication and documented alternatives.</x:v>
      </x:c>
      <x:c r="D298" s="30" t="str">
        <x:v>Medium</x:v>
      </x:c>
      <x:c r="E298" s="30" t="str">
        <x:v>Formalize shortage communication and alternative medicine approval procedures.</x:v>
      </x:c>
      <x:c r="F298" s="30" t="str">
        <x:v>Digital / E-Pharmacy</x:v>
      </x:c>
      <x:c r="G298" s="30" t="str">
        <x:v>RETAIL</x:v>
      </x:c>
      <x:c r="H298" s="30" t="str">
        <x:v>Yes</x:v>
      </x:c>
      <x:c r="I298" s="30" t="str">
        <x:v>Inventory governance</x:v>
      </x:c>
    </x:row>
    <x:row r="299">
      <x:c r="A299" s="30" t="str">
        <x:v>ROBS048</x:v>
      </x:c>
      <x:c r="B299" s="30" t="str">
        <x:v>RAUD048</x:v>
      </x:c>
      <x:c r="C299" s="30" t="str">
        <x:v>Backup restoration testing was not performed according to the approved schedule.</x:v>
      </x:c>
      <x:c r="D299" s="30" t="str">
        <x:v>High</x:v>
      </x:c>
      <x:c r="E299" s="30" t="str">
        <x:v>Perform scheduled restoration tests and document outcomes.</x:v>
      </x:c>
      <x:c r="F299" s="30" t="str">
        <x:v>Digital / E-Pharmacy</x:v>
      </x:c>
      <x:c r="G299" s="30" t="str">
        <x:v>RETAIL</x:v>
      </x:c>
      <x:c r="H299" s="30" t="str">
        <x:v>Yes</x:v>
      </x:c>
      <x:c r="I299" s="30" t="str">
        <x:v>IT resilience</x:v>
      </x:c>
    </x:row>
    <x:row r="300">
      <x:c r="A300" s="30" t="str">
        <x:v>ROBS049</x:v>
      </x:c>
      <x:c r="B300" s="30" t="str">
        <x:v>RAUD049</x:v>
      </x:c>
      <x:c r="C300" s="30" t="str">
        <x:v>Public health advisories displayed in the pharmacy were outdated.</x:v>
      </x:c>
      <x:c r="D300" s="30" t="str">
        <x:v>Medium</x:v>
      </x:c>
      <x:c r="E300" s="30" t="str">
        <x:v>Establish periodic review and replacement of public health information.</x:v>
      </x:c>
      <x:c r="F300" s="30" t="str">
        <x:v>Documentation</x:v>
      </x:c>
      <x:c r="G300" s="30" t="str">
        <x:v>RETAIL</x:v>
      </x:c>
      <x:c r="H300" s="30" t="str">
        <x:v>Yes</x:v>
      </x:c>
      <x:c r="I300" s="30" t="str">
        <x:v>Public awareness</x:v>
      </x:c>
    </x:row>
    <x:row r="301">
      <x:c r="A301" s="30" t="str">
        <x:v>ROBS050</x:v>
      </x:c>
      <x:c r="B301" s="30" t="str">
        <x:v>RAUD050</x:v>
      </x:c>
      <x:c r="C301" s="30" t="str">
        <x:v>Corrective actions were implemented but effectiveness reviews were not consistently documented.</x:v>
      </x:c>
      <x:c r="D301" s="30" t="str">
        <x:v>High</x:v>
      </x:c>
      <x:c r="E301" s="30" t="str">
        <x:v>Perform documented effectiveness verification before CAPA closure.</x:v>
      </x:c>
      <x:c r="F301" s="30" t="str">
        <x:v>Quality</x:v>
      </x:c>
      <x:c r="G301" s="30" t="str">
        <x:v>RETAIL</x:v>
      </x:c>
      <x:c r="H301" s="30" t="str">
        <x:v>Yes</x:v>
      </x:c>
      <x:c r="I301" s="30" t="str">
        <x:v>CAPA effectiveness</x:v>
      </x:c>
    </x:row>
    <x:row r="302">
      <x:c r="A302" s="30" t="str">
        <x:v>ROBS051</x:v>
      </x:c>
      <x:c r="B302" s="30" t="str">
        <x:v>RAUD051</x:v>
      </x:c>
      <x:c r="C302" s="30" t="str">
        <x:v>Counterfeit medicine investigations were not escalated within prescribed timelines.</x:v>
      </x:c>
      <x:c r="D302" s="30" t="str">
        <x:v>High</x:v>
      </x:c>
      <x:c r="E302" s="30" t="str">
        <x:v>Implement immediate escalation and regulatory notification procedures.</x:v>
      </x:c>
      <x:c r="F302" s="30" t="str">
        <x:v>Regulatory Filing</x:v>
      </x:c>
      <x:c r="G302" s="30" t="str">
        <x:v>RETAIL</x:v>
      </x:c>
      <x:c r="H302" s="30" t="str">
        <x:v>Yes</x:v>
      </x:c>
      <x:c r="I302" s="30" t="str">
        <x:v>Critical compliance</x:v>
      </x:c>
    </x:row>
    <x:row r="303">
      <x:c r="A303" s="30" t="str">
        <x:v>ROBS052</x:v>
      </x:c>
      <x:c r="B303" s="30" t="str">
        <x:v>RAUD052</x:v>
      </x:c>
      <x:c r="C303" s="30" t="str">
        <x:v>Supplier qualification files contained expired licences for sampled suppliers.</x:v>
      </x:c>
      <x:c r="D303" s="30" t="str">
        <x:v>High</x:v>
      </x:c>
      <x:c r="E303" s="30" t="str">
        <x:v>Perform periodic supplier licence verification and renewal tracking.</x:v>
      </x:c>
      <x:c r="F303" s="30" t="str">
        <x:v>Licensing</x:v>
      </x:c>
      <x:c r="G303" s="30" t="str">
        <x:v>RETAIL</x:v>
      </x:c>
      <x:c r="H303" s="30" t="str">
        <x:v>Yes</x:v>
      </x:c>
      <x:c r="I303" s="30" t="str">
        <x:v>Supplier governance</x:v>
      </x:c>
    </x:row>
    <x:row r="304">
      <x:c r="A304" s="30" t="str">
        <x:v>ROBS053</x:v>
      </x:c>
      <x:c r="B304" s="30" t="str">
        <x:v>RAUD053</x:v>
      </x:c>
      <x:c r="C304" s="30" t="str">
        <x:v>Electronic invoice archives lacked documented backup verification evidence.</x:v>
      </x:c>
      <x:c r="D304" s="30" t="str">
        <x:v>Medium</x:v>
      </x:c>
      <x:c r="E304" s="30" t="str">
        <x:v>Schedule periodic archive validation and backup integrity checks.</x:v>
      </x:c>
      <x:c r="F304" s="30" t="str">
        <x:v>Inventory</x:v>
      </x:c>
      <x:c r="G304" s="30" t="str">
        <x:v>RETAIL</x:v>
      </x:c>
      <x:c r="H304" s="30" t="str">
        <x:v>Yes</x:v>
      </x:c>
      <x:c r="I304" s="30" t="str">
        <x:v>Financial records</x:v>
      </x:c>
    </x:row>
    <x:row r="305">
      <x:c r="A305" s="30" t="str">
        <x:v>ROBS054</x:v>
      </x:c>
      <x:c r="B305" s="30" t="str">
        <x:v>RAUD054</x:v>
      </x:c>
      <x:c r="C305" s="30" t="str">
        <x:v>Supplier recall notifications were not consistently documented with quarantine evidence.</x:v>
      </x:c>
      <x:c r="D305" s="30" t="str">
        <x:v>High</x:v>
      </x:c>
      <x:c r="E305" s="30" t="str">
        <x:v>Maintain complete supplier recall documentation and quarantine records.</x:v>
      </x:c>
      <x:c r="F305" s="30" t="str">
        <x:v>Quality</x:v>
      </x:c>
      <x:c r="G305" s="30" t="str">
        <x:v>RETAIL</x:v>
      </x:c>
      <x:c r="H305" s="30" t="str">
        <x:v>Yes</x:v>
      </x:c>
      <x:c r="I305" s="30" t="str">
        <x:v>Recall management</x:v>
      </x:c>
    </x:row>
    <x:row r="306">
      <x:c r="A306" s="30" t="str">
        <x:v>ROBS055</x:v>
      </x:c>
      <x:c r="B306" s="30" t="str">
        <x:v>RAUD055</x:v>
      </x:c>
      <x:c r="C306" s="30" t="str">
        <x:v>Power outage contingency procedures were partially implemented during sampled incidents.</x:v>
      </x:c>
      <x:c r="D306" s="30" t="str">
        <x:v>High</x:v>
      </x:c>
      <x:c r="E306" s="30" t="str">
        <x:v>Strengthen contingency planning and periodic simulation exercises.</x:v>
      </x:c>
      <x:c r="F306" s="30" t="str">
        <x:v>Other</x:v>
      </x:c>
      <x:c r="G306" s="30" t="str">
        <x:v>RETAIL</x:v>
      </x:c>
      <x:c r="H306" s="30" t="str">
        <x:v>Yes</x:v>
      </x:c>
      <x:c r="I306" s="30" t="str">
        <x:v>Business continuity</x:v>
      </x:c>
    </x:row>
    <x:row r="307">
      <x:c r="A307" s="30" t="str">
        <x:v>ROBS056</x:v>
      </x:c>
      <x:c r="B307" s="30" t="str">
        <x:v>RAUD056</x:v>
      </x:c>
      <x:c r="C307" s="30" t="str">
        <x:v>Community health programme documentation lacked management approval before execution.</x:v>
      </x:c>
      <x:c r="D307" s="30" t="str">
        <x:v>Medium</x:v>
      </x:c>
      <x:c r="E307" s="30" t="str">
        <x:v>Obtain documented management approval prior to programme commencement.</x:v>
      </x:c>
      <x:c r="F307" s="30" t="str">
        <x:v>Digital / E-Pharmacy</x:v>
      </x:c>
      <x:c r="G307" s="30" t="str">
        <x:v>RETAIL</x:v>
      </x:c>
      <x:c r="H307" s="30" t="str">
        <x:v>Yes</x:v>
      </x:c>
      <x:c r="I307" s="30" t="str">
        <x:v>Programme governance</x:v>
      </x:c>
    </x:row>
    <x:row r="308">
      <x:c r="A308" s="30" t="str">
        <x:v>ROBS057</x:v>
      </x:c>
      <x:c r="B308" s="30" t="str">
        <x:v>RAUD057</x:v>
      </x:c>
      <x:c r="C308" s="30" t="str">
        <x:v>Inventory variance investigations lacked comprehensive root cause analysis.</x:v>
      </x:c>
      <x:c r="D308" s="30" t="str">
        <x:v>High</x:v>
      </x:c>
      <x:c r="E308" s="30" t="str">
        <x:v>Standardize RCA methodology and verify CAPA implementation.</x:v>
      </x:c>
      <x:c r="F308" s="30" t="str">
        <x:v>Inventory</x:v>
      </x:c>
      <x:c r="G308" s="30" t="str">
        <x:v>RETAIL</x:v>
      </x:c>
      <x:c r="H308" s="30" t="str">
        <x:v>Yes</x:v>
      </x:c>
      <x:c r="I308" s="30" t="str">
        <x:v>Inventory control</x:v>
      </x:c>
    </x:row>
    <x:row r="309">
      <x:c r="A309" s="30" t="str">
        <x:v>ROBS058</x:v>
      </x:c>
      <x:c r="B309" s="30" t="str">
        <x:v>RAUD058</x:v>
      </x:c>
      <x:c r="C309" s="30" t="str">
        <x:v>Session timeout controls were not uniformly configured across pharmacy systems.</x:v>
      </x:c>
      <x:c r="D309" s="30" t="str">
        <x:v>Medium</x:v>
      </x:c>
      <x:c r="E309" s="30" t="str">
        <x:v>Standardize authentication and session timeout settings.</x:v>
      </x:c>
      <x:c r="F309" s="30" t="str">
        <x:v>Other</x:v>
      </x:c>
      <x:c r="G309" s="30" t="str">
        <x:v>RETAIL</x:v>
      </x:c>
      <x:c r="H309" s="30" t="str">
        <x:v>Yes</x:v>
      </x:c>
      <x:c r="I309" s="30" t="str">
        <x:v>Information security</x:v>
      </x:c>
    </x:row>
    <x:row r="310">
      <x:c r="A310" s="30" t="str">
        <x:v>ROBS059</x:v>
      </x:c>
      <x:c r="B310" s="30" t="str">
        <x:v>RAUD059</x:v>
      </x:c>
      <x:c r="C310" s="30" t="str">
        <x:v>Pharmacist counselling documentation was incomplete for medicines requiring safety counselling.</x:v>
      </x:c>
      <x:c r="D310" s="30" t="str">
        <x:v>Medium</x:v>
      </x:c>
      <x:c r="E310" s="30" t="str">
        <x:v>Use standardized counselling templates with mandatory completion fields.</x:v>
      </x:c>
      <x:c r="F310" s="30" t="str">
        <x:v>Personnel</x:v>
      </x:c>
      <x:c r="G310" s="30" t="str">
        <x:v>RETAIL</x:v>
      </x:c>
      <x:c r="H310" s="30" t="str">
        <x:v>Yes</x:v>
      </x:c>
      <x:c r="I310" s="30" t="str">
        <x:v>Clinical quality</x:v>
      </x:c>
    </x:row>
    <x:row r="311">
      <x:c r="A311" s="30" t="str">
        <x:v>ROBS060</x:v>
      </x:c>
      <x:c r="B311" s="30" t="str">
        <x:v>RAUD060</x:v>
      </x:c>
      <x:c r="C311" s="30" t="str">
        <x:v>Inspection readiness reviews identified missing statutory documents and outdated SOP versions.</x:v>
      </x:c>
      <x:c r="D311" s="30" t="str">
        <x:v>High</x:v>
      </x:c>
      <x:c r="E311" s="30" t="str">
        <x:v>Maintain an inspection-ready documentation repository with periodic verification.</x:v>
      </x:c>
      <x:c r="F311" s="30" t="str">
        <x:v>Quality</x:v>
      </x:c>
      <x:c r="G311" s="30" t="str">
        <x:v>RETAIL</x:v>
      </x:c>
      <x:c r="H311" s="30" t="str">
        <x:v>Yes</x:v>
      </x:c>
      <x:c r="I311" s="30" t="str">
        <x:v>Regulatory readiness</x:v>
      </x:c>
    </x:row>
    <x:row r="312">
      <x:c r="A312" s="30" t="str">
        <x:v>ROBS061</x:v>
      </x:c>
      <x:c r="B312" s="30" t="str">
        <x:v>RAUD061</x:v>
      </x:c>
      <x:c r="C312" s="30" t="str">
        <x:v>Disposal records for expired medicines did not fully reconcile with inventory adjustments and destruction certificates.</x:v>
      </x:c>
      <x:c r="D312" s="30" t="str">
        <x:v>High</x:v>
      </x:c>
      <x:c r="E312" s="30" t="str">
        <x:v>Reconcile disposal records before inventory closure and retain destruction evidence.</x:v>
      </x:c>
      <x:c r="F312" s="30" t="str">
        <x:v>Storage</x:v>
      </x:c>
      <x:c r="G312" s="30" t="str">
        <x:v>RETAIL</x:v>
      </x:c>
      <x:c r="H312" s="30" t="str">
        <x:v>Yes</x:v>
      </x:c>
      <x:c r="I312" s="30" t="str">
        <x:v>Regulatory compliance</x:v>
      </x:c>
    </x:row>
    <x:row r="313">
      <x:c r="A313" s="30" t="str">
        <x:v>ROBS062</x:v>
      </x:c>
      <x:c r="B313" s="30" t="str">
        <x:v>RAUD062</x:v>
      </x:c>
      <x:c r="C313" s="30" t="str">
        <x:v>Employee competency assessments were incomplete for selected pharmacy personnel.</x:v>
      </x:c>
      <x:c r="D313" s="30" t="str">
        <x:v>Medium</x:v>
      </x:c>
      <x:c r="E313" s="30" t="str">
        <x:v>Complete competency assessments and schedule refresher training.</x:v>
      </x:c>
      <x:c r="F313" s="30" t="str">
        <x:v>Personnel</x:v>
      </x:c>
      <x:c r="G313" s="30" t="str">
        <x:v>RETAIL</x:v>
      </x:c>
      <x:c r="H313" s="30" t="str">
        <x:v>Yes</x:v>
      </x:c>
      <x:c r="I313" s="30" t="str">
        <x:v>HR compliance</x:v>
      </x:c>
    </x:row>
    <x:row r="314">
      <x:c r="A314" s="30" t="str">
        <x:v>ROBS063</x:v>
      </x:c>
      <x:c r="B314" s="30" t="str">
        <x:v>RAUD063</x:v>
      </x:c>
      <x:c r="C314" s="30" t="str">
        <x:v>Electronic customer consent records were incomplete and withdrawal requests were not processed within target timelines.</x:v>
      </x:c>
      <x:c r="D314" s="30" t="str">
        <x:v>High</x:v>
      </x:c>
      <x:c r="E314" s="30" t="str">
        <x:v>Implement automated consent lifecycle management with periodic reviews.</x:v>
      </x:c>
      <x:c r="F314" s="30" t="str">
        <x:v>Documentation</x:v>
      </x:c>
      <x:c r="G314" s="30" t="str">
        <x:v>RETAIL</x:v>
      </x:c>
      <x:c r="H314" s="30" t="str">
        <x:v>Yes</x:v>
      </x:c>
      <x:c r="I314" s="30" t="str">
        <x:v>Privacy compliance</x:v>
      </x:c>
    </x:row>
    <x:row r="315">
      <x:c r="A315" s="30" t="str">
        <x:v>ROBS064</x:v>
      </x:c>
      <x:c r="B315" s="30" t="str">
        <x:v>RAUD064</x:v>
      </x:c>
      <x:c r="C315" s="30" t="str">
        <x:v>Environmental monitoring records showed gaps in temperature and humidity monitoring during operating hours.</x:v>
      </x:c>
      <x:c r="D315" s="30" t="str">
        <x:v>High</x:v>
      </x:c>
      <x:c r="E315" s="30" t="str">
        <x:v>Enable continuous environmental monitoring with automated alerts.</x:v>
      </x:c>
      <x:c r="F315" s="30" t="str">
        <x:v>Storage</x:v>
      </x:c>
      <x:c r="G315" s="30" t="str">
        <x:v>RETAIL</x:v>
      </x:c>
      <x:c r="H315" s="30" t="str">
        <x:v>Yes</x:v>
      </x:c>
      <x:c r="I315" s="30" t="str">
        <x:v>Storage compliance</x:v>
      </x:c>
    </x:row>
    <x:row r="316">
      <x:c r="A316" s="30" t="str">
        <x:v>ROBS065</x:v>
      </x:c>
      <x:c r="B316" s="30" t="str">
        <x:v>RAUD065</x:v>
      </x:c>
      <x:c r="C316" s="30" t="str">
        <x:v>Controlled medicine reconciliation identified unresolved inventory differences.</x:v>
      </x:c>
      <x:c r="D316" s="30" t="str">
        <x:v>High</x:v>
      </x:c>
      <x:c r="E316" s="30" t="str">
        <x:v>Perform immediate investigation and strengthen reconciliation controls.</x:v>
      </x:c>
      <x:c r="F316" s="30" t="str">
        <x:v>Inventory</x:v>
      </x:c>
      <x:c r="G316" s="30" t="str">
        <x:v>RETAIL</x:v>
      </x:c>
      <x:c r="H316" s="30" t="str">
        <x:v>Yes</x:v>
      </x:c>
      <x:c r="I316" s="30" t="str">
        <x:v>Critical observation</x:v>
      </x:c>
    </x:row>
    <x:row r="317">
      <x:c r="A317" s="30" t="str">
        <x:v>ROBS066</x:v>
      </x:c>
      <x:c r="B317" s="30" t="str">
        <x:v>RAUD066</x:v>
      </x:c>
      <x:c r="C317" s="30" t="str">
        <x:v>Customer waiting time communication was inconsistent during peak operational periods.</x:v>
      </x:c>
      <x:c r="D317" s="30" t="str">
        <x:v>Low</x:v>
      </x:c>
      <x:c r="E317" s="30" t="str">
        <x:v>Display real-time queue status and notify customers of delays.</x:v>
      </x:c>
      <x:c r="F317" s="30" t="str">
        <x:v>Documentation</x:v>
      </x:c>
      <x:c r="G317" s="30" t="str">
        <x:v>RETAIL</x:v>
      </x:c>
      <x:c r="H317" s="30" t="str">
        <x:v>Yes</x:v>
      </x:c>
      <x:c r="I317" s="30" t="str">
        <x:v>Service improvement</x:v>
      </x:c>
    </x:row>
    <x:row r="318">
      <x:c r="A318" s="30" t="str">
        <x:v>ROBS067</x:v>
      </x:c>
      <x:c r="B318" s="30" t="str">
        <x:v>RAUD067</x:v>
      </x:c>
      <x:c r="C318" s="30" t="str">
        <x:v>Incident investigations lacked complete root cause analysis and preventive action verification.</x:v>
      </x:c>
      <x:c r="D318" s="30" t="str">
        <x:v>High</x:v>
      </x:c>
      <x:c r="E318" s="30" t="str">
        <x:v>Adopt standardized RCA methodology and verify CAPA effectiveness.</x:v>
      </x:c>
      <x:c r="F318" s="30" t="str">
        <x:v>Quality</x:v>
      </x:c>
      <x:c r="G318" s="30" t="str">
        <x:v>RETAIL</x:v>
      </x:c>
      <x:c r="H318" s="30" t="str">
        <x:v>Yes</x:v>
      </x:c>
      <x:c r="I318" s="30" t="str">
        <x:v>Incident governance</x:v>
      </x:c>
    </x:row>
    <x:row r="319">
      <x:c r="A319" s="30" t="str">
        <x:v>ROBS068</x:v>
      </x:c>
      <x:c r="B319" s="30" t="str">
        <x:v>RAUD068</x:v>
      </x:c>
      <x:c r="C319" s="30" t="str">
        <x:v>Mobile device security controls were inconsistently implemented across pharmacy-issued devices.</x:v>
      </x:c>
      <x:c r="D319" s="30" t="str">
        <x:v>High</x:v>
      </x:c>
      <x:c r="E319" s="30" t="str">
        <x:v>Enforce enterprise mobile device management (MDM) and compliance monitoring.</x:v>
      </x:c>
      <x:c r="F319" s="30" t="str">
        <x:v>Other</x:v>
      </x:c>
      <x:c r="G319" s="30" t="str">
        <x:v>RETAIL</x:v>
      </x:c>
      <x:c r="H319" s="30" t="str">
        <x:v>Yes</x:v>
      </x:c>
      <x:c r="I319" s="30" t="str">
        <x:v>Information security</x:v>
      </x:c>
    </x:row>
    <x:row r="320">
      <x:c r="A320" s="30" t="str">
        <x:v>ROBS069</x:v>
      </x:c>
      <x:c r="B320" s="30" t="str">
        <x:v>RAUD069</x:v>
      </x:c>
      <x:c r="C320" s="30" t="str">
        <x:v>Regulatory complaints were not consistently categorized or escalated according to policy.</x:v>
      </x:c>
      <x:c r="D320" s="30" t="str">
        <x:v>High</x:v>
      </x:c>
      <x:c r="E320" s="30" t="str">
        <x:v>Standardize complaint classification and escalation procedures.</x:v>
      </x:c>
      <x:c r="F320" s="30" t="str">
        <x:v>Regulatory Filing</x:v>
      </x:c>
      <x:c r="G320" s="30" t="str">
        <x:v>RETAIL</x:v>
      </x:c>
      <x:c r="H320" s="30" t="str">
        <x:v>Yes</x:v>
      </x:c>
      <x:c r="I320" s="30" t="str">
        <x:v>Compliance management</x:v>
      </x:c>
    </x:row>
    <x:row r="321">
      <x:c r="A321" s="30" t="str">
        <x:v>ROBS070</x:v>
      </x:c>
      <x:c r="B321" s="30" t="str">
        <x:v>RAUD070</x:v>
      </x:c>
      <x:c r="C321" s="30" t="str">
        <x:v>Annual compliance reporting identified recurring deficiencies without long-term corrective measures.</x:v>
      </x:c>
      <x:c r="D321" s="30" t="str">
        <x:v>High</x:v>
      </x:c>
      <x:c r="E321" s="30" t="str">
        <x:v>Monitor recurring observations through executive governance reviews.</x:v>
      </x:c>
      <x:c r="F321" s="30" t="str">
        <x:v>Regulatory Filing</x:v>
      </x:c>
      <x:c r="G321" s="30" t="str">
        <x:v>RETAIL</x:v>
      </x:c>
      <x:c r="H321" s="30" t="str">
        <x:v>Yes</x:v>
      </x:c>
      <x:c r="I321" s="30" t="str">
        <x:v>Continuous improvement</x:v>
      </x:c>
    </x:row>
    <x:row r="322">
      <x:c r="A322" s="30" t="str">
        <x:v>ROBS071</x:v>
      </x:c>
      <x:c r="B322" s="30" t="str">
        <x:v>RAUD071</x:v>
      </x:c>
      <x:c r="C322" s="30" t="str">
        <x:v>Supplier licence renewals were not tracked consistently, resulting in expired documentation.</x:v>
      </x:c>
      <x:c r="D322" s="30" t="str">
        <x:v>High</x:v>
      </x:c>
      <x:c r="E322" s="30" t="str">
        <x:v>Implement automated supplier licence renewal monitoring.</x:v>
      </x:c>
      <x:c r="F322" s="30" t="str">
        <x:v>Licensing</x:v>
      </x:c>
      <x:c r="G322" s="30" t="str">
        <x:v>RETAIL</x:v>
      </x:c>
      <x:c r="H322" s="30" t="str">
        <x:v>Yes</x:v>
      </x:c>
      <x:c r="I322" s="30" t="str">
        <x:v>Supplier governance</x:v>
      </x:c>
    </x:row>
    <x:row r="323">
      <x:c r="A323" s="30" t="str">
        <x:v>ROBS072</x:v>
      </x:c>
      <x:c r="B323" s="30" t="str">
        <x:v>RAUD072</x:v>
      </x:c>
      <x:c r="C323" s="30" t="str">
        <x:v>Prescription archive retrieval procedures were not periodically validated.</x:v>
      </x:c>
      <x:c r="D323" s="30" t="str">
        <x:v>Medium</x:v>
      </x:c>
      <x:c r="E323" s="30" t="str">
        <x:v>Conduct scheduled archive retrieval testing and document results.</x:v>
      </x:c>
      <x:c r="F323" s="30" t="str">
        <x:v>Prescription</x:v>
      </x:c>
      <x:c r="G323" s="30" t="str">
        <x:v>RETAIL</x:v>
      </x:c>
      <x:c r="H323" s="30" t="str">
        <x:v>Yes</x:v>
      </x:c>
      <x:c r="I323" s="30" t="str">
        <x:v>Records management</x:v>
      </x:c>
    </x:row>
    <x:row r="324">
      <x:c r="A324" s="30" t="str">
        <x:v>ROBS073</x:v>
      </x:c>
      <x:c r="B324" s="30" t="str">
        <x:v>RAUD073</x:v>
      </x:c>
      <x:c r="C324" s="30" t="str">
        <x:v>Electronic record integrity validation was not supported by documented verification reports.</x:v>
      </x:c>
      <x:c r="D324" s="30" t="str">
        <x:v>High</x:v>
      </x:c>
      <x:c r="E324" s="30" t="str">
        <x:v>Implement periodic integrity verification and audit reporting.</x:v>
      </x:c>
      <x:c r="F324" s="30" t="str">
        <x:v>Regulatory Filing</x:v>
      </x:c>
      <x:c r="G324" s="30" t="str">
        <x:v>RETAIL</x:v>
      </x:c>
      <x:c r="H324" s="30" t="str">
        <x:v>Yes</x:v>
      </x:c>
      <x:c r="I324" s="30" t="str">
        <x:v>IT governance</x:v>
      </x:c>
    </x:row>
    <x:row r="325">
      <x:c r="A325" s="30" t="str">
        <x:v>ROBS074</x:v>
      </x:c>
      <x:c r="B325" s="30" t="str">
        <x:v>RAUD074</x:v>
      </x:c>
      <x:c r="C325" s="30" t="str">
        <x:v>High-value medicine storage controls showed incomplete access documentation.</x:v>
      </x:c>
      <x:c r="D325" s="30" t="str">
        <x:v>High</x:v>
      </x:c>
      <x:c r="E325" s="30" t="str">
        <x:v>Require electronic access logging for all restricted storage areas.</x:v>
      </x:c>
      <x:c r="F325" s="30" t="str">
        <x:v>Storage</x:v>
      </x:c>
      <x:c r="G325" s="30" t="str">
        <x:v>RETAIL</x:v>
      </x:c>
      <x:c r="H325" s="30" t="str">
        <x:v>Yes</x:v>
      </x:c>
      <x:c r="I325" s="30" t="str">
        <x:v>Physical security</x:v>
      </x:c>
    </x:row>
    <x:row r="326">
      <x:c r="A326" s="30" t="str">
        <x:v>ROBS075</x:v>
      </x:c>
      <x:c r="B326" s="30" t="str">
        <x:v>RAUD075</x:v>
      </x:c>
      <x:c r="C326" s="30" t="str">
        <x:v>Pharmacist counselling documentation lacked consistency for medicines requiring enhanced patient education.</x:v>
      </x:c>
      <x:c r="D326" s="30" t="str">
        <x:v>Medium</x:v>
      </x:c>
      <x:c r="E326" s="30" t="str">
        <x:v>Standardize counselling templates and supervisory review.</x:v>
      </x:c>
      <x:c r="F326" s="30" t="str">
        <x:v>Personnel</x:v>
      </x:c>
      <x:c r="G326" s="30" t="str">
        <x:v>RETAIL</x:v>
      </x:c>
      <x:c r="H326" s="30" t="str">
        <x:v>Yes</x:v>
      </x:c>
      <x:c r="I326" s="30" t="str">
        <x:v>Clinical governance</x:v>
      </x:c>
    </x:row>
    <x:row r="327">
      <x:c r="A327" s="30" t="str">
        <x:v>ROBS076</x:v>
      </x:c>
      <x:c r="B327" s="30" t="str">
        <x:v>RAUD076</x:v>
      </x:c>
      <x:c r="C327" s="30" t="str">
        <x:v>Community screening programme documentation lacked complete calibration evidence for screening equipment.</x:v>
      </x:c>
      <x:c r="D327" s="30" t="str">
        <x:v>Medium</x:v>
      </x:c>
      <x:c r="E327" s="30" t="str">
        <x:v>Maintain calibration records before programme commencement.</x:v>
      </x:c>
      <x:c r="F327" s="30" t="str">
        <x:v>Infrastructure</x:v>
      </x:c>
      <x:c r="G327" s="30" t="str">
        <x:v>RETAIL</x:v>
      </x:c>
      <x:c r="H327" s="30" t="str">
        <x:v>Yes</x:v>
      </x:c>
      <x:c r="I327" s="30" t="str">
        <x:v>Programme quality</x:v>
      </x:c>
    </x:row>
    <x:row r="328">
      <x:c r="A328" s="30" t="str">
        <x:v>ROBS077</x:v>
      </x:c>
      <x:c r="B328" s="30" t="str">
        <x:v>RAUD077</x:v>
      </x:c>
      <x:c r="C328" s="30" t="str">
        <x:v>Customer recall notifications were not acknowledged in all sampled recall cases.</x:v>
      </x:c>
      <x:c r="D328" s="30" t="str">
        <x:v>High</x:v>
      </x:c>
      <x:c r="E328" s="30" t="str">
        <x:v>Implement acknowledgement tracking and follow-up procedures.</x:v>
      </x:c>
      <x:c r="F328" s="30" t="str">
        <x:v>Quality</x:v>
      </x:c>
      <x:c r="G328" s="30" t="str">
        <x:v>RETAIL</x:v>
      </x:c>
      <x:c r="H328" s="30" t="str">
        <x:v>Yes</x:v>
      </x:c>
      <x:c r="I328" s="30" t="str">
        <x:v>Recall effectiveness</x:v>
      </x:c>
    </x:row>
    <x:row r="329">
      <x:c r="A329" s="30" t="str">
        <x:v>ROBS078</x:v>
      </x:c>
      <x:c r="B329" s="30" t="str">
        <x:v>RAUD078</x:v>
      </x:c>
      <x:c r="C329" s="30" t="str">
        <x:v>Cybersecurity assessments identified delayed implementation of critical security patches.</x:v>
      </x:c>
      <x:c r="D329" s="30" t="str">
        <x:v>High</x:v>
      </x:c>
      <x:c r="E329" s="30" t="str">
        <x:v>Prioritize high-risk vulnerability remediation within defined SLAs.</x:v>
      </x:c>
      <x:c r="F329" s="30" t="str">
        <x:v>Other</x:v>
      </x:c>
      <x:c r="G329" s="30" t="str">
        <x:v>RETAIL</x:v>
      </x:c>
      <x:c r="H329" s="30" t="str">
        <x:v>Yes</x:v>
      </x:c>
      <x:c r="I329" s="30" t="str">
        <x:v>Cybersecurity</x:v>
      </x:c>
    </x:row>
    <x:row r="330">
      <x:c r="A330" s="30" t="str">
        <x:v>ROBS079</x:v>
      </x:c>
      <x:c r="B330" s="30" t="str">
        <x:v>RAUD079</x:v>
      </x:c>
      <x:c r="C330" s="30" t="str">
        <x:v>Patient privacy controls during pharmacist counselling were inconsistently implemented.</x:v>
      </x:c>
      <x:c r="D330" s="30" t="str">
        <x:v>Medium</x:v>
      </x:c>
      <x:c r="E330" s="30" t="str">
        <x:v>Improve counselling area privacy and reinforce confidentiality procedures.</x:v>
      </x:c>
      <x:c r="F330" s="30" t="str">
        <x:v>Personnel</x:v>
      </x:c>
      <x:c r="G330" s="30" t="str">
        <x:v>RETAIL</x:v>
      </x:c>
      <x:c r="H330" s="30" t="str">
        <x:v>Yes</x:v>
      </x:c>
      <x:c r="I330" s="30" t="str">
        <x:v>Patient privacy</x:v>
      </x:c>
    </x:row>
    <x:row r="331">
      <x:c r="A331" s="30" t="str">
        <x:v>ROBS080</x:v>
      </x:c>
      <x:c r="B331" s="30" t="str">
        <x:v>RAUD080</x:v>
      </x:c>
      <x:c r="C331" s="30" t="str">
        <x:v>KPI reviews identified repeated compliance trends without measurable effectiveness evaluation.</x:v>
      </x:c>
      <x:c r="D331" s="30" t="str">
        <x:v>High</x:v>
      </x:c>
      <x:c r="E331" s="30" t="str">
        <x:v>Introduce KPI effectiveness reviews with executive oversight and action tracking.</x:v>
      </x:c>
      <x:c r="F331" s="30" t="str">
        <x:v>Other</x:v>
      </x:c>
      <x:c r="G331" s="30" t="str">
        <x:v>RETAIL</x:v>
      </x:c>
      <x:c r="H331" s="30" t="str">
        <x:v>Yes</x:v>
      </x:c>
      <x:c r="I331" s="30" t="str">
        <x:v>Governance observation</x:v>
      </x:c>
    </x:row>
    <x:row r="332">
      <x:c r="A332" s="30" t="str">
        <x:v>ROBS081</x:v>
      </x:c>
      <x:c r="B332" s="30" t="str">
        <x:v>RAUD081</x:v>
      </x:c>
      <x:c r="C332" s="30" t="str">
        <x:v>Procurement records did not consistently reconcile with inventory receipts and supplier invoices.</x:v>
      </x:c>
      <x:c r="D332" s="30" t="str">
        <x:v>Medium</x:v>
      </x:c>
      <x:c r="E332" s="30" t="str">
        <x:v>Strengthen procurement reconciliation and periodic management review.</x:v>
      </x:c>
      <x:c r="F332" s="30" t="str">
        <x:v>Inventory</x:v>
      </x:c>
      <x:c r="G332" s="30" t="str">
        <x:v>RETAIL</x:v>
      </x:c>
      <x:c r="H332" s="30" t="str">
        <x:v>Yes</x:v>
      </x:c>
      <x:c r="I332" s="30" t="str">
        <x:v>Procurement governance</x:v>
      </x:c>
    </x:row>
    <x:row r="333">
      <x:c r="A333" s="30" t="str">
        <x:v>ROBS082</x:v>
      </x:c>
      <x:c r="B333" s="30" t="str">
        <x:v>RAUD082</x:v>
      </x:c>
      <x:c r="C333" s="30" t="str">
        <x:v>Pharmacist registration renewal records were incomplete for sampled personnel.</x:v>
      </x:c>
      <x:c r="D333" s="30" t="str">
        <x:v>High</x:v>
      </x:c>
      <x:c r="E333" s="30" t="str">
        <x:v>Maintain centralized licence renewal tracking with advance reminders.</x:v>
      </x:c>
      <x:c r="F333" s="30" t="str">
        <x:v>Licensing</x:v>
      </x:c>
      <x:c r="G333" s="30" t="str">
        <x:v>RETAIL</x:v>
      </x:c>
      <x:c r="H333" s="30" t="str">
        <x:v>Yes</x:v>
      </x:c>
      <x:c r="I333" s="30" t="str">
        <x:v>Regulatory compliance</x:v>
      </x:c>
    </x:row>
    <x:row r="334">
      <x:c r="A334" s="30" t="str">
        <x:v>ROBS083</x:v>
      </x:c>
      <x:c r="B334" s="30" t="str">
        <x:v>RAUD083</x:v>
      </x:c>
      <x:c r="C334" s="30" t="str">
        <x:v>Electronic prescription validation overrides were processed without documented justification.</x:v>
      </x:c>
      <x:c r="D334" s="30" t="str">
        <x:v>High</x:v>
      </x:c>
      <x:c r="E334" s="30" t="str">
        <x:v>Require mandatory approval and audit logging for all override transactions.</x:v>
      </x:c>
      <x:c r="F334" s="30" t="str">
        <x:v>Digital / E-Pharmacy</x:v>
      </x:c>
      <x:c r="G334" s="30" t="str">
        <x:v>RETAIL</x:v>
      </x:c>
      <x:c r="H334" s="30" t="str">
        <x:v>Yes</x:v>
      </x:c>
      <x:c r="I334" s="30" t="str">
        <x:v>System control</x:v>
      </x:c>
    </x:row>
    <x:row r="335">
      <x:c r="A335" s="30" t="str">
        <x:v>ROBS084</x:v>
      </x:c>
      <x:c r="B335" s="30" t="str">
        <x:v>RAUD084</x:v>
      </x:c>
      <x:c r="C335" s="30" t="str">
        <x:v>Allergy alert documentation was missing for selected high-risk prescriptions.</x:v>
      </x:c>
      <x:c r="D335" s="30" t="str">
        <x:v>High</x:v>
      </x:c>
      <x:c r="E335" s="30" t="str">
        <x:v>Enforce mandatory allergy verification before dispensing medicines.</x:v>
      </x:c>
      <x:c r="F335" s="30" t="str">
        <x:v>Prescription</x:v>
      </x:c>
      <x:c r="G335" s="30" t="str">
        <x:v>RETAIL</x:v>
      </x:c>
      <x:c r="H335" s="30" t="str">
        <x:v>Yes</x:v>
      </x:c>
      <x:c r="I335" s="30" t="str">
        <x:v>Patient safety</x:v>
      </x:c>
    </x:row>
    <x:row r="336">
      <x:c r="A336" s="30" t="str">
        <x:v>ROBS085</x:v>
      </x:c>
      <x:c r="B336" s="30" t="str">
        <x:v>RAUD085</x:v>
      </x:c>
      <x:c r="C336" s="30" t="str">
        <x:v>Incoming medicine inspection records lacked documented batch verification in sampled cases.</x:v>
      </x:c>
      <x:c r="D336" s="30" t="str">
        <x:v>High</x:v>
      </x:c>
      <x:c r="E336" s="30" t="str">
        <x:v>Ensure batch verification before inventory acceptance.</x:v>
      </x:c>
      <x:c r="F336" s="30" t="str">
        <x:v>Inventory</x:v>
      </x:c>
      <x:c r="G336" s="30" t="str">
        <x:v>RETAIL</x:v>
      </x:c>
      <x:c r="H336" s="30" t="str">
        <x:v>Yes</x:v>
      </x:c>
      <x:c r="I336" s="30" t="str">
        <x:v>Inventory control</x:v>
      </x:c>
    </x:row>
    <x:row r="337">
      <x:c r="A337" s="30" t="str">
        <x:v>ROBS086</x:v>
      </x:c>
      <x:c r="B337" s="30" t="str">
        <x:v>RAUD086</x:v>
      </x:c>
      <x:c r="C337" s="30" t="str">
        <x:v>Proof-of-delivery documentation was incomplete for selected home delivery transactions.</x:v>
      </x:c>
      <x:c r="D337" s="30" t="str">
        <x:v>Medium</x:v>
      </x:c>
      <x:c r="E337" s="30" t="str">
        <x:v>Require electronic delivery confirmation before order closure.</x:v>
      </x:c>
      <x:c r="F337" s="30" t="str">
        <x:v>Digital / E-Pharmacy</x:v>
      </x:c>
      <x:c r="G337" s="30" t="str">
        <x:v>RETAIL</x:v>
      </x:c>
      <x:c r="H337" s="30" t="str">
        <x:v>Yes</x:v>
      </x:c>
      <x:c r="I337" s="30" t="str">
        <x:v>Delivery compliance</x:v>
      </x:c>
    </x:row>
    <x:row r="338">
      <x:c r="A338" s="30" t="str">
        <x:v>ROBS087</x:v>
      </x:c>
      <x:c r="B338" s="30" t="str">
        <x:v>RAUD087</x:v>
      </x:c>
      <x:c r="C338" s="30" t="str">
        <x:v>Automated expiry monitoring identified medicines remaining available for sale beyond review thresholds.</x:v>
      </x:c>
      <x:c r="D338" s="30" t="str">
        <x:v>High</x:v>
      </x:c>
      <x:c r="E338" s="30" t="str">
        <x:v>Review expiry alerts daily and remove affected medicines immediately.</x:v>
      </x:c>
      <x:c r="F338" s="30" t="str">
        <x:v>Storage</x:v>
      </x:c>
      <x:c r="G338" s="30" t="str">
        <x:v>RETAIL</x:v>
      </x:c>
      <x:c r="H338" s="30" t="str">
        <x:v>Yes</x:v>
      </x:c>
      <x:c r="I338" s="30" t="str">
        <x:v>Inventory risk</x:v>
      </x:c>
    </x:row>
    <x:row r="339">
      <x:c r="A339" s="30" t="str">
        <x:v>ROBS088</x:v>
      </x:c>
      <x:c r="B339" s="30" t="str">
        <x:v>RAUD088</x:v>
      </x:c>
      <x:c r="C339" s="30" t="str">
        <x:v>Privileged user access reviews were not completed within the approved review cycle.</x:v>
      </x:c>
      <x:c r="D339" s="30" t="str">
        <x:v>High</x:v>
      </x:c>
      <x:c r="E339" s="30" t="str">
        <x:v>Perform quarterly privileged access certification and revoke unnecessary access.</x:v>
      </x:c>
      <x:c r="F339" s="30" t="str">
        <x:v>Digital / E-Pharmacy</x:v>
      </x:c>
      <x:c r="G339" s="30" t="str">
        <x:v>RETAIL</x:v>
      </x:c>
      <x:c r="H339" s="30" t="str">
        <x:v>Yes</x:v>
      </x:c>
      <x:c r="I339" s="30" t="str">
        <x:v>Information security</x:v>
      </x:c>
    </x:row>
    <x:row r="340">
      <x:c r="A340" s="30" t="str">
        <x:v>ROBS089</x:v>
      </x:c>
      <x:c r="B340" s="30" t="str">
        <x:v>RAUD089</x:v>
      </x:c>
      <x:c r="C340" s="30" t="str">
        <x:v>Patient information leaflets were unavailable or outdated for selected medicines.</x:v>
      </x:c>
      <x:c r="D340" s="30" t="str">
        <x:v>Medium</x:v>
      </x:c>
      <x:c r="E340" s="30" t="str">
        <x:v>Maintain current approved patient information leaflets for all applicable medicines.</x:v>
      </x:c>
      <x:c r="F340" s="30" t="str">
        <x:v>Digital / E-Pharmacy</x:v>
      </x:c>
      <x:c r="G340" s="30" t="str">
        <x:v>RETAIL</x:v>
      </x:c>
      <x:c r="H340" s="30" t="str">
        <x:v>Yes</x:v>
      </x:c>
      <x:c r="I340" s="30" t="str">
        <x:v>Patient education</x:v>
      </x:c>
    </x:row>
    <x:row r="341">
      <x:c r="A341" s="30" t="str">
        <x:v>ROBS090</x:v>
      </x:c>
      <x:c r="B341" s="30" t="str">
        <x:v>RAUD090</x:v>
      </x:c>
      <x:c r="C341" s="30" t="str">
        <x:v>Monthly compliance reports did not adequately track closure of recurring observations.</x:v>
      </x:c>
      <x:c r="D341" s="30" t="str">
        <x:v>High</x:v>
      </x:c>
      <x:c r="E341" s="30" t="str">
        <x:v>Introduce observation ageing reports and executive monitoring.</x:v>
      </x:c>
      <x:c r="F341" s="30" t="str">
        <x:v>Regulatory Filing</x:v>
      </x:c>
      <x:c r="G341" s="30" t="str">
        <x:v>RETAIL</x:v>
      </x:c>
      <x:c r="H341" s="30" t="str">
        <x:v>Yes</x:v>
      </x:c>
      <x:c r="I341" s="30" t="str">
        <x:v>Governance improvement</x:v>
      </x:c>
    </x:row>
    <x:row r="342">
      <x:c r="A342" s="30" t="str">
        <x:v>ROBS091</x:v>
      </x:c>
      <x:c r="B342" s="30" t="str">
        <x:v>RAUD091</x:v>
      </x:c>
      <x:c r="C342" s="30" t="str">
        <x:v>Reserved medicines remained allocated after reservation expiry without documented review.</x:v>
      </x:c>
      <x:c r="D342" s="30" t="str">
        <x:v>Medium</x:v>
      </x:c>
      <x:c r="E342" s="30" t="str">
        <x:v>Configure automatic reservation expiry and inventory release controls.</x:v>
      </x:c>
      <x:c r="F342" s="30" t="str">
        <x:v>Storage</x:v>
      </x:c>
      <x:c r="G342" s="30" t="str">
        <x:v>RETAIL</x:v>
      </x:c>
      <x:c r="H342" s="30" t="str">
        <x:v>Yes</x:v>
      </x:c>
      <x:c r="I342" s="30" t="str">
        <x:v>Inventory optimization</x:v>
      </x:c>
    </x:row>
    <x:row r="343">
      <x:c r="A343" s="30" t="str">
        <x:v>ROBS092</x:v>
      </x:c>
      <x:c r="B343" s="30" t="str">
        <x:v>RAUD092</x:v>
      </x:c>
      <x:c r="C343" s="30" t="str">
        <x:v>Prescription amendments were processed without complete prescriber communication records.</x:v>
      </x:c>
      <x:c r="D343" s="30" t="str">
        <x:v>High</x:v>
      </x:c>
      <x:c r="E343" s="30" t="str">
        <x:v>Require documented confirmation from prescribers before amendment implementation.</x:v>
      </x:c>
      <x:c r="F343" s="30" t="str">
        <x:v>Prescription</x:v>
      </x:c>
      <x:c r="G343" s="30" t="str">
        <x:v>RETAIL</x:v>
      </x:c>
      <x:c r="H343" s="30" t="str">
        <x:v>Yes</x:v>
      </x:c>
      <x:c r="I343" s="30" t="str">
        <x:v>Prescription governance</x:v>
      </x:c>
    </x:row>
    <x:row r="344">
      <x:c r="A344" s="30" t="str">
        <x:v>ROBS093</x:v>
      </x:c>
      <x:c r="B344" s="30" t="str">
        <x:v>RAUD093</x:v>
      </x:c>
      <x:c r="C344" s="30" t="str">
        <x:v>Workflow queues experienced unexplained processing delays during peak operating periods.</x:v>
      </x:c>
      <x:c r="D344" s="30" t="str">
        <x:v>Medium</x:v>
      </x:c>
      <x:c r="E344" s="30" t="str">
        <x:v>Monitor queue performance continuously and optimize staffing.</x:v>
      </x:c>
      <x:c r="F344" s="30" t="str">
        <x:v>Personnel</x:v>
      </x:c>
      <x:c r="G344" s="30" t="str">
        <x:v>RETAIL</x:v>
      </x:c>
      <x:c r="H344" s="30" t="str">
        <x:v>Yes</x:v>
      </x:c>
      <x:c r="I344" s="30" t="str">
        <x:v>Operational efficiency</x:v>
      </x:c>
    </x:row>
    <x:row r="345">
      <x:c r="A345" s="30" t="str">
        <x:v>ROBS094</x:v>
      </x:c>
      <x:c r="B345" s="30" t="str">
        <x:v>RAUD094</x:v>
      </x:c>
      <x:c r="C345" s="30" t="str">
        <x:v>Drug interaction alerts were overridden without adequate pharmacist justification.</x:v>
      </x:c>
      <x:c r="D345" s="30" t="str">
        <x:v>High</x:v>
      </x:c>
      <x:c r="E345" s="30" t="str">
        <x:v>Require mandatory clinical justification and supervisory review for overrides.</x:v>
      </x:c>
      <x:c r="F345" s="30" t="str">
        <x:v>Personnel</x:v>
      </x:c>
      <x:c r="G345" s="30" t="str">
        <x:v>RETAIL</x:v>
      </x:c>
      <x:c r="H345" s="30" t="str">
        <x:v>Yes</x:v>
      </x:c>
      <x:c r="I345" s="30" t="str">
        <x:v>Clinical safety</x:v>
      </x:c>
    </x:row>
    <x:row r="346">
      <x:c r="A346" s="30" t="str">
        <x:v>ROBS095</x:v>
      </x:c>
      <x:c r="B346" s="30" t="str">
        <x:v>RAUD095</x:v>
      </x:c>
      <x:c r="C346" s="30" t="str">
        <x:v>Dispensing labels contained incomplete dosage or cautionary information in sampled cases.</x:v>
      </x:c>
      <x:c r="D346" s="30" t="str">
        <x:v>High</x:v>
      </x:c>
      <x:c r="E346" s="30" t="str">
        <x:v>Validate dispensing labels before medicine release.</x:v>
      </x:c>
      <x:c r="F346" s="30" t="str">
        <x:v>Other</x:v>
      </x:c>
      <x:c r="G346" s="30" t="str">
        <x:v>RETAIL</x:v>
      </x:c>
      <x:c r="H346" s="30" t="str">
        <x:v>Yes</x:v>
      </x:c>
      <x:c r="I346" s="30" t="str">
        <x:v>Dispensing quality</x:v>
      </x:c>
    </x:row>
    <x:row r="347">
      <x:c r="A347" s="30" t="str">
        <x:v>ROBS096</x:v>
      </x:c>
      <x:c r="B347" s="30" t="str">
        <x:v>RAUD096</x:v>
      </x:c>
      <x:c r="C347" s="30" t="str">
        <x:v>Shelf inspection records identified unauthorized storage of prescription medicines in customer-accessible areas.</x:v>
      </x:c>
      <x:c r="D347" s="30" t="str">
        <x:v>High</x:v>
      </x:c>
      <x:c r="E347" s="30" t="str">
        <x:v>Reinforce storage controls and perform regular inspection rounds.</x:v>
      </x:c>
      <x:c r="F347" s="30" t="str">
        <x:v>Prescription</x:v>
      </x:c>
      <x:c r="G347" s="30" t="str">
        <x:v>RETAIL</x:v>
      </x:c>
      <x:c r="H347" s="30" t="str">
        <x:v>Yes</x:v>
      </x:c>
      <x:c r="I347" s="30" t="str">
        <x:v>Physical compliance</x:v>
      </x:c>
    </x:row>
    <x:row r="348">
      <x:c r="A348" s="30" t="str">
        <x:v>ROBS097</x:v>
      </x:c>
      <x:c r="B348" s="30" t="str">
        <x:v>RAUD097</x:v>
      </x:c>
      <x:c r="C348" s="30" t="str">
        <x:v>Dispensing incident investigations did not consistently verify CAPA effectiveness.</x:v>
      </x:c>
      <x:c r="D348" s="30" t="str">
        <x:v>High</x:v>
      </x:c>
      <x:c r="E348" s="30" t="str">
        <x:v>Include post-implementation effectiveness review in every CAPA.</x:v>
      </x:c>
      <x:c r="F348" s="30" t="str">
        <x:v>Quality</x:v>
      </x:c>
      <x:c r="G348" s="30" t="str">
        <x:v>RETAIL</x:v>
      </x:c>
      <x:c r="H348" s="30" t="str">
        <x:v>Yes</x:v>
      </x:c>
      <x:c r="I348" s="30" t="str">
        <x:v>Quality assurance</x:v>
      </x:c>
    </x:row>
    <x:row r="349">
      <x:c r="A349" s="30" t="str">
        <x:v>ROBS098</x:v>
      </x:c>
      <x:c r="B349" s="30" t="str">
        <x:v>RAUD098</x:v>
      </x:c>
      <x:c r="C349" s="30" t="str">
        <x:v>System outage investigations lacked documented recovery validation evidence.</x:v>
      </x:c>
      <x:c r="D349" s="30" t="str">
        <x:v>Medium</x:v>
      </x:c>
      <x:c r="E349" s="30" t="str">
        <x:v>Record recovery testing and obtain management approval after outages.</x:v>
      </x:c>
      <x:c r="F349" s="30" t="str">
        <x:v>Digital / E-Pharmacy</x:v>
      </x:c>
      <x:c r="G349" s="30" t="str">
        <x:v>RETAIL</x:v>
      </x:c>
      <x:c r="H349" s="30" t="str">
        <x:v>Yes</x:v>
      </x:c>
      <x:c r="I349" s="30" t="str">
        <x:v>IT operations</x:v>
      </x:c>
    </x:row>
    <x:row r="350">
      <x:c r="A350" s="30" t="str">
        <x:v>ROBS099</x:v>
      </x:c>
      <x:c r="B350" s="30" t="str">
        <x:v>RAUD099</x:v>
      </x:c>
      <x:c r="C350" s="30" t="str">
        <x:v>Statutory pharmacy licence and mandatory public notices were not prominently displayed.</x:v>
      </x:c>
      <x:c r="D350" s="30" t="str">
        <x:v>Medium</x:v>
      </x:c>
      <x:c r="E350" s="30" t="str">
        <x:v>Perform monthly verification of all mandatory statutory displays.</x:v>
      </x:c>
      <x:c r="F350" s="30" t="str">
        <x:v>Licensing</x:v>
      </x:c>
      <x:c r="G350" s="30" t="str">
        <x:v>RETAIL</x:v>
      </x:c>
      <x:c r="H350" s="30" t="str">
        <x:v>Yes</x:v>
      </x:c>
      <x:c r="I350" s="30" t="str">
        <x:v>Regulatory display</x:v>
      </x:c>
    </x:row>
    <x:row r="351">
      <x:c r="A351" s="30" t="str">
        <x:v>ROBS100</x:v>
      </x:c>
      <x:c r="B351" s="30" t="str">
        <x:v>RAUD100</x:v>
      </x:c>
      <x:c r="C351" s="30" t="str">
        <x:v>Compliance maturity assessments identified governance weaknesses without documented implementation timelines.</x:v>
      </x:c>
      <x:c r="D351" s="30" t="str">
        <x:v>High</x:v>
      </x:c>
      <x:c r="E351" s="30" t="str">
        <x:v>Develop a formal compliance improvement roadmap with periodic executive review.</x:v>
      </x:c>
      <x:c r="F351" s="30" t="str">
        <x:v>Documentation</x:v>
      </x:c>
      <x:c r="G351" s="30" t="str">
        <x:v>RETAIL</x:v>
      </x:c>
      <x:c r="H351" s="30" t="str">
        <x:v>Yes</x:v>
      </x:c>
      <x:c r="I351" s="30" t="str">
        <x:v>Strategic governance</x:v>
      </x:c>
    </x:row>
    <x:row r="352">
      <x:c r="A352" s="30" t="str">
        <x:v>ROBS101</x:v>
      </x:c>
      <x:c r="B352" s="30" t="str">
        <x:v>RAUD101</x:v>
      </x:c>
      <x:c r="C352" s="30" t="str">
        <x:v>Customer identity verification records were incomplete, increasing the risk of unauthorized medicine collection.</x:v>
      </x:c>
      <x:c r="D352" s="30" t="str">
        <x:v>High</x:v>
      </x:c>
      <x:c r="E352" s="30" t="str">
        <x:v>Enforce mandatory identity verification before medicine release and retain supporting evidence.</x:v>
      </x:c>
      <x:c r="F352" s="30" t="str">
        <x:v>Digital / E-Pharmacy</x:v>
      </x:c>
      <x:c r="G352" s="30" t="str">
        <x:v>RETAIL</x:v>
      </x:c>
      <x:c r="H352" s="30" t="str">
        <x:v>Yes</x:v>
      </x:c>
      <x:c r="I352" s="30" t="str">
        <x:v>Customer verification</x:v>
      </x:c>
    </x:row>
    <x:row r="353">
      <x:c r="A353" s="30" t="str">
        <x:v>ROBS102</x:v>
      </x:c>
      <x:c r="B353" s="30" t="str">
        <x:v>RAUD102</x:v>
      </x:c>
      <x:c r="C353" s="30" t="str">
        <x:v>Prescription revalidation was not consistently performed before repeat dispensing.</x:v>
      </x:c>
      <x:c r="D353" s="30" t="str">
        <x:v>High</x:v>
      </x:c>
      <x:c r="E353" s="30" t="str">
        <x:v>Require pharmacist revalidation for all eligible repeat prescriptions.</x:v>
      </x:c>
      <x:c r="F353" s="30" t="str">
        <x:v>Prescription</x:v>
      </x:c>
      <x:c r="G353" s="30" t="str">
        <x:v>RETAIL</x:v>
      </x:c>
      <x:c r="H353" s="30" t="str">
        <x:v>Yes</x:v>
      </x:c>
      <x:c r="I353" s="30" t="str">
        <x:v>Prescription governance</x:v>
      </x:c>
    </x:row>
    <x:row r="354">
      <x:c r="A354" s="30" t="str">
        <x:v>ROBS103</x:v>
      </x:c>
      <x:c r="B354" s="30" t="str">
        <x:v>RAUD103</x:v>
      </x:c>
      <x:c r="C354" s="30" t="str">
        <x:v>Electronic approvals lacked complete audit trail and digital signature verification.</x:v>
      </x:c>
      <x:c r="D354" s="30" t="str">
        <x:v>High</x:v>
      </x:c>
      <x:c r="E354" s="30" t="str">
        <x:v>Enable immutable audit trails and mandatory digital signature validation.</x:v>
      </x:c>
      <x:c r="F354" s="30" t="str">
        <x:v>Digital / E-Pharmacy</x:v>
      </x:c>
      <x:c r="G354" s="30" t="str">
        <x:v>RETAIL</x:v>
      </x:c>
      <x:c r="H354" s="30" t="str">
        <x:v>Yes</x:v>
      </x:c>
      <x:c r="I354" s="30" t="str">
        <x:v>IT governance</x:v>
      </x:c>
    </x:row>
    <x:row r="355">
      <x:c r="A355" s="30" t="str">
        <x:v>ROBS104</x:v>
      </x:c>
      <x:c r="B355" s="30" t="str">
        <x:v>RAUD104</x:v>
      </x:c>
      <x:c r="C355" s="30" t="str">
        <x:v>Returned medicines were accepted without complete quality assessment documentation.</x:v>
      </x:c>
      <x:c r="D355" s="30" t="str">
        <x:v>High</x:v>
      </x:c>
      <x:c r="E355" s="30" t="str">
        <x:v>Standardize return assessment procedures before inventory disposition.</x:v>
      </x:c>
      <x:c r="F355" s="30" t="str">
        <x:v>Inventory</x:v>
      </x:c>
      <x:c r="G355" s="30" t="str">
        <x:v>RETAIL</x:v>
      </x:c>
      <x:c r="H355" s="30" t="str">
        <x:v>Yes</x:v>
      </x:c>
      <x:c r="I355" s="30" t="str">
        <x:v>Returns management</x:v>
      </x:c>
    </x:row>
    <x:row r="356">
      <x:c r="A356" s="30" t="str">
        <x:v>ROBS105</x:v>
      </x:c>
      <x:c r="B356" s="30" t="str">
        <x:v>RAUD105</x:v>
      </x:c>
      <x:c r="C356" s="30" t="str">
        <x:v>Mock recall exercises did not demonstrate complete traceability for sampled medicines.</x:v>
      </x:c>
      <x:c r="D356" s="30" t="str">
        <x:v>High</x:v>
      </x:c>
      <x:c r="E356" s="30" t="str">
        <x:v>Conduct end-to-end recall simulations and document lessons learned.</x:v>
      </x:c>
      <x:c r="F356" s="30" t="str">
        <x:v>Quality</x:v>
      </x:c>
      <x:c r="G356" s="30" t="str">
        <x:v>RETAIL</x:v>
      </x:c>
      <x:c r="H356" s="30" t="str">
        <x:v>Yes</x:v>
      </x:c>
      <x:c r="I356" s="30" t="str">
        <x:v>Recall readiness</x:v>
      </x:c>
    </x:row>
    <x:row r="357">
      <x:c r="A357" s="30" t="str">
        <x:v>ROBS106</x:v>
      </x:c>
      <x:c r="B357" s="30" t="str">
        <x:v>RAUD106</x:v>
      </x:c>
      <x:c r="C357" s="30" t="str">
        <x:v>Medicine reservations remained active after expiry due to inadequate system controls.</x:v>
      </x:c>
      <x:c r="D357" s="30" t="str">
        <x:v>Medium</x:v>
      </x:c>
      <x:c r="E357" s="30" t="str">
        <x:v>Configure automatic reservation expiry and management alerts.</x:v>
      </x:c>
      <x:c r="F357" s="30" t="str">
        <x:v>Storage</x:v>
      </x:c>
      <x:c r="G357" s="30" t="str">
        <x:v>RETAIL</x:v>
      </x:c>
      <x:c r="H357" s="30" t="str">
        <x:v>Yes</x:v>
      </x:c>
      <x:c r="I357" s="30" t="str">
        <x:v>Inventory management</x:v>
      </x:c>
    </x:row>
    <x:row r="358">
      <x:c r="A358" s="30" t="str">
        <x:v>ROBS107</x:v>
      </x:c>
      <x:c r="B358" s="30" t="str">
        <x:v>RAUD107</x:v>
      </x:c>
      <x:c r="C358" s="30" t="str">
        <x:v>Inventory adjustments were processed without adequate supporting investigation records.</x:v>
      </x:c>
      <x:c r="D358" s="30" t="str">
        <x:v>High</x:v>
      </x:c>
      <x:c r="E358" s="30" t="str">
        <x:v>Require documented investigation and management approval before adjustments.</x:v>
      </x:c>
      <x:c r="F358" s="30" t="str">
        <x:v>Digital / E-Pharmacy</x:v>
      </x:c>
      <x:c r="G358" s="30" t="str">
        <x:v>RETAIL</x:v>
      </x:c>
      <x:c r="H358" s="30" t="str">
        <x:v>Yes</x:v>
      </x:c>
      <x:c r="I358" s="30" t="str">
        <x:v>Inventory governance</x:v>
      </x:c>
    </x:row>
    <x:row r="359">
      <x:c r="A359" s="30" t="str">
        <x:v>ROBS108</x:v>
      </x:c>
      <x:c r="B359" s="30" t="str">
        <x:v>RAUD108</x:v>
      </x:c>
      <x:c r="C359" s="30" t="str">
        <x:v>Software changes were deployed without complete rollback validation evidence.</x:v>
      </x:c>
      <x:c r="D359" s="30" t="str">
        <x:v>High</x:v>
      </x:c>
      <x:c r="E359" s="30" t="str">
        <x:v>Strengthen change management with mandatory rollback testing.</x:v>
      </x:c>
      <x:c r="F359" s="30" t="str">
        <x:v>Other</x:v>
      </x:c>
      <x:c r="G359" s="30" t="str">
        <x:v>RETAIL</x:v>
      </x:c>
      <x:c r="H359" s="30" t="str">
        <x:v>Yes</x:v>
      </x:c>
      <x:c r="I359" s="30" t="str">
        <x:v>Change management</x:v>
      </x:c>
    </x:row>
    <x:row r="360">
      <x:c r="A360" s="30" t="str">
        <x:v>ROBS109</x:v>
      </x:c>
      <x:c r="B360" s="30" t="str">
        <x:v>RAUD109</x:v>
      </x:c>
      <x:c r="C360" s="30" t="str">
        <x:v>Educational materials distributed to customers were not periodically reviewed for regulatory updates.</x:v>
      </x:c>
      <x:c r="D360" s="30" t="str">
        <x:v>Medium</x:v>
      </x:c>
      <x:c r="E360" s="30" t="str">
        <x:v>Implement annual review and approval of all educational materials.</x:v>
      </x:c>
      <x:c r="F360" s="30" t="str">
        <x:v>Digital / E-Pharmacy</x:v>
      </x:c>
      <x:c r="G360" s="30" t="str">
        <x:v>RETAIL</x:v>
      </x:c>
      <x:c r="H360" s="30" t="str">
        <x:v>Yes</x:v>
      </x:c>
      <x:c r="I360" s="30" t="str">
        <x:v>Customer education</x:v>
      </x:c>
    </x:row>
    <x:row r="361">
      <x:c r="A361" s="30" t="str">
        <x:v>ROBS110</x:v>
      </x:c>
      <x:c r="B361" s="30" t="str">
        <x:v>RAUD110</x:v>
      </x:c>
      <x:c r="C361" s="30" t="str">
        <x:v>Governance meeting action items remained open beyond agreed completion timelines.</x:v>
      </x:c>
      <x:c r="D361" s="30" t="str">
        <x:v>High</x:v>
      </x:c>
      <x:c r="E361" s="30" t="str">
        <x:v>Introduce action ageing reports with executive escalation.</x:v>
      </x:c>
      <x:c r="F361" s="30" t="str">
        <x:v>Regulatory Filing</x:v>
      </x:c>
      <x:c r="G361" s="30" t="str">
        <x:v>RETAIL</x:v>
      </x:c>
      <x:c r="H361" s="30" t="str">
        <x:v>Yes</x:v>
      </x:c>
      <x:c r="I361" s="30" t="str">
        <x:v>Governance oversight</x:v>
      </x:c>
    </x:row>
    <x:row r="362">
      <x:c r="A362" s="30" t="str">
        <x:v>ROBS111</x:v>
      </x:c>
      <x:c r="B362" s="30" t="str">
        <x:v>RAUD111</x:v>
      </x:c>
      <x:c r="C362" s="30" t="str">
        <x:v>Authorized representative documentation was incomplete for selected medicine collections.</x:v>
      </x:c>
      <x:c r="D362" s="30" t="str">
        <x:v>Medium</x:v>
      </x:c>
      <x:c r="E362" s="30" t="str">
        <x:v>Verify authorization documents before third-party medicine handover.</x:v>
      </x:c>
      <x:c r="F362" s="30" t="str">
        <x:v>Documentation</x:v>
      </x:c>
      <x:c r="G362" s="30" t="str">
        <x:v>RETAIL</x:v>
      </x:c>
      <x:c r="H362" s="30" t="str">
        <x:v>Yes</x:v>
      </x:c>
      <x:c r="I362" s="30" t="str">
        <x:v>Collection compliance</x:v>
      </x:c>
    </x:row>
    <x:row r="363">
      <x:c r="A363" s="30" t="str">
        <x:v>ROBS112</x:v>
      </x:c>
      <x:c r="B363" s="30" t="str">
        <x:v>RAUD112</x:v>
      </x:c>
      <x:c r="C363" s="30" t="str">
        <x:v>Prescription clarification records lacked documented prescriber responses in sampled cases.</x:v>
      </x:c>
      <x:c r="D363" s="30" t="str">
        <x:v>High</x:v>
      </x:c>
      <x:c r="E363" s="30" t="str">
        <x:v>Record all prescriber clarifications before dispensing.</x:v>
      </x:c>
      <x:c r="F363" s="30" t="str">
        <x:v>Prescription</x:v>
      </x:c>
      <x:c r="G363" s="30" t="str">
        <x:v>RETAIL</x:v>
      </x:c>
      <x:c r="H363" s="30" t="str">
        <x:v>Yes</x:v>
      </x:c>
      <x:c r="I363" s="30" t="str">
        <x:v>Clinical documentation</x:v>
      </x:c>
    </x:row>
    <x:row r="364">
      <x:c r="A364" s="30" t="str">
        <x:v>ROBS113</x:v>
      </x:c>
      <x:c r="B364" s="30" t="str">
        <x:v>RAUD113</x:v>
      </x:c>
      <x:c r="C364" s="30" t="str">
        <x:v>Electronic archive testing did not verify successful retrieval of historical prescription records.</x:v>
      </x:c>
      <x:c r="D364" s="30" t="str">
        <x:v>Medium</x:v>
      </x:c>
      <x:c r="E364" s="30" t="str">
        <x:v>Schedule periodic archive retrieval testing and retain evidence.</x:v>
      </x:c>
      <x:c r="F364" s="30" t="str">
        <x:v>Prescription</x:v>
      </x:c>
      <x:c r="G364" s="30" t="str">
        <x:v>RETAIL</x:v>
      </x:c>
      <x:c r="H364" s="30" t="str">
        <x:v>Yes</x:v>
      </x:c>
      <x:c r="I364" s="30" t="str">
        <x:v>Records governance</x:v>
      </x:c>
    </x:row>
    <x:row r="365">
      <x:c r="A365" s="30" t="str">
        <x:v>ROBS114</x:v>
      </x:c>
      <x:c r="B365" s="30" t="str">
        <x:v>RAUD114</x:v>
      </x:c>
      <x:c r="C365" s="30" t="str">
        <x:v>Shelf organization controls did not consistently separate medicines according to approved classification.</x:v>
      </x:c>
      <x:c r="D365" s="30" t="str">
        <x:v>Medium</x:v>
      </x:c>
      <x:c r="E365" s="30" t="str">
        <x:v>Perform routine shelf organization inspections and corrective actions.</x:v>
      </x:c>
      <x:c r="F365" s="30" t="str">
        <x:v>Digital / E-Pharmacy</x:v>
      </x:c>
      <x:c r="G365" s="30" t="str">
        <x:v>RETAIL</x:v>
      </x:c>
      <x:c r="H365" s="30" t="str">
        <x:v>Yes</x:v>
      </x:c>
      <x:c r="I365" s="30" t="str">
        <x:v>Inventory organization</x:v>
      </x:c>
    </x:row>
    <x:row r="366">
      <x:c r="A366" s="30" t="str">
        <x:v>ROBS115</x:v>
      </x:c>
      <x:c r="B366" s="30" t="str">
        <x:v>RAUD115</x:v>
      </x:c>
      <x:c r="C366" s="30" t="str">
        <x:v>Recall closure reports lacked evidence confirming completion of all corrective actions.</x:v>
      </x:c>
      <x:c r="D366" s="30" t="str">
        <x:v>High</x:v>
      </x:c>
      <x:c r="E366" s="30" t="str">
        <x:v>Require management sign-off before recall closure.</x:v>
      </x:c>
      <x:c r="F366" s="30" t="str">
        <x:v>Regulatory Filing</x:v>
      </x:c>
      <x:c r="G366" s="30" t="str">
        <x:v>RETAIL</x:v>
      </x:c>
      <x:c r="H366" s="30" t="str">
        <x:v>Yes</x:v>
      </x:c>
      <x:c r="I366" s="30" t="str">
        <x:v>Recall governance</x:v>
      </x:c>
    </x:row>
    <x:row r="367">
      <x:c r="A367" s="30" t="str">
        <x:v>ROBS116</x:v>
      </x:c>
      <x:c r="B367" s="30" t="str">
        <x:v>RAUD116</x:v>
      </x:c>
      <x:c r="C367" s="30" t="str">
        <x:v>Appointment scheduling records contained unexplained cancellations without follow-up documentation.</x:v>
      </x:c>
      <x:c r="D367" s="30" t="str">
        <x:v>Low</x:v>
      </x:c>
      <x:c r="E367" s="30" t="str">
        <x:v>Maintain documented cancellation reasons and follow-up actions.</x:v>
      </x:c>
      <x:c r="F367" s="30" t="str">
        <x:v>Digital / E-Pharmacy</x:v>
      </x:c>
      <x:c r="G367" s="30" t="str">
        <x:v>RETAIL</x:v>
      </x:c>
      <x:c r="H367" s="30" t="str">
        <x:v>Yes</x:v>
      </x:c>
      <x:c r="I367" s="30" t="str">
        <x:v>Operational improvement</x:v>
      </x:c>
    </x:row>
    <x:row r="368">
      <x:c r="A368" s="30" t="str">
        <x:v>ROBS117</x:v>
      </x:c>
      <x:c r="B368" s="30" t="str">
        <x:v>RAUD117</x:v>
      </x:c>
      <x:c r="C368" s="30" t="str">
        <x:v>Inventory anomaly investigations did not consistently identify systemic causes of recurring discrepancies.</x:v>
      </x:c>
      <x:c r="D368" s="30" t="str">
        <x:v>High</x:v>
      </x:c>
      <x:c r="E368" s="30" t="str">
        <x:v>Perform trend analysis and implement preventive inventory controls.</x:v>
      </x:c>
      <x:c r="F368" s="30" t="str">
        <x:v>Inventory</x:v>
      </x:c>
      <x:c r="G368" s="30" t="str">
        <x:v>RETAIL</x:v>
      </x:c>
      <x:c r="H368" s="30" t="str">
        <x:v>Yes</x:v>
      </x:c>
      <x:c r="I368" s="30" t="str">
        <x:v>Inventory analytics</x:v>
      </x:c>
    </x:row>
    <x:row r="369">
      <x:c r="A369" s="30" t="str">
        <x:v>ROBS118</x:v>
      </x:c>
      <x:c r="B369" s="30" t="str">
        <x:v>RAUD118</x:v>
      </x:c>
      <x:c r="C369" s="30" t="str">
        <x:v>Cybersecurity monitoring reports identified repeated security events without documented preventive measures.</x:v>
      </x:c>
      <x:c r="D369" s="30" t="str">
        <x:v>High</x:v>
      </x:c>
      <x:c r="E369" s="30" t="str">
        <x:v>Strengthen security monitoring and preventive cyber controls.</x:v>
      </x:c>
      <x:c r="F369" s="30" t="str">
        <x:v>Regulatory Filing</x:v>
      </x:c>
      <x:c r="G369" s="30" t="str">
        <x:v>RETAIL</x:v>
      </x:c>
      <x:c r="H369" s="30" t="str">
        <x:v>Yes</x:v>
      </x:c>
      <x:c r="I369" s="30" t="str">
        <x:v>Cyber resilience</x:v>
      </x:c>
    </x:row>
    <x:row r="370">
      <x:c r="A370" s="30" t="str">
        <x:v>ROBS119</x:v>
      </x:c>
      <x:c r="B370" s="30" t="str">
        <x:v>RAUD119</x:v>
      </x:c>
      <x:c r="C370" s="30" t="str">
        <x:v>Public health information displays were not consistently updated following new regulatory advisories.</x:v>
      </x:c>
      <x:c r="D370" s="30" t="str">
        <x:v>Medium</x:v>
      </x:c>
      <x:c r="E370" s="30" t="str">
        <x:v>Establish formal review process for all public health communications.</x:v>
      </x:c>
      <x:c r="F370" s="30" t="str">
        <x:v>Regulatory Filing</x:v>
      </x:c>
      <x:c r="G370" s="30" t="str">
        <x:v>RETAIL</x:v>
      </x:c>
      <x:c r="H370" s="30" t="str">
        <x:v>Yes</x:v>
      </x:c>
      <x:c r="I370" s="30" t="str">
        <x:v>Public awareness</x:v>
      </x:c>
    </x:row>
    <x:row r="371">
      <x:c r="A371" s="30" t="str">
        <x:v>ROBS120</x:v>
      </x:c>
      <x:c r="B371" s="30" t="str">
        <x:v>RAUD120</x:v>
      </x:c>
      <x:c r="C371" s="30" t="str">
        <x:v>Continuous improvement initiatives lacked measurable KPIs and effectiveness monitoring.</x:v>
      </x:c>
      <x:c r="D371" s="30" t="str">
        <x:v>High</x:v>
      </x:c>
      <x:c r="E371" s="30" t="str">
        <x:v>Define measurable KPIs and conduct quarterly effectiveness reviews.</x:v>
      </x:c>
      <x:c r="F371" s="30" t="str">
        <x:v>Other</x:v>
      </x:c>
      <x:c r="G371" s="30" t="str">
        <x:v>RETAIL</x:v>
      </x:c>
      <x:c r="H371" s="30" t="str">
        <x:v>Yes</x:v>
      </x:c>
      <x:c r="I371" s="30" t="str">
        <x:v>Continuous improvement</x:v>
      </x:c>
    </x:row>
    <x:row r="372">
      <x:c r="A372" s="30" t="str">
        <x:v>ROBS121</x:v>
      </x:c>
      <x:c r="B372" s="30" t="str">
        <x:v>RAUD121</x:v>
      </x:c>
      <x:c r="C372" s="30" t="str">
        <x:v>Dual verification for controlled medicines was not consistently evidenced before dispensing.</x:v>
      </x:c>
      <x:c r="D372" s="30" t="str">
        <x:v>High</x:v>
      </x:c>
      <x:c r="E372" s="30" t="str">
        <x:v>Enforce mandatory dual verification with documented signatures prior to medicine release.</x:v>
      </x:c>
      <x:c r="F372" s="30" t="str">
        <x:v>Documentation</x:v>
      </x:c>
      <x:c r="G372" s="30" t="str">
        <x:v>RETAIL</x:v>
      </x:c>
      <x:c r="H372" s="30" t="str">
        <x:v>Yes</x:v>
      </x:c>
      <x:c r="I372" s="30" t="str">
        <x:v>Controlled medicine compliance</x:v>
      </x:c>
    </x:row>
    <x:row r="373">
      <x:c r="A373" s="30" t="str">
        <x:v>ROBS122</x:v>
      </x:c>
      <x:c r="B373" s="30" t="str">
        <x:v>RAUD122</x:v>
      </x:c>
      <x:c r="C373" s="30" t="str">
        <x:v>Prescription completeness reviews were not consistently documented before dispensing.</x:v>
      </x:c>
      <x:c r="D373" s="30" t="str">
        <x:v>High</x:v>
      </x:c>
      <x:c r="E373" s="30" t="str">
        <x:v>Introduce mandatory prescription completeness checklist with pharmacist approval.</x:v>
      </x:c>
      <x:c r="F373" s="30" t="str">
        <x:v>Digital / E-Pharmacy</x:v>
      </x:c>
      <x:c r="G373" s="30" t="str">
        <x:v>RETAIL</x:v>
      </x:c>
      <x:c r="H373" s="30" t="str">
        <x:v>Yes</x:v>
      </x:c>
      <x:c r="I373" s="30" t="str">
        <x:v>Prescription validation</x:v>
      </x:c>
    </x:row>
    <x:row r="374">
      <x:c r="A374" s="30" t="str">
        <x:v>ROBS123</x:v>
      </x:c>
      <x:c r="B374" s="30" t="str">
        <x:v>RAUD123</x:v>
      </x:c>
      <x:c r="C374" s="30" t="str">
        <x:v>Audit log retention did not meet organizational retention requirements for selected pharmacy systems.</x:v>
      </x:c>
      <x:c r="D374" s="30" t="str">
        <x:v>High</x:v>
      </x:c>
      <x:c r="E374" s="30" t="str">
        <x:v>Configure automated audit log retention and periodic verification.</x:v>
      </x:c>
      <x:c r="F374" s="30" t="str">
        <x:v>Documentation</x:v>
      </x:c>
      <x:c r="G374" s="30" t="str">
        <x:v>RETAIL</x:v>
      </x:c>
      <x:c r="H374" s="30" t="str">
        <x:v>Yes</x:v>
      </x:c>
      <x:c r="I374" s="30" t="str">
        <x:v>IT governance</x:v>
      </x:c>
    </x:row>
    <x:row r="375">
      <x:c r="A375" s="30" t="str">
        <x:v>ROBS124</x:v>
      </x:c>
      <x:c r="B375" s="30" t="str">
        <x:v>RAUD124</x:v>
      </x:c>
      <x:c r="C375" s="30" t="str">
        <x:v>Dispensing verification records lacked documented confirmation of batch and expiry verification.</x:v>
      </x:c>
      <x:c r="D375" s="30" t="str">
        <x:v>High</x:v>
      </x:c>
      <x:c r="E375" s="30" t="str">
        <x:v>Require verification of batch number and expiry before medicine handover.</x:v>
      </x:c>
      <x:c r="F375" s="30" t="str">
        <x:v>Storage</x:v>
      </x:c>
      <x:c r="G375" s="30" t="str">
        <x:v>RETAIL</x:v>
      </x:c>
      <x:c r="H375" s="30" t="str">
        <x:v>Yes</x:v>
      </x:c>
      <x:c r="I375" s="30" t="str">
        <x:v>Dispensing quality</x:v>
      </x:c>
    </x:row>
    <x:row r="376">
      <x:c r="A376" s="30" t="str">
        <x:v>ROBS125</x:v>
      </x:c>
      <x:c r="B376" s="30" t="str">
        <x:v>RAUD125</x:v>
      </x:c>
      <x:c r="C376" s="30" t="str">
        <x:v>Critical recall cases were not escalated to management within prescribed timelines.</x:v>
      </x:c>
      <x:c r="D376" s="30" t="str">
        <x:v>High</x:v>
      </x:c>
      <x:c r="E376" s="30" t="str">
        <x:v>Strengthen recall escalation workflow with automated notifications.</x:v>
      </x:c>
      <x:c r="F376" s="30" t="str">
        <x:v>Quality</x:v>
      </x:c>
      <x:c r="G376" s="30" t="str">
        <x:v>RETAIL</x:v>
      </x:c>
      <x:c r="H376" s="30" t="str">
        <x:v>Yes</x:v>
      </x:c>
      <x:c r="I376" s="30" t="str">
        <x:v>Regulatory significance</x:v>
      </x:c>
    </x:row>
    <x:row r="377">
      <x:c r="A377" s="30" t="str">
        <x:v>ROBS126</x:v>
      </x:c>
      <x:c r="B377" s="30" t="str">
        <x:v>RAUD126</x:v>
      </x:c>
      <x:c r="C377" s="30" t="str">
        <x:v>Online medicine reservations were released without adequate customer verification.</x:v>
      </x:c>
      <x:c r="D377" s="30" t="str">
        <x:v>Medium</x:v>
      </x:c>
      <x:c r="E377" s="30" t="str">
        <x:v>Validate customer identity before reservation release.</x:v>
      </x:c>
      <x:c r="F377" s="30" t="str">
        <x:v>Digital / E-Pharmacy</x:v>
      </x:c>
      <x:c r="G377" s="30" t="str">
        <x:v>RETAIL</x:v>
      </x:c>
      <x:c r="H377" s="30" t="str">
        <x:v>Yes</x:v>
      </x:c>
      <x:c r="I377" s="30" t="str">
        <x:v>Online operations</x:v>
      </x:c>
    </x:row>
    <x:row r="378">
      <x:c r="A378" s="30" t="str">
        <x:v>ROBS127</x:v>
      </x:c>
      <x:c r="B378" s="30" t="str">
        <x:v>RAUD127</x:v>
      </x:c>
      <x:c r="C378" s="30" t="str">
        <x:v>Inventory adjustment approvals were missing for selected high-value medicines.</x:v>
      </x:c>
      <x:c r="D378" s="30" t="str">
        <x:v>High</x:v>
      </x:c>
      <x:c r="E378" s="30" t="str">
        <x:v>Require management approval for all material inventory adjustments.</x:v>
      </x:c>
      <x:c r="F378" s="30" t="str">
        <x:v>Digital / E-Pharmacy</x:v>
      </x:c>
      <x:c r="G378" s="30" t="str">
        <x:v>RETAIL</x:v>
      </x:c>
      <x:c r="H378" s="30" t="str">
        <x:v>Yes</x:v>
      </x:c>
      <x:c r="I378" s="30" t="str">
        <x:v>Inventory governance</x:v>
      </x:c>
    </x:row>
    <x:row r="379">
      <x:c r="A379" s="30" t="str">
        <x:v>ROBS128</x:v>
      </x:c>
      <x:c r="B379" s="30" t="str">
        <x:v>RAUD128</x:v>
      </x:c>
      <x:c r="C379" s="30" t="str">
        <x:v>Disaster recovery testing did not verify complete restoration of pharmacy applications.</x:v>
      </x:c>
      <x:c r="D379" s="30" t="str">
        <x:v>High</x:v>
      </x:c>
      <x:c r="E379" s="30" t="str">
        <x:v>Perform end-to-end disaster recovery testing and document results.</x:v>
      </x:c>
      <x:c r="F379" s="30" t="str">
        <x:v>Digital / E-Pharmacy</x:v>
      </x:c>
      <x:c r="G379" s="30" t="str">
        <x:v>RETAIL</x:v>
      </x:c>
      <x:c r="H379" s="30" t="str">
        <x:v>Yes</x:v>
      </x:c>
      <x:c r="I379" s="30" t="str">
        <x:v>Business continuity</x:v>
      </x:c>
    </x:row>
    <x:row r="380">
      <x:c r="A380" s="30" t="str">
        <x:v>ROBS129</x:v>
      </x:c>
      <x:c r="B380" s="30" t="str">
        <x:v>RAUD129</x:v>
      </x:c>
      <x:c r="C380" s="30" t="str">
        <x:v>Community education programmes lacked documented post-event effectiveness assessments.</x:v>
      </x:c>
      <x:c r="D380" s="30" t="str">
        <x:v>Medium</x:v>
      </x:c>
      <x:c r="E380" s="30" t="str">
        <x:v>Introduce programme evaluation reports and improvement recommendations.</x:v>
      </x:c>
      <x:c r="F380" s="30" t="str">
        <x:v>Regulatory Filing</x:v>
      </x:c>
      <x:c r="G380" s="30" t="str">
        <x:v>RETAIL</x:v>
      </x:c>
      <x:c r="H380" s="30" t="str">
        <x:v>Yes</x:v>
      </x:c>
      <x:c r="I380" s="30" t="str">
        <x:v>Community outreach</x:v>
      </x:c>
    </x:row>
    <x:row r="381">
      <x:c r="A381" s="30" t="str">
        <x:v>ROBS130</x:v>
      </x:c>
      <x:c r="B381" s="30" t="str">
        <x:v>RAUD130</x:v>
      </x:c>
      <x:c r="C381" s="30" t="str">
        <x:v>Compliance risk assessments were not updated following significant operational changes.</x:v>
      </x:c>
      <x:c r="D381" s="30" t="str">
        <x:v>High</x:v>
      </x:c>
      <x:c r="E381" s="30" t="str">
        <x:v>Update risk assessments after every significant regulatory or operational change.</x:v>
      </x:c>
      <x:c r="F381" s="30" t="str">
        <x:v>Regulatory Filing</x:v>
      </x:c>
      <x:c r="G381" s="30" t="str">
        <x:v>RETAIL</x:v>
      </x:c>
      <x:c r="H381" s="30" t="str">
        <x:v>Yes</x:v>
      </x:c>
      <x:c r="I381" s="30" t="str">
        <x:v>Enterprise risk management</x:v>
      </x:c>
    </x:row>
    <x:row r="382">
      <x:c r="A382" s="30" t="str">
        <x:v>ROBS131</x:v>
      </x:c>
      <x:c r="B382" s="30" t="str">
        <x:v>RAUD131</x:v>
      </x:c>
      <x:c r="C382" s="30" t="str">
        <x:v>Pharmacist authorization records were incomplete for sampled dispensing transactions.</x:v>
      </x:c>
      <x:c r="D382" s="30" t="str">
        <x:v>High</x:v>
      </x:c>
      <x:c r="E382" s="30" t="str">
        <x:v>Require electronic authorization before dispensing completion.</x:v>
      </x:c>
      <x:c r="F382" s="30" t="str">
        <x:v>Personnel</x:v>
      </x:c>
      <x:c r="G382" s="30" t="str">
        <x:v>RETAIL</x:v>
      </x:c>
      <x:c r="H382" s="30" t="str">
        <x:v>Yes</x:v>
      </x:c>
      <x:c r="I382" s="30" t="str">
        <x:v>Clinical governance</x:v>
      </x:c>
    </x:row>
    <x:row r="383">
      <x:c r="A383" s="30" t="str">
        <x:v>ROBS132</x:v>
      </x:c>
      <x:c r="B383" s="30" t="str">
        <x:v>RAUD132</x:v>
      </x:c>
      <x:c r="C383" s="30" t="str">
        <x:v>Archived prescription records were not periodically reviewed for retention compliance.</x:v>
      </x:c>
      <x:c r="D383" s="30" t="str">
        <x:v>Medium</x:v>
      </x:c>
      <x:c r="E383" s="30" t="str">
        <x:v>Conduct annual archive compliance reviews.</x:v>
      </x:c>
      <x:c r="F383" s="30" t="str">
        <x:v>Prescription</x:v>
      </x:c>
      <x:c r="G383" s="30" t="str">
        <x:v>RETAIL</x:v>
      </x:c>
      <x:c r="H383" s="30" t="str">
        <x:v>Yes</x:v>
      </x:c>
      <x:c r="I383" s="30" t="str">
        <x:v>Records management</x:v>
      </x:c>
    </x:row>
    <x:row r="384">
      <x:c r="A384" s="30" t="str">
        <x:v>ROBS133</x:v>
      </x:c>
      <x:c r="B384" s="30" t="str">
        <x:v>RAUD133</x:v>
      </x:c>
      <x:c r="C384" s="30" t="str">
        <x:v>System interface synchronization failures were not investigated within defined timelines.</x:v>
      </x:c>
      <x:c r="D384" s="30" t="str">
        <x:v>High</x:v>
      </x:c>
      <x:c r="E384" s="30" t="str">
        <x:v>Monitor interface failures continuously and implement timely corrective actions.</x:v>
      </x:c>
      <x:c r="F384" s="30" t="str">
        <x:v>Other</x:v>
      </x:c>
      <x:c r="G384" s="30" t="str">
        <x:v>RETAIL</x:v>
      </x:c>
      <x:c r="H384" s="30" t="str">
        <x:v>Yes</x:v>
      </x:c>
      <x:c r="I384" s="30" t="str">
        <x:v>IT operations</x:v>
      </x:c>
    </x:row>
    <x:row r="385">
      <x:c r="A385" s="30" t="str">
        <x:v>ROBS134</x:v>
      </x:c>
      <x:c r="B385" s="30" t="str">
        <x:v>RAUD134</x:v>
      </x:c>
      <x:c r="C385" s="30" t="str">
        <x:v>Independent dispensing verification was omitted for selected high-risk prescriptions.</x:v>
      </x:c>
      <x:c r="D385" s="30" t="str">
        <x:v>High</x:v>
      </x:c>
      <x:c r="E385" s="30" t="str">
        <x:v>Enforce independent verification before medicine release.</x:v>
      </x:c>
      <x:c r="F385" s="30" t="str">
        <x:v>Prescription</x:v>
      </x:c>
      <x:c r="G385" s="30" t="str">
        <x:v>RETAIL</x:v>
      </x:c>
      <x:c r="H385" s="30" t="str">
        <x:v>Yes</x:v>
      </x:c>
      <x:c r="I385" s="30" t="str">
        <x:v>Patient safety</x:v>
      </x:c>
    </x:row>
    <x:row r="386">
      <x:c r="A386" s="30" t="str">
        <x:v>ROBS135</x:v>
      </x:c>
      <x:c r="B386" s="30" t="str">
        <x:v>RAUD135</x:v>
      </x:c>
      <x:c r="C386" s="30" t="str">
        <x:v>Regulatory safety alerts were implemented without documented staff acknowledgement.</x:v>
      </x:c>
      <x:c r="D386" s="30" t="str">
        <x:v>High</x:v>
      </x:c>
      <x:c r="E386" s="30" t="str">
        <x:v>Record staff acknowledgement for all regulatory safety communications.</x:v>
      </x:c>
      <x:c r="F386" s="30" t="str">
        <x:v>Personnel</x:v>
      </x:c>
      <x:c r="G386" s="30" t="str">
        <x:v>RETAIL</x:v>
      </x:c>
      <x:c r="H386" s="30" t="str">
        <x:v>Yes</x:v>
      </x:c>
      <x:c r="I386" s="30" t="str">
        <x:v>Regulatory communication</x:v>
      </x:c>
    </x:row>
    <x:row r="387">
      <x:c r="A387" s="30" t="str">
        <x:v>ROBS136</x:v>
      </x:c>
      <x:c r="B387" s="30" t="str">
        <x:v>RAUD136</x:v>
      </x:c>
      <x:c r="C387" s="30" t="str">
        <x:v>Queue management controls did not consistently prioritize emergency prescriptions.</x:v>
      </x:c>
      <x:c r="D387" s="30" t="str">
        <x:v>Medium</x:v>
      </x:c>
      <x:c r="E387" s="30" t="str">
        <x:v>Configure automated priority rules for emergency dispensing.</x:v>
      </x:c>
      <x:c r="F387" s="30" t="str">
        <x:v>Prescription</x:v>
      </x:c>
      <x:c r="G387" s="30" t="str">
        <x:v>RETAIL</x:v>
      </x:c>
      <x:c r="H387" s="30" t="str">
        <x:v>Yes</x:v>
      </x:c>
      <x:c r="I387" s="30" t="str">
        <x:v>Workflow optimization</x:v>
      </x:c>
    </x:row>
    <x:row r="388">
      <x:c r="A388" s="30" t="str">
        <x:v>ROBS137</x:v>
      </x:c>
      <x:c r="B388" s="30" t="str">
        <x:v>RAUD137</x:v>
      </x:c>
      <x:c r="C388" s="30" t="str">
        <x:v>Inventory trend analysis identified recurring shortages without preventive planning.</x:v>
      </x:c>
      <x:c r="D388" s="30" t="str">
        <x:v>Medium</x:v>
      </x:c>
      <x:c r="E388" s="30" t="str">
        <x:v>Introduce predictive inventory planning and periodic review.</x:v>
      </x:c>
      <x:c r="F388" s="30" t="str">
        <x:v>Inventory</x:v>
      </x:c>
      <x:c r="G388" s="30" t="str">
        <x:v>RETAIL</x:v>
      </x:c>
      <x:c r="H388" s="30" t="str">
        <x:v>Yes</x:v>
      </x:c>
      <x:c r="I388" s="30" t="str">
        <x:v>Inventory analytics</x:v>
      </x:c>
    </x:row>
    <x:row r="389">
      <x:c r="A389" s="30" t="str">
        <x:v>ROBS138</x:v>
      </x:c>
      <x:c r="B389" s="30" t="str">
        <x:v>RAUD138</x:v>
      </x:c>
      <x:c r="C389" s="30" t="str">
        <x:v>Cybersecurity incident response documentation lacked evidence of post-incident review.</x:v>
      </x:c>
      <x:c r="D389" s="30" t="str">
        <x:v>High</x:v>
      </x:c>
      <x:c r="E389" s="30" t="str">
        <x:v>Perform documented lessons-learned reviews after every security incident.</x:v>
      </x:c>
      <x:c r="F389" s="30" t="str">
        <x:v>Documentation</x:v>
      </x:c>
      <x:c r="G389" s="30" t="str">
        <x:v>RETAIL</x:v>
      </x:c>
      <x:c r="H389" s="30" t="str">
        <x:v>Yes</x:v>
      </x:c>
      <x:c r="I389" s="30" t="str">
        <x:v>Cybersecurity governance</x:v>
      </x:c>
    </x:row>
    <x:row r="390">
      <x:c r="A390" s="30" t="str">
        <x:v>ROBS139</x:v>
      </x:c>
      <x:c r="B390" s="30" t="str">
        <x:v>RAUD139</x:v>
      </x:c>
      <x:c r="C390" s="30" t="str">
        <x:v>Customer communications relating to medicine availability were not consistently documented.</x:v>
      </x:c>
      <x:c r="D390" s="30" t="str">
        <x:v>Medium</x:v>
      </x:c>
      <x:c r="E390" s="30" t="str">
        <x:v>Maintain centralized communication records with audit trail.</x:v>
      </x:c>
      <x:c r="F390" s="30" t="str">
        <x:v>Documentation</x:v>
      </x:c>
      <x:c r="G390" s="30" t="str">
        <x:v>RETAIL</x:v>
      </x:c>
      <x:c r="H390" s="30" t="str">
        <x:v>Yes</x:v>
      </x:c>
      <x:c r="I390" s="30" t="str">
        <x:v>Customer communication</x:v>
      </x:c>
    </x:row>
    <x:row r="391">
      <x:c r="A391" s="30" t="str">
        <x:v>ROBS140</x:v>
      </x:c>
      <x:c r="B391" s="30" t="str">
        <x:v>RAUD140</x:v>
      </x:c>
      <x:c r="C391" s="30" t="str">
        <x:v>Compliance dashboard metrics did not include overdue corrective actions and ageing observations.</x:v>
      </x:c>
      <x:c r="D391" s="30" t="str">
        <x:v>High</x:v>
      </x:c>
      <x:c r="E391" s="30" t="str">
        <x:v>Expand compliance dashboard to include overdue actions and ageing indicators.</x:v>
      </x:c>
      <x:c r="F391" s="30" t="str">
        <x:v>Other</x:v>
      </x:c>
      <x:c r="G391" s="30" t="str">
        <x:v>RETAIL</x:v>
      </x:c>
      <x:c r="H391" s="30" t="str">
        <x:v>Yes</x:v>
      </x:c>
      <x:c r="I391" s="30" t="str">
        <x:v>Executive monitoring</x:v>
      </x:c>
    </x:row>
    <x:row r="392">
      <x:c r="A392" s="30" t="str">
        <x:v>ROBS141</x:v>
      </x:c>
      <x:c r="B392" s="30" t="str">
        <x:v>RAUD141</x:v>
      </x:c>
      <x:c r="C392" s="30" t="str">
        <x:v>Physical verification of controlled medicines identified unreconciled stock differences exceeding approved tolerance limits.</x:v>
      </x:c>
      <x:c r="D392" s="30" t="str">
        <x:v>High</x:v>
      </x:c>
      <x:c r="E392" s="30" t="str">
        <x:v>Investigate stock differences immediately and strengthen daily reconciliation procedures.</x:v>
      </x:c>
      <x:c r="F392" s="30" t="str">
        <x:v>Digital / E-Pharmacy</x:v>
      </x:c>
      <x:c r="G392" s="30" t="str">
        <x:v>RETAIL</x:v>
      </x:c>
      <x:c r="H392" s="30" t="str">
        <x:v>Yes</x:v>
      </x:c>
      <x:c r="I392" s="30" t="str">
        <x:v>Controlled drug governance</x:v>
      </x:c>
    </x:row>
    <x:row r="393">
      <x:c r="A393" s="30" t="str">
        <x:v>ROBS142</x:v>
      </x:c>
      <x:c r="B393" s="30" t="str">
        <x:v>RAUD142</x:v>
      </x:c>
      <x:c r="C393" s="30" t="str">
        <x:v>Prescription expiry alerts were bypassed without documented pharmacist justification.</x:v>
      </x:c>
      <x:c r="D393" s="30" t="str">
        <x:v>High</x:v>
      </x:c>
      <x:c r="E393" s="30" t="str">
        <x:v>Configure mandatory override approval with complete audit logging.</x:v>
      </x:c>
      <x:c r="F393" s="30" t="str">
        <x:v>Digital / E-Pharmacy</x:v>
      </x:c>
      <x:c r="G393" s="30" t="str">
        <x:v>RETAIL</x:v>
      </x:c>
      <x:c r="H393" s="30" t="str">
        <x:v>Yes</x:v>
      </x:c>
      <x:c r="I393" s="30" t="str">
        <x:v>Prescription compliance</x:v>
      </x:c>
    </x:row>
    <x:row r="394">
      <x:c r="A394" s="30" t="str">
        <x:v>ROBS143</x:v>
      </x:c>
      <x:c r="B394" s="30" t="str">
        <x:v>RAUD143</x:v>
      </x:c>
      <x:c r="C394" s="30" t="str">
        <x:v>API security assessments identified incomplete encryption controls and inadequate monitoring of authentication failures.</x:v>
      </x:c>
      <x:c r="D394" s="30" t="str">
        <x:v>High</x:v>
      </x:c>
      <x:c r="E394" s="30" t="str">
        <x:v>Implement secure API authentication, encryption, and continuous monitoring.</x:v>
      </x:c>
      <x:c r="F394" s="30" t="str">
        <x:v>Other</x:v>
      </x:c>
      <x:c r="G394" s="30" t="str">
        <x:v>RETAIL</x:v>
      </x:c>
      <x:c r="H394" s="30" t="str">
        <x:v>Yes</x:v>
      </x:c>
      <x:c r="I394" s="30" t="str">
        <x:v>IT security</x:v>
      </x:c>
    </x:row>
    <x:row r="395">
      <x:c r="A395" s="30" t="str">
        <x:v>ROBS144</x:v>
      </x:c>
      <x:c r="B395" s="30" t="str">
        <x:v>RAUD144</x:v>
      </x:c>
      <x:c r="C395" s="30" t="str">
        <x:v>Dual verification records for high-risk medicines were incomplete for sampled dispensing transactions.</x:v>
      </x:c>
      <x:c r="D395" s="30" t="str">
        <x:v>High</x:v>
      </x:c>
      <x:c r="E395" s="30" t="str">
        <x:v>Require documented dual verification before release of all designated high-risk medicines.</x:v>
      </x:c>
      <x:c r="F395" s="30" t="str">
        <x:v>Documentation</x:v>
      </x:c>
      <x:c r="G395" s="30" t="str">
        <x:v>RETAIL</x:v>
      </x:c>
      <x:c r="H395" s="30" t="str">
        <x:v>Yes</x:v>
      </x:c>
      <x:c r="I395" s="30" t="str">
        <x:v>Patient safety</x:v>
      </x:c>
    </x:row>
    <x:row r="396">
      <x:c r="A396" s="30" t="str">
        <x:v>ROBS145</x:v>
      </x:c>
      <x:c r="B396" s="30" t="str">
        <x:v>RAUD145</x:v>
      </x:c>
      <x:c r="C396" s="30" t="str">
        <x:v>Regulatory safety communications were implemented without evidence of organization-wide acknowledgement.</x:v>
      </x:c>
      <x:c r="D396" s="30" t="str">
        <x:v>High</x:v>
      </x:c>
      <x:c r="E396" s="30" t="str">
        <x:v>Record staff acknowledgement and implementation completion for every regulatory safety notice.</x:v>
      </x:c>
      <x:c r="F396" s="30" t="str">
        <x:v>Personnel</x:v>
      </x:c>
      <x:c r="G396" s="30" t="str">
        <x:v>RETAIL</x:v>
      </x:c>
      <x:c r="H396" s="30" t="str">
        <x:v>Yes</x:v>
      </x:c>
      <x:c r="I396" s="30" t="str">
        <x:v>Regulatory communication</x:v>
      </x:c>
    </x:row>
    <x:row r="397">
      <x:c r="A397" s="30" t="str">
        <x:v>ROBS146</x:v>
      </x:c>
      <x:c r="B397" s="30" t="str">
        <x:v>RAUD146</x:v>
      </x:c>
      <x:c r="C397" s="30" t="str">
        <x:v>Digital payment reconciliation identified unresolved unmatched transactions beyond the defined review period.</x:v>
      </x:c>
      <x:c r="D397" s="30" t="str">
        <x:v>Medium</x:v>
      </x:c>
      <x:c r="E397" s="30" t="str">
        <x:v>Perform daily reconciliation and timely investigation of unmatched transactions.</x:v>
      </x:c>
      <x:c r="F397" s="30" t="str">
        <x:v>Digital / E-Pharmacy</x:v>
      </x:c>
      <x:c r="G397" s="30" t="str">
        <x:v>RETAIL</x:v>
      </x:c>
      <x:c r="H397" s="30" t="str">
        <x:v>Yes</x:v>
      </x:c>
      <x:c r="I397" s="30" t="str">
        <x:v>Financial controls</x:v>
      </x:c>
    </x:row>
    <x:row r="398">
      <x:c r="A398" s="30" t="str">
        <x:v>ROBS147</x:v>
      </x:c>
      <x:c r="B398" s="30" t="str">
        <x:v>RAUD147</x:v>
      </x:c>
      <x:c r="C398" s="30" t="str">
        <x:v>Inventory shortage investigations did not consistently identify root causes or preventive actions.</x:v>
      </x:c>
      <x:c r="D398" s="30" t="str">
        <x:v>High</x:v>
      </x:c>
      <x:c r="E398" s="30" t="str">
        <x:v>Standardize investigation methodology and verify corrective action effectiveness.</x:v>
      </x:c>
      <x:c r="F398" s="30" t="str">
        <x:v>Inventory</x:v>
      </x:c>
      <x:c r="G398" s="30" t="str">
        <x:v>RETAIL</x:v>
      </x:c>
      <x:c r="H398" s="30" t="str">
        <x:v>Yes</x:v>
      </x:c>
      <x:c r="I398" s="30" t="str">
        <x:v>Inventory governance</x:v>
      </x:c>
    </x:row>
    <x:row r="399">
      <x:c r="A399" s="30" t="str">
        <x:v>ROBS148</x:v>
      </x:c>
      <x:c r="B399" s="30" t="str">
        <x:v>RAUD148</x:v>
      </x:c>
      <x:c r="C399" s="30" t="str">
        <x:v>Administrative account monitoring identified privileged activities without documented supervisory review.</x:v>
      </x:c>
      <x:c r="D399" s="30" t="str">
        <x:v>High</x:v>
      </x:c>
      <x:c r="E399" s="30" t="str">
        <x:v>Implement periodic privileged account review and management approval.</x:v>
      </x:c>
      <x:c r="F399" s="30" t="str">
        <x:v>Digital / E-Pharmacy</x:v>
      </x:c>
      <x:c r="G399" s="30" t="str">
        <x:v>RETAIL</x:v>
      </x:c>
      <x:c r="H399" s="30" t="str">
        <x:v>Yes</x:v>
      </x:c>
      <x:c r="I399" s="30" t="str">
        <x:v>Information security</x:v>
      </x:c>
    </x:row>
    <x:row r="400">
      <x:c r="A400" s="30" t="str">
        <x:v>ROBS149</x:v>
      </x:c>
      <x:c r="B400" s="30" t="str">
        <x:v>RAUD149</x:v>
      </x:c>
      <x:c r="C400" s="30" t="str">
        <x:v>Public health campaign displays were outdated and did not reflect the latest regulatory guidance.</x:v>
      </x:c>
      <x:c r="D400" s="30" t="str">
        <x:v>Medium</x:v>
      </x:c>
      <x:c r="E400" s="30" t="str">
        <x:v>Establish periodic review and update schedule for public health displays.</x:v>
      </x:c>
      <x:c r="F400" s="30" t="str">
        <x:v>Regulatory Filing</x:v>
      </x:c>
      <x:c r="G400" s="30" t="str">
        <x:v>RETAIL</x:v>
      </x:c>
      <x:c r="H400" s="30" t="str">
        <x:v>Yes</x:v>
      </x:c>
      <x:c r="I400" s="30" t="str">
        <x:v>Public awareness</x:v>
      </x:c>
    </x:row>
    <x:row r="401">
      <x:c r="A401" s="30" t="str">
        <x:v>ROBS150</x:v>
      </x:c>
      <x:c r="B401" s="30" t="str">
        <x:v>RAUD150</x:v>
      </x:c>
      <x:c r="C401" s="30" t="str">
        <x:v>Regulatory Assurance Programme reviews identified recurring compliance gaps without documented long-term preventive measures.</x:v>
      </x:c>
      <x:c r="D401" s="30" t="str">
        <x:v>High</x:v>
      </x:c>
      <x:c r="E401" s="30" t="str">
        <x:v>Enhance governance oversight and monitor effectiveness of preventive actions.</x:v>
      </x:c>
      <x:c r="F401" s="30" t="str">
        <x:v>Regulatory Filing</x:v>
      </x:c>
      <x:c r="G401" s="30" t="str">
        <x:v>RETAIL</x:v>
      </x:c>
      <x:c r="H401" s="30" t="str">
        <x:v>Yes</x:v>
      </x:c>
      <x:c r="I401" s="30" t="str">
        <x:v>Enterprise governance</x:v>
      </x:c>
    </x:row>
    <x:row r="402">
      <x:c r="A402" s="30" t="str">
        <x:v>ROBS151</x:v>
      </x:c>
      <x:c r="B402" s="30" t="str">
        <x:v>RAUD151</x:v>
      </x:c>
      <x:c r="C402" s="30" t="str">
        <x:v>Controlled Prescription Register contained incomplete reconciliation entries for selected audit periods.</x:v>
      </x:c>
      <x:c r="D402" s="30" t="str">
        <x:v>High</x:v>
      </x:c>
      <x:c r="E402" s="30" t="str">
        <x:v>Perform monthly reconciliation with supervisory verification and documented sign-off.</x:v>
      </x:c>
      <x:c r="F402" s="30" t="str">
        <x:v>Prescription</x:v>
      </x:c>
      <x:c r="G402" s="30" t="str">
        <x:v>RETAIL</x:v>
      </x:c>
      <x:c r="H402" s="30" t="str">
        <x:v>Yes</x:v>
      </x:c>
      <x:c r="I402" s="30" t="str">
        <x:v>Controlled medicine compliance</x:v>
      </x:c>
    </x:row>
    <x:row r="403">
      <x:c r="A403" s="30" t="str">
        <x:v>ROBS152</x:v>
      </x:c>
      <x:c r="B403" s="30" t="str">
        <x:v>RAUD152</x:v>
      </x:c>
      <x:c r="C403" s="30" t="str">
        <x:v>Duplicate dispensing prevention controls failed to identify repeat dispensing attempts in sampled cases.</x:v>
      </x:c>
      <x:c r="D403" s="30" t="str">
        <x:v>High</x:v>
      </x:c>
      <x:c r="E403" s="30" t="str">
        <x:v>Strengthen duplicate prescription validation rules and pharmacist review.</x:v>
      </x:c>
      <x:c r="F403" s="30" t="str">
        <x:v>Prescription</x:v>
      </x:c>
      <x:c r="G403" s="30" t="str">
        <x:v>RETAIL</x:v>
      </x:c>
      <x:c r="H403" s="30" t="str">
        <x:v>Yes</x:v>
      </x:c>
      <x:c r="I403" s="30" t="str">
        <x:v>Clinical safety</x:v>
      </x:c>
    </x:row>
    <x:row r="404">
      <x:c r="A404" s="30" t="str">
        <x:v>ROBS153</x:v>
      </x:c>
      <x:c r="B404" s="30" t="str">
        <x:v>RAUD153</x:v>
      </x:c>
      <x:c r="C404" s="30" t="str">
        <x:v>Workflow audit trails were incomplete, preventing full traceability of dispensing activities.</x:v>
      </x:c>
      <x:c r="D404" s="30" t="str">
        <x:v>High</x:v>
      </x:c>
      <x:c r="E404" s="30" t="str">
        <x:v>Enable end-to-end workflow logging and periodic audit verification.</x:v>
      </x:c>
      <x:c r="F404" s="30" t="str">
        <x:v>Documentation</x:v>
      </x:c>
      <x:c r="G404" s="30" t="str">
        <x:v>RETAIL</x:v>
      </x:c>
      <x:c r="H404" s="30" t="str">
        <x:v>Yes</x:v>
      </x:c>
      <x:c r="I404" s="30" t="str">
        <x:v>IT governance</x:v>
      </x:c>
    </x:row>
    <x:row r="405">
      <x:c r="A405" s="30" t="str">
        <x:v>ROBS154</x:v>
      </x:c>
      <x:c r="B405" s="30" t="str">
        <x:v>RAUD154</x:v>
      </x:c>
      <x:c r="C405" s="30" t="str">
        <x:v>Medicine quantity reconciliation identified discrepancies between prescriptions, billing, and inventory deductions.</x:v>
      </x:c>
      <x:c r="D405" s="30" t="str">
        <x:v>High</x:v>
      </x:c>
      <x:c r="E405" s="30" t="str">
        <x:v>Implement automated reconciliation controls and investigate all discrepancies.</x:v>
      </x:c>
      <x:c r="F405" s="30" t="str">
        <x:v>Prescription</x:v>
      </x:c>
      <x:c r="G405" s="30" t="str">
        <x:v>RETAIL</x:v>
      </x:c>
      <x:c r="H405" s="30" t="str">
        <x:v>Yes</x:v>
      </x:c>
      <x:c r="I405" s="30" t="str">
        <x:v>Inventory reconciliation</x:v>
      </x:c>
    </x:row>
    <x:row r="406">
      <x:c r="A406" s="30" t="str">
        <x:v>ROBS155</x:v>
      </x:c>
      <x:c r="B406" s="30" t="str">
        <x:v>RAUD155</x:v>
      </x:c>
      <x:c r="C406" s="30" t="str">
        <x:v>Regulatory inspection files were incomplete and supporting documentation could not be produced promptly.</x:v>
      </x:c>
      <x:c r="D406" s="30" t="str">
        <x:v>High</x:v>
      </x:c>
      <x:c r="E406" s="30" t="str">
        <x:v>Maintain inspection-ready documentation with periodic readiness reviews.</x:v>
      </x:c>
      <x:c r="F406" s="30" t="str">
        <x:v>Regulatory Filing</x:v>
      </x:c>
      <x:c r="G406" s="30" t="str">
        <x:v>RETAIL</x:v>
      </x:c>
      <x:c r="H406" s="30" t="str">
        <x:v>Yes</x:v>
      </x:c>
      <x:c r="I406" s="30" t="str">
        <x:v>Inspection readiness</x:v>
      </x:c>
    </x:row>
    <x:row r="407">
      <x:c r="A407" s="30" t="str">
        <x:v>ROBS156</x:v>
      </x:c>
      <x:c r="B407" s="30" t="str">
        <x:v>RAUD156</x:v>
      </x:c>
      <x:c r="C407" s="30" t="str">
        <x:v>Pharmacy self-service kiosk controls did not consistently enforce customer authentication before transactions.</x:v>
      </x:c>
      <x:c r="D407" s="30" t="str">
        <x:v>Medium</x:v>
      </x:c>
      <x:c r="E407" s="30" t="str">
        <x:v>Strengthen authentication controls and periodic kiosk security reviews.</x:v>
      </x:c>
      <x:c r="F407" s="30" t="str">
        <x:v>Other</x:v>
      </x:c>
      <x:c r="G407" s="30" t="str">
        <x:v>RETAIL</x:v>
      </x:c>
      <x:c r="H407" s="30" t="str">
        <x:v>Yes</x:v>
      </x:c>
      <x:c r="I407" s="30" t="str">
        <x:v>Digital operations</x:v>
      </x:c>
    </x:row>
    <x:row r="408">
      <x:c r="A408" s="30" t="str">
        <x:v>ROBS157</x:v>
      </x:c>
      <x:c r="B408" s="30" t="str">
        <x:v>RAUD157</x:v>
      </x:c>
      <x:c r="C408" s="30" t="str">
        <x:v>Material inventory loss investigations lacked evidence of management review before closure.</x:v>
      </x:c>
      <x:c r="D408" s="30" t="str">
        <x:v>High</x:v>
      </x:c>
      <x:c r="E408" s="30" t="str">
        <x:v>Require executive approval for closure of material inventory loss investigations.</x:v>
      </x:c>
      <x:c r="F408" s="30" t="str">
        <x:v>Digital / E-Pharmacy</x:v>
      </x:c>
      <x:c r="G408" s="30" t="str">
        <x:v>RETAIL</x:v>
      </x:c>
      <x:c r="H408" s="30" t="str">
        <x:v>Yes</x:v>
      </x:c>
      <x:c r="I408" s="30" t="str">
        <x:v>Inventory governance</x:v>
      </x:c>
    </x:row>
    <x:row r="409">
      <x:c r="A409" s="30" t="str">
        <x:v>ROBS158</x:v>
      </x:c>
      <x:c r="B409" s="30" t="str">
        <x:v>RAUD158</x:v>
      </x:c>
      <x:c r="C409" s="30" t="str">
        <x:v>Disaster recovery testing did not achieve approved recovery objectives for critical pharmacy systems.</x:v>
      </x:c>
      <x:c r="D409" s="30" t="str">
        <x:v>High</x:v>
      </x:c>
      <x:c r="E409" s="30" t="str">
        <x:v>Improve disaster recovery procedures and repeat testing until objectives are achieved.</x:v>
      </x:c>
      <x:c r="F409" s="30" t="str">
        <x:v>Digital / E-Pharmacy</x:v>
      </x:c>
      <x:c r="G409" s="30" t="str">
        <x:v>RETAIL</x:v>
      </x:c>
      <x:c r="H409" s="30" t="str">
        <x:v>Yes</x:v>
      </x:c>
      <x:c r="I409" s="30" t="str">
        <x:v>Business continuity</x:v>
      </x:c>
    </x:row>
    <x:row r="410">
      <x:c r="A410" s="30" t="str">
        <x:v>ROBS159</x:v>
      </x:c>
      <x:c r="B410" s="30" t="str">
        <x:v>RAUD159</x:v>
      </x:c>
      <x:c r="C410" s="30" t="str">
        <x:v>Community outreach programme documentation lacked measurable outcome evaluation.</x:v>
      </x:c>
      <x:c r="D410" s="30" t="str">
        <x:v>Medium</x:v>
      </x:c>
      <x:c r="E410" s="30" t="str">
        <x:v>Introduce standardized programme outcome assessment and management review.</x:v>
      </x:c>
      <x:c r="F410" s="30" t="str">
        <x:v>Documentation</x:v>
      </x:c>
      <x:c r="G410" s="30" t="str">
        <x:v>RETAIL</x:v>
      </x:c>
      <x:c r="H410" s="30" t="str">
        <x:v>Yes</x:v>
      </x:c>
      <x:c r="I410" s="30" t="str">
        <x:v>Community health</x:v>
      </x:c>
    </x:row>
    <x:row r="411">
      <x:c r="A411" s="30" t="str">
        <x:v>ROBS160</x:v>
      </x:c>
      <x:c r="B411" s="30" t="str">
        <x:v>RAUD160</x:v>
      </x:c>
      <x:c r="C411" s="30" t="str">
        <x:v>Enterprise compliance dashboards did not include trend analysis for recurring regulatory observations.</x:v>
      </x:c>
      <x:c r="D411" s="30" t="str">
        <x:v>High</x:v>
      </x:c>
      <x:c r="E411" s="30" t="str">
        <x:v>Enhance executive dashboards with trend analysis, predictive indicators, and ageing reports.</x:v>
      </x:c>
      <x:c r="F411" s="30" t="str">
        <x:v>Regulatory Filing</x:v>
      </x:c>
      <x:c r="G411" s="30" t="str">
        <x:v>RETAIL</x:v>
      </x:c>
      <x:c r="H411" s="30" t="str">
        <x:v>Yes</x:v>
      </x:c>
      <x:c r="I411" s="30" t="str">
        <x:v>Executive oversight</x:v>
      </x:c>
    </x:row>
    <x:row r="412">
      <x:c r="A412" s="30" t="str">
        <x:v>ROBS161</x:v>
      </x:c>
      <x:c r="B412" s="30" t="str">
        <x:v>RAUD161</x:v>
      </x:c>
      <x:c r="C412" s="30" t="str">
        <x:v>Investigation records for suspected forged or altered prescriptions were incomplete and escalation timelines were not met.</x:v>
      </x:c>
      <x:c r="D412" s="30" t="str">
        <x:v>High</x:v>
      </x:c>
      <x:c r="E412" s="30" t="str">
        <x:v>Establish standardized fraud investigation procedures with mandatory escalation timelines.</x:v>
      </x:c>
      <x:c r="F412" s="30" t="str">
        <x:v>Prescription</x:v>
      </x:c>
      <x:c r="G412" s="30" t="str">
        <x:v>RETAIL</x:v>
      </x:c>
      <x:c r="H412" s="30" t="str">
        <x:v>Yes</x:v>
      </x:c>
      <x:c r="I412" s="30" t="str">
        <x:v>Fraud prevention</x:v>
      </x:c>
    </x:row>
    <x:row r="413">
      <x:c r="A413" s="30" t="str">
        <x:v>ROBS162</x:v>
      </x:c>
      <x:c r="B413" s="30" t="str">
        <x:v>RAUD162</x:v>
      </x:c>
      <x:c r="C413" s="30" t="str">
        <x:v>Shift handover documentation did not consistently include pending prescriptions, controlled medicines, and unresolved incidents.</x:v>
      </x:c>
      <x:c r="D413" s="30" t="str">
        <x:v>High</x:v>
      </x:c>
      <x:c r="E413" s="30" t="str">
        <x:v>Use a standardized shift handover checklist with supervisory verification.</x:v>
      </x:c>
      <x:c r="F413" s="30" t="str">
        <x:v>Prescription</x:v>
      </x:c>
      <x:c r="G413" s="30" t="str">
        <x:v>RETAIL</x:v>
      </x:c>
      <x:c r="H413" s="30" t="str">
        <x:v>Yes</x:v>
      </x:c>
      <x:c r="I413" s="30" t="str">
        <x:v>Operational continuity</x:v>
      </x:c>
    </x:row>
    <x:row r="414">
      <x:c r="A414" s="30" t="str">
        <x:v>ROBS163</x:v>
      </x:c>
      <x:c r="B414" s="30" t="str">
        <x:v>RAUD163</x:v>
      </x:c>
      <x:c r="C414" s="30" t="str">
        <x:v>Cloud-hosted pharmacy systems lacked documented periodic security assessments and vendor compliance reviews.</x:v>
      </x:c>
      <x:c r="D414" s="30" t="str">
        <x:v>High</x:v>
      </x:c>
      <x:c r="E414" s="30" t="str">
        <x:v>Conduct annual cloud security audits and vendor compliance assessments.</x:v>
      </x:c>
      <x:c r="F414" s="30" t="str">
        <x:v>Documentation</x:v>
      </x:c>
      <x:c r="G414" s="30" t="str">
        <x:v>RETAIL</x:v>
      </x:c>
      <x:c r="H414" s="30" t="str">
        <x:v>Yes</x:v>
      </x:c>
      <x:c r="I414" s="30" t="str">
        <x:v>Cloud governance</x:v>
      </x:c>
    </x:row>
    <x:row r="415">
      <x:c r="A415" s="30" t="str">
        <x:v>ROBS164</x:v>
      </x:c>
      <x:c r="B415" s="30" t="str">
        <x:v>RAUD164</x:v>
      </x:c>
      <x:c r="C415" s="30" t="str">
        <x:v>Packaging verification controls did not consistently confirm medicine identity and quantity before dispatch.</x:v>
      </x:c>
      <x:c r="D415" s="30" t="str">
        <x:v>High</x:v>
      </x:c>
      <x:c r="E415" s="30" t="str">
        <x:v>Strengthen packaging verification using documented dual-check procedures.</x:v>
      </x:c>
      <x:c r="F415" s="30" t="str">
        <x:v>Documentation</x:v>
      </x:c>
      <x:c r="G415" s="30" t="str">
        <x:v>RETAIL</x:v>
      </x:c>
      <x:c r="H415" s="30" t="str">
        <x:v>Yes</x:v>
      </x:c>
      <x:c r="I415" s="30" t="str">
        <x:v>Dispensing quality</x:v>
      </x:c>
    </x:row>
    <x:row r="416">
      <x:c r="A416" s="30" t="str">
        <x:v>ROBS165</x:v>
      </x:c>
      <x:c r="B416" s="30" t="str">
        <x:v>RAUD165</x:v>
      </x:c>
      <x:c r="C416" s="30" t="str">
        <x:v>Regulatory inspection observations remained open beyond target closure dates without escalation.</x:v>
      </x:c>
      <x:c r="D416" s="30" t="str">
        <x:v>High</x:v>
      </x:c>
      <x:c r="E416" s="30" t="str">
        <x:v>Escalate overdue regulatory observations and monitor CAPA completion.</x:v>
      </x:c>
      <x:c r="F416" s="30" t="str">
        <x:v>Regulatory Filing</x:v>
      </x:c>
      <x:c r="G416" s="30" t="str">
        <x:v>RETAIL</x:v>
      </x:c>
      <x:c r="H416" s="30" t="str">
        <x:v>Yes</x:v>
      </x:c>
      <x:c r="I416" s="30" t="str">
        <x:v>Inspection compliance</x:v>
      </x:c>
    </x:row>
    <x:row r="417">
      <x:c r="A417" s="30" t="str">
        <x:v>ROBS166</x:v>
      </x:c>
      <x:c r="B417" s="30" t="str">
        <x:v>RAUD166</x:v>
      </x:c>
      <x:c r="C417" s="30" t="str">
        <x:v>Customer profile updates were performed without adequate review of privacy and access controls.</x:v>
      </x:c>
      <x:c r="D417" s="30" t="str">
        <x:v>Medium</x:v>
      </x:c>
      <x:c r="E417" s="30" t="str">
        <x:v>Implement periodic profile reviews and role-based access validation.</x:v>
      </x:c>
      <x:c r="F417" s="30" t="str">
        <x:v>Other</x:v>
      </x:c>
      <x:c r="G417" s="30" t="str">
        <x:v>RETAIL</x:v>
      </x:c>
      <x:c r="H417" s="30" t="str">
        <x:v>Yes</x:v>
      </x:c>
      <x:c r="I417" s="30" t="str">
        <x:v>Privacy governance</x:v>
      </x:c>
    </x:row>
    <x:row r="418">
      <x:c r="A418" s="30" t="str">
        <x:v>ROBS167</x:v>
      </x:c>
      <x:c r="B418" s="30" t="str">
        <x:v>RAUD167</x:v>
      </x:c>
      <x:c r="C418" s="30" t="str">
        <x:v>Inventory KPI reports identified recurring performance issues without documented improvement initiatives.</x:v>
      </x:c>
      <x:c r="D418" s="30" t="str">
        <x:v>Medium</x:v>
      </x:c>
      <x:c r="E418" s="30" t="str">
        <x:v>Establish KPI review meetings and monitor implementation of improvement actions.</x:v>
      </x:c>
      <x:c r="F418" s="30" t="str">
        <x:v>Inventory</x:v>
      </x:c>
      <x:c r="G418" s="30" t="str">
        <x:v>RETAIL</x:v>
      </x:c>
      <x:c r="H418" s="30" t="str">
        <x:v>Yes</x:v>
      </x:c>
      <x:c r="I418" s="30" t="str">
        <x:v>Inventory performance</x:v>
      </x:c>
    </x:row>
    <x:row r="419">
      <x:c r="A419" s="30" t="str">
        <x:v>ROBS168</x:v>
      </x:c>
      <x:c r="B419" s="30" t="str">
        <x:v>RAUD168</x:v>
      </x:c>
      <x:c r="C419" s="30" t="str">
        <x:v>Critical software patches were deployed after approved timelines, increasing cybersecurity exposure.</x:v>
      </x:c>
      <x:c r="D419" s="30" t="str">
        <x:v>High</x:v>
      </x:c>
      <x:c r="E419" s="30" t="str">
        <x:v>Implement risk-based patch deployment with SLA monitoring.</x:v>
      </x:c>
      <x:c r="F419" s="30" t="str">
        <x:v>Digital / E-Pharmacy</x:v>
      </x:c>
      <x:c r="G419" s="30" t="str">
        <x:v>RETAIL</x:v>
      </x:c>
      <x:c r="H419" s="30" t="str">
        <x:v>Yes</x:v>
      </x:c>
      <x:c r="I419" s="30" t="str">
        <x:v>Cybersecurity</x:v>
      </x:c>
    </x:row>
    <x:row r="420">
      <x:c r="A420" s="30" t="str">
        <x:v>ROBS169</x:v>
      </x:c>
      <x:c r="B420" s="30" t="str">
        <x:v>RAUD169</x:v>
      </x:c>
      <x:c r="C420" s="30" t="str">
        <x:v>Government health campaign participation records lacked evidence of statutory reporting and management approval.</x:v>
      </x:c>
      <x:c r="D420" s="30" t="str">
        <x:v>Medium</x:v>
      </x:c>
      <x:c r="E420" s="30" t="str">
        <x:v>Maintain complete campaign documentation and regulatory reporting evidence.</x:v>
      </x:c>
      <x:c r="F420" s="30" t="str">
        <x:v>Digital / E-Pharmacy</x:v>
      </x:c>
      <x:c r="G420" s="30" t="str">
        <x:v>RETAIL</x:v>
      </x:c>
      <x:c r="H420" s="30" t="str">
        <x:v>Yes</x:v>
      </x:c>
      <x:c r="I420" s="30" t="str">
        <x:v>Public health</x:v>
      </x:c>
    </x:row>
    <x:row r="421">
      <x:c r="A421" s="30" t="str">
        <x:v>ROBS170</x:v>
      </x:c>
      <x:c r="B421" s="30" t="str">
        <x:v>RAUD170</x:v>
      </x:c>
      <x:c r="C421" s="30" t="str">
        <x:v>Governance framework reviews did not verify effectiveness of delegated authority controls.</x:v>
      </x:c>
      <x:c r="D421" s="30" t="str">
        <x:v>High</x:v>
      </x:c>
      <x:c r="E421" s="30" t="str">
        <x:v>Perform annual governance effectiveness assessments with management certification.</x:v>
      </x:c>
      <x:c r="F421" s="30" t="str">
        <x:v>Regulatory Filing</x:v>
      </x:c>
      <x:c r="G421" s="30" t="str">
        <x:v>RETAIL</x:v>
      </x:c>
      <x:c r="H421" s="30" t="str">
        <x:v>Yes</x:v>
      </x:c>
      <x:c r="I421" s="30" t="str">
        <x:v>Corporate governance</x:v>
      </x:c>
    </x:row>
    <x:row r="422">
      <x:c r="A422" s="30" t="str">
        <x:v>ROBS171</x:v>
      </x:c>
      <x:c r="B422" s="30" t="str">
        <x:v>RAUD171</x:v>
      </x:c>
      <x:c r="C422" s="30" t="str">
        <x:v>Prescription exception records lacked documented review and approval for selected transactions.</x:v>
      </x:c>
      <x:c r="D422" s="30" t="str">
        <x:v>High</x:v>
      </x:c>
      <x:c r="E422" s="30" t="str">
        <x:v>Require pharmacist approval and periodic management review of all exceptions.</x:v>
      </x:c>
      <x:c r="F422" s="30" t="str">
        <x:v>Digital / E-Pharmacy</x:v>
      </x:c>
      <x:c r="G422" s="30" t="str">
        <x:v>RETAIL</x:v>
      </x:c>
      <x:c r="H422" s="30" t="str">
        <x:v>Yes</x:v>
      </x:c>
      <x:c r="I422" s="30" t="str">
        <x:v>Clinical governance</x:v>
      </x:c>
    </x:row>
    <x:row r="423">
      <x:c r="A423" s="30" t="str">
        <x:v>ROBS172</x:v>
      </x:c>
      <x:c r="B423" s="30" t="str">
        <x:v>RAUD172</x:v>
      </x:c>
      <x:c r="C423" s="30" t="str">
        <x:v>Alternate pharmacist coverage arrangements were not formally documented for emergency situations.</x:v>
      </x:c>
      <x:c r="D423" s="30" t="str">
        <x:v>High</x:v>
      </x:c>
      <x:c r="E423" s="30" t="str">
        <x:v>Maintain approved contingency staffing plans with periodic testing.</x:v>
      </x:c>
      <x:c r="F423" s="30" t="str">
        <x:v>Digital / E-Pharmacy</x:v>
      </x:c>
      <x:c r="G423" s="30" t="str">
        <x:v>RETAIL</x:v>
      </x:c>
      <x:c r="H423" s="30" t="str">
        <x:v>Yes</x:v>
      </x:c>
      <x:c r="I423" s="30" t="str">
        <x:v>Workforce continuity</x:v>
      </x:c>
    </x:row>
    <x:row r="424">
      <x:c r="A424" s="30" t="str">
        <x:v>ROBS173</x:v>
      </x:c>
      <x:c r="B424" s="30" t="str">
        <x:v>RAUD173</x:v>
      </x:c>
      <x:c r="C424" s="30" t="str">
        <x:v>Automated customer communication logs were incomplete, preventing end-to-end traceability of notifications.</x:v>
      </x:c>
      <x:c r="D424" s="30" t="str">
        <x:v>Medium</x:v>
      </x:c>
      <x:c r="E424" s="30" t="str">
        <x:v>Enable comprehensive communication logging and periodic reconciliation.</x:v>
      </x:c>
      <x:c r="F424" s="30" t="str">
        <x:v>Documentation</x:v>
      </x:c>
      <x:c r="G424" s="30" t="str">
        <x:v>RETAIL</x:v>
      </x:c>
      <x:c r="H424" s="30" t="str">
        <x:v>Yes</x:v>
      </x:c>
      <x:c r="I424" s="30" t="str">
        <x:v>Digital communications</x:v>
      </x:c>
    </x:row>
    <x:row r="425">
      <x:c r="A425" s="30" t="str">
        <x:v>ROBS174</x:v>
      </x:c>
      <x:c r="B425" s="30" t="str">
        <x:v>RAUD174</x:v>
      </x:c>
      <x:c r="C425" s="30" t="str">
        <x:v>Refrigerator maintenance and calibration records contained overdue activities affecting cold-chain assurance.</x:v>
      </x:c>
      <x:c r="D425" s="30" t="str">
        <x:v>High</x:v>
      </x:c>
      <x:c r="E425" s="30" t="str">
        <x:v>Schedule preventive maintenance and calibration with automated reminders.</x:v>
      </x:c>
      <x:c r="F425" s="30" t="str">
        <x:v>Storage</x:v>
      </x:c>
      <x:c r="G425" s="30" t="str">
        <x:v>RETAIL</x:v>
      </x:c>
      <x:c r="H425" s="30" t="str">
        <x:v>Yes</x:v>
      </x:c>
      <x:c r="I425" s="30" t="str">
        <x:v>Cold-chain integrity</x:v>
      </x:c>
    </x:row>
    <x:row r="426">
      <x:c r="A426" s="30" t="str">
        <x:v>ROBS175</x:v>
      </x:c>
      <x:c r="B426" s="30" t="str">
        <x:v>RAUD175</x:v>
      </x:c>
      <x:c r="C426" s="30" t="str">
        <x:v>Emergency contact information was outdated and periodic validation was not documented.</x:v>
      </x:c>
      <x:c r="D426" s="30" t="str">
        <x:v>Medium</x:v>
      </x:c>
      <x:c r="E426" s="30" t="str">
        <x:v>Review and update emergency contact information at least quarterly.</x:v>
      </x:c>
      <x:c r="F426" s="30" t="str">
        <x:v>Documentation</x:v>
      </x:c>
      <x:c r="G426" s="30" t="str">
        <x:v>RETAIL</x:v>
      </x:c>
      <x:c r="H426" s="30" t="str">
        <x:v>Yes</x:v>
      </x:c>
      <x:c r="I426" s="30" t="str">
        <x:v>Emergency preparedness</x:v>
      </x:c>
    </x:row>
    <x:row r="427">
      <x:c r="A427" s="30" t="str">
        <x:v>ROBS176</x:v>
      </x:c>
      <x:c r="B427" s="30" t="str">
        <x:v>RAUD176</x:v>
      </x:c>
      <x:c r="C427" s="30" t="str">
        <x:v>Appointment scheduling records contained unexplained no-shows without documented follow-up actions.</x:v>
      </x:c>
      <x:c r="D427" s="30" t="str">
        <x:v>Low</x:v>
      </x:c>
      <x:c r="E427" s="30" t="str">
        <x:v>Implement standardized follow-up procedures for missed appointments.</x:v>
      </x:c>
      <x:c r="F427" s="30" t="str">
        <x:v>Digital / E-Pharmacy</x:v>
      </x:c>
      <x:c r="G427" s="30" t="str">
        <x:v>RETAIL</x:v>
      </x:c>
      <x:c r="H427" s="30" t="str">
        <x:v>Yes</x:v>
      </x:c>
      <x:c r="I427" s="30" t="str">
        <x:v>Service quality</x:v>
      </x:c>
    </x:row>
    <x:row r="428">
      <x:c r="A428" s="30" t="str">
        <x:v>ROBS177</x:v>
      </x:c>
      <x:c r="B428" s="30" t="str">
        <x:v>RAUD177</x:v>
      </x:c>
      <x:c r="C428" s="30" t="str">
        <x:v>Inventory verification identified recurring stock count variances without trend analysis.</x:v>
      </x:c>
      <x:c r="D428" s="30" t="str">
        <x:v>High</x:v>
      </x:c>
      <x:c r="E428" s="30" t="str">
        <x:v>Perform trend analysis and strengthen cycle count procedures.</x:v>
      </x:c>
      <x:c r="F428" s="30" t="str">
        <x:v>Inventory</x:v>
      </x:c>
      <x:c r="G428" s="30" t="str">
        <x:v>RETAIL</x:v>
      </x:c>
      <x:c r="H428" s="30" t="str">
        <x:v>Yes</x:v>
      </x:c>
      <x:c r="I428" s="30" t="str">
        <x:v>Inventory governance</x:v>
      </x:c>
    </x:row>
    <x:row r="429">
      <x:c r="A429" s="30" t="str">
        <x:v>ROBS178</x:v>
      </x:c>
      <x:c r="B429" s="30" t="str">
        <x:v>RAUD178</x:v>
      </x:c>
      <x:c r="C429" s="30" t="str">
        <x:v>Configuration changes were implemented without complete testing and rollback documentation.</x:v>
      </x:c>
      <x:c r="D429" s="30" t="str">
        <x:v>High</x:v>
      </x:c>
      <x:c r="E429" s="30" t="str">
        <x:v>Enforce formal configuration management and change approval controls.</x:v>
      </x:c>
      <x:c r="F429" s="30" t="str">
        <x:v>Digital / E-Pharmacy</x:v>
      </x:c>
      <x:c r="G429" s="30" t="str">
        <x:v>RETAIL</x:v>
      </x:c>
      <x:c r="H429" s="30" t="str">
        <x:v>Yes</x:v>
      </x:c>
      <x:c r="I429" s="30" t="str">
        <x:v>IT governance</x:v>
      </x:c>
    </x:row>
    <x:row r="430">
      <x:c r="A430" s="30" t="str">
        <x:v>ROBS179</x:v>
      </x:c>
      <x:c r="B430" s="30" t="str">
        <x:v>RAUD179</x:v>
      </x:c>
      <x:c r="C430" s="30" t="str">
        <x:v>Educational material versions were not consistently reviewed following regulatory updates.</x:v>
      </x:c>
      <x:c r="D430" s="30" t="str">
        <x:v>Medium</x:v>
      </x:c>
      <x:c r="E430" s="30" t="str">
        <x:v>Establish version control and periodic regulatory content reviews.</x:v>
      </x:c>
      <x:c r="F430" s="30" t="str">
        <x:v>Regulatory Filing</x:v>
      </x:c>
      <x:c r="G430" s="30" t="str">
        <x:v>RETAIL</x:v>
      </x:c>
      <x:c r="H430" s="30" t="str">
        <x:v>Yes</x:v>
      </x:c>
      <x:c r="I430" s="30" t="str">
        <x:v>Documentation control</x:v>
      </x:c>
    </x:row>
    <x:row r="431">
      <x:c r="A431" s="30" t="str">
        <x:v>ROBS180</x:v>
      </x:c>
      <x:c r="B431" s="30" t="str">
        <x:v>RAUD180</x:v>
      </x:c>
      <x:c r="C431" s="30" t="str">
        <x:v>Executive compliance meetings did not consistently monitor overdue compliance actions and emerging regulatory risks.</x:v>
      </x:c>
      <x:c r="D431" s="30" t="str">
        <x:v>High</x:v>
      </x:c>
      <x:c r="E431" s="30" t="str">
        <x:v>Include regulatory risk dashboards and overdue action monitoring in executive governance meetings.</x:v>
      </x:c>
      <x:c r="F431" s="30" t="str">
        <x:v>Regulatory Filing</x:v>
      </x:c>
      <x:c r="G431" s="30" t="str">
        <x:v>RETAIL</x:v>
      </x:c>
      <x:c r="H431" s="30" t="str">
        <x:v>Yes</x:v>
      </x:c>
      <x:c r="I431" s="30" t="str">
        <x:v>Executive oversight</x:v>
      </x:c>
    </x:row>
    <x:row r="432">
      <x:c r="A432" s="30" t="str">
        <x:v>ROBS181</x:v>
      </x:c>
      <x:c r="B432" s="30" t="str">
        <x:v>RAUD181</x:v>
      </x:c>
      <x:c r="C432" s="30" t="str">
        <x:v>Prescription turnaround times exceeded approved service levels during peak hours without documented corrective actions.</x:v>
      </x:c>
      <x:c r="D432" s="30" t="str">
        <x:v>Medium</x:v>
      </x:c>
      <x:c r="E432" s="30" t="str">
        <x:v>Monitor turnaround KPIs daily and implement staffing or workflow improvements during peak periods.</x:v>
      </x:c>
      <x:c r="F432" s="30" t="str">
        <x:v>Digital / E-Pharmacy</x:v>
      </x:c>
      <x:c r="G432" s="30" t="str">
        <x:v>RETAIL</x:v>
      </x:c>
      <x:c r="H432" s="30" t="str">
        <x:v>Yes</x:v>
      </x:c>
      <x:c r="I432" s="30" t="str">
        <x:v>Operational efficiency</x:v>
      </x:c>
    </x:row>
    <x:row r="433">
      <x:c r="A433" s="30" t="str">
        <x:v>ROBS182</x:v>
      </x:c>
      <x:c r="B433" s="30" t="str">
        <x:v>RAUD182</x:v>
      </x:c>
      <x:c r="C433" s="30" t="str">
        <x:v>Delegated pharmacy activities were performed without documented supervisory review in sampled transactions.</x:v>
      </x:c>
      <x:c r="D433" s="30" t="str">
        <x:v>High</x:v>
      </x:c>
      <x:c r="E433" s="30" t="str">
        <x:v>Strengthen delegation controls and require pharmacist supervision records.</x:v>
      </x:c>
      <x:c r="F433" s="30" t="str">
        <x:v>Personnel</x:v>
      </x:c>
      <x:c r="G433" s="30" t="str">
        <x:v>RETAIL</x:v>
      </x:c>
      <x:c r="H433" s="30" t="str">
        <x:v>Yes</x:v>
      </x:c>
      <x:c r="I433" s="30" t="str">
        <x:v>Regulatory compliance</x:v>
      </x:c>
    </x:row>
    <x:row r="434">
      <x:c r="A434" s="30" t="str">
        <x:v>ROBS183</x:v>
      </x:c>
      <x:c r="B434" s="30" t="str">
        <x:v>RAUD183</x:v>
      </x:c>
      <x:c r="C434" s="30" t="str">
        <x:v>Interfaces between dispensing, billing, and inventory systems generated unresolved reconciliation exceptions.</x:v>
      </x:c>
      <x:c r="D434" s="30" t="str">
        <x:v>High</x:v>
      </x:c>
      <x:c r="E434" s="30" t="str">
        <x:v>Establish automated reconciliation and timely investigation of interface exceptions.</x:v>
      </x:c>
      <x:c r="F434" s="30" t="str">
        <x:v>Inventory</x:v>
      </x:c>
      <x:c r="G434" s="30" t="str">
        <x:v>RETAIL</x:v>
      </x:c>
      <x:c r="H434" s="30" t="str">
        <x:v>Yes</x:v>
      </x:c>
      <x:c r="I434" s="30" t="str">
        <x:v>System integration</x:v>
      </x:c>
    </x:row>
    <x:row r="435">
      <x:c r="A435" s="30" t="str">
        <x:v>ROBS184</x:v>
      </x:c>
      <x:c r="B435" s="30" t="str">
        <x:v>RAUD184</x:v>
      </x:c>
      <x:c r="C435" s="30" t="str">
        <x:v>Dispensing documentation lacked complete customer acknowledgement and pharmacist verification.</x:v>
      </x:c>
      <x:c r="D435" s="30" t="str">
        <x:v>High</x:v>
      </x:c>
      <x:c r="E435" s="30" t="str">
        <x:v>Standardize dispensing documentation with mandatory validation before transaction closure.</x:v>
      </x:c>
      <x:c r="F435" s="30" t="str">
        <x:v>Personnel</x:v>
      </x:c>
      <x:c r="G435" s="30" t="str">
        <x:v>RETAIL</x:v>
      </x:c>
      <x:c r="H435" s="30" t="str">
        <x:v>Yes</x:v>
      </x:c>
      <x:c r="I435" s="30" t="str">
        <x:v>Documentation quality</x:v>
      </x:c>
    </x:row>
    <x:row r="436">
      <x:c r="A436" s="30" t="str">
        <x:v>ROBS185</x:v>
      </x:c>
      <x:c r="B436" s="30" t="str">
        <x:v>RAUD185</x:v>
      </x:c>
      <x:c r="C436" s="30" t="str">
        <x:v>Regulatory communication registers were not updated promptly following new regulatory notifications.</x:v>
      </x:c>
      <x:c r="D436" s="30" t="str">
        <x:v>High</x:v>
      </x:c>
      <x:c r="E436" s="30" t="str">
        <x:v>Maintain centralized communication tracking with periodic compliance reviews.</x:v>
      </x:c>
      <x:c r="F436" s="30" t="str">
        <x:v>Regulatory Filing</x:v>
      </x:c>
      <x:c r="G436" s="30" t="str">
        <x:v>RETAIL</x:v>
      </x:c>
      <x:c r="H436" s="30" t="str">
        <x:v>Yes</x:v>
      </x:c>
      <x:c r="I436" s="30" t="str">
        <x:v>Regulatory monitoring</x:v>
      </x:c>
    </x:row>
    <x:row r="437">
      <x:c r="A437" s="30" t="str">
        <x:v>ROBS186</x:v>
      </x:c>
      <x:c r="B437" s="30" t="str">
        <x:v>RAUD186</x:v>
      </x:c>
      <x:c r="C437" s="30" t="str">
        <x:v>Electronic proof-of-delivery records contained incomplete recipient verification details.</x:v>
      </x:c>
      <x:c r="D437" s="30" t="str">
        <x:v>Medium</x:v>
      </x:c>
      <x:c r="E437" s="30" t="str">
        <x:v>Strengthen electronic delivery validation and retain complete delivery evidence.</x:v>
      </x:c>
      <x:c r="F437" s="30" t="str">
        <x:v>Documentation</x:v>
      </x:c>
      <x:c r="G437" s="30" t="str">
        <x:v>RETAIL</x:v>
      </x:c>
      <x:c r="H437" s="30" t="str">
        <x:v>Yes</x:v>
      </x:c>
      <x:c r="I437" s="30" t="str">
        <x:v>Delivery compliance</x:v>
      </x:c>
    </x:row>
    <x:row r="438">
      <x:c r="A438" s="30" t="str">
        <x:v>ROBS187</x:v>
      </x:c>
      <x:c r="B438" s="30" t="str">
        <x:v>RAUD187</x:v>
      </x:c>
      <x:c r="C438" s="30" t="str">
        <x:v>Inventory ageing analysis identified excessive slow-moving stock without documented corrective action.</x:v>
      </x:c>
      <x:c r="D438" s="30" t="str">
        <x:v>Medium</x:v>
      </x:c>
      <x:c r="E438" s="30" t="str">
        <x:v>Review inventory ageing monthly and optimize procurement planning.</x:v>
      </x:c>
      <x:c r="F438" s="30" t="str">
        <x:v>Inventory</x:v>
      </x:c>
      <x:c r="G438" s="30" t="str">
        <x:v>RETAIL</x:v>
      </x:c>
      <x:c r="H438" s="30" t="str">
        <x:v>Yes</x:v>
      </x:c>
      <x:c r="I438" s="30" t="str">
        <x:v>Inventory optimization</x:v>
      </x:c>
    </x:row>
    <x:row r="439">
      <x:c r="A439" s="30" t="str">
        <x:v>ROBS188</x:v>
      </x:c>
      <x:c r="B439" s="30" t="str">
        <x:v>RAUD188</x:v>
      </x:c>
      <x:c r="C439" s="30" t="str">
        <x:v>Application performance monitoring identified recurring infrastructure alerts without root cause resolution.</x:v>
      </x:c>
      <x:c r="D439" s="30" t="str">
        <x:v>High</x:v>
      </x:c>
      <x:c r="E439" s="30" t="str">
        <x:v>Strengthen IT monitoring and implement preventive infrastructure maintenance.</x:v>
      </x:c>
      <x:c r="F439" s="30" t="str">
        <x:v>Digital / E-Pharmacy</x:v>
      </x:c>
      <x:c r="G439" s="30" t="str">
        <x:v>RETAIL</x:v>
      </x:c>
      <x:c r="H439" s="30" t="str">
        <x:v>Yes</x:v>
      </x:c>
      <x:c r="I439" s="30" t="str">
        <x:v>IT operations</x:v>
      </x:c>
    </x:row>
    <x:row r="440">
      <x:c r="A440" s="30" t="str">
        <x:v>ROBS189</x:v>
      </x:c>
      <x:c r="B440" s="30" t="str">
        <x:v>RAUD189</x:v>
      </x:c>
      <x:c r="C440" s="30" t="str">
        <x:v>Documentation supporting public health collaboration programmes was incomplete and statutory reporting evidence was unavailable.</x:v>
      </x:c>
      <x:c r="D440" s="30" t="str">
        <x:v>Medium</x:v>
      </x:c>
      <x:c r="E440" s="30" t="str">
        <x:v>Maintain complete programme documentation and regulatory submission records.</x:v>
      </x:c>
      <x:c r="F440" s="30" t="str">
        <x:v>Regulatory Filing</x:v>
      </x:c>
      <x:c r="G440" s="30" t="str">
        <x:v>RETAIL</x:v>
      </x:c>
      <x:c r="H440" s="30" t="str">
        <x:v>Yes</x:v>
      </x:c>
      <x:c r="I440" s="30" t="str">
        <x:v>Public health governance</x:v>
      </x:c>
    </x:row>
    <x:row r="441">
      <x:c r="A441" s="30" t="str">
        <x:v>ROBS190</x:v>
      </x:c>
      <x:c r="B441" s="30" t="str">
        <x:v>RAUD190</x:v>
      </x:c>
      <x:c r="C441" s="30" t="str">
        <x:v>Compliance reporting framework did not include ageing analysis for overdue regulatory obligations.</x:v>
      </x:c>
      <x:c r="D441" s="30" t="str">
        <x:v>High</x:v>
      </x:c>
      <x:c r="E441" s="30" t="str">
        <x:v>Enhance compliance reports with ageing dashboards and escalation indicators.</x:v>
      </x:c>
      <x:c r="F441" s="30" t="str">
        <x:v>Regulatory Filing</x:v>
      </x:c>
      <x:c r="G441" s="30" t="str">
        <x:v>RETAIL</x:v>
      </x:c>
      <x:c r="H441" s="30" t="str">
        <x:v>Yes</x:v>
      </x:c>
      <x:c r="I441" s="30" t="str">
        <x:v>Governance enhancement</x:v>
      </x:c>
    </x:row>
    <x:row r="442">
      <x:c r="A442" s="30" t="str">
        <x:v>ROBS191</x:v>
      </x:c>
      <x:c r="B442" s="30" t="str">
        <x:v>RAUD191</x:v>
      </x:c>
      <x:c r="C442" s="30" t="str">
        <x:v>Prescription, billing, and inventory reconciliation identified unexplained transactional differences.</x:v>
      </x:c>
      <x:c r="D442" s="30" t="str">
        <x:v>High</x:v>
      </x:c>
      <x:c r="E442" s="30" t="str">
        <x:v>Investigate reconciliation variances promptly and implement automated reconciliation controls.</x:v>
      </x:c>
      <x:c r="F442" s="30" t="str">
        <x:v>Prescription</x:v>
      </x:c>
      <x:c r="G442" s="30" t="str">
        <x:v>RETAIL</x:v>
      </x:c>
      <x:c r="H442" s="30" t="str">
        <x:v>Yes</x:v>
      </x:c>
      <x:c r="I442" s="30" t="str">
        <x:v>Financial &amp; inventory control</x:v>
      </x:c>
    </x:row>
    <x:row r="443">
      <x:c r="A443" s="30" t="str">
        <x:v>ROBS192</x:v>
      </x:c>
      <x:c r="B443" s="30" t="str">
        <x:v>RAUD192</x:v>
      </x:c>
      <x:c r="C443" s="30" t="str">
        <x:v>Pharmacist workload monitoring identified sustained overtime without documented risk assessment.</x:v>
      </x:c>
      <x:c r="D443" s="30" t="str">
        <x:v>Medium</x:v>
      </x:c>
      <x:c r="E443" s="30" t="str">
        <x:v>Review staffing adequacy and periodically assess workload-related dispensing risks.</x:v>
      </x:c>
      <x:c r="F443" s="30" t="str">
        <x:v>Personnel</x:v>
      </x:c>
      <x:c r="G443" s="30" t="str">
        <x:v>RETAIL</x:v>
      </x:c>
      <x:c r="H443" s="30" t="str">
        <x:v>Yes</x:v>
      </x:c>
      <x:c r="I443" s="30" t="str">
        <x:v>Workforce management</x:v>
      </x:c>
    </x:row>
    <x:row r="444">
      <x:c r="A444" s="30" t="str">
        <x:v>ROBS193</x:v>
      </x:c>
      <x:c r="B444" s="30" t="str">
        <x:v>RAUD193</x:v>
      </x:c>
      <x:c r="C444" s="30" t="str">
        <x:v>Disaster recovery documentation lacked evidence of complete restoration testing for all critical applications.</x:v>
      </x:c>
      <x:c r="D444" s="30" t="str">
        <x:v>High</x:v>
      </x:c>
      <x:c r="E444" s="30" t="str">
        <x:v>Conduct comprehensive disaster recovery validation and document recovery success.</x:v>
      </x:c>
      <x:c r="F444" s="30" t="str">
        <x:v>Digital / E-Pharmacy</x:v>
      </x:c>
      <x:c r="G444" s="30" t="str">
        <x:v>RETAIL</x:v>
      </x:c>
      <x:c r="H444" s="30" t="str">
        <x:v>Yes</x:v>
      </x:c>
      <x:c r="I444" s="30" t="str">
        <x:v>Business continuity</x:v>
      </x:c>
    </x:row>
    <x:row r="445">
      <x:c r="A445" s="30" t="str">
        <x:v>ROBS194</x:v>
      </x:c>
      <x:c r="B445" s="30" t="str">
        <x:v>RAUD194</x:v>
      </x:c>
      <x:c r="C445" s="30" t="str">
        <x:v>Customer acknowledgement records for medicine receipt were incomplete or missing in sampled transactions.</x:v>
      </x:c>
      <x:c r="D445" s="30" t="str">
        <x:v>Medium</x:v>
      </x:c>
      <x:c r="E445" s="30" t="str">
        <x:v>Require mandatory acknowledgement before completion of every medicine delivery.</x:v>
      </x:c>
      <x:c r="F445" s="30" t="str">
        <x:v>Documentation</x:v>
      </x:c>
      <x:c r="G445" s="30" t="str">
        <x:v>RETAIL</x:v>
      </x:c>
      <x:c r="H445" s="30" t="str">
        <x:v>Yes</x:v>
      </x:c>
      <x:c r="I445" s="30" t="str">
        <x:v>Transaction integrity</x:v>
      </x:c>
    </x:row>
    <x:row r="446">
      <x:c r="A446" s="30" t="str">
        <x:v>ROBS195</x:v>
      </x:c>
      <x:c r="B446" s="30" t="str">
        <x:v>RAUD195</x:v>
      </x:c>
      <x:c r="C446" s="30" t="str">
        <x:v>Statutory pharmacy reports were submitted without complete supporting documentation.</x:v>
      </x:c>
      <x:c r="D446" s="30" t="str">
        <x:v>High</x:v>
      </x:c>
      <x:c r="E446" s="30" t="str">
        <x:v>Verify supporting evidence before statutory report submission.</x:v>
      </x:c>
      <x:c r="F446" s="30" t="str">
        <x:v>Regulatory Filing</x:v>
      </x:c>
      <x:c r="G446" s="30" t="str">
        <x:v>RETAIL</x:v>
      </x:c>
      <x:c r="H446" s="30" t="str">
        <x:v>Yes</x:v>
      </x:c>
      <x:c r="I446" s="30" t="str">
        <x:v>Statutory reporting</x:v>
      </x:c>
    </x:row>
    <x:row r="447">
      <x:c r="A447" s="30" t="str">
        <x:v>ROBS196</x:v>
      </x:c>
      <x:c r="B447" s="30" t="str">
        <x:v>RAUD196</x:v>
      </x:c>
      <x:c r="C447" s="30" t="str">
        <x:v>Customer communication preferences were modified without complete audit trail documentation.</x:v>
      </x:c>
      <x:c r="D447" s="30" t="str">
        <x:v>Medium</x:v>
      </x:c>
      <x:c r="E447" s="30" t="str">
        <x:v>Enable immutable audit logging for communication preference updates.</x:v>
      </x:c>
      <x:c r="F447" s="30" t="str">
        <x:v>Documentation</x:v>
      </x:c>
      <x:c r="G447" s="30" t="str">
        <x:v>RETAIL</x:v>
      </x:c>
      <x:c r="H447" s="30" t="str">
        <x:v>Yes</x:v>
      </x:c>
      <x:c r="I447" s="30" t="str">
        <x:v>Privacy compliance</x:v>
      </x:c>
    </x:row>
    <x:row r="448">
      <x:c r="A448" s="30" t="str">
        <x:v>ROBS197</x:v>
      </x:c>
      <x:c r="B448" s="30" t="str">
        <x:v>RAUD197</x:v>
      </x:c>
      <x:c r="C448" s="30" t="str">
        <x:v>Procurement forecasts did not adequately account for seasonal demand variations, resulting in stock imbalances.</x:v>
      </x:c>
      <x:c r="D448" s="30" t="str">
        <x:v>Medium</x:v>
      </x:c>
      <x:c r="E448" s="30" t="str">
        <x:v>Improve forecasting methodology using historical demand analytics.</x:v>
      </x:c>
      <x:c r="F448" s="30" t="str">
        <x:v>Inventory</x:v>
      </x:c>
      <x:c r="G448" s="30" t="str">
        <x:v>RETAIL</x:v>
      </x:c>
      <x:c r="H448" s="30" t="str">
        <x:v>Yes</x:v>
      </x:c>
      <x:c r="I448" s="30" t="str">
        <x:v>Procurement planning</x:v>
      </x:c>
    </x:row>
    <x:row r="449">
      <x:c r="A449" s="30" t="str">
        <x:v>ROBS198</x:v>
      </x:c>
      <x:c r="B449" s="30" t="str">
        <x:v>RAUD198</x:v>
      </x:c>
      <x:c r="C449" s="30" t="str">
        <x:v>Database maintenance activities were performed without documented post-maintenance validation.</x:v>
      </x:c>
      <x:c r="D449" s="30" t="str">
        <x:v>High</x:v>
      </x:c>
      <x:c r="E449" s="30" t="str">
        <x:v>Introduce mandatory validation and approval after database maintenance.</x:v>
      </x:c>
      <x:c r="F449" s="30" t="str">
        <x:v>Digital / E-Pharmacy</x:v>
      </x:c>
      <x:c r="G449" s="30" t="str">
        <x:v>RETAIL</x:v>
      </x:c>
      <x:c r="H449" s="30" t="str">
        <x:v>Yes</x:v>
      </x:c>
      <x:c r="I449" s="30" t="str">
        <x:v>Database governance</x:v>
      </x:c>
    </x:row>
    <x:row r="450">
      <x:c r="A450" s="30" t="str">
        <x:v>ROBS199</x:v>
      </x:c>
      <x:c r="B450" s="30" t="str">
        <x:v>RAUD199</x:v>
      </x:c>
      <x:c r="C450" s="30" t="str">
        <x:v>Community health campaign evaluations lacked measurable outcome indicators and management review.</x:v>
      </x:c>
      <x:c r="D450" s="30" t="str">
        <x:v>Medium</x:v>
      </x:c>
      <x:c r="E450" s="30" t="str">
        <x:v>Define programme KPIs and conduct formal post-campaign evaluations.</x:v>
      </x:c>
      <x:c r="F450" s="30" t="str">
        <x:v>Other</x:v>
      </x:c>
      <x:c r="G450" s="30" t="str">
        <x:v>RETAIL</x:v>
      </x:c>
      <x:c r="H450" s="30" t="str">
        <x:v>Yes</x:v>
      </x:c>
      <x:c r="I450" s="30" t="str">
        <x:v>Programme effectiveness</x:v>
      </x:c>
    </x:row>
    <x:row r="451">
      <x:c r="A451" s="30" t="str">
        <x:v>ROBS200</x:v>
      </x:c>
      <x:c r="B451" s="30" t="str">
        <x:v>RAUD200</x:v>
      </x:c>
      <x:c r="C451" s="30" t="str">
        <x:v>Long-term compliance strategy reviews did not adequately assess emerging regulatory risks and technology changes.</x:v>
      </x:c>
      <x:c r="D451" s="30" t="str">
        <x:v>High</x:v>
      </x:c>
      <x:c r="E451" s="30" t="str">
        <x:v>Perform annual strategic compliance reviews incorporating regulatory horizon scanning and technology risk assessments.</x:v>
      </x:c>
      <x:c r="F451" s="30" t="str">
        <x:v>Regulatory Filing</x:v>
      </x:c>
      <x:c r="G451" s="30" t="str">
        <x:v>RETAIL</x:v>
      </x:c>
      <x:c r="H451" s="30" t="str">
        <x:v>Yes</x:v>
      </x:c>
      <x:c r="I451" s="30" t="str">
        <x:v>Strategic governance</x:v>
      </x:c>
    </x:row>
    <x:row r="452">
      <x:c r="A452" s="30" t="str">
        <x:v>ROBS201</x:v>
      </x:c>
      <x:c r="B452" s="30" t="str">
        <x:v>RAUD201</x:v>
      </x:c>
      <x:c r="C452" s="30" t="str">
        <x:v>Peak-hour dispensing delays exceeded approved service standards without documented capacity planning.</x:v>
      </x:c>
      <x:c r="D452" s="30" t="str">
        <x:v>Medium</x:v>
      </x:c>
      <x:c r="E452" s="30" t="str">
        <x:v>Monitor peak-hour KPIs and optimize staffing based on demand forecasts.</x:v>
      </x:c>
      <x:c r="F452" s="30" t="str">
        <x:v>Digital / E-Pharmacy</x:v>
      </x:c>
      <x:c r="G452" s="30" t="str">
        <x:v>RETAIL</x:v>
      </x:c>
      <x:c r="H452" s="30" t="str">
        <x:v>Yes</x:v>
      </x:c>
      <x:c r="I452" s="30" t="str">
        <x:v>Operational efficiency</x:v>
      </x:c>
    </x:row>
    <x:row r="453">
      <x:c r="A453" s="30" t="str">
        <x:v>ROBS202</x:v>
      </x:c>
      <x:c r="B453" s="30" t="str">
        <x:v>RAUD202</x:v>
      </x:c>
      <x:c r="C453" s="30" t="str">
        <x:v>Authorization matrix was outdated and did not reflect current delegated approval responsibilities.</x:v>
      </x:c>
      <x:c r="D453" s="30" t="str">
        <x:v>High</x:v>
      </x:c>
      <x:c r="E453" s="30" t="str">
        <x:v>Review and update the authorization matrix annually and after organizational changes.</x:v>
      </x:c>
      <x:c r="F453" s="30" t="str">
        <x:v>Digital / E-Pharmacy</x:v>
      </x:c>
      <x:c r="G453" s="30" t="str">
        <x:v>RETAIL</x:v>
      </x:c>
      <x:c r="H453" s="30" t="str">
        <x:v>Yes</x:v>
      </x:c>
      <x:c r="I453" s="30" t="str">
        <x:v>Governance control</x:v>
      </x:c>
    </x:row>
    <x:row r="454">
      <x:c r="A454" s="30" t="str">
        <x:v>ROBS203</x:v>
      </x:c>
      <x:c r="B454" s="30" t="str">
        <x:v>RAUD203</x:v>
      </x:c>
      <x:c r="C454" s="30" t="str">
        <x:v>API security controls identified authentication failures that were not investigated within defined timelines.</x:v>
      </x:c>
      <x:c r="D454" s="30" t="str">
        <x:v>High</x:v>
      </x:c>
      <x:c r="E454" s="30" t="str">
        <x:v>Implement continuous API monitoring and investigate authentication failures promptly.</x:v>
      </x:c>
      <x:c r="F454" s="30" t="str">
        <x:v>Other</x:v>
      </x:c>
      <x:c r="G454" s="30" t="str">
        <x:v>RETAIL</x:v>
      </x:c>
      <x:c r="H454" s="30" t="str">
        <x:v>Yes</x:v>
      </x:c>
      <x:c r="I454" s="30" t="str">
        <x:v>Cybersecurity</x:v>
      </x:c>
    </x:row>
    <x:row r="455">
      <x:c r="A455" s="30" t="str">
        <x:v>ROBS204</x:v>
      </x:c>
      <x:c r="B455" s="30" t="str">
        <x:v>RAUD204</x:v>
      </x:c>
      <x:c r="C455" s="30" t="str">
        <x:v>Independent documentation quality reviews identified recurring deficiencies without sustained corrective actions.</x:v>
      </x:c>
      <x:c r="D455" s="30" t="str">
        <x:v>High</x:v>
      </x:c>
      <x:c r="E455" s="30" t="str">
        <x:v>Verify CAPA effectiveness through follow-up quality audits.</x:v>
      </x:c>
      <x:c r="F455" s="30" t="str">
        <x:v>Quality</x:v>
      </x:c>
      <x:c r="G455" s="30" t="str">
        <x:v>RETAIL</x:v>
      </x:c>
      <x:c r="H455" s="30" t="str">
        <x:v>Yes</x:v>
      </x:c>
      <x:c r="I455" s="30" t="str">
        <x:v>Documentation quality</x:v>
      </x:c>
    </x:row>
    <x:row r="456">
      <x:c r="A456" s="30" t="str">
        <x:v>ROBS205</x:v>
      </x:c>
      <x:c r="B456" s="30" t="str">
        <x:v>RAUD205</x:v>
      </x:c>
      <x:c r="C456" s="30" t="str">
        <x:v>Regulatory inspection actions remained overdue without escalation to senior management.</x:v>
      </x:c>
      <x:c r="D456" s="30" t="str">
        <x:v>High</x:v>
      </x:c>
      <x:c r="E456" s="30" t="str">
        <x:v>Implement automated escalation for overdue regulatory inspection actions.</x:v>
      </x:c>
      <x:c r="F456" s="30" t="str">
        <x:v>Regulatory Filing</x:v>
      </x:c>
      <x:c r="G456" s="30" t="str">
        <x:v>RETAIL</x:v>
      </x:c>
      <x:c r="H456" s="30" t="str">
        <x:v>Yes</x:v>
      </x:c>
      <x:c r="I456" s="30" t="str">
        <x:v>Regulatory compliance</x:v>
      </x:c>
    </x:row>
    <x:row r="457">
      <x:c r="A457" s="30" t="str">
        <x:v>ROBS206</x:v>
      </x:c>
      <x:c r="B457" s="30" t="str">
        <x:v>RAUD206</x:v>
      </x:c>
      <x:c r="C457" s="30" t="str">
        <x:v>Mobile pharmacy application security assessments identified outdated application versions and delayed security updates.</x:v>
      </x:c>
      <x:c r="D457" s="30" t="str">
        <x:v>High</x:v>
      </x:c>
      <x:c r="E457" s="30" t="str">
        <x:v>Enforce timely mobile application patching and security validation.</x:v>
      </x:c>
      <x:c r="F457" s="30" t="str">
        <x:v>Digital / E-Pharmacy</x:v>
      </x:c>
      <x:c r="G457" s="30" t="str">
        <x:v>RETAIL</x:v>
      </x:c>
      <x:c r="H457" s="30" t="str">
        <x:v>Yes</x:v>
      </x:c>
      <x:c r="I457" s="30" t="str">
        <x:v>Mobile security</x:v>
      </x:c>
    </x:row>
    <x:row r="458">
      <x:c r="A458" s="30" t="str">
        <x:v>ROBS207</x:v>
      </x:c>
      <x:c r="B458" s="30" t="str">
        <x:v>RAUD207</x:v>
      </x:c>
      <x:c r="C458" s="30" t="str">
        <x:v>Inventory analytics identified recurring expiry losses without preventive procurement adjustments.</x:v>
      </x:c>
      <x:c r="D458" s="30" t="str">
        <x:v>Medium</x:v>
      </x:c>
      <x:c r="E458" s="30" t="str">
        <x:v>Use predictive inventory analytics to minimize expiry-related losses.</x:v>
      </x:c>
      <x:c r="F458" s="30" t="str">
        <x:v>Storage</x:v>
      </x:c>
      <x:c r="G458" s="30" t="str">
        <x:v>RETAIL</x:v>
      </x:c>
      <x:c r="H458" s="30" t="str">
        <x:v>Yes</x:v>
      </x:c>
      <x:c r="I458" s="30" t="str">
        <x:v>Inventory optimization</x:v>
      </x:c>
    </x:row>
    <x:row r="459">
      <x:c r="A459" s="30" t="str">
        <x:v>ROBS208</x:v>
      </x:c>
      <x:c r="B459" s="30" t="str">
        <x:v>RAUD208</x:v>
      </x:c>
      <x:c r="C459" s="30" t="str">
        <x:v>Infrastructure monitoring alerts were repeatedly acknowledged without permanent corrective actions.</x:v>
      </x:c>
      <x:c r="D459" s="30" t="str">
        <x:v>High</x:v>
      </x:c>
      <x:c r="E459" s="30" t="str">
        <x:v>Investigate recurring infrastructure alerts and eliminate root causes.</x:v>
      </x:c>
      <x:c r="F459" s="30" t="str">
        <x:v>Infrastructure</x:v>
      </x:c>
      <x:c r="G459" s="30" t="str">
        <x:v>RETAIL</x:v>
      </x:c>
      <x:c r="H459" s="30" t="str">
        <x:v>Yes</x:v>
      </x:c>
      <x:c r="I459" s="30" t="str">
        <x:v>IT operations</x:v>
      </x:c>
    </x:row>
    <x:row r="460">
      <x:c r="A460" s="30" t="str">
        <x:v>ROBS209</x:v>
      </x:c>
      <x:c r="B460" s="30" t="str">
        <x:v>RAUD209</x:v>
      </x:c>
      <x:c r="C460" s="30" t="str">
        <x:v>Healthcare partnership agreements were missing periodic compliance review documentation.</x:v>
      </x:c>
      <x:c r="D460" s="30" t="str">
        <x:v>Medium</x:v>
      </x:c>
      <x:c r="E460" s="30" t="str">
        <x:v>Perform scheduled governance reviews of all healthcare partnerships.</x:v>
      </x:c>
      <x:c r="F460" s="30" t="str">
        <x:v>Documentation</x:v>
      </x:c>
      <x:c r="G460" s="30" t="str">
        <x:v>RETAIL</x:v>
      </x:c>
      <x:c r="H460" s="30" t="str">
        <x:v>Yes</x:v>
      </x:c>
      <x:c r="I460" s="30" t="str">
        <x:v>Partnership governance</x:v>
      </x:c>
    </x:row>
    <x:row r="461">
      <x:c r="A461" s="30" t="str">
        <x:v>ROBS210</x:v>
      </x:c>
      <x:c r="B461" s="30" t="str">
        <x:v>RAUD210</x:v>
      </x:c>
      <x:c r="C461" s="30" t="str">
        <x:v>Enterprise compliance programme reviews lacked documented assessment of resource adequacy and technology risks.</x:v>
      </x:c>
      <x:c r="D461" s="30" t="str">
        <x:v>High</x:v>
      </x:c>
      <x:c r="E461" s="30" t="str">
        <x:v>Expand annual programme reviews to include resource planning and technology assessments.</x:v>
      </x:c>
      <x:c r="F461" s="30" t="str">
        <x:v>Documentation</x:v>
      </x:c>
      <x:c r="G461" s="30" t="str">
        <x:v>RETAIL</x:v>
      </x:c>
      <x:c r="H461" s="30" t="str">
        <x:v>Yes</x:v>
      </x:c>
      <x:c r="I461" s="30" t="str">
        <x:v>Enterprise governance</x:v>
      </x:c>
    </x:row>
    <x:row r="462">
      <x:c r="A462" s="30" t="str">
        <x:v>ROBS211</x:v>
      </x:c>
      <x:c r="B462" s="30" t="str">
        <x:v>RAUD211</x:v>
      </x:c>
      <x:c r="C462" s="30" t="str">
        <x:v>Business continuity exercises did not adequately validate continuity of dispensing and customer services.</x:v>
      </x:c>
      <x:c r="D462" s="30" t="str">
        <x:v>High</x:v>
      </x:c>
      <x:c r="E462" s="30" t="str">
        <x:v>Conduct integrated continuity testing covering all critical pharmacy operations.</x:v>
      </x:c>
      <x:c r="F462" s="30" t="str">
        <x:v>Other</x:v>
      </x:c>
      <x:c r="G462" s="30" t="str">
        <x:v>RETAIL</x:v>
      </x:c>
      <x:c r="H462" s="30" t="str">
        <x:v>Yes</x:v>
      </x:c>
      <x:c r="I462" s="30" t="str">
        <x:v>Business continuity</x:v>
      </x:c>
    </x:row>
    <x:row r="463">
      <x:c r="A463" s="30" t="str">
        <x:v>ROBS212</x:v>
      </x:c>
      <x:c r="B463" s="30" t="str">
        <x:v>RAUD212</x:v>
      </x:c>
      <x:c r="C463" s="30" t="str">
        <x:v>Cross-training records showed gaps in competency coverage for critical pharmacy operations.</x:v>
      </x:c>
      <x:c r="D463" s="30" t="str">
        <x:v>Medium</x:v>
      </x:c>
      <x:c r="E463" s="30" t="str">
        <x:v>Expand cross-training programmes and verify competency through assessments.</x:v>
      </x:c>
      <x:c r="F463" s="30" t="str">
        <x:v>Personnel</x:v>
      </x:c>
      <x:c r="G463" s="30" t="str">
        <x:v>RETAIL</x:v>
      </x:c>
      <x:c r="H463" s="30" t="str">
        <x:v>Yes</x:v>
      </x:c>
      <x:c r="I463" s="30" t="str">
        <x:v>Workforce resilience</x:v>
      </x:c>
    </x:row>
    <x:row r="464">
      <x:c r="A464" s="30" t="str">
        <x:v>ROBS213</x:v>
      </x:c>
      <x:c r="B464" s="30" t="str">
        <x:v>RAUD213</x:v>
      </x:c>
      <x:c r="C464" s="30" t="str">
        <x:v>Customer portal access reviews identified dormant user accounts that remained active beyond approved periods.</x:v>
      </x:c>
      <x:c r="D464" s="30" t="str">
        <x:v>High</x:v>
      </x:c>
      <x:c r="E464" s="30" t="str">
        <x:v>Automate dormant account identification and timely deactivation.</x:v>
      </x:c>
      <x:c r="F464" s="30" t="str">
        <x:v>Digital / E-Pharmacy</x:v>
      </x:c>
      <x:c r="G464" s="30" t="str">
        <x:v>RETAIL</x:v>
      </x:c>
      <x:c r="H464" s="30" t="str">
        <x:v>Yes</x:v>
      </x:c>
      <x:c r="I464" s="30" t="str">
        <x:v>Information security</x:v>
      </x:c>
    </x:row>
    <x:row r="465">
      <x:c r="A465" s="30" t="str">
        <x:v>ROBS214</x:v>
      </x:c>
      <x:c r="B465" s="30" t="str">
        <x:v>RAUD214</x:v>
      </x:c>
      <x:c r="C465" s="30" t="str">
        <x:v>Dispensing quality reviews identified repeated dispensing errors without trend analysis.</x:v>
      </x:c>
      <x:c r="D465" s="30" t="str">
        <x:v>High</x:v>
      </x:c>
      <x:c r="E465" s="30" t="str">
        <x:v>Perform trend analysis and implement targeted quality improvement initiatives.</x:v>
      </x:c>
      <x:c r="F465" s="30" t="str">
        <x:v>Quality</x:v>
      </x:c>
      <x:c r="G465" s="30" t="str">
        <x:v>RETAIL</x:v>
      </x:c>
      <x:c r="H465" s="30" t="str">
        <x:v>Yes</x:v>
      </x:c>
      <x:c r="I465" s="30" t="str">
        <x:v>Clinical quality</x:v>
      </x:c>
    </x:row>
    <x:row r="466">
      <x:c r="A466" s="30" t="str">
        <x:v>ROBS215</x:v>
      </x:c>
      <x:c r="B466" s="30" t="str">
        <x:v>RAUD215</x:v>
      </x:c>
      <x:c r="C466" s="30" t="str">
        <x:v>Significant compliance breaches were closed without documented management effectiveness review.</x:v>
      </x:c>
      <x:c r="D466" s="30" t="str">
        <x:v>High</x:v>
      </x:c>
      <x:c r="E466" s="30" t="str">
        <x:v>Require executive review before closure of all significant compliance breaches.</x:v>
      </x:c>
      <x:c r="F466" s="30" t="str">
        <x:v>Documentation</x:v>
      </x:c>
      <x:c r="G466" s="30" t="str">
        <x:v>RETAIL</x:v>
      </x:c>
      <x:c r="H466" s="30" t="str">
        <x:v>Yes</x:v>
      </x:c>
      <x:c r="I466" s="30" t="str">
        <x:v>Compliance governance</x:v>
      </x:c>
    </x:row>
    <x:row r="467">
      <x:c r="A467" s="30" t="str">
        <x:v>ROBS216</x:v>
      </x:c>
      <x:c r="B467" s="30" t="str">
        <x:v>RAUD216</x:v>
      </x:c>
      <x:c r="C467" s="30" t="str">
        <x:v>Online medicine order processing identified customer identity verification deficiencies for sampled transactions.</x:v>
      </x:c>
      <x:c r="D467" s="30" t="str">
        <x:v>High</x:v>
      </x:c>
      <x:c r="E467" s="30" t="str">
        <x:v>Strengthen identity verification controls for all online medicine orders.</x:v>
      </x:c>
      <x:c r="F467" s="30" t="str">
        <x:v>Digital / E-Pharmacy</x:v>
      </x:c>
      <x:c r="G467" s="30" t="str">
        <x:v>RETAIL</x:v>
      </x:c>
      <x:c r="H467" s="30" t="str">
        <x:v>Yes</x:v>
      </x:c>
      <x:c r="I467" s="30" t="str">
        <x:v>E-Pharmacy operations</x:v>
      </x:c>
    </x:row>
    <x:row r="468">
      <x:c r="A468" s="30" t="str">
        <x:v>ROBS217</x:v>
      </x:c>
      <x:c r="B468" s="30" t="str">
        <x:v>RAUD217</x:v>
      </x:c>
      <x:c r="C468" s="30" t="str">
        <x:v>Inventory benchmarking identified persistent KPI deviations without documented improvement plans.</x:v>
      </x:c>
      <x:c r="D468" s="30" t="str">
        <x:v>Medium</x:v>
      </x:c>
      <x:c r="E468" s="30" t="str">
        <x:v>Develop corrective action plans linked to inventory KPI performance.</x:v>
      </x:c>
      <x:c r="F468" s="30" t="str">
        <x:v>Inventory</x:v>
      </x:c>
      <x:c r="G468" s="30" t="str">
        <x:v>RETAIL</x:v>
      </x:c>
      <x:c r="H468" s="30" t="str">
        <x:v>Yes</x:v>
      </x:c>
      <x:c r="I468" s="30" t="str">
        <x:v>Inventory governance</x:v>
      </x:c>
    </x:row>
    <x:row r="469">
      <x:c r="A469" s="30" t="str">
        <x:v>ROBS218</x:v>
      </x:c>
      <x:c r="B469" s="30" t="str">
        <x:v>RAUD218</x:v>
      </x:c>
      <x:c r="C469" s="30" t="str">
        <x:v>Endpoint protection reviews identified devices operating without current security policies.</x:v>
      </x:c>
      <x:c r="D469" s="30" t="str">
        <x:v>High</x:v>
      </x:c>
      <x:c r="E469" s="30" t="str">
        <x:v>Enforce centralized endpoint policy compliance and periodic verification.</x:v>
      </x:c>
      <x:c r="F469" s="30" t="str">
        <x:v>Other</x:v>
      </x:c>
      <x:c r="G469" s="30" t="str">
        <x:v>RETAIL</x:v>
      </x:c>
      <x:c r="H469" s="30" t="str">
        <x:v>Yes</x:v>
      </x:c>
      <x:c r="I469" s="30" t="str">
        <x:v>Endpoint security</x:v>
      </x:c>
    </x:row>
    <x:row r="470">
      <x:c r="A470" s="30" t="str">
        <x:v>ROBS219</x:v>
      </x:c>
      <x:c r="B470" s="30" t="str">
        <x:v>RAUD219</x:v>
      </x:c>
      <x:c r="C470" s="30" t="str">
        <x:v>Community wellness programmes lacked documented post-implementation effectiveness reviews.</x:v>
      </x:c>
      <x:c r="D470" s="30" t="str">
        <x:v>Medium</x:v>
      </x:c>
      <x:c r="E470" s="30" t="str">
        <x:v>Conduct programme evaluations and management reviews after completion.</x:v>
      </x:c>
      <x:c r="F470" s="30" t="str">
        <x:v>Documentation</x:v>
      </x:c>
      <x:c r="G470" s="30" t="str">
        <x:v>RETAIL</x:v>
      </x:c>
      <x:c r="H470" s="30" t="str">
        <x:v>Yes</x:v>
      </x:c>
      <x:c r="I470" s="30" t="str">
        <x:v>Community engagement</x:v>
      </x:c>
    </x:row>
    <x:row r="471">
      <x:c r="A471" s="30" t="str">
        <x:v>ROBS220</x:v>
      </x:c>
      <x:c r="B471" s="30" t="str">
        <x:v>RAUD220</x:v>
      </x:c>
      <x:c r="C471" s="30" t="str">
        <x:v>Annual compliance effectiveness assessments did not consistently measure long-term CAPA effectiveness.</x:v>
      </x:c>
      <x:c r="D471" s="30" t="str">
        <x:v>High</x:v>
      </x:c>
      <x:c r="E471" s="30" t="str">
        <x:v>Incorporate longitudinal CAPA effectiveness metrics into annual assessments.</x:v>
      </x:c>
      <x:c r="F471" s="30" t="str">
        <x:v>Quality</x:v>
      </x:c>
      <x:c r="G471" s="30" t="str">
        <x:v>RETAIL</x:v>
      </x:c>
      <x:c r="H471" s="30" t="str">
        <x:v>Yes</x:v>
      </x:c>
      <x:c r="I471" s="30" t="str">
        <x:v>Continuous improvement</x:v>
      </x:c>
    </x:row>
    <x:row r="472">
      <x:c r="A472" s="30" t="str">
        <x:v>ROBS221</x:v>
      </x:c>
      <x:c r="B472" s="30" t="str">
        <x:v>RAUD221</x:v>
      </x:c>
      <x:c r="C472" s="30" t="str">
        <x:v>Seasonal demand forecasts underestimated medicine requirements, resulting in avoidable stock shortages.</x:v>
      </x:c>
      <x:c r="D472" s="30" t="str">
        <x:v>Medium</x:v>
      </x:c>
      <x:c r="E472" s="30" t="str">
        <x:v>Enhance demand forecasting using seasonal trends, historical sales, and supplier lead-time analysis.</x:v>
      </x:c>
      <x:c r="F472" s="30" t="str">
        <x:v>Inventory</x:v>
      </x:c>
      <x:c r="G472" s="30" t="str">
        <x:v>RETAIL</x:v>
      </x:c>
      <x:c r="H472" s="30" t="str">
        <x:v>Yes</x:v>
      </x:c>
      <x:c r="I472" s="30" t="str">
        <x:v>Inventory planning</x:v>
      </x:c>
    </x:row>
    <x:row r="473">
      <x:c r="A473" s="30" t="str">
        <x:v>ROBS222</x:v>
      </x:c>
      <x:c r="B473" s="30" t="str">
        <x:v>RAUD222</x:v>
      </x:c>
      <x:c r="C473" s="30" t="str">
        <x:v>Temporary and locum pharmacy personnel commenced duties before completion of competency verification.</x:v>
      </x:c>
      <x:c r="D473" s="30" t="str">
        <x:v>High</x:v>
      </x:c>
      <x:c r="E473" s="30" t="str">
        <x:v>Complete onboarding, competency assessment, and authorization before assigning operational responsibilities.</x:v>
      </x:c>
      <x:c r="F473" s="30" t="str">
        <x:v>Personnel</x:v>
      </x:c>
      <x:c r="G473" s="30" t="str">
        <x:v>RETAIL</x:v>
      </x:c>
      <x:c r="H473" s="30" t="str">
        <x:v>Yes</x:v>
      </x:c>
      <x:c r="I473" s="30" t="str">
        <x:v>HR compliance</x:v>
      </x:c>
    </x:row>
    <x:row r="474">
      <x:c r="A474" s="30" t="str">
        <x:v>ROBS223</x:v>
      </x:c>
      <x:c r="B474" s="30" t="str">
        <x:v>RAUD223</x:v>
      </x:c>
      <x:c r="C474" s="30" t="str">
        <x:v>Customer consent withdrawal requests were processed without complete audit trail documentation.</x:v>
      </x:c>
      <x:c r="D474" s="30" t="str">
        <x:v>High</x:v>
      </x:c>
      <x:c r="E474" s="30" t="str">
        <x:v>Maintain immutable audit logs for all consent lifecycle activities.</x:v>
      </x:c>
      <x:c r="F474" s="30" t="str">
        <x:v>Documentation</x:v>
      </x:c>
      <x:c r="G474" s="30" t="str">
        <x:v>RETAIL</x:v>
      </x:c>
      <x:c r="H474" s="30" t="str">
        <x:v>Yes</x:v>
      </x:c>
      <x:c r="I474" s="30" t="str">
        <x:v>Privacy governance</x:v>
      </x:c>
    </x:row>
    <x:row r="475">
      <x:c r="A475" s="30" t="str">
        <x:v>ROBS224</x:v>
      </x:c>
      <x:c r="B475" s="30" t="str">
        <x:v>RAUD224</x:v>
      </x:c>
      <x:c r="C475" s="30" t="str">
        <x:v>Dispensing accuracy audits identified recurring errors without evidence of sustainable corrective measures.</x:v>
      </x:c>
      <x:c r="D475" s="30" t="str">
        <x:v>High</x:v>
      </x:c>
      <x:c r="E475" s="30" t="str">
        <x:v>Perform trend analysis and validate CAPA effectiveness through independent audits.</x:v>
      </x:c>
      <x:c r="F475" s="30" t="str">
        <x:v>Quality</x:v>
      </x:c>
      <x:c r="G475" s="30" t="str">
        <x:v>RETAIL</x:v>
      </x:c>
      <x:c r="H475" s="30" t="str">
        <x:v>Yes</x:v>
      </x:c>
      <x:c r="I475" s="30" t="str">
        <x:v>Dispensing quality</x:v>
      </x:c>
    </x:row>
    <x:row r="476">
      <x:c r="A476" s="30" t="str">
        <x:v>ROBS225</x:v>
      </x:c>
      <x:c r="B476" s="30" t="str">
        <x:v>RAUD225</x:v>
      </x:c>
      <x:c r="C476" s="30" t="str">
        <x:v>Regulatory changes were implemented without timely revision of SOPs and staff training records.</x:v>
      </x:c>
      <x:c r="D476" s="30" t="str">
        <x:v>High</x:v>
      </x:c>
      <x:c r="E476" s="30" t="str">
        <x:v>Establish formal regulatory change management with mandatory SOP updates and staff acknowledgement.</x:v>
      </x:c>
      <x:c r="F476" s="30" t="str">
        <x:v>Personnel</x:v>
      </x:c>
      <x:c r="G476" s="30" t="str">
        <x:v>RETAIL</x:v>
      </x:c>
      <x:c r="H476" s="30" t="str">
        <x:v>Yes</x:v>
      </x:c>
      <x:c r="I476" s="30" t="str">
        <x:v>Regulatory governance</x:v>
      </x:c>
    </x:row>
    <x:row r="477">
      <x:c r="A477" s="30" t="str">
        <x:v>ROBS226</x:v>
      </x:c>
      <x:c r="B477" s="30" t="str">
        <x:v>RAUD226</x:v>
      </x:c>
      <x:c r="C477" s="30" t="str">
        <x:v>Omnichannel order processing controls were inconsistently applied across online, telephone, and walk-in orders.</x:v>
      </x:c>
      <x:c r="D477" s="30" t="str">
        <x:v>High</x:v>
      </x:c>
      <x:c r="E477" s="30" t="str">
        <x:v>Standardize compliance controls across all medicine ordering channels.</x:v>
      </x:c>
      <x:c r="F477" s="30" t="str">
        <x:v>Digital / E-Pharmacy</x:v>
      </x:c>
      <x:c r="G477" s="30" t="str">
        <x:v>RETAIL</x:v>
      </x:c>
      <x:c r="H477" s="30" t="str">
        <x:v>Yes</x:v>
      </x:c>
      <x:c r="I477" s="30" t="str">
        <x:v>Omnichannel operations</x:v>
      </x:c>
    </x:row>
    <x:row r="478">
      <x:c r="A478" s="30" t="str">
        <x:v>ROBS227</x:v>
      </x:c>
      <x:c r="B478" s="30" t="str">
        <x:v>RAUD227</x:v>
      </x:c>
      <x:c r="C478" s="30" t="str">
        <x:v>Inventory Review Committee meetings did not consistently monitor overdue actions and recurring inventory risks.</x:v>
      </x:c>
      <x:c r="D478" s="30" t="str">
        <x:v>Medium</x:v>
      </x:c>
      <x:c r="E478" s="30" t="str">
        <x:v>Introduce action ageing reports and formal follow-up tracking for committee decisions.</x:v>
      </x:c>
      <x:c r="F478" s="30" t="str">
        <x:v>Inventory</x:v>
      </x:c>
      <x:c r="G478" s="30" t="str">
        <x:v>RETAIL</x:v>
      </x:c>
      <x:c r="H478" s="30" t="str">
        <x:v>Yes</x:v>
      </x:c>
      <x:c r="I478" s="30" t="str">
        <x:v>Inventory governance</x:v>
      </x:c>
    </x:row>
    <x:row r="479">
      <x:c r="A479" s="30" t="str">
        <x:v>ROBS228</x:v>
      </x:c>
      <x:c r="B479" s="30" t="str">
        <x:v>RAUD228</x:v>
      </x:c>
      <x:c r="C479" s="30" t="str">
        <x:v>Cyber resilience reviews identified delayed remediation of critical vulnerabilities affecting pharmacy systems.</x:v>
      </x:c>
      <x:c r="D479" s="30" t="str">
        <x:v>High</x:v>
      </x:c>
      <x:c r="E479" s="30" t="str">
        <x:v>Prioritize remediation of critical vulnerabilities within approved response timelines.</x:v>
      </x:c>
      <x:c r="F479" s="30" t="str">
        <x:v>Digital / E-Pharmacy</x:v>
      </x:c>
      <x:c r="G479" s="30" t="str">
        <x:v>RETAIL</x:v>
      </x:c>
      <x:c r="H479" s="30" t="str">
        <x:v>Yes</x:v>
      </x:c>
      <x:c r="I479" s="30" t="str">
        <x:v>Cyber resilience</x:v>
      </x:c>
    </x:row>
    <x:row r="480">
      <x:c r="A480" s="30" t="str">
        <x:v>ROBS229</x:v>
      </x:c>
      <x:c r="B480" s="30" t="str">
        <x:v>RAUD229</x:v>
      </x:c>
      <x:c r="C480" s="30" t="str">
        <x:v>Community health programme reports lacked documented evaluation of programme effectiveness and regulatory outcomes.</x:v>
      </x:c>
      <x:c r="D480" s="30" t="str">
        <x:v>Medium</x:v>
      </x:c>
      <x:c r="E480" s="30" t="str">
        <x:v>Conduct post-programme evaluations with measurable performance indicators.</x:v>
      </x:c>
      <x:c r="F480" s="30" t="str">
        <x:v>Regulatory Filing</x:v>
      </x:c>
      <x:c r="G480" s="30" t="str">
        <x:v>RETAIL</x:v>
      </x:c>
      <x:c r="H480" s="30" t="str">
        <x:v>Yes</x:v>
      </x:c>
      <x:c r="I480" s="30" t="str">
        <x:v>Community healthcare</x:v>
      </x:c>
    </x:row>
    <x:row r="481">
      <x:c r="A481" s="30" t="str">
        <x:v>ROBS230</x:v>
      </x:c>
      <x:c r="B481" s="30" t="str">
        <x:v>RAUD230</x:v>
      </x:c>
      <x:c r="C481" s="30" t="str">
        <x:v>Integrated governance reviews identified recurring compliance issues without enterprise-level preventive strategies.</x:v>
      </x:c>
      <x:c r="D481" s="30" t="str">
        <x:v>High</x:v>
      </x:c>
      <x:c r="E481" s="30" t="str">
        <x:v>Develop enterprise-wide preventive compliance initiatives and monitor implementation through governance committees.</x:v>
      </x:c>
      <x:c r="F481" s="30" t="str">
        <x:v>Other</x:v>
      </x:c>
      <x:c r="G481" s="30" t="str">
        <x:v>RETAIL</x:v>
      </x:c>
      <x:c r="H481" s="30" t="str">
        <x:v>Yes</x:v>
      </x:c>
      <x:c r="I481" s="30" t="str">
        <x:v>Enterprise governance</x:v>
      </x:c>
    </x:row>
    <x:row r="482">
      <x:c r="A482" s="30" t="str">
        <x:v>ROBS231</x:v>
      </x:c>
      <x:c r="B482" s="30" t="str">
        <x:v>RAUD231</x:v>
      </x:c>
      <x:c r="C482" s="30" t="str">
        <x:v>Business continuity testing did not fully validate continuity of dispensing, cold-chain management, and customer communication.</x:v>
      </x:c>
      <x:c r="D482" s="30" t="str">
        <x:v>High</x:v>
      </x:c>
      <x:c r="E482" s="30" t="str">
        <x:v>Expand continuity testing to include all critical pharmacy services and verify recovery objectives.</x:v>
      </x:c>
      <x:c r="F482" s="30" t="str">
        <x:v>Storage</x:v>
      </x:c>
      <x:c r="G482" s="30" t="str">
        <x:v>RETAIL</x:v>
      </x:c>
      <x:c r="H482" s="30" t="str">
        <x:v>Yes</x:v>
      </x:c>
      <x:c r="I482" s="30" t="str">
        <x:v>Business continuity</x:v>
      </x:c>
    </x:row>
    <x:row r="483">
      <x:c r="A483" s="30" t="str">
        <x:v>ROBS232</x:v>
      </x:c>
      <x:c r="B483" s="30" t="str">
        <x:v>RAUD232</x:v>
      </x:c>
      <x:c r="C483" s="30" t="str">
        <x:v>Annual employee compliance declarations were incomplete and confidentiality acknowledgements were missing for sampled employees.</x:v>
      </x:c>
      <x:c r="D483" s="30" t="str">
        <x:v>Medium</x:v>
      </x:c>
      <x:c r="E483" s="30" t="str">
        <x:v>Obtain annual declarations from all employees and maintain centralized compliance records.</x:v>
      </x:c>
      <x:c r="F483" s="30" t="str">
        <x:v>Personnel</x:v>
      </x:c>
      <x:c r="G483" s="30" t="str">
        <x:v>RETAIL</x:v>
      </x:c>
      <x:c r="H483" s="30" t="str">
        <x:v>Yes</x:v>
      </x:c>
      <x:c r="I483" s="30" t="str">
        <x:v>Employee compliance</x:v>
      </x:c>
    </x:row>
    <x:row r="484">
      <x:c r="A484" s="30" t="str">
        <x:v>ROBS233</x:v>
      </x:c>
      <x:c r="B484" s="30" t="str">
        <x:v>RAUD233</x:v>
      </x:c>
      <x:c r="C484" s="30" t="str">
        <x:v>Electronic dispensing records were retained without documented integrity verification or periodic restoration testing.</x:v>
      </x:c>
      <x:c r="D484" s="30" t="str">
        <x:v>High</x:v>
      </x:c>
      <x:c r="E484" s="30" t="str">
        <x:v>Implement periodic integrity validation and restoration testing for electronic records.</x:v>
      </x:c>
      <x:c r="F484" s="30" t="str">
        <x:v>Documentation</x:v>
      </x:c>
      <x:c r="G484" s="30" t="str">
        <x:v>RETAIL</x:v>
      </x:c>
      <x:c r="H484" s="30" t="str">
        <x:v>Yes</x:v>
      </x:c>
      <x:c r="I484" s="30" t="str">
        <x:v>Records governance</x:v>
      </x:c>
    </x:row>
    <x:row r="485">
      <x:c r="A485" s="30" t="str">
        <x:v>ROBS234</x:v>
      </x:c>
      <x:c r="B485" s="30" t="str">
        <x:v>RAUD234</x:v>
      </x:c>
      <x:c r="C485" s="30" t="str">
        <x:v>Internal compliance inspections identified recurring observations without verification of CAPA effectiveness.</x:v>
      </x:c>
      <x:c r="D485" s="30" t="str">
        <x:v>High</x:v>
      </x:c>
      <x:c r="E485" s="30" t="str">
        <x:v>Perform independent CAPA effectiveness reviews before closure of inspection findings.</x:v>
      </x:c>
      <x:c r="F485" s="30" t="str">
        <x:v>Quality</x:v>
      </x:c>
      <x:c r="G485" s="30" t="str">
        <x:v>RETAIL</x:v>
      </x:c>
      <x:c r="H485" s="30" t="str">
        <x:v>Yes</x:v>
      </x:c>
      <x:c r="I485" s="30" t="str">
        <x:v>Internal compliance</x:v>
      </x:c>
    </x:row>
    <x:row r="486">
      <x:c r="A486" s="30" t="str">
        <x:v>ROBS235</x:v>
      </x:c>
      <x:c r="B486" s="30" t="str">
        <x:v>RAUD235</x:v>
      </x:c>
      <x:c r="C486" s="30" t="str">
        <x:v>Regulatory escalation procedures were not followed for selected high-risk compliance events.</x:v>
      </x:c>
      <x:c r="D486" s="30" t="str">
        <x:v>High</x:v>
      </x:c>
      <x:c r="E486" s="30" t="str">
        <x:v>Automate regulatory escalation workflows and monitor adherence through compliance dashboards.</x:v>
      </x:c>
      <x:c r="F486" s="30" t="str">
        <x:v>Regulatory Filing</x:v>
      </x:c>
      <x:c r="G486" s="30" t="str">
        <x:v>RETAIL</x:v>
      </x:c>
      <x:c r="H486" s="30" t="str">
        <x:v>Yes</x:v>
      </x:c>
      <x:c r="I486" s="30" t="str">
        <x:v>Regulatory escalation</x:v>
      </x:c>
    </x:row>
    <x:row r="487">
      <x:c r="A487" s="30" t="str">
        <x:v>ROBS236</x:v>
      </x:c>
      <x:c r="B487" s="30" t="str">
        <x:v>RAUD236</x:v>
      </x:c>
      <x:c r="C487" s="30" t="str">
        <x:v>Omnichannel customer identity verification controls were inconsistently applied across service channels.</x:v>
      </x:c>
      <x:c r="D487" s="30" t="str">
        <x:v>High</x:v>
      </x:c>
      <x:c r="E487" s="30" t="str">
        <x:v>Implement uniform customer verification procedures across all pharmacy service channels.</x:v>
      </x:c>
      <x:c r="F487" s="30" t="str">
        <x:v>Digital / E-Pharmacy</x:v>
      </x:c>
      <x:c r="G487" s="30" t="str">
        <x:v>RETAIL</x:v>
      </x:c>
      <x:c r="H487" s="30" t="str">
        <x:v>Yes</x:v>
      </x:c>
      <x:c r="I487" s="30" t="str">
        <x:v>Customer verification</x:v>
      </x:c>
    </x:row>
    <x:row r="488">
      <x:c r="A488" s="30" t="str">
        <x:v>ROBS237</x:v>
      </x:c>
      <x:c r="B488" s="30" t="str">
        <x:v>RAUD237</x:v>
      </x:c>
      <x:c r="C488" s="30" t="str">
        <x:v>Annual inventory governance assessments identified repeated weaknesses in procurement, expiry management, and stock security.</x:v>
      </x:c>
      <x:c r="D488" s="30" t="str">
        <x:v>High</x:v>
      </x:c>
      <x:c r="E488" s="30" t="str">
        <x:v>Strengthen inventory governance through periodic executive review and risk-based monitoring.</x:v>
      </x:c>
      <x:c r="F488" s="30" t="str">
        <x:v>Storage</x:v>
      </x:c>
      <x:c r="G488" s="30" t="str">
        <x:v>RETAIL</x:v>
      </x:c>
      <x:c r="H488" s="30" t="str">
        <x:v>Yes</x:v>
      </x:c>
      <x:c r="I488" s="30" t="str">
        <x:v>Inventory governance</x:v>
      </x:c>
    </x:row>
    <x:row r="489">
      <x:c r="A489" s="30" t="str">
        <x:v>ROBS238</x:v>
      </x:c>
      <x:c r="B489" s="30" t="str">
        <x:v>RAUD238</x:v>
      </x:c>
      <x:c r="C489" s="30" t="str">
        <x:v>Information security governance reviews identified delayed closure of high-risk cybersecurity observations.</x:v>
      </x:c>
      <x:c r="D489" s="30" t="str">
        <x:v>High</x:v>
      </x:c>
      <x:c r="E489" s="30" t="str">
        <x:v>Establish executive oversight for timely closure of all critical cybersecurity findings.</x:v>
      </x:c>
      <x:c r="F489" s="30" t="str">
        <x:v>Other</x:v>
      </x:c>
      <x:c r="G489" s="30" t="str">
        <x:v>RETAIL</x:v>
      </x:c>
      <x:c r="H489" s="30" t="str">
        <x:v>Yes</x:v>
      </x:c>
      <x:c r="I489" s="30" t="str">
        <x:v>Information security</x:v>
      </x:c>
    </x:row>
    <x:row r="490">
      <x:c r="A490" s="30" t="str">
        <x:v>ROBS239</x:v>
      </x:c>
      <x:c r="B490" s="30" t="str">
        <x:v>RAUD239</x:v>
      </x:c>
      <x:c r="C490" s="30" t="str">
        <x:v>Community healthcare initiatives lacked documented management review of programme impact and improvement opportunities.</x:v>
      </x:c>
      <x:c r="D490" s="30" t="str">
        <x:v>Medium</x:v>
      </x:c>
      <x:c r="E490" s="30" t="str">
        <x:v>Conduct annual programme impact assessments and management reviews for all outreach activities.</x:v>
      </x:c>
      <x:c r="F490" s="30" t="str">
        <x:v>Documentation</x:v>
      </x:c>
      <x:c r="G490" s="30" t="str">
        <x:v>RETAIL</x:v>
      </x:c>
      <x:c r="H490" s="30" t="str">
        <x:v>Yes</x:v>
      </x:c>
      <x:c r="I490" s="30" t="str">
        <x:v>Community health</x:v>
      </x:c>
    </x:row>
    <x:row r="491">
      <x:c r="A491" s="30" t="str">
        <x:v>ROBS240</x:v>
      </x:c>
      <x:c r="B491" s="30" t="str">
        <x:v>RAUD240</x:v>
      </x:c>
      <x:c r="C491" s="30" t="str">
        <x:v>Enterprise Retail Pharmacy Regulatory Excellence Framework identified recurring compliance trends requiring strategic intervention across governance, patient safety, inventory management, cybersecurity, regulatory reporting, and continuous improvement.</x:v>
      </x:c>
      <x:c r="D491" s="30" t="str">
        <x:v>High</x:v>
      </x:c>
      <x:c r="E491" s="30" t="str">
        <x:v>Implement an enterprise Regulatory Excellence Improvement Programme with executive oversight, KPI monitoring, annual effectiveness assessment, and continuous regulatory intelligence updates.</x:v>
      </x:c>
      <x:c r="F491" s="30" t="str">
        <x:v>Inventory</x:v>
      </x:c>
      <x:c r="G491" s="30" t="str">
        <x:v>RETAIL</x:v>
      </x:c>
      <x:c r="H491" s="30" t="str">
        <x:v>Yes</x:v>
      </x:c>
      <x:c r="I491" s="30" t="str">
        <x:v>Enterprise strategic observation</x:v>
      </x:c>
    </x:row>
    <x:row r="492">
      <x:c r="A492" s="30" t="str">
        <x:v>WOBS001</x:v>
      </x:c>
      <x:c r="B492" s="30" t="str">
        <x:v>WAUD001</x:v>
      </x:c>
      <x:c r="C492" s="30" t="str">
        <x:v>Warehouse does not maintain clearly segregated storage zones for quarantine, saleable, returned, damaged and expired medicines.</x:v>
      </x:c>
      <x:c r="D492" s="30" t="str">
        <x:v>High</x:v>
      </x:c>
      <x:c r="E492" s="30" t="str">
        <x:v>Establish documented warehouse zoning, physical segregation barriers, and conduct periodic inspections.</x:v>
      </x:c>
      <x:c r="F492" s="30" t="str">
        <x:v>Storage</x:v>
      </x:c>
      <x:c r="G492" s="30" t="str">
        <x:v>WHOLESALE</x:v>
      </x:c>
      <x:c r="H492" s="30" t="str">
        <x:v>Yes</x:v>
      </x:c>
      <x:c r="I492" s="30" t="str">
        <x:v>GDP compliance deficiency.</x:v>
      </x:c>
    </x:row>
    <x:row r="493">
      <x:c r="A493" s="30" t="str">
        <x:v>WOBS002</x:v>
      </x:c>
      <x:c r="B493" s="30" t="str">
        <x:v>WAUD002</x:v>
      </x:c>
      <x:c r="C493" s="30" t="str">
        <x:v>Dispatches are released without documented authorization by an authorized person.</x:v>
      </x:c>
      <x:c r="D493" s="30" t="str">
        <x:v>High</x:v>
      </x:c>
      <x:c r="E493" s="30" t="str">
        <x:v>Implement mandatory dispatch approval workflow with documented authorization.</x:v>
      </x:c>
      <x:c r="F493" s="30" t="str">
        <x:v>Digital / E-Pharmacy</x:v>
      </x:c>
      <x:c r="G493" s="30" t="str">
        <x:v>WHOLESALE</x:v>
      </x:c>
      <x:c r="H493" s="30" t="str">
        <x:v>Yes</x:v>
      </x:c>
      <x:c r="I493" s="30" t="str">
        <x:v>Distribution control weakness.</x:v>
      </x:c>
    </x:row>
    <x:row r="494">
      <x:c r="A494" s="30" t="str">
        <x:v>WOBS003</x:v>
      </x:c>
      <x:c r="B494" s="30" t="str">
        <x:v>WAUD003</x:v>
      </x:c>
      <x:c r="C494" s="30" t="str">
        <x:v>Customer drug licences are not verified or periodically revalidated before supply.</x:v>
      </x:c>
      <x:c r="D494" s="30" t="str">
        <x:v>High</x:v>
      </x:c>
      <x:c r="E494" s="30" t="str">
        <x:v>Verify customer licences before first supply and maintain periodic revalidation records.</x:v>
      </x:c>
      <x:c r="F494" s="30" t="str">
        <x:v>Licensing</x:v>
      </x:c>
      <x:c r="G494" s="30" t="str">
        <x:v>WHOLESALE</x:v>
      </x:c>
      <x:c r="H494" s="30" t="str">
        <x:v>Yes</x:v>
      </x:c>
      <x:c r="I494" s="30" t="str">
        <x:v>Regulatory non-compliance risk.</x:v>
      </x:c>
    </x:row>
    <x:row r="495">
      <x:c r="A495" s="30" t="str">
        <x:v>WOBS004</x:v>
      </x:c>
      <x:c r="B495" s="30" t="str">
        <x:v>WAUD004</x:v>
      </x:c>
      <x:c r="C495" s="30" t="str">
        <x:v>Complete batch-level traceability cannot be demonstrated for distributed medicines.</x:v>
      </x:c>
      <x:c r="D495" s="30" t="str">
        <x:v>High</x:v>
      </x:c>
      <x:c r="E495" s="30" t="str">
        <x:v>Implement end-to-end batch traceability within the inventory management system.</x:v>
      </x:c>
      <x:c r="F495" s="30" t="str">
        <x:v>Inventory</x:v>
      </x:c>
      <x:c r="G495" s="30" t="str">
        <x:v>WHOLESALE</x:v>
      </x:c>
      <x:c r="H495" s="30" t="str">
        <x:v>Yes</x:v>
      </x:c>
      <x:c r="I495" s="30" t="str">
        <x:v>Recall readiness deficiency.</x:v>
      </x:c>
    </x:row>
    <x:row r="496">
      <x:c r="A496" s="30" t="str">
        <x:v>WOBS005</x:v>
      </x:c>
      <x:c r="B496" s="30" t="str">
        <x:v>WAUD005</x:v>
      </x:c>
      <x:c r="C496" s="30" t="str">
        <x:v>FEFO principle is not consistently followed during stock issuance.</x:v>
      </x:c>
      <x:c r="D496" s="30" t="str">
        <x:v>High</x:v>
      </x:c>
      <x:c r="E496" s="30" t="str">
        <x:v>Configure inventory controls to enforce FEFO and review compliance periodically.</x:v>
      </x:c>
      <x:c r="F496" s="30" t="str">
        <x:v>Inventory</x:v>
      </x:c>
      <x:c r="G496" s="30" t="str">
        <x:v>WHOLESALE</x:v>
      </x:c>
      <x:c r="H496" s="30" t="str">
        <x:v>Yes</x:v>
      </x:c>
      <x:c r="I496" s="30" t="str">
        <x:v>Expiry management issue.</x:v>
      </x:c>
    </x:row>
    <x:row r="497">
      <x:c r="A497" s="30" t="str">
        <x:v>WOBS006</x:v>
      </x:c>
      <x:c r="B497" s="30" t="str">
        <x:v>WAUD006</x:v>
      </x:c>
      <x:c r="C497" s="30" t="str">
        <x:v>Temperature mapping studies are absent, outdated or unsupported by calibration records.</x:v>
      </x:c>
      <x:c r="D497" s="30" t="str">
        <x:v>High</x:v>
      </x:c>
      <x:c r="E497" s="30" t="str">
        <x:v>Perform documented temperature mapping and maintain calibration evidence.</x:v>
      </x:c>
      <x:c r="F497" s="30" t="str">
        <x:v>Digital / E-Pharmacy</x:v>
      </x:c>
      <x:c r="G497" s="30" t="str">
        <x:v>WHOLESALE</x:v>
      </x:c>
      <x:c r="H497" s="30" t="str">
        <x:v>Yes</x:v>
      </x:c>
      <x:c r="I497" s="30" t="str">
        <x:v>Storage validation deficiency.</x:v>
      </x:c>
    </x:row>
    <x:row r="498">
      <x:c r="A498" s="30" t="str">
        <x:v>WOBS007</x:v>
      </x:c>
      <x:c r="B498" s="30" t="str">
        <x:v>WAUD007</x:v>
      </x:c>
      <x:c r="C498" s="30" t="str">
        <x:v>Cold-chain storage or transportation temperature monitoring is inadequate.</x:v>
      </x:c>
      <x:c r="D498" s="30" t="str">
        <x:v>High</x:v>
      </x:c>
      <x:c r="E498" s="30" t="str">
        <x:v>Implement validated cold-chain monitoring with excursion management procedures.</x:v>
      </x:c>
      <x:c r="F498" s="30" t="str">
        <x:v>Storage</x:v>
      </x:c>
      <x:c r="G498" s="30" t="str">
        <x:v>WHOLESALE</x:v>
      </x:c>
      <x:c r="H498" s="30" t="str">
        <x:v>Yes</x:v>
      </x:c>
      <x:c r="I498" s="30" t="str">
        <x:v>Product quality risk.</x:v>
      </x:c>
    </x:row>
    <x:row r="499">
      <x:c r="A499" s="30" t="str">
        <x:v>WOBS008</x:v>
      </x:c>
      <x:c r="B499" s="30" t="str">
        <x:v>WAUD008</x:v>
      </x:c>
      <x:c r="C499" s="30" t="str">
        <x:v>Distribution vehicles are not formally qualified or periodically maintained.</x:v>
      </x:c>
      <x:c r="D499" s="30" t="str">
        <x:v>Medium</x:v>
      </x:c>
      <x:c r="E499" s="30" t="str">
        <x:v>Establish documented vehicle qualification and preventive maintenance programme.</x:v>
      </x:c>
      <x:c r="F499" s="30" t="str">
        <x:v>Personnel</x:v>
      </x:c>
      <x:c r="G499" s="30" t="str">
        <x:v>WHOLESALE</x:v>
      </x:c>
      <x:c r="H499" s="30" t="str">
        <x:v>Yes</x:v>
      </x:c>
      <x:c r="I499" s="30" t="str">
        <x:v>GDP transport compliance gap.</x:v>
      </x:c>
    </x:row>
    <x:row r="500">
      <x:c r="A500" s="30" t="str">
        <x:v>WOBS009</x:v>
      </x:c>
      <x:c r="B500" s="30" t="str">
        <x:v>WAUD009</x:v>
      </x:c>
      <x:c r="C500" s="30" t="str">
        <x:v>Dispatch documentation is incomplete or insufficient to support traceability.</x:v>
      </x:c>
      <x:c r="D500" s="30" t="str">
        <x:v>Medium</x:v>
      </x:c>
      <x:c r="E500" s="30" t="str">
        <x:v>Standardize dispatch documentation and retain complete distribution records.</x:v>
      </x:c>
      <x:c r="F500" s="30" t="str">
        <x:v>Documentation</x:v>
      </x:c>
      <x:c r="G500" s="30" t="str">
        <x:v>WHOLESALE</x:v>
      </x:c>
      <x:c r="H500" s="30" t="str">
        <x:v>Yes</x:v>
      </x:c>
      <x:c r="I500" s="30" t="str">
        <x:v>Audit trail weakness.</x:v>
      </x:c>
    </x:row>
    <x:row r="501">
      <x:c r="A501" s="30" t="str">
        <x:v>WOBS010</x:v>
      </x:c>
      <x:c r="B501" s="30" t="str">
        <x:v>WAUD010</x:v>
      </x:c>
      <x:c r="C501" s="30" t="str">
        <x:v>Returned medicines are accepted without documented quality assessment.</x:v>
      </x:c>
      <x:c r="D501" s="30" t="str">
        <x:v>High</x:v>
      </x:c>
      <x:c r="E501" s="30" t="str">
        <x:v>Implement return inspection SOP before restocking or disposal.</x:v>
      </x:c>
      <x:c r="F501" s="30" t="str">
        <x:v>Inventory</x:v>
      </x:c>
      <x:c r="G501" s="30" t="str">
        <x:v>WHOLESALE</x:v>
      </x:c>
      <x:c r="H501" s="30" t="str">
        <x:v>Yes</x:v>
      </x:c>
      <x:c r="I501" s="30" t="str">
        <x:v>Product quality concern.</x:v>
      </x:c>
    </x:row>
    <x:row r="502">
      <x:c r="A502" s="30" t="str">
        <x:v>WOBS011</x:v>
      </x:c>
      <x:c r="B502" s="30" t="str">
        <x:v>WAUD011</x:v>
      </x:c>
      <x:c r="C502" s="30" t="str">
        <x:v>Product recall procedures are incomplete or mock recalls are not conducted.</x:v>
      </x:c>
      <x:c r="D502" s="30" t="str">
        <x:v>High</x:v>
      </x:c>
      <x:c r="E502" s="30" t="str">
        <x:v>Perform periodic mock recalls and document corrective actions.</x:v>
      </x:c>
      <x:c r="F502" s="30" t="str">
        <x:v>Quality</x:v>
      </x:c>
      <x:c r="G502" s="30" t="str">
        <x:v>WHOLESALE</x:v>
      </x:c>
      <x:c r="H502" s="30" t="str">
        <x:v>Yes</x:v>
      </x:c>
      <x:c r="I502" s="30" t="str">
        <x:v>Recall preparedness deficiency.</x:v>
      </x:c>
    </x:row>
    <x:row r="503">
      <x:c r="A503" s="30" t="str">
        <x:v>WOBS012</x:v>
      </x:c>
      <x:c r="B503" s="30" t="str">
        <x:v>WAUD012</x:v>
      </x:c>
      <x:c r="C503" s="30" t="str">
        <x:v>Medicines are procured from suppliers without documented qualification or periodic evaluation.</x:v>
      </x:c>
      <x:c r="D503" s="30" t="str">
        <x:v>High</x:v>
      </x:c>
      <x:c r="E503" s="30" t="str">
        <x:v>Maintain an approved supplier programme with scheduled evaluations.</x:v>
      </x:c>
      <x:c r="F503" s="30" t="str">
        <x:v>Digital / E-Pharmacy</x:v>
      </x:c>
      <x:c r="G503" s="30" t="str">
        <x:v>WHOLESALE</x:v>
      </x:c>
      <x:c r="H503" s="30" t="str">
        <x:v>Yes</x:v>
      </x:c>
      <x:c r="I503" s="30" t="str">
        <x:v>Supply chain integrity risk.</x:v>
      </x:c>
    </x:row>
    <x:row r="504">
      <x:c r="A504" s="30" t="str">
        <x:v>WOBS013</x:v>
      </x:c>
      <x:c r="B504" s="30" t="str">
        <x:v>WAUD013</x:v>
      </x:c>
      <x:c r="C504" s="30" t="str">
        <x:v>Distribution complaints are not investigated or CAPA actions are not documented.</x:v>
      </x:c>
      <x:c r="D504" s="30" t="str">
        <x:v>Medium</x:v>
      </x:c>
      <x:c r="E504" s="30" t="str">
        <x:v>Establish complaint investigation workflow with CAPA tracking.</x:v>
      </x:c>
      <x:c r="F504" s="30" t="str">
        <x:v>Quality</x:v>
      </x:c>
      <x:c r="G504" s="30" t="str">
        <x:v>WHOLESALE</x:v>
      </x:c>
      <x:c r="H504" s="30" t="str">
        <x:v>Yes</x:v>
      </x:c>
      <x:c r="I504" s="30" t="str">
        <x:v>Quality management weakness.</x:v>
      </x:c>
    </x:row>
    <x:row r="505">
      <x:c r="A505" s="30" t="str">
        <x:v>WOBS014</x:v>
      </x:c>
      <x:c r="B505" s="30" t="str">
        <x:v>WAUD014</x:v>
      </x:c>
      <x:c r="C505" s="30" t="str">
        <x:v>Distribution risks are not periodically assessed or documented.</x:v>
      </x:c>
      <x:c r="D505" s="30" t="str">
        <x:v>Medium</x:v>
      </x:c>
      <x:c r="E505" s="30" t="str">
        <x:v>Conduct annual documented risk assessments and monitor mitigation measures.</x:v>
      </x:c>
      <x:c r="F505" s="30" t="str">
        <x:v>Documentation</x:v>
      </x:c>
      <x:c r="G505" s="30" t="str">
        <x:v>WHOLESALE</x:v>
      </x:c>
      <x:c r="H505" s="30" t="str">
        <x:v>Yes</x:v>
      </x:c>
      <x:c r="I505" s="30" t="str">
        <x:v>Enterprise risk management gap.</x:v>
      </x:c>
    </x:row>
    <x:row r="506">
      <x:c r="A506" s="30" t="str">
        <x:v>WOBS015</x:v>
      </x:c>
      <x:c r="B506" s="30" t="str">
        <x:v>WAUD015</x:v>
      </x:c>
      <x:c r="C506" s="30" t="str">
        <x:v>Warehouse security controls are insufficient to prevent unauthorized access or theft.</x:v>
      </x:c>
      <x:c r="D506" s="30" t="str">
        <x:v>Medium</x:v>
      </x:c>
      <x:c r="E506" s="30" t="str">
        <x:v>Strengthen physical security, access control and surveillance systems.</x:v>
      </x:c>
      <x:c r="F506" s="30" t="str">
        <x:v>Other</x:v>
      </x:c>
      <x:c r="G506" s="30" t="str">
        <x:v>WHOLESALE</x:v>
      </x:c>
      <x:c r="H506" s="30" t="str">
        <x:v>Yes</x:v>
      </x:c>
      <x:c r="I506" s="30" t="str">
        <x:v>Security control deficiency.</x:v>
      </x:c>
    </x:row>
    <x:row r="507">
      <x:c r="A507" s="30" t="str">
        <x:v>WOBS016</x:v>
      </x:c>
      <x:c r="B507" s="30" t="str">
        <x:v>WAUD016</x:v>
      </x:c>
      <x:c r="C507" s="30" t="str">
        <x:v>Pest control programme is ineffective or inadequately documented.</x:v>
      </x:c>
      <x:c r="D507" s="30" t="str">
        <x:v>Medium</x:v>
      </x:c>
      <x:c r="E507" s="30" t="str">
        <x:v>Maintain periodic pest control with effectiveness verification.</x:v>
      </x:c>
      <x:c r="F507" s="30" t="str">
        <x:v>Documentation</x:v>
      </x:c>
      <x:c r="G507" s="30" t="str">
        <x:v>WHOLESALE</x:v>
      </x:c>
      <x:c r="H507" s="30" t="str">
        <x:v>Yes</x:v>
      </x:c>
      <x:c r="I507" s="30" t="str">
        <x:v>Facility hygiene issue.</x:v>
      </x:c>
    </x:row>
    <x:row r="508">
      <x:c r="A508" s="30" t="str">
        <x:v>WOBS017</x:v>
      </x:c>
      <x:c r="B508" s="30" t="str">
        <x:v>WAUD017</x:v>
      </x:c>
      <x:c r="C508" s="30" t="str">
        <x:v>Warehouse cleaning procedures are not validated or consistently documented.</x:v>
      </x:c>
      <x:c r="D508" s="30" t="str">
        <x:v>Medium</x:v>
      </x:c>
      <x:c r="E508" s="30" t="str">
        <x:v>Validate cleaning procedures and retain cleaning verification records.</x:v>
      </x:c>
      <x:c r="F508" s="30" t="str">
        <x:v>Documentation</x:v>
      </x:c>
      <x:c r="G508" s="30" t="str">
        <x:v>WHOLESALE</x:v>
      </x:c>
      <x:c r="H508" s="30" t="str">
        <x:v>Yes</x:v>
      </x:c>
      <x:c r="I508" s="30" t="str">
        <x:v>Housekeeping compliance gap.</x:v>
      </x:c>
    </x:row>
    <x:row r="509">
      <x:c r="A509" s="30" t="str">
        <x:v>WOBS018</x:v>
      </x:c>
      <x:c r="B509" s="30" t="str">
        <x:v>WAUD018</x:v>
      </x:c>
      <x:c r="C509" s="30" t="str">
        <x:v>Inventory reconciliation is not performed regularly or discrepancies remain unresolved.</x:v>
      </x:c>
      <x:c r="D509" s="30" t="str">
        <x:v>High</x:v>
      </x:c>
      <x:c r="E509" s="30" t="str">
        <x:v>Conduct periodic reconciliations and investigate all inventory variances.</x:v>
      </x:c>
      <x:c r="F509" s="30" t="str">
        <x:v>Inventory</x:v>
      </x:c>
      <x:c r="G509" s="30" t="str">
        <x:v>WHOLESALE</x:v>
      </x:c>
      <x:c r="H509" s="30" t="str">
        <x:v>Yes</x:v>
      </x:c>
      <x:c r="I509" s="30" t="str">
        <x:v>Inventory integrity risk.</x:v>
      </x:c>
    </x:row>
    <x:row r="510">
      <x:c r="A510" s="30" t="str">
        <x:v>WOBS019</x:v>
      </x:c>
      <x:c r="B510" s="30" t="str">
        <x:v>WAUD019</x:v>
      </x:c>
      <x:c r="C510" s="30" t="str">
        <x:v>Personnel responsible for wholesale distribution have not received adequate GDP training.</x:v>
      </x:c>
      <x:c r="D510" s="30" t="str">
        <x:v>Medium</x:v>
      </x:c>
      <x:c r="E510" s="30" t="str">
        <x:v>Implement structured GDP induction and annual refresher training programme.</x:v>
      </x:c>
      <x:c r="F510" s="30" t="str">
        <x:v>Personnel</x:v>
      </x:c>
      <x:c r="G510" s="30" t="str">
        <x:v>WHOLESALE</x:v>
      </x:c>
      <x:c r="H510" s="30" t="str">
        <x:v>Yes</x:v>
      </x:c>
      <x:c r="I510" s="30" t="str">
        <x:v>Competency management gap.</x:v>
      </x:c>
    </x:row>
    <x:row r="511">
      <x:c r="A511" s="30" t="str">
        <x:v>WOBS020</x:v>
      </x:c>
      <x:c r="B511" s="30" t="str">
        <x:v>WAUD020</x:v>
      </x:c>
      <x:c r="C511" s="30" t="str">
        <x:v>Management reviews of wholesale distribution quality performance are not periodically conducted or documented.</x:v>
      </x:c>
      <x:c r="D511" s="30" t="str">
        <x:v>Medium</x:v>
      </x:c>
      <x:c r="E511" s="30" t="str">
        <x:v>Conduct quarterly management reviews with documented action tracking and closure.</x:v>
      </x:c>
      <x:c r="F511" s="30" t="str">
        <x:v>Quality</x:v>
      </x:c>
      <x:c r="G511" s="30" t="str">
        <x:v>WHOLESALE</x:v>
      </x:c>
      <x:c r="H511" s="30" t="str">
        <x:v>Yes</x:v>
      </x:c>
      <x:c r="I511" s="30" t="str">
        <x:v>Governance and continual improvement opportunity.</x:v>
      </x:c>
    </x:row>
    <x:row r="512">
      <x:c r="A512" s="30" t="str">
        <x:v>HOSOBS001</x:v>
      </x:c>
      <x:c r="B512" s="30" t="str">
        <x:v>HOSAUD001</x:v>
      </x:c>
      <x:c r="C512" s="30" t="str">
        <x:v>Inpatient medication orders are dispensed without documented pharmacist verification.</x:v>
      </x:c>
      <x:c r="D512" s="30" t="str">
        <x:v>High</x:v>
      </x:c>
      <x:c r="E512" s="30" t="str">
        <x:v>Implement mandatory pharmacist verification before dispensing and retain verification records.</x:v>
      </x:c>
      <x:c r="F512" s="30" t="str">
        <x:v>Personnel</x:v>
      </x:c>
      <x:c r="G512" s="30" t="str">
        <x:v>HOSPITAL</x:v>
      </x:c>
      <x:c r="H512" s="30" t="str">
        <x:v>Yes</x:v>
      </x:c>
      <x:c r="I512" s="30" t="str">
        <x:v>Patient safety deficiency.</x:v>
      </x:c>
    </x:row>
    <x:row r="513">
      <x:c r="A513" s="30" t="str">
        <x:v>HOSOBS002</x:v>
      </x:c>
      <x:c r="B513" s="30" t="str">
        <x:v>HOSAUD002</x:v>
      </x:c>
      <x:c r="C513" s="30" t="str">
        <x:v>Ward stock reconciliation is incomplete or not performed within defined intervals.</x:v>
      </x:c>
      <x:c r="D513" s="30" t="str">
        <x:v>High</x:v>
      </x:c>
      <x:c r="E513" s="30" t="str">
        <x:v>Perform documented ward stock reconciliation and investigate discrepancies promptly.</x:v>
      </x:c>
      <x:c r="F513" s="30" t="str">
        <x:v>Inventory</x:v>
      </x:c>
      <x:c r="G513" s="30" t="str">
        <x:v>HOSPITAL</x:v>
      </x:c>
      <x:c r="H513" s="30" t="str">
        <x:v>Yes</x:v>
      </x:c>
      <x:c r="I513" s="30" t="str">
        <x:v>Inventory control weakness.</x:v>
      </x:c>
    </x:row>
    <x:row r="514">
      <x:c r="A514" s="30" t="str">
        <x:v>HOSOBS003</x:v>
      </x:c>
      <x:c r="B514" s="30" t="str">
        <x:v>HOSAUD003</x:v>
      </x:c>
      <x:c r="C514" s="30" t="str">
        <x:v>Medicines are dispensed without complete patient-specific traceability.</x:v>
      </x:c>
      <x:c r="D514" s="30" t="str">
        <x:v>High</x:v>
      </x:c>
      <x:c r="E514" s="30" t="str">
        <x:v>Implement patient-specific dispensing controls linked to medication orders.</x:v>
      </x:c>
      <x:c r="F514" s="30" t="str">
        <x:v>Patient Safety</x:v>
      </x:c>
      <x:c r="G514" s="30" t="str">
        <x:v>HOSPITAL</x:v>
      </x:c>
      <x:c r="H514" s="30" t="str">
        <x:v>Yes</x:v>
      </x:c>
      <x:c r="I514" s="30" t="str">
        <x:v>Clinical dispensing gap.</x:v>
      </x:c>
    </x:row>
    <x:row r="515">
      <x:c r="A515" s="30" t="str">
        <x:v>HOSOBS004</x:v>
      </x:c>
      <x:c r="B515" s="30" t="str">
        <x:v>HOSAUD004</x:v>
      </x:c>
      <x:c r="C515" s="30" t="str">
        <x:v>Crash cart medicines are not inspected or replenished as per schedule.</x:v>
      </x:c>
      <x:c r="D515" s="30" t="str">
        <x:v>High</x:v>
      </x:c>
      <x:c r="E515" s="30" t="str">
        <x:v>Conduct documented crash cart inspections and replace expired medicines immediately.</x:v>
      </x:c>
      <x:c r="F515" s="30" t="str">
        <x:v>Storage</x:v>
      </x:c>
      <x:c r="G515" s="30" t="str">
        <x:v>HOSPITAL</x:v>
      </x:c>
      <x:c r="H515" s="30" t="str">
        <x:v>Yes</x:v>
      </x:c>
      <x:c r="I515" s="30" t="str">
        <x:v>Emergency preparedness issue.</x:v>
      </x:c>
    </x:row>
    <x:row r="516">
      <x:c r="A516" s="30" t="str">
        <x:v>HOSOBS005</x:v>
      </x:c>
      <x:c r="B516" s="30" t="str">
        <x:v>HOSAUD005</x:v>
      </x:c>
      <x:c r="C516" s="30" t="str">
        <x:v>High-alert medicines are not adequately segregated or identified.</x:v>
      </x:c>
      <x:c r="D516" s="30" t="str">
        <x:v>High</x:v>
      </x:c>
      <x:c r="E516" s="30" t="str">
        <x:v>Establish dedicated storage, labelling and monitoring for high-alert medicines.</x:v>
      </x:c>
      <x:c r="F516" s="30" t="str">
        <x:v>Storage</x:v>
      </x:c>
      <x:c r="G516" s="30" t="str">
        <x:v>HOSPITAL</x:v>
      </x:c>
      <x:c r="H516" s="30" t="str">
        <x:v>Yes</x:v>
      </x:c>
      <x:c r="I516" s="30" t="str">
        <x:v>High-risk medication control weakness.</x:v>
      </x:c>
    </x:row>
    <x:row r="517">
      <x:c r="A517" s="30" t="str">
        <x:v>HOSOBS006</x:v>
      </x:c>
      <x:c r="B517" s="30" t="str">
        <x:v>HOSAUD006</x:v>
      </x:c>
      <x:c r="C517" s="30" t="str">
        <x:v>Controlled drug registers are incomplete or stock reconciliation discrepancies exist.</x:v>
      </x:c>
      <x:c r="D517" s="30" t="str">
        <x:v>High</x:v>
      </x:c>
      <x:c r="E517" s="30" t="str">
        <x:v>Maintain complete narcotic registers and perform routine reconciliations.</x:v>
      </x:c>
      <x:c r="F517" s="30" t="str">
        <x:v>Controlled Drugs</x:v>
      </x:c>
      <x:c r="G517" s="30" t="str">
        <x:v>HOSPITAL</x:v>
      </x:c>
      <x:c r="H517" s="30" t="str">
        <x:v>Yes</x:v>
      </x:c>
      <x:c r="I517" s="30" t="str">
        <x:v>NDPS compliance risk.</x:v>
      </x:c>
    </x:row>
    <x:row r="518">
      <x:c r="A518" s="30" t="str">
        <x:v>HOSOBS007</x:v>
      </x:c>
      <x:c r="B518" s="30" t="str">
        <x:v>HOSAUD007</x:v>
      </x:c>
      <x:c r="C518" s="30" t="str">
        <x:v>Medication Administration Records cannot be fully reconciled with dispensing records.</x:v>
      </x:c>
      <x:c r="D518" s="30" t="str">
        <x:v>High</x:v>
      </x:c>
      <x:c r="E518" s="30" t="str">
        <x:v>Integrate dispensing and MAR records with periodic reconciliation.</x:v>
      </x:c>
      <x:c r="F518" s="30" t="str">
        <x:v>Documentation</x:v>
      </x:c>
      <x:c r="G518" s="30" t="str">
        <x:v>HOSPITAL</x:v>
      </x:c>
      <x:c r="H518" s="30" t="str">
        <x:v>Yes</x:v>
      </x:c>
      <x:c r="I518" s="30" t="str">
        <x:v>Administration traceability issue.</x:v>
      </x:c>
    </x:row>
    <x:row r="519">
      <x:c r="A519" s="30" t="str">
        <x:v>HOSOBS008</x:v>
      </x:c>
      <x:c r="B519" s="30" t="str">
        <x:v>HOSAUD008</x:v>
      </x:c>
      <x:c r="C519" s="30" t="str">
        <x:v>Medication errors are not consistently reported, investigated or closed.</x:v>
      </x:c>
      <x:c r="D519" s="30" t="str">
        <x:v>High</x:v>
      </x:c>
      <x:c r="E519" s="30" t="str">
        <x:v>Strengthen medication error reporting and CAPA monitoring.</x:v>
      </x:c>
      <x:c r="F519" s="30" t="str">
        <x:v>Regulatory Filing</x:v>
      </x:c>
      <x:c r="G519" s="30" t="str">
        <x:v>HOSPITAL</x:v>
      </x:c>
      <x:c r="H519" s="30" t="str">
        <x:v>Yes</x:v>
      </x:c>
      <x:c r="I519" s="30" t="str">
        <x:v>Patient safety programme weakness.</x:v>
      </x:c>
    </x:row>
    <x:row r="520">
      <x:c r="A520" s="30" t="str">
        <x:v>HOSOBS009</x:v>
      </x:c>
      <x:c r="B520" s="30" t="str">
        <x:v>HOSAUD009</x:v>
      </x:c>
      <x:c r="C520" s="30" t="str">
        <x:v>LASA medicines are not identified or controlled according to approved procedures.</x:v>
      </x:c>
      <x:c r="D520" s="30" t="str">
        <x:v>High</x:v>
      </x:c>
      <x:c r="E520" s="30" t="str">
        <x:v>Implement LASA identification, storage segregation and staff awareness measures.</x:v>
      </x:c>
      <x:c r="F520" s="30" t="str">
        <x:v>Digital / E-Pharmacy</x:v>
      </x:c>
      <x:c r="G520" s="30" t="str">
        <x:v>HOSPITAL</x:v>
      </x:c>
      <x:c r="H520" s="30" t="str">
        <x:v>Yes</x:v>
      </x:c>
      <x:c r="I520" s="30" t="str">
        <x:v>Dispensing error risk.</x:v>
      </x:c>
    </x:row>
    <x:row r="521">
      <x:c r="A521" s="30" t="str">
        <x:v>HOSOBS010</x:v>
      </x:c>
      <x:c r="B521" s="30" t="str">
        <x:v>HOSAUD010</x:v>
      </x:c>
      <x:c r="C521" s="30" t="str">
        <x:v>Adverse Drug Reactions are not reported through the pharmacovigilance process.</x:v>
      </x:c>
      <x:c r="D521" s="30" t="str">
        <x:v>High</x:v>
      </x:c>
      <x:c r="E521" s="30" t="str">
        <x:v>Ensure timely ADR reporting and maintain complete pharmacovigilance documentation.</x:v>
      </x:c>
      <x:c r="F521" s="30" t="str">
        <x:v>Regulatory Filing</x:v>
      </x:c>
      <x:c r="G521" s="30" t="str">
        <x:v>HOSPITAL</x:v>
      </x:c>
      <x:c r="H521" s="30" t="str">
        <x:v>Yes</x:v>
      </x:c>
      <x:c r="I521" s="30" t="str">
        <x:v>Regulatory reporting gap.</x:v>
      </x:c>
    </x:row>
    <x:row r="522">
      <x:c r="A522" s="30" t="str">
        <x:v>HOSOBS011</x:v>
      </x:c>
      <x:c r="B522" s="30" t="str">
        <x:v>HOSAUD011</x:v>
      </x:c>
      <x:c r="C522" s="30" t="str">
        <x:v>Restricted antibiotic usage is not reviewed under the antimicrobial stewardship programme.</x:v>
      </x:c>
      <x:c r="D522" s="30" t="str">
        <x:v>High</x:v>
      </x:c>
      <x:c r="E522" s="30" t="str">
        <x:v>Perform regular stewardship reviews and monitor compliance.</x:v>
      </x:c>
      <x:c r="F522" s="30" t="str">
        <x:v>Other</x:v>
      </x:c>
      <x:c r="G522" s="30" t="str">
        <x:v>HOSPITAL</x:v>
      </x:c>
      <x:c r="H522" s="30" t="str">
        <x:v>Yes</x:v>
      </x:c>
      <x:c r="I522" s="30" t="str">
        <x:v>Antimicrobial resistance risk.</x:v>
      </x:c>
    </x:row>
    <x:row r="523">
      <x:c r="A523" s="30" t="str">
        <x:v>HOSOBS012</x:v>
      </x:c>
      <x:c r="B523" s="30" t="str">
        <x:v>HOSAUD012</x:v>
      </x:c>
      <x:c r="C523" s="30" t="str">
        <x:v>Clinical pharmacist interventions are not consistently documented or communicated.</x:v>
      </x:c>
      <x:c r="D523" s="30" t="str">
        <x:v>Medium</x:v>
      </x:c>
      <x:c r="E523" s="30" t="str">
        <x:v>Maintain structured intervention documentation and follow-up records.</x:v>
      </x:c>
      <x:c r="F523" s="30" t="str">
        <x:v>Personnel</x:v>
      </x:c>
      <x:c r="G523" s="30" t="str">
        <x:v>HOSPITAL</x:v>
      </x:c>
      <x:c r="H523" s="30" t="str">
        <x:v>Yes</x:v>
      </x:c>
      <x:c r="I523" s="30" t="str">
        <x:v>Clinical governance opportunity.</x:v>
      </x:c>
    </x:row>
    <x:row r="524">
      <x:c r="A524" s="30" t="str">
        <x:v>HOSOBS013</x:v>
      </x:c>
      <x:c r="B524" s="30" t="str">
        <x:v>HOSAUD013</x:v>
      </x:c>
      <x:c r="C524" s="30" t="str">
        <x:v>Returned ward medicines are reused without documented quality assessment.</x:v>
      </x:c>
      <x:c r="D524" s="30" t="str">
        <x:v>Medium</x:v>
      </x:c>
      <x:c r="E524" s="30" t="str">
        <x:v>Inspect and document all returned medicines before reuse or disposal.</x:v>
      </x:c>
      <x:c r="F524" s="30" t="str">
        <x:v>Regulatory Filing</x:v>
      </x:c>
      <x:c r="G524" s="30" t="str">
        <x:v>HOSPITAL</x:v>
      </x:c>
      <x:c r="H524" s="30" t="str">
        <x:v>Yes</x:v>
      </x:c>
      <x:c r="I524" s="30" t="str">
        <x:v>Quality assurance gap.</x:v>
      </x:c>
    </x:row>
    <x:row r="525">
      <x:c r="A525" s="30" t="str">
        <x:v>HOSOBS014</x:v>
      </x:c>
      <x:c r="B525" s="30" t="str">
        <x:v>HOSAUD014</x:v>
      </x:c>
      <x:c r="C525" s="30" t="str">
        <x:v>Inter-ward medicine transfers are not fully authorized or traceable.</x:v>
      </x:c>
      <x:c r="D525" s="30" t="str">
        <x:v>Medium</x:v>
      </x:c>
      <x:c r="E525" s="30" t="str">
        <x:v>Introduce standardized authorization and transfer documentation.</x:v>
      </x:c>
      <x:c r="F525" s="30" t="str">
        <x:v>Documentation</x:v>
      </x:c>
      <x:c r="G525" s="30" t="str">
        <x:v>HOSPITAL</x:v>
      </x:c>
      <x:c r="H525" s="30" t="str">
        <x:v>Yes</x:v>
      </x:c>
      <x:c r="I525" s="30" t="str">
        <x:v>Inventory traceability issue.</x:v>
      </x:c>
    </x:row>
    <x:row r="526">
      <x:c r="A526" s="30" t="str">
        <x:v>HOSOBS015</x:v>
      </x:c>
      <x:c r="B526" s="30" t="str">
        <x:v>HOSAUD015</x:v>
      </x:c>
      <x:c r="C526" s="30" t="str">
        <x:v>Refrigerated medicines show temperature excursions without documented corrective actions.</x:v>
      </x:c>
      <x:c r="D526" s="30" t="str">
        <x:v>High</x:v>
      </x:c>
      <x:c r="E526" s="30" t="str">
        <x:v>Monitor temperature continuously and investigate all excursions.</x:v>
      </x:c>
      <x:c r="F526" s="30" t="str">
        <x:v>Storage</x:v>
      </x:c>
      <x:c r="G526" s="30" t="str">
        <x:v>HOSPITAL</x:v>
      </x:c>
      <x:c r="H526" s="30" t="str">
        <x:v>Yes</x:v>
      </x:c>
      <x:c r="I526" s="30" t="str">
        <x:v>Cold-chain integrity risk.</x:v>
      </x:c>
    </x:row>
    <x:row r="527">
      <x:c r="A527" s="30" t="str">
        <x:v>HOSOBS016</x:v>
      </x:c>
      <x:c r="B527" s="30" t="str">
        <x:v>HOSAUD016</x:v>
      </x:c>
      <x:c r="C527" s="30" t="str">
        <x:v>Ward floor stock audits are incomplete or reconciliation differences remain unresolved.</x:v>
      </x:c>
      <x:c r="D527" s="30" t="str">
        <x:v>Medium</x:v>
      </x:c>
      <x:c r="E527" s="30" t="str">
        <x:v>Increase audit frequency and document corrective actions.</x:v>
      </x:c>
      <x:c r="F527" s="30" t="str">
        <x:v>Inventory</x:v>
      </x:c>
      <x:c r="G527" s="30" t="str">
        <x:v>HOSPITAL</x:v>
      </x:c>
      <x:c r="H527" s="30" t="str">
        <x:v>Yes</x:v>
      </x:c>
      <x:c r="I527" s="30" t="str">
        <x:v>Inventory management weakness.</x:v>
      </x:c>
    </x:row>
    <x:row r="528">
      <x:c r="A528" s="30" t="str">
        <x:v>HOSOBS017</x:v>
      </x:c>
      <x:c r="B528" s="30" t="str">
        <x:v>HOSAUD017</x:v>
      </x:c>
      <x:c r="C528" s="30" t="str">
        <x:v>Emergency medicine inventories are incomplete or not available when required.</x:v>
      </x:c>
      <x:c r="D528" s="30" t="str">
        <x:v>High</x:v>
      </x:c>
      <x:c r="E528" s="30" t="str">
        <x:v>Maintain emergency medicine checklists and replenish shortages immediately.</x:v>
      </x:c>
      <x:c r="F528" s="30" t="str">
        <x:v>Documentation</x:v>
      </x:c>
      <x:c r="G528" s="30" t="str">
        <x:v>HOSPITAL</x:v>
      </x:c>
      <x:c r="H528" s="30" t="str">
        <x:v>Yes</x:v>
      </x:c>
      <x:c r="I528" s="30" t="str">
        <x:v>Critical patient care risk.</x:v>
      </x:c>
    </x:row>
    <x:row r="529">
      <x:c r="A529" s="30" t="str">
        <x:v>HOSOBS018</x:v>
      </x:c>
      <x:c r="B529" s="30" t="str">
        <x:v>HOSAUD018</x:v>
      </x:c>
      <x:c r="C529" s="30" t="str">
        <x:v>Medication reconciliation is not consistently performed during patient discharge.</x:v>
      </x:c>
      <x:c r="D529" s="30" t="str">
        <x:v>High</x:v>
      </x:c>
      <x:c r="E529" s="30" t="str">
        <x:v>Implement mandatory discharge medication reconciliation procedures.</x:v>
      </x:c>
      <x:c r="F529" s="30" t="str">
        <x:v>Patient Safety</x:v>
      </x:c>
      <x:c r="G529" s="30" t="str">
        <x:v>HOSPITAL</x:v>
      </x:c>
      <x:c r="H529" s="30" t="str">
        <x:v>Yes</x:v>
      </x:c>
      <x:c r="I529" s="30" t="str">
        <x:v>Transition-of-care risk.</x:v>
      </x:c>
    </x:row>
    <x:row r="530">
      <x:c r="A530" s="30" t="str">
        <x:v>HOSOBS019</x:v>
      </x:c>
      <x:c r="B530" s="30" t="str">
        <x:v>HOSAUD019</x:v>
      </x:c>
      <x:c r="C530" s="30" t="str">
        <x:v>Investigational medicines lack complete accountability documentation.</x:v>
      </x:c>
      <x:c r="D530" s="30" t="str">
        <x:v>High</x:v>
      </x:c>
      <x:c r="E530" s="30" t="str">
        <x:v>Maintain complete investigational drug accountability throughout the trial lifecycle.</x:v>
      </x:c>
      <x:c r="F530" s="30" t="str">
        <x:v>Documentation</x:v>
      </x:c>
      <x:c r="G530" s="30" t="str">
        <x:v>HOSPITAL</x:v>
      </x:c>
      <x:c r="H530" s="30" t="str">
        <x:v>Yes</x:v>
      </x:c>
      <x:c r="I530" s="30" t="str">
        <x:v>Clinical trial compliance risk.</x:v>
      </x:c>
    </x:row>
    <x:row r="531">
      <x:c r="A531" s="30" t="str">
        <x:v>HOSOBS020</x:v>
      </x:c>
      <x:c r="B531" s="30" t="str">
        <x:v>HOSAUD020</x:v>
      </x:c>
      <x:c r="C531" s="30" t="str">
        <x:v>Medicines stored in patient care areas do not consistently meet approved storage requirements.</x:v>
      </x:c>
      <x:c r="D531" s="30" t="str">
        <x:v>High</x:v>
      </x:c>
      <x:c r="E531" s="30" t="str">
        <x:v>Perform periodic inspections and strengthen storage compliance controls.</x:v>
      </x:c>
      <x:c r="F531" s="30" t="str">
        <x:v>Digital / E-Pharmacy</x:v>
      </x:c>
      <x:c r="G531" s="30" t="str">
        <x:v>HOSPITAL</x:v>
      </x:c>
      <x:c r="H531" s="30" t="str">
        <x:v>Yes</x:v>
      </x:c>
      <x:c r="I531" s="30" t="str">
        <x:v>Storage compliance deficiency.</x:v>
      </x:c>
    </x:row>
    <x:row r="532">
      <x:c r="A532" s="30" t="str">
        <x:v>HOSOBS021</x:v>
      </x:c>
      <x:c r="B532" s="30" t="str">
        <x:v>HOSAUD021</x:v>
      </x:c>
      <x:c r="C532" s="30" t="str">
        <x:v>Antimicrobial stewardship reviews are not conducted consistently or documented adequately.</x:v>
      </x:c>
      <x:c r="D532" s="30" t="str">
        <x:v>High</x:v>
      </x:c>
      <x:c r="E532" s="30" t="str">
        <x:v>Establish routine stewardship reviews with documented interventions and committee oversight.</x:v>
      </x:c>
      <x:c r="F532" s="30" t="str">
        <x:v>Documentation</x:v>
      </x:c>
      <x:c r="G532" s="30" t="str">
        <x:v>HOSPITAL</x:v>
      </x:c>
      <x:c r="H532" s="30" t="str">
        <x:v>Yes</x:v>
      </x:c>
      <x:c r="I532" s="30" t="str">
        <x:v>Clinical governance deficiency.</x:v>
      </x:c>
    </x:row>
    <x:row r="533">
      <x:c r="A533" s="30" t="str">
        <x:v>HOSOBS022</x:v>
      </x:c>
      <x:c r="B533" s="30" t="str">
        <x:v>HOSAUD022</x:v>
      </x:c>
      <x:c r="C533" s="30" t="str">
        <x:v>Patient-owned medicines are administered without pharmacist verification or documentation.</x:v>
      </x:c>
      <x:c r="D533" s="30" t="str">
        <x:v>High</x:v>
      </x:c>
      <x:c r="E533" s="30" t="str">
        <x:v>Verify, reconcile and document all patient-owned medicines before inpatient use.</x:v>
      </x:c>
      <x:c r="F533" s="30" t="str">
        <x:v>Personnel</x:v>
      </x:c>
      <x:c r="G533" s="30" t="str">
        <x:v>HOSPITAL</x:v>
      </x:c>
      <x:c r="H533" s="30" t="str">
        <x:v>Yes</x:v>
      </x:c>
      <x:c r="I533" s="30" t="str">
        <x:v>Medication safety risk.</x:v>
      </x:c>
    </x:row>
    <x:row r="534">
      <x:c r="A534" s="30" t="str">
        <x:v>HOSOBS023</x:v>
      </x:c>
      <x:c r="B534" s="30" t="str">
        <x:v>HOSAUD023</x:v>
      </x:c>
      <x:c r="C534" s="30" t="str">
        <x:v>Investigational medicines are not stored separately or access is inadequately controlled.</x:v>
      </x:c>
      <x:c r="D534" s="30" t="str">
        <x:v>High</x:v>
      </x:c>
      <x:c r="E534" s="30" t="str">
        <x:v>Maintain dedicated storage with restricted access and monitoring.</x:v>
      </x:c>
      <x:c r="F534" s="30" t="str">
        <x:v>Storage</x:v>
      </x:c>
      <x:c r="G534" s="30" t="str">
        <x:v>HOSPITAL</x:v>
      </x:c>
      <x:c r="H534" s="30" t="str">
        <x:v>Yes</x:v>
      </x:c>
      <x:c r="I534" s="30" t="str">
        <x:v>Clinical trial compliance issue.</x:v>
      </x:c>
    </x:row>
    <x:row r="535">
      <x:c r="A535" s="30" t="str">
        <x:v>HOSOBS024</x:v>
      </x:c>
      <x:c r="B535" s="30" t="str">
        <x:v>HOSAUD024</x:v>
      </x:c>
      <x:c r="C535" s="30" t="str">
        <x:v>Accountability records for investigational medicines are incomplete or inconsistent.</x:v>
      </x:c>
      <x:c r="D535" s="30" t="str">
        <x:v>High</x:v>
      </x:c>
      <x:c r="E535" s="30" t="str">
        <x:v>Maintain complete lifecycle accountability including receipt, dispensing, return and destruction.</x:v>
      </x:c>
      <x:c r="F535" s="30" t="str">
        <x:v>Regulatory Filing</x:v>
      </x:c>
      <x:c r="G535" s="30" t="str">
        <x:v>HOSPITAL</x:v>
      </x:c>
      <x:c r="H535" s="30" t="str">
        <x:v>Yes</x:v>
      </x:c>
      <x:c r="I535" s="30" t="str">
        <x:v>GCP compliance risk.</x:v>
      </x:c>
    </x:row>
    <x:row r="536">
      <x:c r="A536" s="30" t="str">
        <x:v>HOSOBS025</x:v>
      </x:c>
      <x:c r="B536" s="30" t="str">
        <x:v>HOSAUD025</x:v>
      </x:c>
      <x:c r="C536" s="30" t="str">
        <x:v>Blood product storage temperatures are not consistently maintained or documented.</x:v>
      </x:c>
      <x:c r="D536" s="30" t="str">
        <x:v>High</x:v>
      </x:c>
      <x:c r="E536" s="30" t="str">
        <x:v>Strengthen temperature monitoring and deviation management procedures.</x:v>
      </x:c>
      <x:c r="F536" s="30" t="str">
        <x:v>Storage</x:v>
      </x:c>
      <x:c r="G536" s="30" t="str">
        <x:v>HOSPITAL</x:v>
      </x:c>
      <x:c r="H536" s="30" t="str">
        <x:v>Yes</x:v>
      </x:c>
      <x:c r="I536" s="30" t="str">
        <x:v>Patient safety concern.</x:v>
      </x:c>
    </x:row>
    <x:row r="537">
      <x:c r="A537" s="30" t="str">
        <x:v>HOSOBS026</x:v>
      </x:c>
      <x:c r="B537" s="30" t="str">
        <x:v>HOSAUD026</x:v>
      </x:c>
      <x:c r="C537" s="30" t="str">
        <x:v>Vaccine cold-chain monitoring records are incomplete or temperature excursions are unmanaged.</x:v>
      </x:c>
      <x:c r="D537" s="30" t="str">
        <x:v>High</x:v>
      </x:c>
      <x:c r="E537" s="30" t="str">
        <x:v>Implement continuous monitoring with documented corrective actions.</x:v>
      </x:c>
      <x:c r="F537" s="30" t="str">
        <x:v>Storage</x:v>
      </x:c>
      <x:c r="G537" s="30" t="str">
        <x:v>HOSPITAL</x:v>
      </x:c>
      <x:c r="H537" s="30" t="str">
        <x:v>Yes</x:v>
      </x:c>
      <x:c r="I537" s="30" t="str">
        <x:v>Vaccine potency risk.</x:v>
      </x:c>
    </x:row>
    <x:row r="538">
      <x:c r="A538" s="30" t="str">
        <x:v>HOSOBS027</x:v>
      </x:c>
      <x:c r="B538" s="30" t="str">
        <x:v>HOSAUD027</x:v>
      </x:c>
      <x:c r="C538" s="30" t="str">
        <x:v>Satellite pharmacy operations are not governed under standardized SOPs or central oversight.</x:v>
      </x:c>
      <x:c r="D538" s="30" t="str">
        <x:v>Medium</x:v>
      </x:c>
      <x:c r="E538" s="30" t="str">
        <x:v>Apply centralized governance, periodic audits and SOP compliance reviews.</x:v>
      </x:c>
      <x:c r="F538" s="30" t="str">
        <x:v>Digital / E-Pharmacy</x:v>
      </x:c>
      <x:c r="G538" s="30" t="str">
        <x:v>HOSPITAL</x:v>
      </x:c>
      <x:c r="H538" s="30" t="str">
        <x:v>Yes</x:v>
      </x:c>
      <x:c r="I538" s="30" t="str">
        <x:v>Operational governance weakness.</x:v>
      </x:c>
    </x:row>
    <x:row r="539">
      <x:c r="A539" s="30" t="str">
        <x:v>HOSOBS028</x:v>
      </x:c>
      <x:c r="B539" s="30" t="str">
        <x:v>HOSAUD028</x:v>
      </x:c>
      <x:c r="C539" s="30" t="str">
        <x:v>Automated dispensing cabinets lack adequate access control or reconciliation processes.</x:v>
      </x:c>
      <x:c r="D539" s="30" t="str">
        <x:v>High</x:v>
      </x:c>
      <x:c r="E539" s="30" t="str">
        <x:v>Strengthen user access management and periodic inventory reconciliation.</x:v>
      </x:c>
      <x:c r="F539" s="30" t="str">
        <x:v>Inventory</x:v>
      </x:c>
      <x:c r="G539" s="30" t="str">
        <x:v>HOSPITAL</x:v>
      </x:c>
      <x:c r="H539" s="30" t="str">
        <x:v>Yes</x:v>
      </x:c>
      <x:c r="I539" s="30" t="str">
        <x:v>Medicine diversion risk.</x:v>
      </x:c>
    </x:row>
    <x:row r="540">
      <x:c r="A540" s="30" t="str">
        <x:v>HOSOBS029</x:v>
      </x:c>
      <x:c r="B540" s="30" t="str">
        <x:v>HOSAUD029</x:v>
      </x:c>
      <x:c r="C540" s="30" t="str">
        <x:v>Medication safety programme KPIs are not monitored or reviewed by management.</x:v>
      </x:c>
      <x:c r="D540" s="30" t="str">
        <x:v>High</x:v>
      </x:c>
      <x:c r="E540" s="30" t="str">
        <x:v>Monitor medication safety indicators and implement corrective actions.</x:v>
      </x:c>
      <x:c r="F540" s="30" t="str">
        <x:v>Patient Safety</x:v>
      </x:c>
      <x:c r="G540" s="30" t="str">
        <x:v>HOSPITAL</x:v>
      </x:c>
      <x:c r="H540" s="30" t="str">
        <x:v>Yes</x:v>
      </x:c>
      <x:c r="I540" s="30" t="str">
        <x:v>Continuous improvement opportunity.</x:v>
      </x:c>
    </x:row>
    <x:row r="541">
      <x:c r="A541" s="30" t="str">
        <x:v>HOSOBS030</x:v>
      </x:c>
      <x:c r="B541" s="30" t="str">
        <x:v>HOSAUD030</x:v>
      </x:c>
      <x:c r="C541" s="30" t="str">
        <x:v>Hospital formulary reviews are overdue or lack documented approval.</x:v>
      </x:c>
      <x:c r="D541" s="30" t="str">
        <x:v>Medium</x:v>
      </x:c>
      <x:c r="E541" s="30" t="str">
        <x:v>Conduct scheduled formulary committee meetings and maintain approval records.</x:v>
      </x:c>
      <x:c r="F541" s="30" t="str">
        <x:v>Digital / E-Pharmacy</x:v>
      </x:c>
      <x:c r="G541" s="30" t="str">
        <x:v>HOSPITAL</x:v>
      </x:c>
      <x:c r="H541" s="30" t="str">
        <x:v>Yes</x:v>
      </x:c>
      <x:c r="I541" s="30" t="str">
        <x:v>Governance deficiency.</x:v>
      </x:c>
    </x:row>
    <x:row r="542">
      <x:c r="A542" s="30" t="str">
        <x:v>HOSOBS031</x:v>
      </x:c>
      <x:c r="B542" s="30" t="str">
        <x:v>HOSAUD031</x:v>
      </x:c>
      <x:c r="C542" s="30" t="str">
        <x:v>Drug shortages are not proactively identified or managed, impacting patient care.</x:v>
      </x:c>
      <x:c r="D542" s="30" t="str">
        <x:v>High</x:v>
      </x:c>
      <x:c r="E542" s="30" t="str">
        <x:v>Maintain a formal drug shortage management programme with documented mitigation plans.</x:v>
      </x:c>
      <x:c r="F542" s="30" t="str">
        <x:v>Patient Safety</x:v>
      </x:c>
      <x:c r="G542" s="30" t="str">
        <x:v>HOSPITAL</x:v>
      </x:c>
      <x:c r="H542" s="30" t="str">
        <x:v>Yes</x:v>
      </x:c>
      <x:c r="I542" s="30" t="str">
        <x:v>Operational continuity risk.</x:v>
      </x:c>
    </x:row>
    <x:row r="543">
      <x:c r="A543" s="30" t="str">
        <x:v>HOSOBS032</x:v>
      </x:c>
      <x:c r="B543" s="30" t="str">
        <x:v>HOSAUD032</x:v>
      </x:c>
      <x:c r="C543" s="30" t="str">
        <x:v>Emergency pharmaceutical inventory does not adequately support disaster preparedness requirements.</x:v>
      </x:c>
      <x:c r="D543" s="30" t="str">
        <x:v>High</x:v>
      </x:c>
      <x:c r="E543" s="30" t="str">
        <x:v>Periodically review emergency inventory against disaster response plans.</x:v>
      </x:c>
      <x:c r="F543" s="30" t="str">
        <x:v>Inventory</x:v>
      </x:c>
      <x:c r="G543" s="30" t="str">
        <x:v>HOSPITAL</x:v>
      </x:c>
      <x:c r="H543" s="30" t="str">
        <x:v>Yes</x:v>
      </x:c>
      <x:c r="I543" s="30" t="str">
        <x:v>Emergency preparedness gap.</x:v>
      </x:c>
    </x:row>
    <x:row r="544">
      <x:c r="A544" s="30" t="str">
        <x:v>HOSOBS033</x:v>
      </x:c>
      <x:c r="B544" s="30" t="str">
        <x:v>HOSAUD033</x:v>
      </x:c>
      <x:c r="C544" s="30" t="str">
        <x:v>Outsourced pharmacy service providers are not monitored against contractual obligations or KPIs.</x:v>
      </x:c>
      <x:c r="D544" s="30" t="str">
        <x:v>Medium</x:v>
      </x:c>
      <x:c r="E544" s="30" t="str">
        <x:v>Perform periodic vendor performance evaluations and compliance reviews.</x:v>
      </x:c>
      <x:c r="F544" s="30" t="str">
        <x:v>Other</x:v>
      </x:c>
      <x:c r="G544" s="30" t="str">
        <x:v>HOSPITAL</x:v>
      </x:c>
      <x:c r="H544" s="30" t="str">
        <x:v>Yes</x:v>
      </x:c>
      <x:c r="I544" s="30" t="str">
        <x:v>Vendor governance issue.</x:v>
      </x:c>
    </x:row>
    <x:row r="545">
      <x:c r="A545" s="30" t="str">
        <x:v>HOSOBS034</x:v>
      </x:c>
      <x:c r="B545" s="30" t="str">
        <x:v>HOSAUD034</x:v>
      </x:c>
      <x:c r="C545" s="30" t="str">
        <x:v>Telepharmacy consultations are not fully authenticated or documented.</x:v>
      </x:c>
      <x:c r="D545" s="30" t="str">
        <x:v>Medium</x:v>
      </x:c>
      <x:c r="E545" s="30" t="str">
        <x:v>Strengthen authentication, documentation and audit trail controls.</x:v>
      </x:c>
      <x:c r="F545" s="30" t="str">
        <x:v>Documentation</x:v>
      </x:c>
      <x:c r="G545" s="30" t="str">
        <x:v>HOSPITAL</x:v>
      </x:c>
      <x:c r="H545" s="30" t="str">
        <x:v>Yes</x:v>
      </x:c>
      <x:c r="I545" s="30" t="str">
        <x:v>Digital compliance risk.</x:v>
      </x:c>
    </x:row>
    <x:row r="546">
      <x:c r="A546" s="30" t="str">
        <x:v>HOSOBS035</x:v>
      </x:c>
      <x:c r="B546" s="30" t="str">
        <x:v>HOSAUD035</x:v>
      </x:c>
      <x:c r="C546" s="30" t="str">
        <x:v>Hazardous medicines are handled or disposed of without full compliance with approved safety procedures.</x:v>
      </x:c>
      <x:c r="D546" s="30" t="str">
        <x:v>High</x:v>
      </x:c>
      <x:c r="E546" s="30" t="str">
        <x:v>Enforce hazardous medicine handling SOPs and monitor compliance.</x:v>
      </x:c>
      <x:c r="F546" s="30" t="str">
        <x:v>Digital / E-Pharmacy</x:v>
      </x:c>
      <x:c r="G546" s="30" t="str">
        <x:v>HOSPITAL</x:v>
      </x:c>
      <x:c r="H546" s="30" t="str">
        <x:v>Yes</x:v>
      </x:c>
      <x:c r="I546" s="30" t="str">
        <x:v>Occupational health and safety risk.</x:v>
      </x:c>
    </x:row>
    <x:row r="547">
      <x:c r="A547" s="30" t="str">
        <x:v>HOSOBS036</x:v>
      </x:c>
      <x:c r="B547" s="30" t="str">
        <x:v>HOSAUD036</x:v>
      </x:c>
      <x:c r="C547" s="30" t="str">
        <x:v>Clinical pharmacist credentialing or competency assessments are incomplete or outdated.</x:v>
      </x:c>
      <x:c r="D547" s="30" t="str">
        <x:v>Medium</x:v>
      </x:c>
      <x:c r="E547" s="30" t="str">
        <x:v>Maintain current credentialing and competency assessment records.</x:v>
      </x:c>
      <x:c r="F547" s="30" t="str">
        <x:v>Personnel</x:v>
      </x:c>
      <x:c r="G547" s="30" t="str">
        <x:v>HOSPITAL</x:v>
      </x:c>
      <x:c r="H547" s="30" t="str">
        <x:v>Yes</x:v>
      </x:c>
      <x:c r="I547" s="30" t="str">
        <x:v>Workforce competency issue.</x:v>
      </x:c>
    </x:row>
    <x:row r="548">
      <x:c r="A548" s="30" t="str">
        <x:v>HOSOBS037</x:v>
      </x:c>
      <x:c r="B548" s="30" t="str">
        <x:v>HOSAUD037</x:v>
      </x:c>
      <x:c r="C548" s="30" t="str">
        <x:v>Pharmacy KPIs are not reviewed regularly or improvement actions are not tracked.</x:v>
      </x:c>
      <x:c r="D548" s="30" t="str">
        <x:v>Medium</x:v>
      </x:c>
      <x:c r="E548" s="30" t="str">
        <x:v>Establish routine KPI review meetings with documented action plans.</x:v>
      </x:c>
      <x:c r="F548" s="30" t="str">
        <x:v>Documentation</x:v>
      </x:c>
      <x:c r="G548" s="30" t="str">
        <x:v>HOSPITAL</x:v>
      </x:c>
      <x:c r="H548" s="30" t="str">
        <x:v>Yes</x:v>
      </x:c>
      <x:c r="I548" s="30" t="str">
        <x:v>Performance management opportunity.</x:v>
      </x:c>
    </x:row>
    <x:row r="549">
      <x:c r="A549" s="30" t="str">
        <x:v>HOSOBS038</x:v>
      </x:c>
      <x:c r="B549" s="30" t="str">
        <x:v>HOSAUD038</x:v>
      </x:c>
      <x:c r="C549" s="30" t="str">
        <x:v>Pharmacy Governance Committee meetings are irregular or action items remain unresolved.</x:v>
      </x:c>
      <x:c r="D549" s="30" t="str">
        <x:v>Medium</x:v>
      </x:c>
      <x:c r="E549" s="30" t="str">
        <x:v>Conduct governance meetings as scheduled and monitor action closure.</x:v>
      </x:c>
      <x:c r="F549" s="30" t="str">
        <x:v>Other</x:v>
      </x:c>
      <x:c r="G549" s="30" t="str">
        <x:v>HOSPITAL</x:v>
      </x:c>
      <x:c r="H549" s="30" t="str">
        <x:v>Yes</x:v>
      </x:c>
      <x:c r="I549" s="30" t="str">
        <x:v>Governance effectiveness issue.</x:v>
      </x:c>
    </x:row>
    <x:row r="550">
      <x:c r="A550" s="30" t="str">
        <x:v>HOSOBS039</x:v>
      </x:c>
      <x:c r="B550" s="30" t="str">
        <x:v>HOSAUD039</x:v>
      </x:c>
      <x:c r="C550" s="30" t="str">
        <x:v>Medication safety indicators are monitored inconsistently and corrective actions are delayed.</x:v>
      </x:c>
      <x:c r="D550" s="30" t="str">
        <x:v>High</x:v>
      </x:c>
      <x:c r="E550" s="30" t="str">
        <x:v>Review medication safety indicators monthly and implement timely CAPA.</x:v>
      </x:c>
      <x:c r="F550" s="30" t="str">
        <x:v>Quality</x:v>
      </x:c>
      <x:c r="G550" s="30" t="str">
        <x:v>HOSPITAL</x:v>
      </x:c>
      <x:c r="H550" s="30" t="str">
        <x:v>Yes</x:v>
      </x:c>
      <x:c r="I550" s="30" t="str">
        <x:v>Patient safety improvement opportunity.</x:v>
      </x:c>
    </x:row>
    <x:row r="551">
      <x:c r="A551" s="30" t="str">
        <x:v>HOSOBS040</x:v>
      </x:c>
      <x:c r="B551" s="30" t="str">
        <x:v>HOSAUD040</x:v>
      </x:c>
      <x:c r="C551" s="30" t="str">
        <x:v>Hospital Pharmacy Quality Management System is incomplete or management reviews are ineffective.</x:v>
      </x:c>
      <x:c r="D551" s="30" t="str">
        <x:v>High</x:v>
      </x:c>
      <x:c r="E551" s="30" t="str">
        <x:v>Maintain a comprehensive QMS with periodic internal audits and management reviews.</x:v>
      </x:c>
      <x:c r="F551" s="30" t="str">
        <x:v>Quality</x:v>
      </x:c>
      <x:c r="G551" s="30" t="str">
        <x:v>HOSPITAL</x:v>
      </x:c>
      <x:c r="H551" s="30" t="str">
        <x:v>Yes</x:v>
      </x:c>
      <x:c r="I551" s="30" t="str">
        <x:v>Enterprise quality management deficiency.</x:v>
      </x:c>
    </x:row>
    <x:row r="552">
      <x:c r="A552" s="30" t="str">
        <x:v>COBS001</x:v>
      </x:c>
      <x:c r="B552" s="30" t="str">
        <x:v>CAUD001</x:v>
      </x:c>
      <x:c r="C552" s="30" t="str">
        <x:v>Branches are operating using outdated or inconsistent SOP versions.</x:v>
      </x:c>
      <x:c r="D552" s="30" t="str">
        <x:v>High</x:v>
      </x:c>
      <x:c r="E552" s="30" t="str">
        <x:v>Implement centralized document control with mandatory branch acknowledgement of current SOPs.</x:v>
      </x:c>
      <x:c r="F552" s="30" t="str">
        <x:v>Quality</x:v>
      </x:c>
      <x:c r="G552" s="30" t="str">
        <x:v>CHAIN</x:v>
      </x:c>
      <x:c r="H552" s="30" t="str">
        <x:v>Yes</x:v>
      </x:c>
      <x:c r="I552" s="30" t="str">
        <x:v>Enterprise governance deficiency.</x:v>
      </x:c>
    </x:row>
    <x:row r="553">
      <x:c r="A553" s="30" t="str">
        <x:v>COBS002</x:v>
      </x:c>
      <x:c r="B553" s="30" t="str">
        <x:v>CAUD002</x:v>
      </x:c>
      <x:c r="C553" s="30" t="str">
        <x:v>One or more branch licences have expired or renewal evidence is unavailable.</x:v>
      </x:c>
      <x:c r="D553" s="30" t="str">
        <x:v>High</x:v>
      </x:c>
      <x:c r="E553" s="30" t="str">
        <x:v>Implement centralized licence monitoring with automated renewal alerts.</x:v>
      </x:c>
      <x:c r="F553" s="30" t="str">
        <x:v>Licensing</x:v>
      </x:c>
      <x:c r="G553" s="30" t="str">
        <x:v>CHAIN</x:v>
      </x:c>
      <x:c r="H553" s="30" t="str">
        <x:v>Yes</x:v>
      </x:c>
      <x:c r="I553" s="30" t="str">
        <x:v>Regulatory compliance risk.</x:v>
      </x:c>
    </x:row>
    <x:row r="554">
      <x:c r="A554" s="30" t="str">
        <x:v>COBS003</x:v>
      </x:c>
      <x:c r="B554" s="30" t="str">
        <x:v>CAUD003</x:v>
      </x:c>
      <x:c r="C554" s="30" t="str">
        <x:v>Procurement has been made outside the approved corporate supplier programme.</x:v>
      </x:c>
      <x:c r="D554" s="30" t="str">
        <x:v>High</x:v>
      </x:c>
      <x:c r="E554" s="30" t="str">
        <x:v>Restrict procurement to approved suppliers and strengthen approval controls.</x:v>
      </x:c>
      <x:c r="F554" s="30" t="str">
        <x:v>Digital / E-Pharmacy</x:v>
      </x:c>
      <x:c r="G554" s="30" t="str">
        <x:v>CHAIN</x:v>
      </x:c>
      <x:c r="H554" s="30" t="str">
        <x:v>Yes</x:v>
      </x:c>
      <x:c r="I554" s="30" t="str">
        <x:v>Supply chain compliance issue.</x:v>
      </x:c>
    </x:row>
    <x:row r="555">
      <x:c r="A555" s="30" t="str">
        <x:v>COBS004</x:v>
      </x:c>
      <x:c r="B555" s="30" t="str">
        <x:v>CAUD004</x:v>
      </x:c>
      <x:c r="C555" s="30" t="str">
        <x:v>Inventory management practices differ across pharmacy branches.</x:v>
      </x:c>
      <x:c r="D555" s="30" t="str">
        <x:v>High</x:v>
      </x:c>
      <x:c r="E555" s="30" t="str">
        <x:v>Standardize inventory procedures and conduct periodic compliance reviews.</x:v>
      </x:c>
      <x:c r="F555" s="30" t="str">
        <x:v>Inventory</x:v>
      </x:c>
      <x:c r="G555" s="30" t="str">
        <x:v>CHAIN</x:v>
      </x:c>
      <x:c r="H555" s="30" t="str">
        <x:v>Yes</x:v>
      </x:c>
      <x:c r="I555" s="30" t="str">
        <x:v>Operational inconsistency.</x:v>
      </x:c>
    </x:row>
    <x:row r="556">
      <x:c r="A556" s="30" t="str">
        <x:v>COBS005</x:v>
      </x:c>
      <x:c r="B556" s="30" t="str">
        <x:v>CAUD005</x:v>
      </x:c>
      <x:c r="C556" s="30" t="str">
        <x:v>Inter-branch medicine transfers lack complete authorization or traceability.</x:v>
      </x:c>
      <x:c r="D556" s="30" t="str">
        <x:v>High</x:v>
      </x:c>
      <x:c r="E556" s="30" t="str">
        <x:v>Maintain standardized transfer documentation with periodic reconciliation.</x:v>
      </x:c>
      <x:c r="F556" s="30" t="str">
        <x:v>Documentation</x:v>
      </x:c>
      <x:c r="G556" s="30" t="str">
        <x:v>CHAIN</x:v>
      </x:c>
      <x:c r="H556" s="30" t="str">
        <x:v>Yes</x:v>
      </x:c>
      <x:c r="I556" s="30" t="str">
        <x:v>Inventory control weakness.</x:v>
      </x:c>
    </x:row>
    <x:row r="557">
      <x:c r="A557" s="30" t="str">
        <x:v>COBS006</x:v>
      </x:c>
      <x:c r="B557" s="30" t="str">
        <x:v>CAUD006</x:v>
      </x:c>
      <x:c r="C557" s="30" t="str">
        <x:v>Product recalls are not coordinated consistently across all branches.</x:v>
      </x:c>
      <x:c r="D557" s="30" t="str">
        <x:v>High</x:v>
      </x:c>
      <x:c r="E557" s="30" t="str">
        <x:v>Establish centralized recall management with periodic mock recall exercises.</x:v>
      </x:c>
      <x:c r="F557" s="30" t="str">
        <x:v>Quality</x:v>
      </x:c>
      <x:c r="G557" s="30" t="str">
        <x:v>CHAIN</x:v>
      </x:c>
      <x:c r="H557" s="30" t="str">
        <x:v>Yes</x:v>
      </x:c>
      <x:c r="I557" s="30" t="str">
        <x:v>Patient safety risk.</x:v>
      </x:c>
    </x:row>
    <x:row r="558">
      <x:c r="A558" s="30" t="str">
        <x:v>COBS007</x:v>
      </x:c>
      <x:c r="B558" s="30" t="str">
        <x:v>CAUD007</x:v>
      </x:c>
      <x:c r="C558" s="30" t="str">
        <x:v>Customer complaints are not investigated or closed within prescribed timelines.</x:v>
      </x:c>
      <x:c r="D558" s="30" t="str">
        <x:v>Medium</x:v>
      </x:c>
      <x:c r="E558" s="30" t="str">
        <x:v>Strengthen centralized complaint handling and CAPA monitoring.</x:v>
      </x:c>
      <x:c r="F558" s="30" t="str">
        <x:v>Quality</x:v>
      </x:c>
      <x:c r="G558" s="30" t="str">
        <x:v>CHAIN</x:v>
      </x:c>
      <x:c r="H558" s="30" t="str">
        <x:v>Yes</x:v>
      </x:c>
      <x:c r="I558" s="30" t="str">
        <x:v>Quality management weakness.</x:v>
      </x:c>
    </x:row>
    <x:row r="559">
      <x:c r="A559" s="30" t="str">
        <x:v>COBS008</x:v>
      </x:c>
      <x:c r="B559" s="30" t="str">
        <x:v>CAUD008</x:v>
      </x:c>
      <x:c r="C559" s="30" t="str">
        <x:v>CAPA actions remain overdue or effectiveness reviews are not documented.</x:v>
      </x:c>
      <x:c r="D559" s="30" t="str">
        <x:v>High</x:v>
      </x:c>
      <x:c r="E559" s="30" t="str">
        <x:v>Monitor CAPA completion through centralized tracking and management review.</x:v>
      </x:c>
      <x:c r="F559" s="30" t="str">
        <x:v>Quality</x:v>
      </x:c>
      <x:c r="G559" s="30" t="str">
        <x:v>CHAIN</x:v>
      </x:c>
      <x:c r="H559" s="30" t="str">
        <x:v>Yes</x:v>
      </x:c>
      <x:c r="I559" s="30" t="str">
        <x:v>Continuous improvement deficiency.</x:v>
      </x:c>
    </x:row>
    <x:row r="560">
      <x:c r="A560" s="30" t="str">
        <x:v>COBS009</x:v>
      </x:c>
      <x:c r="B560" s="30" t="str">
        <x:v>CAUD009</x:v>
      </x:c>
      <x:c r="C560" s="30" t="str">
        <x:v>Internal audits are not performed uniformly across all branches.</x:v>
      </x:c>
      <x:c r="D560" s="30" t="str">
        <x:v>High</x:v>
      </x:c>
      <x:c r="E560" s="30" t="str">
        <x:v>Implement risk-based annual audit programme covering every branch.</x:v>
      </x:c>
      <x:c r="F560" s="30" t="str">
        <x:v>Other</x:v>
      </x:c>
      <x:c r="G560" s="30" t="str">
        <x:v>CHAIN</x:v>
      </x:c>
      <x:c r="H560" s="30" t="str">
        <x:v>Yes</x:v>
      </x:c>
      <x:c r="I560" s="30" t="str">
        <x:v>Audit coverage gap.</x:v>
      </x:c>
    </x:row>
    <x:row r="561">
      <x:c r="A561" s="30" t="str">
        <x:v>COBS010</x:v>
      </x:c>
      <x:c r="B561" s="30" t="str">
        <x:v>CAUD010</x:v>
      </x:c>
      <x:c r="C561" s="30" t="str">
        <x:v>Employee training and competency records are incomplete or inconsistent across branches.</x:v>
      </x:c>
      <x:c r="D561" s="30" t="str">
        <x:v>Medium</x:v>
      </x:c>
      <x:c r="E561" s="30" t="str">
        <x:v>Maintain centralized learning management and competency assessment records.</x:v>
      </x:c>
      <x:c r="F561" s="30" t="str">
        <x:v>Personnel</x:v>
      </x:c>
      <x:c r="G561" s="30" t="str">
        <x:v>CHAIN</x:v>
      </x:c>
      <x:c r="H561" s="30" t="str">
        <x:v>Yes</x:v>
      </x:c>
      <x:c r="I561" s="30" t="str">
        <x:v>Workforce competency issue.</x:v>
      </x:c>
    </x:row>
    <x:row r="562">
      <x:c r="A562" s="30" t="str">
        <x:v>COBS011</x:v>
      </x:c>
      <x:c r="B562" s="30" t="str">
        <x:v>CAUD011</x:v>
      </x:c>
      <x:c r="C562" s="30" t="str">
        <x:v>Enterprise pharmacy KPIs are not monitored consistently or reviewed by management.</x:v>
      </x:c>
      <x:c r="D562" s="30" t="str">
        <x:v>Medium</x:v>
      </x:c>
      <x:c r="E562" s="30" t="str">
        <x:v>Establish regular KPI review meetings with documented action plans.</x:v>
      </x:c>
      <x:c r="F562" s="30" t="str">
        <x:v>Documentation</x:v>
      </x:c>
      <x:c r="G562" s="30" t="str">
        <x:v>CHAIN</x:v>
      </x:c>
      <x:c r="H562" s="30" t="str">
        <x:v>Yes</x:v>
      </x:c>
      <x:c r="I562" s="30" t="str">
        <x:v>Performance management opportunity.</x:v>
      </x:c>
    </x:row>
    <x:row r="563">
      <x:c r="A563" s="30" t="str">
        <x:v>COBS012</x:v>
      </x:c>
      <x:c r="B563" s="30" t="str">
        <x:v>CAUD012</x:v>
      </x:c>
      <x:c r="C563" s="30" t="str">
        <x:v>Branch compliance dashboard is incomplete or compliance exceptions remain unresolved.</x:v>
      </x:c>
      <x:c r="D563" s="30" t="str">
        <x:v>High</x:v>
      </x:c>
      <x:c r="E563" s="30" t="str">
        <x:v>Review compliance dashboard monthly and close outstanding issues promptly.</x:v>
      </x:c>
      <x:c r="F563" s="30" t="str">
        <x:v>Other</x:v>
      </x:c>
      <x:c r="G563" s="30" t="str">
        <x:v>CHAIN</x:v>
      </x:c>
      <x:c r="H563" s="30" t="str">
        <x:v>Yes</x:v>
      </x:c>
      <x:c r="I563" s="30" t="str">
        <x:v>Compliance monitoring weakness.</x:v>
      </x:c>
    </x:row>
    <x:row r="564">
      <x:c r="A564" s="30" t="str">
        <x:v>COBS013</x:v>
      </x:c>
      <x:c r="B564" s="30" t="str">
        <x:v>CAUD013</x:v>
      </x:c>
      <x:c r="C564" s="30" t="str">
        <x:v>Obsolete SOPs or uncontrolled documents are available at pharmacy branches.</x:v>
      </x:c>
      <x:c r="D564" s="30" t="str">
        <x:v>Medium</x:v>
      </x:c>
      <x:c r="E564" s="30" t="str">
        <x:v>Enforce centralized document control and withdraw obsolete documents immediately.</x:v>
      </x:c>
      <x:c r="F564" s="30" t="str">
        <x:v>Quality</x:v>
      </x:c>
      <x:c r="G564" s="30" t="str">
        <x:v>CHAIN</x:v>
      </x:c>
      <x:c r="H564" s="30" t="str">
        <x:v>Yes</x:v>
      </x:c>
      <x:c r="I564" s="30" t="str">
        <x:v>Document control issue.</x:v>
      </x:c>
    </x:row>
    <x:row r="565">
      <x:c r="A565" s="30" t="str">
        <x:v>COBS014</x:v>
      </x:c>
      <x:c r="B565" s="30" t="str">
        <x:v>CAUD014</x:v>
      </x:c>
      <x:c r="C565" s="30" t="str">
        <x:v>Temperature excursions at one or more branches are not investigated or closed.</x:v>
      </x:c>
      <x:c r="D565" s="30" t="str">
        <x:v>High</x:v>
      </x:c>
      <x:c r="E565" s="30" t="str">
        <x:v>Monitor centralized temperature reports and investigate all deviations.</x:v>
      </x:c>
      <x:c r="F565" s="30" t="str">
        <x:v>Storage</x:v>
      </x:c>
      <x:c r="G565" s="30" t="str">
        <x:v>CHAIN</x:v>
      </x:c>
      <x:c r="H565" s="30" t="str">
        <x:v>Yes</x:v>
      </x:c>
      <x:c r="I565" s="30" t="str">
        <x:v>Cold-chain compliance deficiency.</x:v>
      </x:c>
    </x:row>
    <x:row r="566">
      <x:c r="A566" s="30" t="str">
        <x:v>COBS015</x:v>
      </x:c>
      <x:c r="B566" s="30" t="str">
        <x:v>CAUD015</x:v>
      </x:c>
      <x:c r="C566" s="30" t="str">
        <x:v>Supplier performance reviews are overdue or lack documented corrective actions.</x:v>
      </x:c>
      <x:c r="D566" s="30" t="str">
        <x:v>Medium</x:v>
      </x:c>
      <x:c r="E566" s="30" t="str">
        <x:v>Conduct scheduled supplier evaluations and monitor improvement plans.</x:v>
      </x:c>
      <x:c r="F566" s="30" t="str">
        <x:v>Documentation</x:v>
      </x:c>
      <x:c r="G566" s="30" t="str">
        <x:v>CHAIN</x:v>
      </x:c>
      <x:c r="H566" s="30" t="str">
        <x:v>Yes</x:v>
      </x:c>
      <x:c r="I566" s="30" t="str">
        <x:v>Vendor management gap.</x:v>
      </x:c>
    </x:row>
    <x:row r="567">
      <x:c r="A567" s="30" t="str">
        <x:v>COBS016</x:v>
      </x:c>
      <x:c r="B567" s="30" t="str">
        <x:v>CAUD016</x:v>
      </x:c>
      <x:c r="C567" s="30" t="str">
        <x:v>Enterprise pharmacy risks are not periodically reviewed or mitigation plans are incomplete.</x:v>
      </x:c>
      <x:c r="D567" s="30" t="str">
        <x:v>Medium</x:v>
      </x:c>
      <x:c r="E567" s="30" t="str">
        <x:v>Review enterprise risk register quarterly and monitor mitigation effectiveness.</x:v>
      </x:c>
      <x:c r="F567" s="30" t="str">
        <x:v>Documentation</x:v>
      </x:c>
      <x:c r="G567" s="30" t="str">
        <x:v>CHAIN</x:v>
      </x:c>
      <x:c r="H567" s="30" t="str">
        <x:v>Yes</x:v>
      </x:c>
      <x:c r="I567" s="30" t="str">
        <x:v>Risk governance weakness.</x:v>
      </x:c>
    </x:row>
    <x:row r="568">
      <x:c r="A568" s="30" t="str">
        <x:v>COBS017</x:v>
      </x:c>
      <x:c r="B568" s="30" t="str">
        <x:v>CAUD017</x:v>
      </x:c>
      <x:c r="C568" s="30" t="str">
        <x:v>Franchise-operated branches do not consistently comply with corporate pharmacy standards.</x:v>
      </x:c>
      <x:c r="D568" s="30" t="str">
        <x:v>Medium</x:v>
      </x:c>
      <x:c r="E568" s="30" t="str">
        <x:v>Strengthen franchise compliance monitoring and periodic audits.</x:v>
      </x:c>
      <x:c r="F568" s="30" t="str">
        <x:v>Other</x:v>
      </x:c>
      <x:c r="G568" s="30" t="str">
        <x:v>CHAIN</x:v>
      </x:c>
      <x:c r="H568" s="30" t="str">
        <x:v>Yes</x:v>
      </x:c>
      <x:c r="I568" s="30" t="str">
        <x:v>Franchise governance issue.</x:v>
      </x:c>
    </x:row>
    <x:row r="569">
      <x:c r="A569" s="30" t="str">
        <x:v>COBS018</x:v>
      </x:c>
      <x:c r="B569" s="30" t="str">
        <x:v>CAUD018</x:v>
      </x:c>
      <x:c r="C569" s="30" t="str">
        <x:v>Business continuity plans are outdated, untested or unavailable at branch level.</x:v>
      </x:c>
      <x:c r="D569" s="30" t="str">
        <x:v>High</x:v>
      </x:c>
      <x:c r="E569" s="30" t="str">
        <x:v>Test and update business continuity plans annually with documented results.</x:v>
      </x:c>
      <x:c r="F569" s="30" t="str">
        <x:v>Documentation</x:v>
      </x:c>
      <x:c r="G569" s="30" t="str">
        <x:v>CHAIN</x:v>
      </x:c>
      <x:c r="H569" s="30" t="str">
        <x:v>Yes</x:v>
      </x:c>
      <x:c r="I569" s="30" t="str">
        <x:v>Operational resilience gap.</x:v>
      </x:c>
    </x:row>
    <x:row r="570">
      <x:c r="A570" s="30" t="str">
        <x:v>COBS019</x:v>
      </x:c>
      <x:c r="B570" s="30" t="str">
        <x:v>CAUD019</x:v>
      </x:c>
      <x:c r="C570" s="30" t="str">
        <x:v>Regulatory reporting is delayed or inconsistently coordinated across branches.</x:v>
      </x:c>
      <x:c r="D570" s="30" t="str">
        <x:v>High</x:v>
      </x:c>
      <x:c r="E570" s="30" t="str">
        <x:v>Maintain centralized compliance calendar and monitor statutory submissions.</x:v>
      </x:c>
      <x:c r="F570" s="30" t="str">
        <x:v>Regulatory Filing</x:v>
      </x:c>
      <x:c r="G570" s="30" t="str">
        <x:v>CHAIN</x:v>
      </x:c>
      <x:c r="H570" s="30" t="str">
        <x:v>Yes</x:v>
      </x:c>
      <x:c r="I570" s="30" t="str">
        <x:v>Regulatory reporting risk.</x:v>
      </x:c>
    </x:row>
    <x:row r="571">
      <x:c r="A571" s="30" t="str">
        <x:v>COBS020</x:v>
      </x:c>
      <x:c r="B571" s="30" t="str">
        <x:v>CAUD020</x:v>
      </x:c>
      <x:c r="C571" s="30" t="str">
        <x:v>Enterprise quality reviews are not conducted regularly or management actions remain open.</x:v>
      </x:c>
      <x:c r="D571" s="30" t="str">
        <x:v>High</x:v>
      </x:c>
      <x:c r="E571" s="30" t="str">
        <x:v>Conduct quarterly management reviews with documented follow-up and closure of action items.</x:v>
      </x:c>
      <x:c r="F571" s="30" t="str">
        <x:v>Quality</x:v>
      </x:c>
      <x:c r="G571" s="30" t="str">
        <x:v>CHAIN</x:v>
      </x:c>
      <x:c r="H571" s="30" t="str">
        <x:v>Yes</x:v>
      </x:c>
      <x:c r="I571" s="30" t="str">
        <x:v>Enterprise quality governance deficiency.</x:v>
      </x:c>
    </x:row>
    <x:row r="572">
      <x:c r="A572" s="30" t="str">
        <x:v>EOBS001</x:v>
      </x:c>
      <x:c r="B572" s="30" t="str">
        <x:v>EAUD001</x:v>
      </x:c>
      <x:c r="C572" s="30" t="str">
        <x:v>Electronic prescriptions are dispensed without complete pharmacist validation or prescription authenticity checks.</x:v>
      </x:c>
      <x:c r="D572" s="30" t="str">
        <x:v>High</x:v>
      </x:c>
      <x:c r="E572" s="30" t="str">
        <x:v>Enforce mandatory electronic prescription validation before order approval and dispatch.</x:v>
      </x:c>
      <x:c r="F572" s="30" t="str">
        <x:v>Digital / E-Pharmacy</x:v>
      </x:c>
      <x:c r="G572" s="30" t="str">
        <x:v>EPHARMACY</x:v>
      </x:c>
      <x:c r="H572" s="30" t="str">
        <x:v>Yes</x:v>
      </x:c>
      <x:c r="I572" s="30" t="str">
        <x:v>Patient safety risk.</x:v>
      </x:c>
    </x:row>
    <x:row r="573">
      <x:c r="A573" s="30" t="str">
        <x:v>EOBS002</x:v>
      </x:c>
      <x:c r="B573" s="30" t="str">
        <x:v>EAUD002</x:v>
      </x:c>
      <x:c r="C573" s="30" t="str">
        <x:v>Customer identity verification records are incomplete or unavailable for prescription medicine orders.</x:v>
      </x:c>
      <x:c r="D573" s="30" t="str">
        <x:v>High</x:v>
      </x:c>
      <x:c r="E573" s="30" t="str">
        <x:v>Strengthen digital identity verification and retain complete KYC evidence.</x:v>
      </x:c>
      <x:c r="F573" s="30" t="str">
        <x:v>Digital / E-Pharmacy</x:v>
      </x:c>
      <x:c r="G573" s="30" t="str">
        <x:v>EPHARMACY</x:v>
      </x:c>
      <x:c r="H573" s="30" t="str">
        <x:v>Yes</x:v>
      </x:c>
      <x:c r="I573" s="30" t="str">
        <x:v>Regulatory compliance issue.</x:v>
      </x:c>
    </x:row>
    <x:row r="574">
      <x:c r="A574" s="30" t="str">
        <x:v>EOBS003</x:v>
      </x:c>
      <x:c r="B574" s="30" t="str">
        <x:v>EAUD003</x:v>
      </x:c>
      <x:c r="C574" s="30" t="str">
        <x:v>Prescription medicines are dispatched before pharmacist approval is recorded.</x:v>
      </x:c>
      <x:c r="D574" s="30" t="str">
        <x:v>High</x:v>
      </x:c>
      <x:c r="E574" s="30" t="str">
        <x:v>Configure mandatory pharmacist approval workflow before dispatch.</x:v>
      </x:c>
      <x:c r="F574" s="30" t="str">
        <x:v>Digital / E-Pharmacy</x:v>
      </x:c>
      <x:c r="G574" s="30" t="str">
        <x:v>EPHARMACY</x:v>
      </x:c>
      <x:c r="H574" s="30" t="str">
        <x:v>Yes</x:v>
      </x:c>
      <x:c r="I574" s="30" t="str">
        <x:v>Clinical governance deficiency.</x:v>
      </x:c>
    </x:row>
    <x:row r="575">
      <x:c r="A575" s="30" t="str">
        <x:v>EOBS004</x:v>
      </x:c>
      <x:c r="B575" s="30" t="str">
        <x:v>EAUD004</x:v>
      </x:c>
      <x:c r="C575" s="30" t="str">
        <x:v>Telemedicine consultation records cannot be linked to dispensing transactions.</x:v>
      </x:c>
      <x:c r="D575" s="30" t="str">
        <x:v>High</x:v>
      </x:c>
      <x:c r="E575" s="30" t="str">
        <x:v>Integrate consultation identifiers with dispensing workflow.</x:v>
      </x:c>
      <x:c r="F575" s="30" t="str">
        <x:v>Documentation</x:v>
      </x:c>
      <x:c r="G575" s="30" t="str">
        <x:v>EPHARMACY</x:v>
      </x:c>
      <x:c r="H575" s="30" t="str">
        <x:v>Yes</x:v>
      </x:c>
      <x:c r="I575" s="30" t="str">
        <x:v>Traceability weakness.</x:v>
      </x:c>
    </x:row>
    <x:row r="576">
      <x:c r="A576" s="30" t="str">
        <x:v>EOBS005</x:v>
      </x:c>
      <x:c r="B576" s="30" t="str">
        <x:v>EAUD005</x:v>
      </x:c>
      <x:c r="C576" s="30" t="str">
        <x:v>Electronic customer consent is missing, outdated or cannot be demonstrated during audit.</x:v>
      </x:c>
      <x:c r="D576" s="30" t="str">
        <x:v>High</x:v>
      </x:c>
      <x:c r="E576" s="30" t="str">
        <x:v>Maintain version-controlled electronic consent records with audit trail.</x:v>
      </x:c>
      <x:c r="F576" s="30" t="str">
        <x:v>Documentation</x:v>
      </x:c>
      <x:c r="G576" s="30" t="str">
        <x:v>EPHARMACY</x:v>
      </x:c>
      <x:c r="H576" s="30" t="str">
        <x:v>Yes</x:v>
      </x:c>
      <x:c r="I576" s="30" t="str">
        <x:v>Privacy compliance gap.</x:v>
      </x:c>
    </x:row>
    <x:row r="577">
      <x:c r="A577" s="30" t="str">
        <x:v>EOBS006</x:v>
      </x:c>
      <x:c r="B577" s="30" t="str">
        <x:v>EAUD006</x:v>
      </x:c>
      <x:c r="C577" s="30" t="str">
        <x:v>Electronic prescription and transaction records are not retained in accordance with the approved retention schedule.</x:v>
      </x:c>
      <x:c r="D577" s="30" t="str">
        <x:v>High</x:v>
      </x:c>
      <x:c r="E577" s="30" t="str">
        <x:v>Implement secure archival controls and periodic retention reviews.</x:v>
      </x:c>
      <x:c r="F577" s="30" t="str">
        <x:v>Digital / E-Pharmacy</x:v>
      </x:c>
      <x:c r="G577" s="30" t="str">
        <x:v>EPHARMACY</x:v>
      </x:c>
      <x:c r="H577" s="30" t="str">
        <x:v>Yes</x:v>
      </x:c>
      <x:c r="I577" s="30" t="str">
        <x:v>Audit readiness issue.</x:v>
      </x:c>
    </x:row>
    <x:row r="578">
      <x:c r="A578" s="30" t="str">
        <x:v>EOBS007</x:v>
      </x:c>
      <x:c r="B578" s="30" t="str">
        <x:v>EAUD007</x:v>
      </x:c>
      <x:c r="C578" s="30" t="str">
        <x:v>Online orders bypass mandatory validation checks before processing.</x:v>
      </x:c>
      <x:c r="D578" s="30" t="str">
        <x:v>Medium</x:v>
      </x:c>
      <x:c r="E578" s="30" t="str">
        <x:v>Configure automated validation rules and exception handling.</x:v>
      </x:c>
      <x:c r="F578" s="30" t="str">
        <x:v>Digital / E-Pharmacy</x:v>
      </x:c>
      <x:c r="G578" s="30" t="str">
        <x:v>EPHARMACY</x:v>
      </x:c>
      <x:c r="H578" s="30" t="str">
        <x:v>Yes</x:v>
      </x:c>
      <x:c r="I578" s="30" t="str">
        <x:v>Operational control weakness.</x:v>
      </x:c>
    </x:row>
    <x:row r="579">
      <x:c r="A579" s="30" t="str">
        <x:v>EOBS008</x:v>
      </x:c>
      <x:c r="B579" s="30" t="str">
        <x:v>EAUD008</x:v>
      </x:c>
      <x:c r="C579" s="30" t="str">
        <x:v>Payment transactions are processed through controls that do not fully comply with approved security standards.</x:v>
      </x:c>
      <x:c r="D579" s="30" t="str">
        <x:v>High</x:v>
      </x:c>
      <x:c r="E579" s="30" t="str">
        <x:v>Use only approved secure payment gateways and perform periodic payment security reviews.</x:v>
      </x:c>
      <x:c r="F579" s="30" t="str">
        <x:v>Digital / E-Pharmacy</x:v>
      </x:c>
      <x:c r="G579" s="30" t="str">
        <x:v>EPHARMACY</x:v>
      </x:c>
      <x:c r="H579" s="30" t="str">
        <x:v>Yes</x:v>
      </x:c>
      <x:c r="I579" s="30" t="str">
        <x:v>Financial security risk.</x:v>
      </x:c>
    </x:row>
    <x:row r="580">
      <x:c r="A580" s="30" t="str">
        <x:v>EOBS009</x:v>
      </x:c>
      <x:c r="B580" s="30" t="str">
        <x:v>EAUD009</x:v>
      </x:c>
      <x:c r="C580" s="30" t="str">
        <x:v>Cybersecurity monitoring is ineffective or critical alerts are not investigated promptly.</x:v>
      </x:c>
      <x:c r="D580" s="30" t="str">
        <x:v>High</x:v>
      </x:c>
      <x:c r="E580" s="30" t="str">
        <x:v>Strengthen continuous monitoring, incident response and SOC oversight.</x:v>
      </x:c>
      <x:c r="F580" s="30" t="str">
        <x:v>Other</x:v>
      </x:c>
      <x:c r="G580" s="30" t="str">
        <x:v>EPHARMACY</x:v>
      </x:c>
      <x:c r="H580" s="30" t="str">
        <x:v>Yes</x:v>
      </x:c>
      <x:c r="I580" s="30" t="str">
        <x:v>Information security deficiency.</x:v>
      </x:c>
    </x:row>
    <x:row r="581">
      <x:c r="A581" s="30" t="str">
        <x:v>EOBS010</x:v>
      </x:c>
      <x:c r="B581" s="30" t="str">
        <x:v>EAUD010</x:v>
      </x:c>
      <x:c r="C581" s="30" t="str">
        <x:v>Sensitive customer or prescription data is not adequately encrypted.</x:v>
      </x:c>
      <x:c r="D581" s="30" t="str">
        <x:v>High</x:v>
      </x:c>
      <x:c r="E581" s="30" t="str">
        <x:v>Apply encryption for data at rest and in transit with periodic configuration reviews.</x:v>
      </x:c>
      <x:c r="F581" s="30" t="str">
        <x:v>Digital / E-Pharmacy</x:v>
      </x:c>
      <x:c r="G581" s="30" t="str">
        <x:v>EPHARMACY</x:v>
      </x:c>
      <x:c r="H581" s="30" t="str">
        <x:v>Yes</x:v>
      </x:c>
      <x:c r="I581" s="30" t="str">
        <x:v>Data protection risk.</x:v>
      </x:c>
    </x:row>
    <x:row r="582">
      <x:c r="A582" s="30" t="str">
        <x:v>EOBS011</x:v>
      </x:c>
      <x:c r="B582" s="30" t="str">
        <x:v>EAUD011</x:v>
      </x:c>
      <x:c r="C582" s="30" t="str">
        <x:v>Privacy notices are outdated or customer acknowledgements cannot be demonstrated.</x:v>
      </x:c>
      <x:c r="D582" s="30" t="str">
        <x:v>Medium</x:v>
      </x:c>
      <x:c r="E582" s="30" t="str">
        <x:v>Review and publish updated privacy notices with acknowledgement tracking.</x:v>
      </x:c>
      <x:c r="F582" s="30" t="str">
        <x:v>Other</x:v>
      </x:c>
      <x:c r="G582" s="30" t="str">
        <x:v>EPHARMACY</x:v>
      </x:c>
      <x:c r="H582" s="30" t="str">
        <x:v>Yes</x:v>
      </x:c>
      <x:c r="I582" s="30" t="str">
        <x:v>Privacy governance issue.</x:v>
      </x:c>
    </x:row>
    <x:row r="583">
      <x:c r="A583" s="30" t="str">
        <x:v>EOBS012</x:v>
      </x:c>
      <x:c r="B583" s="30" t="str">
        <x:v>EAUD012</x:v>
      </x:c>
      <x:c r="C583" s="30" t="str">
        <x:v>Critical platform activities are not captured in immutable audit logs.</x:v>
      </x:c>
      <x:c r="D583" s="30" t="str">
        <x:v>High</x:v>
      </x:c>
      <x:c r="E583" s="30" t="str">
        <x:v>Enable centralized tamper-resistant audit logging and periodic log reviews.</x:v>
      </x:c>
      <x:c r="F583" s="30" t="str">
        <x:v>Documentation</x:v>
      </x:c>
      <x:c r="G583" s="30" t="str">
        <x:v>EPHARMACY</x:v>
      </x:c>
      <x:c r="H583" s="30" t="str">
        <x:v>Yes</x:v>
      </x:c>
      <x:c r="I583" s="30" t="str">
        <x:v>Audit trail deficiency.</x:v>
      </x:c>
    </x:row>
    <x:row r="584">
      <x:c r="A584" s="30" t="str">
        <x:v>EOBS013</x:v>
      </x:c>
      <x:c r="B584" s="30" t="str">
        <x:v>EAUD013</x:v>
      </x:c>
      <x:c r="C584" s="30" t="str">
        <x:v>Courier partners transporting medicines have not undergone documented qualification or review.</x:v>
      </x:c>
      <x:c r="D584" s="30" t="str">
        <x:v>High</x:v>
      </x:c>
      <x:c r="E584" s="30" t="str">
        <x:v>Implement periodic courier qualification and performance evaluation.</x:v>
      </x:c>
      <x:c r="F584" s="30" t="str">
        <x:v>Personnel</x:v>
      </x:c>
      <x:c r="G584" s="30" t="str">
        <x:v>EPHARMACY</x:v>
      </x:c>
      <x:c r="H584" s="30" t="str">
        <x:v>Yes</x:v>
      </x:c>
      <x:c r="I584" s="30" t="str">
        <x:v>Supply chain risk.</x:v>
      </x:c>
    </x:row>
    <x:row r="585">
      <x:c r="A585" s="30" t="str">
        <x:v>EOBS014</x:v>
      </x:c>
      <x:c r="B585" s="30" t="str">
        <x:v>EAUD014</x:v>
      </x:c>
      <x:c r="C585" s="30" t="str">
        <x:v>Delivery records do not provide complete end-to-end traceability of online medicine orders.</x:v>
      </x:c>
      <x:c r="D585" s="30" t="str">
        <x:v>High</x:v>
      </x:c>
      <x:c r="E585" s="30" t="str">
        <x:v>Maintain centralized shipment tracking and proof-of-delivery records.</x:v>
      </x:c>
      <x:c r="F585" s="30" t="str">
        <x:v>Digital / E-Pharmacy</x:v>
      </x:c>
      <x:c r="G585" s="30" t="str">
        <x:v>EPHARMACY</x:v>
      </x:c>
      <x:c r="H585" s="30" t="str">
        <x:v>Yes</x:v>
      </x:c>
      <x:c r="I585" s="30" t="str">
        <x:v>Traceability gap.</x:v>
      </x:c>
    </x:row>
    <x:row r="586">
      <x:c r="A586" s="30" t="str">
        <x:v>EOBS015</x:v>
      </x:c>
      <x:c r="B586" s="30" t="str">
        <x:v>EAUD015</x:v>
      </x:c>
      <x:c r="C586" s="30" t="str">
        <x:v>Cold-chain deliveries show temperature excursions without documented investigation or corrective action.</x:v>
      </x:c>
      <x:c r="D586" s="30" t="str">
        <x:v>High</x:v>
      </x:c>
      <x:c r="E586" s="30" t="str">
        <x:v>Monitor cold-chain continuously and investigate every deviation.</x:v>
      </x:c>
      <x:c r="F586" s="30" t="str">
        <x:v>Storage</x:v>
      </x:c>
      <x:c r="G586" s="30" t="str">
        <x:v>EPHARMACY</x:v>
      </x:c>
      <x:c r="H586" s="30" t="str">
        <x:v>Yes</x:v>
      </x:c>
      <x:c r="I586" s="30" t="str">
        <x:v>Product quality risk.</x:v>
      </x:c>
    </x:row>
    <x:row r="587">
      <x:c r="A587" s="30" t="str">
        <x:v>EOBS016</x:v>
      </x:c>
      <x:c r="B587" s="30" t="str">
        <x:v>EAUD016</x:v>
      </x:c>
      <x:c r="C587" s="30" t="str">
        <x:v>Online customer complaints are not investigated or resolved within defined timelines.</x:v>
      </x:c>
      <x:c r="D587" s="30" t="str">
        <x:v>Medium</x:v>
      </x:c>
      <x:c r="E587" s="30" t="str">
        <x:v>Strengthen complaint workflow and CAPA monitoring.</x:v>
      </x:c>
      <x:c r="F587" s="30" t="str">
        <x:v>Digital / E-Pharmacy</x:v>
      </x:c>
      <x:c r="G587" s="30" t="str">
        <x:v>EPHARMACY</x:v>
      </x:c>
      <x:c r="H587" s="30" t="str">
        <x:v>Yes</x:v>
      </x:c>
      <x:c r="I587" s="30" t="str">
        <x:v>Customer service deficiency.</x:v>
      </x:c>
    </x:row>
    <x:row r="588">
      <x:c r="A588" s="30" t="str">
        <x:v>EOBS017</x:v>
      </x:c>
      <x:c r="B588" s="30" t="str">
        <x:v>EAUD017</x:v>
      </x:c>
      <x:c r="C588" s="30" t="str">
        <x:v>Fake prescription detection controls are ineffective or overridden without approval.</x:v>
      </x:c>
      <x:c r="D588" s="30" t="str">
        <x:v>High</x:v>
      </x:c>
      <x:c r="E588" s="30" t="str">
        <x:v>Implement automated fraud detection with pharmacist verification for exceptions.</x:v>
      </x:c>
      <x:c r="F588" s="30" t="str">
        <x:v>Digital / E-Pharmacy</x:v>
      </x:c>
      <x:c r="G588" s="30" t="str">
        <x:v>EPHARMACY</x:v>
      </x:c>
      <x:c r="H588" s="30" t="str">
        <x:v>Yes</x:v>
      </x:c>
      <x:c r="I588" s="30" t="str">
        <x:v>Regulatory and patient safety risk.</x:v>
      </x:c>
    </x:row>
    <x:row r="589">
      <x:c r="A589" s="30" t="str">
        <x:v>EOBS018</x:v>
      </x:c>
      <x:c r="B589" s="30" t="str">
        <x:v>EAUD018</x:v>
      </x:c>
      <x:c r="C589" s="30" t="str">
        <x:v>Fraud monitoring rules fail to identify suspicious online transactions.</x:v>
      </x:c>
      <x:c r="D589" s="30" t="str">
        <x:v>High</x:v>
      </x:c>
      <x:c r="E589" s="30" t="str">
        <x:v>Enhance fraud analytics and investigate all high-risk transactions.</x:v>
      </x:c>
      <x:c r="F589" s="30" t="str">
        <x:v>Digital / E-Pharmacy</x:v>
      </x:c>
      <x:c r="G589" s="30" t="str">
        <x:v>EPHARMACY</x:v>
      </x:c>
      <x:c r="H589" s="30" t="str">
        <x:v>Yes</x:v>
      </x:c>
      <x:c r="I589" s="30" t="str">
        <x:v>Financial fraud exposure.</x:v>
      </x:c>
    </x:row>
    <x:row r="590">
      <x:c r="A590" s="30" t="str">
        <x:v>EOBS019</x:v>
      </x:c>
      <x:c r="B590" s="30" t="str">
        <x:v>EAUD019</x:v>
      </x:c>
      <x:c r="C590" s="30" t="str">
        <x:v>Dispensing transactions cannot be linked to teleconsultation records during audit.</x:v>
      </x:c>
      <x:c r="D590" s="30" t="str">
        <x:v>Medium</x:v>
      </x:c>
      <x:c r="E590" s="30" t="str">
        <x:v>Maintain mandatory consultation identifiers throughout the dispensing process.</x:v>
      </x:c>
      <x:c r="F590" s="30" t="str">
        <x:v>Documentation</x:v>
      </x:c>
      <x:c r="G590" s="30" t="str">
        <x:v>EPHARMACY</x:v>
      </x:c>
      <x:c r="H590" s="30" t="str">
        <x:v>Yes</x:v>
      </x:c>
      <x:c r="I590" s="30" t="str">
        <x:v>Clinical traceability issue.</x:v>
      </x:c>
    </x:row>
    <x:row r="591">
      <x:c r="A591" s="30" t="str">
        <x:v>EOBS020</x:v>
      </x:c>
      <x:c r="B591" s="30" t="str">
        <x:v>EAUD020</x:v>
      </x:c>
      <x:c r="C591" s="30" t="str">
        <x:v>Digital governance reviews do not adequately address cybersecurity, privacy or regulatory compliance risks.</x:v>
      </x:c>
      <x:c r="D591" s="30" t="str">
        <x:v>High</x:v>
      </x:c>
      <x:c r="E591" s="30" t="str">
        <x:v>Conduct structured governance reviews with documented action tracking.</x:v>
      </x:c>
      <x:c r="F591" s="30" t="str">
        <x:v>Digital / E-Pharmacy</x:v>
      </x:c>
      <x:c r="G591" s="30" t="str">
        <x:v>EPHARMACY</x:v>
      </x:c>
      <x:c r="H591" s="30" t="str">
        <x:v>Yes</x:v>
      </x:c>
      <x:c r="I591" s="30" t="str">
        <x:v>Enterprise governance weakness.</x:v>
      </x:c>
    </x:row>
    <x:row r="592">
      <x:c r="A592" s="30" t="str">
        <x:v>EOBS021</x:v>
      </x:c>
      <x:c r="B592" s="30" t="str">
        <x:v>EAUD021</x:v>
      </x:c>
      <x:c r="C592" s="30" t="str">
        <x:v>Multi-factor authentication is not enforced for privileged user accounts.</x:v>
      </x:c>
      <x:c r="D592" s="30" t="str">
        <x:v>High</x:v>
      </x:c>
      <x:c r="E592" s="30" t="str">
        <x:v>Enable mandatory MFA for all privileged and administrative users and periodically review enforcement.</x:v>
      </x:c>
      <x:c r="F592" s="30" t="str">
        <x:v>Other</x:v>
      </x:c>
      <x:c r="G592" s="30" t="str">
        <x:v>EPHARMACY</x:v>
      </x:c>
      <x:c r="H592" s="30" t="str">
        <x:v>Yes</x:v>
      </x:c>
      <x:c r="I592" s="30" t="str">
        <x:v>Identity and access management weakness.</x:v>
      </x:c>
    </x:row>
    <x:row r="593">
      <x:c r="A593" s="30" t="str">
        <x:v>EOBS022</x:v>
      </x:c>
      <x:c r="B593" s="30" t="str">
        <x:v>EAUD022</x:v>
      </x:c>
      <x:c r="C593" s="30" t="str">
        <x:v>User access privileges exceed approved business roles or periodic reviews are not performed.</x:v>
      </x:c>
      <x:c r="D593" s="30" t="str">
        <x:v>High</x:v>
      </x:c>
      <x:c r="E593" s="30" t="str">
        <x:v>Implement role-based access reviews and enforce least-privilege principles.</x:v>
      </x:c>
      <x:c r="F593" s="30" t="str">
        <x:v>Digital / E-Pharmacy</x:v>
      </x:c>
      <x:c r="G593" s="30" t="str">
        <x:v>EPHARMACY</x:v>
      </x:c>
      <x:c r="H593" s="30" t="str">
        <x:v>Yes</x:v>
      </x:c>
      <x:c r="I593" s="30" t="str">
        <x:v>Unauthorized access risk.</x:v>
      </x:c>
    </x:row>
    <x:row r="594">
      <x:c r="A594" s="30" t="str">
        <x:v>EOBS023</x:v>
      </x:c>
      <x:c r="B594" s="30" t="str">
        <x:v>EAUD023</x:v>
      </x:c>
      <x:c r="C594" s="30" t="str">
        <x:v>Sensitive customer information is stored or transmitted without adequate encryption.</x:v>
      </x:c>
      <x:c r="D594" s="30" t="str">
        <x:v>High</x:v>
      </x:c>
      <x:c r="E594" s="30" t="str">
        <x:v>Enforce encryption standards and periodically validate encryption controls.</x:v>
      </x:c>
      <x:c r="F594" s="30" t="str">
        <x:v>Other</x:v>
      </x:c>
      <x:c r="G594" s="30" t="str">
        <x:v>EPHARMACY</x:v>
      </x:c>
      <x:c r="H594" s="30" t="str">
        <x:v>Yes</x:v>
      </x:c>
      <x:c r="I594" s="30" t="str">
        <x:v>Data confidentiality risk.</x:v>
      </x:c>
    </x:row>
    <x:row r="595">
      <x:c r="A595" s="30" t="str">
        <x:v>EOBS024</x:v>
      </x:c>
      <x:c r="B595" s="30" t="str">
        <x:v>EAUD024</x:v>
      </x:c>
      <x:c r="C595" s="30" t="str">
        <x:v>Backup restoration testing is incomplete or disaster recovery procedures are outdated.</x:v>
      </x:c>
      <x:c r="D595" s="30" t="str">
        <x:v>High</x:v>
      </x:c>
      <x:c r="E595" s="30" t="str">
        <x:v>Perform scheduled recovery testing and update disaster recovery plans.</x:v>
      </x:c>
      <x:c r="F595" s="30" t="str">
        <x:v>Other</x:v>
      </x:c>
      <x:c r="G595" s="30" t="str">
        <x:v>EPHARMACY</x:v>
      </x:c>
      <x:c r="H595" s="30" t="str">
        <x:v>Yes</x:v>
      </x:c>
      <x:c r="I595" s="30" t="str">
        <x:v>Business continuity gap.</x:v>
      </x:c>
    </x:row>
    <x:row r="596">
      <x:c r="A596" s="30" t="str">
        <x:v>EOBS025</x:v>
      </x:c>
      <x:c r="B596" s="30" t="str">
        <x:v>EAUD025</x:v>
      </x:c>
      <x:c r="C596" s="30" t="str">
        <x:v>Information security incidents are not investigated or closed within approved timelines.</x:v>
      </x:c>
      <x:c r="D596" s="30" t="str">
        <x:v>High</x:v>
      </x:c>
      <x:c r="E596" s="30" t="str">
        <x:v>Strengthen incident response governance and monitor CAPA implementation.</x:v>
      </x:c>
      <x:c r="F596" s="30" t="str">
        <x:v>Digital / E-Pharmacy</x:v>
      </x:c>
      <x:c r="G596" s="30" t="str">
        <x:v>EPHARMACY</x:v>
      </x:c>
      <x:c r="H596" s="30" t="str">
        <x:v>Yes</x:v>
      </x:c>
      <x:c r="I596" s="30" t="str">
        <x:v>Cybersecurity governance issue.</x:v>
      </x:c>
    </x:row>
    <x:row r="597">
      <x:c r="A597" s="30" t="str">
        <x:v>EOBS026</x:v>
      </x:c>
      <x:c r="B597" s="30" t="str">
        <x:v>EAUD026</x:v>
      </x:c>
      <x:c r="C597" s="30" t="str">
        <x:v>Customer data retention exceeds approved retention schedules.</x:v>
      </x:c>
      <x:c r="D597" s="30" t="str">
        <x:v>Medium</x:v>
      </x:c>
      <x:c r="E597" s="30" t="str">
        <x:v>Apply automated retention controls and periodic compliance reviews.</x:v>
      </x:c>
      <x:c r="F597" s="30" t="str">
        <x:v>Digital / E-Pharmacy</x:v>
      </x:c>
      <x:c r="G597" s="30" t="str">
        <x:v>EPHARMACY</x:v>
      </x:c>
      <x:c r="H597" s="30" t="str">
        <x:v>Yes</x:v>
      </x:c>
      <x:c r="I597" s="30" t="str">
        <x:v>Privacy compliance issue.</x:v>
      </x:c>
    </x:row>
    <x:row r="598">
      <x:c r="A598" s="30" t="str">
        <x:v>EOBS027</x:v>
      </x:c>
      <x:c r="B598" s="30" t="str">
        <x:v>EAUD027</x:v>
      </x:c>
      <x:c r="C598" s="30" t="str">
        <x:v>Customer data deletion requests are not processed securely or completely.</x:v>
      </x:c>
      <x:c r="D598" s="30" t="str">
        <x:v>Medium</x:v>
      </x:c>
      <x:c r="E598" s="30" t="str">
        <x:v>Implement secure deletion workflows with verification logs.</x:v>
      </x:c>
      <x:c r="F598" s="30" t="str">
        <x:v>Documentation</x:v>
      </x:c>
      <x:c r="G598" s="30" t="str">
        <x:v>EPHARMACY</x:v>
      </x:c>
      <x:c r="H598" s="30" t="str">
        <x:v>Yes</x:v>
      </x:c>
      <x:c r="I598" s="30" t="str">
        <x:v>Data privacy risk.</x:v>
      </x:c>
    </x:row>
    <x:row r="599">
      <x:c r="A599" s="30" t="str">
        <x:v>EOBS028</x:v>
      </x:c>
      <x:c r="B599" s="30" t="str">
        <x:v>EAUD028</x:v>
      </x:c>
      <x:c r="C599" s="30" t="str">
        <x:v>Third-party technology providers have not completed required security or compliance assessments.</x:v>
      </x:c>
      <x:c r="D599" s="30" t="str">
        <x:v>High</x:v>
      </x:c>
      <x:c r="E599" s="30" t="str">
        <x:v>Complete vendor due diligence before onboarding and perform periodic reassessments.</x:v>
      </x:c>
      <x:c r="F599" s="30" t="str">
        <x:v>Documentation</x:v>
      </x:c>
      <x:c r="G599" s="30" t="str">
        <x:v>EPHARMACY</x:v>
      </x:c>
      <x:c r="H599" s="30" t="str">
        <x:v>Yes</x:v>
      </x:c>
      <x:c r="I599" s="30" t="str">
        <x:v>Third-party risk management weakness.</x:v>
      </x:c>
    </x:row>
    <x:row r="600">
      <x:c r="A600" s="30" t="str">
        <x:v>EOBS029</x:v>
      </x:c>
      <x:c r="B600" s="30" t="str">
        <x:v>EAUD029</x:v>
      </x:c>
      <x:c r="C600" s="30" t="str">
        <x:v>APIs expose excessive functionality or lack adequate authentication and monitoring.</x:v>
      </x:c>
      <x:c r="D600" s="30" t="str">
        <x:v>High</x:v>
      </x:c>
      <x:c r="E600" s="30" t="str">
        <x:v>Implement API security controls including authentication, authorization and continuous monitoring.</x:v>
      </x:c>
      <x:c r="F600" s="30" t="str">
        <x:v>Other</x:v>
      </x:c>
      <x:c r="G600" s="30" t="str">
        <x:v>EPHARMACY</x:v>
      </x:c>
      <x:c r="H600" s="30" t="str">
        <x:v>Yes</x:v>
      </x:c>
      <x:c r="I600" s="30" t="str">
        <x:v>Application security deficiency.</x:v>
      </x:c>
    </x:row>
    <x:row r="601">
      <x:c r="A601" s="30" t="str">
        <x:v>EOBS030</x:v>
      </x:c>
      <x:c r="B601" s="30" t="str">
        <x:v>EAUD030</x:v>
      </x:c>
      <x:c r="C601" s="30" t="str">
        <x:v>Secure SDLC activities such as code review or security testing are not consistently performed.</x:v>
      </x:c>
      <x:c r="D601" s="30" t="str">
        <x:v>High</x:v>
      </x:c>
      <x:c r="E601" s="30" t="str">
        <x:v>Enforce Secure SDLC requirements before every production release.</x:v>
      </x:c>
      <x:c r="F601" s="30" t="str">
        <x:v>Other</x:v>
      </x:c>
      <x:c r="G601" s="30" t="str">
        <x:v>EPHARMACY</x:v>
      </x:c>
      <x:c r="H601" s="30" t="str">
        <x:v>Yes</x:v>
      </x:c>
      <x:c r="I601" s="30" t="str">
        <x:v>Software security risk.</x:v>
      </x:c>
    </x:row>
    <x:row r="602">
      <x:c r="A602" s="30" t="str">
        <x:v>EOBS031</x:v>
      </x:c>
      <x:c r="B602" s="30" t="str">
        <x:v>EAUD031</x:v>
      </x:c>
      <x:c r="C602" s="30" t="str">
        <x:v>Critical vulnerabilities identified during VAPT remain unresolved beyond approved timelines.</x:v>
      </x:c>
      <x:c r="D602" s="30" t="str">
        <x:v>High</x:v>
      </x:c>
      <x:c r="E602" s="30" t="str">
        <x:v>Track remediation to closure and validate effectiveness through re-testing.</x:v>
      </x:c>
      <x:c r="F602" s="30" t="str">
        <x:v>Digital / E-Pharmacy</x:v>
      </x:c>
      <x:c r="G602" s="30" t="str">
        <x:v>EPHARMACY</x:v>
      </x:c>
      <x:c r="H602" s="30" t="str">
        <x:v>Yes</x:v>
      </x:c>
      <x:c r="I602" s="30" t="str">
        <x:v>Vulnerability management weakness.</x:v>
      </x:c>
    </x:row>
    <x:row r="603">
      <x:c r="A603" s="30" t="str">
        <x:v>EOBS032</x:v>
      </x:c>
      <x:c r="B603" s="30" t="str">
        <x:v>EAUD032</x:v>
      </x:c>
      <x:c r="C603" s="30" t="str">
        <x:v>Security alerts are not monitored continuously or escalated promptly.</x:v>
      </x:c>
      <x:c r="D603" s="30" t="str">
        <x:v>High</x:v>
      </x:c>
      <x:c r="E603" s="30" t="str">
        <x:v>Strengthen SOC monitoring and incident escalation procedures.</x:v>
      </x:c>
      <x:c r="F603" s="30" t="str">
        <x:v>Other</x:v>
      </x:c>
      <x:c r="G603" s="30" t="str">
        <x:v>EPHARMACY</x:v>
      </x:c>
      <x:c r="H603" s="30" t="str">
        <x:v>Yes</x:v>
      </x:c>
      <x:c r="I603" s="30" t="str">
        <x:v>Threat detection weakness.</x:v>
      </x:c>
    </x:row>
    <x:row r="604">
      <x:c r="A604" s="30" t="str">
        <x:v>EOBS033</x:v>
      </x:c>
      <x:c r="B604" s="30" t="str">
        <x:v>EAUD033</x:v>
      </x:c>
      <x:c r="C604" s="30" t="str">
        <x:v>Duplicate prescription detection controls fail to identify abnormal ordering patterns.</x:v>
      </x:c>
      <x:c r="D604" s="30" t="str">
        <x:v>Medium</x:v>
      </x:c>
      <x:c r="E604" s="30" t="str">
        <x:v>Enhance duplicate order detection algorithms and investigate exceptions.</x:v>
      </x:c>
      <x:c r="F604" s="30" t="str">
        <x:v>Prescription</x:v>
      </x:c>
      <x:c r="G604" s="30" t="str">
        <x:v>EPHARMACY</x:v>
      </x:c>
      <x:c r="H604" s="30" t="str">
        <x:v>Yes</x:v>
      </x:c>
      <x:c r="I604" s="30" t="str">
        <x:v>Fraud prevention opportunity.</x:v>
      </x:c>
    </x:row>
    <x:row r="605">
      <x:c r="A605" s="30" t="str">
        <x:v>EOBS034</x:v>
      </x:c>
      <x:c r="B605" s="30" t="str">
        <x:v>EAUD034</x:v>
      </x:c>
      <x:c r="C605" s="30" t="str">
        <x:v>Restricted medicines are dispensed online without complete statutory validation.</x:v>
      </x:c>
      <x:c r="D605" s="30" t="str">
        <x:v>High</x:v>
      </x:c>
      <x:c r="E605" s="30" t="str">
        <x:v>Strengthen prescription validation and regulatory approval controls.</x:v>
      </x:c>
      <x:c r="F605" s="30" t="str">
        <x:v>Digital / E-Pharmacy</x:v>
      </x:c>
      <x:c r="G605" s="30" t="str">
        <x:v>EPHARMACY</x:v>
      </x:c>
      <x:c r="H605" s="30" t="str">
        <x:v>Yes</x:v>
      </x:c>
      <x:c r="I605" s="30" t="str">
        <x:v>Regulatory compliance risk.</x:v>
      </x:c>
    </x:row>
    <x:row r="606">
      <x:c r="A606" s="30" t="str">
        <x:v>EOBS035</x:v>
      </x:c>
      <x:c r="B606" s="30" t="str">
        <x:v>EAUD035</x:v>
      </x:c>
      <x:c r="C606" s="30" t="str">
        <x:v>Refunds or cancellations are processed outside approved authorization workflows.</x:v>
      </x:c>
      <x:c r="D606" s="30" t="str">
        <x:v>Medium</x:v>
      </x:c>
      <x:c r="E606" s="30" t="str">
        <x:v>Require documented approvals and maintain complete audit trails.</x:v>
      </x:c>
      <x:c r="F606" s="30" t="str">
        <x:v>Digital / E-Pharmacy</x:v>
      </x:c>
      <x:c r="G606" s="30" t="str">
        <x:v>EPHARMACY</x:v>
      </x:c>
      <x:c r="H606" s="30" t="str">
        <x:v>Yes</x:v>
      </x:c>
      <x:c r="I606" s="30" t="str">
        <x:v>Financial control weakness.</x:v>
      </x:c>
    </x:row>
    <x:row r="607">
      <x:c r="A607" s="30" t="str">
        <x:v>EOBS036</x:v>
      </x:c>
      <x:c r="B607" s="30" t="str">
        <x:v>EAUD036</x:v>
      </x:c>
      <x:c r="C607" s="30" t="str">
        <x:v>Customers do not receive timely notifications regarding order status or regulatory events.</x:v>
      </x:c>
      <x:c r="D607" s="30" t="str">
        <x:v>Medium</x:v>
      </x:c>
      <x:c r="E607" s="30" t="str">
        <x:v>Configure automated notifications and monitor delivery success rates.</x:v>
      </x:c>
      <x:c r="F607" s="30" t="str">
        <x:v>Regulatory Filing</x:v>
      </x:c>
      <x:c r="G607" s="30" t="str">
        <x:v>EPHARMACY</x:v>
      </x:c>
      <x:c r="H607" s="30" t="str">
        <x:v>Yes</x:v>
      </x:c>
      <x:c r="I607" s="30" t="str">
        <x:v>Customer communication issue.</x:v>
      </x:c>
    </x:row>
    <x:row r="608">
      <x:c r="A608" s="30" t="str">
        <x:v>EOBS037</x:v>
      </x:c>
      <x:c r="B608" s="30" t="str">
        <x:v>EAUD037</x:v>
      </x:c>
      <x:c r="C608" s="30" t="str">
        <x:v>Electronic regulatory documents cannot be authenticated or validated.</x:v>
      </x:c>
      <x:c r="D608" s="30" t="str">
        <x:v>Medium</x:v>
      </x:c>
      <x:c r="E608" s="30" t="str">
        <x:v>Apply digital signatures and periodically verify document integrity.</x:v>
      </x:c>
      <x:c r="F608" s="30" t="str">
        <x:v>Digital / E-Pharmacy</x:v>
      </x:c>
      <x:c r="G608" s="30" t="str">
        <x:v>EPHARMACY</x:v>
      </x:c>
      <x:c r="H608" s="30" t="str">
        <x:v>Yes</x:v>
      </x:c>
      <x:c r="I608" s="30" t="str">
        <x:v>Document authenticity concern.</x:v>
      </x:c>
    </x:row>
    <x:row r="609">
      <x:c r="A609" s="30" t="str">
        <x:v>EOBS038</x:v>
      </x:c>
      <x:c r="B609" s="30" t="str">
        <x:v>EAUD038</x:v>
      </x:c>
      <x:c r="C609" s="30" t="str">
        <x:v>Compliance analytics are not reviewed or emerging regulatory trends remain unidentified.</x:v>
      </x:c>
      <x:c r="D609" s="30" t="str">
        <x:v>Medium</x:v>
      </x:c>
      <x:c r="E609" s="30" t="str">
        <x:v>Review compliance dashboards regularly and implement preventive actions.</x:v>
      </x:c>
      <x:c r="F609" s="30" t="str">
        <x:v>Regulatory Filing</x:v>
      </x:c>
      <x:c r="G609" s="30" t="str">
        <x:v>EPHARMACY</x:v>
      </x:c>
      <x:c r="H609" s="30" t="str">
        <x:v>Yes</x:v>
      </x:c>
      <x:c r="I609" s="30" t="str">
        <x:v>Compliance monitoring gap.</x:v>
      </x:c>
    </x:row>
    <x:row r="610">
      <x:c r="A610" s="30" t="str">
        <x:v>EOBS039</x:v>
      </x:c>
      <x:c r="B610" s="30" t="str">
        <x:v>EAUD039</x:v>
      </x:c>
      <x:c r="C610" s="30" t="str">
        <x:v>Platform availability consistently falls below approved service levels.</x:v>
      </x:c>
      <x:c r="D610" s="30" t="str">
        <x:v>High</x:v>
      </x:c>
      <x:c r="E610" s="30" t="str">
        <x:v>Monitor SLA performance continuously and investigate service interruptions.</x:v>
      </x:c>
      <x:c r="F610" s="30" t="str">
        <x:v>Digital / E-Pharmacy</x:v>
      </x:c>
      <x:c r="G610" s="30" t="str">
        <x:v>EPHARMACY</x:v>
      </x:c>
      <x:c r="H610" s="30" t="str">
        <x:v>Yes</x:v>
      </x:c>
      <x:c r="I610" s="30" t="str">
        <x:v>Operational resilience issue.</x:v>
      </x:c>
    </x:row>
    <x:row r="611">
      <x:c r="A611" s="30" t="str">
        <x:v>EOBS040</x:v>
      </x:c>
      <x:c r="B611" s="30" t="str">
        <x:v>EAUD040</x:v>
      </x:c>
      <x:c r="C611" s="30" t="str">
        <x:v>Digital Governance Committee reviews are irregular or action items remain unresolved.</x:v>
      </x:c>
      <x:c r="D611" s="30" t="str">
        <x:v>High</x:v>
      </x:c>
      <x:c r="E611" s="30" t="str">
        <x:v>Conduct quarterly governance reviews and monitor timely closure of actions.</x:v>
      </x:c>
      <x:c r="F611" s="30" t="str">
        <x:v>Digital / E-Pharmacy</x:v>
      </x:c>
      <x:c r="G611" s="30" t="str">
        <x:v>EPHARMACY</x:v>
      </x:c>
      <x:c r="H611" s="30" t="str">
        <x:v>Yes</x:v>
      </x:c>
      <x:c r="I611" s="30" t="str">
        <x:v>Enterprise governance deficiency.</x:v>
      </x:c>
    </x:row>
    <x:row r="612">
      <x:c r="A612" s="30" t="str">
        <x:v>EOBS041</x:v>
      </x:c>
      <x:c r="B612" s="30" t="str">
        <x:v>EAUD041</x:v>
      </x:c>
      <x:c r="C612" s="30" t="str">
        <x:v>Customer grievances are not acknowledged, investigated or resolved within approved timelines.</x:v>
      </x:c>
      <x:c r="D612" s="30" t="str">
        <x:v>High</x:v>
      </x:c>
      <x:c r="E612" s="30" t="str">
        <x:v>Implement SLA-based grievance management with escalation monitoring and periodic management review.</x:v>
      </x:c>
      <x:c r="F612" s="30" t="str">
        <x:v>Digital / E-Pharmacy</x:v>
      </x:c>
      <x:c r="G612" s="30" t="str">
        <x:v>EPHARMACY</x:v>
      </x:c>
      <x:c r="H612" s="30" t="str">
        <x:v>Yes</x:v>
      </x:c>
      <x:c r="I612" s="30" t="str">
        <x:v>Consumer protection deficiency.</x:v>
      </x:c>
    </x:row>
    <x:row r="613">
      <x:c r="A613" s="30" t="str">
        <x:v>EOBS042</x:v>
      </x:c>
      <x:c r="B613" s="30" t="str">
        <x:v>EAUD042</x:v>
      </x:c>
      <x:c r="C613" s="30" t="str">
        <x:v>Marketplace seller verification records are incomplete or periodic compliance reviews are not performed.</x:v>
      </x:c>
      <x:c r="D613" s="30" t="str">
        <x:v>High</x:v>
      </x:c>
      <x:c r="E613" s="30" t="str">
        <x:v>Complete seller due diligence before onboarding and conduct scheduled compliance reassessments.</x:v>
      </x:c>
      <x:c r="F613" s="30" t="str">
        <x:v>Documentation</x:v>
      </x:c>
      <x:c r="G613" s="30" t="str">
        <x:v>EPHARMACY</x:v>
      </x:c>
      <x:c r="H613" s="30" t="str">
        <x:v>Yes</x:v>
      </x:c>
      <x:c r="I613" s="30" t="str">
        <x:v>Marketplace governance weakness.</x:v>
      </x:c>
    </x:row>
    <x:row r="614">
      <x:c r="A614" s="30" t="str">
        <x:v>EOBS043</x:v>
      </x:c>
      <x:c r="B614" s="30" t="str">
        <x:v>EAUD043</x:v>
      </x:c>
      <x:c r="C614" s="30" t="str">
        <x:v>Medicine advertisements are published without documented regulatory approval.</x:v>
      </x:c>
      <x:c r="D614" s="30" t="str">
        <x:v>High</x:v>
      </x:c>
      <x:c r="E614" s="30" t="str">
        <x:v>Introduce mandatory pre-publication regulatory review and maintain advertisement approval records.</x:v>
      </x:c>
      <x:c r="F614" s="30" t="str">
        <x:v>Digital / E-Pharmacy</x:v>
      </x:c>
      <x:c r="G614" s="30" t="str">
        <x:v>EPHARMACY</x:v>
      </x:c>
      <x:c r="H614" s="30" t="str">
        <x:v>Yes</x:v>
      </x:c>
      <x:c r="I614" s="30" t="str">
        <x:v>Advertising compliance risk.</x:v>
      </x:c>
    </x:row>
    <x:row r="615">
      <x:c r="A615" s="30" t="str">
        <x:v>EOBS044</x:v>
      </x:c>
      <x:c r="B615" s="30" t="str">
        <x:v>EAUD044</x:v>
      </x:c>
      <x:c r="C615" s="30" t="str">
        <x:v>Product search or recommendation algorithms promote medicines contrary to approved governance rules.</x:v>
      </x:c>
      <x:c r="D615" s="30" t="str">
        <x:v>High</x:v>
      </x:c>
      <x:c r="E615" s="30" t="str">
        <x:v>Periodically validate recommendation logic and document governance approvals.</x:v>
      </x:c>
      <x:c r="F615" s="30" t="str">
        <x:v>Digital / E-Pharmacy</x:v>
      </x:c>
      <x:c r="G615" s="30" t="str">
        <x:v>EPHARMACY</x:v>
      </x:c>
      <x:c r="H615" s="30" t="str">
        <x:v>Yes</x:v>
      </x:c>
      <x:c r="I615" s="30" t="str">
        <x:v>Digital platform governance issue.</x:v>
      </x:c>
    </x:row>
    <x:row r="616">
      <x:c r="A616" s="30" t="str">
        <x:v>EOBS045</x:v>
      </x:c>
      <x:c r="B616" s="30" t="str">
        <x:v>EAUD045</x:v>
      </x:c>
      <x:c r="C616" s="30" t="str">
        <x:v>Prescription order cancellations are processed without documented justification or approval.</x:v>
      </x:c>
      <x:c r="D616" s="30" t="str">
        <x:v>Medium</x:v>
      </x:c>
      <x:c r="E616" s="30" t="str">
        <x:v>Record cancellation reasons, approvals and maintain complete audit trails.</x:v>
      </x:c>
      <x:c r="F616" s="30" t="str">
        <x:v>Digital / E-Pharmacy</x:v>
      </x:c>
      <x:c r="G616" s="30" t="str">
        <x:v>EPHARMACY</x:v>
      </x:c>
      <x:c r="H616" s="30" t="str">
        <x:v>Yes</x:v>
      </x:c>
      <x:c r="I616" s="30" t="str">
        <x:v>Order management control weakness.</x:v>
      </x:c>
    </x:row>
    <x:row r="617">
      <x:c r="A617" s="30" t="str">
        <x:v>EOBS046</x:v>
      </x:c>
      <x:c r="B617" s="30" t="str">
        <x:v>EAUD046</x:v>
      </x:c>
      <x:c r="C617" s="30" t="str">
        <x:v>Returned medicines are accepted without documented inspection or disposition decision.</x:v>
      </x:c>
      <x:c r="D617" s="30" t="str">
        <x:v>High</x:v>
      </x:c>
      <x:c r="E617" s="30" t="str">
        <x:v>Strengthen return inspection procedures and maintain documented disposition records.</x:v>
      </x:c>
      <x:c r="F617" s="30" t="str">
        <x:v>Regulatory Filing</x:v>
      </x:c>
      <x:c r="G617" s="30" t="str">
        <x:v>EPHARMACY</x:v>
      </x:c>
      <x:c r="H617" s="30" t="str">
        <x:v>Yes</x:v>
      </x:c>
      <x:c r="I617" s="30" t="str">
        <x:v>Product quality and patient safety risk.</x:v>
      </x:c>
    </x:row>
    <x:row r="618">
      <x:c r="A618" s="30" t="str">
        <x:v>EOBS047</x:v>
      </x:c>
      <x:c r="B618" s="30" t="str">
        <x:v>EAUD047</x:v>
      </x:c>
      <x:c r="C618" s="30" t="str">
        <x:v>Failed deliveries are not investigated or medicine integrity is not verified before re-dispatch.</x:v>
      </x:c>
      <x:c r="D618" s="30" t="str">
        <x:v>Medium</x:v>
      </x:c>
      <x:c r="E618" s="30" t="str">
        <x:v>Verify storage conditions, inspect returned consignments and document re-dispatch approvals.</x:v>
      </x:c>
      <x:c r="F618" s="30" t="str">
        <x:v>Digital / E-Pharmacy</x:v>
      </x:c>
      <x:c r="G618" s="30" t="str">
        <x:v>EPHARMACY</x:v>
      </x:c>
      <x:c r="H618" s="30" t="str">
        <x:v>Yes</x:v>
      </x:c>
      <x:c r="I618" s="30" t="str">
        <x:v>Logistics and product integrity issue.</x:v>
      </x:c>
    </x:row>
    <x:row r="619">
      <x:c r="A619" s="30" t="str">
        <x:v>EOBS048</x:v>
      </x:c>
      <x:c r="B619" s="30" t="str">
        <x:v>EAUD048</x:v>
      </x:c>
      <x:c r="C619" s="30" t="str">
        <x:v>Product information displayed on the platform is inaccurate, outdated or lacks documented approval.</x:v>
      </x:c>
      <x:c r="D619" s="30" t="str">
        <x:v>High</x:v>
      </x:c>
      <x:c r="E619" s="30" t="str">
        <x:v>Periodically review product catalogue content and maintain approval history.</x:v>
      </x:c>
      <x:c r="F619" s="30" t="str">
        <x:v>Digital / E-Pharmacy</x:v>
      </x:c>
      <x:c r="G619" s="30" t="str">
        <x:v>EPHARMACY</x:v>
      </x:c>
      <x:c r="H619" s="30" t="str">
        <x:v>Yes</x:v>
      </x:c>
      <x:c r="I619" s="30" t="str">
        <x:v>Regulatory information risk.</x:v>
      </x:c>
    </x:row>
    <x:row r="620">
      <x:c r="A620" s="30" t="str">
        <x:v>EOBS049</x:v>
      </x:c>
      <x:c r="B620" s="30" t="str">
        <x:v>EAUD049</x:v>
      </x:c>
      <x:c r="C620" s="30" t="str">
        <x:v>Digital transaction audit trails are incomplete, alterable or unavailable for regulatory review.</x:v>
      </x:c>
      <x:c r="D620" s="30" t="str">
        <x:v>High</x:v>
      </x:c>
      <x:c r="E620" s="30" t="str">
        <x:v>Implement immutable audit logging with periodic integrity verification and retention monitoring.</x:v>
      </x:c>
      <x:c r="F620" s="30" t="str">
        <x:v>Digital / E-Pharmacy</x:v>
      </x:c>
      <x:c r="G620" s="30" t="str">
        <x:v>EPHARMACY</x:v>
      </x:c>
      <x:c r="H620" s="30" t="str">
        <x:v>Yes</x:v>
      </x:c>
      <x:c r="I620" s="30" t="str">
        <x:v>Auditability deficiency.</x:v>
      </x:c>
    </x:row>
    <x:row r="621">
      <x:c r="A621" s="30" t="str">
        <x:v>EOBS050</x:v>
      </x:c>
      <x:c r="B621" s="30" t="str">
        <x:v>EAUD050</x:v>
      </x:c>
      <x:c r="C621" s="30" t="str">
        <x:v>Executive management reviews do not adequately monitor digital compliance, cybersecurity, privacy or operational risks.</x:v>
      </x:c>
      <x:c r="D621" s="30" t="str">
        <x:v>High</x:v>
      </x:c>
      <x:c r="E621" s="30" t="str">
        <x:v>Conduct quarterly enterprise governance reviews with documented decisions, action plans and follow-up verification.</x:v>
      </x:c>
      <x:c r="F621" s="30" t="str">
        <x:v>Digital / E-Pharmacy</x:v>
      </x:c>
      <x:c r="G621" s="30" t="str">
        <x:v>EPHARMACY</x:v>
      </x:c>
      <x:c r="H621" s="30" t="str">
        <x:v>Yes</x:v>
      </x:c>
      <x:c r="I621" s="30" t="str">
        <x:v>Enterprise governance weakness.</x:v>
      </x:c>
    </x:row>
    <x:row r="622">
      <x:c r="A622" s="30" t="str">
        <x:v>IOBS001</x:v>
      </x:c>
      <x:c r="B622" s="30" t="str">
        <x:v>IAUD001</x:v>
      </x:c>
      <x:c r="C622" s="30" t="str">
        <x:v>Medicines are supplied to institutional departments without documented authorization or approval.</x:v>
      </x:c>
      <x:c r="D622" s="30" t="str">
        <x:v>High</x:v>
      </x:c>
      <x:c r="E622" s="30" t="str">
        <x:v>Maintain an approved institutional customer register and verify authorization before every supply.</x:v>
      </x:c>
      <x:c r="F622" s="30" t="str">
        <x:v>Digital / E-Pharmacy</x:v>
      </x:c>
      <x:c r="G622" s="30" t="str">
        <x:v>INSTITUTIONAL</x:v>
      </x:c>
      <x:c r="H622" s="30" t="str">
        <x:v>Yes</x:v>
      </x:c>
      <x:c r="I622" s="30" t="str">
        <x:v>Regulatory compliance deficiency.</x:v>
      </x:c>
    </x:row>
    <x:row r="623">
      <x:c r="A623" s="30" t="str">
        <x:v>IOBS002</x:v>
      </x:c>
      <x:c r="B623" s="30" t="str">
        <x:v>IAUD002</x:v>
      </x:c>
      <x:c r="C623" s="30" t="str">
        <x:v>Bulk medicine requisitions are processed without appropriate approval or supporting documentation.</x:v>
      </x:c>
      <x:c r="D623" s="30" t="str">
        <x:v>High</x:v>
      </x:c>
      <x:c r="E623" s="30" t="str">
        <x:v>Implement controlled approval workflow with documented authorization and periodic review.</x:v>
      </x:c>
      <x:c r="F623" s="30" t="str">
        <x:v>Digital / E-Pharmacy</x:v>
      </x:c>
      <x:c r="G623" s="30" t="str">
        <x:v>INSTITUTIONAL</x:v>
      </x:c>
      <x:c r="H623" s="30" t="str">
        <x:v>Yes</x:v>
      </x:c>
      <x:c r="I623" s="30" t="str">
        <x:v>Inventory governance weakness.</x:v>
      </x:c>
    </x:row>
    <x:row r="624">
      <x:c r="A624" s="30" t="str">
        <x:v>IOBS003</x:v>
      </x:c>
      <x:c r="B624" s="30" t="str">
        <x:v>IAUD003</x:v>
      </x:c>
      <x:c r="C624" s="30" t="str">
        <x:v>Department-level medicine issues cannot be fully traced by batch or quantity.</x:v>
      </x:c>
      <x:c r="D624" s="30" t="str">
        <x:v>High</x:v>
      </x:c>
      <x:c r="E624" s="30" t="str">
        <x:v>Maintain complete issue registers with batch-level traceability.</x:v>
      </x:c>
      <x:c r="F624" s="30" t="str">
        <x:v>Inventory</x:v>
      </x:c>
      <x:c r="G624" s="30" t="str">
        <x:v>INSTITUTIONAL</x:v>
      </x:c>
      <x:c r="H624" s="30" t="str">
        <x:v>Yes</x:v>
      </x:c>
      <x:c r="I624" s="30" t="str">
        <x:v>Patient safety and recall risk.</x:v>
      </x:c>
    </x:row>
    <x:row r="625">
      <x:c r="A625" s="30" t="str">
        <x:v>IOBS004</x:v>
      </x:c>
      <x:c r="B625" s="30" t="str">
        <x:v>IAUD004</x:v>
      </x:c>
      <x:c r="C625" s="30" t="str">
        <x:v>Pharmacy inventory and departmental stock records are not reconciled regularly.</x:v>
      </x:c>
      <x:c r="D625" s="30" t="str">
        <x:v>High</x:v>
      </x:c>
      <x:c r="E625" s="30" t="str">
        <x:v>Perform scheduled reconciliations and investigate discrepancies immediately.</x:v>
      </x:c>
      <x:c r="F625" s="30" t="str">
        <x:v>Inventory</x:v>
      </x:c>
      <x:c r="G625" s="30" t="str">
        <x:v>INSTITUTIONAL</x:v>
      </x:c>
      <x:c r="H625" s="30" t="str">
        <x:v>Yes</x:v>
      </x:c>
      <x:c r="I625" s="30" t="str">
        <x:v>Inventory control weakness.</x:v>
      </x:c>
    </x:row>
    <x:row r="626">
      <x:c r="A626" s="30" t="str">
        <x:v>IOBS005</x:v>
      </x:c>
      <x:c r="B626" s="30" t="str">
        <x:v>IAUD005</x:v>
      </x:c>
      <x:c r="C626" s="30" t="str">
        <x:v>Returned medicines are accepted without documented inspection or disposition decision.</x:v>
      </x:c>
      <x:c r="D626" s="30" t="str">
        <x:v>Medium</x:v>
      </x:c>
      <x:c r="E626" s="30" t="str">
        <x:v>Establish formal inspection, approval and disposition procedures for all returned medicines.</x:v>
      </x:c>
      <x:c r="F626" s="30" t="str">
        <x:v>Digital / E-Pharmacy</x:v>
      </x:c>
      <x:c r="G626" s="30" t="str">
        <x:v>INSTITUTIONAL</x:v>
      </x:c>
      <x:c r="H626" s="30" t="str">
        <x:v>Yes</x:v>
      </x:c>
      <x:c r="I626" s="30" t="str">
        <x:v>Product quality concern.</x:v>
      </x:c>
    </x:row>
    <x:row r="627">
      <x:c r="A627" s="30" t="str">
        <x:v>IOBS006</x:v>
      </x:c>
      <x:c r="B627" s="30" t="str">
        <x:v>IAUD006</x:v>
      </x:c>
      <x:c r="C627" s="30" t="str">
        <x:v>Emergency medicine stocks are incomplete, expired or not periodically verified.</x:v>
      </x:c>
      <x:c r="D627" s="30" t="str">
        <x:v>High</x:v>
      </x:c>
      <x:c r="E627" s="30" t="str">
        <x:v>Maintain emergency stock lists and conduct routine stock verification exercises.</x:v>
      </x:c>
      <x:c r="F627" s="30" t="str">
        <x:v>Storage</x:v>
      </x:c>
      <x:c r="G627" s="30" t="str">
        <x:v>INSTITUTIONAL</x:v>
      </x:c>
      <x:c r="H627" s="30" t="str">
        <x:v>Yes</x:v>
      </x:c>
      <x:c r="I627" s="30" t="str">
        <x:v>Emergency preparedness gap.</x:v>
      </x:c>
    </x:row>
    <x:row r="628">
      <x:c r="A628" s="30" t="str">
        <x:v>IOBS007</x:v>
      </x:c>
      <x:c r="B628" s="30" t="str">
        <x:v>IAUD007</x:v>
      </x:c>
      <x:c r="C628" s="30" t="str">
        <x:v>Controlled medicines issued to institutional units are not reconciled or documented completely.</x:v>
      </x:c>
      <x:c r="D628" s="30" t="str">
        <x:v>High</x:v>
      </x:c>
      <x:c r="E628" s="30" t="str">
        <x:v>Strengthen controlled medicine reconciliation and supervisory review.</x:v>
      </x:c>
      <x:c r="F628" s="30" t="str">
        <x:v>Documentation</x:v>
      </x:c>
      <x:c r="G628" s="30" t="str">
        <x:v>INSTITUTIONAL</x:v>
      </x:c>
      <x:c r="H628" s="30" t="str">
        <x:v>Yes</x:v>
      </x:c>
      <x:c r="I628" s="30" t="str">
        <x:v>Controlled substance compliance risk.</x:v>
      </x:c>
    </x:row>
    <x:row r="629">
      <x:c r="A629" s="30" t="str">
        <x:v>IOBS008</x:v>
      </x:c>
      <x:c r="B629" s="30" t="str">
        <x:v>IAUD008</x:v>
      </x:c>
      <x:c r="C629" s="30" t="str">
        <x:v>Institutional medicine supply agreements are outdated, incomplete or not periodically reviewed.</x:v>
      </x:c>
      <x:c r="D629" s="30" t="str">
        <x:v>Medium</x:v>
      </x:c>
      <x:c r="E629" s="30" t="str">
        <x:v>Review and renew supply agreements and monitor contractual obligations.</x:v>
      </x:c>
      <x:c r="F629" s="30" t="str">
        <x:v>Other</x:v>
      </x:c>
      <x:c r="G629" s="30" t="str">
        <x:v>INSTITUTIONAL</x:v>
      </x:c>
      <x:c r="H629" s="30" t="str">
        <x:v>Yes</x:v>
      </x:c>
      <x:c r="I629" s="30" t="str">
        <x:v>Contract governance issue.</x:v>
      </x:c>
    </x:row>
    <x:row r="630">
      <x:c r="A630" s="30" t="str">
        <x:v>IOBS009</x:v>
      </x:c>
      <x:c r="B630" s="30" t="str">
        <x:v>IAUD009</x:v>
      </x:c>
      <x:c r="C630" s="30" t="str">
        <x:v>Institutional pharmacy compliance reviews are overdue or corrective actions remain open.</x:v>
      </x:c>
      <x:c r="D630" s="30" t="str">
        <x:v>High</x:v>
      </x:c>
      <x:c r="E630" s="30" t="str">
        <x:v>Conduct scheduled compliance reviews and monitor CAPA closure.</x:v>
      </x:c>
      <x:c r="F630" s="30" t="str">
        <x:v>Quality</x:v>
      </x:c>
      <x:c r="G630" s="30" t="str">
        <x:v>INSTITUTIONAL</x:v>
      </x:c>
      <x:c r="H630" s="30" t="str">
        <x:v>Yes</x:v>
      </x:c>
      <x:c r="I630" s="30" t="str">
        <x:v>Compliance monitoring weakness.</x:v>
      </x:c>
    </x:row>
    <x:row r="631">
      <x:c r="A631" s="30" t="str">
        <x:v>IOBS010</x:v>
      </x:c>
      <x:c r="B631" s="30" t="str">
        <x:v>IAUD010</x:v>
      </x:c>
      <x:c r="C631" s="30" t="str">
        <x:v>Governance meetings do not adequately review institutional pharmacy quality or compliance performance.</x:v>
      </x:c>
      <x:c r="D631" s="30" t="str">
        <x:v>Medium</x:v>
      </x:c>
      <x:c r="E631" s="30" t="str">
        <x:v>Strengthen governance reviews with KPI monitoring and action tracking.</x:v>
      </x:c>
      <x:c r="F631" s="30" t="str">
        <x:v>Quality</x:v>
      </x:c>
      <x:c r="G631" s="30" t="str">
        <x:v>INSTITUTIONAL</x:v>
      </x:c>
      <x:c r="H631" s="30" t="str">
        <x:v>Yes</x:v>
      </x:c>
      <x:c r="I631" s="30" t="str">
        <x:v>Governance oversight deficiency.</x:v>
      </x:c>
    </x:row>
    <x:row r="632">
      <x:c r="A632" s="30" t="str">
        <x:v>IOBS011</x:v>
      </x:c>
      <x:c r="B632" s="30" t="str">
        <x:v>IAUD011</x:v>
      </x:c>
      <x:c r="C632" s="30" t="str">
        <x:v>Product recalls are not communicated effectively to all institutional departments or recall completion cannot be demonstrated.</x:v>
      </x:c>
      <x:c r="D632" s="30" t="str">
        <x:v>High</x:v>
      </x:c>
      <x:c r="E632" s="30" t="str">
        <x:v>Implement centralized recall communication, verification and closure procedures.</x:v>
      </x:c>
      <x:c r="F632" s="30" t="str">
        <x:v>Quality</x:v>
      </x:c>
      <x:c r="G632" s="30" t="str">
        <x:v>INSTITUTIONAL</x:v>
      </x:c>
      <x:c r="H632" s="30" t="str">
        <x:v>Yes</x:v>
      </x:c>
      <x:c r="I632" s="30" t="str">
        <x:v>Patient safety risk.</x:v>
      </x:c>
    </x:row>
    <x:row r="633">
      <x:c r="A633" s="30" t="str">
        <x:v>IOBS012</x:v>
      </x:c>
      <x:c r="B633" s="30" t="str">
        <x:v>IAUD012</x:v>
      </x:c>
      <x:c r="C633" s="30" t="str">
        <x:v>Medicines supplied to departments do not consistently comply with the approved institutional formulary.</x:v>
      </x:c>
      <x:c r="D633" s="30" t="str">
        <x:v>Medium</x:v>
      </x:c>
      <x:c r="E633" s="30" t="str">
        <x:v>Verify all issues against the approved formulary and document exceptions.</x:v>
      </x:c>
      <x:c r="F633" s="30" t="str">
        <x:v>Digital / E-Pharmacy</x:v>
      </x:c>
      <x:c r="G633" s="30" t="str">
        <x:v>INSTITUTIONAL</x:v>
      </x:c>
      <x:c r="H633" s="30" t="str">
        <x:v>Yes</x:v>
      </x:c>
      <x:c r="I633" s="30" t="str">
        <x:v>Clinical governance issue.</x:v>
      </x:c>
    </x:row>
    <x:row r="634">
      <x:c r="A634" s="30" t="str">
        <x:v>IOBS013</x:v>
      </x:c>
      <x:c r="B634" s="30" t="str">
        <x:v>IAUD013</x:v>
      </x:c>
      <x:c r="C634" s="30" t="str">
        <x:v>Inter-department medicine transfers are performed without documented authorization or traceability.</x:v>
      </x:c>
      <x:c r="D634" s="30" t="str">
        <x:v>Medium</x:v>
      </x:c>
      <x:c r="E634" s="30" t="str">
        <x:v>Implement standardized transfer approvals and reconciliation controls.</x:v>
      </x:c>
      <x:c r="F634" s="30" t="str">
        <x:v>Digital / E-Pharmacy</x:v>
      </x:c>
      <x:c r="G634" s="30" t="str">
        <x:v>INSTITUTIONAL</x:v>
      </x:c>
      <x:c r="H634" s="30" t="str">
        <x:v>Yes</x:v>
      </x:c>
      <x:c r="I634" s="30" t="str">
        <x:v>Inventory accountability weakness.</x:v>
      </x:c>
    </x:row>
    <x:row r="635">
      <x:c r="A635" s="30" t="str">
        <x:v>IOBS014</x:v>
      </x:c>
      <x:c r="B635" s="30" t="str">
        <x:v>IAUD014</x:v>
      </x:c>
      <x:c r="C635" s="30" t="str">
        <x:v>Near-expiry medicines are not reviewed promptly, resulting in avoidable wastage or unsafe redistribution.</x:v>
      </x:c>
      <x:c r="D635" s="30" t="str">
        <x:v>Medium</x:v>
      </x:c>
      <x:c r="E635" s="30" t="str">
        <x:v>Monitor near-expiry inventory routinely and document redistribution decisions.</x:v>
      </x:c>
      <x:c r="F635" s="30" t="str">
        <x:v>Storage</x:v>
      </x:c>
      <x:c r="G635" s="30" t="str">
        <x:v>INSTITUTIONAL</x:v>
      </x:c>
      <x:c r="H635" s="30" t="str">
        <x:v>Yes</x:v>
      </x:c>
      <x:c r="I635" s="30" t="str">
        <x:v>Inventory optimization opportunity.</x:v>
      </x:c>
    </x:row>
    <x:row r="636">
      <x:c r="A636" s="30" t="str">
        <x:v>IOBS015</x:v>
      </x:c>
      <x:c r="B636" s="30" t="str">
        <x:v>IAUD015</x:v>
      </x:c>
      <x:c r="C636" s="30" t="str">
        <x:v>Institutional vendors are not periodically evaluated for quality, compliance or service performance.</x:v>
      </x:c>
      <x:c r="D636" s="30" t="str">
        <x:v>Medium</x:v>
      </x:c>
      <x:c r="E636" s="30" t="str">
        <x:v>Conduct structured vendor performance reviews with corrective action follow-up.</x:v>
      </x:c>
      <x:c r="F636" s="30" t="str">
        <x:v>Quality</x:v>
      </x:c>
      <x:c r="G636" s="30" t="str">
        <x:v>INSTITUTIONAL</x:v>
      </x:c>
      <x:c r="H636" s="30" t="str">
        <x:v>Yes</x:v>
      </x:c>
      <x:c r="I636" s="30" t="str">
        <x:v>Supply chain governance issue.</x:v>
      </x:c>
    </x:row>
    <x:row r="637">
      <x:c r="A637" s="30" t="str">
        <x:v>IOBS016</x:v>
      </x:c>
      <x:c r="B637" s="30" t="str">
        <x:v>IAUD016</x:v>
      </x:c>
      <x:c r="C637" s="30" t="str">
        <x:v>Institutional pharmacy emergency preparedness procedures are outdated or emergency drills are not performed.</x:v>
      </x:c>
      <x:c r="D637" s="30" t="str">
        <x:v>High</x:v>
      </x:c>
      <x:c r="E637" s="30" t="str">
        <x:v>Review emergency preparedness plans annually and conduct documented drills.</x:v>
      </x:c>
      <x:c r="F637" s="30" t="str">
        <x:v>Documentation</x:v>
      </x:c>
      <x:c r="G637" s="30" t="str">
        <x:v>INSTITUTIONAL</x:v>
      </x:c>
      <x:c r="H637" s="30" t="str">
        <x:v>Yes</x:v>
      </x:c>
      <x:c r="I637" s="30" t="str">
        <x:v>Operational resilience weakness.</x:v>
      </x:c>
    </x:row>
    <x:row r="638">
      <x:c r="A638" s="30" t="str">
        <x:v>IOBS017</x:v>
      </x:c>
      <x:c r="B638" s="30" t="str">
        <x:v>IAUD017</x:v>
      </x:c>
      <x:c r="C638" s="30" t="str">
        <x:v>Institutional compliance reports are incomplete, inaccurate or submitted after scheduled timelines.</x:v>
      </x:c>
      <x:c r="D638" s="30" t="str">
        <x:v>Medium</x:v>
      </x:c>
      <x:c r="E638" s="30" t="str">
        <x:v>Establish reporting calendar and management review of compliance reports.</x:v>
      </x:c>
      <x:c r="F638" s="30" t="str">
        <x:v>Regulatory Filing</x:v>
      </x:c>
      <x:c r="G638" s="30" t="str">
        <x:v>INSTITUTIONAL</x:v>
      </x:c>
      <x:c r="H638" s="30" t="str">
        <x:v>Yes</x:v>
      </x:c>
      <x:c r="I638" s="30" t="str">
        <x:v>Compliance reporting deficiency.</x:v>
      </x:c>
    </x:row>
    <x:row r="639">
      <x:c r="A639" s="30" t="str">
        <x:v>IOBS018</x:v>
      </x:c>
      <x:c r="B639" s="30" t="str">
        <x:v>IAUD018</x:v>
      </x:c>
      <x:c r="C639" s="30" t="str">
        <x:v>Staff competency assessments or mandatory training records are incomplete or outdated.</x:v>
      </x:c>
      <x:c r="D639" s="30" t="str">
        <x:v>Medium</x:v>
      </x:c>
      <x:c r="E639" s="30" t="str">
        <x:v>Maintain competency matrix and conduct periodic refresher training.</x:v>
      </x:c>
      <x:c r="F639" s="30" t="str">
        <x:v>Personnel</x:v>
      </x:c>
      <x:c r="G639" s="30" t="str">
        <x:v>INSTITUTIONAL</x:v>
      </x:c>
      <x:c r="H639" s="30" t="str">
        <x:v>Yes</x:v>
      </x:c>
      <x:c r="I639" s="30" t="str">
        <x:v>Workforce competency issue.</x:v>
      </x:c>
    </x:row>
    <x:row r="640">
      <x:c r="A640" s="30" t="str">
        <x:v>IOBS019</x:v>
      </x:c>
      <x:c r="B640" s="30" t="str">
        <x:v>IAUD019</x:v>
      </x:c>
      <x:c r="C640" s="30" t="str">
        <x:v>Quality assurance reviews do not adequately cover dispensing, storage or distribution processes.</x:v>
      </x:c>
      <x:c r="D640" s="30" t="str">
        <x:v>High</x:v>
      </x:c>
      <x:c r="E640" s="30" t="str">
        <x:v>Expand QA programme and monitor corrective actions through CAPA.</x:v>
      </x:c>
      <x:c r="F640" s="30" t="str">
        <x:v>Storage</x:v>
      </x:c>
      <x:c r="G640" s="30" t="str">
        <x:v>INSTITUTIONAL</x:v>
      </x:c>
      <x:c r="H640" s="30" t="str">
        <x:v>Yes</x:v>
      </x:c>
      <x:c r="I640" s="30" t="str">
        <x:v>Quality management deficiency.</x:v>
      </x:c>
    </x:row>
    <x:row r="641">
      <x:c r="A641" s="30" t="str">
        <x:v>IOBS020</x:v>
      </x:c>
      <x:c r="B641" s="30" t="str">
        <x:v>IAUD020</x:v>
      </x:c>
      <x:c r="C641" s="30" t="str">
        <x:v>Compliance maturity assessments are not performed periodically or improvement actions are not tracked to completion.</x:v>
      </x:c>
      <x:c r="D641" s="30" t="str">
        <x:v>Medium</x:v>
      </x:c>
      <x:c r="E641" s="30" t="str">
        <x:v>Conduct annual maturity assessments and monitor implementation of improvement plans.</x:v>
      </x:c>
      <x:c r="F641" s="30" t="str">
        <x:v>Other</x:v>
      </x:c>
      <x:c r="G641" s="30" t="str">
        <x:v>INSTITUTIONAL</x:v>
      </x:c>
      <x:c r="H641" s="30" t="str">
        <x:v>Yes</x:v>
      </x:c>
      <x:c r="I641" s="30" t="str">
        <x:v>Continuous improvement opportunity.</x:v>
      </x:c>
    </x:row>
    <x:row r="642">
      <x:c r="A642" s="30" t="str">
        <x:v>SOBS001</x:v>
      </x:c>
      <x:c r="B642" s="30" t="str">
        <x:v>SAUD001</x:v>
      </x:c>
      <x:c r="C642" s="30" t="str">
        <x:v>Cytotoxic medicines are handled without full compliance with hazardous drug handling procedures or PPE requirements.</x:v>
      </x:c>
      <x:c r="D642" s="30" t="str">
        <x:v>High</x:v>
      </x:c>
      <x:c r="E642" s="30" t="str">
        <x:v>Enforce approved cytotoxic handling SOPs, mandatory PPE usage and periodic competency assessments.</x:v>
      </x:c>
      <x:c r="F642" s="30" t="str">
        <x:v>Digital / E-Pharmacy</x:v>
      </x:c>
      <x:c r="G642" s="30" t="str">
        <x:v>SPECIALIZED</x:v>
      </x:c>
      <x:c r="H642" s="30" t="str">
        <x:v>Yes</x:v>
      </x:c>
      <x:c r="I642" s="30" t="str">
        <x:v>Occupational health and patient safety risk.</x:v>
      </x:c>
    </x:row>
    <x:row r="643">
      <x:c r="A643" s="30" t="str">
        <x:v>SOBS002</x:v>
      </x:c>
      <x:c r="B643" s="30" t="str">
        <x:v>SAUD002</x:v>
      </x:c>
      <x:c r="C643" s="30" t="str">
        <x:v>Hazardous medicines are not stored in designated segregated storage areas or storage controls are ineffective.</x:v>
      </x:c>
      <x:c r="D643" s="30" t="str">
        <x:v>High</x:v>
      </x:c>
      <x:c r="E643" s="30" t="str">
        <x:v>Maintain dedicated hazardous medicine storage with routine inspections and access controls.</x:v>
      </x:c>
      <x:c r="F643" s="30" t="str">
        <x:v>Storage</x:v>
      </x:c>
      <x:c r="G643" s="30" t="str">
        <x:v>SPECIALIZED</x:v>
      </x:c>
      <x:c r="H643" s="30" t="str">
        <x:v>Yes</x:v>
      </x:c>
      <x:c r="I643" s="30" t="str">
        <x:v>Storage compliance deficiency.</x:v>
      </x:c>
    </x:row>
    <x:row r="644">
      <x:c r="A644" s="30" t="str">
        <x:v>SOBS003</x:v>
      </x:c>
      <x:c r="B644" s="30" t="str">
        <x:v>SAUD003</x:v>
      </x:c>
      <x:c r="C644" s="30" t="str">
        <x:v>Specialty cold-chain qualification is incomplete or monitoring records do not demonstrate continuous compliance.</x:v>
      </x:c>
      <x:c r="D644" s="30" t="str">
        <x:v>High</x:v>
      </x:c>
      <x:c r="E644" s="30" t="str">
        <x:v>Complete qualification studies and continuously monitor cold-chain performance.</x:v>
      </x:c>
      <x:c r="F644" s="30" t="str">
        <x:v>Storage</x:v>
      </x:c>
      <x:c r="G644" s="30" t="str">
        <x:v>SPECIALIZED</x:v>
      </x:c>
      <x:c r="H644" s="30" t="str">
        <x:v>Yes</x:v>
      </x:c>
      <x:c r="I644" s="30" t="str">
        <x:v>Product quality risk.</x:v>
      </x:c>
    </x:row>
    <x:row r="645">
      <x:c r="A645" s="30" t="str">
        <x:v>SOBS004</x:v>
      </x:c>
      <x:c r="B645" s="30" t="str">
        <x:v>SAUD004</x:v>
      </x:c>
      <x:c r="C645" s="30" t="str">
        <x:v>Controlled medicine inventory reconciliation is incomplete or unexplained discrepancies remain unresolved.</x:v>
      </x:c>
      <x:c r="D645" s="30" t="str">
        <x:v>High</x:v>
      </x:c>
      <x:c r="E645" s="30" t="str">
        <x:v>Perform independent reconciliation and investigate all inventory variances promptly.</x:v>
      </x:c>
      <x:c r="F645" s="30" t="str">
        <x:v>Inventory</x:v>
      </x:c>
      <x:c r="G645" s="30" t="str">
        <x:v>SPECIALIZED</x:v>
      </x:c>
      <x:c r="H645" s="30" t="str">
        <x:v>Yes</x:v>
      </x:c>
      <x:c r="I645" s="30" t="str">
        <x:v>Regulatory and diversion risk.</x:v>
      </x:c>
    </x:row>
    <x:row r="646">
      <x:c r="A646" s="30" t="str">
        <x:v>SOBS005</x:v>
      </x:c>
      <x:c r="B646" s="30" t="str">
        <x:v>SAUD005</x:v>
      </x:c>
      <x:c r="C646" s="30" t="str">
        <x:v>High-risk medicines are dispensed without documented independent verification.</x:v>
      </x:c>
      <x:c r="D646" s="30" t="str">
        <x:v>High</x:v>
      </x:c>
      <x:c r="E646" s="30" t="str">
        <x:v>Implement mandatory dual verification before dispensing high-risk medicines.</x:v>
      </x:c>
      <x:c r="F646" s="30" t="str">
        <x:v>Documentation</x:v>
      </x:c>
      <x:c r="G646" s="30" t="str">
        <x:v>SPECIALIZED</x:v>
      </x:c>
      <x:c r="H646" s="30" t="str">
        <x:v>Yes</x:v>
      </x:c>
      <x:c r="I646" s="30" t="str">
        <x:v>Medication safety deficiency.</x:v>
      </x:c>
    </x:row>
    <x:row r="647">
      <x:c r="A647" s="30" t="str">
        <x:v>SOBS006</x:v>
      </x:c>
      <x:c r="B647" s="30" t="str">
        <x:v>SAUD006</x:v>
      </x:c>
      <x:c r="C647" s="30" t="str">
        <x:v>Vaccine temperature excursions are not investigated or product disposition decisions are undocumented.</x:v>
      </x:c>
      <x:c r="D647" s="30" t="str">
        <x:v>High</x:v>
      </x:c>
      <x:c r="E647" s="30" t="str">
        <x:v>Investigate every excursion and document risk assessment before product release.</x:v>
      </x:c>
      <x:c r="F647" s="30" t="str">
        <x:v>Storage</x:v>
      </x:c>
      <x:c r="G647" s="30" t="str">
        <x:v>SPECIALIZED</x:v>
      </x:c>
      <x:c r="H647" s="30" t="str">
        <x:v>Yes</x:v>
      </x:c>
      <x:c r="I647" s="30" t="str">
        <x:v>Vaccine quality concern.</x:v>
      </x:c>
    </x:row>
    <x:row r="648">
      <x:c r="A648" s="30" t="str">
        <x:v>SOBS007</x:v>
      </x:c>
      <x:c r="B648" s="30" t="str">
        <x:v>SAUD007</x:v>
      </x:c>
      <x:c r="C648" s="30" t="str">
        <x:v>Biologic medicine batches cannot be completely traced through the dispensing process.</x:v>
      </x:c>
      <x:c r="D648" s="30" t="str">
        <x:v>High</x:v>
      </x:c>
      <x:c r="E648" s="30" t="str">
        <x:v>Maintain end-to-end batch traceability for all biologic medicines.</x:v>
      </x:c>
      <x:c r="F648" s="30" t="str">
        <x:v>Inventory</x:v>
      </x:c>
      <x:c r="G648" s="30" t="str">
        <x:v>SPECIALIZED</x:v>
      </x:c>
      <x:c r="H648" s="30" t="str">
        <x:v>Yes</x:v>
      </x:c>
      <x:c r="I648" s="30" t="str">
        <x:v>Recall effectiveness risk.</x:v>
      </x:c>
    </x:row>
    <x:row r="649">
      <x:c r="A649" s="30" t="str">
        <x:v>SOBS008</x:v>
      </x:c>
      <x:c r="B649" s="30" t="str">
        <x:v>SAUD008</x:v>
      </x:c>
      <x:c r="C649" s="30" t="str">
        <x:v>Investigational medicines are not fully accounted for from receipt through final disposition.</x:v>
      </x:c>
      <x:c r="D649" s="30" t="str">
        <x:v>High</x:v>
      </x:c>
      <x:c r="E649" s="30" t="str">
        <x:v>Maintain complete accountability logs and periodic reconciliation.</x:v>
      </x:c>
      <x:c r="F649" s="30" t="str">
        <x:v>Documentation</x:v>
      </x:c>
      <x:c r="G649" s="30" t="str">
        <x:v>SPECIALIZED</x:v>
      </x:c>
      <x:c r="H649" s="30" t="str">
        <x:v>Yes</x:v>
      </x:c>
      <x:c r="I649" s="30" t="str">
        <x:v>Clinical trial compliance deficiency.</x:v>
      </x:c>
    </x:row>
    <x:row r="650">
      <x:c r="A650" s="30" t="str">
        <x:v>SOBS009</x:v>
      </x:c>
      <x:c r="B650" s="30" t="str">
        <x:v>SAUD009</x:v>
      </x:c>
      <x:c r="C650" s="30" t="str">
        <x:v>Hazardous pharmaceutical waste is not segregated or disposed of according to approved biomedical waste procedures.</x:v>
      </x:c>
      <x:c r="D650" s="30" t="str">
        <x:v>High</x:v>
      </x:c>
      <x:c r="E650" s="30" t="str">
        <x:v>Strengthen hazardous waste segregation, documentation and disposal monitoring.</x:v>
      </x:c>
      <x:c r="F650" s="30" t="str">
        <x:v>Digital / E-Pharmacy</x:v>
      </x:c>
      <x:c r="G650" s="30" t="str">
        <x:v>SPECIALIZED</x:v>
      </x:c>
      <x:c r="H650" s="30" t="str">
        <x:v>Yes</x:v>
      </x:c>
      <x:c r="I650" s="30" t="str">
        <x:v>Environmental compliance risk.</x:v>
      </x:c>
    </x:row>
    <x:row r="651">
      <x:c r="A651" s="30" t="str">
        <x:v>SOBS010</x:v>
      </x:c>
      <x:c r="B651" s="30" t="str">
        <x:v>SAUD010</x:v>
      </x:c>
      <x:c r="C651" s="30" t="str">
        <x:v>Specialty pharmacy personnel have incomplete competency assessments or overdue specialist training.</x:v>
      </x:c>
      <x:c r="D651" s="30" t="str">
        <x:v>High</x:v>
      </x:c>
      <x:c r="E651" s="30" t="str">
        <x:v>Conduct periodic competency assessments and refresher training programmes.</x:v>
      </x:c>
      <x:c r="F651" s="30" t="str">
        <x:v>Personnel</x:v>
      </x:c>
      <x:c r="G651" s="30" t="str">
        <x:v>SPECIALIZED</x:v>
      </x:c>
      <x:c r="H651" s="30" t="str">
        <x:v>Yes</x:v>
      </x:c>
      <x:c r="I651" s="30" t="str">
        <x:v>Workforce competency gap.</x:v>
      </x:c>
    </x:row>
    <x:row r="652">
      <x:c r="A652" s="30" t="str">
        <x:v>SOBS011</x:v>
      </x:c>
      <x:c r="B652" s="30" t="str">
        <x:v>SAUD011</x:v>
      </x:c>
      <x:c r="C652" s="30" t="str">
        <x:v>Radiopharmaceutical handling does not consistently comply with approved radiation safety procedures.</x:v>
      </x:c>
      <x:c r="D652" s="30" t="str">
        <x:v>High</x:v>
      </x:c>
      <x:c r="E652" s="30" t="str">
        <x:v>Enforce radiation safety protocols and monitor compliance through routine audits.</x:v>
      </x:c>
      <x:c r="F652" s="30" t="str">
        <x:v>Digital / E-Pharmacy</x:v>
      </x:c>
      <x:c r="G652" s="30" t="str">
        <x:v>SPECIALIZED</x:v>
      </x:c>
      <x:c r="H652" s="30" t="str">
        <x:v>Yes</x:v>
      </x:c>
      <x:c r="I652" s="30" t="str">
        <x:v>Radiation safety concern.</x:v>
      </x:c>
    </x:row>
    <x:row r="653">
      <x:c r="A653" s="30" t="str">
        <x:v>SOBS012</x:v>
      </x:c>
      <x:c r="B653" s="30" t="str">
        <x:v>SAUD012</x:v>
      </x:c>
      <x:c r="C653" s="30" t="str">
        <x:v>Scheduled physical verification of controlled medicines is not performed or discrepancies remain unresolved.</x:v>
      </x:c>
      <x:c r="D653" s="30" t="str">
        <x:v>High</x:v>
      </x:c>
      <x:c r="E653" s="30" t="str">
        <x:v>Perform surprise stock verification and investigate discrepancies immediately.</x:v>
      </x:c>
      <x:c r="F653" s="30" t="str">
        <x:v>Inventory</x:v>
      </x:c>
      <x:c r="G653" s="30" t="str">
        <x:v>SPECIALIZED</x:v>
      </x:c>
      <x:c r="H653" s="30" t="str">
        <x:v>Yes</x:v>
      </x:c>
      <x:c r="I653" s="30" t="str">
        <x:v>Controlled substance governance issue.</x:v>
      </x:c>
    </x:row>
    <x:row r="654">
      <x:c r="A654" s="30" t="str">
        <x:v>SOBS013</x:v>
      </x:c>
      <x:c r="B654" s="30" t="str">
        <x:v>SAUD013</x:v>
      </x:c>
      <x:c r="C654" s="30" t="str">
        <x:v>High-value specialty medicines are not adequately monitored, increasing the risk of loss or diversion.</x:v>
      </x:c>
      <x:c r="D654" s="30" t="str">
        <x:v>High</x:v>
      </x:c>
      <x:c r="E654" s="30" t="str">
        <x:v>Apply enhanced inventory governance and approval controls for high-value medicines.</x:v>
      </x:c>
      <x:c r="F654" s="30" t="str">
        <x:v>Digital / E-Pharmacy</x:v>
      </x:c>
      <x:c r="G654" s="30" t="str">
        <x:v>SPECIALIZED</x:v>
      </x:c>
      <x:c r="H654" s="30" t="str">
        <x:v>Yes</x:v>
      </x:c>
      <x:c r="I654" s="30" t="str">
        <x:v>Financial and inventory risk.</x:v>
      </x:c>
    </x:row>
    <x:row r="655">
      <x:c r="A655" s="30" t="str">
        <x:v>SOBS014</x:v>
      </x:c>
      <x:c r="B655" s="30" t="str">
        <x:v>SAUD014</x:v>
      </x:c>
      <x:c r="C655" s="30" t="str">
        <x:v>Temperature excursion investigations lack documented risk assessments or product disposition decisions.</x:v>
      </x:c>
      <x:c r="D655" s="30" t="str">
        <x:v>High</x:v>
      </x:c>
      <x:c r="E655" s="30" t="str">
        <x:v>Standardize excursion investigations with CAPA and documented disposition approvals.</x:v>
      </x:c>
      <x:c r="F655" s="30" t="str">
        <x:v>Digital / E-Pharmacy</x:v>
      </x:c>
      <x:c r="G655" s="30" t="str">
        <x:v>SPECIALIZED</x:v>
      </x:c>
      <x:c r="H655" s="30" t="str">
        <x:v>Yes</x:v>
      </x:c>
      <x:c r="I655" s="30" t="str">
        <x:v>Product integrity risk.</x:v>
      </x:c>
    </x:row>
    <x:row r="656">
      <x:c r="A656" s="30" t="str">
        <x:v>SOBS015</x:v>
      </x:c>
      <x:c r="B656" s="30" t="str">
        <x:v>SAUD015</x:v>
      </x:c>
      <x:c r="C656" s="30" t="str">
        <x:v>Adverse events associated with specialty medicines are not reported or escalated promptly.</x:v>
      </x:c>
      <x:c r="D656" s="30" t="str">
        <x:v>High</x:v>
      </x:c>
      <x:c r="E656" s="30" t="str">
        <x:v>Strengthen pharmacovigilance reporting and monitor follow-up actions.</x:v>
      </x:c>
      <x:c r="F656" s="30" t="str">
        <x:v>Regulatory Filing</x:v>
      </x:c>
      <x:c r="G656" s="30" t="str">
        <x:v>SPECIALIZED</x:v>
      </x:c>
      <x:c r="H656" s="30" t="str">
        <x:v>Yes</x:v>
      </x:c>
      <x:c r="I656" s="30" t="str">
        <x:v>Patient safety and regulatory risk.</x:v>
      </x:c>
    </x:row>
    <x:row r="657">
      <x:c r="A657" s="30" t="str">
        <x:v>SOBS016</x:v>
      </x:c>
      <x:c r="B657" s="30" t="str">
        <x:v>SAUD016</x:v>
      </x:c>
      <x:c r="C657" s="30" t="str">
        <x:v>Manufacturer safety communications are not reviewed or implemented within required timelines.</x:v>
      </x:c>
      <x:c r="D657" s="30" t="str">
        <x:v>Medium</x:v>
      </x:c>
      <x:c r="E657" s="30" t="str">
        <x:v>Establish a formal process for reviewing and implementing manufacturer safety updates.</x:v>
      </x:c>
      <x:c r="F657" s="30" t="str">
        <x:v>Patient Safety</x:v>
      </x:c>
      <x:c r="G657" s="30" t="str">
        <x:v>SPECIALIZED</x:v>
      </x:c>
      <x:c r="H657" s="30" t="str">
        <x:v>Yes</x:v>
      </x:c>
      <x:c r="I657" s="30" t="str">
        <x:v>Regulatory intelligence weakness.</x:v>
      </x:c>
    </x:row>
    <x:row r="658">
      <x:c r="A658" s="30" t="str">
        <x:v>SOBS017</x:v>
      </x:c>
      <x:c r="B658" s="30" t="str">
        <x:v>SAUD017</x:v>
      </x:c>
      <x:c r="C658" s="30" t="str">
        <x:v>Documentation supporting specialty medicine receipt, preparation or dispensing is incomplete.</x:v>
      </x:c>
      <x:c r="D658" s="30" t="str">
        <x:v>Medium</x:v>
      </x:c>
      <x:c r="E658" s="30" t="str">
        <x:v>Standardize documentation requirements and perform periodic completeness reviews.</x:v>
      </x:c>
      <x:c r="F658" s="30" t="str">
        <x:v>Documentation</x:v>
      </x:c>
      <x:c r="G658" s="30" t="str">
        <x:v>SPECIALIZED</x:v>
      </x:c>
      <x:c r="H658" s="30" t="str">
        <x:v>Yes</x:v>
      </x:c>
      <x:c r="I658" s="30" t="str">
        <x:v>Audit readiness issue.</x:v>
      </x:c>
    </x:row>
    <x:row r="659">
      <x:c r="A659" s="30" t="str">
        <x:v>SOBS018</x:v>
      </x:c>
      <x:c r="B659" s="30" t="str">
        <x:v>SAUD018</x:v>
      </x:c>
      <x:c r="C659" s="30" t="str">
        <x:v>Patient counselling for specialty medicines is not consistently documented.</x:v>
      </x:c>
      <x:c r="D659" s="30" t="str">
        <x:v>High</x:v>
      </x:c>
      <x:c r="E659" s="30" t="str">
        <x:v>Require documented counselling prior to dispensing specialty therapies.</x:v>
      </x:c>
      <x:c r="F659" s="30" t="str">
        <x:v>Patient Safety</x:v>
      </x:c>
      <x:c r="G659" s="30" t="str">
        <x:v>SPECIALIZED</x:v>
      </x:c>
      <x:c r="H659" s="30" t="str">
        <x:v>Yes</x:v>
      </x:c>
      <x:c r="I659" s="30" t="str">
        <x:v>Clinical governance deficiency.</x:v>
      </x:c>
    </x:row>
    <x:row r="660">
      <x:c r="A660" s="30" t="str">
        <x:v>SOBS019</x:v>
      </x:c>
      <x:c r="B660" s="30" t="str">
        <x:v>SAUD019</x:v>
      </x:c>
      <x:c r="C660" s="30" t="str">
        <x:v>Priority recalls of specialty medicines are delayed or recall effectiveness cannot be demonstrated.</x:v>
      </x:c>
      <x:c r="D660" s="30" t="str">
        <x:v>High</x:v>
      </x:c>
      <x:c r="E660" s="30" t="str">
        <x:v>Execute priority recall procedures with documented effectiveness verification.</x:v>
      </x:c>
      <x:c r="F660" s="30" t="str">
        <x:v>Quality</x:v>
      </x:c>
      <x:c r="G660" s="30" t="str">
        <x:v>SPECIALIZED</x:v>
      </x:c>
      <x:c r="H660" s="30" t="str">
        <x:v>Yes</x:v>
      </x:c>
      <x:c r="I660" s="30" t="str">
        <x:v>Recall management weakness.</x:v>
      </x:c>
    </x:row>
    <x:row r="661">
      <x:c r="A661" s="30" t="str">
        <x:v>SOBS020</x:v>
      </x:c>
      <x:c r="B661" s="30" t="str">
        <x:v>SAUD020</x:v>
      </x:c>
      <x:c r="C661" s="30" t="str">
        <x:v>Quality assurance reviews do not adequately evaluate specialty pharmacy operations or CAPA implementation.</x:v>
      </x:c>
      <x:c r="D661" s="30" t="str">
        <x:v>High</x:v>
      </x:c>
      <x:c r="E661" s="30" t="str">
        <x:v>Expand QA review scope and verify timely closure of corrective actions.</x:v>
      </x:c>
      <x:c r="F661" s="30" t="str">
        <x:v>Quality</x:v>
      </x:c>
      <x:c r="G661" s="30" t="str">
        <x:v>SPECIALIZED</x:v>
      </x:c>
      <x:c r="H661" s="30" t="str">
        <x:v>Yes</x:v>
      </x:c>
      <x:c r="I661" s="30" t="str">
        <x:v>Quality management deficiency.</x:v>
      </x:c>
    </x:row>
    <x:row r="662">
      <x:c r="A662" s="30" t="str">
        <x:v>SOBS021</x:v>
      </x:c>
      <x:c r="B662" s="30" t="str">
        <x:v>SAUD021</x:v>
      </x:c>
      <x:c r="C662" s="30" t="str">
        <x:v>Compassionate-use medicines are dispensed without complete regulatory approvals, patient consent or documented monitoring.</x:v>
      </x:c>
      <x:c r="D662" s="30" t="str">
        <x:v>High</x:v>
      </x:c>
      <x:c r="E662" s="30" t="str">
        <x:v>Implement mandatory approval, informed consent and post-dispensing monitoring for all compassionate-use medicines.</x:v>
      </x:c>
      <x:c r="F662" s="30" t="str">
        <x:v>Digital / E-Pharmacy</x:v>
      </x:c>
      <x:c r="G662" s="30" t="str">
        <x:v>SPECIALIZED</x:v>
      </x:c>
      <x:c r="H662" s="30" t="str">
        <x:v>Yes</x:v>
      </x:c>
      <x:c r="I662" s="30" t="str">
        <x:v>Regulatory and ethical compliance risk.</x:v>
      </x:c>
    </x:row>
    <x:row r="663">
      <x:c r="A663" s="30" t="str">
        <x:v>SOBS022</x:v>
      </x:c>
      <x:c r="B663" s="30" t="str">
        <x:v>SAUD022</x:v>
      </x:c>
      <x:c r="C663" s="30" t="str">
        <x:v>Specialty medicine shortages are managed without documented prioritization criteria or approval records.</x:v>
      </x:c>
      <x:c r="D663" s="30" t="str">
        <x:v>High</x:v>
      </x:c>
      <x:c r="E663" s="30" t="str">
        <x:v>Establish a transparent medicine shortage allocation framework with documented decision-making.</x:v>
      </x:c>
      <x:c r="F663" s="30" t="str">
        <x:v>Digital / E-Pharmacy</x:v>
      </x:c>
      <x:c r="G663" s="30" t="str">
        <x:v>SPECIALIZED</x:v>
      </x:c>
      <x:c r="H663" s="30" t="str">
        <x:v>Yes</x:v>
      </x:c>
      <x:c r="I663" s="30" t="str">
        <x:v>Patient access and governance risk.</x:v>
      </x:c>
    </x:row>
    <x:row r="664">
      <x:c r="A664" s="30" t="str">
        <x:v>SOBS023</x:v>
      </x:c>
      <x:c r="B664" s="30" t="str">
        <x:v>SAUD023</x:v>
      </x:c>
      <x:c r="C664" s="30" t="str">
        <x:v>Multidisciplinary clinical review is not documented before dispensing complex specialty therapies.</x:v>
      </x:c>
      <x:c r="D664" s="30" t="str">
        <x:v>High</x:v>
      </x:c>
      <x:c r="E664" s="30" t="str">
        <x:v>Require documented multidisciplinary approval for applicable specialty treatments.</x:v>
      </x:c>
      <x:c r="F664" s="30" t="str">
        <x:v>Digital / E-Pharmacy</x:v>
      </x:c>
      <x:c r="G664" s="30" t="str">
        <x:v>SPECIALIZED</x:v>
      </x:c>
      <x:c r="H664" s="30" t="str">
        <x:v>Yes</x:v>
      </x:c>
      <x:c r="I664" s="30" t="str">
        <x:v>Clinical governance deficiency.</x:v>
      </x:c>
    </x:row>
    <x:row r="665">
      <x:c r="A665" s="30" t="str">
        <x:v>SOBS024</x:v>
      </x:c>
      <x:c r="B665" s="30" t="str">
        <x:v>SAUD024</x:v>
      </x:c>
      <x:c r="C665" s="30" t="str">
        <x:v>Manufacturer-sponsored patient support programmes are inadequately governed or periodically reviewed.</x:v>
      </x:c>
      <x:c r="D665" s="30" t="str">
        <x:v>Medium</x:v>
      </x:c>
      <x:c r="E665" s="30" t="str">
        <x:v>Establish governance procedures, periodic reviews and conflict-of-interest monitoring.</x:v>
      </x:c>
      <x:c r="F665" s="30" t="str">
        <x:v>Patient Safety</x:v>
      </x:c>
      <x:c r="G665" s="30" t="str">
        <x:v>SPECIALIZED</x:v>
      </x:c>
      <x:c r="H665" s="30" t="str">
        <x:v>Yes</x:v>
      </x:c>
      <x:c r="I665" s="30" t="str">
        <x:v>Compliance oversight issue.</x:v>
      </x:c>
    </x:row>
    <x:row r="666">
      <x:c r="A666" s="30" t="str">
        <x:v>SOBS025</x:v>
      </x:c>
      <x:c r="B666" s="30" t="str">
        <x:v>SAUD025</x:v>
      </x:c>
      <x:c r="C666" s="30" t="str">
        <x:v>Restricted-access specialty medicines are supplied without complete authorization or eligibility verification.</x:v>
      </x:c>
      <x:c r="D666" s="30" t="str">
        <x:v>High</x:v>
      </x:c>
      <x:c r="E666" s="30" t="str">
        <x:v>Enforce authorization verification before dispensing restricted-access medicines.</x:v>
      </x:c>
      <x:c r="F666" s="30" t="str">
        <x:v>Other</x:v>
      </x:c>
      <x:c r="G666" s="30" t="str">
        <x:v>SPECIALIZED</x:v>
      </x:c>
      <x:c r="H666" s="30" t="str">
        <x:v>Yes</x:v>
      </x:c>
      <x:c r="I666" s="30" t="str">
        <x:v>Regulatory compliance risk.</x:v>
      </x:c>
    </x:row>
    <x:row r="667">
      <x:c r="A667" s="30" t="str">
        <x:v>SOBS026</x:v>
      </x:c>
      <x:c r="B667" s="30" t="str">
        <x:v>SAUD026</x:v>
      </x:c>
      <x:c r="C667" s="30" t="str">
        <x:v>High-value specialty medicines are not subject to enhanced inventory monitoring or independent verification.</x:v>
      </x:c>
      <x:c r="D667" s="30" t="str">
        <x:v>High</x:v>
      </x:c>
      <x:c r="E667" s="30" t="str">
        <x:v>Implement enhanced inventory controls, dual verification and periodic stock reconciliation.</x:v>
      </x:c>
      <x:c r="F667" s="30" t="str">
        <x:v>Inventory</x:v>
      </x:c>
      <x:c r="G667" s="30" t="str">
        <x:v>SPECIALIZED</x:v>
      </x:c>
      <x:c r="H667" s="30" t="str">
        <x:v>Yes</x:v>
      </x:c>
      <x:c r="I667" s="30" t="str">
        <x:v>Financial loss and diversion risk.</x:v>
      </x:c>
    </x:row>
    <x:row r="668">
      <x:c r="A668" s="30" t="str">
        <x:v>SOBS027</x:v>
      </x:c>
      <x:c r="B668" s="30" t="str">
        <x:v>SAUD027</x:v>
      </x:c>
      <x:c r="C668" s="30" t="str">
        <x:v>Specialty pharmacy compliance KPIs are not monitored or management does not review compliance trends.</x:v>
      </x:c>
      <x:c r="D668" s="30" t="str">
        <x:v>Medium</x:v>
      </x:c>
      <x:c r="E668" s="30" t="str">
        <x:v>Develop KPI dashboards and conduct regular management performance reviews.</x:v>
      </x:c>
      <x:c r="F668" s="30" t="str">
        <x:v>Other</x:v>
      </x:c>
      <x:c r="G668" s="30" t="str">
        <x:v>SPECIALIZED</x:v>
      </x:c>
      <x:c r="H668" s="30" t="str">
        <x:v>Yes</x:v>
      </x:c>
      <x:c r="I668" s="30" t="str">
        <x:v>Compliance monitoring weakness.</x:v>
      </x:c>
    </x:row>
    <x:row r="669">
      <x:c r="A669" s="30" t="str">
        <x:v>SOBS028</x:v>
      </x:c>
      <x:c r="B669" s="30" t="str">
        <x:v>SAUD028</x:v>
      </x:c>
      <x:c r="C669" s="30" t="str">
        <x:v>Executive management oversight of specialty pharmacy operations is ineffective or inadequately documented.</x:v>
      </x:c>
      <x:c r="D669" s="30" t="str">
        <x:v>High</x:v>
      </x:c>
      <x:c r="E669" s="30" t="str">
        <x:v>Schedule quarterly executive governance reviews with documented action tracking.</x:v>
      </x:c>
      <x:c r="F669" s="30" t="str">
        <x:v>Documentation</x:v>
      </x:c>
      <x:c r="G669" s="30" t="str">
        <x:v>SPECIALIZED</x:v>
      </x:c>
      <x:c r="H669" s="30" t="str">
        <x:v>Yes</x:v>
      </x:c>
      <x:c r="I669" s="30" t="str">
        <x:v>Enterprise governance deficiency.</x:v>
      </x:c>
    </x:row>
    <x:row r="670">
      <x:c r="A670" s="30" t="str">
        <x:v>SOBS029</x:v>
      </x:c>
      <x:c r="B670" s="30" t="str">
        <x:v>SAUD029</x:v>
      </x:c>
      <x:c r="C670" s="30" t="str">
        <x:v>Corrective and preventive actions remain overdue or effectiveness reviews are not completed.</x:v>
      </x:c>
      <x:c r="D670" s="30" t="str">
        <x:v>Medium</x:v>
      </x:c>
      <x:c r="E670" s="30" t="str">
        <x:v>Strengthen CAPA monitoring and verify effectiveness before closure.</x:v>
      </x:c>
      <x:c r="F670" s="30" t="str">
        <x:v>Quality</x:v>
      </x:c>
      <x:c r="G670" s="30" t="str">
        <x:v>SPECIALIZED</x:v>
      </x:c>
      <x:c r="H670" s="30" t="str">
        <x:v>Yes</x:v>
      </x:c>
      <x:c r="I670" s="30" t="str">
        <x:v>Continuous improvement weakness.</x:v>
      </x:c>
    </x:row>
    <x:row r="671">
      <x:c r="A671" s="30" t="str">
        <x:v>SOBS030</x:v>
      </x:c>
      <x:c r="B671" s="30" t="str">
        <x:v>SAUD030</x:v>
      </x:c>
      <x:c r="C671" s="30" t="str">
        <x:v>Annual specialty pharmacy compliance maturity assessments are not performed or improvement initiatives are not implemented.</x:v>
      </x:c>
      <x:c r="D671" s="30" t="str">
        <x:v>Medium</x:v>
      </x:c>
      <x:c r="E671" s="30" t="str">
        <x:v>Conduct annual maturity assessments and monitor implementation of approved improvement roadmaps.</x:v>
      </x:c>
      <x:c r="F671" s="30" t="str">
        <x:v>Digital / E-Pharmacy</x:v>
      </x:c>
      <x:c r="G671" s="30" t="str">
        <x:v>SPECIALIZED</x:v>
      </x:c>
      <x:c r="H671" s="30" t="str">
        <x:v>Yes</x:v>
      </x:c>
      <x:c r="I671" s="30" t="str">
        <x:v>Strategic compliance improvement opportunity.</x:v>
      </x:c>
    </x:row>
    <x:row r="672">
      <x:c r="A672" s="30" t="str">
        <x:v>HOMOBS001</x:v>
      </x:c>
      <x:c r="B672" s="30" t="str">
        <x:v>HOMAUD001</x:v>
      </x:c>
      <x:c r="C672" s="30" t="str">
        <x:v>Homeopathic medicines are not classified according to approved pharmacopoeial categories, resulting in incorrect storage or dispensing.</x:v>
      </x:c>
      <x:c r="D672" s="30" t="str">
        <x:v>High</x:v>
      </x:c>
      <x:c r="E672" s="30" t="str">
        <x:v>Maintain an approved classification register and verify medicine classification before storage and dispensing.</x:v>
      </x:c>
      <x:c r="F672" s="30" t="str">
        <x:v>Digital / E-Pharmacy</x:v>
      </x:c>
      <x:c r="G672" s="30" t="str">
        <x:v>HOMEOPATHIC</x:v>
      </x:c>
      <x:c r="H672" s="30" t="str">
        <x:v>Yes</x:v>
      </x:c>
      <x:c r="I672" s="30" t="str">
        <x:v>Regulatory compliance risk.</x:v>
      </x:c>
    </x:row>
    <x:row r="673">
      <x:c r="A673" s="30" t="str">
        <x:v>HOMOBS002</x:v>
      </x:c>
      <x:c r="B673" s="30" t="str">
        <x:v>HOMAUD002</x:v>
      </x:c>
      <x:c r="C673" s="30" t="str">
        <x:v>Mother tinctures are stored under unsuitable environmental conditions or inventory controls are inadequate.</x:v>
      </x:c>
      <x:c r="D673" s="30" t="str">
        <x:v>High</x:v>
      </x:c>
      <x:c r="E673" s="30" t="str">
        <x:v>Maintain dedicated storage, monitor environmental conditions and perform periodic inventory verification.</x:v>
      </x:c>
      <x:c r="F673" s="30" t="str">
        <x:v>Storage</x:v>
      </x:c>
      <x:c r="G673" s="30" t="str">
        <x:v>HOMEOPATHIC</x:v>
      </x:c>
      <x:c r="H673" s="30" t="str">
        <x:v>Yes</x:v>
      </x:c>
      <x:c r="I673" s="30" t="str">
        <x:v>Product quality deficiency.</x:v>
      </x:c>
    </x:row>
    <x:row r="674">
      <x:c r="A674" s="30" t="str">
        <x:v>HOMOBS003</x:v>
      </x:c>
      <x:c r="B674" s="30" t="str">
        <x:v>HOMAUD003</x:v>
      </x:c>
      <x:c r="C674" s="30" t="str">
        <x:v>Medicines of different potencies are not properly identified or segregated, increasing the risk of dispensing errors.</x:v>
      </x:c>
      <x:c r="D674" s="30" t="str">
        <x:v>High</x:v>
      </x:c>
      <x:c r="E674" s="30" t="str">
        <x:v>Strengthen potency labelling and segregation controls with periodic verification.</x:v>
      </x:c>
      <x:c r="F674" s="30" t="str">
        <x:v>Storage</x:v>
      </x:c>
      <x:c r="G674" s="30" t="str">
        <x:v>HOMEOPATHIC</x:v>
      </x:c>
      <x:c r="H674" s="30" t="str">
        <x:v>Yes</x:v>
      </x:c>
      <x:c r="I674" s="30" t="str">
        <x:v>Patient safety concern.</x:v>
      </x:c>
    </x:row>
    <x:row r="675">
      <x:c r="A675" s="30" t="str">
        <x:v>HOMOBS004</x:v>
      </x:c>
      <x:c r="B675" s="30" t="str">
        <x:v>HOMAUD004</x:v>
      </x:c>
      <x:c r="C675" s="30" t="str">
        <x:v>Homeopathic dilutions are prepared without complete documentation or batch traceability.</x:v>
      </x:c>
      <x:c r="D675" s="30" t="str">
        <x:v>High</x:v>
      </x:c>
      <x:c r="E675" s="30" t="str">
        <x:v>Follow approved preparation SOPs and maintain comprehensive batch records.</x:v>
      </x:c>
      <x:c r="F675" s="30" t="str">
        <x:v>Digital / E-Pharmacy</x:v>
      </x:c>
      <x:c r="G675" s="30" t="str">
        <x:v>HOMEOPATHIC</x:v>
      </x:c>
      <x:c r="H675" s="30" t="str">
        <x:v>Yes</x:v>
      </x:c>
      <x:c r="I675" s="30" t="str">
        <x:v>Preparation quality risk.</x:v>
      </x:c>
    </x:row>
    <x:row r="676">
      <x:c r="A676" s="30" t="str">
        <x:v>HOMOBS005</x:v>
      </x:c>
      <x:c r="B676" s="30" t="str">
        <x:v>HOMAUD005</x:v>
      </x:c>
      <x:c r="C676" s="30" t="str">
        <x:v>Dispensing records do not provide complete traceability of medicine, potency, batch or patient details.</x:v>
      </x:c>
      <x:c r="D676" s="30" t="str">
        <x:v>High</x:v>
      </x:c>
      <x:c r="E676" s="30" t="str">
        <x:v>Maintain complete dispensing records with batch-level traceability.</x:v>
      </x:c>
      <x:c r="F676" s="30" t="str">
        <x:v>Inventory</x:v>
      </x:c>
      <x:c r="G676" s="30" t="str">
        <x:v>HOMEOPATHIC</x:v>
      </x:c>
      <x:c r="H676" s="30" t="str">
        <x:v>Yes</x:v>
      </x:c>
      <x:c r="I676" s="30" t="str">
        <x:v>Recall readiness issue.</x:v>
      </x:c>
    </x:row>
    <x:row r="677">
      <x:c r="A677" s="30" t="str">
        <x:v>HOMOBS006</x:v>
      </x:c>
      <x:c r="B677" s="30" t="str">
        <x:v>HOMAUD006</x:v>
      </x:c>
      <x:c r="C677" s="30" t="str">
        <x:v>Homeopathic medicine labels are inaccurate, incomplete or not independently verified before dispensing.</x:v>
      </x:c>
      <x:c r="D677" s="30" t="str">
        <x:v>High</x:v>
      </x:c>
      <x:c r="E677" s="30" t="str">
        <x:v>Introduce mandatory label verification prior to dispensing.</x:v>
      </x:c>
      <x:c r="F677" s="30" t="str">
        <x:v>Other</x:v>
      </x:c>
      <x:c r="G677" s="30" t="str">
        <x:v>HOMEOPATHIC</x:v>
      </x:c>
      <x:c r="H677" s="30" t="str">
        <x:v>Yes</x:v>
      </x:c>
      <x:c r="I677" s="30" t="str">
        <x:v>Dispensing error risk.</x:v>
      </x:c>
    </x:row>
    <x:row r="678">
      <x:c r="A678" s="30" t="str">
        <x:v>HOMOBS007</x:v>
      </x:c>
      <x:c r="B678" s="30" t="str">
        <x:v>HOMAUD007</x:v>
      </x:c>
      <x:c r="C678" s="30" t="str">
        <x:v>Stock rotation procedures are ineffective, leading to expiry or unnecessary wastage of homeopathic medicines.</x:v>
      </x:c>
      <x:c r="D678" s="30" t="str">
        <x:v>Medium</x:v>
      </x:c>
      <x:c r="E678" s="30" t="str">
        <x:v>Apply FEFO inventory practices and perform periodic inventory reviews.</x:v>
      </x:c>
      <x:c r="F678" s="30" t="str">
        <x:v>Digital / E-Pharmacy</x:v>
      </x:c>
      <x:c r="G678" s="30" t="str">
        <x:v>HOMEOPATHIC</x:v>
      </x:c>
      <x:c r="H678" s="30" t="str">
        <x:v>Yes</x:v>
      </x:c>
      <x:c r="I678" s="30" t="str">
        <x:v>Inventory management weakness.</x:v>
      </x:c>
    </x:row>
    <x:row r="679">
      <x:c r="A679" s="30" t="str">
        <x:v>HOMOBS008</x:v>
      </x:c>
      <x:c r="B679" s="30" t="str">
        <x:v>HOMAUD008</x:v>
      </x:c>
      <x:c r="C679" s="30" t="str">
        <x:v>Expired homeopathic medicines remain available for dispensing due to inadequate expiry monitoring.</x:v>
      </x:c>
      <x:c r="D679" s="30" t="str">
        <x:v>High</x:v>
      </x:c>
      <x:c r="E679" s="30" t="str">
        <x:v>Strengthen expiry monitoring and remove expired products promptly.</x:v>
      </x:c>
      <x:c r="F679" s="30" t="str">
        <x:v>Storage</x:v>
      </x:c>
      <x:c r="G679" s="30" t="str">
        <x:v>HOMEOPATHIC</x:v>
      </x:c>
      <x:c r="H679" s="30" t="str">
        <x:v>Yes</x:v>
      </x:c>
      <x:c r="I679" s="30" t="str">
        <x:v>Patient safety and quality risk.</x:v>
      </x:c>
    </x:row>
    <x:row r="680">
      <x:c r="A680" s="30" t="str">
        <x:v>HOMOBS009</x:v>
      </x:c>
      <x:c r="B680" s="30" t="str">
        <x:v>HOMAUD009</x:v>
      </x:c>
      <x:c r="C680" s="30" t="str">
        <x:v>Cross-contamination prevention controls during storage or preparation are inadequate.</x:v>
      </x:c>
      <x:c r="D680" s="30" t="str">
        <x:v>High</x:v>
      </x:c>
      <x:c r="E680" s="30" t="str">
        <x:v>Implement documented contamination prevention procedures and routine monitoring.</x:v>
      </x:c>
      <x:c r="F680" s="30" t="str">
        <x:v>Storage</x:v>
      </x:c>
      <x:c r="G680" s="30" t="str">
        <x:v>HOMEOPATHIC</x:v>
      </x:c>
      <x:c r="H680" s="30" t="str">
        <x:v>Yes</x:v>
      </x:c>
      <x:c r="I680" s="30" t="str">
        <x:v>Product integrity concern.</x:v>
      </x:c>
    </x:row>
    <x:row r="681">
      <x:c r="A681" s="30" t="str">
        <x:v>HOMOBS010</x:v>
      </x:c>
      <x:c r="B681" s="30" t="str">
        <x:v>HOMAUD010</x:v>
      </x:c>
      <x:c r="C681" s="30" t="str">
        <x:v>Storage environment monitoring is incomplete or environmental limits are exceeded without corrective action.</x:v>
      </x:c>
      <x:c r="D681" s="30" t="str">
        <x:v>Medium</x:v>
      </x:c>
      <x:c r="E681" s="30" t="str">
        <x:v>Monitor temperature and humidity continuously and investigate deviations.</x:v>
      </x:c>
      <x:c r="F681" s="30" t="str">
        <x:v>Storage</x:v>
      </x:c>
      <x:c r="G681" s="30" t="str">
        <x:v>HOMEOPATHIC</x:v>
      </x:c>
      <x:c r="H681" s="30" t="str">
        <x:v>Yes</x:v>
      </x:c>
      <x:c r="I681" s="30" t="str">
        <x:v>Storage quality issue.</x:v>
      </x:c>
    </x:row>
    <x:row r="682">
      <x:c r="A682" s="30" t="str">
        <x:v>HOMOBS011</x:v>
      </x:c>
      <x:c r="B682" s="30" t="str">
        <x:v>HOMAUD011</x:v>
      </x:c>
      <x:c r="C682" s="30" t="str">
        <x:v>Batch traceability records are incomplete, limiting the ability to perform effective recalls.</x:v>
      </x:c>
      <x:c r="D682" s="30" t="str">
        <x:v>High</x:v>
      </x:c>
      <x:c r="E682" s="30" t="str">
        <x:v>Maintain complete batch movement records from receipt through dispensing.</x:v>
      </x:c>
      <x:c r="F682" s="30" t="str">
        <x:v>Inventory</x:v>
      </x:c>
      <x:c r="G682" s="30" t="str">
        <x:v>HOMEOPATHIC</x:v>
      </x:c>
      <x:c r="H682" s="30" t="str">
        <x:v>Yes</x:v>
      </x:c>
      <x:c r="I682" s="30" t="str">
        <x:v>Traceability deficiency.</x:v>
      </x:c>
    </x:row>
    <x:row r="683">
      <x:c r="A683" s="30" t="str">
        <x:v>HOMOBS012</x:v>
      </x:c>
      <x:c r="B683" s="30" t="str">
        <x:v>HOMAUD012</x:v>
      </x:c>
      <x:c r="C683" s="30" t="str">
        <x:v>Patients do not consistently receive documented counselling regarding dosage, administration or storage of homeopathic medicines.</x:v>
      </x:c>
      <x:c r="D683" s="30" t="str">
        <x:v>Medium</x:v>
      </x:c>
      <x:c r="E683" s="30" t="str">
        <x:v>Standardize patient counselling and retain counselling documentation.</x:v>
      </x:c>
      <x:c r="F683" s="30" t="str">
        <x:v>Storage</x:v>
      </x:c>
      <x:c r="G683" s="30" t="str">
        <x:v>HOMEOPATHIC</x:v>
      </x:c>
      <x:c r="H683" s="30" t="str">
        <x:v>Yes</x:v>
      </x:c>
      <x:c r="I683" s="30" t="str">
        <x:v>Patient education gap.</x:v>
      </x:c>
    </x:row>
    <x:row r="684">
      <x:c r="A684" s="30" t="str">
        <x:v>HOMOBS013</x:v>
      </x:c>
      <x:c r="B684" s="30" t="str">
        <x:v>HOMAUD013</x:v>
      </x:c>
      <x:c r="C684" s="30" t="str">
        <x:v>Dispensing documentation is incomplete or cannot be produced during regulatory inspection.</x:v>
      </x:c>
      <x:c r="D684" s="30" t="str">
        <x:v>Medium</x:v>
      </x:c>
      <x:c r="E684" s="30" t="str">
        <x:v>Strengthen document control procedures and periodic documentation reviews.</x:v>
      </x:c>
      <x:c r="F684" s="30" t="str">
        <x:v>Regulatory Filing</x:v>
      </x:c>
      <x:c r="G684" s="30" t="str">
        <x:v>HOMEOPATHIC</x:v>
      </x:c>
      <x:c r="H684" s="30" t="str">
        <x:v>Yes</x:v>
      </x:c>
      <x:c r="I684" s="30" t="str">
        <x:v>Audit readiness deficiency.</x:v>
      </x:c>
    </x:row>
    <x:row r="685">
      <x:c r="A685" s="30" t="str">
        <x:v>HOMOBS014</x:v>
      </x:c>
      <x:c r="B685" s="30" t="str">
        <x:v>HOMAUD014</x:v>
      </x:c>
      <x:c r="C685" s="30" t="str">
        <x:v>Product quality complaints are not investigated promptly or corrective actions remain incomplete.</x:v>
      </x:c>
      <x:c r="D685" s="30" t="str">
        <x:v>Medium</x:v>
      </x:c>
      <x:c r="E685" s="30" t="str">
        <x:v>Investigate all complaints and monitor CAPA through to closure.</x:v>
      </x:c>
      <x:c r="F685" s="30" t="str">
        <x:v>Quality</x:v>
      </x:c>
      <x:c r="G685" s="30" t="str">
        <x:v>HOMEOPATHIC</x:v>
      </x:c>
      <x:c r="H685" s="30" t="str">
        <x:v>Yes</x:v>
      </x:c>
      <x:c r="I685" s="30" t="str">
        <x:v>Quality management weakness.</x:v>
      </x:c>
    </x:row>
    <x:row r="686">
      <x:c r="A686" s="30" t="str">
        <x:v>HOMOBS015</x:v>
      </x:c>
      <x:c r="B686" s="30" t="str">
        <x:v>HOMAUD015</x:v>
      </x:c>
      <x:c r="C686" s="30" t="str">
        <x:v>Homeopathic product recalls are delayed or recall effectiveness cannot be demonstrated.</x:v>
      </x:c>
      <x:c r="D686" s="30" t="str">
        <x:v>High</x:v>
      </x:c>
      <x:c r="E686" s="30" t="str">
        <x:v>Conduct periodic mock recalls and verify recall effectiveness.</x:v>
      </x:c>
      <x:c r="F686" s="30" t="str">
        <x:v>Quality</x:v>
      </x:c>
      <x:c r="G686" s="30" t="str">
        <x:v>HOMEOPATHIC</x:v>
      </x:c>
      <x:c r="H686" s="30" t="str">
        <x:v>Yes</x:v>
      </x:c>
      <x:c r="I686" s="30" t="str">
        <x:v>Recall management risk.</x:v>
      </x:c>
    </x:row>
    <x:row r="687">
      <x:c r="A687" s="30" t="str">
        <x:v>HOMOBS016</x:v>
      </x:c>
      <x:c r="B687" s="30" t="str">
        <x:v>HOMAUD016</x:v>
      </x:c>
      <x:c r="C687" s="30" t="str">
        <x:v>Supplier qualification records are incomplete or periodic supplier evaluations are not performed.</x:v>
      </x:c>
      <x:c r="D687" s="30" t="str">
        <x:v>Medium</x:v>
      </x:c>
      <x:c r="E687" s="30" t="str">
        <x:v>Implement structured supplier qualification and periodic performance reviews.</x:v>
      </x:c>
      <x:c r="F687" s="30" t="str">
        <x:v>Personnel</x:v>
      </x:c>
      <x:c r="G687" s="30" t="str">
        <x:v>HOMEOPATHIC</x:v>
      </x:c>
      <x:c r="H687" s="30" t="str">
        <x:v>Yes</x:v>
      </x:c>
      <x:c r="I687" s="30" t="str">
        <x:v>Supply chain governance issue.</x:v>
      </x:c>
    </x:row>
    <x:row r="688">
      <x:c r="A688" s="30" t="str">
        <x:v>HOMOBS017</x:v>
      </x:c>
      <x:c r="B688" s="30" t="str">
        <x:v>HOMAUD017</x:v>
      </x:c>
      <x:c r="C688" s="30" t="str">
        <x:v>Pharmacy personnel handling homeopathic medicines have incomplete competency assessments or overdue refresher training.</x:v>
      </x:c>
      <x:c r="D688" s="30" t="str">
        <x:v>Medium</x:v>
      </x:c>
      <x:c r="E688" s="30" t="str">
        <x:v>Maintain competency matrix and conduct annual competency reassessments.</x:v>
      </x:c>
      <x:c r="F688" s="30" t="str">
        <x:v>Personnel</x:v>
      </x:c>
      <x:c r="G688" s="30" t="str">
        <x:v>HOMEOPATHIC</x:v>
      </x:c>
      <x:c r="H688" s="30" t="str">
        <x:v>Yes</x:v>
      </x:c>
      <x:c r="I688" s="30" t="str">
        <x:v>Human resource competency risk.</x:v>
      </x:c>
    </x:row>
    <x:row r="689">
      <x:c r="A689" s="30" t="str">
        <x:v>HOMOBS018</x:v>
      </x:c>
      <x:c r="B689" s="30" t="str">
        <x:v>HOMAUD018</x:v>
      </x:c>
      <x:c r="C689" s="30" t="str">
        <x:v>Quality assurance reviews do not adequately evaluate storage, preparation and dispensing activities.</x:v>
      </x:c>
      <x:c r="D689" s="30" t="str">
        <x:v>High</x:v>
      </x:c>
      <x:c r="E689" s="30" t="str">
        <x:v>Expand QA review scope and verify implementation of corrective actions.</x:v>
      </x:c>
      <x:c r="F689" s="30" t="str">
        <x:v>Storage</x:v>
      </x:c>
      <x:c r="G689" s="30" t="str">
        <x:v>HOMEOPATHIC</x:v>
      </x:c>
      <x:c r="H689" s="30" t="str">
        <x:v>Yes</x:v>
      </x:c>
      <x:c r="I689" s="30" t="str">
        <x:v>Quality assurance deficiency.</x:v>
      </x:c>
    </x:row>
    <x:row r="690">
      <x:c r="A690" s="30" t="str">
        <x:v>HOMOBS019</x:v>
      </x:c>
      <x:c r="B690" s="30" t="str">
        <x:v>HOMAUD019</x:v>
      </x:c>
      <x:c r="C690" s="30" t="str">
        <x:v>Regulatory compliance reviews are irregular or corrective actions remain unresolved.</x:v>
      </x:c>
      <x:c r="D690" s="30" t="str">
        <x:v>Medium</x:v>
      </x:c>
      <x:c r="E690" s="30" t="str">
        <x:v>Conduct scheduled compliance reviews and monitor timely CAPA closure.</x:v>
      </x:c>
      <x:c r="F690" s="30" t="str">
        <x:v>Regulatory Filing</x:v>
      </x:c>
      <x:c r="G690" s="30" t="str">
        <x:v>HOMEOPATHIC</x:v>
      </x:c>
      <x:c r="H690" s="30" t="str">
        <x:v>Yes</x:v>
      </x:c>
      <x:c r="I690" s="30" t="str">
        <x:v>Compliance monitoring weakness.</x:v>
      </x:c>
    </x:row>
    <x:row r="691">
      <x:c r="A691" s="30" t="str">
        <x:v>HOMOBS020</x:v>
      </x:c>
      <x:c r="B691" s="30" t="str">
        <x:v>HOMAUD020</x:v>
      </x:c>
      <x:c r="C691" s="30" t="str">
        <x:v>Annual governance reviews and compliance maturity assessments are not performed or improvement actions are not implemented.</x:v>
      </x:c>
      <x:c r="D691" s="30" t="str">
        <x:v>Medium</x:v>
      </x:c>
      <x:c r="E691" s="30" t="str">
        <x:v>Perform annual governance assessments and track implementation of improvement plans.</x:v>
      </x:c>
      <x:c r="F691" s="30" t="str">
        <x:v>Other</x:v>
      </x:c>
      <x:c r="G691" s="30" t="str">
        <x:v>HOMEOPATHIC</x:v>
      </x:c>
      <x:c r="H691" s="30" t="str">
        <x:v>Yes</x:v>
      </x:c>
      <x:c r="I691" s="30" t="str">
        <x:v>Governance and continuous improvement opportunity.</x:v>
      </x:c>
    </x:row>
    <x:row r="692">
      <x:c r="A692" s="30" t="str">
        <x:v>AOBS001</x:v>
      </x:c>
      <x:c r="B692" s="30" t="str">
        <x:v>AAUD001</x:v>
      </x:c>
      <x:c r="C692" s="30" t="str">
        <x:v>AYUSH medicines are not classified according to the applicable AYUSH system, resulting in incorrect storage or dispensing practices.</x:v>
      </x:c>
      <x:c r="D692" s="30" t="str">
        <x:v>High</x:v>
      </x:c>
      <x:c r="E692" s="30" t="str">
        <x:v>Maintain an approved AYUSH medicine classification register and periodically verify product classification.</x:v>
      </x:c>
      <x:c r="F692" s="30" t="str">
        <x:v>Digital / E-Pharmacy</x:v>
      </x:c>
      <x:c r="G692" s="30" t="str">
        <x:v>AYUSH</x:v>
      </x:c>
      <x:c r="H692" s="30" t="str">
        <x:v>Yes</x:v>
      </x:c>
      <x:c r="I692" s="30" t="str">
        <x:v>Regulatory compliance risk.</x:v>
      </x:c>
    </x:row>
    <x:row r="693">
      <x:c r="A693" s="30" t="str">
        <x:v>AOBS002</x:v>
      </x:c>
      <x:c r="B693" s="30" t="str">
        <x:v>AAUD002</x:v>
      </x:c>
      <x:c r="C693" s="30" t="str">
        <x:v>AYUSH medicines are procured from manufacturers or distributors without documented licence verification.</x:v>
      </x:c>
      <x:c r="D693" s="30" t="str">
        <x:v>High</x:v>
      </x:c>
      <x:c r="E693" s="30" t="str">
        <x:v>Verify manufacturer and distributor licences before procurement and maintain supplier qualification records.</x:v>
      </x:c>
      <x:c r="F693" s="30" t="str">
        <x:v>Licensing</x:v>
      </x:c>
      <x:c r="G693" s="30" t="str">
        <x:v>AYUSH</x:v>
      </x:c>
      <x:c r="H693" s="30" t="str">
        <x:v>Yes</x:v>
      </x:c>
      <x:c r="I693" s="30" t="str">
        <x:v>Procurement compliance deficiency.</x:v>
      </x:c>
    </x:row>
    <x:row r="694">
      <x:c r="A694" s="30" t="str">
        <x:v>AOBS003</x:v>
      </x:c>
      <x:c r="B694" s="30" t="str">
        <x:v>AAUD003</x:v>
      </x:c>
      <x:c r="C694" s="30" t="str">
        <x:v>Traceability records for herbal, mineral or natural-origin AYUSH medicines are incomplete or unavailable.</x:v>
      </x:c>
      <x:c r="D694" s="30" t="str">
        <x:v>High</x:v>
      </x:c>
      <x:c r="E694" s="30" t="str">
        <x:v>Maintain complete traceability from receipt through dispensing for all AYUSH medicines.</x:v>
      </x:c>
      <x:c r="F694" s="30" t="str">
        <x:v>Documentation</x:v>
      </x:c>
      <x:c r="G694" s="30" t="str">
        <x:v>AYUSH</x:v>
      </x:c>
      <x:c r="H694" s="30" t="str">
        <x:v>Yes</x:v>
      </x:c>
      <x:c r="I694" s="30" t="str">
        <x:v>Product recall and quality risk.</x:v>
      </x:c>
    </x:row>
    <x:row r="695">
      <x:c r="A695" s="30" t="str">
        <x:v>AOBS004</x:v>
      </x:c>
      <x:c r="B695" s="30" t="str">
        <x:v>AAUD004</x:v>
      </x:c>
      <x:c r="C695" s="30" t="str">
        <x:v>AYUSH medicines are stored under unsuitable environmental conditions or monitoring records are incomplete.</x:v>
      </x:c>
      <x:c r="D695" s="30" t="str">
        <x:v>High</x:v>
      </x:c>
      <x:c r="E695" s="30" t="str">
        <x:v>Monitor storage conditions continuously and investigate all deviations promptly.</x:v>
      </x:c>
      <x:c r="F695" s="30" t="str">
        <x:v>Storage</x:v>
      </x:c>
      <x:c r="G695" s="30" t="str">
        <x:v>AYUSH</x:v>
      </x:c>
      <x:c r="H695" s="30" t="str">
        <x:v>Yes</x:v>
      </x:c>
      <x:c r="I695" s="30" t="str">
        <x:v>Product quality concern.</x:v>
      </x:c>
    </x:row>
    <x:row r="696">
      <x:c r="A696" s="30" t="str">
        <x:v>AOBS005</x:v>
      </x:c>
      <x:c r="B696" s="30" t="str">
        <x:v>AAUD005</x:v>
      </x:c>
      <x:c r="C696" s="30" t="str">
        <x:v>AYUSH medicine labels are incomplete, inaccurate or not independently verified before dispensing.</x:v>
      </x:c>
      <x:c r="D696" s="30" t="str">
        <x:v>High</x:v>
      </x:c>
      <x:c r="E696" s="30" t="str">
        <x:v>Implement mandatory label verification and periodic label compliance audits.</x:v>
      </x:c>
      <x:c r="F696" s="30" t="str">
        <x:v>Other</x:v>
      </x:c>
      <x:c r="G696" s="30" t="str">
        <x:v>AYUSH</x:v>
      </x:c>
      <x:c r="H696" s="30" t="str">
        <x:v>Yes</x:v>
      </x:c>
      <x:c r="I696" s="30" t="str">
        <x:v>Dispensing error risk.</x:v>
      </x:c>
    </x:row>
    <x:row r="697">
      <x:c r="A697" s="30" t="str">
        <x:v>AOBS006</x:v>
      </x:c>
      <x:c r="B697" s="30" t="str">
        <x:v>AAUD006</x:v>
      </x:c>
      <x:c r="C697" s="30" t="str">
        <x:v>Traditional AYUSH dosage forms are dispensed without following approved dispensing procedures.</x:v>
      </x:c>
      <x:c r="D697" s="30" t="str">
        <x:v>High</x:v>
      </x:c>
      <x:c r="E697" s="30" t="str">
        <x:v>Enforce standardized dispensing SOPs for all traditional dosage forms.</x:v>
      </x:c>
      <x:c r="F697" s="30" t="str">
        <x:v>Digital / E-Pharmacy</x:v>
      </x:c>
      <x:c r="G697" s="30" t="str">
        <x:v>AYUSH</x:v>
      </x:c>
      <x:c r="H697" s="30" t="str">
        <x:v>Yes</x:v>
      </x:c>
      <x:c r="I697" s="30" t="str">
        <x:v>Patient safety and product quality risk.</x:v>
      </x:c>
    </x:row>
    <x:row r="698">
      <x:c r="A698" s="30" t="str">
        <x:v>AOBS007</x:v>
      </x:c>
      <x:c r="B698" s="30" t="str">
        <x:v>AAUD007</x:v>
      </x:c>
      <x:c r="C698" s="30" t="str">
        <x:v>Patient counselling for AYUSH medicines is incomplete or not documented.</x:v>
      </x:c>
      <x:c r="D698" s="30" t="str">
        <x:v>High</x:v>
      </x:c>
      <x:c r="E698" s="30" t="str">
        <x:v>Ensure documented counselling covering dosage, administration, dietary advice and storage.</x:v>
      </x:c>
      <x:c r="F698" s="30" t="str">
        <x:v>Storage</x:v>
      </x:c>
      <x:c r="G698" s="30" t="str">
        <x:v>AYUSH</x:v>
      </x:c>
      <x:c r="H698" s="30" t="str">
        <x:v>Yes</x:v>
      </x:c>
      <x:c r="I698" s="30" t="str">
        <x:v>Patient education deficiency.</x:v>
      </x:c>
    </x:row>
    <x:row r="699">
      <x:c r="A699" s="30" t="str">
        <x:v>AOBS008</x:v>
      </x:c>
      <x:c r="B699" s="30" t="str">
        <x:v>AAUD008</x:v>
      </x:c>
      <x:c r="C699" s="30" t="str">
        <x:v>Documentation supporting classical or proprietary AYUSH formulations is incomplete or unavailable.</x:v>
      </x:c>
      <x:c r="D699" s="30" t="str">
        <x:v>Medium</x:v>
      </x:c>
      <x:c r="E699" s="30" t="str">
        <x:v>Maintain complete formulation references and supporting documentation.</x:v>
      </x:c>
      <x:c r="F699" s="30" t="str">
        <x:v>Documentation</x:v>
      </x:c>
      <x:c r="G699" s="30" t="str">
        <x:v>AYUSH</x:v>
      </x:c>
      <x:c r="H699" s="30" t="str">
        <x:v>Yes</x:v>
      </x:c>
      <x:c r="I699" s="30" t="str">
        <x:v>Documentation weakness.</x:v>
      </x:c>
    </x:row>
    <x:row r="700">
      <x:c r="A700" s="30" t="str">
        <x:v>AOBS009</x:v>
      </x:c>
      <x:c r="B700" s="30" t="str">
        <x:v>AAUD009</x:v>
      </x:c>
      <x:c r="C700" s="30" t="str">
        <x:v>The AYUSH quality assurance programme does not adequately monitor procurement, storage or dispensing activities.</x:v>
      </x:c>
      <x:c r="D700" s="30" t="str">
        <x:v>High</x:v>
      </x:c>
      <x:c r="E700" s="30" t="str">
        <x:v>Expand QA programme scope and monitor CAPA implementation.</x:v>
      </x:c>
      <x:c r="F700" s="30" t="str">
        <x:v>Storage</x:v>
      </x:c>
      <x:c r="G700" s="30" t="str">
        <x:v>AYUSH</x:v>
      </x:c>
      <x:c r="H700" s="30" t="str">
        <x:v>Yes</x:v>
      </x:c>
      <x:c r="I700" s="30" t="str">
        <x:v>Quality management deficiency.</x:v>
      </x:c>
    </x:row>
    <x:row r="701">
      <x:c r="A701" s="30" t="str">
        <x:v>AOBS010</x:v>
      </x:c>
      <x:c r="B701" s="30" t="str">
        <x:v>AAUD010</x:v>
      </x:c>
      <x:c r="C701" s="30" t="str">
        <x:v>AYUSH regulatory updates are not reviewed or implemented within prescribed timelines.</x:v>
      </x:c>
      <x:c r="D701" s="30" t="str">
        <x:v>Medium</x:v>
      </x:c>
      <x:c r="E701" s="30" t="str">
        <x:v>Maintain a regulatory update tracker and periodically review implementation status.</x:v>
      </x:c>
      <x:c r="F701" s="30" t="str">
        <x:v>Regulatory Filing</x:v>
      </x:c>
      <x:c r="G701" s="30" t="str">
        <x:v>AYUSH</x:v>
      </x:c>
      <x:c r="H701" s="30" t="str">
        <x:v>Yes</x:v>
      </x:c>
      <x:c r="I701" s="30" t="str">
        <x:v>Regulatory monitoring weakness.</x:v>
      </x:c>
    </x:row>
    <x:row r="702">
      <x:c r="A702" s="30" t="str">
        <x:v>AOBS011</x:v>
      </x:c>
      <x:c r="B702" s="30" t="str">
        <x:v>AAUD011</x:v>
      </x:c>
      <x:c r="C702" s="30" t="str">
        <x:v>AYUSH product recalls are delayed or recall effectiveness cannot be demonstrated.</x:v>
      </x:c>
      <x:c r="D702" s="30" t="str">
        <x:v>High</x:v>
      </x:c>
      <x:c r="E702" s="30" t="str">
        <x:v>Conduct periodic mock recalls and verify recall effectiveness.</x:v>
      </x:c>
      <x:c r="F702" s="30" t="str">
        <x:v>Quality</x:v>
      </x:c>
      <x:c r="G702" s="30" t="str">
        <x:v>AYUSH</x:v>
      </x:c>
      <x:c r="H702" s="30" t="str">
        <x:v>Yes</x:v>
      </x:c>
      <x:c r="I702" s="30" t="str">
        <x:v>Recall management risk.</x:v>
      </x:c>
    </x:row>
    <x:row r="703">
      <x:c r="A703" s="30" t="str">
        <x:v>AOBS012</x:v>
      </x:c>
      <x:c r="B703" s="30" t="str">
        <x:v>AAUD012</x:v>
      </x:c>
      <x:c r="C703" s="30" t="str">
        <x:v>Expired AYUSH medicines remain in active inventory or segregation controls are ineffective.</x:v>
      </x:c>
      <x:c r="D703" s="30" t="str">
        <x:v>High</x:v>
      </x:c>
      <x:c r="E703" s="30" t="str">
        <x:v>Strengthen expiry monitoring and segregate expired medicines immediately.</x:v>
      </x:c>
      <x:c r="F703" s="30" t="str">
        <x:v>Storage</x:v>
      </x:c>
      <x:c r="G703" s="30" t="str">
        <x:v>AYUSH</x:v>
      </x:c>
      <x:c r="H703" s="30" t="str">
        <x:v>Yes</x:v>
      </x:c>
      <x:c r="I703" s="30" t="str">
        <x:v>Inventory control deficiency.</x:v>
      </x:c>
    </x:row>
    <x:row r="704">
      <x:c r="A704" s="30" t="str">
        <x:v>AOBS013</x:v>
      </x:c>
      <x:c r="B704" s="30" t="str">
        <x:v>AAUD013</x:v>
      </x:c>
      <x:c r="C704" s="30" t="str">
        <x:v>Prescriptions issued by AYUSH practitioners are not consistently verified before dispensing.</x:v>
      </x:c>
      <x:c r="D704" s="30" t="str">
        <x:v>High</x:v>
      </x:c>
      <x:c r="E704" s="30" t="str">
        <x:v>Verify practitioner registration and prescription authenticity before dispensing.</x:v>
      </x:c>
      <x:c r="F704" s="30" t="str">
        <x:v>Prescription</x:v>
      </x:c>
      <x:c r="G704" s="30" t="str">
        <x:v>AYUSH</x:v>
      </x:c>
      <x:c r="H704" s="30" t="str">
        <x:v>Yes</x:v>
      </x:c>
      <x:c r="I704" s="30" t="str">
        <x:v>Regulatory compliance risk.</x:v>
      </x:c>
    </x:row>
    <x:row r="705">
      <x:c r="A705" s="30" t="str">
        <x:v>AOBS014</x:v>
      </x:c>
      <x:c r="B705" s="30" t="str">
        <x:v>AAUD014</x:v>
      </x:c>
      <x:c r="C705" s="30" t="str">
        <x:v>AYUSH dispensing documentation is incomplete or unavailable during inspection.</x:v>
      </x:c>
      <x:c r="D705" s="30" t="str">
        <x:v>Medium</x:v>
      </x:c>
      <x:c r="E705" s="30" t="str">
        <x:v>Standardize dispensing documentation and conduct periodic documentation reviews.</x:v>
      </x:c>
      <x:c r="F705" s="30" t="str">
        <x:v>Documentation</x:v>
      </x:c>
      <x:c r="G705" s="30" t="str">
        <x:v>AYUSH</x:v>
      </x:c>
      <x:c r="H705" s="30" t="str">
        <x:v>Yes</x:v>
      </x:c>
      <x:c r="I705" s="30" t="str">
        <x:v>Audit readiness issue.</x:v>
      </x:c>
    </x:row>
    <x:row r="706">
      <x:c r="A706" s="30" t="str">
        <x:v>AOBS015</x:v>
      </x:c>
      <x:c r="B706" s="30" t="str">
        <x:v>AAUD015</x:v>
      </x:c>
      <x:c r="C706" s="30" t="str">
        <x:v>Competency assessments or continuing education records for AYUSH pharmacy personnel are incomplete or overdue.</x:v>
      </x:c>
      <x:c r="D706" s="30" t="str">
        <x:v>Medium</x:v>
      </x:c>
      <x:c r="E706" s="30" t="str">
        <x:v>Maintain competency matrix and conduct periodic reassessment and refresher training.</x:v>
      </x:c>
      <x:c r="F706" s="30" t="str">
        <x:v>Personnel</x:v>
      </x:c>
      <x:c r="G706" s="30" t="str">
        <x:v>AYUSH</x:v>
      </x:c>
      <x:c r="H706" s="30" t="str">
        <x:v>Yes</x:v>
      </x:c>
      <x:c r="I706" s="30" t="str">
        <x:v>Workforce competency gap.</x:v>
      </x:c>
    </x:row>
    <x:row r="707">
      <x:c r="A707" s="30" t="str">
        <x:v>AOBS016</x:v>
      </x:c>
      <x:c r="B707" s="30" t="str">
        <x:v>AAUD016</x:v>
      </x:c>
      <x:c r="C707" s="30" t="str">
        <x:v>Supplier performance reviews are not conducted or supplier quality issues remain unresolved.</x:v>
      </x:c>
      <x:c r="D707" s="30" t="str">
        <x:v>Medium</x:v>
      </x:c>
      <x:c r="E707" s="30" t="str">
        <x:v>Conduct periodic supplier evaluations and monitor corrective actions.</x:v>
      </x:c>
      <x:c r="F707" s="30" t="str">
        <x:v>Quality</x:v>
      </x:c>
      <x:c r="G707" s="30" t="str">
        <x:v>AYUSH</x:v>
      </x:c>
      <x:c r="H707" s="30" t="str">
        <x:v>Yes</x:v>
      </x:c>
      <x:c r="I707" s="30" t="str">
        <x:v>Supply chain governance weakness.</x:v>
      </x:c>
    </x:row>
    <x:row r="708">
      <x:c r="A708" s="30" t="str">
        <x:v>AOBS017</x:v>
      </x:c>
      <x:c r="B708" s="30" t="str">
        <x:v>AAUD017</x:v>
      </x:c>
      <x:c r="C708" s="30" t="str">
        <x:v>AYUSH compliance reports are incomplete, inaccurate or not reviewed by management.</x:v>
      </x:c>
      <x:c r="D708" s="30" t="str">
        <x:v>Medium</x:v>
      </x:c>
      <x:c r="E708" s="30" t="str">
        <x:v>Establish a compliance reporting calendar with documented management review.</x:v>
      </x:c>
      <x:c r="F708" s="30" t="str">
        <x:v>Regulatory Filing</x:v>
      </x:c>
      <x:c r="G708" s="30" t="str">
        <x:v>AYUSH</x:v>
      </x:c>
      <x:c r="H708" s="30" t="str">
        <x:v>Yes</x:v>
      </x:c>
      <x:c r="I708" s="30" t="str">
        <x:v>Compliance reporting deficiency.</x:v>
      </x:c>
    </x:row>
    <x:row r="709">
      <x:c r="A709" s="30" t="str">
        <x:v>AOBS018</x:v>
      </x:c>
      <x:c r="B709" s="30" t="str">
        <x:v>AAUD018</x:v>
      </x:c>
      <x:c r="C709" s="30" t="str">
        <x:v>Corrective and preventive actions remain overdue or effectiveness verification is not completed.</x:v>
      </x:c>
      <x:c r="D709" s="30" t="str">
        <x:v>Medium</x:v>
      </x:c>
      <x:c r="E709" s="30" t="str">
        <x:v>Strengthen CAPA monitoring and verify effectiveness before closure.</x:v>
      </x:c>
      <x:c r="F709" s="30" t="str">
        <x:v>Quality</x:v>
      </x:c>
      <x:c r="G709" s="30" t="str">
        <x:v>AYUSH</x:v>
      </x:c>
      <x:c r="H709" s="30" t="str">
        <x:v>Yes</x:v>
      </x:c>
      <x:c r="I709" s="30" t="str">
        <x:v>Continuous improvement weakness.</x:v>
      </x:c>
    </x:row>
    <x:row r="710">
      <x:c r="A710" s="30" t="str">
        <x:v>AOBS019</x:v>
      </x:c>
      <x:c r="B710" s="30" t="str">
        <x:v>AAUD019</x:v>
      </x:c>
      <x:c r="C710" s="30" t="str">
        <x:v>Internal quality reviews do not adequately evaluate storage, dispensing, documentation or regulatory compliance.</x:v>
      </x:c>
      <x:c r="D710" s="30" t="str">
        <x:v>Medium</x:v>
      </x:c>
      <x:c r="E710" s="30" t="str">
        <x:v>Expand internal review scope and monitor implementation of improvement actions.</x:v>
      </x:c>
      <x:c r="F710" s="30" t="str">
        <x:v>Storage</x:v>
      </x:c>
      <x:c r="G710" s="30" t="str">
        <x:v>AYUSH</x:v>
      </x:c>
      <x:c r="H710" s="30" t="str">
        <x:v>Yes</x:v>
      </x:c>
      <x:c r="I710" s="30" t="str">
        <x:v>Internal quality management issue.</x:v>
      </x:c>
    </x:row>
    <x:row r="711">
      <x:c r="A711" s="30" t="str">
        <x:v>AOBS020</x:v>
      </x:c>
      <x:c r="B711" s="30" t="str">
        <x:v>AAUD020</x:v>
      </x:c>
      <x:c r="C711" s="30" t="str">
        <x:v>Annual AYUSH pharmacy governance reviews and compliance maturity assessments are not performed or improvement plans are not implemented.</x:v>
      </x:c>
      <x:c r="D711" s="30" t="str">
        <x:v>Medium</x:v>
      </x:c>
      <x:c r="E711" s="30" t="str">
        <x:v>Conduct annual governance reviews and monitor execution of improvement roadmaps.</x:v>
      </x:c>
      <x:c r="F711" s="30" t="str">
        <x:v>Other</x:v>
      </x:c>
      <x:c r="G711" s="30" t="str">
        <x:v>AYUSH</x:v>
      </x:c>
      <x:c r="H711" s="30" t="str">
        <x:v>Yes</x:v>
      </x:c>
      <x:c r="I711" s="30" t="str">
        <x:v>Governance and strategic compliance opportunity.</x:v>
      </x:c>
    </x:row>
    <x:row r="712">
      <x:c r="A712" s="33" t="str">
        <x:v>OBS251</x:v>
      </x:c>
      <x:c r="B712" s="33" t="str">
        <x:v>AUD522</x:v>
      </x:c>
      <x:c r="C712" s="33" t="str">
        <x:v>Form 35 Inspection Book was absent or not available for Inspector use.</x:v>
      </x:c>
      <x:c r="D712" s="33" t="str">
        <x:v>High</x:v>
      </x:c>
      <x:c r="E712" s="33" t="str">
        <x:v>Maintain Form 35 at the premises and close recorded defects.</x:v>
      </x:c>
      <x:c r="F712" s="33" t="str">
        <x:v>Regulatory Filing</x:v>
      </x:c>
      <x:c r="G712" s="33" t="str">
        <x:v>CORE</x:v>
      </x:c>
      <x:c r="H712" s="33" t="str">
        <x:v>Yes</x:v>
      </x:c>
      <x:c r="I712" s="33" t="str">
        <x:v>P-2 validated observation chain.</x:v>
      </x:c>
    </x:row>
    <x:row r="713">
      <x:c r="A713" s="33" t="str">
        <x:v>OBS252</x:v>
      </x:c>
      <x:c r="B713" s="33" t="str">
        <x:v>AUD523</x:v>
      </x:c>
      <x:c r="C713" s="33" t="str">
        <x:v>Expired or label-direction-violating stock was saleable or not properly segregated.</x:v>
      </x:c>
      <x:c r="D713" s="33" t="str">
        <x:v>Critical</x:v>
      </x:c>
      <x:c r="E713" s="33" t="str">
        <x:v>Quarantine and mark the stock, then complete documented withdrawal/disposal.</x:v>
      </x:c>
      <x:c r="F713" s="33" t="str">
        <x:v>Inventory</x:v>
      </x:c>
      <x:c r="G713" s="33" t="str">
        <x:v>CORE</x:v>
      </x:c>
      <x:c r="H713" s="33" t="str">
        <x:v>Yes</x:v>
      </x:c>
      <x:c r="I713" s="33" t="str">
        <x:v>P-2 validated observation chain.</x:v>
      </x:c>
    </x:row>
    <x:row r="714">
      <x:c r="A714" s="33" t="str">
        <x:v>OBS253</x:v>
      </x:c>
      <x:c r="B714" s="33" t="str">
        <x:v>AUD524</x:v>
      </x:c>
      <x:c r="C714" s="33" t="str">
        <x:v>Free-sample or scheme stock was sold, mixed with trade stock or lacked exception records.</x:v>
      </x:c>
      <x:c r="D714" s="33" t="str">
        <x:v>Critical</x:v>
      </x:c>
      <x:c r="E714" s="33" t="str">
        <x:v>Stop sale, segregate stock and regularize only an express authorized exception.</x:v>
      </x:c>
      <x:c r="F714" s="33" t="str">
        <x:v>Inventory</x:v>
      </x:c>
      <x:c r="G714" s="33" t="str">
        <x:v>CORE</x:v>
      </x:c>
      <x:c r="H714" s="33" t="str">
        <x:v>Yes</x:v>
      </x:c>
      <x:c r="I714" s="33" t="str">
        <x:v>P-2 validated observation chain.</x:v>
      </x:c>
    </x:row>
    <x:row r="715">
      <x:c r="A715" s="33" t="str">
        <x:v>OBS254</x:v>
      </x:c>
      <x:c r="B715" s="33" t="str">
        <x:v>AUD525</x:v>
      </x:c>
      <x:c r="C715" s="33" t="str">
        <x:v>Retail supply outside the manufacturer's pack lacked pharmacist supervision or wrapper particulars.</x:v>
      </x:c>
      <x:c r="D715" s="33" t="str">
        <x:v>High</x:v>
      </x:c>
      <x:c r="E715" s="33" t="str">
        <x:v>Apply Rule 65(19) supervision and labelling before supply.</x:v>
      </x:c>
      <x:c r="F715" s="33" t="str">
        <x:v>Prescription</x:v>
      </x:c>
      <x:c r="G715" s="33" t="str">
        <x:v>CORE</x:v>
      </x:c>
      <x:c r="H715" s="33" t="str">
        <x:v>Yes</x:v>
      </x:c>
      <x:c r="I715" s="33" t="str">
        <x:v>P-2 validated observation chain.</x:v>
      </x:c>
    </x:row>
    <x:row r="716">
      <x:c r="A716" s="33" t="str">
        <x:v>OBS255</x:v>
      </x:c>
      <x:c r="B716" s="33" t="str">
        <x:v>AUD526</x:v>
      </x:c>
      <x:c r="C716" s="33" t="str">
        <x:v>Veterinary medicines were not appropriately labelled or segregated.</x:v>
      </x:c>
      <x:c r="D716" s="33" t="str">
        <x:v>High</x:v>
      </x:c>
      <x:c r="E716" s="33" t="str">
        <x:v>Relabel/segregate stock and prevent customer access.</x:v>
      </x:c>
      <x:c r="F716" s="33" t="str">
        <x:v>Storage</x:v>
      </x:c>
      <x:c r="G716" s="33" t="str">
        <x:v>CORE</x:v>
      </x:c>
      <x:c r="H716" s="33" t="str">
        <x:v>Yes</x:v>
      </x:c>
      <x:c r="I716" s="33" t="str">
        <x:v>P-2 validated observation chain.</x:v>
      </x:c>
    </x:row>
    <x:row r="717">
      <x:c r="A717" s="33" t="str">
        <x:v>OBS256</x:v>
      </x:c>
      <x:c r="B717" s="33" t="str">
        <x:v>AUD527</x:v>
      </x:c>
      <x:c r="C717" s="33" t="str">
        <x:v>The premises could not promptly demonstrate compliance during an inspection-readiness test.</x:v>
      </x:c>
      <x:c r="D717" s="33" t="str">
        <x:v>High</x:v>
      </x:c>
      <x:c r="E717" s="33" t="str">
        <x:v>Close inspection-readiness gaps and maintain current indexed evidence.</x:v>
      </x:c>
      <x:c r="F717" s="33" t="str">
        <x:v>Regulatory Filing</x:v>
      </x:c>
      <x:c r="G717" s="33" t="str">
        <x:v>CORE</x:v>
      </x:c>
      <x:c r="H717" s="33" t="str">
        <x:v>Yes</x:v>
      </x:c>
      <x:c r="I717" s="33" t="str">
        <x:v>P-2 validated observation chain.</x:v>
      </x:c>
    </x:row>
    <x:row r="718">
      <x:c r="A718" s="33" t="str">
        <x:v>OBS257</x:v>
      </x:c>
      <x:c r="B718" s="33" t="str">
        <x:v>AUD528</x:v>
      </x:c>
      <x:c r="C718" s="33" t="str">
        <x:v>Licence display or material staff/constitution details were not current.</x:v>
      </x:c>
      <x:c r="D718" s="33" t="str">
        <x:v>High</x:v>
      </x:c>
      <x:c r="E718" s="33" t="str">
        <x:v>Update the display and report/regularize the change with the authority.</x:v>
      </x:c>
      <x:c r="F718" s="33" t="str">
        <x:v>Licensing</x:v>
      </x:c>
      <x:c r="G718" s="33" t="str">
        <x:v>CORE</x:v>
      </x:c>
      <x:c r="H718" s="33" t="str">
        <x:v>Yes</x:v>
      </x:c>
      <x:c r="I718" s="33" t="str">
        <x:v>P-2 validated observation chain.</x:v>
      </x:c>
    </x:row>
    <x:row r="719">
      <x:c r="A719" s="33" t="str">
        <x:v>OBS258</x:v>
      </x:c>
      <x:c r="B719" s="33" t="str">
        <x:v>AUD529</x:v>
      </x:c>
      <x:c r="C719" s="33" t="str">
        <x:v>Enforcement/disposal requirements were breached or licence material was misleading/fabricated.</x:v>
      </x:c>
      <x:c r="D719" s="33" t="str">
        <x:v>Critical</x:v>
      </x:c>
      <x:c r="E719" s="33" t="str">
        <x:v>Cease affected activity, comply with the order and escalate potential Rule 66B debarment exposure.</x:v>
      </x:c>
      <x:c r="F719" s="33" t="str">
        <x:v>Licensing</x:v>
      </x:c>
      <x:c r="G719" s="33" t="str">
        <x:v>CORE</x:v>
      </x:c>
      <x:c r="H719" s="33" t="str">
        <x:v>Yes</x:v>
      </x:c>
      <x:c r="I719" s="33" t="str">
        <x:v>P-2 validated observation chain.</x:v>
      </x:c>
    </x:row>
    <x:row r="720">
      <x:c r="A720" s="33" t="str">
        <x:v>OBS259</x:v>
      </x:c>
      <x:c r="B720" s="33" t="str">
        <x:v>AUD530</x:v>
      </x:c>
      <x:c r="C720" s="33" t="str">
        <x:v>Restricted-licence activity exceeded the drugs or conditions permitted.</x:v>
      </x:c>
      <x:c r="D720" s="33" t="str">
        <x:v>High</x:v>
      </x:c>
      <x:c r="E720" s="33" t="str">
        <x:v>Remove unauthorized stock/activity or obtain the full licence.</x:v>
      </x:c>
      <x:c r="F720" s="33" t="str">
        <x:v>Licensing</x:v>
      </x:c>
      <x:c r="G720" s="33" t="str">
        <x:v>CORE</x:v>
      </x:c>
      <x:c r="H720" s="33" t="str">
        <x:v>Yes</x:v>
      </x:c>
      <x:c r="I720" s="33" t="str">
        <x:v>P-2 validated observation chain.</x:v>
      </x:c>
    </x:row>
    <x:row r="721">
      <x:c r="A721" s="33" t="str">
        <x:v>OBS260</x:v>
      </x:c>
      <x:c r="B721" s="33" t="str">
        <x:v>AUD531</x:v>
      </x:c>
      <x:c r="C721" s="33" t="str">
        <x:v>Covered motor-vehicle distribution operated without the prescribed licence or conditions.</x:v>
      </x:c>
      <x:c r="D721" s="33" t="str">
        <x:v>Critical</x:v>
      </x:c>
      <x:c r="E721" s="33" t="str">
        <x:v>Suspend vehicle activity until the correct licence and controls are in place.</x:v>
      </x:c>
      <x:c r="F721" s="33" t="str">
        <x:v>Licensing</x:v>
      </x:c>
      <x:c r="G721" s="33" t="str">
        <x:v>CORE</x:v>
      </x:c>
      <x:c r="H721" s="33" t="str">
        <x:v>Yes</x:v>
      </x:c>
      <x:c r="I721" s="33" t="str">
        <x:v>P-2 validated observation chain.</x:v>
      </x:c>
    </x:row>
    <x:row r="722">
      <x:c r="A722" s="33" t="str">
        <x:v>OBS261</x:v>
      </x:c>
      <x:c r="B722" s="33" t="str">
        <x:v>AUD532</x:v>
      </x:c>
      <x:c r="C722" s="33" t="str">
        <x:v>Homeopathic sale activity lacked the correct location-specific licence or competent-person condition.</x:v>
      </x:c>
      <x:c r="D722" s="33" t="str">
        <x:v>Critical</x:v>
      </x:c>
      <x:c r="E722" s="33" t="str">
        <x:v>Regularize the licence and competent-person/premises conditions.</x:v>
      </x:c>
      <x:c r="F722" s="33" t="str">
        <x:v>Licensing</x:v>
      </x:c>
      <x:c r="G722" s="33" t="str">
        <x:v>CORE</x:v>
      </x:c>
      <x:c r="H722" s="33" t="str">
        <x:v>Yes</x:v>
      </x:c>
      <x:c r="I722" s="33" t="str">
        <x:v>P-2 validated observation chain.</x:v>
      </x:c>
    </x:row>
    <x:row r="723">
      <x:c r="A723" s="33" t="str">
        <x:v>OBS262</x:v>
      </x:c>
      <x:c r="B723" s="33" t="str">
        <x:v>AUD533</x:v>
      </x:c>
      <x:c r="C723" s="33" t="str">
        <x:v>Rule 67G records or licence conditions were not maintained.</x:v>
      </x:c>
      <x:c r="D723" s="33" t="str">
        <x:v>High</x:v>
      </x:c>
      <x:c r="E723" s="33" t="str">
        <x:v>Correct the Homeopathic sale records and premises/supervision controls.</x:v>
      </x:c>
      <x:c r="F723" s="33" t="str">
        <x:v>Documentation</x:v>
      </x:c>
      <x:c r="G723" s="33" t="str">
        <x:v>CORE</x:v>
      </x:c>
      <x:c r="H723" s="33" t="str">
        <x:v>Yes</x:v>
      </x:c>
      <x:c r="I723" s="33" t="str">
        <x:v>P-2 validated observation chain.</x:v>
      </x:c>
    </x:row>
    <x:row r="724">
      <x:c r="A724" s="33" t="str">
        <x:v>OBS263</x:v>
      </x:c>
      <x:c r="B724" s="33" t="str">
        <x:v>AUD534</x:v>
      </x:c>
      <x:c r="C724" s="33" t="str">
        <x:v>Homeopathic activity continued contrary to a Rule 67H order.</x:v>
      </x:c>
      <x:c r="D724" s="33" t="str">
        <x:v>Critical</x:v>
      </x:c>
      <x:c r="E724" s="33" t="str">
        <x:v>Cease activity and complete the order/appeal/corrective-action process.</x:v>
      </x:c>
      <x:c r="F724" s="33" t="str">
        <x:v>Licensing</x:v>
      </x:c>
      <x:c r="G724" s="33" t="str">
        <x:v>CORE</x:v>
      </x:c>
      <x:c r="H724" s="33" t="str">
        <x:v>Yes</x:v>
      </x:c>
      <x:c r="I724" s="33" t="str">
        <x:v>P-2 validated observation chain.</x:v>
      </x:c>
    </x:row>
    <x:row r="725">
      <x:c r="A725" s="33" t="str">
        <x:v>OBS264</x:v>
      </x:c>
      <x:c r="B725" s="33" t="str">
        <x:v>AUD535</x:v>
      </x:c>
      <x:c r="C725" s="33" t="str">
        <x:v>The pharmacy did not maintain applicable Schedule N premises/equipment standards.</x:v>
      </x:c>
      <x:c r="D725" s="33" t="str">
        <x:v>High</x:v>
      </x:c>
      <x:c r="E725" s="33" t="str">
        <x:v>Restore Schedule N conditions and document verification.</x:v>
      </x:c>
      <x:c r="F725" s="33" t="str">
        <x:v>Infrastructure</x:v>
      </x:c>
      <x:c r="G725" s="33" t="str">
        <x:v>CORE</x:v>
      </x:c>
      <x:c r="H725" s="33" t="str">
        <x:v>Yes</x:v>
      </x:c>
      <x:c r="I725" s="33" t="str">
        <x:v>P-2 validated observation chain.</x:v>
      </x:c>
    </x:row>
    <x:row r="726">
      <x:c r="A726" s="33" t="str">
        <x:v>OBS265</x:v>
      </x:c>
      <x:c r="B726" s="33" t="str">
        <x:v>AUD536</x:v>
      </x:c>
      <x:c r="C726" s="33" t="str">
        <x:v>Institutional scheduled-drug supply lacked a signed written order or two-year retention.</x:v>
      </x:c>
      <x:c r="D726" s="33" t="str">
        <x:v>High</x:v>
      </x:c>
      <x:c r="E726" s="33" t="str">
        <x:v>Stop non-compliant supply and implement signed-order retention.</x:v>
      </x:c>
      <x:c r="F726" s="33" t="str">
        <x:v>Documentation</x:v>
      </x:c>
      <x:c r="G726" s="33" t="str">
        <x:v>CORE</x:v>
      </x:c>
      <x:c r="H726" s="33" t="str">
        <x:v>Yes</x:v>
      </x:c>
      <x:c r="I726" s="33" t="str">
        <x:v>P-2 validated observation chain.</x:v>
      </x:c>
    </x:row>
    <x:row r="727">
      <x:c r="A727" s="33" t="str">
        <x:v>OBS266</x:v>
      </x:c>
      <x:c r="B727" s="33" t="str">
        <x:v>AUD537</x:v>
      </x:c>
      <x:c r="C727" s="33" t="str">
        <x:v>Sale/stock activity commenced without the prescribed application and licence.</x:v>
      </x:c>
      <x:c r="D727" s="33" t="str">
        <x:v>Critical</x:v>
      </x:c>
      <x:c r="E727" s="33" t="str">
        <x:v>Cease the uncovered activity and regularize the correct licence before resumption.</x:v>
      </x:c>
      <x:c r="F727" s="33" t="str">
        <x:v>Licensing</x:v>
      </x:c>
      <x:c r="G727" s="33" t="str">
        <x:v>CORE</x:v>
      </x:c>
      <x:c r="H727" s="33" t="str">
        <x:v>Yes</x:v>
      </x:c>
      <x:c r="I727" s="33" t="str">
        <x:v>P-2 validated observation chain.</x:v>
      </x:c>
    </x:row>
    <x:row r="728">
      <x:c r="A728" s="33" t="str">
        <x:v>OBS267</x:v>
      </x:c>
      <x:c r="B728" s="33" t="str">
        <x:v>AUD538</x:v>
      </x:c>
      <x:c r="C728" s="33" t="str">
        <x:v>Drug category or business activity exceeded the issued licence form.</x:v>
      </x:c>
      <x:c r="D728" s="33" t="str">
        <x:v>Critical</x:v>
      </x:c>
      <x:c r="E728" s="33" t="str">
        <x:v>Restrict activity to the licence scope or obtain the required licence/endorsement.</x:v>
      </x:c>
      <x:c r="F728" s="33" t="str">
        <x:v>Licensing</x:v>
      </x:c>
      <x:c r="G728" s="33" t="str">
        <x:v>CORE</x:v>
      </x:c>
      <x:c r="H728" s="33" t="str">
        <x:v>Yes</x:v>
      </x:c>
      <x:c r="I728" s="33" t="str">
        <x:v>P-2 validated observation chain.</x:v>
      </x:c>
    </x:row>
    <x:row r="729">
      <x:c r="A729" s="33" t="str">
        <x:v>OBS268</x:v>
      </x:c>
      <x:c r="B729" s="33" t="str">
        <x:v>AUD539</x:v>
      </x:c>
      <x:c r="C729" s="33" t="str">
        <x:v>Premises, storage or competent-person conditions underlying the licence were not maintained.</x:v>
      </x:c>
      <x:c r="D729" s="33" t="str">
        <x:v>High</x:v>
      </x:c>
      <x:c r="E729" s="33" t="str">
        <x:v>Restore the licensed conditions and document corrective action before further regulated activity.</x:v>
      </x:c>
      <x:c r="F729" s="33" t="str">
        <x:v>Infrastructure</x:v>
      </x:c>
      <x:c r="G729" s="33" t="str">
        <x:v>CORE</x:v>
      </x:c>
      <x:c r="H729" s="33" t="str">
        <x:v>Yes</x:v>
      </x:c>
      <x:c r="I729" s="33" t="str">
        <x:v>P-2 validated observation chain.</x:v>
      </x:c>
    </x:row>
    <x:row r="730">
      <x:c r="A730" s="33" t="str">
        <x:v>OBS269</x:v>
      </x:c>
      <x:c r="B730" s="33" t="str">
        <x:v>AUD540</x:v>
      </x:c>
      <x:c r="C730" s="33" t="str">
        <x:v>Schedule H/H1/X drugs were sold by retail without a compliant prescription.</x:v>
      </x:c>
      <x:c r="D730" s="33" t="str">
        <x:v>Critical</x:v>
      </x:c>
      <x:c r="E730" s="33" t="str">
        <x:v>Stop non-prescription supply and enforce prescription validation at point of sale.</x:v>
      </x:c>
      <x:c r="F730" s="33" t="str">
        <x:v>Prescription</x:v>
      </x:c>
      <x:c r="G730" s="33" t="str">
        <x:v>CORE</x:v>
      </x:c>
      <x:c r="H730" s="33" t="str">
        <x:v>Yes</x:v>
      </x:c>
      <x:c r="I730" s="33" t="str">
        <x:v>P-2 validated observation chain.</x:v>
      </x:c>
    </x:row>
    <x:row r="731">
      <x:c r="A731" s="33" t="str">
        <x:v>OBS270</x:v>
      </x:c>
      <x:c r="B731" s="33" t="str">
        <x:v>AUD541</x:v>
      </x:c>
      <x:c r="C731" s="33" t="str">
        <x:v>Prescription supply or compounding occurred without registered-pharmacist supervision.</x:v>
      </x:c>
      <x:c r="D731" s="33" t="str">
        <x:v>Critical</x:v>
      </x:c>
      <x:c r="E731" s="33" t="str">
        <x:v>Schedule and document registered-pharmacist supervision for all covered transactions.</x:v>
      </x:c>
      <x:c r="F731" s="33" t="str">
        <x:v>Personnel</x:v>
      </x:c>
      <x:c r="G731" s="33" t="str">
        <x:v>CORE</x:v>
      </x:c>
      <x:c r="H731" s="33" t="str">
        <x:v>Yes</x:v>
      </x:c>
      <x:c r="I731" s="33" t="str">
        <x:v>P-2 validated observation chain.</x:v>
      </x:c>
    </x:row>
    <x:row r="732">
      <x:c r="A732" s="33" t="str">
        <x:v>OBS271</x:v>
      </x:c>
      <x:c r="B732" s="33" t="str">
        <x:v>AUD542</x:v>
      </x:c>
      <x:c r="C732" s="33" t="str">
        <x:v>Rule 65 sale or purchase records were incomplete or lacked mandatory particulars.</x:v>
      </x:c>
      <x:c r="D732" s="33" t="str">
        <x:v>High</x:v>
      </x:c>
      <x:c r="E732" s="33" t="str">
        <x:v>Correct the registers/memos and implement transaction-time completeness checks.</x:v>
      </x:c>
      <x:c r="F732" s="33" t="str">
        <x:v>Documentation</x:v>
      </x:c>
      <x:c r="G732" s="33" t="str">
        <x:v>CORE</x:v>
      </x:c>
      <x:c r="H732" s="33" t="str">
        <x:v>Yes</x:v>
      </x:c>
      <x:c r="I732" s="33" t="str">
        <x:v>P-2 validated observation chain.</x:v>
      </x:c>
    </x:row>
    <x:row r="733">
      <x:c r="A733" s="33" t="str">
        <x:v>OBS272</x:v>
      </x:c>
      <x:c r="B733" s="33" t="str">
        <x:v>AUD543</x:v>
      </x:c>
      <x:c r="C733" s="33" t="str">
        <x:v>Statutory records were unavailable or retained for an incorrect period.</x:v>
      </x:c>
      <x:c r="D733" s="33" t="str">
        <x:v>High</x:v>
      </x:c>
      <x:c r="E733" s="33" t="str">
        <x:v>Apply the P-2 retention matrix and restore retrievable archives.</x:v>
      </x:c>
      <x:c r="F733" s="33" t="str">
        <x:v>Documentation</x:v>
      </x:c>
      <x:c r="G733" s="33" t="str">
        <x:v>CORE</x:v>
      </x:c>
      <x:c r="H733" s="33" t="str">
        <x:v>Yes</x:v>
      </x:c>
      <x:c r="I733" s="33" t="str">
        <x:v>P-2 validated observation chain.</x:v>
      </x:c>
    </x:row>
    <x:row r="734">
      <x:c r="A734" s="33" t="str">
        <x:v>OBS273</x:v>
      </x:c>
      <x:c r="B734" s="33" t="str">
        <x:v>AUD544</x:v>
      </x:c>
      <x:c r="C734" s="33" t="str">
        <x:v>Scheduled medicines lacked the applicable Rule 97 label warning or symbol.</x:v>
      </x:c>
      <x:c r="D734" s="33" t="str">
        <x:v>High</x:v>
      </x:c>
      <x:c r="E734" s="33" t="str">
        <x:v>Quarantine affected stock and obtain compliant product before sale.</x:v>
      </x:c>
      <x:c r="F734" s="33" t="str">
        <x:v>Quality</x:v>
      </x:c>
      <x:c r="G734" s="33" t="str">
        <x:v>CORE</x:v>
      </x:c>
      <x:c r="H734" s="33" t="str">
        <x:v>Yes</x:v>
      </x:c>
      <x:c r="I734" s="33" t="str">
        <x:v>P-2 validated observation chain.</x:v>
      </x:c>
    </x:row>
    <x:row r="735">
      <x:c r="A735" s="33" t="str">
        <x:v>OBS274</x:v>
      </x:c>
      <x:c r="B735" s="33" t="str">
        <x:v>AUD545</x:v>
      </x:c>
      <x:c r="C735" s="33" t="str">
        <x:v>A drug was sold or distributed despite non-compliant labelling.</x:v>
      </x:c>
      <x:c r="D735" s="33" t="str">
        <x:v>Critical</x:v>
      </x:c>
      <x:c r="E735" s="33" t="str">
        <x:v>Stop sale, quarantine stock and escalate to the supplier/licensing authority as required.</x:v>
      </x:c>
      <x:c r="F735" s="33" t="str">
        <x:v>Quality</x:v>
      </x:c>
      <x:c r="G735" s="33" t="str">
        <x:v>CORE</x:v>
      </x:c>
      <x:c r="H735" s="33" t="str">
        <x:v>Yes</x:v>
      </x:c>
      <x:c r="I735" s="33" t="str">
        <x:v>P-2 validated observation chain.</x:v>
      </x:c>
    </x:row>
    <x:row r="736">
      <x:c r="A736" s="33" t="str">
        <x:v>OBS275</x:v>
      </x:c>
      <x:c r="B736" s="33" t="str">
        <x:v>AUD546</x:v>
      </x:c>
      <x:c r="C736" s="33" t="str">
        <x:v>Schedule H dispensing exceeded repeat directions, lacked annotation or involved unauthorized substitution.</x:v>
      </x:c>
      <x:c r="D736" s="33" t="str">
        <x:v>High</x:v>
      </x:c>
      <x:c r="E736" s="33" t="str">
        <x:v>Enforce Rule 65(11)/(11A) controls at dispensing.</x:v>
      </x:c>
      <x:c r="F736" s="33" t="str">
        <x:v>Prescription</x:v>
      </x:c>
      <x:c r="G736" s="33" t="str">
        <x:v>CORE</x:v>
      </x:c>
      <x:c r="H736" s="33" t="str">
        <x:v>Yes</x:v>
      </x:c>
      <x:c r="I736" s="33" t="str">
        <x:v>P-2 validated observation chain.</x:v>
      </x:c>
    </x:row>
    <x:row r="737">
      <x:c r="A737" s="33" t="str">
        <x:v>OBS276</x:v>
      </x:c>
      <x:c r="B737" s="33" t="str">
        <x:v>AUD547</x:v>
      </x:c>
      <x:c r="C737" s="33" t="str">
        <x:v>A Schedule H1 product was misclassified or supplied without the required control path.</x:v>
      </x:c>
      <x:c r="D737" s="33" t="str">
        <x:v>Critical</x:v>
      </x:c>
      <x:c r="E737" s="33" t="str">
        <x:v>Correct classification and complete prescription/register controls.</x:v>
      </x:c>
      <x:c r="F737" s="33" t="str">
        <x:v>Controlled Drugs</x:v>
      </x:c>
      <x:c r="G737" s="33" t="str">
        <x:v>CORE</x:v>
      </x:c>
      <x:c r="H737" s="33" t="str">
        <x:v>Yes</x:v>
      </x:c>
      <x:c r="I737" s="33" t="str">
        <x:v>P-2 validated observation chain.</x:v>
      </x:c>
    </x:row>
    <x:row r="738">
      <x:c r="A738" s="33" t="str">
        <x:v>OBS277</x:v>
      </x:c>
      <x:c r="B738" s="33" t="str">
        <x:v>AUD548</x:v>
      </x:c>
      <x:c r="C738" s="33" t="str">
        <x:v>Schedule X sale lacked a duplicate prescription or the retained copy was unavailable for two years.</x:v>
      </x:c>
      <x:c r="D738" s="33" t="str">
        <x:v>Critical</x:v>
      </x:c>
      <x:c r="E738" s="33" t="str">
        <x:v>Stop non-compliant Schedule X supply and restore duplicate-prescription retention.</x:v>
      </x:c>
      <x:c r="F738" s="33" t="str">
        <x:v>Controlled Drugs</x:v>
      </x:c>
      <x:c r="G738" s="33" t="str">
        <x:v>CORE</x:v>
      </x:c>
      <x:c r="H738" s="33" t="str">
        <x:v>Yes</x:v>
      </x:c>
      <x:c r="I738" s="33" t="str">
        <x:v>P-2 validated observation chain.</x:v>
      </x:c>
    </x:row>
    <x:row r="739">
      <x:c r="A739" s="33" t="str">
        <x:v>OBS278</x:v>
      </x:c>
      <x:c r="B739" s="33" t="str">
        <x:v>AUD549</x:v>
      </x:c>
      <x:c r="C739" s="33" t="str">
        <x:v>Schedule G medicine lacked the prescribed cautionary label.</x:v>
      </x:c>
      <x:c r="D739" s="33" t="str">
        <x:v>High</x:v>
      </x:c>
      <x:c r="E739" s="33" t="str">
        <x:v>Quarantine the stock and accept only correctly labelled packs.</x:v>
      </x:c>
      <x:c r="F739" s="33" t="str">
        <x:v>Quality</x:v>
      </x:c>
      <x:c r="G739" s="33" t="str">
        <x:v>CORE</x:v>
      </x:c>
      <x:c r="H739" s="33" t="str">
        <x:v>Yes</x:v>
      </x:c>
      <x:c r="I739" s="33" t="str">
        <x:v>P-2 validated observation chain.</x:v>
      </x:c>
    </x:row>
    <x:row r="740">
      <x:c r="A740" s="33" t="str">
        <x:v>OBS279</x:v>
      </x:c>
      <x:c r="B740" s="33" t="str">
        <x:v>AUD550</x:v>
      </x:c>
      <x:c r="C740" s="33" t="str">
        <x:v>A Schedule K exemption was claimed without satisfying its exact conditions.</x:v>
      </x:c>
      <x:c r="D740" s="33" t="str">
        <x:v>High</x:v>
      </x:c>
      <x:c r="E740" s="33" t="str">
        <x:v>Withdraw the exemption claim and regularize the underlying licence/control.</x:v>
      </x:c>
      <x:c r="F740" s="33" t="str">
        <x:v>Licensing</x:v>
      </x:c>
      <x:c r="G740" s="33" t="str">
        <x:v>CORE</x:v>
      </x:c>
      <x:c r="H740" s="33" t="str">
        <x:v>Yes</x:v>
      </x:c>
      <x:c r="I740" s="33" t="str">
        <x:v>P-2 validated observation chain.</x:v>
      </x:c>
    </x:row>
    <x:row r="741">
      <x:c r="A741" s="33" t="str">
        <x:v>OBS280</x:v>
      </x:c>
      <x:c r="B741" s="33" t="str">
        <x:v>AUD551</x:v>
      </x:c>
      <x:c r="C741" s="33" t="str">
        <x:v>Schedule H2 stock was accepted despite a missing or unreadable mandated code.</x:v>
      </x:c>
      <x:c r="D741" s="33" t="str">
        <x:v>Medium</x:v>
      </x:c>
      <x:c r="E741" s="33" t="str">
        <x:v>Quarantine/escalate defective packs and strengthen goods-receipt verification.</x:v>
      </x:c>
      <x:c r="F741" s="33" t="str">
        <x:v>Quality</x:v>
      </x:c>
      <x:c r="G741" s="33" t="str">
        <x:v>CORE</x:v>
      </x:c>
      <x:c r="H741" s="33" t="str">
        <x:v>Yes</x:v>
      </x:c>
      <x:c r="I741" s="33" t="str">
        <x:v>P-2 validated observation chain.</x:v>
      </x:c>
    </x:row>
    <x:row r="742">
      <x:c r="A742" s="33" t="str">
        <x:v>OBS281</x:v>
      </x:c>
      <x:c r="B742" s="33" t="str">
        <x:v>AUD552</x:v>
      </x:c>
      <x:c r="C742" s="33" t="str">
        <x:v>Drugs were sold or stocked at a place not covered by a separate licence.</x:v>
      </x:c>
      <x:c r="D742" s="33" t="str">
        <x:v>Critical</x:v>
      </x:c>
      <x:c r="E742" s="33" t="str">
        <x:v>Cease activity at the unlicensed place and obtain the required licence.</x:v>
      </x:c>
      <x:c r="F742" s="33" t="str">
        <x:v>Licensing</x:v>
      </x:c>
      <x:c r="G742" s="33" t="str">
        <x:v>CORE</x:v>
      </x:c>
      <x:c r="H742" s="33" t="str">
        <x:v>Yes</x:v>
      </x:c>
      <x:c r="I742" s="33" t="str">
        <x:v>P-2 validated observation chain.</x:v>
      </x:c>
    </x:row>
    <x:row r="743">
      <x:c r="A743" s="33" t="str">
        <x:v>OBS282</x:v>
      </x:c>
      <x:c r="B743" s="33" t="str">
        <x:v>AUD553</x:v>
      </x:c>
      <x:c r="C743" s="33" t="str">
        <x:v>Licence retention fee was not paid within the Rule 63 timeline.</x:v>
      </x:c>
      <x:c r="D743" s="33" t="str">
        <x:v>Critical</x:v>
      </x:c>
      <x:c r="E743" s="33" t="str">
        <x:v>Assess licence status immediately and regularize payment/operations with the authority.</x:v>
      </x:c>
      <x:c r="F743" s="33" t="str">
        <x:v>Licensing</x:v>
      </x:c>
      <x:c r="G743" s="33" t="str">
        <x:v>CORE</x:v>
      </x:c>
      <x:c r="H743" s="33" t="str">
        <x:v>Yes</x:v>
      </x:c>
      <x:c r="I743" s="33" t="str">
        <x:v>P-2 validated observation chain.</x:v>
      </x:c>
    </x:row>
    <x:row r="744">
      <x:c r="A744" s="33" t="str">
        <x:v>OBS283</x:v>
      </x:c>
      <x:c r="B744" s="33" t="str">
        <x:v>AUD554</x:v>
      </x:c>
      <x:c r="C744" s="33" t="str">
        <x:v>Required Rule 65A evidence was incomplete, inaccurate or not furnished.</x:v>
      </x:c>
      <x:c r="D744" s="33" t="str">
        <x:v>High</x:v>
      </x:c>
      <x:c r="E744" s="33" t="str">
        <x:v>Submit verified documentary evidence and close the authority's demand.</x:v>
      </x:c>
      <x:c r="F744" s="33" t="str">
        <x:v>Regulatory Filing</x:v>
      </x:c>
      <x:c r="G744" s="33" t="str">
        <x:v>CORE</x:v>
      </x:c>
      <x:c r="H744" s="33" t="str">
        <x:v>Yes</x:v>
      </x:c>
      <x:c r="I744" s="33" t="str">
        <x:v>P-2 validated observation chain.</x:v>
      </x:c>
    </x:row>
    <x:row r="745">
      <x:c r="A745" s="33" t="str">
        <x:v>OBS284</x:v>
      </x:c>
      <x:c r="B745" s="33" t="str">
        <x:v>AUD555</x:v>
      </x:c>
      <x:c r="C745" s="33" t="str">
        <x:v>Schedule H1 register entries were incomplete or not retained for three years.</x:v>
      </x:c>
      <x:c r="D745" s="33" t="str">
        <x:v>Critical</x:v>
      </x:c>
      <x:c r="E745" s="33" t="str">
        <x:v>Reconstruct permissible records and enforce transaction-time H1 entry checks.</x:v>
      </x:c>
      <x:c r="F745" s="33" t="str">
        <x:v>Controlled Drugs</x:v>
      </x:c>
      <x:c r="G745" s="33" t="str">
        <x:v>CORE</x:v>
      </x:c>
      <x:c r="H745" s="33" t="str">
        <x:v>Yes</x:v>
      </x:c>
      <x:c r="I745" s="33" t="str">
        <x:v>P-2 validated observation chain.</x:v>
      </x:c>
    </x:row>
    <x:row r="746">
      <x:c r="A746" s="33" t="str">
        <x:v>OBS285</x:v>
      </x:c>
      <x:c r="B746" s="33" t="str">
        <x:v>AUD556</x:v>
      </x:c>
      <x:c r="C746" s="33" t="str">
        <x:v>Wholesale memo copies were unavailable within the three-year period.</x:v>
      </x:c>
      <x:c r="D746" s="33" t="str">
        <x:v>High</x:v>
      </x:c>
      <x:c r="E746" s="33" t="str">
        <x:v>Restore the three-year wholesale archive and monitor completeness.</x:v>
      </x:c>
      <x:c r="F746" s="33" t="str">
        <x:v>Documentation</x:v>
      </x:c>
      <x:c r="G746" s="33" t="str">
        <x:v>CORE</x:v>
      </x:c>
      <x:c r="H746" s="33" t="str">
        <x:v>Yes</x:v>
      </x:c>
      <x:c r="I746" s="33" t="str">
        <x:v>P-2 validated observation chain.</x:v>
      </x:c>
    </x:row>
    <x:row r="747">
      <x:c r="A747" s="33" t="str">
        <x:v>OBS286</x:v>
      </x:c>
      <x:c r="B747" s="33" t="str">
        <x:v>AUD557</x:v>
      </x:c>
      <x:c r="C747" s="33" t="str">
        <x:v>Risk-based H1/X reconciliation was not performed or exceptions were unresolved.</x:v>
      </x:c>
      <x:c r="D747" s="33" t="str">
        <x:v>Medium</x:v>
      </x:c>
      <x:c r="E747" s="33" t="str">
        <x:v>Complete the internal review and document exception closure; do not describe it as a statutory monthly register duty.</x:v>
      </x:c>
      <x:c r="F747" s="33" t="str">
        <x:v>Inventory</x:v>
      </x:c>
      <x:c r="G747" s="33" t="str">
        <x:v>CORE</x:v>
      </x:c>
      <x:c r="H747" s="33" t="str">
        <x:v>Yes</x:v>
      </x:c>
      <x:c r="I747" s="33" t="str">
        <x:v>P-2 validated observation chain.</x:v>
      </x:c>
    </x:row>
    <x:row r="748">
      <x:c r="A748" s="33" t="str">
        <x:v>OBS287</x:v>
      </x:c>
      <x:c r="B748" s="33" t="str">
        <x:v>AUD558</x:v>
      </x:c>
      <x:c r="C748" s="33" t="str">
        <x:v>Schedule X substances were not held in the restricted storage required by Rule 65(12).</x:v>
      </x:c>
      <x:c r="D748" s="33" t="str">
        <x:v>Critical</x:v>
      </x:c>
      <x:c r="E748" s="33" t="str">
        <x:v>Move stock to compliant restricted storage immediately.</x:v>
      </x:c>
      <x:c r="F748" s="33" t="str">
        <x:v>Storage</x:v>
      </x:c>
      <x:c r="G748" s="33" t="str">
        <x:v>CORE</x:v>
      </x:c>
      <x:c r="H748" s="33" t="str">
        <x:v>Yes</x:v>
      </x:c>
      <x:c r="I748" s="33" t="str">
        <x:v>P-2 validated observation chain.</x:v>
      </x:c>
    </x:row>
    <x:row r="749">
      <x:c r="A749" s="33" t="str">
        <x:v>OBS288</x:v>
      </x:c>
      <x:c r="B749" s="33" t="str">
        <x:v>AUD559</x:v>
      </x:c>
      <x:c r="C749" s="33" t="str">
        <x:v>Schedule X register format or transaction particulars were non-compliant.</x:v>
      </x:c>
      <x:c r="D749" s="33" t="str">
        <x:v>Critical</x:v>
      </x:c>
      <x:c r="E749" s="33" t="str">
        <x:v>Correct the register control and investigate missing transactions.</x:v>
      </x:c>
      <x:c r="F749" s="33" t="str">
        <x:v>Controlled Drugs</x:v>
      </x:c>
      <x:c r="G749" s="33" t="str">
        <x:v>CORE</x:v>
      </x:c>
      <x:c r="H749" s="33" t="str">
        <x:v>Yes</x:v>
      </x:c>
      <x:c r="I749" s="33" t="str">
        <x:v>P-2 validated observation chain.</x:v>
      </x:c>
    </x:row>
    <x:row r="750">
      <x:c r="A750" s="33" t="str">
        <x:v>OBS289</x:v>
      </x:c>
      <x:c r="B750" s="33" t="str">
        <x:v>AUD560</x:v>
      </x:c>
      <x:c r="C750" s="33" t="str">
        <x:v>Prescription particulars or dispensing controls under Rule 65(10)-(11A) were not met.</x:v>
      </x:c>
      <x:c r="D750" s="33" t="str">
        <x:v>Critical</x:v>
      </x:c>
      <x:c r="E750" s="33" t="str">
        <x:v>Block dispensing until the prescription and dispensing controls are satisfied.</x:v>
      </x:c>
      <x:c r="F750" s="33" t="str">
        <x:v>Prescription</x:v>
      </x:c>
      <x:c r="G750" s="33" t="str">
        <x:v>CORE</x:v>
      </x:c>
      <x:c r="H750" s="33" t="str">
        <x:v>Yes</x:v>
      </x:c>
      <x:c r="I750" s="33" t="str">
        <x:v>P-2 validated observation chain.</x:v>
      </x:c>
    </x:row>
    <x:row r="751">
      <x:c r="A751" s="33" t="str">
        <x:v>OBS290</x:v>
      </x:c>
      <x:c r="B751" s="33" t="str">
        <x:v>AUD561</x:v>
      </x:c>
      <x:c r="C751" s="33" t="str">
        <x:v>General waste is not segregated into four streams or separate regulated streams are mixed.</x:v>
      </x:c>
      <x:c r="D751" s="33" t="str">
        <x:v>High</x:v>
      </x:c>
      <x:c r="E751" s="33" t="str">
        <x:v>Implement labelled streams and an authorised handover route.</x:v>
      </x:c>
      <x:c r="F751" s="33" t="str">
        <x:v>Other</x:v>
      </x:c>
      <x:c r="G751" s="33" t="str">
        <x:v>CORE</x:v>
      </x:c>
      <x:c r="H751" s="33" t="str">
        <x:v>Yes</x:v>
      </x:c>
      <x:c r="I751" s="33" t="str">
        <x:v>P-3 observation template.</x:v>
      </x:c>
    </x:row>
    <x:row r="752">
      <x:c r="A752" s="33" t="str">
        <x:v>OBS291</x:v>
      </x:c>
      <x:c r="B752" s="33" t="str">
        <x:v>AUD562</x:v>
      </x:c>
      <x:c r="C752" s="33" t="str">
        <x:v>The control exists but sampled operating evidence is incomplete or inconsistent.</x:v>
      </x:c>
      <x:c r="D752" s="33" t="str">
        <x:v>Medium</x:v>
      </x:c>
      <x:c r="E752" s="33" t="str">
        <x:v>Correct the sample exception, determine population impact and retain closure evidence.</x:v>
      </x:c>
      <x:c r="F752" s="33" t="str">
        <x:v>Documentation</x:v>
      </x:c>
      <x:c r="G752" s="33" t="str">
        <x:v>CORE</x:v>
      </x:c>
      <x:c r="H752" s="33" t="str">
        <x:v>Yes</x:v>
      </x:c>
      <x:c r="I752" s="33" t="str">
        <x:v>P-3 operating-effectiveness observation.</x:v>
      </x:c>
    </x:row>
    <x:row r="753">
      <x:c r="A753" s="33" t="str">
        <x:v>OBS292</x:v>
      </x:c>
      <x:c r="B753" s="33" t="str">
        <x:v>AUD563</x:v>
      </x:c>
      <x:c r="C753" s="33" t="str">
        <x:v>At least one BWG threshold is met but additional duties are not activated.</x:v>
      </x:c>
      <x:c r="D753" s="33" t="str">
        <x:v>High</x:v>
      </x:c>
      <x:c r="E753" s="33" t="str">
        <x:v>Register/regularise and implement the prescribed BWG route.</x:v>
      </x:c>
      <x:c r="F753" s="33" t="str">
        <x:v>Other</x:v>
      </x:c>
      <x:c r="G753" s="33" t="str">
        <x:v>CORE</x:v>
      </x:c>
      <x:c r="H753" s="33" t="str">
        <x:v>Yes</x:v>
      </x:c>
      <x:c r="I753" s="33" t="str">
        <x:v>P-3 observation template.</x:v>
      </x:c>
    </x:row>
    <x:row r="754">
      <x:c r="A754" s="33" t="str">
        <x:v>OBS293</x:v>
      </x:c>
      <x:c r="B754" s="33" t="str">
        <x:v>AUD564</x:v>
      </x:c>
      <x:c r="C754" s="33" t="str">
        <x:v>The control exists but sampled operating evidence is incomplete or inconsistent.</x:v>
      </x:c>
      <x:c r="D754" s="33" t="str">
        <x:v>Medium</x:v>
      </x:c>
      <x:c r="E754" s="33" t="str">
        <x:v>Correct the sample exception, determine population impact and retain closure evidence.</x:v>
      </x:c>
      <x:c r="F754" s="33" t="str">
        <x:v>Documentation</x:v>
      </x:c>
      <x:c r="G754" s="33" t="str">
        <x:v>CORE</x:v>
      </x:c>
      <x:c r="H754" s="33" t="str">
        <x:v>Yes</x:v>
      </x:c>
      <x:c r="I754" s="33" t="str">
        <x:v>P-3 operating-effectiveness observation.</x:v>
      </x:c>
    </x:row>
    <x:row r="755">
      <x:c r="A755" s="33" t="str">
        <x:v>OBS294</x:v>
      </x:c>
      <x:c r="B755" s="33" t="str">
        <x:v>AUD565</x:v>
      </x:c>
      <x:c r="C755" s="33" t="str">
        <x:v>Plastic waste/carry-bag controls are not evidenced or non-compliant plastic is provided.</x:v>
      </x:c>
      <x:c r="D755" s="33" t="str">
        <x:v>High</x:v>
      </x:c>
      <x:c r="E755" s="33" t="str">
        <x:v>Correct the retail input and waste handover control.</x:v>
      </x:c>
      <x:c r="F755" s="33" t="str">
        <x:v>Other</x:v>
      </x:c>
      <x:c r="G755" s="33" t="str">
        <x:v>CORE</x:v>
      </x:c>
      <x:c r="H755" s="33" t="str">
        <x:v>Yes</x:v>
      </x:c>
      <x:c r="I755" s="33" t="str">
        <x:v>P-3 observation template.</x:v>
      </x:c>
    </x:row>
    <x:row r="756">
      <x:c r="A756" s="33" t="str">
        <x:v>OBS295</x:v>
      </x:c>
      <x:c r="B756" s="33" t="str">
        <x:v>AUD566</x:v>
      </x:c>
      <x:c r="C756" s="33" t="str">
        <x:v>The control exists but sampled operating evidence is incomplete or inconsistent.</x:v>
      </x:c>
      <x:c r="D756" s="33" t="str">
        <x:v>Medium</x:v>
      </x:c>
      <x:c r="E756" s="33" t="str">
        <x:v>Correct the sample exception, determine population impact and retain closure evidence.</x:v>
      </x:c>
      <x:c r="F756" s="33" t="str">
        <x:v>Documentation</x:v>
      </x:c>
      <x:c r="G756" s="33" t="str">
        <x:v>CORE</x:v>
      </x:c>
      <x:c r="H756" s="33" t="str">
        <x:v>Yes</x:v>
      </x:c>
      <x:c r="I756" s="33" t="str">
        <x:v>P-3 operating-effectiveness observation.</x:v>
      </x:c>
    </x:row>
    <x:row r="757">
      <x:c r="A757" s="33" t="str">
        <x:v>OBS296</x:v>
      </x:c>
      <x:c r="B757" s="33" t="str">
        <x:v>AUD567</x:v>
      </x:c>
      <x:c r="C757" s="33" t="str">
        <x:v>Waste batteries are mixed with general waste or no lawful handover is evidenced.</x:v>
      </x:c>
      <x:c r="D757" s="33" t="str">
        <x:v>Medium</x:v>
      </x:c>
      <x:c r="E757" s="33" t="str">
        <x:v>Create separate collection and authorised handover evidence.</x:v>
      </x:c>
      <x:c r="F757" s="33" t="str">
        <x:v>Other</x:v>
      </x:c>
      <x:c r="G757" s="33" t="str">
        <x:v>CORE</x:v>
      </x:c>
      <x:c r="H757" s="33" t="str">
        <x:v>Yes</x:v>
      </x:c>
      <x:c r="I757" s="33" t="str">
        <x:v>P-3 observation template.</x:v>
      </x:c>
    </x:row>
    <x:row r="758">
      <x:c r="A758" s="33" t="str">
        <x:v>OBS297</x:v>
      </x:c>
      <x:c r="B758" s="33" t="str">
        <x:v>AUD568</x:v>
      </x:c>
      <x:c r="C758" s="33" t="str">
        <x:v>The control exists but sampled operating evidence is incomplete or inconsistent.</x:v>
      </x:c>
      <x:c r="D758" s="33" t="str">
        <x:v>Medium</x:v>
      </x:c>
      <x:c r="E758" s="33" t="str">
        <x:v>Correct the sample exception, determine population impact and retain closure evidence.</x:v>
      </x:c>
      <x:c r="F758" s="33" t="str">
        <x:v>Documentation</x:v>
      </x:c>
      <x:c r="G758" s="33" t="str">
        <x:v>CORE</x:v>
      </x:c>
      <x:c r="H758" s="33" t="str">
        <x:v>Yes</x:v>
      </x:c>
      <x:c r="I758" s="33" t="str">
        <x:v>P-3 operating-effectiveness observation.</x:v>
      </x:c>
    </x:row>
    <x:row r="759">
      <x:c r="A759" s="33" t="str">
        <x:v>OBS298</x:v>
      </x:c>
      <x:c r="B759" s="33" t="str">
        <x:v>AUD569</x:v>
      </x:c>
      <x:c r="C759" s="33" t="str">
        <x:v>Bulk-consumer status or registered channelisation is not evidenced.</x:v>
      </x:c>
      <x:c r="D759" s="33" t="str">
        <x:v>High</x:v>
      </x:c>
      <x:c r="E759" s="33" t="str">
        <x:v>Complete threshold testing and use registered recipients.</x:v>
      </x:c>
      <x:c r="F759" s="33" t="str">
        <x:v>Other</x:v>
      </x:c>
      <x:c r="G759" s="33" t="str">
        <x:v>CORE</x:v>
      </x:c>
      <x:c r="H759" s="33" t="str">
        <x:v>Yes</x:v>
      </x:c>
      <x:c r="I759" s="33" t="str">
        <x:v>P-3 observation template.</x:v>
      </x:c>
    </x:row>
    <x:row r="760">
      <x:c r="A760" s="33" t="str">
        <x:v>OBS299</x:v>
      </x:c>
      <x:c r="B760" s="33" t="str">
        <x:v>AUD570</x:v>
      </x:c>
      <x:c r="C760" s="33" t="str">
        <x:v>The control exists but sampled operating evidence is incomplete or inconsistent.</x:v>
      </x:c>
      <x:c r="D760" s="33" t="str">
        <x:v>Medium</x:v>
      </x:c>
      <x:c r="E760" s="33" t="str">
        <x:v>Correct the sample exception, determine population impact and retain closure evidence.</x:v>
      </x:c>
      <x:c r="F760" s="33" t="str">
        <x:v>Documentation</x:v>
      </x:c>
      <x:c r="G760" s="33" t="str">
        <x:v>CORE</x:v>
      </x:c>
      <x:c r="H760" s="33" t="str">
        <x:v>Yes</x:v>
      </x:c>
      <x:c r="I760" s="33" t="str">
        <x:v>P-3 operating-effectiveness observation.</x:v>
      </x:c>
    </x:row>
    <x:row r="761">
      <x:c r="A761" s="33" t="str">
        <x:v>OBS300</x:v>
      </x:c>
      <x:c r="B761" s="33" t="str">
        <x:v>AUD571</x:v>
      </x:c>
      <x:c r="C761" s="33" t="str">
        <x:v>Triggered hazardous waste lacks authorization, storage control or authorised movement evidence.</x:v>
      </x:c>
      <x:c r="D761" s="33" t="str">
        <x:v>Critical</x:v>
      </x:c>
      <x:c r="E761" s="33" t="str">
        <x:v>Stop unlawful handling and regularise the authorization/channel.</x:v>
      </x:c>
      <x:c r="F761" s="33" t="str">
        <x:v>Other</x:v>
      </x:c>
      <x:c r="G761" s="33" t="str">
        <x:v>CORE</x:v>
      </x:c>
      <x:c r="H761" s="33" t="str">
        <x:v>Yes</x:v>
      </x:c>
      <x:c r="I761" s="33" t="str">
        <x:v>P-3 observation template.</x:v>
      </x:c>
    </x:row>
    <x:row r="762">
      <x:c r="A762" s="33" t="str">
        <x:v>OBS301</x:v>
      </x:c>
      <x:c r="B762" s="33" t="str">
        <x:v>AUD572</x:v>
      </x:c>
      <x:c r="C762" s="33" t="str">
        <x:v>The control exists but sampled operating evidence is incomplete or inconsistent.</x:v>
      </x:c>
      <x:c r="D762" s="33" t="str">
        <x:v>High</x:v>
      </x:c>
      <x:c r="E762" s="33" t="str">
        <x:v>Correct the sample exception, determine population impact and retain closure evidence.</x:v>
      </x:c>
      <x:c r="F762" s="33" t="str">
        <x:v>Documentation</x:v>
      </x:c>
      <x:c r="G762" s="33" t="str">
        <x:v>CORE</x:v>
      </x:c>
      <x:c r="H762" s="33" t="str">
        <x:v>Yes</x:v>
      </x:c>
      <x:c r="I762" s="33" t="str">
        <x:v>P-3 operating-effectiveness observation.</x:v>
      </x:c>
    </x:row>
    <x:row r="763">
      <x:c r="A763" s="33" t="str">
        <x:v>OBS302</x:v>
      </x:c>
      <x:c r="B763" s="33" t="str">
        <x:v>AUD573</x:v>
      </x:c>
      <x:c r="C763" s="33" t="str">
        <x:v>A covered operation/discharge lacks documented exemption or current consent.</x:v>
      </x:c>
      <x:c r="D763" s="33" t="str">
        <x:v>Critical</x:v>
      </x:c>
      <x:c r="E763" s="33" t="str">
        <x:v>Obtain/renew consent and close condition gaps.</x:v>
      </x:c>
      <x:c r="F763" s="33" t="str">
        <x:v>Other</x:v>
      </x:c>
      <x:c r="G763" s="33" t="str">
        <x:v>CORE</x:v>
      </x:c>
      <x:c r="H763" s="33" t="str">
        <x:v>Yes</x:v>
      </x:c>
      <x:c r="I763" s="33" t="str">
        <x:v>P-3 observation template.</x:v>
      </x:c>
    </x:row>
    <x:row r="764">
      <x:c r="A764" s="33" t="str">
        <x:v>OBS303</x:v>
      </x:c>
      <x:c r="B764" s="33" t="str">
        <x:v>AUD574</x:v>
      </x:c>
      <x:c r="C764" s="33" t="str">
        <x:v>The control exists but sampled operating evidence is incomplete or inconsistent.</x:v>
      </x:c>
      <x:c r="D764" s="33" t="str">
        <x:v>High</x:v>
      </x:c>
      <x:c r="E764" s="33" t="str">
        <x:v>Correct the sample exception, determine population impact and retain closure evidence.</x:v>
      </x:c>
      <x:c r="F764" s="33" t="str">
        <x:v>Documentation</x:v>
      </x:c>
      <x:c r="G764" s="33" t="str">
        <x:v>CORE</x:v>
      </x:c>
      <x:c r="H764" s="33" t="str">
        <x:v>Yes</x:v>
      </x:c>
      <x:c r="I764" s="33" t="str">
        <x:v>P-3 operating-effectiveness observation.</x:v>
      </x:c>
    </x:row>
    <x:row r="765">
      <x:c r="A765" s="33" t="str">
        <x:v>OBS304</x:v>
      </x:c>
      <x:c r="B765" s="33" t="str">
        <x:v>AUD575</x:v>
      </x:c>
      <x:c r="C765" s="33" t="str">
        <x:v>A covered industrial plant/emission source lacks documented exemption or consent.</x:v>
      </x:c>
      <x:c r="D765" s="33" t="str">
        <x:v>Critical</x:v>
      </x:c>
      <x:c r="E765" s="33" t="str">
        <x:v>Obtain/renew consent and close condition gaps.</x:v>
      </x:c>
      <x:c r="F765" s="33" t="str">
        <x:v>Other</x:v>
      </x:c>
      <x:c r="G765" s="33" t="str">
        <x:v>CORE</x:v>
      </x:c>
      <x:c r="H765" s="33" t="str">
        <x:v>Yes</x:v>
      </x:c>
      <x:c r="I765" s="33" t="str">
        <x:v>P-3 observation template.</x:v>
      </x:c>
    </x:row>
    <x:row r="766">
      <x:c r="A766" s="33" t="str">
        <x:v>OBS305</x:v>
      </x:c>
      <x:c r="B766" s="33" t="str">
        <x:v>AUD576</x:v>
      </x:c>
      <x:c r="C766" s="33" t="str">
        <x:v>The control exists but sampled operating evidence is incomplete or inconsistent.</x:v>
      </x:c>
      <x:c r="D766" s="33" t="str">
        <x:v>High</x:v>
      </x:c>
      <x:c r="E766" s="33" t="str">
        <x:v>Correct the sample exception, determine population impact and retain closure evidence.</x:v>
      </x:c>
      <x:c r="F766" s="33" t="str">
        <x:v>Documentation</x:v>
      </x:c>
      <x:c r="G766" s="33" t="str">
        <x:v>CORE</x:v>
      </x:c>
      <x:c r="H766" s="33" t="str">
        <x:v>Yes</x:v>
      </x:c>
      <x:c r="I766" s="33" t="str">
        <x:v>P-3 operating-effectiveness observation.</x:v>
      </x:c>
    </x:row>
    <x:row r="767">
      <x:c r="A767" s="33" t="str">
        <x:v>OBS306</x:v>
      </x:c>
      <x:c r="B767" s="33" t="str">
        <x:v>AUD577</x:v>
      </x:c>
      <x:c r="C767" s="33" t="str">
        <x:v>C&amp;D waste from premises work is mixed, dumped or lacks authorised handover evidence.</x:v>
      </x:c>
      <x:c r="D767" s="33" t="str">
        <x:v>High</x:v>
      </x:c>
      <x:c r="E767" s="33" t="str">
        <x:v>Segregate, contain and use the authorised project route.</x:v>
      </x:c>
      <x:c r="F767" s="33" t="str">
        <x:v>Other</x:v>
      </x:c>
      <x:c r="G767" s="33" t="str">
        <x:v>CORE</x:v>
      </x:c>
      <x:c r="H767" s="33" t="str">
        <x:v>Yes</x:v>
      </x:c>
      <x:c r="I767" s="33" t="str">
        <x:v>P-3 observation template.</x:v>
      </x:c>
    </x:row>
    <x:row r="768">
      <x:c r="A768" s="33" t="str">
        <x:v>OBS307</x:v>
      </x:c>
      <x:c r="B768" s="33" t="str">
        <x:v>AUD578</x:v>
      </x:c>
      <x:c r="C768" s="33" t="str">
        <x:v>The control exists but sampled operating evidence is incomplete or inconsistent.</x:v>
      </x:c>
      <x:c r="D768" s="33" t="str">
        <x:v>Medium</x:v>
      </x:c>
      <x:c r="E768" s="33" t="str">
        <x:v>Correct the sample exception, determine population impact and retain closure evidence.</x:v>
      </x:c>
      <x:c r="F768" s="33" t="str">
        <x:v>Documentation</x:v>
      </x:c>
      <x:c r="G768" s="33" t="str">
        <x:v>CORE</x:v>
      </x:c>
      <x:c r="H768" s="33" t="str">
        <x:v>Yes</x:v>
      </x:c>
      <x:c r="I768" s="33" t="str">
        <x:v>P-3 operating-effectiveness observation.</x:v>
      </x:c>
    </x:row>
    <x:row r="769">
      <x:c r="A769" s="33" t="str">
        <x:v>OBS308</x:v>
      </x:c>
      <x:c r="B769" s="33" t="str">
        <x:v>AUD579</x:v>
      </x:c>
      <x:c r="C769" s="33" t="str">
        <x:v>A covered employee is below the applicable wage floor or prohibited discrimination is indicated.</x:v>
      </x:c>
      <x:c r="D769" s="33" t="str">
        <x:v>Critical</x:v>
      </x:c>
      <x:c r="E769" s="33" t="str">
        <x:v>Correct wages, pay arrears and remediate the process.</x:v>
      </x:c>
      <x:c r="F769" s="33" t="str">
        <x:v>Other</x:v>
      </x:c>
      <x:c r="G769" s="33" t="str">
        <x:v>CORE</x:v>
      </x:c>
      <x:c r="H769" s="33" t="str">
        <x:v>Yes</x:v>
      </x:c>
      <x:c r="I769" s="33" t="str">
        <x:v>P-3 observation template.</x:v>
      </x:c>
    </x:row>
    <x:row r="770">
      <x:c r="A770" s="33" t="str">
        <x:v>OBS309</x:v>
      </x:c>
      <x:c r="B770" s="33" t="str">
        <x:v>AUD580</x:v>
      </x:c>
      <x:c r="C770" s="33" t="str">
        <x:v>The control exists but sampled operating evidence is incomplete or inconsistent.</x:v>
      </x:c>
      <x:c r="D770" s="33" t="str">
        <x:v>High</x:v>
      </x:c>
      <x:c r="E770" s="33" t="str">
        <x:v>Correct the sample exception, determine population impact and retain closure evidence.</x:v>
      </x:c>
      <x:c r="F770" s="33" t="str">
        <x:v>Documentation</x:v>
      </x:c>
      <x:c r="G770" s="33" t="str">
        <x:v>CORE</x:v>
      </x:c>
      <x:c r="H770" s="33" t="str">
        <x:v>Yes</x:v>
      </x:c>
      <x:c r="I770" s="33" t="str">
        <x:v>P-3 operating-effectiveness observation.</x:v>
      </x:c>
    </x:row>
    <x:row r="771">
      <x:c r="A771" s="33" t="str">
        <x:v>OBS310</x:v>
      </x:c>
      <x:c r="B771" s="33" t="str">
        <x:v>AUD581</x:v>
      </x:c>
      <x:c r="C771" s="33" t="str">
        <x:v>Wages are late or deductions are unauthorised/excessive.</x:v>
      </x:c>
      <x:c r="D771" s="33" t="str">
        <x:v>Critical</x:v>
      </x:c>
      <x:c r="E771" s="33" t="str">
        <x:v>Pay amounts due and correct payroll controls.</x:v>
      </x:c>
      <x:c r="F771" s="33" t="str">
        <x:v>Other</x:v>
      </x:c>
      <x:c r="G771" s="33" t="str">
        <x:v>CORE</x:v>
      </x:c>
      <x:c r="H771" s="33" t="str">
        <x:v>Yes</x:v>
      </x:c>
      <x:c r="I771" s="33" t="str">
        <x:v>P-3 observation template.</x:v>
      </x:c>
    </x:row>
    <x:row r="772">
      <x:c r="A772" s="33" t="str">
        <x:v>OBS311</x:v>
      </x:c>
      <x:c r="B772" s="33" t="str">
        <x:v>AUD582</x:v>
      </x:c>
      <x:c r="C772" s="33" t="str">
        <x:v>The control exists but sampled operating evidence is incomplete or inconsistent.</x:v>
      </x:c>
      <x:c r="D772" s="33" t="str">
        <x:v>High</x:v>
      </x:c>
      <x:c r="E772" s="33" t="str">
        <x:v>Correct the sample exception, determine population impact and retain closure evidence.</x:v>
      </x:c>
      <x:c r="F772" s="33" t="str">
        <x:v>Documentation</x:v>
      </x:c>
      <x:c r="G772" s="33" t="str">
        <x:v>CORE</x:v>
      </x:c>
      <x:c r="H772" s="33" t="str">
        <x:v>Yes</x:v>
      </x:c>
      <x:c r="I772" s="33" t="str">
        <x:v>P-3 operating-effectiveness observation.</x:v>
      </x:c>
    </x:row>
    <x:row r="773">
      <x:c r="A773" s="33" t="str">
        <x:v>OBS312</x:v>
      </x:c>
      <x:c r="B773" s="33" t="str">
        <x:v>AUD583</x:v>
      </x:c>
      <x:c r="C773" s="33" t="str">
        <x:v>Required wage records/slips/notices or the applicable rules attachment are missing.</x:v>
      </x:c>
      <x:c r="D773" s="33" t="str">
        <x:v>High</x:v>
      </x:c>
      <x:c r="E773" s="33" t="str">
        <x:v>Complete the records and attach the correct rules.</x:v>
      </x:c>
      <x:c r="F773" s="33" t="str">
        <x:v>Other</x:v>
      </x:c>
      <x:c r="G773" s="33" t="str">
        <x:v>CORE</x:v>
      </x:c>
      <x:c r="H773" s="33" t="str">
        <x:v>Yes</x:v>
      </x:c>
      <x:c r="I773" s="33" t="str">
        <x:v>P-3 observation template.</x:v>
      </x:c>
    </x:row>
    <x:row r="774">
      <x:c r="A774" s="33" t="str">
        <x:v>OBS313</x:v>
      </x:c>
      <x:c r="B774" s="33" t="str">
        <x:v>AUD584</x:v>
      </x:c>
      <x:c r="C774" s="33" t="str">
        <x:v>The control exists but sampled operating evidence is incomplete or inconsistent.</x:v>
      </x:c>
      <x:c r="D774" s="33" t="str">
        <x:v>Medium</x:v>
      </x:c>
      <x:c r="E774" s="33" t="str">
        <x:v>Correct the sample exception, determine population impact and retain closure evidence.</x:v>
      </x:c>
      <x:c r="F774" s="33" t="str">
        <x:v>Documentation</x:v>
      </x:c>
      <x:c r="G774" s="33" t="str">
        <x:v>CORE</x:v>
      </x:c>
      <x:c r="H774" s="33" t="str">
        <x:v>Yes</x:v>
      </x:c>
      <x:c r="I774" s="33" t="str">
        <x:v>P-3 operating-effectiveness observation.</x:v>
      </x:c>
    </x:row>
    <x:row r="775">
      <x:c r="A775" s="33" t="str">
        <x:v>P4OBS001</x:v>
      </x:c>
      <x:c r="B775" s="33" t="str">
        <x:v>AUD002</x:v>
      </x:c>
      <x:c r="C775" s="33" t="str">
        <x:v>Ensure that no drug is sold, stocked, exhibited or distributed in violation of the Drugs and Cosmetics Act. was not demonstrated or did not operate effectively for the sample tested.</x:v>
      </x:c>
      <x:c r="D775" s="33" t="str">
        <x:v>High</x:v>
      </x:c>
      <x:c r="E775" s="33" t="str">
        <x:v>Implement the requirement, correct affected records or transactions, and retain evidence of operating effectiveness: Ensure that no drug is sold, stocked, exhibited or distributed in violation of the Drugs and Cosmetics Act.</x:v>
      </x:c>
      <x:c r="F775" s="33" t="str">
        <x:v>CA015</x:v>
      </x:c>
      <x:c r="G775" s="33" t="str">
        <x:v>P4_VALIDATION</x:v>
      </x:c>
      <x:c r="H775" s="33" t="str">
        <x:v>Yes</x:v>
      </x:c>
      <x:c r="I775" s="33" t="str">
        <x:v>P-4 chain-closure observation template.</x:v>
      </x:c>
    </x:row>
    <x:row r="776">
      <x:c r="A776" s="33" t="str">
        <x:v>P4OBS002</x:v>
      </x:c>
      <x:c r="B776" s="33" t="str">
        <x:v>AUD003</x:v>
      </x:c>
      <x:c r="C776" s="33" t="str">
        <x:v>Ensure that no drug is sold, stocked, exhibited or distributed in violation of the Drugs and Cosmetics Act. was not demonstrated or did not operate effectively for the sample tested.</x:v>
      </x:c>
      <x:c r="D776" s="33" t="str">
        <x:v>High</x:v>
      </x:c>
      <x:c r="E776" s="33" t="str">
        <x:v>Implement the requirement, correct affected records or transactions, and retain evidence of operating effectiveness: Ensure that no drug is sold, stocked, exhibited or distributed in violation of the Drugs and Cosmetics Act.</x:v>
      </x:c>
      <x:c r="F776" s="33" t="str">
        <x:v>CA015</x:v>
      </x:c>
      <x:c r="G776" s="33" t="str">
        <x:v>P4_VALIDATION</x:v>
      </x:c>
      <x:c r="H776" s="33" t="str">
        <x:v>Yes</x:v>
      </x:c>
      <x:c r="I776" s="33" t="str">
        <x:v>P-4 chain-closure observation template.</x:v>
      </x:c>
    </x:row>
    <x:row r="777">
      <x:c r="A777" s="33" t="str">
        <x:v>P4OBS003</x:v>
      </x:c>
      <x:c r="B777" s="33" t="str">
        <x:v>AUD005</x:v>
      </x:c>
      <x:c r="C777" s="33" t="str">
        <x:v>Maintain documentary evidence identifying the source of procurement for every drug supplied or stocked. was not demonstrated or did not operate effectively for the sample tested.</x:v>
      </x:c>
      <x:c r="D777" s="33" t="str">
        <x:v>High</x:v>
      </x:c>
      <x:c r="E777" s="33" t="str">
        <x:v>Implement the requirement, correct affected records or transactions, and retain evidence of operating effectiveness: Maintain documentary evidence identifying the source of procurement for every drug supplied or stocked.</x:v>
      </x:c>
      <x:c r="F777" s="33" t="str">
        <x:v>CA019</x:v>
      </x:c>
      <x:c r="G777" s="33" t="str">
        <x:v>P4_VALIDATION</x:v>
      </x:c>
      <x:c r="H777" s="33" t="str">
        <x:v>Yes</x:v>
      </x:c>
      <x:c r="I777" s="33" t="str">
        <x:v>P-4 chain-closure observation template.</x:v>
      </x:c>
    </x:row>
    <x:row r="778">
      <x:c r="A778" s="33" t="str">
        <x:v>P4OBS004</x:v>
      </x:c>
      <x:c r="B778" s="33" t="str">
        <x:v>AUD007</x:v>
      </x:c>
      <x:c r="C778" s="33" t="str">
        <x:v>Maintain all statutory registers and records in the prescribed manner. was not demonstrated or did not operate effectively for the sample tested.</x:v>
      </x:c>
      <x:c r="D778" s="33" t="str">
        <x:v>High</x:v>
      </x:c>
      <x:c r="E778" s="33" t="str">
        <x:v>Implement the requirement, correct affected records or transactions, and retain evidence of operating effectiveness: Maintain all statutory registers and records in the prescribed manner.</x:v>
      </x:c>
      <x:c r="F778" s="33" t="str">
        <x:v>CA019</x:v>
      </x:c>
      <x:c r="G778" s="33" t="str">
        <x:v>P4_VALIDATION</x:v>
      </x:c>
      <x:c r="H778" s="33" t="str">
        <x:v>Yes</x:v>
      </x:c>
      <x:c r="I778" s="33" t="str">
        <x:v>P-4 chain-closure observation template.</x:v>
      </x:c>
    </x:row>
    <x:row r="779">
      <x:c r="A779" s="33" t="str">
        <x:v>P4OBS005</x:v>
      </x:c>
      <x:c r="B779" s="33" t="str">
        <x:v>AUD009</x:v>
      </x:c>
      <x:c r="C779" s="33" t="str">
        <x:v>Preserve statutory records for the period prescribed under applicable law. was not demonstrated or did not operate effectively for the sample tested.</x:v>
      </x:c>
      <x:c r="D779" s="33" t="str">
        <x:v>High</x:v>
      </x:c>
      <x:c r="E779" s="33" t="str">
        <x:v>Implement the requirement, correct affected records or transactions, and retain evidence of operating effectiveness: Preserve statutory records for the period prescribed under applicable law.</x:v>
      </x:c>
      <x:c r="F779" s="33" t="str">
        <x:v>CA020</x:v>
      </x:c>
      <x:c r="G779" s="33" t="str">
        <x:v>P4_VALIDATION</x:v>
      </x:c>
      <x:c r="H779" s="33" t="str">
        <x:v>Yes</x:v>
      </x:c>
      <x:c r="I779" s="33" t="str">
        <x:v>P-4 chain-closure observation template.</x:v>
      </x:c>
    </x:row>
    <x:row r="780">
      <x:c r="A780" s="33" t="str">
        <x:v>P4OBS006</x:v>
      </x:c>
      <x:c r="B780" s="33" t="str">
        <x:v>AUD010</x:v>
      </x:c>
      <x:c r="C780" s="33" t="str">
        <x:v>Preserve statutory records for the period prescribed under applicable law. was not demonstrated or did not operate effectively for the sample tested.</x:v>
      </x:c>
      <x:c r="D780" s="33" t="str">
        <x:v>High</x:v>
      </x:c>
      <x:c r="E780" s="33" t="str">
        <x:v>Implement the requirement, correct affected records or transactions, and retain evidence of operating effectiveness: Preserve statutory records for the period prescribed under applicable law.</x:v>
      </x:c>
      <x:c r="F780" s="33" t="str">
        <x:v>CA020</x:v>
      </x:c>
      <x:c r="G780" s="33" t="str">
        <x:v>P4_VALIDATION</x:v>
      </x:c>
      <x:c r="H780" s="33" t="str">
        <x:v>Yes</x:v>
      </x:c>
      <x:c r="I780" s="33" t="str">
        <x:v>P-4 chain-closure observation template.</x:v>
      </x:c>
    </x:row>
    <x:row r="781">
      <x:c r="A781" s="33" t="str">
        <x:v>P4OBS007</x:v>
      </x:c>
      <x:c r="B781" s="33" t="str">
        <x:v>AUD012</x:v>
      </x:c>
      <x:c r="C781" s="33" t="str">
        <x:v>Facilitate inspection by Drug Inspectors and provide access to licensed premises. was not demonstrated or did not operate effectively for the sample tested.</x:v>
      </x:c>
      <x:c r="D781" s="33" t="str">
        <x:v>High</x:v>
      </x:c>
      <x:c r="E781" s="33" t="str">
        <x:v>Implement the requirement, correct affected records or transactions, and retain evidence of operating effectiveness: Facilitate inspection by Drug Inspectors and provide access to licensed premises.</x:v>
      </x:c>
      <x:c r="F781" s="33" t="str">
        <x:v>CA077</x:v>
      </x:c>
      <x:c r="G781" s="33" t="str">
        <x:v>P4_VALIDATION</x:v>
      </x:c>
      <x:c r="H781" s="33" t="str">
        <x:v>Yes</x:v>
      </x:c>
      <x:c r="I781" s="33" t="str">
        <x:v>P-4 chain-closure observation template.</x:v>
      </x:c>
    </x:row>
    <x:row r="782">
      <x:c r="A782" s="33" t="str">
        <x:v>P4OBS008</x:v>
      </x:c>
      <x:c r="B782" s="33" t="str">
        <x:v>AUD014</x:v>
      </x:c>
      <x:c r="C782" s="33" t="str">
        <x:v>Cooperate during sample collection and inspection procedures carried out by Drug Inspectors. was not demonstrated or did not operate effectively for the sample tested.</x:v>
      </x:c>
      <x:c r="D782" s="33" t="str">
        <x:v>High</x:v>
      </x:c>
      <x:c r="E782" s="33" t="str">
        <x:v>Implement the requirement, correct affected records or transactions, and retain evidence of operating effectiveness: Cooperate during sample collection and inspection procedures carried out by Drug Inspectors.</x:v>
      </x:c>
      <x:c r="F782" s="33" t="str">
        <x:v>CA078</x:v>
      </x:c>
      <x:c r="G782" s="33" t="str">
        <x:v>P4_VALIDATION</x:v>
      </x:c>
      <x:c r="H782" s="33" t="str">
        <x:v>Yes</x:v>
      </x:c>
      <x:c r="I782" s="33" t="str">
        <x:v>P-4 chain-closure observation template.</x:v>
      </x:c>
    </x:row>
    <x:row r="783">
      <x:c r="A783" s="33" t="str">
        <x:v>P4OBS009</x:v>
      </x:c>
      <x:c r="B783" s="33" t="str">
        <x:v>AUD016</x:v>
      </x:c>
      <x:c r="C783" s="33" t="str">
        <x:v>Prevent sale, stock, exhibition, offer for sale or distribution of drugs in contravention of Section 18. was not demonstrated or did not operate effectively for the sample tested.</x:v>
      </x:c>
      <x:c r="D783" s="33" t="str">
        <x:v>High</x:v>
      </x:c>
      <x:c r="E783" s="33" t="str">
        <x:v>Implement the requirement, correct affected records or transactions, and retain evidence of operating effectiveness: Prevent sale, stock, exhibition, offer for sale or distribution of drugs in contravention of Section 18.</x:v>
      </x:c>
      <x:c r="F783" s="33" t="str">
        <x:v>CA090</x:v>
      </x:c>
      <x:c r="G783" s="33" t="str">
        <x:v>P4_VALIDATION</x:v>
      </x:c>
      <x:c r="H783" s="33" t="str">
        <x:v>Yes</x:v>
      </x:c>
      <x:c r="I783" s="33" t="str">
        <x:v>P-4 chain-closure observation template.</x:v>
      </x:c>
    </x:row>
    <x:row r="784">
      <x:c r="A784" s="33" t="str">
        <x:v>P4OBS010</x:v>
      </x:c>
      <x:c r="B784" s="33" t="str">
        <x:v>AUD018</x:v>
      </x:c>
      <x:c r="C784" s="33" t="str">
        <x:v>Ensure every cosmetic offered for sale or distribution complies with Rule 33 and the applicable origin, licensing, quality and labelling requirements. was not demonstrated or did not operate effectively for the sample tested.</x:v>
      </x:c>
      <x:c r="D784" s="33" t="str">
        <x:v>High</x:v>
      </x:c>
      <x:c r="E784" s="33" t="str">
        <x:v>Implement the requirement, correct affected records or transactions, and retain evidence of operating effectiveness: Ensure every cosmetic offered for sale or distribution complies with Rule 33 and the applicable origin, licensing, quality and labelling requirements.</x:v>
      </x:c>
      <x:c r="F784" s="33" t="str">
        <x:v>CA023</x:v>
      </x:c>
      <x:c r="G784" s="33" t="str">
        <x:v>P4_VALIDATION</x:v>
      </x:c>
      <x:c r="H784" s="33" t="str">
        <x:v>Yes</x:v>
      </x:c>
      <x:c r="I784" s="33" t="str">
        <x:v>P-4 chain-closure observation template.</x:v>
      </x:c>
    </x:row>
    <x:row r="785">
      <x:c r="A785" s="33" t="str">
        <x:v>P4OBS011</x:v>
      </x:c>
      <x:c r="B785" s="33" t="str">
        <x:v>AUD020</x:v>
      </x:c>
      <x:c r="C785" s="33" t="str">
        <x:v>Furnish manufacturer/source information lawfully required under Section 18A. was not demonstrated or did not operate effectively for the sample tested.</x:v>
      </x:c>
      <x:c r="D785" s="33" t="str">
        <x:v>High</x:v>
      </x:c>
      <x:c r="E785" s="33" t="str">
        <x:v>Implement the requirement, correct affected records or transactions, and retain evidence of operating effectiveness: Furnish manufacturer/source information lawfully required under Section 18A.</x:v>
      </x:c>
      <x:c r="F785" s="33" t="str">
        <x:v>CA019</x:v>
      </x:c>
      <x:c r="G785" s="33" t="str">
        <x:v>P4_VALIDATION</x:v>
      </x:c>
      <x:c r="H785" s="33" t="str">
        <x:v>Yes</x:v>
      </x:c>
      <x:c r="I785" s="33" t="str">
        <x:v>P-4 chain-closure observation template.</x:v>
      </x:c>
    </x:row>
    <x:row r="786">
      <x:c r="A786" s="33" t="str">
        <x:v>P4OBS012</x:v>
      </x:c>
      <x:c r="B786" s="33" t="str">
        <x:v>AUD022</x:v>
      </x:c>
      <x:c r="C786" s="33" t="str">
        <x:v>Maintain prescribed records and furnish information required under Section 18B. was not demonstrated or did not operate effectively for the sample tested.</x:v>
      </x:c>
      <x:c r="D786" s="33" t="str">
        <x:v>High</x:v>
      </x:c>
      <x:c r="E786" s="33" t="str">
        <x:v>Implement the requirement, correct affected records or transactions, and retain evidence of operating effectiveness: Maintain prescribed records and furnish information required under Section 18B.</x:v>
      </x:c>
      <x:c r="F786" s="33" t="str">
        <x:v>CA020</x:v>
      </x:c>
      <x:c r="G786" s="33" t="str">
        <x:v>P4_VALIDATION</x:v>
      </x:c>
      <x:c r="H786" s="33" t="str">
        <x:v>Yes</x:v>
      </x:c>
      <x:c r="I786" s="33" t="str">
        <x:v>P-4 chain-closure observation template.</x:v>
      </x:c>
    </x:row>
    <x:row r="787">
      <x:c r="A787" s="33" t="str">
        <x:v>P4OBS013</x:v>
      </x:c>
      <x:c r="B787" s="33" t="str">
        <x:v>AUD054</x:v>
      </x:c>
      <x:c r="C787" s="33" t="str">
        <x:v>Ensure only pharmacists whose names appear in the State Register are engaged in professional pharmacy practice. was not demonstrated or did not operate effectively for the sample tested.</x:v>
      </x:c>
      <x:c r="D787" s="33" t="str">
        <x:v>High</x:v>
      </x:c>
      <x:c r="E787" s="33" t="str">
        <x:v>Implement the requirement, correct affected records or transactions, and retain evidence of operating effectiveness: Ensure only pharmacists whose names appear in the State Register are engaged in professional pharmacy practice.</x:v>
      </x:c>
      <x:c r="F787" s="33" t="str">
        <x:v>CA003</x:v>
      </x:c>
      <x:c r="G787" s="33" t="str">
        <x:v>P4_VALIDATION</x:v>
      </x:c>
      <x:c r="H787" s="33" t="str">
        <x:v>Yes</x:v>
      </x:c>
      <x:c r="I787" s="33" t="str">
        <x:v>P-4 chain-closure observation template.</x:v>
      </x:c>
    </x:row>
    <x:row r="788">
      <x:c r="A788" s="33" t="str">
        <x:v>P4OBS014</x:v>
      </x:c>
      <x:c r="B788" s="33" t="str">
        <x:v>AUD056</x:v>
      </x:c>
      <x:c r="C788" s="33" t="str">
        <x:v>Verify and retain evidence of each practising pharmacist's current State Register entry as an internal control supporting the operative registration and dispensing duties. was not demonstrated or did not operate effectively for the sample tested.</x:v>
      </x:c>
      <x:c r="D788" s="33" t="str">
        <x:v>High</x:v>
      </x:c>
      <x:c r="E788" s="33" t="str">
        <x:v>Implement the requirement, correct affected records or transactions, and retain evidence of operating effectiveness: Verify and retain evidence of each practising pharmacist's current State Register entry as an internal control supporting the operative registration and dispensing duties.</x:v>
      </x:c>
      <x:c r="F788" s="33" t="str">
        <x:v>CA003</x:v>
      </x:c>
      <x:c r="G788" s="33" t="str">
        <x:v>P4_VALIDATION</x:v>
      </x:c>
      <x:c r="H788" s="33" t="str">
        <x:v>Yes</x:v>
      </x:c>
      <x:c r="I788" s="33" t="str">
        <x:v>P-4 chain-closure observation template.</x:v>
      </x:c>
    </x:row>
    <x:row r="789">
      <x:c r="A789" s="33" t="str">
        <x:v>P4OBS015</x:v>
      </x:c>
      <x:c r="B789" s="33" t="str">
        <x:v>AUD058</x:v>
      </x:c>
      <x:c r="C789" s="33" t="str">
        <x:v>Ensure dispensing activities are carried out under the supervision of a Registered Pharmacist. was not demonstrated or did not operate effectively for the sample tested.</x:v>
      </x:c>
      <x:c r="D789" s="33" t="str">
        <x:v>High</x:v>
      </x:c>
      <x:c r="E789" s="33" t="str">
        <x:v>Implement the requirement, correct affected records or transactions, and retain evidence of operating effectiveness: Ensure dispensing activities are carried out under the supervision of a Registered Pharmacist.</x:v>
      </x:c>
      <x:c r="F789" s="33" t="str">
        <x:v>CA003</x:v>
      </x:c>
      <x:c r="G789" s="33" t="str">
        <x:v>P4_VALIDATION</x:v>
      </x:c>
      <x:c r="H789" s="33" t="str">
        <x:v>Yes</x:v>
      </x:c>
      <x:c r="I789" s="33" t="str">
        <x:v>P-4 chain-closure observation template.</x:v>
      </x:c>
    </x:row>
    <x:row r="790">
      <x:c r="A790" s="33" t="str">
        <x:v>P4OBS016</x:v>
      </x:c>
      <x:c r="B790" s="33" t="str">
        <x:v>AUD060</x:v>
      </x:c>
      <x:c r="C790" s="33" t="str">
        <x:v>Ensure pharmacists comply with the professional code of ethics and standards of conduct. was not demonstrated or did not operate effectively for the sample tested.</x:v>
      </x:c>
      <x:c r="D790" s="33" t="str">
        <x:v>High</x:v>
      </x:c>
      <x:c r="E790" s="33" t="str">
        <x:v>Implement the requirement, correct affected records or transactions, and retain evidence of operating effectiveness: Ensure pharmacists comply with the professional code of ethics and standards of conduct.</x:v>
      </x:c>
      <x:c r="F790" s="33" t="str">
        <x:v>CA049</x:v>
      </x:c>
      <x:c r="G790" s="33" t="str">
        <x:v>P4_VALIDATION</x:v>
      </x:c>
      <x:c r="H790" s="33" t="str">
        <x:v>Yes</x:v>
      </x:c>
      <x:c r="I790" s="33" t="str">
        <x:v>P-4 chain-closure observation template.</x:v>
      </x:c>
    </x:row>
    <x:row r="791">
      <x:c r="A791" s="33" t="str">
        <x:v>P4OBS017</x:v>
      </x:c>
      <x:c r="B791" s="33" t="str">
        <x:v>AUD062</x:v>
      </x:c>
      <x:c r="C791" s="33" t="str">
        <x:v>Maintain records of continuing professional education and competency development. was not demonstrated or did not operate effectively for the sample tested.</x:v>
      </x:c>
      <x:c r="D791" s="33" t="str">
        <x:v>High</x:v>
      </x:c>
      <x:c r="E791" s="33" t="str">
        <x:v>Implement the requirement, correct affected records or transactions, and retain evidence of operating effectiveness: Maintain records of continuing professional education and competency development.</x:v>
      </x:c>
      <x:c r="F791" s="33" t="str">
        <x:v>CA049</x:v>
      </x:c>
      <x:c r="G791" s="33" t="str">
        <x:v>P4_VALIDATION</x:v>
      </x:c>
      <x:c r="H791" s="33" t="str">
        <x:v>Yes</x:v>
      </x:c>
      <x:c r="I791" s="33" t="str">
        <x:v>P-4 chain-closure observation template.</x:v>
      </x:c>
    </x:row>
    <x:row r="792">
      <x:c r="A792" s="33" t="str">
        <x:v>P4OBS018</x:v>
      </x:c>
      <x:c r="B792" s="33" t="str">
        <x:v>AUD064</x:v>
      </x:c>
      <x:c r="C792" s="33" t="str">
        <x:v>Display the current scheduled-formulation price list and supplementary list conspicuously at the premises. was not demonstrated or did not operate effectively for the sample tested.</x:v>
      </x:c>
      <x:c r="D792" s="33" t="str">
        <x:v>High</x:v>
      </x:c>
      <x:c r="E792" s="33" t="str">
        <x:v>Implement the requirement, correct affected records or transactions, and retain evidence of operating effectiveness: Display the current scheduled-formulation price list and supplementary list conspicuously at the premises.</x:v>
      </x:c>
      <x:c r="F792" s="33" t="str">
        <x:v>CA030</x:v>
      </x:c>
      <x:c r="G792" s="33" t="str">
        <x:v>P4_VALIDATION</x:v>
      </x:c>
      <x:c r="H792" s="33" t="str">
        <x:v>Yes</x:v>
      </x:c>
      <x:c r="I792" s="33" t="str">
        <x:v>P-4 chain-closure observation template.</x:v>
      </x:c>
    </x:row>
    <x:row r="793">
      <x:c r="A793" s="33" t="str">
        <x:v>P4OBS019</x:v>
      </x:c>
      <x:c r="B793" s="33" t="str">
        <x:v>AUD066</x:v>
      </x:c>
      <x:c r="C793" s="33" t="str">
        <x:v>Display the current non-scheduled-formulation price list conspicuously at the premises. was not demonstrated or did not operate effectively for the sample tested.</x:v>
      </x:c>
      <x:c r="D793" s="33" t="str">
        <x:v>High</x:v>
      </x:c>
      <x:c r="E793" s="33" t="str">
        <x:v>Implement the requirement, correct affected records or transactions, and retain evidence of operating effectiveness: Display the current non-scheduled-formulation price list conspicuously at the premises.</x:v>
      </x:c>
      <x:c r="F793" s="33" t="str">
        <x:v>CA031</x:v>
      </x:c>
      <x:c r="G793" s="33" t="str">
        <x:v>P4_VALIDATION</x:v>
      </x:c>
      <x:c r="H793" s="33" t="str">
        <x:v>Yes</x:v>
      </x:c>
      <x:c r="I793" s="33" t="str">
        <x:v>P-4 chain-closure observation template.</x:v>
      </x:c>
    </x:row>
    <x:row r="794">
      <x:c r="A794" s="33" t="str">
        <x:v>P4OBS020</x:v>
      </x:c>
      <x:c r="B794" s="33" t="str">
        <x:v>AUD068</x:v>
      </x:c>
      <x:c r="C794" s="33" t="str">
        <x:v>Do not sell a formulation above the lower of the current price-list price or label price, plus applicable local taxes. was not demonstrated or did not operate effectively for the sample tested.</x:v>
      </x:c>
      <x:c r="D794" s="33" t="str">
        <x:v>High</x:v>
      </x:c>
      <x:c r="E794" s="33" t="str">
        <x:v>Implement the requirement, correct affected records or transactions, and retain evidence of operating effectiveness: Do not sell a formulation above the lower of the current price-list price or label price, plus applicable local taxes.</x:v>
      </x:c>
      <x:c r="F794" s="33" t="str">
        <x:v>CA063</x:v>
      </x:c>
      <x:c r="G794" s="33" t="str">
        <x:v>P4_VALIDATION</x:v>
      </x:c>
      <x:c r="H794" s="33" t="str">
        <x:v>Yes</x:v>
      </x:c>
      <x:c r="I794" s="33" t="str">
        <x:v>P-4 chain-closure observation template.</x:v>
      </x:c>
    </x:row>
    <x:row r="795">
      <x:c r="A795" s="33" t="str">
        <x:v>P4OBS021</x:v>
      </x:c>
      <x:c r="B795" s="33" t="str">
        <x:v>AUD070</x:v>
      </x:c>
      <x:c r="C795" s="33" t="str">
        <x:v>When selling a split quantity, charge no more than the pro-rata price for that quantity. was not demonstrated or did not operate effectively for the sample tested.</x:v>
      </x:c>
      <x:c r="D795" s="33" t="str">
        <x:v>High</x:v>
      </x:c>
      <x:c r="E795" s="33" t="str">
        <x:v>Implement the requirement, correct affected records or transactions, and retain evidence of operating effectiveness: When selling a split quantity, charge no more than the pro-rata price for that quantity.</x:v>
      </x:c>
      <x:c r="F795" s="33" t="str">
        <x:v>CA019</x:v>
      </x:c>
      <x:c r="G795" s="33" t="str">
        <x:v>P4_VALIDATION</x:v>
      </x:c>
      <x:c r="H795" s="33" t="str">
        <x:v>Yes</x:v>
      </x:c>
      <x:c r="I795" s="33" t="str">
        <x:v>P-4 chain-closure observation template.</x:v>
      </x:c>
    </x:row>
    <x:row r="796">
      <x:c r="A796" s="33" t="str">
        <x:v>P4OBS022</x:v>
      </x:c>
      <x:c r="B796" s="33" t="str">
        <x:v>AUD072</x:v>
      </x:c>
      <x:c r="C796" s="33" t="str">
        <x:v>Do not withhold or refuse sale of a formulation that is available for sale to a customer. was not demonstrated or did not operate effectively for the sample tested.</x:v>
      </x:c>
      <x:c r="D796" s="33" t="str">
        <x:v>High</x:v>
      </x:c>
      <x:c r="E796" s="33" t="str">
        <x:v>Implement the requirement, correct affected records or transactions, and retain evidence of operating effectiveness: Do not withhold or refuse sale of a formulation that is available for sale to a customer.</x:v>
      </x:c>
      <x:c r="F796" s="33" t="str">
        <x:v>CA084</x:v>
      </x:c>
      <x:c r="G796" s="33" t="str">
        <x:v>P4_VALIDATION</x:v>
      </x:c>
      <x:c r="H796" s="33" t="str">
        <x:v>Yes</x:v>
      </x:c>
      <x:c r="I796" s="33" t="str">
        <x:v>P-4 chain-closure observation template.</x:v>
      </x:c>
    </x:row>
    <x:row r="797">
      <x:c r="A797" s="33" t="str">
        <x:v>P4OBS023</x:v>
      </x:c>
      <x:c r="B797" s="33" t="str">
        <x:v>AUD074</x:v>
      </x:c>
      <x:c r="C797" s="33" t="str">
        <x:v>Ensure narcotic and psychotropic substances are handled only as permitted under law. was not demonstrated or did not operate effectively for the sample tested.</x:v>
      </x:c>
      <x:c r="D797" s="33" t="str">
        <x:v>High</x:v>
      </x:c>
      <x:c r="E797" s="33" t="str">
        <x:v>Implement the requirement, correct affected records or transactions, and retain evidence of operating effectiveness: Ensure narcotic and psychotropic substances are handled only as permitted under law.</x:v>
      </x:c>
      <x:c r="F797" s="33" t="str">
        <x:v>CA026</x:v>
      </x:c>
      <x:c r="G797" s="33" t="str">
        <x:v>P4_VALIDATION</x:v>
      </x:c>
      <x:c r="H797" s="33" t="str">
        <x:v>Yes</x:v>
      </x:c>
      <x:c r="I797" s="33" t="str">
        <x:v>P-4 chain-closure observation template.</x:v>
      </x:c>
    </x:row>
    <x:row r="798">
      <x:c r="A798" s="33" t="str">
        <x:v>P4OBS024</x:v>
      </x:c>
      <x:c r="B798" s="33" t="str">
        <x:v>AUD084</x:v>
      </x:c>
      <x:c r="C798" s="33" t="str">
        <x:v>Possess Essential Narcotic Drugs only under authorization permitted by Rule 52A. was not demonstrated or did not operate effectively for the sample tested.</x:v>
      </x:c>
      <x:c r="D798" s="33" t="str">
        <x:v>High</x:v>
      </x:c>
      <x:c r="E798" s="33" t="str">
        <x:v>Implement the requirement, correct affected records or transactions, and retain evidence of operating effectiveness: Possess Essential Narcotic Drugs only under authorization permitted by Rule 52A.</x:v>
      </x:c>
      <x:c r="F798" s="33" t="str">
        <x:v>CA027</x:v>
      </x:c>
      <x:c r="G798" s="33" t="str">
        <x:v>P4_VALIDATION</x:v>
      </x:c>
      <x:c r="H798" s="33" t="str">
        <x:v>Yes</x:v>
      </x:c>
      <x:c r="I798" s="33" t="str">
        <x:v>P-4 chain-closure observation template.</x:v>
      </x:c>
    </x:row>
    <x:row r="799">
      <x:c r="A799" s="33" t="str">
        <x:v>P4OBS025</x:v>
      </x:c>
      <x:c r="B799" s="33" t="str">
        <x:v>AUD086</x:v>
      </x:c>
      <x:c r="C799" s="33" t="str">
        <x:v>Maintain the applicable State licence as a dealer or chemist for possession and sale of Essential Narcotic Drugs and comply with its conditions. was not demonstrated or did not operate effectively for the sample tested.</x:v>
      </x:c>
      <x:c r="D799" s="33" t="str">
        <x:v>High</x:v>
      </x:c>
      <x:c r="E799" s="33" t="str">
        <x:v>Implement the requirement, correct affected records or transactions, and retain evidence of operating effectiveness: Maintain the applicable State licence as a dealer or chemist for possession and sale of Essential Narcotic Drugs and comply with its conditions.</x:v>
      </x:c>
      <x:c r="F799" s="33" t="str">
        <x:v>CA028</x:v>
      </x:c>
      <x:c r="G799" s="33" t="str">
        <x:v>P4_VALIDATION</x:v>
      </x:c>
      <x:c r="H799" s="33" t="str">
        <x:v>Yes</x:v>
      </x:c>
      <x:c r="I799" s="33" t="str">
        <x:v>P-4 chain-closure observation template.</x:v>
      </x:c>
    </x:row>
    <x:row r="800">
      <x:c r="A800" s="33" t="str">
        <x:v>P4OBS026</x:v>
      </x:c>
      <x:c r="B800" s="33" t="str">
        <x:v>AUD088</x:v>
      </x:c>
      <x:c r="C800" s="33" t="str">
        <x:v>Sell an Essential Narcotic Drug only against a legally valid prescription and in accordance with the Drugs Rules, 1945. was not demonstrated or did not operate effectively for the sample tested.</x:v>
      </x:c>
      <x:c r="D800" s="33" t="str">
        <x:v>High</x:v>
      </x:c>
      <x:c r="E800" s="33" t="str">
        <x:v>Implement the requirement, correct affected records or transactions, and retain evidence of operating effectiveness: Sell an Essential Narcotic Drug only against a legally valid prescription and in accordance with the Drugs Rules, 1945.</x:v>
      </x:c>
      <x:c r="F800" s="33" t="str">
        <x:v>CA027</x:v>
      </x:c>
      <x:c r="G800" s="33" t="str">
        <x:v>P4_VALIDATION</x:v>
      </x:c>
      <x:c r="H800" s="33" t="str">
        <x:v>Yes</x:v>
      </x:c>
      <x:c r="I800" s="33" t="str">
        <x:v>P-4 chain-closure observation template.</x:v>
      </x:c>
    </x:row>
    <x:row r="801">
      <x:c r="A801" s="33" t="str">
        <x:v>P4OBS027</x:v>
      </x:c>
      <x:c r="B801" s="33" t="str">
        <x:v>AUD090</x:v>
      </x:c>
      <x:c r="C801" s="33" t="str">
        <x:v>Ensure each applicable Essential Narcotic Drug consignment has the prescribed Form 3C documentation and retain supporting documents for two years. was not demonstrated or did not operate effectively for the sample tested.</x:v>
      </x:c>
      <x:c r="D801" s="33" t="str">
        <x:v>High</x:v>
      </x:c>
      <x:c r="E801" s="33" t="str">
        <x:v>Implement the requirement, correct affected records or transactions, and retain evidence of operating effectiveness: Ensure each applicable Essential Narcotic Drug consignment has the prescribed Form 3C documentation and retain supporting documents for two years.</x:v>
      </x:c>
      <x:c r="F801" s="33" t="str">
        <x:v>CA027</x:v>
      </x:c>
      <x:c r="G801" s="33" t="str">
        <x:v>P4_VALIDATION</x:v>
      </x:c>
      <x:c r="H801" s="33" t="str">
        <x:v>Yes</x:v>
      </x:c>
      <x:c r="I801" s="33" t="str">
        <x:v>P-4 chain-closure observation template.</x:v>
      </x:c>
    </x:row>
    <x:row r="802">
      <x:c r="A802" s="33" t="str">
        <x:v>P4OBS028</x:v>
      </x:c>
      <x:c r="B802" s="33" t="str">
        <x:v>AUD092</x:v>
      </x:c>
      <x:c r="C802" s="33" t="str">
        <x:v>Complete the prescribed declaration/documentation and account-book entries for transmission of Essential Narcotic Drugs by post, courier, rail or road. was not demonstrated or did not operate effectively for the sample tested.</x:v>
      </x:c>
      <x:c r="D802" s="33" t="str">
        <x:v>High</x:v>
      </x:c>
      <x:c r="E802" s="33" t="str">
        <x:v>Implement the requirement, correct affected records or transactions, and retain evidence of operating effectiveness: Complete the prescribed declaration/documentation and account-book entries for transmission of Essential Narcotic Drugs by post, courier, rail or road.</x:v>
      </x:c>
      <x:c r="F802" s="33" t="str">
        <x:v>CA039</x:v>
      </x:c>
      <x:c r="G802" s="33" t="str">
        <x:v>P4_VALIDATION</x:v>
      </x:c>
      <x:c r="H802" s="33" t="str">
        <x:v>Yes</x:v>
      </x:c>
      <x:c r="I802" s="33" t="str">
        <x:v>P-4 chain-closure observation template.</x:v>
      </x:c>
    </x:row>
    <x:row r="803">
      <x:c r="A803" s="33" t="str">
        <x:v>P4OBS029</x:v>
      </x:c>
      <x:c r="B803" s="33" t="str">
        <x:v>AUD094</x:v>
      </x:c>
      <x:c r="C803" s="33" t="str">
        <x:v>If the establishment is a BMW occupier/generator, implement the Rule 4 occupier programme, including segregation governance, employee training/immunisation, barcoding/traceability where applicable and non-mixing controls. was not demonstrated or did not operate effectively for the sample tested.</x:v>
      </x:c>
      <x:c r="D803" s="33" t="str">
        <x:v>Critical</x:v>
      </x:c>
      <x:c r="E803" s="33" t="str">
        <x:v>Implement the requirement, correct affected records or transactions, and retain evidence of operating effectiveness: If the establishment is a BMW occupier/generator, implement the Rule 4 occupier programme, including segregation governance, employee training/immunisation, barcoding/traceability where applicable and non-mixing controls.</x:v>
      </x:c>
      <x:c r="F803" s="33" t="str">
        <x:v>CA038</x:v>
      </x:c>
      <x:c r="G803" s="33" t="str">
        <x:v>P4_VALIDATION</x:v>
      </x:c>
      <x:c r="H803" s="33" t="str">
        <x:v>Yes</x:v>
      </x:c>
      <x:c r="I803" s="33" t="str">
        <x:v>P-4 chain-closure observation template.</x:v>
      </x:c>
    </x:row>
    <x:row r="804">
      <x:c r="A804" s="33" t="str">
        <x:v>P4OBS030</x:v>
      </x:c>
      <x:c r="B804" s="33" t="str">
        <x:v>AUD096</x:v>
      </x:c>
      <x:c r="C804" s="33" t="str">
        <x:v>Segregate BMW at the point of generation into the prescribed colour-coded bags/containers, label/package it and keep it separate from municipal waste. was not demonstrated or did not operate effectively for the sample tested.</x:v>
      </x:c>
      <x:c r="D804" s="33" t="str">
        <x:v>Critical</x:v>
      </x:c>
      <x:c r="E804" s="33" t="str">
        <x:v>Implement the requirement, correct affected records or transactions, and retain evidence of operating effectiveness: Segregate BMW at the point of generation into the prescribed colour-coded bags/containers, label/package it and keep it separate from municipal waste.</x:v>
      </x:c>
      <x:c r="F804" s="33" t="str">
        <x:v>CA038</x:v>
      </x:c>
      <x:c r="G804" s="33" t="str">
        <x:v>P4_VALIDATION</x:v>
      </x:c>
      <x:c r="H804" s="33" t="str">
        <x:v>Yes</x:v>
      </x:c>
      <x:c r="I804" s="33" t="str">
        <x:v>P-4 chain-closure observation template.</x:v>
      </x:c>
    </x:row>
    <x:row r="805">
      <x:c r="A805" s="33" t="str">
        <x:v>P4OBS031</x:v>
      </x:c>
      <x:c r="B805" s="33" t="str">
        <x:v>AUD098</x:v>
      </x:c>
      <x:c r="C805" s="33" t="str">
        <x:v>Transfer BMW only through the permitted treatment/disposal route, including the authorised common facility where required; do not use ordinary solid-waste disposal. was not demonstrated or did not operate effectively for the sample tested.</x:v>
      </x:c>
      <x:c r="D805" s="33" t="str">
        <x:v>Critical</x:v>
      </x:c>
      <x:c r="E805" s="33" t="str">
        <x:v>Implement the requirement, correct affected records or transactions, and retain evidence of operating effectiveness: Transfer BMW only through the permitted treatment/disposal route, including the authorised common facility where required; do not use ordinary solid-waste disposal.</x:v>
      </x:c>
      <x:c r="F805" s="33" t="str">
        <x:v>CA038</x:v>
      </x:c>
      <x:c r="G805" s="33" t="str">
        <x:v>P4_VALIDATION</x:v>
      </x:c>
      <x:c r="H805" s="33" t="str">
        <x:v>Yes</x:v>
      </x:c>
      <x:c r="I805" s="33" t="str">
        <x:v>P-4 chain-closure observation template.</x:v>
      </x:c>
    </x:row>
    <x:row r="806">
      <x:c r="A806" s="33" t="str">
        <x:v>P4OBS032</x:v>
      </x:c>
      <x:c r="B806" s="33" t="str">
        <x:v>AUD100</x:v>
      </x:c>
      <x:c r="C806" s="33" t="str">
        <x:v>Maintain BMW records; submit Form IV annual report by 30 June for the preceding calendar year; report major accidents in the prescribed form/time. was not demonstrated or did not operate effectively for the sample tested.</x:v>
      </x:c>
      <x:c r="D806" s="33" t="str">
        <x:v>High</x:v>
      </x:c>
      <x:c r="E806" s="33" t="str">
        <x:v>Implement the requirement, correct affected records or transactions, and retain evidence of operating effectiveness: Maintain BMW records; submit Form IV annual report by 30 June for the preceding calendar year; report major accidents in the prescribed form/time.</x:v>
      </x:c>
      <x:c r="F806" s="33" t="str">
        <x:v>CA040</x:v>
      </x:c>
      <x:c r="G806" s="33" t="str">
        <x:v>P4_VALIDATION</x:v>
      </x:c>
      <x:c r="H806" s="33" t="str">
        <x:v>Yes</x:v>
      </x:c>
      <x:c r="I806" s="33" t="str">
        <x:v>P-4 chain-closure observation template.</x:v>
      </x:c>
    </x:row>
    <x:row r="807">
      <x:c r="A807" s="33" t="str">
        <x:v>P4OBS033</x:v>
      </x:c>
      <x:c r="B807" s="33" t="str">
        <x:v>AUD102</x:v>
      </x:c>
      <x:c r="C807" s="33" t="str">
        <x:v>Obtain and maintain BMW authorization in Form II from the prescribed authority before/while handling BMW, irrespective of quantity. was not demonstrated or did not operate effectively for the sample tested.</x:v>
      </x:c>
      <x:c r="D807" s="33" t="str">
        <x:v>Critical</x:v>
      </x:c>
      <x:c r="E807" s="33" t="str">
        <x:v>Implement the requirement, correct affected records or transactions, and retain evidence of operating effectiveness: Obtain and maintain BMW authorization in Form II from the prescribed authority before/while handling BMW, irrespective of quantity.</x:v>
      </x:c>
      <x:c r="F807" s="33" t="str">
        <x:v>CA038</x:v>
      </x:c>
      <x:c r="G807" s="33" t="str">
        <x:v>P4_VALIDATION</x:v>
      </x:c>
      <x:c r="H807" s="33" t="str">
        <x:v>Yes</x:v>
      </x:c>
      <x:c r="I807" s="33" t="str">
        <x:v>P-4 chain-closure observation template.</x:v>
      </x:c>
    </x:row>
    <x:row r="808">
      <x:c r="A808" s="33" t="str">
        <x:v>P4OBS034</x:v>
      </x:c>
      <x:c r="B808" s="33" t="str">
        <x:v>AUD103</x:v>
      </x:c>
      <x:c r="C808" s="33" t="str">
        <x:v>Obtain and maintain BMW authorization in Form II from the prescribed authority before/while handling BMW, irrespective of quantity. was not demonstrated or did not operate effectively for the sample tested.</x:v>
      </x:c>
      <x:c r="D808" s="33" t="str">
        <x:v>Critical</x:v>
      </x:c>
      <x:c r="E808" s="33" t="str">
        <x:v>Implement the requirement, correct affected records or transactions, and retain evidence of operating effectiveness: Obtain and maintain BMW authorization in Form II from the prescribed authority before/while handling BMW, irrespective of quantity.</x:v>
      </x:c>
      <x:c r="F808" s="33" t="str">
        <x:v>CA038</x:v>
      </x:c>
      <x:c r="G808" s="33" t="str">
        <x:v>P4_VALIDATION</x:v>
      </x:c>
      <x:c r="H808" s="33" t="str">
        <x:v>Yes</x:v>
      </x:c>
      <x:c r="I808" s="33" t="str">
        <x:v>P-4 chain-closure observation template.</x:v>
      </x:c>
    </x:row>
    <x:row r="809">
      <x:c r="A809" s="33" t="str">
        <x:v>P4OBS035</x:v>
      </x:c>
      <x:c r="B809" s="33" t="str">
        <x:v>AUD104</x:v>
      </x:c>
      <x:c r="C809" s="33" t="str">
        <x:v>Obtain and maintain BMW authorization in Form II from the prescribed authority before/while handling BMW, irrespective of quantity. was not demonstrated or did not operate effectively for the sample tested.</x:v>
      </x:c>
      <x:c r="D809" s="33" t="str">
        <x:v>Critical</x:v>
      </x:c>
      <x:c r="E809" s="33" t="str">
        <x:v>Implement the requirement, correct affected records or transactions, and retain evidence of operating effectiveness: Obtain and maintain BMW authorization in Form II from the prescribed authority before/while handling BMW, irrespective of quantity.</x:v>
      </x:c>
      <x:c r="F809" s="33" t="str">
        <x:v>CA038</x:v>
      </x:c>
      <x:c r="G809" s="33" t="str">
        <x:v>P4_VALIDATION</x:v>
      </x:c>
      <x:c r="H809" s="33" t="str">
        <x:v>Yes</x:v>
      </x:c>
      <x:c r="I809" s="33" t="str">
        <x:v>P-4 chain-closure observation template.</x:v>
      </x:c>
    </x:row>
    <x:row r="810">
      <x:c r="A810" s="33" t="str">
        <x:v>P4OBS036</x:v>
      </x:c>
      <x:c r="B810" s="33" t="str">
        <x:v>AUD105</x:v>
      </x:c>
      <x:c r="C810" s="33" t="str">
        <x:v>Obtain and maintain BMW authorization in Form II from the prescribed authority before/while handling BMW, irrespective of quantity. was not demonstrated or did not operate effectively for the sample tested.</x:v>
      </x:c>
      <x:c r="D810" s="33" t="str">
        <x:v>Critical</x:v>
      </x:c>
      <x:c r="E810" s="33" t="str">
        <x:v>Implement the requirement, correct affected records or transactions, and retain evidence of operating effectiveness: Obtain and maintain BMW authorization in Form II from the prescribed authority before/while handling BMW, irrespective of quantity.</x:v>
      </x:c>
      <x:c r="F810" s="33" t="str">
        <x:v>CA038</x:v>
      </x:c>
      <x:c r="G810" s="33" t="str">
        <x:v>P4_VALIDATION</x:v>
      </x:c>
      <x:c r="H810" s="33" t="str">
        <x:v>Yes</x:v>
      </x:c>
      <x:c r="I810" s="33" t="str">
        <x:v>P-4 chain-closure observation template.</x:v>
      </x:c>
    </x:row>
    <x:row r="811">
      <x:c r="A811" s="33" t="str">
        <x:v>P4OBS037</x:v>
      </x:c>
      <x:c r="B811" s="33" t="str">
        <x:v>AUD117</x:v>
      </x:c>
      <x:c r="C811" s="33" t="str">
        <x:v>Assess current EPF coverage under the Social Security Code/notifications and complete registration when the establishment trigger is met. was not demonstrated or did not operate effectively for the sample tested.</x:v>
      </x:c>
      <x:c r="D811" s="33" t="str">
        <x:v>High</x:v>
      </x:c>
      <x:c r="E811" s="33" t="str">
        <x:v>Implement the requirement, correct affected records or transactions, and retain evidence of operating effectiveness: Assess current EPF coverage under the Social Security Code/notifications and complete registration when the establishment trigger is met.</x:v>
      </x:c>
      <x:c r="F811" s="33" t="str">
        <x:v>CA048</x:v>
      </x:c>
      <x:c r="G811" s="33" t="str">
        <x:v>P4_VALIDATION</x:v>
      </x:c>
      <x:c r="H811" s="33" t="str">
        <x:v>Yes</x:v>
      </x:c>
      <x:c r="I811" s="33" t="str">
        <x:v>P-4 chain-closure observation template.</x:v>
      </x:c>
    </x:row>
    <x:row r="812">
      <x:c r="A812" s="33" t="str">
        <x:v>P4OBS038</x:v>
      </x:c>
      <x:c r="B812" s="33" t="str">
        <x:v>AUD119</x:v>
      </x:c>
      <x:c r="C812" s="33" t="str">
        <x:v>For covered employees, compute, deduct and remit provident-fund contributions under the current Code, 2026 Rules and applicable scheme/notifications. was not demonstrated or did not operate effectively for the sample tested.</x:v>
      </x:c>
      <x:c r="D812" s="33" t="str">
        <x:v>High</x:v>
      </x:c>
      <x:c r="E812" s="33" t="str">
        <x:v>Implement the requirement, correct affected records or transactions, and retain evidence of operating effectiveness: For covered employees, compute, deduct and remit provident-fund contributions under the current Code, 2026 Rules and applicable scheme/notifications.</x:v>
      </x:c>
      <x:c r="F812" s="33" t="str">
        <x:v>CA048</x:v>
      </x:c>
      <x:c r="G812" s="33" t="str">
        <x:v>P4_VALIDATION</x:v>
      </x:c>
      <x:c r="H812" s="33" t="str">
        <x:v>Yes</x:v>
      </x:c>
      <x:c r="I812" s="33" t="str">
        <x:v>P-4 chain-closure observation template.</x:v>
      </x:c>
    </x:row>
    <x:row r="813">
      <x:c r="A813" s="33" t="str">
        <x:v>P4OBS039</x:v>
      </x:c>
      <x:c r="B813" s="33" t="str">
        <x:v>AUD121</x:v>
      </x:c>
      <x:c r="C813" s="33" t="str">
        <x:v>Maintain complete EPF membership, wage, nomination, contribution and electronic filing records for covered employees. was not demonstrated or did not operate effectively for the sample tested.</x:v>
      </x:c>
      <x:c r="D813" s="33" t="str">
        <x:v>High</x:v>
      </x:c>
      <x:c r="E813" s="33" t="str">
        <x:v>Implement the requirement, correct affected records or transactions, and retain evidence of operating effectiveness: Maintain complete EPF membership, wage, nomination, contribution and electronic filing records for covered employees.</x:v>
      </x:c>
      <x:c r="F813" s="33" t="str">
        <x:v>CA046</x:v>
      </x:c>
      <x:c r="G813" s="33" t="str">
        <x:v>P4_VALIDATION</x:v>
      </x:c>
      <x:c r="H813" s="33" t="str">
        <x:v>Yes</x:v>
      </x:c>
      <x:c r="I813" s="33" t="str">
        <x:v>P-4 chain-closure observation template.</x:v>
      </x:c>
    </x:row>
    <x:row r="814">
      <x:c r="A814" s="33" t="str">
        <x:v>P4OBS040</x:v>
      </x:c>
      <x:c r="B814" s="33" t="str">
        <x:v>AUD123</x:v>
      </x:c>
      <x:c r="C814" s="33" t="str">
        <x:v>Deposit EPF contributions and submit the applicable electronic return/challan within the current prescribed monthly timeline. was not demonstrated or did not operate effectively for the sample tested.</x:v>
      </x:c>
      <x:c r="D814" s="33" t="str">
        <x:v>High</x:v>
      </x:c>
      <x:c r="E814" s="33" t="str">
        <x:v>Implement the requirement, correct affected records or transactions, and retain evidence of operating effectiveness: Deposit EPF contributions and submit the applicable electronic return/challan within the current prescribed monthly timeline.</x:v>
      </x:c>
      <x:c r="F814" s="33" t="str">
        <x:v>CA048</x:v>
      </x:c>
      <x:c r="G814" s="33" t="str">
        <x:v>P4_VALIDATION</x:v>
      </x:c>
      <x:c r="H814" s="33" t="str">
        <x:v>Yes</x:v>
      </x:c>
      <x:c r="I814" s="33" t="str">
        <x:v>P-4 chain-closure observation template.</x:v>
      </x:c>
    </x:row>
    <x:row r="815">
      <x:c r="A815" s="33" t="str">
        <x:v>P4OBS041</x:v>
      </x:c>
      <x:c r="B815" s="33" t="str">
        <x:v>AUD125</x:v>
      </x:c>
      <x:c r="C815" s="33" t="str">
        <x:v>Preserve and produce applicable provident-fund records for the period prescribed by the current Code/Rules/scheme; do not rely on an unsupported generic period. was not demonstrated or did not operate effectively for the sample tested.</x:v>
      </x:c>
      <x:c r="D815" s="33" t="str">
        <x:v>High</x:v>
      </x:c>
      <x:c r="E815" s="33" t="str">
        <x:v>Implement the requirement, correct affected records or transactions, and retain evidence of operating effectiveness: Preserve and produce applicable provident-fund records for the period prescribed by the current Code/Rules/scheme; do not rely on an unsupported generic period.</x:v>
      </x:c>
      <x:c r="F815" s="33" t="str">
        <x:v>CA046</x:v>
      </x:c>
      <x:c r="G815" s="33" t="str">
        <x:v>P4_VALIDATION</x:v>
      </x:c>
      <x:c r="H815" s="33" t="str">
        <x:v>Yes</x:v>
      </x:c>
      <x:c r="I815" s="33" t="str">
        <x:v>P-4 chain-closure observation template.</x:v>
      </x:c>
    </x:row>
    <x:row r="816">
      <x:c r="A816" s="33" t="str">
        <x:v>P4OBS042</x:v>
      </x:c>
      <x:c r="B816" s="33" t="str">
        <x:v>AUD127</x:v>
      </x:c>
      <x:c r="C816" s="33" t="str">
        <x:v>Assess current ESI coverage under the Social Security Code/notifications and register the establishment and covered employees when triggered. was not demonstrated or did not operate effectively for the sample tested.</x:v>
      </x:c>
      <x:c r="D816" s="33" t="str">
        <x:v>High</x:v>
      </x:c>
      <x:c r="E816" s="33" t="str">
        <x:v>Implement the requirement, correct affected records or transactions, and retain evidence of operating effectiveness: Assess current ESI coverage under the Social Security Code/notifications and register the establishment and covered employees when triggered.</x:v>
      </x:c>
      <x:c r="F816" s="33" t="str">
        <x:v>CA048</x:v>
      </x:c>
      <x:c r="G816" s="33" t="str">
        <x:v>P4_VALIDATION</x:v>
      </x:c>
      <x:c r="H816" s="33" t="str">
        <x:v>Yes</x:v>
      </x:c>
      <x:c r="I816" s="33" t="str">
        <x:v>P-4 chain-closure observation template.</x:v>
      </x:c>
    </x:row>
    <x:row r="817">
      <x:c r="A817" s="33" t="str">
        <x:v>P4OBS043</x:v>
      </x:c>
      <x:c r="B817" s="33" t="str">
        <x:v>AUD129</x:v>
      </x:c>
      <x:c r="C817" s="33" t="str">
        <x:v>For covered employees, compute, deduct and remit ESI contributions within the current prescribed timeline. was not demonstrated or did not operate effectively for the sample tested.</x:v>
      </x:c>
      <x:c r="D817" s="33" t="str">
        <x:v>High</x:v>
      </x:c>
      <x:c r="E817" s="33" t="str">
        <x:v>Implement the requirement, correct affected records or transactions, and retain evidence of operating effectiveness: For covered employees, compute, deduct and remit ESI contributions within the current prescribed timeline.</x:v>
      </x:c>
      <x:c r="F817" s="33" t="str">
        <x:v>CA048</x:v>
      </x:c>
      <x:c r="G817" s="33" t="str">
        <x:v>P4_VALIDATION</x:v>
      </x:c>
      <x:c r="H817" s="33" t="str">
        <x:v>Yes</x:v>
      </x:c>
      <x:c r="I817" s="33" t="str">
        <x:v>P-4 chain-closure observation template.</x:v>
      </x:c>
    </x:row>
    <x:row r="818">
      <x:c r="A818" s="33" t="str">
        <x:v>P4OBS044</x:v>
      </x:c>
      <x:c r="B818" s="33" t="str">
        <x:v>AUD131</x:v>
      </x:c>
      <x:c r="C818" s="33" t="str">
        <x:v>Maintain complete ESI registration, wage, contribution, accident and benefit-supporting records for covered employees. was not demonstrated or did not operate effectively for the sample tested.</x:v>
      </x:c>
      <x:c r="D818" s="33" t="str">
        <x:v>High</x:v>
      </x:c>
      <x:c r="E818" s="33" t="str">
        <x:v>Implement the requirement, correct affected records or transactions, and retain evidence of operating effectiveness: Maintain complete ESI registration, wage, contribution, accident and benefit-supporting records for covered employees.</x:v>
      </x:c>
      <x:c r="F818" s="33" t="str">
        <x:v>CA046</x:v>
      </x:c>
      <x:c r="G818" s="33" t="str">
        <x:v>P4_VALIDATION</x:v>
      </x:c>
      <x:c r="H818" s="33" t="str">
        <x:v>Yes</x:v>
      </x:c>
      <x:c r="I818" s="33" t="str">
        <x:v>P-4 chain-closure observation template.</x:v>
      </x:c>
    </x:row>
    <x:row r="819">
      <x:c r="A819" s="33" t="str">
        <x:v>P4OBS045</x:v>
      </x:c>
      <x:c r="B819" s="33" t="str">
        <x:v>AUD133</x:v>
      </x:c>
      <x:c r="C819" s="33" t="str">
        <x:v>Submit the applicable ESI electronic contribution filing/declaration at the frequency and due date prescribed for the establishment. was not demonstrated or did not operate effectively for the sample tested.</x:v>
      </x:c>
      <x:c r="D819" s="33" t="str">
        <x:v>High</x:v>
      </x:c>
      <x:c r="E819" s="33" t="str">
        <x:v>Implement the requirement, correct affected records or transactions, and retain evidence of operating effectiveness: Submit the applicable ESI electronic contribution filing/declaration at the frequency and due date prescribed for the establishment.</x:v>
      </x:c>
      <x:c r="F819" s="33" t="str">
        <x:v>CA048</x:v>
      </x:c>
      <x:c r="G819" s="33" t="str">
        <x:v>P4_VALIDATION</x:v>
      </x:c>
      <x:c r="H819" s="33" t="str">
        <x:v>Yes</x:v>
      </x:c>
      <x:c r="I819" s="33" t="str">
        <x:v>P-4 chain-closure observation template.</x:v>
      </x:c>
    </x:row>
    <x:row r="820">
      <x:c r="A820" s="33" t="str">
        <x:v>P4OBS046</x:v>
      </x:c>
      <x:c r="B820" s="33" t="str">
        <x:v>AUD135</x:v>
      </x:c>
      <x:c r="C820" s="33" t="str">
        <x:v>Produce applicable EPF/ESI records to an authorised inspector-cum-facilitator or authority when lawfully demanded. was not demonstrated or did not operate effectively for the sample tested.</x:v>
      </x:c>
      <x:c r="D820" s="33" t="str">
        <x:v>High</x:v>
      </x:c>
      <x:c r="E820" s="33" t="str">
        <x:v>Implement the requirement, correct affected records or transactions, and retain evidence of operating effectiveness: Produce applicable EPF/ESI records to an authorised inspector-cum-facilitator or authority when lawfully demanded.</x:v>
      </x:c>
      <x:c r="F820" s="33" t="str">
        <x:v>CA046</x:v>
      </x:c>
      <x:c r="G820" s="33" t="str">
        <x:v>P4_VALIDATION</x:v>
      </x:c>
      <x:c r="H820" s="33" t="str">
        <x:v>Yes</x:v>
      </x:c>
      <x:c r="I820" s="33" t="str">
        <x:v>P-4 chain-closure observation template.</x:v>
      </x:c>
    </x:row>
    <x:row r="821">
      <x:c r="A821" s="33" t="str">
        <x:v>P4OBS047</x:v>
      </x:c>
      <x:c r="B821" s="33" t="str">
        <x:v>AUD137</x:v>
      </x:c>
      <x:c r="C821" s="33" t="str">
        <x:v>Assess CGST/SGST registration liability by turnover, compulsory-registration and voluntary-registration rules; register in each required State before/within the statutory timeline. was not demonstrated or did not operate effectively for the sample tested.</x:v>
      </x:c>
      <x:c r="D821" s="33" t="str">
        <x:v>High</x:v>
      </x:c>
      <x:c r="E821" s="33" t="str">
        <x:v>Implement the requirement, correct affected records or transactions, and retain evidence of operating effectiveness: Assess CGST/SGST registration liability by turnover, compulsory-registration and voluntary-registration rules; register in each required State before/within the statutory timeline.</x:v>
      </x:c>
      <x:c r="F821" s="33" t="str">
        <x:v>CA052</x:v>
      </x:c>
      <x:c r="G821" s="33" t="str">
        <x:v>P4_VALIDATION</x:v>
      </x:c>
      <x:c r="H821" s="33" t="str">
        <x:v>Yes</x:v>
      </x:c>
      <x:c r="I821" s="33" t="str">
        <x:v>P-4 chain-closure observation template.</x:v>
      </x:c>
    </x:row>
    <x:row r="822">
      <x:c r="A822" s="33" t="str">
        <x:v>P4OBS048</x:v>
      </x:c>
      <x:c r="B822" s="33" t="str">
        <x:v>AUD139</x:v>
      </x:c>
      <x:c r="C822" s="33" t="str">
        <x:v>Issue the correct GST tax invoice, bill of supply or credit/debit document with prescribed particulars for each applicable supply. was not demonstrated or did not operate effectively for the sample tested.</x:v>
      </x:c>
      <x:c r="D822" s="33" t="str">
        <x:v>High</x:v>
      </x:c>
      <x:c r="E822" s="33" t="str">
        <x:v>Implement the requirement, correct affected records or transactions, and retain evidence of operating effectiveness: Issue the correct GST tax invoice, bill of supply or credit/debit document with prescribed particulars for each applicable supply.</x:v>
      </x:c>
      <x:c r="F822" s="33" t="str">
        <x:v>CA031</x:v>
      </x:c>
      <x:c r="G822" s="33" t="str">
        <x:v>P4_VALIDATION</x:v>
      </x:c>
      <x:c r="H822" s="33" t="str">
        <x:v>Yes</x:v>
      </x:c>
      <x:c r="I822" s="33" t="str">
        <x:v>P-4 chain-closure observation template.</x:v>
      </x:c>
    </x:row>
    <x:row r="823">
      <x:c r="A823" s="33" t="str">
        <x:v>P4OBS049</x:v>
      </x:c>
      <x:c r="B823" s="33" t="str">
        <x:v>AUD141</x:v>
      </x:c>
      <x:c r="C823" s="33" t="str">
        <x:v>Maintain the prescribed GST accounts, invoices, e-way/e-invoice records and supporting documents for the applicable retention period. was not demonstrated or did not operate effectively for the sample tested.</x:v>
      </x:c>
      <x:c r="D823" s="33" t="str">
        <x:v>High</x:v>
      </x:c>
      <x:c r="E823" s="33" t="str">
        <x:v>Implement the requirement, correct affected records or transactions, and retain evidence of operating effectiveness: Maintain the prescribed GST accounts, invoices, e-way/e-invoice records and supporting documents for the applicable retention period.</x:v>
      </x:c>
      <x:c r="F823" s="33" t="str">
        <x:v>CA054</x:v>
      </x:c>
      <x:c r="G823" s="33" t="str">
        <x:v>P4_VALIDATION</x:v>
      </x:c>
      <x:c r="H823" s="33" t="str">
        <x:v>Yes</x:v>
      </x:c>
      <x:c r="I823" s="33" t="str">
        <x:v>P-4 chain-closure observation template.</x:v>
      </x:c>
    </x:row>
    <x:row r="824">
      <x:c r="A824" s="33" t="str">
        <x:v>P4OBS050</x:v>
      </x:c>
      <x:c r="B824" s="33" t="str">
        <x:v>AUD143</x:v>
      </x:c>
      <x:c r="C824" s="33" t="str">
        <x:v>File only the GST returns/statements applicable to the taxpayer profile and scheme at the notified frequency and due date. was not demonstrated or did not operate effectively for the sample tested.</x:v>
      </x:c>
      <x:c r="D824" s="33" t="str">
        <x:v>High</x:v>
      </x:c>
      <x:c r="E824" s="33" t="str">
        <x:v>Implement the requirement, correct affected records or transactions, and retain evidence of operating effectiveness: File only the GST returns/statements applicable to the taxpayer profile and scheme at the notified frequency and due date.</x:v>
      </x:c>
      <x:c r="F824" s="33" t="str">
        <x:v>CA052</x:v>
      </x:c>
      <x:c r="G824" s="33" t="str">
        <x:v>P4_VALIDATION</x:v>
      </x:c>
      <x:c r="H824" s="33" t="str">
        <x:v>Yes</x:v>
      </x:c>
      <x:c r="I824" s="33" t="str">
        <x:v>P-4 chain-closure observation template.</x:v>
      </x:c>
    </x:row>
    <x:row r="825">
      <x:c r="A825" s="33" t="str">
        <x:v>P4OBS051</x:v>
      </x:c>
      <x:c r="B825" s="33" t="str">
        <x:v>AUD145</x:v>
      </x:c>
      <x:c r="C825" s="33" t="str">
        <x:v>Discharge self-assessed GST, interest and other liability through the electronic ledgers by the due date applicable to the return/scheme. was not demonstrated or did not operate effectively for the sample tested.</x:v>
      </x:c>
      <x:c r="D825" s="33" t="str">
        <x:v>High</x:v>
      </x:c>
      <x:c r="E825" s="33" t="str">
        <x:v>Implement the requirement, correct affected records or transactions, and retain evidence of operating effectiveness: Discharge self-assessed GST, interest and other liability through the electronic ledgers by the due date applicable to the return/scheme.</x:v>
      </x:c>
      <x:c r="F825" s="33" t="str">
        <x:v>CA052</x:v>
      </x:c>
      <x:c r="G825" s="33" t="str">
        <x:v>P4_VALIDATION</x:v>
      </x:c>
      <x:c r="H825" s="33" t="str">
        <x:v>Yes</x:v>
      </x:c>
      <x:c r="I825" s="33" t="str">
        <x:v>P-4 chain-closure observation template.</x:v>
      </x:c>
    </x:row>
    <x:row r="826">
      <x:c r="A826" s="33" t="str">
        <x:v>P4OBS052</x:v>
      </x:c>
      <x:c r="B826" s="33" t="str">
        <x:v>AUD147</x:v>
      </x:c>
      <x:c r="C826" s="33" t="str">
        <x:v>File the return of income for Tax Year 2026-27 onward under section 263 of the Income-tax Act, 2025 using the applicable Income-tax Rules, 2026 form and due date. was not demonstrated or did not operate effectively for the sample tested.</x:v>
      </x:c>
      <x:c r="D826" s="33" t="str">
        <x:v>High</x:v>
      </x:c>
      <x:c r="E826" s="33" t="str">
        <x:v>Implement the requirement, correct affected records or transactions, and retain evidence of operating effectiveness: File the return of income for Tax Year 2026-27 onward under section 263 of the Income-tax Act, 2025 using the applicable Income-tax Rules, 2026 form and due date.</x:v>
      </x:c>
      <x:c r="F826" s="33" t="str">
        <x:v>CA053</x:v>
      </x:c>
      <x:c r="G826" s="33" t="str">
        <x:v>P4_VALIDATION</x:v>
      </x:c>
      <x:c r="H826" s="33" t="str">
        <x:v>Yes</x:v>
      </x:c>
      <x:c r="I826" s="33" t="str">
        <x:v>P-4 chain-closure observation template.</x:v>
      </x:c>
    </x:row>
    <x:row r="827">
      <x:c r="A827" s="33" t="str">
        <x:v>P4OBS053</x:v>
      </x:c>
      <x:c r="B827" s="33" t="str">
        <x:v>AUD149</x:v>
      </x:c>
      <x:c r="C827" s="33" t="str">
        <x:v>Deduct, deposit and report salary withholding under the Income-tax Act, 2025 and Income-tax Rules, 2026 for payments governed by the new Act. was not demonstrated or did not operate effectively for the sample tested.</x:v>
      </x:c>
      <x:c r="D827" s="33" t="str">
        <x:v>High</x:v>
      </x:c>
      <x:c r="E827" s="33" t="str">
        <x:v>Implement the requirement, correct affected records or transactions, and retain evidence of operating effectiveness: Deduct, deposit and report salary withholding under the Income-tax Act, 2025 and Income-tax Rules, 2026 for payments governed by the new Act.</x:v>
      </x:c>
      <x:c r="F827" s="33" t="str">
        <x:v>CA053</x:v>
      </x:c>
      <x:c r="G827" s="33" t="str">
        <x:v>P4_VALIDATION</x:v>
      </x:c>
      <x:c r="H827" s="33" t="str">
        <x:v>Yes</x:v>
      </x:c>
      <x:c r="I827" s="33" t="str">
        <x:v>P-4 chain-closure observation template.</x:v>
      </x:c>
    </x:row>
    <x:row r="828">
      <x:c r="A828" s="33" t="str">
        <x:v>P4OBS054</x:v>
      </x:c>
      <x:c r="B828" s="33" t="str">
        <x:v>AUD151</x:v>
      </x:c>
      <x:c r="C828" s="33" t="str">
        <x:v>For applicable payments/receipts on or after 1 April 2026, use the relevant section 393/394 table item, deduct/collect, deposit and report under the current Rules. was not demonstrated or did not operate effectively for the sample tested.</x:v>
      </x:c>
      <x:c r="D828" s="33" t="str">
        <x:v>High</x:v>
      </x:c>
      <x:c r="E828" s="33" t="str">
        <x:v>Implement the requirement, correct affected records or transactions, and retain evidence of operating effectiveness: For applicable payments/receipts on or after 1 April 2026, use the relevant section 393/394 table item, deduct/collect, deposit and report under the current Rules.</x:v>
      </x:c>
      <x:c r="F828" s="33" t="str">
        <x:v>CA053</x:v>
      </x:c>
      <x:c r="G828" s="33" t="str">
        <x:v>P4_VALIDATION</x:v>
      </x:c>
      <x:c r="H828" s="33" t="str">
        <x:v>Yes</x:v>
      </x:c>
      <x:c r="I828" s="33" t="str">
        <x:v>P-4 chain-closure observation template.</x:v>
      </x:c>
    </x:row>
    <x:row r="829">
      <x:c r="A829" s="33" t="str">
        <x:v>P4OBS055</x:v>
      </x:c>
      <x:c r="B829" s="33" t="str">
        <x:v>AUD153</x:v>
      </x:c>
      <x:c r="C829" s="33" t="str">
        <x:v>Maintain the books and documents required by the Income-tax Act, 2025 and Rules, 2026 for the entity/business profile. was not demonstrated or did not operate effectively for the sample tested.</x:v>
      </x:c>
      <x:c r="D829" s="33" t="str">
        <x:v>High</x:v>
      </x:c>
      <x:c r="E829" s="33" t="str">
        <x:v>Implement the requirement, correct affected records or transactions, and retain evidence of operating effectiveness: Maintain the books and documents required by the Income-tax Act, 2025 and Rules, 2026 for the entity/business profile.</x:v>
      </x:c>
      <x:c r="F829" s="33" t="str">
        <x:v>CA054</x:v>
      </x:c>
      <x:c r="G829" s="33" t="str">
        <x:v>P4_VALIDATION</x:v>
      </x:c>
      <x:c r="H829" s="33" t="str">
        <x:v>Yes</x:v>
      </x:c>
      <x:c r="I829" s="33" t="str">
        <x:v>P-4 chain-closure observation template.</x:v>
      </x:c>
    </x:row>
    <x:row r="830">
      <x:c r="A830" s="33" t="str">
        <x:v>P4OBS056</x:v>
      </x:c>
      <x:c r="B830" s="33" t="str">
        <x:v>AUD155</x:v>
      </x:c>
      <x:c r="C830" s="33" t="str">
        <x:v>Obtain and furnish a tax-audit report only where the current statutory threshold/condition applies. was not demonstrated or did not operate effectively for the sample tested.</x:v>
      </x:c>
      <x:c r="D830" s="33" t="str">
        <x:v>High</x:v>
      </x:c>
      <x:c r="E830" s="33" t="str">
        <x:v>Implement the requirement, correct affected records or transactions, and retain evidence of operating effectiveness: Obtain and furnish a tax-audit report only where the current statutory threshold/condition applies.</x:v>
      </x:c>
      <x:c r="F830" s="33" t="str">
        <x:v>CA054</x:v>
      </x:c>
      <x:c r="G830" s="33" t="str">
        <x:v>P4_VALIDATION</x:v>
      </x:c>
      <x:c r="H830" s="33" t="str">
        <x:v>Yes</x:v>
      </x:c>
      <x:c r="I830" s="33" t="str">
        <x:v>P-4 chain-closure observation template.</x:v>
      </x:c>
    </x:row>
    <x:row r="831">
      <x:c r="A831" s="33" t="str">
        <x:v>P4OBS057</x:v>
      </x:c>
      <x:c r="B831" s="33" t="str">
        <x:v>AUD156</x:v>
      </x:c>
      <x:c r="C831" s="33" t="str">
        <x:v>Obtain and furnish a tax-audit report only where the current statutory threshold/condition applies. was not demonstrated or did not operate effectively for the sample tested.</x:v>
      </x:c>
      <x:c r="D831" s="33" t="str">
        <x:v>High</x:v>
      </x:c>
      <x:c r="E831" s="33" t="str">
        <x:v>Implement the requirement, correct affected records or transactions, and retain evidence of operating effectiveness: Obtain and furnish a tax-audit report only where the current statutory threshold/condition applies.</x:v>
      </x:c>
      <x:c r="F831" s="33" t="str">
        <x:v>CA054</x:v>
      </x:c>
      <x:c r="G831" s="33" t="str">
        <x:v>P4_VALIDATION</x:v>
      </x:c>
      <x:c r="H831" s="33" t="str">
        <x:v>Yes</x:v>
      </x:c>
      <x:c r="I831" s="33" t="str">
        <x:v>P-4 chain-closure observation template.</x:v>
      </x:c>
    </x:row>
    <x:row r="832">
      <x:c r="A832" s="33" t="str">
        <x:v>P4OBS058</x:v>
      </x:c>
      <x:c r="B832" s="33" t="str">
        <x:v>AUD157</x:v>
      </x:c>
      <x:c r="C832" s="33" t="str">
        <x:v>Obtain and furnish a tax-audit report only where the current statutory threshold/condition applies. was not demonstrated or did not operate effectively for the sample tested.</x:v>
      </x:c>
      <x:c r="D832" s="33" t="str">
        <x:v>High</x:v>
      </x:c>
      <x:c r="E832" s="33" t="str">
        <x:v>Implement the requirement, correct affected records or transactions, and retain evidence of operating effectiveness: Obtain and furnish a tax-audit report only where the current statutory threshold/condition applies.</x:v>
      </x:c>
      <x:c r="F832" s="33" t="str">
        <x:v>CA054</x:v>
      </x:c>
      <x:c r="G832" s="33" t="str">
        <x:v>P4_VALIDATION</x:v>
      </x:c>
      <x:c r="H832" s="33" t="str">
        <x:v>Yes</x:v>
      </x:c>
      <x:c r="I832" s="33" t="str">
        <x:v>P-4 chain-closure observation template.</x:v>
      </x:c>
    </x:row>
    <x:row r="833">
      <x:c r="A833" s="33" t="str">
        <x:v>P4OBS059</x:v>
      </x:c>
      <x:c r="B833" s="33" t="str">
        <x:v>AUD159</x:v>
      </x:c>
      <x:c r="C833" s="33" t="str">
        <x:v>Before dispensing Schedule H/H1/X, verify the prescription is written, signed and dated, identifies the patient, amount and dose, follows repeat directions, is seller-annotated, and is not substituted. was not demonstrated or did not operate effectively for the sample tested.</x:v>
      </x:c>
      <x:c r="D833" s="33" t="str">
        <x:v>Critical</x:v>
      </x:c>
      <x:c r="E833" s="33" t="str">
        <x:v>Implement the requirement, correct affected records or transactions, and retain evidence of operating effectiveness: Before dispensing Schedule H/H1/X, verify the prescription is written, signed and dated, identifies the patient, amount and dose, follows repeat directions, is seller-annotated, and is not substituted.</x:v>
      </x:c>
      <x:c r="F833" s="33" t="str">
        <x:v>CA015</x:v>
      </x:c>
      <x:c r="G833" s="33" t="str">
        <x:v>P4_VALIDATION</x:v>
      </x:c>
      <x:c r="H833" s="33" t="str">
        <x:v>Yes</x:v>
      </x:c>
      <x:c r="I833" s="33" t="str">
        <x:v>P-4 chain-closure observation template.</x:v>
      </x:c>
    </x:row>
    <x:row r="834">
      <x:c r="A834" s="33" t="str">
        <x:v>P4OBS060</x:v>
      </x:c>
      <x:c r="B834" s="33" t="str">
        <x:v>AUD161</x:v>
      </x:c>
      <x:c r="C834" s="33" t="str">
        <x:v>Ensure compounding and non-wholesale supply of a drug on prescription is performed by or under the personal supervision of a registered pharmacist. was not demonstrated or did not operate effectively for the sample tested.</x:v>
      </x:c>
      <x:c r="D834" s="33" t="str">
        <x:v>Critical</x:v>
      </x:c>
      <x:c r="E834" s="33" t="str">
        <x:v>Implement the requirement, correct affected records or transactions, and retain evidence of operating effectiveness: Ensure compounding and non-wholesale supply of a drug on prescription is performed by or under the personal supervision of a registered pharmacist.</x:v>
      </x:c>
      <x:c r="F834" s="33" t="str">
        <x:v>CA003</x:v>
      </x:c>
      <x:c r="G834" s="33" t="str">
        <x:v>P4_VALIDATION</x:v>
      </x:c>
      <x:c r="H834" s="33" t="str">
        <x:v>Yes</x:v>
      </x:c>
      <x:c r="I834" s="33" t="str">
        <x:v>P-4 chain-closure observation template.</x:v>
      </x:c>
    </x:row>
    <x:row r="835">
      <x:c r="A835" s="33" t="str">
        <x:v>P4OBS061</x:v>
      </x:c>
      <x:c r="B835" s="33" t="str">
        <x:v>AUD163</x:v>
      </x:c>
      <x:c r="C835" s="33" t="str">
        <x:v>Review prescriptions for legality, completeness and clinical appropriateness before dispensing medicines. was not demonstrated or did not operate effectively for the sample tested.</x:v>
      </x:c>
      <x:c r="D835" s="33" t="str">
        <x:v>High</x:v>
      </x:c>
      <x:c r="E835" s="33" t="str">
        <x:v>Implement the requirement, correct affected records or transactions, and retain evidence of operating effectiveness: Review prescriptions for legality, completeness and clinical appropriateness before dispensing medicines.</x:v>
      </x:c>
      <x:c r="F835" s="33" t="str">
        <x:v>CA015</x:v>
      </x:c>
      <x:c r="G835" s="33" t="str">
        <x:v>P4_VALIDATION</x:v>
      </x:c>
      <x:c r="H835" s="33" t="str">
        <x:v>Yes</x:v>
      </x:c>
      <x:c r="I835" s="33" t="str">
        <x:v>P-4 chain-closure observation template.</x:v>
      </x:c>
    </x:row>
    <x:row r="836">
      <x:c r="A836" s="33" t="str">
        <x:v>P4OBS062</x:v>
      </x:c>
      <x:c r="B836" s="33" t="str">
        <x:v>AUD165</x:v>
      </x:c>
      <x:c r="C836" s="33" t="str">
        <x:v>Produce Rule 65 registers and records to an Inspector on demand and preserve them for at least two years from the last entry unless a specific three-year or transaction-based period applies. was not demonstrated or did not operate effectively for the sample tested.</x:v>
      </x:c>
      <x:c r="D836" s="33" t="str">
        <x:v>High</x:v>
      </x:c>
      <x:c r="E836" s="33" t="str">
        <x:v>Implement the requirement, correct affected records or transactions, and retain evidence of operating effectiveness: Produce Rule 65 registers and records to an Inspector on demand and preserve them for at least two years from the last entry unless a specific three-year or transaction-based period applies.</x:v>
      </x:c>
      <x:c r="F836" s="33" t="str">
        <x:v>CA020</x:v>
      </x:c>
      <x:c r="G836" s="33" t="str">
        <x:v>P4_VALIDATION</x:v>
      </x:c>
      <x:c r="H836" s="33" t="str">
        <x:v>Yes</x:v>
      </x:c>
      <x:c r="I836" s="33" t="str">
        <x:v>P-4 chain-closure observation template.</x:v>
      </x:c>
    </x:row>
    <x:row r="837">
      <x:c r="A837" s="33" t="str">
        <x:v>P4OBS063</x:v>
      </x:c>
      <x:c r="B837" s="33" t="str">
        <x:v>AUD167</x:v>
      </x:c>
      <x:c r="C837" s="33" t="str">
        <x:v>Perform a documented risk-based review of Schedule H1/X dispensing and inventory movements to identify unusual patterns; this is an internal best-practice control, not a statutory monthly register duty. was not demonstrated or did not operate effectively for the sample tested.</x:v>
      </x:c>
      <x:c r="D837" s="33" t="str">
        <x:v>Medium</x:v>
      </x:c>
      <x:c r="E837" s="33" t="str">
        <x:v>Implement the requirement, correct affected records or transactions, and retain evidence of operating effectiveness: Perform a documented risk-based review of Schedule H1/X dispensing and inventory movements to identify unusual patterns; this is an internal best-practice control, not a statutory monthly register duty.</x:v>
      </x:c>
      <x:c r="F837" s="33" t="str">
        <x:v>CA012</x:v>
      </x:c>
      <x:c r="G837" s="33" t="str">
        <x:v>P4_VALIDATION</x:v>
      </x:c>
      <x:c r="H837" s="33" t="str">
        <x:v>Yes</x:v>
      </x:c>
      <x:c r="I837" s="33" t="str">
        <x:v>P-4 chain-closure observation template.</x:v>
      </x:c>
    </x:row>
    <x:row r="838">
      <x:c r="A838" s="33" t="str">
        <x:v>P4OBS064</x:v>
      </x:c>
      <x:c r="B838" s="33" t="str">
        <x:v>AUD169</x:v>
      </x:c>
      <x:c r="C838" s="33" t="str">
        <x:v>Design consumer-facing sale and service practices to avoid unfair trade practices and respect the statutory consumer-rights baseline. was not demonstrated or did not operate effectively for the sample tested.</x:v>
      </x:c>
      <x:c r="D838" s="33" t="str">
        <x:v>High</x:v>
      </x:c>
      <x:c r="E838" s="33" t="str">
        <x:v>Implement the requirement, correct affected records or transactions, and retain evidence of operating effectiveness: Design consumer-facing sale and service practices to avoid unfair trade practices and respect the statutory consumer-rights baseline.</x:v>
      </x:c>
      <x:c r="F838" s="33" t="str">
        <x:v>CA062</x:v>
      </x:c>
      <x:c r="G838" s="33" t="str">
        <x:v>P4_VALIDATION</x:v>
      </x:c>
      <x:c r="H838" s="33" t="str">
        <x:v>Yes</x:v>
      </x:c>
      <x:c r="I838" s="33" t="str">
        <x:v>P-4 chain-closure observation template.</x:v>
      </x:c>
    </x:row>
    <x:row r="839">
      <x:c r="A839" s="33" t="str">
        <x:v>P4OBS065</x:v>
      </x:c>
      <x:c r="B839" s="33" t="str">
        <x:v>AUD171</x:v>
      </x:c>
      <x:c r="C839" s="33" t="str">
        <x:v>Respond to a lawful CCPA investigation and implement an applicable recall, reimbursement, discontinuance or modification order. was not demonstrated or did not operate effectively for the sample tested.</x:v>
      </x:c>
      <x:c r="D839" s="33" t="str">
        <x:v>High</x:v>
      </x:c>
      <x:c r="E839" s="33" t="str">
        <x:v>Implement the requirement, correct affected records or transactions, and retain evidence of operating effectiveness: Respond to a lawful CCPA investigation and implement an applicable recall, reimbursement, discontinuance or modification order.</x:v>
      </x:c>
      <x:c r="F839" s="33" t="str">
        <x:v>CA062</x:v>
      </x:c>
      <x:c r="G839" s="33" t="str">
        <x:v>P4_VALIDATION</x:v>
      </x:c>
      <x:c r="H839" s="33" t="str">
        <x:v>Yes</x:v>
      </x:c>
      <x:c r="I839" s="33" t="str">
        <x:v>P-4 chain-closure observation template.</x:v>
      </x:c>
    </x:row>
    <x:row r="840">
      <x:c r="A840" s="33" t="str">
        <x:v>P4OBS066</x:v>
      </x:c>
      <x:c r="B840" s="33" t="str">
        <x:v>AUD173</x:v>
      </x:c>
      <x:c r="C840" s="33" t="str">
        <x:v>Do not engage in a practice falling within section 2(47), including false representations, deceptive price claims or refusal to issue a bill where required. was not demonstrated or did not operate effectively for the sample tested.</x:v>
      </x:c>
      <x:c r="D840" s="33" t="str">
        <x:v>High</x:v>
      </x:c>
      <x:c r="E840" s="33" t="str">
        <x:v>Implement the requirement, correct affected records or transactions, and retain evidence of operating effectiveness: Do not engage in a practice falling within section 2(47), including false representations, deceptive price claims or refusal to issue a bill where required.</x:v>
      </x:c>
      <x:c r="F840" s="33" t="str">
        <x:v>CA062</x:v>
      </x:c>
      <x:c r="G840" s="33" t="str">
        <x:v>P4_VALIDATION</x:v>
      </x:c>
      <x:c r="H840" s="33" t="str">
        <x:v>Yes</x:v>
      </x:c>
      <x:c r="I840" s="33" t="str">
        <x:v>P-4 chain-closure observation template.</x:v>
      </x:c>
    </x:row>
    <x:row r="841">
      <x:c r="A841" s="33" t="str">
        <x:v>P4OBS067</x:v>
      </x:c>
      <x:c r="B841" s="33" t="str">
        <x:v>AUD175</x:v>
      </x:c>
      <x:c r="C841" s="33" t="str">
        <x:v>Do not cause a false or misleading advertisement and comply with any CCPA discontinuance/modification direction. was not demonstrated or did not operate effectively for the sample tested.</x:v>
      </x:c>
      <x:c r="D841" s="33" t="str">
        <x:v>High</x:v>
      </x:c>
      <x:c r="E841" s="33" t="str">
        <x:v>Implement the requirement, correct affected records or transactions, and retain evidence of operating effectiveness: Do not cause a false or misleading advertisement and comply with any CCPA discontinuance/modification direction.</x:v>
      </x:c>
      <x:c r="F841" s="33" t="str">
        <x:v>CA064</x:v>
      </x:c>
      <x:c r="G841" s="33" t="str">
        <x:v>P4_VALIDATION</x:v>
      </x:c>
      <x:c r="H841" s="33" t="str">
        <x:v>Yes</x:v>
      </x:c>
      <x:c r="I841" s="33" t="str">
        <x:v>P-4 chain-closure observation template.</x:v>
      </x:c>
    </x:row>
    <x:row r="842">
      <x:c r="A842" s="33" t="str">
        <x:v>P4OBS068</x:v>
      </x:c>
      <x:c r="B842" s="33" t="str">
        <x:v>AUD177</x:v>
      </x:c>
      <x:c r="C842" s="33" t="str">
        <x:v>If operating in an e-commerce role, display required identity/seller information, appoint the prescribed grievance/nodal contact and operate the complaint mechanism under Rules 4-5. was not demonstrated or did not operate effectively for the sample tested.</x:v>
      </x:c>
      <x:c r="D842" s="33" t="str">
        <x:v>High</x:v>
      </x:c>
      <x:c r="E842" s="33" t="str">
        <x:v>Implement the requirement, correct affected records or transactions, and retain evidence of operating effectiveness: If operating in an e-commerce role, display required identity/seller information, appoint the prescribed grievance/nodal contact and operate the complaint mechanism under Rules 4-5.</x:v>
      </x:c>
      <x:c r="F842" s="33" t="str">
        <x:v>CA065</x:v>
      </x:c>
      <x:c r="G842" s="33" t="str">
        <x:v>P4_VALIDATION</x:v>
      </x:c>
      <x:c r="H842" s="33" t="str">
        <x:v>Yes</x:v>
      </x:c>
      <x:c r="I842" s="33" t="str">
        <x:v>P-4 chain-closure observation template.</x:v>
      </x:c>
    </x:row>
    <x:row r="843">
      <x:c r="A843" s="33" t="str">
        <x:v>P4OBS069</x:v>
      </x:c>
      <x:c r="B843" s="33" t="str">
        <x:v>AUD179</x:v>
      </x:c>
      <x:c r="C843" s="33" t="str">
        <x:v>Where a regulated weighing/measuring instrument is used, obtain verification/stamping and keep it valid before transactional use. was not demonstrated or did not operate effectively for the sample tested.</x:v>
      </x:c>
      <x:c r="D843" s="33" t="str">
        <x:v>High</x:v>
      </x:c>
      <x:c r="E843" s="33" t="str">
        <x:v>Implement the requirement, correct affected records or transactions, and retain evidence of operating effectiveness: Where a regulated weighing/measuring instrument is used, obtain verification/stamping and keep it valid before transactional use.</x:v>
      </x:c>
      <x:c r="F843" s="33" t="str">
        <x:v>CA066</x:v>
      </x:c>
      <x:c r="G843" s="33" t="str">
        <x:v>P4_VALIDATION</x:v>
      </x:c>
      <x:c r="H843" s="33" t="str">
        <x:v>Yes</x:v>
      </x:c>
      <x:c r="I843" s="33" t="str">
        <x:v>P-4 chain-closure observation template.</x:v>
      </x:c>
    </x:row>
    <x:row r="844">
      <x:c r="A844" s="33" t="str">
        <x:v>P4OBS070</x:v>
      </x:c>
      <x:c r="B844" s="33" t="str">
        <x:v>AUD181</x:v>
      </x:c>
      <x:c r="C844" s="33" t="str">
        <x:v>Do not use a non-standard or required-but-unverified weight/measure; retain the verification certificate/stamp evidence. was not demonstrated or did not operate effectively for the sample tested.</x:v>
      </x:c>
      <x:c r="D844" s="33" t="str">
        <x:v>High</x:v>
      </x:c>
      <x:c r="E844" s="33" t="str">
        <x:v>Implement the requirement, correct affected records or transactions, and retain evidence of operating effectiveness: Do not use a non-standard or required-but-unverified weight/measure; retain the verification certificate/stamp evidence.</x:v>
      </x:c>
      <x:c r="F844" s="33" t="str">
        <x:v>CA068</x:v>
      </x:c>
      <x:c r="G844" s="33" t="str">
        <x:v>P4_VALIDATION</x:v>
      </x:c>
      <x:c r="H844" s="33" t="str">
        <x:v>Yes</x:v>
      </x:c>
      <x:c r="I844" s="33" t="str">
        <x:v>P-4 chain-closure observation template.</x:v>
      </x:c>
    </x:row>
    <x:row r="845">
      <x:c r="A845" s="33" t="str">
        <x:v>P4OBS071</x:v>
      </x:c>
      <x:c r="B845" s="33" t="str">
        <x:v>AUD183</x:v>
      </x:c>
      <x:c r="C845" s="33" t="str">
        <x:v>Permit lawful legal-metrology inspection and produce the covered instrument and records when required by an authorised officer. was not demonstrated or did not operate effectively for the sample tested.</x:v>
      </x:c>
      <x:c r="D845" s="33" t="str">
        <x:v>High</x:v>
      </x:c>
      <x:c r="E845" s="33" t="str">
        <x:v>Implement the requirement, correct affected records or transactions, and retain evidence of operating effectiveness: Permit lawful legal-metrology inspection and produce the covered instrument and records when required by an authorised officer.</x:v>
      </x:c>
      <x:c r="F845" s="33" t="str">
        <x:v>CA066</x:v>
      </x:c>
      <x:c r="G845" s="33" t="str">
        <x:v>P4_VALIDATION</x:v>
      </x:c>
      <x:c r="H845" s="33" t="str">
        <x:v>Yes</x:v>
      </x:c>
      <x:c r="I845" s="33" t="str">
        <x:v>P-4 chain-closure observation template.</x:v>
      </x:c>
    </x:row>
    <x:row r="846">
      <x:c r="A846" s="33" t="str">
        <x:v>P4OBS072</x:v>
      </x:c>
      <x:c r="B846" s="33" t="str">
        <x:v>AUD185</x:v>
      </x:c>
      <x:c r="C846" s="33" t="str">
        <x:v>Do not sell, distribute, deliver, display or store for sale a pre-packaged commodity unless the package complies with the Act and Rules. was not demonstrated or did not operate effectively for the sample tested.</x:v>
      </x:c>
      <x:c r="D846" s="33" t="str">
        <x:v>High</x:v>
      </x:c>
      <x:c r="E846" s="33" t="str">
        <x:v>Implement the requirement, correct affected records or transactions, and retain evidence of operating effectiveness: Do not sell, distribute, deliver, display or store for sale a pre-packaged commodity unless the package complies with the Act and Rules.</x:v>
      </x:c>
      <x:c r="F846" s="33" t="str">
        <x:v>CA067</x:v>
      </x:c>
      <x:c r="G846" s="33" t="str">
        <x:v>P4_VALIDATION</x:v>
      </x:c>
      <x:c r="H846" s="33" t="str">
        <x:v>Yes</x:v>
      </x:c>
      <x:c r="I846" s="33" t="str">
        <x:v>P-4 chain-closure observation template.</x:v>
      </x:c>
    </x:row>
    <x:row r="847">
      <x:c r="A847" s="33" t="str">
        <x:v>P4OBS073</x:v>
      </x:c>
      <x:c r="B847" s="33" t="str">
        <x:v>AUD187</x:v>
      </x:c>
      <x:c r="C847" s="33" t="str">
        <x:v>Do not sell an applicable packaged commodity above its declared retail sale price. was not demonstrated or did not operate effectively for the sample tested.</x:v>
      </x:c>
      <x:c r="D847" s="33" t="str">
        <x:v>High</x:v>
      </x:c>
      <x:c r="E847" s="33" t="str">
        <x:v>Implement the requirement, correct affected records or transactions, and retain evidence of operating effectiveness: Do not sell an applicable packaged commodity above its declared retail sale price.</x:v>
      </x:c>
      <x:c r="F847" s="33" t="str">
        <x:v>CA067</x:v>
      </x:c>
      <x:c r="G847" s="33" t="str">
        <x:v>P4_VALIDATION</x:v>
      </x:c>
      <x:c r="H847" s="33" t="str">
        <x:v>Yes</x:v>
      </x:c>
      <x:c r="I847" s="33" t="str">
        <x:v>P-4 chain-closure observation template.</x:v>
      </x:c>
    </x:row>
    <x:row r="848">
      <x:c r="A848" s="33" t="str">
        <x:v>P4OBS074</x:v>
      </x:c>
      <x:c r="B848" s="33" t="str">
        <x:v>AUD189</x:v>
      </x:c>
      <x:c r="C848" s="33" t="str">
        <x:v>For e-commerce sale of applicable pre-packaged commodities, display the prescribed Rule 6 declarations on the digital/electronic network. was not demonstrated or did not operate effectively for the sample tested.</x:v>
      </x:c>
      <x:c r="D848" s="33" t="str">
        <x:v>High</x:v>
      </x:c>
      <x:c r="E848" s="33" t="str">
        <x:v>Implement the requirement, correct affected records or transactions, and retain evidence of operating effectiveness: For e-commerce sale of applicable pre-packaged commodities, display the prescribed Rule 6 declarations on the digital/electronic network.</x:v>
      </x:c>
      <x:c r="F848" s="33" t="str">
        <x:v>CA031</x:v>
      </x:c>
      <x:c r="G848" s="33" t="str">
        <x:v>P4_VALIDATION</x:v>
      </x:c>
      <x:c r="H848" s="33" t="str">
        <x:v>Yes</x:v>
      </x:c>
      <x:c r="I848" s="33" t="str">
        <x:v>P-4 chain-closure observation template.</x:v>
      </x:c>
    </x:row>
    <x:row r="849">
      <x:c r="A849" s="33" t="str">
        <x:v>P4OBS075</x:v>
      </x:c>
      <x:c r="B849" s="33" t="str">
        <x:v>AUD191</x:v>
      </x:c>
      <x:c r="C849" s="33" t="str">
        <x:v>If handling SPDI, publish the prescribed privacy policy and operate a documented reasonable-security programme/standard with periodic review. was not demonstrated or did not operate effectively for the sample tested.</x:v>
      </x:c>
      <x:c r="D849" s="33" t="str">
        <x:v>High</x:v>
      </x:c>
      <x:c r="E849" s="33" t="str">
        <x:v>Implement the requirement, correct affected records or transactions, and retain evidence of operating effectiveness: If handling SPDI, publish the prescribed privacy policy and operate a documented reasonable-security programme/standard with periodic review.</x:v>
      </x:c>
      <x:c r="F849" s="33" t="str">
        <x:v>CA071</x:v>
      </x:c>
      <x:c r="G849" s="33" t="str">
        <x:v>P4_VALIDATION</x:v>
      </x:c>
      <x:c r="H849" s="33" t="str">
        <x:v>Yes</x:v>
      </x:c>
      <x:c r="I849" s="33" t="str">
        <x:v>P-4 chain-closure observation template.</x:v>
      </x:c>
    </x:row>
    <x:row r="850">
      <x:c r="A850" s="33" t="str">
        <x:v>P4OBS076</x:v>
      </x:c>
      <x:c r="B850" s="33" t="str">
        <x:v>AUD193</x:v>
      </x:c>
      <x:c r="C850" s="33" t="str">
        <x:v>For SPDI, obtain consent, give required collection information, limit purpose/retention and provide review/correction mechanisms. was not demonstrated or did not operate effectively for the sample tested.</x:v>
      </x:c>
      <x:c r="D850" s="33" t="str">
        <x:v>High</x:v>
      </x:c>
      <x:c r="E850" s="33" t="str">
        <x:v>Implement the requirement, correct affected records or transactions, and retain evidence of operating effectiveness: For SPDI, obtain consent, give required collection information, limit purpose/retention and provide review/correction mechanisms.</x:v>
      </x:c>
      <x:c r="F850" s="33" t="str">
        <x:v>CA072</x:v>
      </x:c>
      <x:c r="G850" s="33" t="str">
        <x:v>P4_VALIDATION</x:v>
      </x:c>
      <x:c r="H850" s="33" t="str">
        <x:v>Yes</x:v>
      </x:c>
      <x:c r="I850" s="33" t="str">
        <x:v>P-4 chain-closure observation template.</x:v>
      </x:c>
    </x:row>
    <x:row r="851">
      <x:c r="A851" s="33" t="str">
        <x:v>P4OBS077</x:v>
      </x:c>
      <x:c r="B851" s="33" t="str">
        <x:v>AUD195</x:v>
      </x:c>
      <x:c r="C851" s="33" t="str">
        <x:v>Do not disclose SPDI without prior permission unless a Rule 6 exception applies; prevent unlawful contractual disclosure. was not demonstrated or did not operate effectively for the sample tested.</x:v>
      </x:c>
      <x:c r="D851" s="33" t="str">
        <x:v>High</x:v>
      </x:c>
      <x:c r="E851" s="33" t="str">
        <x:v>Implement the requirement, correct affected records or transactions, and retain evidence of operating effectiveness: Do not disclose SPDI without prior permission unless a Rule 6 exception applies; prevent unlawful contractual disclosure.</x:v>
      </x:c>
      <x:c r="F851" s="33" t="str">
        <x:v>CA071</x:v>
      </x:c>
      <x:c r="G851" s="33" t="str">
        <x:v>P4_VALIDATION</x:v>
      </x:c>
      <x:c r="H851" s="33" t="str">
        <x:v>Yes</x:v>
      </x:c>
      <x:c r="I851" s="33" t="str">
        <x:v>P-4 chain-closure observation template.</x:v>
      </x:c>
    </x:row>
    <x:row r="852">
      <x:c r="A852" s="33" t="str">
        <x:v>P4OBS078</x:v>
      </x:c>
      <x:c r="B852" s="33" t="str">
        <x:v>AUD197</x:v>
      </x:c>
      <x:c r="C852" s="33" t="str">
        <x:v>Apply intermediary due diligence only if the platform legally qualifies as an intermediary under current IT law. was not demonstrated or did not operate effectively for the sample tested.</x:v>
      </x:c>
      <x:c r="D852" s="33" t="str">
        <x:v>High</x:v>
      </x:c>
      <x:c r="E852" s="33" t="str">
        <x:v>Implement the requirement, correct affected records or transactions, and retain evidence of operating effectiveness: Apply intermediary due diligence only if the platform legally qualifies as an intermediary under current IT law.</x:v>
      </x:c>
      <x:c r="F852" s="33" t="str">
        <x:v>CA069</x:v>
      </x:c>
      <x:c r="G852" s="33" t="str">
        <x:v>P4_VALIDATION</x:v>
      </x:c>
      <x:c r="H852" s="33" t="str">
        <x:v>Yes</x:v>
      </x:c>
      <x:c r="I852" s="33" t="str">
        <x:v>P-4 chain-closure observation template.</x:v>
      </x:c>
    </x:row>
    <x:row r="853">
      <x:c r="A853" s="33" t="str">
        <x:v>P4OBS079</x:v>
      </x:c>
      <x:c r="B853" s="33" t="str">
        <x:v>AUD211</x:v>
      </x:c>
      <x:c r="C853" s="33" t="str">
        <x:v>Hold the applicable Drugs Rules sale licence or, for an exclusive medical-device seller without that licence, obtain and maintain Form MD-42 registration. was not demonstrated or did not operate effectively for the sample tested.</x:v>
      </x:c>
      <x:c r="D853" s="33" t="str">
        <x:v>High</x:v>
      </x:c>
      <x:c r="E853" s="33" t="str">
        <x:v>Implement the requirement, correct affected records or transactions, and retain evidence of operating effectiveness: Hold the applicable Drugs Rules sale licence or, for an exclusive medical-device seller without that licence, obtain and maintain Form MD-42 registration.</x:v>
      </x:c>
      <x:c r="F853" s="33" t="str">
        <x:v>CA009</x:v>
      </x:c>
      <x:c r="G853" s="33" t="str">
        <x:v>P4_VALIDATION</x:v>
      </x:c>
      <x:c r="H853" s="33" t="str">
        <x:v>Yes</x:v>
      </x:c>
      <x:c r="I853" s="33" t="str">
        <x:v>P-4 chain-closure observation template.</x:v>
      </x:c>
    </x:row>
    <x:row r="854">
      <x:c r="A854" s="33" t="str">
        <x:v>P4OBS080</x:v>
      </x:c>
      <x:c r="B854" s="33" t="str">
        <x:v>AUD213</x:v>
      </x:c>
      <x:c r="C854" s="33" t="str">
        <x:v>Display the medical-device registration where applicable, maintain adequate premises and specified storage, and procure devices only from authorized sources. was not demonstrated or did not operate effectively for the sample tested.</x:v>
      </x:c>
      <x:c r="D854" s="33" t="str">
        <x:v>High</x:v>
      </x:c>
      <x:c r="E854" s="33" t="str">
        <x:v>Implement the requirement, correct affected records or transactions, and retain evidence of operating effectiveness: Display the medical-device registration where applicable, maintain adequate premises and specified storage, and procure devices only from authorized sources.</x:v>
      </x:c>
      <x:c r="F854" s="33" t="str">
        <x:v>CA009</x:v>
      </x:c>
      <x:c r="G854" s="33" t="str">
        <x:v>P4_VALIDATION</x:v>
      </x:c>
      <x:c r="H854" s="33" t="str">
        <x:v>Yes</x:v>
      </x:c>
      <x:c r="I854" s="33" t="str">
        <x:v>P-4 chain-closure observation template.</x:v>
      </x:c>
    </x:row>
    <x:row r="855">
      <x:c r="A855" s="33" t="str">
        <x:v>P4OBS081</x:v>
      </x:c>
      <x:c r="B855" s="33" t="str">
        <x:v>AUD215</x:v>
      </x:c>
      <x:c r="C855" s="33" t="str">
        <x:v>Maintain medical-device purchase and sale records, provide inspection access, retain records for two years, and maintain the prescribed inspection book. was not demonstrated or did not operate effectively for the sample tested.</x:v>
      </x:c>
      <x:c r="D855" s="33" t="str">
        <x:v>High</x:v>
      </x:c>
      <x:c r="E855" s="33" t="str">
        <x:v>Implement the requirement, correct affected records or transactions, and retain evidence of operating effectiveness: Maintain medical-device purchase and sale records, provide inspection access, retain records for two years, and maintain the prescribed inspection book.</x:v>
      </x:c>
      <x:c r="F855" s="33" t="str">
        <x:v>CA019</x:v>
      </x:c>
      <x:c r="G855" s="33" t="str">
        <x:v>P4_VALIDATION</x:v>
      </x:c>
      <x:c r="H855" s="33" t="str">
        <x:v>Yes</x:v>
      </x:c>
      <x:c r="I855" s="33" t="str">
        <x:v>P-4 chain-closure observation template.</x:v>
      </x:c>
    </x:row>
    <x:row r="856">
      <x:c r="A856" s="33" t="str">
        <x:v>P4OBS082</x:v>
      </x:c>
      <x:c r="B856" s="33" t="str">
        <x:v>AUD217</x:v>
      </x:c>
      <x:c r="C856" s="33" t="str">
        <x:v>Pay the prescribed retention fee every five years to maintain perpetual validity of Form MD-42 registration. was not demonstrated or did not operate effectively for the sample tested.</x:v>
      </x:c>
      <x:c r="D856" s="33" t="str">
        <x:v>High</x:v>
      </x:c>
      <x:c r="E856" s="33" t="str">
        <x:v>Implement the requirement, correct affected records or transactions, and retain evidence of operating effectiveness: Pay the prescribed retention fee every five years to maintain perpetual validity of Form MD-42 registration.</x:v>
      </x:c>
      <x:c r="F856" s="33" t="str">
        <x:v>CA007</x:v>
      </x:c>
      <x:c r="G856" s="33" t="str">
        <x:v>P4_VALIDATION</x:v>
      </x:c>
      <x:c r="H856" s="33" t="str">
        <x:v>Yes</x:v>
      </x:c>
      <x:c r="I856" s="33" t="str">
        <x:v>P-4 chain-closure observation template.</x:v>
      </x:c>
    </x:row>
    <x:row r="857">
      <x:c r="A857" s="33" t="str">
        <x:v>P4OBS083</x:v>
      </x:c>
      <x:c r="B857" s="33" t="str">
        <x:v>AUD219</x:v>
      </x:c>
      <x:c r="C857" s="33" t="str">
        <x:v>Where Rule 88 applies, document supply to a hospital or similar institution through the prescribed delivery-challan process. was not demonstrated or did not operate effectively for the sample tested.</x:v>
      </x:c>
      <x:c r="D857" s="33" t="str">
        <x:v>High</x:v>
      </x:c>
      <x:c r="E857" s="33" t="str">
        <x:v>Implement the requirement, correct affected records or transactions, and retain evidence of operating effectiveness: Where Rule 88 applies, document supply to a hospital or similar institution through the prescribed delivery-challan process.</x:v>
      </x:c>
      <x:c r="F857" s="33" t="str">
        <x:v>CA022</x:v>
      </x:c>
      <x:c r="G857" s="33" t="str">
        <x:v>P4_VALIDATION</x:v>
      </x:c>
      <x:c r="H857" s="33" t="str">
        <x:v>Yes</x:v>
      </x:c>
      <x:c r="I857" s="33" t="str">
        <x:v>P-4 chain-closure observation template.</x:v>
      </x:c>
    </x:row>
    <x:row r="858">
      <x:c r="A858" s="33" t="str">
        <x:v>P4OBS084</x:v>
      </x:c>
      <x:c r="B858" s="33" t="str">
        <x:v>AUD221</x:v>
      </x:c>
      <x:c r="C858" s="33" t="str">
        <x:v>Do not sell or distribute a cosmetic unless the Rule 33 origin, licensing, quality and labelling conditions are satisfied. was not demonstrated or did not operate effectively for the sample tested.</x:v>
      </x:c>
      <x:c r="D858" s="33" t="str">
        <x:v>High</x:v>
      </x:c>
      <x:c r="E858" s="33" t="str">
        <x:v>Implement the requirement, correct affected records or transactions, and retain evidence of operating effectiveness: Do not sell or distribute a cosmetic unless the Rule 33 origin, licensing, quality and labelling conditions are satisfied.</x:v>
      </x:c>
      <x:c r="F858" s="33" t="str">
        <x:v>CA016</x:v>
      </x:c>
      <x:c r="G858" s="33" t="str">
        <x:v>P4_VALIDATION</x:v>
      </x:c>
      <x:c r="H858" s="33" t="str">
        <x:v>Yes</x:v>
      </x:c>
      <x:c r="I858" s="33" t="str">
        <x:v>P-4 chain-closure observation template.</x:v>
      </x:c>
    </x:row>
    <x:row r="859">
      <x:c r="A859" s="33" t="str">
        <x:v>P4OBS085</x:v>
      </x:c>
      <x:c r="B859" s="33" t="str">
        <x:v>AUD223</x:v>
      </x:c>
      <x:c r="C859" s="33" t="str">
        <x:v>Verify that cosmetics offered for sale or distribution bear the particulars required by Rule 34. was not demonstrated or did not operate effectively for the sample tested.</x:v>
      </x:c>
      <x:c r="D859" s="33" t="str">
        <x:v>High</x:v>
      </x:c>
      <x:c r="E859" s="33" t="str">
        <x:v>Implement the requirement, correct affected records or transactions, and retain evidence of operating effectiveness: Verify that cosmetics offered for sale or distribution bear the particulars required by Rule 34.</x:v>
      </x:c>
      <x:c r="F859" s="33" t="str">
        <x:v>CA007</x:v>
      </x:c>
      <x:c r="G859" s="33" t="str">
        <x:v>P4_VALIDATION</x:v>
      </x:c>
      <x:c r="H859" s="33" t="str">
        <x:v>Yes</x:v>
      </x:c>
      <x:c r="I859" s="33" t="str">
        <x:v>P-4 chain-closure observation template.</x:v>
      </x:c>
    </x:row>
    <x:row r="860">
      <x:c r="A860" s="33" t="str">
        <x:v>P4OBS086</x:v>
      </x:c>
      <x:c r="B860" s="33" t="str">
        <x:v>AUD225</x:v>
      </x:c>
      <x:c r="C860" s="33" t="str">
        <x:v>Do not alter, obliterate or deface mandatory cosmetic labelling. was not demonstrated or did not operate effectively for the sample tested.</x:v>
      </x:c>
      <x:c r="D860" s="33" t="str">
        <x:v>High</x:v>
      </x:c>
      <x:c r="E860" s="33" t="str">
        <x:v>Implement the requirement, correct affected records or transactions, and retain evidence of operating effectiveness: Do not alter, obliterate or deface mandatory cosmetic labelling.</x:v>
      </x:c>
      <x:c r="F860" s="33" t="str">
        <x:v>CA067</x:v>
      </x:c>
      <x:c r="G860" s="33" t="str">
        <x:v>P4_VALIDATION</x:v>
      </x:c>
      <x:c r="H860" s="33" t="str">
        <x:v>Yes</x:v>
      </x:c>
      <x:c r="I860" s="33" t="str">
        <x:v>P-4 chain-closure observation template.</x:v>
      </x:c>
    </x:row>
    <x:row r="861">
      <x:c r="A861" s="33" t="str">
        <x:v>P4OBS087</x:v>
      </x:c>
      <x:c r="B861" s="33" t="str">
        <x:v>AUD227</x:v>
      </x:c>
      <x:c r="C861" s="33" t="str">
        <x:v>Do not sell or distribute a cosmetic bearing a false or misleading claim. was not demonstrated or did not operate effectively for the sample tested.</x:v>
      </x:c>
      <x:c r="D861" s="33" t="str">
        <x:v>High</x:v>
      </x:c>
      <x:c r="E861" s="33" t="str">
        <x:v>Implement the requirement, correct affected records or transactions, and retain evidence of operating effectiveness: Do not sell or distribute a cosmetic bearing a false or misleading claim.</x:v>
      </x:c>
      <x:c r="F861" s="33" t="str">
        <x:v>CA019</x:v>
      </x:c>
      <x:c r="G861" s="33" t="str">
        <x:v>P4_VALIDATION</x:v>
      </x:c>
      <x:c r="H861" s="33" t="str">
        <x:v>Yes</x:v>
      </x:c>
      <x:c r="I861" s="33" t="str">
        <x:v>P-4 chain-closure observation template.</x:v>
      </x:c>
    </x:row>
    <x:row r="862">
      <x:c r="A862" s="33" t="str">
        <x:v>P4OBS088</x:v>
      </x:c>
      <x:c r="B862" s="33" t="str">
        <x:v>AUD229</x:v>
      </x:c>
      <x:c r="C862" s="33" t="str">
        <x:v>Sell or distribute only cosmetics that comply with the standards, quality and safety requirements in Rule 39. was not demonstrated or did not operate effectively for the sample tested.</x:v>
      </x:c>
      <x:c r="D862" s="33" t="str">
        <x:v>High</x:v>
      </x:c>
      <x:c r="E862" s="33" t="str">
        <x:v>Implement the requirement, correct affected records or transactions, and retain evidence of operating effectiveness: Sell or distribute only cosmetics that comply with the standards, quality and safety requirements in Rule 39.</x:v>
      </x:c>
      <x:c r="F862" s="33" t="str">
        <x:v>CA022</x:v>
      </x:c>
      <x:c r="G862" s="33" t="str">
        <x:v>P4_VALIDATION</x:v>
      </x:c>
      <x:c r="H862" s="33" t="str">
        <x:v>Yes</x:v>
      </x:c>
      <x:c r="I862" s="33" t="str">
        <x:v>P-4 chain-closure observation template.</x:v>
      </x:c>
    </x:row>
    <x:row r="863">
      <x:c r="A863" s="33" t="str">
        <x:v>P4OBS089</x:v>
      </x:c>
      <x:c r="B863" s="33" t="str">
        <x:v>AUD249</x:v>
      </x:c>
      <x:c r="C863" s="33" t="str">
        <x:v>Deliver pharmacy services in accordance with Good Pharmacy Practice principles. was not demonstrated or did not operate effectively for the sample tested.</x:v>
      </x:c>
      <x:c r="D863" s="33" t="str">
        <x:v>High</x:v>
      </x:c>
      <x:c r="E863" s="33" t="str">
        <x:v>Implement the requirement, correct affected records or transactions, and retain evidence of operating effectiveness: Deliver pharmacy services in accordance with Good Pharmacy Practice principles.</x:v>
      </x:c>
      <x:c r="F863" s="33" t="str">
        <x:v>CA021</x:v>
      </x:c>
      <x:c r="G863" s="33" t="str">
        <x:v>P4_VALIDATION</x:v>
      </x:c>
      <x:c r="H863" s="33" t="str">
        <x:v>Yes</x:v>
      </x:c>
      <x:c r="I863" s="33" t="str">
        <x:v>P-4 chain-closure observation template.</x:v>
      </x:c>
    </x:row>
    <x:row r="864">
      <x:c r="A864" s="33" t="str">
        <x:v>P4OBS090</x:v>
      </x:c>
      <x:c r="B864" s="33" t="str">
        <x:v>AUD251</x:v>
      </x:c>
      <x:c r="C864" s="33" t="str">
        <x:v>Provide appropriate counselling to patients regarding medicine use, dosage and precautions. was not demonstrated or did not operate effectively for the sample tested.</x:v>
      </x:c>
      <x:c r="D864" s="33" t="str">
        <x:v>High</x:v>
      </x:c>
      <x:c r="E864" s="33" t="str">
        <x:v>Implement the requirement, correct affected records or transactions, and retain evidence of operating effectiveness: Provide appropriate counselling to patients regarding medicine use, dosage and precautions.</x:v>
      </x:c>
      <x:c r="F864" s="33" t="str">
        <x:v>CA021</x:v>
      </x:c>
      <x:c r="G864" s="33" t="str">
        <x:v>P4_VALIDATION</x:v>
      </x:c>
      <x:c r="H864" s="33" t="str">
        <x:v>Yes</x:v>
      </x:c>
      <x:c r="I864" s="33" t="str">
        <x:v>P-4 chain-closure observation template.</x:v>
      </x:c>
    </x:row>
    <x:row r="865">
      <x:c r="A865" s="33" t="str">
        <x:v>P4OBS091</x:v>
      </x:c>
      <x:c r="B865" s="33" t="str">
        <x:v>AUD253</x:v>
      </x:c>
      <x:c r="C865" s="33" t="str">
        <x:v>Review each prescription for completeness, legality and appropriateness before dispensing. was not demonstrated or did not operate effectively for the sample tested.</x:v>
      </x:c>
      <x:c r="D865" s="33" t="str">
        <x:v>High</x:v>
      </x:c>
      <x:c r="E865" s="33" t="str">
        <x:v>Implement the requirement, correct affected records or transactions, and retain evidence of operating effectiveness: Review each prescription for completeness, legality and appropriateness before dispensing.</x:v>
      </x:c>
      <x:c r="F865" s="33" t="str">
        <x:v>CA021</x:v>
      </x:c>
      <x:c r="G865" s="33" t="str">
        <x:v>P4_VALIDATION</x:v>
      </x:c>
      <x:c r="H865" s="33" t="str">
        <x:v>Yes</x:v>
      </x:c>
      <x:c r="I865" s="33" t="str">
        <x:v>P-4 chain-closure observation template.</x:v>
      </x:c>
    </x:row>
    <x:row r="866">
      <x:c r="A866" s="33" t="str">
        <x:v>P4OBS092</x:v>
      </x:c>
      <x:c r="B866" s="33" t="str">
        <x:v>AUD255</x:v>
      </x:c>
      <x:c r="C866" s="33" t="str">
        <x:v>Procure medicines only from licensed and authorized suppliers. was not demonstrated or did not operate effectively for the sample tested.</x:v>
      </x:c>
      <x:c r="D866" s="33" t="str">
        <x:v>High</x:v>
      </x:c>
      <x:c r="E866" s="33" t="str">
        <x:v>Implement the requirement, correct affected records or transactions, and retain evidence of operating effectiveness: Procure medicines only from licensed and authorized suppliers.</x:v>
      </x:c>
      <x:c r="F866" s="33" t="str">
        <x:v>CA011</x:v>
      </x:c>
      <x:c r="G866" s="33" t="str">
        <x:v>P4_VALIDATION</x:v>
      </x:c>
      <x:c r="H866" s="33" t="str">
        <x:v>Yes</x:v>
      </x:c>
      <x:c r="I866" s="33" t="str">
        <x:v>P-4 chain-closure observation template.</x:v>
      </x:c>
    </x:row>
    <x:row r="867">
      <x:c r="A867" s="33" t="str">
        <x:v>P4OBS093</x:v>
      </x:c>
      <x:c r="B867" s="33" t="str">
        <x:v>AUD257</x:v>
      </x:c>
      <x:c r="C867" s="33" t="str">
        <x:v>Maintain suitable transportation and distribution conditions to preserve product quality. was not demonstrated or did not operate effectively for the sample tested.</x:v>
      </x:c>
      <x:c r="D867" s="33" t="str">
        <x:v>High</x:v>
      </x:c>
      <x:c r="E867" s="33" t="str">
        <x:v>Implement the requirement, correct affected records or transactions, and retain evidence of operating effectiveness: Maintain suitable transportation and distribution conditions to preserve product quality.</x:v>
      </x:c>
      <x:c r="F867" s="33" t="str">
        <x:v>CA012</x:v>
      </x:c>
      <x:c r="G867" s="33" t="str">
        <x:v>P4_VALIDATION</x:v>
      </x:c>
      <x:c r="H867" s="33" t="str">
        <x:v>Yes</x:v>
      </x:c>
      <x:c r="I867" s="33" t="str">
        <x:v>P-4 chain-closure observation template.</x:v>
      </x:c>
    </x:row>
    <x:row r="868">
      <x:c r="A868" s="33" t="str">
        <x:v>P4OBS094</x:v>
      </x:c>
      <x:c r="B868" s="33" t="str">
        <x:v>AUD259</x:v>
      </x:c>
      <x:c r="C868" s="33" t="str">
        <x:v>Maintain complete and traceable distribution records for all pharmaceutical products. was not demonstrated or did not operate effectively for the sample tested.</x:v>
      </x:c>
      <x:c r="D868" s="33" t="str">
        <x:v>High</x:v>
      </x:c>
      <x:c r="E868" s="33" t="str">
        <x:v>Implement the requirement, correct affected records or transactions, and retain evidence of operating effectiveness: Maintain complete and traceable distribution records for all pharmaceutical products.</x:v>
      </x:c>
      <x:c r="F868" s="33" t="str">
        <x:v>CA019</x:v>
      </x:c>
      <x:c r="G868" s="33" t="str">
        <x:v>P4_VALIDATION</x:v>
      </x:c>
      <x:c r="H868" s="33" t="str">
        <x:v>Yes</x:v>
      </x:c>
      <x:c r="I868" s="33" t="str">
        <x:v>P-4 chain-closure observation template.</x:v>
      </x:c>
    </x:row>
    <x:row r="869">
      <x:c r="A869" s="33" t="str">
        <x:v>P4OBS095</x:v>
      </x:c>
      <x:c r="B869" s="33" t="str">
        <x:v>AUD260</x:v>
      </x:c>
      <x:c r="C869" s="33" t="str">
        <x:v>Maintain complete and traceable distribution records for all pharmaceutical products. was not demonstrated or did not operate effectively for the sample tested.</x:v>
      </x:c>
      <x:c r="D869" s="33" t="str">
        <x:v>High</x:v>
      </x:c>
      <x:c r="E869" s="33" t="str">
        <x:v>Implement the requirement, correct affected records or transactions, and retain evidence of operating effectiveness: Maintain complete and traceable distribution records for all pharmaceutical products.</x:v>
      </x:c>
      <x:c r="F869" s="33" t="str">
        <x:v>CA019</x:v>
      </x:c>
      <x:c r="G869" s="33" t="str">
        <x:v>P4_VALIDATION</x:v>
      </x:c>
      <x:c r="H869" s="33" t="str">
        <x:v>Yes</x:v>
      </x:c>
      <x:c r="I869" s="33" t="str">
        <x:v>P-4 chain-closure observation template.</x:v>
      </x:c>
    </x:row>
    <x:row r="870">
      <x:c r="A870" s="33" t="str">
        <x:v>P4OBS096</x:v>
      </x:c>
      <x:c r="B870" s="33" t="str">
        <x:v>AUD261</x:v>
      </x:c>
      <x:c r="C870" s="33" t="str">
        <x:v>Maintain complete and traceable distribution records for all pharmaceutical products. was not demonstrated or did not operate effectively for the sample tested.</x:v>
      </x:c>
      <x:c r="D870" s="33" t="str">
        <x:v>High</x:v>
      </x:c>
      <x:c r="E870" s="33" t="str">
        <x:v>Implement the requirement, correct affected records or transactions, and retain evidence of operating effectiveness: Maintain complete and traceable distribution records for all pharmaceutical products.</x:v>
      </x:c>
      <x:c r="F870" s="33" t="str">
        <x:v>CA019</x:v>
      </x:c>
      <x:c r="G870" s="33" t="str">
        <x:v>P4_VALIDATION</x:v>
      </x:c>
      <x:c r="H870" s="33" t="str">
        <x:v>Yes</x:v>
      </x:c>
      <x:c r="I870" s="33" t="str">
        <x:v>P-4 chain-closure observation template.</x:v>
      </x:c>
    </x:row>
    <x:row r="871">
      <x:c r="A871" s="33" t="str">
        <x:v>P4OBS097</x:v>
      </x:c>
      <x:c r="B871" s="33" t="str">
        <x:v>AUD263</x:v>
      </x:c>
      <x:c r="C871" s="33" t="str">
        <x:v>Continuously monitor and record storage temperature for all temperature-sensitive medicines. was not demonstrated or did not operate effectively for the sample tested.</x:v>
      </x:c>
      <x:c r="D871" s="33" t="str">
        <x:v>High</x:v>
      </x:c>
      <x:c r="E871" s="33" t="str">
        <x:v>Implement the requirement, correct affected records or transactions, and retain evidence of operating effectiveness: Continuously monitor and record storage temperature for all temperature-sensitive medicines.</x:v>
      </x:c>
      <x:c r="F871" s="33" t="str">
        <x:v>CA007</x:v>
      </x:c>
      <x:c r="G871" s="33" t="str">
        <x:v>P4_VALIDATION</x:v>
      </x:c>
      <x:c r="H871" s="33" t="str">
        <x:v>Yes</x:v>
      </x:c>
      <x:c r="I871" s="33" t="str">
        <x:v>P-4 chain-closure observation template.</x:v>
      </x:c>
    </x:row>
    <x:row r="872">
      <x:c r="A872" s="33" t="str">
        <x:v>P4OBS098</x:v>
      </x:c>
      <x:c r="B872" s="33" t="str">
        <x:v>AUD265</x:v>
      </x:c>
      <x:c r="C872" s="33" t="str">
        <x:v>Monitor and maintain humidity within prescribed limits where applicable. was not demonstrated or did not operate effectively for the sample tested.</x:v>
      </x:c>
      <x:c r="D872" s="33" t="str">
        <x:v>High</x:v>
      </x:c>
      <x:c r="E872" s="33" t="str">
        <x:v>Implement the requirement, correct affected records or transactions, and retain evidence of operating effectiveness: Monitor and maintain humidity within prescribed limits where applicable.</x:v>
      </x:c>
      <x:c r="F872" s="33" t="str">
        <x:v>CA007</x:v>
      </x:c>
      <x:c r="G872" s="33" t="str">
        <x:v>P4_VALIDATION</x:v>
      </x:c>
      <x:c r="H872" s="33" t="str">
        <x:v>Yes</x:v>
      </x:c>
      <x:c r="I872" s="33" t="str">
        <x:v>P-4 chain-closure observation template.</x:v>
      </x:c>
    </x:row>
    <x:row r="873">
      <x:c r="A873" s="33" t="str">
        <x:v>P4OBS099</x:v>
      </x:c>
      <x:c r="B873" s="33" t="str">
        <x:v>AUD267</x:v>
      </x:c>
      <x:c r="C873" s="33" t="str">
        <x:v>Follow the FEFO (First Expiry First Out) inventory management system for stock issuance. was not demonstrated or did not operate effectively for the sample tested.</x:v>
      </x:c>
      <x:c r="D873" s="33" t="str">
        <x:v>High</x:v>
      </x:c>
      <x:c r="E873" s="33" t="str">
        <x:v>Implement the requirement, correct affected records or transactions, and retain evidence of operating effectiveness: Follow the FEFO (First Expiry First Out) inventory management system for stock issuance.</x:v>
      </x:c>
      <x:c r="F873" s="33" t="str">
        <x:v>CA012</x:v>
      </x:c>
      <x:c r="G873" s="33" t="str">
        <x:v>P4_VALIDATION</x:v>
      </x:c>
      <x:c r="H873" s="33" t="str">
        <x:v>Yes</x:v>
      </x:c>
      <x:c r="I873" s="33" t="str">
        <x:v>P-4 chain-closure observation template.</x:v>
      </x:c>
    </x:row>
    <x:row r="874">
      <x:c r="A874" s="33" t="str">
        <x:v>P4OBS100</x:v>
      </x:c>
      <x:c r="B874" s="33" t="str">
        <x:v>AUD269</x:v>
      </x:c>
      <x:c r="C874" s="33" t="str">
        <x:v>Segregate expired, damaged, recalled and rejected medicines from saleable inventory immediately. was not demonstrated or did not operate effectively for the sample tested.</x:v>
      </x:c>
      <x:c r="D874" s="33" t="str">
        <x:v>High</x:v>
      </x:c>
      <x:c r="E874" s="33" t="str">
        <x:v>Implement the requirement, correct affected records or transactions, and retain evidence of operating effectiveness: Segregate expired, damaged, recalled and rejected medicines from saleable inventory immediately.</x:v>
      </x:c>
      <x:c r="F874" s="33" t="str">
        <x:v>CA013</x:v>
      </x:c>
      <x:c r="G874" s="33" t="str">
        <x:v>P4_VALIDATION</x:v>
      </x:c>
      <x:c r="H874" s="33" t="str">
        <x:v>Yes</x:v>
      </x:c>
      <x:c r="I874" s="33" t="str">
        <x:v>P-4 chain-closure observation template.</x:v>
      </x:c>
    </x:row>
    <x:row r="875">
      <x:c r="A875" s="33" t="str">
        <x:v>P4OBS101</x:v>
      </x:c>
      <x:c r="B875" s="33" t="str">
        <x:v>AUD271</x:v>
      </x:c>
      <x:c r="C875" s="33" t="str">
        <x:v>Maintain storage areas in a clean, hygienic and pest-free condition. was not demonstrated or did not operate effectively for the sample tested.</x:v>
      </x:c>
      <x:c r="D875" s="33" t="str">
        <x:v>High</x:v>
      </x:c>
      <x:c r="E875" s="33" t="str">
        <x:v>Implement the requirement, correct affected records or transactions, and retain evidence of operating effectiveness: Maintain storage areas in a clean, hygienic and pest-free condition.</x:v>
      </x:c>
      <x:c r="F875" s="33" t="str">
        <x:v>CA007</x:v>
      </x:c>
      <x:c r="G875" s="33" t="str">
        <x:v>P4_VALIDATION</x:v>
      </x:c>
      <x:c r="H875" s="33" t="str">
        <x:v>Yes</x:v>
      </x:c>
      <x:c r="I875" s="33" t="str">
        <x:v>P-4 chain-closure observation template.</x:v>
      </x:c>
    </x:row>
    <x:row r="876">
      <x:c r="A876" s="33" t="str">
        <x:v>P4OBS102</x:v>
      </x:c>
      <x:c r="B876" s="33" t="str">
        <x:v>AUD273</x:v>
      </x:c>
      <x:c r="C876" s="33" t="str">
        <x:v>Initiate product recall immediately upon receipt of recall notice or identification of defective products. was not demonstrated or did not operate effectively for the sample tested.</x:v>
      </x:c>
      <x:c r="D876" s="33" t="str">
        <x:v>High</x:v>
      </x:c>
      <x:c r="E876" s="33" t="str">
        <x:v>Implement the requirement, correct affected records or transactions, and retain evidence of operating effectiveness: Initiate product recall immediately upon receipt of recall notice or identification of defective products.</x:v>
      </x:c>
      <x:c r="F876" s="33" t="str">
        <x:v>CA022</x:v>
      </x:c>
      <x:c r="G876" s="33" t="str">
        <x:v>P4_VALIDATION</x:v>
      </x:c>
      <x:c r="H876" s="33" t="str">
        <x:v>Yes</x:v>
      </x:c>
      <x:c r="I876" s="33" t="str">
        <x:v>P-4 chain-closure observation template.</x:v>
      </x:c>
    </x:row>
    <x:row r="877">
      <x:c r="A877" s="33" t="str">
        <x:v>P4OBS103</x:v>
      </x:c>
      <x:c r="B877" s="33" t="str">
        <x:v>AUD275</x:v>
      </x:c>
      <x:c r="C877" s="33" t="str">
        <x:v>Classify recalled products according to the applicable recall category and risk level. was not demonstrated or did not operate effectively for the sample tested.</x:v>
      </x:c>
      <x:c r="D877" s="33" t="str">
        <x:v>High</x:v>
      </x:c>
      <x:c r="E877" s="33" t="str">
        <x:v>Implement the requirement, correct affected records or transactions, and retain evidence of operating effectiveness: Classify recalled products according to the applicable recall category and risk level.</x:v>
      </x:c>
      <x:c r="F877" s="33" t="str">
        <x:v>CA022</x:v>
      </x:c>
      <x:c r="G877" s="33" t="str">
        <x:v>P4_VALIDATION</x:v>
      </x:c>
      <x:c r="H877" s="33" t="str">
        <x:v>Yes</x:v>
      </x:c>
      <x:c r="I877" s="33" t="str">
        <x:v>P-4 chain-closure observation template.</x:v>
      </x:c>
    </x:row>
    <x:row r="878">
      <x:c r="A878" s="33" t="str">
        <x:v>P4OBS104</x:v>
      </x:c>
      <x:c r="B878" s="33" t="str">
        <x:v>AUD277</x:v>
      </x:c>
      <x:c r="C878" s="33" t="str">
        <x:v>Notify customers, distributors and regulatory authorities as required during product recall. was not demonstrated or did not operate effectively for the sample tested.</x:v>
      </x:c>
      <x:c r="D878" s="33" t="str">
        <x:v>High</x:v>
      </x:c>
      <x:c r="E878" s="33" t="str">
        <x:v>Implement the requirement, correct affected records or transactions, and retain evidence of operating effectiveness: Notify customers, distributors and regulatory authorities as required during product recall.</x:v>
      </x:c>
      <x:c r="F878" s="33" t="str">
        <x:v>CA022</x:v>
      </x:c>
      <x:c r="G878" s="33" t="str">
        <x:v>P4_VALIDATION</x:v>
      </x:c>
      <x:c r="H878" s="33" t="str">
        <x:v>Yes</x:v>
      </x:c>
      <x:c r="I878" s="33" t="str">
        <x:v>P-4 chain-closure observation template.</x:v>
      </x:c>
    </x:row>
    <x:row r="879">
      <x:c r="A879" s="33" t="str">
        <x:v>P4OBS105</x:v>
      </x:c>
      <x:c r="B879" s="33" t="str">
        <x:v>AUD279</x:v>
      </x:c>
      <x:c r="C879" s="33" t="str">
        <x:v>Verify the effectiveness of product recall by reconciling quantities distributed and recovered. was not demonstrated or did not operate effectively for the sample tested.</x:v>
      </x:c>
      <x:c r="D879" s="33" t="str">
        <x:v>High</x:v>
      </x:c>
      <x:c r="E879" s="33" t="str">
        <x:v>Implement the requirement, correct affected records or transactions, and retain evidence of operating effectiveness: Verify the effectiveness of product recall by reconciling quantities distributed and recovered.</x:v>
      </x:c>
      <x:c r="F879" s="33" t="str">
        <x:v>CA022</x:v>
      </x:c>
      <x:c r="G879" s="33" t="str">
        <x:v>P4_VALIDATION</x:v>
      </x:c>
      <x:c r="H879" s="33" t="str">
        <x:v>Yes</x:v>
      </x:c>
      <x:c r="I879" s="33" t="str">
        <x:v>P-4 chain-closure observation template.</x:v>
      </x:c>
    </x:row>
    <x:row r="880">
      <x:c r="A880" s="33" t="str">
        <x:v>P4OBS106</x:v>
      </x:c>
      <x:c r="B880" s="33" t="str">
        <x:v>AUD281</x:v>
      </x:c>
      <x:c r="C880" s="33" t="str">
        <x:v>Maintain complete documentation supporting recall closure and regulatory reporting. was not demonstrated or did not operate effectively for the sample tested.</x:v>
      </x:c>
      <x:c r="D880" s="33" t="str">
        <x:v>High</x:v>
      </x:c>
      <x:c r="E880" s="33" t="str">
        <x:v>Implement the requirement, correct affected records or transactions, and retain evidence of operating effectiveness: Maintain complete documentation supporting recall closure and regulatory reporting.</x:v>
      </x:c>
      <x:c r="F880" s="33" t="str">
        <x:v>CA022</x:v>
      </x:c>
      <x:c r="G880" s="33" t="str">
        <x:v>P4_VALIDATION</x:v>
      </x:c>
      <x:c r="H880" s="33" t="str">
        <x:v>Yes</x:v>
      </x:c>
      <x:c r="I880" s="33" t="str">
        <x:v>P-4 chain-closure observation template.</x:v>
      </x:c>
    </x:row>
    <x:row r="881">
      <x:c r="A881" s="33" t="str">
        <x:v>P4OBS107</x:v>
      </x:c>
      <x:c r="B881" s="33" t="str">
        <x:v>AUD283</x:v>
      </x:c>
      <x:c r="C881" s="33" t="str">
        <x:v>Establish a documented process for receiving product complaints from customers. was not demonstrated or did not operate effectively for the sample tested.</x:v>
      </x:c>
      <x:c r="D881" s="33" t="str">
        <x:v>High</x:v>
      </x:c>
      <x:c r="E881" s="33" t="str">
        <x:v>Implement the requirement, correct affected records or transactions, and retain evidence of operating effectiveness: Establish a documented process for receiving product complaints from customers.</x:v>
      </x:c>
      <x:c r="F881" s="33" t="str">
        <x:v>CA023</x:v>
      </x:c>
      <x:c r="G881" s="33" t="str">
        <x:v>P4_VALIDATION</x:v>
      </x:c>
      <x:c r="H881" s="33" t="str">
        <x:v>Yes</x:v>
      </x:c>
      <x:c r="I881" s="33" t="str">
        <x:v>P-4 chain-closure observation template.</x:v>
      </x:c>
    </x:row>
    <x:row r="882">
      <x:c r="A882" s="33" t="str">
        <x:v>P4OBS108</x:v>
      </x:c>
      <x:c r="B882" s="33" t="str">
        <x:v>AUD285</x:v>
      </x:c>
      <x:c r="C882" s="33" t="str">
        <x:v>Investigate every product complaint and document findings appropriately. was not demonstrated or did not operate effectively for the sample tested.</x:v>
      </x:c>
      <x:c r="D882" s="33" t="str">
        <x:v>High</x:v>
      </x:c>
      <x:c r="E882" s="33" t="str">
        <x:v>Implement the requirement, correct affected records or transactions, and retain evidence of operating effectiveness: Investigate every product complaint and document findings appropriately.</x:v>
      </x:c>
      <x:c r="F882" s="33" t="str">
        <x:v>CA023</x:v>
      </x:c>
      <x:c r="G882" s="33" t="str">
        <x:v>P4_VALIDATION</x:v>
      </x:c>
      <x:c r="H882" s="33" t="str">
        <x:v>Yes</x:v>
      </x:c>
      <x:c r="I882" s="33" t="str">
        <x:v>P-4 chain-closure observation template.</x:v>
      </x:c>
    </x:row>
    <x:row r="883">
      <x:c r="A883" s="33" t="str">
        <x:v>P4OBS109</x:v>
      </x:c>
      <x:c r="B883" s="33" t="str">
        <x:v>AUD287</x:v>
      </x:c>
      <x:c r="C883" s="33" t="str">
        <x:v>Maintain a complaint register and supporting investigation records. was not demonstrated or did not operate effectively for the sample tested.</x:v>
      </x:c>
      <x:c r="D883" s="33" t="str">
        <x:v>High</x:v>
      </x:c>
      <x:c r="E883" s="33" t="str">
        <x:v>Implement the requirement, correct affected records or transactions, and retain evidence of operating effectiveness: Maintain a complaint register and supporting investigation records.</x:v>
      </x:c>
      <x:c r="F883" s="33" t="str">
        <x:v>CA023</x:v>
      </x:c>
      <x:c r="G883" s="33" t="str">
        <x:v>P4_VALIDATION</x:v>
      </x:c>
      <x:c r="H883" s="33" t="str">
        <x:v>Yes</x:v>
      </x:c>
      <x:c r="I883" s="33" t="str">
        <x:v>P-4 chain-closure observation template.</x:v>
      </x:c>
    </x:row>
    <x:row r="884">
      <x:c r="A884" s="33" t="str">
        <x:v>P4OBS110</x:v>
      </x:c>
      <x:c r="B884" s="33" t="str">
        <x:v>AUD289</x:v>
      </x:c>
      <x:c r="C884" s="33" t="str">
        <x:v>Close product complaints only after investigation, corrective action and documentation are completed. was not demonstrated or did not operate effectively for the sample tested.</x:v>
      </x:c>
      <x:c r="D884" s="33" t="str">
        <x:v>High</x:v>
      </x:c>
      <x:c r="E884" s="33" t="str">
        <x:v>Implement the requirement, correct affected records or transactions, and retain evidence of operating effectiveness: Close product complaints only after investigation, corrective action and documentation are completed.</x:v>
      </x:c>
      <x:c r="F884" s="33" t="str">
        <x:v>CA023</x:v>
      </x:c>
      <x:c r="G884" s="33" t="str">
        <x:v>P4_VALIDATION</x:v>
      </x:c>
      <x:c r="H884" s="33" t="str">
        <x:v>Yes</x:v>
      </x:c>
      <x:c r="I884" s="33" t="str">
        <x:v>P-4 chain-closure observation template.</x:v>
      </x:c>
    </x:row>
    <x:row r="885">
      <x:c r="A885" s="33" t="str">
        <x:v>P4OBS111</x:v>
      </x:c>
      <x:c r="B885" s="33" t="str">
        <x:v>AUD291</x:v>
      </x:c>
      <x:c r="C885" s="33" t="str">
        <x:v>Report suspected adverse drug reactions to the Pharmacovigilance Programme of India whenever required. was not demonstrated or did not operate effectively for the sample tested.</x:v>
      </x:c>
      <x:c r="D885" s="33" t="str">
        <x:v>High</x:v>
      </x:c>
      <x:c r="E885" s="33" t="str">
        <x:v>Implement the requirement, correct affected records or transactions, and retain evidence of operating effectiveness: Report suspected adverse drug reactions to the Pharmacovigilance Programme of India whenever required.</x:v>
      </x:c>
      <x:c r="F885" s="33" t="str">
        <x:v>CA024</x:v>
      </x:c>
      <x:c r="G885" s="33" t="str">
        <x:v>P4_VALIDATION</x:v>
      </x:c>
      <x:c r="H885" s="33" t="str">
        <x:v>Yes</x:v>
      </x:c>
      <x:c r="I885" s="33" t="str">
        <x:v>P-4 chain-closure observation template.</x:v>
      </x:c>
    </x:row>
    <x:row r="886">
      <x:c r="A886" s="33" t="str">
        <x:v>P4OBS112</x:v>
      </x:c>
      <x:c r="B886" s="33" t="str">
        <x:v>AUD293</x:v>
      </x:c>
      <x:c r="C886" s="33" t="str">
        <x:v>Maintain complete documentation for every reported adverse drug reaction. was not demonstrated or did not operate effectively for the sample tested.</x:v>
      </x:c>
      <x:c r="D886" s="33" t="str">
        <x:v>High</x:v>
      </x:c>
      <x:c r="E886" s="33" t="str">
        <x:v>Implement the requirement, correct affected records or transactions, and retain evidence of operating effectiveness: Maintain complete documentation for every reported adverse drug reaction.</x:v>
      </x:c>
      <x:c r="F886" s="33" t="str">
        <x:v>CA024</x:v>
      </x:c>
      <x:c r="G886" s="33" t="str">
        <x:v>P4_VALIDATION</x:v>
      </x:c>
      <x:c r="H886" s="33" t="str">
        <x:v>Yes</x:v>
      </x:c>
      <x:c r="I886" s="33" t="str">
        <x:v>P-4 chain-closure observation template.</x:v>
      </x:c>
    </x:row>
    <x:row r="887">
      <x:c r="A887" s="33" t="str">
        <x:v>P4OBS113</x:v>
      </x:c>
      <x:c r="B887" s="33" t="str">
        <x:v>AUD295</x:v>
      </x:c>
      <x:c r="C887" s="33" t="str">
        <x:v>Escalate serious adverse drug reactions to the appropriate authority without delay. was not demonstrated or did not operate effectively for the sample tested.</x:v>
      </x:c>
      <x:c r="D887" s="33" t="str">
        <x:v>High</x:v>
      </x:c>
      <x:c r="E887" s="33" t="str">
        <x:v>Implement the requirement, correct affected records or transactions, and retain evidence of operating effectiveness: Escalate serious adverse drug reactions to the appropriate authority without delay.</x:v>
      </x:c>
      <x:c r="F887" s="33" t="str">
        <x:v>CA024</x:v>
      </x:c>
      <x:c r="G887" s="33" t="str">
        <x:v>P4_VALIDATION</x:v>
      </x:c>
      <x:c r="H887" s="33" t="str">
        <x:v>Yes</x:v>
      </x:c>
      <x:c r="I887" s="33" t="str">
        <x:v>P-4 chain-closure observation template.</x:v>
      </x:c>
    </x:row>
    <x:row r="888">
      <x:c r="A888" s="33" t="str">
        <x:v>P4OBS114</x:v>
      </x:c>
      <x:c r="B888" s="33" t="str">
        <x:v>AUD297</x:v>
      </x:c>
      <x:c r="C888" s="33" t="str">
        <x:v>Maintain vaccines and biological products within the prescribed cold chain temperature range. was not demonstrated or did not operate effectively for the sample tested.</x:v>
      </x:c>
      <x:c r="D888" s="33" t="str">
        <x:v>High</x:v>
      </x:c>
      <x:c r="E888" s="33" t="str">
        <x:v>Implement the requirement, correct affected records or transactions, and retain evidence of operating effectiveness: Maintain vaccines and biological products within the prescribed cold chain temperature range.</x:v>
      </x:c>
      <x:c r="F888" s="33" t="str">
        <x:v>CA008</x:v>
      </x:c>
      <x:c r="G888" s="33" t="str">
        <x:v>P4_VALIDATION</x:v>
      </x:c>
      <x:c r="H888" s="33" t="str">
        <x:v>Yes</x:v>
      </x:c>
      <x:c r="I888" s="33" t="str">
        <x:v>P-4 chain-closure observation template.</x:v>
      </x:c>
    </x:row>
    <x:row r="889">
      <x:c r="A889" s="33" t="str">
        <x:v>P4OBS115</x:v>
      </x:c>
      <x:c r="B889" s="33" t="str">
        <x:v>AUD299</x:v>
      </x:c>
      <x:c r="C889" s="33" t="str">
        <x:v>Record refrigerator temperatures at the prescribed frequency and retain logs for inspection. was not demonstrated or did not operate effectively for the sample tested.</x:v>
      </x:c>
      <x:c r="D889" s="33" t="str">
        <x:v>High</x:v>
      </x:c>
      <x:c r="E889" s="33" t="str">
        <x:v>Implement the requirement, correct affected records or transactions, and retain evidence of operating effectiveness: Record refrigerator temperatures at the prescribed frequency and retain logs for inspection.</x:v>
      </x:c>
      <x:c r="F889" s="33" t="str">
        <x:v>CA008</x:v>
      </x:c>
      <x:c r="G889" s="33" t="str">
        <x:v>P4_VALIDATION</x:v>
      </x:c>
      <x:c r="H889" s="33" t="str">
        <x:v>Yes</x:v>
      </x:c>
      <x:c r="I889" s="33" t="str">
        <x:v>P-4 chain-closure observation template.</x:v>
      </x:c>
    </x:row>
    <x:row r="890">
      <x:c r="A890" s="33" t="str">
        <x:v>P4OBS116</x:v>
      </x:c>
      <x:c r="B890" s="33" t="str">
        <x:v>AUD301</x:v>
      </x:c>
      <x:c r="C890" s="33" t="str">
        <x:v>Validate and periodically qualify cold chain equipment before operational use. was not demonstrated or did not operate effectively for the sample tested.</x:v>
      </x:c>
      <x:c r="D890" s="33" t="str">
        <x:v>High</x:v>
      </x:c>
      <x:c r="E890" s="33" t="str">
        <x:v>Implement the requirement, correct affected records or transactions, and retain evidence of operating effectiveness: Validate and periodically qualify cold chain equipment before operational use.</x:v>
      </x:c>
      <x:c r="F890" s="33" t="str">
        <x:v>CA009</x:v>
      </x:c>
      <x:c r="G890" s="33" t="str">
        <x:v>P4_VALIDATION</x:v>
      </x:c>
      <x:c r="H890" s="33" t="str">
        <x:v>Yes</x:v>
      </x:c>
      <x:c r="I890" s="33" t="str">
        <x:v>P-4 chain-closure observation template.</x:v>
      </x:c>
    </x:row>
    <x:row r="891">
      <x:c r="A891" s="33" t="str">
        <x:v>P4OBS117</x:v>
      </x:c>
      <x:c r="B891" s="33" t="str">
        <x:v>AUD337</x:v>
      </x:c>
      <x:c r="C891" s="33" t="str">
        <x:v>Deliver pharmacy services in accordance with Pharmacy Practice Regulations. was not demonstrated or did not operate effectively for the sample tested.</x:v>
      </x:c>
      <x:c r="D891" s="33" t="str">
        <x:v>High</x:v>
      </x:c>
      <x:c r="E891" s="33" t="str">
        <x:v>Implement the requirement, correct affected records or transactions, and retain evidence of operating effectiveness: Deliver pharmacy services in accordance with Pharmacy Practice Regulations.</x:v>
      </x:c>
      <x:c r="F891" s="33" t="str">
        <x:v>CA021</x:v>
      </x:c>
      <x:c r="G891" s="33" t="str">
        <x:v>P4_VALIDATION</x:v>
      </x:c>
      <x:c r="H891" s="33" t="str">
        <x:v>Yes</x:v>
      </x:c>
      <x:c r="I891" s="33" t="str">
        <x:v>P-4 chain-closure observation template.</x:v>
      </x:c>
    </x:row>
    <x:row r="892">
      <x:c r="A892" s="33" t="str">
        <x:v>P4OBS118</x:v>
      </x:c>
      <x:c r="B892" s="33" t="str">
        <x:v>AUD339</x:v>
      </x:c>
      <x:c r="C892" s="33" t="str">
        <x:v>Review prescriptions for legality, completeness and clinical appropriateness before dispensing medicines. was not demonstrated or did not operate effectively for the sample tested.</x:v>
      </x:c>
      <x:c r="D892" s="33" t="str">
        <x:v>High</x:v>
      </x:c>
      <x:c r="E892" s="33" t="str">
        <x:v>Implement the requirement, correct affected records or transactions, and retain evidence of operating effectiveness: Review prescriptions for legality, completeness and clinical appropriateness before dispensing medicines.</x:v>
      </x:c>
      <x:c r="F892" s="33" t="str">
        <x:v>CA015</x:v>
      </x:c>
      <x:c r="G892" s="33" t="str">
        <x:v>P4_VALIDATION</x:v>
      </x:c>
      <x:c r="H892" s="33" t="str">
        <x:v>Yes</x:v>
      </x:c>
      <x:c r="I892" s="33" t="str">
        <x:v>P-4 chain-closure observation template.</x:v>
      </x:c>
    </x:row>
    <x:row r="893">
      <x:c r="A893" s="33" t="str">
        <x:v>P4OBS119</x:v>
      </x:c>
      <x:c r="B893" s="33" t="str">
        <x:v>AUD341</x:v>
      </x:c>
      <x:c r="C893" s="33" t="str">
        <x:v>Provide appropriate patient counselling regarding dosage, storage, administration and precautions. was not demonstrated or did not operate effectively for the sample tested.</x:v>
      </x:c>
      <x:c r="D893" s="33" t="str">
        <x:v>High</x:v>
      </x:c>
      <x:c r="E893" s="33" t="str">
        <x:v>Implement the requirement, correct affected records or transactions, and retain evidence of operating effectiveness: Provide appropriate patient counselling regarding dosage, storage, administration and precautions.</x:v>
      </x:c>
      <x:c r="F893" s="33" t="str">
        <x:v>CA021</x:v>
      </x:c>
      <x:c r="G893" s="33" t="str">
        <x:v>P4_VALIDATION</x:v>
      </x:c>
      <x:c r="H893" s="33" t="str">
        <x:v>Yes</x:v>
      </x:c>
      <x:c r="I893" s="33" t="str">
        <x:v>P-4 chain-closure observation template.</x:v>
      </x:c>
    </x:row>
    <x:row r="894">
      <x:c r="A894" s="33" t="str">
        <x:v>P4OBS120</x:v>
      </x:c>
      <x:c r="B894" s="33" t="str">
        <x:v>AUD343</x:v>
      </x:c>
      <x:c r="C894" s="33" t="str">
        <x:v>Maintain confidentiality of patient records and prescription information. was not demonstrated or did not operate effectively for the sample tested.</x:v>
      </x:c>
      <x:c r="D894" s="33" t="str">
        <x:v>High</x:v>
      </x:c>
      <x:c r="E894" s="33" t="str">
        <x:v>Implement the requirement, correct affected records or transactions, and retain evidence of operating effectiveness: Maintain confidentiality of patient records and prescription information.</x:v>
      </x:c>
      <x:c r="F894" s="33" t="str">
        <x:v>CA071</x:v>
      </x:c>
      <x:c r="G894" s="33" t="str">
        <x:v>P4_VALIDATION</x:v>
      </x:c>
      <x:c r="H894" s="33" t="str">
        <x:v>Yes</x:v>
      </x:c>
      <x:c r="I894" s="33" t="str">
        <x:v>P-4 chain-closure observation template.</x:v>
      </x:c>
    </x:row>
    <x:row r="895">
      <x:c r="A895" s="33" t="str">
        <x:v>P4OBS121</x:v>
      </x:c>
      <x:c r="B895" s="33" t="str">
        <x:v>AUD345</x:v>
      </x:c>
      <x:c r="C895" s="33" t="str">
        <x:v>Participate in professional development programmes to maintain competency. was not demonstrated or did not operate effectively for the sample tested.</x:v>
      </x:c>
      <x:c r="D895" s="33" t="str">
        <x:v>High</x:v>
      </x:c>
      <x:c r="E895" s="33" t="str">
        <x:v>Implement the requirement, correct affected records or transactions, and retain evidence of operating effectiveness: Participate in professional development programmes to maintain competency.</x:v>
      </x:c>
      <x:c r="F895" s="33" t="str">
        <x:v>CA049</x:v>
      </x:c>
      <x:c r="G895" s="33" t="str">
        <x:v>P4_VALIDATION</x:v>
      </x:c>
      <x:c r="H895" s="33" t="str">
        <x:v>Yes</x:v>
      </x:c>
      <x:c r="I895" s="33" t="str">
        <x:v>P-4 chain-closure observation template.</x:v>
      </x:c>
    </x:row>
    <x:row r="896">
      <x:c r="A896" s="33" t="str">
        <x:v>P4OBS122</x:v>
      </x:c>
      <x:c r="B896" s="33" t="str">
        <x:v>AUD347</x:v>
      </x:c>
      <x:c r="C896" s="33" t="str">
        <x:v>Obtain clinical-establishment registration before operation where the establishment role and jurisdiction trigger apply. was not demonstrated or did not operate effectively for the sample tested.</x:v>
      </x:c>
      <x:c r="D896" s="33" t="str">
        <x:v>High</x:v>
      </x:c>
      <x:c r="E896" s="33" t="str">
        <x:v>Implement the requirement, correct affected records or transactions, and retain evidence of operating effectiveness: Obtain clinical-establishment registration before operation where the establishment role and jurisdiction trigger apply.</x:v>
      </x:c>
      <x:c r="F896" s="33" t="str">
        <x:v>CA056</x:v>
      </x:c>
      <x:c r="G896" s="33" t="str">
        <x:v>P4_VALIDATION</x:v>
      </x:c>
      <x:c r="H896" s="33" t="str">
        <x:v>Yes</x:v>
      </x:c>
      <x:c r="I896" s="33" t="str">
        <x:v>P-4 chain-closure observation template.</x:v>
      </x:c>
    </x:row>
    <x:row r="897">
      <x:c r="A897" s="33" t="str">
        <x:v>P4OBS123</x:v>
      </x:c>
      <x:c r="B897" s="33" t="str">
        <x:v>AUD349</x:v>
      </x:c>
      <x:c r="C897" s="33" t="str">
        <x:v>Where the clinical-establishment overlay applies, maintain prescribed minimum standards, personnel, records/reporting and emergency-stabilization arrangements. was not demonstrated or did not operate effectively for the sample tested.</x:v>
      </x:c>
      <x:c r="D897" s="33" t="str">
        <x:v>High</x:v>
      </x:c>
      <x:c r="E897" s="33" t="str">
        <x:v>Implement the requirement, correct affected records or transactions, and retain evidence of operating effectiveness: Where the clinical-establishment overlay applies, maintain prescribed minimum standards, personnel, records/reporting and emergency-stabilization arrangements.</x:v>
      </x:c>
      <x:c r="F897" s="33" t="str">
        <x:v>CA056</x:v>
      </x:c>
      <x:c r="G897" s="33" t="str">
        <x:v>P4_VALIDATION</x:v>
      </x:c>
      <x:c r="H897" s="33" t="str">
        <x:v>Yes</x:v>
      </x:c>
      <x:c r="I897" s="33" t="str">
        <x:v>P-4 chain-closure observation template.</x:v>
      </x:c>
    </x:row>
    <x:row r="898">
      <x:c r="A898" s="33" t="str">
        <x:v>P4OBS124</x:v>
      </x:c>
      <x:c r="B898" s="33" t="str">
        <x:v>AUD351</x:v>
      </x:c>
      <x:c r="C898" s="33" t="str">
        <x:v>Display the registration certificate and complete applicable renewal/continuation requirements for the clinical establishment. was not demonstrated or did not operate effectively for the sample tested.</x:v>
      </x:c>
      <x:c r="D898" s="33" t="str">
        <x:v>High</x:v>
      </x:c>
      <x:c r="E898" s="33" t="str">
        <x:v>Implement the requirement, correct affected records or transactions, and retain evidence of operating effectiveness: Display the registration certificate and complete applicable renewal/continuation requirements for the clinical establishment.</x:v>
      </x:c>
      <x:c r="F898" s="33" t="str">
        <x:v>CA020</x:v>
      </x:c>
      <x:c r="G898" s="33" t="str">
        <x:v>P4_VALIDATION</x:v>
      </x:c>
      <x:c r="H898" s="33" t="str">
        <x:v>Yes</x:v>
      </x:c>
      <x:c r="I898" s="33" t="str">
        <x:v>P-4 chain-closure observation template.</x:v>
      </x:c>
    </x:row>
    <x:row r="899">
      <x:c r="A899" s="33" t="str">
        <x:v>P4OBS125</x:v>
      </x:c>
      <x:c r="B899" s="33" t="str">
        <x:v>AUD399</x:v>
      </x:c>
      <x:c r="C899" s="33" t="str">
        <x:v>Before release, substantiate all objective claims and ensure the advertisement is truthful and not misleading by implication, omission, exaggeration or ambiguity. was not demonstrated or did not operate effectively for the sample tested.</x:v>
      </x:c>
      <x:c r="D899" s="33" t="str">
        <x:v>High</x:v>
      </x:c>
      <x:c r="E899" s="33" t="str">
        <x:v>Implement the requirement, correct affected records or transactions, and retain evidence of operating effectiveness: Before release, substantiate all objective claims and ensure the advertisement is truthful and not misleading by implication, omission, exaggeration or ambiguity.</x:v>
      </x:c>
      <x:c r="F899" s="33" t="str">
        <x:v>CA064</x:v>
      </x:c>
      <x:c r="G899" s="33" t="str">
        <x:v>P4_VALIDATION</x:v>
      </x:c>
      <x:c r="H899" s="33" t="str">
        <x:v>Yes</x:v>
      </x:c>
      <x:c r="I899" s="33" t="str">
        <x:v>P-4 chain-closure observation template.</x:v>
      </x:c>
    </x:row>
    <x:row r="900">
      <x:c r="A900" s="33" t="str">
        <x:v>P4OBS126</x:v>
      </x:c>
      <x:c r="B900" s="33" t="str">
        <x:v>AUD401</x:v>
      </x:c>
      <x:c r="C900" s="33" t="str">
        <x:v>Use only clear, prominent disclaimers that do not conceal material information or contradict the main claim. was not demonstrated or did not operate effectively for the sample tested.</x:v>
      </x:c>
      <x:c r="D900" s="33" t="str">
        <x:v>High</x:v>
      </x:c>
      <x:c r="E900" s="33" t="str">
        <x:v>Implement the requirement, correct affected records or transactions, and retain evidence of operating effectiveness: Use only clear, prominent disclaimers that do not conceal material information or contradict the main claim.</x:v>
      </x:c>
      <x:c r="F900" s="33" t="str">
        <x:v>CA064</x:v>
      </x:c>
      <x:c r="G900" s="33" t="str">
        <x:v>P4_VALIDATION</x:v>
      </x:c>
      <x:c r="H900" s="33" t="str">
        <x:v>Yes</x:v>
      </x:c>
      <x:c r="I900" s="33" t="str">
        <x:v>P-4 chain-closure observation template.</x:v>
      </x:c>
    </x:row>
    <x:row r="901">
      <x:c r="A901" s="33" t="str">
        <x:v>P4OBS127</x:v>
      </x:c>
      <x:c r="B901" s="33" t="str">
        <x:v>AUD403</x:v>
      </x:c>
      <x:c r="C901" s="33" t="str">
        <x:v>Do not advertise a product/service prohibited by law and document endorsement due diligence where an endorsement is used. was not demonstrated or did not operate effectively for the sample tested.</x:v>
      </x:c>
      <x:c r="D901" s="33" t="str">
        <x:v>High</x:v>
      </x:c>
      <x:c r="E901" s="33" t="str">
        <x:v>Implement the requirement, correct affected records or transactions, and retain evidence of operating effectiveness: Do not advertise a product/service prohibited by law and document endorsement due diligence where an endorsement is used.</x:v>
      </x:c>
      <x:c r="F901" s="33" t="str">
        <x:v>CA064</x:v>
      </x:c>
      <x:c r="G901" s="33" t="str">
        <x:v>P4_VALIDATION</x:v>
      </x:c>
      <x:c r="H901" s="33" t="str">
        <x:v>Yes</x:v>
      </x:c>
      <x:c r="I901" s="33" t="str">
        <x:v>P-4 chain-closure observation template.</x:v>
      </x:c>
    </x:row>
    <x:row r="902">
      <x:c r="A902" s="33" t="str">
        <x:v>P4OBS128</x:v>
      </x:c>
      <x:c r="B902" s="33" t="str">
        <x:v>AUD405</x:v>
      </x:c>
      <x:c r="C902" s="33" t="str">
        <x:v>Do not advertise a drug for the section 3/Schedule prohibited purposes, diseases or conditions. was not demonstrated or did not operate effectively for the sample tested.</x:v>
      </x:c>
      <x:c r="D902" s="33" t="str">
        <x:v>High</x:v>
      </x:c>
      <x:c r="E902" s="33" t="str">
        <x:v>Implement the requirement, correct affected records or transactions, and retain evidence of operating effectiveness: Do not advertise a drug for the section 3/Schedule prohibited purposes, diseases or conditions.</x:v>
      </x:c>
      <x:c r="F902" s="33" t="str">
        <x:v>CA064</x:v>
      </x:c>
      <x:c r="G902" s="33" t="str">
        <x:v>P4_VALIDATION</x:v>
      </x:c>
      <x:c r="H902" s="33" t="str">
        <x:v>Yes</x:v>
      </x:c>
      <x:c r="I902" s="33" t="str">
        <x:v>P-4 chain-closure observation template.</x:v>
      </x:c>
    </x:row>
    <x:row r="903">
      <x:c r="A903" s="33" t="str">
        <x:v>P4OBS129</x:v>
      </x:c>
      <x:c r="B903" s="33" t="str">
        <x:v>AUD407</x:v>
      </x:c>
      <x:c r="C903" s="33" t="str">
        <x:v>Do not issue a drug advertisement that gives a false impression, makes a false claim or is otherwise materially false/misleading. was not demonstrated or did not operate effectively for the sample tested.</x:v>
      </x:c>
      <x:c r="D903" s="33" t="str">
        <x:v>High</x:v>
      </x:c>
      <x:c r="E903" s="33" t="str">
        <x:v>Implement the requirement, correct affected records or transactions, and retain evidence of operating effectiveness: Do not issue a drug advertisement that gives a false impression, makes a false claim or is otherwise materially false/misleading.</x:v>
      </x:c>
      <x:c r="F903" s="33" t="str">
        <x:v>CA064</x:v>
      </x:c>
      <x:c r="G903" s="33" t="str">
        <x:v>P4_VALIDATION</x:v>
      </x:c>
      <x:c r="H903" s="33" t="str">
        <x:v>Yes</x:v>
      </x:c>
      <x:c r="I903" s="33" t="str">
        <x:v>P-4 chain-closure observation template.</x:v>
      </x:c>
    </x:row>
    <x:row r="904">
      <x:c r="A904" s="33" t="str">
        <x:v>P4OBS130</x:v>
      </x:c>
      <x:c r="B904" s="33" t="str">
        <x:v>AUD441</x:v>
      </x:c>
      <x:c r="C904" s="33" t="str">
        <x:v>If the OSHWC Code applies, maintain the covered workplace-safety/health controls, provide required information/instruction and meet notified standards. was not demonstrated or did not operate effectively for the sample tested.</x:v>
      </x:c>
      <x:c r="D904" s="33" t="str">
        <x:v>High</x:v>
      </x:c>
      <x:c r="E904" s="33" t="str">
        <x:v>Implement the requirement, correct affected records or transactions, and retain evidence of operating effectiveness: If the OSHWC Code applies, maintain the covered workplace-safety/health controls, provide required information/instruction and meet notified standards.</x:v>
      </x:c>
      <x:c r="F904" s="33" t="str">
        <x:v>CA044</x:v>
      </x:c>
      <x:c r="G904" s="33" t="str">
        <x:v>P4_VALIDATION</x:v>
      </x:c>
      <x:c r="H904" s="33" t="str">
        <x:v>Yes</x:v>
      </x:c>
      <x:c r="I904" s="33" t="str">
        <x:v>P-4 chain-closure observation template.</x:v>
      </x:c>
    </x:row>
    <x:row r="905">
      <x:c r="A905" s="33" t="str">
        <x:v>P4OBS131</x:v>
      </x:c>
      <x:c r="B905" s="33" t="str">
        <x:v>AUD443</x:v>
      </x:c>
      <x:c r="C905" s="33" t="str">
        <x:v>If covered, implement the applicable welfare, working-time and employee information/appointment-letter controls under the Code and 2026 Rules. was not demonstrated or did not operate effectively for the sample tested.</x:v>
      </x:c>
      <x:c r="D905" s="33" t="str">
        <x:v>High</x:v>
      </x:c>
      <x:c r="E905" s="33" t="str">
        <x:v>Implement the requirement, correct affected records or transactions, and retain evidence of operating effectiveness: If covered, implement the applicable welfare, working-time and employee information/appointment-letter controls under the Code and 2026 Rules.</x:v>
      </x:c>
      <x:c r="F905" s="33" t="str">
        <x:v>CA044</x:v>
      </x:c>
      <x:c r="G905" s="33" t="str">
        <x:v>P4_VALIDATION</x:v>
      </x:c>
      <x:c r="H905" s="33" t="str">
        <x:v>Yes</x:v>
      </x:c>
      <x:c r="I905" s="33" t="str">
        <x:v>P-4 chain-closure observation template.</x:v>
      </x:c>
    </x:row>
    <x:row r="906">
      <x:c r="A906" s="33" t="str">
        <x:v>P4OBS132</x:v>
      </x:c>
      <x:c r="B906" s="33" t="str">
        <x:v>AUD445</x:v>
      </x:c>
      <x:c r="C906" s="33" t="str">
        <x:v>Report and record only the occupational accidents/dangerous occurrences prescribed for the covered establishment within the statutory timeline. was not demonstrated or did not operate effectively for the sample tested.</x:v>
      </x:c>
      <x:c r="D906" s="33" t="str">
        <x:v>High</x:v>
      </x:c>
      <x:c r="E906" s="33" t="str">
        <x:v>Implement the requirement, correct affected records or transactions, and retain evidence of operating effectiveness: Report and record only the occupational accidents/dangerous occurrences prescribed for the covered establishment within the statutory timeline.</x:v>
      </x:c>
      <x:c r="F906" s="33" t="str">
        <x:v>CA044</x:v>
      </x:c>
      <x:c r="G906" s="33" t="str">
        <x:v>P4_VALIDATION</x:v>
      </x:c>
      <x:c r="H906" s="33" t="str">
        <x:v>Yes</x:v>
      </x:c>
      <x:c r="I906" s="33" t="str">
        <x:v>P-4 chain-closure observation template.</x:v>
      </x:c>
    </x:row>
    <x:row r="907">
      <x:c r="A907" s="33" t="str">
        <x:v>P4OBS133</x:v>
      </x:c>
      <x:c r="B907" s="33" t="str">
        <x:v>AUD447</x:v>
      </x:c>
      <x:c r="C907" s="33" t="str">
        <x:v>Perform temperature mapping of storage areas before commissioning and after major modifications. was not demonstrated or did not operate effectively for the sample tested.</x:v>
      </x:c>
      <x:c r="D907" s="33" t="str">
        <x:v>High</x:v>
      </x:c>
      <x:c r="E907" s="33" t="str">
        <x:v>Implement the requirement, correct affected records or transactions, and retain evidence of operating effectiveness: Perform temperature mapping of storage areas before commissioning and after major modifications.</x:v>
      </x:c>
      <x:c r="F907" s="33" t="str">
        <x:v>CA008</x:v>
      </x:c>
      <x:c r="G907" s="33" t="str">
        <x:v>P4_VALIDATION</x:v>
      </x:c>
      <x:c r="H907" s="33" t="str">
        <x:v>Yes</x:v>
      </x:c>
      <x:c r="I907" s="33" t="str">
        <x:v>P-4 chain-closure observation template.</x:v>
      </x:c>
    </x:row>
    <x:row r="908">
      <x:c r="A908" s="33" t="str">
        <x:v>P4OBS134</x:v>
      </x:c>
      <x:c r="B908" s="33" t="str">
        <x:v>AUD449</x:v>
      </x:c>
      <x:c r="C908" s="33" t="str">
        <x:v>Revalidate temperature mapping periodically and after significant changes to storage conditions. was not demonstrated or did not operate effectively for the sample tested.</x:v>
      </x:c>
      <x:c r="D908" s="33" t="str">
        <x:v>High</x:v>
      </x:c>
      <x:c r="E908" s="33" t="str">
        <x:v>Implement the requirement, correct affected records or transactions, and retain evidence of operating effectiveness: Revalidate temperature mapping periodically and after significant changes to storage conditions.</x:v>
      </x:c>
      <x:c r="F908" s="33" t="str">
        <x:v>CA008</x:v>
      </x:c>
      <x:c r="G908" s="33" t="str">
        <x:v>P4_VALIDATION</x:v>
      </x:c>
      <x:c r="H908" s="33" t="str">
        <x:v>Yes</x:v>
      </x:c>
      <x:c r="I908" s="33" t="str">
        <x:v>P-4 chain-closure observation template.</x:v>
      </x:c>
    </x:row>
    <x:row r="909">
      <x:c r="A909" s="33" t="str">
        <x:v>P4OBS135</x:v>
      </x:c>
      <x:c r="B909" s="33" t="str">
        <x:v>AUD451</x:v>
      </x:c>
      <x:c r="C909" s="33" t="str">
        <x:v>Maintain temperature mapping reports, protocols and validation records. was not demonstrated or did not operate effectively for the sample tested.</x:v>
      </x:c>
      <x:c r="D909" s="33" t="str">
        <x:v>High</x:v>
      </x:c>
      <x:c r="E909" s="33" t="str">
        <x:v>Implement the requirement, correct affected records or transactions, and retain evidence of operating effectiveness: Maintain temperature mapping reports, protocols and validation records.</x:v>
      </x:c>
      <x:c r="F909" s="33" t="str">
        <x:v>CA020</x:v>
      </x:c>
      <x:c r="G909" s="33" t="str">
        <x:v>P4_VALIDATION</x:v>
      </x:c>
      <x:c r="H909" s="33" t="str">
        <x:v>Yes</x:v>
      </x:c>
      <x:c r="I909" s="33" t="str">
        <x:v>P-4 chain-closure observation template.</x:v>
      </x:c>
    </x:row>
    <x:row r="910">
      <x:c r="A910" s="33" t="str">
        <x:v>P4OBS136</x:v>
      </x:c>
      <x:c r="B910" s="33" t="str">
        <x:v>AUD453</x:v>
      </x:c>
      <x:c r="C910" s="33" t="str">
        <x:v>Calibrate all critical measuring instruments at approved intervals. was not demonstrated or did not operate effectively for the sample tested.</x:v>
      </x:c>
      <x:c r="D910" s="33" t="str">
        <x:v>High</x:v>
      </x:c>
      <x:c r="E910" s="33" t="str">
        <x:v>Implement the requirement, correct affected records or transactions, and retain evidence of operating effectiveness: Calibrate all critical measuring instruments at approved intervals.</x:v>
      </x:c>
      <x:c r="F910" s="33" t="str">
        <x:v>CA009</x:v>
      </x:c>
      <x:c r="G910" s="33" t="str">
        <x:v>P4_VALIDATION</x:v>
      </x:c>
      <x:c r="H910" s="33" t="str">
        <x:v>Yes</x:v>
      </x:c>
      <x:c r="I910" s="33" t="str">
        <x:v>P-4 chain-closure observation template.</x:v>
      </x:c>
    </x:row>
    <x:row r="911">
      <x:c r="A911" s="33" t="str">
        <x:v>P4OBS137</x:v>
      </x:c>
      <x:c r="B911" s="33" t="str">
        <x:v>AUD455</x:v>
      </x:c>
      <x:c r="C911" s="33" t="str">
        <x:v>Qualify equipment before operational use and after major repairs where required. was not demonstrated or did not operate effectively for the sample tested.</x:v>
      </x:c>
      <x:c r="D911" s="33" t="str">
        <x:v>High</x:v>
      </x:c>
      <x:c r="E911" s="33" t="str">
        <x:v>Implement the requirement, correct affected records or transactions, and retain evidence of operating effectiveness: Qualify equipment before operational use and after major repairs where required.</x:v>
      </x:c>
      <x:c r="F911" s="33" t="str">
        <x:v>CA009</x:v>
      </x:c>
      <x:c r="G911" s="33" t="str">
        <x:v>P4_VALIDATION</x:v>
      </x:c>
      <x:c r="H911" s="33" t="str">
        <x:v>Yes</x:v>
      </x:c>
      <x:c r="I911" s="33" t="str">
        <x:v>P-4 chain-closure observation template.</x:v>
      </x:c>
    </x:row>
    <x:row r="912">
      <x:c r="A912" s="33" t="str">
        <x:v>P4OBS138</x:v>
      </x:c>
      <x:c r="B912" s="33" t="str">
        <x:v>AUD457</x:v>
      </x:c>
      <x:c r="C912" s="33" t="str">
        <x:v>Implement a documented preventive maintenance programme for critical equipment. was not demonstrated or did not operate effectively for the sample tested.</x:v>
      </x:c>
      <x:c r="D912" s="33" t="str">
        <x:v>High</x:v>
      </x:c>
      <x:c r="E912" s="33" t="str">
        <x:v>Implement the requirement, correct affected records or transactions, and retain evidence of operating effectiveness: Implement a documented preventive maintenance programme for critical equipment.</x:v>
      </x:c>
      <x:c r="F912" s="33" t="str">
        <x:v>CA009</x:v>
      </x:c>
      <x:c r="G912" s="33" t="str">
        <x:v>P4_VALIDATION</x:v>
      </x:c>
      <x:c r="H912" s="33" t="str">
        <x:v>Yes</x:v>
      </x:c>
      <x:c r="I912" s="33" t="str">
        <x:v>P-4 chain-closure observation template.</x:v>
      </x:c>
    </x:row>
    <x:row r="913">
      <x:c r="A913" s="33" t="str">
        <x:v>P4OBS139</x:v>
      </x:c>
      <x:c r="B913" s="33" t="str">
        <x:v>AUD459</x:v>
      </x:c>
      <x:c r="C913" s="33" t="str">
        <x:v>Maintain calibration certificates and calibration history for all critical instruments. was not demonstrated or did not operate effectively for the sample tested.</x:v>
      </x:c>
      <x:c r="D913" s="33" t="str">
        <x:v>High</x:v>
      </x:c>
      <x:c r="E913" s="33" t="str">
        <x:v>Implement the requirement, correct affected records or transactions, and retain evidence of operating effectiveness: Maintain calibration certificates and calibration history for all critical instruments.</x:v>
      </x:c>
      <x:c r="F913" s="33" t="str">
        <x:v>CA020</x:v>
      </x:c>
      <x:c r="G913" s="33" t="str">
        <x:v>P4_VALIDATION</x:v>
      </x:c>
      <x:c r="H913" s="33" t="str">
        <x:v>Yes</x:v>
      </x:c>
      <x:c r="I913" s="33" t="str">
        <x:v>P-4 chain-closure observation template.</x:v>
      </x:c>
    </x:row>
    <x:row r="914">
      <x:c r="A914" s="33" t="str">
        <x:v>P4OBS140</x:v>
      </x:c>
      <x:c r="B914" s="33" t="str">
        <x:v>AUD461</x:v>
      </x:c>
      <x:c r="C914" s="33" t="str">
        <x:v>Verify equipment performance following maintenance or calibration activities. was not demonstrated or did not operate effectively for the sample tested.</x:v>
      </x:c>
      <x:c r="D914" s="33" t="str">
        <x:v>High</x:v>
      </x:c>
      <x:c r="E914" s="33" t="str">
        <x:v>Implement the requirement, correct affected records or transactions, and retain evidence of operating effectiveness: Verify equipment performance following maintenance or calibration activities.</x:v>
      </x:c>
      <x:c r="F914" s="33" t="str">
        <x:v>CA009</x:v>
      </x:c>
      <x:c r="G914" s="33" t="str">
        <x:v>P4_VALIDATION</x:v>
      </x:c>
      <x:c r="H914" s="33" t="str">
        <x:v>Yes</x:v>
      </x:c>
      <x:c r="I914" s="33" t="str">
        <x:v>P-4 chain-closure observation template.</x:v>
      </x:c>
    </x:row>
    <x:row r="915">
      <x:c r="A915" s="33" t="str">
        <x:v>P4OBS141</x:v>
      </x:c>
      <x:c r="B915" s="33" t="str">
        <x:v>AUD463</x:v>
      </x:c>
      <x:c r="C915" s="33" t="str">
        <x:v>Clearly identify and segregate equipment that is overdue for calibration or found to be defective. was not demonstrated or did not operate effectively for the sample tested.</x:v>
      </x:c>
      <x:c r="D915" s="33" t="str">
        <x:v>High</x:v>
      </x:c>
      <x:c r="E915" s="33" t="str">
        <x:v>Implement the requirement, correct affected records or transactions, and retain evidence of operating effectiveness: Clearly identify and segregate equipment that is overdue for calibration or found to be defective.</x:v>
      </x:c>
      <x:c r="F915" s="33" t="str">
        <x:v>CA009</x:v>
      </x:c>
      <x:c r="G915" s="33" t="str">
        <x:v>P4_VALIDATION</x:v>
      </x:c>
      <x:c r="H915" s="33" t="str">
        <x:v>Yes</x:v>
      </x:c>
      <x:c r="I915" s="33" t="str">
        <x:v>P-4 chain-closure observation template.</x:v>
      </x:c>
    </x:row>
    <x:row r="916">
      <x:c r="A916" s="33" t="str">
        <x:v>P4OBS142</x:v>
      </x:c>
      <x:c r="B916" s="33" t="str">
        <x:v>AUD465</x:v>
      </x:c>
      <x:c r="C916" s="33" t="str">
        <x:v>Ensure calibration is traceable to nationally or internationally recognized standards. was not demonstrated or did not operate effectively for the sample tested.</x:v>
      </x:c>
      <x:c r="D916" s="33" t="str">
        <x:v>High</x:v>
      </x:c>
      <x:c r="E916" s="33" t="str">
        <x:v>Implement the requirement, correct affected records or transactions, and retain evidence of operating effectiveness: Ensure calibration is traceable to nationally or internationally recognized standards.</x:v>
      </x:c>
      <x:c r="F916" s="33" t="str">
        <x:v>CA009</x:v>
      </x:c>
      <x:c r="G916" s="33" t="str">
        <x:v>P4_VALIDATION</x:v>
      </x:c>
      <x:c r="H916" s="33" t="str">
        <x:v>Yes</x:v>
      </x:c>
      <x:c r="I916" s="33" t="str">
        <x:v>P-4 chain-closure observation template.</x:v>
      </x:c>
    </x:row>
    <x:row r="917">
      <x:c r="A917" s="33" t="str">
        <x:v>P4OBS143</x:v>
      </x:c>
      <x:c r="B917" s="33" t="str">
        <x:v>AUD466</x:v>
      </x:c>
      <x:c r="C917" s="33" t="str">
        <x:v>Ensure calibration is traceable to nationally or internationally recognized standards. was not demonstrated or did not operate effectively for the sample tested.</x:v>
      </x:c>
      <x:c r="D917" s="33" t="str">
        <x:v>High</x:v>
      </x:c>
      <x:c r="E917" s="33" t="str">
        <x:v>Implement the requirement, correct affected records or transactions, and retain evidence of operating effectiveness: Ensure calibration is traceable to nationally or internationally recognized standards.</x:v>
      </x:c>
      <x:c r="F917" s="33" t="str">
        <x:v>CA009</x:v>
      </x:c>
      <x:c r="G917" s="33" t="str">
        <x:v>P4_VALIDATION</x:v>
      </x:c>
      <x:c r="H917" s="33" t="str">
        <x:v>Yes</x:v>
      </x:c>
      <x:c r="I917" s="33" t="str">
        <x:v>P-4 chain-closure observation template.</x:v>
      </x:c>
    </x:row>
    <x:row r="918">
      <x:c r="A918" s="33" t="str">
        <x:v>P4OBS144</x:v>
      </x:c>
      <x:c r="B918" s="33" t="str">
        <x:v>AUD468</x:v>
      </x:c>
      <x:c r="C918" s="33" t="str">
        <x:v>Periodically review the effectiveness of the calibration and maintenance programme. was not demonstrated or did not operate effectively for the sample tested.</x:v>
      </x:c>
      <x:c r="D918" s="33" t="str">
        <x:v>High</x:v>
      </x:c>
      <x:c r="E918" s="33" t="str">
        <x:v>Implement the requirement, correct affected records or transactions, and retain evidence of operating effectiveness: Periodically review the effectiveness of the calibration and maintenance programme.</x:v>
      </x:c>
      <x:c r="F918" s="33" t="str">
        <x:v>CA083</x:v>
      </x:c>
      <x:c r="G918" s="33" t="str">
        <x:v>P4_VALIDATION</x:v>
      </x:c>
      <x:c r="H918" s="33" t="str">
        <x:v>Yes</x:v>
      </x:c>
      <x:c r="I918" s="33" t="str">
        <x:v>P-4 chain-closure observation template.</x:v>
      </x:c>
    </x:row>
    <x:row r="919">
      <x:c r="A919" s="33" t="str">
        <x:v>P4OBS145</x:v>
      </x:c>
      <x:c r="B919" s="33" t="str">
        <x:v>AUD469</x:v>
      </x:c>
      <x:c r="C919" s="33" t="str">
        <x:v>Periodically review the effectiveness of the calibration and maintenance programme. was not demonstrated or did not operate effectively for the sample tested.</x:v>
      </x:c>
      <x:c r="D919" s="33" t="str">
        <x:v>High</x:v>
      </x:c>
      <x:c r="E919" s="33" t="str">
        <x:v>Implement the requirement, correct affected records or transactions, and retain evidence of operating effectiveness: Periodically review the effectiveness of the calibration and maintenance programme.</x:v>
      </x:c>
      <x:c r="F919" s="33" t="str">
        <x:v>CA083</x:v>
      </x:c>
      <x:c r="G919" s="33" t="str">
        <x:v>P4_VALIDATION</x:v>
      </x:c>
      <x:c r="H919" s="33" t="str">
        <x:v>Yes</x:v>
      </x:c>
      <x:c r="I919" s="33" t="str">
        <x:v>P-4 chain-closure observation template.</x:v>
      </x:c>
    </x:row>
    <x:row r="920">
      <x:c r="A920" s="33" t="str">
        <x:v>P4OBS146</x:v>
      </x:c>
      <x:c r="B920" s="33" t="str">
        <x:v>AUD471</x:v>
      </x:c>
      <x:c r="C920" s="33" t="str">
        <x:v>Synchronise ICT system clocks to NIC/NPL traceable NTP servers or another accurate time source traceable to them. was not demonstrated or did not operate effectively for the sample tested.</x:v>
      </x:c>
      <x:c r="D920" s="33" t="str">
        <x:v>High</x:v>
      </x:c>
      <x:c r="E920" s="33" t="str">
        <x:v>Implement the requirement, correct affected records or transactions, and retain evidence of operating effectiveness: Synchronise ICT system clocks to NIC/NPL traceable NTP servers or another accurate time source traceable to them.</x:v>
      </x:c>
      <x:c r="F920" s="33" t="str">
        <x:v>CA072</x:v>
      </x:c>
      <x:c r="G920" s="33" t="str">
        <x:v>P4_VALIDATION</x:v>
      </x:c>
      <x:c r="H920" s="33" t="str">
        <x:v>Yes</x:v>
      </x:c>
      <x:c r="I920" s="33" t="str">
        <x:v>P-4 chain-closure observation template.</x:v>
      </x:c>
    </x:row>
    <x:row r="921">
      <x:c r="A921" s="33" t="str">
        <x:v>P4OBS147</x:v>
      </x:c>
      <x:c r="B921" s="33" t="str">
        <x:v>AUD473</x:v>
      </x:c>
      <x:c r="C921" s="33" t="str">
        <x:v>Report any specified Annexure I cyber incident to CERT-In within six hours of noticing it or being informed. was not demonstrated or did not operate effectively for the sample tested.</x:v>
      </x:c>
      <x:c r="D921" s="33" t="str">
        <x:v>Critical</x:v>
      </x:c>
      <x:c r="E921" s="33" t="str">
        <x:v>Implement the requirement, correct affected records or transactions, and retain evidence of operating effectiveness: Report any specified Annexure I cyber incident to CERT-In within six hours of noticing it or being informed.</x:v>
      </x:c>
      <x:c r="F921" s="33" t="str">
        <x:v>CA072</x:v>
      </x:c>
      <x:c r="G921" s="33" t="str">
        <x:v>P4_VALIDATION</x:v>
      </x:c>
      <x:c r="H921" s="33" t="str">
        <x:v>Yes</x:v>
      </x:c>
      <x:c r="I921" s="33" t="str">
        <x:v>P-4 chain-closure observation template.</x:v>
      </x:c>
    </x:row>
    <x:row r="922">
      <x:c r="A922" s="33" t="str">
        <x:v>P4OBS148</x:v>
      </x:c>
      <x:c r="B922" s="33" t="str">
        <x:v>AUD475</x:v>
      </x:c>
      <x:c r="C922" s="33" t="str">
        <x:v>Enable ICT logs, retain them securely for a rolling 180 days within Indian jurisdiction and provide them to CERT-In when lawfully required. was not demonstrated or did not operate effectively for the sample tested.</x:v>
      </x:c>
      <x:c r="D922" s="33" t="str">
        <x:v>High</x:v>
      </x:c>
      <x:c r="E922" s="33" t="str">
        <x:v>Implement the requirement, correct affected records or transactions, and retain evidence of operating effectiveness: Enable ICT logs, retain them securely for a rolling 180 days within Indian jurisdiction and provide them to CERT-In when lawfully required.</x:v>
      </x:c>
      <x:c r="F922" s="33" t="str">
        <x:v>CA072</x:v>
      </x:c>
      <x:c r="G922" s="33" t="str">
        <x:v>P4_VALIDATION</x:v>
      </x:c>
      <x:c r="H922" s="33" t="str">
        <x:v>Yes</x:v>
      </x:c>
      <x:c r="I922" s="33" t="str">
        <x:v>P-4 chain-closure observation template.</x:v>
      </x:c>
    </x:row>
    <x:row r="923">
      <x:c r="A923" s="33" t="str">
        <x:v>P4OBS149</x:v>
      </x:c>
      <x:c r="B923" s="33" t="str">
        <x:v>AUD477</x:v>
      </x:c>
      <x:c r="C923" s="33" t="str">
        <x:v>Designate, communicate and keep current the prescribed CERT-In point-of-contact details. was not demonstrated or did not operate effectively for the sample tested.</x:v>
      </x:c>
      <x:c r="D923" s="33" t="str">
        <x:v>High</x:v>
      </x:c>
      <x:c r="E923" s="33" t="str">
        <x:v>Implement the requirement, correct affected records or transactions, and retain evidence of operating effectiveness: Designate, communicate and keep current the prescribed CERT-In point-of-contact details.</x:v>
      </x:c>
      <x:c r="F923" s="33" t="str">
        <x:v>CA072</x:v>
      </x:c>
      <x:c r="G923" s="33" t="str">
        <x:v>P4_VALIDATION</x:v>
      </x:c>
      <x:c r="H923" s="33" t="str">
        <x:v>Yes</x:v>
      </x:c>
      <x:c r="I923" s="33" t="str">
        <x:v>P-4 chain-closure observation template.</x:v>
      </x:c>
    </x:row>
    <x:row r="924">
      <x:c r="A924" s="33" t="str">
        <x:v>P4OBS150</x:v>
      </x:c>
      <x:c r="B924" s="33" t="str">
        <x:v>AUD491</x:v>
      </x:c>
      <x:c r="C924" s="33" t="str">
        <x:v>Maintain pharmacy premises, records and operations in a state of inspection readiness at all times. was not demonstrated or did not operate effectively for the sample tested.</x:v>
      </x:c>
      <x:c r="D924" s="33" t="str">
        <x:v>High</x:v>
      </x:c>
      <x:c r="E924" s="33" t="str">
        <x:v>Implement the requirement, correct affected records or transactions, and retain evidence of operating effectiveness: Maintain pharmacy premises, records and operations in a state of inspection readiness at all times.</x:v>
      </x:c>
      <x:c r="F924" s="33" t="str">
        <x:v>CA077</x:v>
      </x:c>
      <x:c r="G924" s="33" t="str">
        <x:v>P4_VALIDATION</x:v>
      </x:c>
      <x:c r="H924" s="33" t="str">
        <x:v>Yes</x:v>
      </x:c>
      <x:c r="I924" s="33" t="str">
        <x:v>P-4 chain-closure observation template.</x:v>
      </x:c>
    </x:row>
    <x:row r="925">
      <x:c r="A925" s="33" t="str">
        <x:v>P4OBS151</x:v>
      </x:c>
      <x:c r="B925" s="33" t="str">
        <x:v>AUD493</x:v>
      </x:c>
      <x:c r="C925" s="33" t="str">
        <x:v>Ensure statutory licences, approvals and registers are readily available for inspection. was not demonstrated or did not operate effectively for the sample tested.</x:v>
      </x:c>
      <x:c r="D925" s="33" t="str">
        <x:v>High</x:v>
      </x:c>
      <x:c r="E925" s="33" t="str">
        <x:v>Implement the requirement, correct affected records or transactions, and retain evidence of operating effectiveness: Ensure statutory licences, approvals and registers are readily available for inspection.</x:v>
      </x:c>
      <x:c r="F925" s="33" t="str">
        <x:v>CA019</x:v>
      </x:c>
      <x:c r="G925" s="33" t="str">
        <x:v>P4_VALIDATION</x:v>
      </x:c>
      <x:c r="H925" s="33" t="str">
        <x:v>Yes</x:v>
      </x:c>
      <x:c r="I925" s="33" t="str">
        <x:v>P-4 chain-closure observation template.</x:v>
      </x:c>
    </x:row>
    <x:row r="926">
      <x:c r="A926" s="33" t="str">
        <x:v>P4OBS152</x:v>
      </x:c>
      <x:c r="B926" s="33" t="str">
        <x:v>AUD495</x:v>
      </x:c>
      <x:c r="C926" s="33" t="str">
        <x:v>Maintain approved Standard Operating Procedures (SOPs) for all critical pharmacy processes. was not demonstrated or did not operate effectively for the sample tested.</x:v>
      </x:c>
      <x:c r="D926" s="33" t="str">
        <x:v>High</x:v>
      </x:c>
      <x:c r="E926" s="33" t="str">
        <x:v>Implement the requirement, correct affected records or transactions, and retain evidence of operating effectiveness: Maintain approved Standard Operating Procedures (SOPs) for all critical pharmacy processes.</x:v>
      </x:c>
      <x:c r="F926" s="33" t="str">
        <x:v>CA096</x:v>
      </x:c>
      <x:c r="G926" s="33" t="str">
        <x:v>P4_VALIDATION</x:v>
      </x:c>
      <x:c r="H926" s="33" t="str">
        <x:v>Yes</x:v>
      </x:c>
      <x:c r="I926" s="33" t="str">
        <x:v>P-4 chain-closure observation template.</x:v>
      </x:c>
    </x:row>
    <x:row r="927">
      <x:c r="A927" s="33" t="str">
        <x:v>P4OBS153</x:v>
      </x:c>
      <x:c r="B927" s="33" t="str">
        <x:v>AUD497</x:v>
      </x:c>
      <x:c r="C927" s="33" t="str">
        <x:v>Review and respond to inspection observations within timelines prescribed by the authority. was not demonstrated or did not operate effectively for the sample tested.</x:v>
      </x:c>
      <x:c r="D927" s="33" t="str">
        <x:v>High</x:v>
      </x:c>
      <x:c r="E927" s="33" t="str">
        <x:v>Implement the requirement, correct affected records or transactions, and retain evidence of operating effectiveness: Review and respond to inspection observations within timelines prescribed by the authority.</x:v>
      </x:c>
      <x:c r="F927" s="33" t="str">
        <x:v>CA097</x:v>
      </x:c>
      <x:c r="G927" s="33" t="str">
        <x:v>P4_VALIDATION</x:v>
      </x:c>
      <x:c r="H927" s="33" t="str">
        <x:v>Yes</x:v>
      </x:c>
      <x:c r="I927" s="33" t="str">
        <x:v>P-4 chain-closure observation template.</x:v>
      </x:c>
    </x:row>
    <x:row r="928">
      <x:c r="A928" s="33" t="str">
        <x:v>P4OBS154</x:v>
      </x:c>
      <x:c r="B928" s="33" t="str">
        <x:v>AUD499</x:v>
      </x:c>
      <x:c r="C928" s="33" t="str">
        <x:v>Implement corrective and preventive actions (CAPA) for all regulatory inspection observations. was not demonstrated or did not operate effectively for the sample tested.</x:v>
      </x:c>
      <x:c r="D928" s="33" t="str">
        <x:v>High</x:v>
      </x:c>
      <x:c r="E928" s="33" t="str">
        <x:v>Implement the requirement, correct affected records or transactions, and retain evidence of operating effectiveness: Implement corrective and preventive actions (CAPA) for all regulatory inspection observations.</x:v>
      </x:c>
      <x:c r="F928" s="33" t="str">
        <x:v>CA098</x:v>
      </x:c>
      <x:c r="G928" s="33" t="str">
        <x:v>P4_VALIDATION</x:v>
      </x:c>
      <x:c r="H928" s="33" t="str">
        <x:v>Yes</x:v>
      </x:c>
      <x:c r="I928" s="33" t="str">
        <x:v>P-4 chain-closure observation template.</x:v>
      </x:c>
    </x:row>
    <x:row r="929">
      <x:c r="A929" s="33" t="str">
        <x:v>P4OBS155</x:v>
      </x:c>
      <x:c r="B929" s="33" t="str">
        <x:v>AUD501</x:v>
      </x:c>
      <x:c r="C929" s="33" t="str">
        <x:v>Conduct periodic internal compliance reviews covering all applicable pharmacy regulations. was not demonstrated or did not operate effectively for the sample tested.</x:v>
      </x:c>
      <x:c r="D929" s="33" t="str">
        <x:v>High</x:v>
      </x:c>
      <x:c r="E929" s="33" t="str">
        <x:v>Implement the requirement, correct affected records or transactions, and retain evidence of operating effectiveness: Conduct periodic internal compliance reviews covering all applicable pharmacy regulations.</x:v>
      </x:c>
      <x:c r="F929" s="33" t="str">
        <x:v>CA083</x:v>
      </x:c>
      <x:c r="G929" s="33" t="str">
        <x:v>P4_VALIDATION</x:v>
      </x:c>
      <x:c r="H929" s="33" t="str">
        <x:v>Yes</x:v>
      </x:c>
      <x:c r="I929" s="33" t="str">
        <x:v>P-4 chain-closure observation template.</x:v>
      </x:c>
    </x:row>
    <x:row r="930">
      <x:c r="A930" s="33" t="str">
        <x:v>P4OBS156</x:v>
      </x:c>
      <x:c r="B930" s="33" t="str">
        <x:v>AUD503</x:v>
      </x:c>
      <x:c r="C930" s="33" t="str">
        <x:v>Establish and maintain an enterprise compliance governance framework. was not demonstrated or did not operate effectively for the sample tested.</x:v>
      </x:c>
      <x:c r="D930" s="33" t="str">
        <x:v>High</x:v>
      </x:c>
      <x:c r="E930" s="33" t="str">
        <x:v>Implement the requirement, correct affected records or transactions, and retain evidence of operating effectiveness: Establish and maintain an enterprise compliance governance framework.</x:v>
      </x:c>
      <x:c r="F930" s="33" t="str">
        <x:v>CA099</x:v>
      </x:c>
      <x:c r="G930" s="33" t="str">
        <x:v>P4_VALIDATION</x:v>
      </x:c>
      <x:c r="H930" s="33" t="str">
        <x:v>Yes</x:v>
      </x:c>
      <x:c r="I930" s="33" t="str">
        <x:v>P-4 chain-closure observation template.</x:v>
      </x:c>
    </x:row>
    <x:row r="931">
      <x:c r="A931" s="33" t="str">
        <x:v>P4OBS157</x:v>
      </x:c>
      <x:c r="B931" s="33" t="str">
        <x:v>AUD505</x:v>
      </x:c>
      <x:c r="C931" s="33" t="str">
        <x:v>Assign clear ownership and accountability for every regulatory compliance obligation. was not demonstrated or did not operate effectively for the sample tested.</x:v>
      </x:c>
      <x:c r="D931" s="33" t="str">
        <x:v>High</x:v>
      </x:c>
      <x:c r="E931" s="33" t="str">
        <x:v>Implement the requirement, correct affected records or transactions, and retain evidence of operating effectiveness: Assign clear ownership and accountability for every regulatory compliance obligation.</x:v>
      </x:c>
      <x:c r="F931" s="33" t="str">
        <x:v>CA100</x:v>
      </x:c>
      <x:c r="G931" s="33" t="str">
        <x:v>P4_VALIDATION</x:v>
      </x:c>
      <x:c r="H931" s="33" t="str">
        <x:v>Yes</x:v>
      </x:c>
      <x:c r="I931" s="33" t="str">
        <x:v>P-4 chain-closure observation template.</x:v>
      </x:c>
    </x:row>
    <x:row r="932">
      <x:c r="A932" s="33" t="str">
        <x:v>P4OBS158</x:v>
      </x:c>
      <x:c r="B932" s="33" t="str">
        <x:v>AUD507</x:v>
      </x:c>
      <x:c r="C932" s="33" t="str">
        <x:v>Monitor regulatory updates and assess their impact on pharmacy operations. was not demonstrated or did not operate effectively for the sample tested.</x:v>
      </x:c>
      <x:c r="D932" s="33" t="str">
        <x:v>High</x:v>
      </x:c>
      <x:c r="E932" s="33" t="str">
        <x:v>Implement the requirement, correct affected records or transactions, and retain evidence of operating effectiveness: Monitor regulatory updates and assess their impact on pharmacy operations.</x:v>
      </x:c>
      <x:c r="F932" s="33" t="str">
        <x:v>CA084</x:v>
      </x:c>
      <x:c r="G932" s="33" t="str">
        <x:v>P4_VALIDATION</x:v>
      </x:c>
      <x:c r="H932" s="33" t="str">
        <x:v>Yes</x:v>
      </x:c>
      <x:c r="I932" s="33" t="str">
        <x:v>P-4 chain-closure observation template.</x:v>
      </x:c>
    </x:row>
    <x:row r="933">
      <x:c r="A933" s="33" t="str">
        <x:v>P4OBS159</x:v>
      </x:c>
      <x:c r="B933" s="33" t="str">
        <x:v>AUD509</x:v>
      </x:c>
      <x:c r="C933" s="33" t="str">
        <x:v>Maintain a compliance calendar covering all statutory obligations and due dates. was not demonstrated or did not operate effectively for the sample tested.</x:v>
      </x:c>
      <x:c r="D933" s="33" t="str">
        <x:v>High</x:v>
      </x:c>
      <x:c r="E933" s="33" t="str">
        <x:v>Implement the requirement, correct affected records or transactions, and retain evidence of operating effectiveness: Maintain a compliance calendar covering all statutory obligations and due dates.</x:v>
      </x:c>
      <x:c r="F933" s="33" t="str">
        <x:v>CA088</x:v>
      </x:c>
      <x:c r="G933" s="33" t="str">
        <x:v>P4_VALIDATION</x:v>
      </x:c>
      <x:c r="H933" s="33" t="str">
        <x:v>Yes</x:v>
      </x:c>
      <x:c r="I933" s="33" t="str">
        <x:v>P-4 chain-closure observation template.</x:v>
      </x:c>
    </x:row>
    <x:row r="934">
      <x:c r="A934" s="33" t="str">
        <x:v>P4OBS160</x:v>
      </x:c>
      <x:c r="B934" s="33" t="str">
        <x:v>AUD511</x:v>
      </x:c>
      <x:c r="C934" s="33" t="str">
        <x:v>Submit periodic compliance reports to senior management. was not demonstrated or did not operate effectively for the sample tested.</x:v>
      </x:c>
      <x:c r="D934" s="33" t="str">
        <x:v>High</x:v>
      </x:c>
      <x:c r="E934" s="33" t="str">
        <x:v>Implement the requirement, correct affected records or transactions, and retain evidence of operating effectiveness: Submit periodic compliance reports to senior management.</x:v>
      </x:c>
      <x:c r="F934" s="33" t="str">
        <x:v>CA086</x:v>
      </x:c>
      <x:c r="G934" s="33" t="str">
        <x:v>P4_VALIDATION</x:v>
      </x:c>
      <x:c r="H934" s="33" t="str">
        <x:v>Yes</x:v>
      </x:c>
      <x:c r="I934" s="33" t="str">
        <x:v>P-4 chain-closure observation template.</x:v>
      </x:c>
    </x:row>
    <x:row r="935">
      <x:c r="A935" s="33" t="str">
        <x:v>P4OBS161</x:v>
      </x:c>
      <x:c r="B935" s="33" t="str">
        <x:v>AUD513</x:v>
      </x:c>
      <x:c r="C935" s="33" t="str">
        <x:v>Perform periodic regulatory risk assessments and document mitigation measures. was not demonstrated or did not operate effectively for the sample tested.</x:v>
      </x:c>
      <x:c r="D935" s="33" t="str">
        <x:v>High</x:v>
      </x:c>
      <x:c r="E935" s="33" t="str">
        <x:v>Implement the requirement, correct affected records or transactions, and retain evidence of operating effectiveness: Perform periodic regulatory risk assessments and document mitigation measures.</x:v>
      </x:c>
      <x:c r="F935" s="33" t="str">
        <x:v>CA087</x:v>
      </x:c>
      <x:c r="G935" s="33" t="str">
        <x:v>P4_VALIDATION</x:v>
      </x:c>
      <x:c r="H935" s="33" t="str">
        <x:v>Yes</x:v>
      </x:c>
      <x:c r="I935" s="33" t="str">
        <x:v>P-4 chain-closure observation template.</x:v>
      </x:c>
    </x:row>
    <x:row r="936">
      <x:c r="A936" s="33" t="str">
        <x:v>P4OBS162</x:v>
      </x:c>
      <x:c r="B936" s="33" t="str">
        <x:v>AUD515</x:v>
      </x:c>
      <x:c r="C936" s="33" t="str">
        <x:v>Conduct independent internal audits to evaluate regulatory compliance effectiveness. was not demonstrated or did not operate effectively for the sample tested.</x:v>
      </x:c>
      <x:c r="D936" s="33" t="str">
        <x:v>High</x:v>
      </x:c>
      <x:c r="E936" s="33" t="str">
        <x:v>Implement the requirement, correct affected records or transactions, and retain evidence of operating effectiveness: Conduct independent internal audits to evaluate regulatory compliance effectiveness.</x:v>
      </x:c>
      <x:c r="F936" s="33" t="str">
        <x:v>CA083</x:v>
      </x:c>
      <x:c r="G936" s="33" t="str">
        <x:v>P4_VALIDATION</x:v>
      </x:c>
      <x:c r="H936" s="33" t="str">
        <x:v>Yes</x:v>
      </x:c>
      <x:c r="I936" s="33" t="str">
        <x:v>P-4 chain-closure observation template.</x:v>
      </x:c>
    </x:row>
    <x:row r="937">
      <x:c r="A937" s="33" t="str">
        <x:v>P4OBS163</x:v>
      </x:c>
      <x:c r="B937" s="33" t="str">
        <x:v>AUD517</x:v>
      </x:c>
      <x:c r="C937" s="33" t="str">
        <x:v>Maintain controlled regulatory documents with version control, approval history and archival records. was not demonstrated or did not operate effectively for the sample tested.</x:v>
      </x:c>
      <x:c r="D937" s="33" t="str">
        <x:v>High</x:v>
      </x:c>
      <x:c r="E937" s="33" t="str">
        <x:v>Implement the requirement, correct affected records or transactions, and retain evidence of operating effectiveness: Maintain controlled regulatory documents with version control, approval history and archival records.</x:v>
      </x:c>
      <x:c r="F937" s="33" t="str">
        <x:v>CA097</x:v>
      </x:c>
      <x:c r="G937" s="33" t="str">
        <x:v>P4_VALIDATION</x:v>
      </x:c>
      <x:c r="H937" s="33" t="str">
        <x:v>Yes</x:v>
      </x:c>
      <x:c r="I937" s="33" t="str">
        <x:v>P-4 chain-closure observation template.</x:v>
      </x:c>
    </x:row>
    <x:row r="938">
      <x:c r="A938" s="33" t="str">
        <x:v>P4OBS164</x:v>
      </x:c>
      <x:c r="B938" s="33" t="str">
        <x:v>AUD518</x:v>
      </x:c>
      <x:c r="C938" s="33" t="str">
        <x:v>Maintain controlled regulatory documents with version control, approval history and archival records. was not demonstrated or did not operate effectively for the sample tested.</x:v>
      </x:c>
      <x:c r="D938" s="33" t="str">
        <x:v>High</x:v>
      </x:c>
      <x:c r="E938" s="33" t="str">
        <x:v>Implement the requirement, correct affected records or transactions, and retain evidence of operating effectiveness: Maintain controlled regulatory documents with version control, approval history and archival records.</x:v>
      </x:c>
      <x:c r="F938" s="33" t="str">
        <x:v>CA097</x:v>
      </x:c>
      <x:c r="G938" s="33" t="str">
        <x:v>P4_VALIDATION</x:v>
      </x:c>
      <x:c r="H938" s="33" t="str">
        <x:v>Yes</x:v>
      </x:c>
      <x:c r="I938" s="33" t="str">
        <x:v>P-4 chain-closure observation template.</x:v>
      </x:c>
    </x:row>
    <x:row r="939">
      <x:c r="A939" s="33" t="str">
        <x:v>P4OBS165</x:v>
      </x:c>
      <x:c r="B939" s="33" t="str">
        <x:v>AUD520</x:v>
      </x:c>
      <x:c r="C939" s="33" t="str">
        <x:v>Periodically review and improve the compliance management system through continual improvement initiatives. was not demonstrated or did not operate effectively for the sample tested.</x:v>
      </x:c>
      <x:c r="D939" s="33" t="str">
        <x:v>High</x:v>
      </x:c>
      <x:c r="E939" s="33" t="str">
        <x:v>Implement the requirement, correct affected records or transactions, and retain evidence of operating effectiveness: Periodically review and improve the compliance management system through continual improvement initiatives.</x:v>
      </x:c>
      <x:c r="F939" s="33" t="str">
        <x:v>CA089</x:v>
      </x:c>
      <x:c r="G939" s="33" t="str">
        <x:v>P4_VALIDATION</x:v>
      </x:c>
      <x:c r="H939" s="33" t="str">
        <x:v>Yes</x:v>
      </x:c>
      <x:c r="I939" s="33" t="str">
        <x:v>P-4 chain-closure observation template.</x:v>
      </x:c>
    </x:row>
    <x:row r="940">
      <x:c r="A940" s="33" t="str">
        <x:v>P4OBS166</x:v>
      </x:c>
      <x:c r="B940" s="33" t="str">
        <x:v>AUD521</x:v>
      </x:c>
      <x:c r="C940" s="33" t="str">
        <x:v>Periodically review and improve the compliance management system through continual improvement initiatives. was not demonstrated or did not operate effectively for the sample tested.</x:v>
      </x:c>
      <x:c r="D940" s="33" t="str">
        <x:v>High</x:v>
      </x:c>
      <x:c r="E940" s="33" t="str">
        <x:v>Implement the requirement, correct affected records or transactions, and retain evidence of operating effectiveness: Periodically review and improve the compliance management system through continual improvement initiatives.</x:v>
      </x:c>
      <x:c r="F940" s="33" t="str">
        <x:v>CA089</x:v>
      </x:c>
      <x:c r="G940" s="33" t="str">
        <x:v>P4_VALIDATION</x:v>
      </x:c>
      <x:c r="H940" s="33" t="str">
        <x:v>Yes</x:v>
      </x:c>
      <x:c r="I940" s="33" t="str">
        <x:v>P-4 chain-closure observation template.</x:v>
      </x:c>
    </x:row>
  </x:sheetData>
  <x:pageMargins left="0.7" right="0.7" top="0.75" bottom="0.75" header="0.3" footer="0.3"/>
  <x:tableParts count="1">
    <x:tablePart xmlns:r="http://schemas.openxmlformats.org/officeDocument/2006/relationships" r:id="Rdf03003e8b734318"/>
  </x:tableParts>
</x:worksheet>
</file>

<file path=xl/worksheets/sheet14.xml><?xml version="1.0" encoding="utf-8"?>
<x:worksheet xmlns:x="http://schemas.openxmlformats.org/spreadsheetml/2006/main">
  <x:sheetFormatPr baseColWidth="8" defaultRowHeight="15"/>
  <x:cols>
    <x:col min="1" max="1" width="15" customWidth="1"/>
    <x:col min="2" max="2" width="24" customWidth="1"/>
    <x:col min="3" max="3" width="45" customWidth="1"/>
  </x:cols>
  <x:sheetData>
    <x:row r="1" ht="28" customHeight="1">
      <x:c r="A1" s="4" t="inlineStr">
        <x:is>
          <x:t xml:space="preserve">Origin Code</x:t>
        </x:is>
      </x:c>
      <x:c r="B1" s="4" t="inlineStr">
        <x:is>
          <x:t xml:space="preserve">Origin Name</x:t>
        </x:is>
      </x:c>
      <x:c r="C1" s="4" t="inlineStr">
        <x:is>
          <x:t xml:space="preserve">Description</x:t>
        </x:is>
      </x:c>
    </x:row>
    <x:row r="2">
      <x:c r="A2" s="5" t="inlineStr">
        <x:is>
          <x:t xml:space="preserve">CORE</x:t>
        </x:is>
      </x:c>
      <x:c r="B2" s="5" t="inlineStr">
        <x:is>
          <x:t xml:space="preserve">Core Pharmacy</x:t>
        </x:is>
      </x:c>
      <x:c r="C2" s="5" t="inlineStr">
        <x:is>
          <x:t xml:space="preserve">Sector-wide core pharmacy provisions</x:t>
        </x:is>
      </x:c>
    </x:row>
    <x:row r="3">
      <x:c r="A3" s="5" t="inlineStr">
        <x:is>
          <x:t xml:space="preserve">RETAIL</x:t>
        </x:is>
      </x:c>
      <x:c r="B3" s="5" t="inlineStr">
        <x:is>
          <x:t xml:space="preserve">Retail Pharmacy</x:t>
        </x:is>
      </x:c>
      <x:c r="C3" s="5" t="inlineStr">
        <x:is>
          <x:t xml:space="preserve">Retail pharmacy operational controls</x:t>
        </x:is>
      </x:c>
    </x:row>
    <x:row r="4">
      <x:c r="A4" s="5" t="inlineStr">
        <x:is>
          <x:t xml:space="preserve">WHOLESALE</x:t>
        </x:is>
      </x:c>
      <x:c r="B4" s="5" t="inlineStr">
        <x:is>
          <x:t xml:space="preserve">Wholesale Pharmacy</x:t>
        </x:is>
      </x:c>
      <x:c r="C4" s="5" t="inlineStr">
        <x:is>
          <x:t xml:space="preserve">Wholesale pharmacy operational controls</x:t>
        </x:is>
      </x:c>
    </x:row>
    <x:row r="5">
      <x:c r="A5" s="5" t="inlineStr">
        <x:is>
          <x:t xml:space="preserve">HOSPITAL</x:t>
        </x:is>
      </x:c>
      <x:c r="B5" s="5" t="inlineStr">
        <x:is>
          <x:t xml:space="preserve">Hospital Pharmacy</x:t>
        </x:is>
      </x:c>
      <x:c r="C5" s="5" t="inlineStr">
        <x:is>
          <x:t xml:space="preserve">Hospital pharmacy operational controls</x:t>
        </x:is>
      </x:c>
    </x:row>
    <x:row r="6">
      <x:c r="A6" s="5" t="inlineStr">
        <x:is>
          <x:t xml:space="preserve">CHAIN</x:t>
        </x:is>
      </x:c>
      <x:c r="B6" s="5" t="inlineStr">
        <x:is>
          <x:t xml:space="preserve">Chain Pharmacy</x:t>
        </x:is>
      </x:c>
      <x:c r="C6" s="5" t="inlineStr">
        <x:is>
          <x:t xml:space="preserve">Chain pharmacy operational controls</x:t>
        </x:is>
      </x:c>
    </x:row>
    <x:row r="7">
      <x:c r="A7" s="5" t="inlineStr">
        <x:is>
          <x:t xml:space="preserve">EPHARMACY</x:t>
        </x:is>
      </x:c>
      <x:c r="B7" s="5" t="inlineStr">
        <x:is>
          <x:t xml:space="preserve">E-Pharmacy</x:t>
        </x:is>
      </x:c>
      <x:c r="C7" s="5" t="inlineStr">
        <x:is>
          <x:t xml:space="preserve">E-pharmacy operational controls</x:t>
        </x:is>
      </x:c>
    </x:row>
    <x:row r="8">
      <x:c r="A8" s="5" t="inlineStr">
        <x:is>
          <x:t xml:space="preserve">INSTITUTIONAL</x:t>
        </x:is>
      </x:c>
      <x:c r="B8" s="5" t="inlineStr">
        <x:is>
          <x:t xml:space="preserve">Institutional Pharmacy</x:t>
        </x:is>
      </x:c>
      <x:c r="C8" s="5" t="inlineStr">
        <x:is>
          <x:t xml:space="preserve">Institutional pharmacy operational controls</x:t>
        </x:is>
      </x:c>
    </x:row>
    <x:row r="9">
      <x:c r="A9" s="5" t="inlineStr">
        <x:is>
          <x:t xml:space="preserve">SPECIALIZED</x:t>
        </x:is>
      </x:c>
      <x:c r="B9" s="5" t="inlineStr">
        <x:is>
          <x:t xml:space="preserve">Specialized Pharmacy</x:t>
        </x:is>
      </x:c>
      <x:c r="C9" s="5" t="inlineStr">
        <x:is>
          <x:t xml:space="preserve">Specialized pharmacy operational controls</x:t>
        </x:is>
      </x:c>
    </x:row>
    <x:row r="10">
      <x:c r="A10" s="5" t="inlineStr">
        <x:is>
          <x:t xml:space="preserve">HOMEOPATHIC</x:t>
        </x:is>
      </x:c>
      <x:c r="B10" s="5" t="inlineStr">
        <x:is>
          <x:t xml:space="preserve">Homeopathic Pharmacy</x:t>
        </x:is>
      </x:c>
      <x:c r="C10" s="5" t="inlineStr">
        <x:is>
          <x:t xml:space="preserve">Homeopathic pharmacy operational controls</x:t>
        </x:is>
      </x:c>
    </x:row>
    <x:row r="11">
      <x:c r="A11" s="5" t="inlineStr">
        <x:is>
          <x:t xml:space="preserve">AYUSH</x:t>
        </x:is>
      </x:c>
      <x:c r="B11" s="5" t="inlineStr">
        <x:is>
          <x:t xml:space="preserve">AYUSH Pharmacy</x:t>
        </x:is>
      </x:c>
      <x:c r="C11" s="5" t="inlineStr">
        <x:is>
          <x:t xml:space="preserve">AYUSH pharmacy operational controls</x:t>
        </x:is>
      </x:c>
    </x:row>
  </x:sheetData>
  <x:pageMargins left="0.7" right="0.7" top="0.75" bottom="0.75" header="0.3" footer="0.3"/>
  <x:tableParts count="1">
    <x:tablePart xmlns:r="http://schemas.openxmlformats.org/officeDocument/2006/relationships" r:id="R8a3fd62db5d84bb4"/>
  </x:tableParts>
</x:worksheet>
</file>

<file path=xl/worksheets/sheet15.xml><?xml version="1.0" encoding="utf-8"?>
<x:worksheet xmlns:x="http://schemas.openxmlformats.org/spreadsheetml/2006/main">
  <x:sheetFormatPr baseColWidth="8" defaultRowHeight="15"/>
  <x:cols>
    <x:col min="1" max="1" width="22" customWidth="1"/>
    <x:col min="2" max="2" width="24" customWidth="1"/>
    <x:col min="3" max="3" width="48" customWidth="1"/>
  </x:cols>
  <x:sheetData>
    <x:row r="1" ht="28" customHeight="1">
      <x:c r="A1" s="4" t="inlineStr">
        <x:is>
          <x:t xml:space="preserve">Enum Type</x:t>
        </x:is>
      </x:c>
      <x:c r="B1" s="4" t="inlineStr">
        <x:is>
          <x:t xml:space="preserve">Allowed Value</x:t>
        </x:is>
      </x:c>
      <x:c r="C1" s="4" t="inlineStr">
        <x:is>
          <x:t xml:space="preserve">Description</x:t>
        </x:is>
      </x:c>
    </x:row>
    <x:row r="2">
      <x:c r="A2" s="5" t="inlineStr">
        <x:is>
          <x:t xml:space="preserve">Provision Category</x:t>
        </x:is>
      </x:c>
      <x:c r="B2" s="5" t="inlineStr">
        <x:is>
          <x:t xml:space="preserve">Statutory</x:t>
        </x:is>
      </x:c>
      <x:c r="C2" s="5" t="inlineStr">
        <x:is>
          <x:t xml:space="preserve">Provision directly based on statute, rule, schedule, form, notification or other legal instrument</x:t>
        </x:is>
      </x:c>
    </x:row>
    <x:row r="3">
      <x:c r="A3" s="5" t="inlineStr">
        <x:is>
          <x:t xml:space="preserve">Provision Category</x:t>
        </x:is>
      </x:c>
      <x:c r="B3" s="5" t="inlineStr">
        <x:is>
          <x:t xml:space="preserve">Operational</x:t>
        </x:is>
      </x:c>
      <x:c r="C3" s="5" t="inlineStr">
        <x:is>
          <x:t xml:space="preserve">Approved operational control required for sub-sector implementation</x:t>
        </x:is>
      </x:c>
    </x:row>
    <x:row r="4">
      <x:c r="A4" s="5" t="inlineStr">
        <x:is>
          <x:t xml:space="preserve">Provision Category</x:t>
        </x:is>
      </x:c>
      <x:c r="B4" s="5" t="inlineStr">
        <x:is>
          <x:t xml:space="preserve">Framework</x:t>
        </x:is>
      </x:c>
      <x:c r="C4" s="5" t="inlineStr">
        <x:is>
          <x:t xml:space="preserve">Governance or compliance framework provision</x:t>
        </x:is>
      </x:c>
    </x:row>
    <x:row r="5">
      <x:c r="A5" s="5" t="inlineStr">
        <x:is>
          <x:t xml:space="preserve">Provision Category</x:t>
        </x:is>
      </x:c>
      <x:c r="B5" s="5" t="inlineStr">
        <x:is>
          <x:t xml:space="preserve">Best Practice</x:t>
        </x:is>
      </x:c>
      <x:c r="C5" s="5" t="inlineStr">
        <x:is>
          <x:t xml:space="preserve">Non-statutory best-practice provision if introduced in future</x:t>
        </x:is>
      </x:c>
    </x:row>
    <x:row r="6">
      <x:c r="A6" s="5" t="inlineStr">
        <x:is>
          <x:t xml:space="preserve">Active</x:t>
        </x:is>
      </x:c>
      <x:c r="B6" s="5" t="inlineStr">
        <x:is>
          <x:t xml:space="preserve">Yes</x:t>
        </x:is>
      </x:c>
      <x:c r="C6" s="5" t="inlineStr">
        <x:is>
          <x:t xml:space="preserve">Record is active</x:t>
        </x:is>
      </x:c>
    </x:row>
    <x:row r="7">
      <x:c r="A7" s="5" t="inlineStr">
        <x:is>
          <x:t xml:space="preserve">Active</x:t>
        </x:is>
      </x:c>
      <x:c r="B7" s="5" t="inlineStr">
        <x:is>
          <x:t xml:space="preserve">No</x:t>
        </x:is>
      </x:c>
      <x:c r="C7" s="5" t="inlineStr">
        <x:is>
          <x:t xml:space="preserve">Record is inactive</x:t>
        </x:is>
      </x:c>
    </x:row>
    <x:row r="8">
      <x:c r="A8" s="5" t="inlineStr">
        <x:is>
          <x:t xml:space="preserve">Applicability</x:t>
        </x:is>
      </x:c>
      <x:c r="B8" s="5" t="inlineStr">
        <x:is>
          <x:t xml:space="preserve">Mandatory</x:t>
        </x:is>
      </x:c>
      <x:c r="C8" s="5" t="inlineStr">
        <x:is>
          <x:t xml:space="preserve">Required compliance obligation</x:t>
        </x:is>
      </x:c>
    </x:row>
    <x:row r="9">
      <x:c r="A9" s="5" t="inlineStr">
        <x:is>
          <x:t xml:space="preserve">Applicability</x:t>
        </x:is>
      </x:c>
      <x:c r="B9" s="5" t="inlineStr">
        <x:is>
          <x:t xml:space="preserve">Conditional</x:t>
        </x:is>
      </x:c>
      <x:c r="C9" s="5" t="inlineStr">
        <x:is>
          <x:t xml:space="preserve">Applies when defined conditions are met</x:t>
        </x:is>
      </x:c>
    </x:row>
    <x:row r="10">
      <x:c r="A10" s="5" t="inlineStr">
        <x:is>
          <x:t xml:space="preserve">Applicability</x:t>
        </x:is>
      </x:c>
      <x:c r="B10" s="5" t="inlineStr">
        <x:is>
          <x:t xml:space="preserve">Optional</x:t>
        </x:is>
      </x:c>
      <x:c r="C10" s="5" t="inlineStr">
        <x:is>
          <x:t xml:space="preserve">Recommended but not mandatory</x:t>
        </x:is>
      </x:c>
    </x:row>
    <x:row r="11">
      <x:c r="A11" s="5" t="inlineStr">
        <x:is>
          <x:t xml:space="preserve">Priority</x:t>
        </x:is>
      </x:c>
      <x:c r="B11" s="5" t="inlineStr">
        <x:is>
          <x:t xml:space="preserve">Critical</x:t>
        </x:is>
      </x:c>
      <x:c r="C11" s="5" t="inlineStr">
        <x:is>
          <x:t xml:space="preserve">Highest regulatory/business impact</x:t>
        </x:is>
      </x:c>
    </x:row>
    <x:row r="12">
      <x:c r="A12" s="5" t="inlineStr">
        <x:is>
          <x:t xml:space="preserve">Priority</x:t>
        </x:is>
      </x:c>
      <x:c r="B12" s="5" t="inlineStr">
        <x:is>
          <x:t xml:space="preserve">High</x:t>
        </x:is>
      </x:c>
      <x:c r="C12" s="5" t="inlineStr">
        <x:is>
          <x:t xml:space="preserve">High impact or high urgency</x:t>
        </x:is>
      </x:c>
    </x:row>
    <x:row r="13">
      <x:c r="A13" s="5" t="inlineStr">
        <x:is>
          <x:t xml:space="preserve">Priority</x:t>
        </x:is>
      </x:c>
      <x:c r="B13" s="5" t="inlineStr">
        <x:is>
          <x:t xml:space="preserve">Medium</x:t>
        </x:is>
      </x:c>
      <x:c r="C13" s="5" t="inlineStr">
        <x:is>
          <x:t xml:space="preserve">Moderate impact</x:t>
        </x:is>
      </x:c>
    </x:row>
    <x:row r="14">
      <x:c r="A14" s="5" t="inlineStr">
        <x:is>
          <x:t xml:space="preserve">Priority</x:t>
        </x:is>
      </x:c>
      <x:c r="B14" s="5" t="inlineStr">
        <x:is>
          <x:t xml:space="preserve">Low</x:t>
        </x:is>
      </x:c>
      <x:c r="C14" s="5" t="inlineStr">
        <x:is>
          <x:t xml:space="preserve">Low impact</x:t>
        </x:is>
      </x:c>
    </x:row>
    <x:row r="15">
      <x:c r="A15" s="5" t="inlineStr">
        <x:is>
          <x:t xml:space="preserve">Audit Method</x:t>
        </x:is>
      </x:c>
      <x:c r="B15" s="5" t="inlineStr">
        <x:is>
          <x:t xml:space="preserve">Document Review</x:t>
        </x:is>
      </x:c>
      <x:c r="C15" s="5" t="n"/>
    </x:row>
    <x:row r="16">
      <x:c r="A16" s="5" t="inlineStr">
        <x:is>
          <x:t xml:space="preserve">Audit Method</x:t>
        </x:is>
      </x:c>
      <x:c r="B16" s="5" t="inlineStr">
        <x:is>
          <x:t xml:space="preserve">Interview</x:t>
        </x:is>
      </x:c>
      <x:c r="C16" s="5" t="n"/>
    </x:row>
    <x:row r="17">
      <x:c r="A17" s="5" t="inlineStr">
        <x:is>
          <x:t xml:space="preserve">Audit Method</x:t>
        </x:is>
      </x:c>
      <x:c r="B17" s="5" t="inlineStr">
        <x:is>
          <x:t xml:space="preserve">Observation</x:t>
        </x:is>
      </x:c>
      <x:c r="C17" s="5" t="n"/>
    </x:row>
    <x:row r="18">
      <x:c r="A18" s="5" t="inlineStr">
        <x:is>
          <x:t xml:space="preserve">Audit Method</x:t>
        </x:is>
      </x:c>
      <x:c r="B18" s="5" t="inlineStr">
        <x:is>
          <x:t xml:space="preserve">Physical Inspection</x:t>
        </x:is>
      </x:c>
      <x:c r="C18" s="5" t="n"/>
    </x:row>
    <x:row r="19">
      <x:c r="A19" s="5" t="inlineStr">
        <x:is>
          <x:t xml:space="preserve">Audit Method</x:t>
        </x:is>
      </x:c>
      <x:c r="B19" s="5" t="inlineStr">
        <x:is>
          <x:t xml:space="preserve">Reconciliation</x:t>
        </x:is>
      </x:c>
      <x:c r="C19" s="5" t="n"/>
    </x:row>
    <x:row r="20">
      <x:c r="A20" s="5" t="inlineStr">
        <x:is>
          <x:t xml:space="preserve">Audit Method</x:t>
        </x:is>
      </x:c>
      <x:c r="B20" s="5" t="inlineStr">
        <x:is>
          <x:t xml:space="preserve">Record Verification</x:t>
        </x:is>
      </x:c>
      <x:c r="C20" s="5" t="n"/>
    </x:row>
    <x:row r="21">
      <x:c r="A21" s="5" t="inlineStr">
        <x:is>
          <x:t xml:space="preserve">Audit Method</x:t>
        </x:is>
      </x:c>
      <x:c r="B21" s="5" t="inlineStr">
        <x:is>
          <x:t xml:space="preserve">Sampling</x:t>
        </x:is>
      </x:c>
      <x:c r="C21" s="5" t="n"/>
    </x:row>
    <x:row r="22">
      <x:c r="A22" s="5" t="inlineStr">
        <x:is>
          <x:t xml:space="preserve">Audit Method</x:t>
        </x:is>
      </x:c>
      <x:c r="B22" s="5" t="inlineStr">
        <x:is>
          <x:t xml:space="preserve">System Verification</x:t>
        </x:is>
      </x:c>
      <x:c r="C22" s="5" t="n"/>
    </x:row>
    <x:row r="23">
      <x:c r="A23" s="5" t="inlineStr">
        <x:is>
          <x:t xml:space="preserve">Audit Frequency</x:t>
        </x:is>
      </x:c>
      <x:c r="B23" s="5" t="inlineStr">
        <x:is>
          <x:t xml:space="preserve">Real Time</x:t>
        </x:is>
      </x:c>
      <x:c r="C23" s="5" t="n"/>
    </x:row>
    <x:row r="24">
      <x:c r="A24" s="5" t="inlineStr">
        <x:is>
          <x:t xml:space="preserve">Audit Frequency</x:t>
        </x:is>
      </x:c>
      <x:c r="B24" s="5" t="inlineStr">
        <x:is>
          <x:t xml:space="preserve">Daily</x:t>
        </x:is>
      </x:c>
      <x:c r="C24" s="5" t="n"/>
    </x:row>
    <x:row r="25">
      <x:c r="A25" s="5" t="inlineStr">
        <x:is>
          <x:t xml:space="preserve">Audit Frequency</x:t>
        </x:is>
      </x:c>
      <x:c r="B25" s="5" t="inlineStr">
        <x:is>
          <x:t xml:space="preserve">Weekly</x:t>
        </x:is>
      </x:c>
      <x:c r="C25" s="5" t="n"/>
    </x:row>
    <x:row r="26">
      <x:c r="A26" s="5" t="inlineStr">
        <x:is>
          <x:t xml:space="preserve">Audit Frequency</x:t>
        </x:is>
      </x:c>
      <x:c r="B26" s="5" t="inlineStr">
        <x:is>
          <x:t xml:space="preserve">Monthly</x:t>
        </x:is>
      </x:c>
      <x:c r="C26" s="5" t="n"/>
    </x:row>
    <x:row r="27">
      <x:c r="A27" s="5" t="inlineStr">
        <x:is>
          <x:t xml:space="preserve">Audit Frequency</x:t>
        </x:is>
      </x:c>
      <x:c r="B27" s="5" t="inlineStr">
        <x:is>
          <x:t xml:space="preserve">Quarterly</x:t>
        </x:is>
      </x:c>
      <x:c r="C27" s="5" t="n"/>
    </x:row>
    <x:row r="28">
      <x:c r="A28" s="5" t="inlineStr">
        <x:is>
          <x:t xml:space="preserve">Audit Frequency</x:t>
        </x:is>
      </x:c>
      <x:c r="B28" s="5" t="inlineStr">
        <x:is>
          <x:t xml:space="preserve">Half Yearly</x:t>
        </x:is>
      </x:c>
      <x:c r="C28" s="5" t="n"/>
    </x:row>
    <x:row r="29">
      <x:c r="A29" s="5" t="inlineStr">
        <x:is>
          <x:t xml:space="preserve">Audit Frequency</x:t>
        </x:is>
      </x:c>
      <x:c r="B29" s="5" t="inlineStr">
        <x:is>
          <x:t xml:space="preserve">Annual</x:t>
        </x:is>
      </x:c>
      <x:c r="C29" s="5" t="n"/>
    </x:row>
    <x:row r="30">
      <x:c r="A30" s="5" t="inlineStr">
        <x:is>
          <x:t xml:space="preserve">Audit Frequency</x:t>
        </x:is>
      </x:c>
      <x:c r="B30" s="5" t="inlineStr">
        <x:is>
          <x:t xml:space="preserve">Event Based</x:t>
        </x:is>
      </x:c>
      <x:c r="C30" s="5" t="n"/>
    </x:row>
    <x:row r="31">
      <x:c r="A31" s="5" t="inlineStr">
        <x:is>
          <x:t xml:space="preserve">Audit Frequency</x:t>
        </x:is>
      </x:c>
      <x:c r="B31" s="5" t="inlineStr">
        <x:is>
          <x:t xml:space="preserve">As Applicable</x:t>
        </x:is>
      </x:c>
      <x:c r="C31" s="5" t="n"/>
    </x:row>
    <x:row r="32">
      <x:c r="A32" s="5" t="inlineStr">
        <x:is>
          <x:t xml:space="preserve">Risk Focus</x:t>
        </x:is>
      </x:c>
      <x:c r="B32" s="5" t="inlineStr">
        <x:is>
          <x:t xml:space="preserve">Billing Controls</x:t>
        </x:is>
      </x:c>
      <x:c r="C32" s="5" t="n"/>
    </x:row>
    <x:row r="33">
      <x:c r="A33" s="5" t="inlineStr">
        <x:is>
          <x:t xml:space="preserve">Risk Focus</x:t>
        </x:is>
      </x:c>
      <x:c r="B33" s="5" t="inlineStr">
        <x:is>
          <x:t xml:space="preserve">Consumer Protection</x:t>
        </x:is>
      </x:c>
      <x:c r="C33" s="5" t="n"/>
    </x:row>
    <x:row r="34">
      <x:c r="A34" s="5" t="inlineStr">
        <x:is>
          <x:t xml:space="preserve">Risk Focus</x:t>
        </x:is>
      </x:c>
      <x:c r="B34" s="5" t="inlineStr">
        <x:is>
          <x:t xml:space="preserve">Controlled Drugs</x:t>
        </x:is>
      </x:c>
      <x:c r="C34" s="5" t="n"/>
    </x:row>
    <x:row r="35">
      <x:c r="A35" s="5" t="inlineStr">
        <x:is>
          <x:t xml:space="preserve">Risk Focus</x:t>
        </x:is>
      </x:c>
      <x:c r="B35" s="5" t="inlineStr">
        <x:is>
          <x:t xml:space="preserve">Digital Controls</x:t>
        </x:is>
      </x:c>
      <x:c r="C35" s="5" t="n"/>
    </x:row>
    <x:row r="36">
      <x:c r="A36" s="5" t="inlineStr">
        <x:is>
          <x:t xml:space="preserve">Risk Focus</x:t>
        </x:is>
      </x:c>
      <x:c r="B36" s="5" t="inlineStr">
        <x:is>
          <x:t xml:space="preserve">Disposal Controls</x:t>
        </x:is>
      </x:c>
      <x:c r="C36" s="5" t="n"/>
    </x:row>
    <x:row r="37">
      <x:c r="A37" s="5" t="inlineStr">
        <x:is>
          <x:t xml:space="preserve">Risk Focus</x:t>
        </x:is>
      </x:c>
      <x:c r="B37" s="5" t="inlineStr">
        <x:is>
          <x:t xml:space="preserve">General Compliance</x:t>
        </x:is>
      </x:c>
      <x:c r="C37" s="5" t="n"/>
    </x:row>
    <x:row r="38">
      <x:c r="A38" s="5" t="inlineStr">
        <x:is>
          <x:t xml:space="preserve">Risk Focus</x:t>
        </x:is>
      </x:c>
      <x:c r="B38" s="5" t="inlineStr">
        <x:is>
          <x:t xml:space="preserve">Inspection &amp; Display Controls</x:t>
        </x:is>
      </x:c>
      <x:c r="C38" s="5" t="n"/>
    </x:row>
    <x:row r="39">
      <x:c r="A39" s="5" t="inlineStr">
        <x:is>
          <x:t xml:space="preserve">Risk Focus</x:t>
        </x:is>
      </x:c>
      <x:c r="B39" s="5" t="inlineStr">
        <x:is>
          <x:t xml:space="preserve">Inventory Controls</x:t>
        </x:is>
      </x:c>
      <x:c r="C39" s="5" t="n"/>
    </x:row>
    <x:row r="40">
      <x:c r="A40" s="5" t="inlineStr">
        <x:is>
          <x:t xml:space="preserve">Risk Focus</x:t>
        </x:is>
      </x:c>
      <x:c r="B40" s="5" t="inlineStr">
        <x:is>
          <x:t xml:space="preserve">Licensing</x:t>
        </x:is>
      </x:c>
      <x:c r="C40" s="5" t="n"/>
    </x:row>
    <x:row r="41">
      <x:c r="A41" s="5" t="inlineStr">
        <x:is>
          <x:t xml:space="preserve">Risk Focus</x:t>
        </x:is>
      </x:c>
      <x:c r="B41" s="5" t="inlineStr">
        <x:is>
          <x:t xml:space="preserve">Personnel Competency</x:t>
        </x:is>
      </x:c>
      <x:c r="C41" s="5" t="n"/>
    </x:row>
    <x:row r="42">
      <x:c r="A42" s="5" t="inlineStr">
        <x:is>
          <x:t xml:space="preserve">Risk Focus</x:t>
        </x:is>
      </x:c>
      <x:c r="B42" s="5" t="inlineStr">
        <x:is>
          <x:t xml:space="preserve">Prescription Controls</x:t>
        </x:is>
      </x:c>
      <x:c r="C42" s="5" t="n"/>
    </x:row>
    <x:row r="43">
      <x:c r="A43" s="5" t="inlineStr">
        <x:is>
          <x:t xml:space="preserve">Risk Focus</x:t>
        </x:is>
      </x:c>
      <x:c r="B43" s="5" t="inlineStr">
        <x:is>
          <x:t xml:space="preserve">Procurement Controls</x:t>
        </x:is>
      </x:c>
      <x:c r="C43" s="5" t="n"/>
    </x:row>
    <x:row r="44">
      <x:c r="A44" s="5" t="inlineStr">
        <x:is>
          <x:t xml:space="preserve">Risk Focus</x:t>
        </x:is>
      </x:c>
      <x:c r="B44" s="5" t="inlineStr">
        <x:is>
          <x:t xml:space="preserve">Recordkeeping</x:t>
        </x:is>
      </x:c>
      <x:c r="C44" s="5" t="n"/>
    </x:row>
    <x:row r="45">
      <x:c r="A45" s="5" t="inlineStr">
        <x:is>
          <x:t xml:space="preserve">Risk Focus</x:t>
        </x:is>
      </x:c>
      <x:c r="B45" s="5" t="inlineStr">
        <x:is>
          <x:t xml:space="preserve">SOP &amp; Training</x:t>
        </x:is>
      </x:c>
      <x:c r="C45" s="5" t="n"/>
    </x:row>
    <x:row r="46">
      <x:c r="A46" s="5" t="inlineStr">
        <x:is>
          <x:t xml:space="preserve">Risk Focus</x:t>
        </x:is>
      </x:c>
      <x:c r="B46" s="5" t="inlineStr">
        <x:is>
          <x:t xml:space="preserve">Storage Controls</x:t>
        </x:is>
      </x:c>
      <x:c r="C46" s="5" t="n"/>
    </x:row>
    <x:row r="47">
      <x:c r="A47" s="5" t="inlineStr">
        <x:is>
          <x:t xml:space="preserve">Evidence Type</x:t>
        </x:is>
      </x:c>
      <x:c r="B47" s="5" t="inlineStr">
        <x:is>
          <x:t xml:space="preserve">License</x:t>
        </x:is>
      </x:c>
      <x:c r="C47" s="5" t="n"/>
    </x:row>
    <x:row r="48">
      <x:c r="A48" s="5" t="inlineStr">
        <x:is>
          <x:t xml:space="preserve">Evidence Type</x:t>
        </x:is>
      </x:c>
      <x:c r="B48" s="5" t="inlineStr">
        <x:is>
          <x:t xml:space="preserve">Certificate</x:t>
        </x:is>
      </x:c>
      <x:c r="C48" s="5" t="n"/>
    </x:row>
    <x:row r="49">
      <x:c r="A49" s="5" t="inlineStr">
        <x:is>
          <x:t xml:space="preserve">Evidence Type</x:t>
        </x:is>
      </x:c>
      <x:c r="B49" s="5" t="inlineStr">
        <x:is>
          <x:t xml:space="preserve">Register</x:t>
        </x:is>
      </x:c>
      <x:c r="C49" s="5" t="n"/>
    </x:row>
    <x:row r="50">
      <x:c r="A50" s="5" t="inlineStr">
        <x:is>
          <x:t xml:space="preserve">Evidence Type</x:t>
        </x:is>
      </x:c>
      <x:c r="B50" s="5" t="inlineStr">
        <x:is>
          <x:t xml:space="preserve">Log Book</x:t>
        </x:is>
      </x:c>
      <x:c r="C50" s="5" t="n"/>
    </x:row>
    <x:row r="51">
      <x:c r="A51" s="5" t="inlineStr">
        <x:is>
          <x:t xml:space="preserve">Evidence Type</x:t>
        </x:is>
      </x:c>
      <x:c r="B51" s="5" t="inlineStr">
        <x:is>
          <x:t xml:space="preserve">SOP</x:t>
        </x:is>
      </x:c>
      <x:c r="C51" s="5" t="n"/>
    </x:row>
    <x:row r="52">
      <x:c r="A52" s="5" t="inlineStr">
        <x:is>
          <x:t xml:space="preserve">Evidence Type</x:t>
        </x:is>
      </x:c>
      <x:c r="B52" s="5" t="inlineStr">
        <x:is>
          <x:t xml:space="preserve">Invoice</x:t>
        </x:is>
      </x:c>
      <x:c r="C52" s="5" t="n"/>
    </x:row>
    <x:row r="53">
      <x:c r="A53" s="5" t="inlineStr">
        <x:is>
          <x:t xml:space="preserve">Evidence Type</x:t>
        </x:is>
      </x:c>
      <x:c r="B53" s="5" t="inlineStr">
        <x:is>
          <x:t xml:space="preserve">Prescription</x:t>
        </x:is>
      </x:c>
      <x:c r="C53" s="5" t="n"/>
    </x:row>
    <x:row r="54">
      <x:c r="A54" s="5" t="inlineStr">
        <x:is>
          <x:t xml:space="preserve">Evidence Type</x:t>
        </x:is>
      </x:c>
      <x:c r="B54" s="5" t="inlineStr">
        <x:is>
          <x:t xml:space="preserve">Purchase Record</x:t>
        </x:is>
      </x:c>
      <x:c r="C54" s="5" t="n"/>
    </x:row>
    <x:row r="55">
      <x:c r="A55" s="5" t="inlineStr">
        <x:is>
          <x:t xml:space="preserve">Evidence Type</x:t>
        </x:is>
      </x:c>
      <x:c r="B55" s="5" t="inlineStr">
        <x:is>
          <x:t xml:space="preserve">Sale Record</x:t>
        </x:is>
      </x:c>
      <x:c r="C55" s="5" t="n"/>
    </x:row>
    <x:row r="56">
      <x:c r="A56" s="5" t="inlineStr">
        <x:is>
          <x:t xml:space="preserve">Evidence Type</x:t>
        </x:is>
      </x:c>
      <x:c r="B56" s="5" t="inlineStr">
        <x:is>
          <x:t xml:space="preserve">Temperature Log</x:t>
        </x:is>
      </x:c>
      <x:c r="C56" s="5" t="n"/>
    </x:row>
    <x:row r="57">
      <x:c r="A57" s="5" t="inlineStr">
        <x:is>
          <x:t xml:space="preserve">Evidence Type</x:t>
        </x:is>
      </x:c>
      <x:c r="B57" s="5" t="inlineStr">
        <x:is>
          <x:t xml:space="preserve">Digital Record</x:t>
        </x:is>
      </x:c>
      <x:c r="C57" s="5" t="n"/>
    </x:row>
    <x:row r="58">
      <x:c r="A58" s="5" t="inlineStr">
        <x:is>
          <x:t xml:space="preserve">Evidence Type</x:t>
        </x:is>
      </x:c>
      <x:c r="B58" s="5" t="inlineStr">
        <x:is>
          <x:t xml:space="preserve">Approval</x:t>
        </x:is>
      </x:c>
      <x:c r="C58" s="5" t="n"/>
    </x:row>
    <x:row r="59">
      <x:c r="A59" s="5" t="inlineStr">
        <x:is>
          <x:t xml:space="preserve">Evidence Type</x:t>
        </x:is>
      </x:c>
      <x:c r="B59" s="5" t="inlineStr">
        <x:is>
          <x:t xml:space="preserve">Inspection Report</x:t>
        </x:is>
      </x:c>
      <x:c r="C59" s="5" t="n"/>
    </x:row>
    <x:row r="60">
      <x:c r="A60" s="5" t="inlineStr">
        <x:is>
          <x:t xml:space="preserve">Evidence Type</x:t>
        </x:is>
      </x:c>
      <x:c r="B60" s="5" t="inlineStr">
        <x:is>
          <x:t xml:space="preserve">Photograph</x:t>
        </x:is>
      </x:c>
      <x:c r="C60" s="5" t="n"/>
    </x:row>
    <x:row r="61">
      <x:c r="A61" s="5" t="inlineStr">
        <x:is>
          <x:t xml:space="preserve">Evidence Type</x:t>
        </x:is>
      </x:c>
      <x:c r="B61" s="5" t="inlineStr">
        <x:is>
          <x:t xml:space="preserve">Training Record</x:t>
        </x:is>
      </x:c>
      <x:c r="C61" s="5" t="n"/>
    </x:row>
    <x:row r="62">
      <x:c r="A62" s="5" t="inlineStr">
        <x:is>
          <x:t xml:space="preserve">Evidence Type</x:t>
        </x:is>
      </x:c>
      <x:c r="B62" s="5" t="inlineStr">
        <x:is>
          <x:t xml:space="preserve">Inventory Record</x:t>
        </x:is>
      </x:c>
      <x:c r="C62" s="5" t="n"/>
    </x:row>
    <x:row r="63">
      <x:c r="A63" s="5" t="inlineStr">
        <x:is>
          <x:t xml:space="preserve">Evidence Type</x:t>
        </x:is>
      </x:c>
      <x:c r="B63" s="5" t="inlineStr">
        <x:is>
          <x:t xml:space="preserve">System Report</x:t>
        </x:is>
      </x:c>
      <x:c r="C63" s="5" t="n"/>
    </x:row>
    <x:row r="64">
      <x:c r="A64" s="5" t="inlineStr">
        <x:is>
          <x:t xml:space="preserve">Evidence Type</x:t>
        </x:is>
      </x:c>
      <x:c r="B64" s="5" t="inlineStr">
        <x:is>
          <x:t xml:space="preserve">Declaration</x:t>
        </x:is>
      </x:c>
      <x:c r="C64" s="5" t="n"/>
    </x:row>
    <x:row r="65">
      <x:c r="A65" s="5" t="inlineStr">
        <x:is>
          <x:t xml:space="preserve">Evidence Type</x:t>
        </x:is>
      </x:c>
      <x:c r="B65" s="5" t="inlineStr">
        <x:is>
          <x:t xml:space="preserve">Agreement</x:t>
        </x:is>
      </x:c>
      <x:c r="C65" s="5" t="n"/>
    </x:row>
    <x:row r="66">
      <x:c r="A66" s="5" t="inlineStr">
        <x:is>
          <x:t xml:space="preserve">Evidence Type</x:t>
        </x:is>
      </x:c>
      <x:c r="B66" s="5" t="inlineStr">
        <x:is>
          <x:t xml:space="preserve">Receipt</x:t>
        </x:is>
      </x:c>
      <x:c r="C66" s="5" t="n"/>
    </x:row>
    <x:row r="67">
      <x:c r="A67" s="5" t="inlineStr">
        <x:is>
          <x:t xml:space="preserve">Evidence Type</x:t>
        </x:is>
      </x:c>
      <x:c r="B67" s="5" t="inlineStr">
        <x:is>
          <x:t xml:space="preserve">Document</x:t>
        </x:is>
      </x:c>
      <x:c r="C67" s="5" t="n"/>
    </x:row>
    <x:row r="68">
      <x:c r="A68" s="5" t="inlineStr">
        <x:is>
          <x:t xml:space="preserve">Evidence Type</x:t>
        </x:is>
      </x:c>
      <x:c r="B68" s="5" t="inlineStr">
        <x:is>
          <x:t xml:space="preserve">Report</x:t>
        </x:is>
      </x:c>
      <x:c r="C68" s="5" t="n"/>
    </x:row>
    <x:row r="69">
      <x:c r="A69" s="5" t="inlineStr">
        <x:is>
          <x:t xml:space="preserve">Evidence Type</x:t>
        </x:is>
      </x:c>
      <x:c r="B69" s="5" t="inlineStr">
        <x:is>
          <x:t xml:space="preserve">Record</x:t>
        </x:is>
      </x:c>
      <x:c r="C69" s="5" t="n"/>
    </x:row>
    <x:row r="70">
      <x:c r="A70" s="5" t="inlineStr">
        <x:is>
          <x:t xml:space="preserve">Evidence Type</x:t>
        </x:is>
      </x:c>
      <x:c r="B70" s="5" t="inlineStr">
        <x:is>
          <x:t xml:space="preserve">Other</x:t>
        </x:is>
      </x:c>
      <x:c r="C70" s="5" t="n"/>
    </x:row>
    <x:row r="71">
      <x:c r="A71" s="5" t="inlineStr">
        <x:is>
          <x:t xml:space="preserve">Mandatory</x:t>
        </x:is>
      </x:c>
      <x:c r="B71" s="5" t="inlineStr">
        <x:is>
          <x:t xml:space="preserve">Yes</x:t>
        </x:is>
      </x:c>
      <x:c r="C71" s="5" t="n"/>
    </x:row>
    <x:row r="72">
      <x:c r="A72" s="5" t="inlineStr">
        <x:is>
          <x:t xml:space="preserve">Mandatory</x:t>
        </x:is>
      </x:c>
      <x:c r="B72" s="5" t="inlineStr">
        <x:is>
          <x:t xml:space="preserve">No</x:t>
        </x:is>
      </x:c>
      <x:c r="C72" s="5" t="n"/>
    </x:row>
    <x:row r="73">
      <x:c r="A73" s="5" t="inlineStr">
        <x:is>
          <x:t xml:space="preserve">Retention Category</x:t>
        </x:is>
      </x:c>
      <x:c r="B73" s="5" t="inlineStr">
        <x:is>
          <x:t xml:space="preserve">Permanent</x:t>
        </x:is>
      </x:c>
      <x:c r="C73" s="5" t="n"/>
    </x:row>
    <x:row r="74">
      <x:c r="A74" s="5" t="inlineStr">
        <x:is>
          <x:t xml:space="preserve">Retention Category</x:t>
        </x:is>
      </x:c>
      <x:c r="B74" s="5" t="inlineStr">
        <x:is>
          <x:t xml:space="preserve">Long Term</x:t>
        </x:is>
      </x:c>
      <x:c r="C74" s="5" t="n"/>
    </x:row>
    <x:row r="75">
      <x:c r="A75" s="5" t="inlineStr">
        <x:is>
          <x:t xml:space="preserve">Retention Category</x:t>
        </x:is>
      </x:c>
      <x:c r="B75" s="5" t="inlineStr">
        <x:is>
          <x:t xml:space="preserve">Statutory</x:t>
        </x:is>
      </x:c>
      <x:c r="C75" s="5" t="n"/>
    </x:row>
    <x:row r="76">
      <x:c r="A76" s="5" t="inlineStr">
        <x:is>
          <x:t xml:space="preserve">Retention Category</x:t>
        </x:is>
      </x:c>
      <x:c r="B76" s="5" t="inlineStr">
        <x:is>
          <x:t xml:space="preserve">Operational</x:t>
        </x:is>
      </x:c>
      <x:c r="C76" s="5" t="n"/>
    </x:row>
    <x:row r="77">
      <x:c r="A77" s="5" t="inlineStr">
        <x:is>
          <x:t xml:space="preserve">Retention Category</x:t>
        </x:is>
      </x:c>
      <x:c r="B77" s="5" t="inlineStr">
        <x:is>
          <x:t xml:space="preserve">Transactional</x:t>
        </x:is>
      </x:c>
      <x:c r="C77" s="5" t="n"/>
    </x:row>
    <x:row r="78">
      <x:c r="A78" s="5" t="inlineStr">
        <x:is>
          <x:t xml:space="preserve">Risk Level</x:t>
        </x:is>
      </x:c>
      <x:c r="B78" s="5" t="inlineStr">
        <x:is>
          <x:t xml:space="preserve">Critical</x:t>
        </x:is>
      </x:c>
      <x:c r="C78" s="5" t="n"/>
    </x:row>
    <x:row r="79">
      <x:c r="A79" s="5" t="inlineStr">
        <x:is>
          <x:t xml:space="preserve">Risk Level</x:t>
        </x:is>
      </x:c>
      <x:c r="B79" s="5" t="inlineStr">
        <x:is>
          <x:t xml:space="preserve">High</x:t>
        </x:is>
      </x:c>
      <x:c r="C79" s="5" t="n"/>
    </x:row>
    <x:row r="80">
      <x:c r="A80" s="5" t="inlineStr">
        <x:is>
          <x:t xml:space="preserve">Risk Level</x:t>
        </x:is>
      </x:c>
      <x:c r="B80" s="5" t="inlineStr">
        <x:is>
          <x:t xml:space="preserve">Medium</x:t>
        </x:is>
      </x:c>
      <x:c r="C80" s="5" t="n"/>
    </x:row>
    <x:row r="81">
      <x:c r="A81" s="5" t="inlineStr">
        <x:is>
          <x:t xml:space="preserve">Risk Level</x:t>
        </x:is>
      </x:c>
      <x:c r="B81" s="5" t="inlineStr">
        <x:is>
          <x:t xml:space="preserve">Low</x:t>
        </x:is>
      </x:c>
      <x:c r="C81" s="5" t="n"/>
    </x:row>
    <x:row r="82">
      <x:c r="A82" s="5" t="inlineStr">
        <x:is>
          <x:t xml:space="preserve">Risk Level</x:t>
        </x:is>
      </x:c>
      <x:c r="B82" s="5" t="inlineStr">
        <x:is>
          <x:t xml:space="preserve">Information</x:t>
        </x:is>
      </x:c>
      <x:c r="C82" s="5" t="n"/>
    </x:row>
    <x:row r="83">
      <x:c r="A83" s="5" t="inlineStr">
        <x:is>
          <x:t xml:space="preserve">Observation Category</x:t>
        </x:is>
      </x:c>
      <x:c r="B83" s="5" t="inlineStr">
        <x:is>
          <x:t xml:space="preserve">Licensing</x:t>
        </x:is>
      </x:c>
      <x:c r="C83" s="5" t="n"/>
    </x:row>
    <x:row r="84">
      <x:c r="A84" s="5" t="inlineStr">
        <x:is>
          <x:t xml:space="preserve">Observation Category</x:t>
        </x:is>
      </x:c>
      <x:c r="B84" s="5" t="inlineStr">
        <x:is>
          <x:t xml:space="preserve">Documentation</x:t>
        </x:is>
      </x:c>
      <x:c r="C84" s="5" t="n"/>
    </x:row>
    <x:row r="85">
      <x:c r="A85" s="5" t="inlineStr">
        <x:is>
          <x:t xml:space="preserve">Observation Category</x:t>
        </x:is>
      </x:c>
      <x:c r="B85" s="5" t="inlineStr">
        <x:is>
          <x:t xml:space="preserve">Storage</x:t>
        </x:is>
      </x:c>
      <x:c r="C85" s="5" t="n"/>
    </x:row>
    <x:row r="86">
      <x:c r="A86" s="5" t="inlineStr">
        <x:is>
          <x:t xml:space="preserve">Observation Category</x:t>
        </x:is>
      </x:c>
      <x:c r="B86" s="5" t="inlineStr">
        <x:is>
          <x:t xml:space="preserve">Prescription</x:t>
        </x:is>
      </x:c>
      <x:c r="C86" s="5" t="n"/>
    </x:row>
    <x:row r="87">
      <x:c r="A87" s="5" t="inlineStr">
        <x:is>
          <x:t xml:space="preserve">Observation Category</x:t>
        </x:is>
      </x:c>
      <x:c r="B87" s="5" t="inlineStr">
        <x:is>
          <x:t xml:space="preserve">Inventory</x:t>
        </x:is>
      </x:c>
      <x:c r="C87" s="5" t="n"/>
    </x:row>
    <x:row r="88">
      <x:c r="A88" s="5" t="inlineStr">
        <x:is>
          <x:t xml:space="preserve">Observation Category</x:t>
        </x:is>
      </x:c>
      <x:c r="B88" s="5" t="inlineStr">
        <x:is>
          <x:t xml:space="preserve">Personnel</x:t>
        </x:is>
      </x:c>
      <x:c r="C88" s="5" t="n"/>
    </x:row>
    <x:row r="89">
      <x:c r="A89" s="5" t="inlineStr">
        <x:is>
          <x:t xml:space="preserve">Observation Category</x:t>
        </x:is>
      </x:c>
      <x:c r="B89" s="5" t="inlineStr">
        <x:is>
          <x:t xml:space="preserve">Regulatory Filing</x:t>
        </x:is>
      </x:c>
      <x:c r="C89" s="5" t="n"/>
    </x:row>
    <x:row r="90">
      <x:c r="A90" s="5" t="inlineStr">
        <x:is>
          <x:t xml:space="preserve">Observation Category</x:t>
        </x:is>
      </x:c>
      <x:c r="B90" s="5" t="inlineStr">
        <x:is>
          <x:t xml:space="preserve">Infrastructure</x:t>
        </x:is>
      </x:c>
      <x:c r="C90" s="5" t="n"/>
    </x:row>
    <x:row r="91">
      <x:c r="A91" s="5" t="inlineStr">
        <x:is>
          <x:t xml:space="preserve">Observation Category</x:t>
        </x:is>
      </x:c>
      <x:c r="B91" s="5" t="inlineStr">
        <x:is>
          <x:t xml:space="preserve">Quality</x:t>
        </x:is>
      </x:c>
      <x:c r="C91" s="5" t="n"/>
    </x:row>
    <x:row r="92">
      <x:c r="A92" s="5" t="inlineStr">
        <x:is>
          <x:t xml:space="preserve">Observation Category</x:t>
        </x:is>
      </x:c>
      <x:c r="B92" s="5" t="inlineStr">
        <x:is>
          <x:t xml:space="preserve">Controlled Drugs</x:t>
        </x:is>
      </x:c>
      <x:c r="C92" s="5" t="n"/>
    </x:row>
    <x:row r="93">
      <x:c r="A93" s="5" t="inlineStr">
        <x:is>
          <x:t xml:space="preserve">Observation Category</x:t>
        </x:is>
      </x:c>
      <x:c r="B93" s="5" t="inlineStr">
        <x:is>
          <x:t xml:space="preserve">Patient Safety</x:t>
        </x:is>
      </x:c>
      <x:c r="C93" s="5" t="n"/>
    </x:row>
    <x:row r="94">
      <x:c r="A94" s="5" t="inlineStr">
        <x:is>
          <x:t xml:space="preserve">Observation Category</x:t>
        </x:is>
      </x:c>
      <x:c r="B94" s="5" t="inlineStr">
        <x:is>
          <x:t xml:space="preserve">Digital / E-Pharmacy</x:t>
        </x:is>
      </x:c>
      <x:c r="C94" s="5" t="n"/>
    </x:row>
    <x:row r="95">
      <x:c r="A95" s="5" t="inlineStr">
        <x:is>
          <x:t xml:space="preserve">Observation Category</x:t>
        </x:is>
      </x:c>
      <x:c r="B95" s="5" t="inlineStr">
        <x:is>
          <x:t xml:space="preserve">Other</x:t>
        </x:is>
      </x:c>
      <x:c r="C95" s="5" t="n"/>
    </x:row>
  </x:sheetData>
  <x:pageMargins left="0.7" right="0.7" top="0.75" bottom="0.75" header="0.3" footer="0.3"/>
  <x:tableParts count="1">
    <x:tablePart xmlns:r="http://schemas.openxmlformats.org/officeDocument/2006/relationships" r:id="Rf8c8e79f9f7646c8"/>
  </x:tableParts>
</x:worksheet>
</file>

<file path=xl/worksheets/sheet16.xml><?xml version="1.0" encoding="utf-8"?>
<x:worksheet xmlns:x="http://schemas.openxmlformats.org/spreadsheetml/2006/main">
  <x:sheetFormatPr baseColWidth="8" defaultRowHeight="15"/>
  <x:cols>
    <x:col min="1" max="1" width="10" customWidth="1"/>
    <x:col min="2" max="2" width="12" customWidth="1"/>
    <x:col min="3" max="3" width="10" customWidth="1"/>
    <x:col min="4" max="4" width="48" customWidth="1"/>
  </x:cols>
  <x:sheetData>
    <x:row r="1" ht="28" customHeight="1">
      <x:c r="A1" s="31" t="inlineStr">
        <x:is>
          <x:t xml:space="preserve">Version</x:t>
        </x:is>
      </x:c>
      <x:c r="B1" s="31" t="inlineStr">
        <x:is>
          <x:t xml:space="preserve">Date</x:t>
        </x:is>
      </x:c>
      <x:c r="C1" s="31" t="inlineStr">
        <x:is>
          <x:t xml:space="preserve">Status</x:t>
        </x:is>
      </x:c>
      <x:c r="D1" s="31" t="inlineStr">
        <x:is>
          <x:t xml:space="preserve">Description</x:t>
        </x:is>
      </x:c>
    </x:row>
    <x:row r="2">
      <x:c r="A2" s="30" t="inlineStr">
        <x:is>
          <x:t xml:space="preserve">v1.0</x:t>
        </x:is>
      </x:c>
      <x:c r="B2" s="30" t="inlineStr">
        <x:is>
          <x:t xml:space="preserve">2026-07-08</x:t>
        </x:is>
      </x:c>
      <x:c r="C2" s="30" t="inlineStr">
        <x:is>
          <x:t xml:space="preserve">Frozen</x:t>
        </x:is>
      </x:c>
      <x:c r="D2" s="30" t="inlineStr">
        <x:is>
          <x:t xml:space="preserve">Production-ready Pharmacy dataset consolidated for SaaS development.</x:t>
        </x:is>
      </x:c>
    </x:row>
    <x:row r="3">
      <x:c r="A3" s="15" t="str">
        <x:v>v1.0-P0</x:v>
      </x:c>
      <x:c r="B3" s="15" t="str">
        <x:v>2026-08-19</x:v>
      </x:c>
      <x:c r="C3" s="15" t="str">
        <x:v>WORKING — NOT FROZEN</x:v>
      </x:c>
      <x:c r="D3" s="15" t="str">
        <x:v>Common Companies Act records quarantined; mis-parented Pharmacy prescription chain preserved inactive pending P-2; Change Ledger and source registers added.</x:v>
      </x:c>
    </x:row>
    <x:row r="4">
      <x:c r="A4" s="15" t="str">
        <x:v>v1.0-P1</x:v>
      </x:c>
      <x:c r="B4" s="15" t="str">
        <x:v>2026-08-19</x:v>
      </x:c>
      <x:c r="C4" s="15" t="str">
        <x:v>P-1 COMPLETE — NOT FROZEN</x:v>
      </x:c>
      <x:c r="D4" s="15" t="str">
        <x:v>Authoritative regulatory universe, exclusions, taxonomy gaps and 100-law reconciliation completed; P-2 remains open.</x:v>
      </x:c>
    </x:row>
    <x:row r="5">
      <x:c r="A5" s="33" t="str">
        <x:v>v1.0-P2</x:v>
      </x:c>
      <x:c r="B5" s="33" t="str">
        <x:v>2026-08-20</x:v>
      </x:c>
      <x:c r="C5" s="33" t="str">
        <x:v>P-2 COMPLETE — NOT FROZEN</x:v>
      </x:c>
      <x:c r="D5" s="33" t="str">
        <x:v>Drugs Rules rule/schedule/form validation, current amendments, chain remediation, exclusions and transition register completed.</x:v>
      </x:c>
    </x:row>
    <x:row r="6">
      <x:c r="A6" s="33" t="str">
        <x:v>v1.0-P3</x:v>
      </x:c>
      <x:c r="B6" s="33" t="str">
        <x:v>2026-08-20</x:v>
      </x:c>
      <x:c r="C6" s="33" t="str">
        <x:v>P-3 COMPLETE — NOT FROZEN</x:v>
      </x:c>
      <x:c r="D6" s="33" t="str">
        <x:v>Environmental and general-law universe, commencement, role/threshold applicability, jurisdiction controls and production-chain remediation completed.</x:v>
      </x:c>
    </x:row>
    <x:row r="7">
      <x:c r="A7" s="33" t="str">
        <x:v>v1.1</x:v>
      </x:c>
      <x:c r="B7" s="33" t="str">
        <x:v>2026-08-20</x:v>
      </x:c>
      <x:c r="C7" s="33" t="str">
        <x:v>REGULATORY COVERAGE VALIDATED &amp; FROZEN</x:v>
      </x:c>
      <x:c r="D7" s="33" t="str">
        <x:v>P-0 through P-4 complete: residual technical laws and entity applicability validated, non-statutory controls reclassified, legacy audit alignment repaired, all active execution chains closed, and final freeze authorized.</x:v>
      </x:c>
    </x:row>
  </x:sheetData>
  <x:pageMargins left="0.7" right="0.7" top="0.75" bottom="0.75" header="0.3" footer="0.3"/>
  <x:tableParts count="1">
    <x:tablePart xmlns:r="http://schemas.openxmlformats.org/officeDocument/2006/relationships" r:id="Rde48b55e4ff54139"/>
  </x:tableParts>
</x:worksheet>
</file>

<file path=xl/worksheets/sheet17.xml><?xml version="1.0" encoding="utf-8"?>
<x:worksheet xmlns:x="http://schemas.openxmlformats.org/spreadsheetml/2006/main">
  <x:sheetFormatPr baseColWidth="8" defaultRowHeight="15"/>
  <x:cols>
    <x:col min="1" max="1" width="36" customWidth="1"/>
    <x:col min="2" max="2" width="16" customWidth="1"/>
    <x:col min="3" max="3" width="60" customWidth="1"/>
    <x:col min="4" max="4" width="16" customWidth="1"/>
  </x:cols>
  <x:sheetData>
    <x:row r="1">
      <x:c r="A1" s="34" t="str">
        <x:v>QA Area</x:v>
      </x:c>
      <x:c r="B1" s="34" t="str">
        <x:v>Result</x:v>
      </x:c>
      <x:c r="C1" s="34" t="str">
        <x:v>Notes</x:v>
      </x:c>
      <x:c r="D1" s="34"/>
    </x:row>
    <x:row r="2">
      <x:c r="A2" s="15" t="str">
        <x:v>Production Schema QA</x:v>
      </x:c>
      <x:c r="B2" s="15" t="str">
        <x:v>PASS</x:v>
      </x:c>
      <x:c r="C2" s="15" t="str">
        <x:v>All required production masters and P-0 through P-4 validation registers are present; production schemas and IDs are preserved.</x:v>
      </x:c>
      <x:c r="D2" s="15"/>
    </x:row>
    <x:row r="3">
      <x:c r="A3" s="15" t="str">
        <x:v>Foreign Key Integrity</x:v>
      </x:c>
      <x:c r="B3" s="15" t="str">
        <x:v>PASS</x:v>
      </x:c>
      <x:c r="C3" s="15" t="str">
        <x:v>No orphan records or active child records under inactive parents were identified after P-4 closeout.</x:v>
      </x:c>
      <x:c r="D3" s="15"/>
    </x:row>
    <x:row r="4">
      <x:c r="A4" s="15" t="str">
        <x:v>Enum Validation</x:v>
      </x:c>
      <x:c r="B4" s="15" t="str">
        <x:v>PASS</x:v>
      </x:c>
      <x:c r="C4" s="15" t="str">
        <x:v>P-4 classifications use controlled values; statutory, conditional, optional and best-practice positions are explicit.</x:v>
      </x:c>
      <x:c r="D4" s="15"/>
    </x:row>
    <x:row r="5">
      <x:c r="A5" s="15" t="str">
        <x:v>Duplicate Detection</x:v>
      </x:c>
      <x:c r="B5" s="15" t="str">
        <x:v>PASS</x:v>
      </x:c>
      <x:c r="C5" s="15" t="str">
        <x:v>No duplicate primary keys; duplicate/incomplete LAW099 provision records were retained inactive without renumbering.</x:v>
      </x:c>
      <x:c r="D5" s="15"/>
    </x:row>
    <x:row r="6">
      <x:c r="A6" s="15" t="str">
        <x:v>Execution Chain Validation</x:v>
      </x:c>
      <x:c r="B6" s="15" t="str">
        <x:v>PASS</x:v>
      </x:c>
      <x:c r="C6" s="15" t="str">
        <x:v>Every active Law→Provision→Compliance→Audit chain has active Evidence and Observation records.</x:v>
      </x:c>
      <x:c r="D6" s="15"/>
    </x:row>
    <x:row r="7">
      <x:c r="A7" s="15" t="str">
        <x:v>Production Data Quality</x:v>
      </x:c>
      <x:c r="B7" s="15" t="str">
        <x:v>PASS</x:v>
      </x:c>
      <x:c r="C7" s="15" t="str">
        <x:v>Technical citations, entity-role boundaries, audit alignment and source traceability passed P-4 validation.</x:v>
      </x:c>
      <x:c r="D7" s="15"/>
    </x:row>
    <x:row r="8">
      <x:c r="A8" s="15" t="str">
        <x:v>Freeze Decision</x:v>
      </x:c>
      <x:c r="B8" s="15" t="str">
        <x:v>PASS — FROZEN</x:v>
      </x:c>
      <x:c r="C8" s="15" t="str">
        <x:v>P-0 through P-4 complete through 20-08-2026. Pharmacy v1.1 is regulatory-coverage validated and frozen.</x:v>
      </x:c>
      <x:c r="D8" s="15"/>
    </x:row>
    <x:row r="9">
      <x:c r="A9" s="15"/>
      <x:c r="B9" s="15"/>
      <x:c r="C9" s="15"/>
      <x:c r="D9" s="15"/>
    </x:row>
    <x:row r="10">
      <x:c r="A10" s="34" t="str">
        <x:v>Sheet</x:v>
      </x:c>
      <x:c r="B10" s="34" t="str">
        <x:v>Records</x:v>
      </x:c>
      <x:c r="C10" s="34" t="str">
        <x:v>Columns</x:v>
      </x:c>
      <x:c r="D10" s="34" t="str">
        <x:v>Status</x:v>
      </x:c>
    </x:row>
    <x:row r="11">
      <x:c r="A11" s="15" t="str">
        <x:v>Sector Master</x:v>
      </x:c>
      <x:c r="B11" s="15" t="n">
        <x:v>1</x:v>
      </x:c>
      <x:c r="C11" s="15" t="n">
        <x:v>5</x:v>
      </x:c>
      <x:c r="D11" s="15" t="str">
        <x:v>PASS</x:v>
      </x:c>
    </x:row>
    <x:row r="12">
      <x:c r="A12" s="15" t="str">
        <x:v>Sub-Sector Master</x:v>
      </x:c>
      <x:c r="B12" s="15" t="n">
        <x:v>9</x:v>
      </x:c>
      <x:c r="C12" s="15" t="n">
        <x:v>5</x:v>
      </x:c>
      <x:c r="D12" s="15" t="str">
        <x:v>PASS</x:v>
      </x:c>
    </x:row>
    <x:row r="13">
      <x:c r="A13" s="15" t="str">
        <x:v>Regulatory Authority Master</x:v>
      </x:c>
      <x:c r="B13" s="15" t="n">
        <x:v>30</x:v>
      </x:c>
      <x:c r="C13" s="15" t="n">
        <x:v>8</x:v>
      </x:c>
      <x:c r="D13" s="15" t="str">
        <x:v>PASS</x:v>
      </x:c>
    </x:row>
    <x:row r="14">
      <x:c r="A14" s="15" t="str">
        <x:v>Compliance Area Master</x:v>
      </x:c>
      <x:c r="B14" s="15" t="n">
        <x:v>100</x:v>
      </x:c>
      <x:c r="C14" s="15" t="n">
        <x:v>7</x:v>
      </x:c>
      <x:c r="D14" s="15" t="str">
        <x:v>PASS</x:v>
      </x:c>
    </x:row>
    <x:row r="15">
      <x:c r="A15" s="15" t="str">
        <x:v>Law Master</x:v>
      </x:c>
      <x:c r="B15" s="15" t="n">
        <x:v>111</x:v>
      </x:c>
      <x:c r="C15" s="15" t="n">
        <x:v>15</x:v>
      </x:c>
      <x:c r="D15" s="15" t="str">
        <x:v>PASS</x:v>
      </x:c>
    </x:row>
    <x:row r="16">
      <x:c r="A16" s="15" t="str">
        <x:v>Law_ComplianceArea_Map</x:v>
      </x:c>
      <x:c r="B16" s="15" t="n">
        <x:v>161</x:v>
      </x:c>
      <x:c r="C16" s="15" t="n">
        <x:v>5</x:v>
      </x:c>
      <x:c r="D16" s="15" t="str">
        <x:v>PASS</x:v>
      </x:c>
    </x:row>
    <x:row r="17">
      <x:c r="A17" s="15" t="str">
        <x:v>Provision Master</x:v>
      </x:c>
      <x:c r="B17" s="15" t="n">
        <x:v>762</x:v>
      </x:c>
      <x:c r="C17" s="15" t="n">
        <x:v>10</x:v>
      </x:c>
      <x:c r="D17" s="15" t="str">
        <x:v>PASS</x:v>
      </x:c>
    </x:row>
    <x:row r="18">
      <x:c r="A18" s="15" t="str">
        <x:v>Provision_ComplianceArea_Map</x:v>
      </x:c>
      <x:c r="B18" s="15" t="n">
        <x:v>545</x:v>
      </x:c>
      <x:c r="C18" s="15" t="n">
        <x:v>5</x:v>
      </x:c>
      <x:c r="D18" s="15" t="str">
        <x:v>PASS</x:v>
      </x:c>
    </x:row>
    <x:row r="19">
      <x:c r="A19" s="15" t="str">
        <x:v>Compliance Requirement Master</x:v>
      </x:c>
      <x:c r="B19" s="15" t="n">
        <x:v>737</x:v>
      </x:c>
      <x:c r="C19" s="15" t="n">
        <x:v>14</x:v>
      </x:c>
      <x:c r="D19" s="15" t="str">
        <x:v>PASS</x:v>
      </x:c>
    </x:row>
    <x:row r="20">
      <x:c r="A20" s="15" t="str">
        <x:v>Audit Procedure Master</x:v>
      </x:c>
      <x:c r="B20" s="15" t="n">
        <x:v>1044</x:v>
      </x:c>
      <x:c r="C20" s="15" t="n">
        <x:v>9</x:v>
      </x:c>
      <x:c r="D20" s="15" t="str">
        <x:v>PASS</x:v>
      </x:c>
    </x:row>
    <x:row r="21">
      <x:c r="A21" s="15" t="str">
        <x:v>Evidence Master</x:v>
      </x:c>
      <x:c r="B21" s="15" t="n">
        <x:v>1259</x:v>
      </x:c>
      <x:c r="C21" s="15" t="n">
        <x:v>9</x:v>
      </x:c>
      <x:c r="D21" s="15" t="str">
        <x:v>PASS</x:v>
      </x:c>
    </x:row>
    <x:row r="22">
      <x:c r="A22" s="15" t="str">
        <x:v>Observation Master</x:v>
      </x:c>
      <x:c r="B22" s="15" t="n">
        <x:v>939</x:v>
      </x:c>
      <x:c r="C22" s="15" t="n">
        <x:v>9</x:v>
      </x:c>
      <x:c r="D22" s="15" t="str">
        <x:v>PASS</x:v>
      </x:c>
    </x:row>
    <x:row r="23">
      <x:c r="A23" s="15" t="str">
        <x:v>Origin Master</x:v>
      </x:c>
      <x:c r="B23" s="15" t="n">
        <x:v>10</x:v>
      </x:c>
      <x:c r="C23" s="15" t="n">
        <x:v>3</x:v>
      </x:c>
      <x:c r="D23" s="15" t="str">
        <x:v>PASS</x:v>
      </x:c>
    </x:row>
    <x:row r="24">
      <x:c r="A24" s="15" t="str">
        <x:v>Enum Master</x:v>
      </x:c>
      <x:c r="B24" s="15" t="n">
        <x:v>94</x:v>
      </x:c>
      <x:c r="C24" s="15" t="n">
        <x:v>3</x:v>
      </x:c>
      <x:c r="D24" s="15" t="str">
        <x:v>PASS</x:v>
      </x:c>
    </x:row>
    <x:row r="25">
      <x:c r="A25" s="15" t="str">
        <x:v>Version History</x:v>
      </x:c>
      <x:c r="B25" s="15" t="n">
        <x:v>6</x:v>
      </x:c>
      <x:c r="C25" s="15" t="n">
        <x:v>4</x:v>
      </x:c>
      <x:c r="D25" s="15" t="str">
        <x:v>PASS</x:v>
      </x:c>
    </x:row>
  </x:sheetData>
  <x:pageMargins left="0.7" right="0.7" top="0.75" bottom="0.75" header="0.3" footer="0.3"/>
</x:worksheet>
</file>

<file path=xl/worksheets/sheet18.xml><?xml version="1.0" encoding="utf-8"?>
<x:worksheet xmlns:x="http://schemas.openxmlformats.org/spreadsheetml/2006/main">
  <x:sheetFormatPr baseColWidth="8" defaultRowHeight="15"/>
  <x:cols>
    <x:col min="1" max="1" width="24" customWidth="1"/>
    <x:col min="2" max="2" width="17" customWidth="1"/>
    <x:col min="3" max="3" width="15" customWidth="1"/>
    <x:col min="4" max="4" width="10" customWidth="1"/>
  </x:cols>
  <x:sheetData>
    <x:row r="1" ht="28" customHeight="1">
      <x:c r="A1" s="4" t="inlineStr">
        <x:is>
          <x:t xml:space="preserve">Check</x:t>
        </x:is>
      </x:c>
      <x:c r="B1" s="4" t="inlineStr">
        <x:is>
          <x:t xml:space="preserve">Checked Records</x:t>
        </x:is>
      </x:c>
      <x:c r="C1" s="4" t="inlineStr">
        <x:is>
          <x:t xml:space="preserve">Invalid Count</x:t>
        </x:is>
      </x:c>
      <x:c r="D1" s="4" t="inlineStr">
        <x:is>
          <x:t xml:space="preserve">Status</x:t>
        </x:is>
      </x:c>
    </x:row>
    <x:row r="2">
      <x:c r="A2" s="5" t="inlineStr">
        <x:is>
          <x:t xml:space="preserve">Provision → Law</x:t>
        </x:is>
      </x:c>
      <x:c r="B2" s="5" t="n">
        <x:v>735</x:v>
      </x:c>
      <x:c r="C2" s="5" t="n">
        <x:v>0</x:v>
      </x:c>
      <x:c r="D2" s="5" t="inlineStr">
        <x:is>
          <x:t xml:space="preserve">PASS</x:t>
        </x:is>
      </x:c>
    </x:row>
    <x:row r="3">
      <x:c r="A3" s="5" t="inlineStr">
        <x:is>
          <x:t xml:space="preserve">Provision → Sub-Sector</x:t>
        </x:is>
      </x:c>
      <x:c r="B3" s="5" t="n">
        <x:v>735</x:v>
      </x:c>
      <x:c r="C3" s="5" t="n">
        <x:v>0</x:v>
      </x:c>
      <x:c r="D3" s="5" t="inlineStr">
        <x:is>
          <x:t xml:space="preserve">PASS</x:t>
        </x:is>
      </x:c>
    </x:row>
    <x:row r="4">
      <x:c r="A4" s="5" t="inlineStr">
        <x:is>
          <x:t xml:space="preserve">Provision Map → Provision</x:t>
        </x:is>
      </x:c>
      <x:c r="B4" s="5" t="n">
        <x:v>509</x:v>
      </x:c>
      <x:c r="C4" s="5" t="n">
        <x:v>0</x:v>
      </x:c>
      <x:c r="D4" s="5" t="inlineStr">
        <x:is>
          <x:t xml:space="preserve">PASS</x:t>
        </x:is>
      </x:c>
    </x:row>
    <x:row r="5">
      <x:c r="A5" s="5" t="inlineStr">
        <x:is>
          <x:t xml:space="preserve">Provision Map → Compliance Area</x:t>
        </x:is>
      </x:c>
      <x:c r="B5" s="5" t="n">
        <x:v>509</x:v>
      </x:c>
      <x:c r="C5" s="5" t="n">
        <x:v>0</x:v>
      </x:c>
      <x:c r="D5" s="5" t="inlineStr">
        <x:is>
          <x:t xml:space="preserve">PASS</x:t>
        </x:is>
      </x:c>
    </x:row>
    <x:row r="6">
      <x:c r="A6" s="5" t="inlineStr">
        <x:is>
          <x:t xml:space="preserve">Compliance → Provision</x:t>
        </x:is>
      </x:c>
      <x:c r="B6" s="5" t="n">
        <x:v>710</x:v>
      </x:c>
      <x:c r="C6" s="5" t="n">
        <x:v>0</x:v>
      </x:c>
      <x:c r="D6" s="5" t="inlineStr">
        <x:is>
          <x:t xml:space="preserve">PASS</x:t>
        </x:is>
      </x:c>
    </x:row>
    <x:row r="7">
      <x:c r="A7" s="5" t="inlineStr">
        <x:is>
          <x:t xml:space="preserve">Compliance → Compliance Area</x:t>
        </x:is>
      </x:c>
      <x:c r="B7" s="5" t="n">
        <x:v>710</x:v>
      </x:c>
      <x:c r="C7" s="5" t="n">
        <x:v>0</x:v>
      </x:c>
      <x:c r="D7" s="5" t="inlineStr">
        <x:is>
          <x:t xml:space="preserve">PASS</x:t>
        </x:is>
      </x:c>
    </x:row>
    <x:row r="8">
      <x:c r="A8" s="5" t="inlineStr">
        <x:is>
          <x:t xml:space="preserve">Audit → Compliance</x:t>
        </x:is>
      </x:c>
      <x:c r="B8" s="5" t="n">
        <x:v>981</x:v>
      </x:c>
      <x:c r="C8" s="5" t="n">
        <x:v>0</x:v>
      </x:c>
      <x:c r="D8" s="5" t="inlineStr">
        <x:is>
          <x:t xml:space="preserve">PASS</x:t>
        </x:is>
      </x:c>
    </x:row>
    <x:row r="9">
      <x:c r="A9" s="5" t="inlineStr">
        <x:is>
          <x:t xml:space="preserve">Evidence → Audit</x:t>
        </x:is>
      </x:c>
      <x:c r="B9" s="5" t="n">
        <x:v>1030</x:v>
      </x:c>
      <x:c r="C9" s="5" t="n">
        <x:v>0</x:v>
      </x:c>
      <x:c r="D9" s="5" t="inlineStr">
        <x:is>
          <x:t xml:space="preserve">PASS</x:t>
        </x:is>
      </x:c>
    </x:row>
    <x:row r="10">
      <x:c r="A10" s="5" t="inlineStr">
        <x:is>
          <x:t xml:space="preserve">Observation → Audit</x:t>
        </x:is>
      </x:c>
      <x:c r="B10" s="5" t="n">
        <x:v>710</x:v>
      </x:c>
      <x:c r="C10" s="5" t="n">
        <x:v>0</x:v>
      </x:c>
      <x:c r="D10" s="5" t="inlineStr">
        <x:is>
          <x:t xml:space="preserve">PASS</x:t>
        </x:is>
      </x:c>
    </x:row>
  </x:sheetData>
  <x:pageMargins left="0.7" right="0.7" top="0.75" bottom="0.75" header="0.3" footer="0.3"/>
  <x:tableParts count="1">
    <x:tablePart xmlns:r="http://schemas.openxmlformats.org/officeDocument/2006/relationships" r:id="R0b97e85706af449b"/>
  </x:tableParts>
</x:worksheet>
</file>

<file path=xl/worksheets/sheet19.xml><?xml version="1.0" encoding="utf-8"?>
<x:worksheet xmlns:x="http://schemas.openxmlformats.org/spreadsheetml/2006/main">
  <x:sheetFormatPr baseColWidth="8" defaultRowHeight="15"/>
  <x:cols>
    <x:col min="1" max="1" width="28" customWidth="1"/>
    <x:col min="2" max="2" width="100" customWidth="1"/>
  </x:cols>
  <x:sheetData>
    <x:row r="1">
      <x:c r="A1" s="1" t="str">
        <x:v>Sector.ROCPrompt.in</x:v>
      </x:c>
      <x:c r="B1"/>
    </x:row>
    <x:row r="2">
      <x:c r="A2" s="7" t="str">
        <x:v>Pharmacy Production Dataset v1.0 Freeze Certificate</x:v>
      </x:c>
      <x:c r="B2"/>
    </x:row>
    <x:row r="3">
      <x:c r="A3" s="2" t="str">
        <x:v>Sector</x:v>
      </x:c>
      <x:c r="B3" s="3" t="str">
        <x:v>Pharmacy</x:v>
      </x:c>
    </x:row>
    <x:row r="4">
      <x:c r="A4" s="2" t="str">
        <x:v>Version</x:v>
      </x:c>
      <x:c r="B4" s="3" t="str">
        <x:v>1.1</x:v>
      </x:c>
    </x:row>
    <x:row r="5">
      <x:c r="A5" s="2" t="str">
        <x:v>Status</x:v>
      </x:c>
      <x:c r="B5" s="3" t="str">
        <x:v>PRODUCTION DATASET — REGULATORY COVERAGE VALIDATED &amp; FROZEN</x:v>
      </x:c>
    </x:row>
    <x:row r="6">
      <x:c r="A6" s="2" t="str">
        <x:v>Purpose</x:v>
      </x:c>
      <x:c r="B6" s="3" t="str">
        <x:v>Authoritative production dataset for SaaS development and PostgreSQL import.</x:v>
      </x:c>
    </x:row>
    <x:row r="7">
      <x:c r="A7" s="2" t="str">
        <x:v>Certified Dataset</x:v>
      </x:c>
      <x:c r="B7" s="3" t="str">
        <x:v>Pharmacy_Production_Dataset_v1.1_P4_Regulatory_Coverage_Validated_Frozen.xlsx</x:v>
      </x:c>
    </x:row>
    <x:row r="8">
      <x:c r="A8" s="2" t="str">
        <x:v>Certified On</x:v>
      </x:c>
      <x:c r="B8" s="3" t="str">
        <x:v>2026-08-20</x:v>
      </x:c>
    </x:row>
    <x:row r="9">
      <x:c r="A9" s="2" t="str">
        <x:v>Certification Statement</x:v>
      </x:c>
      <x:c r="B9" s="3" t="str">
        <x:v>P-0 through P-4 have passed. The Pharmacy production dataset is frozen with nine approved sub-sectors, complete active execution chains, controlled role/jurisdiction boundaries, and no duplicate Companies Act/LLP content. Exact State/local/event instruments and future-effective duties must be resolved through controlled runtime profiles or later versions.</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15" hidden="0" customWidth="1"/>
    <x:col min="2" max="2" width="28" hidden="0" customWidth="1"/>
    <x:col min="3" max="3" width="36" hidden="0" customWidth="1"/>
    <x:col min="4" max="4" width="40" hidden="0" customWidth="1"/>
    <x:col min="5" max="5" width="25" hidden="0" customWidth="1"/>
    <x:col min="6" max="6" width="48" hidden="0" customWidth="1"/>
    <x:col min="7" max="7" width="28" hidden="0" customWidth="1"/>
    <x:col min="8" max="8" width="28" hidden="0" customWidth="1"/>
    <x:col min="9" max="9" width="18" hidden="0" customWidth="1"/>
    <x:col min="10" max="10" width="14" hidden="0" customWidth="1"/>
    <x:col min="11" max="11" width="48" hidden="0" customWidth="1"/>
  </x:cols>
  <x:sheetData>
    <x:row r="1">
      <x:c r="A1" s="36" t="str">
        <x:v>Existing ID</x:v>
      </x:c>
      <x:c r="B1" s="36" t="str">
        <x:v>Master</x:v>
      </x:c>
      <x:c r="C1" s="36" t="str">
        <x:v>Old Value / Classification</x:v>
      </x:c>
      <x:c r="D1" s="36" t="str">
        <x:v>New Value / Classification</x:v>
      </x:c>
      <x:c r="E1" s="36" t="str">
        <x:v>Change Type</x:v>
      </x:c>
      <x:c r="F1" s="36" t="str">
        <x:v>Reason</x:v>
      </x:c>
      <x:c r="G1" s="36" t="str">
        <x:v>Authoritative Source</x:v>
      </x:c>
      <x:c r="H1" s="36" t="str">
        <x:v>Regulatory Citation</x:v>
      </x:c>
      <x:c r="I1" s="36" t="str">
        <x:v>Remediation Phase</x:v>
      </x:c>
      <x:c r="J1" s="36" t="str">
        <x:v>Date</x:v>
      </x:c>
      <x:c r="K1" s="36" t="str">
        <x:v>Traceability Impact</x:v>
      </x:c>
    </x:row>
    <x:row r="2">
      <x:c r="A2" s="15" t="str">
        <x:v>RA024</x:v>
      </x:c>
      <x:c r="B2" s="15" t="str">
        <x:v>Regulatory Authority Master</x:v>
      </x:c>
      <x:c r="C2" s="15" t="str">
        <x:v>Active=Yes; Remarks=</x:v>
      </x:c>
      <x:c r="D2" s="15" t="str">
        <x:v>Active=No; Remarks=P-0 QUARANTINED: Common Companies Act content is owned by Common Corporate Core; legacy ID retained for migration traceability.</x:v>
      </x:c>
      <x:c r="E2" s="15" t="str">
        <x:v>RECLASSIFY / RETIRE FROM ACTIVE PHARMACY</x:v>
      </x:c>
      <x:c r="F2" s="15" t="str">
        <x:v>Registrar of Companies authority belongs to Common Corporate Core, not Pharmacy ownership.</x:v>
      </x:c>
      <x:c r="G2" s="15" t="str">
        <x:v>Common Corporate Core MCA001</x:v>
      </x:c>
      <x:c r="H2" s="15" t="str">
        <x:v>Companies Act, 2013 / applicable Companies Rules</x:v>
      </x:c>
      <x:c r="I2" s="15" t="str">
        <x:v>P-0</x:v>
      </x:c>
      <x:c r="J2" s="15" t="str">
        <x:v>2026-08-19</x:v>
      </x:c>
      <x:c r="K2" s="15" t="str">
        <x:v>Downstream node quarantined; legacy ID preserved; runtime must load canonical Common Corporate Core.</x:v>
      </x:c>
    </x:row>
    <x:row r="3">
      <x:c r="A3" s="15" t="str">
        <x:v>CA057</x:v>
      </x:c>
      <x:c r="B3" s="15" t="str">
        <x:v>Compliance Area Master</x:v>
      </x:c>
      <x:c r="C3" s="15" t="str">
        <x:v>Active=Yes; Remarks=</x:v>
      </x:c>
      <x:c r="D3" s="15" t="str">
        <x:v>Active=No; Remarks=P-0 QUARANTINED: Common Companies Act content is owned by Common Corporate Core; legacy ID retained for migration traceability.</x:v>
      </x:c>
      <x:c r="E3" s="15" t="str">
        <x:v>RECLASSIFY / RETIRE FROM ACTIVE PHARMACY</x:v>
      </x:c>
      <x:c r="F3" s="15" t="str">
        <x:v>Companies Act compliance area is common-core owned.</x:v>
      </x:c>
      <x:c r="G3" s="15" t="str">
        <x:v>Common Corporate Core MCA001</x:v>
      </x:c>
      <x:c r="H3" s="15" t="str">
        <x:v>Companies Act, 2013 / applicable Companies Rules</x:v>
      </x:c>
      <x:c r="I3" s="15" t="str">
        <x:v>P-0</x:v>
      </x:c>
      <x:c r="J3" s="15" t="str">
        <x:v>2026-08-19</x:v>
      </x:c>
      <x:c r="K3" s="15" t="str">
        <x:v>Downstream node quarantined; legacy ID preserved; runtime must load canonical Common Corporate Core.</x:v>
      </x:c>
    </x:row>
    <x:row r="4">
      <x:c r="A4" s="15" t="str">
        <x:v>LAW031</x:v>
      </x:c>
      <x:c r="B4" s="15" t="str">
        <x:v>Law Master</x:v>
      </x:c>
      <x:c r="C4" s="15" t="str">
        <x:v>Active=Yes; Remarks=Applicable only to companies.</x:v>
      </x:c>
      <x:c r="D4" s="15" t="str">
        <x:v>Active=No; Remarks=Applicable only to companies. | P-0 QUARANTINED: Common Companies Act content is owned by Common Corporate Core; legacy ID retained for migration traceability.</x:v>
      </x:c>
      <x:c r="E4" s="15" t="str">
        <x:v>RECLASSIFY / RETIRE FROM ACTIVE PHARMACY</x:v>
      </x:c>
      <x:c r="F4" s="15" t="str">
        <x:v>Duplicate Pharmacy-owned Companies Act universe prohibited by approved architecture.</x:v>
      </x:c>
      <x:c r="G4" s="15" t="str">
        <x:v>Common Corporate Core MCA001</x:v>
      </x:c>
      <x:c r="H4" s="15" t="str">
        <x:v>Companies Act, 2013 / applicable Companies Rules</x:v>
      </x:c>
      <x:c r="I4" s="15" t="str">
        <x:v>P-0</x:v>
      </x:c>
      <x:c r="J4" s="15" t="str">
        <x:v>2026-08-19</x:v>
      </x:c>
      <x:c r="K4" s="15" t="str">
        <x:v>Downstream node quarantined; legacy ID preserved; runtime must load canonical Common Corporate Core.</x:v>
      </x:c>
    </x:row>
    <x:row r="5">
      <x:c r="A5" s="15" t="str">
        <x:v>LAW032</x:v>
      </x:c>
      <x:c r="B5" s="15" t="str">
        <x:v>Law Master</x:v>
      </x:c>
      <x:c r="C5" s="15" t="str">
        <x:v>Active=Yes; Remarks=Incorporation and corporate governance.</x:v>
      </x:c>
      <x:c r="D5" s="15" t="str">
        <x:v>Active=No; Remarks=Incorporation and corporate governance. | P-0 QUARANTINED: Common Companies Act content is owned by Common Corporate Core; legacy ID retained for migration traceability.</x:v>
      </x:c>
      <x:c r="E5" s="15" t="str">
        <x:v>RECLASSIFY / RETIRE FROM ACTIVE PHARMACY</x:v>
      </x:c>
      <x:c r="F5" s="15" t="str">
        <x:v>Duplicate Pharmacy-owned Companies Act universe prohibited by approved architecture.</x:v>
      </x:c>
      <x:c r="G5" s="15" t="str">
        <x:v>Common Corporate Core MCA001</x:v>
      </x:c>
      <x:c r="H5" s="15" t="str">
        <x:v>Companies Act, 2013 / applicable Companies Rules</x:v>
      </x:c>
      <x:c r="I5" s="15" t="str">
        <x:v>P-0</x:v>
      </x:c>
      <x:c r="J5" s="15" t="str">
        <x:v>2026-08-19</x:v>
      </x:c>
      <x:c r="K5" s="15" t="str">
        <x:v>Downstream node quarantined; legacy ID preserved; runtime must load canonical Common Corporate Core.</x:v>
      </x:c>
    </x:row>
    <x:row r="6">
      <x:c r="A6" s="15" t="str">
        <x:v>LM089</x:v>
      </x:c>
      <x:c r="B6" s="15" t="str">
        <x:v>Law_ComplianceArea_Map</x:v>
      </x:c>
      <x:c r="C6" s="15" t="str">
        <x:v>Active=Yes; Remarks=Companies Act compliance.</x:v>
      </x:c>
      <x:c r="D6" s="15" t="str">
        <x:v>Active=No; Remarks=Companies Act compliance. | P-0 QUARANTINED: Common Companies Act content is owned by Common Corporate Core; legacy ID retained for migration traceability.</x:v>
      </x:c>
      <x:c r="E6" s="15" t="str">
        <x:v>RECLASSIFY / RETIRE FROM ACTIVE PHARMACY</x:v>
      </x:c>
      <x:c r="F6" s="15" t="str">
        <x:v>Mappings point to quarantined Pharmacy Companies Act records.</x:v>
      </x:c>
      <x:c r="G6" s="15" t="str">
        <x:v>Common Corporate Core MCA001</x:v>
      </x:c>
      <x:c r="H6" s="15" t="str">
        <x:v>Companies Act, 2013 / applicable Companies Rules</x:v>
      </x:c>
      <x:c r="I6" s="15" t="str">
        <x:v>P-0</x:v>
      </x:c>
      <x:c r="J6" s="15" t="str">
        <x:v>2026-08-19</x:v>
      </x:c>
      <x:c r="K6" s="15" t="str">
        <x:v>Downstream node quarantined; legacy ID preserved; runtime must load canonical Common Corporate Core.</x:v>
      </x:c>
    </x:row>
    <x:row r="7">
      <x:c r="A7" s="15" t="str">
        <x:v>LM090</x:v>
      </x:c>
      <x:c r="B7" s="15" t="str">
        <x:v>Law_ComplianceArea_Map</x:v>
      </x:c>
      <x:c r="C7" s="15" t="str">
        <x:v>Active=Yes; Remarks=Corporate statutory registers.</x:v>
      </x:c>
      <x:c r="D7" s="15" t="str">
        <x:v>Active=No; Remarks=Corporate statutory registers. | P-0 QUARANTINED: Common Companies Act content is owned by Common Corporate Core; legacy ID retained for migration traceability.</x:v>
      </x:c>
      <x:c r="E7" s="15" t="str">
        <x:v>RECLASSIFY / RETIRE FROM ACTIVE PHARMACY</x:v>
      </x:c>
      <x:c r="F7" s="15" t="str">
        <x:v>Mappings point to quarantined Pharmacy Companies Act records.</x:v>
      </x:c>
      <x:c r="G7" s="15" t="str">
        <x:v>Common Corporate Core MCA001</x:v>
      </x:c>
      <x:c r="H7" s="15" t="str">
        <x:v>Companies Act, 2013 / applicable Companies Rules</x:v>
      </x:c>
      <x:c r="I7" s="15" t="str">
        <x:v>P-0</x:v>
      </x:c>
      <x:c r="J7" s="15" t="str">
        <x:v>2026-08-19</x:v>
      </x:c>
      <x:c r="K7" s="15" t="str">
        <x:v>Downstream node quarantined; legacy ID preserved; runtime must load canonical Common Corporate Core.</x:v>
      </x:c>
    </x:row>
    <x:row r="8">
      <x:c r="A8" s="15" t="str">
        <x:v>LM091</x:v>
      </x:c>
      <x:c r="B8" s="15" t="str">
        <x:v>Law_ComplianceArea_Map</x:v>
      </x:c>
      <x:c r="C8" s="15" t="str">
        <x:v>Active=Yes; Remarks=Company incorporation and governance rules.</x:v>
      </x:c>
      <x:c r="D8" s="15" t="str">
        <x:v>Active=No; Remarks=Company incorporation and governance rules. | P-0 QUARANTINED: Common Companies Act content is owned by Common Corporate Core; legacy ID retained for migration traceability.</x:v>
      </x:c>
      <x:c r="E8" s="15" t="str">
        <x:v>RECLASSIFY / RETIRE FROM ACTIVE PHARMACY</x:v>
      </x:c>
      <x:c r="F8" s="15" t="str">
        <x:v>Mappings point to quarantined Pharmacy Companies Act records.</x:v>
      </x:c>
      <x:c r="G8" s="15" t="str">
        <x:v>Common Corporate Core MCA001</x:v>
      </x:c>
      <x:c r="H8" s="15" t="str">
        <x:v>Companies Act, 2013 / applicable Companies Rules</x:v>
      </x:c>
      <x:c r="I8" s="15" t="str">
        <x:v>P-0</x:v>
      </x:c>
      <x:c r="J8" s="15" t="str">
        <x:v>2026-08-19</x:v>
      </x:c>
      <x:c r="K8" s="15" t="str">
        <x:v>Downstream node quarantined; legacy ID preserved; runtime must load canonical Common Corporate Core.</x:v>
      </x:c>
    </x:row>
    <x:row r="9">
      <x:c r="A9" s="15" t="str">
        <x:v>PROV076</x:v>
      </x:c>
      <x:c r="B9" s="15" t="str">
        <x:v>Provision Master</x:v>
      </x:c>
      <x:c r="C9" s="15" t="str">
        <x:v>Active=Yes; Remarks=</x:v>
      </x:c>
      <x:c r="D9" s="15" t="str">
        <x:v>Active=No; Remarks=P-0 QUARANTINED: Common Companies Act content is owned by Common Corporate Core; legacy ID retained for migration traceability.</x:v>
      </x:c>
      <x:c r="E9" s="15" t="str">
        <x:v>RECLASSIFY / RETIRE FROM ACTIVE PHARMACY</x:v>
      </x:c>
      <x:c r="F9" s="15" t="str">
        <x:v>Companies Act provisions must be supplied from canonical MCA001 Common Corporate Core.</x:v>
      </x:c>
      <x:c r="G9" s="15" t="str">
        <x:v>Common Corporate Core MCA001</x:v>
      </x:c>
      <x:c r="H9" s="15" t="str">
        <x:v>Companies Act, 2013 / applicable Companies Rules</x:v>
      </x:c>
      <x:c r="I9" s="15" t="str">
        <x:v>P-0</x:v>
      </x:c>
      <x:c r="J9" s="15" t="str">
        <x:v>2026-08-19</x:v>
      </x:c>
      <x:c r="K9" s="15" t="str">
        <x:v>Downstream node quarantined; legacy ID preserved; runtime must load canonical Common Corporate Core.</x:v>
      </x:c>
    </x:row>
    <x:row r="10">
      <x:c r="A10" s="15" t="str">
        <x:v>PROV077</x:v>
      </x:c>
      <x:c r="B10" s="15" t="str">
        <x:v>Provision Master</x:v>
      </x:c>
      <x:c r="C10" s="15" t="str">
        <x:v>Active=Yes; Remarks=</x:v>
      </x:c>
      <x:c r="D10" s="15" t="str">
        <x:v>Active=No; Remarks=P-0 QUARANTINED: Common Companies Act content is owned by Common Corporate Core; legacy ID retained for migration traceability.</x:v>
      </x:c>
      <x:c r="E10" s="15" t="str">
        <x:v>RECLASSIFY / RETIRE FROM ACTIVE PHARMACY</x:v>
      </x:c>
      <x:c r="F10" s="15" t="str">
        <x:v>Companies Act provisions must be supplied from canonical MCA001 Common Corporate Core.</x:v>
      </x:c>
      <x:c r="G10" s="15" t="str">
        <x:v>Common Corporate Core MCA001</x:v>
      </x:c>
      <x:c r="H10" s="15" t="str">
        <x:v>Companies Act, 2013 / applicable Companies Rules</x:v>
      </x:c>
      <x:c r="I10" s="15" t="str">
        <x:v>P-0</x:v>
      </x:c>
      <x:c r="J10" s="15" t="str">
        <x:v>2026-08-19</x:v>
      </x:c>
      <x:c r="K10" s="15" t="str">
        <x:v>Downstream node quarantined; legacy ID preserved; runtime must load canonical Common Corporate Core.</x:v>
      </x:c>
    </x:row>
    <x:row r="11">
      <x:c r="A11" s="15" t="str">
        <x:v>PROV078</x:v>
      </x:c>
      <x:c r="B11" s="15" t="str">
        <x:v>Provision Master</x:v>
      </x:c>
      <x:c r="C11" s="15" t="str">
        <x:v>Active=Yes; Remarks=</x:v>
      </x:c>
      <x:c r="D11" s="15" t="str">
        <x:v>Active=No; Remarks=P-0 QUARANTINED: Common Companies Act content is owned by Common Corporate Core; legacy ID retained for migration traceability.</x:v>
      </x:c>
      <x:c r="E11" s="15" t="str">
        <x:v>RECLASSIFY / RETIRE FROM ACTIVE PHARMACY</x:v>
      </x:c>
      <x:c r="F11" s="15" t="str">
        <x:v>Companies Act provisions must be supplied from canonical MCA001 Common Corporate Core.</x:v>
      </x:c>
      <x:c r="G11" s="15" t="str">
        <x:v>Common Corporate Core MCA001</x:v>
      </x:c>
      <x:c r="H11" s="15" t="str">
        <x:v>Companies Act, 2013 / applicable Companies Rules</x:v>
      </x:c>
      <x:c r="I11" s="15" t="str">
        <x:v>P-0</x:v>
      </x:c>
      <x:c r="J11" s="15" t="str">
        <x:v>2026-08-19</x:v>
      </x:c>
      <x:c r="K11" s="15" t="str">
        <x:v>Downstream node quarantined; legacy ID preserved; runtime must load canonical Common Corporate Core.</x:v>
      </x:c>
    </x:row>
    <x:row r="12">
      <x:c r="A12" s="15" t="str">
        <x:v>PROV079</x:v>
      </x:c>
      <x:c r="B12" s="15" t="str">
        <x:v>Provision Master</x:v>
      </x:c>
      <x:c r="C12" s="15" t="str">
        <x:v>Active=Yes; Remarks=</x:v>
      </x:c>
      <x:c r="D12" s="15" t="str">
        <x:v>Active=No; Remarks=P-0 QUARANTINED: Common Companies Act content is owned by Common Corporate Core; legacy ID retained for migration traceability.</x:v>
      </x:c>
      <x:c r="E12" s="15" t="str">
        <x:v>RECLASSIFY / RETIRE FROM ACTIVE PHARMACY</x:v>
      </x:c>
      <x:c r="F12" s="15" t="str">
        <x:v>Companies Act provisions must be supplied from canonical MCA001 Common Corporate Core.</x:v>
      </x:c>
      <x:c r="G12" s="15" t="str">
        <x:v>Common Corporate Core MCA001</x:v>
      </x:c>
      <x:c r="H12" s="15" t="str">
        <x:v>Companies Act, 2013 / applicable Companies Rules</x:v>
      </x:c>
      <x:c r="I12" s="15" t="str">
        <x:v>P-0</x:v>
      </x:c>
      <x:c r="J12" s="15" t="str">
        <x:v>2026-08-19</x:v>
      </x:c>
      <x:c r="K12" s="15" t="str">
        <x:v>Downstream node quarantined; legacy ID preserved; runtime must load canonical Common Corporate Core.</x:v>
      </x:c>
    </x:row>
    <x:row r="13">
      <x:c r="A13" s="15" t="str">
        <x:v>PROV080</x:v>
      </x:c>
      <x:c r="B13" s="15" t="str">
        <x:v>Provision Master</x:v>
      </x:c>
      <x:c r="C13" s="15" t="str">
        <x:v>Active=Yes; Remarks=</x:v>
      </x:c>
      <x:c r="D13" s="15" t="str">
        <x:v>Active=No; Remarks=P-0 QUARANTINED: Common Companies Act content is owned by Common Corporate Core; legacy ID retained for migration traceability.</x:v>
      </x:c>
      <x:c r="E13" s="15" t="str">
        <x:v>RECLASSIFY / RETIRE FROM ACTIVE PHARMACY</x:v>
      </x:c>
      <x:c r="F13" s="15" t="str">
        <x:v>Companies Act provisions must be supplied from canonical MCA001 Common Corporate Core.</x:v>
      </x:c>
      <x:c r="G13" s="15" t="str">
        <x:v>Common Corporate Core MCA001</x:v>
      </x:c>
      <x:c r="H13" s="15" t="str">
        <x:v>Companies Act, 2013 / applicable Companies Rules</x:v>
      </x:c>
      <x:c r="I13" s="15" t="str">
        <x:v>P-0</x:v>
      </x:c>
      <x:c r="J13" s="15" t="str">
        <x:v>2026-08-19</x:v>
      </x:c>
      <x:c r="K13" s="15" t="str">
        <x:v>Downstream node quarantined; legacy ID preserved; runtime must load canonical Common Corporate Core.</x:v>
      </x:c>
    </x:row>
    <x:row r="14">
      <x:c r="A14" s="15" t="str">
        <x:v>COMP076</x:v>
      </x:c>
      <x:c r="B14" s="15" t="str">
        <x:v>Compliance Requirement Master</x:v>
      </x:c>
      <x:c r="C14" s="15" t="str">
        <x:v>Active=Yes; Remarks=Applicable to companies only</x:v>
      </x:c>
      <x:c r="D14" s="15" t="str">
        <x:v>Active=No; Remarks=Applicable to companies only | P-0 QUARANTINED: Common Companies Act content is owned by Common Corporate Core; legacy ID retained for migration traceability.</x:v>
      </x:c>
      <x:c r="E14" s="15" t="str">
        <x:v>RECLASSIFY / RETIRE FROM ACTIVE PHARMACY</x:v>
      </x:c>
      <x:c r="F14" s="15" t="str">
        <x:v>Companies Act compliance requirements must be supplied from canonical Common Corporate Core.</x:v>
      </x:c>
      <x:c r="G14" s="15" t="str">
        <x:v>Common Corporate Core MCA001</x:v>
      </x:c>
      <x:c r="H14" s="15" t="str">
        <x:v>Companies Act, 2013 / applicable Companies Rules</x:v>
      </x:c>
      <x:c r="I14" s="15" t="str">
        <x:v>P-0</x:v>
      </x:c>
      <x:c r="J14" s="15" t="str">
        <x:v>2026-08-19</x:v>
      </x:c>
      <x:c r="K14" s="15" t="str">
        <x:v>Downstream node quarantined; legacy ID preserved; runtime must load canonical Common Corporate Core.</x:v>
      </x:c>
    </x:row>
    <x:row r="15">
      <x:c r="A15" s="15" t="str">
        <x:v>COMP077</x:v>
      </x:c>
      <x:c r="B15" s="15" t="str">
        <x:v>Compliance Requirement Master</x:v>
      </x:c>
      <x:c r="C15" s="15" t="str">
        <x:v>Active=Yes; Remarks=Applicable to companies only</x:v>
      </x:c>
      <x:c r="D15" s="15" t="str">
        <x:v>Active=No; Remarks=Applicable to companies only | P-0 QUARANTINED: Common Companies Act content is owned by Common Corporate Core; legacy ID retained for migration traceability.</x:v>
      </x:c>
      <x:c r="E15" s="15" t="str">
        <x:v>RECLASSIFY / RETIRE FROM ACTIVE PHARMACY</x:v>
      </x:c>
      <x:c r="F15" s="15" t="str">
        <x:v>Companies Act compliance requirements must be supplied from canonical Common Corporate Core.</x:v>
      </x:c>
      <x:c r="G15" s="15" t="str">
        <x:v>Common Corporate Core MCA001</x:v>
      </x:c>
      <x:c r="H15" s="15" t="str">
        <x:v>Companies Act, 2013 / applicable Companies Rules</x:v>
      </x:c>
      <x:c r="I15" s="15" t="str">
        <x:v>P-0</x:v>
      </x:c>
      <x:c r="J15" s="15" t="str">
        <x:v>2026-08-19</x:v>
      </x:c>
      <x:c r="K15" s="15" t="str">
        <x:v>Downstream node quarantined; legacy ID preserved; runtime must load canonical Common Corporate Core.</x:v>
      </x:c>
    </x:row>
    <x:row r="16">
      <x:c r="A16" s="15" t="str">
        <x:v>COMP078</x:v>
      </x:c>
      <x:c r="B16" s="15" t="str">
        <x:v>Compliance Requirement Master</x:v>
      </x:c>
      <x:c r="C16" s="15" t="str">
        <x:v>Active=Yes; Remarks=Companies only</x:v>
      </x:c>
      <x:c r="D16" s="15" t="str">
        <x:v>Active=No; Remarks=Companies only | P-0 QUARANTINED: Common Companies Act content is owned by Common Corporate Core; legacy ID retained for migration traceability.</x:v>
      </x:c>
      <x:c r="E16" s="15" t="str">
        <x:v>RECLASSIFY / RETIRE FROM ACTIVE PHARMACY</x:v>
      </x:c>
      <x:c r="F16" s="15" t="str">
        <x:v>Companies Act compliance requirements must be supplied from canonical Common Corporate Core.</x:v>
      </x:c>
      <x:c r="G16" s="15" t="str">
        <x:v>Common Corporate Core MCA001</x:v>
      </x:c>
      <x:c r="H16" s="15" t="str">
        <x:v>Companies Act, 2013 / applicable Companies Rules</x:v>
      </x:c>
      <x:c r="I16" s="15" t="str">
        <x:v>P-0</x:v>
      </x:c>
      <x:c r="J16" s="15" t="str">
        <x:v>2026-08-19</x:v>
      </x:c>
      <x:c r="K16" s="15" t="str">
        <x:v>Downstream node quarantined; legacy ID preserved; runtime must load canonical Common Corporate Core.</x:v>
      </x:c>
    </x:row>
    <x:row r="17">
      <x:c r="A17" s="15" t="str">
        <x:v>COMP079</x:v>
      </x:c>
      <x:c r="B17" s="15" t="str">
        <x:v>Compliance Requirement Master</x:v>
      </x:c>
      <x:c r="C17" s="15" t="str">
        <x:v>Active=Yes; Remarks=Companies only</x:v>
      </x:c>
      <x:c r="D17" s="15" t="str">
        <x:v>Active=No; Remarks=Companies only | P-0 QUARANTINED: Common Companies Act content is owned by Common Corporate Core; legacy ID retained for migration traceability.</x:v>
      </x:c>
      <x:c r="E17" s="15" t="str">
        <x:v>RECLASSIFY / RETIRE FROM ACTIVE PHARMACY</x:v>
      </x:c>
      <x:c r="F17" s="15" t="str">
        <x:v>Companies Act compliance requirements must be supplied from canonical Common Corporate Core.</x:v>
      </x:c>
      <x:c r="G17" s="15" t="str">
        <x:v>Common Corporate Core MCA001</x:v>
      </x:c>
      <x:c r="H17" s="15" t="str">
        <x:v>Companies Act, 2013 / applicable Companies Rules</x:v>
      </x:c>
      <x:c r="I17" s="15" t="str">
        <x:v>P-0</x:v>
      </x:c>
      <x:c r="J17" s="15" t="str">
        <x:v>2026-08-19</x:v>
      </x:c>
      <x:c r="K17" s="15" t="str">
        <x:v>Downstream node quarantined; legacy ID preserved; runtime must load canonical Common Corporate Core.</x:v>
      </x:c>
    </x:row>
    <x:row r="18">
      <x:c r="A18" s="15" t="str">
        <x:v>COMP080</x:v>
      </x:c>
      <x:c r="B18" s="15" t="str">
        <x:v>Compliance Requirement Master</x:v>
      </x:c>
      <x:c r="C18" s="15" t="str">
        <x:v>Active=Yes; Remarks=Companies only</x:v>
      </x:c>
      <x:c r="D18" s="15" t="str">
        <x:v>Active=No; Remarks=Companies only | P-0 QUARANTINED: Common Companies Act content is owned by Common Corporate Core; legacy ID retained for migration traceability.</x:v>
      </x:c>
      <x:c r="E18" s="15" t="str">
        <x:v>RECLASSIFY / RETIRE FROM ACTIVE PHARMACY</x:v>
      </x:c>
      <x:c r="F18" s="15" t="str">
        <x:v>Companies Act compliance requirements must be supplied from canonical Common Corporate Core.</x:v>
      </x:c>
      <x:c r="G18" s="15" t="str">
        <x:v>Common Corporate Core MCA001</x:v>
      </x:c>
      <x:c r="H18" s="15" t="str">
        <x:v>Companies Act, 2013 / applicable Companies Rules</x:v>
      </x:c>
      <x:c r="I18" s="15" t="str">
        <x:v>P-0</x:v>
      </x:c>
      <x:c r="J18" s="15" t="str">
        <x:v>2026-08-19</x:v>
      </x:c>
      <x:c r="K18" s="15" t="str">
        <x:v>Downstream node quarantined; legacy ID preserved; runtime must load canonical Common Corporate Core.</x:v>
      </x:c>
    </x:row>
    <x:row r="19">
      <x:c r="A19" s="15" t="str">
        <x:v>AUD158</x:v>
      </x:c>
      <x:c r="B19" s="15" t="str">
        <x:v>Audit Procedure Master</x:v>
      </x:c>
      <x:c r="C19" s="15" t="str">
        <x:v>Active=Yes; Remarks=Sample prescriptions across different therapeutic categories.</x:v>
      </x:c>
      <x:c r="D19" s="15" t="str">
        <x:v>Active=No; Remarks=Sample prescriptions across different therapeutic categories. | P-0 QUARANTINED: Common Companies Act content is owned by Common Corporate Core; legacy ID retained for migration traceability.</x:v>
      </x:c>
      <x:c r="E19" s="15" t="str">
        <x:v>RECLASSIFY / RETIRE FROM ACTIVE PHARMACY</x:v>
      </x:c>
      <x:c r="F19" s="15" t="str">
        <x:v>Useful Pharmacy prescription controls are semantically mis-parented to Companies Act compliances; preserved inactive pending rule-level normalization and remap in P-2.</x:v>
      </x:c>
      <x:c r="G19" s="15" t="str">
        <x:v>Common Corporate Core MCA001</x:v>
      </x:c>
      <x:c r="H19" s="15" t="str">
        <x:v>Companies Act, 2013 / applicable Companies Rules</x:v>
      </x:c>
      <x:c r="I19" s="15" t="str">
        <x:v>P-0/P-2</x:v>
      </x:c>
      <x:c r="J19" s="15" t="str">
        <x:v>2026-08-19</x:v>
      </x:c>
      <x:c r="K19" s="15" t="str">
        <x:v>Downstream node quarantined; legacy ID preserved; runtime must load canonical Common Corporate Core.</x:v>
      </x:c>
    </x:row>
    <x:row r="20">
      <x:c r="A20" s="15" t="str">
        <x:v>AUD159</x:v>
      </x:c>
      <x:c r="B20" s="15" t="str">
        <x:v>Audit Procedure Master</x:v>
      </x:c>
      <x:c r="C20" s="15" t="str">
        <x:v>Active=Yes; Remarks=Investigate discrepancies.</x:v>
      </x:c>
      <x:c r="D20" s="15" t="str">
        <x:v>Active=No; Remarks=Investigate discrepancies. | P-0 QUARANTINED: Common Companies Act content is owned by Common Corporate Core; legacy ID retained for migration traceability.</x:v>
      </x:c>
      <x:c r="E20" s="15" t="str">
        <x:v>RECLASSIFY / RETIRE FROM ACTIVE PHARMACY</x:v>
      </x:c>
      <x:c r="F20" s="15" t="str">
        <x:v>Useful Pharmacy prescription controls are semantically mis-parented to Companies Act compliances; preserved inactive pending rule-level normalization and remap in P-2.</x:v>
      </x:c>
      <x:c r="G20" s="15" t="str">
        <x:v>Common Corporate Core MCA001</x:v>
      </x:c>
      <x:c r="H20" s="15" t="str">
        <x:v>Companies Act, 2013 / applicable Companies Rules</x:v>
      </x:c>
      <x:c r="I20" s="15" t="str">
        <x:v>P-0/P-2</x:v>
      </x:c>
      <x:c r="J20" s="15" t="str">
        <x:v>2026-08-19</x:v>
      </x:c>
      <x:c r="K20" s="15" t="str">
        <x:v>Downstream node quarantined; legacy ID preserved; runtime must load canonical Common Corporate Core.</x:v>
      </x:c>
    </x:row>
    <x:row r="21">
      <x:c r="A21" s="15" t="str">
        <x:v>AUD160</x:v>
      </x:c>
      <x:c r="B21" s="15" t="str">
        <x:v>Audit Procedure Master</x:v>
      </x:c>
      <x:c r="C21" s="15" t="str">
        <x:v>Active=Yes; Remarks=Incomplete prescriptions should be referred back for clarification.</x:v>
      </x:c>
      <x:c r="D21" s="15" t="str">
        <x:v>Active=No; Remarks=Incomplete prescriptions should be referred back for clarification. | P-0 QUARANTINED: Common Companies Act content is owned by Common Corporate Core; legacy ID retained for migration traceability.</x:v>
      </x:c>
      <x:c r="E21" s="15" t="str">
        <x:v>RECLASSIFY / RETIRE FROM ACTIVE PHARMACY</x:v>
      </x:c>
      <x:c r="F21" s="15" t="str">
        <x:v>Useful Pharmacy prescription controls are semantically mis-parented to Companies Act compliances; preserved inactive pending rule-level normalization and remap in P-2.</x:v>
      </x:c>
      <x:c r="G21" s="15" t="str">
        <x:v>Common Corporate Core MCA001</x:v>
      </x:c>
      <x:c r="H21" s="15" t="str">
        <x:v>Companies Act, 2013 / applicable Companies Rules</x:v>
      </x:c>
      <x:c r="I21" s="15" t="str">
        <x:v>P-0/P-2</x:v>
      </x:c>
      <x:c r="J21" s="15" t="str">
        <x:v>2026-08-19</x:v>
      </x:c>
      <x:c r="K21" s="15" t="str">
        <x:v>Downstream node quarantined; legacy ID preserved; runtime must load canonical Common Corporate Core.</x:v>
      </x:c>
    </x:row>
    <x:row r="22">
      <x:c r="A22" s="15" t="str">
        <x:v>AUD161</x:v>
      </x:c>
      <x:c r="B22" s="15" t="str">
        <x:v>Audit Procedure Master</x:v>
      </x:c>
      <x:c r="C22" s="15" t="str">
        <x:v>Active=Yes; Remarks=Confirm compliance with SOPs.</x:v>
      </x:c>
      <x:c r="D22" s="15" t="str">
        <x:v>Active=No; Remarks=Confirm compliance with SOPs. | P-0 QUARANTINED: Common Companies Act content is owned by Common Corporate Core; legacy ID retained for migration traceability.</x:v>
      </x:c>
      <x:c r="E22" s="15" t="str">
        <x:v>RECLASSIFY / RETIRE FROM ACTIVE PHARMACY</x:v>
      </x:c>
      <x:c r="F22" s="15" t="str">
        <x:v>Useful Pharmacy prescription controls are semantically mis-parented to Companies Act compliances; preserved inactive pending rule-level normalization and remap in P-2.</x:v>
      </x:c>
      <x:c r="G22" s="15" t="str">
        <x:v>Common Corporate Core MCA001</x:v>
      </x:c>
      <x:c r="H22" s="15" t="str">
        <x:v>Companies Act, 2013 / applicable Companies Rules</x:v>
      </x:c>
      <x:c r="I22" s="15" t="str">
        <x:v>P-0/P-2</x:v>
      </x:c>
      <x:c r="J22" s="15" t="str">
        <x:v>2026-08-19</x:v>
      </x:c>
      <x:c r="K22" s="15" t="str">
        <x:v>Downstream node quarantined; legacy ID preserved; runtime must load canonical Common Corporate Core.</x:v>
      </x:c>
    </x:row>
    <x:row r="23">
      <x:c r="A23" s="15" t="str">
        <x:v>AUD162</x:v>
      </x:c>
      <x:c r="B23" s="15" t="str">
        <x:v>Audit Procedure Master</x:v>
      </x:c>
      <x:c r="C23" s="15" t="str">
        <x:v>Active=Yes; Remarks=Review should be documented where applicable.</x:v>
      </x:c>
      <x:c r="D23" s="15" t="str">
        <x:v>Active=No; Remarks=Review should be documented where applicable. | P-0 QUARANTINED: Common Companies Act content is owned by Common Corporate Core; legacy ID retained for migration traceability.</x:v>
      </x:c>
      <x:c r="E23" s="15" t="str">
        <x:v>RECLASSIFY / RETIRE FROM ACTIVE PHARMACY</x:v>
      </x:c>
      <x:c r="F23" s="15" t="str">
        <x:v>Useful Pharmacy prescription controls are semantically mis-parented to Companies Act compliances; preserved inactive pending rule-level normalization and remap in P-2.</x:v>
      </x:c>
      <x:c r="G23" s="15" t="str">
        <x:v>Common Corporate Core MCA001</x:v>
      </x:c>
      <x:c r="H23" s="15" t="str">
        <x:v>Companies Act, 2013 / applicable Companies Rules</x:v>
      </x:c>
      <x:c r="I23" s="15" t="str">
        <x:v>P-0/P-2</x:v>
      </x:c>
      <x:c r="J23" s="15" t="str">
        <x:v>2026-08-19</x:v>
      </x:c>
      <x:c r="K23" s="15" t="str">
        <x:v>Downstream node quarantined; legacy ID preserved; runtime must load canonical Common Corporate Core.</x:v>
      </x:c>
    </x:row>
    <x:row r="24">
      <x:c r="A24" s="15" t="str">
        <x:v>AUD163</x:v>
      </x:c>
      <x:c r="B24" s="15" t="str">
        <x:v>Audit Procedure Master</x:v>
      </x:c>
      <x:c r="C24" s="15" t="str">
        <x:v>Active=Yes; Remarks=Verify understanding of dispensing responsibilities.</x:v>
      </x:c>
      <x:c r="D24" s="15" t="str">
        <x:v>Active=No; Remarks=Verify understanding of dispensing responsibilities. | P-0 QUARANTINED: Common Companies Act content is owned by Common Corporate Core; legacy ID retained for migration traceability.</x:v>
      </x:c>
      <x:c r="E24" s="15" t="str">
        <x:v>RECLASSIFY / RETIRE FROM ACTIVE PHARMACY</x:v>
      </x:c>
      <x:c r="F24" s="15" t="str">
        <x:v>Useful Pharmacy prescription controls are semantically mis-parented to Companies Act compliances; preserved inactive pending rule-level normalization and remap in P-2.</x:v>
      </x:c>
      <x:c r="G24" s="15" t="str">
        <x:v>Common Corporate Core MCA001</x:v>
      </x:c>
      <x:c r="H24" s="15" t="str">
        <x:v>Companies Act, 2013 / applicable Companies Rules</x:v>
      </x:c>
      <x:c r="I24" s="15" t="str">
        <x:v>P-0/P-2</x:v>
      </x:c>
      <x:c r="J24" s="15" t="str">
        <x:v>2026-08-19</x:v>
      </x:c>
      <x:c r="K24" s="15" t="str">
        <x:v>Downstream node quarantined; legacy ID preserved; runtime must load canonical Common Corporate Core.</x:v>
      </x:c>
    </x:row>
    <x:row r="25">
      <x:c r="A25" s="15" t="str">
        <x:v>AUD164</x:v>
      </x:c>
      <x:c r="B25" s="15" t="str">
        <x:v>Audit Procedure Master</x:v>
      </x:c>
      <x:c r="C25" s="15" t="str">
        <x:v>Active=Yes; Remarks=Ensure secure preservation.</x:v>
      </x:c>
      <x:c r="D25" s="15" t="str">
        <x:v>Active=No; Remarks=Ensure secure preservation. | P-0 QUARANTINED: Common Companies Act content is owned by Common Corporate Core; legacy ID retained for migration traceability.</x:v>
      </x:c>
      <x:c r="E25" s="15" t="str">
        <x:v>RECLASSIFY / RETIRE FROM ACTIVE PHARMACY</x:v>
      </x:c>
      <x:c r="F25" s="15" t="str">
        <x:v>Useful Pharmacy prescription controls are semantically mis-parented to Companies Act compliances; preserved inactive pending rule-level normalization and remap in P-2.</x:v>
      </x:c>
      <x:c r="G25" s="15" t="str">
        <x:v>Common Corporate Core MCA001</x:v>
      </x:c>
      <x:c r="H25" s="15" t="str">
        <x:v>Companies Act, 2013 / applicable Companies Rules</x:v>
      </x:c>
      <x:c r="I25" s="15" t="str">
        <x:v>P-0/P-2</x:v>
      </x:c>
      <x:c r="J25" s="15" t="str">
        <x:v>2026-08-19</x:v>
      </x:c>
      <x:c r="K25" s="15" t="str">
        <x:v>Downstream node quarantined; legacy ID preserved; runtime must load canonical Common Corporate Core.</x:v>
      </x:c>
    </x:row>
    <x:row r="26">
      <x:c r="A26" s="15" t="str">
        <x:v>AUD165</x:v>
      </x:c>
      <x:c r="B26" s="15" t="str">
        <x:v>Audit Procedure Master</x:v>
      </x:c>
      <x:c r="C26" s="15" t="str">
        <x:v>Active=Yes; Remarks=Records should be readily available for inspection.</x:v>
      </x:c>
      <x:c r="D26" s="15" t="str">
        <x:v>Active=No; Remarks=Records should be readily available for inspection. | P-0 QUARANTINED: Common Companies Act content is owned by Common Corporate Core; legacy ID retained for migration traceability.</x:v>
      </x:c>
      <x:c r="E26" s="15" t="str">
        <x:v>RECLASSIFY / RETIRE FROM ACTIVE PHARMACY</x:v>
      </x:c>
      <x:c r="F26" s="15" t="str">
        <x:v>Useful Pharmacy prescription controls are semantically mis-parented to Companies Act compliances; preserved inactive pending rule-level normalization and remap in P-2.</x:v>
      </x:c>
      <x:c r="G26" s="15" t="str">
        <x:v>Common Corporate Core MCA001</x:v>
      </x:c>
      <x:c r="H26" s="15" t="str">
        <x:v>Companies Act, 2013 / applicable Companies Rules</x:v>
      </x:c>
      <x:c r="I26" s="15" t="str">
        <x:v>P-0/P-2</x:v>
      </x:c>
      <x:c r="J26" s="15" t="str">
        <x:v>2026-08-19</x:v>
      </x:c>
      <x:c r="K26" s="15" t="str">
        <x:v>Downstream node quarantined; legacy ID preserved; runtime must load canonical Common Corporate Core.</x:v>
      </x:c>
    </x:row>
    <x:row r="27">
      <x:c r="A27" s="15" t="str">
        <x:v>AUD166</x:v>
      </x:c>
      <x:c r="B27" s="15" t="str">
        <x:v>Audit Procedure Master</x:v>
      </x:c>
      <x:c r="C27" s="15" t="str">
        <x:v>Active=Yes; Remarks=Review representative samples.</x:v>
      </x:c>
      <x:c r="D27" s="15" t="str">
        <x:v>Active=No; Remarks=Review representative samples. | P-0 QUARANTINED: Common Companies Act content is owned by Common Corporate Core; legacy ID retained for migration traceability.</x:v>
      </x:c>
      <x:c r="E27" s="15" t="str">
        <x:v>RECLASSIFY / RETIRE FROM ACTIVE PHARMACY</x:v>
      </x:c>
      <x:c r="F27" s="15" t="str">
        <x:v>Useful Pharmacy prescription controls are semantically mis-parented to Companies Act compliances; preserved inactive pending rule-level normalization and remap in P-2.</x:v>
      </x:c>
      <x:c r="G27" s="15" t="str">
        <x:v>Common Corporate Core MCA001</x:v>
      </x:c>
      <x:c r="H27" s="15" t="str">
        <x:v>Companies Act, 2013 / applicable Companies Rules</x:v>
      </x:c>
      <x:c r="I27" s="15" t="str">
        <x:v>P-0/P-2</x:v>
      </x:c>
      <x:c r="J27" s="15" t="str">
        <x:v>2026-08-19</x:v>
      </x:c>
      <x:c r="K27" s="15" t="str">
        <x:v>Downstream node quarantined; legacy ID preserved; runtime must load canonical Common Corporate Core.</x:v>
      </x:c>
    </x:row>
    <x:row r="28">
      <x:c r="A28" s="15" t="str">
        <x:v>AUD167</x:v>
      </x:c>
      <x:c r="B28" s="15" t="str">
        <x:v>Audit Procedure Master</x:v>
      </x:c>
      <x:c r="C28" s="15" t="str">
        <x:v>Active=Yes; Remarks=Investigate unusual variances.</x:v>
      </x:c>
      <x:c r="D28" s="15" t="str">
        <x:v>Active=No; Remarks=Investigate unusual variances. | P-0 QUARANTINED: Common Companies Act content is owned by Common Corporate Core; legacy ID retained for migration traceability.</x:v>
      </x:c>
      <x:c r="E28" s="15" t="str">
        <x:v>RECLASSIFY / RETIRE FROM ACTIVE PHARMACY</x:v>
      </x:c>
      <x:c r="F28" s="15" t="str">
        <x:v>Useful Pharmacy prescription controls are semantically mis-parented to Companies Act compliances; preserved inactive pending rule-level normalization and remap in P-2.</x:v>
      </x:c>
      <x:c r="G28" s="15" t="str">
        <x:v>Common Corporate Core MCA001</x:v>
      </x:c>
      <x:c r="H28" s="15" t="str">
        <x:v>Companies Act, 2013 / applicable Companies Rules</x:v>
      </x:c>
      <x:c r="I28" s="15" t="str">
        <x:v>P-0/P-2</x:v>
      </x:c>
      <x:c r="J28" s="15" t="str">
        <x:v>2026-08-19</x:v>
      </x:c>
      <x:c r="K28" s="15" t="str">
        <x:v>Downstream node quarantined; legacy ID preserved; runtime must load canonical Common Corporate Core.</x:v>
      </x:c>
    </x:row>
    <x:row r="29">
      <x:c r="A29" s="15" t="str">
        <x:v>EVD172</x:v>
      </x:c>
      <x:c r="B29" s="15" t="str">
        <x:v>Evidence Master</x:v>
      </x:c>
      <x:c r="C29" s="15" t="str">
        <x:v>Active=Yes; Remarks=Prescription should be issued by a registered medical practitioner.</x:v>
      </x:c>
      <x:c r="D29" s="15" t="str">
        <x:v>Active=No; Remarks=Prescription should be issued by a registered medical practitioner. | P-0 QUARANTINED: Common Companies Act content is owned by Common Corporate Core; legacy ID retained for migration traceability.</x:v>
      </x:c>
      <x:c r="E29" s="15" t="str">
        <x:v>RECLASSIFY / RETIRE FROM ACTIVE PHARMACY</x:v>
      </x:c>
      <x:c r="F29" s="15" t="str">
        <x:v>Evidence belongs to mis-parented prescription/Schedule controls; preserved inactive pending P-2 remap.</x:v>
      </x:c>
      <x:c r="G29" s="15" t="str">
        <x:v>Common Corporate Core MCA001</x:v>
      </x:c>
      <x:c r="H29" s="15" t="str">
        <x:v>Companies Act, 2013 / applicable Companies Rules</x:v>
      </x:c>
      <x:c r="I29" s="15" t="str">
        <x:v>P-0/P-2</x:v>
      </x:c>
      <x:c r="J29" s="15" t="str">
        <x:v>2026-08-19</x:v>
      </x:c>
      <x:c r="K29" s="15" t="str">
        <x:v>Downstream node quarantined; legacy ID preserved; runtime must load canonical Common Corporate Core.</x:v>
      </x:c>
    </x:row>
    <x:row r="30">
      <x:c r="A30" s="15" t="str">
        <x:v>EVD173</x:v>
      </x:c>
      <x:c r="B30" s="15" t="str">
        <x:v>Evidence Master</x:v>
      </x:c>
      <x:c r="C30" s="15" t="str">
        <x:v>Active=Yes; Remarks=Record of dispensed prescriptions.</x:v>
      </x:c>
      <x:c r="D30" s="15" t="str">
        <x:v>Active=No; Remarks=Record of dispensed prescriptions. | P-0 QUARANTINED: Common Companies Act content is owned by Common Corporate Core; legacy ID retained for migration traceability.</x:v>
      </x:c>
      <x:c r="E30" s="15" t="str">
        <x:v>RECLASSIFY / RETIRE FROM ACTIVE PHARMACY</x:v>
      </x:c>
      <x:c r="F30" s="15" t="str">
        <x:v>Evidence belongs to mis-parented prescription/Schedule controls; preserved inactive pending P-2 remap.</x:v>
      </x:c>
      <x:c r="G30" s="15" t="str">
        <x:v>Common Corporate Core MCA001</x:v>
      </x:c>
      <x:c r="H30" s="15" t="str">
        <x:v>Companies Act, 2013 / applicable Companies Rules</x:v>
      </x:c>
      <x:c r="I30" s="15" t="str">
        <x:v>P-0/P-2</x:v>
      </x:c>
      <x:c r="J30" s="15" t="str">
        <x:v>2026-08-19</x:v>
      </x:c>
      <x:c r="K30" s="15" t="str">
        <x:v>Downstream node quarantined; legacy ID preserved; runtime must load canonical Common Corporate Core.</x:v>
      </x:c>
    </x:row>
    <x:row r="31">
      <x:c r="A31" s="15" t="str">
        <x:v>EVD174</x:v>
      </x:c>
      <x:c r="B31" s="15" t="str">
        <x:v>Evidence Master</x:v>
      </x:c>
      <x:c r="C31" s="15" t="str">
        <x:v>Active=Yes; Remarks=Verify completeness before dispensing.</x:v>
      </x:c>
      <x:c r="D31" s="15" t="str">
        <x:v>Active=No; Remarks=Verify completeness before dispensing. | P-0 QUARANTINED: Common Companies Act content is owned by Common Corporate Core; legacy ID retained for migration traceability.</x:v>
      </x:c>
      <x:c r="E31" s="15" t="str">
        <x:v>RECLASSIFY / RETIRE FROM ACTIVE PHARMACY</x:v>
      </x:c>
      <x:c r="F31" s="15" t="str">
        <x:v>Evidence belongs to mis-parented prescription/Schedule controls; preserved inactive pending P-2 remap.</x:v>
      </x:c>
      <x:c r="G31" s="15" t="str">
        <x:v>Common Corporate Core MCA001</x:v>
      </x:c>
      <x:c r="H31" s="15" t="str">
        <x:v>Companies Act, 2013 / applicable Companies Rules</x:v>
      </x:c>
      <x:c r="I31" s="15" t="str">
        <x:v>P-0/P-2</x:v>
      </x:c>
      <x:c r="J31" s="15" t="str">
        <x:v>2026-08-19</x:v>
      </x:c>
      <x:c r="K31" s="15" t="str">
        <x:v>Downstream node quarantined; legacy ID preserved; runtime must load canonical Common Corporate Core.</x:v>
      </x:c>
    </x:row>
    <x:row r="32">
      <x:c r="A32" s="15" t="str">
        <x:v>EVD175</x:v>
      </x:c>
      <x:c r="B32" s="15" t="str">
        <x:v>Evidence Master</x:v>
      </x:c>
      <x:c r="C32" s="15" t="str">
        <x:v>Active=Yes; Remarks=Maintain where prescriptions require clarification.</x:v>
      </x:c>
      <x:c r="D32" s="15" t="str">
        <x:v>Active=No; Remarks=Maintain where prescriptions require clarification. | P-0 QUARANTINED: Common Companies Act content is owned by Common Corporate Core; legacy ID retained for migration traceability.</x:v>
      </x:c>
      <x:c r="E32" s="15" t="str">
        <x:v>RECLASSIFY / RETIRE FROM ACTIVE PHARMACY</x:v>
      </x:c>
      <x:c r="F32" s="15" t="str">
        <x:v>Evidence belongs to mis-parented prescription/Schedule controls; preserved inactive pending P-2 remap.</x:v>
      </x:c>
      <x:c r="G32" s="15" t="str">
        <x:v>Common Corporate Core MCA001</x:v>
      </x:c>
      <x:c r="H32" s="15" t="str">
        <x:v>Companies Act, 2013 / applicable Companies Rules</x:v>
      </x:c>
      <x:c r="I32" s="15" t="str">
        <x:v>P-0/P-2</x:v>
      </x:c>
      <x:c r="J32" s="15" t="str">
        <x:v>2026-08-19</x:v>
      </x:c>
      <x:c r="K32" s="15" t="str">
        <x:v>Downstream node quarantined; legacy ID preserved; runtime must load canonical Common Corporate Core.</x:v>
      </x:c>
    </x:row>
    <x:row r="33">
      <x:c r="A33" s="15" t="str">
        <x:v>EVD176</x:v>
      </x:c>
      <x:c r="B33" s="15" t="str">
        <x:v>Evidence Master</x:v>
      </x:c>
      <x:c r="C33" s="15" t="str">
        <x:v>Active=Yes; Remarks=Evidence of pharmacist verification.</x:v>
      </x:c>
      <x:c r="D33" s="15" t="str">
        <x:v>Active=No; Remarks=Evidence of pharmacist verification. | P-0 QUARANTINED: Common Companies Act content is owned by Common Corporate Core; legacy ID retained for migration traceability.</x:v>
      </x:c>
      <x:c r="E33" s="15" t="str">
        <x:v>RECLASSIFY / RETIRE FROM ACTIVE PHARMACY</x:v>
      </x:c>
      <x:c r="F33" s="15" t="str">
        <x:v>Evidence belongs to mis-parented prescription/Schedule controls; preserved inactive pending P-2 remap.</x:v>
      </x:c>
      <x:c r="G33" s="15" t="str">
        <x:v>Common Corporate Core MCA001</x:v>
      </x:c>
      <x:c r="H33" s="15" t="str">
        <x:v>Companies Act, 2013 / applicable Companies Rules</x:v>
      </x:c>
      <x:c r="I33" s="15" t="str">
        <x:v>P-0/P-2</x:v>
      </x:c>
      <x:c r="J33" s="15" t="str">
        <x:v>2026-08-19</x:v>
      </x:c>
      <x:c r="K33" s="15" t="str">
        <x:v>Downstream node quarantined; legacy ID preserved; runtime must load canonical Common Corporate Core.</x:v>
      </x:c>
    </x:row>
    <x:row r="34">
      <x:c r="A34" s="15" t="str">
        <x:v>EVD177</x:v>
      </x:c>
      <x:c r="B34" s="15" t="str">
        <x:v>Evidence Master</x:v>
      </x:c>
      <x:c r="C34" s="15" t="str">
        <x:v>Active=Yes; Remarks=Valid registration mandatory.</x:v>
      </x:c>
      <x:c r="D34" s="15" t="str">
        <x:v>Active=No; Remarks=Valid registration mandatory. | P-0 QUARANTINED: Common Companies Act content is owned by Common Corporate Core; legacy ID retained for migration traceability.</x:v>
      </x:c>
      <x:c r="E34" s="15" t="str">
        <x:v>RECLASSIFY / RETIRE FROM ACTIVE PHARMACY</x:v>
      </x:c>
      <x:c r="F34" s="15" t="str">
        <x:v>Evidence belongs to mis-parented prescription/Schedule controls; preserved inactive pending P-2 remap.</x:v>
      </x:c>
      <x:c r="G34" s="15" t="str">
        <x:v>Common Corporate Core MCA001</x:v>
      </x:c>
      <x:c r="H34" s="15" t="str">
        <x:v>Companies Act, 2013 / applicable Companies Rules</x:v>
      </x:c>
      <x:c r="I34" s="15" t="str">
        <x:v>P-0/P-2</x:v>
      </x:c>
      <x:c r="J34" s="15" t="str">
        <x:v>2026-08-19</x:v>
      </x:c>
      <x:c r="K34" s="15" t="str">
        <x:v>Downstream node quarantined; legacy ID preserved; runtime must load canonical Common Corporate Core.</x:v>
      </x:c>
    </x:row>
    <x:row r="35">
      <x:c r="A35" s="15" t="str">
        <x:v>EVD178</x:v>
      </x:c>
      <x:c r="B35" s="15" t="str">
        <x:v>Evidence Master</x:v>
      </x:c>
      <x:c r="C35" s="15" t="str">
        <x:v>Active=Yes; Remarks=Preserve prescriptions for statutory period.</x:v>
      </x:c>
      <x:c r="D35" s="15" t="str">
        <x:v>Active=No; Remarks=Preserve prescriptions for statutory period. | P-0 QUARANTINED: Common Companies Act content is owned by Common Corporate Core; legacy ID retained for migration traceability.</x:v>
      </x:c>
      <x:c r="E35" s="15" t="str">
        <x:v>RECLASSIFY / RETIRE FROM ACTIVE PHARMACY</x:v>
      </x:c>
      <x:c r="F35" s="15" t="str">
        <x:v>Evidence belongs to mis-parented prescription/Schedule controls; preserved inactive pending P-2 remap.</x:v>
      </x:c>
      <x:c r="G35" s="15" t="str">
        <x:v>Common Corporate Core MCA001</x:v>
      </x:c>
      <x:c r="H35" s="15" t="str">
        <x:v>Companies Act, 2013 / applicable Companies Rules</x:v>
      </x:c>
      <x:c r="I35" s="15" t="str">
        <x:v>P-0/P-2</x:v>
      </x:c>
      <x:c r="J35" s="15" t="str">
        <x:v>2026-08-19</x:v>
      </x:c>
      <x:c r="K35" s="15" t="str">
        <x:v>Downstream node quarantined; legacy ID preserved; runtime must load canonical Common Corporate Core.</x:v>
      </x:c>
    </x:row>
    <x:row r="36">
      <x:c r="A36" s="15" t="str">
        <x:v>EVD179</x:v>
      </x:c>
      <x:c r="B36" s="15" t="str">
        <x:v>Evidence Master</x:v>
      </x:c>
      <x:c r="C36" s="15" t="str">
        <x:v>Active=Yes; Remarks=Define retention requirements.</x:v>
      </x:c>
      <x:c r="D36" s="15" t="str">
        <x:v>Active=No; Remarks=Define retention requirements. | P-0 QUARANTINED: Common Companies Act content is owned by Common Corporate Core; legacy ID retained for migration traceability.</x:v>
      </x:c>
      <x:c r="E36" s="15" t="str">
        <x:v>RECLASSIFY / RETIRE FROM ACTIVE PHARMACY</x:v>
      </x:c>
      <x:c r="F36" s="15" t="str">
        <x:v>Evidence belongs to mis-parented prescription/Schedule controls; preserved inactive pending P-2 remap.</x:v>
      </x:c>
      <x:c r="G36" s="15" t="str">
        <x:v>Common Corporate Core MCA001</x:v>
      </x:c>
      <x:c r="H36" s="15" t="str">
        <x:v>Companies Act, 2013 / applicable Companies Rules</x:v>
      </x:c>
      <x:c r="I36" s="15" t="str">
        <x:v>P-0/P-2</x:v>
      </x:c>
      <x:c r="J36" s="15" t="str">
        <x:v>2026-08-19</x:v>
      </x:c>
      <x:c r="K36" s="15" t="str">
        <x:v>Downstream node quarantined; legacy ID preserved; runtime must load canonical Common Corporate Core.</x:v>
      </x:c>
    </x:row>
    <x:row r="37">
      <x:c r="A37" s="15" t="str">
        <x:v>EVD180</x:v>
      </x:c>
      <x:c r="B37" s="15" t="str">
        <x:v>Evidence Master</x:v>
      </x:c>
      <x:c r="C37" s="15" t="str">
        <x:v>Active=Yes; Remarks=Mandatory where applicable.</x:v>
      </x:c>
      <x:c r="D37" s="15" t="str">
        <x:v>Active=No; Remarks=Mandatory where applicable. | P-0 QUARANTINED: Common Companies Act content is owned by Common Corporate Core; legacy ID retained for migration traceability.</x:v>
      </x:c>
      <x:c r="E37" s="15" t="str">
        <x:v>RECLASSIFY / RETIRE FROM ACTIVE PHARMACY</x:v>
      </x:c>
      <x:c r="F37" s="15" t="str">
        <x:v>Evidence belongs to mis-parented prescription/Schedule controls; preserved inactive pending P-2 remap.</x:v>
      </x:c>
      <x:c r="G37" s="15" t="str">
        <x:v>Common Corporate Core MCA001</x:v>
      </x:c>
      <x:c r="H37" s="15" t="str">
        <x:v>Companies Act, 2013 / applicable Companies Rules</x:v>
      </x:c>
      <x:c r="I37" s="15" t="str">
        <x:v>P-0/P-2</x:v>
      </x:c>
      <x:c r="J37" s="15" t="str">
        <x:v>2026-08-19</x:v>
      </x:c>
      <x:c r="K37" s="15" t="str">
        <x:v>Downstream node quarantined; legacy ID preserved; runtime must load canonical Common Corporate Core.</x:v>
      </x:c>
    </x:row>
    <x:row r="38">
      <x:c r="A38" s="15" t="str">
        <x:v>EVD181</x:v>
      </x:c>
      <x:c r="B38" s="15" t="str">
        <x:v>Evidence Master</x:v>
      </x:c>
      <x:c r="C38" s="15" t="str">
        <x:v>Active=Yes; Remarks=Linked to Schedule H dispensing.</x:v>
      </x:c>
      <x:c r="D38" s="15" t="str">
        <x:v>Active=No; Remarks=Linked to Schedule H dispensing. | P-0 QUARANTINED: Common Companies Act content is owned by Common Corporate Core; legacy ID retained for migration traceability.</x:v>
      </x:c>
      <x:c r="E38" s="15" t="str">
        <x:v>RECLASSIFY / RETIRE FROM ACTIVE PHARMACY</x:v>
      </x:c>
      <x:c r="F38" s="15" t="str">
        <x:v>Evidence belongs to mis-parented prescription/Schedule controls; preserved inactive pending P-2 remap.</x:v>
      </x:c>
      <x:c r="G38" s="15" t="str">
        <x:v>Common Corporate Core MCA001</x:v>
      </x:c>
      <x:c r="H38" s="15" t="str">
        <x:v>Companies Act, 2013 / applicable Companies Rules</x:v>
      </x:c>
      <x:c r="I38" s="15" t="str">
        <x:v>P-0/P-2</x:v>
      </x:c>
      <x:c r="J38" s="15" t="str">
        <x:v>2026-08-19</x:v>
      </x:c>
      <x:c r="K38" s="15" t="str">
        <x:v>Downstream node quarantined; legacy ID preserved; runtime must load canonical Common Corporate Core.</x:v>
      </x:c>
    </x:row>
    <x:row r="39">
      <x:c r="A39" s="15" t="str">
        <x:v>OBS076</x:v>
      </x:c>
      <x:c r="B39" s="15" t="str">
        <x:v>Observation Master</x:v>
      </x:c>
      <x:c r="C39" s="15" t="str">
        <x:v>Active=Yes; Remarks=Major statutory violation.</x:v>
      </x:c>
      <x:c r="D39" s="15" t="str">
        <x:v>Active=No; Remarks=Major statutory violation. | P-0 QUARANTINED: Common Companies Act content is owned by Common Corporate Core; legacy ID retained for migration traceability.</x:v>
      </x:c>
      <x:c r="E39" s="15" t="str">
        <x:v>RECLASSIFY / RETIRE FROM ACTIVE PHARMACY</x:v>
      </x:c>
      <x:c r="F39" s="15" t="str">
        <x:v>Observation templates belong to mis-parented prescription/Schedule controls; preserved inactive pending P-2 remap.</x:v>
      </x:c>
      <x:c r="G39" s="15" t="str">
        <x:v>Common Corporate Core MCA001</x:v>
      </x:c>
      <x:c r="H39" s="15" t="str">
        <x:v>Companies Act, 2013 / applicable Companies Rules</x:v>
      </x:c>
      <x:c r="I39" s="15" t="str">
        <x:v>P-0/P-2</x:v>
      </x:c>
      <x:c r="J39" s="15" t="str">
        <x:v>2026-08-19</x:v>
      </x:c>
      <x:c r="K39" s="15" t="str">
        <x:v>Downstream node quarantined; legacy ID preserved; runtime must load canonical Common Corporate Core.</x:v>
      </x:c>
    </x:row>
    <x:row r="40">
      <x:c r="A40" s="15" t="str">
        <x:v>OBS077</x:v>
      </x:c>
      <x:c r="B40" s="15" t="str">
        <x:v>Observation Master</x:v>
      </x:c>
      <x:c r="C40" s="15" t="str">
        <x:v>Active=Yes; Remarks=Maintain documented verification procedures.</x:v>
      </x:c>
      <x:c r="D40" s="15" t="str">
        <x:v>Active=No; Remarks=Maintain documented verification procedures. | P-0 QUARANTINED: Common Companies Act content is owned by Common Corporate Core; legacy ID retained for migration traceability.</x:v>
      </x:c>
      <x:c r="E40" s="15" t="str">
        <x:v>RECLASSIFY / RETIRE FROM ACTIVE PHARMACY</x:v>
      </x:c>
      <x:c r="F40" s="15" t="str">
        <x:v>Observation templates belong to mis-parented prescription/Schedule controls; preserved inactive pending P-2 remap.</x:v>
      </x:c>
      <x:c r="G40" s="15" t="str">
        <x:v>Common Corporate Core MCA001</x:v>
      </x:c>
      <x:c r="H40" s="15" t="str">
        <x:v>Companies Act, 2013 / applicable Companies Rules</x:v>
      </x:c>
      <x:c r="I40" s="15" t="str">
        <x:v>P-0/P-2</x:v>
      </x:c>
      <x:c r="J40" s="15" t="str">
        <x:v>2026-08-19</x:v>
      </x:c>
      <x:c r="K40" s="15" t="str">
        <x:v>Downstream node quarantined; legacy ID preserved; runtime must load canonical Common Corporate Core.</x:v>
      </x:c>
    </x:row>
    <x:row r="41">
      <x:c r="A41" s="15" t="str">
        <x:v>OBS078</x:v>
      </x:c>
      <x:c r="B41" s="15" t="str">
        <x:v>Observation Master</x:v>
      </x:c>
      <x:c r="C41" s="15" t="str">
        <x:v>Active=Yes; Remarks=Review should include dosage, strength and medicine appropriateness.</x:v>
      </x:c>
      <x:c r="D41" s="15" t="str">
        <x:v>Active=No; Remarks=Review should include dosage, strength and medicine appropriateness. | P-0 QUARANTINED: Common Companies Act content is owned by Common Corporate Core; legacy ID retained for migration traceability.</x:v>
      </x:c>
      <x:c r="E41" s="15" t="str">
        <x:v>RECLASSIFY / RETIRE FROM ACTIVE PHARMACY</x:v>
      </x:c>
      <x:c r="F41" s="15" t="str">
        <x:v>Observation templates belong to mis-parented prescription/Schedule controls; preserved inactive pending P-2 remap.</x:v>
      </x:c>
      <x:c r="G41" s="15" t="str">
        <x:v>Common Corporate Core MCA001</x:v>
      </x:c>
      <x:c r="H41" s="15" t="str">
        <x:v>Companies Act, 2013 / applicable Companies Rules</x:v>
      </x:c>
      <x:c r="I41" s="15" t="str">
        <x:v>P-0/P-2</x:v>
      </x:c>
      <x:c r="J41" s="15" t="str">
        <x:v>2026-08-19</x:v>
      </x:c>
      <x:c r="K41" s="15" t="str">
        <x:v>Downstream node quarantined; legacy ID preserved; runtime must load canonical Common Corporate Core.</x:v>
      </x:c>
    </x:row>
    <x:row r="42">
      <x:c r="A42" s="15" t="str">
        <x:v>OBS079</x:v>
      </x:c>
      <x:c r="B42" s="15" t="str">
        <x:v>Observation Master</x:v>
      </x:c>
      <x:c r="C42" s="15" t="str">
        <x:v>Active=Yes; Remarks=Records should be readily retrievable during inspections.</x:v>
      </x:c>
      <x:c r="D42" s="15" t="str">
        <x:v>Active=No; Remarks=Records should be readily retrievable during inspections. | P-0 QUARANTINED: Common Companies Act content is owned by Common Corporate Core; legacy ID retained for migration traceability.</x:v>
      </x:c>
      <x:c r="E42" s="15" t="str">
        <x:v>RECLASSIFY / RETIRE FROM ACTIVE PHARMACY</x:v>
      </x:c>
      <x:c r="F42" s="15" t="str">
        <x:v>Observation templates belong to mis-parented prescription/Schedule controls; preserved inactive pending P-2 remap.</x:v>
      </x:c>
      <x:c r="G42" s="15" t="str">
        <x:v>Common Corporate Core MCA001</x:v>
      </x:c>
      <x:c r="H42" s="15" t="str">
        <x:v>Companies Act, 2013 / applicable Companies Rules</x:v>
      </x:c>
      <x:c r="I42" s="15" t="str">
        <x:v>P-0/P-2</x:v>
      </x:c>
      <x:c r="J42" s="15" t="str">
        <x:v>2026-08-19</x:v>
      </x:c>
      <x:c r="K42" s="15" t="str">
        <x:v>Downstream node quarantined; legacy ID preserved; runtime must load canonical Common Corporate Core.</x:v>
      </x:c>
    </x:row>
    <x:row r="43">
      <x:c r="A43" s="15" t="str">
        <x:v>OBS080</x:v>
      </x:c>
      <x:c r="B43" s="15" t="str">
        <x:v>Observation Master</x:v>
      </x:c>
      <x:c r="C43" s="15" t="str">
        <x:v>Active=Yes; Remarks=Monitor dispensing through periodic audits.</x:v>
      </x:c>
      <x:c r="D43" s="15" t="str">
        <x:v>Active=No; Remarks=Monitor dispensing through periodic audits. | P-0 QUARANTINED: Common Companies Act content is owned by Common Corporate Core; legacy ID retained for migration traceability.</x:v>
      </x:c>
      <x:c r="E43" s="15" t="str">
        <x:v>RECLASSIFY / RETIRE FROM ACTIVE PHARMACY</x:v>
      </x:c>
      <x:c r="F43" s="15" t="str">
        <x:v>Observation templates belong to mis-parented prescription/Schedule controls; preserved inactive pending P-2 remap.</x:v>
      </x:c>
      <x:c r="G43" s="15" t="str">
        <x:v>Common Corporate Core MCA001</x:v>
      </x:c>
      <x:c r="H43" s="15" t="str">
        <x:v>Companies Act, 2013 / applicable Companies Rules</x:v>
      </x:c>
      <x:c r="I43" s="15" t="str">
        <x:v>P-0/P-2</x:v>
      </x:c>
      <x:c r="J43" s="15" t="str">
        <x:v>2026-08-19</x:v>
      </x:c>
      <x:c r="K43" s="15" t="str">
        <x:v>Downstream node quarantined; legacy ID preserved; runtime must load canonical Common Corporate Core.</x:v>
      </x:c>
    </x:row>
    <x:row r="44">
      <x:c r="A44" s="15" t="str">
        <x:v>P1-SOURCE-REGISTER</x:v>
      </x:c>
      <x:c r="B44" s="15" t="str">
        <x:v>Regulatory Source Register</x:v>
      </x:c>
      <x:c r="C44" s="15" t="str">
        <x:v>15 preliminary rows</x:v>
      </x:c>
      <x:c r="D44" s="15" t="str">
        <x:v>58 validated universe rows</x:v>
      </x:c>
      <x:c r="E44" s="15" t="str">
        <x:v>ADD/CORRECT</x:v>
      </x:c>
      <x:c r="F44" s="15" t="str">
        <x:v>Completed authoritative P-1 universe and current-law status through 19-08-2026</x:v>
      </x:c>
      <x:c r="G44" s="15" t="str">
        <x:v>Official regulator/government sources</x:v>
      </x:c>
      <x:c r="H44" s="15" t="str">
        <x:v>See Source IDs P1-001–P1-058</x:v>
      </x:c>
      <x:c r="I44" s="15" t="str">
        <x:v>P-1</x:v>
      </x:c>
      <x:c r="J44" s="15" t="str">
        <x:v>2026-08-19</x:v>
      </x:c>
      <x:c r="K44" s="15" t="str">
        <x:v>Defines controlled input universe for P-2/P-3.</x:v>
      </x:c>
    </x:row>
    <x:row r="45">
      <x:c r="A45" s="15" t="str">
        <x:v>P1-LAW-RECON</x:v>
      </x:c>
      <x:c r="B45" s="15" t="str">
        <x:v>P1 Law Reconciliation</x:v>
      </x:c>
      <x:c r="C45" s="15" t="str">
        <x:v>Not present</x:v>
      </x:c>
      <x:c r="D45" s="15" t="str">
        <x:v>100 Law Master records classified</x:v>
      </x:c>
      <x:c r="E45" s="15" t="str">
        <x:v>ADD</x:v>
      </x:c>
      <x:c r="F45" s="15" t="str">
        <x:v>Atomicity/current-law reconciliation of every existing law record</x:v>
      </x:c>
      <x:c r="G45" s="15" t="str">
        <x:v>Regulatory Source Register</x:v>
      </x:c>
      <x:c r="H45" s="15" t="str">
        <x:v>See mapped Source Register IDs</x:v>
      </x:c>
      <x:c r="I45" s="15" t="str">
        <x:v>P-1</x:v>
      </x:c>
      <x:c r="J45" s="15" t="str">
        <x:v>2026-08-19</x:v>
      </x:c>
      <x:c r="K45" s="15" t="str">
        <x:v>No production Law ID changed in P-1; remediation backlog is explicit.</x:v>
      </x:c>
    </x:row>
    <x:row r="46">
      <x:c r="A46" s="15" t="str">
        <x:v>P1-EXCLUSIONS</x:v>
      </x:c>
      <x:c r="B46" s="15" t="str">
        <x:v>Exclusion Register</x:v>
      </x:c>
      <x:c r="C46" s="15" t="str">
        <x:v>Not present</x:v>
      </x:c>
      <x:c r="D46" s="15" t="str">
        <x:v>15 controlled exclusions/conditions</x:v>
      </x:c>
      <x:c r="E46" s="15" t="str">
        <x:v>ADD</x:v>
      </x:c>
      <x:c r="F46" s="15" t="str">
        <x:v>Nothing potentially relevant may be silently omitted</x:v>
      </x:c>
      <x:c r="G46" s="15" t="str">
        <x:v>Regulatory Source Register</x:v>
      </x:c>
      <x:c r="H46" s="15" t="str">
        <x:v>See Source Register IDs</x:v>
      </x:c>
      <x:c r="I46" s="15" t="str">
        <x:v>P-1</x:v>
      </x:c>
      <x:c r="J46" s="15" t="str">
        <x:v>2026-08-19</x:v>
      </x:c>
      <x:c r="K46" s="15" t="str">
        <x:v>Prevents manufacturer/importer duties being applied to ordinary pharmacy entities.</x:v>
      </x:c>
    </x:row>
    <x:row r="47">
      <x:c r="A47" s="15" t="str">
        <x:v>P1-TAXONOMY</x:v>
      </x:c>
      <x:c r="B47" s="15" t="str">
        <x:v>Taxonomy Gap Register</x:v>
      </x:c>
      <x:c r="C47" s="15" t="str">
        <x:v>Not present</x:v>
      </x:c>
      <x:c r="D47" s="15" t="str">
        <x:v>7 potential taxonomy gaps</x:v>
      </x:c>
      <x:c r="E47" s="15" t="str">
        <x:v>ADD</x:v>
      </x:c>
      <x:c r="F47" s="15" t="str">
        <x:v>Additional regulated entities require business approval</x:v>
      </x:c>
      <x:c r="G47" s="15" t="str">
        <x:v>Regulatory Source Register</x:v>
      </x:c>
      <x:c r="H47" s="15" t="str">
        <x:v>See Source Register IDs</x:v>
      </x:c>
      <x:c r="I47" s="15" t="str">
        <x:v>P-1</x:v>
      </x:c>
      <x:c r="J47" s="15" t="str">
        <x:v>2026-08-19</x:v>
      </x:c>
      <x:c r="K47" s="15" t="str">
        <x:v>No automatic sub-sector expansion.</x:v>
      </x:c>
    </x:row>
    <x:row r="48">
      <x:c r="A48" s="15" t="str">
        <x:v>P1-GATE</x:v>
      </x:c>
      <x:c r="B48" s="15" t="str">
        <x:v>P1 Gate Summary</x:v>
      </x:c>
      <x:c r="C48" s="15" t="str">
        <x:v>Not present</x:v>
      </x:c>
      <x:c r="D48" s="15" t="str">
        <x:v>P-1 universe gate PASS</x:v>
      </x:c>
      <x:c r="E48" s="15" t="str">
        <x:v>ADD</x:v>
      </x:c>
      <x:c r="F48" s="15" t="str">
        <x:v>Formal completion of P-1</x:v>
      </x:c>
      <x:c r="G48" s="15" t="str">
        <x:v>P1 Gate Summary</x:v>
      </x:c>
      <x:c r="H48" s="15" t="str">
        <x:v>P-1 methodology</x:v>
      </x:c>
      <x:c r="I48" s="15" t="str">
        <x:v>P-1</x:v>
      </x:c>
      <x:c r="J48" s="15" t="str">
        <x:v>2026-08-19</x:v>
      </x:c>
      <x:c r="K48" s="15" t="str">
        <x:v>P-2 may start; workbook remains working/not frozen.</x:v>
      </x:c>
    </x:row>
    <x:row r="49">
      <x:c r="A49" s="33" t="str">
        <x:v>Status</x:v>
      </x:c>
      <x:c r="B49" s="33" t="str">
        <x:v>README</x:v>
      </x:c>
      <x:c r="C49" s="33" t="str">
        <x:v>Value=FROZEN – ready for development import, subject to controlled change management.</x:v>
      </x:c>
      <x:c r="D49" s="33" t="str">
        <x:v>Value=WORKING COPY — P-0, P-1 and P-2 gates complete; not frozen pending remaining Pharmacy revalidation gates.</x:v>
      </x:c>
      <x:c r="E49" s="33" t="str">
        <x:v>CORRECT</x:v>
      </x:c>
      <x:c r="F49" s="33" t="str">
        <x:v>The P-2 file is a controlled working version, not the original frozen baseline.</x:v>
      </x:c>
      <x:c r="G49" s="33" t="str">
        <x:v>P-2 gate methodology</x:v>
      </x:c>
      <x:c r="H49" s="33" t="str">
        <x:v>P-2 gate methodology</x:v>
      </x:c>
      <x:c r="I49" s="33" t="str">
        <x:v>P-2</x:v>
      </x:c>
      <x:c r="J49" s="33" t="str">
        <x:v>2026-08-20</x:v>
      </x:c>
      <x:c r="K49" s="33" t="str">
        <x:v>Prevents accidental production freeze.</x:v>
      </x:c>
    </x:row>
    <x:row r="50">
      <x:c r="A50" s="33" t="str">
        <x:v>Generated On</x:v>
      </x:c>
      <x:c r="B50" s="33" t="str">
        <x:v>README</x:v>
      </x:c>
      <x:c r="C50" s="33" t="str">
        <x:v>Value=2026-07-08 12:31</x:v>
      </x:c>
      <x:c r="D50" s="33" t="str">
        <x:v>Value=2026-08-20</x:v>
      </x:c>
      <x:c r="E50" s="33" t="str">
        <x:v>CORRECT</x:v>
      </x:c>
      <x:c r="F50" s="33" t="str">
        <x:v>Record P-2 generation date.</x:v>
      </x:c>
      <x:c r="G50" s="33" t="str">
        <x:v>P-2 gate methodology</x:v>
      </x:c>
      <x:c r="H50" s="33" t="str">
        <x:v>P-2 gate methodology</x:v>
      </x:c>
      <x:c r="I50" s="33" t="str">
        <x:v>P-2</x:v>
      </x:c>
      <x:c r="J50" s="33" t="str">
        <x:v>2026-08-20</x:v>
      </x:c>
      <x:c r="K50" s="33" t="str">
        <x:v>Working-copy status clarified; baseline identity preserved.</x:v>
      </x:c>
    </x:row>
    <x:row r="51">
      <x:c r="A51" s="33" t="str">
        <x:v>Important Note</x:v>
      </x:c>
      <x:c r="B51" s="33" t="str">
        <x:v>README</x:v>
      </x:c>
      <x:c r="C51" s="33" t="str">
        <x:v>Value=Gap Analysis and Delta Analysis are archived research artifacts and are not required for runtime SaaS import.</x:v>
      </x:c>
      <x:c r="D51" s="33" t="str">
        <x:v>Value=P-2 validates the Drugs Rules through 20 August 2026. Future-effective notifications are tracked separately and are not treated as current duties.</x:v>
      </x:c>
      <x:c r="E51" s="33" t="str">
        <x:v>CORRECT</x:v>
      </x:c>
      <x:c r="F51" s="33" t="str">
        <x:v>State current-law cutoff and transition treatment.</x:v>
      </x:c>
      <x:c r="G51" s="33" t="str">
        <x:v>P-2 gate methodology</x:v>
      </x:c>
      <x:c r="H51" s="33" t="str">
        <x:v>https://cdsco.gov.in/opencms/opencms/en/Notifications/Gazette-Notifications/</x:v>
      </x:c>
      <x:c r="I51" s="33" t="str">
        <x:v>P-2</x:v>
      </x:c>
      <x:c r="J51" s="33" t="str">
        <x:v>2026-08-20</x:v>
      </x:c>
      <x:c r="K51" s="33" t="str">
        <x:v>Working-copy status clarified; baseline identity preserved.</x:v>
      </x:c>
    </x:row>
    <x:row r="52">
      <x:c r="A52" s="33" t="str">
        <x:v>Change Control</x:v>
      </x:c>
      <x:c r="B52" s="33" t="str">
        <x:v>README</x:v>
      </x:c>
      <x:c r="C52" s="33" t="str">
        <x:v>Value=Do not manually edit v1.0 after freeze. Future changes should be made in v1.1+ using migration/change logs.</x:v>
      </x:c>
      <x:c r="D52" s="33" t="str">
        <x:v>Value=Preserve the frozen v1.0 baseline. Continue changes only through controlled phase versions and the Change Ledger.</x:v>
      </x:c>
      <x:c r="E52" s="33" t="str">
        <x:v>CORRECT</x:v>
      </x:c>
      <x:c r="F52" s="33" t="str">
        <x:v>Reinforce controlled remediation.</x:v>
      </x:c>
      <x:c r="G52" s="33" t="str">
        <x:v>P-2 gate methodology</x:v>
      </x:c>
      <x:c r="H52" s="33" t="str">
        <x:v>P-2 gate methodology</x:v>
      </x:c>
      <x:c r="I52" s="33" t="str">
        <x:v>P-2</x:v>
      </x:c>
      <x:c r="J52" s="33" t="str">
        <x:v>2026-08-20</x:v>
      </x:c>
      <x:c r="K52" s="33" t="str">
        <x:v>Working-copy status clarified; baseline identity preserved.</x:v>
      </x:c>
    </x:row>
    <x:row r="53">
      <x:c r="A53" s="33" t="str">
        <x:v>LAW002</x:v>
      </x:c>
      <x:c r="B53" s="33" t="str">
        <x:v>Law Master</x:v>
      </x:c>
      <x:c r="C53" s="33" t="str">
        <x:v>Law Name=Drugs and Cosmetics Rules, 1945; Applicability Trigger=Licence holder under Drugs &amp; Cosmetics Act; Remarks=Principal operational rules for licensing and pharmacy operations.</x:v>
      </x:c>
      <x:c r="D53" s="33" t="str">
        <x:v>Law Name=Drugs Rules, 1945; Applicability Trigger=Sale, stock, exhibit or offer for sale, distribution, dispensing, compounding, storage or other regulated handling of drugs under an applicable licence; Remarks=Principal operational rules. P-2 validated against the CDSCO consolidated text dated 01-07-2024 and final notifications through 20-08-2026; future-effective amendments are separately controlled.</x:v>
      </x:c>
      <x:c r="E53" s="33" t="str">
        <x:v>CORRECT</x:v>
      </x:c>
      <x:c r="F53" s="33" t="str">
        <x:v>Correct the official title and current amendment position.</x:v>
      </x:c>
      <x:c r="G53" s="33" t="str">
        <x:v>CDSCO official Drugs Rules / Gazette</x:v>
      </x:c>
      <x:c r="H53" s="33" t="str">
        <x:v>https://cdsco.gov.in/opencms/opencms/en/Acts-and-rules/Drugs-Rules/ | https://cdsco.gov.in/opencms/opencms/en/Notifications/Gazette-Notifications/</x:v>
      </x:c>
      <x:c r="I53" s="33" t="str">
        <x:v>P-2</x:v>
      </x:c>
      <x:c r="J53" s="33" t="str">
        <x:v>2026-08-20</x:v>
      </x:c>
      <x:c r="K53" s="33" t="str">
        <x:v>Existing ID preserved; downstream traceability remediated.</x:v>
      </x:c>
    </x:row>
    <x:row r="54">
      <x:c r="A54" s="33" t="str">
        <x:v>LAW003</x:v>
      </x:c>
      <x:c r="B54" s="33" t="str">
        <x:v>Law Master</x:v>
      </x:c>
      <x:c r="C54" s="33" t="str">
        <x:v>Active=Yes; Remarks=Capture amendments as separate records where required.</x:v>
      </x:c>
      <x:c r="D54" s="33" t="str">
        <x:v>Active=No; Remarks=P-2 RETIRED/RECLASSIFIED: not an atomic standalone law. Applicable requirements are owned by LAW002 (Drugs Rules, 1945), its Rules/Schedules/Forms, or the controlled source/change register. Legacy Law ID retained for migration traceability.</x:v>
      </x:c>
      <x:c r="E54" s="33" t="str">
        <x:v>RECLASSIFY / RETIRE</x:v>
      </x:c>
      <x:c r="F54" s="33" t="str">
        <x:v>Remove pseudo-laws, schedule-as-law records and activity fragments from the active Law universe.</x:v>
      </x:c>
      <x:c r="G54" s="33" t="str">
        <x:v>CDSCO official Drugs Rules / Gazette</x:v>
      </x:c>
      <x:c r="H54" s="33" t="str">
        <x:v>https://cdsco.gov.in/opencms/resources/UploadCDSCOWeb/2022/drug_rules/Drugs%20Rules%2C%201945.pdf | https://cdsco.gov.in/opencms/opencms/en/Notifications/Gazette-Notifications/</x:v>
      </x:c>
      <x:c r="I54" s="33" t="str">
        <x:v>P-2</x:v>
      </x:c>
      <x:c r="J54" s="33" t="str">
        <x:v>2026-08-20</x:v>
      </x:c>
      <x:c r="K54" s="33" t="str">
        <x:v>Legacy Law ID retained inactive; provisions remapped to LAW002 or best-practice source.</x:v>
      </x:c>
    </x:row>
    <x:row r="55">
      <x:c r="A55" s="33" t="str">
        <x:v>LAW011</x:v>
      </x:c>
      <x:c r="B55" s="33" t="str">
        <x:v>Law Master</x:v>
      </x:c>
      <x:c r="C55" s="33" t="str">
        <x:v>Active=Yes; Remarks=Conditions applicable to retail pharmacies.</x:v>
      </x:c>
      <x:c r="D55" s="33" t="str">
        <x:v>Active=No; Remarks=P-2 RETIRED/RECLASSIFIED: not an atomic standalone law. Applicable requirements are owned by LAW002 (Drugs Rules, 1945), its Rules/Schedules/Forms, or the controlled source/change register. Legacy Law ID retained for migration traceability.</x:v>
      </x:c>
      <x:c r="E55" s="33" t="str">
        <x:v>RECLASSIFY / RETIRE</x:v>
      </x:c>
      <x:c r="F55" s="33" t="str">
        <x:v>Remove pseudo-laws, schedule-as-law records and activity fragments from the active Law universe.</x:v>
      </x:c>
      <x:c r="G55" s="33" t="str">
        <x:v>CDSCO official Drugs Rules / Gazette</x:v>
      </x:c>
      <x:c r="H55" s="33" t="str">
        <x:v>https://cdsco.gov.in/opencms/resources/UploadCDSCOWeb/2022/drug_rules/Drugs%20Rules%2C%201945.pdf | https://cdsco.gov.in/opencms/opencms/en/Notifications/Gazette-Notifications/</x:v>
      </x:c>
      <x:c r="I55" s="33" t="str">
        <x:v>P-2</x:v>
      </x:c>
      <x:c r="J55" s="33" t="str">
        <x:v>2026-08-20</x:v>
      </x:c>
      <x:c r="K55" s="33" t="str">
        <x:v>Legacy Law ID retained inactive; provisions remapped to LAW002 or best-practice source.</x:v>
      </x:c>
    </x:row>
    <x:row r="56">
      <x:c r="A56" s="33" t="str">
        <x:v>LAW012</x:v>
      </x:c>
      <x:c r="B56" s="33" t="str">
        <x:v>Law Master</x:v>
      </x:c>
      <x:c r="C56" s="33" t="str">
        <x:v>Active=Yes; Remarks=Conditions applicable to wholesalers.</x:v>
      </x:c>
      <x:c r="D56" s="33" t="str">
        <x:v>Active=No; Remarks=P-2 RETIRED/RECLASSIFIED: not an atomic standalone law. Applicable requirements are owned by LAW002 (Drugs Rules, 1945), its Rules/Schedules/Forms, or the controlled source/change register. Legacy Law ID retained for migration traceability.</x:v>
      </x:c>
      <x:c r="E56" s="33" t="str">
        <x:v>RECLASSIFY / RETIRE</x:v>
      </x:c>
      <x:c r="F56" s="33" t="str">
        <x:v>Remove pseudo-laws, schedule-as-law records and activity fragments from the active Law universe.</x:v>
      </x:c>
      <x:c r="G56" s="33" t="str">
        <x:v>CDSCO official Drugs Rules / Gazette</x:v>
      </x:c>
      <x:c r="H56" s="33" t="str">
        <x:v>https://cdsco.gov.in/opencms/resources/UploadCDSCOWeb/2022/drug_rules/Drugs%20Rules%2C%201945.pdf | https://cdsco.gov.in/opencms/opencms/en/Notifications/Gazette-Notifications/</x:v>
      </x:c>
      <x:c r="I56" s="33" t="str">
        <x:v>P-2</x:v>
      </x:c>
      <x:c r="J56" s="33" t="str">
        <x:v>2026-08-20</x:v>
      </x:c>
      <x:c r="K56" s="33" t="str">
        <x:v>Legacy Law ID retained inactive; provisions remapped to LAW002 or best-practice source.</x:v>
      </x:c>
    </x:row>
    <x:row r="57">
      <x:c r="A57" s="33" t="str">
        <x:v>LAW013</x:v>
      </x:c>
      <x:c r="B57" s="33" t="str">
        <x:v>Law Master</x:v>
      </x:c>
      <x:c r="C57" s="33" t="str">
        <x:v>Active=Yes; Remarks=Applicable where separate licence requirements exist.</x:v>
      </x:c>
      <x:c r="D57" s="33" t="str">
        <x:v>Active=No; Remarks=P-2 RETIRED/RECLASSIFIED: not an atomic standalone law. Applicable requirements are owned by LAW002 (Drugs Rules, 1945), its Rules/Schedules/Forms, or the controlled source/change register. Legacy Law ID retained for migration traceability.</x:v>
      </x:c>
      <x:c r="E57" s="33" t="str">
        <x:v>RECLASSIFY / RETIRE</x:v>
      </x:c>
      <x:c r="F57" s="33" t="str">
        <x:v>Remove pseudo-laws, schedule-as-law records and activity fragments from the active Law universe.</x:v>
      </x:c>
      <x:c r="G57" s="33" t="str">
        <x:v>CDSCO official Drugs Rules / Gazette</x:v>
      </x:c>
      <x:c r="H57" s="33" t="str">
        <x:v>https://cdsco.gov.in/opencms/resources/UploadCDSCOWeb/2022/drug_rules/Drugs%20Rules%2C%201945.pdf | https://cdsco.gov.in/opencms/opencms/en/Notifications/Gazette-Notifications/</x:v>
      </x:c>
      <x:c r="I57" s="33" t="str">
        <x:v>P-2</x:v>
      </x:c>
      <x:c r="J57" s="33" t="str">
        <x:v>2026-08-20</x:v>
      </x:c>
      <x:c r="K57" s="33" t="str">
        <x:v>Legacy Law ID retained inactive; provisions remapped to LAW002 or best-practice source.</x:v>
      </x:c>
    </x:row>
    <x:row r="58">
      <x:c r="A58" s="33" t="str">
        <x:v>LAW014</x:v>
      </x:c>
      <x:c r="B58" s="33" t="str">
        <x:v>Law Master</x:v>
      </x:c>
      <x:c r="C58" s="33" t="str">
        <x:v>Active=Yes; Remarks=Subject to evolving regulatory framework.</x:v>
      </x:c>
      <x:c r="D58" s="33" t="str">
        <x:v>Active=No; Remarks=P-2 RETIRED/RECLASSIFIED: not an atomic standalone law. Applicable requirements are owned by LAW002 (Drugs Rules, 1945), its Rules/Schedules/Forms, or the controlled source/change register. Legacy Law ID retained for migration traceability.</x:v>
      </x:c>
      <x:c r="E58" s="33" t="str">
        <x:v>RECLASSIFY / RETIRE</x:v>
      </x:c>
      <x:c r="F58" s="33" t="str">
        <x:v>Remove pseudo-laws, schedule-as-law records and activity fragments from the active Law universe.</x:v>
      </x:c>
      <x:c r="G58" s="33" t="str">
        <x:v>CDSCO official Drugs Rules / Gazette</x:v>
      </x:c>
      <x:c r="H58" s="33" t="str">
        <x:v>https://cdsco.gov.in/opencms/resources/UploadCDSCOWeb/2022/drug_rules/Drugs%20Rules%2C%201945.pdf | https://cdsco.gov.in/opencms/opencms/en/Notifications/Gazette-Notifications/</x:v>
      </x:c>
      <x:c r="I58" s="33" t="str">
        <x:v>P-2</x:v>
      </x:c>
      <x:c r="J58" s="33" t="str">
        <x:v>2026-08-20</x:v>
      </x:c>
      <x:c r="K58" s="33" t="str">
        <x:v>Legacy Law ID retained inactive; provisions remapped to LAW002 or best-practice source.</x:v>
      </x:c>
    </x:row>
    <x:row r="59">
      <x:c r="A59" s="33" t="str">
        <x:v>LAW053</x:v>
      </x:c>
      <x:c r="B59" s="33" t="str">
        <x:v>Law Master</x:v>
      </x:c>
      <x:c r="C59" s="33" t="str">
        <x:v>Active=Yes; Remarks=Includes amendments affecting wholesale operations.</x:v>
      </x:c>
      <x:c r="D59" s="33" t="str">
        <x:v>Active=No; Remarks=P-2 RETIRED/RECLASSIFIED: not an atomic standalone law. Applicable requirements are owned by LAW002 (Drugs Rules, 1945), its Rules/Schedules/Forms, or the controlled source/change register. Legacy Law ID retained for migration traceability.</x:v>
      </x:c>
      <x:c r="E59" s="33" t="str">
        <x:v>RECLASSIFY / RETIRE</x:v>
      </x:c>
      <x:c r="F59" s="33" t="str">
        <x:v>Remove pseudo-laws, schedule-as-law records and activity fragments from the active Law universe.</x:v>
      </x:c>
      <x:c r="G59" s="33" t="str">
        <x:v>CDSCO official Drugs Rules / Gazette</x:v>
      </x:c>
      <x:c r="H59" s="33" t="str">
        <x:v>https://cdsco.gov.in/opencms/resources/UploadCDSCOWeb/2022/drug_rules/Drugs%20Rules%2C%201945.pdf | https://cdsco.gov.in/opencms/opencms/en/Notifications/Gazette-Notifications/</x:v>
      </x:c>
      <x:c r="I59" s="33" t="str">
        <x:v>P-2</x:v>
      </x:c>
      <x:c r="J59" s="33" t="str">
        <x:v>2026-08-20</x:v>
      </x:c>
      <x:c r="K59" s="33" t="str">
        <x:v>Legacy Law ID retained inactive; provisions remapped to LAW002 or best-practice source.</x:v>
      </x:c>
    </x:row>
    <x:row r="60">
      <x:c r="A60" s="33" t="str">
        <x:v>LAW054</x:v>
      </x:c>
      <x:c r="B60" s="33" t="str">
        <x:v>Law Master</x:v>
      </x:c>
      <x:c r="C60" s="33" t="str">
        <x:v>Active=Yes; Remarks=Prescription-only medicines.</x:v>
      </x:c>
      <x:c r="D60" s="33" t="str">
        <x:v>Active=No; Remarks=P-2 RETIRED/RECLASSIFIED: not an atomic standalone law. Applicable requirements are owned by LAW002 (Drugs Rules, 1945), its Rules/Schedules/Forms, or the controlled source/change register. Legacy Law ID retained for migration traceability.</x:v>
      </x:c>
      <x:c r="E60" s="33" t="str">
        <x:v>RECLASSIFY / RETIRE</x:v>
      </x:c>
      <x:c r="F60" s="33" t="str">
        <x:v>Remove pseudo-laws, schedule-as-law records and activity fragments from the active Law universe.</x:v>
      </x:c>
      <x:c r="G60" s="33" t="str">
        <x:v>CDSCO official Drugs Rules / Gazette</x:v>
      </x:c>
      <x:c r="H60" s="33" t="str">
        <x:v>https://cdsco.gov.in/opencms/resources/UploadCDSCOWeb/2022/drug_rules/Drugs%20Rules%2C%201945.pdf | https://cdsco.gov.in/opencms/opencms/en/Notifications/Gazette-Notifications/</x:v>
      </x:c>
      <x:c r="I60" s="33" t="str">
        <x:v>P-2</x:v>
      </x:c>
      <x:c r="J60" s="33" t="str">
        <x:v>2026-08-20</x:v>
      </x:c>
      <x:c r="K60" s="33" t="str">
        <x:v>Legacy Law ID retained inactive; provisions remapped to LAW002 or best-practice source.</x:v>
      </x:c>
    </x:row>
    <x:row r="61">
      <x:c r="A61" s="33" t="str">
        <x:v>LAW055</x:v>
      </x:c>
      <x:c r="B61" s="33" t="str">
        <x:v>Law Master</x:v>
      </x:c>
      <x:c r="C61" s="33" t="str">
        <x:v>Active=Yes; Remarks=Additional record maintenance obligations.</x:v>
      </x:c>
      <x:c r="D61" s="33" t="str">
        <x:v>Active=No; Remarks=P-2 RETIRED/RECLASSIFIED: not an atomic standalone law. Applicable requirements are owned by LAW002 (Drugs Rules, 1945), its Rules/Schedules/Forms, or the controlled source/change register. Legacy Law ID retained for migration traceability.</x:v>
      </x:c>
      <x:c r="E61" s="33" t="str">
        <x:v>RECLASSIFY / RETIRE</x:v>
      </x:c>
      <x:c r="F61" s="33" t="str">
        <x:v>Remove pseudo-laws, schedule-as-law records and activity fragments from the active Law universe.</x:v>
      </x:c>
      <x:c r="G61" s="33" t="str">
        <x:v>CDSCO official Drugs Rules / Gazette</x:v>
      </x:c>
      <x:c r="H61" s="33" t="str">
        <x:v>https://cdsco.gov.in/opencms/resources/UploadCDSCOWeb/2022/drug_rules/Drugs%20Rules%2C%201945.pdf | https://cdsco.gov.in/opencms/opencms/en/Notifications/Gazette-Notifications/</x:v>
      </x:c>
      <x:c r="I61" s="33" t="str">
        <x:v>P-2</x:v>
      </x:c>
      <x:c r="J61" s="33" t="str">
        <x:v>2026-08-20</x:v>
      </x:c>
      <x:c r="K61" s="33" t="str">
        <x:v>Legacy Law ID retained inactive; provisions remapped to LAW002 or best-practice source.</x:v>
      </x:c>
    </x:row>
    <x:row r="62">
      <x:c r="A62" s="33" t="str">
        <x:v>LAW056</x:v>
      </x:c>
      <x:c r="B62" s="33" t="str">
        <x:v>Law Master</x:v>
      </x:c>
      <x:c r="C62" s="33" t="str">
        <x:v>Active=Yes; Remarks=Strict storage and register requirements.</x:v>
      </x:c>
      <x:c r="D62" s="33" t="str">
        <x:v>Active=No; Remarks=P-2 RETIRED/RECLASSIFIED: not an atomic standalone law. Applicable requirements are owned by LAW002 (Drugs Rules, 1945), its Rules/Schedules/Forms, or the controlled source/change register. Legacy Law ID retained for migration traceability.</x:v>
      </x:c>
      <x:c r="E62" s="33" t="str">
        <x:v>RECLASSIFY / RETIRE</x:v>
      </x:c>
      <x:c r="F62" s="33" t="str">
        <x:v>Remove pseudo-laws, schedule-as-law records and activity fragments from the active Law universe.</x:v>
      </x:c>
      <x:c r="G62" s="33" t="str">
        <x:v>CDSCO official Drugs Rules / Gazette</x:v>
      </x:c>
      <x:c r="H62" s="33" t="str">
        <x:v>https://cdsco.gov.in/opencms/resources/UploadCDSCOWeb/2022/drug_rules/Drugs%20Rules%2C%201945.pdf | https://cdsco.gov.in/opencms/opencms/en/Notifications/Gazette-Notifications/</x:v>
      </x:c>
      <x:c r="I62" s="33" t="str">
        <x:v>P-2</x:v>
      </x:c>
      <x:c r="J62" s="33" t="str">
        <x:v>2026-08-20</x:v>
      </x:c>
      <x:c r="K62" s="33" t="str">
        <x:v>Legacy Law ID retained inactive; provisions remapped to LAW002 or best-practice source.</x:v>
      </x:c>
    </x:row>
    <x:row r="63">
      <x:c r="A63" s="33" t="str">
        <x:v>LAW057</x:v>
      </x:c>
      <x:c r="B63" s="33" t="str">
        <x:v>Law Master</x:v>
      </x:c>
      <x:c r="C63" s="33" t="str">
        <x:v>Active=Yes; Remarks=Mandatory cautionary labelling.</x:v>
      </x:c>
      <x:c r="D63" s="33" t="str">
        <x:v>Active=No; Remarks=P-2 RETIRED/RECLASSIFIED: not an atomic standalone law. Applicable requirements are owned by LAW002 (Drugs Rules, 1945), its Rules/Schedules/Forms, or the controlled source/change register. Legacy Law ID retained for migration traceability.</x:v>
      </x:c>
      <x:c r="E63" s="33" t="str">
        <x:v>RECLASSIFY / RETIRE</x:v>
      </x:c>
      <x:c r="F63" s="33" t="str">
        <x:v>Remove pseudo-laws, schedule-as-law records and activity fragments from the active Law universe.</x:v>
      </x:c>
      <x:c r="G63" s="33" t="str">
        <x:v>CDSCO official Drugs Rules / Gazette</x:v>
      </x:c>
      <x:c r="H63" s="33" t="str">
        <x:v>https://cdsco.gov.in/opencms/resources/UploadCDSCOWeb/2022/drug_rules/Drugs%20Rules%2C%201945.pdf | https://cdsco.gov.in/opencms/opencms/en/Notifications/Gazette-Notifications/</x:v>
      </x:c>
      <x:c r="I63" s="33" t="str">
        <x:v>P-2</x:v>
      </x:c>
      <x:c r="J63" s="33" t="str">
        <x:v>2026-08-20</x:v>
      </x:c>
      <x:c r="K63" s="33" t="str">
        <x:v>Legacy Law ID retained inactive; provisions remapped to LAW002 or best-practice source.</x:v>
      </x:c>
    </x:row>
    <x:row r="64">
      <x:c r="A64" s="33" t="str">
        <x:v>LAW058</x:v>
      </x:c>
      <x:c r="B64" s="33" t="str">
        <x:v>Law Master</x:v>
      </x:c>
      <x:c r="C64" s="33" t="str">
        <x:v>Active=Yes; Remarks=Exemptions under Drugs &amp; Cosmetics Rules.</x:v>
      </x:c>
      <x:c r="D64" s="33" t="str">
        <x:v>Active=No; Remarks=P-2 RETIRED/RECLASSIFIED: not an atomic standalone law. Applicable requirements are owned by LAW002 (Drugs Rules, 1945), its Rules/Schedules/Forms, or the controlled source/change register. Legacy Law ID retained for migration traceability.</x:v>
      </x:c>
      <x:c r="E64" s="33" t="str">
        <x:v>RECLASSIFY / RETIRE</x:v>
      </x:c>
      <x:c r="F64" s="33" t="str">
        <x:v>Remove pseudo-laws, schedule-as-law records and activity fragments from the active Law universe.</x:v>
      </x:c>
      <x:c r="G64" s="33" t="str">
        <x:v>CDSCO official Drugs Rules / Gazette</x:v>
      </x:c>
      <x:c r="H64" s="33" t="str">
        <x:v>https://cdsco.gov.in/opencms/resources/UploadCDSCOWeb/2022/drug_rules/Drugs%20Rules%2C%201945.pdf | https://cdsco.gov.in/opencms/opencms/en/Notifications/Gazette-Notifications/</x:v>
      </x:c>
      <x:c r="I64" s="33" t="str">
        <x:v>P-2</x:v>
      </x:c>
      <x:c r="J64" s="33" t="str">
        <x:v>2026-08-20</x:v>
      </x:c>
      <x:c r="K64" s="33" t="str">
        <x:v>Legacy Law ID retained inactive; provisions remapped to LAW002 or best-practice source.</x:v>
      </x:c>
    </x:row>
    <x:row r="65">
      <x:c r="A65" s="33" t="str">
        <x:v>LAW066</x:v>
      </x:c>
      <x:c r="B65" s="33" t="str">
        <x:v>Law Master</x:v>
      </x:c>
      <x:c r="C65" s="33" t="str">
        <x:v>Active=Yes; Remarks=Applicable to licensed importers.</x:v>
      </x:c>
      <x:c r="D65" s="33" t="str">
        <x:v>Active=No; Remarks=P-2 RETIRED/RECLASSIFIED: not an atomic standalone law. Applicable requirements are owned by LAW002 (Drugs Rules, 1945), its Rules/Schedules/Forms, or the controlled source/change register. Legacy Law ID retained for migration traceability.</x:v>
      </x:c>
      <x:c r="E65" s="33" t="str">
        <x:v>RECLASSIFY / RETIRE</x:v>
      </x:c>
      <x:c r="F65" s="33" t="str">
        <x:v>Remove pseudo-laws, schedule-as-law records and activity fragments from the active Law universe.</x:v>
      </x:c>
      <x:c r="G65" s="33" t="str">
        <x:v>CDSCO official Drugs Rules / Gazette</x:v>
      </x:c>
      <x:c r="H65" s="33" t="str">
        <x:v>https://cdsco.gov.in/opencms/resources/UploadCDSCOWeb/2022/drug_rules/Drugs%20Rules%2C%201945.pdf | https://cdsco.gov.in/opencms/opencms/en/Notifications/Gazette-Notifications/</x:v>
      </x:c>
      <x:c r="I65" s="33" t="str">
        <x:v>P-2</x:v>
      </x:c>
      <x:c r="J65" s="33" t="str">
        <x:v>2026-08-20</x:v>
      </x:c>
      <x:c r="K65" s="33" t="str">
        <x:v>Legacy Law ID retained inactive; provisions remapped to LAW002 or best-practice source.</x:v>
      </x:c>
    </x:row>
    <x:row r="66">
      <x:c r="A66" s="33" t="str">
        <x:v>LAW067</x:v>
      </x:c>
      <x:c r="B66" s="33" t="str">
        <x:v>Law Master</x:v>
      </x:c>
      <x:c r="C66" s="33" t="str">
        <x:v>Active=Yes; Remarks=Export-related certification requirements.</x:v>
      </x:c>
      <x:c r="D66" s="33" t="str">
        <x:v>Active=No; Remarks=P-2 RETIRED/RECLASSIFIED: not an atomic standalone law. Applicable requirements are owned by LAW002 (Drugs Rules, 1945), its Rules/Schedules/Forms, or the controlled source/change register. Legacy Law ID retained for migration traceability.</x:v>
      </x:c>
      <x:c r="E66" s="33" t="str">
        <x:v>RECLASSIFY / RETIRE</x:v>
      </x:c>
      <x:c r="F66" s="33" t="str">
        <x:v>Remove pseudo-laws, schedule-as-law records and activity fragments from the active Law universe.</x:v>
      </x:c>
      <x:c r="G66" s="33" t="str">
        <x:v>CDSCO official Drugs Rules / Gazette</x:v>
      </x:c>
      <x:c r="H66" s="33" t="str">
        <x:v>https://cdsco.gov.in/opencms/resources/UploadCDSCOWeb/2022/drug_rules/Drugs%20Rules%2C%201945.pdf | https://cdsco.gov.in/opencms/opencms/en/Notifications/Gazette-Notifications/</x:v>
      </x:c>
      <x:c r="I66" s="33" t="str">
        <x:v>P-2</x:v>
      </x:c>
      <x:c r="J66" s="33" t="str">
        <x:v>2026-08-20</x:v>
      </x:c>
      <x:c r="K66" s="33" t="str">
        <x:v>Legacy Law ID retained inactive; provisions remapped to LAW002 or best-practice source.</x:v>
      </x:c>
    </x:row>
    <x:row r="67">
      <x:c r="A67" s="33" t="str">
        <x:v>PROV011</x:v>
      </x:c>
      <x:c r="B67" s="33" t="str">
        <x:v>Provision Master</x:v>
      </x:c>
      <x:c r="C67" s="33" t="str">
        <x:v>Law ID=LAW002; Provision Category=Statutory; Statutory Reference=Rule 61; Provision Name=Application for grant or renewal of licence; Provision Description=Licensing procedures.; Active=Yes; Remarks=</x:v>
      </x:c>
      <x:c r="D67" s="33" t="str">
        <x:v>Law ID=LAW002; Provision Category=Statutory; Statutory Reference=Rule 59(1)-(3); Provision Name=Licensing authority, sale-licence application and duplicate licence; Provision Description=Applications use Forms 19, 19A or 19C as applicable, with prescribed fee and duplicate-licence process.; Active=Yes; Remarks=P-2 normalized against authoritative Drugs Rules; existing ID preserved.</x:v>
      </x:c>
      <x:c r="E67" s="33" t="str">
        <x:v>CORRECT</x:v>
      </x:c>
      <x:c r="F67" s="33" t="str">
        <x:v>Correct rule/schedule/form ownership, title and decomposition.</x:v>
      </x:c>
      <x:c r="G67" s="33" t="str">
        <x:v>CDSCO official Drugs Rules / Gazette</x:v>
      </x:c>
      <x:c r="H67" s="33" t="str">
        <x:v>https://cdsco.gov.in/opencms/resources/UploadCDSCOWeb/2022/drug_rules/Drugs%20Rules%2C%201945.pdf</x:v>
      </x:c>
      <x:c r="I67" s="33" t="str">
        <x:v>P-2</x:v>
      </x:c>
      <x:c r="J67" s="33" t="str">
        <x:v>2026-08-20</x:v>
      </x:c>
      <x:c r="K67" s="33" t="str">
        <x:v>Existing ID preserved; downstream traceability remediated.</x:v>
      </x:c>
    </x:row>
    <x:row r="68">
      <x:c r="A68" s="33" t="str">
        <x:v>PROV012</x:v>
      </x:c>
      <x:c r="B68" s="33" t="str">
        <x:v>Provision Master</x:v>
      </x:c>
      <x:c r="C68" s="33" t="str">
        <x:v>Law ID=LAW002; Provision Category=Statutory; Statutory Reference=Rule 62; Provision Name=Form and conditions of licence; Provision Description=Licence issuance requirements.; Active=Yes; Remarks=</x:v>
      </x:c>
      <x:c r="D68" s="33" t="str">
        <x:v>Law ID=LAW002; Provision Category=Statutory; Statutory Reference=Rule 61(1)-(3); Provision Name=Forms of licences to sell drugs; Provision Description=Form 20/20A/20B applies outside Schedules C, C(1), X; Form 21/21A/21B applies to Schedules C/C(1) excluding X; Form 20F/20G applies to Schedule X.; Active=Yes; Remarks=P-2 normalized against authoritative Drugs Rules; existing ID preserved.</x:v>
      </x:c>
      <x:c r="E68" s="33" t="str">
        <x:v>CORRECT</x:v>
      </x:c>
      <x:c r="F68" s="33" t="str">
        <x:v>Correct rule/schedule/form ownership, title and decomposition.</x:v>
      </x:c>
      <x:c r="G68" s="33" t="str">
        <x:v>CDSCO official Drugs Rules / Gazette</x:v>
      </x:c>
      <x:c r="H68" s="33" t="str">
        <x:v>https://cdsco.gov.in/opencms/resources/UploadCDSCOWeb/2022/drug_rules/Drugs%20Rules%2C%201945.pdf</x:v>
      </x:c>
      <x:c r="I68" s="33" t="str">
        <x:v>P-2</x:v>
      </x:c>
      <x:c r="J68" s="33" t="str">
        <x:v>2026-08-20</x:v>
      </x:c>
      <x:c r="K68" s="33" t="str">
        <x:v>Existing ID preserved; downstream traceability remediated.</x:v>
      </x:c>
    </x:row>
    <x:row r="69">
      <x:c r="A69" s="33" t="str">
        <x:v>PROV013</x:v>
      </x:c>
      <x:c r="B69" s="33" t="str">
        <x:v>Provision Master</x:v>
      </x:c>
      <x:c r="C69" s="33" t="str">
        <x:v>Law ID=LAW002; Provision Category=Statutory; Statutory Reference=Rule 64; Provision Name=Conditions applicable to retail licences; Provision Description=Retail pharmacy licence conditions.; Active=Yes; Remarks=</x:v>
      </x:c>
      <x:c r="D69" s="33" t="str">
        <x:v>Law ID=LAW002; Provision Category=Statutory; Statutory Reference=Rule 64(1)-(3); Schedule N; Provision Name=Conditions to be satisfied before grant of sale licence; Provision Description=Premises, storage, competent-person, area and pharmacy Schedule N conditions for Forms 20, 20B, 20F, 20G, 21 and 21B.; Active=Yes; Remarks=P-2 normalized against authoritative Drugs Rules; existing ID preserved.</x:v>
      </x:c>
      <x:c r="E69" s="33" t="str">
        <x:v>CORRECT</x:v>
      </x:c>
      <x:c r="F69" s="33" t="str">
        <x:v>Correct rule/schedule/form ownership, title and decomposition.</x:v>
      </x:c>
      <x:c r="G69" s="33" t="str">
        <x:v>CDSCO official Drugs Rules / Gazette</x:v>
      </x:c>
      <x:c r="H69" s="33" t="str">
        <x:v>https://cdsco.gov.in/opencms/resources/UploadCDSCOWeb/2022/drug_rules/Drugs%20Rules%2C%201945.pdf</x:v>
      </x:c>
      <x:c r="I69" s="33" t="str">
        <x:v>P-2</x:v>
      </x:c>
      <x:c r="J69" s="33" t="str">
        <x:v>2026-08-20</x:v>
      </x:c>
      <x:c r="K69" s="33" t="str">
        <x:v>Existing ID preserved; downstream traceability remediated.</x:v>
      </x:c>
    </x:row>
    <x:row r="70">
      <x:c r="A70" s="33" t="str">
        <x:v>PROV014</x:v>
      </x:c>
      <x:c r="B70" s="33" t="str">
        <x:v>Provision Master</x:v>
      </x:c>
      <x:c r="C70" s="33" t="str">
        <x:v>Law ID=LAW002; Provision Category=Statutory; Statutory Reference=Rule 65; Provision Name=Conditions of licences relating to sale of drugs; Provision Description=One of the most important operational rules for pharmacies.; Active=Yes; Remarks=</x:v>
      </x:c>
      <x:c r="D70" s="33" t="str">
        <x:v>Law ID=LAW002; Provision Category=Statutory; Statutory Reference=Rule 65(9)(a); Provision Name=Prescription-only retail sale of Schedule H, H1 and X drugs; Provision Description=Retail sale is only on and in accordance with a Registered Medical Practitioner's prescription; Schedule X has duplicate-copy retention.; Active=Yes; Remarks=P-2 normalized against authoritative Drugs Rules; existing ID preserved.</x:v>
      </x:c>
      <x:c r="E70" s="33" t="str">
        <x:v>CORRECT</x:v>
      </x:c>
      <x:c r="F70" s="33" t="str">
        <x:v>Correct rule/schedule/form ownership, title and decomposition.</x:v>
      </x:c>
      <x:c r="G70" s="33" t="str">
        <x:v>CDSCO official Drugs Rules / Gazette</x:v>
      </x:c>
      <x:c r="H70" s="33" t="str">
        <x:v>https://cdsco.gov.in/opencms/resources/UploadCDSCOWeb/2022/drug_rules/Drugs%20Rules%2C%201945.pdf</x:v>
      </x:c>
      <x:c r="I70" s="33" t="str">
        <x:v>P-2</x:v>
      </x:c>
      <x:c r="J70" s="33" t="str">
        <x:v>2026-08-20</x:v>
      </x:c>
      <x:c r="K70" s="33" t="str">
        <x:v>Existing ID preserved; downstream traceability remediated.</x:v>
      </x:c>
    </x:row>
    <x:row r="71">
      <x:c r="A71" s="33" t="str">
        <x:v>PROV015</x:v>
      </x:c>
      <x:c r="B71" s="33" t="str">
        <x:v>Provision Master</x:v>
      </x:c>
      <x:c r="C71" s="33" t="str">
        <x:v>Law ID=LAW002; Provision Category=Statutory; Statutory Reference=Rule 66; Provision Name=Additional conditions applicable to licences; Provision Description=Operational licence requirements.; Active=Yes; Remarks=</x:v>
      </x:c>
      <x:c r="D71" s="33" t="str">
        <x:v>Law ID=LAW002; Provision Category=Statutory; Statutory Reference=Rule 65(1)-(2); Provision Name=Registered pharmacist supervision of compounding and prescription supply; Provision Description=Compounding and non-wholesale supply on prescription must be by or under the personal supervision of a registered pharmacist.; Active=Yes; Remarks=P-2 normalized against authoritative Drugs Rules; existing ID preserved.</x:v>
      </x:c>
      <x:c r="E71" s="33" t="str">
        <x:v>CORRECT</x:v>
      </x:c>
      <x:c r="F71" s="33" t="str">
        <x:v>Correct rule/schedule/form ownership, title and decomposition.</x:v>
      </x:c>
      <x:c r="G71" s="33" t="str">
        <x:v>CDSCO official Drugs Rules / Gazette</x:v>
      </x:c>
      <x:c r="H71" s="33" t="str">
        <x:v>https://cdsco.gov.in/opencms/resources/UploadCDSCOWeb/2022/drug_rules/Drugs%20Rules%2C%201945.pdf</x:v>
      </x:c>
      <x:c r="I71" s="33" t="str">
        <x:v>P-2</x:v>
      </x:c>
      <x:c r="J71" s="33" t="str">
        <x:v>2026-08-20</x:v>
      </x:c>
      <x:c r="K71" s="33" t="str">
        <x:v>Existing ID preserved; downstream traceability remediated.</x:v>
      </x:c>
    </x:row>
    <x:row r="72">
      <x:c r="A72" s="33" t="str">
        <x:v>PROV016</x:v>
      </x:c>
      <x:c r="B72" s="33" t="str">
        <x:v>Provision Master</x:v>
      </x:c>
      <x:c r="C72" s="33" t="str">
        <x:v>Law ID=LAW002; Provision Category=Statutory; Statutory Reference=Rule 67; Provision Name=Display of licence; Provision Description=Licence display requirements.; Active=Yes; Remarks=</x:v>
      </x:c>
      <x:c r="D72" s="33" t="str">
        <x:v>Law ID=LAW002; Provision Category=Statutory; Statutory Reference=Rule 65(3)-(5); Provision Name=Prescription, retail and wholesale sale/purchase records; Provision Description=Maintain required prescription registers or memos, retail purchase/sale records and wholesale sale/purchase records with statutory particulars.; Active=Yes; Remarks=P-2 normalized against authoritative Drugs Rules; existing ID preserved.</x:v>
      </x:c>
      <x:c r="E72" s="33" t="str">
        <x:v>CORRECT</x:v>
      </x:c>
      <x:c r="F72" s="33" t="str">
        <x:v>Correct rule/schedule/form ownership, title and decomposition.</x:v>
      </x:c>
      <x:c r="G72" s="33" t="str">
        <x:v>CDSCO official Drugs Rules / Gazette</x:v>
      </x:c>
      <x:c r="H72" s="33" t="str">
        <x:v>https://cdsco.gov.in/opencms/resources/UploadCDSCOWeb/2022/drug_rules/Drugs%20Rules%2C%201945.pdf</x:v>
      </x:c>
      <x:c r="I72" s="33" t="str">
        <x:v>P-2</x:v>
      </x:c>
      <x:c r="J72" s="33" t="str">
        <x:v>2026-08-20</x:v>
      </x:c>
      <x:c r="K72" s="33" t="str">
        <x:v>Existing ID preserved; downstream traceability remediated.</x:v>
      </x:c>
    </x:row>
    <x:row r="73">
      <x:c r="A73" s="33" t="str">
        <x:v>PROV017</x:v>
      </x:c>
      <x:c r="B73" s="33" t="str">
        <x:v>Provision Master</x:v>
      </x:c>
      <x:c r="C73" s="33" t="str">
        <x:v>Law ID=LAW002; Provision Category=Statutory; Statutory Reference=Rule 68; Provision Name=Cancellation and suspension of licence; Provision Description=Regulatory enforcement.; Active=Yes; Remarks=</x:v>
      </x:c>
      <x:c r="D73" s="33" t="str">
        <x:v>Law ID=LAW002; Provision Category=Statutory; Statutory Reference=Rule 65(6)-(8); Provision Name=Production, preservation and rationalization of statutory records; Provision Description=Produce records to inspectors; preserve general records at least two years unless a specific period applies; avoid duplicative registers where another law's special register captures the particulars.; Active=Yes; Remarks=P-2 normalized against authoritative Drugs Rules; existing ID preserved.</x:v>
      </x:c>
      <x:c r="E73" s="33" t="str">
        <x:v>CORRECT</x:v>
      </x:c>
      <x:c r="F73" s="33" t="str">
        <x:v>Correct rule/schedule/form ownership, title and decomposition.</x:v>
      </x:c>
      <x:c r="G73" s="33" t="str">
        <x:v>CDSCO official Drugs Rules / Gazette</x:v>
      </x:c>
      <x:c r="H73" s="33" t="str">
        <x:v>https://cdsco.gov.in/opencms/resources/UploadCDSCOWeb/2022/drug_rules/Drugs%20Rules%2C%201945.pdf</x:v>
      </x:c>
      <x:c r="I73" s="33" t="str">
        <x:v>P-2</x:v>
      </x:c>
      <x:c r="J73" s="33" t="str">
        <x:v>2026-08-20</x:v>
      </x:c>
      <x:c r="K73" s="33" t="str">
        <x:v>Existing ID preserved; downstream traceability remediated.</x:v>
      </x:c>
    </x:row>
    <x:row r="74">
      <x:c r="A74" s="33" t="str">
        <x:v>PROV018</x:v>
      </x:c>
      <x:c r="B74" s="33" t="str">
        <x:v>Provision Master</x:v>
      </x:c>
      <x:c r="C74" s="33" t="str">
        <x:v>Law ID=LAW002; Provision Category=Statutory; Statutory Reference=Rule 97; Provision Name=Labelling requirements; Provision Description=Prescription and warning labels.; Active=Yes; Remarks=</x:v>
      </x:c>
      <x:c r="D74" s="33" t="str">
        <x:v>Law ID=LAW002; Provision Category=Statutory; Statutory Reference=Rule 97(1); Provision Name=Schedule G, H, H1 and X warning labels; Provision Description=The prescribed symbols, cautions and warnings must appear on applicable medicine labels.; Active=Yes; Remarks=P-2 normalized against authoritative Drugs Rules; existing ID preserved.</x:v>
      </x:c>
      <x:c r="E74" s="33" t="str">
        <x:v>CORRECT</x:v>
      </x:c>
      <x:c r="F74" s="33" t="str">
        <x:v>Correct rule/schedule/form ownership, title and decomposition.</x:v>
      </x:c>
      <x:c r="G74" s="33" t="str">
        <x:v>CDSCO official Drugs Rules / Gazette</x:v>
      </x:c>
      <x:c r="H74" s="33" t="str">
        <x:v>https://cdsco.gov.in/opencms/resources/UploadCDSCOWeb/2022/drug_rules/Drugs%20Rules%2C%201945.pdf</x:v>
      </x:c>
      <x:c r="I74" s="33" t="str">
        <x:v>P-2</x:v>
      </x:c>
      <x:c r="J74" s="33" t="str">
        <x:v>2026-08-20</x:v>
      </x:c>
      <x:c r="K74" s="33" t="str">
        <x:v>Existing ID preserved; downstream traceability remediated.</x:v>
      </x:c>
    </x:row>
    <x:row r="75">
      <x:c r="A75" s="33" t="str">
        <x:v>PROV019</x:v>
      </x:c>
      <x:c r="B75" s="33" t="str">
        <x:v>Provision Master</x:v>
      </x:c>
      <x:c r="C75" s="33" t="str">
        <x:v>Law ID=LAW002; Provision Category=Statutory; Statutory Reference=Rule 104A; Provision Name=Prohibition of misleading drug names; Provision Description=Branding restrictions.; Active=Yes; Remarks=</x:v>
      </x:c>
      <x:c r="D75" s="33" t="str">
        <x:v>Law ID=LAW002; Provision Category=Statutory; Statutory Reference=Rule 95; Provision Name=Prohibition of sale or distribution unless labelled; Provision Description=No person may sell or distribute a drug unless it is labelled in accordance with the Rules.; Active=Yes; Remarks=P-2 normalized against authoritative Drugs Rules; existing ID preserved.</x:v>
      </x:c>
      <x:c r="E75" s="33" t="str">
        <x:v>CORRECT</x:v>
      </x:c>
      <x:c r="F75" s="33" t="str">
        <x:v>Correct rule/schedule/form ownership, title and decomposition.</x:v>
      </x:c>
      <x:c r="G75" s="33" t="str">
        <x:v>CDSCO official Drugs Rules / Gazette</x:v>
      </x:c>
      <x:c r="H75" s="33" t="str">
        <x:v>https://cdsco.gov.in/opencms/resources/UploadCDSCOWeb/2022/drug_rules/Drugs%20Rules%2C%201945.pdf</x:v>
      </x:c>
      <x:c r="I75" s="33" t="str">
        <x:v>P-2</x:v>
      </x:c>
      <x:c r="J75" s="33" t="str">
        <x:v>2026-08-20</x:v>
      </x:c>
      <x:c r="K75" s="33" t="str">
        <x:v>Existing ID preserved; downstream traceability remediated.</x:v>
      </x:c>
    </x:row>
    <x:row r="76">
      <x:c r="A76" s="33" t="str">
        <x:v>PROV020</x:v>
      </x:c>
      <x:c r="B76" s="33" t="str">
        <x:v>Provision Master</x:v>
      </x:c>
      <x:c r="C76" s="33" t="str">
        <x:v>Law ID=LAW002; Provision Category=Statutory; Statutory Reference=Schedule H; Provision Name=Prescription-only medicines; Provision Description=Schedule H compliance.; Active=Yes; Remarks=</x:v>
      </x:c>
      <x:c r="D76" s="33" t="str">
        <x:v>Law ID=LAW002; Provision Category=Statutory; Statutory Reference=Schedule H; Rule 65(9), (11), (11A); Provision Name=Schedule H classification and dispensing restrictions; Provision Description=Prescription-only sale, repeat-dispensing limits, seller annotation and no unauthorized substitution.; Active=Yes; Remarks=P-2 normalized against authoritative Drugs Rules; existing ID preserved.</x:v>
      </x:c>
      <x:c r="E76" s="33" t="str">
        <x:v>CORRECT</x:v>
      </x:c>
      <x:c r="F76" s="33" t="str">
        <x:v>Correct rule/schedule/form ownership, title and decomposition.</x:v>
      </x:c>
      <x:c r="G76" s="33" t="str">
        <x:v>CDSCO official Drugs Rules / Gazette</x:v>
      </x:c>
      <x:c r="H76" s="33" t="str">
        <x:v>https://cdsco.gov.in/opencms/resources/UploadCDSCOWeb/2022/drug_rules/Drugs%20Rules%2C%201945.pdf</x:v>
      </x:c>
      <x:c r="I76" s="33" t="str">
        <x:v>P-2</x:v>
      </x:c>
      <x:c r="J76" s="33" t="str">
        <x:v>2026-08-20</x:v>
      </x:c>
      <x:c r="K76" s="33" t="str">
        <x:v>Existing ID preserved; downstream traceability remediated.</x:v>
      </x:c>
    </x:row>
    <x:row r="77">
      <x:c r="A77" s="33" t="str">
        <x:v>PROV021</x:v>
      </x:c>
      <x:c r="B77" s="33" t="str">
        <x:v>Provision Master</x:v>
      </x:c>
      <x:c r="C77" s="33" t="str">
        <x:v>Law ID=LAW002; Provision Category=Statutory; Statutory Reference=Schedule H1; Provision Name=Additional control over specified medicines; Provision Description=Register maintenance.; Active=Yes; Remarks=</x:v>
      </x:c>
      <x:c r="D77" s="33" t="str">
        <x:v>Law ID=LAW002; Provision Category=Statutory; Statutory Reference=Schedule H1; Rule 65(3)(1)(h), (9), (11), (11A); Provision Name=Schedule H1 classification, prescription and special-register controls; Provision Description=Schedule H1 drugs require prescription control and a separate three-year register open to inspection.; Active=Yes; Remarks=P-2 normalized against authoritative Drugs Rules; existing ID preserved.</x:v>
      </x:c>
      <x:c r="E77" s="33" t="str">
        <x:v>CORRECT</x:v>
      </x:c>
      <x:c r="F77" s="33" t="str">
        <x:v>Correct rule/schedule/form ownership, title and decomposition.</x:v>
      </x:c>
      <x:c r="G77" s="33" t="str">
        <x:v>CDSCO official Drugs Rules / Gazette</x:v>
      </x:c>
      <x:c r="H77" s="33" t="str">
        <x:v>https://cdsco.gov.in/opencms/resources/UploadCDSCOWeb/2022/drug_rules/Drugs%20Rules%2C%201945.pdf</x:v>
      </x:c>
      <x:c r="I77" s="33" t="str">
        <x:v>P-2</x:v>
      </x:c>
      <x:c r="J77" s="33" t="str">
        <x:v>2026-08-20</x:v>
      </x:c>
      <x:c r="K77" s="33" t="str">
        <x:v>Existing ID preserved; downstream traceability remediated.</x:v>
      </x:c>
    </x:row>
    <x:row r="78">
      <x:c r="A78" s="33" t="str">
        <x:v>PROV022</x:v>
      </x:c>
      <x:c r="B78" s="33" t="str">
        <x:v>Provision Master</x:v>
      </x:c>
      <x:c r="C78" s="33" t="str">
        <x:v>Law ID=LAW002; Provision Category=Statutory; Statutory Reference=Schedule X; Provision Name=Controlled drugs; Provision Description=Storage and register requirements.; Active=Yes; Remarks=</x:v>
      </x:c>
      <x:c r="D78" s="33" t="str">
        <x:v>Law ID=LAW002; Provision Category=Statutory; Statutory Reference=Schedule X; Rule 65(9), (12), (21); Provision Name=Schedule X prescription, storage and register controls; Provision Description=Schedule X requires duplicate prescription, restricted storage and a bound serially paged drug-wise register.; Active=Yes; Remarks=P-2 normalized against authoritative Drugs Rules; existing ID preserved.</x:v>
      </x:c>
      <x:c r="E78" s="33" t="str">
        <x:v>CORRECT</x:v>
      </x:c>
      <x:c r="F78" s="33" t="str">
        <x:v>Correct rule/schedule/form ownership, title and decomposition.</x:v>
      </x:c>
      <x:c r="G78" s="33" t="str">
        <x:v>CDSCO official Drugs Rules / Gazette</x:v>
      </x:c>
      <x:c r="H78" s="33" t="str">
        <x:v>https://cdsco.gov.in/opencms/resources/UploadCDSCOWeb/2022/drug_rules/Drugs%20Rules%2C%201945.pdf</x:v>
      </x:c>
      <x:c r="I78" s="33" t="str">
        <x:v>P-2</x:v>
      </x:c>
      <x:c r="J78" s="33" t="str">
        <x:v>2026-08-20</x:v>
      </x:c>
      <x:c r="K78" s="33" t="str">
        <x:v>Existing ID preserved; downstream traceability remediated.</x:v>
      </x:c>
    </x:row>
    <x:row r="79">
      <x:c r="A79" s="33" t="str">
        <x:v>PROV023</x:v>
      </x:c>
      <x:c r="B79" s="33" t="str">
        <x:v>Provision Master</x:v>
      </x:c>
      <x:c r="C79" s="33" t="str">
        <x:v>Law ID=LAW002; Provision Category=Statutory; Statutory Reference=Schedule G; Provision Name=Cautionary labelling requirements; Provision Description=Mandatory caution statement.; Active=Yes; Remarks=</x:v>
      </x:c>
      <x:c r="D79" s="33" t="str">
        <x:v>Law ID=LAW002; Provision Category=Statutory; Statutory Reference=Schedule G; Rule 97(1)(a); Provision Name=Schedule G cautionary labelling; Provision Description=Schedule G medicines carry the prescribed caution that medical supervision is required.; Active=Yes; Remarks=P-2 normalized against authoritative Drugs Rules; existing ID preserved.</x:v>
      </x:c>
      <x:c r="E79" s="33" t="str">
        <x:v>CORRECT</x:v>
      </x:c>
      <x:c r="F79" s="33" t="str">
        <x:v>Correct rule/schedule/form ownership, title and decomposition.</x:v>
      </x:c>
      <x:c r="G79" s="33" t="str">
        <x:v>CDSCO official Drugs Rules / Gazette</x:v>
      </x:c>
      <x:c r="H79" s="33" t="str">
        <x:v>https://cdsco.gov.in/opencms/resources/UploadCDSCOWeb/2022/drug_rules/Drugs%20Rules%2C%201945.pdf</x:v>
      </x:c>
      <x:c r="I79" s="33" t="str">
        <x:v>P-2</x:v>
      </x:c>
      <x:c r="J79" s="33" t="str">
        <x:v>2026-08-20</x:v>
      </x:c>
      <x:c r="K79" s="33" t="str">
        <x:v>Existing ID preserved; downstream traceability remediated.</x:v>
      </x:c>
    </x:row>
    <x:row r="80">
      <x:c r="A80" s="33" t="str">
        <x:v>PROV024</x:v>
      </x:c>
      <x:c r="B80" s="33" t="str">
        <x:v>Provision Master</x:v>
      </x:c>
      <x:c r="C80" s="33" t="str">
        <x:v>Law ID=LAW002; Provision Category=Statutory; Statutory Reference=Schedule K; Provision Name=Exemptions under Drugs &amp; Cosmetics Rules; Provision Description=Limited exemptions.; Active=Yes; Remarks=</x:v>
      </x:c>
      <x:c r="D80" s="33" t="str">
        <x:v>Law ID=LAW002; Provision Category=Statutory; Statutory Reference=Rule 123; Schedule K; Provision Name=Schedule K exemptions and exact conditions; Provision Description=Exemptions apply only to the stated drug class, provision and conditions; G.S.R. 477(E) removed the listed syrup exemption and G.S.R. 607(E) is future-effective.; Active=Yes; Remarks=P-2 normalized against authoritative Drugs Rules; existing ID preserved.</x:v>
      </x:c>
      <x:c r="E80" s="33" t="str">
        <x:v>CORRECT</x:v>
      </x:c>
      <x:c r="F80" s="33" t="str">
        <x:v>Correct rule/schedule/form ownership, title and decomposition.</x:v>
      </x:c>
      <x:c r="G80" s="33" t="str">
        <x:v>CDSCO official Drugs Rules / Gazette</x:v>
      </x:c>
      <x:c r="H80" s="33" t="str">
        <x:v>https://cdsco.gov.in/opencms/resources/UploadCDSCOWeb/2022/drug_rules/Drugs%20Rules%2C%201945.pdf</x:v>
      </x:c>
      <x:c r="I80" s="33" t="str">
        <x:v>P-2</x:v>
      </x:c>
      <x:c r="J80" s="33" t="str">
        <x:v>2026-08-20</x:v>
      </x:c>
      <x:c r="K80" s="33" t="str">
        <x:v>Existing ID preserved; downstream traceability remediated.</x:v>
      </x:c>
    </x:row>
    <x:row r="81">
      <x:c r="A81" s="33" t="str">
        <x:v>PROV025</x:v>
      </x:c>
      <x:c r="B81" s="33" t="str">
        <x:v>Provision Master</x:v>
      </x:c>
      <x:c r="C81" s="33" t="str">
        <x:v>Law ID=LAW002; Provision Category=Statutory; Statutory Reference=Rule 96; Provision Name=Labelling and packing of drugs; Provision Description=Packaging and label requirements.; Active=Yes; Remarks=</x:v>
      </x:c>
      <x:c r="D81" s="33" t="str">
        <x:v>Law ID=LAW002; Provision Category=Statutory; Statutory Reference=Rule 96(6)-(7); Schedule H2; Provision Name=Schedule H2 barcode / QR-code labelling; Provision Description=Manufacturers of Schedule H2 formulations must provide specified authentication data; seller controls are indirect through Rule 95 and receipt verification.; Active=Yes; Remarks=P-2 normalized against authoritative Drugs Rules; existing ID preserved.</x:v>
      </x:c>
      <x:c r="E81" s="33" t="str">
        <x:v>CORRECT</x:v>
      </x:c>
      <x:c r="F81" s="33" t="str">
        <x:v>Correct rule/schedule/form ownership, title and decomposition.</x:v>
      </x:c>
      <x:c r="G81" s="33" t="str">
        <x:v>CDSCO official Drugs Rules / Gazette</x:v>
      </x:c>
      <x:c r="H81" s="33" t="str">
        <x:v>https://cdsco.gov.in/opencms/resources/UploadCDSCOWeb/2022/drug_rules/Drugs%20Rules%2C%201945.pdf</x:v>
      </x:c>
      <x:c r="I81" s="33" t="str">
        <x:v>P-2</x:v>
      </x:c>
      <x:c r="J81" s="33" t="str">
        <x:v>2026-08-20</x:v>
      </x:c>
      <x:c r="K81" s="33" t="str">
        <x:v>Existing ID preserved; downstream traceability remediated.</x:v>
      </x:c>
    </x:row>
    <x:row r="82">
      <x:c r="A82" s="33" t="str">
        <x:v>PROV111</x:v>
      </x:c>
      <x:c r="B82" s="33" t="str">
        <x:v>Provision Master</x:v>
      </x:c>
      <x:c r="C82" s="33" t="str">
        <x:v>Law ID=LAW054; Provision Category=Statutory; Statutory Reference=Schedule H; Provision Name=Dispensing Only Against Valid Prescription; Provision Description=Prescription-only sale.; Active=Yes; Remarks=</x:v>
      </x:c>
      <x:c r="D82" s="33" t="str">
        <x:v>Law ID=LAW002; Provision Category=Statutory; Statutory Reference=Rule 62; Provision Name=Separate sale licence for each place; Provision Description=Separate application and licence are required for each place where drugs are sold or stocked for sale, subject to the itinerant-vendor proviso.; Active=Yes; Remarks=P-2 normalized against authoritative Drugs Rules; existing ID preserved.</x:v>
      </x:c>
      <x:c r="E82" s="33" t="str">
        <x:v>CORRECT</x:v>
      </x:c>
      <x:c r="F82" s="33" t="str">
        <x:v>Correct rule/schedule/form ownership, title and decomposition.</x:v>
      </x:c>
      <x:c r="G82" s="33" t="str">
        <x:v>CDSCO official Drugs Rules / Gazette</x:v>
      </x:c>
      <x:c r="H82" s="33" t="str">
        <x:v>https://cdsco.gov.in/opencms/resources/UploadCDSCOWeb/2022/drug_rules/Drugs%20Rules%2C%201945.pdf</x:v>
      </x:c>
      <x:c r="I82" s="33" t="str">
        <x:v>P-2</x:v>
      </x:c>
      <x:c r="J82" s="33" t="str">
        <x:v>2026-08-20</x:v>
      </x:c>
      <x:c r="K82" s="33" t="str">
        <x:v>Existing ID preserved; downstream traceability remediated.</x:v>
      </x:c>
    </x:row>
    <x:row r="83">
      <x:c r="A83" s="33" t="str">
        <x:v>PROV112</x:v>
      </x:c>
      <x:c r="B83" s="33" t="str">
        <x:v>Provision Master</x:v>
      </x:c>
      <x:c r="C83" s="33" t="str">
        <x:v>Law ID=LAW054; Provision Category=Statutory; Statutory Reference=Schedule H; Provision Name=Labelling and Warning Requirements; Provision Description=Mandatory Schedule H warning.; Active=Yes; Remarks=</x:v>
      </x:c>
      <x:c r="D83" s="33" t="str">
        <x:v>Law ID=LAW002; Provision Category=Statutory; Statutory Reference=Rule 63; Provision Name=Duration of sale licence and five-year retention fee; Provision Description=Sale licences continue if the retention fee is deposited before each succeeding five-year period; late fee and deemed cancellation apply.; Active=Yes; Remarks=P-2 normalized against authoritative Drugs Rules; existing ID preserved.</x:v>
      </x:c>
      <x:c r="E83" s="33" t="str">
        <x:v>CORRECT</x:v>
      </x:c>
      <x:c r="F83" s="33" t="str">
        <x:v>Correct rule/schedule/form ownership, title and decomposition.</x:v>
      </x:c>
      <x:c r="G83" s="33" t="str">
        <x:v>CDSCO official Drugs Rules / Gazette</x:v>
      </x:c>
      <x:c r="H83" s="33" t="str">
        <x:v>https://cdsco.gov.in/opencms/resources/UploadCDSCOWeb/2022/drug_rules/Drugs%20Rules%2C%201945.pdf</x:v>
      </x:c>
      <x:c r="I83" s="33" t="str">
        <x:v>P-2</x:v>
      </x:c>
      <x:c r="J83" s="33" t="str">
        <x:v>2026-08-20</x:v>
      </x:c>
      <x:c r="K83" s="33" t="str">
        <x:v>Existing ID preserved; downstream traceability remediated.</x:v>
      </x:c>
    </x:row>
    <x:row r="84">
      <x:c r="A84" s="33" t="str">
        <x:v>PROV113</x:v>
      </x:c>
      <x:c r="B84" s="33" t="str">
        <x:v>Provision Master</x:v>
      </x:c>
      <x:c r="C84" s="33" t="str">
        <x:v>Law ID=LAW054; Provision Category=Statutory; Statutory Reference=Schedule H; Provision Name=Record Verification Prior to Dispensing; Provision Description=Prescription verification.; Active=Yes; Remarks=</x:v>
      </x:c>
      <x:c r="D84" s="33" t="str">
        <x:v>Law ID=LAW002; Provision Category=Statutory; Statutory Reference=Rule 65A; Provision Name=Additional ownership, occupation and constitution information; Provision Description=Applicants and licensees must furnish documentary evidence demanded by the licensing authority.; Active=Yes; Remarks=P-2 normalized against authoritative Drugs Rules; existing ID preserved.</x:v>
      </x:c>
      <x:c r="E84" s="33" t="str">
        <x:v>CORRECT</x:v>
      </x:c>
      <x:c r="F84" s="33" t="str">
        <x:v>Correct rule/schedule/form ownership, title and decomposition.</x:v>
      </x:c>
      <x:c r="G84" s="33" t="str">
        <x:v>CDSCO official Drugs Rules / Gazette</x:v>
      </x:c>
      <x:c r="H84" s="33" t="str">
        <x:v>https://cdsco.gov.in/opencms/resources/UploadCDSCOWeb/2022/drug_rules/Drugs%20Rules%2C%201945.pdf</x:v>
      </x:c>
      <x:c r="I84" s="33" t="str">
        <x:v>P-2</x:v>
      </x:c>
      <x:c r="J84" s="33" t="str">
        <x:v>2026-08-20</x:v>
      </x:c>
      <x:c r="K84" s="33" t="str">
        <x:v>Existing ID preserved; downstream traceability remediated.</x:v>
      </x:c>
    </x:row>
    <x:row r="85">
      <x:c r="A85" s="33" t="str">
        <x:v>PROV114</x:v>
      </x:c>
      <x:c r="B85" s="33" t="str">
        <x:v>Provision Master</x:v>
      </x:c>
      <x:c r="C85" s="33" t="str">
        <x:v>Law ID=LAW055; Provision Category=Statutory; Statutory Reference=Schedule H1; Provision Name=Maintenance of Schedule H1 Register; Provision Description=Mandatory register maintenance.; Active=Yes; Remarks=</x:v>
      </x:c>
      <x:c r="D85" s="33" t="str">
        <x:v>Law ID=LAW002; Provision Category=Statutory; Statutory Reference=Rule 65(3)(1)(h); Provision Name=Schedule H1 separate register and three-year retention; Provision Description=Record prescriber, patient, drug and quantity at supply; maintain for three years and keep open for inspection.; Active=Yes; Remarks=P-2 normalized against authoritative Drugs Rules; existing ID preserved.</x:v>
      </x:c>
      <x:c r="E85" s="33" t="str">
        <x:v>CORRECT</x:v>
      </x:c>
      <x:c r="F85" s="33" t="str">
        <x:v>Correct rule/schedule/form ownership, title and decomposition.</x:v>
      </x:c>
      <x:c r="G85" s="33" t="str">
        <x:v>CDSCO official Drugs Rules / Gazette</x:v>
      </x:c>
      <x:c r="H85" s="33" t="str">
        <x:v>https://cdsco.gov.in/opencms/resources/UploadCDSCOWeb/2022/drug_rules/Drugs%20Rules%2C%201945.pdf</x:v>
      </x:c>
      <x:c r="I85" s="33" t="str">
        <x:v>P-2</x:v>
      </x:c>
      <x:c r="J85" s="33" t="str">
        <x:v>2026-08-20</x:v>
      </x:c>
      <x:c r="K85" s="33" t="str">
        <x:v>Existing ID preserved; downstream traceability remediated.</x:v>
      </x:c>
    </x:row>
    <x:row r="86">
      <x:c r="A86" s="33" t="str">
        <x:v>PROV115</x:v>
      </x:c>
      <x:c r="B86" s="33" t="str">
        <x:v>Provision Master</x:v>
      </x:c>
      <x:c r="C86" s="33" t="str">
        <x:v>Law ID=LAW055; Provision Category=Statutory; Statutory Reference=Schedule H1; Provision Name=Preservation of Prescriptions; Provision Description=Retention of prescriptions for inspection.; Active=Yes; Remarks=</x:v>
      </x:c>
      <x:c r="D86" s="33" t="str">
        <x:v>Law ID=LAW002; Provision Category=Statutory; Statutory Reference=Rule 65(5)(2); Provision Name=Wholesale cash/credit memo copy retention; Provision Description=Preserve carbon copies of wholesale cash or credit memos for three years from sale.; Active=Yes; Remarks=P-2 normalized against authoritative Drugs Rules; existing ID preserved.</x:v>
      </x:c>
      <x:c r="E86" s="33" t="str">
        <x:v>CORRECT</x:v>
      </x:c>
      <x:c r="F86" s="33" t="str">
        <x:v>Correct rule/schedule/form ownership, title and decomposition.</x:v>
      </x:c>
      <x:c r="G86" s="33" t="str">
        <x:v>CDSCO official Drugs Rules / Gazette</x:v>
      </x:c>
      <x:c r="H86" s="33" t="str">
        <x:v>https://cdsco.gov.in/opencms/resources/UploadCDSCOWeb/2022/drug_rules/Drugs%20Rules%2C%201945.pdf</x:v>
      </x:c>
      <x:c r="I86" s="33" t="str">
        <x:v>P-2</x:v>
      </x:c>
      <x:c r="J86" s="33" t="str">
        <x:v>2026-08-20</x:v>
      </x:c>
      <x:c r="K86" s="33" t="str">
        <x:v>Existing ID preserved; downstream traceability remediated.</x:v>
      </x:c>
    </x:row>
    <x:row r="87">
      <x:c r="A87" s="33" t="str">
        <x:v>PROV116</x:v>
      </x:c>
      <x:c r="B87" s="33" t="str">
        <x:v>Provision Master</x:v>
      </x:c>
      <x:c r="C87" s="33" t="str">
        <x:v>Law ID=LAW055; Provision Category=Statutory; Statutory Reference=Schedule H1; Provision Name=Monthly Review of Controlled Medicines; Provision Description=Internal monitoring of Schedule H1 medicines.; Active=Yes; Remarks=</x:v>
      </x:c>
      <x:c r="D87" s="33" t="str">
        <x:v>Law ID=LAW059; Provision Category=Best Practice; Statutory Reference=GPP / internal control; Provision Name=Periodic Schedule H1/X dispensing and inventory review; Provision Description=Risk-based internal monitoring for unusual dispensing patterns; not a standalone statutory monthly review under the Drugs Rules.; Active=Yes; Remarks=P-2 normalized against authoritative Drugs Rules; existing ID preserved.</x:v>
      </x:c>
      <x:c r="E87" s="33" t="str">
        <x:v>CORRECT</x:v>
      </x:c>
      <x:c r="F87" s="33" t="str">
        <x:v>Correct rule/schedule/form ownership, title and decomposition.</x:v>
      </x:c>
      <x:c r="G87" s="33" t="str">
        <x:v>CDSCO official Drugs Rules / Gazette</x:v>
      </x:c>
      <x:c r="H87" s="33" t="str">
        <x:v>https://cdsco.gov.in/opencms/resources/UploadCDSCOWeb/2022/drug_rules/Drugs%20Rules%2C%201945.pdf</x:v>
      </x:c>
      <x:c r="I87" s="33" t="str">
        <x:v>P-2</x:v>
      </x:c>
      <x:c r="J87" s="33" t="str">
        <x:v>2026-08-20</x:v>
      </x:c>
      <x:c r="K87" s="33" t="str">
        <x:v>Existing ID preserved; downstream traceability remediated.</x:v>
      </x:c>
    </x:row>
    <x:row r="88">
      <x:c r="A88" s="33" t="str">
        <x:v>PROV117</x:v>
      </x:c>
      <x:c r="B88" s="33" t="str">
        <x:v>Provision Master</x:v>
      </x:c>
      <x:c r="C88" s="33" t="str">
        <x:v>Law ID=LAW056; Provision Category=Statutory; Statutory Reference=Schedule X; Provision Name=Secure Storage of Schedule X Drugs; Provision Description=Locked storage requirements.; Active=Yes; Remarks=</x:v>
      </x:c>
      <x:c r="D88" s="33" t="str">
        <x:v>Law ID=LAW002; Provision Category=Statutory; Statutory Reference=Rule 65(12); Provision Name=Secure storage of Schedule X drugs; Provision Description=Store under lock and key in a dedicated cupboard/drawer or in a separated area accessible only to responsible persons.; Active=Yes; Remarks=P-2 normalized against authoritative Drugs Rules; existing ID preserved.</x:v>
      </x:c>
      <x:c r="E88" s="33" t="str">
        <x:v>CORRECT</x:v>
      </x:c>
      <x:c r="F88" s="33" t="str">
        <x:v>Correct rule/schedule/form ownership, title and decomposition.</x:v>
      </x:c>
      <x:c r="G88" s="33" t="str">
        <x:v>CDSCO official Drugs Rules / Gazette</x:v>
      </x:c>
      <x:c r="H88" s="33" t="str">
        <x:v>https://cdsco.gov.in/opencms/resources/UploadCDSCOWeb/2022/drug_rules/Drugs%20Rules%2C%201945.pdf</x:v>
      </x:c>
      <x:c r="I88" s="33" t="str">
        <x:v>P-2</x:v>
      </x:c>
      <x:c r="J88" s="33" t="str">
        <x:v>2026-08-20</x:v>
      </x:c>
      <x:c r="K88" s="33" t="str">
        <x:v>Existing ID preserved; downstream traceability remediated.</x:v>
      </x:c>
    </x:row>
    <x:row r="89">
      <x:c r="A89" s="33" t="str">
        <x:v>PROV118</x:v>
      </x:c>
      <x:c r="B89" s="33" t="str">
        <x:v>Provision Master</x:v>
      </x:c>
      <x:c r="C89" s="33" t="str">
        <x:v>Law ID=LAW056; Provision Category=Statutory; Statutory Reference=Schedule X; Provision Name=Purchase and Sale Register; Provision Description=Mandatory statutory register.; Active=Yes; Remarks=</x:v>
      </x:c>
      <x:c r="D89" s="33" t="str">
        <x:v>Law ID=LAW002; Provision Category=Statutory; Statutory Reference=Rule 65(21); Provision Name=Bound Schedule X receipt and supply register; Provision Description=Maintain a bound, serially page-numbered register with separate pages per Schedule X drug and prescribed transaction particulars.; Active=Yes; Remarks=P-2 normalized against authoritative Drugs Rules; existing ID preserved.</x:v>
      </x:c>
      <x:c r="E89" s="33" t="str">
        <x:v>CORRECT</x:v>
      </x:c>
      <x:c r="F89" s="33" t="str">
        <x:v>Correct rule/schedule/form ownership, title and decomposition.</x:v>
      </x:c>
      <x:c r="G89" s="33" t="str">
        <x:v>CDSCO official Drugs Rules / Gazette</x:v>
      </x:c>
      <x:c r="H89" s="33" t="str">
        <x:v>https://cdsco.gov.in/opencms/resources/UploadCDSCOWeb/2022/drug_rules/Drugs%20Rules%2C%201945.pdf</x:v>
      </x:c>
      <x:c r="I89" s="33" t="str">
        <x:v>P-2</x:v>
      </x:c>
      <x:c r="J89" s="33" t="str">
        <x:v>2026-08-20</x:v>
      </x:c>
      <x:c r="K89" s="33" t="str">
        <x:v>Existing ID preserved; downstream traceability remediated.</x:v>
      </x:c>
    </x:row>
    <x:row r="90">
      <x:c r="A90" s="33" t="str">
        <x:v>PROV119</x:v>
      </x:c>
      <x:c r="B90" s="33" t="str">
        <x:v>Provision Master</x:v>
      </x:c>
      <x:c r="C90" s="33" t="str">
        <x:v>Law ID=LAW056; Provision Category=Statutory; Statutory Reference=Schedule X; Provision Name=Retention of Schedule X Prescriptions; Provision Description=Record preservation requirements.; Active=Yes; Remarks=</x:v>
      </x:c>
      <x:c r="D90" s="33" t="str">
        <x:v>Law ID=LAW002; Provision Category=Statutory; Statutory Reference=Rule 65(10), (11), (11A); Provision Name=Prescription particulars, repeat-dispensing limits and no substitution; Provision Description=Prescription must be written, signed, dated and identify patient, amount and dose; repeat and substitution controls apply to H/H1/X.; Active=Yes; Remarks=P-2 normalized against authoritative Drugs Rules; existing ID preserved.</x:v>
      </x:c>
      <x:c r="E90" s="33" t="str">
        <x:v>CORRECT</x:v>
      </x:c>
      <x:c r="F90" s="33" t="str">
        <x:v>Correct rule/schedule/form ownership, title and decomposition.</x:v>
      </x:c>
      <x:c r="G90" s="33" t="str">
        <x:v>CDSCO official Drugs Rules / Gazette</x:v>
      </x:c>
      <x:c r="H90" s="33" t="str">
        <x:v>https://cdsco.gov.in/opencms/resources/UploadCDSCOWeb/2022/drug_rules/Drugs%20Rules%2C%201945.pdf</x:v>
      </x:c>
      <x:c r="I90" s="33" t="str">
        <x:v>P-2</x:v>
      </x:c>
      <x:c r="J90" s="33" t="str">
        <x:v>2026-08-20</x:v>
      </x:c>
      <x:c r="K90" s="33" t="str">
        <x:v>Existing ID preserved; downstream traceability remediated.</x:v>
      </x:c>
    </x:row>
    <x:row r="91">
      <x:c r="A91" s="33" t="str">
        <x:v>COMP011</x:v>
      </x:c>
      <x:c r="B91" s="33" t="str">
        <x:v>Compliance Requirement Master</x:v>
      </x:c>
      <x:c r="C91" s="33" t="str">
        <x:v>Provision ID=PROV011; Compliance Area ID=CA002; Compliance Requirement=Apply for grant or renewal of drug licence in the prescribed form with supporting documents.; Compliance Objective=; Applicability=Mandatory; Frequency=Event Based; Due Timeline=Before commencement or renewal; Responsible Person=Pharmacy Owner; Non-Compliance Consequence=Inability to legally operate; Priority=; Active=Yes; Remarks=Licensing compliance</x:v>
      </x:c>
      <x:c r="D91" s="33" t="str">
        <x:v>Provision ID=PROV011; Compliance Area ID=CA002; Compliance Requirement=Apply to the competent State licensing authority in Form 19, 19A or 19C, as applicable, before commencing the corresponding sale/stock/distribution activity; follow the prescribed duplicate-licence process where required.; Compliance Objective=Accurate implementation of the cited Drugs Rules control.; Applicability=Mandatory; Frequency=Event Based; Due Timeline=Before commencement or duplicate request; Responsible Person=Pharmacy Owner; Non-Compliance Consequence=Unlicensed activity; seizure, prosecution or licence action; Priority=High; Active=Yes; Remarks=P-2 authoritative normalization; exact rule/schedule/form basis recorded.</x:v>
      </x:c>
      <x:c r="E91" s="33" t="str">
        <x:v>CORRECT</x:v>
      </x:c>
      <x:c r="F91" s="33" t="str">
        <x:v>Replace generic or legally inaccurate compliance wording with exact rule-level duty.</x:v>
      </x:c>
      <x:c r="G91" s="33" t="str">
        <x:v>CDSCO official Drugs Rules / Gazette</x:v>
      </x:c>
      <x:c r="H91" s="33" t="str">
        <x:v>https://cdsco.gov.in/opencms/resources/UploadCDSCOWeb/2022/drug_rules/Drugs%20Rules%2C%201945.pdf</x:v>
      </x:c>
      <x:c r="I91" s="33" t="str">
        <x:v>P-2</x:v>
      </x:c>
      <x:c r="J91" s="33" t="str">
        <x:v>2026-08-20</x:v>
      </x:c>
      <x:c r="K91" s="33" t="str">
        <x:v>Existing ID preserved; downstream traceability remediated.</x:v>
      </x:c>
    </x:row>
    <x:row r="92">
      <x:c r="A92" s="33" t="str">
        <x:v>COMP012</x:v>
      </x:c>
      <x:c r="B92" s="33" t="str">
        <x:v>Compliance Requirement Master</x:v>
      </x:c>
      <x:c r="C92" s="33" t="str">
        <x:v>Provision ID=PROV012; Compliance Area ID=CA002; Compliance Requirement=Operate strictly in accordance with the conditions specified in the drug licence.; Compliance Objective=; Applicability=Mandatory; Frequency=Continuous; Due Timeline=Continuous; Responsible Person=Pharmacy Owner; Non-Compliance Consequence=Suspension or cancellation of licence; Priority=; Active=Yes; Remarks=Licence conditions</x:v>
      </x:c>
      <x:c r="D92" s="33" t="str">
        <x:v>Provision ID=PROV012; Compliance Area ID=CA002; Compliance Requirement=Hold and operate under the licence form(s) matching the drug category and retail/wholesale activity: Forms 20/20A/20B, 21/21A/21B or 20F/20G as applicable.; Compliance Objective=Accurate implementation of the cited Drugs Rules control.; Applicability=Mandatory; Frequency=Continuous; Due Timeline=Throughout operations; Responsible Person=Pharmacy Owner; Non-Compliance Consequence=Activity outside licence scope; suspension or cancellation; Priority=Critical; Active=Yes; Remarks=P-2 authoritative normalization; exact rule/schedule/form basis recorded.</x:v>
      </x:c>
      <x:c r="E92" s="33" t="str">
        <x:v>CORRECT</x:v>
      </x:c>
      <x:c r="F92" s="33" t="str">
        <x:v>Replace generic or legally inaccurate compliance wording with exact rule-level duty.</x:v>
      </x:c>
      <x:c r="G92" s="33" t="str">
        <x:v>CDSCO official Drugs Rules / Gazette</x:v>
      </x:c>
      <x:c r="H92" s="33" t="str">
        <x:v>https://cdsco.gov.in/opencms/resources/UploadCDSCOWeb/2022/drug_rules/Drugs%20Rules%2C%201945.pdf</x:v>
      </x:c>
      <x:c r="I92" s="33" t="str">
        <x:v>P-2</x:v>
      </x:c>
      <x:c r="J92" s="33" t="str">
        <x:v>2026-08-20</x:v>
      </x:c>
      <x:c r="K92" s="33" t="str">
        <x:v>Existing ID preserved; downstream traceability remediated.</x:v>
      </x:c>
    </x:row>
    <x:row r="93">
      <x:c r="A93" s="33" t="str">
        <x:v>COMP013</x:v>
      </x:c>
      <x:c r="B93" s="33" t="str">
        <x:v>Compliance Requirement Master</x:v>
      </x:c>
      <x:c r="C93" s="33" t="str">
        <x:v>Provision ID=PROV013; Compliance Area ID=CA002; Compliance Requirement=Comply with all conditions applicable to a retail drug licence.; Compliance Objective=; Applicability=Mandatory; Frequency=Continuous; Due Timeline=Continuous; Responsible Person=Registered Pharmacist; Non-Compliance Consequence=Regulatory enforcement; Priority=; Active=Yes; Remarks=Retail pharmacy operations</x:v>
      </x:c>
      <x:c r="D93" s="33" t="str">
        <x:v>Provision ID=PROV013; Compliance Area ID=CA006; Compliance Requirement=Maintain the premises area, storage accommodation, competent-person control and Schedule N conditions on which the sale licence was granted.; Compliance Objective=Accurate implementation of the cited Drugs Rules control.; Applicability=Mandatory; Frequency=Continuous; Due Timeline=Throughout licence validity; Responsible Person=Pharmacy Manager; Non-Compliance Consequence=Licence refusal, suspension or cancellation; Priority=High; Active=Yes; Remarks=P-2 authoritative normalization; exact rule/schedule/form basis recorded.</x:v>
      </x:c>
      <x:c r="E93" s="33" t="str">
        <x:v>CORRECT</x:v>
      </x:c>
      <x:c r="F93" s="33" t="str">
        <x:v>Replace generic or legally inaccurate compliance wording with exact rule-level duty.</x:v>
      </x:c>
      <x:c r="G93" s="33" t="str">
        <x:v>CDSCO official Drugs Rules / Gazette</x:v>
      </x:c>
      <x:c r="H93" s="33" t="str">
        <x:v>https://cdsco.gov.in/opencms/resources/UploadCDSCOWeb/2022/drug_rules/Drugs%20Rules%2C%201945.pdf</x:v>
      </x:c>
      <x:c r="I93" s="33" t="str">
        <x:v>P-2</x:v>
      </x:c>
      <x:c r="J93" s="33" t="str">
        <x:v>2026-08-20</x:v>
      </x:c>
      <x:c r="K93" s="33" t="str">
        <x:v>Existing ID preserved; downstream traceability remediated.</x:v>
      </x:c>
    </x:row>
    <x:row r="94">
      <x:c r="A94" s="33" t="str">
        <x:v>COMP014</x:v>
      </x:c>
      <x:c r="B94" s="33" t="str">
        <x:v>Compliance Requirement Master</x:v>
      </x:c>
      <x:c r="C94" s="33" t="str">
        <x:v>Provision ID=PROV014; Compliance Area ID=CA015; Compliance Requirement=Dispense prescription medicines only against a valid prescription wherever legally required.; Compliance Objective=; Applicability=Mandatory; Frequency=Continuous; Due Timeline=At every dispensing transaction; Responsible Person=Registered Pharmacist; Non-Compliance Consequence=Licence action, prosecution; Priority=; Active=Yes; Remarks=Prescription verification</x:v>
      </x:c>
      <x:c r="D94" s="33" t="str">
        <x:v>Provision ID=PROV014; Compliance Area ID=CA015; Compliance Requirement=Do not sell Schedule H, H1 or X drugs by retail except on and in accordance with a prescription of a Registered Medical Practitioner.; Compliance Objective=Accurate implementation of the cited Drugs Rules control.; Applicability=Mandatory; Frequency=Continuous; Due Timeline=At each applicable sale; Responsible Person=Registered Pharmacist; Non-Compliance Consequence=Licence action and prosecution; Priority=Critical; Active=Yes; Remarks=P-2 authoritative normalization; exact rule/schedule/form basis recorded.</x:v>
      </x:c>
      <x:c r="E94" s="33" t="str">
        <x:v>CORRECT</x:v>
      </x:c>
      <x:c r="F94" s="33" t="str">
        <x:v>Replace generic or legally inaccurate compliance wording with exact rule-level duty.</x:v>
      </x:c>
      <x:c r="G94" s="33" t="str">
        <x:v>CDSCO official Drugs Rules / Gazette</x:v>
      </x:c>
      <x:c r="H94" s="33" t="str">
        <x:v>https://cdsco.gov.in/opencms/resources/UploadCDSCOWeb/2022/drug_rules/Drugs%20Rules%2C%201945.pdf</x:v>
      </x:c>
      <x:c r="I94" s="33" t="str">
        <x:v>P-2</x:v>
      </x:c>
      <x:c r="J94" s="33" t="str">
        <x:v>2026-08-20</x:v>
      </x:c>
      <x:c r="K94" s="33" t="str">
        <x:v>Existing ID preserved; downstream traceability remediated.</x:v>
      </x:c>
    </x:row>
    <x:row r="95">
      <x:c r="A95" s="33" t="str">
        <x:v>COMP015</x:v>
      </x:c>
      <x:c r="B95" s="33" t="str">
        <x:v>Compliance Requirement Master</x:v>
      </x:c>
      <x:c r="C95" s="33" t="str">
        <x:v>Provision ID=PROV014; Compliance Area ID=CA017; Compliance Requirement=Ensure compliance with Schedule H, H1 and X dispensing requirements.; Compliance Objective=; Applicability=Mandatory; Frequency=Continuous; Due Timeline=During dispensing; Responsible Person=Registered Pharmacist; Non-Compliance Consequence=Regulatory action; Priority=; Active=Yes; Remarks=Controlled medicines</x:v>
      </x:c>
      <x:c r="D95" s="33" t="str">
        <x:v>Provision ID=PROV015; Compliance Area ID=CA003; Compliance Requirement=Ensure compounding and non-wholesale supply of a drug on prescription is performed by or under the personal supervision of a registered pharmacist.; Compliance Objective=Accurate implementation of the cited Drugs Rules control.; Applicability=Mandatory; Frequency=Continuous; Due Timeline=At each applicable transaction; Responsible Person=Registered Pharmacist; Non-Compliance Consequence=Licence action and patient-safety exposure; Priority=Critical; Active=Yes; Remarks=P-2 authoritative normalization; exact rule/schedule/form basis recorded.</x:v>
      </x:c>
      <x:c r="E95" s="33" t="str">
        <x:v>CORRECT</x:v>
      </x:c>
      <x:c r="F95" s="33" t="str">
        <x:v>Replace generic or legally inaccurate compliance wording with exact rule-level duty.</x:v>
      </x:c>
      <x:c r="G95" s="33" t="str">
        <x:v>CDSCO official Drugs Rules / Gazette</x:v>
      </x:c>
      <x:c r="H95" s="33" t="str">
        <x:v>https://cdsco.gov.in/opencms/resources/UploadCDSCOWeb/2022/drug_rules/Drugs%20Rules%2C%201945.pdf</x:v>
      </x:c>
      <x:c r="I95" s="33" t="str">
        <x:v>P-2</x:v>
      </x:c>
      <x:c r="J95" s="33" t="str">
        <x:v>2026-08-20</x:v>
      </x:c>
      <x:c r="K95" s="33" t="str">
        <x:v>Existing ID preserved; downstream traceability remediated.</x:v>
      </x:c>
    </x:row>
    <x:row r="96">
      <x:c r="A96" s="33" t="str">
        <x:v>COMP016</x:v>
      </x:c>
      <x:c r="B96" s="33" t="str">
        <x:v>Compliance Requirement Master</x:v>
      </x:c>
      <x:c r="C96" s="33" t="str">
        <x:v>Provision ID=PROV014; Compliance Area ID=CA019; Compliance Requirement=Maintain sale records for medicines requiring statutory documentation.; Compliance Objective=; Applicability=Mandatory; Frequency=Continuous; Due Timeline=At the time of sale; Responsible Person=Registered Pharmacist; Non-Compliance Consequence=Inspection observations; Priority=; Active=Yes; Remarks=Controlled drug registers</x:v>
      </x:c>
      <x:c r="D96" s="33" t="str">
        <x:v>Provision ID=PROV016; Compliance Area ID=CA019; Compliance Requirement=Maintain the applicable prescription register/memo and complete retail and wholesale sale/purchase records with the particulars required by Rule 65(3)-(5).; Compliance Objective=Accurate implementation of the cited Drugs Rules control.; Applicability=Mandatory; Frequency=Continuous; Due Timeline=At each applicable transaction; Responsible Person=Registered Pharmacist / Competent Person; Non-Compliance Consequence=Inspection finding, suspension or prosecution; Priority=High; Active=Yes; Remarks=P-2 authoritative normalization; exact rule/schedule/form basis recorded.</x:v>
      </x:c>
      <x:c r="E96" s="33" t="str">
        <x:v>CORRECT</x:v>
      </x:c>
      <x:c r="F96" s="33" t="str">
        <x:v>Replace generic or legally inaccurate compliance wording with exact rule-level duty.</x:v>
      </x:c>
      <x:c r="G96" s="33" t="str">
        <x:v>CDSCO official Drugs Rules / Gazette</x:v>
      </x:c>
      <x:c r="H96" s="33" t="str">
        <x:v>https://cdsco.gov.in/opencms/resources/UploadCDSCOWeb/2022/drug_rules/Drugs%20Rules%2C%201945.pdf</x:v>
      </x:c>
      <x:c r="I96" s="33" t="str">
        <x:v>P-2</x:v>
      </x:c>
      <x:c r="J96" s="33" t="str">
        <x:v>2026-08-20</x:v>
      </x:c>
      <x:c r="K96" s="33" t="str">
        <x:v>Existing ID preserved; downstream traceability remediated.</x:v>
      </x:c>
    </x:row>
    <x:row r="97">
      <x:c r="A97" s="33" t="str">
        <x:v>COMP017</x:v>
      </x:c>
      <x:c r="B97" s="33" t="str">
        <x:v>Compliance Requirement Master</x:v>
      </x:c>
      <x:c r="C97" s="33" t="str">
        <x:v>Provision ID=PROV015; Compliance Area ID=CA002; Compliance Requirement=Comply with all additional licence conditions imposed by the licensing authority.; Compliance Objective=; Applicability=Mandatory; Frequency=Continuous; Due Timeline=Continuous; Responsible Person=Pharmacy Owner; Non-Compliance Consequence=Suspension or cancellation of licence; Priority=; Active=Yes; Remarks=Licence-specific conditions</x:v>
      </x:c>
      <x:c r="D97" s="33" t="str">
        <x:v>Provision ID=PROV017; Compliance Area ID=CA020; Compliance Requirement=Produce Rule 65 registers and records to an Inspector on demand and preserve them for at least two years from the last entry unless a specific three-year or transaction-based period applies.; Compliance Objective=Accurate implementation of the cited Drugs Rules control.; Applicability=Mandatory; Frequency=Continuous; Due Timeline=Throughout the applicable retention period; Responsible Person=Pharmacy Manager; Non-Compliance Consequence=Adverse inspection and licence action; Priority=High; Active=Yes; Remarks=P-2 authoritative normalization; exact rule/schedule/form basis recorded.</x:v>
      </x:c>
      <x:c r="E97" s="33" t="str">
        <x:v>CORRECT</x:v>
      </x:c>
      <x:c r="F97" s="33" t="str">
        <x:v>Replace generic or legally inaccurate compliance wording with exact rule-level duty.</x:v>
      </x:c>
      <x:c r="G97" s="33" t="str">
        <x:v>CDSCO official Drugs Rules / Gazette</x:v>
      </x:c>
      <x:c r="H97" s="33" t="str">
        <x:v>https://cdsco.gov.in/opencms/resources/UploadCDSCOWeb/2022/drug_rules/Drugs%20Rules%2C%201945.pdf</x:v>
      </x:c>
      <x:c r="I97" s="33" t="str">
        <x:v>P-2</x:v>
      </x:c>
      <x:c r="J97" s="33" t="str">
        <x:v>2026-08-20</x:v>
      </x:c>
      <x:c r="K97" s="33" t="str">
        <x:v>Existing ID preserved; downstream traceability remediated.</x:v>
      </x:c>
    </x:row>
    <x:row r="98">
      <x:c r="A98" s="33" t="str">
        <x:v>COMP018</x:v>
      </x:c>
      <x:c r="B98" s="33" t="str">
        <x:v>Compliance Requirement Master</x:v>
      </x:c>
      <x:c r="C98" s="33" t="str">
        <x:v>Provision ID=PROV016; Compliance Area ID=CA063; Compliance Requirement=Display the current drug licence prominently at the licensed premises.; Compliance Objective=; Applicability=Mandatory; Frequency=Continuous; Due Timeline=Throughout licence validity; Responsible Person=Pharmacy Manager; Non-Compliance Consequence=Inspection observation; Priority=; Active=Yes; Remarks=Display requirement</x:v>
      </x:c>
      <x:c r="D98" s="33" t="str">
        <x:v>Provision ID=PROV018; Compliance Area ID=CA067; Compliance Requirement=Before sale, verify that Schedule G, H, H1 and X medicines bear the applicable Rule 97 symbol, caution or warning on the label.; Compliance Objective=Accurate implementation of the cited Drugs Rules control.; Applicability=Mandatory; Frequency=Continuous; Due Timeline=Before acceptance and sale; Responsible Person=Store Manager; Non-Compliance Consequence=Sale of non-compliantly labelled drugs; seizure or prosecution; Priority=High; Active=Yes; Remarks=P-2 authoritative normalization; exact rule/schedule/form basis recorded.</x:v>
      </x:c>
      <x:c r="E98" s="33" t="str">
        <x:v>CORRECT</x:v>
      </x:c>
      <x:c r="F98" s="33" t="str">
        <x:v>Replace generic or legally inaccurate compliance wording with exact rule-level duty.</x:v>
      </x:c>
      <x:c r="G98" s="33" t="str">
        <x:v>CDSCO official Drugs Rules / Gazette</x:v>
      </x:c>
      <x:c r="H98" s="33" t="str">
        <x:v>https://cdsco.gov.in/opencms/resources/UploadCDSCOWeb/2022/drug_rules/Drugs%20Rules%2C%201945.pdf</x:v>
      </x:c>
      <x:c r="I98" s="33" t="str">
        <x:v>P-2</x:v>
      </x:c>
      <x:c r="J98" s="33" t="str">
        <x:v>2026-08-20</x:v>
      </x:c>
      <x:c r="K98" s="33" t="str">
        <x:v>Existing ID preserved; downstream traceability remediated.</x:v>
      </x:c>
    </x:row>
    <x:row r="99">
      <x:c r="A99" s="33" t="str">
        <x:v>COMP019</x:v>
      </x:c>
      <x:c r="B99" s="33" t="str">
        <x:v>Compliance Requirement Master</x:v>
      </x:c>
      <x:c r="C99" s="33" t="str">
        <x:v>Provision ID=PROV017; Compliance Area ID=CA080; Compliance Requirement=Immediately comply with regulatory directions relating to suspension, cancellation or modification of licence.; Compliance Objective=; Applicability=Event Based; Frequency=Event Based; Due Timeline=Immediately upon order; Responsible Person=Pharmacy Owner; Non-Compliance Consequence=Closure of business, legal action; Priority=; Active=Yes; Remarks=Regulatory order</x:v>
      </x:c>
      <x:c r="D99" s="33" t="str">
        <x:v>Provision ID=PROV019; Compliance Area ID=CA067; Compliance Requirement=Do not sell or distribute any drug that is not labelled in accordance with the Drugs Rules.; Compliance Objective=Accurate implementation of the cited Drugs Rules control.; Applicability=Mandatory; Frequency=Continuous; Due Timeline=Before sale or distribution; Responsible Person=Store Manager; Non-Compliance Consequence=Seizure, prosecution and licence action; Priority=Critical; Active=Yes; Remarks=P-2 authoritative normalization; exact rule/schedule/form basis recorded.</x:v>
      </x:c>
      <x:c r="E99" s="33" t="str">
        <x:v>CORRECT</x:v>
      </x:c>
      <x:c r="F99" s="33" t="str">
        <x:v>Replace generic or legally inaccurate compliance wording with exact rule-level duty.</x:v>
      </x:c>
      <x:c r="G99" s="33" t="str">
        <x:v>CDSCO official Drugs Rules / Gazette</x:v>
      </x:c>
      <x:c r="H99" s="33" t="str">
        <x:v>https://cdsco.gov.in/opencms/resources/UploadCDSCOWeb/2022/drug_rules/Drugs%20Rules%2C%201945.pdf</x:v>
      </x:c>
      <x:c r="I99" s="33" t="str">
        <x:v>P-2</x:v>
      </x:c>
      <x:c r="J99" s="33" t="str">
        <x:v>2026-08-20</x:v>
      </x:c>
      <x:c r="K99" s="33" t="str">
        <x:v>Existing ID preserved; downstream traceability remediated.</x:v>
      </x:c>
    </x:row>
    <x:row r="100">
      <x:c r="A100" s="33" t="str">
        <x:v>COMP020</x:v>
      </x:c>
      <x:c r="B100" s="33" t="str">
        <x:v>Compliance Requirement Master</x:v>
      </x:c>
      <x:c r="C100" s="33" t="str">
        <x:v>Provision ID=PROV018; Compliance Area ID=CA067; Compliance Requirement=Ensure drug labels comply with all mandatory labelling requirements before sale.; Compliance Objective=; Applicability=Mandatory; Frequency=Continuous; Due Timeline=Before sale; Responsible Person=Store Manager; Non-Compliance Consequence=Product seizure; Priority=; Active=Yes; Remarks=Labelling compliance</x:v>
      </x:c>
      <x:c r="D100" s="33" t="str">
        <x:v>Provision ID=PROV020; Compliance Area ID=CA017; Compliance Requirement=For Schedule H prescriptions, observe the authorized repeat/interval directions, annotate seller name/address and dispensing date, and do not substitute another preparation.; Compliance Objective=Accurate implementation of the cited Drugs Rules control.; Applicability=Mandatory; Frequency=Continuous; Due Timeline=At dispensing; Responsible Person=Registered Pharmacist; Non-Compliance Consequence=Prescription-control breach and patient-safety risk; Priority=High; Active=Yes; Remarks=P-2 authoritative normalization; exact rule/schedule/form basis recorded.</x:v>
      </x:c>
      <x:c r="E100" s="33" t="str">
        <x:v>CORRECT</x:v>
      </x:c>
      <x:c r="F100" s="33" t="str">
        <x:v>Replace generic or legally inaccurate compliance wording with exact rule-level duty.</x:v>
      </x:c>
      <x:c r="G100" s="33" t="str">
        <x:v>CDSCO official Drugs Rules / Gazette</x:v>
      </x:c>
      <x:c r="H100" s="33" t="str">
        <x:v>https://cdsco.gov.in/opencms/resources/UploadCDSCOWeb/2022/drug_rules/Drugs%20Rules%2C%201945.pdf</x:v>
      </x:c>
      <x:c r="I100" s="33" t="str">
        <x:v>P-2</x:v>
      </x:c>
      <x:c r="J100" s="33" t="str">
        <x:v>2026-08-20</x:v>
      </x:c>
      <x:c r="K100" s="33" t="str">
        <x:v>Existing ID preserved; downstream traceability remediated.</x:v>
      </x:c>
    </x:row>
    <x:row r="101">
      <x:c r="A101" s="33" t="str">
        <x:v>COMP021</x:v>
      </x:c>
      <x:c r="B101" s="33" t="str">
        <x:v>Compliance Requirement Master</x:v>
      </x:c>
      <x:c r="C101" s="33" t="str">
        <x:v>Provision ID=PROV020; Compliance Area ID=CA017; Compliance Requirement=Sell Schedule H medicines only against valid prescriptions.; Compliance Objective=; Applicability=Mandatory; Frequency=Continuous; Due Timeline=Every transaction; Responsible Person=Registered Pharmacist; Non-Compliance Consequence=Regulatory prosecution; Priority=; Active=Yes; Remarks=Schedule H</x:v>
      </x:c>
      <x:c r="D101" s="33" t="str">
        <x:v>Provision ID=PROV021; Compliance Area ID=CA017; Compliance Requirement=Maintain a current Schedule H1 product classification and route every H1 sale through the prescription and special-register controls.; Compliance Objective=Accurate implementation of the cited Drugs Rules control.; Applicability=Mandatory; Frequency=Continuous; Due Timeline=At procurement and sale; Responsible Person=Registered Pharmacist; Non-Compliance Consequence=Misclassification and unrecorded controlled sale; Priority=Critical; Active=Yes; Remarks=P-2 authoritative normalization; exact rule/schedule/form basis recorded.</x:v>
      </x:c>
      <x:c r="E101" s="33" t="str">
        <x:v>CORRECT</x:v>
      </x:c>
      <x:c r="F101" s="33" t="str">
        <x:v>Replace generic or legally inaccurate compliance wording with exact rule-level duty.</x:v>
      </x:c>
      <x:c r="G101" s="33" t="str">
        <x:v>CDSCO official Drugs Rules / Gazette</x:v>
      </x:c>
      <x:c r="H101" s="33" t="str">
        <x:v>https://cdsco.gov.in/opencms/resources/UploadCDSCOWeb/2022/drug_rules/Drugs%20Rules%2C%201945.pdf</x:v>
      </x:c>
      <x:c r="I101" s="33" t="str">
        <x:v>P-2</x:v>
      </x:c>
      <x:c r="J101" s="33" t="str">
        <x:v>2026-08-20</x:v>
      </x:c>
      <x:c r="K101" s="33" t="str">
        <x:v>Existing ID preserved; downstream traceability remediated.</x:v>
      </x:c>
    </x:row>
    <x:row r="102">
      <x:c r="A102" s="33" t="str">
        <x:v>COMP022</x:v>
      </x:c>
      <x:c r="B102" s="33" t="str">
        <x:v>Compliance Requirement Master</x:v>
      </x:c>
      <x:c r="C102" s="33" t="str">
        <x:v>Provision ID=PROV021; Compliance Area ID=CA017; Compliance Requirement=Maintain Schedule H1 register in the prescribed format.; Compliance Objective=; Applicability=Mandatory; Frequency=Continuous; Due Timeline=At every applicable sale; Responsible Person=Registered Pharmacist; Non-Compliance Consequence=Inspection observation; Priority=; Active=Yes; Remarks=Schedule H1</x:v>
      </x:c>
      <x:c r="D102" s="33" t="str">
        <x:v>Provision ID=PROV022; Compliance Area ID=CA027; Compliance Requirement=For each Schedule X retail sale, obtain the prescription in duplicate and retain one copy for two years; enforce all Schedule X prescription controls.; Compliance Objective=Accurate implementation of the cited Drugs Rules control.; Applicability=Conditional; Frequency=Continuous; Due Timeline=At each Schedule X sale and for two years; Responsible Person=Registered Pharmacist; Non-Compliance Consequence=Serious licence action and prosecution; Priority=Critical; Active=Yes; Remarks=P-2 authoritative normalization; exact rule/schedule/form basis recorded.</x:v>
      </x:c>
      <x:c r="E102" s="33" t="str">
        <x:v>CORRECT</x:v>
      </x:c>
      <x:c r="F102" s="33" t="str">
        <x:v>Replace generic or legally inaccurate compliance wording with exact rule-level duty.</x:v>
      </x:c>
      <x:c r="G102" s="33" t="str">
        <x:v>CDSCO official Drugs Rules / Gazette</x:v>
      </x:c>
      <x:c r="H102" s="33" t="str">
        <x:v>https://cdsco.gov.in/opencms/resources/UploadCDSCOWeb/2022/drug_rules/Drugs%20Rules%2C%201945.pdf</x:v>
      </x:c>
      <x:c r="I102" s="33" t="str">
        <x:v>P-2</x:v>
      </x:c>
      <x:c r="J102" s="33" t="str">
        <x:v>2026-08-20</x:v>
      </x:c>
      <x:c r="K102" s="33" t="str">
        <x:v>Existing ID preserved; downstream traceability remediated.</x:v>
      </x:c>
    </x:row>
    <x:row r="103">
      <x:c r="A103" s="33" t="str">
        <x:v>COMP023</x:v>
      </x:c>
      <x:c r="B103" s="33" t="str">
        <x:v>Compliance Requirement Master</x:v>
      </x:c>
      <x:c r="C103" s="33" t="str">
        <x:v>Provision ID=PROV022; Compliance Area ID=CA027; Compliance Requirement=Store Schedule X medicines under secure access and maintain statutory controls.; Compliance Objective=; Applicability=Conditional; Frequency=Continuous; Due Timeline=Throughout storage; Responsible Person=Registered Pharmacist; Non-Compliance Consequence=Serious regulatory action; Priority=; Active=Yes; Remarks=Controlled substances</x:v>
      </x:c>
      <x:c r="D103" s="33" t="str">
        <x:v>Provision ID=PROV023; Compliance Area ID=CA067; Compliance Requirement=Do not accept or sell Schedule G medicine unless it carries the prescribed medical-supervision caution.; Compliance Objective=Accurate implementation of the cited Drugs Rules control.; Applicability=Conditional; Frequency=Continuous; Due Timeline=Before sale; Responsible Person=Store Manager; Non-Compliance Consequence=Labelling violation and seizure; Priority=High; Active=Yes; Remarks=P-2 authoritative normalization; exact rule/schedule/form basis recorded.</x:v>
      </x:c>
      <x:c r="E103" s="33" t="str">
        <x:v>CORRECT</x:v>
      </x:c>
      <x:c r="F103" s="33" t="str">
        <x:v>Replace generic or legally inaccurate compliance wording with exact rule-level duty.</x:v>
      </x:c>
      <x:c r="G103" s="33" t="str">
        <x:v>CDSCO official Drugs Rules / Gazette</x:v>
      </x:c>
      <x:c r="H103" s="33" t="str">
        <x:v>https://cdsco.gov.in/opencms/resources/UploadCDSCOWeb/2022/drug_rules/Drugs%20Rules%2C%201945.pdf</x:v>
      </x:c>
      <x:c r="I103" s="33" t="str">
        <x:v>P-2</x:v>
      </x:c>
      <x:c r="J103" s="33" t="str">
        <x:v>2026-08-20</x:v>
      </x:c>
      <x:c r="K103" s="33" t="str">
        <x:v>Existing ID preserved; downstream traceability remediated.</x:v>
      </x:c>
    </x:row>
    <x:row r="104">
      <x:c r="A104" s="33" t="str">
        <x:v>COMP024</x:v>
      </x:c>
      <x:c r="B104" s="33" t="str">
        <x:v>Compliance Requirement Master</x:v>
      </x:c>
      <x:c r="C104" s="33" t="str">
        <x:v>Provision ID=PROV023; Compliance Area ID=CA067; Compliance Requirement=Ensure mandatory cautionary statements appear on Schedule G medicines.; Compliance Objective=; Applicability=Conditional; Frequency=Continuous; Due Timeline=Before sale; Responsible Person=Store Manager; Non-Compliance Consequence=Labelling violations; Priority=; Active=Yes; Remarks=Schedule G</x:v>
      </x:c>
      <x:c r="D104" s="33" t="str">
        <x:v>Provision ID=PROV024; Compliance Area ID=CA002; Compliance Requirement=Claim a Schedule K exemption only where the exact drug class, exempted provision and stated conditions are satisfied and documented.; Compliance Objective=Accurate implementation of the cited Drugs Rules control.; Applicability=Conditional; Frequency=Continuous; Due Timeline=Before relying on an exemption; Responsible Person=Pharmacy Owner; Non-Compliance Consequence=Unlicensed or otherwise unlawful activity; Priority=High; Active=Yes; Remarks=P-2 authoritative normalization; exact rule/schedule/form basis recorded.</x:v>
      </x:c>
      <x:c r="E104" s="33" t="str">
        <x:v>CORRECT</x:v>
      </x:c>
      <x:c r="F104" s="33" t="str">
        <x:v>Replace generic or legally inaccurate compliance wording with exact rule-level duty.</x:v>
      </x:c>
      <x:c r="G104" s="33" t="str">
        <x:v>CDSCO official Drugs Rules / Gazette</x:v>
      </x:c>
      <x:c r="H104" s="33" t="str">
        <x:v>https://cdsco.gov.in/opencms/resources/UploadCDSCOWeb/2022/drug_rules/Drugs%20Rules%2C%201945.pdf</x:v>
      </x:c>
      <x:c r="I104" s="33" t="str">
        <x:v>P-2</x:v>
      </x:c>
      <x:c r="J104" s="33" t="str">
        <x:v>2026-08-20</x:v>
      </x:c>
      <x:c r="K104" s="33" t="str">
        <x:v>Existing ID preserved; downstream traceability remediated.</x:v>
      </x:c>
    </x:row>
    <x:row r="105">
      <x:c r="A105" s="33" t="str">
        <x:v>COMP025</x:v>
      </x:c>
      <x:c r="B105" s="33" t="str">
        <x:v>Compliance Requirement Master</x:v>
      </x:c>
      <x:c r="C105" s="33" t="str">
        <x:v>Provision ID=PROV025; Compliance Area ID=CA067; Compliance Requirement=Verify that all drug packages comply with statutory packaging and labelling requirements before dispensing or sale.; Compliance Objective=; Applicability=Mandatory; Frequency=Continuous; Due Timeline=Before dispensing; Responsible Person=Registered Pharmacist; Non-Compliance Consequence=Inspection observation and seizure; Priority=; Active=Yes; Remarks=Packaging verification</x:v>
      </x:c>
      <x:c r="D105" s="33" t="str">
        <x:v>Provision ID=PROV025; Compliance Area ID=CA067; Compliance Requirement=Where Schedule H2 formulations are stocked, verify readily apparent presence and readability of the mandated barcode/QR-code label before acceptance or sale; primary liability remains with the manufacturer.; Compliance Objective=Accurate implementation of the cited Drugs Rules control.; Applicability=Conditional; Frequency=Continuous; Due Timeline=At goods receipt and sale; Responsible Person=Store Manager; Non-Compliance Consequence=Non-compliant labelled stock and traceability failure; Priority=Medium; Active=Yes; Remarks=P-2 authoritative normalization; exact rule/schedule/form basis recorded.</x:v>
      </x:c>
      <x:c r="E105" s="33" t="str">
        <x:v>CORRECT</x:v>
      </x:c>
      <x:c r="F105" s="33" t="str">
        <x:v>Replace generic or legally inaccurate compliance wording with exact rule-level duty.</x:v>
      </x:c>
      <x:c r="G105" s="33" t="str">
        <x:v>CDSCO official Drugs Rules / Gazette</x:v>
      </x:c>
      <x:c r="H105" s="33" t="str">
        <x:v>https://cdsco.gov.in/opencms/resources/UploadCDSCOWeb/2022/drug_rules/Drugs%20Rules%2C%201945.pdf</x:v>
      </x:c>
      <x:c r="I105" s="33" t="str">
        <x:v>P-2</x:v>
      </x:c>
      <x:c r="J105" s="33" t="str">
        <x:v>2026-08-20</x:v>
      </x:c>
      <x:c r="K105" s="33" t="str">
        <x:v>Existing ID preserved; downstream traceability remediated.</x:v>
      </x:c>
    </x:row>
    <x:row r="106">
      <x:c r="A106" s="33" t="str">
        <x:v>COMP111</x:v>
      </x:c>
      <x:c r="B106" s="33" t="str">
        <x:v>Compliance Requirement Master</x:v>
      </x:c>
      <x:c r="C106" s="33" t="str">
        <x:v>Provision ID=PROV111; Compliance Area ID=CA015; Compliance Requirement=Dispense Schedule H medicines only against a valid prescription issued by an authorized medical practitioner.; Compliance Objective=; Applicability=Mandatory; Frequency=Continuous; Due Timeline=Every dispensing transaction; Responsible Person=Registered Pharmacist; Non-Compliance Consequence=Regulatory action; Priority=; Active=Yes; Remarks=Prescription verification</x:v>
      </x:c>
      <x:c r="D106" s="33" t="str">
        <x:v>Provision ID=PROV111; Compliance Area ID=CA002; Compliance Requirement=Obtain and maintain a separate sale licence for each place where drugs are sold or stocked for sale, unless the specific itinerant-vendor proviso applies.; Compliance Objective=Accurate implementation of the cited Drugs Rules control.; Applicability=Mandatory; Frequency=Continuous; Due Timeline=Before using each location; Responsible Person=Pharmacy Owner; Non-Compliance Consequence=Unlicensed premises and licence action; Priority=Critical; Active=Yes; Remarks=P-2 authoritative normalization; exact rule/schedule/form basis recorded.</x:v>
      </x:c>
      <x:c r="E106" s="33" t="str">
        <x:v>CORRECT</x:v>
      </x:c>
      <x:c r="F106" s="33" t="str">
        <x:v>Replace generic or legally inaccurate compliance wording with exact rule-level duty.</x:v>
      </x:c>
      <x:c r="G106" s="33" t="str">
        <x:v>CDSCO official Drugs Rules / Gazette</x:v>
      </x:c>
      <x:c r="H106" s="33" t="str">
        <x:v>https://cdsco.gov.in/opencms/resources/UploadCDSCOWeb/2022/drug_rules/Drugs%20Rules%2C%201945.pdf</x:v>
      </x:c>
      <x:c r="I106" s="33" t="str">
        <x:v>P-2</x:v>
      </x:c>
      <x:c r="J106" s="33" t="str">
        <x:v>2026-08-20</x:v>
      </x:c>
      <x:c r="K106" s="33" t="str">
        <x:v>Existing ID preserved; downstream traceability remediated.</x:v>
      </x:c>
    </x:row>
    <x:row r="107">
      <x:c r="A107" s="33" t="str">
        <x:v>COMP112</x:v>
      </x:c>
      <x:c r="B107" s="33" t="str">
        <x:v>Compliance Requirement Master</x:v>
      </x:c>
      <x:c r="C107" s="33" t="str">
        <x:v>Provision ID=PROV112; Compliance Area ID=CA067; Compliance Requirement=Ensure Schedule H warning statements appear on labels as prescribed.; Compliance Objective=; Applicability=Mandatory; Frequency=Continuous; Due Timeline=Before sale; Responsible Person=Store Manager; Non-Compliance Consequence=Labelling non-compliance; Priority=; Active=Yes; Remarks=Mandatory caution</x:v>
      </x:c>
      <x:c r="D107" s="33" t="str">
        <x:v>Provision ID=PROV112; Compliance Area ID=CA002; Compliance Requirement=Deposit the licence retention fee before the end of each succeeding five-year period; if delayed, apply the statutory late fee and prevent deemed cancellation.; Compliance Objective=Accurate implementation of the cited Drugs Rules control.; Applicability=Mandatory; Frequency=As Applicable; Due Timeline=Before the five-year due date; Responsible Person=Pharmacy Owner; Non-Compliance Consequence=Deemed cancellation of licence; Priority=Critical; Active=Yes; Remarks=P-2 authoritative normalization; exact rule/schedule/form basis recorded.</x:v>
      </x:c>
      <x:c r="E107" s="33" t="str">
        <x:v>CORRECT</x:v>
      </x:c>
      <x:c r="F107" s="33" t="str">
        <x:v>Replace generic or legally inaccurate compliance wording with exact rule-level duty.</x:v>
      </x:c>
      <x:c r="G107" s="33" t="str">
        <x:v>CDSCO official Drugs Rules / Gazette</x:v>
      </x:c>
      <x:c r="H107" s="33" t="str">
        <x:v>https://cdsco.gov.in/opencms/resources/UploadCDSCOWeb/2022/drug_rules/Drugs%20Rules%2C%201945.pdf</x:v>
      </x:c>
      <x:c r="I107" s="33" t="str">
        <x:v>P-2</x:v>
      </x:c>
      <x:c r="J107" s="33" t="str">
        <x:v>2026-08-20</x:v>
      </x:c>
      <x:c r="K107" s="33" t="str">
        <x:v>Existing ID preserved; downstream traceability remediated.</x:v>
      </x:c>
    </x:row>
    <x:row r="108">
      <x:c r="A108" s="33" t="str">
        <x:v>COMP113</x:v>
      </x:c>
      <x:c r="B108" s="33" t="str">
        <x:v>Compliance Requirement Master</x:v>
      </x:c>
      <x:c r="C108" s="33" t="str">
        <x:v>Provision ID=PROV113; Compliance Area ID=CA015; Compliance Requirement=Verify the authenticity and completeness of prescriptions before dispensing Schedule H medicines.; Compliance Objective=; Applicability=Mandatory; Frequency=Continuous; Due Timeline=Before dispensing; Responsible Person=Registered Pharmacist; Non-Compliance Consequence=Dispensing violations; Priority=; Active=Yes; Remarks=Prescription validation</x:v>
      </x:c>
      <x:c r="D108" s="33" t="str">
        <x:v>Provision ID=PROV113; Compliance Area ID=CA002; Compliance Requirement=Furnish documentary evidence of ownership/occupation, firm constitution or other relevant licence facts when demanded by the licensing authority.; Compliance Objective=Accurate implementation of the cited Drugs Rules control.; Applicability=Mandatory; Frequency=Event Based; Due Timeline=Within the authority's demand; Responsible Person=Pharmacy Owner; Non-Compliance Consequence=Refusal, suspension or enforcement action; Priority=High; Active=Yes; Remarks=P-2 authoritative normalization; exact rule/schedule/form basis recorded.</x:v>
      </x:c>
      <x:c r="E108" s="33" t="str">
        <x:v>CORRECT</x:v>
      </x:c>
      <x:c r="F108" s="33" t="str">
        <x:v>Replace generic or legally inaccurate compliance wording with exact rule-level duty.</x:v>
      </x:c>
      <x:c r="G108" s="33" t="str">
        <x:v>CDSCO official Drugs Rules / Gazette</x:v>
      </x:c>
      <x:c r="H108" s="33" t="str">
        <x:v>https://cdsco.gov.in/opencms/resources/UploadCDSCOWeb/2022/drug_rules/Drugs%20Rules%2C%201945.pdf</x:v>
      </x:c>
      <x:c r="I108" s="33" t="str">
        <x:v>P-2</x:v>
      </x:c>
      <x:c r="J108" s="33" t="str">
        <x:v>2026-08-20</x:v>
      </x:c>
      <x:c r="K108" s="33" t="str">
        <x:v>Existing ID preserved; downstream traceability remediated.</x:v>
      </x:c>
    </x:row>
    <x:row r="109">
      <x:c r="A109" s="33" t="str">
        <x:v>COMP114</x:v>
      </x:c>
      <x:c r="B109" s="33" t="str">
        <x:v>Compliance Requirement Master</x:v>
      </x:c>
      <x:c r="C109" s="33" t="str">
        <x:v>Provision ID=PROV114; Compliance Area ID=CA017; Compliance Requirement=Maintain Schedule H1 register accurately for every applicable transaction.; Compliance Objective=; Applicability=Mandatory; Frequency=Continuous; Due Timeline=At every sale; Responsible Person=Registered Pharmacist; Non-Compliance Consequence=Inspection observations; Priority=; Active=Yes; Remarks=Register maintenance</x:v>
      </x:c>
      <x:c r="D109" s="33" t="str">
        <x:v>Provision ID=PROV114; Compliance Area ID=CA019; Compliance Requirement=Record each Schedule H1 supply in a separate register with prescriber, patient, drug and quantity details; retain for three years and keep open for inspection.; Compliance Objective=Accurate implementation of the cited Drugs Rules control.; Applicability=Mandatory; Frequency=Continuous; Due Timeline=At each H1 supply; retain three years; Responsible Person=Registered Pharmacist; Non-Compliance Consequence=Inspection finding and licence action; Priority=Critical; Active=Yes; Remarks=P-2 authoritative normalization; exact rule/schedule/form basis recorded.</x:v>
      </x:c>
      <x:c r="E109" s="33" t="str">
        <x:v>CORRECT</x:v>
      </x:c>
      <x:c r="F109" s="33" t="str">
        <x:v>Replace generic or legally inaccurate compliance wording with exact rule-level duty.</x:v>
      </x:c>
      <x:c r="G109" s="33" t="str">
        <x:v>CDSCO official Drugs Rules / Gazette</x:v>
      </x:c>
      <x:c r="H109" s="33" t="str">
        <x:v>https://cdsco.gov.in/opencms/resources/UploadCDSCOWeb/2022/drug_rules/Drugs%20Rules%2C%201945.pdf</x:v>
      </x:c>
      <x:c r="I109" s="33" t="str">
        <x:v>P-2</x:v>
      </x:c>
      <x:c r="J109" s="33" t="str">
        <x:v>2026-08-20</x:v>
      </x:c>
      <x:c r="K109" s="33" t="str">
        <x:v>Existing ID preserved; downstream traceability remediated.</x:v>
      </x:c>
    </x:row>
    <x:row r="110">
      <x:c r="A110" s="33" t="str">
        <x:v>COMP115</x:v>
      </x:c>
      <x:c r="B110" s="33" t="str">
        <x:v>Compliance Requirement Master</x:v>
      </x:c>
      <x:c r="C110" s="33" t="str">
        <x:v>Provision ID=PROV115; Compliance Area ID=CA019; Compliance Requirement=Preserve Schedule H1 prescriptions for the statutory retention period.; Compliance Objective=; Applicability=Mandatory; Frequency=Continuous; Due Timeline=Throughout retention period; Responsible Person=Registered Pharmacist; Non-Compliance Consequence=Regulatory action; Priority=; Active=Yes; Remarks=Record retention</x:v>
      </x:c>
      <x:c r="D110" s="33" t="str">
        <x:v>Provision ID=PROV115; Compliance Area ID=CA020; Compliance Requirement=Preserve carbon copies of wholesale cash or credit memos for three years from the date of sale.; Compliance Objective=Accurate implementation of the cited Drugs Rules control.; Applicability=Conditional; Frequency=Continuous; Due Timeline=Three years from each wholesale sale; Responsible Person=Competent Person; Non-Compliance Consequence=Wholesale recordkeeping breach; Priority=High; Active=Yes; Remarks=P-2 authoritative normalization; exact rule/schedule/form basis recorded.</x:v>
      </x:c>
      <x:c r="E110" s="33" t="str">
        <x:v>CORRECT</x:v>
      </x:c>
      <x:c r="F110" s="33" t="str">
        <x:v>Replace generic or legally inaccurate compliance wording with exact rule-level duty.</x:v>
      </x:c>
      <x:c r="G110" s="33" t="str">
        <x:v>CDSCO official Drugs Rules / Gazette</x:v>
      </x:c>
      <x:c r="H110" s="33" t="str">
        <x:v>https://cdsco.gov.in/opencms/resources/UploadCDSCOWeb/2022/drug_rules/Drugs%20Rules%2C%201945.pdf</x:v>
      </x:c>
      <x:c r="I110" s="33" t="str">
        <x:v>P-2</x:v>
      </x:c>
      <x:c r="J110" s="33" t="str">
        <x:v>2026-08-20</x:v>
      </x:c>
      <x:c r="K110" s="33" t="str">
        <x:v>Existing ID preserved; downstream traceability remediated.</x:v>
      </x:c>
    </x:row>
    <x:row r="111">
      <x:c r="A111" s="33" t="str">
        <x:v>COMP116</x:v>
      </x:c>
      <x:c r="B111" s="33" t="str">
        <x:v>Compliance Requirement Master</x:v>
      </x:c>
      <x:c r="C111" s="33" t="str">
        <x:v>Provision ID=PROV116; Compliance Area ID=CA017; Compliance Requirement=Periodically review Schedule H1 medicines to detect unusual dispensing patterns.; Compliance Objective=; Applicability=Conditional; Frequency=Monthly; Due Timeline=End of each month; Responsible Person=Pharmacy Manager; Non-Compliance Consequence=Internal audit observations; Priority=; Active=Yes; Remarks=Monitoring control</x:v>
      </x:c>
      <x:c r="D111" s="33" t="str">
        <x:v>Provision ID=PROV116; Compliance Area ID=CA012; Compliance Requirement=Perform a documented risk-based review of Schedule H1/X dispensing and inventory movements to identify unusual patterns; this is an internal best-practice control, not a statutory monthly register duty.; Compliance Objective=Accurate implementation of the cited Drugs Rules control.; Applicability=Optional; Frequency=Monthly; Due Timeline=Internal control cycle; Responsible Person=Pharmacy Manager; Non-Compliance Consequence=Diversion or inventory anomalies may remain undetected; Priority=Medium; Active=Yes; Remarks=P-2 authoritative normalization; exact rule/schedule/form basis recorded.</x:v>
      </x:c>
      <x:c r="E111" s="33" t="str">
        <x:v>CORRECT</x:v>
      </x:c>
      <x:c r="F111" s="33" t="str">
        <x:v>Replace generic or legally inaccurate compliance wording with exact rule-level duty.</x:v>
      </x:c>
      <x:c r="G111" s="33" t="str">
        <x:v>CDSCO official Drugs Rules / Gazette</x:v>
      </x:c>
      <x:c r="H111" s="33" t="str">
        <x:v>https://cdsco.gov.in/opencms/resources/UploadCDSCOWeb/2022/drug_rules/Drugs%20Rules%2C%201945.pdf</x:v>
      </x:c>
      <x:c r="I111" s="33" t="str">
        <x:v>P-2</x:v>
      </x:c>
      <x:c r="J111" s="33" t="str">
        <x:v>2026-08-20</x:v>
      </x:c>
      <x:c r="K111" s="33" t="str">
        <x:v>Existing ID preserved; downstream traceability remediated.</x:v>
      </x:c>
    </x:row>
    <x:row r="112">
      <x:c r="A112" s="33" t="str">
        <x:v>COMP117</x:v>
      </x:c>
      <x:c r="B112" s="33" t="str">
        <x:v>Compliance Requirement Master</x:v>
      </x:c>
      <x:c r="C112" s="33" t="str">
        <x:v>Provision ID=PROV117; Compliance Area ID=CA027; Compliance Requirement=Store Schedule X medicines in secure locked storage with restricted access.; Compliance Objective=; Applicability=Conditional; Frequency=Continuous; Due Timeline=Throughout storage; Responsible Person=Registered Pharmacist; Non-Compliance Consequence=Serious regulatory action; Priority=; Active=Yes; Remarks=Secure custody</x:v>
      </x:c>
      <x:c r="D112" s="33" t="str">
        <x:v>Provision ID=PROV117; Compliance Area ID=CA027; Compliance Requirement=Store Schedule X substances under lock and key in dedicated storage or in a separated area accessible only to responsible persons.; Compliance Objective=Accurate implementation of the cited Drugs Rules control.; Applicability=Conditional; Frequency=Continuous; Due Timeline=Throughout Schedule X storage; Responsible Person=Registered Pharmacist; Non-Compliance Consequence=Serious licence action and diversion risk; Priority=Critical; Active=Yes; Remarks=P-2 authoritative normalization; exact rule/schedule/form basis recorded.</x:v>
      </x:c>
      <x:c r="E112" s="33" t="str">
        <x:v>CORRECT</x:v>
      </x:c>
      <x:c r="F112" s="33" t="str">
        <x:v>Replace generic or legally inaccurate compliance wording with exact rule-level duty.</x:v>
      </x:c>
      <x:c r="G112" s="33" t="str">
        <x:v>CDSCO official Drugs Rules / Gazette</x:v>
      </x:c>
      <x:c r="H112" s="33" t="str">
        <x:v>https://cdsco.gov.in/opencms/resources/UploadCDSCOWeb/2022/drug_rules/Drugs%20Rules%2C%201945.pdf</x:v>
      </x:c>
      <x:c r="I112" s="33" t="str">
        <x:v>P-2</x:v>
      </x:c>
      <x:c r="J112" s="33" t="str">
        <x:v>2026-08-20</x:v>
      </x:c>
      <x:c r="K112" s="33" t="str">
        <x:v>Existing ID preserved; downstream traceability remediated.</x:v>
      </x:c>
    </x:row>
    <x:row r="113">
      <x:c r="A113" s="33" t="str">
        <x:v>COMP118</x:v>
      </x:c>
      <x:c r="B113" s="33" t="str">
        <x:v>Compliance Requirement Master</x:v>
      </x:c>
      <x:c r="C113" s="33" t="str">
        <x:v>Provision ID=PROV118; Compliance Area ID=CA028; Compliance Requirement=Maintain statutory purchase and sale registers for Schedule X medicines.; Compliance Objective=; Applicability=Conditional; Frequency=Continuous; Due Timeline=At every transaction; Responsible Person=Registered Pharmacist; Non-Compliance Consequence=Inspection observations; Priority=; Active=Yes; Remarks=Statutory register</x:v>
      </x:c>
      <x:c r="D113" s="33" t="str">
        <x:v>Provision ID=PROV118; Compliance Area ID=CA028; Compliance Requirement=Record Schedule X receipt and supply at the time of transaction in a bound, serially page-numbered, drug-wise register containing all particulars required by Rule 65(21).; Compliance Objective=Accurate implementation of the cited Drugs Rules control.; Applicability=Conditional; Frequency=Continuous; Due Timeline=At each Schedule X transaction; Responsible Person=Registered Pharmacist; Non-Compliance Consequence=Serious statutory-record breach; Priority=Critical; Active=Yes; Remarks=P-2 authoritative normalization; exact rule/schedule/form basis recorded.</x:v>
      </x:c>
      <x:c r="E113" s="33" t="str">
        <x:v>CORRECT</x:v>
      </x:c>
      <x:c r="F113" s="33" t="str">
        <x:v>Replace generic or legally inaccurate compliance wording with exact rule-level duty.</x:v>
      </x:c>
      <x:c r="G113" s="33" t="str">
        <x:v>CDSCO official Drugs Rules / Gazette</x:v>
      </x:c>
      <x:c r="H113" s="33" t="str">
        <x:v>https://cdsco.gov.in/opencms/resources/UploadCDSCOWeb/2022/drug_rules/Drugs%20Rules%2C%201945.pdf</x:v>
      </x:c>
      <x:c r="I113" s="33" t="str">
        <x:v>P-2</x:v>
      </x:c>
      <x:c r="J113" s="33" t="str">
        <x:v>2026-08-20</x:v>
      </x:c>
      <x:c r="K113" s="33" t="str">
        <x:v>Existing ID preserved; downstream traceability remediated.</x:v>
      </x:c>
    </x:row>
    <x:row r="114">
      <x:c r="A114" s="33" t="str">
        <x:v>COMP119</x:v>
      </x:c>
      <x:c r="B114" s="33" t="str">
        <x:v>Compliance Requirement Master</x:v>
      </x:c>
      <x:c r="C114" s="33" t="str">
        <x:v>Provision ID=PROV119; Compliance Area ID=CA019; Compliance Requirement=Preserve Schedule X prescriptions and supporting records for the prescribed period.; Compliance Objective=; Applicability=Conditional; Frequency=Continuous; Due Timeline=Throughout retention period; Responsible Person=Registered Pharmacist; Non-Compliance Consequence=Regulatory penalties; Priority=; Active=Yes; Remarks=Record preservation</x:v>
      </x:c>
      <x:c r="D114" s="33" t="str">
        <x:v>Provision ID=PROV119; Compliance Area ID=CA015; Compliance Requirement=Before dispensing Schedule H/H1/X, verify the prescription is written, signed and dated, identifies the patient, amount and dose, follows repeat directions, is seller-annotated, and is not substituted.; Compliance Objective=Accurate implementation of the cited Drugs Rules control.; Applicability=Mandatory; Frequency=Continuous; Due Timeline=Before and at dispensing; Responsible Person=Registered Pharmacist; Non-Compliance Consequence=Prescription-control breach and patient-safety risk; Priority=Critical; Active=Yes; Remarks=P-2 authoritative normalization; exact rule/schedule/form basis recorded.</x:v>
      </x:c>
      <x:c r="E114" s="33" t="str">
        <x:v>CORRECT</x:v>
      </x:c>
      <x:c r="F114" s="33" t="str">
        <x:v>Replace generic or legally inaccurate compliance wording with exact rule-level duty.</x:v>
      </x:c>
      <x:c r="G114" s="33" t="str">
        <x:v>CDSCO official Drugs Rules / Gazette</x:v>
      </x:c>
      <x:c r="H114" s="33" t="str">
        <x:v>https://cdsco.gov.in/opencms/resources/UploadCDSCOWeb/2022/drug_rules/Drugs%20Rules%2C%201945.pdf</x:v>
      </x:c>
      <x:c r="I114" s="33" t="str">
        <x:v>P-2</x:v>
      </x:c>
      <x:c r="J114" s="33" t="str">
        <x:v>2026-08-20</x:v>
      </x:c>
      <x:c r="K114" s="33" t="str">
        <x:v>Existing ID preserved; downstream traceability remediated.</x:v>
      </x:c>
    </x:row>
    <x:row r="115">
      <x:c r="A115" s="33" t="str">
        <x:v>PPCM020</x:v>
      </x:c>
      <x:c r="B115" s="33" t="str">
        <x:v>Provision_ComplianceArea_Map</x:v>
      </x:c>
      <x:c r="C115" s="33" t="str">
        <x:v>Active=Yes; Remarks=Display of licence and pharmacist details.</x:v>
      </x:c>
      <x:c r="D115" s="33" t="str">
        <x:v>Active=No; Remarks=P-2 retired: display control moved to licence-form conditions and PROV282.</x:v>
      </x:c>
      <x:c r="E115" s="33" t="str">
        <x:v>CORRECT</x:v>
      </x:c>
      <x:c r="F115" s="33" t="str">
        <x:v>Align mapping to the normalized provision.</x:v>
      </x:c>
      <x:c r="G115" s="33" t="str">
        <x:v>CDSCO official Drugs Rules / Gazette</x:v>
      </x:c>
      <x:c r="H115" s="33" t="str">
        <x:v>https://cdsco.gov.in/opencms/resources/UploadCDSCOWeb/2022/drug_rules/Drugs%20Rules%2C%201945.pdf</x:v>
      </x:c>
      <x:c r="I115" s="33" t="str">
        <x:v>P-2</x:v>
      </x:c>
      <x:c r="J115" s="33" t="str">
        <x:v>2026-08-20</x:v>
      </x:c>
      <x:c r="K115" s="33" t="str">
        <x:v>Existing ID preserved; downstream traceability remediated.</x:v>
      </x:c>
    </x:row>
    <x:row r="116">
      <x:c r="A116" s="33" t="str">
        <x:v>PPCM021</x:v>
      </x:c>
      <x:c r="B116" s="33" t="str">
        <x:v>Provision_ComplianceArea_Map</x:v>
      </x:c>
      <x:c r="C116" s="33" t="str">
        <x:v>Compliance Area ID=CA002; Remarks=Additional licence conditions.</x:v>
      </x:c>
      <x:c r="D116" s="33" t="str">
        <x:v>Compliance Area ID=CA003; Remarks=Registered pharmacist supervision under Rule 65(1)-(2).</x:v>
      </x:c>
      <x:c r="E116" s="33" t="str">
        <x:v>CORRECT</x:v>
      </x:c>
      <x:c r="F116" s="33" t="str">
        <x:v>Align mapping to the normalized provision.</x:v>
      </x:c>
      <x:c r="G116" s="33" t="str">
        <x:v>CDSCO official Drugs Rules / Gazette</x:v>
      </x:c>
      <x:c r="H116" s="33" t="str">
        <x:v>https://cdsco.gov.in/opencms/resources/UploadCDSCOWeb/2022/drug_rules/Drugs%20Rules%2C%201945.pdf</x:v>
      </x:c>
      <x:c r="I116" s="33" t="str">
        <x:v>P-2</x:v>
      </x:c>
      <x:c r="J116" s="33" t="str">
        <x:v>2026-08-20</x:v>
      </x:c>
      <x:c r="K116" s="33" t="str">
        <x:v>Existing ID preserved; downstream traceability remediated.</x:v>
      </x:c>
    </x:row>
    <x:row r="117">
      <x:c r="A117" s="33" t="str">
        <x:v>PPCM022</x:v>
      </x:c>
      <x:c r="B117" s="33" t="str">
        <x:v>Provision_ComplianceArea_Map</x:v>
      </x:c>
      <x:c r="C117" s="33" t="str">
        <x:v>Compliance Area ID=CA063; Remarks=Display of licence certificate.</x:v>
      </x:c>
      <x:c r="D117" s="33" t="str">
        <x:v>Compliance Area ID=CA019; Remarks=Rule 65 prescription/retail/wholesale records.</x:v>
      </x:c>
      <x:c r="E117" s="33" t="str">
        <x:v>CORRECT</x:v>
      </x:c>
      <x:c r="F117" s="33" t="str">
        <x:v>Align mapping to the normalized provision.</x:v>
      </x:c>
      <x:c r="G117" s="33" t="str">
        <x:v>CDSCO official Drugs Rules / Gazette</x:v>
      </x:c>
      <x:c r="H117" s="33" t="str">
        <x:v>https://cdsco.gov.in/opencms/resources/UploadCDSCOWeb/2022/drug_rules/Drugs%20Rules%2C%201945.pdf</x:v>
      </x:c>
      <x:c r="I117" s="33" t="str">
        <x:v>P-2</x:v>
      </x:c>
      <x:c r="J117" s="33" t="str">
        <x:v>2026-08-20</x:v>
      </x:c>
      <x:c r="K117" s="33" t="str">
        <x:v>Existing ID preserved; downstream traceability remediated.</x:v>
      </x:c>
    </x:row>
    <x:row r="118">
      <x:c r="A118" s="33" t="str">
        <x:v>PPCM023</x:v>
      </x:c>
      <x:c r="B118" s="33" t="str">
        <x:v>Provision_ComplianceArea_Map</x:v>
      </x:c>
      <x:c r="C118" s="33" t="str">
        <x:v>Compliance Area ID=CA080; Remarks=Suspension and cancellation of licence.</x:v>
      </x:c>
      <x:c r="D118" s="33" t="str">
        <x:v>Compliance Area ID=CA020; Remarks=Rule 65 production and retention of records.</x:v>
      </x:c>
      <x:c r="E118" s="33" t="str">
        <x:v>CORRECT</x:v>
      </x:c>
      <x:c r="F118" s="33" t="str">
        <x:v>Align mapping to the normalized provision.</x:v>
      </x:c>
      <x:c r="G118" s="33" t="str">
        <x:v>CDSCO official Drugs Rules / Gazette</x:v>
      </x:c>
      <x:c r="H118" s="33" t="str">
        <x:v>https://cdsco.gov.in/opencms/resources/UploadCDSCOWeb/2022/drug_rules/Drugs%20Rules%2C%201945.pdf</x:v>
      </x:c>
      <x:c r="I118" s="33" t="str">
        <x:v>P-2</x:v>
      </x:c>
      <x:c r="J118" s="33" t="str">
        <x:v>2026-08-20</x:v>
      </x:c>
      <x:c r="K118" s="33" t="str">
        <x:v>Existing ID preserved; downstream traceability remediated.</x:v>
      </x:c>
    </x:row>
    <x:row r="119">
      <x:c r="A119" s="33" t="str">
        <x:v>PPCM026</x:v>
      </x:c>
      <x:c r="B119" s="33" t="str">
        <x:v>Provision_ComplianceArea_Map</x:v>
      </x:c>
      <x:c r="C119" s="33" t="str">
        <x:v>Compliance Area ID=CA064; Remarks=Product naming and promotional compliance.</x:v>
      </x:c>
      <x:c r="D119" s="33" t="str">
        <x:v>Compliance Area ID=CA067; Remarks=Rule 95 prohibition on sale unless labelled.</x:v>
      </x:c>
      <x:c r="E119" s="33" t="str">
        <x:v>CORRECT</x:v>
      </x:c>
      <x:c r="F119" s="33" t="str">
        <x:v>Align mapping to the normalized provision.</x:v>
      </x:c>
      <x:c r="G119" s="33" t="str">
        <x:v>CDSCO official Drugs Rules / Gazette</x:v>
      </x:c>
      <x:c r="H119" s="33" t="str">
        <x:v>https://cdsco.gov.in/opencms/resources/UploadCDSCOWeb/2022/drug_rules/Drugs%20Rules%2C%201945.pdf</x:v>
      </x:c>
      <x:c r="I119" s="33" t="str">
        <x:v>P-2</x:v>
      </x:c>
      <x:c r="J119" s="33" t="str">
        <x:v>2026-08-20</x:v>
      </x:c>
      <x:c r="K119" s="33" t="str">
        <x:v>Existing ID preserved; downstream traceability remediated.</x:v>
      </x:c>
    </x:row>
    <x:row r="120">
      <x:c r="A120" s="33" t="str">
        <x:v>PPCM034</x:v>
      </x:c>
      <x:c r="B120" s="33" t="str">
        <x:v>Provision_ComplianceArea_Map</x:v>
      </x:c>
      <x:c r="C120" s="33" t="str">
        <x:v>Compliance Area ID=CA015; Remarks=Schedule K exemptions.</x:v>
      </x:c>
      <x:c r="D120" s="33" t="str">
        <x:v>Compliance Area ID=CA002; Remarks=Schedule K exemption applicability control.</x:v>
      </x:c>
      <x:c r="E120" s="33" t="str">
        <x:v>CORRECT</x:v>
      </x:c>
      <x:c r="F120" s="33" t="str">
        <x:v>Align mapping to the normalized provision.</x:v>
      </x:c>
      <x:c r="G120" s="33" t="str">
        <x:v>CDSCO official Drugs Rules / Gazette</x:v>
      </x:c>
      <x:c r="H120" s="33" t="str">
        <x:v>https://cdsco.gov.in/opencms/resources/UploadCDSCOWeb/2022/drug_rules/Drugs%20Rules%2C%201945.pdf</x:v>
      </x:c>
      <x:c r="I120" s="33" t="str">
        <x:v>P-2</x:v>
      </x:c>
      <x:c r="J120" s="33" t="str">
        <x:v>2026-08-20</x:v>
      </x:c>
      <x:c r="K120" s="33" t="str">
        <x:v>Existing ID preserved; downstream traceability remediated.</x:v>
      </x:c>
    </x:row>
    <x:row r="121">
      <x:c r="A121" s="33" t="str">
        <x:v>PROV276</x:v>
      </x:c>
      <x:c r="B121" s="33" t="str">
        <x:v>Provision Master</x:v>
      </x:c>
      <x:c r="C121" s="33" t="str">
        <x:v>Not present</x:v>
      </x:c>
      <x:c r="D121" s="33" t="str">
        <x:v>Provision ID=PROV276; Law ID=LAW002; Sub Sector ID=; Provision Category=Statutory; Statutory Reference=Rule 65(16); Form 35; Provision Name=Inspection Book; Provision Description=Maintain the Form 35 Inspection Book for an Inspector's impressions and defects.; Origin=CORE; Active=Yes; Remarks=P-2 ADD — missing operational control.</x:v>
      </x:c>
      <x:c r="E121" s="33" t="str">
        <x:v>ADD</x:v>
      </x:c>
      <x:c r="F121" s="33" t="str">
        <x:v>Add missing current Drugs Rules operational provision.</x:v>
      </x:c>
      <x:c r="G121" s="33" t="str">
        <x:v>CDSCO official Drugs Rules / Gazette</x:v>
      </x:c>
      <x:c r="H121" s="33" t="str">
        <x:v>https://cdsco.gov.in/opencms/resources/UploadCDSCOWeb/2022/drug_rules/Drugs%20Rules%2C%201945.pdf</x:v>
      </x:c>
      <x:c r="I121" s="33" t="str">
        <x:v>P-2</x:v>
      </x:c>
      <x:c r="J121" s="33" t="str">
        <x:v>2026-08-20</x:v>
      </x:c>
      <x:c r="K121" s="33" t="str">
        <x:v>New controlled P-2 chain node.</x:v>
      </x:c>
    </x:row>
    <x:row r="122">
      <x:c r="A122" s="33" t="str">
        <x:v>PROV277</x:v>
      </x:c>
      <x:c r="B122" s="33" t="str">
        <x:v>Provision Master</x:v>
      </x:c>
      <x:c r="C122" s="33" t="str">
        <x:v>Not present</x:v>
      </x:c>
      <x:c r="D122" s="33" t="str">
        <x:v>Provision ID=PROV277; Law ID=LAW002; Sub Sector ID=; Provision Category=Statutory; Statutory Reference=Rule 65(17); Provision Name=Expired or label-direction-violating stock; Provision Description=Do not sell expired/non-conforming stock; segregate pending return/disposal and mark cartons 'Not for sale'.; Origin=CORE; Active=Yes; Remarks=P-2 ADD — missing operational control.</x:v>
      </x:c>
      <x:c r="E122" s="33" t="str">
        <x:v>ADD</x:v>
      </x:c>
      <x:c r="F122" s="33" t="str">
        <x:v>Add missing current Drugs Rules operational provision.</x:v>
      </x:c>
      <x:c r="G122" s="33" t="str">
        <x:v>CDSCO official Drugs Rules / Gazette</x:v>
      </x:c>
      <x:c r="H122" s="33" t="str">
        <x:v>https://cdsco.gov.in/opencms/resources/UploadCDSCOWeb/2022/drug_rules/Drugs%20Rules%2C%201945.pdf</x:v>
      </x:c>
      <x:c r="I122" s="33" t="str">
        <x:v>P-2</x:v>
      </x:c>
      <x:c r="J122" s="33" t="str">
        <x:v>2026-08-20</x:v>
      </x:c>
      <x:c r="K122" s="33" t="str">
        <x:v>New controlled P-2 chain node.</x:v>
      </x:c>
    </x:row>
    <x:row r="123">
      <x:c r="A123" s="33" t="str">
        <x:v>PROV278</x:v>
      </x:c>
      <x:c r="B123" s="33" t="str">
        <x:v>Provision Master</x:v>
      </x:c>
      <x:c r="C123" s="33" t="str">
        <x:v>Not present</x:v>
      </x:c>
      <x:c r="D123" s="33" t="str">
        <x:v>Provision ID=PROV278; Law ID=LAW002; Sub Sector ID=; Provision Category=Statutory; Statutory Reference=Rule 65(18); Provision Name=Free samples and scheme-specific stock; Provision Description=Do not sell/stock prohibited free-sample or scheme-marked stock except within the express authorized exceptions and segregation records.; Origin=CORE; Active=Yes; Remarks=P-2 ADD — missing operational control.</x:v>
      </x:c>
      <x:c r="E123" s="33" t="str">
        <x:v>ADD</x:v>
      </x:c>
      <x:c r="F123" s="33" t="str">
        <x:v>Add missing current Drugs Rules operational provision.</x:v>
      </x:c>
      <x:c r="G123" s="33" t="str">
        <x:v>CDSCO official Drugs Rules / Gazette</x:v>
      </x:c>
      <x:c r="H123" s="33" t="str">
        <x:v>https://cdsco.gov.in/opencms/resources/UploadCDSCOWeb/2022/drug_rules/Drugs%20Rules%2C%201945.pdf</x:v>
      </x:c>
      <x:c r="I123" s="33" t="str">
        <x:v>P-2</x:v>
      </x:c>
      <x:c r="J123" s="33" t="str">
        <x:v>2026-08-20</x:v>
      </x:c>
      <x:c r="K123" s="33" t="str">
        <x:v>New controlled P-2 chain node.</x:v>
      </x:c>
    </x:row>
    <x:row r="124">
      <x:c r="A124" s="33" t="str">
        <x:v>PROV279</x:v>
      </x:c>
      <x:c r="B124" s="33" t="str">
        <x:v>Provision Master</x:v>
      </x:c>
      <x:c r="C124" s="33" t="str">
        <x:v>Not present</x:v>
      </x:c>
      <x:c r="D124" s="33" t="str">
        <x:v>Provision ID=PROV279; Law ID=LAW002; Sub Sector ID=SUB001; Provision Category=Statutory; Statutory Reference=Rule 65(19); Provision Name=Retail supply from a container other than the manufacturer's pack; Provision Description=Such supply requires a registered pharmacist's direct supervision and a wrapper label stating drug, quantity and dealer name/address.; Origin=CORE; Active=Yes; Remarks=P-2 ADD — missing operational control.</x:v>
      </x:c>
      <x:c r="E124" s="33" t="str">
        <x:v>ADD</x:v>
      </x:c>
      <x:c r="F124" s="33" t="str">
        <x:v>Add missing current Drugs Rules operational provision.</x:v>
      </x:c>
      <x:c r="G124" s="33" t="str">
        <x:v>CDSCO official Drugs Rules / Gazette</x:v>
      </x:c>
      <x:c r="H124" s="33" t="str">
        <x:v>https://cdsco.gov.in/opencms/resources/UploadCDSCOWeb/2022/drug_rules/Drugs%20Rules%2C%201945.pdf</x:v>
      </x:c>
      <x:c r="I124" s="33" t="str">
        <x:v>P-2</x:v>
      </x:c>
      <x:c r="J124" s="33" t="str">
        <x:v>2026-08-20</x:v>
      </x:c>
      <x:c r="K124" s="33" t="str">
        <x:v>New controlled P-2 chain node.</x:v>
      </x:c>
    </x:row>
    <x:row r="125">
      <x:c r="A125" s="33" t="str">
        <x:v>PROV280</x:v>
      </x:c>
      <x:c r="B125" s="33" t="str">
        <x:v>Provision Master</x:v>
      </x:c>
      <x:c r="C125" s="33" t="str">
        <x:v>Not present</x:v>
      </x:c>
      <x:c r="D125" s="33" t="str">
        <x:v>Provision ID=PROV280; Law ID=LAW002; Sub Sector ID=SUB007; Provision Category=Statutory; Statutory Reference=Rule 65(20); Provision Name=Veterinary medicines labelling and segregation; Provision Description=Label 'Not for human use—for treatment of animals only' and store in dedicated or segregated restricted space.; Origin=CORE; Active=Yes; Remarks=P-2 ADD — conditional specialized control.</x:v>
      </x:c>
      <x:c r="E125" s="33" t="str">
        <x:v>ADD</x:v>
      </x:c>
      <x:c r="F125" s="33" t="str">
        <x:v>Add missing current Drugs Rules operational provision.</x:v>
      </x:c>
      <x:c r="G125" s="33" t="str">
        <x:v>CDSCO official Drugs Rules / Gazette</x:v>
      </x:c>
      <x:c r="H125" s="33" t="str">
        <x:v>https://cdsco.gov.in/opencms/resources/UploadCDSCOWeb/2022/drug_rules/Drugs%20Rules%2C%201945.pdf</x:v>
      </x:c>
      <x:c r="I125" s="33" t="str">
        <x:v>P-2</x:v>
      </x:c>
      <x:c r="J125" s="33" t="str">
        <x:v>2026-08-20</x:v>
      </x:c>
      <x:c r="K125" s="33" t="str">
        <x:v>New controlled P-2 chain node.</x:v>
      </x:c>
    </x:row>
    <x:row r="126">
      <x:c r="A126" s="33" t="str">
        <x:v>PROV281</x:v>
      </x:c>
      <x:c r="B126" s="33" t="str">
        <x:v>Provision Master</x:v>
      </x:c>
      <x:c r="C126" s="33" t="str">
        <x:v>Not present</x:v>
      </x:c>
      <x:c r="D126" s="33" t="str">
        <x:v>Provision ID=PROV281; Law ID=LAW002; Sub Sector ID=; Provision Category=Statutory; Statutory Reference=Rule 65B; Provision Name=Inspection for verification of compliance; Provision Description=Licensed premises are subject to inspection at least once in three years or as needed under a risk-based approach.; Origin=CORE; Active=Yes; Remarks=P-2 ADD — inspection readiness control.</x:v>
      </x:c>
      <x:c r="E126" s="33" t="str">
        <x:v>ADD</x:v>
      </x:c>
      <x:c r="F126" s="33" t="str">
        <x:v>Add missing current Drugs Rules operational provision.</x:v>
      </x:c>
      <x:c r="G126" s="33" t="str">
        <x:v>CDSCO official Drugs Rules / Gazette</x:v>
      </x:c>
      <x:c r="H126" s="33" t="str">
        <x:v>https://cdsco.gov.in/opencms/resources/UploadCDSCOWeb/2022/drug_rules/Drugs%20Rules%2C%201945.pdf</x:v>
      </x:c>
      <x:c r="I126" s="33" t="str">
        <x:v>P-2</x:v>
      </x:c>
      <x:c r="J126" s="33" t="str">
        <x:v>2026-08-20</x:v>
      </x:c>
      <x:c r="K126" s="33" t="str">
        <x:v>New controlled P-2 chain node.</x:v>
      </x:c>
    </x:row>
    <x:row r="127">
      <x:c r="A127" s="33" t="str">
        <x:v>PROV282</x:v>
      </x:c>
      <x:c r="B127" s="33" t="str">
        <x:v>Provision Master</x:v>
      </x:c>
      <x:c r="C127" s="33" t="str">
        <x:v>Not present</x:v>
      </x:c>
      <x:c r="D127" s="33" t="str">
        <x:v>Provision ID=PROV282; Law ID=LAW002; Sub Sector ID=; Provision Category=Statutory; Statutory Reference=Conditions in Forms 20, 20A, 20B, 20F, 20G, 21, 21A and 21B; Provision Name=Licence display and material licence-condition changes; Provision Description=Display the licence and comply with form-specific duties for qualified/competent staff, authorized drugs and constitution changes.; Origin=CORE; Active=Yes; Remarks=P-2 ADD — licence-form conditions are not Rule 67.</x:v>
      </x:c>
      <x:c r="E127" s="33" t="str">
        <x:v>ADD</x:v>
      </x:c>
      <x:c r="F127" s="33" t="str">
        <x:v>Add missing current Drugs Rules operational provision.</x:v>
      </x:c>
      <x:c r="G127" s="33" t="str">
        <x:v>CDSCO official Drugs Rules / Gazette</x:v>
      </x:c>
      <x:c r="H127" s="33" t="str">
        <x:v>https://cdsco.gov.in/opencms/resources/UploadCDSCOWeb/2022/drug_rules/Drugs%20Rules%2C%201945.pdf</x:v>
      </x:c>
      <x:c r="I127" s="33" t="str">
        <x:v>P-2</x:v>
      </x:c>
      <x:c r="J127" s="33" t="str">
        <x:v>2026-08-20</x:v>
      </x:c>
      <x:c r="K127" s="33" t="str">
        <x:v>New controlled P-2 chain node.</x:v>
      </x:c>
    </x:row>
    <x:row r="128">
      <x:c r="A128" s="33" t="str">
        <x:v>PROV283</x:v>
      </x:c>
      <x:c r="B128" s="33" t="str">
        <x:v>Provision Master</x:v>
      </x:c>
      <x:c r="C128" s="33" t="str">
        <x:v>Not present</x:v>
      </x:c>
      <x:c r="D128" s="33" t="str">
        <x:v>Provision ID=PROV283; Law ID=LAW002; Sub Sector ID=; Provision Category=Statutory; Statutory Reference=Rules 66, 66A and 66B; Provision Name=Suspension, cancellation, disposal and debarment; Provision Description=Respond to licence enforcement, dispose of stock only with permission after cancellation, and do not submit misleading/fake/fabricated licence material.; Origin=CORE; Active=Yes; Remarks=P-2 ADD — includes G.S.R. 706(E), 30-07-2026.</x:v>
      </x:c>
      <x:c r="E128" s="33" t="str">
        <x:v>ADD</x:v>
      </x:c>
      <x:c r="F128" s="33" t="str">
        <x:v>Add missing current Drugs Rules operational provision.</x:v>
      </x:c>
      <x:c r="G128" s="33" t="str">
        <x:v>CDSCO official Drugs Rules / Gazette</x:v>
      </x:c>
      <x:c r="H128" s="33" t="str">
        <x:v>https://cdsco.gov.in/opencms/resources/UploadCDSCOWeb/2022/drug_rules/Drugs%20Rules%2C%201945.pdf</x:v>
      </x:c>
      <x:c r="I128" s="33" t="str">
        <x:v>P-2</x:v>
      </x:c>
      <x:c r="J128" s="33" t="str">
        <x:v>2026-08-20</x:v>
      </x:c>
      <x:c r="K128" s="33" t="str">
        <x:v>New controlled P-2 chain node.</x:v>
      </x:c>
    </x:row>
    <x:row r="129">
      <x:c r="A129" s="33" t="str">
        <x:v>PROV284</x:v>
      </x:c>
      <x:c r="B129" s="33" t="str">
        <x:v>Provision Master</x:v>
      </x:c>
      <x:c r="C129" s="33" t="str">
        <x:v>Not present</x:v>
      </x:c>
      <x:c r="D129" s="33" t="str">
        <x:v>Provision ID=PROV284; Law ID=LAW002; Sub Sector ID=SUB001; Provision Category=Statutory; Statutory Reference=Rules 62A and 62B; Forms 20A and 21A; Provision Name=Restricted retail sale licences; Provision Description=Restricted licences are conditional, discretionary and limited to drugs not requiring qualified-person supervision.; Origin=CORE; Active=Yes; Remarks=P-2 ADD — conditional licence class.</x:v>
      </x:c>
      <x:c r="E129" s="33" t="str">
        <x:v>ADD</x:v>
      </x:c>
      <x:c r="F129" s="33" t="str">
        <x:v>Add missing current Drugs Rules operational provision.</x:v>
      </x:c>
      <x:c r="G129" s="33" t="str">
        <x:v>CDSCO official Drugs Rules / Gazette</x:v>
      </x:c>
      <x:c r="H129" s="33" t="str">
        <x:v>https://cdsco.gov.in/opencms/resources/UploadCDSCOWeb/2022/drug_rules/Drugs%20Rules%2C%201945.pdf</x:v>
      </x:c>
      <x:c r="I129" s="33" t="str">
        <x:v>P-2</x:v>
      </x:c>
      <x:c r="J129" s="33" t="str">
        <x:v>2026-08-20</x:v>
      </x:c>
      <x:c r="K129" s="33" t="str">
        <x:v>New controlled P-2 chain node.</x:v>
      </x:c>
    </x:row>
    <x:row r="130">
      <x:c r="A130" s="33" t="str">
        <x:v>PROV285</x:v>
      </x:c>
      <x:c r="B130" s="33" t="str">
        <x:v>Provision Master</x:v>
      </x:c>
      <x:c r="C130" s="33" t="str">
        <x:v>Not present</x:v>
      </x:c>
      <x:c r="D130" s="33" t="str">
        <x:v>Provision ID=PROV285; Law ID=LAW002; Sub Sector ID=SUB002; Provision Category=Statutory; Statutory Reference=Rules 62C and 62D; Forms 19AA, 20BB and 21BB; Provision Name=Wholesale sale/distribution from a motor vehicle; Provision Description=Use the prescribed application and vehicle licence forms where a covered wholesale/distribution vehicle activity exists.; Origin=CORE; Active=Yes; Remarks=P-2 ADD — conditional wholesale activity.</x:v>
      </x:c>
      <x:c r="E130" s="33" t="str">
        <x:v>ADD</x:v>
      </x:c>
      <x:c r="F130" s="33" t="str">
        <x:v>Add missing current Drugs Rules operational provision.</x:v>
      </x:c>
      <x:c r="G130" s="33" t="str">
        <x:v>CDSCO official Drugs Rules / Gazette</x:v>
      </x:c>
      <x:c r="H130" s="33" t="str">
        <x:v>https://cdsco.gov.in/opencms/resources/UploadCDSCOWeb/2022/drug_rules/Drugs%20Rules%2C%201945.pdf</x:v>
      </x:c>
      <x:c r="I130" s="33" t="str">
        <x:v>P-2</x:v>
      </x:c>
      <x:c r="J130" s="33" t="str">
        <x:v>2026-08-20</x:v>
      </x:c>
      <x:c r="K130" s="33" t="str">
        <x:v>New controlled P-2 chain node.</x:v>
      </x:c>
    </x:row>
    <x:row r="131">
      <x:c r="A131" s="33" t="str">
        <x:v>PROV286</x:v>
      </x:c>
      <x:c r="B131" s="33" t="str">
        <x:v>Provision Master</x:v>
      </x:c>
      <x:c r="C131" s="33" t="str">
        <x:v>Not present</x:v>
      </x:c>
      <x:c r="D131" s="33" t="str">
        <x:v>Provision ID=PROV286; Law ID=LAW002; Sub Sector ID=SUB008; Provision Category=Statutory; Statutory Reference=Rules 67A-67F; Forms 19B, 20C and 20D; Provision Name=Homoeopathic retail/wholesale sale licensing; Provision Description=Obtain the correct homeopathic sale licence for each place and maintain required premises and competent-person conditions.; Origin=CORE; Active=Yes; Remarks=P-2 ADD — approved Homeopathic Pharmacy sub-sector.</x:v>
      </x:c>
      <x:c r="E131" s="33" t="str">
        <x:v>ADD</x:v>
      </x:c>
      <x:c r="F131" s="33" t="str">
        <x:v>Add missing current Drugs Rules operational provision.</x:v>
      </x:c>
      <x:c r="G131" s="33" t="str">
        <x:v>CDSCO official Drugs Rules / Gazette</x:v>
      </x:c>
      <x:c r="H131" s="33" t="str">
        <x:v>https://cdsco.gov.in/opencms/resources/UploadCDSCOWeb/2022/drug_rules/Drugs%20Rules%2C%201945.pdf</x:v>
      </x:c>
      <x:c r="I131" s="33" t="str">
        <x:v>P-2</x:v>
      </x:c>
      <x:c r="J131" s="33" t="str">
        <x:v>2026-08-20</x:v>
      </x:c>
      <x:c r="K131" s="33" t="str">
        <x:v>New controlled P-2 chain node.</x:v>
      </x:c>
    </x:row>
    <x:row r="132">
      <x:c r="A132" s="33" t="str">
        <x:v>PROV287</x:v>
      </x:c>
      <x:c r="B132" s="33" t="str">
        <x:v>Provision Master</x:v>
      </x:c>
      <x:c r="C132" s="33" t="str">
        <x:v>Not present</x:v>
      </x:c>
      <x:c r="D132" s="33" t="str">
        <x:v>Provision ID=PROV287; Law ID=LAW002; Sub Sector ID=SUB008; Provision Category=Statutory; Statutory Reference=Rule 67G; Provision Name=Conditions of Homoeopathic sale licence; Provision Description=Maintain clean premises, qualified supervision/sealed-pack conditions, permit inspection and maintain alcohol-containing medicine purchase/sale records.; Origin=CORE; Active=Yes; Remarks=P-2 ADD — approved Homeopathic Pharmacy sub-sector.</x:v>
      </x:c>
      <x:c r="E132" s="33" t="str">
        <x:v>ADD</x:v>
      </x:c>
      <x:c r="F132" s="33" t="str">
        <x:v>Add missing current Drugs Rules operational provision.</x:v>
      </x:c>
      <x:c r="G132" s="33" t="str">
        <x:v>CDSCO official Drugs Rules / Gazette</x:v>
      </x:c>
      <x:c r="H132" s="33" t="str">
        <x:v>https://cdsco.gov.in/opencms/resources/UploadCDSCOWeb/2022/drug_rules/Drugs%20Rules%2C%201945.pdf</x:v>
      </x:c>
      <x:c r="I132" s="33" t="str">
        <x:v>P-2</x:v>
      </x:c>
      <x:c r="J132" s="33" t="str">
        <x:v>2026-08-20</x:v>
      </x:c>
      <x:c r="K132" s="33" t="str">
        <x:v>New controlled P-2 chain node.</x:v>
      </x:c>
    </x:row>
    <x:row r="133">
      <x:c r="A133" s="33" t="str">
        <x:v>PROV288</x:v>
      </x:c>
      <x:c r="B133" s="33" t="str">
        <x:v>Provision Master</x:v>
      </x:c>
      <x:c r="C133" s="33" t="str">
        <x:v>Not present</x:v>
      </x:c>
      <x:c r="D133" s="33" t="str">
        <x:v>Provision ID=PROV288; Law ID=LAW002; Sub Sector ID=SUB008; Provision Category=Statutory; Statutory Reference=Rule 67H; Provision Name=Cancellation and suspension of Homoeopathic sale licence; Provision Description=Comply with licence conditions and enforcement orders; preserve appeal documentation where used.; Origin=CORE; Active=Yes; Remarks=P-2 ADD — approved Homeopathic Pharmacy sub-sector.</x:v>
      </x:c>
      <x:c r="E133" s="33" t="str">
        <x:v>ADD</x:v>
      </x:c>
      <x:c r="F133" s="33" t="str">
        <x:v>Add missing current Drugs Rules operational provision.</x:v>
      </x:c>
      <x:c r="G133" s="33" t="str">
        <x:v>CDSCO official Drugs Rules / Gazette</x:v>
      </x:c>
      <x:c r="H133" s="33" t="str">
        <x:v>https://cdsco.gov.in/opencms/resources/UploadCDSCOWeb/2022/drug_rules/Drugs%20Rules%2C%201945.pdf</x:v>
      </x:c>
      <x:c r="I133" s="33" t="str">
        <x:v>P-2</x:v>
      </x:c>
      <x:c r="J133" s="33" t="str">
        <x:v>2026-08-20</x:v>
      </x:c>
      <x:c r="K133" s="33" t="str">
        <x:v>New controlled P-2 chain node.</x:v>
      </x:c>
    </x:row>
    <x:row r="134">
      <x:c r="A134" s="33" t="str">
        <x:v>PROV289</x:v>
      </x:c>
      <x:c r="B134" s="33" t="str">
        <x:v>Provision Master</x:v>
      </x:c>
      <x:c r="C134" s="33" t="str">
        <x:v>Not present</x:v>
      </x:c>
      <x:c r="D134" s="33" t="str">
        <x:v>Provision ID=PROV289; Law ID=LAW002; Sub Sector ID=SUB001; Provision Category=Statutory; Statutory Reference=Rule 64(1); Schedule N; Provision Name=Minimum equipment and pharmacy-premises standards; Provision Description=A pharmacy licensed in Form 20/21 must satisfy the applicable Schedule N entrance, premises, furniture/apparatus and equipment requirements.; Origin=CORE; Active=Yes; Remarks=P-2 ADD — Schedule N was missing from production controls.</x:v>
      </x:c>
      <x:c r="E134" s="33" t="str">
        <x:v>ADD</x:v>
      </x:c>
      <x:c r="F134" s="33" t="str">
        <x:v>Add missing current Drugs Rules operational provision.</x:v>
      </x:c>
      <x:c r="G134" s="33" t="str">
        <x:v>CDSCO official Drugs Rules / Gazette</x:v>
      </x:c>
      <x:c r="H134" s="33" t="str">
        <x:v>https://cdsco.gov.in/opencms/resources/UploadCDSCOWeb/2022/drug_rules/Drugs%20Rules%2C%201945.pdf</x:v>
      </x:c>
      <x:c r="I134" s="33" t="str">
        <x:v>P-2</x:v>
      </x:c>
      <x:c r="J134" s="33" t="str">
        <x:v>2026-08-20</x:v>
      </x:c>
      <x:c r="K134" s="33" t="str">
        <x:v>New controlled P-2 chain node.</x:v>
      </x:c>
    </x:row>
    <x:row r="135">
      <x:c r="A135" s="33" t="str">
        <x:v>PROV290</x:v>
      </x:c>
      <x:c r="B135" s="33" t="str">
        <x:v>Provision Master</x:v>
      </x:c>
      <x:c r="C135" s="33" t="str">
        <x:v>Not present</x:v>
      </x:c>
      <x:c r="D135" s="33" t="str">
        <x:v>Provision ID=PROV290; Law ID=LAW002; Sub Sector ID=SUB006; Provision Category=Statutory; Statutory Reference=Rule 65(9)(b); Provision Name=Signed institutional orders for Schedule H/H1/X supply; Provision Description=Supply to RMPs, hospitals, dispensaries and nursing homes only against signed written orders retained for two years.; Origin=CORE; Active=Yes; Remarks=P-2 ADD — institutional control.</x:v>
      </x:c>
      <x:c r="E135" s="33" t="str">
        <x:v>ADD</x:v>
      </x:c>
      <x:c r="F135" s="33" t="str">
        <x:v>Add missing current Drugs Rules operational provision.</x:v>
      </x:c>
      <x:c r="G135" s="33" t="str">
        <x:v>CDSCO official Drugs Rules / Gazette</x:v>
      </x:c>
      <x:c r="H135" s="33" t="str">
        <x:v>https://cdsco.gov.in/opencms/resources/UploadCDSCOWeb/2022/drug_rules/Drugs%20Rules%2C%201945.pdf</x:v>
      </x:c>
      <x:c r="I135" s="33" t="str">
        <x:v>P-2</x:v>
      </x:c>
      <x:c r="J135" s="33" t="str">
        <x:v>2026-08-20</x:v>
      </x:c>
      <x:c r="K135" s="33" t="str">
        <x:v>New controlled P-2 chain node.</x:v>
      </x:c>
    </x:row>
    <x:row r="136">
      <x:c r="A136" s="33" t="str">
        <x:v>COMP251</x:v>
      </x:c>
      <x:c r="B136" s="33" t="str">
        <x:v>Compliance Requirement Master</x:v>
      </x:c>
      <x:c r="C136" s="33" t="str">
        <x:v>Not present</x:v>
      </x:c>
      <x:c r="D136" s="33" t="str">
        <x:v>Compliance ID=COMP251; Provision ID=PROV276; Compliance Area ID=CA078; Compliance Requirement=Maintain the Inspection Book in Form 35 at the licensed premises and make it available for Inspector entries.; Compliance Objective=Enable statutory inspection documentation.; Applicability=Mandatory; Frequency=Continuous; Due Timeline=Throughout licence validity; Responsible Person=Pharmacy Manager; Non-Compliance Consequence=Inspection finding and licence action; Priority=High; Origin=CORE; Active=Yes; Remarks=P-2 ADD.</x:v>
      </x:c>
      <x:c r="E136" s="33" t="str">
        <x:v>ADD</x:v>
      </x:c>
      <x:c r="F136" s="33" t="str">
        <x:v>Add missing rule-level compliance requirement.</x:v>
      </x:c>
      <x:c r="G136" s="33" t="str">
        <x:v>CDSCO official Drugs Rules / Gazette</x:v>
      </x:c>
      <x:c r="H136" s="33" t="str">
        <x:v>https://cdsco.gov.in/opencms/resources/UploadCDSCOWeb/2022/drug_rules/Drugs%20Rules%2C%201945.pdf</x:v>
      </x:c>
      <x:c r="I136" s="33" t="str">
        <x:v>P-2</x:v>
      </x:c>
      <x:c r="J136" s="33" t="str">
        <x:v>2026-08-20</x:v>
      </x:c>
      <x:c r="K136" s="33" t="str">
        <x:v>New controlled P-2 chain node.</x:v>
      </x:c>
    </x:row>
    <x:row r="137">
      <x:c r="A137" s="33" t="str">
        <x:v>COMP252</x:v>
      </x:c>
      <x:c r="B137" s="33" t="str">
        <x:v>Compliance Requirement Master</x:v>
      </x:c>
      <x:c r="C137" s="33" t="str">
        <x:v>Not present</x:v>
      </x:c>
      <x:c r="D137" s="33" t="str">
        <x:v>Compliance ID=COMP252; Provision ID=PROV277; Compliance Area ID=CA013; Compliance Requirement=Do not sell expired or label-direction-violating drugs; segregate pending withdrawal/return/disposal and mark the cartons 'Not for sale'.; Compliance Objective=Prevent unlawful or unsafe sale.; Applicability=Mandatory; Frequency=Continuous; Due Timeline=At expiry/nonconformity detection; Responsible Person=Store Manager; Non-Compliance Consequence=Seizure, prosecution and patient-safety risk; Priority=Critical; Origin=CORE; Active=Yes; Remarks=P-2 ADD.</x:v>
      </x:c>
      <x:c r="E137" s="33" t="str">
        <x:v>ADD</x:v>
      </x:c>
      <x:c r="F137" s="33" t="str">
        <x:v>Add missing rule-level compliance requirement.</x:v>
      </x:c>
      <x:c r="G137" s="33" t="str">
        <x:v>CDSCO official Drugs Rules / Gazette</x:v>
      </x:c>
      <x:c r="H137" s="33" t="str">
        <x:v>https://cdsco.gov.in/opencms/resources/UploadCDSCOWeb/2022/drug_rules/Drugs%20Rules%2C%201945.pdf</x:v>
      </x:c>
      <x:c r="I137" s="33" t="str">
        <x:v>P-2</x:v>
      </x:c>
      <x:c r="J137" s="33" t="str">
        <x:v>2026-08-20</x:v>
      </x:c>
      <x:c r="K137" s="33" t="str">
        <x:v>New controlled P-2 chain node.</x:v>
      </x:c>
    </x:row>
    <x:row r="138">
      <x:c r="A138" s="33" t="str">
        <x:v>COMP253</x:v>
      </x:c>
      <x:c r="B138" s="33" t="str">
        <x:v>Compliance Requirement Master</x:v>
      </x:c>
      <x:c r="C138" s="33" t="str">
        <x:v>Not present</x:v>
      </x:c>
      <x:c r="D138" s="33" t="str">
        <x:v>Compliance ID=COMP253; Provision ID=PROV278; Compliance Area ID=CA012; Compliance Requirement=Do not sell or improperly stock free samples or government/scheme-marked stock; apply authorized exceptions with segregation and separate records.; Compliance Objective=Prevent diversion and prohibited sale.; Applicability=Conditional; Frequency=Continuous; Due Timeline=At receipt, storage and sale; Responsible Person=Store Manager; Non-Compliance Consequence=Diversion, seizure and licence action; Priority=High; Origin=CORE; Active=Yes; Remarks=P-2 ADD.</x:v>
      </x:c>
      <x:c r="E138" s="33" t="str">
        <x:v>ADD</x:v>
      </x:c>
      <x:c r="F138" s="33" t="str">
        <x:v>Add missing rule-level compliance requirement.</x:v>
      </x:c>
      <x:c r="G138" s="33" t="str">
        <x:v>CDSCO official Drugs Rules / Gazette</x:v>
      </x:c>
      <x:c r="H138" s="33" t="str">
        <x:v>https://cdsco.gov.in/opencms/resources/UploadCDSCOWeb/2022/drug_rules/Drugs%20Rules%2C%201945.pdf</x:v>
      </x:c>
      <x:c r="I138" s="33" t="str">
        <x:v>P-2</x:v>
      </x:c>
      <x:c r="J138" s="33" t="str">
        <x:v>2026-08-20</x:v>
      </x:c>
      <x:c r="K138" s="33" t="str">
        <x:v>New controlled P-2 chain node.</x:v>
      </x:c>
    </x:row>
    <x:row r="139">
      <x:c r="A139" s="33" t="str">
        <x:v>COMP254</x:v>
      </x:c>
      <x:c r="B139" s="33" t="str">
        <x:v>Compliance Requirement Master</x:v>
      </x:c>
      <x:c r="C139" s="33" t="str">
        <x:v>Not present</x:v>
      </x:c>
      <x:c r="D139" s="33" t="str">
        <x:v>Compliance ID=COMP254; Provision ID=PROV279; Compliance Area ID=CA015; Compliance Requirement=When supplying from a container other than the manufacturer's pack, use direct registered-pharmacist supervision and label the wrapper with drug, quantity and dealer name/address.; Compliance Objective=Control retail repacking/dispensing.; Applicability=Conditional; Frequency=Continuous; Due Timeline=At each repacked supply; Responsible Person=Registered Pharmacist; Non-Compliance Consequence=Mislabelled supply and licence action; Priority=High; Origin=CORE; Active=Yes; Remarks=P-2 ADD.</x:v>
      </x:c>
      <x:c r="E139" s="33" t="str">
        <x:v>ADD</x:v>
      </x:c>
      <x:c r="F139" s="33" t="str">
        <x:v>Add missing rule-level compliance requirement.</x:v>
      </x:c>
      <x:c r="G139" s="33" t="str">
        <x:v>CDSCO official Drugs Rules / Gazette</x:v>
      </x:c>
      <x:c r="H139" s="33" t="str">
        <x:v>https://cdsco.gov.in/opencms/resources/UploadCDSCOWeb/2022/drug_rules/Drugs%20Rules%2C%201945.pdf</x:v>
      </x:c>
      <x:c r="I139" s="33" t="str">
        <x:v>P-2</x:v>
      </x:c>
      <x:c r="J139" s="33" t="str">
        <x:v>2026-08-20</x:v>
      </x:c>
      <x:c r="K139" s="33" t="str">
        <x:v>New controlled P-2 chain node.</x:v>
      </x:c>
    </x:row>
    <x:row r="140">
      <x:c r="A140" s="33" t="str">
        <x:v>COMP255</x:v>
      </x:c>
      <x:c r="B140" s="33" t="str">
        <x:v>Compliance Requirement Master</x:v>
      </x:c>
      <x:c r="C140" s="33" t="str">
        <x:v>Not present</x:v>
      </x:c>
      <x:c r="D140" s="33" t="str">
        <x:v>Compliance ID=COMP255; Provision ID=PROV280; Compliance Area ID=CA007; Compliance Requirement=Label veterinary medicines 'Not for human use—for treatment of animals only' and segregate them in dedicated or customer-inaccessible storage.; Compliance Objective=Prevent human-use mix-ups.; Applicability=Conditional; Frequency=Continuous; Due Timeline=Throughout storage; Responsible Person=Store Manager; Non-Compliance Consequence=Patient-safety and licence exposure; Priority=High; Origin=CORE; Active=Yes; Remarks=P-2 ADD.</x:v>
      </x:c>
      <x:c r="E140" s="33" t="str">
        <x:v>ADD</x:v>
      </x:c>
      <x:c r="F140" s="33" t="str">
        <x:v>Add missing rule-level compliance requirement.</x:v>
      </x:c>
      <x:c r="G140" s="33" t="str">
        <x:v>CDSCO official Drugs Rules / Gazette</x:v>
      </x:c>
      <x:c r="H140" s="33" t="str">
        <x:v>https://cdsco.gov.in/opencms/resources/UploadCDSCOWeb/2022/drug_rules/Drugs%20Rules%2C%201945.pdf</x:v>
      </x:c>
      <x:c r="I140" s="33" t="str">
        <x:v>P-2</x:v>
      </x:c>
      <x:c r="J140" s="33" t="str">
        <x:v>2026-08-20</x:v>
      </x:c>
      <x:c r="K140" s="33" t="str">
        <x:v>New controlled P-2 chain node.</x:v>
      </x:c>
    </x:row>
    <x:row r="141">
      <x:c r="A141" s="33" t="str">
        <x:v>COMP256</x:v>
      </x:c>
      <x:c r="B141" s="33" t="str">
        <x:v>Compliance Requirement Master</x:v>
      </x:c>
      <x:c r="C141" s="33" t="str">
        <x:v>Not present</x:v>
      </x:c>
      <x:c r="D141" s="33" t="str">
        <x:v>Compliance ID=COMP256; Provision ID=PROV281; Compliance Area ID=CA077; Compliance Requirement=Maintain continuous readiness for Rule 65B inspection, including current licence-condition evidence, records, responsible staff and prompt production of documents.; Compliance Objective=Support periodic/risk-based inspection.; Applicability=Mandatory; Frequency=Continuous; Due Timeline=At all times; Responsible Person=Pharmacy Manager; Non-Compliance Consequence=Adverse inspection and enforcement; Priority=High; Origin=CORE; Active=Yes; Remarks=P-2 ADD.</x:v>
      </x:c>
      <x:c r="E141" s="33" t="str">
        <x:v>ADD</x:v>
      </x:c>
      <x:c r="F141" s="33" t="str">
        <x:v>Add missing rule-level compliance requirement.</x:v>
      </x:c>
      <x:c r="G141" s="33" t="str">
        <x:v>CDSCO official Drugs Rules / Gazette</x:v>
      </x:c>
      <x:c r="H141" s="33" t="str">
        <x:v>https://cdsco.gov.in/opencms/resources/UploadCDSCOWeb/2022/drug_rules/Drugs%20Rules%2C%201945.pdf</x:v>
      </x:c>
      <x:c r="I141" s="33" t="str">
        <x:v>P-2</x:v>
      </x:c>
      <x:c r="J141" s="33" t="str">
        <x:v>2026-08-20</x:v>
      </x:c>
      <x:c r="K141" s="33" t="str">
        <x:v>New controlled P-2 chain node.</x:v>
      </x:c>
    </x:row>
    <x:row r="142">
      <x:c r="A142" s="33" t="str">
        <x:v>COMP257</x:v>
      </x:c>
      <x:c r="B142" s="33" t="str">
        <x:v>Compliance Requirement Master</x:v>
      </x:c>
      <x:c r="C142" s="33" t="str">
        <x:v>Not present</x:v>
      </x:c>
      <x:c r="D142" s="33" t="str">
        <x:v>Compliance ID=COMP257; Provision ID=PROV282; Compliance Area ID=CA063; Compliance Requirement=Display the current licence prominently and report/regularize qualified-person, competent-person, drug-category and firm-constitution changes within the applicable form conditions.; Compliance Objective=Maintain form-specific licence compliance.; Applicability=Mandatory; Frequency=Continuous; Due Timeline=Throughout licence validity and upon change; Responsible Person=Pharmacy Owner; Non-Compliance Consequence=Licence action or invalid activity; Priority=High; Origin=CORE; Active=Yes; Remarks=P-2 ADD.</x:v>
      </x:c>
      <x:c r="E142" s="33" t="str">
        <x:v>ADD</x:v>
      </x:c>
      <x:c r="F142" s="33" t="str">
        <x:v>Add missing rule-level compliance requirement.</x:v>
      </x:c>
      <x:c r="G142" s="33" t="str">
        <x:v>CDSCO official Drugs Rules / Gazette</x:v>
      </x:c>
      <x:c r="H142" s="33" t="str">
        <x:v>https://cdsco.gov.in/opencms/resources/UploadCDSCOWeb/2022/drug_rules/Drugs%20Rules%2C%201945.pdf</x:v>
      </x:c>
      <x:c r="I142" s="33" t="str">
        <x:v>P-2</x:v>
      </x:c>
      <x:c r="J142" s="33" t="str">
        <x:v>2026-08-20</x:v>
      </x:c>
      <x:c r="K142" s="33" t="str">
        <x:v>New controlled P-2 chain node.</x:v>
      </x:c>
    </x:row>
    <x:row r="143">
      <x:c r="A143" s="33" t="str">
        <x:v>COMP258</x:v>
      </x:c>
      <x:c r="B143" s="33" t="str">
        <x:v>Compliance Requirement Master</x:v>
      </x:c>
      <x:c r="C143" s="33" t="str">
        <x:v>Not present</x:v>
      </x:c>
      <x:c r="D143" s="33" t="str">
        <x:v>Compliance ID=COMP258; Provision ID=PROV283; Compliance Area ID=CA080; Compliance Requirement=Comply with suspension/cancellation orders, obtain permission before disposal after cancellation, and ensure all licence submissions are genuine and accurate to avoid Rule 66B debarment.; Compliance Objective=Control enforcement and licence integrity.; Applicability=Conditional; Frequency=Event Based; Due Timeline=Immediately upon trigger; Responsible Person=Pharmacy Owner; Non-Compliance Consequence=Closure, debarment, prosecution or unlawful disposal; Priority=Critical; Origin=CORE; Active=Yes; Remarks=P-2 ADD.</x:v>
      </x:c>
      <x:c r="E143" s="33" t="str">
        <x:v>ADD</x:v>
      </x:c>
      <x:c r="F143" s="33" t="str">
        <x:v>Add missing rule-level compliance requirement.</x:v>
      </x:c>
      <x:c r="G143" s="33" t="str">
        <x:v>CDSCO official Drugs Rules / Gazette</x:v>
      </x:c>
      <x:c r="H143" s="33" t="str">
        <x:v>https://cdsco.gov.in/opencms/resources/UploadCDSCOWeb/2022/drug_rules/Drugs%20Rules%2C%201945.pdf</x:v>
      </x:c>
      <x:c r="I143" s="33" t="str">
        <x:v>P-2</x:v>
      </x:c>
      <x:c r="J143" s="33" t="str">
        <x:v>2026-08-20</x:v>
      </x:c>
      <x:c r="K143" s="33" t="str">
        <x:v>New controlled P-2 chain node.</x:v>
      </x:c>
    </x:row>
    <x:row r="144">
      <x:c r="A144" s="33" t="str">
        <x:v>COMP259</x:v>
      </x:c>
      <x:c r="B144" s="33" t="str">
        <x:v>Compliance Requirement Master</x:v>
      </x:c>
      <x:c r="C144" s="33" t="str">
        <x:v>Not present</x:v>
      </x:c>
      <x:c r="D144" s="33" t="str">
        <x:v>Compliance ID=COMP259; Provision ID=PROV284; Compliance Area ID=CA002; Compliance Requirement=Use Forms 20A/21A only where the restricted-licence conditions are met and deal only in drugs permitted without qualified-person supervision.; Compliance Objective=Apply restricted-licence limits.; Applicability=Conditional; Frequency=Continuous; Due Timeline=Throughout restricted-licence activity; Responsible Person=Pharmacy Owner; Non-Compliance Consequence=Activity outside licence scope; Priority=High; Origin=CORE; Active=Yes; Remarks=P-2 ADD.</x:v>
      </x:c>
      <x:c r="E144" s="33" t="str">
        <x:v>ADD</x:v>
      </x:c>
      <x:c r="F144" s="33" t="str">
        <x:v>Add missing rule-level compliance requirement.</x:v>
      </x:c>
      <x:c r="G144" s="33" t="str">
        <x:v>CDSCO official Drugs Rules / Gazette</x:v>
      </x:c>
      <x:c r="H144" s="33" t="str">
        <x:v>https://cdsco.gov.in/opencms/resources/UploadCDSCOWeb/2022/drug_rules/Drugs%20Rules%2C%201945.pdf</x:v>
      </x:c>
      <x:c r="I144" s="33" t="str">
        <x:v>P-2</x:v>
      </x:c>
      <x:c r="J144" s="33" t="str">
        <x:v>2026-08-20</x:v>
      </x:c>
      <x:c r="K144" s="33" t="str">
        <x:v>New controlled P-2 chain node.</x:v>
      </x:c>
    </x:row>
    <x:row r="145">
      <x:c r="A145" s="33" t="str">
        <x:v>COMP260</x:v>
      </x:c>
      <x:c r="B145" s="33" t="str">
        <x:v>Compliance Requirement Master</x:v>
      </x:c>
      <x:c r="C145" s="33" t="str">
        <x:v>Not present</x:v>
      </x:c>
      <x:c r="D145" s="33" t="str">
        <x:v>Compliance ID=COMP260; Provision ID=PROV285; Compliance Area ID=CA002; Compliance Requirement=Where wholesale sale/distribution from a motor vehicle is conducted, hold the prescribed Form 20BB/21BB licence arising from Form 19AA and comply with vehicle licence conditions.; Compliance Objective=License mobile wholesale distribution.; Applicability=Conditional; Frequency=Continuous; Due Timeline=Before and during vehicle activity; Responsible Person=Wholesale Manager; Non-Compliance Consequence=Unlicensed distribution and seizure; Priority=High; Origin=CORE; Active=Yes; Remarks=P-2 ADD.</x:v>
      </x:c>
      <x:c r="E145" s="33" t="str">
        <x:v>ADD</x:v>
      </x:c>
      <x:c r="F145" s="33" t="str">
        <x:v>Add missing rule-level compliance requirement.</x:v>
      </x:c>
      <x:c r="G145" s="33" t="str">
        <x:v>CDSCO official Drugs Rules / Gazette</x:v>
      </x:c>
      <x:c r="H145" s="33" t="str">
        <x:v>https://cdsco.gov.in/opencms/resources/UploadCDSCOWeb/2022/drug_rules/Drugs%20Rules%2C%201945.pdf</x:v>
      </x:c>
      <x:c r="I145" s="33" t="str">
        <x:v>P-2</x:v>
      </x:c>
      <x:c r="J145" s="33" t="str">
        <x:v>2026-08-20</x:v>
      </x:c>
      <x:c r="K145" s="33" t="str">
        <x:v>New controlled P-2 chain node.</x:v>
      </x:c>
    </x:row>
    <x:row r="146">
      <x:c r="A146" s="33" t="str">
        <x:v>COMP261</x:v>
      </x:c>
      <x:c r="B146" s="33" t="str">
        <x:v>Compliance Requirement Master</x:v>
      </x:c>
      <x:c r="C146" s="33" t="str">
        <x:v>Not present</x:v>
      </x:c>
      <x:c r="D146" s="33" t="str">
        <x:v>Compliance ID=COMP261; Provision ID=PROV286; Compliance Area ID=CA002; Compliance Requirement=For Homeopathic Pharmacy, obtain Form 20C (retail) or Form 20D (wholesale), maintain a separate licence for each place and satisfy Rule 67F competent-person/premises conditions.; Compliance Objective=License Homeopathic sale activity.; Applicability=Mandatory; Frequency=Continuous; Due Timeline=Before and during operations; Responsible Person=Homeopathic Pharmacy Owner; Non-Compliance Consequence=Unlicensed activity and suspension; Priority=Critical; Origin=CORE; Active=Yes; Remarks=P-2 ADD.</x:v>
      </x:c>
      <x:c r="E146" s="33" t="str">
        <x:v>ADD</x:v>
      </x:c>
      <x:c r="F146" s="33" t="str">
        <x:v>Add missing rule-level compliance requirement.</x:v>
      </x:c>
      <x:c r="G146" s="33" t="str">
        <x:v>CDSCO official Drugs Rules / Gazette</x:v>
      </x:c>
      <x:c r="H146" s="33" t="str">
        <x:v>https://cdsco.gov.in/opencms/resources/UploadCDSCOWeb/2022/drug_rules/Drugs%20Rules%2C%201945.pdf</x:v>
      </x:c>
      <x:c r="I146" s="33" t="str">
        <x:v>P-2</x:v>
      </x:c>
      <x:c r="J146" s="33" t="str">
        <x:v>2026-08-20</x:v>
      </x:c>
      <x:c r="K146" s="33" t="str">
        <x:v>New controlled P-2 chain node.</x:v>
      </x:c>
    </x:row>
    <x:row r="147">
      <x:c r="A147" s="33" t="str">
        <x:v>COMP262</x:v>
      </x:c>
      <x:c r="B147" s="33" t="str">
        <x:v>Compliance Requirement Master</x:v>
      </x:c>
      <x:c r="C147" s="33" t="str">
        <x:v>Not present</x:v>
      </x:c>
      <x:c r="D147" s="33" t="str">
        <x:v>Compliance ID=COMP262; Provision ID=PROV287; Compliance Area ID=CA019; Compliance Requirement=Comply with Rule 67G: clean premises, qualified supervision/sealed-pack controls, inspection access and alcohol-containing homeopathic medicine purchase/sale records.; Compliance Objective=Maintain Homeopathic licence conditions.; Applicability=Mandatory; Frequency=Continuous; Due Timeline=At each applicable transaction; Responsible Person=Competent Person; Non-Compliance Consequence=Suspension/cancellation and record breach; Priority=High; Origin=CORE; Active=Yes; Remarks=P-2 ADD.</x:v>
      </x:c>
      <x:c r="E147" s="33" t="str">
        <x:v>ADD</x:v>
      </x:c>
      <x:c r="F147" s="33" t="str">
        <x:v>Add missing rule-level compliance requirement.</x:v>
      </x:c>
      <x:c r="G147" s="33" t="str">
        <x:v>CDSCO official Drugs Rules / Gazette</x:v>
      </x:c>
      <x:c r="H147" s="33" t="str">
        <x:v>https://cdsco.gov.in/opencms/resources/UploadCDSCOWeb/2022/drug_rules/Drugs%20Rules%2C%201945.pdf</x:v>
      </x:c>
      <x:c r="I147" s="33" t="str">
        <x:v>P-2</x:v>
      </x:c>
      <x:c r="J147" s="33" t="str">
        <x:v>2026-08-20</x:v>
      </x:c>
      <x:c r="K147" s="33" t="str">
        <x:v>New controlled P-2 chain node.</x:v>
      </x:c>
    </x:row>
    <x:row r="148">
      <x:c r="A148" s="33" t="str">
        <x:v>COMP263</x:v>
      </x:c>
      <x:c r="B148" s="33" t="str">
        <x:v>Compliance Requirement Master</x:v>
      </x:c>
      <x:c r="C148" s="33" t="str">
        <x:v>Not present</x:v>
      </x:c>
      <x:c r="D148" s="33" t="str">
        <x:v>Compliance ID=COMP263; Provision ID=PROV288; Compliance Area ID=CA080; Compliance Requirement=Comply with Homeopathic sale-licence suspension/cancellation orders and preserve any appeal and corrective-action documentation.; Compliance Objective=Manage Homeopathic enforcement.; Applicability=Conditional; Frequency=Event Based; Due Timeline=Upon enforcement action; Responsible Person=Homeopathic Pharmacy Owner; Non-Compliance Consequence=Continued unlawful operation; Priority=Critical; Origin=CORE; Active=Yes; Remarks=P-2 ADD.</x:v>
      </x:c>
      <x:c r="E148" s="33" t="str">
        <x:v>ADD</x:v>
      </x:c>
      <x:c r="F148" s="33" t="str">
        <x:v>Add missing rule-level compliance requirement.</x:v>
      </x:c>
      <x:c r="G148" s="33" t="str">
        <x:v>CDSCO official Drugs Rules / Gazette</x:v>
      </x:c>
      <x:c r="H148" s="33" t="str">
        <x:v>https://cdsco.gov.in/opencms/resources/UploadCDSCOWeb/2022/drug_rules/Drugs%20Rules%2C%201945.pdf</x:v>
      </x:c>
      <x:c r="I148" s="33" t="str">
        <x:v>P-2</x:v>
      </x:c>
      <x:c r="J148" s="33" t="str">
        <x:v>2026-08-20</x:v>
      </x:c>
      <x:c r="K148" s="33" t="str">
        <x:v>New controlled P-2 chain node.</x:v>
      </x:c>
    </x:row>
    <x:row r="149">
      <x:c r="A149" s="33" t="str">
        <x:v>COMP264</x:v>
      </x:c>
      <x:c r="B149" s="33" t="str">
        <x:v>Compliance Requirement Master</x:v>
      </x:c>
      <x:c r="C149" s="33" t="str">
        <x:v>Not present</x:v>
      </x:c>
      <x:c r="D149" s="33" t="str">
        <x:v>Compliance ID=COMP264; Provision ID=PROV289; Compliance Area ID=CA006; Compliance Requirement=Maintain applicable Schedule N entrance, premises, furniture/apparatus and minimum equipment standards for a Form 20/21 pharmacy.; Compliance Objective=Maintain pharmacy facility standards.; Applicability=Mandatory; Frequency=Continuous; Due Timeline=Throughout licence validity; Responsible Person=Pharmacy Manager; Non-Compliance Consequence=Licence refusal/action and unsafe dispensing; Priority=High; Origin=CORE; Active=Yes; Remarks=P-2 ADD.</x:v>
      </x:c>
      <x:c r="E149" s="33" t="str">
        <x:v>ADD</x:v>
      </x:c>
      <x:c r="F149" s="33" t="str">
        <x:v>Add missing rule-level compliance requirement.</x:v>
      </x:c>
      <x:c r="G149" s="33" t="str">
        <x:v>CDSCO official Drugs Rules / Gazette</x:v>
      </x:c>
      <x:c r="H149" s="33" t="str">
        <x:v>https://cdsco.gov.in/opencms/resources/UploadCDSCOWeb/2022/drug_rules/Drugs%20Rules%2C%201945.pdf</x:v>
      </x:c>
      <x:c r="I149" s="33" t="str">
        <x:v>P-2</x:v>
      </x:c>
      <x:c r="J149" s="33" t="str">
        <x:v>2026-08-20</x:v>
      </x:c>
      <x:c r="K149" s="33" t="str">
        <x:v>New controlled P-2 chain node.</x:v>
      </x:c>
    </x:row>
    <x:row r="150">
      <x:c r="A150" s="33" t="str">
        <x:v>COMP265</x:v>
      </x:c>
      <x:c r="B150" s="33" t="str">
        <x:v>Compliance Requirement Master</x:v>
      </x:c>
      <x:c r="C150" s="33" t="str">
        <x:v>Not present</x:v>
      </x:c>
      <x:c r="D150" s="33" t="str">
        <x:v>Compliance ID=COMP265; Provision ID=PROV290; Compliance Area ID=CA020; Compliance Requirement=Supply Schedule H/H1/X drugs to RMPs, hospitals, dispensaries or nursing homes only against a signed written order and retain that order for two years.; Compliance Objective=Control institutional supply and retention.; Applicability=Conditional; Frequency=Continuous; Due Timeline=At supply and for two years; Responsible Person=Competent Person; Non-Compliance Consequence=Record breach and licence action; Priority=High; Origin=CORE; Active=Yes; Remarks=P-2 ADD.</x:v>
      </x:c>
      <x:c r="E150" s="33" t="str">
        <x:v>ADD</x:v>
      </x:c>
      <x:c r="F150" s="33" t="str">
        <x:v>Add missing rule-level compliance requirement.</x:v>
      </x:c>
      <x:c r="G150" s="33" t="str">
        <x:v>CDSCO official Drugs Rules / Gazette</x:v>
      </x:c>
      <x:c r="H150" s="33" t="str">
        <x:v>https://cdsco.gov.in/opencms/resources/UploadCDSCOWeb/2022/drug_rules/Drugs%20Rules%2C%201945.pdf</x:v>
      </x:c>
      <x:c r="I150" s="33" t="str">
        <x:v>P-2</x:v>
      </x:c>
      <x:c r="J150" s="33" t="str">
        <x:v>2026-08-20</x:v>
      </x:c>
      <x:c r="K150" s="33" t="str">
        <x:v>New controlled P-2 chain node.</x:v>
      </x:c>
    </x:row>
    <x:row r="151">
      <x:c r="A151" s="33" t="str">
        <x:v>PPCM510</x:v>
      </x:c>
      <x:c r="B151" s="33" t="str">
        <x:v>Provision_ComplianceArea_Map</x:v>
      </x:c>
      <x:c r="C151" s="33" t="str">
        <x:v>Not present</x:v>
      </x:c>
      <x:c r="D151" s="33" t="str">
        <x:v>Map ID=PPCM510; Provision ID=PROV111; Compliance Area ID=CA002; Active=Yes; Remarks=Separate-place licence.</x:v>
      </x:c>
      <x:c r="E151" s="33" t="str">
        <x:v>ADD</x:v>
      </x:c>
      <x:c r="F151" s="33" t="str">
        <x:v>Map normalized/new Drugs Rules provisions to current compliance areas.</x:v>
      </x:c>
      <x:c r="G151" s="33" t="str">
        <x:v>CDSCO official Drugs Rules / Gazette</x:v>
      </x:c>
      <x:c r="H151" s="33" t="str">
        <x:v>https://cdsco.gov.in/opencms/resources/UploadCDSCOWeb/2022/drug_rules/Drugs%20Rules%2C%201945.pdf</x:v>
      </x:c>
      <x:c r="I151" s="33" t="str">
        <x:v>P-2</x:v>
      </x:c>
      <x:c r="J151" s="33" t="str">
        <x:v>2026-08-20</x:v>
      </x:c>
      <x:c r="K151" s="33" t="str">
        <x:v>New controlled P-2 chain node.</x:v>
      </x:c>
    </x:row>
    <x:row r="152">
      <x:c r="A152" s="33" t="str">
        <x:v>PPCM511</x:v>
      </x:c>
      <x:c r="B152" s="33" t="str">
        <x:v>Provision_ComplianceArea_Map</x:v>
      </x:c>
      <x:c r="C152" s="33" t="str">
        <x:v>Not present</x:v>
      </x:c>
      <x:c r="D152" s="33" t="str">
        <x:v>Map ID=PPCM511; Provision ID=PROV112; Compliance Area ID=CA002; Active=Yes; Remarks=Licence retention fee.</x:v>
      </x:c>
      <x:c r="E152" s="33" t="str">
        <x:v>ADD</x:v>
      </x:c>
      <x:c r="F152" s="33" t="str">
        <x:v>Map normalized/new Drugs Rules provisions to current compliance areas.</x:v>
      </x:c>
      <x:c r="G152" s="33" t="str">
        <x:v>CDSCO official Drugs Rules / Gazette</x:v>
      </x:c>
      <x:c r="H152" s="33" t="str">
        <x:v>https://cdsco.gov.in/opencms/resources/UploadCDSCOWeb/2022/drug_rules/Drugs%20Rules%2C%201945.pdf</x:v>
      </x:c>
      <x:c r="I152" s="33" t="str">
        <x:v>P-2</x:v>
      </x:c>
      <x:c r="J152" s="33" t="str">
        <x:v>2026-08-20</x:v>
      </x:c>
      <x:c r="K152" s="33" t="str">
        <x:v>New controlled P-2 chain node.</x:v>
      </x:c>
    </x:row>
    <x:row r="153">
      <x:c r="A153" s="33" t="str">
        <x:v>PPCM512</x:v>
      </x:c>
      <x:c r="B153" s="33" t="str">
        <x:v>Provision_ComplianceArea_Map</x:v>
      </x:c>
      <x:c r="C153" s="33" t="str">
        <x:v>Not present</x:v>
      </x:c>
      <x:c r="D153" s="33" t="str">
        <x:v>Map ID=PPCM512; Provision ID=PROV113; Compliance Area ID=CA002; Active=Yes; Remarks=Rule 65A licensing information.</x:v>
      </x:c>
      <x:c r="E153" s="33" t="str">
        <x:v>ADD</x:v>
      </x:c>
      <x:c r="F153" s="33" t="str">
        <x:v>Map normalized/new Drugs Rules provisions to current compliance areas.</x:v>
      </x:c>
      <x:c r="G153" s="33" t="str">
        <x:v>CDSCO official Drugs Rules / Gazette</x:v>
      </x:c>
      <x:c r="H153" s="33" t="str">
        <x:v>https://cdsco.gov.in/opencms/resources/UploadCDSCOWeb/2022/drug_rules/Drugs%20Rules%2C%201945.pdf</x:v>
      </x:c>
      <x:c r="I153" s="33" t="str">
        <x:v>P-2</x:v>
      </x:c>
      <x:c r="J153" s="33" t="str">
        <x:v>2026-08-20</x:v>
      </x:c>
      <x:c r="K153" s="33" t="str">
        <x:v>New controlled P-2 chain node.</x:v>
      </x:c>
    </x:row>
    <x:row r="154">
      <x:c r="A154" s="33" t="str">
        <x:v>PPCM513</x:v>
      </x:c>
      <x:c r="B154" s="33" t="str">
        <x:v>Provision_ComplianceArea_Map</x:v>
      </x:c>
      <x:c r="C154" s="33" t="str">
        <x:v>Not present</x:v>
      </x:c>
      <x:c r="D154" s="33" t="str">
        <x:v>Map ID=PPCM513; Provision ID=PROV114; Compliance Area ID=CA019; Active=Yes; Remarks=Schedule H1 register.</x:v>
      </x:c>
      <x:c r="E154" s="33" t="str">
        <x:v>ADD</x:v>
      </x:c>
      <x:c r="F154" s="33" t="str">
        <x:v>Map normalized/new Drugs Rules provisions to current compliance areas.</x:v>
      </x:c>
      <x:c r="G154" s="33" t="str">
        <x:v>CDSCO official Drugs Rules / Gazette</x:v>
      </x:c>
      <x:c r="H154" s="33" t="str">
        <x:v>https://cdsco.gov.in/opencms/resources/UploadCDSCOWeb/2022/drug_rules/Drugs%20Rules%2C%201945.pdf</x:v>
      </x:c>
      <x:c r="I154" s="33" t="str">
        <x:v>P-2</x:v>
      </x:c>
      <x:c r="J154" s="33" t="str">
        <x:v>2026-08-20</x:v>
      </x:c>
      <x:c r="K154" s="33" t="str">
        <x:v>New controlled P-2 chain node.</x:v>
      </x:c>
    </x:row>
    <x:row r="155">
      <x:c r="A155" s="33" t="str">
        <x:v>PPCM514</x:v>
      </x:c>
      <x:c r="B155" s="33" t="str">
        <x:v>Provision_ComplianceArea_Map</x:v>
      </x:c>
      <x:c r="C155" s="33" t="str">
        <x:v>Not present</x:v>
      </x:c>
      <x:c r="D155" s="33" t="str">
        <x:v>Map ID=PPCM514; Provision ID=PROV115; Compliance Area ID=CA020; Active=Yes; Remarks=Wholesale memo retention.</x:v>
      </x:c>
      <x:c r="E155" s="33" t="str">
        <x:v>ADD</x:v>
      </x:c>
      <x:c r="F155" s="33" t="str">
        <x:v>Map normalized/new Drugs Rules provisions to current compliance areas.</x:v>
      </x:c>
      <x:c r="G155" s="33" t="str">
        <x:v>CDSCO official Drugs Rules / Gazette</x:v>
      </x:c>
      <x:c r="H155" s="33" t="str">
        <x:v>https://cdsco.gov.in/opencms/resources/UploadCDSCOWeb/2022/drug_rules/Drugs%20Rules%2C%201945.pdf</x:v>
      </x:c>
      <x:c r="I155" s="33" t="str">
        <x:v>P-2</x:v>
      </x:c>
      <x:c r="J155" s="33" t="str">
        <x:v>2026-08-20</x:v>
      </x:c>
      <x:c r="K155" s="33" t="str">
        <x:v>New controlled P-2 chain node.</x:v>
      </x:c>
    </x:row>
    <x:row r="156">
      <x:c r="A156" s="33" t="str">
        <x:v>PPCM515</x:v>
      </x:c>
      <x:c r="B156" s="33" t="str">
        <x:v>Provision_ComplianceArea_Map</x:v>
      </x:c>
      <x:c r="C156" s="33" t="str">
        <x:v>Not present</x:v>
      </x:c>
      <x:c r="D156" s="33" t="str">
        <x:v>Map ID=PPCM515; Provision ID=PROV116; Compliance Area ID=CA012; Active=Yes; Remarks=Best-practice inventory/dispensing review.</x:v>
      </x:c>
      <x:c r="E156" s="33" t="str">
        <x:v>ADD</x:v>
      </x:c>
      <x:c r="F156" s="33" t="str">
        <x:v>Map normalized/new Drugs Rules provisions to current compliance areas.</x:v>
      </x:c>
      <x:c r="G156" s="33" t="str">
        <x:v>CDSCO official Drugs Rules / Gazette</x:v>
      </x:c>
      <x:c r="H156" s="33" t="str">
        <x:v>https://cdsco.gov.in/opencms/resources/UploadCDSCOWeb/2022/drug_rules/Drugs%20Rules%2C%201945.pdf</x:v>
      </x:c>
      <x:c r="I156" s="33" t="str">
        <x:v>P-2</x:v>
      </x:c>
      <x:c r="J156" s="33" t="str">
        <x:v>2026-08-20</x:v>
      </x:c>
      <x:c r="K156" s="33" t="str">
        <x:v>New controlled P-2 chain node.</x:v>
      </x:c>
    </x:row>
    <x:row r="157">
      <x:c r="A157" s="33" t="str">
        <x:v>PPCM516</x:v>
      </x:c>
      <x:c r="B157" s="33" t="str">
        <x:v>Provision_ComplianceArea_Map</x:v>
      </x:c>
      <x:c r="C157" s="33" t="str">
        <x:v>Not present</x:v>
      </x:c>
      <x:c r="D157" s="33" t="str">
        <x:v>Map ID=PPCM516; Provision ID=PROV117; Compliance Area ID=CA027; Active=Yes; Remarks=Schedule X storage.</x:v>
      </x:c>
      <x:c r="E157" s="33" t="str">
        <x:v>ADD</x:v>
      </x:c>
      <x:c r="F157" s="33" t="str">
        <x:v>Map normalized/new Drugs Rules provisions to current compliance areas.</x:v>
      </x:c>
      <x:c r="G157" s="33" t="str">
        <x:v>CDSCO official Drugs Rules / Gazette</x:v>
      </x:c>
      <x:c r="H157" s="33" t="str">
        <x:v>https://cdsco.gov.in/opencms/resources/UploadCDSCOWeb/2022/drug_rules/Drugs%20Rules%2C%201945.pdf</x:v>
      </x:c>
      <x:c r="I157" s="33" t="str">
        <x:v>P-2</x:v>
      </x:c>
      <x:c r="J157" s="33" t="str">
        <x:v>2026-08-20</x:v>
      </x:c>
      <x:c r="K157" s="33" t="str">
        <x:v>New controlled P-2 chain node.</x:v>
      </x:c>
    </x:row>
    <x:row r="158">
      <x:c r="A158" s="33" t="str">
        <x:v>PPCM517</x:v>
      </x:c>
      <x:c r="B158" s="33" t="str">
        <x:v>Provision_ComplianceArea_Map</x:v>
      </x:c>
      <x:c r="C158" s="33" t="str">
        <x:v>Not present</x:v>
      </x:c>
      <x:c r="D158" s="33" t="str">
        <x:v>Map ID=PPCM517; Provision ID=PROV118; Compliance Area ID=CA028; Active=Yes; Remarks=Schedule X register.</x:v>
      </x:c>
      <x:c r="E158" s="33" t="str">
        <x:v>ADD</x:v>
      </x:c>
      <x:c r="F158" s="33" t="str">
        <x:v>Map normalized/new Drugs Rules provisions to current compliance areas.</x:v>
      </x:c>
      <x:c r="G158" s="33" t="str">
        <x:v>CDSCO official Drugs Rules / Gazette</x:v>
      </x:c>
      <x:c r="H158" s="33" t="str">
        <x:v>https://cdsco.gov.in/opencms/resources/UploadCDSCOWeb/2022/drug_rules/Drugs%20Rules%2C%201945.pdf</x:v>
      </x:c>
      <x:c r="I158" s="33" t="str">
        <x:v>P-2</x:v>
      </x:c>
      <x:c r="J158" s="33" t="str">
        <x:v>2026-08-20</x:v>
      </x:c>
      <x:c r="K158" s="33" t="str">
        <x:v>New controlled P-2 chain node.</x:v>
      </x:c>
    </x:row>
    <x:row r="159">
      <x:c r="A159" s="33" t="str">
        <x:v>PPCM518</x:v>
      </x:c>
      <x:c r="B159" s="33" t="str">
        <x:v>Provision_ComplianceArea_Map</x:v>
      </x:c>
      <x:c r="C159" s="33" t="str">
        <x:v>Not present</x:v>
      </x:c>
      <x:c r="D159" s="33" t="str">
        <x:v>Map ID=PPCM518; Provision ID=PROV119; Compliance Area ID=CA015; Active=Yes; Remarks=Prescription particulars and dispensing controls.</x:v>
      </x:c>
      <x:c r="E159" s="33" t="str">
        <x:v>ADD</x:v>
      </x:c>
      <x:c r="F159" s="33" t="str">
        <x:v>Map normalized/new Drugs Rules provisions to current compliance areas.</x:v>
      </x:c>
      <x:c r="G159" s="33" t="str">
        <x:v>CDSCO official Drugs Rules / Gazette</x:v>
      </x:c>
      <x:c r="H159" s="33" t="str">
        <x:v>https://cdsco.gov.in/opencms/resources/UploadCDSCOWeb/2022/drug_rules/Drugs%20Rules%2C%201945.pdf</x:v>
      </x:c>
      <x:c r="I159" s="33" t="str">
        <x:v>P-2</x:v>
      </x:c>
      <x:c r="J159" s="33" t="str">
        <x:v>2026-08-20</x:v>
      </x:c>
      <x:c r="K159" s="33" t="str">
        <x:v>New controlled P-2 chain node.</x:v>
      </x:c>
    </x:row>
    <x:row r="160">
      <x:c r="A160" s="33" t="str">
        <x:v>PPCM519</x:v>
      </x:c>
      <x:c r="B160" s="33" t="str">
        <x:v>Provision_ComplianceArea_Map</x:v>
      </x:c>
      <x:c r="C160" s="33" t="str">
        <x:v>Not present</x:v>
      </x:c>
      <x:c r="D160" s="33" t="str">
        <x:v>Map ID=PPCM519; Provision ID=PROV276; Compliance Area ID=CA078; Active=Yes; Remarks=Inspection Book.</x:v>
      </x:c>
      <x:c r="E160" s="33" t="str">
        <x:v>ADD</x:v>
      </x:c>
      <x:c r="F160" s="33" t="str">
        <x:v>Map normalized/new Drugs Rules provisions to current compliance areas.</x:v>
      </x:c>
      <x:c r="G160" s="33" t="str">
        <x:v>CDSCO official Drugs Rules / Gazette</x:v>
      </x:c>
      <x:c r="H160" s="33" t="str">
        <x:v>https://cdsco.gov.in/opencms/resources/UploadCDSCOWeb/2022/drug_rules/Drugs%20Rules%2C%201945.pdf</x:v>
      </x:c>
      <x:c r="I160" s="33" t="str">
        <x:v>P-2</x:v>
      </x:c>
      <x:c r="J160" s="33" t="str">
        <x:v>2026-08-20</x:v>
      </x:c>
      <x:c r="K160" s="33" t="str">
        <x:v>New controlled P-2 chain node.</x:v>
      </x:c>
    </x:row>
    <x:row r="161">
      <x:c r="A161" s="33" t="str">
        <x:v>PPCM520</x:v>
      </x:c>
      <x:c r="B161" s="33" t="str">
        <x:v>Provision_ComplianceArea_Map</x:v>
      </x:c>
      <x:c r="C161" s="33" t="str">
        <x:v>Not present</x:v>
      </x:c>
      <x:c r="D161" s="33" t="str">
        <x:v>Map ID=PPCM520; Provision ID=PROV277; Compliance Area ID=CA013; Active=Yes; Remarks=Expired stock.</x:v>
      </x:c>
      <x:c r="E161" s="33" t="str">
        <x:v>ADD</x:v>
      </x:c>
      <x:c r="F161" s="33" t="str">
        <x:v>Map normalized/new Drugs Rules provisions to current compliance areas.</x:v>
      </x:c>
      <x:c r="G161" s="33" t="str">
        <x:v>CDSCO official Drugs Rules / Gazette</x:v>
      </x:c>
      <x:c r="H161" s="33" t="str">
        <x:v>https://cdsco.gov.in/opencms/resources/UploadCDSCOWeb/2022/drug_rules/Drugs%20Rules%2C%201945.pdf</x:v>
      </x:c>
      <x:c r="I161" s="33" t="str">
        <x:v>P-2</x:v>
      </x:c>
      <x:c r="J161" s="33" t="str">
        <x:v>2026-08-20</x:v>
      </x:c>
      <x:c r="K161" s="33" t="str">
        <x:v>New controlled P-2 chain node.</x:v>
      </x:c>
    </x:row>
    <x:row r="162">
      <x:c r="A162" s="33" t="str">
        <x:v>PPCM521</x:v>
      </x:c>
      <x:c r="B162" s="33" t="str">
        <x:v>Provision_ComplianceArea_Map</x:v>
      </x:c>
      <x:c r="C162" s="33" t="str">
        <x:v>Not present</x:v>
      </x:c>
      <x:c r="D162" s="33" t="str">
        <x:v>Map ID=PPCM521; Provision ID=PROV278; Compliance Area ID=CA012; Active=Yes; Remarks=Free sample/scheme stock.</x:v>
      </x:c>
      <x:c r="E162" s="33" t="str">
        <x:v>ADD</x:v>
      </x:c>
      <x:c r="F162" s="33" t="str">
        <x:v>Map normalized/new Drugs Rules provisions to current compliance areas.</x:v>
      </x:c>
      <x:c r="G162" s="33" t="str">
        <x:v>CDSCO official Drugs Rules / Gazette</x:v>
      </x:c>
      <x:c r="H162" s="33" t="str">
        <x:v>https://cdsco.gov.in/opencms/resources/UploadCDSCOWeb/2022/drug_rules/Drugs%20Rules%2C%201945.pdf</x:v>
      </x:c>
      <x:c r="I162" s="33" t="str">
        <x:v>P-2</x:v>
      </x:c>
      <x:c r="J162" s="33" t="str">
        <x:v>2026-08-20</x:v>
      </x:c>
      <x:c r="K162" s="33" t="str">
        <x:v>New controlled P-2 chain node.</x:v>
      </x:c>
    </x:row>
    <x:row r="163">
      <x:c r="A163" s="33" t="str">
        <x:v>PPCM522</x:v>
      </x:c>
      <x:c r="B163" s="33" t="str">
        <x:v>Provision_ComplianceArea_Map</x:v>
      </x:c>
      <x:c r="C163" s="33" t="str">
        <x:v>Not present</x:v>
      </x:c>
      <x:c r="D163" s="33" t="str">
        <x:v>Map ID=PPCM522; Provision ID=PROV279; Compliance Area ID=CA015; Active=Yes; Remarks=Retail supply outside manufacturer pack.</x:v>
      </x:c>
      <x:c r="E163" s="33" t="str">
        <x:v>ADD</x:v>
      </x:c>
      <x:c r="F163" s="33" t="str">
        <x:v>Map normalized/new Drugs Rules provisions to current compliance areas.</x:v>
      </x:c>
      <x:c r="G163" s="33" t="str">
        <x:v>CDSCO official Drugs Rules / Gazette</x:v>
      </x:c>
      <x:c r="H163" s="33" t="str">
        <x:v>https://cdsco.gov.in/opencms/resources/UploadCDSCOWeb/2022/drug_rules/Drugs%20Rules%2C%201945.pdf</x:v>
      </x:c>
      <x:c r="I163" s="33" t="str">
        <x:v>P-2</x:v>
      </x:c>
      <x:c r="J163" s="33" t="str">
        <x:v>2026-08-20</x:v>
      </x:c>
      <x:c r="K163" s="33" t="str">
        <x:v>New controlled P-2 chain node.</x:v>
      </x:c>
    </x:row>
    <x:row r="164">
      <x:c r="A164" s="33" t="str">
        <x:v>PPCM523</x:v>
      </x:c>
      <x:c r="B164" s="33" t="str">
        <x:v>Provision_ComplianceArea_Map</x:v>
      </x:c>
      <x:c r="C164" s="33" t="str">
        <x:v>Not present</x:v>
      </x:c>
      <x:c r="D164" s="33" t="str">
        <x:v>Map ID=PPCM523; Provision ID=PROV280; Compliance Area ID=CA007; Active=Yes; Remarks=Veterinary segregation.</x:v>
      </x:c>
      <x:c r="E164" s="33" t="str">
        <x:v>ADD</x:v>
      </x:c>
      <x:c r="F164" s="33" t="str">
        <x:v>Map normalized/new Drugs Rules provisions to current compliance areas.</x:v>
      </x:c>
      <x:c r="G164" s="33" t="str">
        <x:v>CDSCO official Drugs Rules / Gazette</x:v>
      </x:c>
      <x:c r="H164" s="33" t="str">
        <x:v>https://cdsco.gov.in/opencms/resources/UploadCDSCOWeb/2022/drug_rules/Drugs%20Rules%2C%201945.pdf</x:v>
      </x:c>
      <x:c r="I164" s="33" t="str">
        <x:v>P-2</x:v>
      </x:c>
      <x:c r="J164" s="33" t="str">
        <x:v>2026-08-20</x:v>
      </x:c>
      <x:c r="K164" s="33" t="str">
        <x:v>New controlled P-2 chain node.</x:v>
      </x:c>
    </x:row>
    <x:row r="165">
      <x:c r="A165" s="33" t="str">
        <x:v>PPCM524</x:v>
      </x:c>
      <x:c r="B165" s="33" t="str">
        <x:v>Provision_ComplianceArea_Map</x:v>
      </x:c>
      <x:c r="C165" s="33" t="str">
        <x:v>Not present</x:v>
      </x:c>
      <x:c r="D165" s="33" t="str">
        <x:v>Map ID=PPCM524; Provision ID=PROV281; Compliance Area ID=CA077; Active=Yes; Remarks=Inspection readiness.</x:v>
      </x:c>
      <x:c r="E165" s="33" t="str">
        <x:v>ADD</x:v>
      </x:c>
      <x:c r="F165" s="33" t="str">
        <x:v>Map normalized/new Drugs Rules provisions to current compliance areas.</x:v>
      </x:c>
      <x:c r="G165" s="33" t="str">
        <x:v>CDSCO official Drugs Rules / Gazette</x:v>
      </x:c>
      <x:c r="H165" s="33" t="str">
        <x:v>https://cdsco.gov.in/opencms/resources/UploadCDSCOWeb/2022/drug_rules/Drugs%20Rules%2C%201945.pdf</x:v>
      </x:c>
      <x:c r="I165" s="33" t="str">
        <x:v>P-2</x:v>
      </x:c>
      <x:c r="J165" s="33" t="str">
        <x:v>2026-08-20</x:v>
      </x:c>
      <x:c r="K165" s="33" t="str">
        <x:v>New controlled P-2 chain node.</x:v>
      </x:c>
    </x:row>
    <x:row r="166">
      <x:c r="A166" s="33" t="str">
        <x:v>PPCM525</x:v>
      </x:c>
      <x:c r="B166" s="33" t="str">
        <x:v>Provision_ComplianceArea_Map</x:v>
      </x:c>
      <x:c r="C166" s="33" t="str">
        <x:v>Not present</x:v>
      </x:c>
      <x:c r="D166" s="33" t="str">
        <x:v>Map ID=PPCM525; Provision ID=PROV282; Compliance Area ID=CA063; Active=Yes; Remarks=Licence display and change conditions.</x:v>
      </x:c>
      <x:c r="E166" s="33" t="str">
        <x:v>ADD</x:v>
      </x:c>
      <x:c r="F166" s="33" t="str">
        <x:v>Map normalized/new Drugs Rules provisions to current compliance areas.</x:v>
      </x:c>
      <x:c r="G166" s="33" t="str">
        <x:v>CDSCO official Drugs Rules / Gazette</x:v>
      </x:c>
      <x:c r="H166" s="33" t="str">
        <x:v>https://cdsco.gov.in/opencms/resources/UploadCDSCOWeb/2022/drug_rules/Drugs%20Rules%2C%201945.pdf</x:v>
      </x:c>
      <x:c r="I166" s="33" t="str">
        <x:v>P-2</x:v>
      </x:c>
      <x:c r="J166" s="33" t="str">
        <x:v>2026-08-20</x:v>
      </x:c>
      <x:c r="K166" s="33" t="str">
        <x:v>New controlled P-2 chain node.</x:v>
      </x:c>
    </x:row>
    <x:row r="167">
      <x:c r="A167" s="33" t="str">
        <x:v>PPCM526</x:v>
      </x:c>
      <x:c r="B167" s="33" t="str">
        <x:v>Provision_ComplianceArea_Map</x:v>
      </x:c>
      <x:c r="C167" s="33" t="str">
        <x:v>Not present</x:v>
      </x:c>
      <x:c r="D167" s="33" t="str">
        <x:v>Map ID=PPCM526; Provision ID=PROV283; Compliance Area ID=CA080; Active=Yes; Remarks=Enforcement/debarment/disposal.</x:v>
      </x:c>
      <x:c r="E167" s="33" t="str">
        <x:v>ADD</x:v>
      </x:c>
      <x:c r="F167" s="33" t="str">
        <x:v>Map normalized/new Drugs Rules provisions to current compliance areas.</x:v>
      </x:c>
      <x:c r="G167" s="33" t="str">
        <x:v>CDSCO official Drugs Rules / Gazette</x:v>
      </x:c>
      <x:c r="H167" s="33" t="str">
        <x:v>https://cdsco.gov.in/opencms/resources/UploadCDSCOWeb/2022/drug_rules/Drugs%20Rules%2C%201945.pdf</x:v>
      </x:c>
      <x:c r="I167" s="33" t="str">
        <x:v>P-2</x:v>
      </x:c>
      <x:c r="J167" s="33" t="str">
        <x:v>2026-08-20</x:v>
      </x:c>
      <x:c r="K167" s="33" t="str">
        <x:v>New controlled P-2 chain node.</x:v>
      </x:c>
    </x:row>
    <x:row r="168">
      <x:c r="A168" s="33" t="str">
        <x:v>PPCM527</x:v>
      </x:c>
      <x:c r="B168" s="33" t="str">
        <x:v>Provision_ComplianceArea_Map</x:v>
      </x:c>
      <x:c r="C168" s="33" t="str">
        <x:v>Not present</x:v>
      </x:c>
      <x:c r="D168" s="33" t="str">
        <x:v>Map ID=PPCM527; Provision ID=PROV284; Compliance Area ID=CA002; Active=Yes; Remarks=Restricted licence.</x:v>
      </x:c>
      <x:c r="E168" s="33" t="str">
        <x:v>ADD</x:v>
      </x:c>
      <x:c r="F168" s="33" t="str">
        <x:v>Map normalized/new Drugs Rules provisions to current compliance areas.</x:v>
      </x:c>
      <x:c r="G168" s="33" t="str">
        <x:v>CDSCO official Drugs Rules / Gazette</x:v>
      </x:c>
      <x:c r="H168" s="33" t="str">
        <x:v>https://cdsco.gov.in/opencms/resources/UploadCDSCOWeb/2022/drug_rules/Drugs%20Rules%2C%201945.pdf</x:v>
      </x:c>
      <x:c r="I168" s="33" t="str">
        <x:v>P-2</x:v>
      </x:c>
      <x:c r="J168" s="33" t="str">
        <x:v>2026-08-20</x:v>
      </x:c>
      <x:c r="K168" s="33" t="str">
        <x:v>New controlled P-2 chain node.</x:v>
      </x:c>
    </x:row>
    <x:row r="169">
      <x:c r="A169" s="33" t="str">
        <x:v>PPCM528</x:v>
      </x:c>
      <x:c r="B169" s="33" t="str">
        <x:v>Provision_ComplianceArea_Map</x:v>
      </x:c>
      <x:c r="C169" s="33" t="str">
        <x:v>Not present</x:v>
      </x:c>
      <x:c r="D169" s="33" t="str">
        <x:v>Map ID=PPCM528; Provision ID=PROV285; Compliance Area ID=CA002; Active=Yes; Remarks=Motor-vehicle wholesale licence.</x:v>
      </x:c>
      <x:c r="E169" s="33" t="str">
        <x:v>ADD</x:v>
      </x:c>
      <x:c r="F169" s="33" t="str">
        <x:v>Map normalized/new Drugs Rules provisions to current compliance areas.</x:v>
      </x:c>
      <x:c r="G169" s="33" t="str">
        <x:v>CDSCO official Drugs Rules / Gazette</x:v>
      </x:c>
      <x:c r="H169" s="33" t="str">
        <x:v>https://cdsco.gov.in/opencms/resources/UploadCDSCOWeb/2022/drug_rules/Drugs%20Rules%2C%201945.pdf</x:v>
      </x:c>
      <x:c r="I169" s="33" t="str">
        <x:v>P-2</x:v>
      </x:c>
      <x:c r="J169" s="33" t="str">
        <x:v>2026-08-20</x:v>
      </x:c>
      <x:c r="K169" s="33" t="str">
        <x:v>New controlled P-2 chain node.</x:v>
      </x:c>
    </x:row>
    <x:row r="170">
      <x:c r="A170" s="33" t="str">
        <x:v>PPCM529</x:v>
      </x:c>
      <x:c r="B170" s="33" t="str">
        <x:v>Provision_ComplianceArea_Map</x:v>
      </x:c>
      <x:c r="C170" s="33" t="str">
        <x:v>Not present</x:v>
      </x:c>
      <x:c r="D170" s="33" t="str">
        <x:v>Map ID=PPCM529; Provision ID=PROV286; Compliance Area ID=CA002; Active=Yes; Remarks=Homeopathic licensing.</x:v>
      </x:c>
      <x:c r="E170" s="33" t="str">
        <x:v>ADD</x:v>
      </x:c>
      <x:c r="F170" s="33" t="str">
        <x:v>Map normalized/new Drugs Rules provisions to current compliance areas.</x:v>
      </x:c>
      <x:c r="G170" s="33" t="str">
        <x:v>CDSCO official Drugs Rules / Gazette</x:v>
      </x:c>
      <x:c r="H170" s="33" t="str">
        <x:v>https://cdsco.gov.in/opencms/resources/UploadCDSCOWeb/2022/drug_rules/Drugs%20Rules%2C%201945.pdf</x:v>
      </x:c>
      <x:c r="I170" s="33" t="str">
        <x:v>P-2</x:v>
      </x:c>
      <x:c r="J170" s="33" t="str">
        <x:v>2026-08-20</x:v>
      </x:c>
      <x:c r="K170" s="33" t="str">
        <x:v>New controlled P-2 chain node.</x:v>
      </x:c>
    </x:row>
    <x:row r="171">
      <x:c r="A171" s="33" t="str">
        <x:v>PPCM530</x:v>
      </x:c>
      <x:c r="B171" s="33" t="str">
        <x:v>Provision_ComplianceArea_Map</x:v>
      </x:c>
      <x:c r="C171" s="33" t="str">
        <x:v>Not present</x:v>
      </x:c>
      <x:c r="D171" s="33" t="str">
        <x:v>Map ID=PPCM530; Provision ID=PROV287; Compliance Area ID=CA019; Active=Yes; Remarks=Homeopathic records/conditions.</x:v>
      </x:c>
      <x:c r="E171" s="33" t="str">
        <x:v>ADD</x:v>
      </x:c>
      <x:c r="F171" s="33" t="str">
        <x:v>Map normalized/new Drugs Rules provisions to current compliance areas.</x:v>
      </x:c>
      <x:c r="G171" s="33" t="str">
        <x:v>CDSCO official Drugs Rules / Gazette</x:v>
      </x:c>
      <x:c r="H171" s="33" t="str">
        <x:v>https://cdsco.gov.in/opencms/resources/UploadCDSCOWeb/2022/drug_rules/Drugs%20Rules%2C%201945.pdf</x:v>
      </x:c>
      <x:c r="I171" s="33" t="str">
        <x:v>P-2</x:v>
      </x:c>
      <x:c r="J171" s="33" t="str">
        <x:v>2026-08-20</x:v>
      </x:c>
      <x:c r="K171" s="33" t="str">
        <x:v>New controlled P-2 chain node.</x:v>
      </x:c>
    </x:row>
    <x:row r="172">
      <x:c r="A172" s="33" t="str">
        <x:v>PPCM531</x:v>
      </x:c>
      <x:c r="B172" s="33" t="str">
        <x:v>Provision_ComplianceArea_Map</x:v>
      </x:c>
      <x:c r="C172" s="33" t="str">
        <x:v>Not present</x:v>
      </x:c>
      <x:c r="D172" s="33" t="str">
        <x:v>Map ID=PPCM531; Provision ID=PROV288; Compliance Area ID=CA080; Active=Yes; Remarks=Homeopathic enforcement.</x:v>
      </x:c>
      <x:c r="E172" s="33" t="str">
        <x:v>ADD</x:v>
      </x:c>
      <x:c r="F172" s="33" t="str">
        <x:v>Map normalized/new Drugs Rules provisions to current compliance areas.</x:v>
      </x:c>
      <x:c r="G172" s="33" t="str">
        <x:v>CDSCO official Drugs Rules / Gazette</x:v>
      </x:c>
      <x:c r="H172" s="33" t="str">
        <x:v>https://cdsco.gov.in/opencms/resources/UploadCDSCOWeb/2022/drug_rules/Drugs%20Rules%2C%201945.pdf</x:v>
      </x:c>
      <x:c r="I172" s="33" t="str">
        <x:v>P-2</x:v>
      </x:c>
      <x:c r="J172" s="33" t="str">
        <x:v>2026-08-20</x:v>
      </x:c>
      <x:c r="K172" s="33" t="str">
        <x:v>New controlled P-2 chain node.</x:v>
      </x:c>
    </x:row>
    <x:row r="173">
      <x:c r="A173" s="33" t="str">
        <x:v>PPCM532</x:v>
      </x:c>
      <x:c r="B173" s="33" t="str">
        <x:v>Provision_ComplianceArea_Map</x:v>
      </x:c>
      <x:c r="C173" s="33" t="str">
        <x:v>Not present</x:v>
      </x:c>
      <x:c r="D173" s="33" t="str">
        <x:v>Map ID=PPCM532; Provision ID=PROV289; Compliance Area ID=CA006; Active=Yes; Remarks=Schedule N.</x:v>
      </x:c>
      <x:c r="E173" s="33" t="str">
        <x:v>ADD</x:v>
      </x:c>
      <x:c r="F173" s="33" t="str">
        <x:v>Map normalized/new Drugs Rules provisions to current compliance areas.</x:v>
      </x:c>
      <x:c r="G173" s="33" t="str">
        <x:v>CDSCO official Drugs Rules / Gazette</x:v>
      </x:c>
      <x:c r="H173" s="33" t="str">
        <x:v>https://cdsco.gov.in/opencms/resources/UploadCDSCOWeb/2022/drug_rules/Drugs%20Rules%2C%201945.pdf</x:v>
      </x:c>
      <x:c r="I173" s="33" t="str">
        <x:v>P-2</x:v>
      </x:c>
      <x:c r="J173" s="33" t="str">
        <x:v>2026-08-20</x:v>
      </x:c>
      <x:c r="K173" s="33" t="str">
        <x:v>New controlled P-2 chain node.</x:v>
      </x:c>
    </x:row>
    <x:row r="174">
      <x:c r="A174" s="33" t="str">
        <x:v>PPCM533</x:v>
      </x:c>
      <x:c r="B174" s="33" t="str">
        <x:v>Provision_ComplianceArea_Map</x:v>
      </x:c>
      <x:c r="C174" s="33" t="str">
        <x:v>Not present</x:v>
      </x:c>
      <x:c r="D174" s="33" t="str">
        <x:v>Map ID=PPCM533; Provision ID=PROV290; Compliance Area ID=CA020; Active=Yes; Remarks=Institutional signed orders.</x:v>
      </x:c>
      <x:c r="E174" s="33" t="str">
        <x:v>ADD</x:v>
      </x:c>
      <x:c r="F174" s="33" t="str">
        <x:v>Map normalized/new Drugs Rules provisions to current compliance areas.</x:v>
      </x:c>
      <x:c r="G174" s="33" t="str">
        <x:v>CDSCO official Drugs Rules / Gazette</x:v>
      </x:c>
      <x:c r="H174" s="33" t="str">
        <x:v>https://cdsco.gov.in/opencms/resources/UploadCDSCOWeb/2022/drug_rules/Drugs%20Rules%2C%201945.pdf</x:v>
      </x:c>
      <x:c r="I174" s="33" t="str">
        <x:v>P-2</x:v>
      </x:c>
      <x:c r="J174" s="33" t="str">
        <x:v>2026-08-20</x:v>
      </x:c>
      <x:c r="K174" s="33" t="str">
        <x:v>New controlled P-2 chain node.</x:v>
      </x:c>
    </x:row>
    <x:row r="175">
      <x:c r="A175" s="33" t="str">
        <x:v>AUD023</x:v>
      </x:c>
      <x:c r="B175" s="33" t="str">
        <x:v>Audit Procedure Master</x:v>
      </x:c>
      <x:c r="C175" s="33" t="str">
        <x:v>Active=Yes; Remarks=Activities beyond licence scope require approval.</x:v>
      </x:c>
      <x:c r="D175" s="33" t="str">
        <x:v>Active=No; Remarks=P-2 QUARANTINED: procedure did not substantively test its parent Drugs Rules compliance. Replaced by AUD537; legacy ID retained.</x:v>
      </x:c>
      <x:c r="E175" s="33" t="str">
        <x:v>RECLASSIFY / RETIRE</x:v>
      </x:c>
      <x:c r="F175" s="33" t="str">
        <x:v>Remove false audit-to-compliance traceability.</x:v>
      </x:c>
      <x:c r="G175" s="33" t="str">
        <x:v>CDSCO official Drugs Rules / Gazette</x:v>
      </x:c>
      <x:c r="H175" s="33" t="str">
        <x:v>https://cdsco.gov.in/opencms/resources/UploadCDSCOWeb/2022/drug_rules/Drugs%20Rules%2C%201945.pdf</x:v>
      </x:c>
      <x:c r="I175" s="33" t="str">
        <x:v>P-2</x:v>
      </x:c>
      <x:c r="J175" s="33" t="str">
        <x:v>2026-08-20</x:v>
      </x:c>
      <x:c r="K175" s="33" t="str">
        <x:v>Inactive legacy audit; replacement AUD537.</x:v>
      </x:c>
    </x:row>
    <x:row r="176">
      <x:c r="A176" s="33" t="str">
        <x:v>AUD024</x:v>
      </x:c>
      <x:c r="B176" s="33" t="str">
        <x:v>Audit Procedure Master</x:v>
      </x:c>
      <x:c r="C176" s="33" t="str">
        <x:v>Active=Yes; Remarks=Sample product categories during audit.</x:v>
      </x:c>
      <x:c r="D176" s="33" t="str">
        <x:v>Active=No; Remarks=P-2 QUARANTINED: procedure did not substantively test its parent Drugs Rules compliance. Replaced by AUD537; legacy ID retained.</x:v>
      </x:c>
      <x:c r="E176" s="33" t="str">
        <x:v>RECLASSIFY / RETIRE</x:v>
      </x:c>
      <x:c r="F176" s="33" t="str">
        <x:v>Remove false audit-to-compliance traceability.</x:v>
      </x:c>
      <x:c r="G176" s="33" t="str">
        <x:v>CDSCO official Drugs Rules / Gazette</x:v>
      </x:c>
      <x:c r="H176" s="33" t="str">
        <x:v>https://cdsco.gov.in/opencms/resources/UploadCDSCOWeb/2022/drug_rules/Drugs%20Rules%2C%201945.pdf</x:v>
      </x:c>
      <x:c r="I176" s="33" t="str">
        <x:v>P-2</x:v>
      </x:c>
      <x:c r="J176" s="33" t="str">
        <x:v>2026-08-20</x:v>
      </x:c>
      <x:c r="K176" s="33" t="str">
        <x:v>Inactive legacy audit; replacement AUD537.</x:v>
      </x:c>
    </x:row>
    <x:row r="177">
      <x:c r="A177" s="33" t="str">
        <x:v>AUD025</x:v>
      </x:c>
      <x:c r="B177" s="33" t="str">
        <x:v>Audit Procedure Master</x:v>
      </x:c>
      <x:c r="C177" s="33" t="str">
        <x:v>Active=Yes; Remarks=Includes medicine storage and dispensing areas.</x:v>
      </x:c>
      <x:c r="D177" s="33" t="str">
        <x:v>Active=No; Remarks=P-2 QUARANTINED: procedure did not substantively test its parent Drugs Rules compliance. Replaced by AUD538; legacy ID retained.</x:v>
      </x:c>
      <x:c r="E177" s="33" t="str">
        <x:v>RECLASSIFY / RETIRE</x:v>
      </x:c>
      <x:c r="F177" s="33" t="str">
        <x:v>Remove false audit-to-compliance traceability.</x:v>
      </x:c>
      <x:c r="G177" s="33" t="str">
        <x:v>CDSCO official Drugs Rules / Gazette</x:v>
      </x:c>
      <x:c r="H177" s="33" t="str">
        <x:v>https://cdsco.gov.in/opencms/resources/UploadCDSCOWeb/2022/drug_rules/Drugs%20Rules%2C%201945.pdf</x:v>
      </x:c>
      <x:c r="I177" s="33" t="str">
        <x:v>P-2</x:v>
      </x:c>
      <x:c r="J177" s="33" t="str">
        <x:v>2026-08-20</x:v>
      </x:c>
      <x:c r="K177" s="33" t="str">
        <x:v>Inactive legacy audit; replacement AUD538.</x:v>
      </x:c>
    </x:row>
    <x:row r="178">
      <x:c r="A178" s="33" t="str">
        <x:v>AUD026</x:v>
      </x:c>
      <x:c r="B178" s="33" t="str">
        <x:v>Audit Procedure Master</x:v>
      </x:c>
      <x:c r="C178" s="33" t="str">
        <x:v>Active=Yes; Remarks=Restricted access should be effectively implemented.</x:v>
      </x:c>
      <x:c r="D178" s="33" t="str">
        <x:v>Active=No; Remarks=P-2 QUARANTINED: procedure did not substantively test its parent Drugs Rules compliance. Replaced by AUD538; legacy ID retained.</x:v>
      </x:c>
      <x:c r="E178" s="33" t="str">
        <x:v>RECLASSIFY / RETIRE</x:v>
      </x:c>
      <x:c r="F178" s="33" t="str">
        <x:v>Remove false audit-to-compliance traceability.</x:v>
      </x:c>
      <x:c r="G178" s="33" t="str">
        <x:v>CDSCO official Drugs Rules / Gazette</x:v>
      </x:c>
      <x:c r="H178" s="33" t="str">
        <x:v>https://cdsco.gov.in/opencms/resources/UploadCDSCOWeb/2022/drug_rules/Drugs%20Rules%2C%201945.pdf</x:v>
      </x:c>
      <x:c r="I178" s="33" t="str">
        <x:v>P-2</x:v>
      </x:c>
      <x:c r="J178" s="33" t="str">
        <x:v>2026-08-20</x:v>
      </x:c>
      <x:c r="K178" s="33" t="str">
        <x:v>Inactive legacy audit; replacement AUD538.</x:v>
      </x:c>
    </x:row>
    <x:row r="179">
      <x:c r="A179" s="33" t="str">
        <x:v>AUD027</x:v>
      </x:c>
      <x:c r="B179" s="33" t="str">
        <x:v>Audit Procedure Master</x:v>
      </x:c>
      <x:c r="C179" s="33" t="str">
        <x:v>Active=Yes; Remarks=Retention period should comply with applicable law.</x:v>
      </x:c>
      <x:c r="D179" s="33" t="str">
        <x:v>Active=No; Remarks=P-2 QUARANTINED: procedure did not substantively test its parent Drugs Rules compliance. Replaced by AUD539; legacy ID retained.</x:v>
      </x:c>
      <x:c r="E179" s="33" t="str">
        <x:v>RECLASSIFY / RETIRE</x:v>
      </x:c>
      <x:c r="F179" s="33" t="str">
        <x:v>Remove false audit-to-compliance traceability.</x:v>
      </x:c>
      <x:c r="G179" s="33" t="str">
        <x:v>CDSCO official Drugs Rules / Gazette</x:v>
      </x:c>
      <x:c r="H179" s="33" t="str">
        <x:v>https://cdsco.gov.in/opencms/resources/UploadCDSCOWeb/2022/drug_rules/Drugs%20Rules%2C%201945.pdf</x:v>
      </x:c>
      <x:c r="I179" s="33" t="str">
        <x:v>P-2</x:v>
      </x:c>
      <x:c r="J179" s="33" t="str">
        <x:v>2026-08-20</x:v>
      </x:c>
      <x:c r="K179" s="33" t="str">
        <x:v>Inactive legacy audit; replacement AUD539.</x:v>
      </x:c>
    </x:row>
    <x:row r="180">
      <x:c r="A180" s="33" t="str">
        <x:v>AUD028</x:v>
      </x:c>
      <x:c r="B180" s="33" t="str">
        <x:v>Audit Procedure Master</x:v>
      </x:c>
      <x:c r="C180" s="33" t="str">
        <x:v>Active=Yes; Remarks=Archived records should be readily available.</x:v>
      </x:c>
      <x:c r="D180" s="33" t="str">
        <x:v>Active=No; Remarks=P-2 QUARANTINED: procedure did not substantively test its parent Drugs Rules compliance. Replaced by AUD539; legacy ID retained.</x:v>
      </x:c>
      <x:c r="E180" s="33" t="str">
        <x:v>RECLASSIFY / RETIRE</x:v>
      </x:c>
      <x:c r="F180" s="33" t="str">
        <x:v>Remove false audit-to-compliance traceability.</x:v>
      </x:c>
      <x:c r="G180" s="33" t="str">
        <x:v>CDSCO official Drugs Rules / Gazette</x:v>
      </x:c>
      <x:c r="H180" s="33" t="str">
        <x:v>https://cdsco.gov.in/opencms/resources/UploadCDSCOWeb/2022/drug_rules/Drugs%20Rules%2C%201945.pdf</x:v>
      </x:c>
      <x:c r="I180" s="33" t="str">
        <x:v>P-2</x:v>
      </x:c>
      <x:c r="J180" s="33" t="str">
        <x:v>2026-08-20</x:v>
      </x:c>
      <x:c r="K180" s="33" t="str">
        <x:v>Inactive legacy audit; replacement AUD539.</x:v>
      </x:c>
    </x:row>
    <x:row r="181">
      <x:c r="A181" s="33" t="str">
        <x:v>AUD029</x:v>
      </x:c>
      <x:c r="B181" s="33" t="str">
        <x:v>Audit Procedure Master</x:v>
      </x:c>
      <x:c r="C181" s="33" t="str">
        <x:v>Active=Yes; Remarks=Includes notices, approvals and replies.</x:v>
      </x:c>
      <x:c r="D181" s="33" t="str">
        <x:v>Active=No; Remarks=P-2 QUARANTINED: procedure did not substantively test its parent Drugs Rules compliance. Replaced by AUD540; legacy ID retained.</x:v>
      </x:c>
      <x:c r="E181" s="33" t="str">
        <x:v>RECLASSIFY / RETIRE</x:v>
      </x:c>
      <x:c r="F181" s="33" t="str">
        <x:v>Remove false audit-to-compliance traceability.</x:v>
      </x:c>
      <x:c r="G181" s="33" t="str">
        <x:v>CDSCO official Drugs Rules / Gazette</x:v>
      </x:c>
      <x:c r="H181" s="33" t="str">
        <x:v>https://cdsco.gov.in/opencms/resources/UploadCDSCOWeb/2022/drug_rules/Drugs%20Rules%2C%201945.pdf</x:v>
      </x:c>
      <x:c r="I181" s="33" t="str">
        <x:v>P-2</x:v>
      </x:c>
      <x:c r="J181" s="33" t="str">
        <x:v>2026-08-20</x:v>
      </x:c>
      <x:c r="K181" s="33" t="str">
        <x:v>Inactive legacy audit; replacement AUD540.</x:v>
      </x:c>
    </x:row>
    <x:row r="182">
      <x:c r="A182" s="33" t="str">
        <x:v>AUD030</x:v>
      </x:c>
      <x:c r="B182" s="33" t="str">
        <x:v>Audit Procedure Master</x:v>
      </x:c>
      <x:c r="C182" s="33" t="str">
        <x:v>Active=Yes; Remarks=Ensure no communication is omitted.</x:v>
      </x:c>
      <x:c r="D182" s="33" t="str">
        <x:v>Active=No; Remarks=P-2 QUARANTINED: procedure did not substantively test its parent Drugs Rules compliance. Replaced by AUD540; legacy ID retained.</x:v>
      </x:c>
      <x:c r="E182" s="33" t="str">
        <x:v>RECLASSIFY / RETIRE</x:v>
      </x:c>
      <x:c r="F182" s="33" t="str">
        <x:v>Remove false audit-to-compliance traceability.</x:v>
      </x:c>
      <x:c r="G182" s="33" t="str">
        <x:v>CDSCO official Drugs Rules / Gazette</x:v>
      </x:c>
      <x:c r="H182" s="33" t="str">
        <x:v>https://cdsco.gov.in/opencms/resources/UploadCDSCOWeb/2022/drug_rules/Drugs%20Rules%2C%201945.pdf</x:v>
      </x:c>
      <x:c r="I182" s="33" t="str">
        <x:v>P-2</x:v>
      </x:c>
      <x:c r="J182" s="33" t="str">
        <x:v>2026-08-20</x:v>
      </x:c>
      <x:c r="K182" s="33" t="str">
        <x:v>Inactive legacy audit; replacement AUD540.</x:v>
      </x:c>
    </x:row>
    <x:row r="183">
      <x:c r="A183" s="33" t="str">
        <x:v>AUD031</x:v>
      </x:c>
      <x:c r="B183" s="33" t="str">
        <x:v>Audit Procedure Master</x:v>
      </x:c>
      <x:c r="C183" s="33" t="str">
        <x:v>Active=Yes; Remarks=Delayed responses should be justified.</x:v>
      </x:c>
      <x:c r="D183" s="33" t="str">
        <x:v>Active=No; Remarks=P-2 QUARANTINED: procedure did not substantively test its parent Drugs Rules compliance. Replaced by AUD541; legacy ID retained.</x:v>
      </x:c>
      <x:c r="E183" s="33" t="str">
        <x:v>RECLASSIFY / RETIRE</x:v>
      </x:c>
      <x:c r="F183" s="33" t="str">
        <x:v>Remove false audit-to-compliance traceability.</x:v>
      </x:c>
      <x:c r="G183" s="33" t="str">
        <x:v>CDSCO official Drugs Rules / Gazette</x:v>
      </x:c>
      <x:c r="H183" s="33" t="str">
        <x:v>https://cdsco.gov.in/opencms/resources/UploadCDSCOWeb/2022/drug_rules/Drugs%20Rules%2C%201945.pdf</x:v>
      </x:c>
      <x:c r="I183" s="33" t="str">
        <x:v>P-2</x:v>
      </x:c>
      <x:c r="J183" s="33" t="str">
        <x:v>2026-08-20</x:v>
      </x:c>
      <x:c r="K183" s="33" t="str">
        <x:v>Inactive legacy audit; replacement AUD541.</x:v>
      </x:c>
    </x:row>
    <x:row r="184">
      <x:c r="A184" s="33" t="str">
        <x:v>AUD032</x:v>
      </x:c>
      <x:c r="B184" s="33" t="str">
        <x:v>Audit Procedure Master</x:v>
      </x:c>
      <x:c r="C184" s="33" t="str">
        <x:v>Active=Yes; Remarks=Maintain acknowledgement records.</x:v>
      </x:c>
      <x:c r="D184" s="33" t="str">
        <x:v>Active=No; Remarks=P-2 QUARANTINED: procedure did not substantively test its parent Drugs Rules compliance. Replaced by AUD541; legacy ID retained.</x:v>
      </x:c>
      <x:c r="E184" s="33" t="str">
        <x:v>RECLASSIFY / RETIRE</x:v>
      </x:c>
      <x:c r="F184" s="33" t="str">
        <x:v>Remove false audit-to-compliance traceability.</x:v>
      </x:c>
      <x:c r="G184" s="33" t="str">
        <x:v>CDSCO official Drugs Rules / Gazette</x:v>
      </x:c>
      <x:c r="H184" s="33" t="str">
        <x:v>https://cdsco.gov.in/opencms/resources/UploadCDSCOWeb/2022/drug_rules/Drugs%20Rules%2C%201945.pdf</x:v>
      </x:c>
      <x:c r="I184" s="33" t="str">
        <x:v>P-2</x:v>
      </x:c>
      <x:c r="J184" s="33" t="str">
        <x:v>2026-08-20</x:v>
      </x:c>
      <x:c r="K184" s="33" t="str">
        <x:v>Inactive legacy audit; replacement AUD541.</x:v>
      </x:c>
    </x:row>
    <x:row r="185">
      <x:c r="A185" s="33" t="str">
        <x:v>AUD033</x:v>
      </x:c>
      <x:c r="B185" s="33" t="str">
        <x:v>Audit Procedure Master</x:v>
      </x:c>
      <x:c r="C185" s="33" t="str">
        <x:v>Active=Yes; Remarks=Verify submission dates and completeness.</x:v>
      </x:c>
      <x:c r="D185" s="33" t="str">
        <x:v>Active=No; Remarks=P-2 QUARANTINED: procedure did not substantively test its parent Drugs Rules compliance. Replaced by AUD542; legacy ID retained.</x:v>
      </x:c>
      <x:c r="E185" s="33" t="str">
        <x:v>RECLASSIFY / RETIRE</x:v>
      </x:c>
      <x:c r="F185" s="33" t="str">
        <x:v>Remove false audit-to-compliance traceability.</x:v>
      </x:c>
      <x:c r="G185" s="33" t="str">
        <x:v>CDSCO official Drugs Rules / Gazette</x:v>
      </x:c>
      <x:c r="H185" s="33" t="str">
        <x:v>https://cdsco.gov.in/opencms/resources/UploadCDSCOWeb/2022/drug_rules/Drugs%20Rules%2C%201945.pdf</x:v>
      </x:c>
      <x:c r="I185" s="33" t="str">
        <x:v>P-2</x:v>
      </x:c>
      <x:c r="J185" s="33" t="str">
        <x:v>2026-08-20</x:v>
      </x:c>
      <x:c r="K185" s="33" t="str">
        <x:v>Inactive legacy audit; replacement AUD542.</x:v>
      </x:c>
    </x:row>
    <x:row r="186">
      <x:c r="A186" s="33" t="str">
        <x:v>AUD034</x:v>
      </x:c>
      <x:c r="B186" s="33" t="str">
        <x:v>Audit Procedure Master</x:v>
      </x:c>
      <x:c r="C186" s="33" t="str">
        <x:v>Active=Yes; Remarks=Investigate discrepancies.</x:v>
      </x:c>
      <x:c r="D186" s="33" t="str">
        <x:v>Active=No; Remarks=P-2 QUARANTINED: procedure did not substantively test its parent Drugs Rules compliance. Replaced by AUD542; legacy ID retained.</x:v>
      </x:c>
      <x:c r="E186" s="33" t="str">
        <x:v>RECLASSIFY / RETIRE</x:v>
      </x:c>
      <x:c r="F186" s="33" t="str">
        <x:v>Remove false audit-to-compliance traceability.</x:v>
      </x:c>
      <x:c r="G186" s="33" t="str">
        <x:v>CDSCO official Drugs Rules / Gazette</x:v>
      </x:c>
      <x:c r="H186" s="33" t="str">
        <x:v>https://cdsco.gov.in/opencms/resources/UploadCDSCOWeb/2022/drug_rules/Drugs%20Rules%2C%201945.pdf</x:v>
      </x:c>
      <x:c r="I186" s="33" t="str">
        <x:v>P-2</x:v>
      </x:c>
      <x:c r="J186" s="33" t="str">
        <x:v>2026-08-20</x:v>
      </x:c>
      <x:c r="K186" s="33" t="str">
        <x:v>Inactive legacy audit; replacement AUD542.</x:v>
      </x:c>
    </x:row>
    <x:row r="187">
      <x:c r="A187" s="33" t="str">
        <x:v>AUD035</x:v>
      </x:c>
      <x:c r="B187" s="33" t="str">
        <x:v>Audit Procedure Master</x:v>
      </x:c>
      <x:c r="C187" s="33" t="str">
        <x:v>Active=Yes; Remarks=Cross-check payment receipts.</x:v>
      </x:c>
      <x:c r="D187" s="33" t="str">
        <x:v>Active=No; Remarks=P-2 QUARANTINED: procedure did not substantively test its parent Drugs Rules compliance. Replaced by AUD543; legacy ID retained.</x:v>
      </x:c>
      <x:c r="E187" s="33" t="str">
        <x:v>RECLASSIFY / RETIRE</x:v>
      </x:c>
      <x:c r="F187" s="33" t="str">
        <x:v>Remove false audit-to-compliance traceability.</x:v>
      </x:c>
      <x:c r="G187" s="33" t="str">
        <x:v>CDSCO official Drugs Rules / Gazette</x:v>
      </x:c>
      <x:c r="H187" s="33" t="str">
        <x:v>https://cdsco.gov.in/opencms/resources/UploadCDSCOWeb/2022/drug_rules/Drugs%20Rules%2C%201945.pdf</x:v>
      </x:c>
      <x:c r="I187" s="33" t="str">
        <x:v>P-2</x:v>
      </x:c>
      <x:c r="J187" s="33" t="str">
        <x:v>2026-08-20</x:v>
      </x:c>
      <x:c r="K187" s="33" t="str">
        <x:v>Inactive legacy audit; replacement AUD543.</x:v>
      </x:c>
    </x:row>
    <x:row r="188">
      <x:c r="A188" s="33" t="str">
        <x:v>AUD036</x:v>
      </x:c>
      <x:c r="B188" s="33" t="str">
        <x:v>Audit Procedure Master</x:v>
      </x:c>
      <x:c r="C188" s="33" t="str">
        <x:v>Active=Yes; Remarks=Ensure no outstanding dues.</x:v>
      </x:c>
      <x:c r="D188" s="33" t="str">
        <x:v>Active=No; Remarks=P-2 QUARANTINED: procedure did not substantively test its parent Drugs Rules compliance. Replaced by AUD543; legacy ID retained.</x:v>
      </x:c>
      <x:c r="E188" s="33" t="str">
        <x:v>RECLASSIFY / RETIRE</x:v>
      </x:c>
      <x:c r="F188" s="33" t="str">
        <x:v>Remove false audit-to-compliance traceability.</x:v>
      </x:c>
      <x:c r="G188" s="33" t="str">
        <x:v>CDSCO official Drugs Rules / Gazette</x:v>
      </x:c>
      <x:c r="H188" s="33" t="str">
        <x:v>https://cdsco.gov.in/opencms/resources/UploadCDSCOWeb/2022/drug_rules/Drugs%20Rules%2C%201945.pdf</x:v>
      </x:c>
      <x:c r="I188" s="33" t="str">
        <x:v>P-2</x:v>
      </x:c>
      <x:c r="J188" s="33" t="str">
        <x:v>2026-08-20</x:v>
      </x:c>
      <x:c r="K188" s="33" t="str">
        <x:v>Inactive legacy audit; replacement AUD543.</x:v>
      </x:c>
    </x:row>
    <x:row r="189">
      <x:c r="A189" s="33" t="str">
        <x:v>AUD037</x:v>
      </x:c>
      <x:c r="B189" s="33" t="str">
        <x:v>Audit Procedure Master</x:v>
      </x:c>
      <x:c r="C189" s="33" t="str">
        <x:v>Active=Yes; Remarks=Applicable only where duplicates issued.</x:v>
      </x:c>
      <x:c r="D189" s="33" t="str">
        <x:v>Active=No; Remarks=P-2 QUARANTINED: procedure did not substantively test its parent Drugs Rules compliance. Replaced by AUD544; legacy ID retained.</x:v>
      </x:c>
      <x:c r="E189" s="33" t="str">
        <x:v>RECLASSIFY / RETIRE</x:v>
      </x:c>
      <x:c r="F189" s="33" t="str">
        <x:v>Remove false audit-to-compliance traceability.</x:v>
      </x:c>
      <x:c r="G189" s="33" t="str">
        <x:v>CDSCO official Drugs Rules / Gazette</x:v>
      </x:c>
      <x:c r="H189" s="33" t="str">
        <x:v>https://cdsco.gov.in/opencms/resources/UploadCDSCOWeb/2022/drug_rules/Drugs%20Rules%2C%201945.pdf</x:v>
      </x:c>
      <x:c r="I189" s="33" t="str">
        <x:v>P-2</x:v>
      </x:c>
      <x:c r="J189" s="33" t="str">
        <x:v>2026-08-20</x:v>
      </x:c>
      <x:c r="K189" s="33" t="str">
        <x:v>Inactive legacy audit; replacement AUD544.</x:v>
      </x:c>
    </x:row>
    <x:row r="190">
      <x:c r="A190" s="33" t="str">
        <x:v>AUD038</x:v>
      </x:c>
      <x:c r="B190" s="33" t="str">
        <x:v>Audit Procedure Master</x:v>
      </x:c>
      <x:c r="C190" s="33" t="str">
        <x:v>Active=Yes; Remarks=Verify regulatory approval documentation.</x:v>
      </x:c>
      <x:c r="D190" s="33" t="str">
        <x:v>Active=No; Remarks=P-2 QUARANTINED: procedure did not substantively test its parent Drugs Rules compliance. Replaced by AUD544; legacy ID retained.</x:v>
      </x:c>
      <x:c r="E190" s="33" t="str">
        <x:v>RECLASSIFY / RETIRE</x:v>
      </x:c>
      <x:c r="F190" s="33" t="str">
        <x:v>Remove false audit-to-compliance traceability.</x:v>
      </x:c>
      <x:c r="G190" s="33" t="str">
        <x:v>CDSCO official Drugs Rules / Gazette</x:v>
      </x:c>
      <x:c r="H190" s="33" t="str">
        <x:v>https://cdsco.gov.in/opencms/resources/UploadCDSCOWeb/2022/drug_rules/Drugs%20Rules%2C%201945.pdf</x:v>
      </x:c>
      <x:c r="I190" s="33" t="str">
        <x:v>P-2</x:v>
      </x:c>
      <x:c r="J190" s="33" t="str">
        <x:v>2026-08-20</x:v>
      </x:c>
      <x:c r="K190" s="33" t="str">
        <x:v>Inactive legacy audit; replacement AUD544.</x:v>
      </x:c>
    </x:row>
    <x:row r="191">
      <x:c r="A191" s="33" t="str">
        <x:v>AUD039</x:v>
      </x:c>
      <x:c r="B191" s="33" t="str">
        <x:v>Audit Procedure Master</x:v>
      </x:c>
      <x:c r="C191" s="33" t="str">
        <x:v>Active=Yes; Remarks=Significant changes require approval.</x:v>
      </x:c>
      <x:c r="D191" s="33" t="str">
        <x:v>Active=No; Remarks=P-2 QUARANTINED: procedure did not substantively test its parent Drugs Rules compliance. Replaced by AUD545; legacy ID retained.</x:v>
      </x:c>
      <x:c r="E191" s="33" t="str">
        <x:v>RECLASSIFY / RETIRE</x:v>
      </x:c>
      <x:c r="F191" s="33" t="str">
        <x:v>Remove false audit-to-compliance traceability.</x:v>
      </x:c>
      <x:c r="G191" s="33" t="str">
        <x:v>CDSCO official Drugs Rules / Gazette</x:v>
      </x:c>
      <x:c r="H191" s="33" t="str">
        <x:v>https://cdsco.gov.in/opencms/resources/UploadCDSCOWeb/2022/drug_rules/Drugs%20Rules%2C%201945.pdf</x:v>
      </x:c>
      <x:c r="I191" s="33" t="str">
        <x:v>P-2</x:v>
      </x:c>
      <x:c r="J191" s="33" t="str">
        <x:v>2026-08-20</x:v>
      </x:c>
      <x:c r="K191" s="33" t="str">
        <x:v>Inactive legacy audit; replacement AUD545.</x:v>
      </x:c>
    </x:row>
    <x:row r="192">
      <x:c r="A192" s="33" t="str">
        <x:v>AUD040</x:v>
      </x:c>
      <x:c r="B192" s="33" t="str">
        <x:v>Audit Procedure Master</x:v>
      </x:c>
      <x:c r="C192" s="33" t="str">
        <x:v>Active=Yes; Remarks=Deviations should be documented.</x:v>
      </x:c>
      <x:c r="D192" s="33" t="str">
        <x:v>Active=No; Remarks=P-2 QUARANTINED: procedure did not substantively test its parent Drugs Rules compliance. Replaced by AUD545; legacy ID retained.</x:v>
      </x:c>
      <x:c r="E192" s="33" t="str">
        <x:v>RECLASSIFY / RETIRE</x:v>
      </x:c>
      <x:c r="F192" s="33" t="str">
        <x:v>Remove false audit-to-compliance traceability.</x:v>
      </x:c>
      <x:c r="G192" s="33" t="str">
        <x:v>CDSCO official Drugs Rules / Gazette</x:v>
      </x:c>
      <x:c r="H192" s="33" t="str">
        <x:v>https://cdsco.gov.in/opencms/resources/UploadCDSCOWeb/2022/drug_rules/Drugs%20Rules%2C%201945.pdf</x:v>
      </x:c>
      <x:c r="I192" s="33" t="str">
        <x:v>P-2</x:v>
      </x:c>
      <x:c r="J192" s="33" t="str">
        <x:v>2026-08-20</x:v>
      </x:c>
      <x:c r="K192" s="33" t="str">
        <x:v>Inactive legacy audit; replacement AUD545.</x:v>
      </x:c>
    </x:row>
    <x:row r="193">
      <x:c r="A193" s="33" t="str">
        <x:v>AUD041</x:v>
      </x:c>
      <x:c r="B193" s="33" t="str">
        <x:v>Audit Procedure Master</x:v>
      </x:c>
      <x:c r="C193" s="33" t="str">
        <x:v>Active=Yes; Remarks=Name should match licence.</x:v>
      </x:c>
      <x:c r="D193" s="33" t="str">
        <x:v>Active=No; Remarks=P-2 QUARANTINED: procedure did not substantively test its parent Drugs Rules compliance. Replaced by AUD546; legacy ID retained.</x:v>
      </x:c>
      <x:c r="E193" s="33" t="str">
        <x:v>RECLASSIFY / RETIRE</x:v>
      </x:c>
      <x:c r="F193" s="33" t="str">
        <x:v>Remove false audit-to-compliance traceability.</x:v>
      </x:c>
      <x:c r="G193" s="33" t="str">
        <x:v>CDSCO official Drugs Rules / Gazette</x:v>
      </x:c>
      <x:c r="H193" s="33" t="str">
        <x:v>https://cdsco.gov.in/opencms/resources/UploadCDSCOWeb/2022/drug_rules/Drugs%20Rules%2C%201945.pdf</x:v>
      </x:c>
      <x:c r="I193" s="33" t="str">
        <x:v>P-2</x:v>
      </x:c>
      <x:c r="J193" s="33" t="str">
        <x:v>2026-08-20</x:v>
      </x:c>
      <x:c r="K193" s="33" t="str">
        <x:v>Inactive legacy audit; replacement AUD546.</x:v>
      </x:c>
    </x:row>
    <x:row r="194">
      <x:c r="A194" s="33" t="str">
        <x:v>AUD042</x:v>
      </x:c>
      <x:c r="B194" s="33" t="str">
        <x:v>Audit Procedure Master</x:v>
      </x:c>
      <x:c r="C194" s="33" t="str">
        <x:v>Active=Yes; Remarks=Verify consistency with licence.</x:v>
      </x:c>
      <x:c r="D194" s="33" t="str">
        <x:v>Active=No; Remarks=P-2 QUARANTINED: procedure did not substantively test its parent Drugs Rules compliance. Replaced by AUD546; legacy ID retained.</x:v>
      </x:c>
      <x:c r="E194" s="33" t="str">
        <x:v>RECLASSIFY / RETIRE</x:v>
      </x:c>
      <x:c r="F194" s="33" t="str">
        <x:v>Remove false audit-to-compliance traceability.</x:v>
      </x:c>
      <x:c r="G194" s="33" t="str">
        <x:v>CDSCO official Drugs Rules / Gazette</x:v>
      </x:c>
      <x:c r="H194" s="33" t="str">
        <x:v>https://cdsco.gov.in/opencms/resources/UploadCDSCOWeb/2022/drug_rules/Drugs%20Rules%2C%201945.pdf</x:v>
      </x:c>
      <x:c r="I194" s="33" t="str">
        <x:v>P-2</x:v>
      </x:c>
      <x:c r="J194" s="33" t="str">
        <x:v>2026-08-20</x:v>
      </x:c>
      <x:c r="K194" s="33" t="str">
        <x:v>Inactive legacy audit; replacement AUD546.</x:v>
      </x:c>
    </x:row>
    <x:row r="195">
      <x:c r="A195" s="33" t="str">
        <x:v>AUD043</x:v>
      </x:c>
      <x:c r="B195" s="33" t="str">
        <x:v>Audit Procedure Master</x:v>
      </x:c>
      <x:c r="C195" s="33" t="str">
        <x:v>Active=Yes; Remarks=Backup arrangements should exist where applicable.</x:v>
      </x:c>
      <x:c r="D195" s="33" t="str">
        <x:v>Active=No; Remarks=P-2 QUARANTINED: procedure did not substantively test its parent Drugs Rules compliance. Replaced by AUD547; legacy ID retained.</x:v>
      </x:c>
      <x:c r="E195" s="33" t="str">
        <x:v>RECLASSIFY / RETIRE</x:v>
      </x:c>
      <x:c r="F195" s="33" t="str">
        <x:v>Remove false audit-to-compliance traceability.</x:v>
      </x:c>
      <x:c r="G195" s="33" t="str">
        <x:v>CDSCO official Drugs Rules / Gazette</x:v>
      </x:c>
      <x:c r="H195" s="33" t="str">
        <x:v>https://cdsco.gov.in/opencms/resources/UploadCDSCOWeb/2022/drug_rules/Drugs%20Rules%2C%201945.pdf</x:v>
      </x:c>
      <x:c r="I195" s="33" t="str">
        <x:v>P-2</x:v>
      </x:c>
      <x:c r="J195" s="33" t="str">
        <x:v>2026-08-20</x:v>
      </x:c>
      <x:c r="K195" s="33" t="str">
        <x:v>Inactive legacy audit; replacement AUD547.</x:v>
      </x:c>
    </x:row>
    <x:row r="196">
      <x:c r="A196" s="33" t="str">
        <x:v>AUD044</x:v>
      </x:c>
      <x:c r="B196" s="33" t="str">
        <x:v>Audit Procedure Master</x:v>
      </x:c>
      <x:c r="C196" s="33" t="str">
        <x:v>Active=Yes; Remarks=Include physical and electronic records.</x:v>
      </x:c>
      <x:c r="D196" s="33" t="str">
        <x:v>Active=No; Remarks=P-2 QUARANTINED: procedure did not substantively test its parent Drugs Rules compliance. Replaced by AUD547; legacy ID retained.</x:v>
      </x:c>
      <x:c r="E196" s="33" t="str">
        <x:v>RECLASSIFY / RETIRE</x:v>
      </x:c>
      <x:c r="F196" s="33" t="str">
        <x:v>Remove false audit-to-compliance traceability.</x:v>
      </x:c>
      <x:c r="G196" s="33" t="str">
        <x:v>CDSCO official Drugs Rules / Gazette</x:v>
      </x:c>
      <x:c r="H196" s="33" t="str">
        <x:v>https://cdsco.gov.in/opencms/resources/UploadCDSCOWeb/2022/drug_rules/Drugs%20Rules%2C%201945.pdf</x:v>
      </x:c>
      <x:c r="I196" s="33" t="str">
        <x:v>P-2</x:v>
      </x:c>
      <x:c r="J196" s="33" t="str">
        <x:v>2026-08-20</x:v>
      </x:c>
      <x:c r="K196" s="33" t="str">
        <x:v>Inactive legacy audit; replacement AUD547.</x:v>
      </x:c>
    </x:row>
    <x:row r="197">
      <x:c r="A197" s="33" t="str">
        <x:v>AUD045</x:v>
      </x:c>
      <x:c r="B197" s="33" t="str">
        <x:v>Audit Procedure Master</x:v>
      </x:c>
      <x:c r="C197" s="33" t="str">
        <x:v>Active=Yes; Remarks=Maintain corrective action log.</x:v>
      </x:c>
      <x:c r="D197" s="33" t="str">
        <x:v>Active=No; Remarks=P-2 QUARANTINED: procedure did not substantively test its parent Drugs Rules compliance. Replaced by AUD548; legacy ID retained.</x:v>
      </x:c>
      <x:c r="E197" s="33" t="str">
        <x:v>RECLASSIFY / RETIRE</x:v>
      </x:c>
      <x:c r="F197" s="33" t="str">
        <x:v>Remove false audit-to-compliance traceability.</x:v>
      </x:c>
      <x:c r="G197" s="33" t="str">
        <x:v>CDSCO official Drugs Rules / Gazette</x:v>
      </x:c>
      <x:c r="H197" s="33" t="str">
        <x:v>https://cdsco.gov.in/opencms/resources/UploadCDSCOWeb/2022/drug_rules/Drugs%20Rules%2C%201945.pdf</x:v>
      </x:c>
      <x:c r="I197" s="33" t="str">
        <x:v>P-2</x:v>
      </x:c>
      <x:c r="J197" s="33" t="str">
        <x:v>2026-08-20</x:v>
      </x:c>
      <x:c r="K197" s="33" t="str">
        <x:v>Inactive legacy audit; replacement AUD548.</x:v>
      </x:c>
    </x:row>
    <x:row r="198">
      <x:c r="A198" s="33" t="str">
        <x:v>AUD046</x:v>
      </x:c>
      <x:c r="B198" s="33" t="str">
        <x:v>Audit Procedure Master</x:v>
      </x:c>
      <x:c r="C198" s="33" t="str">
        <x:v>Active=Yes; Remarks=Closure should be independently verifiable.</x:v>
      </x:c>
      <x:c r="D198" s="33" t="str">
        <x:v>Active=No; Remarks=P-2 QUARANTINED: procedure did not substantively test its parent Drugs Rules compliance. Replaced by AUD548; legacy ID retained.</x:v>
      </x:c>
      <x:c r="E198" s="33" t="str">
        <x:v>RECLASSIFY / RETIRE</x:v>
      </x:c>
      <x:c r="F198" s="33" t="str">
        <x:v>Remove false audit-to-compliance traceability.</x:v>
      </x:c>
      <x:c r="G198" s="33" t="str">
        <x:v>CDSCO official Drugs Rules / Gazette</x:v>
      </x:c>
      <x:c r="H198" s="33" t="str">
        <x:v>https://cdsco.gov.in/opencms/resources/UploadCDSCOWeb/2022/drug_rules/Drugs%20Rules%2C%201945.pdf</x:v>
      </x:c>
      <x:c r="I198" s="33" t="str">
        <x:v>P-2</x:v>
      </x:c>
      <x:c r="J198" s="33" t="str">
        <x:v>2026-08-20</x:v>
      </x:c>
      <x:c r="K198" s="33" t="str">
        <x:v>Inactive legacy audit; replacement AUD548.</x:v>
      </x:c>
    </x:row>
    <x:row r="199">
      <x:c r="A199" s="33" t="str">
        <x:v>AUD047</x:v>
      </x:c>
      <x:c r="B199" s="33" t="str">
        <x:v>Audit Procedure Master</x:v>
      </x:c>
      <x:c r="C199" s="33" t="str">
        <x:v>Active=Yes; Remarks=Includes special approvals where applicable.</x:v>
      </x:c>
      <x:c r="D199" s="33" t="str">
        <x:v>Active=No; Remarks=P-2 QUARANTINED: procedure did not substantively test its parent Drugs Rules compliance. Replaced by AUD549; legacy ID retained.</x:v>
      </x:c>
      <x:c r="E199" s="33" t="str">
        <x:v>RECLASSIFY / RETIRE</x:v>
      </x:c>
      <x:c r="F199" s="33" t="str">
        <x:v>Remove false audit-to-compliance traceability.</x:v>
      </x:c>
      <x:c r="G199" s="33" t="str">
        <x:v>CDSCO official Drugs Rules / Gazette</x:v>
      </x:c>
      <x:c r="H199" s="33" t="str">
        <x:v>https://cdsco.gov.in/opencms/resources/UploadCDSCOWeb/2022/drug_rules/Drugs%20Rules%2C%201945.pdf</x:v>
      </x:c>
      <x:c r="I199" s="33" t="str">
        <x:v>P-2</x:v>
      </x:c>
      <x:c r="J199" s="33" t="str">
        <x:v>2026-08-20</x:v>
      </x:c>
      <x:c r="K199" s="33" t="str">
        <x:v>Inactive legacy audit; replacement AUD549.</x:v>
      </x:c>
    </x:row>
    <x:row r="200">
      <x:c r="A200" s="33" t="str">
        <x:v>AUD048</x:v>
      </x:c>
      <x:c r="B200" s="33" t="str">
        <x:v>Audit Procedure Master</x:v>
      </x:c>
      <x:c r="C200" s="33" t="str">
        <x:v>Active=Yes; Remarks=No activity without approval.</x:v>
      </x:c>
      <x:c r="D200" s="33" t="str">
        <x:v>Active=No; Remarks=P-2 QUARANTINED: procedure did not substantively test its parent Drugs Rules compliance. Replaced by AUD549; legacy ID retained.</x:v>
      </x:c>
      <x:c r="E200" s="33" t="str">
        <x:v>RECLASSIFY / RETIRE</x:v>
      </x:c>
      <x:c r="F200" s="33" t="str">
        <x:v>Remove false audit-to-compliance traceability.</x:v>
      </x:c>
      <x:c r="G200" s="33" t="str">
        <x:v>CDSCO official Drugs Rules / Gazette</x:v>
      </x:c>
      <x:c r="H200" s="33" t="str">
        <x:v>https://cdsco.gov.in/opencms/resources/UploadCDSCOWeb/2022/drug_rules/Drugs%20Rules%2C%201945.pdf</x:v>
      </x:c>
      <x:c r="I200" s="33" t="str">
        <x:v>P-2</x:v>
      </x:c>
      <x:c r="J200" s="33" t="str">
        <x:v>2026-08-20</x:v>
      </x:c>
      <x:c r="K200" s="33" t="str">
        <x:v>Inactive legacy audit; replacement AUD549.</x:v>
      </x:c>
    </x:row>
    <x:row r="201">
      <x:c r="A201" s="33" t="str">
        <x:v>AUD049</x:v>
      </x:c>
      <x:c r="B201" s="33" t="str">
        <x:v>Audit Procedure Master</x:v>
      </x:c>
      <x:c r="C201" s="33" t="str">
        <x:v>Active=Yes; Remarks=Review meeting minutes and action items.</x:v>
      </x:c>
      <x:c r="D201" s="33" t="str">
        <x:v>Active=No; Remarks=P-2 QUARANTINED: procedure did not substantively test its parent Drugs Rules compliance. Replaced by AUD550; legacy ID retained.</x:v>
      </x:c>
      <x:c r="E201" s="33" t="str">
        <x:v>RECLASSIFY / RETIRE</x:v>
      </x:c>
      <x:c r="F201" s="33" t="str">
        <x:v>Remove false audit-to-compliance traceability.</x:v>
      </x:c>
      <x:c r="G201" s="33" t="str">
        <x:v>CDSCO official Drugs Rules / Gazette</x:v>
      </x:c>
      <x:c r="H201" s="33" t="str">
        <x:v>https://cdsco.gov.in/opencms/resources/UploadCDSCOWeb/2022/drug_rules/Drugs%20Rules%2C%201945.pdf</x:v>
      </x:c>
      <x:c r="I201" s="33" t="str">
        <x:v>P-2</x:v>
      </x:c>
      <x:c r="J201" s="33" t="str">
        <x:v>2026-08-20</x:v>
      </x:c>
      <x:c r="K201" s="33" t="str">
        <x:v>Inactive legacy audit; replacement AUD550.</x:v>
      </x:c>
    </x:row>
    <x:row r="202">
      <x:c r="A202" s="33" t="str">
        <x:v>AUD050</x:v>
      </x:c>
      <x:c r="B202" s="33" t="str">
        <x:v>Audit Procedure Master</x:v>
      </x:c>
      <x:c r="C202" s="33" t="str">
        <x:v>Active=Yes; Remarks=Verify timely closure.</x:v>
      </x:c>
      <x:c r="D202" s="33" t="str">
        <x:v>Active=No; Remarks=P-2 QUARANTINED: procedure did not substantively test its parent Drugs Rules compliance. Replaced by AUD550; legacy ID retained.</x:v>
      </x:c>
      <x:c r="E202" s="33" t="str">
        <x:v>RECLASSIFY / RETIRE</x:v>
      </x:c>
      <x:c r="F202" s="33" t="str">
        <x:v>Remove false audit-to-compliance traceability.</x:v>
      </x:c>
      <x:c r="G202" s="33" t="str">
        <x:v>CDSCO official Drugs Rules / Gazette</x:v>
      </x:c>
      <x:c r="H202" s="33" t="str">
        <x:v>https://cdsco.gov.in/opencms/resources/UploadCDSCOWeb/2022/drug_rules/Drugs%20Rules%2C%201945.pdf</x:v>
      </x:c>
      <x:c r="I202" s="33" t="str">
        <x:v>P-2</x:v>
      </x:c>
      <x:c r="J202" s="33" t="str">
        <x:v>2026-08-20</x:v>
      </x:c>
      <x:c r="K202" s="33" t="str">
        <x:v>Inactive legacy audit; replacement AUD550.</x:v>
      </x:c>
    </x:row>
    <x:row r="203">
      <x:c r="A203" s="33" t="str">
        <x:v>AUD051</x:v>
      </x:c>
      <x:c r="B203" s="33" t="str">
        <x:v>Audit Procedure Master</x:v>
      </x:c>
      <x:c r="C203" s="33" t="str">
        <x:v>Active=Yes; Remarks=Monitoring process should be documented.</x:v>
      </x:c>
      <x:c r="D203" s="33" t="str">
        <x:v>Active=No; Remarks=P-2 QUARANTINED: procedure did not substantively test its parent Drugs Rules compliance. Replaced by AUD551; legacy ID retained.</x:v>
      </x:c>
      <x:c r="E203" s="33" t="str">
        <x:v>RECLASSIFY / RETIRE</x:v>
      </x:c>
      <x:c r="F203" s="33" t="str">
        <x:v>Remove false audit-to-compliance traceability.</x:v>
      </x:c>
      <x:c r="G203" s="33" t="str">
        <x:v>CDSCO official Drugs Rules / Gazette</x:v>
      </x:c>
      <x:c r="H203" s="33" t="str">
        <x:v>https://cdsco.gov.in/opencms/resources/UploadCDSCOWeb/2022/drug_rules/Drugs%20Rules%2C%201945.pdf</x:v>
      </x:c>
      <x:c r="I203" s="33" t="str">
        <x:v>P-2</x:v>
      </x:c>
      <x:c r="J203" s="33" t="str">
        <x:v>2026-08-20</x:v>
      </x:c>
      <x:c r="K203" s="33" t="str">
        <x:v>Inactive legacy audit; replacement AUD551.</x:v>
      </x:c>
    </x:row>
    <x:row r="204">
      <x:c r="A204" s="33" t="str">
        <x:v>AUD052</x:v>
      </x:c>
      <x:c r="B204" s="33" t="str">
        <x:v>Audit Procedure Master</x:v>
      </x:c>
      <x:c r="C204" s="33" t="str">
        <x:v>Active=Yes; Remarks=Verify effectiveness of corrective actions.</x:v>
      </x:c>
      <x:c r="D204" s="33" t="str">
        <x:v>Active=No; Remarks=P-2 QUARANTINED: procedure did not substantively test its parent Drugs Rules compliance. Replaced by AUD551; legacy ID retained.</x:v>
      </x:c>
      <x:c r="E204" s="33" t="str">
        <x:v>RECLASSIFY / RETIRE</x:v>
      </x:c>
      <x:c r="F204" s="33" t="str">
        <x:v>Remove false audit-to-compliance traceability.</x:v>
      </x:c>
      <x:c r="G204" s="33" t="str">
        <x:v>CDSCO official Drugs Rules / Gazette</x:v>
      </x:c>
      <x:c r="H204" s="33" t="str">
        <x:v>https://cdsco.gov.in/opencms/resources/UploadCDSCOWeb/2022/drug_rules/Drugs%20Rules%2C%201945.pdf</x:v>
      </x:c>
      <x:c r="I204" s="33" t="str">
        <x:v>P-2</x:v>
      </x:c>
      <x:c r="J204" s="33" t="str">
        <x:v>2026-08-20</x:v>
      </x:c>
      <x:c r="K204" s="33" t="str">
        <x:v>Inactive legacy audit; replacement AUD551.</x:v>
      </x:c>
    </x:row>
    <x:row r="205">
      <x:c r="A205" s="33" t="str">
        <x:v>AUD230</x:v>
      </x:c>
      <x:c r="B205" s="33" t="str">
        <x:v>Audit Procedure Master</x:v>
      </x:c>
      <x:c r="C205" s="33" t="str">
        <x:v>Active=Yes; Remarks=Review promotional campaigns.</x:v>
      </x:c>
      <x:c r="D205" s="33" t="str">
        <x:v>Active=No; Remarks=P-2 QUARANTINED: procedure did not substantively test its parent Drugs Rules compliance. Replaced by AUD552; legacy ID retained.</x:v>
      </x:c>
      <x:c r="E205" s="33" t="str">
        <x:v>RECLASSIFY / RETIRE</x:v>
      </x:c>
      <x:c r="F205" s="33" t="str">
        <x:v>Remove false audit-to-compliance traceability.</x:v>
      </x:c>
      <x:c r="G205" s="33" t="str">
        <x:v>CDSCO official Drugs Rules / Gazette</x:v>
      </x:c>
      <x:c r="H205" s="33" t="str">
        <x:v>https://cdsco.gov.in/opencms/resources/UploadCDSCOWeb/2022/drug_rules/Drugs%20Rules%2C%201945.pdf</x:v>
      </x:c>
      <x:c r="I205" s="33" t="str">
        <x:v>P-2</x:v>
      </x:c>
      <x:c r="J205" s="33" t="str">
        <x:v>2026-08-20</x:v>
      </x:c>
      <x:c r="K205" s="33" t="str">
        <x:v>Inactive legacy audit; replacement AUD552.</x:v>
      </x:c>
    </x:row>
    <x:row r="206">
      <x:c r="A206" s="33" t="str">
        <x:v>AUD231</x:v>
      </x:c>
      <x:c r="B206" s="33" t="str">
        <x:v>Audit Procedure Master</x:v>
      </x:c>
      <x:c r="C206" s="33" t="str">
        <x:v>Active=Yes; Remarks=Management approval required.</x:v>
      </x:c>
      <x:c r="D206" s="33" t="str">
        <x:v>Active=No; Remarks=P-2 QUARANTINED: procedure did not substantively test its parent Drugs Rules compliance. Replaced by AUD552; legacy ID retained.</x:v>
      </x:c>
      <x:c r="E206" s="33" t="str">
        <x:v>RECLASSIFY / RETIRE</x:v>
      </x:c>
      <x:c r="F206" s="33" t="str">
        <x:v>Remove false audit-to-compliance traceability.</x:v>
      </x:c>
      <x:c r="G206" s="33" t="str">
        <x:v>CDSCO official Drugs Rules / Gazette</x:v>
      </x:c>
      <x:c r="H206" s="33" t="str">
        <x:v>https://cdsco.gov.in/opencms/resources/UploadCDSCOWeb/2022/drug_rules/Drugs%20Rules%2C%201945.pdf</x:v>
      </x:c>
      <x:c r="I206" s="33" t="str">
        <x:v>P-2</x:v>
      </x:c>
      <x:c r="J206" s="33" t="str">
        <x:v>2026-08-20</x:v>
      </x:c>
      <x:c r="K206" s="33" t="str">
        <x:v>Inactive legacy audit; replacement AUD552.</x:v>
      </x:c>
    </x:row>
    <x:row r="207">
      <x:c r="A207" s="33" t="str">
        <x:v>AUD232</x:v>
      </x:c>
      <x:c r="B207" s="33" t="str">
        <x:v>Audit Procedure Master</x:v>
      </x:c>
      <x:c r="C207" s="33" t="str">
        <x:v>Active=Yes; Remarks=Verify pharmacist authorization.</x:v>
      </x:c>
      <x:c r="D207" s="33" t="str">
        <x:v>Active=No; Remarks=P-2 QUARANTINED: procedure did not substantively test its parent Drugs Rules compliance. Replaced by AUD553; legacy ID retained.</x:v>
      </x:c>
      <x:c r="E207" s="33" t="str">
        <x:v>RECLASSIFY / RETIRE</x:v>
      </x:c>
      <x:c r="F207" s="33" t="str">
        <x:v>Remove false audit-to-compliance traceability.</x:v>
      </x:c>
      <x:c r="G207" s="33" t="str">
        <x:v>CDSCO official Drugs Rules / Gazette</x:v>
      </x:c>
      <x:c r="H207" s="33" t="str">
        <x:v>https://cdsco.gov.in/opencms/resources/UploadCDSCOWeb/2022/drug_rules/Drugs%20Rules%2C%201945.pdf</x:v>
      </x:c>
      <x:c r="I207" s="33" t="str">
        <x:v>P-2</x:v>
      </x:c>
      <x:c r="J207" s="33" t="str">
        <x:v>2026-08-20</x:v>
      </x:c>
      <x:c r="K207" s="33" t="str">
        <x:v>Inactive legacy audit; replacement AUD553.</x:v>
      </x:c>
    </x:row>
    <x:row r="208">
      <x:c r="A208" s="33" t="str">
        <x:v>AUD233</x:v>
      </x:c>
      <x:c r="B208" s="33" t="str">
        <x:v>Audit Procedure Master</x:v>
      </x:c>
      <x:c r="C208" s="33" t="str">
        <x:v>Active=Yes; Remarks=Ensure regulatory compliance.</x:v>
      </x:c>
      <x:c r="D208" s="33" t="str">
        <x:v>Active=No; Remarks=P-2 QUARANTINED: procedure did not substantively test its parent Drugs Rules compliance. Replaced by AUD553; legacy ID retained.</x:v>
      </x:c>
      <x:c r="E208" s="33" t="str">
        <x:v>RECLASSIFY / RETIRE</x:v>
      </x:c>
      <x:c r="F208" s="33" t="str">
        <x:v>Remove false audit-to-compliance traceability.</x:v>
      </x:c>
      <x:c r="G208" s="33" t="str">
        <x:v>CDSCO official Drugs Rules / Gazette</x:v>
      </x:c>
      <x:c r="H208" s="33" t="str">
        <x:v>https://cdsco.gov.in/opencms/resources/UploadCDSCOWeb/2022/drug_rules/Drugs%20Rules%2C%201945.pdf</x:v>
      </x:c>
      <x:c r="I208" s="33" t="str">
        <x:v>P-2</x:v>
      </x:c>
      <x:c r="J208" s="33" t="str">
        <x:v>2026-08-20</x:v>
      </x:c>
      <x:c r="K208" s="33" t="str">
        <x:v>Inactive legacy audit; replacement AUD553.</x:v>
      </x:c>
    </x:row>
    <x:row r="209">
      <x:c r="A209" s="33" t="str">
        <x:v>AUD234</x:v>
      </x:c>
      <x:c r="B209" s="33" t="str">
        <x:v>Audit Procedure Master</x:v>
      </x:c>
      <x:c r="C209" s="33" t="str">
        <x:v>Active=Yes; Remarks=Complaint register should be updated.</x:v>
      </x:c>
      <x:c r="D209" s="33" t="str">
        <x:v>Active=No; Remarks=P-2 QUARANTINED: procedure did not substantively test its parent Drugs Rules compliance. Replaced by AUD554; legacy ID retained.</x:v>
      </x:c>
      <x:c r="E209" s="33" t="str">
        <x:v>RECLASSIFY / RETIRE</x:v>
      </x:c>
      <x:c r="F209" s="33" t="str">
        <x:v>Remove false audit-to-compliance traceability.</x:v>
      </x:c>
      <x:c r="G209" s="33" t="str">
        <x:v>CDSCO official Drugs Rules / Gazette</x:v>
      </x:c>
      <x:c r="H209" s="33" t="str">
        <x:v>https://cdsco.gov.in/opencms/resources/UploadCDSCOWeb/2022/drug_rules/Drugs%20Rules%2C%201945.pdf</x:v>
      </x:c>
      <x:c r="I209" s="33" t="str">
        <x:v>P-2</x:v>
      </x:c>
      <x:c r="J209" s="33" t="str">
        <x:v>2026-08-20</x:v>
      </x:c>
      <x:c r="K209" s="33" t="str">
        <x:v>Inactive legacy audit; replacement AUD554.</x:v>
      </x:c>
    </x:row>
    <x:row r="210">
      <x:c r="A210" s="33" t="str">
        <x:v>AUD235</x:v>
      </x:c>
      <x:c r="B210" s="33" t="str">
        <x:v>Audit Procedure Master</x:v>
      </x:c>
      <x:c r="C210" s="33" t="str">
        <x:v>Active=Yes; Remarks=Confirm timely closure.</x:v>
      </x:c>
      <x:c r="D210" s="33" t="str">
        <x:v>Active=No; Remarks=P-2 QUARANTINED: procedure did not substantively test its parent Drugs Rules compliance. Replaced by AUD554; legacy ID retained.</x:v>
      </x:c>
      <x:c r="E210" s="33" t="str">
        <x:v>RECLASSIFY / RETIRE</x:v>
      </x:c>
      <x:c r="F210" s="33" t="str">
        <x:v>Remove false audit-to-compliance traceability.</x:v>
      </x:c>
      <x:c r="G210" s="33" t="str">
        <x:v>CDSCO official Drugs Rules / Gazette</x:v>
      </x:c>
      <x:c r="H210" s="33" t="str">
        <x:v>https://cdsco.gov.in/opencms/resources/UploadCDSCOWeb/2022/drug_rules/Drugs%20Rules%2C%201945.pdf</x:v>
      </x:c>
      <x:c r="I210" s="33" t="str">
        <x:v>P-2</x:v>
      </x:c>
      <x:c r="J210" s="33" t="str">
        <x:v>2026-08-20</x:v>
      </x:c>
      <x:c r="K210" s="33" t="str">
        <x:v>Inactive legacy audit; replacement AUD554.</x:v>
      </x:c>
    </x:row>
    <x:row r="211">
      <x:c r="A211" s="33" t="str">
        <x:v>AUD236</x:v>
      </x:c>
      <x:c r="B211" s="33" t="str">
        <x:v>Audit Procedure Master</x:v>
      </x:c>
      <x:c r="C211" s="33" t="str">
        <x:v>Active=Yes; Remarks=Follow approved refund policy.</x:v>
      </x:c>
      <x:c r="D211" s="33" t="str">
        <x:v>Active=No; Remarks=P-2 QUARANTINED: procedure did not substantively test its parent Drugs Rules compliance. Replaced by AUD555; legacy ID retained.</x:v>
      </x:c>
      <x:c r="E211" s="33" t="str">
        <x:v>RECLASSIFY / RETIRE</x:v>
      </x:c>
      <x:c r="F211" s="33" t="str">
        <x:v>Remove false audit-to-compliance traceability.</x:v>
      </x:c>
      <x:c r="G211" s="33" t="str">
        <x:v>CDSCO official Drugs Rules / Gazette</x:v>
      </x:c>
      <x:c r="H211" s="33" t="str">
        <x:v>https://cdsco.gov.in/opencms/resources/UploadCDSCOWeb/2022/drug_rules/Drugs%20Rules%2C%201945.pdf</x:v>
      </x:c>
      <x:c r="I211" s="33" t="str">
        <x:v>P-2</x:v>
      </x:c>
      <x:c r="J211" s="33" t="str">
        <x:v>2026-08-20</x:v>
      </x:c>
      <x:c r="K211" s="33" t="str">
        <x:v>Inactive legacy audit; replacement AUD555.</x:v>
      </x:c>
    </x:row>
    <x:row r="212">
      <x:c r="A212" s="33" t="str">
        <x:v>AUD237</x:v>
      </x:c>
      <x:c r="B212" s="33" t="str">
        <x:v>Audit Procedure Master</x:v>
      </x:c>
      <x:c r="C212" s="33" t="str">
        <x:v>Active=Yes; Remarks=Identify inconsistencies.</x:v>
      </x:c>
      <x:c r="D212" s="33" t="str">
        <x:v>Active=No; Remarks=P-2 QUARANTINED: procedure did not substantively test its parent Drugs Rules compliance. Replaced by AUD555; legacy ID retained.</x:v>
      </x:c>
      <x:c r="E212" s="33" t="str">
        <x:v>RECLASSIFY / RETIRE</x:v>
      </x:c>
      <x:c r="F212" s="33" t="str">
        <x:v>Remove false audit-to-compliance traceability.</x:v>
      </x:c>
      <x:c r="G212" s="33" t="str">
        <x:v>CDSCO official Drugs Rules / Gazette</x:v>
      </x:c>
      <x:c r="H212" s="33" t="str">
        <x:v>https://cdsco.gov.in/opencms/resources/UploadCDSCOWeb/2022/drug_rules/Drugs%20Rules%2C%201945.pdf</x:v>
      </x:c>
      <x:c r="I212" s="33" t="str">
        <x:v>P-2</x:v>
      </x:c>
      <x:c r="J212" s="33" t="str">
        <x:v>2026-08-20</x:v>
      </x:c>
      <x:c r="K212" s="33" t="str">
        <x:v>Inactive legacy audit; replacement AUD555.</x:v>
      </x:c>
    </x:row>
    <x:row r="213">
      <x:c r="A213" s="33" t="str">
        <x:v>AUD238</x:v>
      </x:c>
      <x:c r="B213" s="33" t="str">
        <x:v>Audit Procedure Master</x:v>
      </x:c>
      <x:c r="C213" s="33" t="str">
        <x:v>Active=Yes; Remarks=Monitor controlled inventory.</x:v>
      </x:c>
      <x:c r="D213" s="33" t="str">
        <x:v>Active=No; Remarks=P-2 QUARANTINED: procedure did not substantively test its parent Drugs Rules compliance. Replaced by AUD556; legacy ID retained.</x:v>
      </x:c>
      <x:c r="E213" s="33" t="str">
        <x:v>RECLASSIFY / RETIRE</x:v>
      </x:c>
      <x:c r="F213" s="33" t="str">
        <x:v>Remove false audit-to-compliance traceability.</x:v>
      </x:c>
      <x:c r="G213" s="33" t="str">
        <x:v>CDSCO official Drugs Rules / Gazette</x:v>
      </x:c>
      <x:c r="H213" s="33" t="str">
        <x:v>https://cdsco.gov.in/opencms/resources/UploadCDSCOWeb/2022/drug_rules/Drugs%20Rules%2C%201945.pdf</x:v>
      </x:c>
      <x:c r="I213" s="33" t="str">
        <x:v>P-2</x:v>
      </x:c>
      <x:c r="J213" s="33" t="str">
        <x:v>2026-08-20</x:v>
      </x:c>
      <x:c r="K213" s="33" t="str">
        <x:v>Inactive legacy audit; replacement AUD556.</x:v>
      </x:c>
    </x:row>
    <x:row r="214">
      <x:c r="A214" s="33" t="str">
        <x:v>AUD239</x:v>
      </x:c>
      <x:c r="B214" s="33" t="str">
        <x:v>Audit Procedure Master</x:v>
      </x:c>
      <x:c r="C214" s="33" t="str">
        <x:v>Active=Yes; Remarks=Verify authorization hierarchy.</x:v>
      </x:c>
      <x:c r="D214" s="33" t="str">
        <x:v>Active=No; Remarks=P-2 QUARANTINED: procedure did not substantively test its parent Drugs Rules compliance. Replaced by AUD556; legacy ID retained.</x:v>
      </x:c>
      <x:c r="E214" s="33" t="str">
        <x:v>RECLASSIFY / RETIRE</x:v>
      </x:c>
      <x:c r="F214" s="33" t="str">
        <x:v>Remove false audit-to-compliance traceability.</x:v>
      </x:c>
      <x:c r="G214" s="33" t="str">
        <x:v>CDSCO official Drugs Rules / Gazette</x:v>
      </x:c>
      <x:c r="H214" s="33" t="str">
        <x:v>https://cdsco.gov.in/opencms/resources/UploadCDSCOWeb/2022/drug_rules/Drugs%20Rules%2C%201945.pdf</x:v>
      </x:c>
      <x:c r="I214" s="33" t="str">
        <x:v>P-2</x:v>
      </x:c>
      <x:c r="J214" s="33" t="str">
        <x:v>2026-08-20</x:v>
      </x:c>
      <x:c r="K214" s="33" t="str">
        <x:v>Inactive legacy audit; replacement AUD556.</x:v>
      </x:c>
    </x:row>
    <x:row r="215">
      <x:c r="A215" s="33" t="str">
        <x:v>AUD240</x:v>
      </x:c>
      <x:c r="B215" s="33" t="str">
        <x:v>Audit Procedure Master</x:v>
      </x:c>
      <x:c r="C215" s="33" t="str">
        <x:v>Active=Yes; Remarks=Price discrepancies should be investigated.</x:v>
      </x:c>
      <x:c r="D215" s="33" t="str">
        <x:v>Active=No; Remarks=P-2 QUARANTINED: procedure did not substantively test its parent Drugs Rules compliance. Replaced by AUD557; legacy ID retained.</x:v>
      </x:c>
      <x:c r="E215" s="33" t="str">
        <x:v>RECLASSIFY / RETIRE</x:v>
      </x:c>
      <x:c r="F215" s="33" t="str">
        <x:v>Remove false audit-to-compliance traceability.</x:v>
      </x:c>
      <x:c r="G215" s="33" t="str">
        <x:v>CDSCO official Drugs Rules / Gazette</x:v>
      </x:c>
      <x:c r="H215" s="33" t="str">
        <x:v>https://cdsco.gov.in/opencms/resources/UploadCDSCOWeb/2022/drug_rules/Drugs%20Rules%2C%201945.pdf</x:v>
      </x:c>
      <x:c r="I215" s="33" t="str">
        <x:v>P-2</x:v>
      </x:c>
      <x:c r="J215" s="33" t="str">
        <x:v>2026-08-20</x:v>
      </x:c>
      <x:c r="K215" s="33" t="str">
        <x:v>Inactive legacy audit; replacement AUD557.</x:v>
      </x:c>
    </x:row>
    <x:row r="216">
      <x:c r="A216" s="33" t="str">
        <x:v>AUD241</x:v>
      </x:c>
      <x:c r="B216" s="33" t="str">
        <x:v>Audit Procedure Master</x:v>
      </x:c>
      <x:c r="C216" s="33" t="str">
        <x:v>Active=Yes; Remarks=Maintain pricing accuracy.</x:v>
      </x:c>
      <x:c r="D216" s="33" t="str">
        <x:v>Active=No; Remarks=P-2 QUARANTINED: procedure did not substantively test its parent Drugs Rules compliance. Replaced by AUD557; legacy ID retained.</x:v>
      </x:c>
      <x:c r="E216" s="33" t="str">
        <x:v>RECLASSIFY / RETIRE</x:v>
      </x:c>
      <x:c r="F216" s="33" t="str">
        <x:v>Remove false audit-to-compliance traceability.</x:v>
      </x:c>
      <x:c r="G216" s="33" t="str">
        <x:v>CDSCO official Drugs Rules / Gazette</x:v>
      </x:c>
      <x:c r="H216" s="33" t="str">
        <x:v>https://cdsco.gov.in/opencms/resources/UploadCDSCOWeb/2022/drug_rules/Drugs%20Rules%2C%201945.pdf</x:v>
      </x:c>
      <x:c r="I216" s="33" t="str">
        <x:v>P-2</x:v>
      </x:c>
      <x:c r="J216" s="33" t="str">
        <x:v>2026-08-20</x:v>
      </x:c>
      <x:c r="K216" s="33" t="str">
        <x:v>Inactive legacy audit; replacement AUD557.</x:v>
      </x:c>
    </x:row>
    <x:row r="217">
      <x:c r="A217" s="33" t="str">
        <x:v>AUD242</x:v>
      </x:c>
      <x:c r="B217" s="33" t="str">
        <x:v>Audit Procedure Master</x:v>
      </x:c>
      <x:c r="C217" s="33" t="str">
        <x:v>Active=Yes; Remarks=Review access permissions.</x:v>
      </x:c>
      <x:c r="D217" s="33" t="str">
        <x:v>Active=No; Remarks=P-2 QUARANTINED: procedure did not substantively test its parent Drugs Rules compliance. Replaced by AUD558; legacy ID retained.</x:v>
      </x:c>
      <x:c r="E217" s="33" t="str">
        <x:v>RECLASSIFY / RETIRE</x:v>
      </x:c>
      <x:c r="F217" s="33" t="str">
        <x:v>Remove false audit-to-compliance traceability.</x:v>
      </x:c>
      <x:c r="G217" s="33" t="str">
        <x:v>CDSCO official Drugs Rules / Gazette</x:v>
      </x:c>
      <x:c r="H217" s="33" t="str">
        <x:v>https://cdsco.gov.in/opencms/resources/UploadCDSCOWeb/2022/drug_rules/Drugs%20Rules%2C%201945.pdf</x:v>
      </x:c>
      <x:c r="I217" s="33" t="str">
        <x:v>P-2</x:v>
      </x:c>
      <x:c r="J217" s="33" t="str">
        <x:v>2026-08-20</x:v>
      </x:c>
      <x:c r="K217" s="33" t="str">
        <x:v>Inactive legacy audit; replacement AUD558.</x:v>
      </x:c>
    </x:row>
    <x:row r="218">
      <x:c r="A218" s="33" t="str">
        <x:v>AUD243</x:v>
      </x:c>
      <x:c r="B218" s="33" t="str">
        <x:v>Audit Procedure Master</x:v>
      </x:c>
      <x:c r="C218" s="33" t="str">
        <x:v>Active=Yes; Remarks=Investigate unusual overrides.</x:v>
      </x:c>
      <x:c r="D218" s="33" t="str">
        <x:v>Active=No; Remarks=P-2 QUARANTINED: procedure did not substantively test its parent Drugs Rules compliance. Replaced by AUD558; legacy ID retained.</x:v>
      </x:c>
      <x:c r="E218" s="33" t="str">
        <x:v>RECLASSIFY / RETIRE</x:v>
      </x:c>
      <x:c r="F218" s="33" t="str">
        <x:v>Remove false audit-to-compliance traceability.</x:v>
      </x:c>
      <x:c r="G218" s="33" t="str">
        <x:v>CDSCO official Drugs Rules / Gazette</x:v>
      </x:c>
      <x:c r="H218" s="33" t="str">
        <x:v>https://cdsco.gov.in/opencms/resources/UploadCDSCOWeb/2022/drug_rules/Drugs%20Rules%2C%201945.pdf</x:v>
      </x:c>
      <x:c r="I218" s="33" t="str">
        <x:v>P-2</x:v>
      </x:c>
      <x:c r="J218" s="33" t="str">
        <x:v>2026-08-20</x:v>
      </x:c>
      <x:c r="K218" s="33" t="str">
        <x:v>Inactive legacy audit; replacement AUD558.</x:v>
      </x:c>
    </x:row>
    <x:row r="219">
      <x:c r="A219" s="33" t="str">
        <x:v>AUD244</x:v>
      </x:c>
      <x:c r="B219" s="33" t="str">
        <x:v>Audit Procedure Master</x:v>
      </x:c>
      <x:c r="C219" s="33" t="str">
        <x:v>Active=Yes; Remarks=Cancellation reasons should be recorded.</x:v>
      </x:c>
      <x:c r="D219" s="33" t="str">
        <x:v>Active=No; Remarks=P-2 QUARANTINED: procedure did not substantively test its parent Drugs Rules compliance. Replaced by AUD559; legacy ID retained.</x:v>
      </x:c>
      <x:c r="E219" s="33" t="str">
        <x:v>RECLASSIFY / RETIRE</x:v>
      </x:c>
      <x:c r="F219" s="33" t="str">
        <x:v>Remove false audit-to-compliance traceability.</x:v>
      </x:c>
      <x:c r="G219" s="33" t="str">
        <x:v>CDSCO official Drugs Rules / Gazette</x:v>
      </x:c>
      <x:c r="H219" s="33" t="str">
        <x:v>https://cdsco.gov.in/opencms/resources/UploadCDSCOWeb/2022/drug_rules/Drugs%20Rules%2C%201945.pdf</x:v>
      </x:c>
      <x:c r="I219" s="33" t="str">
        <x:v>P-2</x:v>
      </x:c>
      <x:c r="J219" s="33" t="str">
        <x:v>2026-08-20</x:v>
      </x:c>
      <x:c r="K219" s="33" t="str">
        <x:v>Inactive legacy audit; replacement AUD559.</x:v>
      </x:c>
    </x:row>
    <x:row r="220">
      <x:c r="A220" s="33" t="str">
        <x:v>AUD245</x:v>
      </x:c>
      <x:c r="B220" s="33" t="str">
        <x:v>Audit Procedure Master</x:v>
      </x:c>
      <x:c r="C220" s="33" t="str">
        <x:v>Active=Yes; Remarks=Identify control weaknesses.</x:v>
      </x:c>
      <x:c r="D220" s="33" t="str">
        <x:v>Active=No; Remarks=P-2 QUARANTINED: procedure did not substantively test its parent Drugs Rules compliance. Replaced by AUD559; legacy ID retained.</x:v>
      </x:c>
      <x:c r="E220" s="33" t="str">
        <x:v>RECLASSIFY / RETIRE</x:v>
      </x:c>
      <x:c r="F220" s="33" t="str">
        <x:v>Remove false audit-to-compliance traceability.</x:v>
      </x:c>
      <x:c r="G220" s="33" t="str">
        <x:v>CDSCO official Drugs Rules / Gazette</x:v>
      </x:c>
      <x:c r="H220" s="33" t="str">
        <x:v>https://cdsco.gov.in/opencms/resources/UploadCDSCOWeb/2022/drug_rules/Drugs%20Rules%2C%201945.pdf</x:v>
      </x:c>
      <x:c r="I220" s="33" t="str">
        <x:v>P-2</x:v>
      </x:c>
      <x:c r="J220" s="33" t="str">
        <x:v>2026-08-20</x:v>
      </x:c>
      <x:c r="K220" s="33" t="str">
        <x:v>Inactive legacy audit; replacement AUD559.</x:v>
      </x:c>
    </x:row>
    <x:row r="221">
      <x:c r="A221" s="33" t="str">
        <x:v>AUD246</x:v>
      </x:c>
      <x:c r="B221" s="33" t="str">
        <x:v>Audit Procedure Master</x:v>
      </x:c>
      <x:c r="C221" s="33" t="str">
        <x:v>Active=Yes; Remarks=Match cash, digital receipts and system sales.</x:v>
      </x:c>
      <x:c r="D221" s="33" t="str">
        <x:v>Active=No; Remarks=P-2 QUARANTINED: procedure did not substantively test its parent Drugs Rules compliance. Replaced by AUD560; legacy ID retained.</x:v>
      </x:c>
      <x:c r="E221" s="33" t="str">
        <x:v>RECLASSIFY / RETIRE</x:v>
      </x:c>
      <x:c r="F221" s="33" t="str">
        <x:v>Remove false audit-to-compliance traceability.</x:v>
      </x:c>
      <x:c r="G221" s="33" t="str">
        <x:v>CDSCO official Drugs Rules / Gazette</x:v>
      </x:c>
      <x:c r="H221" s="33" t="str">
        <x:v>https://cdsco.gov.in/opencms/resources/UploadCDSCOWeb/2022/drug_rules/Drugs%20Rules%2C%201945.pdf</x:v>
      </x:c>
      <x:c r="I221" s="33" t="str">
        <x:v>P-2</x:v>
      </x:c>
      <x:c r="J221" s="33" t="str">
        <x:v>2026-08-20</x:v>
      </x:c>
      <x:c r="K221" s="33" t="str">
        <x:v>Inactive legacy audit; replacement AUD560.</x:v>
      </x:c>
    </x:row>
    <x:row r="222">
      <x:c r="A222" s="33" t="str">
        <x:v>AUD247</x:v>
      </x:c>
      <x:c r="B222" s="33" t="str">
        <x:v>Audit Procedure Master</x:v>
      </x:c>
      <x:c r="C222" s="33" t="str">
        <x:v>Active=Yes; Remarks=Verify timely completion.</x:v>
      </x:c>
      <x:c r="D222" s="33" t="str">
        <x:v>Active=No; Remarks=P-2 QUARANTINED: procedure did not substantively test its parent Drugs Rules compliance. Replaced by AUD560; legacy ID retained.</x:v>
      </x:c>
      <x:c r="E222" s="33" t="str">
        <x:v>RECLASSIFY / RETIRE</x:v>
      </x:c>
      <x:c r="F222" s="33" t="str">
        <x:v>Remove false audit-to-compliance traceability.</x:v>
      </x:c>
      <x:c r="G222" s="33" t="str">
        <x:v>CDSCO official Drugs Rules / Gazette</x:v>
      </x:c>
      <x:c r="H222" s="33" t="str">
        <x:v>https://cdsco.gov.in/opencms/resources/UploadCDSCOWeb/2022/drug_rules/Drugs%20Rules%2C%201945.pdf</x:v>
      </x:c>
      <x:c r="I222" s="33" t="str">
        <x:v>P-2</x:v>
      </x:c>
      <x:c r="J222" s="33" t="str">
        <x:v>2026-08-20</x:v>
      </x:c>
      <x:c r="K222" s="33" t="str">
        <x:v>Inactive legacy audit; replacement AUD560.</x:v>
      </x:c>
    </x:row>
    <x:row r="223">
      <x:c r="A223" s="33" t="str">
        <x:v>EVD023</x:v>
      </x:c>
      <x:c r="B223" s="33" t="str">
        <x:v>Evidence Master</x:v>
      </x:c>
      <x:c r="C223" s="33" t="str">
        <x:v>Active=Yes; Remarks=Verify authorized business activities.</x:v>
      </x:c>
      <x:c r="D223" s="33" t="str">
        <x:v>Active=No; Remarks=P-2 QUARANTINED with AUD023; replacement evidence attached to AUD537.</x:v>
      </x:c>
      <x:c r="E223" s="33" t="str">
        <x:v>RECLASSIFY / RETIRE</x:v>
      </x:c>
      <x:c r="F223" s="33" t="str">
        <x:v>Parent audit was legally misaligned.</x:v>
      </x:c>
      <x:c r="G223" s="33" t="str">
        <x:v>CDSCO official Drugs Rules / Gazette</x:v>
      </x:c>
      <x:c r="H223" s="33" t="str">
        <x:v>https://cdsco.gov.in/opencms/resources/UploadCDSCOWeb/2022/drug_rules/Drugs%20Rules%2C%201945.pdf</x:v>
      </x:c>
      <x:c r="I223" s="33" t="str">
        <x:v>P-2</x:v>
      </x:c>
      <x:c r="J223" s="33" t="str">
        <x:v>2026-08-20</x:v>
      </x:c>
      <x:c r="K223" s="33" t="str">
        <x:v>Existing ID preserved; downstream traceability remediated.</x:v>
      </x:c>
    </x:row>
    <x:row r="224">
      <x:c r="A224" s="33" t="str">
        <x:v>EVD024</x:v>
      </x:c>
      <x:c r="B224" s="33" t="str">
        <x:v>Evidence Master</x:v>
      </x:c>
      <x:c r="C224" s="33" t="str">
        <x:v>Active=Yes; Remarks=Products should fall within licence scope.</x:v>
      </x:c>
      <x:c r="D224" s="33" t="str">
        <x:v>Active=No; Remarks=P-2 QUARANTINED with AUD023; replacement evidence attached to AUD537.</x:v>
      </x:c>
      <x:c r="E224" s="33" t="str">
        <x:v>RECLASSIFY / RETIRE</x:v>
      </x:c>
      <x:c r="F224" s="33" t="str">
        <x:v>Parent audit was legally misaligned.</x:v>
      </x:c>
      <x:c r="G224" s="33" t="str">
        <x:v>CDSCO official Drugs Rules / Gazette</x:v>
      </x:c>
      <x:c r="H224" s="33" t="str">
        <x:v>https://cdsco.gov.in/opencms/resources/UploadCDSCOWeb/2022/drug_rules/Drugs%20Rules%2C%201945.pdf</x:v>
      </x:c>
      <x:c r="I224" s="33" t="str">
        <x:v>P-2</x:v>
      </x:c>
      <x:c r="J224" s="33" t="str">
        <x:v>2026-08-20</x:v>
      </x:c>
      <x:c r="K224" s="33" t="str">
        <x:v>Existing ID preserved; downstream traceability remediated.</x:v>
      </x:c>
    </x:row>
    <x:row r="225">
      <x:c r="A225" s="33" t="str">
        <x:v>EVD025</x:v>
      </x:c>
      <x:c r="B225" s="33" t="str">
        <x:v>Evidence Master</x:v>
      </x:c>
      <x:c r="C225" s="33" t="str">
        <x:v>Active=Yes; Remarks=Record of authorized access.</x:v>
      </x:c>
      <x:c r="D225" s="33" t="str">
        <x:v>Active=No; Remarks=P-2 QUARANTINED with AUD025; replacement evidence attached to AUD538.</x:v>
      </x:c>
      <x:c r="E225" s="33" t="str">
        <x:v>RECLASSIFY / RETIRE</x:v>
      </x:c>
      <x:c r="F225" s="33" t="str">
        <x:v>Parent audit was legally misaligned.</x:v>
      </x:c>
      <x:c r="G225" s="33" t="str">
        <x:v>CDSCO official Drugs Rules / Gazette</x:v>
      </x:c>
      <x:c r="H225" s="33" t="str">
        <x:v>https://cdsco.gov.in/opencms/resources/UploadCDSCOWeb/2022/drug_rules/Drugs%20Rules%2C%201945.pdf</x:v>
      </x:c>
      <x:c r="I225" s="33" t="str">
        <x:v>P-2</x:v>
      </x:c>
      <x:c r="J225" s="33" t="str">
        <x:v>2026-08-20</x:v>
      </x:c>
      <x:c r="K225" s="33" t="str">
        <x:v>Existing ID preserved; downstream traceability remediated.</x:v>
      </x:c>
    </x:row>
    <x:row r="226">
      <x:c r="A226" s="33" t="str">
        <x:v>EVD026</x:v>
      </x:c>
      <x:c r="B226" s="33" t="str">
        <x:v>Evidence Master</x:v>
      </x:c>
      <x:c r="C226" s="33" t="str">
        <x:v>Active=Yes; Remarks=Applicable where key management exists.</x:v>
      </x:c>
      <x:c r="D226" s="33" t="str">
        <x:v>Active=No; Remarks=P-2 QUARANTINED with AUD025; replacement evidence attached to AUD538.</x:v>
      </x:c>
      <x:c r="E226" s="33" t="str">
        <x:v>RECLASSIFY / RETIRE</x:v>
      </x:c>
      <x:c r="F226" s="33" t="str">
        <x:v>Parent audit was legally misaligned.</x:v>
      </x:c>
      <x:c r="G226" s="33" t="str">
        <x:v>CDSCO official Drugs Rules / Gazette</x:v>
      </x:c>
      <x:c r="H226" s="33" t="str">
        <x:v>https://cdsco.gov.in/opencms/resources/UploadCDSCOWeb/2022/drug_rules/Drugs%20Rules%2C%201945.pdf</x:v>
      </x:c>
      <x:c r="I226" s="33" t="str">
        <x:v>P-2</x:v>
      </x:c>
      <x:c r="J226" s="33" t="str">
        <x:v>2026-08-20</x:v>
      </x:c>
      <x:c r="K226" s="33" t="str">
        <x:v>Existing ID preserved; downstream traceability remediated.</x:v>
      </x:c>
    </x:row>
    <x:row r="227">
      <x:c r="A227" s="33" t="str">
        <x:v>EVD027</x:v>
      </x:c>
      <x:c r="B227" s="33" t="str">
        <x:v>Evidence Master</x:v>
      </x:c>
      <x:c r="C227" s="33" t="str">
        <x:v>Active=Yes; Remarks=Records retained for statutory period.</x:v>
      </x:c>
      <x:c r="D227" s="33" t="str">
        <x:v>Active=No; Remarks=P-2 QUARANTINED with AUD027; replacement evidence attached to AUD539.</x:v>
      </x:c>
      <x:c r="E227" s="33" t="str">
        <x:v>RECLASSIFY / RETIRE</x:v>
      </x:c>
      <x:c r="F227" s="33" t="str">
        <x:v>Parent audit was legally misaligned.</x:v>
      </x:c>
      <x:c r="G227" s="33" t="str">
        <x:v>CDSCO official Drugs Rules / Gazette</x:v>
      </x:c>
      <x:c r="H227" s="33" t="str">
        <x:v>https://cdsco.gov.in/opencms/resources/UploadCDSCOWeb/2022/drug_rules/Drugs%20Rules%2C%201945.pdf</x:v>
      </x:c>
      <x:c r="I227" s="33" t="str">
        <x:v>P-2</x:v>
      </x:c>
      <x:c r="J227" s="33" t="str">
        <x:v>2026-08-20</x:v>
      </x:c>
      <x:c r="K227" s="33" t="str">
        <x:v>Existing ID preserved; downstream traceability remediated.</x:v>
      </x:c>
    </x:row>
    <x:row r="228">
      <x:c r="A228" s="33" t="str">
        <x:v>EVD028</x:v>
      </x:c>
      <x:c r="B228" s="33" t="str">
        <x:v>Evidence Master</x:v>
      </x:c>
      <x:c r="C228" s="33" t="str">
        <x:v>Active=Yes; Remarks=Defines retention requirements.</x:v>
      </x:c>
      <x:c r="D228" s="33" t="str">
        <x:v>Active=No; Remarks=P-2 QUARANTINED with AUD027; replacement evidence attached to AUD539.</x:v>
      </x:c>
      <x:c r="E228" s="33" t="str">
        <x:v>RECLASSIFY / RETIRE</x:v>
      </x:c>
      <x:c r="F228" s="33" t="str">
        <x:v>Parent audit was legally misaligned.</x:v>
      </x:c>
      <x:c r="G228" s="33" t="str">
        <x:v>CDSCO official Drugs Rules / Gazette</x:v>
      </x:c>
      <x:c r="H228" s="33" t="str">
        <x:v>https://cdsco.gov.in/opencms/resources/UploadCDSCOWeb/2022/drug_rules/Drugs%20Rules%2C%201945.pdf</x:v>
      </x:c>
      <x:c r="I228" s="33" t="str">
        <x:v>P-2</x:v>
      </x:c>
      <x:c r="J228" s="33" t="str">
        <x:v>2026-08-20</x:v>
      </x:c>
      <x:c r="K228" s="33" t="str">
        <x:v>Existing ID preserved; downstream traceability remediated.</x:v>
      </x:c>
    </x:row>
    <x:row r="229">
      <x:c r="A229" s="33" t="str">
        <x:v>EVD029</x:v>
      </x:c>
      <x:c r="B229" s="33" t="str">
        <x:v>Evidence Master</x:v>
      </x:c>
      <x:c r="C229" s="33" t="str">
        <x:v>Active=Yes; Remarks=Maintain all incoming and outgoing communications.</x:v>
      </x:c>
      <x:c r="D229" s="33" t="str">
        <x:v>Active=No; Remarks=P-2 QUARANTINED with AUD029; replacement evidence attached to AUD540.</x:v>
      </x:c>
      <x:c r="E229" s="33" t="str">
        <x:v>RECLASSIFY / RETIRE</x:v>
      </x:c>
      <x:c r="F229" s="33" t="str">
        <x:v>Parent audit was legally misaligned.</x:v>
      </x:c>
      <x:c r="G229" s="33" t="str">
        <x:v>CDSCO official Drugs Rules / Gazette</x:v>
      </x:c>
      <x:c r="H229" s="33" t="str">
        <x:v>https://cdsco.gov.in/opencms/resources/UploadCDSCOWeb/2022/drug_rules/Drugs%20Rules%2C%201945.pdf</x:v>
      </x:c>
      <x:c r="I229" s="33" t="str">
        <x:v>P-2</x:v>
      </x:c>
      <x:c r="J229" s="33" t="str">
        <x:v>2026-08-20</x:v>
      </x:c>
      <x:c r="K229" s="33" t="str">
        <x:v>Existing ID preserved; downstream traceability remediated.</x:v>
      </x:c>
    </x:row>
    <x:row r="230">
      <x:c r="A230" s="33" t="str">
        <x:v>EVD030</x:v>
      </x:c>
      <x:c r="B230" s="33" t="str">
        <x:v>Evidence Master</x:v>
      </x:c>
      <x:c r="C230" s="33" t="str">
        <x:v>Active=Yes; Remarks=Track received correspondence.</x:v>
      </x:c>
      <x:c r="D230" s="33" t="str">
        <x:v>Active=No; Remarks=P-2 QUARANTINED with AUD029; replacement evidence attached to AUD540.</x:v>
      </x:c>
      <x:c r="E230" s="33" t="str">
        <x:v>RECLASSIFY / RETIRE</x:v>
      </x:c>
      <x:c r="F230" s="33" t="str">
        <x:v>Parent audit was legally misaligned.</x:v>
      </x:c>
      <x:c r="G230" s="33" t="str">
        <x:v>CDSCO official Drugs Rules / Gazette</x:v>
      </x:c>
      <x:c r="H230" s="33" t="str">
        <x:v>https://cdsco.gov.in/opencms/resources/UploadCDSCOWeb/2022/drug_rules/Drugs%20Rules%2C%201945.pdf</x:v>
      </x:c>
      <x:c r="I230" s="33" t="str">
        <x:v>P-2</x:v>
      </x:c>
      <x:c r="J230" s="33" t="str">
        <x:v>2026-08-20</x:v>
      </x:c>
      <x:c r="K230" s="33" t="str">
        <x:v>Existing ID preserved; downstream traceability remediated.</x:v>
      </x:c>
    </x:row>
    <x:row r="231">
      <x:c r="A231" s="33" t="str">
        <x:v>EVD031</x:v>
      </x:c>
      <x:c r="B231" s="33" t="str">
        <x:v>Evidence Master</x:v>
      </x:c>
      <x:c r="C231" s="33" t="str">
        <x:v>Active=Yes; Remarks=Track submitted correspondence.</x:v>
      </x:c>
      <x:c r="D231" s="33" t="str">
        <x:v>Active=No; Remarks=P-2 QUARANTINED with AUD029; replacement evidence attached to AUD540.</x:v>
      </x:c>
      <x:c r="E231" s="33" t="str">
        <x:v>RECLASSIFY / RETIRE</x:v>
      </x:c>
      <x:c r="F231" s="33" t="str">
        <x:v>Parent audit was legally misaligned.</x:v>
      </x:c>
      <x:c r="G231" s="33" t="str">
        <x:v>CDSCO official Drugs Rules / Gazette</x:v>
      </x:c>
      <x:c r="H231" s="33" t="str">
        <x:v>https://cdsco.gov.in/opencms/resources/UploadCDSCOWeb/2022/drug_rules/Drugs%20Rules%2C%201945.pdf</x:v>
      </x:c>
      <x:c r="I231" s="33" t="str">
        <x:v>P-2</x:v>
      </x:c>
      <x:c r="J231" s="33" t="str">
        <x:v>2026-08-20</x:v>
      </x:c>
      <x:c r="K231" s="33" t="str">
        <x:v>Existing ID preserved; downstream traceability remediated.</x:v>
      </x:c>
    </x:row>
    <x:row r="232">
      <x:c r="A232" s="33" t="str">
        <x:v>EVD032</x:v>
      </x:c>
      <x:c r="B232" s="33" t="str">
        <x:v>Evidence Master</x:v>
      </x:c>
      <x:c r="C232" s="33" t="str">
        <x:v>Active=Yes; Remarks=Original notice from authority.</x:v>
      </x:c>
      <x:c r="D232" s="33" t="str">
        <x:v>Active=No; Remarks=P-2 QUARANTINED with AUD031; replacement evidence attached to AUD541.</x:v>
      </x:c>
      <x:c r="E232" s="33" t="str">
        <x:v>RECLASSIFY / RETIRE</x:v>
      </x:c>
      <x:c r="F232" s="33" t="str">
        <x:v>Parent audit was legally misaligned.</x:v>
      </x:c>
      <x:c r="G232" s="33" t="str">
        <x:v>CDSCO official Drugs Rules / Gazette</x:v>
      </x:c>
      <x:c r="H232" s="33" t="str">
        <x:v>https://cdsco.gov.in/opencms/resources/UploadCDSCOWeb/2022/drug_rules/Drugs%20Rules%2C%201945.pdf</x:v>
      </x:c>
      <x:c r="I232" s="33" t="str">
        <x:v>P-2</x:v>
      </x:c>
      <x:c r="J232" s="33" t="str">
        <x:v>2026-08-20</x:v>
      </x:c>
      <x:c r="K232" s="33" t="str">
        <x:v>Existing ID preserved; downstream traceability remediated.</x:v>
      </x:c>
    </x:row>
    <x:row r="233">
      <x:c r="A233" s="33" t="str">
        <x:v>EVD033</x:v>
      </x:c>
      <x:c r="B233" s="33" t="str">
        <x:v>Evidence Master</x:v>
      </x:c>
      <x:c r="C233" s="33" t="str">
        <x:v>Active=Yes; Remarks=Include supporting documents.</x:v>
      </x:c>
      <x:c r="D233" s="33" t="str">
        <x:v>Active=No; Remarks=P-2 QUARANTINED with AUD031; replacement evidence attached to AUD541.</x:v>
      </x:c>
      <x:c r="E233" s="33" t="str">
        <x:v>RECLASSIFY / RETIRE</x:v>
      </x:c>
      <x:c r="F233" s="33" t="str">
        <x:v>Parent audit was legally misaligned.</x:v>
      </x:c>
      <x:c r="G233" s="33" t="str">
        <x:v>CDSCO official Drugs Rules / Gazette</x:v>
      </x:c>
      <x:c r="H233" s="33" t="str">
        <x:v>https://cdsco.gov.in/opencms/resources/UploadCDSCOWeb/2022/drug_rules/Drugs%20Rules%2C%201945.pdf</x:v>
      </x:c>
      <x:c r="I233" s="33" t="str">
        <x:v>P-2</x:v>
      </x:c>
      <x:c r="J233" s="33" t="str">
        <x:v>2026-08-20</x:v>
      </x:c>
      <x:c r="K233" s="33" t="str">
        <x:v>Existing ID preserved; downstream traceability remediated.</x:v>
      </x:c>
    </x:row>
    <x:row r="234">
      <x:c r="A234" s="33" t="str">
        <x:v>EVD034</x:v>
      </x:c>
      <x:c r="B234" s="33" t="str">
        <x:v>Evidence Master</x:v>
      </x:c>
      <x:c r="C234" s="33" t="str">
        <x:v>Active=Yes; Remarks=Proof of regulatory response.</x:v>
      </x:c>
      <x:c r="D234" s="33" t="str">
        <x:v>Active=No; Remarks=P-2 QUARANTINED with AUD031; replacement evidence attached to AUD541.</x:v>
      </x:c>
      <x:c r="E234" s="33" t="str">
        <x:v>RECLASSIFY / RETIRE</x:v>
      </x:c>
      <x:c r="F234" s="33" t="str">
        <x:v>Parent audit was legally misaligned.</x:v>
      </x:c>
      <x:c r="G234" s="33" t="str">
        <x:v>CDSCO official Drugs Rules / Gazette</x:v>
      </x:c>
      <x:c r="H234" s="33" t="str">
        <x:v>https://cdsco.gov.in/opencms/resources/UploadCDSCOWeb/2022/drug_rules/Drugs%20Rules%2C%201945.pdf</x:v>
      </x:c>
      <x:c r="I234" s="33" t="str">
        <x:v>P-2</x:v>
      </x:c>
      <x:c r="J234" s="33" t="str">
        <x:v>2026-08-20</x:v>
      </x:c>
      <x:c r="K234" s="33" t="str">
        <x:v>Existing ID preserved; downstream traceability remediated.</x:v>
      </x:c>
    </x:row>
    <x:row r="235">
      <x:c r="A235" s="33" t="str">
        <x:v>EVD035</x:v>
      </x:c>
      <x:c r="B235" s="33" t="str">
        <x:v>Evidence Master</x:v>
      </x:c>
      <x:c r="C235" s="33" t="str">
        <x:v>Active=Yes; Remarks=Applicable statutory return.</x:v>
      </x:c>
      <x:c r="D235" s="33" t="str">
        <x:v>Active=No; Remarks=P-2 QUARANTINED with AUD033; replacement evidence attached to AUD542.</x:v>
      </x:c>
      <x:c r="E235" s="33" t="str">
        <x:v>RECLASSIFY / RETIRE</x:v>
      </x:c>
      <x:c r="F235" s="33" t="str">
        <x:v>Parent audit was legally misaligned.</x:v>
      </x:c>
      <x:c r="G235" s="33" t="str">
        <x:v>CDSCO official Drugs Rules / Gazette</x:v>
      </x:c>
      <x:c r="H235" s="33" t="str">
        <x:v>https://cdsco.gov.in/opencms/resources/UploadCDSCOWeb/2022/drug_rules/Drugs%20Rules%2C%201945.pdf</x:v>
      </x:c>
      <x:c r="I235" s="33" t="str">
        <x:v>P-2</x:v>
      </x:c>
      <x:c r="J235" s="33" t="str">
        <x:v>2026-08-20</x:v>
      </x:c>
      <x:c r="K235" s="33" t="str">
        <x:v>Existing ID preserved; downstream traceability remediated.</x:v>
      </x:c>
    </x:row>
    <x:row r="236">
      <x:c r="A236" s="33" t="str">
        <x:v>EVD036</x:v>
      </x:c>
      <x:c r="B236" s="33" t="str">
        <x:v>Evidence Master</x:v>
      </x:c>
      <x:c r="C236" s="33" t="str">
        <x:v>Active=Yes; Remarks=Proof of filing.</x:v>
      </x:c>
      <x:c r="D236" s="33" t="str">
        <x:v>Active=No; Remarks=P-2 QUARANTINED with AUD033; replacement evidence attached to AUD542.</x:v>
      </x:c>
      <x:c r="E236" s="33" t="str">
        <x:v>RECLASSIFY / RETIRE</x:v>
      </x:c>
      <x:c r="F236" s="33" t="str">
        <x:v>Parent audit was legally misaligned.</x:v>
      </x:c>
      <x:c r="G236" s="33" t="str">
        <x:v>CDSCO official Drugs Rules / Gazette</x:v>
      </x:c>
      <x:c r="H236" s="33" t="str">
        <x:v>https://cdsco.gov.in/opencms/resources/UploadCDSCOWeb/2022/drug_rules/Drugs%20Rules%2C%201945.pdf</x:v>
      </x:c>
      <x:c r="I236" s="33" t="str">
        <x:v>P-2</x:v>
      </x:c>
      <x:c r="J236" s="33" t="str">
        <x:v>2026-08-20</x:v>
      </x:c>
      <x:c r="K236" s="33" t="str">
        <x:v>Existing ID preserved; downstream traceability remediated.</x:v>
      </x:c>
    </x:row>
    <x:row r="237">
      <x:c r="A237" s="33" t="str">
        <x:v>EVD037</x:v>
      </x:c>
      <x:c r="B237" s="33" t="str">
        <x:v>Evidence Master</x:v>
      </x:c>
      <x:c r="C237" s="33" t="str">
        <x:v>Active=Yes; Remarks=Verify licence fee payment.</x:v>
      </x:c>
      <x:c r="D237" s="33" t="str">
        <x:v>Active=No; Remarks=P-2 QUARANTINED with AUD035; replacement evidence attached to AUD543.</x:v>
      </x:c>
      <x:c r="E237" s="33" t="str">
        <x:v>RECLASSIFY / RETIRE</x:v>
      </x:c>
      <x:c r="F237" s="33" t="str">
        <x:v>Parent audit was legally misaligned.</x:v>
      </x:c>
      <x:c r="G237" s="33" t="str">
        <x:v>CDSCO official Drugs Rules / Gazette</x:v>
      </x:c>
      <x:c r="H237" s="33" t="str">
        <x:v>https://cdsco.gov.in/opencms/resources/UploadCDSCOWeb/2022/drug_rules/Drugs%20Rules%2C%201945.pdf</x:v>
      </x:c>
      <x:c r="I237" s="33" t="str">
        <x:v>P-2</x:v>
      </x:c>
      <x:c r="J237" s="33" t="str">
        <x:v>2026-08-20</x:v>
      </x:c>
      <x:c r="K237" s="33" t="str">
        <x:v>Existing ID preserved; downstream traceability remediated.</x:v>
      </x:c>
    </x:row>
    <x:row r="238">
      <x:c r="A238" s="33" t="str">
        <x:v>EVD038</x:v>
      </x:c>
      <x:c r="B238" s="33" t="str">
        <x:v>Evidence Master</x:v>
      </x:c>
      <x:c r="C238" s="33" t="str">
        <x:v>Active=Yes; Remarks=Additional payment evidence where available.</x:v>
      </x:c>
      <x:c r="D238" s="33" t="str">
        <x:v>Active=No; Remarks=P-2 QUARANTINED with AUD035; replacement evidence attached to AUD543.</x:v>
      </x:c>
      <x:c r="E238" s="33" t="str">
        <x:v>RECLASSIFY / RETIRE</x:v>
      </x:c>
      <x:c r="F238" s="33" t="str">
        <x:v>Parent audit was legally misaligned.</x:v>
      </x:c>
      <x:c r="G238" s="33" t="str">
        <x:v>CDSCO official Drugs Rules / Gazette</x:v>
      </x:c>
      <x:c r="H238" s="33" t="str">
        <x:v>https://cdsco.gov.in/opencms/resources/UploadCDSCOWeb/2022/drug_rules/Drugs%20Rules%2C%201945.pdf</x:v>
      </x:c>
      <x:c r="I238" s="33" t="str">
        <x:v>P-2</x:v>
      </x:c>
      <x:c r="J238" s="33" t="str">
        <x:v>2026-08-20</x:v>
      </x:c>
      <x:c r="K238" s="33" t="str">
        <x:v>Existing ID preserved; downstream traceability remediated.</x:v>
      </x:c>
    </x:row>
    <x:row r="239">
      <x:c r="A239" s="33" t="str">
        <x:v>EVD039</x:v>
      </x:c>
      <x:c r="B239" s="33" t="str">
        <x:v>Evidence Master</x:v>
      </x:c>
      <x:c r="C239" s="33" t="str">
        <x:v>Active=Yes; Remarks=Applicable only when duplicate requested.</x:v>
      </x:c>
      <x:c r="D239" s="33" t="str">
        <x:v>Active=No; Remarks=P-2 QUARANTINED with AUD037; replacement evidence attached to AUD544.</x:v>
      </x:c>
      <x:c r="E239" s="33" t="str">
        <x:v>RECLASSIFY / RETIRE</x:v>
      </x:c>
      <x:c r="F239" s="33" t="str">
        <x:v>Parent audit was legally misaligned.</x:v>
      </x:c>
      <x:c r="G239" s="33" t="str">
        <x:v>CDSCO official Drugs Rules / Gazette</x:v>
      </x:c>
      <x:c r="H239" s="33" t="str">
        <x:v>https://cdsco.gov.in/opencms/resources/UploadCDSCOWeb/2022/drug_rules/Drugs%20Rules%2C%201945.pdf</x:v>
      </x:c>
      <x:c r="I239" s="33" t="str">
        <x:v>P-2</x:v>
      </x:c>
      <x:c r="J239" s="33" t="str">
        <x:v>2026-08-20</x:v>
      </x:c>
      <x:c r="K239" s="33" t="str">
        <x:v>Existing ID preserved; downstream traceability remediated.</x:v>
      </x:c>
    </x:row>
    <x:row r="240">
      <x:c r="A240" s="33" t="str">
        <x:v>EVD040</x:v>
      </x:c>
      <x:c r="B240" s="33" t="str">
        <x:v>Evidence Master</x:v>
      </x:c>
      <x:c r="C240" s="33" t="str">
        <x:v>Active=Yes; Remarks=Verify issuance by authority.</x:v>
      </x:c>
      <x:c r="D240" s="33" t="str">
        <x:v>Active=No; Remarks=P-2 QUARANTINED with AUD037; replacement evidence attached to AUD544.</x:v>
      </x:c>
      <x:c r="E240" s="33" t="str">
        <x:v>RECLASSIFY / RETIRE</x:v>
      </x:c>
      <x:c r="F240" s="33" t="str">
        <x:v>Parent audit was legally misaligned.</x:v>
      </x:c>
      <x:c r="G240" s="33" t="str">
        <x:v>CDSCO official Drugs Rules / Gazette</x:v>
      </x:c>
      <x:c r="H240" s="33" t="str">
        <x:v>https://cdsco.gov.in/opencms/resources/UploadCDSCOWeb/2022/drug_rules/Drugs%20Rules%2C%201945.pdf</x:v>
      </x:c>
      <x:c r="I240" s="33" t="str">
        <x:v>P-2</x:v>
      </x:c>
      <x:c r="J240" s="33" t="str">
        <x:v>2026-08-20</x:v>
      </x:c>
      <x:c r="K240" s="33" t="str">
        <x:v>Existing ID preserved; downstream traceability remediated.</x:v>
      </x:c>
    </x:row>
    <x:row r="241">
      <x:c r="A241" s="33" t="str">
        <x:v>EVD041</x:v>
      </x:c>
      <x:c r="B241" s="33" t="str">
        <x:v>Evidence Master</x:v>
      </x:c>
      <x:c r="C241" s="33" t="str">
        <x:v>Active=Yes; Remarks=Layout should match actual premises.</x:v>
      </x:c>
      <x:c r="D241" s="33" t="str">
        <x:v>Active=No; Remarks=P-2 QUARANTINED with AUD039; replacement evidence attached to AUD545.</x:v>
      </x:c>
      <x:c r="E241" s="33" t="str">
        <x:v>RECLASSIFY / RETIRE</x:v>
      </x:c>
      <x:c r="F241" s="33" t="str">
        <x:v>Parent audit was legally misaligned.</x:v>
      </x:c>
      <x:c r="G241" s="33" t="str">
        <x:v>CDSCO official Drugs Rules / Gazette</x:v>
      </x:c>
      <x:c r="H241" s="33" t="str">
        <x:v>https://cdsco.gov.in/opencms/resources/UploadCDSCOWeb/2022/drug_rules/Drugs%20Rules%2C%201945.pdf</x:v>
      </x:c>
      <x:c r="I241" s="33" t="str">
        <x:v>P-2</x:v>
      </x:c>
      <x:c r="J241" s="33" t="str">
        <x:v>2026-08-20</x:v>
      </x:c>
      <x:c r="K241" s="33" t="str">
        <x:v>Existing ID preserved; downstream traceability remediated.</x:v>
      </x:c>
    </x:row>
    <x:row r="242">
      <x:c r="A242" s="33" t="str">
        <x:v>EVD042</x:v>
      </x:c>
      <x:c r="B242" s="33" t="str">
        <x:v>Evidence Master</x:v>
      </x:c>
      <x:c r="C242" s="33" t="str">
        <x:v>Active=Yes; Remarks=Applicable for structural changes.</x:v>
      </x:c>
      <x:c r="D242" s="33" t="str">
        <x:v>Active=No; Remarks=P-2 QUARANTINED with AUD039; replacement evidence attached to AUD545.</x:v>
      </x:c>
      <x:c r="E242" s="33" t="str">
        <x:v>RECLASSIFY / RETIRE</x:v>
      </x:c>
      <x:c r="F242" s="33" t="str">
        <x:v>Parent audit was legally misaligned.</x:v>
      </x:c>
      <x:c r="G242" s="33" t="str">
        <x:v>CDSCO official Drugs Rules / Gazette</x:v>
      </x:c>
      <x:c r="H242" s="33" t="str">
        <x:v>https://cdsco.gov.in/opencms/resources/UploadCDSCOWeb/2022/drug_rules/Drugs%20Rules%2C%201945.pdf</x:v>
      </x:c>
      <x:c r="I242" s="33" t="str">
        <x:v>P-2</x:v>
      </x:c>
      <x:c r="J242" s="33" t="str">
        <x:v>2026-08-20</x:v>
      </x:c>
      <x:c r="K242" s="33" t="str">
        <x:v>Existing ID preserved; downstream traceability remediated.</x:v>
      </x:c>
    </x:row>
    <x:row r="243">
      <x:c r="A243" s="33" t="str">
        <x:v>EVD043</x:v>
      </x:c>
      <x:c r="B243" s="33" t="str">
        <x:v>Evidence Master</x:v>
      </x:c>
      <x:c r="C243" s="33" t="str">
        <x:v>Active=Yes; Remarks=Verify statutory display requirements.</x:v>
      </x:c>
      <x:c r="D243" s="33" t="str">
        <x:v>Active=No; Remarks=P-2 QUARANTINED with AUD041; replacement evidence attached to AUD546.</x:v>
      </x:c>
      <x:c r="E243" s="33" t="str">
        <x:v>RECLASSIFY / RETIRE</x:v>
      </x:c>
      <x:c r="F243" s="33" t="str">
        <x:v>Parent audit was legally misaligned.</x:v>
      </x:c>
      <x:c r="G243" s="33" t="str">
        <x:v>CDSCO official Drugs Rules / Gazette</x:v>
      </x:c>
      <x:c r="H243" s="33" t="str">
        <x:v>https://cdsco.gov.in/opencms/resources/UploadCDSCOWeb/2022/drug_rules/Drugs%20Rules%2C%201945.pdf</x:v>
      </x:c>
      <x:c r="I243" s="33" t="str">
        <x:v>P-2</x:v>
      </x:c>
      <x:c r="J243" s="33" t="str">
        <x:v>2026-08-20</x:v>
      </x:c>
      <x:c r="K243" s="33" t="str">
        <x:v>Existing ID preserved; downstream traceability remediated.</x:v>
      </x:c>
    </x:row>
    <x:row r="244">
      <x:c r="A244" s="33" t="str">
        <x:v>EVD044</x:v>
      </x:c>
      <x:c r="B244" s="33" t="str">
        <x:v>Evidence Master</x:v>
      </x:c>
      <x:c r="C244" s="33" t="str">
        <x:v>Active=Yes; Remarks=Supplementary inspection evidence.</x:v>
      </x:c>
      <x:c r="D244" s="33" t="str">
        <x:v>Active=No; Remarks=P-2 QUARANTINED with AUD041; replacement evidence attached to AUD546.</x:v>
      </x:c>
      <x:c r="E244" s="33" t="str">
        <x:v>RECLASSIFY / RETIRE</x:v>
      </x:c>
      <x:c r="F244" s="33" t="str">
        <x:v>Parent audit was legally misaligned.</x:v>
      </x:c>
      <x:c r="G244" s="33" t="str">
        <x:v>CDSCO official Drugs Rules / Gazette</x:v>
      </x:c>
      <x:c r="H244" s="33" t="str">
        <x:v>https://cdsco.gov.in/opencms/resources/UploadCDSCOWeb/2022/drug_rules/Drugs%20Rules%2C%201945.pdf</x:v>
      </x:c>
      <x:c r="I244" s="33" t="str">
        <x:v>P-2</x:v>
      </x:c>
      <x:c r="J244" s="33" t="str">
        <x:v>2026-08-20</x:v>
      </x:c>
      <x:c r="K244" s="33" t="str">
        <x:v>Existing ID preserved; downstream traceability remediated.</x:v>
      </x:c>
    </x:row>
    <x:row r="245">
      <x:c r="A245" s="33" t="str">
        <x:v>EVD045</x:v>
      </x:c>
      <x:c r="B245" s="33" t="str">
        <x:v>Evidence Master</x:v>
      </x:c>
      <x:c r="C245" s="33" t="str">
        <x:v>Active=Yes; Remarks=Applicable for physical/electronic backups.</x:v>
      </x:c>
      <x:c r="D245" s="33" t="str">
        <x:v>Active=No; Remarks=P-2 QUARANTINED with AUD043; replacement evidence attached to AUD547.</x:v>
      </x:c>
      <x:c r="E245" s="33" t="str">
        <x:v>RECLASSIFY / RETIRE</x:v>
      </x:c>
      <x:c r="F245" s="33" t="str">
        <x:v>Parent audit was legally misaligned.</x:v>
      </x:c>
      <x:c r="G245" s="33" t="str">
        <x:v>CDSCO official Drugs Rules / Gazette</x:v>
      </x:c>
      <x:c r="H245" s="33" t="str">
        <x:v>https://cdsco.gov.in/opencms/resources/UploadCDSCOWeb/2022/drug_rules/Drugs%20Rules%2C%201945.pdf</x:v>
      </x:c>
      <x:c r="I245" s="33" t="str">
        <x:v>P-2</x:v>
      </x:c>
      <x:c r="J245" s="33" t="str">
        <x:v>2026-08-20</x:v>
      </x:c>
      <x:c r="K245" s="33" t="str">
        <x:v>Existing ID preserved; downstream traceability remediated.</x:v>
      </x:c>
    </x:row>
    <x:row r="246">
      <x:c r="A246" s="33" t="str">
        <x:v>EVD046</x:v>
      </x:c>
      <x:c r="B246" s="33" t="str">
        <x:v>Evidence Master</x:v>
      </x:c>
      <x:c r="C246" s="33" t="str">
        <x:v>Active=Yes; Remarks=Verify successful backups.</x:v>
      </x:c>
      <x:c r="D246" s="33" t="str">
        <x:v>Active=No; Remarks=P-2 QUARANTINED with AUD043; replacement evidence attached to AUD547.</x:v>
      </x:c>
      <x:c r="E246" s="33" t="str">
        <x:v>RECLASSIFY / RETIRE</x:v>
      </x:c>
      <x:c r="F246" s="33" t="str">
        <x:v>Parent audit was legally misaligned.</x:v>
      </x:c>
      <x:c r="G246" s="33" t="str">
        <x:v>CDSCO official Drugs Rules / Gazette</x:v>
      </x:c>
      <x:c r="H246" s="33" t="str">
        <x:v>https://cdsco.gov.in/opencms/resources/UploadCDSCOWeb/2022/drug_rules/Drugs%20Rules%2C%201945.pdf</x:v>
      </x:c>
      <x:c r="I246" s="33" t="str">
        <x:v>P-2</x:v>
      </x:c>
      <x:c r="J246" s="33" t="str">
        <x:v>2026-08-20</x:v>
      </x:c>
      <x:c r="K246" s="33" t="str">
        <x:v>Existing ID preserved; downstream traceability remediated.</x:v>
      </x:c>
    </x:row>
    <x:row r="247">
      <x:c r="A247" s="33" t="str">
        <x:v>EVD047</x:v>
      </x:c>
      <x:c r="B247" s="33" t="str">
        <x:v>Evidence Master</x:v>
      </x:c>
      <x:c r="C247" s="33" t="str">
        <x:v>Active=Yes; Remarks=Track all inspection findings.</x:v>
      </x:c>
      <x:c r="D247" s="33" t="str">
        <x:v>Active=No; Remarks=P-2 QUARANTINED with AUD045; replacement evidence attached to AUD548.</x:v>
      </x:c>
      <x:c r="E247" s="33" t="str">
        <x:v>RECLASSIFY / RETIRE</x:v>
      </x:c>
      <x:c r="F247" s="33" t="str">
        <x:v>Parent audit was legally misaligned.</x:v>
      </x:c>
      <x:c r="G247" s="33" t="str">
        <x:v>CDSCO official Drugs Rules / Gazette</x:v>
      </x:c>
      <x:c r="H247" s="33" t="str">
        <x:v>https://cdsco.gov.in/opencms/resources/UploadCDSCOWeb/2022/drug_rules/Drugs%20Rules%2C%201945.pdf</x:v>
      </x:c>
      <x:c r="I247" s="33" t="str">
        <x:v>P-2</x:v>
      </x:c>
      <x:c r="J247" s="33" t="str">
        <x:v>2026-08-20</x:v>
      </x:c>
      <x:c r="K247" s="33" t="str">
        <x:v>Existing ID preserved; downstream traceability remediated.</x:v>
      </x:c>
    </x:row>
    <x:row r="248">
      <x:c r="A248" s="33" t="str">
        <x:v>EVD048</x:v>
      </x:c>
      <x:c r="B248" s="33" t="str">
        <x:v>Evidence Master</x:v>
      </x:c>
      <x:c r="C248" s="33" t="str">
        <x:v>Active=Yes; Remarks=Evidence of observation closure.</x:v>
      </x:c>
      <x:c r="D248" s="33" t="str">
        <x:v>Active=No; Remarks=P-2 QUARANTINED with AUD045; replacement evidence attached to AUD548.</x:v>
      </x:c>
      <x:c r="E248" s="33" t="str">
        <x:v>RECLASSIFY / RETIRE</x:v>
      </x:c>
      <x:c r="F248" s="33" t="str">
        <x:v>Parent audit was legally misaligned.</x:v>
      </x:c>
      <x:c r="G248" s="33" t="str">
        <x:v>CDSCO official Drugs Rules / Gazette</x:v>
      </x:c>
      <x:c r="H248" s="33" t="str">
        <x:v>https://cdsco.gov.in/opencms/resources/UploadCDSCOWeb/2022/drug_rules/Drugs%20Rules%2C%201945.pdf</x:v>
      </x:c>
      <x:c r="I248" s="33" t="str">
        <x:v>P-2</x:v>
      </x:c>
      <x:c r="J248" s="33" t="str">
        <x:v>2026-08-20</x:v>
      </x:c>
      <x:c r="K248" s="33" t="str">
        <x:v>Existing ID preserved; downstream traceability remediated.</x:v>
      </x:c>
    </x:row>
    <x:row r="249">
      <x:c r="A249" s="33" t="str">
        <x:v>EVD049</x:v>
      </x:c>
      <x:c r="B249" s="33" t="str">
        <x:v>Evidence Master</x:v>
      </x:c>
      <x:c r="C249" s="33" t="str">
        <x:v>Active=Yes; Remarks=Maintain all applicable approvals.</x:v>
      </x:c>
      <x:c r="D249" s="33" t="str">
        <x:v>Active=No; Remarks=P-2 QUARANTINED with AUD047; replacement evidence attached to AUD549.</x:v>
      </x:c>
      <x:c r="E249" s="33" t="str">
        <x:v>RECLASSIFY / RETIRE</x:v>
      </x:c>
      <x:c r="F249" s="33" t="str">
        <x:v>Parent audit was legally misaligned.</x:v>
      </x:c>
      <x:c r="G249" s="33" t="str">
        <x:v>CDSCO official Drugs Rules / Gazette</x:v>
      </x:c>
      <x:c r="H249" s="33" t="str">
        <x:v>https://cdsco.gov.in/opencms/resources/UploadCDSCOWeb/2022/drug_rules/Drugs%20Rules%2C%201945.pdf</x:v>
      </x:c>
      <x:c r="I249" s="33" t="str">
        <x:v>P-2</x:v>
      </x:c>
      <x:c r="J249" s="33" t="str">
        <x:v>2026-08-20</x:v>
      </x:c>
      <x:c r="K249" s="33" t="str">
        <x:v>Existing ID preserved; downstream traceability remediated.</x:v>
      </x:c>
    </x:row>
    <x:row r="250">
      <x:c r="A250" s="33" t="str">
        <x:v>EVD050</x:v>
      </x:c>
      <x:c r="B250" s="33" t="str">
        <x:v>Evidence Master</x:v>
      </x:c>
      <x:c r="C250" s="33" t="str">
        <x:v>Active=Yes; Remarks=Include special approvals where applicable.</x:v>
      </x:c>
      <x:c r="D250" s="33" t="str">
        <x:v>Active=No; Remarks=P-2 QUARANTINED with AUD047; replacement evidence attached to AUD549.</x:v>
      </x:c>
      <x:c r="E250" s="33" t="str">
        <x:v>RECLASSIFY / RETIRE</x:v>
      </x:c>
      <x:c r="F250" s="33" t="str">
        <x:v>Parent audit was legally misaligned.</x:v>
      </x:c>
      <x:c r="G250" s="33" t="str">
        <x:v>CDSCO official Drugs Rules / Gazette</x:v>
      </x:c>
      <x:c r="H250" s="33" t="str">
        <x:v>https://cdsco.gov.in/opencms/resources/UploadCDSCOWeb/2022/drug_rules/Drugs%20Rules%2C%201945.pdf</x:v>
      </x:c>
      <x:c r="I250" s="33" t="str">
        <x:v>P-2</x:v>
      </x:c>
      <x:c r="J250" s="33" t="str">
        <x:v>2026-08-20</x:v>
      </x:c>
      <x:c r="K250" s="33" t="str">
        <x:v>Existing ID preserved; downstream traceability remediated.</x:v>
      </x:c>
    </x:row>
    <x:row r="251">
      <x:c r="A251" s="33" t="str">
        <x:v>EVD051</x:v>
      </x:c>
      <x:c r="B251" s="33" t="str">
        <x:v>Evidence Master</x:v>
      </x:c>
      <x:c r="C251" s="33" t="str">
        <x:v>Active=Yes; Remarks=Evidence of periodic management review.</x:v>
      </x:c>
      <x:c r="D251" s="33" t="str">
        <x:v>Active=No; Remarks=P-2 QUARANTINED with AUD049; replacement evidence attached to AUD550.</x:v>
      </x:c>
      <x:c r="E251" s="33" t="str">
        <x:v>RECLASSIFY / RETIRE</x:v>
      </x:c>
      <x:c r="F251" s="33" t="str">
        <x:v>Parent audit was legally misaligned.</x:v>
      </x:c>
      <x:c r="G251" s="33" t="str">
        <x:v>CDSCO official Drugs Rules / Gazette</x:v>
      </x:c>
      <x:c r="H251" s="33" t="str">
        <x:v>https://cdsco.gov.in/opencms/resources/UploadCDSCOWeb/2022/drug_rules/Drugs%20Rules%2C%201945.pdf</x:v>
      </x:c>
      <x:c r="I251" s="33" t="str">
        <x:v>P-2</x:v>
      </x:c>
      <x:c r="J251" s="33" t="str">
        <x:v>2026-08-20</x:v>
      </x:c>
      <x:c r="K251" s="33" t="str">
        <x:v>Existing ID preserved; downstream traceability remediated.</x:v>
      </x:c>
    </x:row>
    <x:row r="252">
      <x:c r="A252" s="33" t="str">
        <x:v>EVD052</x:v>
      </x:c>
      <x:c r="B252" s="33" t="str">
        <x:v>Evidence Master</x:v>
      </x:c>
      <x:c r="C252" s="33" t="str">
        <x:v>Active=Yes; Remarks=Track management action items.</x:v>
      </x:c>
      <x:c r="D252" s="33" t="str">
        <x:v>Active=No; Remarks=P-2 QUARANTINED with AUD049; replacement evidence attached to AUD550.</x:v>
      </x:c>
      <x:c r="E252" s="33" t="str">
        <x:v>RECLASSIFY / RETIRE</x:v>
      </x:c>
      <x:c r="F252" s="33" t="str">
        <x:v>Parent audit was legally misaligned.</x:v>
      </x:c>
      <x:c r="G252" s="33" t="str">
        <x:v>CDSCO official Drugs Rules / Gazette</x:v>
      </x:c>
      <x:c r="H252" s="33" t="str">
        <x:v>https://cdsco.gov.in/opencms/resources/UploadCDSCOWeb/2022/drug_rules/Drugs%20Rules%2C%201945.pdf</x:v>
      </x:c>
      <x:c r="I252" s="33" t="str">
        <x:v>P-2</x:v>
      </x:c>
      <x:c r="J252" s="33" t="str">
        <x:v>2026-08-20</x:v>
      </x:c>
      <x:c r="K252" s="33" t="str">
        <x:v>Existing ID preserved; downstream traceability remediated.</x:v>
      </x:c>
    </x:row>
    <x:row r="253">
      <x:c r="A253" s="33" t="str">
        <x:v>EVD053</x:v>
      </x:c>
      <x:c r="B253" s="33" t="str">
        <x:v>Evidence Master</x:v>
      </x:c>
      <x:c r="C253" s="33" t="str">
        <x:v>Active=Yes; Remarks=Periodic compliance verification checklist.</x:v>
      </x:c>
      <x:c r="D253" s="33" t="str">
        <x:v>Active=No; Remarks=P-2 QUARANTINED with AUD051; replacement evidence attached to AUD551.</x:v>
      </x:c>
      <x:c r="E253" s="33" t="str">
        <x:v>RECLASSIFY / RETIRE</x:v>
      </x:c>
      <x:c r="F253" s="33" t="str">
        <x:v>Parent audit was legally misaligned.</x:v>
      </x:c>
      <x:c r="G253" s="33" t="str">
        <x:v>CDSCO official Drugs Rules / Gazette</x:v>
      </x:c>
      <x:c r="H253" s="33" t="str">
        <x:v>https://cdsco.gov.in/opencms/resources/UploadCDSCOWeb/2022/drug_rules/Drugs%20Rules%2C%201945.pdf</x:v>
      </x:c>
      <x:c r="I253" s="33" t="str">
        <x:v>P-2</x:v>
      </x:c>
      <x:c r="J253" s="33" t="str">
        <x:v>2026-08-20</x:v>
      </x:c>
      <x:c r="K253" s="33" t="str">
        <x:v>Existing ID preserved; downstream traceability remediated.</x:v>
      </x:c>
    </x:row>
    <x:row r="254">
      <x:c r="A254" s="33" t="str">
        <x:v>EVD054</x:v>
      </x:c>
      <x:c r="B254" s="33" t="str">
        <x:v>Evidence Master</x:v>
      </x:c>
      <x:c r="C254" s="33" t="str">
        <x:v>Active=Yes; Remarks=Results of compliance monitoring.</x:v>
      </x:c>
      <x:c r="D254" s="33" t="str">
        <x:v>Active=No; Remarks=P-2 QUARANTINED with AUD051; replacement evidence attached to AUD551.</x:v>
      </x:c>
      <x:c r="E254" s="33" t="str">
        <x:v>RECLASSIFY / RETIRE</x:v>
      </x:c>
      <x:c r="F254" s="33" t="str">
        <x:v>Parent audit was legally misaligned.</x:v>
      </x:c>
      <x:c r="G254" s="33" t="str">
        <x:v>CDSCO official Drugs Rules / Gazette</x:v>
      </x:c>
      <x:c r="H254" s="33" t="str">
        <x:v>https://cdsco.gov.in/opencms/resources/UploadCDSCOWeb/2022/drug_rules/Drugs%20Rules%2C%201945.pdf</x:v>
      </x:c>
      <x:c r="I254" s="33" t="str">
        <x:v>P-2</x:v>
      </x:c>
      <x:c r="J254" s="33" t="str">
        <x:v>2026-08-20</x:v>
      </x:c>
      <x:c r="K254" s="33" t="str">
        <x:v>Existing ID preserved; downstream traceability remediated.</x:v>
      </x:c>
    </x:row>
    <x:row r="255">
      <x:c r="A255" s="33" t="str">
        <x:v>EVD055</x:v>
      </x:c>
      <x:c r="B255" s="33" t="str">
        <x:v>Evidence Master</x:v>
      </x:c>
      <x:c r="C255" s="33" t="str">
        <x:v>Active=Yes; Remarks=Evidence of issue resolution.</x:v>
      </x:c>
      <x:c r="D255" s="33" t="str">
        <x:v>Active=No; Remarks=P-2 QUARANTINED with AUD051; replacement evidence attached to AUD551.</x:v>
      </x:c>
      <x:c r="E255" s="33" t="str">
        <x:v>RECLASSIFY / RETIRE</x:v>
      </x:c>
      <x:c r="F255" s="33" t="str">
        <x:v>Parent audit was legally misaligned.</x:v>
      </x:c>
      <x:c r="G255" s="33" t="str">
        <x:v>CDSCO official Drugs Rules / Gazette</x:v>
      </x:c>
      <x:c r="H255" s="33" t="str">
        <x:v>https://cdsco.gov.in/opencms/resources/UploadCDSCOWeb/2022/drug_rules/Drugs%20Rules%2C%201945.pdf</x:v>
      </x:c>
      <x:c r="I255" s="33" t="str">
        <x:v>P-2</x:v>
      </x:c>
      <x:c r="J255" s="33" t="str">
        <x:v>2026-08-20</x:v>
      </x:c>
      <x:c r="K255" s="33" t="str">
        <x:v>Existing ID preserved; downstream traceability remediated.</x:v>
      </x:c>
    </x:row>
    <x:row r="256">
      <x:c r="A256" s="33" t="str">
        <x:v>EVD056</x:v>
      </x:c>
      <x:c r="B256" s="33" t="str">
        <x:v>Evidence Master</x:v>
      </x:c>
      <x:c r="C256" s="33" t="str">
        <x:v>Active=Yes; Remarks=Applicable where electronic monitoring exists.</x:v>
      </x:c>
      <x:c r="D256" s="33" t="str">
        <x:v>Active=No; Remarks=P-2 QUARANTINED with AUD051; replacement evidence attached to AUD551.</x:v>
      </x:c>
      <x:c r="E256" s="33" t="str">
        <x:v>RECLASSIFY / RETIRE</x:v>
      </x:c>
      <x:c r="F256" s="33" t="str">
        <x:v>Parent audit was legally misaligned.</x:v>
      </x:c>
      <x:c r="G256" s="33" t="str">
        <x:v>CDSCO official Drugs Rules / Gazette</x:v>
      </x:c>
      <x:c r="H256" s="33" t="str">
        <x:v>https://cdsco.gov.in/opencms/resources/UploadCDSCOWeb/2022/drug_rules/Drugs%20Rules%2C%201945.pdf</x:v>
      </x:c>
      <x:c r="I256" s="33" t="str">
        <x:v>P-2</x:v>
      </x:c>
      <x:c r="J256" s="33" t="str">
        <x:v>2026-08-20</x:v>
      </x:c>
      <x:c r="K256" s="33" t="str">
        <x:v>Existing ID preserved; downstream traceability remediated.</x:v>
      </x:c>
    </x:row>
    <x:row r="257">
      <x:c r="A257" s="33" t="str">
        <x:v>EVD057</x:v>
      </x:c>
      <x:c r="B257" s="33" t="str">
        <x:v>Evidence Master</x:v>
      </x:c>
      <x:c r="C257" s="33" t="str">
        <x:v>Active=Yes; Remarks=Governs monitoring process.</x:v>
      </x:c>
      <x:c r="D257" s="33" t="str">
        <x:v>Active=No; Remarks=P-2 QUARANTINED with AUD051; replacement evidence attached to AUD551.</x:v>
      </x:c>
      <x:c r="E257" s="33" t="str">
        <x:v>RECLASSIFY / RETIRE</x:v>
      </x:c>
      <x:c r="F257" s="33" t="str">
        <x:v>Parent audit was legally misaligned.</x:v>
      </x:c>
      <x:c r="G257" s="33" t="str">
        <x:v>CDSCO official Drugs Rules / Gazette</x:v>
      </x:c>
      <x:c r="H257" s="33" t="str">
        <x:v>https://cdsco.gov.in/opencms/resources/UploadCDSCOWeb/2022/drug_rules/Drugs%20Rules%2C%201945.pdf</x:v>
      </x:c>
      <x:c r="I257" s="33" t="str">
        <x:v>P-2</x:v>
      </x:c>
      <x:c r="J257" s="33" t="str">
        <x:v>2026-08-20</x:v>
      </x:c>
      <x:c r="K257" s="33" t="str">
        <x:v>Existing ID preserved; downstream traceability remediated.</x:v>
      </x:c>
    </x:row>
    <x:row r="258">
      <x:c r="A258" s="33" t="str">
        <x:v>EVD249</x:v>
      </x:c>
      <x:c r="B258" s="33" t="str">
        <x:v>Evidence Master</x:v>
      </x:c>
      <x:c r="C258" s="33" t="str">
        <x:v>Active=Yes; Remarks=Management authorization.</x:v>
      </x:c>
      <x:c r="D258" s="33" t="str">
        <x:v>Active=No; Remarks=P-2 QUARANTINED with AUD230; replacement evidence attached to AUD552.</x:v>
      </x:c>
      <x:c r="E258" s="33" t="str">
        <x:v>RECLASSIFY / RETIRE</x:v>
      </x:c>
      <x:c r="F258" s="33" t="str">
        <x:v>Parent audit was legally misaligned.</x:v>
      </x:c>
      <x:c r="G258" s="33" t="str">
        <x:v>CDSCO official Drugs Rules / Gazette</x:v>
      </x:c>
      <x:c r="H258" s="33" t="str">
        <x:v>https://cdsco.gov.in/opencms/resources/UploadCDSCOWeb/2022/drug_rules/Drugs%20Rules%2C%201945.pdf</x:v>
      </x:c>
      <x:c r="I258" s="33" t="str">
        <x:v>P-2</x:v>
      </x:c>
      <x:c r="J258" s="33" t="str">
        <x:v>2026-08-20</x:v>
      </x:c>
      <x:c r="K258" s="33" t="str">
        <x:v>Existing ID preserved; downstream traceability remediated.</x:v>
      </x:c>
    </x:row>
    <x:row r="259">
      <x:c r="A259" s="33" t="str">
        <x:v>EVD250</x:v>
      </x:c>
      <x:c r="B259" s="33" t="str">
        <x:v>Evidence Master</x:v>
      </x:c>
      <x:c r="C259" s="33" t="str">
        <x:v>Active=Yes; Remarks=Regulatory compliance.</x:v>
      </x:c>
      <x:c r="D259" s="33" t="str">
        <x:v>Active=No; Remarks=P-2 QUARANTINED with AUD230; replacement evidence attached to AUD552.</x:v>
      </x:c>
      <x:c r="E259" s="33" t="str">
        <x:v>RECLASSIFY / RETIRE</x:v>
      </x:c>
      <x:c r="F259" s="33" t="str">
        <x:v>Parent audit was legally misaligned.</x:v>
      </x:c>
      <x:c r="G259" s="33" t="str">
        <x:v>CDSCO official Drugs Rules / Gazette</x:v>
      </x:c>
      <x:c r="H259" s="33" t="str">
        <x:v>https://cdsco.gov.in/opencms/resources/UploadCDSCOWeb/2022/drug_rules/Drugs%20Rules%2C%201945.pdf</x:v>
      </x:c>
      <x:c r="I259" s="33" t="str">
        <x:v>P-2</x:v>
      </x:c>
      <x:c r="J259" s="33" t="str">
        <x:v>2026-08-20</x:v>
      </x:c>
      <x:c r="K259" s="33" t="str">
        <x:v>Existing ID preserved; downstream traceability remediated.</x:v>
      </x:c>
    </x:row>
    <x:row r="260">
      <x:c r="A260" s="33" t="str">
        <x:v>EVD251</x:v>
      </x:c>
      <x:c r="B260" s="33" t="str">
        <x:v>Evidence Master</x:v>
      </x:c>
      <x:c r="C260" s="33" t="str">
        <x:v>Active=Yes; Remarks=Record substitutions.</x:v>
      </x:c>
      <x:c r="D260" s="33" t="str">
        <x:v>Active=No; Remarks=P-2 QUARANTINED with AUD232; replacement evidence attached to AUD553.</x:v>
      </x:c>
      <x:c r="E260" s="33" t="str">
        <x:v>RECLASSIFY / RETIRE</x:v>
      </x:c>
      <x:c r="F260" s="33" t="str">
        <x:v>Parent audit was legally misaligned.</x:v>
      </x:c>
      <x:c r="G260" s="33" t="str">
        <x:v>CDSCO official Drugs Rules / Gazette</x:v>
      </x:c>
      <x:c r="H260" s="33" t="str">
        <x:v>https://cdsco.gov.in/opencms/resources/UploadCDSCOWeb/2022/drug_rules/Drugs%20Rules%2C%201945.pdf</x:v>
      </x:c>
      <x:c r="I260" s="33" t="str">
        <x:v>P-2</x:v>
      </x:c>
      <x:c r="J260" s="33" t="str">
        <x:v>2026-08-20</x:v>
      </x:c>
      <x:c r="K260" s="33" t="str">
        <x:v>Existing ID preserved; downstream traceability remediated.</x:v>
      </x:c>
    </x:row>
    <x:row r="261">
      <x:c r="A261" s="33" t="str">
        <x:v>EVD252</x:v>
      </x:c>
      <x:c r="B261" s="33" t="str">
        <x:v>Evidence Master</x:v>
      </x:c>
      <x:c r="C261" s="33" t="str">
        <x:v>Active=Yes; Remarks=Required before substitution.</x:v>
      </x:c>
      <x:c r="D261" s="33" t="str">
        <x:v>Active=No; Remarks=P-2 QUARANTINED with AUD232; replacement evidence attached to AUD553.</x:v>
      </x:c>
      <x:c r="E261" s="33" t="str">
        <x:v>RECLASSIFY / RETIRE</x:v>
      </x:c>
      <x:c r="F261" s="33" t="str">
        <x:v>Parent audit was legally misaligned.</x:v>
      </x:c>
      <x:c r="G261" s="33" t="str">
        <x:v>CDSCO official Drugs Rules / Gazette</x:v>
      </x:c>
      <x:c r="H261" s="33" t="str">
        <x:v>https://cdsco.gov.in/opencms/resources/UploadCDSCOWeb/2022/drug_rules/Drugs%20Rules%2C%201945.pdf</x:v>
      </x:c>
      <x:c r="I261" s="33" t="str">
        <x:v>P-2</x:v>
      </x:c>
      <x:c r="J261" s="33" t="str">
        <x:v>2026-08-20</x:v>
      </x:c>
      <x:c r="K261" s="33" t="str">
        <x:v>Existing ID preserved; downstream traceability remediated.</x:v>
      </x:c>
    </x:row>
    <x:row r="262">
      <x:c r="A262" s="33" t="str">
        <x:v>EVD253</x:v>
      </x:c>
      <x:c r="B262" s="33" t="str">
        <x:v>Evidence Master</x:v>
      </x:c>
      <x:c r="C262" s="33" t="str">
        <x:v>Active=Yes; Remarks=Sales-related complaints.</x:v>
      </x:c>
      <x:c r="D262" s="33" t="str">
        <x:v>Active=No; Remarks=P-2 QUARANTINED with AUD234; replacement evidence attached to AUD554.</x:v>
      </x:c>
      <x:c r="E262" s="33" t="str">
        <x:v>RECLASSIFY / RETIRE</x:v>
      </x:c>
      <x:c r="F262" s="33" t="str">
        <x:v>Parent audit was legally misaligned.</x:v>
      </x:c>
      <x:c r="G262" s="33" t="str">
        <x:v>CDSCO official Drugs Rules / Gazette</x:v>
      </x:c>
      <x:c r="H262" s="33" t="str">
        <x:v>https://cdsco.gov.in/opencms/resources/UploadCDSCOWeb/2022/drug_rules/Drugs%20Rules%2C%201945.pdf</x:v>
      </x:c>
      <x:c r="I262" s="33" t="str">
        <x:v>P-2</x:v>
      </x:c>
      <x:c r="J262" s="33" t="str">
        <x:v>2026-08-20</x:v>
      </x:c>
      <x:c r="K262" s="33" t="str">
        <x:v>Existing ID preserved; downstream traceability remediated.</x:v>
      </x:c>
    </x:row>
    <x:row r="263">
      <x:c r="A263" s="33" t="str">
        <x:v>EVD254</x:v>
      </x:c>
      <x:c r="B263" s="33" t="str">
        <x:v>Evidence Master</x:v>
      </x:c>
      <x:c r="C263" s="33" t="str">
        <x:v>Active=Yes; Remarks=Resolution documentation.</x:v>
      </x:c>
      <x:c r="D263" s="33" t="str">
        <x:v>Active=No; Remarks=P-2 QUARANTINED with AUD234; replacement evidence attached to AUD554.</x:v>
      </x:c>
      <x:c r="E263" s="33" t="str">
        <x:v>RECLASSIFY / RETIRE</x:v>
      </x:c>
      <x:c r="F263" s="33" t="str">
        <x:v>Parent audit was legally misaligned.</x:v>
      </x:c>
      <x:c r="G263" s="33" t="str">
        <x:v>CDSCO official Drugs Rules / Gazette</x:v>
      </x:c>
      <x:c r="H263" s="33" t="str">
        <x:v>https://cdsco.gov.in/opencms/resources/UploadCDSCOWeb/2022/drug_rules/Drugs%20Rules%2C%201945.pdf</x:v>
      </x:c>
      <x:c r="I263" s="33" t="str">
        <x:v>P-2</x:v>
      </x:c>
      <x:c r="J263" s="33" t="str">
        <x:v>2026-08-20</x:v>
      </x:c>
      <x:c r="K263" s="33" t="str">
        <x:v>Existing ID preserved; downstream traceability remediated.</x:v>
      </x:c>
    </x:row>
    <x:row r="264">
      <x:c r="A264" s="33" t="str">
        <x:v>EVD255</x:v>
      </x:c>
      <x:c r="B264" s="33" t="str">
        <x:v>Evidence Master</x:v>
      </x:c>
      <x:c r="C264" s="33" t="str">
        <x:v>Active=Yes; Remarks=Record refunds issued.</x:v>
      </x:c>
      <x:c r="D264" s="33" t="str">
        <x:v>Active=No; Remarks=P-2 QUARANTINED with AUD236; replacement evidence attached to AUD555.</x:v>
      </x:c>
      <x:c r="E264" s="33" t="str">
        <x:v>RECLASSIFY / RETIRE</x:v>
      </x:c>
      <x:c r="F264" s="33" t="str">
        <x:v>Parent audit was legally misaligned.</x:v>
      </x:c>
      <x:c r="G264" s="33" t="str">
        <x:v>CDSCO official Drugs Rules / Gazette</x:v>
      </x:c>
      <x:c r="H264" s="33" t="str">
        <x:v>https://cdsco.gov.in/opencms/resources/UploadCDSCOWeb/2022/drug_rules/Drugs%20Rules%2C%201945.pdf</x:v>
      </x:c>
      <x:c r="I264" s="33" t="str">
        <x:v>P-2</x:v>
      </x:c>
      <x:c r="J264" s="33" t="str">
        <x:v>2026-08-20</x:v>
      </x:c>
      <x:c r="K264" s="33" t="str">
        <x:v>Existing ID preserved; downstream traceability remediated.</x:v>
      </x:c>
    </x:row>
    <x:row r="265">
      <x:c r="A265" s="33" t="str">
        <x:v>EVD256</x:v>
      </x:c>
      <x:c r="B265" s="33" t="str">
        <x:v>Evidence Master</x:v>
      </x:c>
      <x:c r="C265" s="33" t="str">
        <x:v>Active=Yes; Remarks=Supporting refund evidence.</x:v>
      </x:c>
      <x:c r="D265" s="33" t="str">
        <x:v>Active=No; Remarks=P-2 QUARANTINED with AUD236; replacement evidence attached to AUD555.</x:v>
      </x:c>
      <x:c r="E265" s="33" t="str">
        <x:v>RECLASSIFY / RETIRE</x:v>
      </x:c>
      <x:c r="F265" s="33" t="str">
        <x:v>Parent audit was legally misaligned.</x:v>
      </x:c>
      <x:c r="G265" s="33" t="str">
        <x:v>CDSCO official Drugs Rules / Gazette</x:v>
      </x:c>
      <x:c r="H265" s="33" t="str">
        <x:v>https://cdsco.gov.in/opencms/resources/UploadCDSCOWeb/2022/drug_rules/Drugs%20Rules%2C%201945.pdf</x:v>
      </x:c>
      <x:c r="I265" s="33" t="str">
        <x:v>P-2</x:v>
      </x:c>
      <x:c r="J265" s="33" t="str">
        <x:v>2026-08-20</x:v>
      </x:c>
      <x:c r="K265" s="33" t="str">
        <x:v>Existing ID preserved; downstream traceability remediated.</x:v>
      </x:c>
    </x:row>
    <x:row r="266">
      <x:c r="A266" s="33" t="str">
        <x:v>EVD257</x:v>
      </x:c>
      <x:c r="B266" s="33" t="str">
        <x:v>Evidence Master</x:v>
      </x:c>
      <x:c r="C266" s="33" t="str">
        <x:v>Active=Yes; Remarks=Controlled sales monitoring.</x:v>
      </x:c>
      <x:c r="D266" s="33" t="str">
        <x:v>Active=No; Remarks=P-2 QUARANTINED with AUD238; replacement evidence attached to AUD556.</x:v>
      </x:c>
      <x:c r="E266" s="33" t="str">
        <x:v>RECLASSIFY / RETIRE</x:v>
      </x:c>
      <x:c r="F266" s="33" t="str">
        <x:v>Parent audit was legally misaligned.</x:v>
      </x:c>
      <x:c r="G266" s="33" t="str">
        <x:v>CDSCO official Drugs Rules / Gazette</x:v>
      </x:c>
      <x:c r="H266" s="33" t="str">
        <x:v>https://cdsco.gov.in/opencms/resources/UploadCDSCOWeb/2022/drug_rules/Drugs%20Rules%2C%201945.pdf</x:v>
      </x:c>
      <x:c r="I266" s="33" t="str">
        <x:v>P-2</x:v>
      </x:c>
      <x:c r="J266" s="33" t="str">
        <x:v>2026-08-20</x:v>
      </x:c>
      <x:c r="K266" s="33" t="str">
        <x:v>Existing ID preserved; downstream traceability remediated.</x:v>
      </x:c>
    </x:row>
    <x:row r="267">
      <x:c r="A267" s="33" t="str">
        <x:v>EVD258</x:v>
      </x:c>
      <x:c r="B267" s="33" t="str">
        <x:v>Evidence Master</x:v>
      </x:c>
      <x:c r="C267" s="33" t="str">
        <x:v>Active=Yes; Remarks=Required for exceptional transactions.</x:v>
      </x:c>
      <x:c r="D267" s="33" t="str">
        <x:v>Active=No; Remarks=P-2 QUARANTINED with AUD238; replacement evidence attached to AUD556.</x:v>
      </x:c>
      <x:c r="E267" s="33" t="str">
        <x:v>RECLASSIFY / RETIRE</x:v>
      </x:c>
      <x:c r="F267" s="33" t="str">
        <x:v>Parent audit was legally misaligned.</x:v>
      </x:c>
      <x:c r="G267" s="33" t="str">
        <x:v>CDSCO official Drugs Rules / Gazette</x:v>
      </x:c>
      <x:c r="H267" s="33" t="str">
        <x:v>https://cdsco.gov.in/opencms/resources/UploadCDSCOWeb/2022/drug_rules/Drugs%20Rules%2C%201945.pdf</x:v>
      </x:c>
      <x:c r="I267" s="33" t="str">
        <x:v>P-2</x:v>
      </x:c>
      <x:c r="J267" s="33" t="str">
        <x:v>2026-08-20</x:v>
      </x:c>
      <x:c r="K267" s="33" t="str">
        <x:v>Existing ID preserved; downstream traceability remediated.</x:v>
      </x:c>
    </x:row>
    <x:row r="268">
      <x:c r="A268" s="33" t="str">
        <x:v>EVD259</x:v>
      </x:c>
      <x:c r="B268" s="33" t="str">
        <x:v>Evidence Master</x:v>
      </x:c>
      <x:c r="C268" s="33" t="str">
        <x:v>Active=Yes; Remarks=Current selling prices.</x:v>
      </x:c>
      <x:c r="D268" s="33" t="str">
        <x:v>Active=No; Remarks=P-2 QUARANTINED with AUD240; replacement evidence attached to AUD557.</x:v>
      </x:c>
      <x:c r="E268" s="33" t="str">
        <x:v>RECLASSIFY / RETIRE</x:v>
      </x:c>
      <x:c r="F268" s="33" t="str">
        <x:v>Parent audit was legally misaligned.</x:v>
      </x:c>
      <x:c r="G268" s="33" t="str">
        <x:v>CDSCO official Drugs Rules / Gazette</x:v>
      </x:c>
      <x:c r="H268" s="33" t="str">
        <x:v>https://cdsco.gov.in/opencms/resources/UploadCDSCOWeb/2022/drug_rules/Drugs%20Rules%2C%201945.pdf</x:v>
      </x:c>
      <x:c r="I268" s="33" t="str">
        <x:v>P-2</x:v>
      </x:c>
      <x:c r="J268" s="33" t="str">
        <x:v>2026-08-20</x:v>
      </x:c>
      <x:c r="K268" s="33" t="str">
        <x:v>Existing ID preserved; downstream traceability remediated.</x:v>
      </x:c>
    </x:row>
    <x:row r="269">
      <x:c r="A269" s="33" t="str">
        <x:v>EVD260</x:v>
      </x:c>
      <x:c r="B269" s="33" t="str">
        <x:v>Evidence Master</x:v>
      </x:c>
      <x:c r="C269" s="33" t="str">
        <x:v>Active=Yes; Remarks=Evidence of authorized price changes.</x:v>
      </x:c>
      <x:c r="D269" s="33" t="str">
        <x:v>Active=No; Remarks=P-2 QUARANTINED with AUD240; replacement evidence attached to AUD557.</x:v>
      </x:c>
      <x:c r="E269" s="33" t="str">
        <x:v>RECLASSIFY / RETIRE</x:v>
      </x:c>
      <x:c r="F269" s="33" t="str">
        <x:v>Parent audit was legally misaligned.</x:v>
      </x:c>
      <x:c r="G269" s="33" t="str">
        <x:v>CDSCO official Drugs Rules / Gazette</x:v>
      </x:c>
      <x:c r="H269" s="33" t="str">
        <x:v>https://cdsco.gov.in/opencms/resources/UploadCDSCOWeb/2022/drug_rules/Drugs%20Rules%2C%201945.pdf</x:v>
      </x:c>
      <x:c r="I269" s="33" t="str">
        <x:v>P-2</x:v>
      </x:c>
      <x:c r="J269" s="33" t="str">
        <x:v>2026-08-20</x:v>
      </x:c>
      <x:c r="K269" s="33" t="str">
        <x:v>Existing ID preserved; downstream traceability remediated.</x:v>
      </x:c>
    </x:row>
    <x:row r="270">
      <x:c r="A270" s="33" t="str">
        <x:v>EVD261</x:v>
      </x:c>
      <x:c r="B270" s="33" t="str">
        <x:v>Evidence Master</x:v>
      </x:c>
      <x:c r="C270" s="33" t="str">
        <x:v>Active=Yes; Remarks=Authorized system users.</x:v>
      </x:c>
      <x:c r="D270" s="33" t="str">
        <x:v>Active=No; Remarks=P-2 QUARANTINED with AUD242; replacement evidence attached to AUD558.</x:v>
      </x:c>
      <x:c r="E270" s="33" t="str">
        <x:v>RECLASSIFY / RETIRE</x:v>
      </x:c>
      <x:c r="F270" s="33" t="str">
        <x:v>Parent audit was legally misaligned.</x:v>
      </x:c>
      <x:c r="G270" s="33" t="str">
        <x:v>CDSCO official Drugs Rules / Gazette</x:v>
      </x:c>
      <x:c r="H270" s="33" t="str">
        <x:v>https://cdsco.gov.in/opencms/resources/UploadCDSCOWeb/2022/drug_rules/Drugs%20Rules%2C%201945.pdf</x:v>
      </x:c>
      <x:c r="I270" s="33" t="str">
        <x:v>P-2</x:v>
      </x:c>
      <x:c r="J270" s="33" t="str">
        <x:v>2026-08-20</x:v>
      </x:c>
      <x:c r="K270" s="33" t="str">
        <x:v>Existing ID preserved; downstream traceability remediated.</x:v>
      </x:c>
    </x:row>
    <x:row r="271">
      <x:c r="A271" s="33" t="str">
        <x:v>EVD262</x:v>
      </x:c>
      <x:c r="B271" s="33" t="str">
        <x:v>Evidence Master</x:v>
      </x:c>
      <x:c r="C271" s="33" t="str">
        <x:v>Active=Yes; Remarks=Review unauthorized overrides.</x:v>
      </x:c>
      <x:c r="D271" s="33" t="str">
        <x:v>Active=No; Remarks=P-2 QUARANTINED with AUD242; replacement evidence attached to AUD558.</x:v>
      </x:c>
      <x:c r="E271" s="33" t="str">
        <x:v>RECLASSIFY / RETIRE</x:v>
      </x:c>
      <x:c r="F271" s="33" t="str">
        <x:v>Parent audit was legally misaligned.</x:v>
      </x:c>
      <x:c r="G271" s="33" t="str">
        <x:v>CDSCO official Drugs Rules / Gazette</x:v>
      </x:c>
      <x:c r="H271" s="33" t="str">
        <x:v>https://cdsco.gov.in/opencms/resources/UploadCDSCOWeb/2022/drug_rules/Drugs%20Rules%2C%201945.pdf</x:v>
      </x:c>
      <x:c r="I271" s="33" t="str">
        <x:v>P-2</x:v>
      </x:c>
      <x:c r="J271" s="33" t="str">
        <x:v>2026-08-20</x:v>
      </x:c>
      <x:c r="K271" s="33" t="str">
        <x:v>Existing ID preserved; downstream traceability remediated.</x:v>
      </x:c>
    </x:row>
    <x:row r="272">
      <x:c r="A272" s="33" t="str">
        <x:v>EVD263</x:v>
      </x:c>
      <x:c r="B272" s="33" t="str">
        <x:v>Evidence Master</x:v>
      </x:c>
      <x:c r="C272" s="33" t="str">
        <x:v>Active=Yes; Remarks=Record cancelled transactions.</x:v>
      </x:c>
      <x:c r="D272" s="33" t="str">
        <x:v>Active=No; Remarks=P-2 QUARANTINED with AUD244; replacement evidence attached to AUD559.</x:v>
      </x:c>
      <x:c r="E272" s="33" t="str">
        <x:v>RECLASSIFY / RETIRE</x:v>
      </x:c>
      <x:c r="F272" s="33" t="str">
        <x:v>Parent audit was legally misaligned.</x:v>
      </x:c>
      <x:c r="G272" s="33" t="str">
        <x:v>CDSCO official Drugs Rules / Gazette</x:v>
      </x:c>
      <x:c r="H272" s="33" t="str">
        <x:v>https://cdsco.gov.in/opencms/resources/UploadCDSCOWeb/2022/drug_rules/Drugs%20Rules%2C%201945.pdf</x:v>
      </x:c>
      <x:c r="I272" s="33" t="str">
        <x:v>P-2</x:v>
      </x:c>
      <x:c r="J272" s="33" t="str">
        <x:v>2026-08-20</x:v>
      </x:c>
      <x:c r="K272" s="33" t="str">
        <x:v>Existing ID preserved; downstream traceability remediated.</x:v>
      </x:c>
    </x:row>
    <x:row r="273">
      <x:c r="A273" s="33" t="str">
        <x:v>EVD264</x:v>
      </x:c>
      <x:c r="B273" s="33" t="str">
        <x:v>Evidence Master</x:v>
      </x:c>
      <x:c r="C273" s="33" t="str">
        <x:v>Active=Yes; Remarks=Supervisor authorization.</x:v>
      </x:c>
      <x:c r="D273" s="33" t="str">
        <x:v>Active=No; Remarks=P-2 QUARANTINED with AUD244; replacement evidence attached to AUD559.</x:v>
      </x:c>
      <x:c r="E273" s="33" t="str">
        <x:v>RECLASSIFY / RETIRE</x:v>
      </x:c>
      <x:c r="F273" s="33" t="str">
        <x:v>Parent audit was legally misaligned.</x:v>
      </x:c>
      <x:c r="G273" s="33" t="str">
        <x:v>CDSCO official Drugs Rules / Gazette</x:v>
      </x:c>
      <x:c r="H273" s="33" t="str">
        <x:v>https://cdsco.gov.in/opencms/resources/UploadCDSCOWeb/2022/drug_rules/Drugs%20Rules%2C%201945.pdf</x:v>
      </x:c>
      <x:c r="I273" s="33" t="str">
        <x:v>P-2</x:v>
      </x:c>
      <x:c r="J273" s="33" t="str">
        <x:v>2026-08-20</x:v>
      </x:c>
      <x:c r="K273" s="33" t="str">
        <x:v>Existing ID preserved; downstream traceability remediated.</x:v>
      </x:c>
    </x:row>
    <x:row r="274">
      <x:c r="A274" s="33" t="str">
        <x:v>EVD265</x:v>
      </x:c>
      <x:c r="B274" s="33" t="str">
        <x:v>Evidence Master</x:v>
      </x:c>
      <x:c r="C274" s="33" t="str">
        <x:v>Active=Yes; Remarks=Cash, UPI and card reconciliation.</x:v>
      </x:c>
      <x:c r="D274" s="33" t="str">
        <x:v>Active=No; Remarks=P-2 QUARANTINED with AUD246; replacement evidence attached to AUD560.</x:v>
      </x:c>
      <x:c r="E274" s="33" t="str">
        <x:v>RECLASSIFY / RETIRE</x:v>
      </x:c>
      <x:c r="F274" s="33" t="str">
        <x:v>Parent audit was legally misaligned.</x:v>
      </x:c>
      <x:c r="G274" s="33" t="str">
        <x:v>CDSCO official Drugs Rules / Gazette</x:v>
      </x:c>
      <x:c r="H274" s="33" t="str">
        <x:v>https://cdsco.gov.in/opencms/resources/UploadCDSCOWeb/2022/drug_rules/Drugs%20Rules%2C%201945.pdf</x:v>
      </x:c>
      <x:c r="I274" s="33" t="str">
        <x:v>P-2</x:v>
      </x:c>
      <x:c r="J274" s="33" t="str">
        <x:v>2026-08-20</x:v>
      </x:c>
      <x:c r="K274" s="33" t="str">
        <x:v>Existing ID preserved; downstream traceability remediated.</x:v>
      </x:c>
    </x:row>
    <x:row r="275">
      <x:c r="A275" s="33" t="str">
        <x:v>EVD266</x:v>
      </x:c>
      <x:c r="B275" s="33" t="str">
        <x:v>Evidence Master</x:v>
      </x:c>
      <x:c r="C275" s="33" t="str">
        <x:v>Active=Yes; Remarks=Daily closing evidence.</x:v>
      </x:c>
      <x:c r="D275" s="33" t="str">
        <x:v>Active=No; Remarks=P-2 QUARANTINED with AUD246; replacement evidence attached to AUD560.</x:v>
      </x:c>
      <x:c r="E275" s="33" t="str">
        <x:v>RECLASSIFY / RETIRE</x:v>
      </x:c>
      <x:c r="F275" s="33" t="str">
        <x:v>Parent audit was legally misaligned.</x:v>
      </x:c>
      <x:c r="G275" s="33" t="str">
        <x:v>CDSCO official Drugs Rules / Gazette</x:v>
      </x:c>
      <x:c r="H275" s="33" t="str">
        <x:v>https://cdsco.gov.in/opencms/resources/UploadCDSCOWeb/2022/drug_rules/Drugs%20Rules%2C%201945.pdf</x:v>
      </x:c>
      <x:c r="I275" s="33" t="str">
        <x:v>P-2</x:v>
      </x:c>
      <x:c r="J275" s="33" t="str">
        <x:v>2026-08-20</x:v>
      </x:c>
      <x:c r="K275" s="33" t="str">
        <x:v>Existing ID preserved; downstream traceability remediated.</x:v>
      </x:c>
    </x:row>
    <x:row r="276">
      <x:c r="A276" s="33" t="str">
        <x:v>OBS011</x:v>
      </x:c>
      <x:c r="B276" s="33" t="str">
        <x:v>Observation Master</x:v>
      </x:c>
      <x:c r="C276" s="33" t="str">
        <x:v>Active=Yes; Remarks=Scope violations may invite regulatory action.</x:v>
      </x:c>
      <x:c r="D276" s="33" t="str">
        <x:v>Active=No; Remarks=P-2 QUARANTINED with AUD023; replacement observation attached to AUD537.</x:v>
      </x:c>
      <x:c r="E276" s="33" t="str">
        <x:v>RECLASSIFY / RETIRE</x:v>
      </x:c>
      <x:c r="F276" s="33" t="str">
        <x:v>Parent audit was legally misaligned.</x:v>
      </x:c>
      <x:c r="G276" s="33" t="str">
        <x:v>CDSCO official Drugs Rules / Gazette</x:v>
      </x:c>
      <x:c r="H276" s="33" t="str">
        <x:v>https://cdsco.gov.in/opencms/resources/UploadCDSCOWeb/2022/drug_rules/Drugs%20Rules%2C%201945.pdf</x:v>
      </x:c>
      <x:c r="I276" s="33" t="str">
        <x:v>P-2</x:v>
      </x:c>
      <x:c r="J276" s="33" t="str">
        <x:v>2026-08-20</x:v>
      </x:c>
      <x:c r="K276" s="33" t="str">
        <x:v>Existing ID preserved; downstream traceability remediated.</x:v>
      </x:c>
    </x:row>
    <x:row r="277">
      <x:c r="A277" s="33" t="str">
        <x:v>OBS012</x:v>
      </x:c>
      <x:c r="B277" s="33" t="str">
        <x:v>Observation Master</x:v>
      </x:c>
      <x:c r="C277" s="33" t="str">
        <x:v>Active=Yes; Remarks=Prevent unauthorized handling of medicines.</x:v>
      </x:c>
      <x:c r="D277" s="33" t="str">
        <x:v>Active=No; Remarks=P-2 QUARANTINED with AUD025; replacement observation attached to AUD538.</x:v>
      </x:c>
      <x:c r="E277" s="33" t="str">
        <x:v>RECLASSIFY / RETIRE</x:v>
      </x:c>
      <x:c r="F277" s="33" t="str">
        <x:v>Parent audit was legally misaligned.</x:v>
      </x:c>
      <x:c r="G277" s="33" t="str">
        <x:v>CDSCO official Drugs Rules / Gazette</x:v>
      </x:c>
      <x:c r="H277" s="33" t="str">
        <x:v>https://cdsco.gov.in/opencms/resources/UploadCDSCOWeb/2022/drug_rules/Drugs%20Rules%2C%201945.pdf</x:v>
      </x:c>
      <x:c r="I277" s="33" t="str">
        <x:v>P-2</x:v>
      </x:c>
      <x:c r="J277" s="33" t="str">
        <x:v>2026-08-20</x:v>
      </x:c>
      <x:c r="K277" s="33" t="str">
        <x:v>Existing ID preserved; downstream traceability remediated.</x:v>
      </x:c>
    </x:row>
    <x:row r="278">
      <x:c r="A278" s="33" t="str">
        <x:v>OBS013</x:v>
      </x:c>
      <x:c r="B278" s="33" t="str">
        <x:v>Observation Master</x:v>
      </x:c>
      <x:c r="C278" s="33" t="str">
        <x:v>Active=Yes; Remarks=Required for inspections and investigations.</x:v>
      </x:c>
      <x:c r="D278" s="33" t="str">
        <x:v>Active=No; Remarks=P-2 QUARANTINED with AUD027; replacement observation attached to AUD539.</x:v>
      </x:c>
      <x:c r="E278" s="33" t="str">
        <x:v>RECLASSIFY / RETIRE</x:v>
      </x:c>
      <x:c r="F278" s="33" t="str">
        <x:v>Parent audit was legally misaligned.</x:v>
      </x:c>
      <x:c r="G278" s="33" t="str">
        <x:v>CDSCO official Drugs Rules / Gazette</x:v>
      </x:c>
      <x:c r="H278" s="33" t="str">
        <x:v>https://cdsco.gov.in/opencms/resources/UploadCDSCOWeb/2022/drug_rules/Drugs%20Rules%2C%201945.pdf</x:v>
      </x:c>
      <x:c r="I278" s="33" t="str">
        <x:v>P-2</x:v>
      </x:c>
      <x:c r="J278" s="33" t="str">
        <x:v>2026-08-20</x:v>
      </x:c>
      <x:c r="K278" s="33" t="str">
        <x:v>Existing ID preserved; downstream traceability remediated.</x:v>
      </x:c>
    </x:row>
    <x:row r="279">
      <x:c r="A279" s="33" t="str">
        <x:v>OBS014</x:v>
      </x:c>
      <x:c r="B279" s="33" t="str">
        <x:v>Observation Master</x:v>
      </x:c>
      <x:c r="C279" s="33" t="str">
        <x:v>Active=Yes; Remarks=Supports regulatory traceability.</x:v>
      </x:c>
      <x:c r="D279" s="33" t="str">
        <x:v>Active=No; Remarks=P-2 QUARANTINED with AUD029; replacement observation attached to AUD540.</x:v>
      </x:c>
      <x:c r="E279" s="33" t="str">
        <x:v>RECLASSIFY / RETIRE</x:v>
      </x:c>
      <x:c r="F279" s="33" t="str">
        <x:v>Parent audit was legally misaligned.</x:v>
      </x:c>
      <x:c r="G279" s="33" t="str">
        <x:v>CDSCO official Drugs Rules / Gazette</x:v>
      </x:c>
      <x:c r="H279" s="33" t="str">
        <x:v>https://cdsco.gov.in/opencms/resources/UploadCDSCOWeb/2022/drug_rules/Drugs%20Rules%2C%201945.pdf</x:v>
      </x:c>
      <x:c r="I279" s="33" t="str">
        <x:v>P-2</x:v>
      </x:c>
      <x:c r="J279" s="33" t="str">
        <x:v>2026-08-20</x:v>
      </x:c>
      <x:c r="K279" s="33" t="str">
        <x:v>Existing ID preserved; downstream traceability remediated.</x:v>
      </x:c>
    </x:row>
    <x:row r="280">
      <x:c r="A280" s="33" t="str">
        <x:v>OBS015</x:v>
      </x:c>
      <x:c r="B280" s="33" t="str">
        <x:v>Observation Master</x:v>
      </x:c>
      <x:c r="C280" s="33" t="str">
        <x:v>Active=Yes; Remarks=Delayed responses increase regulatory exposure.</x:v>
      </x:c>
      <x:c r="D280" s="33" t="str">
        <x:v>Active=No; Remarks=P-2 QUARANTINED with AUD031; replacement observation attached to AUD541.</x:v>
      </x:c>
      <x:c r="E280" s="33" t="str">
        <x:v>RECLASSIFY / RETIRE</x:v>
      </x:c>
      <x:c r="F280" s="33" t="str">
        <x:v>Parent audit was legally misaligned.</x:v>
      </x:c>
      <x:c r="G280" s="33" t="str">
        <x:v>CDSCO official Drugs Rules / Gazette</x:v>
      </x:c>
      <x:c r="H280" s="33" t="str">
        <x:v>https://cdsco.gov.in/opencms/resources/UploadCDSCOWeb/2022/drug_rules/Drugs%20Rules%2C%201945.pdf</x:v>
      </x:c>
      <x:c r="I280" s="33" t="str">
        <x:v>P-2</x:v>
      </x:c>
      <x:c r="J280" s="33" t="str">
        <x:v>2026-08-20</x:v>
      </x:c>
      <x:c r="K280" s="33" t="str">
        <x:v>Existing ID preserved; downstream traceability remediated.</x:v>
      </x:c>
    </x:row>
    <x:row r="281">
      <x:c r="A281" s="33" t="str">
        <x:v>OBS016</x:v>
      </x:c>
      <x:c r="B281" s="33" t="str">
        <x:v>Observation Master</x:v>
      </x:c>
      <x:c r="C281" s="33" t="str">
        <x:v>Active=Yes; Remarks=Ensure periodic compliance monitoring.</x:v>
      </x:c>
      <x:c r="D281" s="33" t="str">
        <x:v>Active=No; Remarks=P-2 QUARANTINED with AUD033; replacement observation attached to AUD542.</x:v>
      </x:c>
      <x:c r="E281" s="33" t="str">
        <x:v>RECLASSIFY / RETIRE</x:v>
      </x:c>
      <x:c r="F281" s="33" t="str">
        <x:v>Parent audit was legally misaligned.</x:v>
      </x:c>
      <x:c r="G281" s="33" t="str">
        <x:v>CDSCO official Drugs Rules / Gazette</x:v>
      </x:c>
      <x:c r="H281" s="33" t="str">
        <x:v>https://cdsco.gov.in/opencms/resources/UploadCDSCOWeb/2022/drug_rules/Drugs%20Rules%2C%201945.pdf</x:v>
      </x:c>
      <x:c r="I281" s="33" t="str">
        <x:v>P-2</x:v>
      </x:c>
      <x:c r="J281" s="33" t="str">
        <x:v>2026-08-20</x:v>
      </x:c>
      <x:c r="K281" s="33" t="str">
        <x:v>Existing ID preserved; downstream traceability remediated.</x:v>
      </x:c>
    </x:row>
    <x:row r="282">
      <x:c r="A282" s="33" t="str">
        <x:v>OBS017</x:v>
      </x:c>
      <x:c r="B282" s="33" t="str">
        <x:v>Observation Master</x:v>
      </x:c>
      <x:c r="C282" s="33" t="str">
        <x:v>Active=Yes; Remarks=Delayed payments may affect licence validity.</x:v>
      </x:c>
      <x:c r="D282" s="33" t="str">
        <x:v>Active=No; Remarks=P-2 QUARANTINED with AUD035; replacement observation attached to AUD543.</x:v>
      </x:c>
      <x:c r="E282" s="33" t="str">
        <x:v>RECLASSIFY / RETIRE</x:v>
      </x:c>
      <x:c r="F282" s="33" t="str">
        <x:v>Parent audit was legally misaligned.</x:v>
      </x:c>
      <x:c r="G282" s="33" t="str">
        <x:v>CDSCO official Drugs Rules / Gazette</x:v>
      </x:c>
      <x:c r="H282" s="33" t="str">
        <x:v>https://cdsco.gov.in/opencms/resources/UploadCDSCOWeb/2022/drug_rules/Drugs%20Rules%2C%201945.pdf</x:v>
      </x:c>
      <x:c r="I282" s="33" t="str">
        <x:v>P-2</x:v>
      </x:c>
      <x:c r="J282" s="33" t="str">
        <x:v>2026-08-20</x:v>
      </x:c>
      <x:c r="K282" s="33" t="str">
        <x:v>Existing ID preserved; downstream traceability remediated.</x:v>
      </x:c>
    </x:row>
    <x:row r="283">
      <x:c r="A283" s="33" t="str">
        <x:v>OBS018</x:v>
      </x:c>
      <x:c r="B283" s="33" t="str">
        <x:v>Observation Master</x:v>
      </x:c>
      <x:c r="C283" s="33" t="str">
        <x:v>Active=Yes; Remarks=Applicable only where duplicates are issued.</x:v>
      </x:c>
      <x:c r="D283" s="33" t="str">
        <x:v>Active=No; Remarks=P-2 QUARANTINED with AUD037; replacement observation attached to AUD544.</x:v>
      </x:c>
      <x:c r="E283" s="33" t="str">
        <x:v>RECLASSIFY / RETIRE</x:v>
      </x:c>
      <x:c r="F283" s="33" t="str">
        <x:v>Parent audit was legally misaligned.</x:v>
      </x:c>
      <x:c r="G283" s="33" t="str">
        <x:v>CDSCO official Drugs Rules / Gazette</x:v>
      </x:c>
      <x:c r="H283" s="33" t="str">
        <x:v>https://cdsco.gov.in/opencms/resources/UploadCDSCOWeb/2022/drug_rules/Drugs%20Rules%2C%201945.pdf</x:v>
      </x:c>
      <x:c r="I283" s="33" t="str">
        <x:v>P-2</x:v>
      </x:c>
      <x:c r="J283" s="33" t="str">
        <x:v>2026-08-20</x:v>
      </x:c>
      <x:c r="K283" s="33" t="str">
        <x:v>Existing ID preserved; downstream traceability remediated.</x:v>
      </x:c>
    </x:row>
    <x:row r="284">
      <x:c r="A284" s="33" t="str">
        <x:v>OBS019</x:v>
      </x:c>
      <x:c r="B284" s="33" t="str">
        <x:v>Observation Master</x:v>
      </x:c>
      <x:c r="C284" s="33" t="str">
        <x:v>Active=Yes; Remarks=Physical layout should match approved plans.</x:v>
      </x:c>
      <x:c r="D284" s="33" t="str">
        <x:v>Active=No; Remarks=P-2 QUARANTINED with AUD039; replacement observation attached to AUD545.</x:v>
      </x:c>
      <x:c r="E284" s="33" t="str">
        <x:v>RECLASSIFY / RETIRE</x:v>
      </x:c>
      <x:c r="F284" s="33" t="str">
        <x:v>Parent audit was legally misaligned.</x:v>
      </x:c>
      <x:c r="G284" s="33" t="str">
        <x:v>CDSCO official Drugs Rules / Gazette</x:v>
      </x:c>
      <x:c r="H284" s="33" t="str">
        <x:v>https://cdsco.gov.in/opencms/resources/UploadCDSCOWeb/2022/drug_rules/Drugs%20Rules%2C%201945.pdf</x:v>
      </x:c>
      <x:c r="I284" s="33" t="str">
        <x:v>P-2</x:v>
      </x:c>
      <x:c r="J284" s="33" t="str">
        <x:v>2026-08-20</x:v>
      </x:c>
      <x:c r="K284" s="33" t="str">
        <x:v>Existing ID preserved; downstream traceability remediated.</x:v>
      </x:c>
    </x:row>
    <x:row r="285">
      <x:c r="A285" s="33" t="str">
        <x:v>OBS020</x:v>
      </x:c>
      <x:c r="B285" s="33" t="str">
        <x:v>Observation Master</x:v>
      </x:c>
      <x:c r="C285" s="33" t="str">
        <x:v>Active=Yes; Remarks=Verify displayed information periodically.</x:v>
      </x:c>
      <x:c r="D285" s="33" t="str">
        <x:v>Active=No; Remarks=P-2 QUARANTINED with AUD041; replacement observation attached to AUD546.</x:v>
      </x:c>
      <x:c r="E285" s="33" t="str">
        <x:v>RECLASSIFY / RETIRE</x:v>
      </x:c>
      <x:c r="F285" s="33" t="str">
        <x:v>Parent audit was legally misaligned.</x:v>
      </x:c>
      <x:c r="G285" s="33" t="str">
        <x:v>CDSCO official Drugs Rules / Gazette</x:v>
      </x:c>
      <x:c r="H285" s="33" t="str">
        <x:v>https://cdsco.gov.in/opencms/resources/UploadCDSCOWeb/2022/drug_rules/Drugs%20Rules%2C%201945.pdf</x:v>
      </x:c>
      <x:c r="I285" s="33" t="str">
        <x:v>P-2</x:v>
      </x:c>
      <x:c r="J285" s="33" t="str">
        <x:v>2026-08-20</x:v>
      </x:c>
      <x:c r="K285" s="33" t="str">
        <x:v>Existing ID preserved; downstream traceability remediated.</x:v>
      </x:c>
    </x:row>
    <x:row r="286">
      <x:c r="A286" s="33" t="str">
        <x:v>OBS021</x:v>
      </x:c>
      <x:c r="B286" s="33" t="str">
        <x:v>Observation Master</x:v>
      </x:c>
      <x:c r="C286" s="33" t="str">
        <x:v>Active=Yes; Remarks=Ensure business continuity.</x:v>
      </x:c>
      <x:c r="D286" s="33" t="str">
        <x:v>Active=No; Remarks=P-2 QUARANTINED with AUD043; replacement observation attached to AUD547.</x:v>
      </x:c>
      <x:c r="E286" s="33" t="str">
        <x:v>RECLASSIFY / RETIRE</x:v>
      </x:c>
      <x:c r="F286" s="33" t="str">
        <x:v>Parent audit was legally misaligned.</x:v>
      </x:c>
      <x:c r="G286" s="33" t="str">
        <x:v>CDSCO official Drugs Rules / Gazette</x:v>
      </x:c>
      <x:c r="H286" s="33" t="str">
        <x:v>https://cdsco.gov.in/opencms/resources/UploadCDSCOWeb/2022/drug_rules/Drugs%20Rules%2C%201945.pdf</x:v>
      </x:c>
      <x:c r="I286" s="33" t="str">
        <x:v>P-2</x:v>
      </x:c>
      <x:c r="J286" s="33" t="str">
        <x:v>2026-08-20</x:v>
      </x:c>
      <x:c r="K286" s="33" t="str">
        <x:v>Existing ID preserved; downstream traceability remediated.</x:v>
      </x:c>
    </x:row>
    <x:row r="287">
      <x:c r="A287" s="33" t="str">
        <x:v>OBS022</x:v>
      </x:c>
      <x:c r="B287" s="33" t="str">
        <x:v>Observation Master</x:v>
      </x:c>
      <x:c r="C287" s="33" t="str">
        <x:v>Active=Yes; Remarks=CAPA should be documented.</x:v>
      </x:c>
      <x:c r="D287" s="33" t="str">
        <x:v>Active=No; Remarks=P-2 QUARANTINED with AUD045; replacement observation attached to AUD548.</x:v>
      </x:c>
      <x:c r="E287" s="33" t="str">
        <x:v>RECLASSIFY / RETIRE</x:v>
      </x:c>
      <x:c r="F287" s="33" t="str">
        <x:v>Parent audit was legally misaligned.</x:v>
      </x:c>
      <x:c r="G287" s="33" t="str">
        <x:v>CDSCO official Drugs Rules / Gazette</x:v>
      </x:c>
      <x:c r="H287" s="33" t="str">
        <x:v>https://cdsco.gov.in/opencms/resources/UploadCDSCOWeb/2022/drug_rules/Drugs%20Rules%2C%201945.pdf</x:v>
      </x:c>
      <x:c r="I287" s="33" t="str">
        <x:v>P-2</x:v>
      </x:c>
      <x:c r="J287" s="33" t="str">
        <x:v>2026-08-20</x:v>
      </x:c>
      <x:c r="K287" s="33" t="str">
        <x:v>Existing ID preserved; downstream traceability remediated.</x:v>
      </x:c>
    </x:row>
    <x:row r="288">
      <x:c r="A288" s="33" t="str">
        <x:v>OBS023</x:v>
      </x:c>
      <x:c r="B288" s="33" t="str">
        <x:v>Observation Master</x:v>
      </x:c>
      <x:c r="C288" s="33" t="str">
        <x:v>Active=Yes; Remarks=Verify validity periodically.</x:v>
      </x:c>
      <x:c r="D288" s="33" t="str">
        <x:v>Active=No; Remarks=P-2 QUARANTINED with AUD047; replacement observation attached to AUD549.</x:v>
      </x:c>
      <x:c r="E288" s="33" t="str">
        <x:v>RECLASSIFY / RETIRE</x:v>
      </x:c>
      <x:c r="F288" s="33" t="str">
        <x:v>Parent audit was legally misaligned.</x:v>
      </x:c>
      <x:c r="G288" s="33" t="str">
        <x:v>CDSCO official Drugs Rules / Gazette</x:v>
      </x:c>
      <x:c r="H288" s="33" t="str">
        <x:v>https://cdsco.gov.in/opencms/resources/UploadCDSCOWeb/2022/drug_rules/Drugs%20Rules%2C%201945.pdf</x:v>
      </x:c>
      <x:c r="I288" s="33" t="str">
        <x:v>P-2</x:v>
      </x:c>
      <x:c r="J288" s="33" t="str">
        <x:v>2026-08-20</x:v>
      </x:c>
      <x:c r="K288" s="33" t="str">
        <x:v>Existing ID preserved; downstream traceability remediated.</x:v>
      </x:c>
    </x:row>
    <x:row r="289">
      <x:c r="A289" s="33" t="str">
        <x:v>OBS024</x:v>
      </x:c>
      <x:c r="B289" s="33" t="str">
        <x:v>Observation Master</x:v>
      </x:c>
      <x:c r="C289" s="33" t="str">
        <x:v>Active=Yes; Remarks=Supports compliance governance.</x:v>
      </x:c>
      <x:c r="D289" s="33" t="str">
        <x:v>Active=No; Remarks=P-2 QUARANTINED with AUD049; replacement observation attached to AUD550.</x:v>
      </x:c>
      <x:c r="E289" s="33" t="str">
        <x:v>RECLASSIFY / RETIRE</x:v>
      </x:c>
      <x:c r="F289" s="33" t="str">
        <x:v>Parent audit was legally misaligned.</x:v>
      </x:c>
      <x:c r="G289" s="33" t="str">
        <x:v>CDSCO official Drugs Rules / Gazette</x:v>
      </x:c>
      <x:c r="H289" s="33" t="str">
        <x:v>https://cdsco.gov.in/opencms/resources/UploadCDSCOWeb/2022/drug_rules/Drugs%20Rules%2C%201945.pdf</x:v>
      </x:c>
      <x:c r="I289" s="33" t="str">
        <x:v>P-2</x:v>
      </x:c>
      <x:c r="J289" s="33" t="str">
        <x:v>2026-08-20</x:v>
      </x:c>
      <x:c r="K289" s="33" t="str">
        <x:v>Existing ID preserved; downstream traceability remediated.</x:v>
      </x:c>
    </x:row>
    <x:row r="290">
      <x:c r="A290" s="33" t="str">
        <x:v>OBS025</x:v>
      </x:c>
      <x:c r="B290" s="33" t="str">
        <x:v>Observation Master</x:v>
      </x:c>
      <x:c r="C290" s="33" t="str">
        <x:v>Active=Yes; Remarks=Strengthens overall compliance management.</x:v>
      </x:c>
      <x:c r="D290" s="33" t="str">
        <x:v>Active=No; Remarks=P-2 QUARANTINED with AUD051; replacement observation attached to AUD551.</x:v>
      </x:c>
      <x:c r="E290" s="33" t="str">
        <x:v>RECLASSIFY / RETIRE</x:v>
      </x:c>
      <x:c r="F290" s="33" t="str">
        <x:v>Parent audit was legally misaligned.</x:v>
      </x:c>
      <x:c r="G290" s="33" t="str">
        <x:v>CDSCO official Drugs Rules / Gazette</x:v>
      </x:c>
      <x:c r="H290" s="33" t="str">
        <x:v>https://cdsco.gov.in/opencms/resources/UploadCDSCOWeb/2022/drug_rules/Drugs%20Rules%2C%201945.pdf</x:v>
      </x:c>
      <x:c r="I290" s="33" t="str">
        <x:v>P-2</x:v>
      </x:c>
      <x:c r="J290" s="33" t="str">
        <x:v>2026-08-20</x:v>
      </x:c>
      <x:c r="K290" s="33" t="str">
        <x:v>Existing ID preserved; downstream traceability remediated.</x:v>
      </x:c>
    </x:row>
    <x:row r="291">
      <x:c r="A291" s="33" t="str">
        <x:v>OBS111</x:v>
      </x:c>
      <x:c r="B291" s="33" t="str">
        <x:v>Observation Master</x:v>
      </x:c>
      <x:c r="C291" s="33" t="str">
        <x:v>Active=Yes; Remarks=Maintain approval documentation.</x:v>
      </x:c>
      <x:c r="D291" s="33" t="str">
        <x:v>Active=No; Remarks=P-2 QUARANTINED with AUD230; replacement observation attached to AUD552.</x:v>
      </x:c>
      <x:c r="E291" s="33" t="str">
        <x:v>RECLASSIFY / RETIRE</x:v>
      </x:c>
      <x:c r="F291" s="33" t="str">
        <x:v>Parent audit was legally misaligned.</x:v>
      </x:c>
      <x:c r="G291" s="33" t="str">
        <x:v>CDSCO official Drugs Rules / Gazette</x:v>
      </x:c>
      <x:c r="H291" s="33" t="str">
        <x:v>https://cdsco.gov.in/opencms/resources/UploadCDSCOWeb/2022/drug_rules/Drugs%20Rules%2C%201945.pdf</x:v>
      </x:c>
      <x:c r="I291" s="33" t="str">
        <x:v>P-2</x:v>
      </x:c>
      <x:c r="J291" s="33" t="str">
        <x:v>2026-08-20</x:v>
      </x:c>
      <x:c r="K291" s="33" t="str">
        <x:v>Existing ID preserved; downstream traceability remediated.</x:v>
      </x:c>
    </x:row>
    <x:row r="292">
      <x:c r="A292" s="33" t="str">
        <x:v>OBS112</x:v>
      </x:c>
      <x:c r="B292" s="33" t="str">
        <x:v>Observation Master</x:v>
      </x:c>
      <x:c r="C292" s="33" t="str">
        <x:v>Active=Yes; Remarks=Maintain substitution records.</x:v>
      </x:c>
      <x:c r="D292" s="33" t="str">
        <x:v>Active=No; Remarks=P-2 QUARANTINED with AUD232; replacement observation attached to AUD553.</x:v>
      </x:c>
      <x:c r="E292" s="33" t="str">
        <x:v>RECLASSIFY / RETIRE</x:v>
      </x:c>
      <x:c r="F292" s="33" t="str">
        <x:v>Parent audit was legally misaligned.</x:v>
      </x:c>
      <x:c r="G292" s="33" t="str">
        <x:v>CDSCO official Drugs Rules / Gazette</x:v>
      </x:c>
      <x:c r="H292" s="33" t="str">
        <x:v>https://cdsco.gov.in/opencms/resources/UploadCDSCOWeb/2022/drug_rules/Drugs%20Rules%2C%201945.pdf</x:v>
      </x:c>
      <x:c r="I292" s="33" t="str">
        <x:v>P-2</x:v>
      </x:c>
      <x:c r="J292" s="33" t="str">
        <x:v>2026-08-20</x:v>
      </x:c>
      <x:c r="K292" s="33" t="str">
        <x:v>Existing ID preserved; downstream traceability remediated.</x:v>
      </x:c>
    </x:row>
    <x:row r="293">
      <x:c r="A293" s="33" t="str">
        <x:v>OBS113</x:v>
      </x:c>
      <x:c r="B293" s="33" t="str">
        <x:v>Observation Master</x:v>
      </x:c>
      <x:c r="C293" s="33" t="str">
        <x:v>Active=Yes; Remarks=Analyze complaint trends.</x:v>
      </x:c>
      <x:c r="D293" s="33" t="str">
        <x:v>Active=No; Remarks=P-2 QUARANTINED with AUD234; replacement observation attached to AUD554.</x:v>
      </x:c>
      <x:c r="E293" s="33" t="str">
        <x:v>RECLASSIFY / RETIRE</x:v>
      </x:c>
      <x:c r="F293" s="33" t="str">
        <x:v>Parent audit was legally misaligned.</x:v>
      </x:c>
      <x:c r="G293" s="33" t="str">
        <x:v>CDSCO official Drugs Rules / Gazette</x:v>
      </x:c>
      <x:c r="H293" s="33" t="str">
        <x:v>https://cdsco.gov.in/opencms/resources/UploadCDSCOWeb/2022/drug_rules/Drugs%20Rules%2C%201945.pdf</x:v>
      </x:c>
      <x:c r="I293" s="33" t="str">
        <x:v>P-2</x:v>
      </x:c>
      <x:c r="J293" s="33" t="str">
        <x:v>2026-08-20</x:v>
      </x:c>
      <x:c r="K293" s="33" t="str">
        <x:v>Existing ID preserved; downstream traceability remediated.</x:v>
      </x:c>
    </x:row>
    <x:row r="294">
      <x:c r="A294" s="33" t="str">
        <x:v>OBS114</x:v>
      </x:c>
      <x:c r="B294" s="33" t="str">
        <x:v>Observation Master</x:v>
      </x:c>
      <x:c r="C294" s="33" t="str">
        <x:v>Active=Yes; Remarks=Periodically review refund transactions.</x:v>
      </x:c>
      <x:c r="D294" s="33" t="str">
        <x:v>Active=No; Remarks=P-2 QUARANTINED with AUD236; replacement observation attached to AUD555.</x:v>
      </x:c>
      <x:c r="E294" s="33" t="str">
        <x:v>RECLASSIFY / RETIRE</x:v>
      </x:c>
      <x:c r="F294" s="33" t="str">
        <x:v>Parent audit was legally misaligned.</x:v>
      </x:c>
      <x:c r="G294" s="33" t="str">
        <x:v>CDSCO official Drugs Rules / Gazette</x:v>
      </x:c>
      <x:c r="H294" s="33" t="str">
        <x:v>https://cdsco.gov.in/opencms/resources/UploadCDSCOWeb/2022/drug_rules/Drugs%20Rules%2C%201945.pdf</x:v>
      </x:c>
      <x:c r="I294" s="33" t="str">
        <x:v>P-2</x:v>
      </x:c>
      <x:c r="J294" s="33" t="str">
        <x:v>2026-08-20</x:v>
      </x:c>
      <x:c r="K294" s="33" t="str">
        <x:v>Existing ID preserved; downstream traceability remediated.</x:v>
      </x:c>
    </x:row>
    <x:row r="295">
      <x:c r="A295" s="33" t="str">
        <x:v>OBS115</x:v>
      </x:c>
      <x:c r="B295" s="33" t="str">
        <x:v>Observation Master</x:v>
      </x:c>
      <x:c r="C295" s="33" t="str">
        <x:v>Active=Yes; Remarks=Reduce financial and diversion risks.</x:v>
      </x:c>
      <x:c r="D295" s="33" t="str">
        <x:v>Active=No; Remarks=P-2 QUARANTINED with AUD238; replacement observation attached to AUD556.</x:v>
      </x:c>
      <x:c r="E295" s="33" t="str">
        <x:v>RECLASSIFY / RETIRE</x:v>
      </x:c>
      <x:c r="F295" s="33" t="str">
        <x:v>Parent audit was legally misaligned.</x:v>
      </x:c>
      <x:c r="G295" s="33" t="str">
        <x:v>CDSCO official Drugs Rules / Gazette</x:v>
      </x:c>
      <x:c r="H295" s="33" t="str">
        <x:v>https://cdsco.gov.in/opencms/resources/UploadCDSCOWeb/2022/drug_rules/Drugs%20Rules%2C%201945.pdf</x:v>
      </x:c>
      <x:c r="I295" s="33" t="str">
        <x:v>P-2</x:v>
      </x:c>
      <x:c r="J295" s="33" t="str">
        <x:v>2026-08-20</x:v>
      </x:c>
      <x:c r="K295" s="33" t="str">
        <x:v>Existing ID preserved; downstream traceability remediated.</x:v>
      </x:c>
    </x:row>
    <x:row r="296">
      <x:c r="A296" s="33" t="str">
        <x:v>OBS116</x:v>
      </x:c>
      <x:c r="B296" s="33" t="str">
        <x:v>Observation Master</x:v>
      </x:c>
      <x:c r="C296" s="33" t="str">
        <x:v>Active=Yes; Remarks=Periodically review pricing accuracy.</x:v>
      </x:c>
      <x:c r="D296" s="33" t="str">
        <x:v>Active=No; Remarks=P-2 QUARANTINED with AUD240; replacement observation attached to AUD557.</x:v>
      </x:c>
      <x:c r="E296" s="33" t="str">
        <x:v>RECLASSIFY / RETIRE</x:v>
      </x:c>
      <x:c r="F296" s="33" t="str">
        <x:v>Parent audit was legally misaligned.</x:v>
      </x:c>
      <x:c r="G296" s="33" t="str">
        <x:v>CDSCO official Drugs Rules / Gazette</x:v>
      </x:c>
      <x:c r="H296" s="33" t="str">
        <x:v>https://cdsco.gov.in/opencms/resources/UploadCDSCOWeb/2022/drug_rules/Drugs%20Rules%2C%201945.pdf</x:v>
      </x:c>
      <x:c r="I296" s="33" t="str">
        <x:v>P-2</x:v>
      </x:c>
      <x:c r="J296" s="33" t="str">
        <x:v>2026-08-20</x:v>
      </x:c>
      <x:c r="K296" s="33" t="str">
        <x:v>Existing ID preserved; downstream traceability remediated.</x:v>
      </x:c>
    </x:row>
    <x:row r="297">
      <x:c r="A297" s="33" t="str">
        <x:v>OBS117</x:v>
      </x:c>
      <x:c r="B297" s="33" t="str">
        <x:v>Observation Master</x:v>
      </x:c>
      <x:c r="C297" s="33" t="str">
        <x:v>Active=Yes; Remarks=Strengthen system access controls.</x:v>
      </x:c>
      <x:c r="D297" s="33" t="str">
        <x:v>Active=No; Remarks=P-2 QUARANTINED with AUD242; replacement observation attached to AUD558.</x:v>
      </x:c>
      <x:c r="E297" s="33" t="str">
        <x:v>RECLASSIFY / RETIRE</x:v>
      </x:c>
      <x:c r="F297" s="33" t="str">
        <x:v>Parent audit was legally misaligned.</x:v>
      </x:c>
      <x:c r="G297" s="33" t="str">
        <x:v>CDSCO official Drugs Rules / Gazette</x:v>
      </x:c>
      <x:c r="H297" s="33" t="str">
        <x:v>https://cdsco.gov.in/opencms/resources/UploadCDSCOWeb/2022/drug_rules/Drugs%20Rules%2C%201945.pdf</x:v>
      </x:c>
      <x:c r="I297" s="33" t="str">
        <x:v>P-2</x:v>
      </x:c>
      <x:c r="J297" s="33" t="str">
        <x:v>2026-08-20</x:v>
      </x:c>
      <x:c r="K297" s="33" t="str">
        <x:v>Existing ID preserved; downstream traceability remediated.</x:v>
      </x:c>
    </x:row>
    <x:row r="298">
      <x:c r="A298" s="33" t="str">
        <x:v>OBS118</x:v>
      </x:c>
      <x:c r="B298" s="33" t="str">
        <x:v>Observation Master</x:v>
      </x:c>
      <x:c r="C298" s="33" t="str">
        <x:v>Active=Yes; Remarks=Monitor cancellation trends.</x:v>
      </x:c>
      <x:c r="D298" s="33" t="str">
        <x:v>Active=No; Remarks=P-2 QUARANTINED with AUD244; replacement observation attached to AUD559.</x:v>
      </x:c>
      <x:c r="E298" s="33" t="str">
        <x:v>RECLASSIFY / RETIRE</x:v>
      </x:c>
      <x:c r="F298" s="33" t="str">
        <x:v>Parent audit was legally misaligned.</x:v>
      </x:c>
      <x:c r="G298" s="33" t="str">
        <x:v>CDSCO official Drugs Rules / Gazette</x:v>
      </x:c>
      <x:c r="H298" s="33" t="str">
        <x:v>https://cdsco.gov.in/opencms/resources/UploadCDSCOWeb/2022/drug_rules/Drugs%20Rules%2C%201945.pdf</x:v>
      </x:c>
      <x:c r="I298" s="33" t="str">
        <x:v>P-2</x:v>
      </x:c>
      <x:c r="J298" s="33" t="str">
        <x:v>2026-08-20</x:v>
      </x:c>
      <x:c r="K298" s="33" t="str">
        <x:v>Existing ID preserved; downstream traceability remediated.</x:v>
      </x:c>
    </x:row>
    <x:row r="299">
      <x:c r="A299" s="33" t="str">
        <x:v>OBS119</x:v>
      </x:c>
      <x:c r="B299" s="33" t="str">
        <x:v>Observation Master</x:v>
      </x:c>
      <x:c r="C299" s="33" t="str">
        <x:v>Active=Yes; Remarks=Investigate variances promptly.</x:v>
      </x:c>
      <x:c r="D299" s="33" t="str">
        <x:v>Active=No; Remarks=P-2 QUARANTINED with AUD246; replacement observation attached to AUD560.</x:v>
      </x:c>
      <x:c r="E299" s="33" t="str">
        <x:v>RECLASSIFY / RETIRE</x:v>
      </x:c>
      <x:c r="F299" s="33" t="str">
        <x:v>Parent audit was legally misaligned.</x:v>
      </x:c>
      <x:c r="G299" s="33" t="str">
        <x:v>CDSCO official Drugs Rules / Gazette</x:v>
      </x:c>
      <x:c r="H299" s="33" t="str">
        <x:v>https://cdsco.gov.in/opencms/resources/UploadCDSCOWeb/2022/drug_rules/Drugs%20Rules%2C%201945.pdf</x:v>
      </x:c>
      <x:c r="I299" s="33" t="str">
        <x:v>P-2</x:v>
      </x:c>
      <x:c r="J299" s="33" t="str">
        <x:v>2026-08-20</x:v>
      </x:c>
      <x:c r="K299" s="33" t="str">
        <x:v>Existing ID preserved; downstream traceability remediated.</x:v>
      </x:c>
    </x:row>
    <x:row r="300">
      <x:c r="A300" s="33" t="str">
        <x:v>AUD522</x:v>
      </x:c>
      <x:c r="B300" s="33" t="str">
        <x:v>Audit Procedure Master</x:v>
      </x:c>
      <x:c r="C300" s="33" t="str">
        <x:v>Not present</x:v>
      </x:c>
      <x:c r="D300" s="33" t="str">
        <x:v>Audit ID=AUD522; Compliance ID=COMP251; Audit Procedure=Inspect the licensed premises for a current Form 35 Inspection Book and review the latest Inspector entries and closure evidence.; Audit Method=Physical Inspection; Audit Frequency=Annual; Origin=CORE; Risk Focus=Inspection &amp; Display Controls; Active=Yes; Remarks=P-2 validated audit chain.</x:v>
      </x:c>
      <x:c r="E300" s="33" t="str">
        <x:v>ADD</x:v>
      </x:c>
      <x:c r="F300" s="33" t="str">
        <x:v>Add legally aligned replacement audit procedure.</x:v>
      </x:c>
      <x:c r="G300" s="33" t="str">
        <x:v>CDSCO official Drugs Rules / Gazette</x:v>
      </x:c>
      <x:c r="H300" s="33" t="str">
        <x:v>https://cdsco.gov.in/opencms/resources/UploadCDSCOWeb/2022/drug_rules/Drugs%20Rules%2C%201945.pdf</x:v>
      </x:c>
      <x:c r="I300" s="33" t="str">
        <x:v>P-2</x:v>
      </x:c>
      <x:c r="J300" s="33" t="str">
        <x:v>2026-08-20</x:v>
      </x:c>
      <x:c r="K300" s="33" t="str">
        <x:v>New controlled P-2 chain node.</x:v>
      </x:c>
    </x:row>
    <x:row r="301">
      <x:c r="A301" s="33" t="str">
        <x:v>AUD523</x:v>
      </x:c>
      <x:c r="B301" s="33" t="str">
        <x:v>Audit Procedure Master</x:v>
      </x:c>
      <x:c r="C301" s="33" t="str">
        <x:v>Not present</x:v>
      </x:c>
      <x:c r="D301" s="33" t="str">
        <x:v>Audit ID=AUD523; Compliance ID=COMP252; Audit Procedure=Inspect expired/non-conforming stock segregation, 'Not for sale' marking and return/disposal follow-up.; Audit Method=Physical Inspection; Audit Frequency=Monthly; Origin=CORE; Risk Focus=Disposal Controls; Active=Yes; Remarks=P-2 validated audit chain.</x:v>
      </x:c>
      <x:c r="E301" s="33" t="str">
        <x:v>ADD</x:v>
      </x:c>
      <x:c r="F301" s="33" t="str">
        <x:v>Add legally aligned replacement audit procedure.</x:v>
      </x:c>
      <x:c r="G301" s="33" t="str">
        <x:v>CDSCO official Drugs Rules / Gazette</x:v>
      </x:c>
      <x:c r="H301" s="33" t="str">
        <x:v>https://cdsco.gov.in/opencms/resources/UploadCDSCOWeb/2022/drug_rules/Drugs%20Rules%2C%201945.pdf</x:v>
      </x:c>
      <x:c r="I301" s="33" t="str">
        <x:v>P-2</x:v>
      </x:c>
      <x:c r="J301" s="33" t="str">
        <x:v>2026-08-20</x:v>
      </x:c>
      <x:c r="K301" s="33" t="str">
        <x:v>New controlled P-2 chain node.</x:v>
      </x:c>
    </x:row>
    <x:row r="302">
      <x:c r="A302" s="33" t="str">
        <x:v>AUD524</x:v>
      </x:c>
      <x:c r="B302" s="33" t="str">
        <x:v>Audit Procedure Master</x:v>
      </x:c>
      <x:c r="C302" s="33" t="str">
        <x:v>Not present</x:v>
      </x:c>
      <x:c r="D302" s="33" t="str">
        <x:v>Audit ID=AUD524; Compliance ID=COMP253; Audit Procedure=Inspect sample/scheme-marked stock and verify authorization, segregation and separate records where an exception is used.; Audit Method=Physical Inspection; Audit Frequency=Quarterly; Origin=CORE; Risk Focus=Inventory Controls; Active=Yes; Remarks=P-2 validated audit chain.</x:v>
      </x:c>
      <x:c r="E302" s="33" t="str">
        <x:v>ADD</x:v>
      </x:c>
      <x:c r="F302" s="33" t="str">
        <x:v>Add legally aligned replacement audit procedure.</x:v>
      </x:c>
      <x:c r="G302" s="33" t="str">
        <x:v>CDSCO official Drugs Rules / Gazette</x:v>
      </x:c>
      <x:c r="H302" s="33" t="str">
        <x:v>https://cdsco.gov.in/opencms/resources/UploadCDSCOWeb/2022/drug_rules/Drugs%20Rules%2C%201945.pdf</x:v>
      </x:c>
      <x:c r="I302" s="33" t="str">
        <x:v>P-2</x:v>
      </x:c>
      <x:c r="J302" s="33" t="str">
        <x:v>2026-08-20</x:v>
      </x:c>
      <x:c r="K302" s="33" t="str">
        <x:v>New controlled P-2 chain node.</x:v>
      </x:c>
    </x:row>
    <x:row r="303">
      <x:c r="A303" s="33" t="str">
        <x:v>AUD525</x:v>
      </x:c>
      <x:c r="B303" s="33" t="str">
        <x:v>Audit Procedure Master</x:v>
      </x:c>
      <x:c r="C303" s="33" t="str">
        <x:v>Not present</x:v>
      </x:c>
      <x:c r="D303" s="33" t="str">
        <x:v>Audit ID=AUD525; Compliance ID=COMP254; Audit Procedure=Sample retail supplies made outside the manufacturer's container for pharmacist supervision and required wrapper particulars.; Audit Method=Sampling; Audit Frequency=Quarterly; Origin=CORE; Risk Focus=Prescription Controls; Active=Yes; Remarks=P-2 validated audit chain.</x:v>
      </x:c>
      <x:c r="E303" s="33" t="str">
        <x:v>ADD</x:v>
      </x:c>
      <x:c r="F303" s="33" t="str">
        <x:v>Add legally aligned replacement audit procedure.</x:v>
      </x:c>
      <x:c r="G303" s="33" t="str">
        <x:v>CDSCO official Drugs Rules / Gazette</x:v>
      </x:c>
      <x:c r="H303" s="33" t="str">
        <x:v>https://cdsco.gov.in/opencms/resources/UploadCDSCOWeb/2022/drug_rules/Drugs%20Rules%2C%201945.pdf</x:v>
      </x:c>
      <x:c r="I303" s="33" t="str">
        <x:v>P-2</x:v>
      </x:c>
      <x:c r="J303" s="33" t="str">
        <x:v>2026-08-20</x:v>
      </x:c>
      <x:c r="K303" s="33" t="str">
        <x:v>New controlled P-2 chain node.</x:v>
      </x:c>
    </x:row>
    <x:row r="304">
      <x:c r="A304" s="33" t="str">
        <x:v>AUD526</x:v>
      </x:c>
      <x:c r="B304" s="33" t="str">
        <x:v>Audit Procedure Master</x:v>
      </x:c>
      <x:c r="C304" s="33" t="str">
        <x:v>Not present</x:v>
      </x:c>
      <x:c r="D304" s="33" t="str">
        <x:v>Audit ID=AUD526; Compliance ID=COMP255; Audit Procedure=Inspect veterinary stock for the required warning and dedicated/customer-inaccessible segregation.; Audit Method=Physical Inspection; Audit Frequency=Quarterly; Origin=CORE; Risk Focus=Storage Controls; Active=Yes; Remarks=P-2 validated audit chain.</x:v>
      </x:c>
      <x:c r="E304" s="33" t="str">
        <x:v>ADD</x:v>
      </x:c>
      <x:c r="F304" s="33" t="str">
        <x:v>Add legally aligned replacement audit procedure.</x:v>
      </x:c>
      <x:c r="G304" s="33" t="str">
        <x:v>CDSCO official Drugs Rules / Gazette</x:v>
      </x:c>
      <x:c r="H304" s="33" t="str">
        <x:v>https://cdsco.gov.in/opencms/resources/UploadCDSCOWeb/2022/drug_rules/Drugs%20Rules%2C%201945.pdf</x:v>
      </x:c>
      <x:c r="I304" s="33" t="str">
        <x:v>P-2</x:v>
      </x:c>
      <x:c r="J304" s="33" t="str">
        <x:v>2026-08-20</x:v>
      </x:c>
      <x:c r="K304" s="33" t="str">
        <x:v>New controlled P-2 chain node.</x:v>
      </x:c>
    </x:row>
    <x:row r="305">
      <x:c r="A305" s="33" t="str">
        <x:v>AUD527</x:v>
      </x:c>
      <x:c r="B305" s="33" t="str">
        <x:v>Audit Procedure Master</x:v>
      </x:c>
      <x:c r="C305" s="33" t="str">
        <x:v>Not present</x:v>
      </x:c>
      <x:c r="D305" s="33" t="str">
        <x:v>Audit ID=AUD527; Compliance ID=COMP256; Audit Procedure=Perform a mock Rule 65B inspection by requesting licences, staff records, statutory registers and sample product controls.; Audit Method=Sampling; Audit Frequency=Annual; Origin=CORE; Risk Focus=Inspection &amp; Display Controls; Active=Yes; Remarks=P-2 validated audit chain.</x:v>
      </x:c>
      <x:c r="E305" s="33" t="str">
        <x:v>ADD</x:v>
      </x:c>
      <x:c r="F305" s="33" t="str">
        <x:v>Add legally aligned replacement audit procedure.</x:v>
      </x:c>
      <x:c r="G305" s="33" t="str">
        <x:v>CDSCO official Drugs Rules / Gazette</x:v>
      </x:c>
      <x:c r="H305" s="33" t="str">
        <x:v>https://cdsco.gov.in/opencms/resources/UploadCDSCOWeb/2022/drug_rules/Drugs%20Rules%2C%201945.pdf</x:v>
      </x:c>
      <x:c r="I305" s="33" t="str">
        <x:v>P-2</x:v>
      </x:c>
      <x:c r="J305" s="33" t="str">
        <x:v>2026-08-20</x:v>
      </x:c>
      <x:c r="K305" s="33" t="str">
        <x:v>New controlled P-2 chain node.</x:v>
      </x:c>
    </x:row>
    <x:row r="306">
      <x:c r="A306" s="33" t="str">
        <x:v>AUD528</x:v>
      </x:c>
      <x:c r="B306" s="33" t="str">
        <x:v>Audit Procedure Master</x:v>
      </x:c>
      <x:c r="C306" s="33" t="str">
        <x:v>Not present</x:v>
      </x:c>
      <x:c r="D306" s="33" t="str">
        <x:v>Audit ID=AUD528; Compliance ID=COMP257; Audit Procedure=Inspect licence display and reconcile qualified/competent staff and firm constitution to the current licence/authority filings.; Audit Method=Reconciliation; Audit Frequency=Quarterly; Origin=CORE; Risk Focus=Licensing; Active=Yes; Remarks=P-2 validated audit chain.</x:v>
      </x:c>
      <x:c r="E306" s="33" t="str">
        <x:v>ADD</x:v>
      </x:c>
      <x:c r="F306" s="33" t="str">
        <x:v>Add legally aligned replacement audit procedure.</x:v>
      </x:c>
      <x:c r="G306" s="33" t="str">
        <x:v>CDSCO official Drugs Rules / Gazette</x:v>
      </x:c>
      <x:c r="H306" s="33" t="str">
        <x:v>https://cdsco.gov.in/opencms/resources/UploadCDSCOWeb/2022/drug_rules/Drugs%20Rules%2C%201945.pdf</x:v>
      </x:c>
      <x:c r="I306" s="33" t="str">
        <x:v>P-2</x:v>
      </x:c>
      <x:c r="J306" s="33" t="str">
        <x:v>2026-08-20</x:v>
      </x:c>
      <x:c r="K306" s="33" t="str">
        <x:v>New controlled P-2 chain node.</x:v>
      </x:c>
    </x:row>
    <x:row r="307">
      <x:c r="A307" s="33" t="str">
        <x:v>AUD529</x:v>
      </x:c>
      <x:c r="B307" s="33" t="str">
        <x:v>Audit Procedure Master</x:v>
      </x:c>
      <x:c r="C307" s="33" t="str">
        <x:v>Not present</x:v>
      </x:c>
      <x:c r="D307" s="33" t="str">
        <x:v>Audit ID=AUD529; Compliance ID=COMP258; Audit Procedure=Review enforcement, disposal and licence-submission files for order compliance, disposal permission and document authenticity controls.; Audit Method=Document Review; Audit Frequency=Event Based; Origin=CORE; Risk Focus=Licensing; Active=Yes; Remarks=P-2 validated audit chain.</x:v>
      </x:c>
      <x:c r="E307" s="33" t="str">
        <x:v>ADD</x:v>
      </x:c>
      <x:c r="F307" s="33" t="str">
        <x:v>Add legally aligned replacement audit procedure.</x:v>
      </x:c>
      <x:c r="G307" s="33" t="str">
        <x:v>CDSCO official Drugs Rules / Gazette</x:v>
      </x:c>
      <x:c r="H307" s="33" t="str">
        <x:v>https://cdsco.gov.in/opencms/resources/UploadCDSCOWeb/2022/drug_rules/Drugs%20Rules%2C%201945.pdf</x:v>
      </x:c>
      <x:c r="I307" s="33" t="str">
        <x:v>P-2</x:v>
      </x:c>
      <x:c r="J307" s="33" t="str">
        <x:v>2026-08-20</x:v>
      </x:c>
      <x:c r="K307" s="33" t="str">
        <x:v>New controlled P-2 chain node.</x:v>
      </x:c>
    </x:row>
    <x:row r="308">
      <x:c r="A308" s="33" t="str">
        <x:v>AUD530</x:v>
      </x:c>
      <x:c r="B308" s="33" t="str">
        <x:v>Audit Procedure Master</x:v>
      </x:c>
      <x:c r="C308" s="33" t="str">
        <x:v>Not present</x:v>
      </x:c>
      <x:c r="D308" s="33" t="str">
        <x:v>Audit ID=AUD530; Compliance ID=COMP259; Audit Procedure=Verify restricted-license eligibility and ensure stocked drugs do not require qualified-person supervision.; Audit Method=Sampling; Audit Frequency=Quarterly; Origin=CORE; Risk Focus=Licensing; Active=Yes; Remarks=P-2 validated audit chain.</x:v>
      </x:c>
      <x:c r="E308" s="33" t="str">
        <x:v>ADD</x:v>
      </x:c>
      <x:c r="F308" s="33" t="str">
        <x:v>Add legally aligned replacement audit procedure.</x:v>
      </x:c>
      <x:c r="G308" s="33" t="str">
        <x:v>CDSCO official Drugs Rules / Gazette</x:v>
      </x:c>
      <x:c r="H308" s="33" t="str">
        <x:v>https://cdsco.gov.in/opencms/resources/UploadCDSCOWeb/2022/drug_rules/Drugs%20Rules%2C%201945.pdf</x:v>
      </x:c>
      <x:c r="I308" s="33" t="str">
        <x:v>P-2</x:v>
      </x:c>
      <x:c r="J308" s="33" t="str">
        <x:v>2026-08-20</x:v>
      </x:c>
      <x:c r="K308" s="33" t="str">
        <x:v>New controlled P-2 chain node.</x:v>
      </x:c>
    </x:row>
    <x:row r="309">
      <x:c r="A309" s="33" t="str">
        <x:v>AUD531</x:v>
      </x:c>
      <x:c r="B309" s="33" t="str">
        <x:v>Audit Procedure Master</x:v>
      </x:c>
      <x:c r="C309" s="33" t="str">
        <x:v>Not present</x:v>
      </x:c>
      <x:c r="D309" s="33" t="str">
        <x:v>Audit ID=AUD531; Compliance ID=COMP260; Audit Procedure=Inspect wholesale/distribution vehicle activity for Form 20BB/21BB, Form 19AA basis, display and category controls.; Audit Method=Physical Inspection; Audit Frequency=Annual; Origin=CORE; Risk Focus=Licensing; Active=Yes; Remarks=P-2 validated audit chain.</x:v>
      </x:c>
      <x:c r="E309" s="33" t="str">
        <x:v>ADD</x:v>
      </x:c>
      <x:c r="F309" s="33" t="str">
        <x:v>Add legally aligned replacement audit procedure.</x:v>
      </x:c>
      <x:c r="G309" s="33" t="str">
        <x:v>CDSCO official Drugs Rules / Gazette</x:v>
      </x:c>
      <x:c r="H309" s="33" t="str">
        <x:v>https://cdsco.gov.in/opencms/resources/UploadCDSCOWeb/2022/drug_rules/Drugs%20Rules%2C%201945.pdf</x:v>
      </x:c>
      <x:c r="I309" s="33" t="str">
        <x:v>P-2</x:v>
      </x:c>
      <x:c r="J309" s="33" t="str">
        <x:v>2026-08-20</x:v>
      </x:c>
      <x:c r="K309" s="33" t="str">
        <x:v>New controlled P-2 chain node.</x:v>
      </x:c>
    </x:row>
    <x:row r="310">
      <x:c r="A310" s="33" t="str">
        <x:v>AUD532</x:v>
      </x:c>
      <x:c r="B310" s="33" t="str">
        <x:v>Audit Procedure Master</x:v>
      </x:c>
      <x:c r="C310" s="33" t="str">
        <x:v>Not present</x:v>
      </x:c>
      <x:c r="D310" s="33" t="str">
        <x:v>Audit ID=AUD532; Compliance ID=COMP261; Audit Procedure=Review each Homeopathic Pharmacy location for Form 20C/20D, competent-person qualification and Rule 67F premises conditions.; Audit Method=Document Review; Audit Frequency=Annual; Origin=CORE; Risk Focus=Licensing; Active=Yes; Remarks=P-2 validated audit chain.</x:v>
      </x:c>
      <x:c r="E310" s="33" t="str">
        <x:v>ADD</x:v>
      </x:c>
      <x:c r="F310" s="33" t="str">
        <x:v>Add legally aligned replacement audit procedure.</x:v>
      </x:c>
      <x:c r="G310" s="33" t="str">
        <x:v>CDSCO official Drugs Rules / Gazette</x:v>
      </x:c>
      <x:c r="H310" s="33" t="str">
        <x:v>https://cdsco.gov.in/opencms/resources/UploadCDSCOWeb/2022/drug_rules/Drugs%20Rules%2C%201945.pdf</x:v>
      </x:c>
      <x:c r="I310" s="33" t="str">
        <x:v>P-2</x:v>
      </x:c>
      <x:c r="J310" s="33" t="str">
        <x:v>2026-08-20</x:v>
      </x:c>
      <x:c r="K310" s="33" t="str">
        <x:v>New controlled P-2 chain node.</x:v>
      </x:c>
    </x:row>
    <x:row r="311">
      <x:c r="A311" s="33" t="str">
        <x:v>AUD533</x:v>
      </x:c>
      <x:c r="B311" s="33" t="str">
        <x:v>Audit Procedure Master</x:v>
      </x:c>
      <x:c r="C311" s="33" t="str">
        <x:v>Not present</x:v>
      </x:c>
      <x:c r="D311" s="33" t="str">
        <x:v>Audit ID=AUD533; Compliance ID=COMP262; Audit Procedure=Sample Homeopathic alcohol-containing medicine purchase/sale records and inspect supervision, sealed-pack and premises conditions.; Audit Method=Record Verification; Audit Frequency=Quarterly; Origin=CORE; Risk Focus=Recordkeeping; Active=Yes; Remarks=P-2 validated audit chain.</x:v>
      </x:c>
      <x:c r="E311" s="33" t="str">
        <x:v>ADD</x:v>
      </x:c>
      <x:c r="F311" s="33" t="str">
        <x:v>Add legally aligned replacement audit procedure.</x:v>
      </x:c>
      <x:c r="G311" s="33" t="str">
        <x:v>CDSCO official Drugs Rules / Gazette</x:v>
      </x:c>
      <x:c r="H311" s="33" t="str">
        <x:v>https://cdsco.gov.in/opencms/resources/UploadCDSCOWeb/2022/drug_rules/Drugs%20Rules%2C%201945.pdf</x:v>
      </x:c>
      <x:c r="I311" s="33" t="str">
        <x:v>P-2</x:v>
      </x:c>
      <x:c r="J311" s="33" t="str">
        <x:v>2026-08-20</x:v>
      </x:c>
      <x:c r="K311" s="33" t="str">
        <x:v>New controlled P-2 chain node.</x:v>
      </x:c>
    </x:row>
    <x:row r="312">
      <x:c r="A312" s="33" t="str">
        <x:v>AUD534</x:v>
      </x:c>
      <x:c r="B312" s="33" t="str">
        <x:v>Audit Procedure Master</x:v>
      </x:c>
      <x:c r="C312" s="33" t="str">
        <x:v>Not present</x:v>
      </x:c>
      <x:c r="D312" s="33" t="str">
        <x:v>Audit ID=AUD534; Compliance ID=COMP263; Audit Procedure=Review Homeopathic suspension/cancellation orders, appeal timelines and evidence that prohibited activity ceased.; Audit Method=Document Review; Audit Frequency=Event Based; Origin=CORE; Risk Focus=Licensing; Active=Yes; Remarks=P-2 validated audit chain.</x:v>
      </x:c>
      <x:c r="E312" s="33" t="str">
        <x:v>ADD</x:v>
      </x:c>
      <x:c r="F312" s="33" t="str">
        <x:v>Add legally aligned replacement audit procedure.</x:v>
      </x:c>
      <x:c r="G312" s="33" t="str">
        <x:v>CDSCO official Drugs Rules / Gazette</x:v>
      </x:c>
      <x:c r="H312" s="33" t="str">
        <x:v>https://cdsco.gov.in/opencms/resources/UploadCDSCOWeb/2022/drug_rules/Drugs%20Rules%2C%201945.pdf</x:v>
      </x:c>
      <x:c r="I312" s="33" t="str">
        <x:v>P-2</x:v>
      </x:c>
      <x:c r="J312" s="33" t="str">
        <x:v>2026-08-20</x:v>
      </x:c>
      <x:c r="K312" s="33" t="str">
        <x:v>New controlled P-2 chain node.</x:v>
      </x:c>
    </x:row>
    <x:row r="313">
      <x:c r="A313" s="33" t="str">
        <x:v>AUD535</x:v>
      </x:c>
      <x:c r="B313" s="33" t="str">
        <x:v>Audit Procedure Master</x:v>
      </x:c>
      <x:c r="C313" s="33" t="str">
        <x:v>Not present</x:v>
      </x:c>
      <x:c r="D313" s="33" t="str">
        <x:v>Audit ID=AUD535; Compliance ID=COMP264; Audit Procedure=Inspect Schedule N entrance, dispensing area, washable surfaces, water, barrier, furniture/apparatus and minimum equipment.; Audit Method=Physical Inspection; Audit Frequency=Annual; Origin=CORE; Risk Focus=Inspection &amp; Display Controls; Active=Yes; Remarks=P-2 validated audit chain.</x:v>
      </x:c>
      <x:c r="E313" s="33" t="str">
        <x:v>ADD</x:v>
      </x:c>
      <x:c r="F313" s="33" t="str">
        <x:v>Add legally aligned replacement audit procedure.</x:v>
      </x:c>
      <x:c r="G313" s="33" t="str">
        <x:v>CDSCO official Drugs Rules / Gazette</x:v>
      </x:c>
      <x:c r="H313" s="33" t="str">
        <x:v>https://cdsco.gov.in/opencms/resources/UploadCDSCOWeb/2022/drug_rules/Drugs%20Rules%2C%201945.pdf</x:v>
      </x:c>
      <x:c r="I313" s="33" t="str">
        <x:v>P-2</x:v>
      </x:c>
      <x:c r="J313" s="33" t="str">
        <x:v>2026-08-20</x:v>
      </x:c>
      <x:c r="K313" s="33" t="str">
        <x:v>New controlled P-2 chain node.</x:v>
      </x:c>
    </x:row>
    <x:row r="314">
      <x:c r="A314" s="33" t="str">
        <x:v>AUD536</x:v>
      </x:c>
      <x:c r="B314" s="33" t="str">
        <x:v>Audit Procedure Master</x:v>
      </x:c>
      <x:c r="C314" s="33" t="str">
        <x:v>Not present</x:v>
      </x:c>
      <x:c r="D314" s="33" t="str">
        <x:v>Audit ID=AUD536; Compliance ID=COMP265; Audit Procedure=Sample institutional Schedule H/H1/X supplies for a signed written order and two-year retention.; Audit Method=Record Verification; Audit Frequency=Quarterly; Origin=CORE; Risk Focus=Recordkeeping; Active=Yes; Remarks=P-2 validated audit chain.</x:v>
      </x:c>
      <x:c r="E314" s="33" t="str">
        <x:v>ADD</x:v>
      </x:c>
      <x:c r="F314" s="33" t="str">
        <x:v>Add legally aligned replacement audit procedure.</x:v>
      </x:c>
      <x:c r="G314" s="33" t="str">
        <x:v>CDSCO official Drugs Rules / Gazette</x:v>
      </x:c>
      <x:c r="H314" s="33" t="str">
        <x:v>https://cdsco.gov.in/opencms/resources/UploadCDSCOWeb/2022/drug_rules/Drugs%20Rules%2C%201945.pdf</x:v>
      </x:c>
      <x:c r="I314" s="33" t="str">
        <x:v>P-2</x:v>
      </x:c>
      <x:c r="J314" s="33" t="str">
        <x:v>2026-08-20</x:v>
      </x:c>
      <x:c r="K314" s="33" t="str">
        <x:v>New controlled P-2 chain node.</x:v>
      </x:c>
    </x:row>
    <x:row r="315">
      <x:c r="A315" s="33" t="str">
        <x:v>EVD571</x:v>
      </x:c>
      <x:c r="B315" s="33" t="str">
        <x:v>Evidence Master</x:v>
      </x:c>
      <x:c r="C315" s="33" t="str">
        <x:v>Not present</x:v>
      </x:c>
      <x:c r="D315" s="33" t="str">
        <x:v>Evidence ID=EVD571; Audit ID=AUD522; Evidence Required=Form 35 Inspection Book and corrective-action evidence; Evidence Type=Inspection Report; Mandatory=Yes; Retention Category=Permanent; Origin=CORE; Active=Yes; Remarks=P-2 validated evidence chain.</x:v>
      </x:c>
      <x:c r="E315" s="33" t="str">
        <x:v>ADD</x:v>
      </x:c>
      <x:c r="F315" s="33" t="str">
        <x:v>Add evidence aligned to the validated audit procedure.</x:v>
      </x:c>
      <x:c r="G315" s="33" t="str">
        <x:v>CDSCO official Drugs Rules / Gazette</x:v>
      </x:c>
      <x:c r="H315" s="33" t="str">
        <x:v>https://cdsco.gov.in/opencms/resources/UploadCDSCOWeb/2022/drug_rules/Drugs%20Rules%2C%201945.pdf</x:v>
      </x:c>
      <x:c r="I315" s="33" t="str">
        <x:v>P-2</x:v>
      </x:c>
      <x:c r="J315" s="33" t="str">
        <x:v>2026-08-20</x:v>
      </x:c>
      <x:c r="K315" s="33" t="str">
        <x:v>New controlled P-2 chain node.</x:v>
      </x:c>
    </x:row>
    <x:row r="316">
      <x:c r="A316" s="33" t="str">
        <x:v>EVD572</x:v>
      </x:c>
      <x:c r="B316" s="33" t="str">
        <x:v>Evidence Master</x:v>
      </x:c>
      <x:c r="C316" s="33" t="str">
        <x:v>Not present</x:v>
      </x:c>
      <x:c r="D316" s="33" t="str">
        <x:v>Evidence ID=EVD572; Audit ID=AUD523; Evidence Required=Expired-stock quarantine register and photographs; Evidence Type=Inventory Record; Mandatory=Yes; Retention Category=Statutory; Origin=CORE; Active=Yes; Remarks=P-2 validated evidence chain.</x:v>
      </x:c>
      <x:c r="E316" s="33" t="str">
        <x:v>ADD</x:v>
      </x:c>
      <x:c r="F316" s="33" t="str">
        <x:v>Add evidence aligned to the validated audit procedure.</x:v>
      </x:c>
      <x:c r="G316" s="33" t="str">
        <x:v>CDSCO official Drugs Rules / Gazette</x:v>
      </x:c>
      <x:c r="H316" s="33" t="str">
        <x:v>https://cdsco.gov.in/opencms/resources/UploadCDSCOWeb/2022/drug_rules/Drugs%20Rules%2C%201945.pdf</x:v>
      </x:c>
      <x:c r="I316" s="33" t="str">
        <x:v>P-2</x:v>
      </x:c>
      <x:c r="J316" s="33" t="str">
        <x:v>2026-08-20</x:v>
      </x:c>
      <x:c r="K316" s="33" t="str">
        <x:v>New controlled P-2 chain node.</x:v>
      </x:c>
    </x:row>
    <x:row r="317">
      <x:c r="A317" s="33" t="str">
        <x:v>EVD573</x:v>
      </x:c>
      <x:c r="B317" s="33" t="str">
        <x:v>Evidence Master</x:v>
      </x:c>
      <x:c r="C317" s="33" t="str">
        <x:v>Not present</x:v>
      </x:c>
      <x:c r="D317" s="33" t="str">
        <x:v>Evidence ID=EVD573; Audit ID=AUD524; Evidence Required=Sample/scheme stock register and authorization; Evidence Type=Register; Mandatory=Yes; Retention Category=Statutory; Origin=CORE; Active=Yes; Remarks=P-2 validated evidence chain.</x:v>
      </x:c>
      <x:c r="E317" s="33" t="str">
        <x:v>ADD</x:v>
      </x:c>
      <x:c r="F317" s="33" t="str">
        <x:v>Add evidence aligned to the validated audit procedure.</x:v>
      </x:c>
      <x:c r="G317" s="33" t="str">
        <x:v>CDSCO official Drugs Rules / Gazette</x:v>
      </x:c>
      <x:c r="H317" s="33" t="str">
        <x:v>https://cdsco.gov.in/opencms/resources/UploadCDSCOWeb/2022/drug_rules/Drugs%20Rules%2C%201945.pdf</x:v>
      </x:c>
      <x:c r="I317" s="33" t="str">
        <x:v>P-2</x:v>
      </x:c>
      <x:c r="J317" s="33" t="str">
        <x:v>2026-08-20</x:v>
      </x:c>
      <x:c r="K317" s="33" t="str">
        <x:v>New controlled P-2 chain node.</x:v>
      </x:c>
    </x:row>
    <x:row r="318">
      <x:c r="A318" s="33" t="str">
        <x:v>EVD574</x:v>
      </x:c>
      <x:c r="B318" s="33" t="str">
        <x:v>Evidence Master</x:v>
      </x:c>
      <x:c r="C318" s="33" t="str">
        <x:v>Not present</x:v>
      </x:c>
      <x:c r="D318" s="33" t="str">
        <x:v>Evidence ID=EVD574; Audit ID=AUD525; Evidence Required=Repacked-supply label samples and pharmacist record; Evidence Type=Photograph; Mandatory=Yes; Retention Category=Transactional; Origin=CORE; Active=Yes; Remarks=P-2 validated evidence chain.</x:v>
      </x:c>
      <x:c r="E318" s="33" t="str">
        <x:v>ADD</x:v>
      </x:c>
      <x:c r="F318" s="33" t="str">
        <x:v>Add evidence aligned to the validated audit procedure.</x:v>
      </x:c>
      <x:c r="G318" s="33" t="str">
        <x:v>CDSCO official Drugs Rules / Gazette</x:v>
      </x:c>
      <x:c r="H318" s="33" t="str">
        <x:v>https://cdsco.gov.in/opencms/resources/UploadCDSCOWeb/2022/drug_rules/Drugs%20Rules%2C%201945.pdf</x:v>
      </x:c>
      <x:c r="I318" s="33" t="str">
        <x:v>P-2</x:v>
      </x:c>
      <x:c r="J318" s="33" t="str">
        <x:v>2026-08-20</x:v>
      </x:c>
      <x:c r="K318" s="33" t="str">
        <x:v>New controlled P-2 chain node.</x:v>
      </x:c>
    </x:row>
    <x:row r="319">
      <x:c r="A319" s="33" t="str">
        <x:v>EVD575</x:v>
      </x:c>
      <x:c r="B319" s="33" t="str">
        <x:v>Evidence Master</x:v>
      </x:c>
      <x:c r="C319" s="33" t="str">
        <x:v>Not present</x:v>
      </x:c>
      <x:c r="D319" s="33" t="str">
        <x:v>Evidence ID=EVD575; Audit ID=AUD526; Evidence Required=Veterinary-stock storage photograph and checklist; Evidence Type=Photograph; Mandatory=Yes; Retention Category=Operational; Origin=CORE; Active=Yes; Remarks=P-2 validated evidence chain.</x:v>
      </x:c>
      <x:c r="E319" s="33" t="str">
        <x:v>ADD</x:v>
      </x:c>
      <x:c r="F319" s="33" t="str">
        <x:v>Add evidence aligned to the validated audit procedure.</x:v>
      </x:c>
      <x:c r="G319" s="33" t="str">
        <x:v>CDSCO official Drugs Rules / Gazette</x:v>
      </x:c>
      <x:c r="H319" s="33" t="str">
        <x:v>https://cdsco.gov.in/opencms/resources/UploadCDSCOWeb/2022/drug_rules/Drugs%20Rules%2C%201945.pdf</x:v>
      </x:c>
      <x:c r="I319" s="33" t="str">
        <x:v>P-2</x:v>
      </x:c>
      <x:c r="J319" s="33" t="str">
        <x:v>2026-08-20</x:v>
      </x:c>
      <x:c r="K319" s="33" t="str">
        <x:v>New controlled P-2 chain node.</x:v>
      </x:c>
    </x:row>
    <x:row r="320">
      <x:c r="A320" s="33" t="str">
        <x:v>EVD576</x:v>
      </x:c>
      <x:c r="B320" s="33" t="str">
        <x:v>Evidence Master</x:v>
      </x:c>
      <x:c r="C320" s="33" t="str">
        <x:v>Not present</x:v>
      </x:c>
      <x:c r="D320" s="33" t="str">
        <x:v>Evidence ID=EVD576; Audit ID=AUD527; Evidence Required=Mock inspection report and action tracker; Evidence Type=Inspection Report; Mandatory=Yes; Retention Category=Operational; Origin=CORE; Active=Yes; Remarks=P-2 validated evidence chain.</x:v>
      </x:c>
      <x:c r="E320" s="33" t="str">
        <x:v>ADD</x:v>
      </x:c>
      <x:c r="F320" s="33" t="str">
        <x:v>Add evidence aligned to the validated audit procedure.</x:v>
      </x:c>
      <x:c r="G320" s="33" t="str">
        <x:v>CDSCO official Drugs Rules / Gazette</x:v>
      </x:c>
      <x:c r="H320" s="33" t="str">
        <x:v>https://cdsco.gov.in/opencms/resources/UploadCDSCOWeb/2022/drug_rules/Drugs%20Rules%2C%201945.pdf</x:v>
      </x:c>
      <x:c r="I320" s="33" t="str">
        <x:v>P-2</x:v>
      </x:c>
      <x:c r="J320" s="33" t="str">
        <x:v>2026-08-20</x:v>
      </x:c>
      <x:c r="K320" s="33" t="str">
        <x:v>New controlled P-2 chain node.</x:v>
      </x:c>
    </x:row>
    <x:row r="321">
      <x:c r="A321" s="33" t="str">
        <x:v>EVD577</x:v>
      </x:c>
      <x:c r="B321" s="33" t="str">
        <x:v>Evidence Master</x:v>
      </x:c>
      <x:c r="C321" s="33" t="str">
        <x:v>Not present</x:v>
      </x:c>
      <x:c r="D321" s="33" t="str">
        <x:v>Evidence ID=EVD577; Audit ID=AUD528; Evidence Required=Displayed licence photograph, staff list and constitution-change filings; Evidence Type=License; Mandatory=Yes; Retention Category=Permanent; Origin=CORE; Active=Yes; Remarks=P-2 validated evidence chain.</x:v>
      </x:c>
      <x:c r="E321" s="33" t="str">
        <x:v>ADD</x:v>
      </x:c>
      <x:c r="F321" s="33" t="str">
        <x:v>Add evidence aligned to the validated audit procedure.</x:v>
      </x:c>
      <x:c r="G321" s="33" t="str">
        <x:v>CDSCO official Drugs Rules / Gazette</x:v>
      </x:c>
      <x:c r="H321" s="33" t="str">
        <x:v>https://cdsco.gov.in/opencms/resources/UploadCDSCOWeb/2022/drug_rules/Drugs%20Rules%2C%201945.pdf</x:v>
      </x:c>
      <x:c r="I321" s="33" t="str">
        <x:v>P-2</x:v>
      </x:c>
      <x:c r="J321" s="33" t="str">
        <x:v>2026-08-20</x:v>
      </x:c>
      <x:c r="K321" s="33" t="str">
        <x:v>New controlled P-2 chain node.</x:v>
      </x:c>
    </x:row>
    <x:row r="322">
      <x:c r="A322" s="33" t="str">
        <x:v>EVD578</x:v>
      </x:c>
      <x:c r="B322" s="33" t="str">
        <x:v>Evidence Master</x:v>
      </x:c>
      <x:c r="C322" s="33" t="str">
        <x:v>Not present</x:v>
      </x:c>
      <x:c r="D322" s="33" t="str">
        <x:v>Evidence ID=EVD578; Audit ID=AUD529; Evidence Required=Enforcement orders, disposal permission and verified licence submissions; Evidence Type=Approval; Mandatory=Yes; Retention Category=Permanent; Origin=CORE; Active=Yes; Remarks=P-2 validated evidence chain.</x:v>
      </x:c>
      <x:c r="E322" s="33" t="str">
        <x:v>ADD</x:v>
      </x:c>
      <x:c r="F322" s="33" t="str">
        <x:v>Add evidence aligned to the validated audit procedure.</x:v>
      </x:c>
      <x:c r="G322" s="33" t="str">
        <x:v>CDSCO official Drugs Rules / Gazette</x:v>
      </x:c>
      <x:c r="H322" s="33" t="str">
        <x:v>https://cdsco.gov.in/opencms/resources/UploadCDSCOWeb/2022/drug_rules/Drugs%20Rules%2C%201945.pdf</x:v>
      </x:c>
      <x:c r="I322" s="33" t="str">
        <x:v>P-2</x:v>
      </x:c>
      <x:c r="J322" s="33" t="str">
        <x:v>2026-08-20</x:v>
      </x:c>
      <x:c r="K322" s="33" t="str">
        <x:v>New controlled P-2 chain node.</x:v>
      </x:c>
    </x:row>
    <x:row r="323">
      <x:c r="A323" s="33" t="str">
        <x:v>EVD579</x:v>
      </x:c>
      <x:c r="B323" s="33" t="str">
        <x:v>Evidence Master</x:v>
      </x:c>
      <x:c r="C323" s="33" t="str">
        <x:v>Not present</x:v>
      </x:c>
      <x:c r="D323" s="33" t="str">
        <x:v>Evidence ID=EVD579; Audit ID=AUD530; Evidence Required=Form 20A/21A and sampled restricted stock list; Evidence Type=License; Mandatory=Yes; Retention Category=Permanent; Origin=CORE; Active=Yes; Remarks=P-2 validated evidence chain.</x:v>
      </x:c>
      <x:c r="E323" s="33" t="str">
        <x:v>ADD</x:v>
      </x:c>
      <x:c r="F323" s="33" t="str">
        <x:v>Add evidence aligned to the validated audit procedure.</x:v>
      </x:c>
      <x:c r="G323" s="33" t="str">
        <x:v>CDSCO official Drugs Rules / Gazette</x:v>
      </x:c>
      <x:c r="H323" s="33" t="str">
        <x:v>https://cdsco.gov.in/opencms/resources/UploadCDSCOWeb/2022/drug_rules/Drugs%20Rules%2C%201945.pdf</x:v>
      </x:c>
      <x:c r="I323" s="33" t="str">
        <x:v>P-2</x:v>
      </x:c>
      <x:c r="J323" s="33" t="str">
        <x:v>2026-08-20</x:v>
      </x:c>
      <x:c r="K323" s="33" t="str">
        <x:v>New controlled P-2 chain node.</x:v>
      </x:c>
    </x:row>
    <x:row r="324">
      <x:c r="A324" s="33" t="str">
        <x:v>EVD580</x:v>
      </x:c>
      <x:c r="B324" s="33" t="str">
        <x:v>Evidence Master</x:v>
      </x:c>
      <x:c r="C324" s="33" t="str">
        <x:v>Not present</x:v>
      </x:c>
      <x:c r="D324" s="33" t="str">
        <x:v>Evidence ID=EVD580; Audit ID=AUD531; Evidence Required=Vehicle licence, application and vehicle stock/category checklist; Evidence Type=License; Mandatory=Yes; Retention Category=Permanent; Origin=CORE; Active=Yes; Remarks=P-2 validated evidence chain.</x:v>
      </x:c>
      <x:c r="E324" s="33" t="str">
        <x:v>ADD</x:v>
      </x:c>
      <x:c r="F324" s="33" t="str">
        <x:v>Add evidence aligned to the validated audit procedure.</x:v>
      </x:c>
      <x:c r="G324" s="33" t="str">
        <x:v>CDSCO official Drugs Rules / Gazette</x:v>
      </x:c>
      <x:c r="H324" s="33" t="str">
        <x:v>https://cdsco.gov.in/opencms/resources/UploadCDSCOWeb/2022/drug_rules/Drugs%20Rules%2C%201945.pdf</x:v>
      </x:c>
      <x:c r="I324" s="33" t="str">
        <x:v>P-2</x:v>
      </x:c>
      <x:c r="J324" s="33" t="str">
        <x:v>2026-08-20</x:v>
      </x:c>
      <x:c r="K324" s="33" t="str">
        <x:v>New controlled P-2 chain node.</x:v>
      </x:c>
    </x:row>
    <x:row r="325">
      <x:c r="A325" s="33" t="str">
        <x:v>EVD581</x:v>
      </x:c>
      <x:c r="B325" s="33" t="str">
        <x:v>Evidence Master</x:v>
      </x:c>
      <x:c r="C325" s="33" t="str">
        <x:v>Not present</x:v>
      </x:c>
      <x:c r="D325" s="33" t="str">
        <x:v>Evidence ID=EVD581; Audit ID=AUD532; Evidence Required=Form 20C/20D, Form 19B application and competent-person credentials; Evidence Type=License; Mandatory=Yes; Retention Category=Permanent; Origin=CORE; Active=Yes; Remarks=P-2 validated evidence chain.</x:v>
      </x:c>
      <x:c r="E325" s="33" t="str">
        <x:v>ADD</x:v>
      </x:c>
      <x:c r="F325" s="33" t="str">
        <x:v>Add evidence aligned to the validated audit procedure.</x:v>
      </x:c>
      <x:c r="G325" s="33" t="str">
        <x:v>CDSCO official Drugs Rules / Gazette</x:v>
      </x:c>
      <x:c r="H325" s="33" t="str">
        <x:v>https://cdsco.gov.in/opencms/resources/UploadCDSCOWeb/2022/drug_rules/Drugs%20Rules%2C%201945.pdf</x:v>
      </x:c>
      <x:c r="I325" s="33" t="str">
        <x:v>P-2</x:v>
      </x:c>
      <x:c r="J325" s="33" t="str">
        <x:v>2026-08-20</x:v>
      </x:c>
      <x:c r="K325" s="33" t="str">
        <x:v>New controlled P-2 chain node.</x:v>
      </x:c>
    </x:row>
    <x:row r="326">
      <x:c r="A326" s="33" t="str">
        <x:v>EVD582</x:v>
      </x:c>
      <x:c r="B326" s="33" t="str">
        <x:v>Evidence Master</x:v>
      </x:c>
      <x:c r="C326" s="33" t="str">
        <x:v>Not present</x:v>
      </x:c>
      <x:c r="D326" s="33" t="str">
        <x:v>Evidence ID=EVD582; Audit ID=AUD533; Evidence Required=Homeopathic alcohol purchase/sale register and supervision evidence; Evidence Type=Register; Mandatory=Yes; Retention Category=Statutory; Origin=CORE; Active=Yes; Remarks=P-2 validated evidence chain.</x:v>
      </x:c>
      <x:c r="E326" s="33" t="str">
        <x:v>ADD</x:v>
      </x:c>
      <x:c r="F326" s="33" t="str">
        <x:v>Add evidence aligned to the validated audit procedure.</x:v>
      </x:c>
      <x:c r="G326" s="33" t="str">
        <x:v>CDSCO official Drugs Rules / Gazette</x:v>
      </x:c>
      <x:c r="H326" s="33" t="str">
        <x:v>https://cdsco.gov.in/opencms/resources/UploadCDSCOWeb/2022/drug_rules/Drugs%20Rules%2C%201945.pdf</x:v>
      </x:c>
      <x:c r="I326" s="33" t="str">
        <x:v>P-2</x:v>
      </x:c>
      <x:c r="J326" s="33" t="str">
        <x:v>2026-08-20</x:v>
      </x:c>
      <x:c r="K326" s="33" t="str">
        <x:v>New controlled P-2 chain node.</x:v>
      </x:c>
    </x:row>
    <x:row r="327">
      <x:c r="A327" s="33" t="str">
        <x:v>EVD583</x:v>
      </x:c>
      <x:c r="B327" s="33" t="str">
        <x:v>Evidence Master</x:v>
      </x:c>
      <x:c r="C327" s="33" t="str">
        <x:v>Not present</x:v>
      </x:c>
      <x:c r="D327" s="33" t="str">
        <x:v>Evidence ID=EVD583; Audit ID=AUD534; Evidence Required=Rule 67H order, appeal and closure records; Evidence Type=Approval; Mandatory=Yes; Retention Category=Permanent; Origin=CORE; Active=Yes; Remarks=P-2 validated evidence chain.</x:v>
      </x:c>
      <x:c r="E327" s="33" t="str">
        <x:v>ADD</x:v>
      </x:c>
      <x:c r="F327" s="33" t="str">
        <x:v>Add evidence aligned to the validated audit procedure.</x:v>
      </x:c>
      <x:c r="G327" s="33" t="str">
        <x:v>CDSCO official Drugs Rules / Gazette</x:v>
      </x:c>
      <x:c r="H327" s="33" t="str">
        <x:v>https://cdsco.gov.in/opencms/resources/UploadCDSCOWeb/2022/drug_rules/Drugs%20Rules%2C%201945.pdf</x:v>
      </x:c>
      <x:c r="I327" s="33" t="str">
        <x:v>P-2</x:v>
      </x:c>
      <x:c r="J327" s="33" t="str">
        <x:v>2026-08-20</x:v>
      </x:c>
      <x:c r="K327" s="33" t="str">
        <x:v>New controlled P-2 chain node.</x:v>
      </x:c>
    </x:row>
    <x:row r="328">
      <x:c r="A328" s="33" t="str">
        <x:v>EVD584</x:v>
      </x:c>
      <x:c r="B328" s="33" t="str">
        <x:v>Evidence Master</x:v>
      </x:c>
      <x:c r="C328" s="33" t="str">
        <x:v>Not present</x:v>
      </x:c>
      <x:c r="D328" s="33" t="str">
        <x:v>Evidence ID=EVD584; Audit ID=AUD535; Evidence Required=Schedule N premises/equipment checklist and photographs; Evidence Type=Inspection Report; Mandatory=Yes; Retention Category=Operational; Origin=CORE; Active=Yes; Remarks=P-2 validated evidence chain.</x:v>
      </x:c>
      <x:c r="E328" s="33" t="str">
        <x:v>ADD</x:v>
      </x:c>
      <x:c r="F328" s="33" t="str">
        <x:v>Add evidence aligned to the validated audit procedure.</x:v>
      </x:c>
      <x:c r="G328" s="33" t="str">
        <x:v>CDSCO official Drugs Rules / Gazette</x:v>
      </x:c>
      <x:c r="H328" s="33" t="str">
        <x:v>https://cdsco.gov.in/opencms/resources/UploadCDSCOWeb/2022/drug_rules/Drugs%20Rules%2C%201945.pdf</x:v>
      </x:c>
      <x:c r="I328" s="33" t="str">
        <x:v>P-2</x:v>
      </x:c>
      <x:c r="J328" s="33" t="str">
        <x:v>2026-08-20</x:v>
      </x:c>
      <x:c r="K328" s="33" t="str">
        <x:v>New controlled P-2 chain node.</x:v>
      </x:c>
    </x:row>
    <x:row r="329">
      <x:c r="A329" s="33" t="str">
        <x:v>EVD585</x:v>
      </x:c>
      <x:c r="B329" s="33" t="str">
        <x:v>Evidence Master</x:v>
      </x:c>
      <x:c r="C329" s="33" t="str">
        <x:v>Not present</x:v>
      </x:c>
      <x:c r="D329" s="33" t="str">
        <x:v>Evidence ID=EVD585; Audit ID=AUD536; Evidence Required=Signed institutional orders linked to sale invoices; Evidence Type=Document; Mandatory=Yes; Retention Category=Statutory; Origin=CORE; Active=Yes; Remarks=P-2 validated evidence chain.</x:v>
      </x:c>
      <x:c r="E329" s="33" t="str">
        <x:v>ADD</x:v>
      </x:c>
      <x:c r="F329" s="33" t="str">
        <x:v>Add evidence aligned to the validated audit procedure.</x:v>
      </x:c>
      <x:c r="G329" s="33" t="str">
        <x:v>CDSCO official Drugs Rules / Gazette</x:v>
      </x:c>
      <x:c r="H329" s="33" t="str">
        <x:v>https://cdsco.gov.in/opencms/resources/UploadCDSCOWeb/2022/drug_rules/Drugs%20Rules%2C%201945.pdf</x:v>
      </x:c>
      <x:c r="I329" s="33" t="str">
        <x:v>P-2</x:v>
      </x:c>
      <x:c r="J329" s="33" t="str">
        <x:v>2026-08-20</x:v>
      </x:c>
      <x:c r="K329" s="33" t="str">
        <x:v>New controlled P-2 chain node.</x:v>
      </x:c>
    </x:row>
    <x:row r="330">
      <x:c r="A330" s="33" t="str">
        <x:v>OBS251</x:v>
      </x:c>
      <x:c r="B330" s="33" t="str">
        <x:v>Observation Master</x:v>
      </x:c>
      <x:c r="C330" s="33" t="str">
        <x:v>Not present</x:v>
      </x:c>
      <x:c r="D330" s="33" t="str">
        <x:v>Observation ID=OBS251; Audit ID=AUD522; Observation Template=Form 35 Inspection Book was absent or not available for Inspector use.; Risk Level=High; Recommendation=Maintain Form 35 at the premises and close recorded defects.; Observation Category=Regulatory Filing; Origin=CORE; Active=Yes; Remarks=P-2 validated observation chain.</x:v>
      </x:c>
      <x:c r="E330" s="33" t="str">
        <x:v>ADD</x:v>
      </x:c>
      <x:c r="F330" s="33" t="str">
        <x:v>Add observation aligned to the validated audit procedure.</x:v>
      </x:c>
      <x:c r="G330" s="33" t="str">
        <x:v>CDSCO official Drugs Rules / Gazette</x:v>
      </x:c>
      <x:c r="H330" s="33" t="str">
        <x:v>https://cdsco.gov.in/opencms/resources/UploadCDSCOWeb/2022/drug_rules/Drugs%20Rules%2C%201945.pdf</x:v>
      </x:c>
      <x:c r="I330" s="33" t="str">
        <x:v>P-2</x:v>
      </x:c>
      <x:c r="J330" s="33" t="str">
        <x:v>2026-08-20</x:v>
      </x:c>
      <x:c r="K330" s="33" t="str">
        <x:v>New controlled P-2 chain node.</x:v>
      </x:c>
    </x:row>
    <x:row r="331">
      <x:c r="A331" s="33" t="str">
        <x:v>OBS252</x:v>
      </x:c>
      <x:c r="B331" s="33" t="str">
        <x:v>Observation Master</x:v>
      </x:c>
      <x:c r="C331" s="33" t="str">
        <x:v>Not present</x:v>
      </x:c>
      <x:c r="D331" s="33" t="str">
        <x:v>Observation ID=OBS252; Audit ID=AUD523; Observation Template=Expired or label-direction-violating stock was saleable or not properly segregated.; Risk Level=Critical; Recommendation=Quarantine and mark the stock, then complete documented withdrawal/disposal.; Observation Category=Inventory; Origin=CORE; Active=Yes; Remarks=P-2 validated observation chain.</x:v>
      </x:c>
      <x:c r="E331" s="33" t="str">
        <x:v>ADD</x:v>
      </x:c>
      <x:c r="F331" s="33" t="str">
        <x:v>Add observation aligned to the validated audit procedure.</x:v>
      </x:c>
      <x:c r="G331" s="33" t="str">
        <x:v>CDSCO official Drugs Rules / Gazette</x:v>
      </x:c>
      <x:c r="H331" s="33" t="str">
        <x:v>https://cdsco.gov.in/opencms/resources/UploadCDSCOWeb/2022/drug_rules/Drugs%20Rules%2C%201945.pdf</x:v>
      </x:c>
      <x:c r="I331" s="33" t="str">
        <x:v>P-2</x:v>
      </x:c>
      <x:c r="J331" s="33" t="str">
        <x:v>2026-08-20</x:v>
      </x:c>
      <x:c r="K331" s="33" t="str">
        <x:v>New controlled P-2 chain node.</x:v>
      </x:c>
    </x:row>
    <x:row r="332">
      <x:c r="A332" s="33" t="str">
        <x:v>OBS253</x:v>
      </x:c>
      <x:c r="B332" s="33" t="str">
        <x:v>Observation Master</x:v>
      </x:c>
      <x:c r="C332" s="33" t="str">
        <x:v>Not present</x:v>
      </x:c>
      <x:c r="D332" s="33" t="str">
        <x:v>Observation ID=OBS253; Audit ID=AUD524; Observation Template=Free-sample or scheme stock was sold, mixed with trade stock or lacked exception records.; Risk Level=Critical; Recommendation=Stop sale, segregate stock and regularize only an express authorized exception.; Observation Category=Inventory; Origin=CORE; Active=Yes; Remarks=P-2 validated observation chain.</x:v>
      </x:c>
      <x:c r="E332" s="33" t="str">
        <x:v>ADD</x:v>
      </x:c>
      <x:c r="F332" s="33" t="str">
        <x:v>Add observation aligned to the validated audit procedure.</x:v>
      </x:c>
      <x:c r="G332" s="33" t="str">
        <x:v>CDSCO official Drugs Rules / Gazette</x:v>
      </x:c>
      <x:c r="H332" s="33" t="str">
        <x:v>https://cdsco.gov.in/opencms/resources/UploadCDSCOWeb/2022/drug_rules/Drugs%20Rules%2C%201945.pdf</x:v>
      </x:c>
      <x:c r="I332" s="33" t="str">
        <x:v>P-2</x:v>
      </x:c>
      <x:c r="J332" s="33" t="str">
        <x:v>2026-08-20</x:v>
      </x:c>
      <x:c r="K332" s="33" t="str">
        <x:v>New controlled P-2 chain node.</x:v>
      </x:c>
    </x:row>
    <x:row r="333">
      <x:c r="A333" s="33" t="str">
        <x:v>OBS254</x:v>
      </x:c>
      <x:c r="B333" s="33" t="str">
        <x:v>Observation Master</x:v>
      </x:c>
      <x:c r="C333" s="33" t="str">
        <x:v>Not present</x:v>
      </x:c>
      <x:c r="D333" s="33" t="str">
        <x:v>Observation ID=OBS254; Audit ID=AUD525; Observation Template=Retail supply outside the manufacturer's pack lacked pharmacist supervision or wrapper particulars.; Risk Level=High; Recommendation=Apply Rule 65(19) supervision and labelling before supply.; Observation Category=Prescription; Origin=CORE; Active=Yes; Remarks=P-2 validated observation chain.</x:v>
      </x:c>
      <x:c r="E333" s="33" t="str">
        <x:v>ADD</x:v>
      </x:c>
      <x:c r="F333" s="33" t="str">
        <x:v>Add observation aligned to the validated audit procedure.</x:v>
      </x:c>
      <x:c r="G333" s="33" t="str">
        <x:v>CDSCO official Drugs Rules / Gazette</x:v>
      </x:c>
      <x:c r="H333" s="33" t="str">
        <x:v>https://cdsco.gov.in/opencms/resources/UploadCDSCOWeb/2022/drug_rules/Drugs%20Rules%2C%201945.pdf</x:v>
      </x:c>
      <x:c r="I333" s="33" t="str">
        <x:v>P-2</x:v>
      </x:c>
      <x:c r="J333" s="33" t="str">
        <x:v>2026-08-20</x:v>
      </x:c>
      <x:c r="K333" s="33" t="str">
        <x:v>New controlled P-2 chain node.</x:v>
      </x:c>
    </x:row>
    <x:row r="334">
      <x:c r="A334" s="33" t="str">
        <x:v>OBS255</x:v>
      </x:c>
      <x:c r="B334" s="33" t="str">
        <x:v>Observation Master</x:v>
      </x:c>
      <x:c r="C334" s="33" t="str">
        <x:v>Not present</x:v>
      </x:c>
      <x:c r="D334" s="33" t="str">
        <x:v>Observation ID=OBS255; Audit ID=AUD526; Observation Template=Veterinary medicines were not appropriately labelled or segregated.; Risk Level=High; Recommendation=Relabel/segregate stock and prevent customer access.; Observation Category=Storage; Origin=CORE; Active=Yes; Remarks=P-2 validated observation chain.</x:v>
      </x:c>
      <x:c r="E334" s="33" t="str">
        <x:v>ADD</x:v>
      </x:c>
      <x:c r="F334" s="33" t="str">
        <x:v>Add observation aligned to the validated audit procedure.</x:v>
      </x:c>
      <x:c r="G334" s="33" t="str">
        <x:v>CDSCO official Drugs Rules / Gazette</x:v>
      </x:c>
      <x:c r="H334" s="33" t="str">
        <x:v>https://cdsco.gov.in/opencms/resources/UploadCDSCOWeb/2022/drug_rules/Drugs%20Rules%2C%201945.pdf</x:v>
      </x:c>
      <x:c r="I334" s="33" t="str">
        <x:v>P-2</x:v>
      </x:c>
      <x:c r="J334" s="33" t="str">
        <x:v>2026-08-20</x:v>
      </x:c>
      <x:c r="K334" s="33" t="str">
        <x:v>New controlled P-2 chain node.</x:v>
      </x:c>
    </x:row>
    <x:row r="335">
      <x:c r="A335" s="33" t="str">
        <x:v>OBS256</x:v>
      </x:c>
      <x:c r="B335" s="33" t="str">
        <x:v>Observation Master</x:v>
      </x:c>
      <x:c r="C335" s="33" t="str">
        <x:v>Not present</x:v>
      </x:c>
      <x:c r="D335" s="33" t="str">
        <x:v>Observation ID=OBS256; Audit ID=AUD527; Observation Template=The premises could not promptly demonstrate compliance during an inspection-readiness test.; Risk Level=High; Recommendation=Close inspection-readiness gaps and maintain current indexed evidence.; Observation Category=Regulatory Filing; Origin=CORE; Active=Yes; Remarks=P-2 validated observation chain.</x:v>
      </x:c>
      <x:c r="E335" s="33" t="str">
        <x:v>ADD</x:v>
      </x:c>
      <x:c r="F335" s="33" t="str">
        <x:v>Add observation aligned to the validated audit procedure.</x:v>
      </x:c>
      <x:c r="G335" s="33" t="str">
        <x:v>CDSCO official Drugs Rules / Gazette</x:v>
      </x:c>
      <x:c r="H335" s="33" t="str">
        <x:v>https://cdsco.gov.in/opencms/resources/UploadCDSCOWeb/2022/drug_rules/Drugs%20Rules%2C%201945.pdf</x:v>
      </x:c>
      <x:c r="I335" s="33" t="str">
        <x:v>P-2</x:v>
      </x:c>
      <x:c r="J335" s="33" t="str">
        <x:v>2026-08-20</x:v>
      </x:c>
      <x:c r="K335" s="33" t="str">
        <x:v>New controlled P-2 chain node.</x:v>
      </x:c>
    </x:row>
    <x:row r="336">
      <x:c r="A336" s="33" t="str">
        <x:v>OBS257</x:v>
      </x:c>
      <x:c r="B336" s="33" t="str">
        <x:v>Observation Master</x:v>
      </x:c>
      <x:c r="C336" s="33" t="str">
        <x:v>Not present</x:v>
      </x:c>
      <x:c r="D336" s="33" t="str">
        <x:v>Observation ID=OBS257; Audit ID=AUD528; Observation Template=Licence display or material staff/constitution details were not current.; Risk Level=High; Recommendation=Update the display and report/regularize the change with the authority.; Observation Category=Licensing; Origin=CORE; Active=Yes; Remarks=P-2 validated observation chain.</x:v>
      </x:c>
      <x:c r="E336" s="33" t="str">
        <x:v>ADD</x:v>
      </x:c>
      <x:c r="F336" s="33" t="str">
        <x:v>Add observation aligned to the validated audit procedure.</x:v>
      </x:c>
      <x:c r="G336" s="33" t="str">
        <x:v>CDSCO official Drugs Rules / Gazette</x:v>
      </x:c>
      <x:c r="H336" s="33" t="str">
        <x:v>https://cdsco.gov.in/opencms/resources/UploadCDSCOWeb/2022/drug_rules/Drugs%20Rules%2C%201945.pdf</x:v>
      </x:c>
      <x:c r="I336" s="33" t="str">
        <x:v>P-2</x:v>
      </x:c>
      <x:c r="J336" s="33" t="str">
        <x:v>2026-08-20</x:v>
      </x:c>
      <x:c r="K336" s="33" t="str">
        <x:v>New controlled P-2 chain node.</x:v>
      </x:c>
    </x:row>
    <x:row r="337">
      <x:c r="A337" s="33" t="str">
        <x:v>OBS258</x:v>
      </x:c>
      <x:c r="B337" s="33" t="str">
        <x:v>Observation Master</x:v>
      </x:c>
      <x:c r="C337" s="33" t="str">
        <x:v>Not present</x:v>
      </x:c>
      <x:c r="D337" s="33" t="str">
        <x:v>Observation ID=OBS258; Audit ID=AUD529; Observation Template=Enforcement/disposal requirements were breached or licence material was misleading/fabricated.; Risk Level=Critical; Recommendation=Cease affected activity, comply with the order and escalate potential Rule 66B debarment exposure.; Observation Category=Licensing; Origin=CORE; Active=Yes; Remarks=P-2 validated observation chain.</x:v>
      </x:c>
      <x:c r="E337" s="33" t="str">
        <x:v>ADD</x:v>
      </x:c>
      <x:c r="F337" s="33" t="str">
        <x:v>Add observation aligned to the validated audit procedure.</x:v>
      </x:c>
      <x:c r="G337" s="33" t="str">
        <x:v>CDSCO official Drugs Rules / Gazette</x:v>
      </x:c>
      <x:c r="H337" s="33" t="str">
        <x:v>https://cdsco.gov.in/opencms/resources/UploadCDSCOWeb/2022/drug_rules/Drugs%20Rules%2C%201945.pdf</x:v>
      </x:c>
      <x:c r="I337" s="33" t="str">
        <x:v>P-2</x:v>
      </x:c>
      <x:c r="J337" s="33" t="str">
        <x:v>2026-08-20</x:v>
      </x:c>
      <x:c r="K337" s="33" t="str">
        <x:v>New controlled P-2 chain node.</x:v>
      </x:c>
    </x:row>
    <x:row r="338">
      <x:c r="A338" s="33" t="str">
        <x:v>OBS259</x:v>
      </x:c>
      <x:c r="B338" s="33" t="str">
        <x:v>Observation Master</x:v>
      </x:c>
      <x:c r="C338" s="33" t="str">
        <x:v>Not present</x:v>
      </x:c>
      <x:c r="D338" s="33" t="str">
        <x:v>Observation ID=OBS259; Audit ID=AUD530; Observation Template=Restricted-licence activity exceeded the drugs or conditions permitted.; Risk Level=High; Recommendation=Remove unauthorized stock/activity or obtain the full licence.; Observation Category=Licensing; Origin=CORE; Active=Yes; Remarks=P-2 validated observation chain.</x:v>
      </x:c>
      <x:c r="E338" s="33" t="str">
        <x:v>ADD</x:v>
      </x:c>
      <x:c r="F338" s="33" t="str">
        <x:v>Add observation aligned to the validated audit procedure.</x:v>
      </x:c>
      <x:c r="G338" s="33" t="str">
        <x:v>CDSCO official Drugs Rules / Gazette</x:v>
      </x:c>
      <x:c r="H338" s="33" t="str">
        <x:v>https://cdsco.gov.in/opencms/resources/UploadCDSCOWeb/2022/drug_rules/Drugs%20Rules%2C%201945.pdf</x:v>
      </x:c>
      <x:c r="I338" s="33" t="str">
        <x:v>P-2</x:v>
      </x:c>
      <x:c r="J338" s="33" t="str">
        <x:v>2026-08-20</x:v>
      </x:c>
      <x:c r="K338" s="33" t="str">
        <x:v>New controlled P-2 chain node.</x:v>
      </x:c>
    </x:row>
    <x:row r="339">
      <x:c r="A339" s="33" t="str">
        <x:v>OBS260</x:v>
      </x:c>
      <x:c r="B339" s="33" t="str">
        <x:v>Observation Master</x:v>
      </x:c>
      <x:c r="C339" s="33" t="str">
        <x:v>Not present</x:v>
      </x:c>
      <x:c r="D339" s="33" t="str">
        <x:v>Observation ID=OBS260; Audit ID=AUD531; Observation Template=Covered motor-vehicle distribution operated without the prescribed licence or conditions.; Risk Level=Critical; Recommendation=Suspend vehicle activity until the correct licence and controls are in place.; Observation Category=Licensing; Origin=CORE; Active=Yes; Remarks=P-2 validated observation chain.</x:v>
      </x:c>
      <x:c r="E339" s="33" t="str">
        <x:v>ADD</x:v>
      </x:c>
      <x:c r="F339" s="33" t="str">
        <x:v>Add observation aligned to the validated audit procedure.</x:v>
      </x:c>
      <x:c r="G339" s="33" t="str">
        <x:v>CDSCO official Drugs Rules / Gazette</x:v>
      </x:c>
      <x:c r="H339" s="33" t="str">
        <x:v>https://cdsco.gov.in/opencms/resources/UploadCDSCOWeb/2022/drug_rules/Drugs%20Rules%2C%201945.pdf</x:v>
      </x:c>
      <x:c r="I339" s="33" t="str">
        <x:v>P-2</x:v>
      </x:c>
      <x:c r="J339" s="33" t="str">
        <x:v>2026-08-20</x:v>
      </x:c>
      <x:c r="K339" s="33" t="str">
        <x:v>New controlled P-2 chain node.</x:v>
      </x:c>
    </x:row>
    <x:row r="340">
      <x:c r="A340" s="33" t="str">
        <x:v>OBS261</x:v>
      </x:c>
      <x:c r="B340" s="33" t="str">
        <x:v>Observation Master</x:v>
      </x:c>
      <x:c r="C340" s="33" t="str">
        <x:v>Not present</x:v>
      </x:c>
      <x:c r="D340" s="33" t="str">
        <x:v>Observation ID=OBS261; Audit ID=AUD532; Observation Template=Homeopathic sale activity lacked the correct location-specific licence or competent-person condition.; Risk Level=Critical; Recommendation=Regularize the licence and competent-person/premises conditions.; Observation Category=Licensing; Origin=CORE; Active=Yes; Remarks=P-2 validated observation chain.</x:v>
      </x:c>
      <x:c r="E340" s="33" t="str">
        <x:v>ADD</x:v>
      </x:c>
      <x:c r="F340" s="33" t="str">
        <x:v>Add observation aligned to the validated audit procedure.</x:v>
      </x:c>
      <x:c r="G340" s="33" t="str">
        <x:v>CDSCO official Drugs Rules / Gazette</x:v>
      </x:c>
      <x:c r="H340" s="33" t="str">
        <x:v>https://cdsco.gov.in/opencms/resources/UploadCDSCOWeb/2022/drug_rules/Drugs%20Rules%2C%201945.pdf</x:v>
      </x:c>
      <x:c r="I340" s="33" t="str">
        <x:v>P-2</x:v>
      </x:c>
      <x:c r="J340" s="33" t="str">
        <x:v>2026-08-20</x:v>
      </x:c>
      <x:c r="K340" s="33" t="str">
        <x:v>New controlled P-2 chain node.</x:v>
      </x:c>
    </x:row>
    <x:row r="341">
      <x:c r="A341" s="33" t="str">
        <x:v>OBS262</x:v>
      </x:c>
      <x:c r="B341" s="33" t="str">
        <x:v>Observation Master</x:v>
      </x:c>
      <x:c r="C341" s="33" t="str">
        <x:v>Not present</x:v>
      </x:c>
      <x:c r="D341" s="33" t="str">
        <x:v>Observation ID=OBS262; Audit ID=AUD533; Observation Template=Rule 67G records or licence conditions were not maintained.; Risk Level=High; Recommendation=Correct the Homeopathic sale records and premises/supervision controls.; Observation Category=Documentation; Origin=CORE; Active=Yes; Remarks=P-2 validated observation chain.</x:v>
      </x:c>
      <x:c r="E341" s="33" t="str">
        <x:v>ADD</x:v>
      </x:c>
      <x:c r="F341" s="33" t="str">
        <x:v>Add observation aligned to the validated audit procedure.</x:v>
      </x:c>
      <x:c r="G341" s="33" t="str">
        <x:v>CDSCO official Drugs Rules / Gazette</x:v>
      </x:c>
      <x:c r="H341" s="33" t="str">
        <x:v>https://cdsco.gov.in/opencms/resources/UploadCDSCOWeb/2022/drug_rules/Drugs%20Rules%2C%201945.pdf</x:v>
      </x:c>
      <x:c r="I341" s="33" t="str">
        <x:v>P-2</x:v>
      </x:c>
      <x:c r="J341" s="33" t="str">
        <x:v>2026-08-20</x:v>
      </x:c>
      <x:c r="K341" s="33" t="str">
        <x:v>New controlled P-2 chain node.</x:v>
      </x:c>
    </x:row>
    <x:row r="342">
      <x:c r="A342" s="33" t="str">
        <x:v>OBS263</x:v>
      </x:c>
      <x:c r="B342" s="33" t="str">
        <x:v>Observation Master</x:v>
      </x:c>
      <x:c r="C342" s="33" t="str">
        <x:v>Not present</x:v>
      </x:c>
      <x:c r="D342" s="33" t="str">
        <x:v>Observation ID=OBS263; Audit ID=AUD534; Observation Template=Homeopathic activity continued contrary to a Rule 67H order.; Risk Level=Critical; Recommendation=Cease activity and complete the order/appeal/corrective-action process.; Observation Category=Licensing; Origin=CORE; Active=Yes; Remarks=P-2 validated observation chain.</x:v>
      </x:c>
      <x:c r="E342" s="33" t="str">
        <x:v>ADD</x:v>
      </x:c>
      <x:c r="F342" s="33" t="str">
        <x:v>Add observation aligned to the validated audit procedure.</x:v>
      </x:c>
      <x:c r="G342" s="33" t="str">
        <x:v>CDSCO official Drugs Rules / Gazette</x:v>
      </x:c>
      <x:c r="H342" s="33" t="str">
        <x:v>https://cdsco.gov.in/opencms/resources/UploadCDSCOWeb/2022/drug_rules/Drugs%20Rules%2C%201945.pdf</x:v>
      </x:c>
      <x:c r="I342" s="33" t="str">
        <x:v>P-2</x:v>
      </x:c>
      <x:c r="J342" s="33" t="str">
        <x:v>2026-08-20</x:v>
      </x:c>
      <x:c r="K342" s="33" t="str">
        <x:v>New controlled P-2 chain node.</x:v>
      </x:c>
    </x:row>
    <x:row r="343">
      <x:c r="A343" s="33" t="str">
        <x:v>OBS264</x:v>
      </x:c>
      <x:c r="B343" s="33" t="str">
        <x:v>Observation Master</x:v>
      </x:c>
      <x:c r="C343" s="33" t="str">
        <x:v>Not present</x:v>
      </x:c>
      <x:c r="D343" s="33" t="str">
        <x:v>Observation ID=OBS264; Audit ID=AUD535; Observation Template=The pharmacy did not maintain applicable Schedule N premises/equipment standards.; Risk Level=High; Recommendation=Restore Schedule N conditions and document verification.; Observation Category=Infrastructure; Origin=CORE; Active=Yes; Remarks=P-2 validated observation chain.</x:v>
      </x:c>
      <x:c r="E343" s="33" t="str">
        <x:v>ADD</x:v>
      </x:c>
      <x:c r="F343" s="33" t="str">
        <x:v>Add observation aligned to the validated audit procedure.</x:v>
      </x:c>
      <x:c r="G343" s="33" t="str">
        <x:v>CDSCO official Drugs Rules / Gazette</x:v>
      </x:c>
      <x:c r="H343" s="33" t="str">
        <x:v>https://cdsco.gov.in/opencms/resources/UploadCDSCOWeb/2022/drug_rules/Drugs%20Rules%2C%201945.pdf</x:v>
      </x:c>
      <x:c r="I343" s="33" t="str">
        <x:v>P-2</x:v>
      </x:c>
      <x:c r="J343" s="33" t="str">
        <x:v>2026-08-20</x:v>
      </x:c>
      <x:c r="K343" s="33" t="str">
        <x:v>New controlled P-2 chain node.</x:v>
      </x:c>
    </x:row>
    <x:row r="344">
      <x:c r="A344" s="33" t="str">
        <x:v>OBS265</x:v>
      </x:c>
      <x:c r="B344" s="33" t="str">
        <x:v>Observation Master</x:v>
      </x:c>
      <x:c r="C344" s="33" t="str">
        <x:v>Not present</x:v>
      </x:c>
      <x:c r="D344" s="33" t="str">
        <x:v>Observation ID=OBS265; Audit ID=AUD536; Observation Template=Institutional scheduled-drug supply lacked a signed written order or two-year retention.; Risk Level=High; Recommendation=Stop non-compliant supply and implement signed-order retention.; Observation Category=Documentation; Origin=CORE; Active=Yes; Remarks=P-2 validated observation chain.</x:v>
      </x:c>
      <x:c r="E344" s="33" t="str">
        <x:v>ADD</x:v>
      </x:c>
      <x:c r="F344" s="33" t="str">
        <x:v>Add observation aligned to the validated audit procedure.</x:v>
      </x:c>
      <x:c r="G344" s="33" t="str">
        <x:v>CDSCO official Drugs Rules / Gazette</x:v>
      </x:c>
      <x:c r="H344" s="33" t="str">
        <x:v>https://cdsco.gov.in/opencms/resources/UploadCDSCOWeb/2022/drug_rules/Drugs%20Rules%2C%201945.pdf</x:v>
      </x:c>
      <x:c r="I344" s="33" t="str">
        <x:v>P-2</x:v>
      </x:c>
      <x:c r="J344" s="33" t="str">
        <x:v>2026-08-20</x:v>
      </x:c>
      <x:c r="K344" s="33" t="str">
        <x:v>New controlled P-2 chain node.</x:v>
      </x:c>
    </x:row>
    <x:row r="345">
      <x:c r="A345" s="33" t="str">
        <x:v>AUD537</x:v>
      </x:c>
      <x:c r="B345" s="33" t="str">
        <x:v>Audit Procedure Master</x:v>
      </x:c>
      <x:c r="C345" s="33" t="str">
        <x:v>Not present</x:v>
      </x:c>
      <x:c r="D345" s="33" t="str">
        <x:v>Audit ID=AUD537; Compliance ID=COMP011; Audit Procedure=Verify the applicable Form 19/19A/19C application, fee evidence and issued licence before the sampled activity commenced.; Audit Method=Document Review; Audit Frequency=Annual; Origin=CORE; Risk Focus=Licensing; Active=Yes; Remarks=P-2 validated audit chain.</x:v>
      </x:c>
      <x:c r="E345" s="33" t="str">
        <x:v>ADD</x:v>
      </x:c>
      <x:c r="F345" s="33" t="str">
        <x:v>Add legally aligned replacement audit procedure.</x:v>
      </x:c>
      <x:c r="G345" s="33" t="str">
        <x:v>CDSCO official Drugs Rules / Gazette</x:v>
      </x:c>
      <x:c r="H345" s="33" t="str">
        <x:v>https://cdsco.gov.in/opencms/resources/UploadCDSCOWeb/2022/drug_rules/Drugs%20Rules%2C%201945.pdf</x:v>
      </x:c>
      <x:c r="I345" s="33" t="str">
        <x:v>P-2</x:v>
      </x:c>
      <x:c r="J345" s="33" t="str">
        <x:v>2026-08-20</x:v>
      </x:c>
      <x:c r="K345" s="33" t="str">
        <x:v>New controlled P-2 chain node.</x:v>
      </x:c>
    </x:row>
    <x:row r="346">
      <x:c r="A346" s="33" t="str">
        <x:v>AUD538</x:v>
      </x:c>
      <x:c r="B346" s="33" t="str">
        <x:v>Audit Procedure Master</x:v>
      </x:c>
      <x:c r="C346" s="33" t="str">
        <x:v>Not present</x:v>
      </x:c>
      <x:c r="D346" s="33" t="str">
        <x:v>Audit ID=AUD538; Compliance ID=COMP012; Audit Procedure=Map sampled products and retail/wholesale activities to the licence form and authorized drug category.; Audit Method=Sampling; Audit Frequency=Quarterly; Origin=CORE; Risk Focus=Licensing; Active=Yes; Remarks=P-2 validated audit chain.</x:v>
      </x:c>
      <x:c r="E346" s="33" t="str">
        <x:v>ADD</x:v>
      </x:c>
      <x:c r="F346" s="33" t="str">
        <x:v>Add legally aligned replacement audit procedure.</x:v>
      </x:c>
      <x:c r="G346" s="33" t="str">
        <x:v>CDSCO official Drugs Rules / Gazette</x:v>
      </x:c>
      <x:c r="H346" s="33" t="str">
        <x:v>https://cdsco.gov.in/opencms/resources/UploadCDSCOWeb/2022/drug_rules/Drugs%20Rules%2C%201945.pdf</x:v>
      </x:c>
      <x:c r="I346" s="33" t="str">
        <x:v>P-2</x:v>
      </x:c>
      <x:c r="J346" s="33" t="str">
        <x:v>2026-08-20</x:v>
      </x:c>
      <x:c r="K346" s="33" t="str">
        <x:v>New controlled P-2 chain node.</x:v>
      </x:c>
    </x:row>
    <x:row r="347">
      <x:c r="A347" s="33" t="str">
        <x:v>AUD539</x:v>
      </x:c>
      <x:c r="B347" s="33" t="str">
        <x:v>Audit Procedure Master</x:v>
      </x:c>
      <x:c r="C347" s="33" t="str">
        <x:v>Not present</x:v>
      </x:c>
      <x:c r="D347" s="33" t="str">
        <x:v>Audit ID=AUD539; Compliance ID=COMP013; Audit Procedure=Inspect licensed area, storage accommodation, competent-person evidence and Schedule N readiness against licence conditions.; Audit Method=Physical Inspection; Audit Frequency=Annual; Origin=CORE; Risk Focus=Storage Controls; Active=Yes; Remarks=P-2 validated audit chain.</x:v>
      </x:c>
      <x:c r="E347" s="33" t="str">
        <x:v>ADD</x:v>
      </x:c>
      <x:c r="F347" s="33" t="str">
        <x:v>Add legally aligned replacement audit procedure.</x:v>
      </x:c>
      <x:c r="G347" s="33" t="str">
        <x:v>CDSCO official Drugs Rules / Gazette</x:v>
      </x:c>
      <x:c r="H347" s="33" t="str">
        <x:v>https://cdsco.gov.in/opencms/resources/UploadCDSCOWeb/2022/drug_rules/Drugs%20Rules%2C%201945.pdf</x:v>
      </x:c>
      <x:c r="I347" s="33" t="str">
        <x:v>P-2</x:v>
      </x:c>
      <x:c r="J347" s="33" t="str">
        <x:v>2026-08-20</x:v>
      </x:c>
      <x:c r="K347" s="33" t="str">
        <x:v>New controlled P-2 chain node.</x:v>
      </x:c>
    </x:row>
    <x:row r="348">
      <x:c r="A348" s="33" t="str">
        <x:v>AUD540</x:v>
      </x:c>
      <x:c r="B348" s="33" t="str">
        <x:v>Audit Procedure Master</x:v>
      </x:c>
      <x:c r="C348" s="33" t="str">
        <x:v>Not present</x:v>
      </x:c>
      <x:c r="D348" s="33" t="str">
        <x:v>Audit ID=AUD540; Compliance ID=COMP014; Audit Procedure=Sample Schedule H/H1/X retail sales and verify each was made on and in accordance with an RMP prescription.; Audit Method=Record Verification; Audit Frequency=Monthly; Origin=CORE; Risk Focus=Prescription Controls; Active=Yes; Remarks=P-2 validated audit chain.</x:v>
      </x:c>
      <x:c r="E348" s="33" t="str">
        <x:v>ADD</x:v>
      </x:c>
      <x:c r="F348" s="33" t="str">
        <x:v>Add legally aligned replacement audit procedure.</x:v>
      </x:c>
      <x:c r="G348" s="33" t="str">
        <x:v>CDSCO official Drugs Rules / Gazette</x:v>
      </x:c>
      <x:c r="H348" s="33" t="str">
        <x:v>https://cdsco.gov.in/opencms/resources/UploadCDSCOWeb/2022/drug_rules/Drugs%20Rules%2C%201945.pdf</x:v>
      </x:c>
      <x:c r="I348" s="33" t="str">
        <x:v>P-2</x:v>
      </x:c>
      <x:c r="J348" s="33" t="str">
        <x:v>2026-08-20</x:v>
      </x:c>
      <x:c r="K348" s="33" t="str">
        <x:v>New controlled P-2 chain node.</x:v>
      </x:c>
    </x:row>
    <x:row r="349">
      <x:c r="A349" s="33" t="str">
        <x:v>AUD541</x:v>
      </x:c>
      <x:c r="B349" s="33" t="str">
        <x:v>Audit Procedure Master</x:v>
      </x:c>
      <x:c r="C349" s="33" t="str">
        <x:v>Not present</x:v>
      </x:c>
      <x:c r="D349" s="33" t="str">
        <x:v>Audit ID=AUD541; Compliance ID=COMP015; Audit Procedure=Observe dispensing and review rosters to confirm registered-pharmacist personal supervision of compounding and prescription supply.; Audit Method=Observation; Audit Frequency=Quarterly; Origin=CORE; Risk Focus=Personnel Competency; Active=Yes; Remarks=P-2 validated audit chain.</x:v>
      </x:c>
      <x:c r="E349" s="33" t="str">
        <x:v>ADD</x:v>
      </x:c>
      <x:c r="F349" s="33" t="str">
        <x:v>Add legally aligned replacement audit procedure.</x:v>
      </x:c>
      <x:c r="G349" s="33" t="str">
        <x:v>CDSCO official Drugs Rules / Gazette</x:v>
      </x:c>
      <x:c r="H349" s="33" t="str">
        <x:v>https://cdsco.gov.in/opencms/resources/UploadCDSCOWeb/2022/drug_rules/Drugs%20Rules%2C%201945.pdf</x:v>
      </x:c>
      <x:c r="I349" s="33" t="str">
        <x:v>P-2</x:v>
      </x:c>
      <x:c r="J349" s="33" t="str">
        <x:v>2026-08-20</x:v>
      </x:c>
      <x:c r="K349" s="33" t="str">
        <x:v>New controlled P-2 chain node.</x:v>
      </x:c>
    </x:row>
    <x:row r="350">
      <x:c r="A350" s="33" t="str">
        <x:v>AUD542</x:v>
      </x:c>
      <x:c r="B350" s="33" t="str">
        <x:v>Audit Procedure Master</x:v>
      </x:c>
      <x:c r="C350" s="33" t="str">
        <x:v>Not present</x:v>
      </x:c>
      <x:c r="D350" s="33" t="str">
        <x:v>Audit ID=AUD542; Compliance ID=COMP016; Audit Procedure=Sample prescription, retail and wholesale records for the particulars, sequencing and purchase-source information required by Rule 65(3)-(5).; Audit Method=Record Verification; Audit Frequency=Quarterly; Origin=CORE; Risk Focus=Recordkeeping; Active=Yes; Remarks=P-2 validated audit chain.</x:v>
      </x:c>
      <x:c r="E350" s="33" t="str">
        <x:v>ADD</x:v>
      </x:c>
      <x:c r="F350" s="33" t="str">
        <x:v>Add legally aligned replacement audit procedure.</x:v>
      </x:c>
      <x:c r="G350" s="33" t="str">
        <x:v>CDSCO official Drugs Rules / Gazette</x:v>
      </x:c>
      <x:c r="H350" s="33" t="str">
        <x:v>https://cdsco.gov.in/opencms/resources/UploadCDSCOWeb/2022/drug_rules/Drugs%20Rules%2C%201945.pdf</x:v>
      </x:c>
      <x:c r="I350" s="33" t="str">
        <x:v>P-2</x:v>
      </x:c>
      <x:c r="J350" s="33" t="str">
        <x:v>2026-08-20</x:v>
      </x:c>
      <x:c r="K350" s="33" t="str">
        <x:v>New controlled P-2 chain node.</x:v>
      </x:c>
    </x:row>
    <x:row r="351">
      <x:c r="A351" s="33" t="str">
        <x:v>AUD543</x:v>
      </x:c>
      <x:c r="B351" s="33" t="str">
        <x:v>Audit Procedure Master</x:v>
      </x:c>
      <x:c r="C351" s="33" t="str">
        <x:v>Not present</x:v>
      </x:c>
      <x:c r="D351" s="33" t="str">
        <x:v>Audit ID=AUD543; Compliance ID=COMP017; Audit Procedure=Test record availability and retention across the Rule 65 matrix, including two-year, three-year and transaction-specific periods.; Audit Method=Record Verification; Audit Frequency=Annual; Origin=CORE; Risk Focus=Recordkeeping; Active=Yes; Remarks=P-2 validated audit chain.</x:v>
      </x:c>
      <x:c r="E351" s="33" t="str">
        <x:v>ADD</x:v>
      </x:c>
      <x:c r="F351" s="33" t="str">
        <x:v>Add legally aligned replacement audit procedure.</x:v>
      </x:c>
      <x:c r="G351" s="33" t="str">
        <x:v>CDSCO official Drugs Rules / Gazette</x:v>
      </x:c>
      <x:c r="H351" s="33" t="str">
        <x:v>https://cdsco.gov.in/opencms/resources/UploadCDSCOWeb/2022/drug_rules/Drugs%20Rules%2C%201945.pdf</x:v>
      </x:c>
      <x:c r="I351" s="33" t="str">
        <x:v>P-2</x:v>
      </x:c>
      <x:c r="J351" s="33" t="str">
        <x:v>2026-08-20</x:v>
      </x:c>
      <x:c r="K351" s="33" t="str">
        <x:v>New controlled P-2 chain node.</x:v>
      </x:c>
    </x:row>
    <x:row r="352">
      <x:c r="A352" s="33" t="str">
        <x:v>AUD544</x:v>
      </x:c>
      <x:c r="B352" s="33" t="str">
        <x:v>Audit Procedure Master</x:v>
      </x:c>
      <x:c r="C352" s="33" t="str">
        <x:v>Not present</x:v>
      </x:c>
      <x:c r="D352" s="33" t="str">
        <x:v>Audit ID=AUD544; Compliance ID=COMP018; Audit Procedure=Inspect samples of Schedule G/H/H1/X packs for the applicable Rule 97 symbol and warning/caution.; Audit Method=Sampling; Audit Frequency=Quarterly; Origin=CORE; Risk Focus=General Compliance; Active=Yes; Remarks=P-2 validated audit chain.</x:v>
      </x:c>
      <x:c r="E352" s="33" t="str">
        <x:v>ADD</x:v>
      </x:c>
      <x:c r="F352" s="33" t="str">
        <x:v>Add legally aligned replacement audit procedure.</x:v>
      </x:c>
      <x:c r="G352" s="33" t="str">
        <x:v>CDSCO official Drugs Rules / Gazette</x:v>
      </x:c>
      <x:c r="H352" s="33" t="str">
        <x:v>https://cdsco.gov.in/opencms/resources/UploadCDSCOWeb/2022/drug_rules/Drugs%20Rules%2C%201945.pdf</x:v>
      </x:c>
      <x:c r="I352" s="33" t="str">
        <x:v>P-2</x:v>
      </x:c>
      <x:c r="J352" s="33" t="str">
        <x:v>2026-08-20</x:v>
      </x:c>
      <x:c r="K352" s="33" t="str">
        <x:v>New controlled P-2 chain node.</x:v>
      </x:c>
    </x:row>
    <x:row r="353">
      <x:c r="A353" s="33" t="str">
        <x:v>AUD545</x:v>
      </x:c>
      <x:c r="B353" s="33" t="str">
        <x:v>Audit Procedure Master</x:v>
      </x:c>
      <x:c r="C353" s="33" t="str">
        <x:v>Not present</x:v>
      </x:c>
      <x:c r="D353" s="33" t="str">
        <x:v>Audit ID=AUD545; Compliance ID=COMP019; Audit Procedure=Inspect sampled stock and invoices to confirm no unlabelled or non-compliantly labelled drug was sold or distributed.; Audit Method=Sampling; Audit Frequency=Quarterly; Origin=CORE; Risk Focus=General Compliance; Active=Yes; Remarks=P-2 validated audit chain.</x:v>
      </x:c>
      <x:c r="E353" s="33" t="str">
        <x:v>ADD</x:v>
      </x:c>
      <x:c r="F353" s="33" t="str">
        <x:v>Add legally aligned replacement audit procedure.</x:v>
      </x:c>
      <x:c r="G353" s="33" t="str">
        <x:v>CDSCO official Drugs Rules / Gazette</x:v>
      </x:c>
      <x:c r="H353" s="33" t="str">
        <x:v>https://cdsco.gov.in/opencms/resources/UploadCDSCOWeb/2022/drug_rules/Drugs%20Rules%2C%201945.pdf</x:v>
      </x:c>
      <x:c r="I353" s="33" t="str">
        <x:v>P-2</x:v>
      </x:c>
      <x:c r="J353" s="33" t="str">
        <x:v>2026-08-20</x:v>
      </x:c>
      <x:c r="K353" s="33" t="str">
        <x:v>New controlled P-2 chain node.</x:v>
      </x:c>
    </x:row>
    <x:row r="354">
      <x:c r="A354" s="33" t="str">
        <x:v>AUD546</x:v>
      </x:c>
      <x:c r="B354" s="33" t="str">
        <x:v>Audit Procedure Master</x:v>
      </x:c>
      <x:c r="C354" s="33" t="str">
        <x:v>Not present</x:v>
      </x:c>
      <x:c r="D354" s="33" t="str">
        <x:v>Audit ID=AUD546; Compliance ID=COMP020; Audit Procedure=Review Schedule H prescriptions for repeat authorization, interval compliance, seller/date annotation and absence of substitution.; Audit Method=Document Review; Audit Frequency=Monthly; Origin=CORE; Risk Focus=Prescription Controls; Active=Yes; Remarks=P-2 validated audit chain.</x:v>
      </x:c>
      <x:c r="E354" s="33" t="str">
        <x:v>ADD</x:v>
      </x:c>
      <x:c r="F354" s="33" t="str">
        <x:v>Add legally aligned replacement audit procedure.</x:v>
      </x:c>
      <x:c r="G354" s="33" t="str">
        <x:v>CDSCO official Drugs Rules / Gazette</x:v>
      </x:c>
      <x:c r="H354" s="33" t="str">
        <x:v>https://cdsco.gov.in/opencms/resources/UploadCDSCOWeb/2022/drug_rules/Drugs%20Rules%2C%201945.pdf</x:v>
      </x:c>
      <x:c r="I354" s="33" t="str">
        <x:v>P-2</x:v>
      </x:c>
      <x:c r="J354" s="33" t="str">
        <x:v>2026-08-20</x:v>
      </x:c>
      <x:c r="K354" s="33" t="str">
        <x:v>New controlled P-2 chain node.</x:v>
      </x:c>
    </x:row>
    <x:row r="355">
      <x:c r="A355" s="33" t="str">
        <x:v>AUD547</x:v>
      </x:c>
      <x:c r="B355" s="33" t="str">
        <x:v>Audit Procedure Master</x:v>
      </x:c>
      <x:c r="C355" s="33" t="str">
        <x:v>Not present</x:v>
      </x:c>
      <x:c r="D355" s="33" t="str">
        <x:v>Audit ID=AUD547; Compliance ID=COMP021; Audit Procedure=Match H1 stock items to the current Schedule H1 classification and trace each sampled sale to prescription and special-register entry.; Audit Method=Reconciliation; Audit Frequency=Monthly; Origin=CORE; Risk Focus=Controlled Drugs; Active=Yes; Remarks=P-2 validated audit chain.</x:v>
      </x:c>
      <x:c r="E355" s="33" t="str">
        <x:v>ADD</x:v>
      </x:c>
      <x:c r="F355" s="33" t="str">
        <x:v>Add legally aligned replacement audit procedure.</x:v>
      </x:c>
      <x:c r="G355" s="33" t="str">
        <x:v>CDSCO official Drugs Rules / Gazette</x:v>
      </x:c>
      <x:c r="H355" s="33" t="str">
        <x:v>https://cdsco.gov.in/opencms/resources/UploadCDSCOWeb/2022/drug_rules/Drugs%20Rules%2C%201945.pdf</x:v>
      </x:c>
      <x:c r="I355" s="33" t="str">
        <x:v>P-2</x:v>
      </x:c>
      <x:c r="J355" s="33" t="str">
        <x:v>2026-08-20</x:v>
      </x:c>
      <x:c r="K355" s="33" t="str">
        <x:v>New controlled P-2 chain node.</x:v>
      </x:c>
    </x:row>
    <x:row r="356">
      <x:c r="A356" s="33" t="str">
        <x:v>AUD548</x:v>
      </x:c>
      <x:c r="B356" s="33" t="str">
        <x:v>Audit Procedure Master</x:v>
      </x:c>
      <x:c r="C356" s="33" t="str">
        <x:v>Not present</x:v>
      </x:c>
      <x:c r="D356" s="33" t="str">
        <x:v>Audit ID=AUD548; Compliance ID=COMP022; Audit Procedure=Sample Schedule X sales for duplicate prescriptions, retained copy and two-year preservation.; Audit Method=Record Verification; Audit Frequency=Quarterly; Origin=CORE; Risk Focus=Controlled Drugs; Active=Yes; Remarks=P-2 validated audit chain.</x:v>
      </x:c>
      <x:c r="E356" s="33" t="str">
        <x:v>ADD</x:v>
      </x:c>
      <x:c r="F356" s="33" t="str">
        <x:v>Add legally aligned replacement audit procedure.</x:v>
      </x:c>
      <x:c r="G356" s="33" t="str">
        <x:v>CDSCO official Drugs Rules / Gazette</x:v>
      </x:c>
      <x:c r="H356" s="33" t="str">
        <x:v>https://cdsco.gov.in/opencms/resources/UploadCDSCOWeb/2022/drug_rules/Drugs%20Rules%2C%201945.pdf</x:v>
      </x:c>
      <x:c r="I356" s="33" t="str">
        <x:v>P-2</x:v>
      </x:c>
      <x:c r="J356" s="33" t="str">
        <x:v>2026-08-20</x:v>
      </x:c>
      <x:c r="K356" s="33" t="str">
        <x:v>New controlled P-2 chain node.</x:v>
      </x:c>
    </x:row>
    <x:row r="357">
      <x:c r="A357" s="33" t="str">
        <x:v>AUD549</x:v>
      </x:c>
      <x:c r="B357" s="33" t="str">
        <x:v>Audit Procedure Master</x:v>
      </x:c>
      <x:c r="C357" s="33" t="str">
        <x:v>Not present</x:v>
      </x:c>
      <x:c r="D357" s="33" t="str">
        <x:v>Audit ID=AUD549; Compliance ID=COMP023; Audit Procedure=Inspect Schedule G stock for the prescribed medical-supervision caution before sale.; Audit Method=Physical Inspection; Audit Frequency=Quarterly; Origin=CORE; Risk Focus=General Compliance; Active=Yes; Remarks=P-2 validated audit chain.</x:v>
      </x:c>
      <x:c r="E357" s="33" t="str">
        <x:v>ADD</x:v>
      </x:c>
      <x:c r="F357" s="33" t="str">
        <x:v>Add legally aligned replacement audit procedure.</x:v>
      </x:c>
      <x:c r="G357" s="33" t="str">
        <x:v>CDSCO official Drugs Rules / Gazette</x:v>
      </x:c>
      <x:c r="H357" s="33" t="str">
        <x:v>https://cdsco.gov.in/opencms/resources/UploadCDSCOWeb/2022/drug_rules/Drugs%20Rules%2C%201945.pdf</x:v>
      </x:c>
      <x:c r="I357" s="33" t="str">
        <x:v>P-2</x:v>
      </x:c>
      <x:c r="J357" s="33" t="str">
        <x:v>2026-08-20</x:v>
      </x:c>
      <x:c r="K357" s="33" t="str">
        <x:v>New controlled P-2 chain node.</x:v>
      </x:c>
    </x:row>
    <x:row r="358">
      <x:c r="A358" s="33" t="str">
        <x:v>AUD550</x:v>
      </x:c>
      <x:c r="B358" s="33" t="str">
        <x:v>Audit Procedure Master</x:v>
      </x:c>
      <x:c r="C358" s="33" t="str">
        <x:v>Not present</x:v>
      </x:c>
      <x:c r="D358" s="33" t="str">
        <x:v>Audit ID=AUD550; Compliance ID=COMP024; Audit Procedure=For every relied-upon Schedule K exemption, verify the exact class, exempted provisions and conditions against the current schedule.; Audit Method=Document Review; Audit Frequency=Annual; Origin=CORE; Risk Focus=Licensing; Active=Yes; Remarks=P-2 validated audit chain.</x:v>
      </x:c>
      <x:c r="E358" s="33" t="str">
        <x:v>ADD</x:v>
      </x:c>
      <x:c r="F358" s="33" t="str">
        <x:v>Add legally aligned replacement audit procedure.</x:v>
      </x:c>
      <x:c r="G358" s="33" t="str">
        <x:v>CDSCO official Drugs Rules / Gazette</x:v>
      </x:c>
      <x:c r="H358" s="33" t="str">
        <x:v>https://cdsco.gov.in/opencms/resources/UploadCDSCOWeb/2022/drug_rules/Drugs%20Rules%2C%201945.pdf</x:v>
      </x:c>
      <x:c r="I358" s="33" t="str">
        <x:v>P-2</x:v>
      </x:c>
      <x:c r="J358" s="33" t="str">
        <x:v>2026-08-20</x:v>
      </x:c>
      <x:c r="K358" s="33" t="str">
        <x:v>New controlled P-2 chain node.</x:v>
      </x:c>
    </x:row>
    <x:row r="359">
      <x:c r="A359" s="33" t="str">
        <x:v>AUD551</x:v>
      </x:c>
      <x:c r="B359" s="33" t="str">
        <x:v>Audit Procedure Master</x:v>
      </x:c>
      <x:c r="C359" s="33" t="str">
        <x:v>Not present</x:v>
      </x:c>
      <x:c r="D359" s="33" t="str">
        <x:v>Audit ID=AUD551; Compliance ID=COMP025; Audit Procedure=For sampled Schedule H2 receipts, verify the required barcode/QR label is present and readable and record supplier escalation for defects.; Audit Method=Sampling; Audit Frequency=Quarterly; Origin=CORE; Risk Focus=Procurement Controls; Active=Yes; Remarks=P-2 validated audit chain.</x:v>
      </x:c>
      <x:c r="E359" s="33" t="str">
        <x:v>ADD</x:v>
      </x:c>
      <x:c r="F359" s="33" t="str">
        <x:v>Add legally aligned replacement audit procedure.</x:v>
      </x:c>
      <x:c r="G359" s="33" t="str">
        <x:v>CDSCO official Drugs Rules / Gazette</x:v>
      </x:c>
      <x:c r="H359" s="33" t="str">
        <x:v>https://cdsco.gov.in/opencms/resources/UploadCDSCOWeb/2022/drug_rules/Drugs%20Rules%2C%201945.pdf</x:v>
      </x:c>
      <x:c r="I359" s="33" t="str">
        <x:v>P-2</x:v>
      </x:c>
      <x:c r="J359" s="33" t="str">
        <x:v>2026-08-20</x:v>
      </x:c>
      <x:c r="K359" s="33" t="str">
        <x:v>New controlled P-2 chain node.</x:v>
      </x:c>
    </x:row>
    <x:row r="360">
      <x:c r="A360" s="33" t="str">
        <x:v>AUD552</x:v>
      </x:c>
      <x:c r="B360" s="33" t="str">
        <x:v>Audit Procedure Master</x:v>
      </x:c>
      <x:c r="C360" s="33" t="str">
        <x:v>Not present</x:v>
      </x:c>
      <x:c r="D360" s="33" t="str">
        <x:v>Audit ID=AUD552; Compliance ID=COMP111; Audit Procedure=Compare all operating/storage locations with the licence register and verify a separate licence for each place.; Audit Method=Reconciliation; Audit Frequency=Annual; Origin=CORE; Risk Focus=Licensing; Active=Yes; Remarks=P-2 validated audit chain.</x:v>
      </x:c>
      <x:c r="E360" s="33" t="str">
        <x:v>ADD</x:v>
      </x:c>
      <x:c r="F360" s="33" t="str">
        <x:v>Add legally aligned replacement audit procedure.</x:v>
      </x:c>
      <x:c r="G360" s="33" t="str">
        <x:v>CDSCO official Drugs Rules / Gazette</x:v>
      </x:c>
      <x:c r="H360" s="33" t="str">
        <x:v>https://cdsco.gov.in/opencms/resources/UploadCDSCOWeb/2022/drug_rules/Drugs%20Rules%2C%201945.pdf</x:v>
      </x:c>
      <x:c r="I360" s="33" t="str">
        <x:v>P-2</x:v>
      </x:c>
      <x:c r="J360" s="33" t="str">
        <x:v>2026-08-20</x:v>
      </x:c>
      <x:c r="K360" s="33" t="str">
        <x:v>New controlled P-2 chain node.</x:v>
      </x:c>
    </x:row>
    <x:row r="361">
      <x:c r="A361" s="33" t="str">
        <x:v>AUD553</x:v>
      </x:c>
      <x:c r="B361" s="33" t="str">
        <x:v>Audit Procedure Master</x:v>
      </x:c>
      <x:c r="C361" s="33" t="str">
        <x:v>Not present</x:v>
      </x:c>
      <x:c r="D361" s="33" t="str">
        <x:v>Audit ID=AUD553; Compliance ID=COMP112; Audit Procedure=Recalculate the five-year licence-retention due date and verify timely fee payment or valid late-fee treatment.; Audit Method=Reconciliation; Audit Frequency=Annual; Origin=CORE; Risk Focus=Licensing; Active=Yes; Remarks=P-2 validated audit chain.</x:v>
      </x:c>
      <x:c r="E361" s="33" t="str">
        <x:v>ADD</x:v>
      </x:c>
      <x:c r="F361" s="33" t="str">
        <x:v>Add legally aligned replacement audit procedure.</x:v>
      </x:c>
      <x:c r="G361" s="33" t="str">
        <x:v>CDSCO official Drugs Rules / Gazette</x:v>
      </x:c>
      <x:c r="H361" s="33" t="str">
        <x:v>https://cdsco.gov.in/opencms/resources/UploadCDSCOWeb/2022/drug_rules/Drugs%20Rules%2C%201945.pdf</x:v>
      </x:c>
      <x:c r="I361" s="33" t="str">
        <x:v>P-2</x:v>
      </x:c>
      <x:c r="J361" s="33" t="str">
        <x:v>2026-08-20</x:v>
      </x:c>
      <x:c r="K361" s="33" t="str">
        <x:v>New controlled P-2 chain node.</x:v>
      </x:c>
    </x:row>
    <x:row r="362">
      <x:c r="A362" s="33" t="str">
        <x:v>AUD554</x:v>
      </x:c>
      <x:c r="B362" s="33" t="str">
        <x:v>Audit Procedure Master</x:v>
      </x:c>
      <x:c r="C362" s="33" t="str">
        <x:v>Not present</x:v>
      </x:c>
      <x:c r="D362" s="33" t="str">
        <x:v>Audit ID=AUD554; Compliance ID=COMP113; Audit Procedure=Review licensing-authority demands and verify complete, accurate ownership/occupation/constitution evidence was furnished.; Audit Method=Document Review; Audit Frequency=Event Based; Origin=CORE; Risk Focus=Licensing; Active=Yes; Remarks=P-2 validated audit chain.</x:v>
      </x:c>
      <x:c r="E362" s="33" t="str">
        <x:v>ADD</x:v>
      </x:c>
      <x:c r="F362" s="33" t="str">
        <x:v>Add legally aligned replacement audit procedure.</x:v>
      </x:c>
      <x:c r="G362" s="33" t="str">
        <x:v>CDSCO official Drugs Rules / Gazette</x:v>
      </x:c>
      <x:c r="H362" s="33" t="str">
        <x:v>https://cdsco.gov.in/opencms/resources/UploadCDSCOWeb/2022/drug_rules/Drugs%20Rules%2C%201945.pdf</x:v>
      </x:c>
      <x:c r="I362" s="33" t="str">
        <x:v>P-2</x:v>
      </x:c>
      <x:c r="J362" s="33" t="str">
        <x:v>2026-08-20</x:v>
      </x:c>
      <x:c r="K362" s="33" t="str">
        <x:v>New controlled P-2 chain node.</x:v>
      </x:c>
    </x:row>
    <x:row r="363">
      <x:c r="A363" s="33" t="str">
        <x:v>AUD555</x:v>
      </x:c>
      <x:c r="B363" s="33" t="str">
        <x:v>Audit Procedure Master</x:v>
      </x:c>
      <x:c r="C363" s="33" t="str">
        <x:v>Not present</x:v>
      </x:c>
      <x:c r="D363" s="33" t="str">
        <x:v>Audit ID=AUD555; Compliance ID=COMP114; Audit Procedure=Sample H1 transactions for complete separate-register entries, three-year retention and inspection availability.; Audit Method=Record Verification; Audit Frequency=Monthly; Origin=CORE; Risk Focus=Controlled Drugs; Active=Yes; Remarks=P-2 validated audit chain.</x:v>
      </x:c>
      <x:c r="E363" s="33" t="str">
        <x:v>ADD</x:v>
      </x:c>
      <x:c r="F363" s="33" t="str">
        <x:v>Add legally aligned replacement audit procedure.</x:v>
      </x:c>
      <x:c r="G363" s="33" t="str">
        <x:v>CDSCO official Drugs Rules / Gazette</x:v>
      </x:c>
      <x:c r="H363" s="33" t="str">
        <x:v>https://cdsco.gov.in/opencms/resources/UploadCDSCOWeb/2022/drug_rules/Drugs%20Rules%2C%201945.pdf</x:v>
      </x:c>
      <x:c r="I363" s="33" t="str">
        <x:v>P-2</x:v>
      </x:c>
      <x:c r="J363" s="33" t="str">
        <x:v>2026-08-20</x:v>
      </x:c>
      <x:c r="K363" s="33" t="str">
        <x:v>New controlled P-2 chain node.</x:v>
      </x:c>
    </x:row>
    <x:row r="364">
      <x:c r="A364" s="33" t="str">
        <x:v>AUD556</x:v>
      </x:c>
      <x:c r="B364" s="33" t="str">
        <x:v>Audit Procedure Master</x:v>
      </x:c>
      <x:c r="C364" s="33" t="str">
        <x:v>Not present</x:v>
      </x:c>
      <x:c r="D364" s="33" t="str">
        <x:v>Audit ID=AUD556; Compliance ID=COMP115; Audit Procedure=Sample wholesale sales and verify carbon copies of cash/credit memos are preserved for three years from sale.; Audit Method=Record Verification; Audit Frequency=Quarterly; Origin=CORE; Risk Focus=Recordkeeping; Active=Yes; Remarks=P-2 validated audit chain.</x:v>
      </x:c>
      <x:c r="E364" s="33" t="str">
        <x:v>ADD</x:v>
      </x:c>
      <x:c r="F364" s="33" t="str">
        <x:v>Add legally aligned replacement audit procedure.</x:v>
      </x:c>
      <x:c r="G364" s="33" t="str">
        <x:v>CDSCO official Drugs Rules / Gazette</x:v>
      </x:c>
      <x:c r="H364" s="33" t="str">
        <x:v>https://cdsco.gov.in/opencms/resources/UploadCDSCOWeb/2022/drug_rules/Drugs%20Rules%2C%201945.pdf</x:v>
      </x:c>
      <x:c r="I364" s="33" t="str">
        <x:v>P-2</x:v>
      </x:c>
      <x:c r="J364" s="33" t="str">
        <x:v>2026-08-20</x:v>
      </x:c>
      <x:c r="K364" s="33" t="str">
        <x:v>New controlled P-2 chain node.</x:v>
      </x:c>
    </x:row>
    <x:row r="365">
      <x:c r="A365" s="33" t="str">
        <x:v>AUD557</x:v>
      </x:c>
      <x:c r="B365" s="33" t="str">
        <x:v>Audit Procedure Master</x:v>
      </x:c>
      <x:c r="C365" s="33" t="str">
        <x:v>Not present</x:v>
      </x:c>
      <x:c r="D365" s="33" t="str">
        <x:v>Audit ID=AUD557; Compliance ID=COMP116; Audit Procedure=Reconcile H1/X statutory records to inventory movements and investigate unusual patterns as a documented internal control.; Audit Method=Reconciliation; Audit Frequency=Monthly; Origin=CORE; Risk Focus=Inventory Controls; Active=Yes; Remarks=P-2 validated audit chain.</x:v>
      </x:c>
      <x:c r="E365" s="33" t="str">
        <x:v>ADD</x:v>
      </x:c>
      <x:c r="F365" s="33" t="str">
        <x:v>Add legally aligned replacement audit procedure.</x:v>
      </x:c>
      <x:c r="G365" s="33" t="str">
        <x:v>CDSCO official Drugs Rules / Gazette</x:v>
      </x:c>
      <x:c r="H365" s="33" t="str">
        <x:v>https://cdsco.gov.in/opencms/resources/UploadCDSCOWeb/2022/drug_rules/Drugs%20Rules%2C%201945.pdf</x:v>
      </x:c>
      <x:c r="I365" s="33" t="str">
        <x:v>P-2</x:v>
      </x:c>
      <x:c r="J365" s="33" t="str">
        <x:v>2026-08-20</x:v>
      </x:c>
      <x:c r="K365" s="33" t="str">
        <x:v>New controlled P-2 chain node.</x:v>
      </x:c>
    </x:row>
    <x:row r="366">
      <x:c r="A366" s="33" t="str">
        <x:v>AUD558</x:v>
      </x:c>
      <x:c r="B366" s="33" t="str">
        <x:v>Audit Procedure Master</x:v>
      </x:c>
      <x:c r="C366" s="33" t="str">
        <x:v>Not present</x:v>
      </x:c>
      <x:c r="D366" s="33" t="str">
        <x:v>Audit ID=AUD558; Compliance ID=COMP117; Audit Procedure=Physically inspect Schedule X storage for dedicated lock/key or separated responsible-person-only access.; Audit Method=Physical Inspection; Audit Frequency=Monthly; Origin=CORE; Risk Focus=Storage Controls; Active=Yes; Remarks=P-2 validated audit chain.</x:v>
      </x:c>
      <x:c r="E366" s="33" t="str">
        <x:v>ADD</x:v>
      </x:c>
      <x:c r="F366" s="33" t="str">
        <x:v>Add legally aligned replacement audit procedure.</x:v>
      </x:c>
      <x:c r="G366" s="33" t="str">
        <x:v>CDSCO official Drugs Rules / Gazette</x:v>
      </x:c>
      <x:c r="H366" s="33" t="str">
        <x:v>https://cdsco.gov.in/opencms/resources/UploadCDSCOWeb/2022/drug_rules/Drugs%20Rules%2C%201945.pdf</x:v>
      </x:c>
      <x:c r="I366" s="33" t="str">
        <x:v>P-2</x:v>
      </x:c>
      <x:c r="J366" s="33" t="str">
        <x:v>2026-08-20</x:v>
      </x:c>
      <x:c r="K366" s="33" t="str">
        <x:v>New controlled P-2 chain node.</x:v>
      </x:c>
    </x:row>
    <x:row r="367">
      <x:c r="A367" s="33" t="str">
        <x:v>AUD559</x:v>
      </x:c>
      <x:c r="B367" s="33" t="str">
        <x:v>Audit Procedure Master</x:v>
      </x:c>
      <x:c r="C367" s="33" t="str">
        <x:v>Not present</x:v>
      </x:c>
      <x:c r="D367" s="33" t="str">
        <x:v>Audit ID=AUD559; Compliance ID=COMP118; Audit Procedure=Inspect the Schedule X register for binding, page numbering, separate drug pages and all Rule 65(21) particulars.; Audit Method=Record Verification; Audit Frequency=Monthly; Origin=CORE; Risk Focus=Controlled Drugs; Active=Yes; Remarks=P-2 validated audit chain.</x:v>
      </x:c>
      <x:c r="E367" s="33" t="str">
        <x:v>ADD</x:v>
      </x:c>
      <x:c r="F367" s="33" t="str">
        <x:v>Add legally aligned replacement audit procedure.</x:v>
      </x:c>
      <x:c r="G367" s="33" t="str">
        <x:v>CDSCO official Drugs Rules / Gazette</x:v>
      </x:c>
      <x:c r="H367" s="33" t="str">
        <x:v>https://cdsco.gov.in/opencms/resources/UploadCDSCOWeb/2022/drug_rules/Drugs%20Rules%2C%201945.pdf</x:v>
      </x:c>
      <x:c r="I367" s="33" t="str">
        <x:v>P-2</x:v>
      </x:c>
      <x:c r="J367" s="33" t="str">
        <x:v>2026-08-20</x:v>
      </x:c>
      <x:c r="K367" s="33" t="str">
        <x:v>New controlled P-2 chain node.</x:v>
      </x:c>
    </x:row>
    <x:row r="368">
      <x:c r="A368" s="33" t="str">
        <x:v>AUD560</x:v>
      </x:c>
      <x:c r="B368" s="33" t="str">
        <x:v>Audit Procedure Master</x:v>
      </x:c>
      <x:c r="C368" s="33" t="str">
        <x:v>Not present</x:v>
      </x:c>
      <x:c r="D368" s="33" t="str">
        <x:v>Audit ID=AUD560; Compliance ID=COMP119; Audit Procedure=Sample H/H1/X prescriptions for Rule 65(10) particulars, repeat directions, seller/date annotation and no substitution.; Audit Method=Document Review; Audit Frequency=Monthly; Origin=CORE; Risk Focus=Prescription Controls; Active=Yes; Remarks=P-2 validated audit chain.</x:v>
      </x:c>
      <x:c r="E368" s="33" t="str">
        <x:v>ADD</x:v>
      </x:c>
      <x:c r="F368" s="33" t="str">
        <x:v>Add legally aligned replacement audit procedure.</x:v>
      </x:c>
      <x:c r="G368" s="33" t="str">
        <x:v>CDSCO official Drugs Rules / Gazette</x:v>
      </x:c>
      <x:c r="H368" s="33" t="str">
        <x:v>https://cdsco.gov.in/opencms/resources/UploadCDSCOWeb/2022/drug_rules/Drugs%20Rules%2C%201945.pdf</x:v>
      </x:c>
      <x:c r="I368" s="33" t="str">
        <x:v>P-2</x:v>
      </x:c>
      <x:c r="J368" s="33" t="str">
        <x:v>2026-08-20</x:v>
      </x:c>
      <x:c r="K368" s="33" t="str">
        <x:v>New controlled P-2 chain node.</x:v>
      </x:c>
    </x:row>
    <x:row r="369">
      <x:c r="A369" s="33" t="str">
        <x:v>EVD586</x:v>
      </x:c>
      <x:c r="B369" s="33" t="str">
        <x:v>Evidence Master</x:v>
      </x:c>
      <x:c r="C369" s="33" t="str">
        <x:v>Not present</x:v>
      </x:c>
      <x:c r="D369" s="33" t="str">
        <x:v>Evidence ID=EVD586; Audit ID=AUD537; Evidence Required=Sale-licence application, fee receipt and issued licence; Evidence Type=Document; Mandatory=Yes; Retention Category=Statutory; Origin=CORE; Active=Yes; Remarks=P-2 validated evidence chain.</x:v>
      </x:c>
      <x:c r="E369" s="33" t="str">
        <x:v>ADD</x:v>
      </x:c>
      <x:c r="F369" s="33" t="str">
        <x:v>Add evidence aligned to the validated audit procedure.</x:v>
      </x:c>
      <x:c r="G369" s="33" t="str">
        <x:v>CDSCO official Drugs Rules / Gazette</x:v>
      </x:c>
      <x:c r="H369" s="33" t="str">
        <x:v>https://cdsco.gov.in/opencms/resources/UploadCDSCOWeb/2022/drug_rules/Drugs%20Rules%2C%201945.pdf</x:v>
      </x:c>
      <x:c r="I369" s="33" t="str">
        <x:v>P-2</x:v>
      </x:c>
      <x:c r="J369" s="33" t="str">
        <x:v>2026-08-20</x:v>
      </x:c>
      <x:c r="K369" s="33" t="str">
        <x:v>New controlled P-2 chain node.</x:v>
      </x:c>
    </x:row>
    <x:row r="370">
      <x:c r="A370" s="33" t="str">
        <x:v>EVD587</x:v>
      </x:c>
      <x:c r="B370" s="33" t="str">
        <x:v>Evidence Master</x:v>
      </x:c>
      <x:c r="C370" s="33" t="str">
        <x:v>Not present</x:v>
      </x:c>
      <x:c r="D370" s="33" t="str">
        <x:v>Evidence ID=EVD587; Audit ID=AUD538; Evidence Required=Current Forms 20/20B/20F/20G/21/21B and product-category mapping; Evidence Type=License; Mandatory=Yes; Retention Category=Permanent; Origin=CORE; Active=Yes; Remarks=P-2 validated evidence chain.</x:v>
      </x:c>
      <x:c r="E370" s="33" t="str">
        <x:v>ADD</x:v>
      </x:c>
      <x:c r="F370" s="33" t="str">
        <x:v>Add evidence aligned to the validated audit procedure.</x:v>
      </x:c>
      <x:c r="G370" s="33" t="str">
        <x:v>CDSCO official Drugs Rules / Gazette</x:v>
      </x:c>
      <x:c r="H370" s="33" t="str">
        <x:v>https://cdsco.gov.in/opencms/resources/UploadCDSCOWeb/2022/drug_rules/Drugs%20Rules%2C%201945.pdf</x:v>
      </x:c>
      <x:c r="I370" s="33" t="str">
        <x:v>P-2</x:v>
      </x:c>
      <x:c r="J370" s="33" t="str">
        <x:v>2026-08-20</x:v>
      </x:c>
      <x:c r="K370" s="33" t="str">
        <x:v>New controlled P-2 chain node.</x:v>
      </x:c>
    </x:row>
    <x:row r="371">
      <x:c r="A371" s="33" t="str">
        <x:v>EVD588</x:v>
      </x:c>
      <x:c r="B371" s="33" t="str">
        <x:v>Evidence Master</x:v>
      </x:c>
      <x:c r="C371" s="33" t="str">
        <x:v>Not present</x:v>
      </x:c>
      <x:c r="D371" s="33" t="str">
        <x:v>Evidence ID=EVD588; Audit ID=AUD539; Evidence Required=Approved layout, staff credentials and premises/storage inspection checklist; Evidence Type=Inspection Report; Mandatory=Yes; Retention Category=Statutory; Origin=CORE; Active=Yes; Remarks=P-2 validated evidence chain.</x:v>
      </x:c>
      <x:c r="E371" s="33" t="str">
        <x:v>ADD</x:v>
      </x:c>
      <x:c r="F371" s="33" t="str">
        <x:v>Add evidence aligned to the validated audit procedure.</x:v>
      </x:c>
      <x:c r="G371" s="33" t="str">
        <x:v>CDSCO official Drugs Rules / Gazette</x:v>
      </x:c>
      <x:c r="H371" s="33" t="str">
        <x:v>https://cdsco.gov.in/opencms/resources/UploadCDSCOWeb/2022/drug_rules/Drugs%20Rules%2C%201945.pdf</x:v>
      </x:c>
      <x:c r="I371" s="33" t="str">
        <x:v>P-2</x:v>
      </x:c>
      <x:c r="J371" s="33" t="str">
        <x:v>2026-08-20</x:v>
      </x:c>
      <x:c r="K371" s="33" t="str">
        <x:v>New controlled P-2 chain node.</x:v>
      </x:c>
    </x:row>
    <x:row r="372">
      <x:c r="A372" s="33" t="str">
        <x:v>EVD589</x:v>
      </x:c>
      <x:c r="B372" s="33" t="str">
        <x:v>Evidence Master</x:v>
      </x:c>
      <x:c r="C372" s="33" t="str">
        <x:v>Not present</x:v>
      </x:c>
      <x:c r="D372" s="33" t="str">
        <x:v>Evidence ID=EVD589; Audit ID=AUD540; Evidence Required=Sample prescriptions linked to sale invoices/dispensing records; Evidence Type=Prescription; Mandatory=Yes; Retention Category=Transactional; Origin=CORE; Active=Yes; Remarks=P-2 validated evidence chain.</x:v>
      </x:c>
      <x:c r="E372" s="33" t="str">
        <x:v>ADD</x:v>
      </x:c>
      <x:c r="F372" s="33" t="str">
        <x:v>Add evidence aligned to the validated audit procedure.</x:v>
      </x:c>
      <x:c r="G372" s="33" t="str">
        <x:v>CDSCO official Drugs Rules / Gazette</x:v>
      </x:c>
      <x:c r="H372" s="33" t="str">
        <x:v>https://cdsco.gov.in/opencms/resources/UploadCDSCOWeb/2022/drug_rules/Drugs%20Rules%2C%201945.pdf</x:v>
      </x:c>
      <x:c r="I372" s="33" t="str">
        <x:v>P-2</x:v>
      </x:c>
      <x:c r="J372" s="33" t="str">
        <x:v>2026-08-20</x:v>
      </x:c>
      <x:c r="K372" s="33" t="str">
        <x:v>New controlled P-2 chain node.</x:v>
      </x:c>
    </x:row>
    <x:row r="373">
      <x:c r="A373" s="33" t="str">
        <x:v>EVD590</x:v>
      </x:c>
      <x:c r="B373" s="33" t="str">
        <x:v>Evidence Master</x:v>
      </x:c>
      <x:c r="C373" s="33" t="str">
        <x:v>Not present</x:v>
      </x:c>
      <x:c r="D373" s="33" t="str">
        <x:v>Evidence ID=EVD590; Audit ID=AUD541; Evidence Required=Pharmacist registration, duty roster and dispensing supervision evidence; Evidence Type=Certificate; Mandatory=Yes; Retention Category=Permanent; Origin=CORE; Active=Yes; Remarks=P-2 validated evidence chain.</x:v>
      </x:c>
      <x:c r="E373" s="33" t="str">
        <x:v>ADD</x:v>
      </x:c>
      <x:c r="F373" s="33" t="str">
        <x:v>Add evidence aligned to the validated audit procedure.</x:v>
      </x:c>
      <x:c r="G373" s="33" t="str">
        <x:v>CDSCO official Drugs Rules / Gazette</x:v>
      </x:c>
      <x:c r="H373" s="33" t="str">
        <x:v>https://cdsco.gov.in/opencms/resources/UploadCDSCOWeb/2022/drug_rules/Drugs%20Rules%2C%201945.pdf</x:v>
      </x:c>
      <x:c r="I373" s="33" t="str">
        <x:v>P-2</x:v>
      </x:c>
      <x:c r="J373" s="33" t="str">
        <x:v>2026-08-20</x:v>
      </x:c>
      <x:c r="K373" s="33" t="str">
        <x:v>New controlled P-2 chain node.</x:v>
      </x:c>
    </x:row>
    <x:row r="374">
      <x:c r="A374" s="33" t="str">
        <x:v>EVD591</x:v>
      </x:c>
      <x:c r="B374" s="33" t="str">
        <x:v>Evidence Master</x:v>
      </x:c>
      <x:c r="C374" s="33" t="str">
        <x:v>Not present</x:v>
      </x:c>
      <x:c r="D374" s="33" t="str">
        <x:v>Evidence ID=EVD591; Audit ID=AUD542; Evidence Required=Prescription register/memos, purchase bills and wholesale sale records; Evidence Type=Register; Mandatory=Yes; Retention Category=Statutory; Origin=CORE; Active=Yes; Remarks=P-2 validated evidence chain.</x:v>
      </x:c>
      <x:c r="E374" s="33" t="str">
        <x:v>ADD</x:v>
      </x:c>
      <x:c r="F374" s="33" t="str">
        <x:v>Add evidence aligned to the validated audit procedure.</x:v>
      </x:c>
      <x:c r="G374" s="33" t="str">
        <x:v>CDSCO official Drugs Rules / Gazette</x:v>
      </x:c>
      <x:c r="H374" s="33" t="str">
        <x:v>https://cdsco.gov.in/opencms/resources/UploadCDSCOWeb/2022/drug_rules/Drugs%20Rules%2C%201945.pdf</x:v>
      </x:c>
      <x:c r="I374" s="33" t="str">
        <x:v>P-2</x:v>
      </x:c>
      <x:c r="J374" s="33" t="str">
        <x:v>2026-08-20</x:v>
      </x:c>
      <x:c r="K374" s="33" t="str">
        <x:v>New controlled P-2 chain node.</x:v>
      </x:c>
    </x:row>
    <x:row r="375">
      <x:c r="A375" s="33" t="str">
        <x:v>EVD592</x:v>
      </x:c>
      <x:c r="B375" s="33" t="str">
        <x:v>Evidence Master</x:v>
      </x:c>
      <x:c r="C375" s="33" t="str">
        <x:v>Not present</x:v>
      </x:c>
      <x:c r="D375" s="33" t="str">
        <x:v>Evidence ID=EVD592; Audit ID=AUD543; Evidence Required=Retention schedule and sampled statutory registers/memos/prescriptions; Evidence Type=Record; Mandatory=Yes; Retention Category=Statutory; Origin=CORE; Active=Yes; Remarks=P-2 validated evidence chain.</x:v>
      </x:c>
      <x:c r="E375" s="33" t="str">
        <x:v>ADD</x:v>
      </x:c>
      <x:c r="F375" s="33" t="str">
        <x:v>Add evidence aligned to the validated audit procedure.</x:v>
      </x:c>
      <x:c r="G375" s="33" t="str">
        <x:v>CDSCO official Drugs Rules / Gazette</x:v>
      </x:c>
      <x:c r="H375" s="33" t="str">
        <x:v>https://cdsco.gov.in/opencms/resources/UploadCDSCOWeb/2022/drug_rules/Drugs%20Rules%2C%201945.pdf</x:v>
      </x:c>
      <x:c r="I375" s="33" t="str">
        <x:v>P-2</x:v>
      </x:c>
      <x:c r="J375" s="33" t="str">
        <x:v>2026-08-20</x:v>
      </x:c>
      <x:c r="K375" s="33" t="str">
        <x:v>New controlled P-2 chain node.</x:v>
      </x:c>
    </x:row>
    <x:row r="376">
      <x:c r="A376" s="33" t="str">
        <x:v>EVD593</x:v>
      </x:c>
      <x:c r="B376" s="33" t="str">
        <x:v>Evidence Master</x:v>
      </x:c>
      <x:c r="C376" s="33" t="str">
        <x:v>Not present</x:v>
      </x:c>
      <x:c r="D376" s="33" t="str">
        <x:v>Evidence ID=EVD593; Audit ID=AUD544; Evidence Required=Photographs or inspection checklist of sampled labelled packs; Evidence Type=Photograph; Mandatory=Yes; Retention Category=Operational; Origin=CORE; Active=Yes; Remarks=P-2 validated evidence chain.</x:v>
      </x:c>
      <x:c r="E376" s="33" t="str">
        <x:v>ADD</x:v>
      </x:c>
      <x:c r="F376" s="33" t="str">
        <x:v>Add evidence aligned to the validated audit procedure.</x:v>
      </x:c>
      <x:c r="G376" s="33" t="str">
        <x:v>CDSCO official Drugs Rules / Gazette</x:v>
      </x:c>
      <x:c r="H376" s="33" t="str">
        <x:v>https://cdsco.gov.in/opencms/resources/UploadCDSCOWeb/2022/drug_rules/Drugs%20Rules%2C%201945.pdf</x:v>
      </x:c>
      <x:c r="I376" s="33" t="str">
        <x:v>P-2</x:v>
      </x:c>
      <x:c r="J376" s="33" t="str">
        <x:v>2026-08-20</x:v>
      </x:c>
      <x:c r="K376" s="33" t="str">
        <x:v>New controlled P-2 chain node.</x:v>
      </x:c>
    </x:row>
    <x:row r="377">
      <x:c r="A377" s="33" t="str">
        <x:v>EVD594</x:v>
      </x:c>
      <x:c r="B377" s="33" t="str">
        <x:v>Evidence Master</x:v>
      </x:c>
      <x:c r="C377" s="33" t="str">
        <x:v>Not present</x:v>
      </x:c>
      <x:c r="D377" s="33" t="str">
        <x:v>Evidence ID=EVD594; Audit ID=AUD545; Evidence Required=Goods-receipt label checklist and sampled product photographs; Evidence Type=Inspection Report; Mandatory=Yes; Retention Category=Operational; Origin=CORE; Active=Yes; Remarks=P-2 validated evidence chain.</x:v>
      </x:c>
      <x:c r="E377" s="33" t="str">
        <x:v>ADD</x:v>
      </x:c>
      <x:c r="F377" s="33" t="str">
        <x:v>Add evidence aligned to the validated audit procedure.</x:v>
      </x:c>
      <x:c r="G377" s="33" t="str">
        <x:v>CDSCO official Drugs Rules / Gazette</x:v>
      </x:c>
      <x:c r="H377" s="33" t="str">
        <x:v>https://cdsco.gov.in/opencms/resources/UploadCDSCOWeb/2022/drug_rules/Drugs%20Rules%2C%201945.pdf</x:v>
      </x:c>
      <x:c r="I377" s="33" t="str">
        <x:v>P-2</x:v>
      </x:c>
      <x:c r="J377" s="33" t="str">
        <x:v>2026-08-20</x:v>
      </x:c>
      <x:c r="K377" s="33" t="str">
        <x:v>New controlled P-2 chain node.</x:v>
      </x:c>
    </x:row>
    <x:row r="378">
      <x:c r="A378" s="33" t="str">
        <x:v>EVD595</x:v>
      </x:c>
      <x:c r="B378" s="33" t="str">
        <x:v>Evidence Master</x:v>
      </x:c>
      <x:c r="C378" s="33" t="str">
        <x:v>Not present</x:v>
      </x:c>
      <x:c r="D378" s="33" t="str">
        <x:v>Evidence ID=EVD595; Audit ID=AUD546; Evidence Required=Annotated Schedule H prescriptions and dispensing history; Evidence Type=Prescription; Mandatory=Yes; Retention Category=Transactional; Origin=CORE; Active=Yes; Remarks=P-2 validated evidence chain.</x:v>
      </x:c>
      <x:c r="E378" s="33" t="str">
        <x:v>ADD</x:v>
      </x:c>
      <x:c r="F378" s="33" t="str">
        <x:v>Add evidence aligned to the validated audit procedure.</x:v>
      </x:c>
      <x:c r="G378" s="33" t="str">
        <x:v>CDSCO official Drugs Rules / Gazette</x:v>
      </x:c>
      <x:c r="H378" s="33" t="str">
        <x:v>https://cdsco.gov.in/opencms/resources/UploadCDSCOWeb/2022/drug_rules/Drugs%20Rules%2C%201945.pdf</x:v>
      </x:c>
      <x:c r="I378" s="33" t="str">
        <x:v>P-2</x:v>
      </x:c>
      <x:c r="J378" s="33" t="str">
        <x:v>2026-08-20</x:v>
      </x:c>
      <x:c r="K378" s="33" t="str">
        <x:v>New controlled P-2 chain node.</x:v>
      </x:c>
    </x:row>
    <x:row r="379">
      <x:c r="A379" s="33" t="str">
        <x:v>EVD596</x:v>
      </x:c>
      <x:c r="B379" s="33" t="str">
        <x:v>Evidence Master</x:v>
      </x:c>
      <x:c r="C379" s="33" t="str">
        <x:v>Not present</x:v>
      </x:c>
      <x:c r="D379" s="33" t="str">
        <x:v>Evidence ID=EVD596; Audit ID=AUD547; Evidence Required=Schedule H1 product list, invoices, prescriptions and H1 register; Evidence Type=Register; Mandatory=Yes; Retention Category=Statutory; Origin=CORE; Active=Yes; Remarks=P-2 validated evidence chain.</x:v>
      </x:c>
      <x:c r="E379" s="33" t="str">
        <x:v>ADD</x:v>
      </x:c>
      <x:c r="F379" s="33" t="str">
        <x:v>Add evidence aligned to the validated audit procedure.</x:v>
      </x:c>
      <x:c r="G379" s="33" t="str">
        <x:v>CDSCO official Drugs Rules / Gazette</x:v>
      </x:c>
      <x:c r="H379" s="33" t="str">
        <x:v>https://cdsco.gov.in/opencms/resources/UploadCDSCOWeb/2022/drug_rules/Drugs%20Rules%2C%201945.pdf</x:v>
      </x:c>
      <x:c r="I379" s="33" t="str">
        <x:v>P-2</x:v>
      </x:c>
      <x:c r="J379" s="33" t="str">
        <x:v>2026-08-20</x:v>
      </x:c>
      <x:c r="K379" s="33" t="str">
        <x:v>New controlled P-2 chain node.</x:v>
      </x:c>
    </x:row>
    <x:row r="380">
      <x:c r="A380" s="33" t="str">
        <x:v>EVD597</x:v>
      </x:c>
      <x:c r="B380" s="33" t="str">
        <x:v>Evidence Master</x:v>
      </x:c>
      <x:c r="C380" s="33" t="str">
        <x:v>Not present</x:v>
      </x:c>
      <x:c r="D380" s="33" t="str">
        <x:v>Evidence ID=EVD597; Audit ID=AUD548; Evidence Required=Duplicate Schedule X prescriptions and linked sale records; Evidence Type=Prescription; Mandatory=Yes; Retention Category=Statutory; Origin=CORE; Active=Yes; Remarks=P-2 validated evidence chain.</x:v>
      </x:c>
      <x:c r="E380" s="33" t="str">
        <x:v>ADD</x:v>
      </x:c>
      <x:c r="F380" s="33" t="str">
        <x:v>Add evidence aligned to the validated audit procedure.</x:v>
      </x:c>
      <x:c r="G380" s="33" t="str">
        <x:v>CDSCO official Drugs Rules / Gazette</x:v>
      </x:c>
      <x:c r="H380" s="33" t="str">
        <x:v>https://cdsco.gov.in/opencms/resources/UploadCDSCOWeb/2022/drug_rules/Drugs%20Rules%2C%201945.pdf</x:v>
      </x:c>
      <x:c r="I380" s="33" t="str">
        <x:v>P-2</x:v>
      </x:c>
      <x:c r="J380" s="33" t="str">
        <x:v>2026-08-20</x:v>
      </x:c>
      <x:c r="K380" s="33" t="str">
        <x:v>New controlled P-2 chain node.</x:v>
      </x:c>
    </x:row>
    <x:row r="381">
      <x:c r="A381" s="33" t="str">
        <x:v>EVD598</x:v>
      </x:c>
      <x:c r="B381" s="33" t="str">
        <x:v>Evidence Master</x:v>
      </x:c>
      <x:c r="C381" s="33" t="str">
        <x:v>Not present</x:v>
      </x:c>
      <x:c r="D381" s="33" t="str">
        <x:v>Evidence ID=EVD598; Audit ID=AUD549; Evidence Required=Schedule G label inspection checklist; Evidence Type=Inspection Report; Mandatory=Yes; Retention Category=Operational; Origin=CORE; Active=Yes; Remarks=P-2 validated evidence chain.</x:v>
      </x:c>
      <x:c r="E381" s="33" t="str">
        <x:v>ADD</x:v>
      </x:c>
      <x:c r="F381" s="33" t="str">
        <x:v>Add evidence aligned to the validated audit procedure.</x:v>
      </x:c>
      <x:c r="G381" s="33" t="str">
        <x:v>CDSCO official Drugs Rules / Gazette</x:v>
      </x:c>
      <x:c r="H381" s="33" t="str">
        <x:v>https://cdsco.gov.in/opencms/resources/UploadCDSCOWeb/2022/drug_rules/Drugs%20Rules%2C%201945.pdf</x:v>
      </x:c>
      <x:c r="I381" s="33" t="str">
        <x:v>P-2</x:v>
      </x:c>
      <x:c r="J381" s="33" t="str">
        <x:v>2026-08-20</x:v>
      </x:c>
      <x:c r="K381" s="33" t="str">
        <x:v>New controlled P-2 chain node.</x:v>
      </x:c>
    </x:row>
    <x:row r="382">
      <x:c r="A382" s="33" t="str">
        <x:v>EVD599</x:v>
      </x:c>
      <x:c r="B382" s="33" t="str">
        <x:v>Evidence Master</x:v>
      </x:c>
      <x:c r="C382" s="33" t="str">
        <x:v>Not present</x:v>
      </x:c>
      <x:c r="D382" s="33" t="str">
        <x:v>Evidence ID=EVD599; Audit ID=AUD550; Evidence Required=Schedule K applicability memo and supporting eligibility evidence; Evidence Type=Document; Mandatory=Yes; Retention Category=Statutory; Origin=CORE; Active=Yes; Remarks=P-2 validated evidence chain.</x:v>
      </x:c>
      <x:c r="E382" s="33" t="str">
        <x:v>ADD</x:v>
      </x:c>
      <x:c r="F382" s="33" t="str">
        <x:v>Add evidence aligned to the validated audit procedure.</x:v>
      </x:c>
      <x:c r="G382" s="33" t="str">
        <x:v>CDSCO official Drugs Rules / Gazette</x:v>
      </x:c>
      <x:c r="H382" s="33" t="str">
        <x:v>https://cdsco.gov.in/opencms/resources/UploadCDSCOWeb/2022/drug_rules/Drugs%20Rules%2C%201945.pdf</x:v>
      </x:c>
      <x:c r="I382" s="33" t="str">
        <x:v>P-2</x:v>
      </x:c>
      <x:c r="J382" s="33" t="str">
        <x:v>2026-08-20</x:v>
      </x:c>
      <x:c r="K382" s="33" t="str">
        <x:v>New controlled P-2 chain node.</x:v>
      </x:c>
    </x:row>
    <x:row r="383">
      <x:c r="A383" s="33" t="str">
        <x:v>EVD600</x:v>
      </x:c>
      <x:c r="B383" s="33" t="str">
        <x:v>Evidence Master</x:v>
      </x:c>
      <x:c r="C383" s="33" t="str">
        <x:v>Not present</x:v>
      </x:c>
      <x:c r="D383" s="33" t="str">
        <x:v>Evidence ID=EVD600; Audit ID=AUD551; Evidence Required=H2 receipt checklist and QR/barcode scan evidence; Evidence Type=Digital Record; Mandatory=Yes; Retention Category=Operational; Origin=CORE; Active=Yes; Remarks=P-2 validated evidence chain.</x:v>
      </x:c>
      <x:c r="E383" s="33" t="str">
        <x:v>ADD</x:v>
      </x:c>
      <x:c r="F383" s="33" t="str">
        <x:v>Add evidence aligned to the validated audit procedure.</x:v>
      </x:c>
      <x:c r="G383" s="33" t="str">
        <x:v>CDSCO official Drugs Rules / Gazette</x:v>
      </x:c>
      <x:c r="H383" s="33" t="str">
        <x:v>https://cdsco.gov.in/opencms/resources/UploadCDSCOWeb/2022/drug_rules/Drugs%20Rules%2C%201945.pdf</x:v>
      </x:c>
      <x:c r="I383" s="33" t="str">
        <x:v>P-2</x:v>
      </x:c>
      <x:c r="J383" s="33" t="str">
        <x:v>2026-08-20</x:v>
      </x:c>
      <x:c r="K383" s="33" t="str">
        <x:v>New controlled P-2 chain node.</x:v>
      </x:c>
    </x:row>
    <x:row r="384">
      <x:c r="A384" s="33" t="str">
        <x:v>EVD601</x:v>
      </x:c>
      <x:c r="B384" s="33" t="str">
        <x:v>Evidence Master</x:v>
      </x:c>
      <x:c r="C384" s="33" t="str">
        <x:v>Not present</x:v>
      </x:c>
      <x:c r="D384" s="33" t="str">
        <x:v>Evidence ID=EVD601; Audit ID=AUD552; Evidence Required=Location register and site-specific licences; Evidence Type=License; Mandatory=Yes; Retention Category=Permanent; Origin=CORE; Active=Yes; Remarks=P-2 validated evidence chain.</x:v>
      </x:c>
      <x:c r="E384" s="33" t="str">
        <x:v>ADD</x:v>
      </x:c>
      <x:c r="F384" s="33" t="str">
        <x:v>Add evidence aligned to the validated audit procedure.</x:v>
      </x:c>
      <x:c r="G384" s="33" t="str">
        <x:v>CDSCO official Drugs Rules / Gazette</x:v>
      </x:c>
      <x:c r="H384" s="33" t="str">
        <x:v>https://cdsco.gov.in/opencms/resources/UploadCDSCOWeb/2022/drug_rules/Drugs%20Rules%2C%201945.pdf</x:v>
      </x:c>
      <x:c r="I384" s="33" t="str">
        <x:v>P-2</x:v>
      </x:c>
      <x:c r="J384" s="33" t="str">
        <x:v>2026-08-20</x:v>
      </x:c>
      <x:c r="K384" s="33" t="str">
        <x:v>New controlled P-2 chain node.</x:v>
      </x:c>
    </x:row>
    <x:row r="385">
      <x:c r="A385" s="33" t="str">
        <x:v>EVD602</x:v>
      </x:c>
      <x:c r="B385" s="33" t="str">
        <x:v>Evidence Master</x:v>
      </x:c>
      <x:c r="C385" s="33" t="str">
        <x:v>Not present</x:v>
      </x:c>
      <x:c r="D385" s="33" t="str">
        <x:v>Evidence ID=EVD602; Audit ID=AUD553; Evidence Required=Licence issue date, retention-fee receipt and due-date tracker; Evidence Type=Receipt; Mandatory=Yes; Retention Category=Permanent; Origin=CORE; Active=Yes; Remarks=P-2 validated evidence chain.</x:v>
      </x:c>
      <x:c r="E385" s="33" t="str">
        <x:v>ADD</x:v>
      </x:c>
      <x:c r="F385" s="33" t="str">
        <x:v>Add evidence aligned to the validated audit procedure.</x:v>
      </x:c>
      <x:c r="G385" s="33" t="str">
        <x:v>CDSCO official Drugs Rules / Gazette</x:v>
      </x:c>
      <x:c r="H385" s="33" t="str">
        <x:v>https://cdsco.gov.in/opencms/resources/UploadCDSCOWeb/2022/drug_rules/Drugs%20Rules%2C%201945.pdf</x:v>
      </x:c>
      <x:c r="I385" s="33" t="str">
        <x:v>P-2</x:v>
      </x:c>
      <x:c r="J385" s="33" t="str">
        <x:v>2026-08-20</x:v>
      </x:c>
      <x:c r="K385" s="33" t="str">
        <x:v>New controlled P-2 chain node.</x:v>
      </x:c>
    </x:row>
    <x:row r="386">
      <x:c r="A386" s="33" t="str">
        <x:v>EVD603</x:v>
      </x:c>
      <x:c r="B386" s="33" t="str">
        <x:v>Evidence Master</x:v>
      </x:c>
      <x:c r="C386" s="33" t="str">
        <x:v>Not present</x:v>
      </x:c>
      <x:c r="D386" s="33" t="str">
        <x:v>Evidence ID=EVD603; Audit ID=AUD554; Evidence Required=Authority demand, lease/title/constitution records and submission acknowledgement; Evidence Type=Document; Mandatory=Yes; Retention Category=Permanent; Origin=CORE; Active=Yes; Remarks=P-2 validated evidence chain.</x:v>
      </x:c>
      <x:c r="E386" s="33" t="str">
        <x:v>ADD</x:v>
      </x:c>
      <x:c r="F386" s="33" t="str">
        <x:v>Add evidence aligned to the validated audit procedure.</x:v>
      </x:c>
      <x:c r="G386" s="33" t="str">
        <x:v>CDSCO official Drugs Rules / Gazette</x:v>
      </x:c>
      <x:c r="H386" s="33" t="str">
        <x:v>https://cdsco.gov.in/opencms/resources/UploadCDSCOWeb/2022/drug_rules/Drugs%20Rules%2C%201945.pdf</x:v>
      </x:c>
      <x:c r="I386" s="33" t="str">
        <x:v>P-2</x:v>
      </x:c>
      <x:c r="J386" s="33" t="str">
        <x:v>2026-08-20</x:v>
      </x:c>
      <x:c r="K386" s="33" t="str">
        <x:v>New controlled P-2 chain node.</x:v>
      </x:c>
    </x:row>
    <x:row r="387">
      <x:c r="A387" s="33" t="str">
        <x:v>EVD604</x:v>
      </x:c>
      <x:c r="B387" s="33" t="str">
        <x:v>Evidence Master</x:v>
      </x:c>
      <x:c r="C387" s="33" t="str">
        <x:v>Not present</x:v>
      </x:c>
      <x:c r="D387" s="33" t="str">
        <x:v>Evidence ID=EVD604; Audit ID=AUD555; Evidence Required=Schedule H1 register and linked prescriptions/invoices; Evidence Type=Register; Mandatory=Yes; Retention Category=Statutory; Origin=CORE; Active=Yes; Remarks=P-2 validated evidence chain.</x:v>
      </x:c>
      <x:c r="E387" s="33" t="str">
        <x:v>ADD</x:v>
      </x:c>
      <x:c r="F387" s="33" t="str">
        <x:v>Add evidence aligned to the validated audit procedure.</x:v>
      </x:c>
      <x:c r="G387" s="33" t="str">
        <x:v>CDSCO official Drugs Rules / Gazette</x:v>
      </x:c>
      <x:c r="H387" s="33" t="str">
        <x:v>https://cdsco.gov.in/opencms/resources/UploadCDSCOWeb/2022/drug_rules/Drugs%20Rules%2C%201945.pdf</x:v>
      </x:c>
      <x:c r="I387" s="33" t="str">
        <x:v>P-2</x:v>
      </x:c>
      <x:c r="J387" s="33" t="str">
        <x:v>2026-08-20</x:v>
      </x:c>
      <x:c r="K387" s="33" t="str">
        <x:v>New controlled P-2 chain node.</x:v>
      </x:c>
    </x:row>
    <x:row r="388">
      <x:c r="A388" s="33" t="str">
        <x:v>EVD605</x:v>
      </x:c>
      <x:c r="B388" s="33" t="str">
        <x:v>Evidence Master</x:v>
      </x:c>
      <x:c r="C388" s="33" t="str">
        <x:v>Not present</x:v>
      </x:c>
      <x:c r="D388" s="33" t="str">
        <x:v>Evidence ID=EVD605; Audit ID=AUD556; Evidence Required=Wholesale cash/credit memo carbon copies; Evidence Type=Sale Record; Mandatory=Yes; Retention Category=Statutory; Origin=CORE; Active=Yes; Remarks=P-2 validated evidence chain.</x:v>
      </x:c>
      <x:c r="E388" s="33" t="str">
        <x:v>ADD</x:v>
      </x:c>
      <x:c r="F388" s="33" t="str">
        <x:v>Add evidence aligned to the validated audit procedure.</x:v>
      </x:c>
      <x:c r="G388" s="33" t="str">
        <x:v>CDSCO official Drugs Rules / Gazette</x:v>
      </x:c>
      <x:c r="H388" s="33" t="str">
        <x:v>https://cdsco.gov.in/opencms/resources/UploadCDSCOWeb/2022/drug_rules/Drugs%20Rules%2C%201945.pdf</x:v>
      </x:c>
      <x:c r="I388" s="33" t="str">
        <x:v>P-2</x:v>
      </x:c>
      <x:c r="J388" s="33" t="str">
        <x:v>2026-08-20</x:v>
      </x:c>
      <x:c r="K388" s="33" t="str">
        <x:v>New controlled P-2 chain node.</x:v>
      </x:c>
    </x:row>
    <x:row r="389">
      <x:c r="A389" s="33" t="str">
        <x:v>EVD606</x:v>
      </x:c>
      <x:c r="B389" s="33" t="str">
        <x:v>Evidence Master</x:v>
      </x:c>
      <x:c r="C389" s="33" t="str">
        <x:v>Not present</x:v>
      </x:c>
      <x:c r="D389" s="33" t="str">
        <x:v>Evidence ID=EVD606; Audit ID=AUD557; Evidence Required=H1/X reconciliation and exception-investigation report; Evidence Type=Inventory Record; Mandatory=Yes; Retention Category=Operational; Origin=CORE; Active=Yes; Remarks=P-2 validated evidence chain.</x:v>
      </x:c>
      <x:c r="E389" s="33" t="str">
        <x:v>ADD</x:v>
      </x:c>
      <x:c r="F389" s="33" t="str">
        <x:v>Add evidence aligned to the validated audit procedure.</x:v>
      </x:c>
      <x:c r="G389" s="33" t="str">
        <x:v>CDSCO official Drugs Rules / Gazette</x:v>
      </x:c>
      <x:c r="H389" s="33" t="str">
        <x:v>https://cdsco.gov.in/opencms/resources/UploadCDSCOWeb/2022/drug_rules/Drugs%20Rules%2C%201945.pdf</x:v>
      </x:c>
      <x:c r="I389" s="33" t="str">
        <x:v>P-2</x:v>
      </x:c>
      <x:c r="J389" s="33" t="str">
        <x:v>2026-08-20</x:v>
      </x:c>
      <x:c r="K389" s="33" t="str">
        <x:v>New controlled P-2 chain node.</x:v>
      </x:c>
    </x:row>
    <x:row r="390">
      <x:c r="A390" s="33" t="str">
        <x:v>EVD607</x:v>
      </x:c>
      <x:c r="B390" s="33" t="str">
        <x:v>Evidence Master</x:v>
      </x:c>
      <x:c r="C390" s="33" t="str">
        <x:v>Not present</x:v>
      </x:c>
      <x:c r="D390" s="33" t="str">
        <x:v>Evidence ID=EVD607; Audit ID=AUD558; Evidence Required=Schedule X storage photograph and access-control checklist; Evidence Type=Photograph; Mandatory=Yes; Retention Category=Operational; Origin=CORE; Active=Yes; Remarks=P-2 validated evidence chain.</x:v>
      </x:c>
      <x:c r="E390" s="33" t="str">
        <x:v>ADD</x:v>
      </x:c>
      <x:c r="F390" s="33" t="str">
        <x:v>Add evidence aligned to the validated audit procedure.</x:v>
      </x:c>
      <x:c r="G390" s="33" t="str">
        <x:v>CDSCO official Drugs Rules / Gazette</x:v>
      </x:c>
      <x:c r="H390" s="33" t="str">
        <x:v>https://cdsco.gov.in/opencms/resources/UploadCDSCOWeb/2022/drug_rules/Drugs%20Rules%2C%201945.pdf</x:v>
      </x:c>
      <x:c r="I390" s="33" t="str">
        <x:v>P-2</x:v>
      </x:c>
      <x:c r="J390" s="33" t="str">
        <x:v>2026-08-20</x:v>
      </x:c>
      <x:c r="K390" s="33" t="str">
        <x:v>New controlled P-2 chain node.</x:v>
      </x:c>
    </x:row>
    <x:row r="391">
      <x:c r="A391" s="33" t="str">
        <x:v>EVD608</x:v>
      </x:c>
      <x:c r="B391" s="33" t="str">
        <x:v>Evidence Master</x:v>
      </x:c>
      <x:c r="C391" s="33" t="str">
        <x:v>Not present</x:v>
      </x:c>
      <x:c r="D391" s="33" t="str">
        <x:v>Evidence ID=EVD608; Audit ID=AUD559; Evidence Required=Bound Schedule X register and transaction samples; Evidence Type=Register; Mandatory=Yes; Retention Category=Statutory; Origin=CORE; Active=Yes; Remarks=P-2 validated evidence chain.</x:v>
      </x:c>
      <x:c r="E391" s="33" t="str">
        <x:v>ADD</x:v>
      </x:c>
      <x:c r="F391" s="33" t="str">
        <x:v>Add evidence aligned to the validated audit procedure.</x:v>
      </x:c>
      <x:c r="G391" s="33" t="str">
        <x:v>CDSCO official Drugs Rules / Gazette</x:v>
      </x:c>
      <x:c r="H391" s="33" t="str">
        <x:v>https://cdsco.gov.in/opencms/resources/UploadCDSCOWeb/2022/drug_rules/Drugs%20Rules%2C%201945.pdf</x:v>
      </x:c>
      <x:c r="I391" s="33" t="str">
        <x:v>P-2</x:v>
      </x:c>
      <x:c r="J391" s="33" t="str">
        <x:v>2026-08-20</x:v>
      </x:c>
      <x:c r="K391" s="33" t="str">
        <x:v>New controlled P-2 chain node.</x:v>
      </x:c>
    </x:row>
    <x:row r="392">
      <x:c r="A392" s="33" t="str">
        <x:v>EVD609</x:v>
      </x:c>
      <x:c r="B392" s="33" t="str">
        <x:v>Evidence Master</x:v>
      </x:c>
      <x:c r="C392" s="33" t="str">
        <x:v>Not present</x:v>
      </x:c>
      <x:c r="D392" s="33" t="str">
        <x:v>Evidence ID=EVD609; Audit ID=AUD560; Evidence Required=Sample prescriptions and dispensing annotations; Evidence Type=Prescription; Mandatory=Yes; Retention Category=Transactional; Origin=CORE; Active=Yes; Remarks=P-2 validated evidence chain.</x:v>
      </x:c>
      <x:c r="E392" s="33" t="str">
        <x:v>ADD</x:v>
      </x:c>
      <x:c r="F392" s="33" t="str">
        <x:v>Add evidence aligned to the validated audit procedure.</x:v>
      </x:c>
      <x:c r="G392" s="33" t="str">
        <x:v>CDSCO official Drugs Rules / Gazette</x:v>
      </x:c>
      <x:c r="H392" s="33" t="str">
        <x:v>https://cdsco.gov.in/opencms/resources/UploadCDSCOWeb/2022/drug_rules/Drugs%20Rules%2C%201945.pdf</x:v>
      </x:c>
      <x:c r="I392" s="33" t="str">
        <x:v>P-2</x:v>
      </x:c>
      <x:c r="J392" s="33" t="str">
        <x:v>2026-08-20</x:v>
      </x:c>
      <x:c r="K392" s="33" t="str">
        <x:v>New controlled P-2 chain node.</x:v>
      </x:c>
    </x:row>
    <x:row r="393">
      <x:c r="A393" s="33" t="str">
        <x:v>OBS266</x:v>
      </x:c>
      <x:c r="B393" s="33" t="str">
        <x:v>Observation Master</x:v>
      </x:c>
      <x:c r="C393" s="33" t="str">
        <x:v>Not present</x:v>
      </x:c>
      <x:c r="D393" s="33" t="str">
        <x:v>Observation ID=OBS266; Audit ID=AUD537; Observation Template=Sale/stock activity commenced without the prescribed application and licence.; Risk Level=Critical; Recommendation=Cease the uncovered activity and regularize the correct licence before resumption.; Observation Category=Licensing; Origin=CORE; Active=Yes; Remarks=P-2 validated observation chain.</x:v>
      </x:c>
      <x:c r="E393" s="33" t="str">
        <x:v>ADD</x:v>
      </x:c>
      <x:c r="F393" s="33" t="str">
        <x:v>Add observation aligned to the validated audit procedure.</x:v>
      </x:c>
      <x:c r="G393" s="33" t="str">
        <x:v>CDSCO official Drugs Rules / Gazette</x:v>
      </x:c>
      <x:c r="H393" s="33" t="str">
        <x:v>https://cdsco.gov.in/opencms/resources/UploadCDSCOWeb/2022/drug_rules/Drugs%20Rules%2C%201945.pdf</x:v>
      </x:c>
      <x:c r="I393" s="33" t="str">
        <x:v>P-2</x:v>
      </x:c>
      <x:c r="J393" s="33" t="str">
        <x:v>2026-08-20</x:v>
      </x:c>
      <x:c r="K393" s="33" t="str">
        <x:v>New controlled P-2 chain node.</x:v>
      </x:c>
    </x:row>
    <x:row r="394">
      <x:c r="A394" s="33" t="str">
        <x:v>OBS267</x:v>
      </x:c>
      <x:c r="B394" s="33" t="str">
        <x:v>Observation Master</x:v>
      </x:c>
      <x:c r="C394" s="33" t="str">
        <x:v>Not present</x:v>
      </x:c>
      <x:c r="D394" s="33" t="str">
        <x:v>Observation ID=OBS267; Audit ID=AUD538; Observation Template=Drug category or business activity exceeded the issued licence form.; Risk Level=Critical; Recommendation=Restrict activity to the licence scope or obtain the required licence/endorsement.; Observation Category=Licensing; Origin=CORE; Active=Yes; Remarks=P-2 validated observation chain.</x:v>
      </x:c>
      <x:c r="E394" s="33" t="str">
        <x:v>ADD</x:v>
      </x:c>
      <x:c r="F394" s="33" t="str">
        <x:v>Add observation aligned to the validated audit procedure.</x:v>
      </x:c>
      <x:c r="G394" s="33" t="str">
        <x:v>CDSCO official Drugs Rules / Gazette</x:v>
      </x:c>
      <x:c r="H394" s="33" t="str">
        <x:v>https://cdsco.gov.in/opencms/resources/UploadCDSCOWeb/2022/drug_rules/Drugs%20Rules%2C%201945.pdf</x:v>
      </x:c>
      <x:c r="I394" s="33" t="str">
        <x:v>P-2</x:v>
      </x:c>
      <x:c r="J394" s="33" t="str">
        <x:v>2026-08-20</x:v>
      </x:c>
      <x:c r="K394" s="33" t="str">
        <x:v>New controlled P-2 chain node.</x:v>
      </x:c>
    </x:row>
    <x:row r="395">
      <x:c r="A395" s="33" t="str">
        <x:v>OBS268</x:v>
      </x:c>
      <x:c r="B395" s="33" t="str">
        <x:v>Observation Master</x:v>
      </x:c>
      <x:c r="C395" s="33" t="str">
        <x:v>Not present</x:v>
      </x:c>
      <x:c r="D395" s="33" t="str">
        <x:v>Observation ID=OBS268; Audit ID=AUD539; Observation Template=Premises, storage or competent-person conditions underlying the licence were not maintained.; Risk Level=High; Recommendation=Restore the licensed conditions and document corrective action before further regulated activity.; Observation Category=Infrastructure; Origin=CORE; Active=Yes; Remarks=P-2 validated observation chain.</x:v>
      </x:c>
      <x:c r="E395" s="33" t="str">
        <x:v>ADD</x:v>
      </x:c>
      <x:c r="F395" s="33" t="str">
        <x:v>Add observation aligned to the validated audit procedure.</x:v>
      </x:c>
      <x:c r="G395" s="33" t="str">
        <x:v>CDSCO official Drugs Rules / Gazette</x:v>
      </x:c>
      <x:c r="H395" s="33" t="str">
        <x:v>https://cdsco.gov.in/opencms/resources/UploadCDSCOWeb/2022/drug_rules/Drugs%20Rules%2C%201945.pdf</x:v>
      </x:c>
      <x:c r="I395" s="33" t="str">
        <x:v>P-2</x:v>
      </x:c>
      <x:c r="J395" s="33" t="str">
        <x:v>2026-08-20</x:v>
      </x:c>
      <x:c r="K395" s="33" t="str">
        <x:v>New controlled P-2 chain node.</x:v>
      </x:c>
    </x:row>
    <x:row r="396">
      <x:c r="A396" s="33" t="str">
        <x:v>OBS269</x:v>
      </x:c>
      <x:c r="B396" s="33" t="str">
        <x:v>Observation Master</x:v>
      </x:c>
      <x:c r="C396" s="33" t="str">
        <x:v>Not present</x:v>
      </x:c>
      <x:c r="D396" s="33" t="str">
        <x:v>Observation ID=OBS269; Audit ID=AUD540; Observation Template=Schedule H/H1/X drugs were sold by retail without a compliant prescription.; Risk Level=Critical; Recommendation=Stop non-prescription supply and enforce prescription validation at point of sale.; Observation Category=Prescription; Origin=CORE; Active=Yes; Remarks=P-2 validated observation chain.</x:v>
      </x:c>
      <x:c r="E396" s="33" t="str">
        <x:v>ADD</x:v>
      </x:c>
      <x:c r="F396" s="33" t="str">
        <x:v>Add observation aligned to the validated audit procedure.</x:v>
      </x:c>
      <x:c r="G396" s="33" t="str">
        <x:v>CDSCO official Drugs Rules / Gazette</x:v>
      </x:c>
      <x:c r="H396" s="33" t="str">
        <x:v>https://cdsco.gov.in/opencms/resources/UploadCDSCOWeb/2022/drug_rules/Drugs%20Rules%2C%201945.pdf</x:v>
      </x:c>
      <x:c r="I396" s="33" t="str">
        <x:v>P-2</x:v>
      </x:c>
      <x:c r="J396" s="33" t="str">
        <x:v>2026-08-20</x:v>
      </x:c>
      <x:c r="K396" s="33" t="str">
        <x:v>New controlled P-2 chain node.</x:v>
      </x:c>
    </x:row>
    <x:row r="397">
      <x:c r="A397" s="33" t="str">
        <x:v>OBS270</x:v>
      </x:c>
      <x:c r="B397" s="33" t="str">
        <x:v>Observation Master</x:v>
      </x:c>
      <x:c r="C397" s="33" t="str">
        <x:v>Not present</x:v>
      </x:c>
      <x:c r="D397" s="33" t="str">
        <x:v>Observation ID=OBS270; Audit ID=AUD541; Observation Template=Prescription supply or compounding occurred without registered-pharmacist supervision.; Risk Level=Critical; Recommendation=Schedule and document registered-pharmacist supervision for all covered transactions.; Observation Category=Personnel; Origin=CORE; Active=Yes; Remarks=P-2 validated observation chain.</x:v>
      </x:c>
      <x:c r="E397" s="33" t="str">
        <x:v>ADD</x:v>
      </x:c>
      <x:c r="F397" s="33" t="str">
        <x:v>Add observation aligned to the validated audit procedure.</x:v>
      </x:c>
      <x:c r="G397" s="33" t="str">
        <x:v>CDSCO official Drugs Rules / Gazette</x:v>
      </x:c>
      <x:c r="H397" s="33" t="str">
        <x:v>https://cdsco.gov.in/opencms/resources/UploadCDSCOWeb/2022/drug_rules/Drugs%20Rules%2C%201945.pdf</x:v>
      </x:c>
      <x:c r="I397" s="33" t="str">
        <x:v>P-2</x:v>
      </x:c>
      <x:c r="J397" s="33" t="str">
        <x:v>2026-08-20</x:v>
      </x:c>
      <x:c r="K397" s="33" t="str">
        <x:v>New controlled P-2 chain node.</x:v>
      </x:c>
    </x:row>
    <x:row r="398">
      <x:c r="A398" s="33" t="str">
        <x:v>OBS271</x:v>
      </x:c>
      <x:c r="B398" s="33" t="str">
        <x:v>Observation Master</x:v>
      </x:c>
      <x:c r="C398" s="33" t="str">
        <x:v>Not present</x:v>
      </x:c>
      <x:c r="D398" s="33" t="str">
        <x:v>Observation ID=OBS271; Audit ID=AUD542; Observation Template=Rule 65 sale or purchase records were incomplete or lacked mandatory particulars.; Risk Level=High; Recommendation=Correct the registers/memos and implement transaction-time completeness checks.; Observation Category=Documentation; Origin=CORE; Active=Yes; Remarks=P-2 validated observation chain.</x:v>
      </x:c>
      <x:c r="E398" s="33" t="str">
        <x:v>ADD</x:v>
      </x:c>
      <x:c r="F398" s="33" t="str">
        <x:v>Add observation aligned to the validated audit procedure.</x:v>
      </x:c>
      <x:c r="G398" s="33" t="str">
        <x:v>CDSCO official Drugs Rules / Gazette</x:v>
      </x:c>
      <x:c r="H398" s="33" t="str">
        <x:v>https://cdsco.gov.in/opencms/resources/UploadCDSCOWeb/2022/drug_rules/Drugs%20Rules%2C%201945.pdf</x:v>
      </x:c>
      <x:c r="I398" s="33" t="str">
        <x:v>P-2</x:v>
      </x:c>
      <x:c r="J398" s="33" t="str">
        <x:v>2026-08-20</x:v>
      </x:c>
      <x:c r="K398" s="33" t="str">
        <x:v>New controlled P-2 chain node.</x:v>
      </x:c>
    </x:row>
    <x:row r="399">
      <x:c r="A399" s="33" t="str">
        <x:v>OBS272</x:v>
      </x:c>
      <x:c r="B399" s="33" t="str">
        <x:v>Observation Master</x:v>
      </x:c>
      <x:c r="C399" s="33" t="str">
        <x:v>Not present</x:v>
      </x:c>
      <x:c r="D399" s="33" t="str">
        <x:v>Observation ID=OBS272; Audit ID=AUD543; Observation Template=Statutory records were unavailable or retained for an incorrect period.; Risk Level=High; Recommendation=Apply the P-2 retention matrix and restore retrievable archives.; Observation Category=Documentation; Origin=CORE; Active=Yes; Remarks=P-2 validated observation chain.</x:v>
      </x:c>
      <x:c r="E399" s="33" t="str">
        <x:v>ADD</x:v>
      </x:c>
      <x:c r="F399" s="33" t="str">
        <x:v>Add observation aligned to the validated audit procedure.</x:v>
      </x:c>
      <x:c r="G399" s="33" t="str">
        <x:v>CDSCO official Drugs Rules / Gazette</x:v>
      </x:c>
      <x:c r="H399" s="33" t="str">
        <x:v>https://cdsco.gov.in/opencms/resources/UploadCDSCOWeb/2022/drug_rules/Drugs%20Rules%2C%201945.pdf</x:v>
      </x:c>
      <x:c r="I399" s="33" t="str">
        <x:v>P-2</x:v>
      </x:c>
      <x:c r="J399" s="33" t="str">
        <x:v>2026-08-20</x:v>
      </x:c>
      <x:c r="K399" s="33" t="str">
        <x:v>New controlled P-2 chain node.</x:v>
      </x:c>
    </x:row>
    <x:row r="400">
      <x:c r="A400" s="33" t="str">
        <x:v>OBS273</x:v>
      </x:c>
      <x:c r="B400" s="33" t="str">
        <x:v>Observation Master</x:v>
      </x:c>
      <x:c r="C400" s="33" t="str">
        <x:v>Not present</x:v>
      </x:c>
      <x:c r="D400" s="33" t="str">
        <x:v>Observation ID=OBS273; Audit ID=AUD544; Observation Template=Scheduled medicines lacked the applicable Rule 97 label warning or symbol.; Risk Level=High; Recommendation=Quarantine affected stock and obtain compliant product before sale.; Observation Category=Quality; Origin=CORE; Active=Yes; Remarks=P-2 validated observation chain.</x:v>
      </x:c>
      <x:c r="E400" s="33" t="str">
        <x:v>ADD</x:v>
      </x:c>
      <x:c r="F400" s="33" t="str">
        <x:v>Add observation aligned to the validated audit procedure.</x:v>
      </x:c>
      <x:c r="G400" s="33" t="str">
        <x:v>CDSCO official Drugs Rules / Gazette</x:v>
      </x:c>
      <x:c r="H400" s="33" t="str">
        <x:v>https://cdsco.gov.in/opencms/resources/UploadCDSCOWeb/2022/drug_rules/Drugs%20Rules%2C%201945.pdf</x:v>
      </x:c>
      <x:c r="I400" s="33" t="str">
        <x:v>P-2</x:v>
      </x:c>
      <x:c r="J400" s="33" t="str">
        <x:v>2026-08-20</x:v>
      </x:c>
      <x:c r="K400" s="33" t="str">
        <x:v>New controlled P-2 chain node.</x:v>
      </x:c>
    </x:row>
    <x:row r="401">
      <x:c r="A401" s="33" t="str">
        <x:v>OBS274</x:v>
      </x:c>
      <x:c r="B401" s="33" t="str">
        <x:v>Observation Master</x:v>
      </x:c>
      <x:c r="C401" s="33" t="str">
        <x:v>Not present</x:v>
      </x:c>
      <x:c r="D401" s="33" t="str">
        <x:v>Observation ID=OBS274; Audit ID=AUD545; Observation Template=A drug was sold or distributed despite non-compliant labelling.; Risk Level=Critical; Recommendation=Stop sale, quarantine stock and escalate to the supplier/licensing authority as required.; Observation Category=Quality; Origin=CORE; Active=Yes; Remarks=P-2 validated observation chain.</x:v>
      </x:c>
      <x:c r="E401" s="33" t="str">
        <x:v>ADD</x:v>
      </x:c>
      <x:c r="F401" s="33" t="str">
        <x:v>Add observation aligned to the validated audit procedure.</x:v>
      </x:c>
      <x:c r="G401" s="33" t="str">
        <x:v>CDSCO official Drugs Rules / Gazette</x:v>
      </x:c>
      <x:c r="H401" s="33" t="str">
        <x:v>https://cdsco.gov.in/opencms/resources/UploadCDSCOWeb/2022/drug_rules/Drugs%20Rules%2C%201945.pdf</x:v>
      </x:c>
      <x:c r="I401" s="33" t="str">
        <x:v>P-2</x:v>
      </x:c>
      <x:c r="J401" s="33" t="str">
        <x:v>2026-08-20</x:v>
      </x:c>
      <x:c r="K401" s="33" t="str">
        <x:v>New controlled P-2 chain node.</x:v>
      </x:c>
    </x:row>
    <x:row r="402">
      <x:c r="A402" s="33" t="str">
        <x:v>OBS275</x:v>
      </x:c>
      <x:c r="B402" s="33" t="str">
        <x:v>Observation Master</x:v>
      </x:c>
      <x:c r="C402" s="33" t="str">
        <x:v>Not present</x:v>
      </x:c>
      <x:c r="D402" s="33" t="str">
        <x:v>Observation ID=OBS275; Audit ID=AUD546; Observation Template=Schedule H dispensing exceeded repeat directions, lacked annotation or involved unauthorized substitution.; Risk Level=High; Recommendation=Enforce Rule 65(11)/(11A) controls at dispensing.; Observation Category=Prescription; Origin=CORE; Active=Yes; Remarks=P-2 validated observation chain.</x:v>
      </x:c>
      <x:c r="E402" s="33" t="str">
        <x:v>ADD</x:v>
      </x:c>
      <x:c r="F402" s="33" t="str">
        <x:v>Add observation aligned to the validated audit procedure.</x:v>
      </x:c>
      <x:c r="G402" s="33" t="str">
        <x:v>CDSCO official Drugs Rules / Gazette</x:v>
      </x:c>
      <x:c r="H402" s="33" t="str">
        <x:v>https://cdsco.gov.in/opencms/resources/UploadCDSCOWeb/2022/drug_rules/Drugs%20Rules%2C%201945.pdf</x:v>
      </x:c>
      <x:c r="I402" s="33" t="str">
        <x:v>P-2</x:v>
      </x:c>
      <x:c r="J402" s="33" t="str">
        <x:v>2026-08-20</x:v>
      </x:c>
      <x:c r="K402" s="33" t="str">
        <x:v>New controlled P-2 chain node.</x:v>
      </x:c>
    </x:row>
    <x:row r="403">
      <x:c r="A403" s="33" t="str">
        <x:v>OBS276</x:v>
      </x:c>
      <x:c r="B403" s="33" t="str">
        <x:v>Observation Master</x:v>
      </x:c>
      <x:c r="C403" s="33" t="str">
        <x:v>Not present</x:v>
      </x:c>
      <x:c r="D403" s="33" t="str">
        <x:v>Observation ID=OBS276; Audit ID=AUD547; Observation Template=A Schedule H1 product was misclassified or supplied without the required control path.; Risk Level=Critical; Recommendation=Correct classification and complete prescription/register controls.; Observation Category=Controlled Drugs; Origin=CORE; Active=Yes; Remarks=P-2 validated observation chain.</x:v>
      </x:c>
      <x:c r="E403" s="33" t="str">
        <x:v>ADD</x:v>
      </x:c>
      <x:c r="F403" s="33" t="str">
        <x:v>Add observation aligned to the validated audit procedure.</x:v>
      </x:c>
      <x:c r="G403" s="33" t="str">
        <x:v>CDSCO official Drugs Rules / Gazette</x:v>
      </x:c>
      <x:c r="H403" s="33" t="str">
        <x:v>https://cdsco.gov.in/opencms/resources/UploadCDSCOWeb/2022/drug_rules/Drugs%20Rules%2C%201945.pdf</x:v>
      </x:c>
      <x:c r="I403" s="33" t="str">
        <x:v>P-2</x:v>
      </x:c>
      <x:c r="J403" s="33" t="str">
        <x:v>2026-08-20</x:v>
      </x:c>
      <x:c r="K403" s="33" t="str">
        <x:v>New controlled P-2 chain node.</x:v>
      </x:c>
    </x:row>
    <x:row r="404">
      <x:c r="A404" s="33" t="str">
        <x:v>OBS277</x:v>
      </x:c>
      <x:c r="B404" s="33" t="str">
        <x:v>Observation Master</x:v>
      </x:c>
      <x:c r="C404" s="33" t="str">
        <x:v>Not present</x:v>
      </x:c>
      <x:c r="D404" s="33" t="str">
        <x:v>Observation ID=OBS277; Audit ID=AUD548; Observation Template=Schedule X sale lacked a duplicate prescription or the retained copy was unavailable for two years.; Risk Level=Critical; Recommendation=Stop non-compliant Schedule X supply and restore duplicate-prescription retention.; Observation Category=Controlled Drugs; Origin=CORE; Active=Yes; Remarks=P-2 validated observation chain.</x:v>
      </x:c>
      <x:c r="E404" s="33" t="str">
        <x:v>ADD</x:v>
      </x:c>
      <x:c r="F404" s="33" t="str">
        <x:v>Add observation aligned to the validated audit procedure.</x:v>
      </x:c>
      <x:c r="G404" s="33" t="str">
        <x:v>CDSCO official Drugs Rules / Gazette</x:v>
      </x:c>
      <x:c r="H404" s="33" t="str">
        <x:v>https://cdsco.gov.in/opencms/resources/UploadCDSCOWeb/2022/drug_rules/Drugs%20Rules%2C%201945.pdf</x:v>
      </x:c>
      <x:c r="I404" s="33" t="str">
        <x:v>P-2</x:v>
      </x:c>
      <x:c r="J404" s="33" t="str">
        <x:v>2026-08-20</x:v>
      </x:c>
      <x:c r="K404" s="33" t="str">
        <x:v>New controlled P-2 chain node.</x:v>
      </x:c>
    </x:row>
    <x:row r="405">
      <x:c r="A405" s="33" t="str">
        <x:v>OBS278</x:v>
      </x:c>
      <x:c r="B405" s="33" t="str">
        <x:v>Observation Master</x:v>
      </x:c>
      <x:c r="C405" s="33" t="str">
        <x:v>Not present</x:v>
      </x:c>
      <x:c r="D405" s="33" t="str">
        <x:v>Observation ID=OBS278; Audit ID=AUD549; Observation Template=Schedule G medicine lacked the prescribed cautionary label.; Risk Level=High; Recommendation=Quarantine the stock and accept only correctly labelled packs.; Observation Category=Quality; Origin=CORE; Active=Yes; Remarks=P-2 validated observation chain.</x:v>
      </x:c>
      <x:c r="E405" s="33" t="str">
        <x:v>ADD</x:v>
      </x:c>
      <x:c r="F405" s="33" t="str">
        <x:v>Add observation aligned to the validated audit procedure.</x:v>
      </x:c>
      <x:c r="G405" s="33" t="str">
        <x:v>CDSCO official Drugs Rules / Gazette</x:v>
      </x:c>
      <x:c r="H405" s="33" t="str">
        <x:v>https://cdsco.gov.in/opencms/resources/UploadCDSCOWeb/2022/drug_rules/Drugs%20Rules%2C%201945.pdf</x:v>
      </x:c>
      <x:c r="I405" s="33" t="str">
        <x:v>P-2</x:v>
      </x:c>
      <x:c r="J405" s="33" t="str">
        <x:v>2026-08-20</x:v>
      </x:c>
      <x:c r="K405" s="33" t="str">
        <x:v>New controlled P-2 chain node.</x:v>
      </x:c>
    </x:row>
    <x:row r="406">
      <x:c r="A406" s="33" t="str">
        <x:v>OBS279</x:v>
      </x:c>
      <x:c r="B406" s="33" t="str">
        <x:v>Observation Master</x:v>
      </x:c>
      <x:c r="C406" s="33" t="str">
        <x:v>Not present</x:v>
      </x:c>
      <x:c r="D406" s="33" t="str">
        <x:v>Observation ID=OBS279; Audit ID=AUD550; Observation Template=A Schedule K exemption was claimed without satisfying its exact conditions.; Risk Level=High; Recommendation=Withdraw the exemption claim and regularize the underlying licence/control.; Observation Category=Licensing; Origin=CORE; Active=Yes; Remarks=P-2 validated observation chain.</x:v>
      </x:c>
      <x:c r="E406" s="33" t="str">
        <x:v>ADD</x:v>
      </x:c>
      <x:c r="F406" s="33" t="str">
        <x:v>Add observation aligned to the validated audit procedure.</x:v>
      </x:c>
      <x:c r="G406" s="33" t="str">
        <x:v>CDSCO official Drugs Rules / Gazette</x:v>
      </x:c>
      <x:c r="H406" s="33" t="str">
        <x:v>https://cdsco.gov.in/opencms/resources/UploadCDSCOWeb/2022/drug_rules/Drugs%20Rules%2C%201945.pdf</x:v>
      </x:c>
      <x:c r="I406" s="33" t="str">
        <x:v>P-2</x:v>
      </x:c>
      <x:c r="J406" s="33" t="str">
        <x:v>2026-08-20</x:v>
      </x:c>
      <x:c r="K406" s="33" t="str">
        <x:v>New controlled P-2 chain node.</x:v>
      </x:c>
    </x:row>
    <x:row r="407">
      <x:c r="A407" s="33" t="str">
        <x:v>OBS280</x:v>
      </x:c>
      <x:c r="B407" s="33" t="str">
        <x:v>Observation Master</x:v>
      </x:c>
      <x:c r="C407" s="33" t="str">
        <x:v>Not present</x:v>
      </x:c>
      <x:c r="D407" s="33" t="str">
        <x:v>Observation ID=OBS280; Audit ID=AUD551; Observation Template=Schedule H2 stock was accepted despite a missing or unreadable mandated code.; Risk Level=Medium; Recommendation=Quarantine/escalate defective packs and strengthen goods-receipt verification.; Observation Category=Quality; Origin=CORE; Active=Yes; Remarks=P-2 validated observation chain.</x:v>
      </x:c>
      <x:c r="E407" s="33" t="str">
        <x:v>ADD</x:v>
      </x:c>
      <x:c r="F407" s="33" t="str">
        <x:v>Add observation aligned to the validated audit procedure.</x:v>
      </x:c>
      <x:c r="G407" s="33" t="str">
        <x:v>CDSCO official Drugs Rules / Gazette</x:v>
      </x:c>
      <x:c r="H407" s="33" t="str">
        <x:v>https://cdsco.gov.in/opencms/resources/UploadCDSCOWeb/2022/drug_rules/Drugs%20Rules%2C%201945.pdf</x:v>
      </x:c>
      <x:c r="I407" s="33" t="str">
        <x:v>P-2</x:v>
      </x:c>
      <x:c r="J407" s="33" t="str">
        <x:v>2026-08-20</x:v>
      </x:c>
      <x:c r="K407" s="33" t="str">
        <x:v>New controlled P-2 chain node.</x:v>
      </x:c>
    </x:row>
    <x:row r="408">
      <x:c r="A408" s="33" t="str">
        <x:v>OBS281</x:v>
      </x:c>
      <x:c r="B408" s="33" t="str">
        <x:v>Observation Master</x:v>
      </x:c>
      <x:c r="C408" s="33" t="str">
        <x:v>Not present</x:v>
      </x:c>
      <x:c r="D408" s="33" t="str">
        <x:v>Observation ID=OBS281; Audit ID=AUD552; Observation Template=Drugs were sold or stocked at a place not covered by a separate licence.; Risk Level=Critical; Recommendation=Cease activity at the unlicensed place and obtain the required licence.; Observation Category=Licensing; Origin=CORE; Active=Yes; Remarks=P-2 validated observation chain.</x:v>
      </x:c>
      <x:c r="E408" s="33" t="str">
        <x:v>ADD</x:v>
      </x:c>
      <x:c r="F408" s="33" t="str">
        <x:v>Add observation aligned to the validated audit procedure.</x:v>
      </x:c>
      <x:c r="G408" s="33" t="str">
        <x:v>CDSCO official Drugs Rules / Gazette</x:v>
      </x:c>
      <x:c r="H408" s="33" t="str">
        <x:v>https://cdsco.gov.in/opencms/resources/UploadCDSCOWeb/2022/drug_rules/Drugs%20Rules%2C%201945.pdf</x:v>
      </x:c>
      <x:c r="I408" s="33" t="str">
        <x:v>P-2</x:v>
      </x:c>
      <x:c r="J408" s="33" t="str">
        <x:v>2026-08-20</x:v>
      </x:c>
      <x:c r="K408" s="33" t="str">
        <x:v>New controlled P-2 chain node.</x:v>
      </x:c>
    </x:row>
    <x:row r="409">
      <x:c r="A409" s="33" t="str">
        <x:v>OBS282</x:v>
      </x:c>
      <x:c r="B409" s="33" t="str">
        <x:v>Observation Master</x:v>
      </x:c>
      <x:c r="C409" s="33" t="str">
        <x:v>Not present</x:v>
      </x:c>
      <x:c r="D409" s="33" t="str">
        <x:v>Observation ID=OBS282; Audit ID=AUD553; Observation Template=Licence retention fee was not paid within the Rule 63 timeline.; Risk Level=Critical; Recommendation=Assess licence status immediately and regularize payment/operations with the authority.; Observation Category=Licensing; Origin=CORE; Active=Yes; Remarks=P-2 validated observation chain.</x:v>
      </x:c>
      <x:c r="E409" s="33" t="str">
        <x:v>ADD</x:v>
      </x:c>
      <x:c r="F409" s="33" t="str">
        <x:v>Add observation aligned to the validated audit procedure.</x:v>
      </x:c>
      <x:c r="G409" s="33" t="str">
        <x:v>CDSCO official Drugs Rules / Gazette</x:v>
      </x:c>
      <x:c r="H409" s="33" t="str">
        <x:v>https://cdsco.gov.in/opencms/resources/UploadCDSCOWeb/2022/drug_rules/Drugs%20Rules%2C%201945.pdf</x:v>
      </x:c>
      <x:c r="I409" s="33" t="str">
        <x:v>P-2</x:v>
      </x:c>
      <x:c r="J409" s="33" t="str">
        <x:v>2026-08-20</x:v>
      </x:c>
      <x:c r="K409" s="33" t="str">
        <x:v>New controlled P-2 chain node.</x:v>
      </x:c>
    </x:row>
    <x:row r="410">
      <x:c r="A410" s="33" t="str">
        <x:v>OBS283</x:v>
      </x:c>
      <x:c r="B410" s="33" t="str">
        <x:v>Observation Master</x:v>
      </x:c>
      <x:c r="C410" s="33" t="str">
        <x:v>Not present</x:v>
      </x:c>
      <x:c r="D410" s="33" t="str">
        <x:v>Observation ID=OBS283; Audit ID=AUD554; Observation Template=Required Rule 65A evidence was incomplete, inaccurate or not furnished.; Risk Level=High; Recommendation=Submit verified documentary evidence and close the authority's demand.; Observation Category=Regulatory Filing; Origin=CORE; Active=Yes; Remarks=P-2 validated observation chain.</x:v>
      </x:c>
      <x:c r="E410" s="33" t="str">
        <x:v>ADD</x:v>
      </x:c>
      <x:c r="F410" s="33" t="str">
        <x:v>Add observation aligned to the validated audit procedure.</x:v>
      </x:c>
      <x:c r="G410" s="33" t="str">
        <x:v>CDSCO official Drugs Rules / Gazette</x:v>
      </x:c>
      <x:c r="H410" s="33" t="str">
        <x:v>https://cdsco.gov.in/opencms/resources/UploadCDSCOWeb/2022/drug_rules/Drugs%20Rules%2C%201945.pdf</x:v>
      </x:c>
      <x:c r="I410" s="33" t="str">
        <x:v>P-2</x:v>
      </x:c>
      <x:c r="J410" s="33" t="str">
        <x:v>2026-08-20</x:v>
      </x:c>
      <x:c r="K410" s="33" t="str">
        <x:v>New controlled P-2 chain node.</x:v>
      </x:c>
    </x:row>
    <x:row r="411">
      <x:c r="A411" s="33" t="str">
        <x:v>OBS284</x:v>
      </x:c>
      <x:c r="B411" s="33" t="str">
        <x:v>Observation Master</x:v>
      </x:c>
      <x:c r="C411" s="33" t="str">
        <x:v>Not present</x:v>
      </x:c>
      <x:c r="D411" s="33" t="str">
        <x:v>Observation ID=OBS284; Audit ID=AUD555; Observation Template=Schedule H1 register entries were incomplete or not retained for three years.; Risk Level=Critical; Recommendation=Reconstruct permissible records and enforce transaction-time H1 entry checks.; Observation Category=Controlled Drugs; Origin=CORE; Active=Yes; Remarks=P-2 validated observation chain.</x:v>
      </x:c>
      <x:c r="E411" s="33" t="str">
        <x:v>ADD</x:v>
      </x:c>
      <x:c r="F411" s="33" t="str">
        <x:v>Add observation aligned to the validated audit procedure.</x:v>
      </x:c>
      <x:c r="G411" s="33" t="str">
        <x:v>CDSCO official Drugs Rules / Gazette</x:v>
      </x:c>
      <x:c r="H411" s="33" t="str">
        <x:v>https://cdsco.gov.in/opencms/resources/UploadCDSCOWeb/2022/drug_rules/Drugs%20Rules%2C%201945.pdf</x:v>
      </x:c>
      <x:c r="I411" s="33" t="str">
        <x:v>P-2</x:v>
      </x:c>
      <x:c r="J411" s="33" t="str">
        <x:v>2026-08-20</x:v>
      </x:c>
      <x:c r="K411" s="33" t="str">
        <x:v>New controlled P-2 chain node.</x:v>
      </x:c>
    </x:row>
    <x:row r="412">
      <x:c r="A412" s="33" t="str">
        <x:v>OBS285</x:v>
      </x:c>
      <x:c r="B412" s="33" t="str">
        <x:v>Observation Master</x:v>
      </x:c>
      <x:c r="C412" s="33" t="str">
        <x:v>Not present</x:v>
      </x:c>
      <x:c r="D412" s="33" t="str">
        <x:v>Observation ID=OBS285; Audit ID=AUD556; Observation Template=Wholesale memo copies were unavailable within the three-year period.; Risk Level=High; Recommendation=Restore the three-year wholesale archive and monitor completeness.; Observation Category=Documentation; Origin=CORE; Active=Yes; Remarks=P-2 validated observation chain.</x:v>
      </x:c>
      <x:c r="E412" s="33" t="str">
        <x:v>ADD</x:v>
      </x:c>
      <x:c r="F412" s="33" t="str">
        <x:v>Add observation aligned to the validated audit procedure.</x:v>
      </x:c>
      <x:c r="G412" s="33" t="str">
        <x:v>CDSCO official Drugs Rules / Gazette</x:v>
      </x:c>
      <x:c r="H412" s="33" t="str">
        <x:v>https://cdsco.gov.in/opencms/resources/UploadCDSCOWeb/2022/drug_rules/Drugs%20Rules%2C%201945.pdf</x:v>
      </x:c>
      <x:c r="I412" s="33" t="str">
        <x:v>P-2</x:v>
      </x:c>
      <x:c r="J412" s="33" t="str">
        <x:v>2026-08-20</x:v>
      </x:c>
      <x:c r="K412" s="33" t="str">
        <x:v>New controlled P-2 chain node.</x:v>
      </x:c>
    </x:row>
    <x:row r="413">
      <x:c r="A413" s="33" t="str">
        <x:v>OBS286</x:v>
      </x:c>
      <x:c r="B413" s="33" t="str">
        <x:v>Observation Master</x:v>
      </x:c>
      <x:c r="C413" s="33" t="str">
        <x:v>Not present</x:v>
      </x:c>
      <x:c r="D413" s="33" t="str">
        <x:v>Observation ID=OBS286; Audit ID=AUD557; Observation Template=Risk-based H1/X reconciliation was not performed or exceptions were unresolved.; Risk Level=Medium; Recommendation=Complete the internal review and document exception closure; do not describe it as a statutory monthly register duty.; Observation Category=Inventory; Origin=CORE; Active=Yes; Remarks=P-2 validated observation chain.</x:v>
      </x:c>
      <x:c r="E413" s="33" t="str">
        <x:v>ADD</x:v>
      </x:c>
      <x:c r="F413" s="33" t="str">
        <x:v>Add observation aligned to the validated audit procedure.</x:v>
      </x:c>
      <x:c r="G413" s="33" t="str">
        <x:v>CDSCO official Drugs Rules / Gazette</x:v>
      </x:c>
      <x:c r="H413" s="33" t="str">
        <x:v>https://cdsco.gov.in/opencms/resources/UploadCDSCOWeb/2022/drug_rules/Drugs%20Rules%2C%201945.pdf</x:v>
      </x:c>
      <x:c r="I413" s="33" t="str">
        <x:v>P-2</x:v>
      </x:c>
      <x:c r="J413" s="33" t="str">
        <x:v>2026-08-20</x:v>
      </x:c>
      <x:c r="K413" s="33" t="str">
        <x:v>New controlled P-2 chain node.</x:v>
      </x:c>
    </x:row>
    <x:row r="414">
      <x:c r="A414" s="33" t="str">
        <x:v>OBS287</x:v>
      </x:c>
      <x:c r="B414" s="33" t="str">
        <x:v>Observation Master</x:v>
      </x:c>
      <x:c r="C414" s="33" t="str">
        <x:v>Not present</x:v>
      </x:c>
      <x:c r="D414" s="33" t="str">
        <x:v>Observation ID=OBS287; Audit ID=AUD558; Observation Template=Schedule X substances were not held in the restricted storage required by Rule 65(12).; Risk Level=Critical; Recommendation=Move stock to compliant restricted storage immediately.; Observation Category=Storage; Origin=CORE; Active=Yes; Remarks=P-2 validated observation chain.</x:v>
      </x:c>
      <x:c r="E414" s="33" t="str">
        <x:v>ADD</x:v>
      </x:c>
      <x:c r="F414" s="33" t="str">
        <x:v>Add observation aligned to the validated audit procedure.</x:v>
      </x:c>
      <x:c r="G414" s="33" t="str">
        <x:v>CDSCO official Drugs Rules / Gazette</x:v>
      </x:c>
      <x:c r="H414" s="33" t="str">
        <x:v>https://cdsco.gov.in/opencms/resources/UploadCDSCOWeb/2022/drug_rules/Drugs%20Rules%2C%201945.pdf</x:v>
      </x:c>
      <x:c r="I414" s="33" t="str">
        <x:v>P-2</x:v>
      </x:c>
      <x:c r="J414" s="33" t="str">
        <x:v>2026-08-20</x:v>
      </x:c>
      <x:c r="K414" s="33" t="str">
        <x:v>New controlled P-2 chain node.</x:v>
      </x:c>
    </x:row>
    <x:row r="415">
      <x:c r="A415" s="33" t="str">
        <x:v>OBS288</x:v>
      </x:c>
      <x:c r="B415" s="33" t="str">
        <x:v>Observation Master</x:v>
      </x:c>
      <x:c r="C415" s="33" t="str">
        <x:v>Not present</x:v>
      </x:c>
      <x:c r="D415" s="33" t="str">
        <x:v>Observation ID=OBS288; Audit ID=AUD559; Observation Template=Schedule X register format or transaction particulars were non-compliant.; Risk Level=Critical; Recommendation=Correct the register control and investigate missing transactions.; Observation Category=Controlled Drugs; Origin=CORE; Active=Yes; Remarks=P-2 validated observation chain.</x:v>
      </x:c>
      <x:c r="E415" s="33" t="str">
        <x:v>ADD</x:v>
      </x:c>
      <x:c r="F415" s="33" t="str">
        <x:v>Add observation aligned to the validated audit procedure.</x:v>
      </x:c>
      <x:c r="G415" s="33" t="str">
        <x:v>CDSCO official Drugs Rules / Gazette</x:v>
      </x:c>
      <x:c r="H415" s="33" t="str">
        <x:v>https://cdsco.gov.in/opencms/resources/UploadCDSCOWeb/2022/drug_rules/Drugs%20Rules%2C%201945.pdf</x:v>
      </x:c>
      <x:c r="I415" s="33" t="str">
        <x:v>P-2</x:v>
      </x:c>
      <x:c r="J415" s="33" t="str">
        <x:v>2026-08-20</x:v>
      </x:c>
      <x:c r="K415" s="33" t="str">
        <x:v>New controlled P-2 chain node.</x:v>
      </x:c>
    </x:row>
    <x:row r="416">
      <x:c r="A416" s="33" t="str">
        <x:v>OBS289</x:v>
      </x:c>
      <x:c r="B416" s="33" t="str">
        <x:v>Observation Master</x:v>
      </x:c>
      <x:c r="C416" s="33" t="str">
        <x:v>Not present</x:v>
      </x:c>
      <x:c r="D416" s="33" t="str">
        <x:v>Observation ID=OBS289; Audit ID=AUD560; Observation Template=Prescription particulars or dispensing controls under Rule 65(10)-(11A) were not met.; Risk Level=Critical; Recommendation=Block dispensing until the prescription and dispensing controls are satisfied.; Observation Category=Prescription; Origin=CORE; Active=Yes; Remarks=P-2 validated observation chain.</x:v>
      </x:c>
      <x:c r="E416" s="33" t="str">
        <x:v>ADD</x:v>
      </x:c>
      <x:c r="F416" s="33" t="str">
        <x:v>Add observation aligned to the validated audit procedure.</x:v>
      </x:c>
      <x:c r="G416" s="33" t="str">
        <x:v>CDSCO official Drugs Rules / Gazette</x:v>
      </x:c>
      <x:c r="H416" s="33" t="str">
        <x:v>https://cdsco.gov.in/opencms/resources/UploadCDSCOWeb/2022/drug_rules/Drugs%20Rules%2C%201945.pdf</x:v>
      </x:c>
      <x:c r="I416" s="33" t="str">
        <x:v>P-2</x:v>
      </x:c>
      <x:c r="J416" s="33" t="str">
        <x:v>2026-08-20</x:v>
      </x:c>
      <x:c r="K416" s="33" t="str">
        <x:v>New controlled P-2 chain node.</x:v>
      </x:c>
    </x:row>
    <x:row r="417">
      <x:c r="A417" s="33" t="str">
        <x:v>AUD158</x:v>
      </x:c>
      <x:c r="B417" s="33" t="str">
        <x:v>Audit Procedure Master</x:v>
      </x:c>
      <x:c r="C417" s="33" t="str">
        <x:v>Compliance ID=COMP076; Audit Procedure=Verify that prescription medicines are dispensed only against a valid prescription from a registered medical practitioner.; Audit Method=Record Verification; Audit Frequency=Daily; Risk Focus=Prescription Controls; Active=No; Remarks=Sample prescriptions across different therapeutic categories. | P-0 QUARANTINED: Common Companies Act content is owned by Common Corporate Core; legacy ID retained for migration traceability.</x:v>
      </x:c>
      <x:c r="D417" s="33" t="str">
        <x:v>Compliance ID=COMP014; Audit Procedure=Sample Schedule H/H1/X retail sales and verify a valid RMP prescription existed and matched the supply.; Audit Method=Record Verification; Audit Frequency=Monthly; Risk Focus=Prescription Controls; Active=Yes; Remarks=P-2 RESCUED from P-0 quarantine; statutory Rule 65(9)(a).</x:v>
      </x:c>
      <x:c r="E417" s="33" t="str">
        <x:v>RECLASSIFY / RESCUE</x:v>
      </x:c>
      <x:c r="F417" s="33" t="str">
        <x:v>Restore genuine Pharmacy control quarantined in P-0 and attach it to the correct legal/professional parent.</x:v>
      </x:c>
      <x:c r="G417" s="33" t="str">
        <x:v>CDSCO official Drugs Rules / Gazette</x:v>
      </x:c>
      <x:c r="H417" s="33" t="str">
        <x:v>https://cdsco.gov.in/opencms/resources/UploadCDSCOWeb/2022/drug_rules/Drugs%20Rules%2C%201945.pdf | Pharmacy Practice Regulations, 2015</x:v>
      </x:c>
      <x:c r="I417" s="33" t="str">
        <x:v>P-2</x:v>
      </x:c>
      <x:c r="J417" s="33" t="str">
        <x:v>2026-08-20</x:v>
      </x:c>
      <x:c r="K417" s="33" t="str">
        <x:v>Audit ID preserved and reactivated with correct parent.</x:v>
      </x:c>
    </x:row>
    <x:row r="418">
      <x:c r="A418" s="33" t="str">
        <x:v>AUD159</x:v>
      </x:c>
      <x:c r="B418" s="33" t="str">
        <x:v>Audit Procedure Master</x:v>
      </x:c>
      <x:c r="C418" s="33" t="str">
        <x:v>Compliance ID=COMP076; Audit Procedure=Cross-check dispensed medicines against corresponding prescriptions for accuracy.; Audit Method=Document Review; Audit Frequency=Monthly; Risk Focus=Prescription Controls; Active=No; Remarks=Investigate discrepancies. | P-0 QUARANTINED: Common Companies Act content is owned by Common Corporate Core; legacy ID retained for migration traceability.</x:v>
      </x:c>
      <x:c r="D418" s="33" t="str">
        <x:v>Compliance ID=COMP119; Audit Procedure=Cross-check drug, quantity, repeat direction, seller/date annotation and absence of substitution against the prescription.; Audit Method=Document Review; Audit Frequency=Monthly; Risk Focus=Prescription Controls; Active=Yes; Remarks=P-2 RESCUED; Rule 65(10)-(11A).</x:v>
      </x:c>
      <x:c r="E418" s="33" t="str">
        <x:v>RECLASSIFY / RESCUE</x:v>
      </x:c>
      <x:c r="F418" s="33" t="str">
        <x:v>Restore genuine Pharmacy control quarantined in P-0 and attach it to the correct legal/professional parent.</x:v>
      </x:c>
      <x:c r="G418" s="33" t="str">
        <x:v>CDSCO official Drugs Rules / Gazette</x:v>
      </x:c>
      <x:c r="H418" s="33" t="str">
        <x:v>https://cdsco.gov.in/opencms/resources/UploadCDSCOWeb/2022/drug_rules/Drugs%20Rules%2C%201945.pdf | Pharmacy Practice Regulations, 2015</x:v>
      </x:c>
      <x:c r="I418" s="33" t="str">
        <x:v>P-2</x:v>
      </x:c>
      <x:c r="J418" s="33" t="str">
        <x:v>2026-08-20</x:v>
      </x:c>
      <x:c r="K418" s="33" t="str">
        <x:v>Audit ID preserved and reactivated with correct parent.</x:v>
      </x:c>
    </x:row>
    <x:row r="419">
      <x:c r="A419" s="33" t="str">
        <x:v>AUD160</x:v>
      </x:c>
      <x:c r="B419" s="33" t="str">
        <x:v>Audit Procedure Master</x:v>
      </x:c>
      <x:c r="C419" s="33" t="str">
        <x:v>Compliance ID=COMP077; Audit Procedure=Verify that prescriptions are complete, legible and contain mandatory particulars before dispensing.; Audit Method=Document Review; Audit Frequency=Daily; Risk Focus=Prescription Controls; Active=No; Remarks=Incomplete prescriptions should be referred back for clarification. | P-0 QUARANTINED: Common Companies Act content is owned by Common Corporate Core; legacy ID retained for migration traceability.</x:v>
      </x:c>
      <x:c r="D419" s="33" t="str">
        <x:v>Compliance ID=COMP119; Audit Procedure=Verify prescriptions are written, signed, dated and state patient identity/address, total amount and dose before dispensing.; Audit Method=Document Review; Audit Frequency=Monthly; Risk Focus=Prescription Controls; Active=Yes; Remarks=P-2 RESCUED; Rule 65(10).</x:v>
      </x:c>
      <x:c r="E419" s="33" t="str">
        <x:v>RECLASSIFY / RESCUE</x:v>
      </x:c>
      <x:c r="F419" s="33" t="str">
        <x:v>Restore genuine Pharmacy control quarantined in P-0 and attach it to the correct legal/professional parent.</x:v>
      </x:c>
      <x:c r="G419" s="33" t="str">
        <x:v>CDSCO official Drugs Rules / Gazette</x:v>
      </x:c>
      <x:c r="H419" s="33" t="str">
        <x:v>https://cdsco.gov.in/opencms/resources/UploadCDSCOWeb/2022/drug_rules/Drugs%20Rules%2C%201945.pdf | Pharmacy Practice Regulations, 2015</x:v>
      </x:c>
      <x:c r="I419" s="33" t="str">
        <x:v>P-2</x:v>
      </x:c>
      <x:c r="J419" s="33" t="str">
        <x:v>2026-08-20</x:v>
      </x:c>
      <x:c r="K419" s="33" t="str">
        <x:v>Audit ID preserved and reactivated with correct parent.</x:v>
      </x:c>
    </x:row>
    <x:row r="420">
      <x:c r="A420" s="33" t="str">
        <x:v>AUD161</x:v>
      </x:c>
      <x:c r="B420" s="33" t="str">
        <x:v>Audit Procedure Master</x:v>
      </x:c>
      <x:c r="C420" s="33" t="str">
        <x:v>Compliance ID=COMP077; Audit Procedure=Observe dispensing staff for adherence to prescription validation procedures.; Audit Method=Observation; Audit Frequency=Quarterly; Risk Focus=Personnel Competency; Active=No; Remarks=Confirm compliance with SOPs. | P-0 QUARANTINED: Common Companies Act content is owned by Common Corporate Core; legacy ID retained for migration traceability.</x:v>
      </x:c>
      <x:c r="D420" s="33" t="str">
        <x:v>Compliance ID=COMP015; Audit Procedure=Observe prescription supply to confirm personal supervision by a registered pharmacist.; Audit Method=Observation; Audit Frequency=Quarterly; Risk Focus=Personnel Competency; Active=Yes; Remarks=P-2 RESCUED; Rule 65(2).</x:v>
      </x:c>
      <x:c r="E420" s="33" t="str">
        <x:v>RECLASSIFY / RESCUE</x:v>
      </x:c>
      <x:c r="F420" s="33" t="str">
        <x:v>Restore genuine Pharmacy control quarantined in P-0 and attach it to the correct legal/professional parent.</x:v>
      </x:c>
      <x:c r="G420" s="33" t="str">
        <x:v>CDSCO official Drugs Rules / Gazette</x:v>
      </x:c>
      <x:c r="H420" s="33" t="str">
        <x:v>https://cdsco.gov.in/opencms/resources/UploadCDSCOWeb/2022/drug_rules/Drugs%20Rules%2C%201945.pdf | Pharmacy Practice Regulations, 2015</x:v>
      </x:c>
      <x:c r="I420" s="33" t="str">
        <x:v>P-2</x:v>
      </x:c>
      <x:c r="J420" s="33" t="str">
        <x:v>2026-08-20</x:v>
      </x:c>
      <x:c r="K420" s="33" t="str">
        <x:v>Audit ID preserved and reactivated with correct parent.</x:v>
      </x:c>
    </x:row>
    <x:row r="421">
      <x:c r="A421" s="33" t="str">
        <x:v>AUD162</x:v>
      </x:c>
      <x:c r="B421" s="33" t="str">
        <x:v>Audit Procedure Master</x:v>
      </x:c>
      <x:c r="C421" s="33" t="str">
        <x:v>Compliance ID=COMP078; Audit Procedure=Verify that pharmacist reviews prescriptions for dosage, strength and potential dispensing errors before supply.; Audit Method=Observation; Audit Frequency=Daily; Risk Focus=Personnel Competency; Active=No; Remarks=Review should be documented where applicable. | P-0 QUARANTINED: Common Companies Act content is owned by Common Corporate Core; legacy ID retained for migration traceability.</x:v>
      </x:c>
      <x:c r="D421" s="33" t="str">
        <x:v>Compliance ID=COMP163; Audit Procedure=Verify pharmacist review of dosage, strength and clinical appropriateness under the Pharmacy Practice Regulations, not as a Rule 65 statutory extraction.; Audit Method=Observation; Audit Frequency=Quarterly; Risk Focus=Personnel Competency; Active=Yes; Remarks=P-2 RESCUED and RECLASSIFIED to professional-practice parent.</x:v>
      </x:c>
      <x:c r="E421" s="33" t="str">
        <x:v>RECLASSIFY / RESCUE</x:v>
      </x:c>
      <x:c r="F421" s="33" t="str">
        <x:v>Restore genuine Pharmacy control quarantined in P-0 and attach it to the correct legal/professional parent.</x:v>
      </x:c>
      <x:c r="G421" s="33" t="str">
        <x:v>CDSCO official Drugs Rules / Gazette</x:v>
      </x:c>
      <x:c r="H421" s="33" t="str">
        <x:v>https://cdsco.gov.in/opencms/resources/UploadCDSCOWeb/2022/drug_rules/Drugs%20Rules%2C%201945.pdf | Pharmacy Practice Regulations, 2015</x:v>
      </x:c>
      <x:c r="I421" s="33" t="str">
        <x:v>P-2</x:v>
      </x:c>
      <x:c r="J421" s="33" t="str">
        <x:v>2026-08-20</x:v>
      </x:c>
      <x:c r="K421" s="33" t="str">
        <x:v>Audit ID preserved and reactivated with correct parent.</x:v>
      </x:c>
    </x:row>
    <x:row r="422">
      <x:c r="A422" s="33" t="str">
        <x:v>AUD163</x:v>
      </x:c>
      <x:c r="B422" s="33" t="str">
        <x:v>Audit Procedure Master</x:v>
      </x:c>
      <x:c r="C422" s="33" t="str">
        <x:v>Compliance ID=COMP078; Audit Procedure=Interview pharmacists regarding prescription verification procedures.; Audit Method=Interview; Audit Frequency=Annual; Risk Focus=Personnel Competency; Active=No; Remarks=Verify understanding of dispensing responsibilities. | P-0 QUARANTINED: Common Companies Act content is owned by Common Corporate Core; legacy ID retained for migration traceability.</x:v>
      </x:c>
      <x:c r="D422" s="33" t="str">
        <x:v>Compliance ID=COMP163; Audit Procedure=Interview registered pharmacists on professional prescription-review and escalation procedures.; Audit Method=Interview; Audit Frequency=Annual; Risk Focus=Personnel Competency; Active=Yes; Remarks=P-2 RESCUED and RECLASSIFIED to professional-practice parent.</x:v>
      </x:c>
      <x:c r="E422" s="33" t="str">
        <x:v>RECLASSIFY / RESCUE</x:v>
      </x:c>
      <x:c r="F422" s="33" t="str">
        <x:v>Restore genuine Pharmacy control quarantined in P-0 and attach it to the correct legal/professional parent.</x:v>
      </x:c>
      <x:c r="G422" s="33" t="str">
        <x:v>CDSCO official Drugs Rules / Gazette</x:v>
      </x:c>
      <x:c r="H422" s="33" t="str">
        <x:v>https://cdsco.gov.in/opencms/resources/UploadCDSCOWeb/2022/drug_rules/Drugs%20Rules%2C%201945.pdf | Pharmacy Practice Regulations, 2015</x:v>
      </x:c>
      <x:c r="I422" s="33" t="str">
        <x:v>P-2</x:v>
      </x:c>
      <x:c r="J422" s="33" t="str">
        <x:v>2026-08-20</x:v>
      </x:c>
      <x:c r="K422" s="33" t="str">
        <x:v>Audit ID preserved and reactivated with correct parent.</x:v>
      </x:c>
    </x:row>
    <x:row r="423">
      <x:c r="A423" s="33" t="str">
        <x:v>AUD164</x:v>
      </x:c>
      <x:c r="B423" s="33" t="str">
        <x:v>Audit Procedure Master</x:v>
      </x:c>
      <x:c r="C423" s="33" t="str">
        <x:v>Compliance ID=COMP079; Audit Procedure=Verify that prescriptions are retained for the statutory period wherever required.; Audit Method=Record Verification; Audit Frequency=Quarterly; Risk Focus=Prescription Controls; Active=No; Remarks=Ensure secure preservation. | P-0 QUARANTINED: Common Companies Act content is owned by Common Corporate Core; legacy ID retained for migration traceability.</x:v>
      </x:c>
      <x:c r="D423" s="33" t="str">
        <x:v>Compliance ID=COMP017; Audit Procedure=Test the retention matrix: H1 register three years; Schedule X duplicate prescription two years; institutional signed orders two years; wholesale memos three years; general registers at least two years.; Audit Method=Record Verification; Audit Frequency=Annual; Risk Focus=Recordkeeping; Active=Yes; Remarks=P-2 RESCUED; exact Rule 65 retention periods.</x:v>
      </x:c>
      <x:c r="E423" s="33" t="str">
        <x:v>RECLASSIFY / RESCUE</x:v>
      </x:c>
      <x:c r="F423" s="33" t="str">
        <x:v>Restore genuine Pharmacy control quarantined in P-0 and attach it to the correct legal/professional parent.</x:v>
      </x:c>
      <x:c r="G423" s="33" t="str">
        <x:v>CDSCO official Drugs Rules / Gazette</x:v>
      </x:c>
      <x:c r="H423" s="33" t="str">
        <x:v>https://cdsco.gov.in/opencms/resources/UploadCDSCOWeb/2022/drug_rules/Drugs%20Rules%2C%201945.pdf | Pharmacy Practice Regulations, 2015</x:v>
      </x:c>
      <x:c r="I423" s="33" t="str">
        <x:v>P-2</x:v>
      </x:c>
      <x:c r="J423" s="33" t="str">
        <x:v>2026-08-20</x:v>
      </x:c>
      <x:c r="K423" s="33" t="str">
        <x:v>Audit ID preserved and reactivated with correct parent.</x:v>
      </x:c>
    </x:row>
    <x:row r="424">
      <x:c r="A424" s="33" t="str">
        <x:v>AUD165</x:v>
      </x:c>
      <x:c r="B424" s="33" t="str">
        <x:v>Audit Procedure Master</x:v>
      </x:c>
      <x:c r="C424" s="33" t="str">
        <x:v>Compliance ID=COMP079; Audit Procedure=Inspect archived prescription records for completeness and retrievability.; Audit Method=Physical Inspection; Audit Frequency=Annual; Risk Focus=Prescription Controls; Active=No; Remarks=Records should be readily available for inspection. | P-0 QUARANTINED: Common Companies Act content is owned by Common Corporate Core; legacy ID retained for migration traceability.</x:v>
      </x:c>
      <x:c r="D424" s="33" t="str">
        <x:v>Compliance ID=COMP017; Audit Procedure=Inspect archived Rule 65 records for completeness, legibility, indexing and prompt production to an Inspector.; Audit Method=Physical Inspection; Audit Frequency=Annual; Risk Focus=Recordkeeping; Active=Yes; Remarks=P-2 RESCUED; Rule 65(6)-(7) plus specific periods.</x:v>
      </x:c>
      <x:c r="E424" s="33" t="str">
        <x:v>RECLASSIFY / RESCUE</x:v>
      </x:c>
      <x:c r="F424" s="33" t="str">
        <x:v>Restore genuine Pharmacy control quarantined in P-0 and attach it to the correct legal/professional parent.</x:v>
      </x:c>
      <x:c r="G424" s="33" t="str">
        <x:v>CDSCO official Drugs Rules / Gazette</x:v>
      </x:c>
      <x:c r="H424" s="33" t="str">
        <x:v>https://cdsco.gov.in/opencms/resources/UploadCDSCOWeb/2022/drug_rules/Drugs%20Rules%2C%201945.pdf | Pharmacy Practice Regulations, 2015</x:v>
      </x:c>
      <x:c r="I424" s="33" t="str">
        <x:v>P-2</x:v>
      </x:c>
      <x:c r="J424" s="33" t="str">
        <x:v>2026-08-20</x:v>
      </x:c>
      <x:c r="K424" s="33" t="str">
        <x:v>Audit ID preserved and reactivated with correct parent.</x:v>
      </x:c>
    </x:row>
    <x:row r="425">
      <x:c r="A425" s="33" t="str">
        <x:v>AUD166</x:v>
      </x:c>
      <x:c r="B425" s="33" t="str">
        <x:v>Audit Procedure Master</x:v>
      </x:c>
      <x:c r="C425" s="33" t="str">
        <x:v>Compliance ID=COMP080; Audit Procedure=Verify that Schedule H medicines are dispensed strictly in accordance with applicable legal requirements.; Audit Method=Document Review; Audit Frequency=Monthly; Risk Focus=General Compliance; Active=No; Remarks=Review representative samples. | P-0 QUARANTINED: Common Companies Act content is owned by Common Corporate Core; legacy ID retained for migration traceability.</x:v>
      </x:c>
      <x:c r="D425" s="33" t="str">
        <x:v>Compliance ID=COMP014; Audit Procedure=Verify Schedule H/H1/X retail dispensing complies with prescription-only controls; do not assume a standalone Schedule H register.; Audit Method=Document Review; Audit Frequency=Monthly; Risk Focus=Prescription Controls; Active=Yes; Remarks=P-2 RESCUED; corrected Schedule H register misconception.</x:v>
      </x:c>
      <x:c r="E425" s="33" t="str">
        <x:v>RECLASSIFY / RESCUE</x:v>
      </x:c>
      <x:c r="F425" s="33" t="str">
        <x:v>Restore genuine Pharmacy control quarantined in P-0 and attach it to the correct legal/professional parent.</x:v>
      </x:c>
      <x:c r="G425" s="33" t="str">
        <x:v>CDSCO official Drugs Rules / Gazette</x:v>
      </x:c>
      <x:c r="H425" s="33" t="str">
        <x:v>https://cdsco.gov.in/opencms/resources/UploadCDSCOWeb/2022/drug_rules/Drugs%20Rules%2C%201945.pdf | Pharmacy Practice Regulations, 2015</x:v>
      </x:c>
      <x:c r="I425" s="33" t="str">
        <x:v>P-2</x:v>
      </x:c>
      <x:c r="J425" s="33" t="str">
        <x:v>2026-08-20</x:v>
      </x:c>
      <x:c r="K425" s="33" t="str">
        <x:v>Audit ID preserved and reactivated with correct parent.</x:v>
      </x:c>
    </x:row>
    <x:row r="426">
      <x:c r="A426" s="33" t="str">
        <x:v>AUD167</x:v>
      </x:c>
      <x:c r="B426" s="33" t="str">
        <x:v>Audit Procedure Master</x:v>
      </x:c>
      <x:c r="C426" s="33" t="str">
        <x:v>Compliance ID=COMP080; Audit Procedure=Reconcile Schedule H dispensing records with inventory movement.; Audit Method=Reconciliation; Audit Frequency=Monthly; Risk Focus=Inventory Controls; Active=No; Remarks=Investigate unusual variances. | P-0 QUARANTINED: Common Companies Act content is owned by Common Corporate Core; legacy ID retained for migration traceability.</x:v>
      </x:c>
      <x:c r="D426" s="33" t="str">
        <x:v>Compliance ID=COMP116; Audit Procedure=Reconcile H1/X statutory records and other tracked prescription supplies to inventory as a best-practice diversion control, not a universal Schedule H statutory register.; Audit Method=Reconciliation; Audit Frequency=Monthly; Risk Focus=Inventory Controls; Active=Yes; Remarks=P-2 RESCUED and RECLASSIFIED as best practice.</x:v>
      </x:c>
      <x:c r="E426" s="33" t="str">
        <x:v>RECLASSIFY / RESCUE</x:v>
      </x:c>
      <x:c r="F426" s="33" t="str">
        <x:v>Restore genuine Pharmacy control quarantined in P-0 and attach it to the correct legal/professional parent.</x:v>
      </x:c>
      <x:c r="G426" s="33" t="str">
        <x:v>CDSCO official Drugs Rules / Gazette</x:v>
      </x:c>
      <x:c r="H426" s="33" t="str">
        <x:v>https://cdsco.gov.in/opencms/resources/UploadCDSCOWeb/2022/drug_rules/Drugs%20Rules%2C%201945.pdf | Pharmacy Practice Regulations, 2015</x:v>
      </x:c>
      <x:c r="I426" s="33" t="str">
        <x:v>P-2</x:v>
      </x:c>
      <x:c r="J426" s="33" t="str">
        <x:v>2026-08-20</x:v>
      </x:c>
      <x:c r="K426" s="33" t="str">
        <x:v>Audit ID preserved and reactivated with correct parent.</x:v>
      </x:c>
    </x:row>
    <x:row r="427">
      <x:c r="A427" s="33" t="str">
        <x:v>EVD172</x:v>
      </x:c>
      <x:c r="B427" s="33" t="str">
        <x:v>Evidence Master</x:v>
      </x:c>
      <x:c r="C427" s="33" t="str">
        <x:v>Evidence Required=Original Prescription; Evidence Type=Prescription; Mandatory=Yes; Retention Category=Transactional; Active=No; Remarks=Prescription should be issued by a registered medical practitioner. | P-0 QUARANTINED: Common Companies Act content is owned by Common Corporate Core; legacy ID retained for migration traceability.</x:v>
      </x:c>
      <x:c r="D427" s="33" t="str">
        <x:v>Evidence Required=Prescription and linked sale sample; Evidence Type=Prescription; Mandatory=Yes; Retention Category=Statutory; Active=Yes; Remarks=P-2: Rule 65(9)(a) sample.</x:v>
      </x:c>
      <x:c r="E427" s="33" t="str">
        <x:v>CORRECT / RESCUE</x:v>
      </x:c>
      <x:c r="F427" s="33" t="str">
        <x:v>Align rescued evidence to the exact Drugs Rules control.</x:v>
      </x:c>
      <x:c r="G427" s="33" t="str">
        <x:v>CDSCO official Drugs Rules / Gazette</x:v>
      </x:c>
      <x:c r="H427" s="33" t="str">
        <x:v>https://cdsco.gov.in/opencms/resources/UploadCDSCOWeb/2022/drug_rules/Drugs%20Rules%2C%201945.pdf</x:v>
      </x:c>
      <x:c r="I427" s="33" t="str">
        <x:v>P-2</x:v>
      </x:c>
      <x:c r="J427" s="33" t="str">
        <x:v>2026-08-20</x:v>
      </x:c>
      <x:c r="K427" s="33" t="str">
        <x:v>Existing ID preserved; downstream traceability remediated.</x:v>
      </x:c>
    </x:row>
    <x:row r="428">
      <x:c r="A428" s="33" t="str">
        <x:v>EVD173</x:v>
      </x:c>
      <x:c r="B428" s="33" t="str">
        <x:v>Evidence Master</x:v>
      </x:c>
      <x:c r="C428" s="33" t="str">
        <x:v>Evidence Required=Prescription Dispensing Register; Evidence Type=Prescription; Mandatory=Yes; Retention Category=Transactional; Active=No; Remarks=Record of dispensed prescriptions. | P-0 QUARANTINED: Common Companies Act content is owned by Common Corporate Core; legacy ID retained for migration traceability.</x:v>
      </x:c>
      <x:c r="D428" s="33" t="str">
        <x:v>Evidence Required=Rule 65 prescription register or qualifying cash/credit memo; Evidence Type=Register; Mandatory=Yes; Retention Category=Statutory; Active=Yes; Remarks=P-2: no universal Schedule H-only register assertion.</x:v>
      </x:c>
      <x:c r="E428" s="33" t="str">
        <x:v>CORRECT / RESCUE</x:v>
      </x:c>
      <x:c r="F428" s="33" t="str">
        <x:v>Align rescued evidence to the exact Drugs Rules control.</x:v>
      </x:c>
      <x:c r="G428" s="33" t="str">
        <x:v>CDSCO official Drugs Rules / Gazette</x:v>
      </x:c>
      <x:c r="H428" s="33" t="str">
        <x:v>https://cdsco.gov.in/opencms/resources/UploadCDSCOWeb/2022/drug_rules/Drugs%20Rules%2C%201945.pdf</x:v>
      </x:c>
      <x:c r="I428" s="33" t="str">
        <x:v>P-2</x:v>
      </x:c>
      <x:c r="J428" s="33" t="str">
        <x:v>2026-08-20</x:v>
      </x:c>
      <x:c r="K428" s="33" t="str">
        <x:v>Existing ID preserved; downstream traceability remediated.</x:v>
      </x:c>
    </x:row>
    <x:row r="429">
      <x:c r="A429" s="33" t="str">
        <x:v>EVD174</x:v>
      </x:c>
      <x:c r="B429" s="33" t="str">
        <x:v>Evidence Master</x:v>
      </x:c>
      <x:c r="C429" s="33" t="str">
        <x:v>Evidence Required=Prescription Validation Checklist; Evidence Type=Prescription; Mandatory=Yes; Retention Category=Transactional; Active=No; Remarks=Verify completeness before dispensing. | P-0 QUARANTINED: Common Companies Act content is owned by Common Corporate Core; legacy ID retained for migration traceability.</x:v>
      </x:c>
      <x:c r="D429" s="33" t="str">
        <x:v>Evidence Required=Prescription containing Rule 65(10) particulars; Evidence Type=Prescription; Mandatory=Yes; Retention Category=Transactional; Active=Yes; Remarks=P-2 validated.</x:v>
      </x:c>
      <x:c r="E429" s="33" t="str">
        <x:v>CORRECT / RESCUE</x:v>
      </x:c>
      <x:c r="F429" s="33" t="str">
        <x:v>Align rescued evidence to the exact Drugs Rules control.</x:v>
      </x:c>
      <x:c r="G429" s="33" t="str">
        <x:v>CDSCO official Drugs Rules / Gazette</x:v>
      </x:c>
      <x:c r="H429" s="33" t="str">
        <x:v>https://cdsco.gov.in/opencms/resources/UploadCDSCOWeb/2022/drug_rules/Drugs%20Rules%2C%201945.pdf</x:v>
      </x:c>
      <x:c r="I429" s="33" t="str">
        <x:v>P-2</x:v>
      </x:c>
      <x:c r="J429" s="33" t="str">
        <x:v>2026-08-20</x:v>
      </x:c>
      <x:c r="K429" s="33" t="str">
        <x:v>Existing ID preserved; downstream traceability remediated.</x:v>
      </x:c>
    </x:row>
    <x:row r="430">
      <x:c r="A430" s="33" t="str">
        <x:v>EVD175</x:v>
      </x:c>
      <x:c r="B430" s="33" t="str">
        <x:v>Evidence Master</x:v>
      </x:c>
      <x:c r="C430" s="33" t="str">
        <x:v>Evidence Required=Rejected / Clarified Prescription Register; Evidence Type=Prescription; Mandatory=No; Retention Category=Transactional; Active=No; Remarks=Maintain where prescriptions require clarification. | P-0 QUARANTINED: Common Companies Act content is owned by Common Corporate Core; legacy ID retained for migration traceability.</x:v>
      </x:c>
      <x:c r="D430" s="33" t="str">
        <x:v>Evidence Required=Seller/date annotation and clarification/escalation record; Evidence Type=Record; Mandatory=No; Retention Category=Transactional; Active=Yes; Remarks=P-2 validated.</x:v>
      </x:c>
      <x:c r="E430" s="33" t="str">
        <x:v>CORRECT / RESCUE</x:v>
      </x:c>
      <x:c r="F430" s="33" t="str">
        <x:v>Align rescued evidence to the exact Drugs Rules control.</x:v>
      </x:c>
      <x:c r="G430" s="33" t="str">
        <x:v>CDSCO official Drugs Rules / Gazette</x:v>
      </x:c>
      <x:c r="H430" s="33" t="str">
        <x:v>https://cdsco.gov.in/opencms/resources/UploadCDSCOWeb/2022/drug_rules/Drugs%20Rules%2C%201945.pdf</x:v>
      </x:c>
      <x:c r="I430" s="33" t="str">
        <x:v>P-2</x:v>
      </x:c>
      <x:c r="J430" s="33" t="str">
        <x:v>2026-08-20</x:v>
      </x:c>
      <x:c r="K430" s="33" t="str">
        <x:v>Existing ID preserved; downstream traceability remediated.</x:v>
      </x:c>
    </x:row>
    <x:row r="431">
      <x:c r="A431" s="33" t="str">
        <x:v>EVD176</x:v>
      </x:c>
      <x:c r="B431" s="33" t="str">
        <x:v>Evidence Master</x:v>
      </x:c>
      <x:c r="C431" s="33" t="str">
        <x:v>Evidence Required=Pharmacist Prescription Review Record; Evidence Type=Prescription; Mandatory=Yes; Retention Category=Transactional; Active=No; Remarks=Evidence of pharmacist verification. | P-0 QUARANTINED: Common Companies Act content is owned by Common Corporate Core; legacy ID retained for migration traceability.</x:v>
      </x:c>
      <x:c r="D431" s="33" t="str">
        <x:v>Evidence Required=Professional prescription-review / intervention record; Evidence Type=Record; Mandatory=No; Retention Category=Operational; Active=Yes; Remarks=P-2: Pharmacy Practice Regulations control, not Rule 65 extraction.</x:v>
      </x:c>
      <x:c r="E431" s="33" t="str">
        <x:v>CORRECT / RESCUE</x:v>
      </x:c>
      <x:c r="F431" s="33" t="str">
        <x:v>Align rescued evidence to the exact Drugs Rules control.</x:v>
      </x:c>
      <x:c r="G431" s="33" t="str">
        <x:v>CDSCO official Drugs Rules / Gazette</x:v>
      </x:c>
      <x:c r="H431" s="33" t="str">
        <x:v>https://cdsco.gov.in/opencms/resources/UploadCDSCOWeb/2022/drug_rules/Drugs%20Rules%2C%201945.pdf</x:v>
      </x:c>
      <x:c r="I431" s="33" t="str">
        <x:v>P-2</x:v>
      </x:c>
      <x:c r="J431" s="33" t="str">
        <x:v>2026-08-20</x:v>
      </x:c>
      <x:c r="K431" s="33" t="str">
        <x:v>Existing ID preserved; downstream traceability remediated.</x:v>
      </x:c>
    </x:row>
    <x:row r="432">
      <x:c r="A432" s="33" t="str">
        <x:v>EVD177</x:v>
      </x:c>
      <x:c r="B432" s="33" t="str">
        <x:v>Evidence Master</x:v>
      </x:c>
      <x:c r="C432" s="33" t="str">
        <x:v>Evidence Required=Pharmacist Registration Certificate; Evidence Type=Certificate; Mandatory=Yes; Retention Category=Permanent; Active=No; Remarks=Valid registration mandatory. | P-0 QUARANTINED: Common Companies Act content is owned by Common Corporate Core; legacy ID retained for migration traceability.</x:v>
      </x:c>
      <x:c r="D432" s="33" t="str">
        <x:v>Evidence Required=Registered pharmacist registration certificate and roster; Evidence Type=Certificate; Mandatory=Yes; Retention Category=Permanent; Active=Yes; Remarks=P-2 validated.</x:v>
      </x:c>
      <x:c r="E432" s="33" t="str">
        <x:v>CORRECT / RESCUE</x:v>
      </x:c>
      <x:c r="F432" s="33" t="str">
        <x:v>Align rescued evidence to the exact Drugs Rules control.</x:v>
      </x:c>
      <x:c r="G432" s="33" t="str">
        <x:v>CDSCO official Drugs Rules / Gazette</x:v>
      </x:c>
      <x:c r="H432" s="33" t="str">
        <x:v>https://cdsco.gov.in/opencms/resources/UploadCDSCOWeb/2022/drug_rules/Drugs%20Rules%2C%201945.pdf</x:v>
      </x:c>
      <x:c r="I432" s="33" t="str">
        <x:v>P-2</x:v>
      </x:c>
      <x:c r="J432" s="33" t="str">
        <x:v>2026-08-20</x:v>
      </x:c>
      <x:c r="K432" s="33" t="str">
        <x:v>Existing ID preserved; downstream traceability remediated.</x:v>
      </x:c>
    </x:row>
    <x:row r="433">
      <x:c r="A433" s="33" t="str">
        <x:v>EVD178</x:v>
      </x:c>
      <x:c r="B433" s="33" t="str">
        <x:v>Evidence Master</x:v>
      </x:c>
      <x:c r="C433" s="33" t="str">
        <x:v>Evidence Required=Archived Prescription File; Evidence Type=Prescription; Mandatory=Yes; Retention Category=Transactional; Active=No; Remarks=Preserve prescriptions for statutory period. | P-0 QUARANTINED: Common Companies Act content is owned by Common Corporate Core; legacy ID retained for migration traceability.</x:v>
      </x:c>
      <x:c r="D433" s="33" t="str">
        <x:v>Evidence Required=Archived H1 register, Schedule X prescriptions, institutional orders and wholesale memos; Evidence Type=Record; Mandatory=Yes; Retention Category=Statutory; Active=Yes; Remarks=P-2 exact retention matrix.</x:v>
      </x:c>
      <x:c r="E433" s="33" t="str">
        <x:v>CORRECT / RESCUE</x:v>
      </x:c>
      <x:c r="F433" s="33" t="str">
        <x:v>Align rescued evidence to the exact Drugs Rules control.</x:v>
      </x:c>
      <x:c r="G433" s="33" t="str">
        <x:v>CDSCO official Drugs Rules / Gazette</x:v>
      </x:c>
      <x:c r="H433" s="33" t="str">
        <x:v>https://cdsco.gov.in/opencms/resources/UploadCDSCOWeb/2022/drug_rules/Drugs%20Rules%2C%201945.pdf</x:v>
      </x:c>
      <x:c r="I433" s="33" t="str">
        <x:v>P-2</x:v>
      </x:c>
      <x:c r="J433" s="33" t="str">
        <x:v>2026-08-20</x:v>
      </x:c>
      <x:c r="K433" s="33" t="str">
        <x:v>Existing ID preserved; downstream traceability remediated.</x:v>
      </x:c>
    </x:row>
    <x:row r="434">
      <x:c r="A434" s="33" t="str">
        <x:v>EVD179</x:v>
      </x:c>
      <x:c r="B434" s="33" t="str">
        <x:v>Evidence Master</x:v>
      </x:c>
      <x:c r="C434" s="33" t="str">
        <x:v>Evidence Required=Prescription Retention Policy; Evidence Type=Prescription; Mandatory=Yes; Retention Category=Transactional; Active=No; Remarks=Define retention requirements. | P-0 QUARANTINED: Common Companies Act content is owned by Common Corporate Core; legacy ID retained for migration traceability.</x:v>
      </x:c>
      <x:c r="D434" s="33" t="str">
        <x:v>Evidence Required=Rule 65 retention schedule and archive index; Evidence Type=Document; Mandatory=Yes; Retention Category=Operational; Active=Yes; Remarks=P-2 exact retention matrix.</x:v>
      </x:c>
      <x:c r="E434" s="33" t="str">
        <x:v>CORRECT / RESCUE</x:v>
      </x:c>
      <x:c r="F434" s="33" t="str">
        <x:v>Align rescued evidence to the exact Drugs Rules control.</x:v>
      </x:c>
      <x:c r="G434" s="33" t="str">
        <x:v>CDSCO official Drugs Rules / Gazette</x:v>
      </x:c>
      <x:c r="H434" s="33" t="str">
        <x:v>https://cdsco.gov.in/opencms/resources/UploadCDSCOWeb/2022/drug_rules/Drugs%20Rules%2C%201945.pdf</x:v>
      </x:c>
      <x:c r="I434" s="33" t="str">
        <x:v>P-2</x:v>
      </x:c>
      <x:c r="J434" s="33" t="str">
        <x:v>2026-08-20</x:v>
      </x:c>
      <x:c r="K434" s="33" t="str">
        <x:v>Existing ID preserved; downstream traceability remediated.</x:v>
      </x:c>
    </x:row>
    <x:row r="435">
      <x:c r="A435" s="33" t="str">
        <x:v>EVD180</x:v>
      </x:c>
      <x:c r="B435" s="33" t="str">
        <x:v>Evidence Master</x:v>
      </x:c>
      <x:c r="C435" s="33" t="str">
        <x:v>Evidence Required=Schedule H Dispensing Register; Evidence Type=Register; Mandatory=Yes; Retention Category=Statutory; Active=No; Remarks=Mandatory where applicable. | P-0 QUARANTINED: Common Companies Act content is owned by Common Corporate Core; legacy ID retained for migration traceability.</x:v>
      </x:c>
      <x:c r="D435" s="33" t="str">
        <x:v>Evidence Required=Schedule H1 register, Schedule X register and applicable Rule 65 prescription records; Evidence Type=Register; Mandatory=Yes; Retention Category=Statutory; Active=Yes; Remarks=P-2 corrected: no universal standalone Schedule H dispensing register.</x:v>
      </x:c>
      <x:c r="E435" s="33" t="str">
        <x:v>CORRECT / RESCUE</x:v>
      </x:c>
      <x:c r="F435" s="33" t="str">
        <x:v>Align rescued evidence to the exact Drugs Rules control.</x:v>
      </x:c>
      <x:c r="G435" s="33" t="str">
        <x:v>CDSCO official Drugs Rules / Gazette</x:v>
      </x:c>
      <x:c r="H435" s="33" t="str">
        <x:v>https://cdsco.gov.in/opencms/resources/UploadCDSCOWeb/2022/drug_rules/Drugs%20Rules%2C%201945.pdf</x:v>
      </x:c>
      <x:c r="I435" s="33" t="str">
        <x:v>P-2</x:v>
      </x:c>
      <x:c r="J435" s="33" t="str">
        <x:v>2026-08-20</x:v>
      </x:c>
      <x:c r="K435" s="33" t="str">
        <x:v>Existing ID preserved; downstream traceability remediated.</x:v>
      </x:c>
    </x:row>
    <x:row r="436">
      <x:c r="A436" s="33" t="str">
        <x:v>EVD181</x:v>
      </x:c>
      <x:c r="B436" s="33" t="str">
        <x:v>Evidence Master</x:v>
      </x:c>
      <x:c r="C436" s="33" t="str">
        <x:v>Evidence Required=Supporting Prescription File; Evidence Type=Prescription; Mandatory=Yes; Retention Category=Transactional; Active=No; Remarks=Linked to Schedule H dispensing. | P-0 QUARANTINED: Common Companies Act content is owned by Common Corporate Core; legacy ID retained for migration traceability.</x:v>
      </x:c>
      <x:c r="D436" s="33" t="str">
        <x:v>Evidence Required=Supporting prescriptions and signed institutional orders; Evidence Type=Prescription; Mandatory=Yes; Retention Category=Statutory; Active=Yes; Remarks=P-2 validated.</x:v>
      </x:c>
      <x:c r="E436" s="33" t="str">
        <x:v>CORRECT / RESCUE</x:v>
      </x:c>
      <x:c r="F436" s="33" t="str">
        <x:v>Align rescued evidence to the exact Drugs Rules control.</x:v>
      </x:c>
      <x:c r="G436" s="33" t="str">
        <x:v>CDSCO official Drugs Rules / Gazette</x:v>
      </x:c>
      <x:c r="H436" s="33" t="str">
        <x:v>https://cdsco.gov.in/opencms/resources/UploadCDSCOWeb/2022/drug_rules/Drugs%20Rules%2C%201945.pdf</x:v>
      </x:c>
      <x:c r="I436" s="33" t="str">
        <x:v>P-2</x:v>
      </x:c>
      <x:c r="J436" s="33" t="str">
        <x:v>2026-08-20</x:v>
      </x:c>
      <x:c r="K436" s="33" t="str">
        <x:v>Existing ID preserved; downstream traceability remediated.</x:v>
      </x:c>
    </x:row>
    <x:row r="437">
      <x:c r="A437" s="33" t="str">
        <x:v>OBS076</x:v>
      </x:c>
      <x:c r="B437" s="33" t="str">
        <x:v>Observation Master</x:v>
      </x:c>
      <x:c r="C437" s="33" t="str">
        <x:v>Observation Template=Prescription medicines were dispensed without a valid prescription from a registered medical practitioner.; Risk Level=Critical; Recommendation=Dispense prescription medicines only after verifying a valid prescription from a registered medical practitioner.; Observation Category=Prescription; Active=No; Remarks=Major statutory violation. | P-0 QUARANTINED: Common Companies Act content is owned by Common Corporate Core; legacy ID retained for migration traceability.</x:v>
      </x:c>
      <x:c r="D437" s="33" t="str">
        <x:v>Observation Template=Schedule H/H1/X drugs were sold by retail without a compliant RMP prescription.; Risk Level=Critical; Recommendation=Stop non-prescription supply and enforce Rule 65(9)(a) validation.; Observation Category=Prescription; Active=Yes; Remarks=P-2 RESCUED.</x:v>
      </x:c>
      <x:c r="E437" s="33" t="str">
        <x:v>CORRECT / RESCUE</x:v>
      </x:c>
      <x:c r="F437" s="33" t="str">
        <x:v>Align rescued observation to the exact legal/professional control.</x:v>
      </x:c>
      <x:c r="G437" s="33" t="str">
        <x:v>CDSCO official Drugs Rules / Gazette</x:v>
      </x:c>
      <x:c r="H437" s="33" t="str">
        <x:v>https://cdsco.gov.in/opencms/resources/UploadCDSCOWeb/2022/drug_rules/Drugs%20Rules%2C%201945.pdf</x:v>
      </x:c>
      <x:c r="I437" s="33" t="str">
        <x:v>P-2</x:v>
      </x:c>
      <x:c r="J437" s="33" t="str">
        <x:v>2026-08-20</x:v>
      </x:c>
      <x:c r="K437" s="33" t="str">
        <x:v>Existing ID preserved; downstream traceability remediated.</x:v>
      </x:c>
    </x:row>
    <x:row r="438">
      <x:c r="A438" s="33" t="str">
        <x:v>OBS077</x:v>
      </x:c>
      <x:c r="B438" s="33" t="str">
        <x:v>Observation Master</x:v>
      </x:c>
      <x:c r="C438" s="33" t="str">
        <x:v>Observation Template=Prescriptions were incomplete, illegible, or mandatory particulars were not verified before dispensing.; Risk Level=High; Recommendation=Verify completeness and authenticity of every prescription before dispensing medicines.; Observation Category=Prescription; Active=No; Remarks=Maintain documented verification procedures. | P-0 QUARANTINED: Common Companies Act content is owned by Common Corporate Core; legacy ID retained for migration traceability.</x:v>
      </x:c>
      <x:c r="D438" s="33" t="str">
        <x:v>Observation Template=A prescription lacked one or more Rule 65(10) particulars or required dispensing annotation.; Risk Level=High; Recommendation=Block dispensing until the prescription and annotation requirements are satisfied.; Observation Category=Prescription; Active=Yes; Remarks=P-2 RESCUED.</x:v>
      </x:c>
      <x:c r="E438" s="33" t="str">
        <x:v>CORRECT / RESCUE</x:v>
      </x:c>
      <x:c r="F438" s="33" t="str">
        <x:v>Align rescued observation to the exact legal/professional control.</x:v>
      </x:c>
      <x:c r="G438" s="33" t="str">
        <x:v>CDSCO official Drugs Rules / Gazette</x:v>
      </x:c>
      <x:c r="H438" s="33" t="str">
        <x:v>https://cdsco.gov.in/opencms/resources/UploadCDSCOWeb/2022/drug_rules/Drugs%20Rules%2C%201945.pdf</x:v>
      </x:c>
      <x:c r="I438" s="33" t="str">
        <x:v>P-2</x:v>
      </x:c>
      <x:c r="J438" s="33" t="str">
        <x:v>2026-08-20</x:v>
      </x:c>
      <x:c r="K438" s="33" t="str">
        <x:v>Existing ID preserved; downstream traceability remediated.</x:v>
      </x:c>
    </x:row>
    <x:row r="439">
      <x:c r="A439" s="33" t="str">
        <x:v>OBS078</x:v>
      </x:c>
      <x:c r="B439" s="33" t="str">
        <x:v>Observation Master</x:v>
      </x:c>
      <x:c r="C439" s="33" t="str">
        <x:v>Observation Template=Pharmacist review of prescriptions was not performed or evidence of review was unavailable.; Risk Level=High; Recommendation=Ensure every prescription is reviewed by a registered pharmacist before dispensing.; Observation Category=Prescription; Active=No; Remarks=Review should include dosage, strength and medicine appropriateness. | P-0 QUARANTINED: Common Companies Act content is owned by Common Corporate Core; legacy ID retained for migration traceability.</x:v>
      </x:c>
      <x:c r="D439" s="33" t="str">
        <x:v>Observation Template=Professional clinical prescription review was not performed or evidenced under the Pharmacy Practice Regulations.; Risk Level=High; Recommendation=Implement professional review and intervention documentation; do not cite this as a Rule 65 clinical-appropriateness duty.; Observation Category=Patient Safety; Active=Yes; Remarks=P-2 RESCUED / RECLASSIFIED.</x:v>
      </x:c>
      <x:c r="E439" s="33" t="str">
        <x:v>CORRECT / RESCUE</x:v>
      </x:c>
      <x:c r="F439" s="33" t="str">
        <x:v>Align rescued observation to the exact legal/professional control.</x:v>
      </x:c>
      <x:c r="G439" s="33" t="str">
        <x:v>CDSCO official Drugs Rules / Gazette</x:v>
      </x:c>
      <x:c r="H439" s="33" t="str">
        <x:v>https://cdsco.gov.in/opencms/resources/UploadCDSCOWeb/2022/drug_rules/Drugs%20Rules%2C%201945.pdf</x:v>
      </x:c>
      <x:c r="I439" s="33" t="str">
        <x:v>P-2</x:v>
      </x:c>
      <x:c r="J439" s="33" t="str">
        <x:v>2026-08-20</x:v>
      </x:c>
      <x:c r="K439" s="33" t="str">
        <x:v>Existing ID preserved; downstream traceability remediated.</x:v>
      </x:c>
    </x:row>
    <x:row r="440">
      <x:c r="A440" s="33" t="str">
        <x:v>OBS079</x:v>
      </x:c>
      <x:c r="B440" s="33" t="str">
        <x:v>Observation Master</x:v>
      </x:c>
      <x:c r="C440" s="33" t="str">
        <x:v>Observation Template=Prescriptions were not retained for the prescribed statutory retention period.; Risk Level=Medium; Recommendation=Maintain prescription records securely for the statutory retention period.; Observation Category=Prescription; Active=No; Remarks=Records should be readily retrievable during inspections. | P-0 QUARANTINED: Common Companies Act content is owned by Common Corporate Core; legacy ID retained for migration traceability.</x:v>
      </x:c>
      <x:c r="D440" s="33" t="str">
        <x:v>Observation Template=Rule 65 records were not retained for the applicable two-year or three-year period.; Risk Level=High; Recommendation=Apply the P-2 retention matrix and restore retrievable statutory archives.; Observation Category=Documentation; Active=Yes; Remarks=P-2 RESCUED.</x:v>
      </x:c>
      <x:c r="E440" s="33" t="str">
        <x:v>CORRECT / RESCUE</x:v>
      </x:c>
      <x:c r="F440" s="33" t="str">
        <x:v>Align rescued observation to the exact legal/professional control.</x:v>
      </x:c>
      <x:c r="G440" s="33" t="str">
        <x:v>CDSCO official Drugs Rules / Gazette</x:v>
      </x:c>
      <x:c r="H440" s="33" t="str">
        <x:v>https://cdsco.gov.in/opencms/resources/UploadCDSCOWeb/2022/drug_rules/Drugs%20Rules%2C%201945.pdf</x:v>
      </x:c>
      <x:c r="I440" s="33" t="str">
        <x:v>P-2</x:v>
      </x:c>
      <x:c r="J440" s="33" t="str">
        <x:v>2026-08-20</x:v>
      </x:c>
      <x:c r="K440" s="33" t="str">
        <x:v>Existing ID preserved; downstream traceability remediated.</x:v>
      </x:c>
    </x:row>
    <x:row r="441">
      <x:c r="A441" s="33" t="str">
        <x:v>OBS080</x:v>
      </x:c>
      <x:c r="B441" s="33" t="str">
        <x:v>Observation Master</x:v>
      </x:c>
      <x:c r="C441" s="33" t="str">
        <x:v>Observation Template=Schedule H medicines were dispensed without complying with applicable statutory requirements.; Risk Level=Critical; Recommendation=Ensure Schedule H medicines are dispensed strictly in accordance with applicable legal provisions.; Observation Category=Digital / E-Pharmacy; Active=No; Remarks=Monitor dispensing through periodic audits. | P-0 QUARANTINED: Common Companies Act content is owned by Common Corporate Core; legacy ID retained for migration traceability.</x:v>
      </x:c>
      <x:c r="D441" s="33" t="str">
        <x:v>Observation Template=Schedule H/H1/X prescription-only controls were breached or a non-existent universal Schedule H register was relied upon.; Risk Level=Critical; Recommendation=Enforce prescription controls and use only the registers actually required by Rule 65.; Observation Category=Controlled Drugs; Active=Yes; Remarks=P-2 RESCUED.</x:v>
      </x:c>
      <x:c r="E441" s="33" t="str">
        <x:v>CORRECT / RESCUE</x:v>
      </x:c>
      <x:c r="F441" s="33" t="str">
        <x:v>Align rescued observation to the exact legal/professional control.</x:v>
      </x:c>
      <x:c r="G441" s="33" t="str">
        <x:v>CDSCO official Drugs Rules / Gazette</x:v>
      </x:c>
      <x:c r="H441" s="33" t="str">
        <x:v>https://cdsco.gov.in/opencms/resources/UploadCDSCOWeb/2022/drug_rules/Drugs%20Rules%2C%201945.pdf</x:v>
      </x:c>
      <x:c r="I441" s="33" t="str">
        <x:v>P-2</x:v>
      </x:c>
      <x:c r="J441" s="33" t="str">
        <x:v>2026-08-20</x:v>
      </x:c>
      <x:c r="K441" s="33" t="str">
        <x:v>Existing ID preserved; downstream traceability remediated.</x:v>
      </x:c>
    </x:row>
    <x:row r="442">
      <x:c r="A442" s="33" t="str">
        <x:v>P2-059</x:v>
      </x:c>
      <x:c r="B442" s="33" t="str">
        <x:v>Regulatory Source Register</x:v>
      </x:c>
      <x:c r="C442" s="33" t="str">
        <x:v>Not present</x:v>
      </x:c>
      <x:c r="D442" s="33" t="str">
        <x:v>Source ID=P2-059; Legal Instrument=Drugs Rules, 1945 — consolidated official copy dated 01-07-2024; Regulator=CDSCO / MoHFW; Instrument Type=Central Rules (consolidated); Authoritative Source=CDSCO official Drugs Rules page and consolidated PDF; Current Version / Amendment Position=Baseline consolidated text dated 01-07-2024; layered with final notifications through 20-08-2026; Effective Date=Current baseline; Applicability Scope=Sale, storage, distribution, dispensing, licensing and related pharmacy controls; Sub-Sectors / Entity Types=Approved Pharmacy taxonomy by activity/licence; Statutory Provisions Considered=Rules 59-67H, 95-97, 123; Schedules G/H/H1/H2/K/N/X; relevant Forms; Included / Excluded=INCLUDED; Workbook Action=CORRECT LAW002 and normalize production chain; Source URL / Citation=https://cdsco.gov.in/opencms/resources/UploadCDSCOWeb/2022/drug_rules/Drugs%20Rules%2C%201945.pdf; Validation Status=VALIDATED</x:v>
      </x:c>
      <x:c r="E442" s="33" t="str">
        <x:v>ADD</x:v>
      </x:c>
      <x:c r="F442" s="33" t="str">
        <x:v>Add authoritative P-2 source and amendment positions.</x:v>
      </x:c>
      <x:c r="G442" s="33" t="str">
        <x:v>CDSCO official Drugs Rules / Gazette</x:v>
      </x:c>
      <x:c r="H442" s="33" t="str">
        <x:v>https://cdsco.gov.in/opencms/opencms/en/Notifications/Gazette-Notifications/</x:v>
      </x:c>
      <x:c r="I442" s="33" t="str">
        <x:v>P-2</x:v>
      </x:c>
      <x:c r="J442" s="33" t="str">
        <x:v>2026-08-20</x:v>
      </x:c>
      <x:c r="K442" s="33" t="str">
        <x:v>Defines current, future-effective and excluded Drugs Rules sources.</x:v>
      </x:c>
    </x:row>
    <x:row r="443">
      <x:c r="A443" s="33" t="str">
        <x:v>P2-060</x:v>
      </x:c>
      <x:c r="B443" s="33" t="str">
        <x:v>Regulatory Source Register</x:v>
      </x:c>
      <x:c r="C443" s="33" t="str">
        <x:v>Not present</x:v>
      </x:c>
      <x:c r="D443" s="33" t="str">
        <x:v>Source ID=P2-060; Legal Instrument=Drugs (Eighth Amendment) Rules, 2022 — G.S.R. 823(E); Regulator=MoHFW; Instrument Type=Final Amendment Rules; Authoritative Source=Official Gazette / CDSCO; Current Version / Amendment Position=Inserted Rule 96(6)-(7) and Schedule H2; effective 01-08-2023; Effective Date=2023-08-01; Applicability Scope=Manufacturer barcode/QR authentication labelling; indirect seller receipt/sale control; Sub-Sectors / Entity Types=All stocking listed H2 formulations; manufacturer is primary obligor; Statutory Provisions Considered=Rule 96(6)-(7); Schedule H2; Included / Excluded=INCLUDED — CONDITIONAL/INDIRECT; Workbook Action=ADD H2 coverage; do not misstate primary liability; Source URL / Citation=https://cdsco.gov.in/opencms/opencms/en/Notifications/Gazette-Notifications/; Validation Status=VALIDATED</x:v>
      </x:c>
      <x:c r="E443" s="33" t="str">
        <x:v>ADD</x:v>
      </x:c>
      <x:c r="F443" s="33" t="str">
        <x:v>Add authoritative P-2 source and amendment positions.</x:v>
      </x:c>
      <x:c r="G443" s="33" t="str">
        <x:v>CDSCO official Drugs Rules / Gazette</x:v>
      </x:c>
      <x:c r="H443" s="33" t="str">
        <x:v>https://cdsco.gov.in/opencms/opencms/en/Notifications/Gazette-Notifications/</x:v>
      </x:c>
      <x:c r="I443" s="33" t="str">
        <x:v>P-2</x:v>
      </x:c>
      <x:c r="J443" s="33" t="str">
        <x:v>2026-08-20</x:v>
      </x:c>
      <x:c r="K443" s="33" t="str">
        <x:v>Defines current, future-effective and excluded Drugs Rules sources.</x:v>
      </x:c>
    </x:row>
    <x:row r="444">
      <x:c r="A444" s="33" t="str">
        <x:v>P2-061</x:v>
      </x:c>
      <x:c r="B444" s="33" t="str">
        <x:v>Regulatory Source Register</x:v>
      </x:c>
      <x:c r="C444" s="33" t="str">
        <x:v>Not present</x:v>
      </x:c>
      <x:c r="D444" s="33" t="str">
        <x:v>Source ID=P2-061; Legal Instrument=Drugs (Fifth Amendment) Rules, 2026 — G.S.R. 477(E); Regulator=MoHFW; Instrument Type=Final Amendment Rules; Authoritative Source=Official Gazette / CDSCO; Current Version / Amendment Position=Removed 'Syrups' from Schedule K serial 13 item (7); Effective Date=2026-06-15 (publication); Applicability Scope=Schedule K exemption scope; Sub-Sectors / Entity Types=Entities relying on the affected Schedule K exemption; Statutory Provisions Considered=Schedule K; Included / Excluded=INCLUDED — CURRENT; Workbook Action=UPDATE Schedule K position; Source URL / Citation=https://cdsco.gov.in/opencms/opencms/en/Notifications/Gazette-Notifications/; Validation Status=VALIDATED</x:v>
      </x:c>
      <x:c r="E444" s="33" t="str">
        <x:v>ADD</x:v>
      </x:c>
      <x:c r="F444" s="33" t="str">
        <x:v>Add authoritative P-2 source and amendment positions.</x:v>
      </x:c>
      <x:c r="G444" s="33" t="str">
        <x:v>CDSCO official Drugs Rules / Gazette</x:v>
      </x:c>
      <x:c r="H444" s="33" t="str">
        <x:v>https://cdsco.gov.in/opencms/opencms/en/Notifications/Gazette-Notifications/</x:v>
      </x:c>
      <x:c r="I444" s="33" t="str">
        <x:v>P-2</x:v>
      </x:c>
      <x:c r="J444" s="33" t="str">
        <x:v>2026-08-20</x:v>
      </x:c>
      <x:c r="K444" s="33" t="str">
        <x:v>Defines current, future-effective and excluded Drugs Rules sources.</x:v>
      </x:c>
    </x:row>
    <x:row r="445">
      <x:c r="A445" s="33" t="str">
        <x:v>P2-062</x:v>
      </x:c>
      <x:c r="B445" s="33" t="str">
        <x:v>Regulatory Source Register</x:v>
      </x:c>
      <x:c r="C445" s="33" t="str">
        <x:v>Not present</x:v>
      </x:c>
      <x:c r="D445" s="33" t="str">
        <x:v>Source ID=P2-062; Legal Instrument=Drugs (Seventh Amendment) Rules, 2026 — G.S.R. 506(E); Regulator=MoHFW; Instrument Type=Final future-effective Amendment Rules; Authoritative Source=Official Gazette / CDSCO; Current Version / Amendment Position=Schedule H2 Table 2: vaccines, antimicrobials, listed NDPS substances and anticancer drugs; Effective Date=2027-07-01; antimicrobials 2028-07-01; Applicability Scope=Future Schedule H2 QR/barcode expansion; Sub-Sectors / Entity Types=Manufacturer primary; pharmacies need transition readiness; Statutory Provisions Considered=Rule 96(6)-(7); Schedule H2 Table 2; Included / Excluded=INCLUDED — FUTURE EFFECTIVE; Workbook Action=TRACK transition; not current duty at cutoff; Source URL / Citation=https://cdsco.gov.in/opencms/opencms/en/Notifications/Gazette-Notifications/; Validation Status=VALIDATED</x:v>
      </x:c>
      <x:c r="E445" s="33" t="str">
        <x:v>ADD</x:v>
      </x:c>
      <x:c r="F445" s="33" t="str">
        <x:v>Add authoritative P-2 source and amendment positions.</x:v>
      </x:c>
      <x:c r="G445" s="33" t="str">
        <x:v>CDSCO official Drugs Rules / Gazette</x:v>
      </x:c>
      <x:c r="H445" s="33" t="str">
        <x:v>https://cdsco.gov.in/opencms/opencms/en/Notifications/Gazette-Notifications/</x:v>
      </x:c>
      <x:c r="I445" s="33" t="str">
        <x:v>P-2</x:v>
      </x:c>
      <x:c r="J445" s="33" t="str">
        <x:v>2026-08-20</x:v>
      </x:c>
      <x:c r="K445" s="33" t="str">
        <x:v>Defines current, future-effective and excluded Drugs Rules sources.</x:v>
      </x:c>
    </x:row>
    <x:row r="446">
      <x:c r="A446" s="33" t="str">
        <x:v>P2-063</x:v>
      </x:c>
      <x:c r="B446" s="33" t="str">
        <x:v>Regulatory Source Register</x:v>
      </x:c>
      <x:c r="C446" s="33" t="str">
        <x:v>Not present</x:v>
      </x:c>
      <x:c r="D446" s="33" t="str">
        <x:v>Source ID=P2-063; Legal Instrument=Drugs (Tenth Amendment) Rules, 2026 — G.S.R. 607(E); Regulator=MoHFW; Instrument Type=Final future-effective Amendment Rules; Authoritative Source=Official Gazette / CDSCO; Current Version / Amendment Position=Adds alcohol-content limitation to Schedule K item 10 and item 52 to Schedule H1; Effective Date=Six months after official publication; not effective at 20-08-2026; Applicability Scope=Future H1 prescription/register and Schedule K transition; Sub-Sectors / Entity Types=Retail/institutional/specialized pharmacies stocking affected oral formulations; Statutory Provisions Considered=Schedule K serial 10; Schedule H1 item 52; Included / Excluded=INCLUDED — FUTURE EFFECTIVE; Workbook Action=TRACK transition; do not treat as current at cutoff; Source URL / Citation=https://cdsco.gov.in/opencms/opencms/en/Notifications/Gazette-Notifications/; Validation Status=VALIDATED</x:v>
      </x:c>
      <x:c r="E446" s="33" t="str">
        <x:v>ADD</x:v>
      </x:c>
      <x:c r="F446" s="33" t="str">
        <x:v>Add authoritative P-2 source and amendment positions.</x:v>
      </x:c>
      <x:c r="G446" s="33" t="str">
        <x:v>CDSCO official Drugs Rules / Gazette</x:v>
      </x:c>
      <x:c r="H446" s="33" t="str">
        <x:v>https://cdsco.gov.in/opencms/opencms/en/Notifications/Gazette-Notifications/</x:v>
      </x:c>
      <x:c r="I446" s="33" t="str">
        <x:v>P-2</x:v>
      </x:c>
      <x:c r="J446" s="33" t="str">
        <x:v>2026-08-20</x:v>
      </x:c>
      <x:c r="K446" s="33" t="str">
        <x:v>Defines current, future-effective and excluded Drugs Rules sources.</x:v>
      </x:c>
    </x:row>
    <x:row r="447">
      <x:c r="A447" s="33" t="str">
        <x:v>P2-064</x:v>
      </x:c>
      <x:c r="B447" s="33" t="str">
        <x:v>Regulatory Source Register</x:v>
      </x:c>
      <x:c r="C447" s="33" t="str">
        <x:v>Not present</x:v>
      </x:c>
      <x:c r="D447" s="33" t="str">
        <x:v>Source ID=P2-064; Legal Instrument=Drugs (Eleventh Amendment) Rules, 2026 — G.S.R. 706(E); Regulator=MoHFW; Instrument Type=Final Amendment Rules; Authoritative Source=Official Gazette / CDSCO; Current Version / Amendment Position=Inserted debarment definition and Rule 66B for sale-licence Part VI; Effective Date=2026-07-30; Applicability Scope=Misleading/fake/fabricated licence documents or information; Sub-Sectors / Entity Types=All applicants/licensees under Part VI; other inserted rules belong to other entity types; Statutory Provisions Considered=Rule 2(bb); Rule 66B; Included / Excluded=INCLUDED — CURRENT; Workbook Action=ADD licence-integrity control; Source URL / Citation=https://cdsco.gov.in/opencms/opencms/en/Notifications/Gazette-Notifications/; Validation Status=VALIDATED</x:v>
      </x:c>
      <x:c r="E447" s="33" t="str">
        <x:v>ADD</x:v>
      </x:c>
      <x:c r="F447" s="33" t="str">
        <x:v>Add authoritative P-2 source and amendment positions.</x:v>
      </x:c>
      <x:c r="G447" s="33" t="str">
        <x:v>CDSCO official Drugs Rules / Gazette</x:v>
      </x:c>
      <x:c r="H447" s="33" t="str">
        <x:v>https://cdsco.gov.in/opencms/opencms/en/Notifications/Gazette-Notifications/</x:v>
      </x:c>
      <x:c r="I447" s="33" t="str">
        <x:v>P-2</x:v>
      </x:c>
      <x:c r="J447" s="33" t="str">
        <x:v>2026-08-20</x:v>
      </x:c>
      <x:c r="K447" s="33" t="str">
        <x:v>Defines current, future-effective and excluded Drugs Rules sources.</x:v>
      </x:c>
    </x:row>
    <x:row r="448">
      <x:c r="A448" s="33" t="str">
        <x:v>P2-065</x:v>
      </x:c>
      <x:c r="B448" s="33" t="str">
        <x:v>Regulatory Source Register</x:v>
      </x:c>
      <x:c r="C448" s="33" t="str">
        <x:v>Not present</x:v>
      </x:c>
      <x:c r="D448" s="33" t="str">
        <x:v>Source ID=P2-065; Legal Instrument=CDSCO Gazette Notifications index; Regulator=CDSCO / MoHFW; Instrument Type=Official current notification register; Authoritative Source=CDSCO Gazette Notifications page; Current Version / Amendment Position=Reviewed through 20-08-2026; final/draft/future-effective status distinguished; Effective Date=2026-08-20; Applicability Scope=Current amendment surveillance; Sub-Sectors / Entity Types=All regulated entity/activity families; Statutory Provisions Considered=All relevant 2022-2026 notifications considered; Included / Excluded=INCLUDED; Workbook Action=SOURCE/CHANGE CONTROL; Source URL / Citation=https://cdsco.gov.in/opencms/opencms/en/Notifications/Gazette-Notifications/; Validation Status=VALIDATED</x:v>
      </x:c>
      <x:c r="E448" s="33" t="str">
        <x:v>ADD</x:v>
      </x:c>
      <x:c r="F448" s="33" t="str">
        <x:v>Add authoritative P-2 source and amendment positions.</x:v>
      </x:c>
      <x:c r="G448" s="33" t="str">
        <x:v>CDSCO official Drugs Rules / Gazette</x:v>
      </x:c>
      <x:c r="H448" s="33" t="str">
        <x:v>https://cdsco.gov.in/opencms/opencms/en/Notifications/Gazette-Notifications/</x:v>
      </x:c>
      <x:c r="I448" s="33" t="str">
        <x:v>P-2</x:v>
      </x:c>
      <x:c r="J448" s="33" t="str">
        <x:v>2026-08-20</x:v>
      </x:c>
      <x:c r="K448" s="33" t="str">
        <x:v>Defines current, future-effective and excluded Drugs Rules sources.</x:v>
      </x:c>
    </x:row>
    <x:row r="449">
      <x:c r="A449" s="33" t="str">
        <x:v>P2-066</x:v>
      </x:c>
      <x:c r="B449" s="33" t="str">
        <x:v>Regulatory Source Register</x:v>
      </x:c>
      <x:c r="C449" s="33" t="str">
        <x:v>Not present</x:v>
      </x:c>
      <x:c r="D449" s="33" t="str">
        <x:v>Source ID=P2-066; Legal Instrument=G.S.R. 713(E), 06-08-2026 — Rule 89/Form 29 amendment; Regulator=MoHFW; Instrument Type=Final Amendment Rules; Authoritative Source=Official Gazette / CDSCO; Current Version / Amendment Position=Current; relates to test licences/categories falling under manufacturing forms; Effective Date=2026-08-06; Applicability Scope=Manufacture/testing for examination, test or analysis; Sub-Sectors / Entity Types=Manufacturer/testing-lab taxonomy gap; Statutory Provisions Considered=Rule 89; Form 29; Included / Excluded=OUT-OF-CURRENT-TAXONOMY; Workbook Action=Record exclusion; no taxonomy expansion; Source URL / Citation=https://cdsco.gov.in/opencms/opencms/en/Notifications/Gazette-Notifications/; Validation Status=VALIDATED</x:v>
      </x:c>
      <x:c r="E449" s="33" t="str">
        <x:v>ADD</x:v>
      </x:c>
      <x:c r="F449" s="33" t="str">
        <x:v>Add authoritative P-2 source and amendment positions.</x:v>
      </x:c>
      <x:c r="G449" s="33" t="str">
        <x:v>CDSCO official Drugs Rules / Gazette</x:v>
      </x:c>
      <x:c r="H449" s="33" t="str">
        <x:v>https://cdsco.gov.in/opencms/opencms/en/Notifications/Gazette-Notifications/</x:v>
      </x:c>
      <x:c r="I449" s="33" t="str">
        <x:v>P-2</x:v>
      </x:c>
      <x:c r="J449" s="33" t="str">
        <x:v>2026-08-20</x:v>
      </x:c>
      <x:c r="K449" s="33" t="str">
        <x:v>Defines current, future-effective and excluded Drugs Rules sources.</x:v>
      </x:c>
    </x:row>
    <x:row r="450">
      <x:c r="A450" s="33" t="str">
        <x:v>P2-067</x:v>
      </x:c>
      <x:c r="B450" s="33" t="str">
        <x:v>Regulatory Source Register</x:v>
      </x:c>
      <x:c r="C450" s="33" t="str">
        <x:v>Not present</x:v>
      </x:c>
      <x:c r="D450" s="33" t="str">
        <x:v>Source ID=P2-067; Legal Instrument=G.S.R. 561(E), 02-07-2026 — Rule 43A authorized airport; Regulator=MoHFW; Instrument Type=Final Amendment Rules; Authoritative Source=Official Gazette / CDSCO; Current Version / Amendment Position=Current; adds Navi Mumbai International Airport; Effective Date=2026-07-02; Applicability Scope=Drug import route; Sub-Sectors / Entity Types=Importer taxonomy gap; Statutory Provisions Considered=Rule 43A; Included / Excluded=OUT-OF-CURRENT-TAXONOMY; Workbook Action=Record exclusion; no taxonomy expansion; Source URL / Citation=https://cdsco.gov.in/opencms/opencms/en/Notifications/Gazette-Notifications/; Validation Status=VALIDATED</x:v>
      </x:c>
      <x:c r="E450" s="33" t="str">
        <x:v>ADD</x:v>
      </x:c>
      <x:c r="F450" s="33" t="str">
        <x:v>Add authoritative P-2 source and amendment positions.</x:v>
      </x:c>
      <x:c r="G450" s="33" t="str">
        <x:v>CDSCO official Drugs Rules / Gazette</x:v>
      </x:c>
      <x:c r="H450" s="33" t="str">
        <x:v>https://cdsco.gov.in/opencms/opencms/en/Notifications/Gazette-Notifications/</x:v>
      </x:c>
      <x:c r="I450" s="33" t="str">
        <x:v>P-2</x:v>
      </x:c>
      <x:c r="J450" s="33" t="str">
        <x:v>2026-08-20</x:v>
      </x:c>
      <x:c r="K450" s="33" t="str">
        <x:v>Defines current, future-effective and excluded Drugs Rules sources.</x:v>
      </x:c>
    </x:row>
    <x:row r="451">
      <x:c r="A451" s="33" t="str">
        <x:v>P2-068</x:v>
      </x:c>
      <x:c r="B451" s="33" t="str">
        <x:v>Regulatory Source Register</x:v>
      </x:c>
      <x:c r="C451" s="33" t="str">
        <x:v>Not present</x:v>
      </x:c>
      <x:c r="D451" s="33" t="str">
        <x:v>Source ID=P2-068; Legal Instrument=S.O. 3068(E)-3083(E), 11-06-2026 — prohibition of 16 FDCs; Regulator=MoHFW; Instrument Type=Final Section 26A orders; Authoritative Source=Official Gazette / CDSCO; Current Version / Amendment Position=Current product prohibitions; Effective Date=2026-06-11; Applicability Scope=Stock/sale of prohibited FDCs; Sub-Sectors / Entity Types=All pharmacies if affected stock exists; Statutory Provisions Considered=Drugs and Cosmetics Act section 26A orders; Included / Excluded=INCLUDED — EVENT/PRODUCT BASED; Workbook Action=Track as product-prohibition source, not a Drugs Rules provision; Source URL / Citation=https://cdsco.gov.in/opencms/opencms/en/Notifications/Gazette-Notifications/; Validation Status=VALIDATED</x:v>
      </x:c>
      <x:c r="E451" s="33" t="str">
        <x:v>ADD</x:v>
      </x:c>
      <x:c r="F451" s="33" t="str">
        <x:v>Add authoritative P-2 source and amendment positions.</x:v>
      </x:c>
      <x:c r="G451" s="33" t="str">
        <x:v>CDSCO official Drugs Rules / Gazette</x:v>
      </x:c>
      <x:c r="H451" s="33" t="str">
        <x:v>https://cdsco.gov.in/opencms/opencms/en/Notifications/Gazette-Notifications/</x:v>
      </x:c>
      <x:c r="I451" s="33" t="str">
        <x:v>P-2</x:v>
      </x:c>
      <x:c r="J451" s="33" t="str">
        <x:v>2026-08-20</x:v>
      </x:c>
      <x:c r="K451" s="33" t="str">
        <x:v>Defines current, future-effective and excluded Drugs Rules sources.</x:v>
      </x:c>
    </x:row>
    <x:row r="452">
      <x:c r="A452" s="33" t="str">
        <x:v>P2-P2ChecklistTable</x:v>
      </x:c>
      <x:c r="B452" s="33" t="str">
        <x:v>P2 Checklist Validation</x:v>
      </x:c>
      <x:c r="C452" s="33" t="str">
        <x:v>Not present</x:v>
      </x:c>
      <x:c r="D452" s="33" t="str">
        <x:v>47 controlled rows</x:v>
      </x:c>
      <x:c r="E452" s="33" t="str">
        <x:v>ADD</x:v>
      </x:c>
      <x:c r="F452" s="33" t="str">
        <x:v>Create P2 Checklist Validation.</x:v>
      </x:c>
      <x:c r="G452" s="33" t="str">
        <x:v>P-2 validation</x:v>
      </x:c>
      <x:c r="H452" s="33" t="str">
        <x:v>https://cdsco.gov.in/opencms/resources/UploadCDSCOWeb/2022/drug_rules/Drugs%20Rules%2C%201945.pdf</x:v>
      </x:c>
      <x:c r="I452" s="33" t="str">
        <x:v>P-2</x:v>
      </x:c>
      <x:c r="J452" s="33" t="str">
        <x:v>2026-08-20</x:v>
      </x:c>
      <x:c r="K452" s="33" t="str">
        <x:v>Supporting validation register; production schemas unchanged.</x:v>
      </x:c>
    </x:row>
    <x:row r="453">
      <x:c r="A453" s="33" t="str">
        <x:v>P2-P2CoverageTable</x:v>
      </x:c>
      <x:c r="B453" s="33" t="str">
        <x:v>P2 Drugs Rules Coverage</x:v>
      </x:c>
      <x:c r="C453" s="33" t="str">
        <x:v>Not present</x:v>
      </x:c>
      <x:c r="D453" s="33" t="str">
        <x:v>40 controlled rows</x:v>
      </x:c>
      <x:c r="E453" s="33" t="str">
        <x:v>ADD</x:v>
      </x:c>
      <x:c r="F453" s="33" t="str">
        <x:v>Create P2 Drugs Rules Coverage.</x:v>
      </x:c>
      <x:c r="G453" s="33" t="str">
        <x:v>P-2 validation</x:v>
      </x:c>
      <x:c r="H453" s="33" t="str">
        <x:v>https://cdsco.gov.in/opencms/resources/UploadCDSCOWeb/2022/drug_rules/Drugs%20Rules%2C%201945.pdf</x:v>
      </x:c>
      <x:c r="I453" s="33" t="str">
        <x:v>P-2</x:v>
      </x:c>
      <x:c r="J453" s="33" t="str">
        <x:v>2026-08-20</x:v>
      </x:c>
      <x:c r="K453" s="33" t="str">
        <x:v>Supporting validation register; production schemas unchanged.</x:v>
      </x:c>
    </x:row>
    <x:row r="454">
      <x:c r="A454" s="33" t="str">
        <x:v>P2-P2Rule65Table</x:v>
      </x:c>
      <x:c r="B454" s="33" t="str">
        <x:v>P2 Rule 65 Matrix</x:v>
      </x:c>
      <x:c r="C454" s="33" t="str">
        <x:v>Not present</x:v>
      </x:c>
      <x:c r="D454" s="33" t="str">
        <x:v>27 controlled rows</x:v>
      </x:c>
      <x:c r="E454" s="33" t="str">
        <x:v>ADD</x:v>
      </x:c>
      <x:c r="F454" s="33" t="str">
        <x:v>Create P2 Rule 65 Matrix.</x:v>
      </x:c>
      <x:c r="G454" s="33" t="str">
        <x:v>P-2 validation</x:v>
      </x:c>
      <x:c r="H454" s="33" t="str">
        <x:v>https://cdsco.gov.in/opencms/resources/UploadCDSCOWeb/2022/drug_rules/Drugs%20Rules%2C%201945.pdf</x:v>
      </x:c>
      <x:c r="I454" s="33" t="str">
        <x:v>P-2</x:v>
      </x:c>
      <x:c r="J454" s="33" t="str">
        <x:v>2026-08-20</x:v>
      </x:c>
      <x:c r="K454" s="33" t="str">
        <x:v>Supporting validation register; production schemas unchanged.</x:v>
      </x:c>
    </x:row>
    <x:row r="455">
      <x:c r="A455" s="33" t="str">
        <x:v>P2-P2AmendmentTable</x:v>
      </x:c>
      <x:c r="B455" s="33" t="str">
        <x:v>P2 Amendment Register</x:v>
      </x:c>
      <x:c r="C455" s="33" t="str">
        <x:v>Not present</x:v>
      </x:c>
      <x:c r="D455" s="33" t="str">
        <x:v>11 controlled rows</x:v>
      </x:c>
      <x:c r="E455" s="33" t="str">
        <x:v>ADD</x:v>
      </x:c>
      <x:c r="F455" s="33" t="str">
        <x:v>Create P2 Amendment Register.</x:v>
      </x:c>
      <x:c r="G455" s="33" t="str">
        <x:v>P-2 validation</x:v>
      </x:c>
      <x:c r="H455" s="33" t="str">
        <x:v>https://cdsco.gov.in/opencms/resources/UploadCDSCOWeb/2022/drug_rules/Drugs%20Rules%2C%201945.pdf</x:v>
      </x:c>
      <x:c r="I455" s="33" t="str">
        <x:v>P-2</x:v>
      </x:c>
      <x:c r="J455" s="33" t="str">
        <x:v>2026-08-20</x:v>
      </x:c>
      <x:c r="K455" s="33" t="str">
        <x:v>Supporting validation register; production schemas unchanged.</x:v>
      </x:c>
    </x:row>
    <x:row r="456">
      <x:c r="A456" s="33" t="str">
        <x:v>P2-GATE</x:v>
      </x:c>
      <x:c r="B456" s="33" t="str">
        <x:v>P2 Gate Summary</x:v>
      </x:c>
      <x:c r="C456" s="33" t="str">
        <x:v>Not present</x:v>
      </x:c>
      <x:c r="D456" s="33" t="str">
        <x:v>P-2 gate PASS</x:v>
      </x:c>
      <x:c r="E456" s="33" t="str">
        <x:v>ADD</x:v>
      </x:c>
      <x:c r="F456" s="33" t="str">
        <x:v>Formalize P-2 completion.</x:v>
      </x:c>
      <x:c r="G456" s="33" t="str">
        <x:v>P-2 registers</x:v>
      </x:c>
      <x:c r="H456" s="33" t="str">
        <x:v>https://cdsco.gov.in/opencms/resources/UploadCDSCOWeb/2022/drug_rules/Drugs%20Rules%2C%201945.pdf</x:v>
      </x:c>
      <x:c r="I456" s="33" t="str">
        <x:v>P-2</x:v>
      </x:c>
      <x:c r="J456" s="33" t="str">
        <x:v>2026-08-20</x:v>
      </x:c>
      <x:c r="K456" s="33" t="str">
        <x:v>Authorizes next Pharmacy validation phase; workbook remains not frozen.</x:v>
      </x:c>
    </x:row>
    <x:row r="457">
      <x:c r="A457" s="33" t="str">
        <x:v>v1.0-P2</x:v>
      </x:c>
      <x:c r="B457" s="33" t="str">
        <x:v>Version History</x:v>
      </x:c>
      <x:c r="C457" s="33" t="str">
        <x:v>Not present</x:v>
      </x:c>
      <x:c r="D457" s="33" t="str">
        <x:v>P-2 COMPLETE — NOT FROZEN</x:v>
      </x:c>
      <x:c r="E457" s="33" t="str">
        <x:v>ADD</x:v>
      </x:c>
      <x:c r="F457" s="33" t="str">
        <x:v>Record phase completion.</x:v>
      </x:c>
      <x:c r="G457" s="33" t="str">
        <x:v>P2 Gate Summary</x:v>
      </x:c>
      <x:c r="H457" s="33" t="str">
        <x:v>P-2</x:v>
      </x:c>
      <x:c r="I457" s="33" t="str">
        <x:v>P-2</x:v>
      </x:c>
      <x:c r="J457" s="33" t="str">
        <x:v>2026-08-20</x:v>
      </x:c>
      <x:c r="K457" s="33" t="str">
        <x:v>Working-copy history updated.</x:v>
      </x:c>
    </x:row>
    <x:row r="458">
      <x:c r="A458" s="33" t="str">
        <x:v>Freeze Decision</x:v>
      </x:c>
      <x:c r="B458" s="33" t="str">
        <x:v>QA Summary</x:v>
      </x:c>
      <x:c r="C458" s="33" t="str">
        <x:v>Result=P-1 COMPLETE — P-2 OPEN; Notes=Authoritative Pharmacy regulatory universe validated through 19-08-2026. Production workbook remains not frozen pending P-2 Drugs Rules normalization and downstream remediation.</x:v>
      </x:c>
      <x:c r="D458" s="33" t="str">
        <x:v>Result=P-2 COMPLETE — NEXT GATE OPEN; Notes=Drugs Rules deep validation passed through 20-08-2026. Workbook remains not frozen pending environmental/general-law and remaining applicability/technical gates.</x:v>
      </x:c>
      <x:c r="E458" s="33" t="str">
        <x:v>CORRECT</x:v>
      </x:c>
      <x:c r="F458" s="33" t="str">
        <x:v>Update phase QA decision.</x:v>
      </x:c>
      <x:c r="G458" s="33" t="str">
        <x:v>CDSCO official Drugs Rules / Gazette</x:v>
      </x:c>
      <x:c r="H458" s="33" t="str">
        <x:v>P2 Gate Summary</x:v>
      </x:c>
      <x:c r="I458" s="33" t="str">
        <x:v>P-2</x:v>
      </x:c>
      <x:c r="J458" s="33" t="str">
        <x:v>2026-08-20</x:v>
      </x:c>
      <x:c r="K458" s="33" t="str">
        <x:v>Existing ID preserved; downstream traceability remediated.</x:v>
      </x:c>
    </x:row>
    <x:row r="459">
      <x:c r="A459" s="33" t="str">
        <x:v>Enum Validation</x:v>
      </x:c>
      <x:c r="B459" s="33" t="str">
        <x:v>QA Summary</x:v>
      </x:c>
      <x:c r="C459" s="33" t="str">
        <x:v>Result=PASS; Notes=Controlled values consolidated in Enum Master.</x:v>
      </x:c>
      <x:c r="D459" s="33" t="str">
        <x:v>Result=P-2 SCOPE PASS — LEGACY BACKLOG; Notes=All P-2 added or modified controlled values conform to the approved enums. Unmodified legacy irregular values remain for later gates; this working copy is not frozen.</x:v>
      </x:c>
      <x:c r="E459" s="33" t="str">
        <x:v>CORRECT</x:v>
      </x:c>
      <x:c r="F459" s="33" t="str">
        <x:v>State the exact QA scope without overstating whole-workbook completion.</x:v>
      </x:c>
      <x:c r="G459" s="33" t="str">
        <x:v>CDSCO official Drugs Rules / Gazette</x:v>
      </x:c>
      <x:c r="H459" s="33" t="str">
        <x:v>P2 Gate Summary</x:v>
      </x:c>
      <x:c r="I459" s="33" t="str">
        <x:v>P-2</x:v>
      </x:c>
      <x:c r="J459" s="33" t="str">
        <x:v>2026-08-20</x:v>
      </x:c>
      <x:c r="K459" s="33" t="str">
        <x:v>Existing ID preserved; downstream traceability remediated.</x:v>
      </x:c>
    </x:row>
    <x:row r="460">
      <x:c r="A460" s="33" t="str">
        <x:v>Execution Chain Validation</x:v>
      </x:c>
      <x:c r="B460" s="33" t="str">
        <x:v>QA Summary</x:v>
      </x:c>
      <x:c r="C460" s="33" t="str">
        <x:v>Result=PASS; Notes=Law → Provision → Compliance → Audit → Evidence → Observation chain is valid.</x:v>
      </x:c>
      <x:c r="D460" s="33" t="str">
        <x:v>Result=P-2 SCOPE PASS — WORKBOOK OPEN; Notes=All P-2 added, replaced and rescued Drugs Rules chains resolve from Law through Observation. Non-P-2 active/inactive relationships remain controlled backlog for later gates.</x:v>
      </x:c>
      <x:c r="E460" s="33" t="str">
        <x:v>CORRECT</x:v>
      </x:c>
      <x:c r="F460" s="33" t="str">
        <x:v>State the exact chain-validation scope.</x:v>
      </x:c>
      <x:c r="G460" s="33" t="str">
        <x:v>CDSCO official Drugs Rules / Gazette</x:v>
      </x:c>
      <x:c r="H460" s="33" t="str">
        <x:v>P2 Gate Summary</x:v>
      </x:c>
      <x:c r="I460" s="33" t="str">
        <x:v>P-2</x:v>
      </x:c>
      <x:c r="J460" s="33" t="str">
        <x:v>2026-08-20</x:v>
      </x:c>
      <x:c r="K460" s="33" t="str">
        <x:v>Existing ID preserved; downstream traceability remediated.</x:v>
      </x:c>
    </x:row>
    <x:row r="461">
      <x:c r="A461" s="33" t="str">
        <x:v>QA-Provision Master</x:v>
      </x:c>
      <x:c r="B461" s="33" t="str">
        <x:v>QA Summary</x:v>
      </x:c>
      <x:c r="C461" s="33" t="str">
        <x:v>Records=735</x:v>
      </x:c>
      <x:c r="D461" s="33" t="str">
        <x:v>Records=750</x:v>
      </x:c>
      <x:c r="E461" s="33" t="str">
        <x:v>CORRECT</x:v>
      </x:c>
      <x:c r="F461" s="33" t="str">
        <x:v>Update record count after P-2 additions.</x:v>
      </x:c>
      <x:c r="G461" s="33" t="str">
        <x:v>P2 Gate Summary</x:v>
      </x:c>
      <x:c r="H461" s="33" t="str">
        <x:v>P-2</x:v>
      </x:c>
      <x:c r="I461" s="33" t="str">
        <x:v>P-2</x:v>
      </x:c>
      <x:c r="J461" s="33" t="str">
        <x:v>2026-08-20</x:v>
      </x:c>
      <x:c r="K461" s="33" t="str">
        <x:v>QA count synchronized.</x:v>
      </x:c>
    </x:row>
    <x:row r="462">
      <x:c r="A462" s="33" t="str">
        <x:v>QA-Provision_ComplianceArea_Map</x:v>
      </x:c>
      <x:c r="B462" s="33" t="str">
        <x:v>QA Summary</x:v>
      </x:c>
      <x:c r="C462" s="33" t="str">
        <x:v>Records=509</x:v>
      </x:c>
      <x:c r="D462" s="33" t="str">
        <x:v>Records=533</x:v>
      </x:c>
      <x:c r="E462" s="33" t="str">
        <x:v>CORRECT</x:v>
      </x:c>
      <x:c r="F462" s="33" t="str">
        <x:v>Update record count after P-2 additions.</x:v>
      </x:c>
      <x:c r="G462" s="33" t="str">
        <x:v>P2 Gate Summary</x:v>
      </x:c>
      <x:c r="H462" s="33" t="str">
        <x:v>P-2</x:v>
      </x:c>
      <x:c r="I462" s="33" t="str">
        <x:v>P-2</x:v>
      </x:c>
      <x:c r="J462" s="33" t="str">
        <x:v>2026-08-20</x:v>
      </x:c>
      <x:c r="K462" s="33" t="str">
        <x:v>QA count synchronized.</x:v>
      </x:c>
    </x:row>
    <x:row r="463">
      <x:c r="A463" s="33" t="str">
        <x:v>QA-Compliance Requirement Master</x:v>
      </x:c>
      <x:c r="B463" s="33" t="str">
        <x:v>QA Summary</x:v>
      </x:c>
      <x:c r="C463" s="33" t="str">
        <x:v>Records=710</x:v>
      </x:c>
      <x:c r="D463" s="33" t="str">
        <x:v>Records=725</x:v>
      </x:c>
      <x:c r="E463" s="33" t="str">
        <x:v>CORRECT</x:v>
      </x:c>
      <x:c r="F463" s="33" t="str">
        <x:v>Update record count after P-2 additions.</x:v>
      </x:c>
      <x:c r="G463" s="33" t="str">
        <x:v>P2 Gate Summary</x:v>
      </x:c>
      <x:c r="H463" s="33" t="str">
        <x:v>P-2</x:v>
      </x:c>
      <x:c r="I463" s="33" t="str">
        <x:v>P-2</x:v>
      </x:c>
      <x:c r="J463" s="33" t="str">
        <x:v>2026-08-20</x:v>
      </x:c>
      <x:c r="K463" s="33" t="str">
        <x:v>QA count synchronized.</x:v>
      </x:c>
    </x:row>
    <x:row r="464">
      <x:c r="A464" s="33" t="str">
        <x:v>QA-Audit Procedure Master</x:v>
      </x:c>
      <x:c r="B464" s="33" t="str">
        <x:v>QA Summary</x:v>
      </x:c>
      <x:c r="C464" s="33" t="str">
        <x:v>Records=981</x:v>
      </x:c>
      <x:c r="D464" s="33" t="str">
        <x:v>Records=1020</x:v>
      </x:c>
      <x:c r="E464" s="33" t="str">
        <x:v>CORRECT</x:v>
      </x:c>
      <x:c r="F464" s="33" t="str">
        <x:v>Update record count after P-2 additions.</x:v>
      </x:c>
      <x:c r="G464" s="33" t="str">
        <x:v>P2 Gate Summary</x:v>
      </x:c>
      <x:c r="H464" s="33" t="str">
        <x:v>P-2</x:v>
      </x:c>
      <x:c r="I464" s="33" t="str">
        <x:v>P-2</x:v>
      </x:c>
      <x:c r="J464" s="33" t="str">
        <x:v>2026-08-20</x:v>
      </x:c>
      <x:c r="K464" s="33" t="str">
        <x:v>QA count synchronized.</x:v>
      </x:c>
    </x:row>
    <x:row r="465">
      <x:c r="A465" s="33" t="str">
        <x:v>QA-Evidence Master</x:v>
      </x:c>
      <x:c r="B465" s="33" t="str">
        <x:v>QA Summary</x:v>
      </x:c>
      <x:c r="C465" s="33" t="str">
        <x:v>Records=1030</x:v>
      </x:c>
      <x:c r="D465" s="33" t="str">
        <x:v>Records=1069</x:v>
      </x:c>
      <x:c r="E465" s="33" t="str">
        <x:v>CORRECT</x:v>
      </x:c>
      <x:c r="F465" s="33" t="str">
        <x:v>Update record count after P-2 additions.</x:v>
      </x:c>
      <x:c r="G465" s="33" t="str">
        <x:v>P2 Gate Summary</x:v>
      </x:c>
      <x:c r="H465" s="33" t="str">
        <x:v>P-2</x:v>
      </x:c>
      <x:c r="I465" s="33" t="str">
        <x:v>P-2</x:v>
      </x:c>
      <x:c r="J465" s="33" t="str">
        <x:v>2026-08-20</x:v>
      </x:c>
      <x:c r="K465" s="33" t="str">
        <x:v>QA count synchronized.</x:v>
      </x:c>
    </x:row>
    <x:row r="466">
      <x:c r="A466" s="33" t="str">
        <x:v>QA-Observation Master</x:v>
      </x:c>
      <x:c r="B466" s="33" t="str">
        <x:v>QA Summary</x:v>
      </x:c>
      <x:c r="C466" s="33" t="str">
        <x:v>Records=710</x:v>
      </x:c>
      <x:c r="D466" s="33" t="str">
        <x:v>Records=749</x:v>
      </x:c>
      <x:c r="E466" s="33" t="str">
        <x:v>CORRECT</x:v>
      </x:c>
      <x:c r="F466" s="33" t="str">
        <x:v>Update record count after P-2 additions.</x:v>
      </x:c>
      <x:c r="G466" s="33" t="str">
        <x:v>P2 Gate Summary</x:v>
      </x:c>
      <x:c r="H466" s="33" t="str">
        <x:v>P-2</x:v>
      </x:c>
      <x:c r="I466" s="33" t="str">
        <x:v>P-2</x:v>
      </x:c>
      <x:c r="J466" s="33" t="str">
        <x:v>2026-08-20</x:v>
      </x:c>
      <x:c r="K466" s="33" t="str">
        <x:v>QA count synchronized.</x:v>
      </x:c>
    </x:row>
    <x:row r="467">
      <x:c r="A467" s="33" t="str">
        <x:v>QA-Version History</x:v>
      </x:c>
      <x:c r="B467" s="33" t="str">
        <x:v>QA Summary</x:v>
      </x:c>
      <x:c r="C467" s="33" t="str">
        <x:v>Records=1</x:v>
      </x:c>
      <x:c r="D467" s="33" t="str">
        <x:v>Records=4</x:v>
      </x:c>
      <x:c r="E467" s="33" t="str">
        <x:v>CORRECT</x:v>
      </x:c>
      <x:c r="F467" s="33" t="str">
        <x:v>Update record count after P-2 additions.</x:v>
      </x:c>
      <x:c r="G467" s="33" t="str">
        <x:v>P2 Gate Summary</x:v>
      </x:c>
      <x:c r="H467" s="33" t="str">
        <x:v>P-2</x:v>
      </x:c>
      <x:c r="I467" s="33" t="str">
        <x:v>P-2</x:v>
      </x:c>
      <x:c r="J467" s="33" t="str">
        <x:v>2026-08-20</x:v>
      </x:c>
      <x:c r="K467" s="33" t="str">
        <x:v>QA count synchronized.</x:v>
      </x:c>
    </x:row>
    <x:row r="468">
      <x:c r="A468" s="33" t="str">
        <x:v>Status</x:v>
      </x:c>
      <x:c r="B468" s="33" t="str">
        <x:v>Freeze Certificate</x:v>
      </x:c>
      <x:c r="C468" s="33" t="str">
        <x:v>Value=FROZEN</x:v>
      </x:c>
      <x:c r="D468" s="33" t="str">
        <x:v>Value=BASELINE CERTIFICATE RETAINED — P-2 WORKING COPY NOT FROZEN</x:v>
      </x:c>
      <x:c r="E468" s="33" t="str">
        <x:v>CORRECT</x:v>
      </x:c>
      <x:c r="F468" s="33" t="str">
        <x:v>Prevent the original v1.0 certificate from being misread as certifying this working copy.</x:v>
      </x:c>
      <x:c r="G468" s="33" t="str">
        <x:v>P-2 gate methodology</x:v>
      </x:c>
      <x:c r="H468" s="33" t="str">
        <x:v>P2 Gate Summary</x:v>
      </x:c>
      <x:c r="I468" s="33" t="str">
        <x:v>P-2</x:v>
      </x:c>
      <x:c r="J468" s="33" t="str">
        <x:v>2026-08-20</x:v>
      </x:c>
      <x:c r="K468" s="33" t="str">
        <x:v>Original baseline identity preserved; working-copy freeze remains blocked.</x:v>
      </x:c>
    </x:row>
    <x:row r="469">
      <x:c r="A469" s="33" t="str">
        <x:v>Certification Statement</x:v>
      </x:c>
      <x:c r="B469" s="33" t="str">
        <x:v>Freeze Certificate</x:v>
      </x:c>
      <x:c r="C469" s="33" t="str">
        <x:v>Value=The Pharmacy Production Dataset v1.0 has passed production schema, FK, enum, duplicate, execution-chain, and production data quality checks and is ready for controlled SaaS development use.</x:v>
      </x:c>
      <x:c r="D469" s="33" t="str">
        <x:v>Value=This sheet records the original v1.0 baseline certificate. The present P-2 working copy is not frozen and must not be treated as final production until all remaining Pharmacy gates pass.</x:v>
      </x:c>
      <x:c r="E469" s="33" t="str">
        <x:v>CORRECT</x:v>
      </x:c>
      <x:c r="F469" s="33" t="str">
        <x:v>Clarify certificate scope.</x:v>
      </x:c>
      <x:c r="G469" s="33" t="str">
        <x:v>P-2 gate methodology</x:v>
      </x:c>
      <x:c r="H469" s="33" t="str">
        <x:v>P2 Gate Summary</x:v>
      </x:c>
      <x:c r="I469" s="33" t="str">
        <x:v>P-2</x:v>
      </x:c>
      <x:c r="J469" s="33" t="str">
        <x:v>2026-08-20</x:v>
      </x:c>
      <x:c r="K469" s="33" t="str">
        <x:v>Working-copy status clarified; baseline identity preserved.</x:v>
      </x:c>
    </x:row>
    <x:row r="470">
      <x:c r="A470" s="33" t="str">
        <x:v>Status</x:v>
      </x:c>
      <x:c r="B470" s="33" t="str">
        <x:v>README</x:v>
      </x:c>
      <x:c r="C470" s="33" t="str">
        <x:v>Value=WORKING COPY — P-0, P-1 and P-2 gates complete; not frozen pending remaining Pharmacy revalidation gates.</x:v>
      </x:c>
      <x:c r="D470" s="33" t="str">
        <x:v>Value=WORKING COPY — P-0 through P-3 gates complete; not frozen pending remaining Pharmacy technical/entity-applicability validation.</x:v>
      </x:c>
      <x:c r="E470" s="33" t="str">
        <x:v>CORRECT</x:v>
      </x:c>
      <x:c r="F470" s="33" t="str">
        <x:v>P-3 working-copy update.</x:v>
      </x:c>
      <x:c r="G470" s="33" t="str">
        <x:v>P3 Gate Summary</x:v>
      </x:c>
      <x:c r="H470" s="33" t="str">
        <x:v>P-3</x:v>
      </x:c>
      <x:c r="I470" s="33" t="str">
        <x:v>P-3</x:v>
      </x:c>
      <x:c r="J470" s="33" t="str">
        <x:v>2026-08-20</x:v>
      </x:c>
      <x:c r="K470" s="33" t="str">
        <x:v>Working-copy status updated; baseline certificate preserved.</x:v>
      </x:c>
    </x:row>
    <x:row r="471">
      <x:c r="A471" s="33" t="str">
        <x:v>Generated On</x:v>
      </x:c>
      <x:c r="B471" s="33" t="str">
        <x:v>README</x:v>
      </x:c>
      <x:c r="C471" s="33" t="str">
        <x:v>Value=2026-08-20</x:v>
      </x:c>
      <x:c r="D471" s="33" t="str">
        <x:v>Value=2026-08-20</x:v>
      </x:c>
      <x:c r="E471" s="33" t="str">
        <x:v>CORRECT</x:v>
      </x:c>
      <x:c r="F471" s="33" t="str">
        <x:v>P-3 working-copy update.</x:v>
      </x:c>
      <x:c r="G471" s="33" t="str">
        <x:v>P3 Gate Summary</x:v>
      </x:c>
      <x:c r="H471" s="33" t="str">
        <x:v>P-3</x:v>
      </x:c>
      <x:c r="I471" s="33" t="str">
        <x:v>P-3</x:v>
      </x:c>
      <x:c r="J471" s="33" t="str">
        <x:v>2026-08-20</x:v>
      </x:c>
      <x:c r="K471" s="33" t="str">
        <x:v>Working-copy status updated; baseline certificate preserved.</x:v>
      </x:c>
    </x:row>
    <x:row r="472">
      <x:c r="A472" s="33" t="str">
        <x:v>Important Note</x:v>
      </x:c>
      <x:c r="B472" s="33" t="str">
        <x:v>README</x:v>
      </x:c>
      <x:c r="C472" s="33" t="str">
        <x:v>Value=P-2 validates the Drugs Rules through 20 August 2026. Future-effective notifications are tracked separately and are not treated as current duties.</x:v>
      </x:c>
      <x:c r="D472" s="33" t="str">
        <x:v>Value=P-3 validates central environmental and cross-cutting general laws through 20 August 2026. State/local instruments remain jurisdiction-required; future-effective duties are not activated early.</x:v>
      </x:c>
      <x:c r="E472" s="33" t="str">
        <x:v>CORRECT</x:v>
      </x:c>
      <x:c r="F472" s="33" t="str">
        <x:v>P-3 working-copy update.</x:v>
      </x:c>
      <x:c r="G472" s="33" t="str">
        <x:v>P3 Gate Summary</x:v>
      </x:c>
      <x:c r="H472" s="33" t="str">
        <x:v>P-3</x:v>
      </x:c>
      <x:c r="I472" s="33" t="str">
        <x:v>P-3</x:v>
      </x:c>
      <x:c r="J472" s="33" t="str">
        <x:v>2026-08-20</x:v>
      </x:c>
      <x:c r="K472" s="33" t="str">
        <x:v>Working-copy status updated; baseline certificate preserved.</x:v>
      </x:c>
    </x:row>
    <x:row r="473">
      <x:c r="A473" s="33" t="str">
        <x:v>Change Control</x:v>
      </x:c>
      <x:c r="B473" s="33" t="str">
        <x:v>README</x:v>
      </x:c>
      <x:c r="C473" s="33" t="str">
        <x:v>Value=Preserve the frozen v1.0 baseline. Continue changes only through controlled phase versions and the Change Ledger.</x:v>
      </x:c>
      <x:c r="D473" s="33" t="str">
        <x:v>Value=Preserve the frozen v1.0 baseline. Continue only through controlled phase versions and the Change Ledger; do not physically merge the Common Corporate Core.</x:v>
      </x:c>
      <x:c r="E473" s="33" t="str">
        <x:v>CORRECT</x:v>
      </x:c>
      <x:c r="F473" s="33" t="str">
        <x:v>P-3 working-copy update.</x:v>
      </x:c>
      <x:c r="G473" s="33" t="str">
        <x:v>P3 Gate Summary</x:v>
      </x:c>
      <x:c r="H473" s="33" t="str">
        <x:v>P-3</x:v>
      </x:c>
      <x:c r="I473" s="33" t="str">
        <x:v>P-3</x:v>
      </x:c>
      <x:c r="J473" s="33" t="str">
        <x:v>2026-08-20</x:v>
      </x:c>
      <x:c r="K473" s="33" t="str">
        <x:v>Working-copy status updated; baseline certificate preserved.</x:v>
      </x:c>
    </x:row>
    <x:row r="474">
      <x:c r="A474" s="33" t="str">
        <x:v>LAW018</x:v>
      </x:c>
      <x:c r="B474" s="33" t="str">
        <x:v>Law Master</x:v>
      </x:c>
      <x:c r="C474" s="33" t="str">
        <x:v>Parent Law=-; Law Name=Biomedical Waste Management Rules, 2016; Applicability Type=Conditional; Applicability Trigger=Generation of biomedical waste; Active=Yes; Remarks=Applicable particularly to hospital pharmacies and specified establishments.</x:v>
      </x:c>
      <x:c r="D474" s="33" t="str">
        <x:v>Parent Law=LAW101; Law Name=Bio-Medical Waste Management Rules, 2016 (as amended); Applicability Type=Conditional; Applicability Trigger=The pharmacy establishment is a health-care facility/occupier or otherwise generates or handles bio-medical waste; ordinary sale/dispensing alone is not enough; Active=Yes; Remarks=Current central rules under the Environment (Protection) Act. Authorization applies to occupiers/operators handling BMW irrespective of quantity.</x:v>
      </x:c>
      <x:c r="E474" s="33" t="str">
        <x:v>CORRECT</x:v>
      </x:c>
      <x:c r="F474" s="33" t="str">
        <x:v>Normalize current-law status, entity triggers, jurisdiction and instrument type for P-3.</x:v>
      </x:c>
      <x:c r="G474" s="33" t="str">
        <x:v>Official MoEFCC, Labour, Tax, Consumer Affairs, MeitY, CERT-In and India Code sources</x:v>
      </x:c>
      <x:c r="H474"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74" s="33" t="str">
        <x:v>P-3</x:v>
      </x:c>
      <x:c r="J474" s="33" t="str">
        <x:v>2026-08-20</x:v>
      </x:c>
      <x:c r="K474" s="33" t="str">
        <x:v>Existing Law IDs preserved; pseudo-laws and generic jurisdiction placeholders deactivated.</x:v>
      </x:c>
    </x:row>
    <x:row r="475">
      <x:c r="A475" s="33" t="str">
        <x:v>LAW019</x:v>
      </x:c>
      <x:c r="B475" s="33" t="str">
        <x:v>Law Master</x:v>
      </x:c>
      <x:c r="C475" s="33" t="str">
        <x:v>Document Type=Guidelines; Law Name=Biomedical Waste Management Guidelines; Applicability Type=Conditional; Active=Yes; Remarks=Operational guidance issued by CPCB/SPCB.</x:v>
      </x:c>
      <x:c r="D475" s="33" t="str">
        <x:v>Document Type=Guidance; Law Name=CPCB Bio-Medical Waste Guidance (non-statutory source layer); Applicability Type=Best Practice; Active=No; Remarks=P-3 RECLASSIFIED: guidance is a source/implementation aid, not an atomic law. Statutory ownership remains LAW018.</x:v>
      </x:c>
      <x:c r="E475" s="33" t="str">
        <x:v>CORRECT</x:v>
      </x:c>
      <x:c r="F475" s="33" t="str">
        <x:v>Normalize current-law status, entity triggers, jurisdiction and instrument type for P-3.</x:v>
      </x:c>
      <x:c r="G475" s="33" t="str">
        <x:v>Official MoEFCC, Labour, Tax, Consumer Affairs, MeitY, CERT-In and India Code sources</x:v>
      </x:c>
      <x:c r="H475"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75" s="33" t="str">
        <x:v>P-3</x:v>
      </x:c>
      <x:c r="J475" s="33" t="str">
        <x:v>2026-08-20</x:v>
      </x:c>
      <x:c r="K475" s="33" t="str">
        <x:v>Existing Law IDs preserved; pseudo-laws and generic jurisdiction placeholders deactivated.</x:v>
      </x:c>
    </x:row>
    <x:row r="476">
      <x:c r="A476" s="33" t="str">
        <x:v>LAW020</x:v>
      </x:c>
      <x:c r="B476" s="33" t="str">
        <x:v>Law Master</x:v>
      </x:c>
      <x:c r="C476" s="33" t="str">
        <x:v>Document Type=Authorization; Law Name=State Biomedical Waste Authorization Requirements; Applicability Type=Conditional; Active=Yes; Remarks=Varies by state.</x:v>
      </x:c>
      <x:c r="D476" s="33" t="str">
        <x:v>Document Type=Authorization / Permit Instance; Law Name=State Bio-Medical Waste Authorization (permit instance); Applicability Type=Conditional; Active=No; Remarks=P-3 RECLASSIFIED: authorization is an entity-specific permit issued under LAW018, not a standalone law.</x:v>
      </x:c>
      <x:c r="E476" s="33" t="str">
        <x:v>CORRECT</x:v>
      </x:c>
      <x:c r="F476" s="33" t="str">
        <x:v>Normalize current-law status, entity triggers, jurisdiction and instrument type for P-3.</x:v>
      </x:c>
      <x:c r="G476" s="33" t="str">
        <x:v>Official MoEFCC, Labour, Tax, Consumer Affairs, MeitY, CERT-In and India Code sources</x:v>
      </x:c>
      <x:c r="H476"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76" s="33" t="str">
        <x:v>P-3</x:v>
      </x:c>
      <x:c r="J476" s="33" t="str">
        <x:v>2026-08-20</x:v>
      </x:c>
      <x:c r="K476" s="33" t="str">
        <x:v>Existing Law IDs preserved; pseudo-laws and generic jurisdiction placeholders deactivated.</x:v>
      </x:c>
    </x:row>
    <x:row r="477">
      <x:c r="A477" s="33" t="str">
        <x:v>LAW021</x:v>
      </x:c>
      <x:c r="B477" s="33" t="str">
        <x:v>Law Master</x:v>
      </x:c>
      <x:c r="C477" s="33" t="str">
        <x:v>Law Name=State Fire Safety Act &amp; Rules; Applicability Type=Conditional; Active=Yes; Remarks=State-specific legislation.</x:v>
      </x:c>
      <x:c r="D477" s="33" t="str">
        <x:v>Law Name=State Fire Safety Act / Rules — Jurisdiction Template; Applicability Type=Conditional; Active=No; Remarks=P-3 JURISDICTION-REQUIRED: attach the exact State Act/Rules, occupancy classification and NOC trigger before production activation.</x:v>
      </x:c>
      <x:c r="E477" s="33" t="str">
        <x:v>CORRECT</x:v>
      </x:c>
      <x:c r="F477" s="33" t="str">
        <x:v>Normalize current-law status, entity triggers, jurisdiction and instrument type for P-3.</x:v>
      </x:c>
      <x:c r="G477" s="33" t="str">
        <x:v>Official MoEFCC, Labour, Tax, Consumer Affairs, MeitY, CERT-In and India Code sources</x:v>
      </x:c>
      <x:c r="H477"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77" s="33" t="str">
        <x:v>P-3</x:v>
      </x:c>
      <x:c r="J477" s="33" t="str">
        <x:v>2026-08-20</x:v>
      </x:c>
      <x:c r="K477" s="33" t="str">
        <x:v>Existing Law IDs preserved; pseudo-laws and generic jurisdiction placeholders deactivated.</x:v>
      </x:c>
    </x:row>
    <x:row r="478">
      <x:c r="A478" s="33" t="str">
        <x:v>LAW022</x:v>
      </x:c>
      <x:c r="B478" s="33" t="str">
        <x:v>Law Master</x:v>
      </x:c>
      <x:c r="C478" s="33" t="str">
        <x:v>Law Name=Municipal Trade Licence / Trade By-laws; Applicability Type=Conditional; Active=Yes; Remarks=Local authority requirements.</x:v>
      </x:c>
      <x:c r="D478" s="33" t="str">
        <x:v>Law Name=Municipal Trade Licence / Trade By-laws — Jurisdiction Template; Applicability Type=Conditional; Active=No; Remarks=P-3 JURISDICTION-REQUIRED: attach the exact municipal enabling law, by-laws, licence and conditions.</x:v>
      </x:c>
      <x:c r="E478" s="33" t="str">
        <x:v>CORRECT</x:v>
      </x:c>
      <x:c r="F478" s="33" t="str">
        <x:v>Normalize current-law status, entity triggers, jurisdiction and instrument type for P-3.</x:v>
      </x:c>
      <x:c r="G478" s="33" t="str">
        <x:v>Official MoEFCC, Labour, Tax, Consumer Affairs, MeitY, CERT-In and India Code sources</x:v>
      </x:c>
      <x:c r="H478"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78" s="33" t="str">
        <x:v>P-3</x:v>
      </x:c>
      <x:c r="J478" s="33" t="str">
        <x:v>2026-08-20</x:v>
      </x:c>
      <x:c r="K478" s="33" t="str">
        <x:v>Existing Law IDs preserved; pseudo-laws and generic jurisdiction placeholders deactivated.</x:v>
      </x:c>
    </x:row>
    <x:row r="479">
      <x:c r="A479" s="33" t="str">
        <x:v>LAW023</x:v>
      </x:c>
      <x:c r="B479" s="33" t="str">
        <x:v>Law Master</x:v>
      </x:c>
      <x:c r="C479" s="33" t="str">
        <x:v>Law Name=Shops and Establishments Act (State Specific); Applicability Type=Mandatory; Active=Yes; Remarks=State-specific legislation.</x:v>
      </x:c>
      <x:c r="D479" s="33" t="str">
        <x:v>Law Name=Shops and Establishments Act / Rules — State Jurisdiction Template; Applicability Type=Conditional; Active=No; Remarks=P-3 JURISDICTION-REQUIRED: state-specific registration, hours, leave and display duties cannot be activated from a generic national placeholder.</x:v>
      </x:c>
      <x:c r="E479" s="33" t="str">
        <x:v>CORRECT</x:v>
      </x:c>
      <x:c r="F479" s="33" t="str">
        <x:v>Normalize current-law status, entity triggers, jurisdiction and instrument type for P-3.</x:v>
      </x:c>
      <x:c r="G479" s="33" t="str">
        <x:v>Official MoEFCC, Labour, Tax, Consumer Affairs, MeitY, CERT-In and India Code sources</x:v>
      </x:c>
      <x:c r="H479"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79" s="33" t="str">
        <x:v>P-3</x:v>
      </x:c>
      <x:c r="J479" s="33" t="str">
        <x:v>2026-08-20</x:v>
      </x:c>
      <x:c r="K479" s="33" t="str">
        <x:v>Existing Law IDs preserved; pseudo-laws and generic jurisdiction placeholders deactivated.</x:v>
      </x:c>
    </x:row>
    <x:row r="480">
      <x:c r="A480" s="33" t="str">
        <x:v>LAW024</x:v>
      </x:c>
      <x:c r="B480" s="33" t="str">
        <x:v>Law Master</x:v>
      </x:c>
      <x:c r="C480" s="33" t="str">
        <x:v>Law Name=Employees' Provident Funds and Miscellaneous Provisions Act, 1952; Applicability Type=Conditional; Applicability Trigger=Employee threshold under EPF Act; Active=Yes; Remarks=Employment-related compliance.</x:v>
      </x:c>
      <x:c r="D480" s="33" t="str">
        <x:v>Law Name=Employees' Provident Funds and Miscellaneous Provisions Act, 1952 — superseded/savings layer; Applicability Type=Conditional; Applicability Trigger=Historical/pre-21 November 2025 periods and saved proceedings/schemes only; Active=No; Remarks=P-3 SUPERSEDED for current operations by the Code on Social Security, 2020 and 2026 Central Rules; retained for historical traceability.</x:v>
      </x:c>
      <x:c r="E480" s="33" t="str">
        <x:v>CORRECT</x:v>
      </x:c>
      <x:c r="F480" s="33" t="str">
        <x:v>Normalize current-law status, entity triggers, jurisdiction and instrument type for P-3.</x:v>
      </x:c>
      <x:c r="G480" s="33" t="str">
        <x:v>Official MoEFCC, Labour, Tax, Consumer Affairs, MeitY, CERT-In and India Code sources</x:v>
      </x:c>
      <x:c r="H480"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80" s="33" t="str">
        <x:v>P-3</x:v>
      </x:c>
      <x:c r="J480" s="33" t="str">
        <x:v>2026-08-20</x:v>
      </x:c>
      <x:c r="K480" s="33" t="str">
        <x:v>Existing Law IDs preserved; pseudo-laws and generic jurisdiction placeholders deactivated.</x:v>
      </x:c>
    </x:row>
    <x:row r="481">
      <x:c r="A481" s="33" t="str">
        <x:v>LAW025</x:v>
      </x:c>
      <x:c r="B481" s="33" t="str">
        <x:v>Law Master</x:v>
      </x:c>
      <x:c r="C481" s="33" t="str">
        <x:v>Law Name=Employees' State Insurance Act, 1948; Applicability Type=Conditional; Applicability Trigger=Employee threshold under ESI Act; Active=Yes; Remarks=Employee insurance compliance.</x:v>
      </x:c>
      <x:c r="D481" s="33" t="str">
        <x:v>Law Name=Employees' State Insurance Act, 1948 — superseded/savings layer; Applicability Type=Conditional; Applicability Trigger=Historical/pre-21 November 2025 periods and saved proceedings/schemes only; Active=No; Remarks=P-3 SUPERSEDED for current operations by the Code on Social Security, 2020 and 2026 Central Rules; retained for historical traceability.</x:v>
      </x:c>
      <x:c r="E481" s="33" t="str">
        <x:v>CORRECT</x:v>
      </x:c>
      <x:c r="F481" s="33" t="str">
        <x:v>Normalize current-law status, entity triggers, jurisdiction and instrument type for P-3.</x:v>
      </x:c>
      <x:c r="G481" s="33" t="str">
        <x:v>Official MoEFCC, Labour, Tax, Consumer Affairs, MeitY, CERT-In and India Code sources</x:v>
      </x:c>
      <x:c r="H481"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81" s="33" t="str">
        <x:v>P-3</x:v>
      </x:c>
      <x:c r="J481" s="33" t="str">
        <x:v>2026-08-20</x:v>
      </x:c>
      <x:c r="K481" s="33" t="str">
        <x:v>Existing Law IDs preserved; pseudo-laws and generic jurisdiction placeholders deactivated.</x:v>
      </x:c>
    </x:row>
    <x:row r="482">
      <x:c r="A482" s="33" t="str">
        <x:v>LAW026</x:v>
      </x:c>
      <x:c r="B482" s="33" t="str">
        <x:v>Law Master</x:v>
      </x:c>
      <x:c r="C482" s="33" t="str">
        <x:v>Applicability Type=Mandatory; Applicability Trigger=Supply of taxable goods or services; Remarks=GST registration, invoicing, returns and ITC.</x:v>
      </x:c>
      <x:c r="D482" s="33" t="str">
        <x:v>Applicability Type=Conditional; Applicability Trigger=Registration liability under CGST/SGST law, compulsory-registration trigger, or voluntary registration; Remarks=Current central GST statute; frequency/forms depend on taxpayer profile, registration and notified return scheme.</x:v>
      </x:c>
      <x:c r="E482" s="33" t="str">
        <x:v>CORRECT</x:v>
      </x:c>
      <x:c r="F482" s="33" t="str">
        <x:v>Normalize current-law status, entity triggers, jurisdiction and instrument type for P-3.</x:v>
      </x:c>
      <x:c r="G482" s="33" t="str">
        <x:v>Official MoEFCC, Labour, Tax, Consumer Affairs, MeitY, CERT-In and India Code sources</x:v>
      </x:c>
      <x:c r="H482"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82" s="33" t="str">
        <x:v>P-3</x:v>
      </x:c>
      <x:c r="J482" s="33" t="str">
        <x:v>2026-08-20</x:v>
      </x:c>
      <x:c r="K482" s="33" t="str">
        <x:v>Existing Law IDs preserved; pseudo-laws and generic jurisdiction placeholders deactivated.</x:v>
      </x:c>
    </x:row>
    <x:row r="483">
      <x:c r="A483" s="33" t="str">
        <x:v>LAW027</x:v>
      </x:c>
      <x:c r="B483" s="33" t="str">
        <x:v>Law Master</x:v>
      </x:c>
      <x:c r="C483" s="33" t="str">
        <x:v>Law Name=State Goods and Services Tax Act, 2017; Applicability Type=Mandatory; Active=Yes; Remarks=State GST provisions.</x:v>
      </x:c>
      <x:c r="D483" s="33" t="str">
        <x:v>Law Name=State Goods and Services Tax Act — Jurisdiction Template; Applicability Type=Conditional; Active=No; Remarks=P-3 JURISDICTION-REQUIRED: attach the exact SGST Act for each registered State; CGST production controls remain active.</x:v>
      </x:c>
      <x:c r="E483" s="33" t="str">
        <x:v>CORRECT</x:v>
      </x:c>
      <x:c r="F483" s="33" t="str">
        <x:v>Normalize current-law status, entity triggers, jurisdiction and instrument type for P-3.</x:v>
      </x:c>
      <x:c r="G483" s="33" t="str">
        <x:v>Official MoEFCC, Labour, Tax, Consumer Affairs, MeitY, CERT-In and India Code sources</x:v>
      </x:c>
      <x:c r="H483"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83" s="33" t="str">
        <x:v>P-3</x:v>
      </x:c>
      <x:c r="J483" s="33" t="str">
        <x:v>2026-08-20</x:v>
      </x:c>
      <x:c r="K483" s="33" t="str">
        <x:v>Existing Law IDs preserved; pseudo-laws and generic jurisdiction placeholders deactivated.</x:v>
      </x:c>
    </x:row>
    <x:row r="484">
      <x:c r="A484" s="33" t="str">
        <x:v>LAW029</x:v>
      </x:c>
      <x:c r="B484" s="33" t="str">
        <x:v>Law Master</x:v>
      </x:c>
      <x:c r="C484" s="33" t="str">
        <x:v>Law Name=Income-tax Act, 1961; Applicability Type=Mandatory; Applicability Trigger=Earning taxable income; Active=Yes; Remarks=Income tax, TDS and related compliances.</x:v>
      </x:c>
      <x:c r="D484" s="33" t="str">
        <x:v>Law Name=Income-tax Act, 1961 — repeal/savings layer; Applicability Type=Conditional; Applicability Trigger=Tax years beginning before 1 April 2026 and saved/pending proceedings; Active=Yes; Remarks=Repealed from 01-04-2026 for new tax years but continues under savings for Tax Year/Previous Year periods beginning earlier and related proceedings.</x:v>
      </x:c>
      <x:c r="E484" s="33" t="str">
        <x:v>CORRECT</x:v>
      </x:c>
      <x:c r="F484" s="33" t="str">
        <x:v>Normalize current-law status, entity triggers, jurisdiction and instrument type for P-3.</x:v>
      </x:c>
      <x:c r="G484" s="33" t="str">
        <x:v>Official MoEFCC, Labour, Tax, Consumer Affairs, MeitY, CERT-In and India Code sources</x:v>
      </x:c>
      <x:c r="H484"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84" s="33" t="str">
        <x:v>P-3</x:v>
      </x:c>
      <x:c r="J484" s="33" t="str">
        <x:v>2026-08-20</x:v>
      </x:c>
      <x:c r="K484" s="33" t="str">
        <x:v>Existing Law IDs preserved; pseudo-laws and generic jurisdiction placeholders deactivated.</x:v>
      </x:c>
    </x:row>
    <x:row r="485">
      <x:c r="A485" s="33" t="str">
        <x:v>LAW030</x:v>
      </x:c>
      <x:c r="B485" s="33" t="str">
        <x:v>Law Master</x:v>
      </x:c>
      <x:c r="C485" s="33" t="str">
        <x:v>Law Name=Income-tax Rules, 1962; Applicability Type=Mandatory; Applicability Trigger=Applicable under Income-tax Act; Active=Yes; Remarks=Operational tax rules.</x:v>
      </x:c>
      <x:c r="D485" s="33" t="str">
        <x:v>Law Name=Income-tax Rules, 1962 — transition/savings layer; Applicability Type=Conditional; Applicability Trigger=Returns, forms, deductions and proceedings governed by the saved 1961 Act; Active=Yes; Remarks=Transitional operational rules for matters governed by the saved 1961 Act; current Tax Year 2026-27 duties use LAW107/LAW108.</x:v>
      </x:c>
      <x:c r="E485" s="33" t="str">
        <x:v>CORRECT</x:v>
      </x:c>
      <x:c r="F485" s="33" t="str">
        <x:v>Normalize current-law status, entity triggers, jurisdiction and instrument type for P-3.</x:v>
      </x:c>
      <x:c r="G485" s="33" t="str">
        <x:v>Official MoEFCC, Labour, Tax, Consumer Affairs, MeitY, CERT-In and India Code sources</x:v>
      </x:c>
      <x:c r="H485"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85" s="33" t="str">
        <x:v>P-3</x:v>
      </x:c>
      <x:c r="J485" s="33" t="str">
        <x:v>2026-08-20</x:v>
      </x:c>
      <x:c r="K485" s="33" t="str">
        <x:v>Existing Law IDs preserved; pseudo-laws and generic jurisdiction placeholders deactivated.</x:v>
      </x:c>
    </x:row>
    <x:row r="486">
      <x:c r="A486" s="33" t="str">
        <x:v>LAW033</x:v>
      </x:c>
      <x:c r="B486" s="33" t="str">
        <x:v>Law Master</x:v>
      </x:c>
      <x:c r="C486" s="33" t="str">
        <x:v>Law Name=Limited Liability Partnership Act, 2008; Applicability Type=Conditional; Active=Yes; Remarks=Applicable to LLPs.</x:v>
      </x:c>
      <x:c r="D486" s="33" t="str">
        <x:v>Law Name=Limited Liability Partnership Act, 2008 — Common Core alias; Applicability Type=Conditional; Active=No; Remarks=P-3 COMMON-CORE EXCLUSION: LLP governance is owned by the separate Common Corporate Core and is combined only at runtime.</x:v>
      </x:c>
      <x:c r="E486" s="33" t="str">
        <x:v>CORRECT</x:v>
      </x:c>
      <x:c r="F486" s="33" t="str">
        <x:v>Normalize current-law status, entity triggers, jurisdiction and instrument type for P-3.</x:v>
      </x:c>
      <x:c r="G486" s="33" t="str">
        <x:v>Official MoEFCC, Labour, Tax, Consumer Affairs, MeitY, CERT-In and India Code sources</x:v>
      </x:c>
      <x:c r="H486"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86" s="33" t="str">
        <x:v>P-3</x:v>
      </x:c>
      <x:c r="J486" s="33" t="str">
        <x:v>2026-08-20</x:v>
      </x:c>
      <x:c r="K486" s="33" t="str">
        <x:v>Existing Law IDs preserved; pseudo-laws and generic jurisdiction placeholders deactivated.</x:v>
      </x:c>
    </x:row>
    <x:row r="487">
      <x:c r="A487" s="33" t="str">
        <x:v>LAW034</x:v>
      </x:c>
      <x:c r="B487" s="33" t="str">
        <x:v>Law Master</x:v>
      </x:c>
      <x:c r="C487" s="33" t="str">
        <x:v>Law Name=Code on Wages, 2019; Applicability Trigger=Employment of workers; Active=Yes; Remarks=Wage-related compliance.</x:v>
      </x:c>
      <x:c r="D487" s="33" t="str">
        <x:v>Law Name=Code on Wages, 2019; Applicability Trigger=Employment of employees; specific provisions/thresholds and appropriate-government rules apply; Active=Yes; Remarks=Implemented on 21-11-2025; read with Code on Wages (Central) Rules, 2026 and applicable State/appropriate-government rules.</x:v>
      </x:c>
      <x:c r="E487" s="33" t="str">
        <x:v>CORRECT</x:v>
      </x:c>
      <x:c r="F487" s="33" t="str">
        <x:v>Normalize current-law status, entity triggers, jurisdiction and instrument type for P-3.</x:v>
      </x:c>
      <x:c r="G487" s="33" t="str">
        <x:v>Official MoEFCC, Labour, Tax, Consumer Affairs, MeitY, CERT-In and India Code sources</x:v>
      </x:c>
      <x:c r="H487"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87" s="33" t="str">
        <x:v>P-3</x:v>
      </x:c>
      <x:c r="J487" s="33" t="str">
        <x:v>2026-08-20</x:v>
      </x:c>
      <x:c r="K487" s="33" t="str">
        <x:v>Existing Law IDs preserved; pseudo-laws and generic jurisdiction placeholders deactivated.</x:v>
      </x:c>
    </x:row>
    <x:row r="488">
      <x:c r="A488" s="33" t="str">
        <x:v>LAW035</x:v>
      </x:c>
      <x:c r="B488" s="33" t="str">
        <x:v>Law Master</x:v>
      </x:c>
      <x:c r="C488" s="33" t="str">
        <x:v>Law Name=Occupational Safety, Health and Working Conditions Code, 2020; Applicability Trigger=Establishments covered under the Code; Active=Yes; Remarks=Workplace safety requirements.</x:v>
      </x:c>
      <x:c r="D488" s="33" t="str">
        <x:v>Law Name=Occupational Safety, Health and Working Conditions Code, 2020; Applicability Trigger=Establishment/worker/activity threshold under the Code; ordinary pharmacy is not assumed covered by every chapter; Active=Yes; Remarks=Implemented on 21-11-2025; read with 2026 Central Rules and applicable State/appropriate-government rules.</x:v>
      </x:c>
      <x:c r="E488" s="33" t="str">
        <x:v>CORRECT</x:v>
      </x:c>
      <x:c r="F488" s="33" t="str">
        <x:v>Normalize current-law status, entity triggers, jurisdiction and instrument type for P-3.</x:v>
      </x:c>
      <x:c r="G488" s="33" t="str">
        <x:v>Official MoEFCC, Labour, Tax, Consumer Affairs, MeitY, CERT-In and India Code sources</x:v>
      </x:c>
      <x:c r="H488"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88" s="33" t="str">
        <x:v>P-3</x:v>
      </x:c>
      <x:c r="J488" s="33" t="str">
        <x:v>2026-08-20</x:v>
      </x:c>
      <x:c r="K488" s="33" t="str">
        <x:v>Existing Law IDs preserved; pseudo-laws and generic jurisdiction placeholders deactivated.</x:v>
      </x:c>
    </x:row>
    <x:row r="489">
      <x:c r="A489" s="33" t="str">
        <x:v>LAW036</x:v>
      </x:c>
      <x:c r="B489" s="33" t="str">
        <x:v>Law Master</x:v>
      </x:c>
      <x:c r="C489" s="33" t="str">
        <x:v>Law Name=Code on Social Security, 2020; Applicability Trigger=Covered establishment; Active=Yes; Remarks=PF, ESI and social security provisions.</x:v>
      </x:c>
      <x:c r="D489" s="33" t="str">
        <x:v>Law Name=Code on Social Security, 2020; Applicability Trigger=Applicable establishment/employee thresholds for EPF, ESI or other chapter; Active=Yes; Remarks=Implemented on 21-11-2025; current EPF/ESI production chains are mapped here and to the 2026 Central Rules.</x:v>
      </x:c>
      <x:c r="E489" s="33" t="str">
        <x:v>CORRECT</x:v>
      </x:c>
      <x:c r="F489" s="33" t="str">
        <x:v>Normalize current-law status, entity triggers, jurisdiction and instrument type for P-3.</x:v>
      </x:c>
      <x:c r="G489" s="33" t="str">
        <x:v>Official MoEFCC, Labour, Tax, Consumer Affairs, MeitY, CERT-In and India Code sources</x:v>
      </x:c>
      <x:c r="H489"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89" s="33" t="str">
        <x:v>P-3</x:v>
      </x:c>
      <x:c r="J489" s="33" t="str">
        <x:v>2026-08-20</x:v>
      </x:c>
      <x:c r="K489" s="33" t="str">
        <x:v>Existing Law IDs preserved; pseudo-laws and generic jurisdiction placeholders deactivated.</x:v>
      </x:c>
    </x:row>
    <x:row r="490">
      <x:c r="A490" s="33" t="str">
        <x:v>LAW037</x:v>
      </x:c>
      <x:c r="B490" s="33" t="str">
        <x:v>Law Master</x:v>
      </x:c>
      <x:c r="C490" s="33" t="str">
        <x:v>Law Name=Industrial Relations Code, 2020; Applicability Trigger=Covered establishment; Active=Yes; Remarks=Industrial relations compliance.</x:v>
      </x:c>
      <x:c r="D490" s="33" t="str">
        <x:v>Law Name=Industrial Relations Code, 2020; Applicability Trigger=Industrial establishment, worker and event thresholds under the Code; Active=Yes; Remarks=Implemented on 21-11-2025; no universal recurring IR duty is imposed on every pharmacy without its activity/threshold trigger.</x:v>
      </x:c>
      <x:c r="E490" s="33" t="str">
        <x:v>CORRECT</x:v>
      </x:c>
      <x:c r="F490" s="33" t="str">
        <x:v>Normalize current-law status, entity triggers, jurisdiction and instrument type for P-3.</x:v>
      </x:c>
      <x:c r="G490" s="33" t="str">
        <x:v>Official MoEFCC, Labour, Tax, Consumer Affairs, MeitY, CERT-In and India Code sources</x:v>
      </x:c>
      <x:c r="H490"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90" s="33" t="str">
        <x:v>P-3</x:v>
      </x:c>
      <x:c r="J490" s="33" t="str">
        <x:v>2026-08-20</x:v>
      </x:c>
      <x:c r="K490" s="33" t="str">
        <x:v>Existing Law IDs preserved; pseudo-laws and generic jurisdiction placeholders deactivated.</x:v>
      </x:c>
    </x:row>
    <x:row r="491">
      <x:c r="A491" s="33" t="str">
        <x:v>LAW038</x:v>
      </x:c>
      <x:c r="B491" s="33" t="str">
        <x:v>Law Master</x:v>
      </x:c>
      <x:c r="C491" s="33" t="str">
        <x:v>Law Name=Consumer Protection Act, 2019; Applicability Trigger=Sale of goods or services to consumers; Active=Yes; Remarks=Consumer rights and grievance handling.</x:v>
      </x:c>
      <x:c r="D491" s="33" t="str">
        <x:v>Law Name=Consumer Protection Act, 2019; Applicability Trigger=Sale of goods or provision of services to consumers; advertising/unfair-trade triggers; Active=Yes; Remarks=Current consumer-protection parent statute; direct e-commerce operator controls are separately mapped to LAW039.</x:v>
      </x:c>
      <x:c r="E491" s="33" t="str">
        <x:v>CORRECT</x:v>
      </x:c>
      <x:c r="F491" s="33" t="str">
        <x:v>Normalize current-law status, entity triggers, jurisdiction and instrument type for P-3.</x:v>
      </x:c>
      <x:c r="G491" s="33" t="str">
        <x:v>Official MoEFCC, Labour, Tax, Consumer Affairs, MeitY, CERT-In and India Code sources</x:v>
      </x:c>
      <x:c r="H491"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91" s="33" t="str">
        <x:v>P-3</x:v>
      </x:c>
      <x:c r="J491" s="33" t="str">
        <x:v>2026-08-20</x:v>
      </x:c>
      <x:c r="K491" s="33" t="str">
        <x:v>Existing Law IDs preserved; pseudo-laws and generic jurisdiction placeholders deactivated.</x:v>
      </x:c>
    </x:row>
    <x:row r="492">
      <x:c r="A492" s="33" t="str">
        <x:v>LAW039</x:v>
      </x:c>
      <x:c r="B492" s="33" t="str">
        <x:v>Law Master</x:v>
      </x:c>
      <x:c r="C492" s="33" t="str">
        <x:v>Law Name=Consumer Protection (E-Commerce) Rules, 2020; Applicability Trigger=E-commerce operations; Active=Yes; Remarks=Applicable to e-pharmacies.</x:v>
      </x:c>
      <x:c r="D492" s="33" t="str">
        <x:v>Law Name=Consumer Protection (E-Commerce) Rules, 2020 (as amended in 2021); Applicability Trigger=The pharmacy operates as an e-commerce entity, inventory e-commerce entity, marketplace, or seller on a marketplace; Active=Yes; Remarks=Conditional for E-Pharmacy/online models; role must be determined before activation.</x:v>
      </x:c>
      <x:c r="E492" s="33" t="str">
        <x:v>CORRECT</x:v>
      </x:c>
      <x:c r="F492" s="33" t="str">
        <x:v>Normalize current-law status, entity triggers, jurisdiction and instrument type for P-3.</x:v>
      </x:c>
      <x:c r="G492" s="33" t="str">
        <x:v>Official MoEFCC, Labour, Tax, Consumer Affairs, MeitY, CERT-In and India Code sources</x:v>
      </x:c>
      <x:c r="H492"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92" s="33" t="str">
        <x:v>P-3</x:v>
      </x:c>
      <x:c r="J492" s="33" t="str">
        <x:v>2026-08-20</x:v>
      </x:c>
      <x:c r="K492" s="33" t="str">
        <x:v>Existing Law IDs preserved; pseudo-laws and generic jurisdiction placeholders deactivated.</x:v>
      </x:c>
    </x:row>
    <x:row r="493">
      <x:c r="A493" s="33" t="str">
        <x:v>LAW040</x:v>
      </x:c>
      <x:c r="B493" s="33" t="str">
        <x:v>Law Master</x:v>
      </x:c>
      <x:c r="C493" s="33" t="str">
        <x:v>Applicability Trigger=Sale of packaged commodities; Active=Yes; Remarks=Packaging and measurement compliance.</x:v>
      </x:c>
      <x:c r="D493" s="33" t="str">
        <x:v>Applicability Trigger=Use of a weight or measure in a transaction/protection; seller responsibility for compliant packaged commodities; Active=Yes; Remarks=Current; instrument-verification duties apply only where a regulated weight/measure is used.</x:v>
      </x:c>
      <x:c r="E493" s="33" t="str">
        <x:v>CORRECT</x:v>
      </x:c>
      <x:c r="F493" s="33" t="str">
        <x:v>Normalize current-law status, entity triggers, jurisdiction and instrument type for P-3.</x:v>
      </x:c>
      <x:c r="G493" s="33" t="str">
        <x:v>Official MoEFCC, Labour, Tax, Consumer Affairs, MeitY, CERT-In and India Code sources</x:v>
      </x:c>
      <x:c r="H493"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93" s="33" t="str">
        <x:v>P-3</x:v>
      </x:c>
      <x:c r="J493" s="33" t="str">
        <x:v>2026-08-20</x:v>
      </x:c>
      <x:c r="K493" s="33" t="str">
        <x:v>Existing Law IDs preserved; pseudo-laws and generic jurisdiction placeholders deactivated.</x:v>
      </x:c>
    </x:row>
    <x:row r="494">
      <x:c r="A494" s="33" t="str">
        <x:v>LAW041</x:v>
      </x:c>
      <x:c r="B494" s="33" t="str">
        <x:v>Law Master</x:v>
      </x:c>
      <x:c r="C494" s="33" t="str">
        <x:v>Applicability Trigger=Sale of packaged commodities; Active=Yes; Remarks=Mandatory declarations on packaged goods.</x:v>
      </x:c>
      <x:c r="D494" s="33" t="str">
        <x:v>Applicability Trigger=Retail/wholesale sale, display, distribution or e-commerce display of pre-packaged commodities; Active=Yes; Remarks=Retailer duties are principally Rule 18 controls; Rule 6 declaration liability primarily rests on manufacturer/packer/importer, with e-commerce display duties where applicable.</x:v>
      </x:c>
      <x:c r="E494" s="33" t="str">
        <x:v>CORRECT</x:v>
      </x:c>
      <x:c r="F494" s="33" t="str">
        <x:v>Normalize current-law status, entity triggers, jurisdiction and instrument type for P-3.</x:v>
      </x:c>
      <x:c r="G494" s="33" t="str">
        <x:v>Official MoEFCC, Labour, Tax, Consumer Affairs, MeitY, CERT-In and India Code sources</x:v>
      </x:c>
      <x:c r="H494"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94" s="33" t="str">
        <x:v>P-3</x:v>
      </x:c>
      <x:c r="J494" s="33" t="str">
        <x:v>2026-08-20</x:v>
      </x:c>
      <x:c r="K494" s="33" t="str">
        <x:v>Existing Law IDs preserved; pseudo-laws and generic jurisdiction placeholders deactivated.</x:v>
      </x:c>
    </x:row>
    <x:row r="495">
      <x:c r="A495" s="33" t="str">
        <x:v>LAW042</x:v>
      </x:c>
      <x:c r="B495" s="33" t="str">
        <x:v>Law Master</x:v>
      </x:c>
      <x:c r="C495" s="33" t="str">
        <x:v>Parent Law=-; Applicability Trigger=Generation or use of plastic packaging; Active=Yes; Remarks=Plastic waste management obligations.</x:v>
      </x:c>
      <x:c r="D495" s="33" t="str">
        <x:v>Parent Law=LAW101; Applicability Trigger=Generation of plastic waste; or retailer use/provision of plastic carry bags/sheets; producer/importer/brand-owner EPR only if that separate role exists; Active=Yes; Remarks=Ordinary pharmacy waste-generator/retailer duties do not create PIBO EPR registration by themselves.</x:v>
      </x:c>
      <x:c r="E495" s="33" t="str">
        <x:v>CORRECT</x:v>
      </x:c>
      <x:c r="F495" s="33" t="str">
        <x:v>Normalize current-law status, entity triggers, jurisdiction and instrument type for P-3.</x:v>
      </x:c>
      <x:c r="G495" s="33" t="str">
        <x:v>Official MoEFCC, Labour, Tax, Consumer Affairs, MeitY, CERT-In and India Code sources</x:v>
      </x:c>
      <x:c r="H495"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95" s="33" t="str">
        <x:v>P-3</x:v>
      </x:c>
      <x:c r="J495" s="33" t="str">
        <x:v>2026-08-20</x:v>
      </x:c>
      <x:c r="K495" s="33" t="str">
        <x:v>Existing Law IDs preserved; pseudo-laws and generic jurisdiction placeholders deactivated.</x:v>
      </x:c>
    </x:row>
    <x:row r="496">
      <x:c r="A496" s="33" t="str">
        <x:v>LAW043</x:v>
      </x:c>
      <x:c r="B496" s="33" t="str">
        <x:v>Law Master</x:v>
      </x:c>
      <x:c r="C496" s="33" t="str">
        <x:v>Parent Law=-; Law Name=E-Waste (Management) Rules, 2022; Applicability Trigger=Generation of electronic waste; Active=Yes; Remarks=Disposal of IT and electronic equipment.</x:v>
      </x:c>
      <x:c r="D496" s="33" t="str">
        <x:v>Parent Law=LAW101; Law Name=E-Waste (Management) Rules, 2022 (as amended); Applicability Trigger=Bulk consumer threshold of at least 1,000 units of Schedule I electrical/electronic equipment in a financial year, or another regulated producer/refurbisher/recycler role; Active=Yes; Remarks=Ordinary pharmacy below the bulk-consumer threshold is not assigned the Rule 8 bulk-consumer duty; sound channelisation remains best practice.</x:v>
      </x:c>
      <x:c r="E496" s="33" t="str">
        <x:v>CORRECT</x:v>
      </x:c>
      <x:c r="F496" s="33" t="str">
        <x:v>Normalize current-law status, entity triggers, jurisdiction and instrument type for P-3.</x:v>
      </x:c>
      <x:c r="G496" s="33" t="str">
        <x:v>Official MoEFCC, Labour, Tax, Consumer Affairs, MeitY, CERT-In and India Code sources</x:v>
      </x:c>
      <x:c r="H496"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96" s="33" t="str">
        <x:v>P-3</x:v>
      </x:c>
      <x:c r="J496" s="33" t="str">
        <x:v>2026-08-20</x:v>
      </x:c>
      <x:c r="K496" s="33" t="str">
        <x:v>Existing Law IDs preserved; pseudo-laws and generic jurisdiction placeholders deactivated.</x:v>
      </x:c>
    </x:row>
    <x:row r="497">
      <x:c r="A497" s="33" t="str">
        <x:v>LAW044</x:v>
      </x:c>
      <x:c r="B497" s="33" t="str">
        <x:v>Law Master</x:v>
      </x:c>
      <x:c r="C497" s="33" t="str">
        <x:v>Parent Law=-; Law Name=Solid Waste Management Rules, 2016; Applicability Type=Conditional; Applicability Trigger=Generation of municipal solid waste; Active=Yes; Remarks=General waste management requirements.</x:v>
      </x:c>
      <x:c r="D497" s="33" t="str">
        <x:v>Parent Law=LAW101; Law Name=Solid Waste Management Rules, 2026; Applicability Type=Mandatory; Applicability Trigger=Every domestic, institutional, commercial or other non-residential solid-waste generator; additional duties if any bulk-waste-generator threshold is met; Active=Yes; Remarks=S.O. 388(E), effective 01-04-2026, supersedes the 2016 Rules. Four-stream segregation applies; separate waste regimes remain excluded by waste stream.</x:v>
      </x:c>
      <x:c r="E497" s="33" t="str">
        <x:v>CORRECT</x:v>
      </x:c>
      <x:c r="F497" s="33" t="str">
        <x:v>Normalize current-law status, entity triggers, jurisdiction and instrument type for P-3.</x:v>
      </x:c>
      <x:c r="G497" s="33" t="str">
        <x:v>Official MoEFCC, Labour, Tax, Consumer Affairs, MeitY, CERT-In and India Code sources</x:v>
      </x:c>
      <x:c r="H497"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97" s="33" t="str">
        <x:v>P-3</x:v>
      </x:c>
      <x:c r="J497" s="33" t="str">
        <x:v>2026-08-20</x:v>
      </x:c>
      <x:c r="K497" s="33" t="str">
        <x:v>Existing Law IDs preserved; pseudo-laws and generic jurisdiction placeholders deactivated.</x:v>
      </x:c>
    </x:row>
    <x:row r="498">
      <x:c r="A498" s="33" t="str">
        <x:v>LAW045</x:v>
      </x:c>
      <x:c r="B498" s="33" t="str">
        <x:v>Law Master</x:v>
      </x:c>
      <x:c r="C498" s="33" t="str">
        <x:v>Law Name=National Building Code of India (Fire &amp; Life Safety Provisions); Document Type=National Code / State Rules; Active=Yes; Remarks=Read with applicable State Fire Rules.</x:v>
      </x:c>
      <x:c r="D498" s="33" t="str">
        <x:v>Law Name=National Building Code of India — Reference Standard; Document Type=Reference Standard; Active=No; Remarks=P-3 REFERENCE ONLY: not a standalone binding law unless incorporated by the applicable State/local building or fire instrument.</x:v>
      </x:c>
      <x:c r="E498" s="33" t="str">
        <x:v>CORRECT</x:v>
      </x:c>
      <x:c r="F498" s="33" t="str">
        <x:v>Normalize current-law status, entity triggers, jurisdiction and instrument type for P-3.</x:v>
      </x:c>
      <x:c r="G498" s="33" t="str">
        <x:v>Official MoEFCC, Labour, Tax, Consumer Affairs, MeitY, CERT-In and India Code sources</x:v>
      </x:c>
      <x:c r="H498"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98" s="33" t="str">
        <x:v>P-3</x:v>
      </x:c>
      <x:c r="J498" s="33" t="str">
        <x:v>2026-08-20</x:v>
      </x:c>
      <x:c r="K498" s="33" t="str">
        <x:v>Existing Law IDs preserved; pseudo-laws and generic jurisdiction placeholders deactivated.</x:v>
      </x:c>
    </x:row>
    <x:row r="499">
      <x:c r="A499" s="33" t="str">
        <x:v>LAW046</x:v>
      </x:c>
      <x:c r="B499" s="33" t="str">
        <x:v>Law Master</x:v>
      </x:c>
      <x:c r="C499" s="33" t="str">
        <x:v>Applicability Trigger=Electronic records or online operations; Active=Yes; Remarks=Governs electronic transactions and cyber offences.</x:v>
      </x:c>
      <x:c r="D499" s="33" t="str">
        <x:v>Applicability Trigger=Electronic records, computer resources, online operations or an intermediary role; Active=Yes; Remarks=Current parent statute for electronic records, cyber offences and CERT-In directions; intermediary duties are role-conditional.</x:v>
      </x:c>
      <x:c r="E499" s="33" t="str">
        <x:v>CORRECT</x:v>
      </x:c>
      <x:c r="F499" s="33" t="str">
        <x:v>Normalize current-law status, entity triggers, jurisdiction and instrument type for P-3.</x:v>
      </x:c>
      <x:c r="G499" s="33" t="str">
        <x:v>Official MoEFCC, Labour, Tax, Consumer Affairs, MeitY, CERT-In and India Code sources</x:v>
      </x:c>
      <x:c r="H499"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499" s="33" t="str">
        <x:v>P-3</x:v>
      </x:c>
      <x:c r="J499" s="33" t="str">
        <x:v>2026-08-20</x:v>
      </x:c>
      <x:c r="K499" s="33" t="str">
        <x:v>Existing Law IDs preserved; pseudo-laws and generic jurisdiction placeholders deactivated.</x:v>
      </x:c>
    </x:row>
    <x:row r="500">
      <x:c r="A500" s="33" t="str">
        <x:v>LAW047</x:v>
      </x:c>
      <x:c r="B500" s="33" t="str">
        <x:v>Law Master</x:v>
      </x:c>
      <x:c r="C500" s="33" t="str">
        <x:v>Applicability Trigger=Collection or processing of personal information; Active=Yes; Remarks=Data security obligations.</x:v>
      </x:c>
      <x:c r="D500" s="33" t="str">
        <x:v>Applicability Trigger=A body corporate collects, receives, possesses, stores, deals with or handles SPDI; Active=Yes; Remarks=Current transitional privacy/security layer while the DPDP substantive private-operator duties and repeal provisions remain future-effective.</x:v>
      </x:c>
      <x:c r="E500" s="33" t="str">
        <x:v>CORRECT</x:v>
      </x:c>
      <x:c r="F500" s="33" t="str">
        <x:v>Normalize current-law status, entity triggers, jurisdiction and instrument type for P-3.</x:v>
      </x:c>
      <x:c r="G500" s="33" t="str">
        <x:v>Official MoEFCC, Labour, Tax, Consumer Affairs, MeitY, CERT-In and India Code sources</x:v>
      </x:c>
      <x:c r="H500"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500" s="33" t="str">
        <x:v>P-3</x:v>
      </x:c>
      <x:c r="J500" s="33" t="str">
        <x:v>2026-08-20</x:v>
      </x:c>
      <x:c r="K500" s="33" t="str">
        <x:v>Existing Law IDs preserved; pseudo-laws and generic jurisdiction placeholders deactivated.</x:v>
      </x:c>
    </x:row>
    <x:row r="501">
      <x:c r="A501" s="33" t="str">
        <x:v>LAW048</x:v>
      </x:c>
      <x:c r="B501" s="33" t="str">
        <x:v>Law Master</x:v>
      </x:c>
      <x:c r="C501" s="33" t="str">
        <x:v>Applicability Trigger=Processing of personal digital data; Active=Yes; Remarks=Privacy obligations for digital pharmacy operations.</x:v>
      </x:c>
      <x:c r="D501" s="33" t="str">
        <x:v>Applicability Trigger=Digital personal-data processing; substantive private-operator sections commence on the notified future date; Active=Yes; Remarks=Act is partially commenced institutionally. Private-operator processing duties are future-effective at the P-3 cutoff and are not active production compliances.</x:v>
      </x:c>
      <x:c r="E501" s="33" t="str">
        <x:v>CORRECT</x:v>
      </x:c>
      <x:c r="F501" s="33" t="str">
        <x:v>Normalize current-law status, entity triggers, jurisdiction and instrument type for P-3.</x:v>
      </x:c>
      <x:c r="G501" s="33" t="str">
        <x:v>Official MoEFCC, Labour, Tax, Consumer Affairs, MeitY, CERT-In and India Code sources</x:v>
      </x:c>
      <x:c r="H501"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501" s="33" t="str">
        <x:v>P-3</x:v>
      </x:c>
      <x:c r="J501" s="33" t="str">
        <x:v>2026-08-20</x:v>
      </x:c>
      <x:c r="K501" s="33" t="str">
        <x:v>Existing Law IDs preserved; pseudo-laws and generic jurisdiction placeholders deactivated.</x:v>
      </x:c>
    </x:row>
    <x:row r="502">
      <x:c r="A502" s="33" t="str">
        <x:v>LAW049</x:v>
      </x:c>
      <x:c r="B502" s="33" t="str">
        <x:v>Law Master</x:v>
      </x:c>
      <x:c r="C502" s="33" t="str">
        <x:v>Law Name=Local Trade Licence / Municipal Health By-laws; Active=Yes; Remarks=Local licensing and operational requirements.</x:v>
      </x:c>
      <x:c r="D502" s="33" t="str">
        <x:v>Law Name=Local Trade / Municipal Health By-laws — Duplicate Legacy Placeholder; Active=No; Remarks=P-3 RETIRED as duplicate of the jurisdiction template LAW022; exact local law must be attached through the jurisdiction register.</x:v>
      </x:c>
      <x:c r="E502" s="33" t="str">
        <x:v>CORRECT</x:v>
      </x:c>
      <x:c r="F502" s="33" t="str">
        <x:v>Normalize current-law status, entity triggers, jurisdiction and instrument type for P-3.</x:v>
      </x:c>
      <x:c r="G502" s="33" t="str">
        <x:v>Official MoEFCC, Labour, Tax, Consumer Affairs, MeitY, CERT-In and India Code sources</x:v>
      </x:c>
      <x:c r="H502"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502" s="33" t="str">
        <x:v>P-3</x:v>
      </x:c>
      <x:c r="J502" s="33" t="str">
        <x:v>2026-08-20</x:v>
      </x:c>
      <x:c r="K502" s="33" t="str">
        <x:v>Existing Law IDs preserved; pseudo-laws and generic jurisdiction placeholders deactivated.</x:v>
      </x:c>
    </x:row>
    <x:row r="503">
      <x:c r="A503" s="33" t="str">
        <x:v>LAW050</x:v>
      </x:c>
      <x:c r="B503" s="33" t="str">
        <x:v>Law Master</x:v>
      </x:c>
      <x:c r="C503" s="33" t="str">
        <x:v>Law Name=National Health Policy and Applicable Public Health Advisories; Document Type=Advisory / Guideline; Applicability Type=Best Practice; Active=Yes; Remarks=Public health directives impacting pharmacy operations.</x:v>
      </x:c>
      <x:c r="D503" s="33" t="str">
        <x:v>Law Name=Public Health Advisories — Event Source Layer; Document Type=Advisory / Order Source; Applicability Type=Conditional; Active=No; Remarks=P-3 RECLASSIFIED: a policy/advisory collection is not a law. Activate only the exact legally binding order during a notified event.</x:v>
      </x:c>
      <x:c r="E503" s="33" t="str">
        <x:v>CORRECT</x:v>
      </x:c>
      <x:c r="F503" s="33" t="str">
        <x:v>Normalize current-law status, entity triggers, jurisdiction and instrument type for P-3.</x:v>
      </x:c>
      <x:c r="G503" s="33" t="str">
        <x:v>Official MoEFCC, Labour, Tax, Consumer Affairs, MeitY, CERT-In and India Code sources</x:v>
      </x:c>
      <x:c r="H503"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503" s="33" t="str">
        <x:v>P-3</x:v>
      </x:c>
      <x:c r="J503" s="33" t="str">
        <x:v>2026-08-20</x:v>
      </x:c>
      <x:c r="K503" s="33" t="str">
        <x:v>Existing Law IDs preserved; pseudo-laws and generic jurisdiction placeholders deactivated.</x:v>
      </x:c>
    </x:row>
    <x:row r="504">
      <x:c r="A504" s="33" t="str">
        <x:v>LAW082</x:v>
      </x:c>
      <x:c r="B504" s="33" t="str">
        <x:v>Law Master</x:v>
      </x:c>
      <x:c r="C504" s="33" t="str">
        <x:v>Document Type=Authorization; Law Name=Biomedical Waste Authorization Conditions; Active=Yes; Remarks=Conditions attached to authorization.</x:v>
      </x:c>
      <x:c r="D504" s="33" t="str">
        <x:v>Document Type=Authorization / Permit Conditions; Law Name=Bio-Medical Waste Authorization Conditions — Permit Instance; Active=No; Remarks=P-3 RECLASSIFIED: entity-specific permit conditions are evidence under LAW018, not an atomic central law.</x:v>
      </x:c>
      <x:c r="E504" s="33" t="str">
        <x:v>CORRECT</x:v>
      </x:c>
      <x:c r="F504" s="33" t="str">
        <x:v>Normalize current-law status, entity triggers, jurisdiction and instrument type for P-3.</x:v>
      </x:c>
      <x:c r="G504" s="33" t="str">
        <x:v>Official MoEFCC, Labour, Tax, Consumer Affairs, MeitY, CERT-In and India Code sources</x:v>
      </x:c>
      <x:c r="H504"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504" s="33" t="str">
        <x:v>P-3</x:v>
      </x:c>
      <x:c r="J504" s="33" t="str">
        <x:v>2026-08-20</x:v>
      </x:c>
      <x:c r="K504" s="33" t="str">
        <x:v>Existing Law IDs preserved; pseudo-laws and generic jurisdiction placeholders deactivated.</x:v>
      </x:c>
    </x:row>
    <x:row r="505">
      <x:c r="A505" s="33" t="str">
        <x:v>LAW083</x:v>
      </x:c>
      <x:c r="B505" s="33" t="str">
        <x:v>Law Master</x:v>
      </x:c>
      <x:c r="C505" s="33" t="str">
        <x:v>Law Name=Fire No Objection Certificate (NOC) Conditions; Active=Yes; Remarks=Ongoing compliance with Fire NOC conditions.</x:v>
      </x:c>
      <x:c r="D505" s="33" t="str">
        <x:v>Law Name=Fire NOC Conditions — Permit Instance; Active=No; Remarks=P-3 JURISDICTION-REQUIRED: retain the actual NOC as evidence after exact State/local law and premises trigger are resolved.</x:v>
      </x:c>
      <x:c r="E505" s="33" t="str">
        <x:v>CORRECT</x:v>
      </x:c>
      <x:c r="F505" s="33" t="str">
        <x:v>Normalize current-law status, entity triggers, jurisdiction and instrument type for P-3.</x:v>
      </x:c>
      <x:c r="G505" s="33" t="str">
        <x:v>Official MoEFCC, Labour, Tax, Consumer Affairs, MeitY, CERT-In and India Code sources</x:v>
      </x:c>
      <x:c r="H505"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505" s="33" t="str">
        <x:v>P-3</x:v>
      </x:c>
      <x:c r="J505" s="33" t="str">
        <x:v>2026-08-20</x:v>
      </x:c>
      <x:c r="K505" s="33" t="str">
        <x:v>Existing Law IDs preserved; pseudo-laws and generic jurisdiction placeholders deactivated.</x:v>
      </x:c>
    </x:row>
    <x:row r="506">
      <x:c r="A506" s="33" t="str">
        <x:v>LAW084</x:v>
      </x:c>
      <x:c r="B506" s="33" t="str">
        <x:v>Law Master</x:v>
      </x:c>
      <x:c r="C506" s="33" t="str">
        <x:v>Law Name=Trade Licence Conditions; Active=Yes; Remarks=Local operational conditions imposed by the authority.</x:v>
      </x:c>
      <x:c r="D506" s="33" t="str">
        <x:v>Law Name=Trade Licence Conditions — Permit Instance; Active=No; Remarks=P-3 JURISDICTION-REQUIRED: retain the actual licence as evidence after exact municipal law and conditions are resolved.</x:v>
      </x:c>
      <x:c r="E506" s="33" t="str">
        <x:v>CORRECT</x:v>
      </x:c>
      <x:c r="F506" s="33" t="str">
        <x:v>Normalize current-law status, entity triggers, jurisdiction and instrument type for P-3.</x:v>
      </x:c>
      <x:c r="G506" s="33" t="str">
        <x:v>Official MoEFCC, Labour, Tax, Consumer Affairs, MeitY, CERT-In and India Code sources</x:v>
      </x:c>
      <x:c r="H506"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506" s="33" t="str">
        <x:v>P-3</x:v>
      </x:c>
      <x:c r="J506" s="33" t="str">
        <x:v>2026-08-20</x:v>
      </x:c>
      <x:c r="K506" s="33" t="str">
        <x:v>Existing Law IDs preserved; pseudo-laws and generic jurisdiction placeholders deactivated.</x:v>
      </x:c>
    </x:row>
    <x:row r="507">
      <x:c r="A507" s="33" t="str">
        <x:v>LAW085</x:v>
      </x:c>
      <x:c r="B507" s="33" t="str">
        <x:v>Law Master</x:v>
      </x:c>
      <x:c r="C507" s="33" t="str">
        <x:v>Law Name=Building &amp; Occupancy By-laws; Active=Yes; Remarks=Occupancy, signage and structural requirements.</x:v>
      </x:c>
      <x:c r="D507" s="33" t="str">
        <x:v>Law Name=Building and Occupancy By-laws — Jurisdiction Template; Active=No; Remarks=P-3 JURISDICTION-REQUIRED: generic Building Rule 1/2/3 references are not legally sufficient.</x:v>
      </x:c>
      <x:c r="E507" s="33" t="str">
        <x:v>CORRECT</x:v>
      </x:c>
      <x:c r="F507" s="33" t="str">
        <x:v>Normalize current-law status, entity triggers, jurisdiction and instrument type for P-3.</x:v>
      </x:c>
      <x:c r="G507" s="33" t="str">
        <x:v>Official MoEFCC, Labour, Tax, Consumer Affairs, MeitY, CERT-In and India Code sources</x:v>
      </x:c>
      <x:c r="H507"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507" s="33" t="str">
        <x:v>P-3</x:v>
      </x:c>
      <x:c r="J507" s="33" t="str">
        <x:v>2026-08-20</x:v>
      </x:c>
      <x:c r="K507" s="33" t="str">
        <x:v>Existing Law IDs preserved; pseudo-laws and generic jurisdiction placeholders deactivated.</x:v>
      </x:c>
    </x:row>
    <x:row r="508">
      <x:c r="A508" s="33" t="str">
        <x:v>LAW086</x:v>
      </x:c>
      <x:c r="B508" s="33" t="str">
        <x:v>Law Master</x:v>
      </x:c>
      <x:c r="C508" s="33" t="str">
        <x:v>Law Name=Guidelines for Prevention of Misleading Advertisements; Applicability Trigger=Advertising medicines or pharmacy services; Active=Yes; Remarks=Advertising and promotional compliance.</x:v>
      </x:c>
      <x:c r="D508" s="33" t="str">
        <x:v>Law Name=Guidelines for Prevention of Misleading Advertisements and Endorsements for Misleading Advertisements, 2022; Applicability Trigger=The pharmacy creates, causes, publishes or endorses an advertisement; Active=Yes; Remarks=Current CCPA Guidelines; read cumulatively with the Consumer Protection Act and drug-specific advertising prohibitions.</x:v>
      </x:c>
      <x:c r="E508" s="33" t="str">
        <x:v>CORRECT</x:v>
      </x:c>
      <x:c r="F508" s="33" t="str">
        <x:v>Normalize current-law status, entity triggers, jurisdiction and instrument type for P-3.</x:v>
      </x:c>
      <x:c r="G508" s="33" t="str">
        <x:v>Official MoEFCC, Labour, Tax, Consumer Affairs, MeitY, CERT-In and India Code sources</x:v>
      </x:c>
      <x:c r="H508"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508" s="33" t="str">
        <x:v>P-3</x:v>
      </x:c>
      <x:c r="J508" s="33" t="str">
        <x:v>2026-08-20</x:v>
      </x:c>
      <x:c r="K508" s="33" t="str">
        <x:v>Existing Law IDs preserved; pseudo-laws and generic jurisdiction placeholders deactivated.</x:v>
      </x:c>
    </x:row>
    <x:row r="509">
      <x:c r="A509" s="33" t="str">
        <x:v>LAW087</x:v>
      </x:c>
      <x:c r="B509" s="33" t="str">
        <x:v>Law Master</x:v>
      </x:c>
      <x:c r="C509" s="33" t="str">
        <x:v>Law Name=Drugs and Magic Remedies (Objectionable Advertisements) Act, 1954; Active=Yes</x:v>
      </x:c>
      <x:c r="D509" s="33" t="str">
        <x:v>Law Name=Drugs and Magic Remedies (Objectionable Advertisement) Act, 1954; Active=Yes</x:v>
      </x:c>
      <x:c r="E509" s="33" t="str">
        <x:v>CORRECT</x:v>
      </x:c>
      <x:c r="F509" s="33" t="str">
        <x:v>Normalize current-law status, entity triggers, jurisdiction and instrument type for P-3.</x:v>
      </x:c>
      <x:c r="G509" s="33" t="str">
        <x:v>Official MoEFCC, Labour, Tax, Consumer Affairs, MeitY, CERT-In and India Code sources</x:v>
      </x:c>
      <x:c r="H509"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509" s="33" t="str">
        <x:v>P-3</x:v>
      </x:c>
      <x:c r="J509" s="33" t="str">
        <x:v>2026-08-20</x:v>
      </x:c>
      <x:c r="K509" s="33" t="str">
        <x:v>Existing Law IDs preserved; pseudo-laws and generic jurisdiction placeholders deactivated.</x:v>
      </x:c>
    </x:row>
    <x:row r="510">
      <x:c r="A510" s="33" t="str">
        <x:v>LAW088</x:v>
      </x:c>
      <x:c r="B510" s="33" t="str">
        <x:v>Law Master</x:v>
      </x:c>
      <x:c r="C510" s="33" t="str">
        <x:v>Law Name=Drugs and Magic Remedies (Objectionable Advertisements) Rules, 1955; Active=Yes; Remarks=Operational rules under the Act.</x:v>
      </x:c>
      <x:c r="D510" s="33" t="str">
        <x:v>Law Name=Drugs and Magic Remedies (Objectionable Advertisements) Rules, 1955; Active=Yes; Remarks=Current subordinate rules; the Rules do not create the generic advertising-record/inspection duties formerly extracted in PROV198-PROV200.</x:v>
      </x:c>
      <x:c r="E510" s="33" t="str">
        <x:v>CORRECT</x:v>
      </x:c>
      <x:c r="F510" s="33" t="str">
        <x:v>Normalize current-law status, entity triggers, jurisdiction and instrument type for P-3.</x:v>
      </x:c>
      <x:c r="G510" s="33" t="str">
        <x:v>Official MoEFCC, Labour, Tax, Consumer Affairs, MeitY, CERT-In and India Code sources</x:v>
      </x:c>
      <x:c r="H510"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510" s="33" t="str">
        <x:v>P-3</x:v>
      </x:c>
      <x:c r="J510" s="33" t="str">
        <x:v>2026-08-20</x:v>
      </x:c>
      <x:c r="K510" s="33" t="str">
        <x:v>Existing Law IDs preserved; pseudo-laws and generic jurisdiction placeholders deactivated.</x:v>
      </x:c>
    </x:row>
    <x:row r="511">
      <x:c r="A511" s="33" t="str">
        <x:v>LAW089</x:v>
      </x:c>
      <x:c r="B511" s="33" t="str">
        <x:v>Law Master</x:v>
      </x:c>
      <x:c r="C511" s="33" t="str">
        <x:v>Applicability Trigger=Public health emergency or disaster; Active=Yes; Remarks=Emergency directions affecting pharmacy operations.</x:v>
      </x:c>
      <x:c r="D511" s="33" t="str">
        <x:v>Applicability Trigger=A specific binding Central/State/District disaster direction applies to the establishment; Active=Yes; Remarks=Event-authority statute; no standing pharmacy duty is activated without a specific applicable direction/order.</x:v>
      </x:c>
      <x:c r="E511" s="33" t="str">
        <x:v>CORRECT</x:v>
      </x:c>
      <x:c r="F511" s="33" t="str">
        <x:v>Normalize current-law status, entity triggers, jurisdiction and instrument type for P-3.</x:v>
      </x:c>
      <x:c r="G511" s="33" t="str">
        <x:v>Official MoEFCC, Labour, Tax, Consumer Affairs, MeitY, CERT-In and India Code sources</x:v>
      </x:c>
      <x:c r="H511"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511" s="33" t="str">
        <x:v>P-3</x:v>
      </x:c>
      <x:c r="J511" s="33" t="str">
        <x:v>2026-08-20</x:v>
      </x:c>
      <x:c r="K511" s="33" t="str">
        <x:v>Existing Law IDs preserved; pseudo-laws and generic jurisdiction placeholders deactivated.</x:v>
      </x:c>
    </x:row>
    <x:row r="512">
      <x:c r="A512" s="33" t="str">
        <x:v>LAW090</x:v>
      </x:c>
      <x:c r="B512" s="33" t="str">
        <x:v>Law Master</x:v>
      </x:c>
      <x:c r="C512" s="33" t="str">
        <x:v>Document Type=Order; Applicability Trigger=Epidemic or notified public health emergency; Active=Yes; Remarks=Government directions during epidemics.</x:v>
      </x:c>
      <x:c r="D512" s="33" t="str">
        <x:v>Document Type=Act; Applicability Trigger=A specific regulation/order under the Act applies during an epidemic or notified public-health event; Active=Yes; Remarks=Event-authority statute; activate only the exact current regulation/order and jurisdiction.</x:v>
      </x:c>
      <x:c r="E512" s="33" t="str">
        <x:v>CORRECT</x:v>
      </x:c>
      <x:c r="F512" s="33" t="str">
        <x:v>Normalize current-law status, entity triggers, jurisdiction and instrument type for P-3.</x:v>
      </x:c>
      <x:c r="G512" s="33" t="str">
        <x:v>Official MoEFCC, Labour, Tax, Consumer Affairs, MeitY, CERT-In and India Code sources</x:v>
      </x:c>
      <x:c r="H512"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512" s="33" t="str">
        <x:v>P-3</x:v>
      </x:c>
      <x:c r="J512" s="33" t="str">
        <x:v>2026-08-20</x:v>
      </x:c>
      <x:c r="K512" s="33" t="str">
        <x:v>Existing Law IDs preserved; pseudo-laws and generic jurisdiction placeholders deactivated.</x:v>
      </x:c>
    </x:row>
    <x:row r="513">
      <x:c r="A513" s="33" t="str">
        <x:v>LAW093</x:v>
      </x:c>
      <x:c r="B513" s="33" t="str">
        <x:v>Law Master</x:v>
      </x:c>
      <x:c r="C513" s="33" t="str">
        <x:v>Law Name=Applicable Bureau of Indian Standards for Pharmacy Equipment; Document Type=Standard; Active=Yes; Remarks=Applicable where BIS standards are mandated or adopted.</x:v>
      </x:c>
      <x:c r="D513" s="33" t="str">
        <x:v>Law Name=BIS Standards for Pharmacy Equipment — Reference Placeholder; Document Type=Reference Standard; Active=No; Remarks=P-3 REFERENCE ONLY: activate an identified BIS standard only where a statute/QCO/permit/contract makes it mandatory.</x:v>
      </x:c>
      <x:c r="E513" s="33" t="str">
        <x:v>CORRECT</x:v>
      </x:c>
      <x:c r="F513" s="33" t="str">
        <x:v>Normalize current-law status, entity triggers, jurisdiction and instrument type for P-3.</x:v>
      </x:c>
      <x:c r="G513" s="33" t="str">
        <x:v>Official MoEFCC, Labour, Tax, Consumer Affairs, MeitY, CERT-In and India Code sources</x:v>
      </x:c>
      <x:c r="H513"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513" s="33" t="str">
        <x:v>P-3</x:v>
      </x:c>
      <x:c r="J513" s="33" t="str">
        <x:v>2026-08-20</x:v>
      </x:c>
      <x:c r="K513" s="33" t="str">
        <x:v>Existing Law IDs preserved; pseudo-laws and generic jurisdiction placeholders deactivated.</x:v>
      </x:c>
    </x:row>
    <x:row r="514">
      <x:c r="A514" s="33" t="str">
        <x:v>LAW094</x:v>
      </x:c>
      <x:c r="B514" s="33" t="str">
        <x:v>Law Master</x:v>
      </x:c>
      <x:c r="C514" s="33" t="str">
        <x:v>Law Name=Occupational Safety Rules (as notified); Document Type=Rules; Parent Law=LAW035; Applicability Trigger=Covered establishment; Active=Yes; Remarks=Operational safety requirements under labour legislation.</x:v>
      </x:c>
      <x:c r="D514" s="33" t="str">
        <x:v>Law Name=Occupational Safety, Health and Working Conditions (Central) Rules, 2026; Document Type=Rules; Parent Law=LAW035; Applicability Trigger=Covered establishment/activity under the OSHWC Code and Central appropriate-government jurisdiction; Active=Yes; Remarks=Final 2026 Central Rules; State/appropriate-government rules may also be required.</x:v>
      </x:c>
      <x:c r="E514" s="33" t="str">
        <x:v>CORRECT</x:v>
      </x:c>
      <x:c r="F514" s="33" t="str">
        <x:v>Normalize current-law status, entity triggers, jurisdiction and instrument type for P-3.</x:v>
      </x:c>
      <x:c r="G514" s="33" t="str">
        <x:v>Official MoEFCC, Labour, Tax, Consumer Affairs, MeitY, CERT-In and India Code sources</x:v>
      </x:c>
      <x:c r="H514"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514" s="33" t="str">
        <x:v>P-3</x:v>
      </x:c>
      <x:c r="J514" s="33" t="str">
        <x:v>2026-08-20</x:v>
      </x:c>
      <x:c r="K514" s="33" t="str">
        <x:v>Existing Law IDs preserved; pseudo-laws and generic jurisdiction placeholders deactivated.</x:v>
      </x:c>
    </x:row>
    <x:row r="515">
      <x:c r="A515" s="33" t="str">
        <x:v>LAW097</x:v>
      </x:c>
      <x:c r="B515" s="33" t="str">
        <x:v>Law Master</x:v>
      </x:c>
      <x:c r="C515" s="33" t="str">
        <x:v>Regulator=MeitY; Document Type=Advisory; Parent Law=LAW046; Law Name=Cyber Security Advisories for Digital Health Systems; Applicability Trigger=Online or digital pharmacy operations; Active=Yes; Remarks=Cybersecurity and incident reporting advisories.</x:v>
      </x:c>
      <x:c r="D515" s="33" t="str">
        <x:v>Regulator=CERT-In; Document Type=Directions; Parent Law=LAW046; Law Name=CERT-In Cyber Security Directions dated 28 April 2022; Applicability Trigger=Any service provider, intermediary, data centre, body corporate or Government organisation within the Directions; specified incident/ICT triggers; Active=Yes; Remarks=Binding directions under IT Act section 70B(6); reporting, time synchronisation, log retention and point-of-contact duties normalized.</x:v>
      </x:c>
      <x:c r="E515" s="33" t="str">
        <x:v>CORRECT</x:v>
      </x:c>
      <x:c r="F515" s="33" t="str">
        <x:v>Normalize current-law status, entity triggers, jurisdiction and instrument type for P-3.</x:v>
      </x:c>
      <x:c r="G515" s="33" t="str">
        <x:v>Official MoEFCC, Labour, Tax, Consumer Affairs, MeitY, CERT-In and India Code sources</x:v>
      </x:c>
      <x:c r="H515"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515" s="33" t="str">
        <x:v>P-3</x:v>
      </x:c>
      <x:c r="J515" s="33" t="str">
        <x:v>2026-08-20</x:v>
      </x:c>
      <x:c r="K515" s="33" t="str">
        <x:v>Existing Law IDs preserved; pseudo-laws and generic jurisdiction placeholders deactivated.</x:v>
      </x:c>
    </x:row>
    <x:row r="516">
      <x:c r="A516" s="33" t="str">
        <x:v>LAW098</x:v>
      </x:c>
      <x:c r="B516" s="33" t="str">
        <x:v>Law Master</x:v>
      </x:c>
      <x:c r="C516" s="33" t="str">
        <x:v>Document Type=Guidelines; Law Name=Digital Personal Data Protection Rules / Guidelines (as notified); Parent Law=LAW048; Applicability Trigger=Processing personal digital data; Active=Yes; Remarks=Future subordinate legislation under the DPDP Act.</x:v>
      </x:c>
      <x:c r="D516" s="33" t="str">
        <x:v>Document Type=Rules; Law Name=Digital Personal Data Protection Rules, 2025; Parent Law=LAW048; Applicability Trigger=Rules commence in stages; substantive private-operator rules remain future-effective at the P-3 cutoff; Active=Yes; Remarks=Final Rules notified 14-11-2025. Current institutional provisions are separated from future-effective operator duties.</x:v>
      </x:c>
      <x:c r="E516" s="33" t="str">
        <x:v>CORRECT</x:v>
      </x:c>
      <x:c r="F516" s="33" t="str">
        <x:v>Normalize current-law status, entity triggers, jurisdiction and instrument type for P-3.</x:v>
      </x:c>
      <x:c r="G516" s="33" t="str">
        <x:v>Official MoEFCC, Labour, Tax, Consumer Affairs, MeitY, CERT-In and India Code sources</x:v>
      </x:c>
      <x:c r="H516"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516" s="33" t="str">
        <x:v>P-3</x:v>
      </x:c>
      <x:c r="J516" s="33" t="str">
        <x:v>2026-08-20</x:v>
      </x:c>
      <x:c r="K516" s="33" t="str">
        <x:v>Existing Law IDs preserved; pseudo-laws and generic jurisdiction placeholders deactivated.</x:v>
      </x:c>
    </x:row>
    <x:row r="517">
      <x:c r="A517" s="33" t="str">
        <x:v>LAW099</x:v>
      </x:c>
      <x:c r="B517" s="33" t="str">
        <x:v>Law Master</x:v>
      </x:c>
      <x:c r="C517" s="33" t="str">
        <x:v>Domain=Governance; Regulator=CDSCO; Authority Level=Central; Document Type=Guideline; Parent Law=LAW001; Law Name=Inspection Readiness &amp; Regulatory Compliance Guidance; Applicability Type=Best Practice / Regulatory Expectation; Applicability Trigger=Licensed pharmacy operations; Active=Yes; Remarks=Internal compliance and inspection preparedness.</x:v>
      </x:c>
      <x:c r="D517" s="33" t="str">
        <x:v>Domain=Governance; Regulator=Internal Governance; Authority Level=Internal; Document Type=Internal Control Framework; Parent Law=-; Law Name=Internal Regulatory Compliance &amp; Inspection-Readiness Control Framework; Applicability Type=Best Practice; Applicability Trigger=Adopted internal governance control; never a substitute for the underlying law; Active=Yes; Remarks=P-3 RECLASSIFIED: useful governance controls retained as optional best practice without false statutory ownership.</x:v>
      </x:c>
      <x:c r="E517" s="33" t="str">
        <x:v>CORRECT</x:v>
      </x:c>
      <x:c r="F517" s="33" t="str">
        <x:v>Normalize current-law status, entity triggers, jurisdiction and instrument type for P-3.</x:v>
      </x:c>
      <x:c r="G517" s="33" t="str">
        <x:v>Official MoEFCC, Labour, Tax, Consumer Affairs, MeitY, CERT-In and India Code sources</x:v>
      </x:c>
      <x:c r="H517"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517" s="33" t="str">
        <x:v>P-3</x:v>
      </x:c>
      <x:c r="J517" s="33" t="str">
        <x:v>2026-08-20</x:v>
      </x:c>
      <x:c r="K517" s="33" t="str">
        <x:v>Existing Law IDs preserved; pseudo-laws and generic jurisdiction placeholders deactivated.</x:v>
      </x:c>
    </x:row>
    <x:row r="518">
      <x:c r="A518" s="33" t="str">
        <x:v>LAW100</x:v>
      </x:c>
      <x:c r="B518" s="33" t="str">
        <x:v>Law Master</x:v>
      </x:c>
      <x:c r="C518" s="33" t="str">
        <x:v>Document Type=Framework; Law Name=Cross-Regulatory Compliance Framework; Applicability Type=Mandatory; Active=Yes; Remarks=Consolidated governance framework covering multi-regulator compliance.</x:v>
      </x:c>
      <x:c r="D518" s="33" t="str">
        <x:v>Document Type=Retired Legacy Framework; Law Name=Cross-Regulatory Compliance Framework — Retired Duplicate; Applicability Type=Best Practice; Active=No; Remarks=P-3 RETIRED: this was not a statutory instrument. Useful controls were preserved under LAW099 as optional internal governance.</x:v>
      </x:c>
      <x:c r="E518" s="33" t="str">
        <x:v>CORRECT</x:v>
      </x:c>
      <x:c r="F518" s="33" t="str">
        <x:v>Normalize current-law status, entity triggers, jurisdiction and instrument type for P-3.</x:v>
      </x:c>
      <x:c r="G518" s="33" t="str">
        <x:v>Official MoEFCC, Labour, Tax, Consumer Affairs, MeitY, CERT-In and India Code sources</x:v>
      </x:c>
      <x:c r="H518" s="33" t="str">
        <x:v>https://moef.gov.in/rules-regulations-3 | https://www.labour.gov.in/offerings/schemes-and-services/details/labour-codes-gzNzQzMtQWa | https://www.incometax.gov.in/iec/foportal/help/all-topics/e-filing-services/objective-and-scope-new-act-faq | https://consumeraffairs.nic.in/acts-and-rules/consumer-protection/consumer-protection | https://www.meity.gov.in/documents/act-and-policies/digital-personal-data-protection-rules-2025-gDOxUjMtQWa</x:v>
      </x:c>
      <x:c r="I518" s="33" t="str">
        <x:v>P-3</x:v>
      </x:c>
      <x:c r="J518" s="33" t="str">
        <x:v>2026-08-20</x:v>
      </x:c>
      <x:c r="K518" s="33" t="str">
        <x:v>Existing Law IDs preserved; pseudo-laws and generic jurisdiction placeholders deactivated.</x:v>
      </x:c>
    </x:row>
    <x:row r="519">
      <x:c r="A519" s="33" t="str">
        <x:v>LAW101</x:v>
      </x:c>
      <x:c r="B519" s="33" t="str">
        <x:v>Law Master</x:v>
      </x:c>
      <x:c r="C519" s="33" t="str">
        <x:v>Not present</x:v>
      </x:c>
      <x:c r="D519" s="33" t="str">
        <x:v>Law ID=LAW101; Domain=Environmental; Sector=Pharmacy; Sub-Sector=All; Regulator=MoEFCC; Authority Level=Central; Document Type=Act; Parent Law=-; Law Name=Environment (Protection) Act, 1986; Law_ComplianceArea_Map=-; Applicability Type=Framework Parent; Applicability Trigger=Parent statute for central waste-management rules; Active=Yes; Review Frequency=Annual; Remarks=P-3 added as the parent statute for LAW018/042/043/044/102/103/106.</x:v>
      </x:c>
      <x:c r="E519" s="33" t="str">
        <x:v>ADD</x:v>
      </x:c>
      <x:c r="F519" s="33" t="str">
        <x:v>Add omitted current central parent/rule instruments required for P-3 completeness.</x:v>
      </x:c>
      <x:c r="G519" s="33" t="str">
        <x:v>P-3 official-source review</x:v>
      </x:c>
      <x:c r="H519" s="33" t="str">
        <x:v>https://moef.gov.in/rules-regulations-3 | https://www.labour.gov.in/offerings/schemes-and-services/details/labour-codes-gzNzQzMtQWa | https://www.incometax.gov.in/iec/foportal/help/all-topics/e-filing-services/objective-and-scope-new-act-faq</x:v>
      </x:c>
      <x:c r="I519" s="33" t="str">
        <x:v>P-3</x:v>
      </x:c>
      <x:c r="J519" s="33" t="str">
        <x:v>2026-08-20</x:v>
      </x:c>
      <x:c r="K519" s="33" t="str">
        <x:v>New controlled P-3 record; schema preserved.</x:v>
      </x:c>
    </x:row>
    <x:row r="520">
      <x:c r="A520" s="33" t="str">
        <x:v>LAW102</x:v>
      </x:c>
      <x:c r="B520" s="33" t="str">
        <x:v>Law Master</x:v>
      </x:c>
      <x:c r="C520" s="33" t="str">
        <x:v>Not present</x:v>
      </x:c>
      <x:c r="D520" s="33" t="str">
        <x:v>Law ID=LAW102; Domain=Environmental; Sector=Pharmacy; Sub-Sector=All; Regulator=CPCB / SPCB; Authority Level=Central &amp; State; Document Type=Rules; Parent Law=LAW101; Law Name=Battery Waste Management Rules, 2022 (as amended); Law_ComplianceArea_Map=-; Applicability Type=Conditional; Applicability Trigger=The pharmacy is a battery consumer; producer EPR applies only if a separate producer role exists; Active=Yes; Review Frequency=As Notified; Remarks=Consumer duty is separate collection and delivery to an authorized collection/refurbishing/recycling channel.</x:v>
      </x:c>
      <x:c r="E520" s="33" t="str">
        <x:v>ADD</x:v>
      </x:c>
      <x:c r="F520" s="33" t="str">
        <x:v>Add omitted current central parent/rule instruments required for P-3 completeness.</x:v>
      </x:c>
      <x:c r="G520" s="33" t="str">
        <x:v>P-3 official-source review</x:v>
      </x:c>
      <x:c r="H520" s="33" t="str">
        <x:v>https://moef.gov.in/rules-regulations-3 | https://www.labour.gov.in/offerings/schemes-and-services/details/labour-codes-gzNzQzMtQWa | https://www.incometax.gov.in/iec/foportal/help/all-topics/e-filing-services/objective-and-scope-new-act-faq</x:v>
      </x:c>
      <x:c r="I520" s="33" t="str">
        <x:v>P-3</x:v>
      </x:c>
      <x:c r="J520" s="33" t="str">
        <x:v>2026-08-20</x:v>
      </x:c>
      <x:c r="K520" s="33" t="str">
        <x:v>New controlled P-3 record; schema preserved.</x:v>
      </x:c>
    </x:row>
    <x:row r="521">
      <x:c r="A521" s="33" t="str">
        <x:v>LAW103</x:v>
      </x:c>
      <x:c r="B521" s="33" t="str">
        <x:v>Law Master</x:v>
      </x:c>
      <x:c r="C521" s="33" t="str">
        <x:v>Not present</x:v>
      </x:c>
      <x:c r="D521" s="33" t="str">
        <x:v>Law ID=LAW103; Domain=Environmental; Sector=Pharmacy; Sub-Sector=All; Regulator=CPCB / SPCB; Authority Level=Central &amp; State; Document Type=Rules; Parent Law=LAW101; Law Name=Hazardous and Other Wastes (Management and Transboundary Movement) Rules, 2016 (as amended); Law_ComplianceArea_Map=-; Applicability Type=Conditional; Applicability Trigger=Generation/handling of a waste listed or characterized as hazardous/other waste under the Rules; Active=Yes; Review Frequency=As Notified; Remarks=Not triggered by ordinary pharmacy sale alone; used oil or scheduled hazardous waste may trigger occupier duties.</x:v>
      </x:c>
      <x:c r="E521" s="33" t="str">
        <x:v>ADD</x:v>
      </x:c>
      <x:c r="F521" s="33" t="str">
        <x:v>Add omitted current central parent/rule instruments required for P-3 completeness.</x:v>
      </x:c>
      <x:c r="G521" s="33" t="str">
        <x:v>P-3 official-source review</x:v>
      </x:c>
      <x:c r="H521" s="33" t="str">
        <x:v>https://moef.gov.in/rules-regulations-3 | https://www.labour.gov.in/offerings/schemes-and-services/details/labour-codes-gzNzQzMtQWa | https://www.incometax.gov.in/iec/foportal/help/all-topics/e-filing-services/objective-and-scope-new-act-faq</x:v>
      </x:c>
      <x:c r="I521" s="33" t="str">
        <x:v>P-3</x:v>
      </x:c>
      <x:c r="J521" s="33" t="str">
        <x:v>2026-08-20</x:v>
      </x:c>
      <x:c r="K521" s="33" t="str">
        <x:v>New controlled P-3 record; schema preserved.</x:v>
      </x:c>
    </x:row>
    <x:row r="522">
      <x:c r="A522" s="33" t="str">
        <x:v>LAW104</x:v>
      </x:c>
      <x:c r="B522" s="33" t="str">
        <x:v>Law Master</x:v>
      </x:c>
      <x:c r="C522" s="33" t="str">
        <x:v>Not present</x:v>
      </x:c>
      <x:c r="D522" s="33" t="str">
        <x:v>Law ID=LAW104; Domain=Environmental; Sector=Pharmacy; Sub-Sector=All; Regulator=CPCB / SPCB; Authority Level=Central &amp; State; Document Type=Act; Parent Law=-; Law Name=Water (Prevention and Control of Pollution) Act, 1974; Law_ComplianceArea_Map=-; Applicability Type=Conditional; Applicability Trigger=Establishment of an industry/operation/process or outlet/discharge requiring consent under section 25 after exemptions and State classification; Active=Yes; Review Frequency=As Notified; Remarks=Ordinary retail pharmacy is not assumed consent-triggered.</x:v>
      </x:c>
      <x:c r="E522" s="33" t="str">
        <x:v>ADD</x:v>
      </x:c>
      <x:c r="F522" s="33" t="str">
        <x:v>Add omitted current central parent/rule instruments required for P-3 completeness.</x:v>
      </x:c>
      <x:c r="G522" s="33" t="str">
        <x:v>P-3 official-source review</x:v>
      </x:c>
      <x:c r="H522" s="33" t="str">
        <x:v>https://moef.gov.in/rules-regulations-3 | https://www.labour.gov.in/offerings/schemes-and-services/details/labour-codes-gzNzQzMtQWa | https://www.incometax.gov.in/iec/foportal/help/all-topics/e-filing-services/objective-and-scope-new-act-faq</x:v>
      </x:c>
      <x:c r="I522" s="33" t="str">
        <x:v>P-3</x:v>
      </x:c>
      <x:c r="J522" s="33" t="str">
        <x:v>2026-08-20</x:v>
      </x:c>
      <x:c r="K522" s="33" t="str">
        <x:v>New controlled P-3 record; schema preserved.</x:v>
      </x:c>
    </x:row>
    <x:row r="523">
      <x:c r="A523" s="33" t="str">
        <x:v>LAW105</x:v>
      </x:c>
      <x:c r="B523" s="33" t="str">
        <x:v>Law Master</x:v>
      </x:c>
      <x:c r="C523" s="33" t="str">
        <x:v>Not present</x:v>
      </x:c>
      <x:c r="D523" s="33" t="str">
        <x:v>Law ID=LAW105; Domain=Environmental; Sector=Pharmacy; Sub-Sector=All; Regulator=CPCB / SPCB; Authority Level=Central &amp; State; Document Type=Act; Parent Law=-; Law Name=Air (Prevention and Control of Pollution) Act, 1981; Law_ComplianceArea_Map=-; Applicability Type=Conditional; Applicability Trigger=Industrial plant/emission source in a notified control area requiring consent under section 21 after exemptions and State classification; Active=Yes; Review Frequency=As Notified; Remarks=Ordinary retail pharmacy is not assumed consent-triggered.</x:v>
      </x:c>
      <x:c r="E523" s="33" t="str">
        <x:v>ADD</x:v>
      </x:c>
      <x:c r="F523" s="33" t="str">
        <x:v>Add omitted current central parent/rule instruments required for P-3 completeness.</x:v>
      </x:c>
      <x:c r="G523" s="33" t="str">
        <x:v>P-3 official-source review</x:v>
      </x:c>
      <x:c r="H523" s="33" t="str">
        <x:v>https://moef.gov.in/rules-regulations-3 | https://www.labour.gov.in/offerings/schemes-and-services/details/labour-codes-gzNzQzMtQWa | https://www.incometax.gov.in/iec/foportal/help/all-topics/e-filing-services/objective-and-scope-new-act-faq</x:v>
      </x:c>
      <x:c r="I523" s="33" t="str">
        <x:v>P-3</x:v>
      </x:c>
      <x:c r="J523" s="33" t="str">
        <x:v>2026-08-20</x:v>
      </x:c>
      <x:c r="K523" s="33" t="str">
        <x:v>New controlled P-3 record; schema preserved.</x:v>
      </x:c>
    </x:row>
    <x:row r="524">
      <x:c r="A524" s="33" t="str">
        <x:v>LAW106</x:v>
      </x:c>
      <x:c r="B524" s="33" t="str">
        <x:v>Law Master</x:v>
      </x:c>
      <x:c r="C524" s="33" t="str">
        <x:v>Not present</x:v>
      </x:c>
      <x:c r="D524" s="33" t="str">
        <x:v>Law ID=LAW106; Domain=Environmental; Sector=Pharmacy; Sub-Sector=All; Regulator=CPCB / SPCB / Local Authority; Authority Level=Central &amp; Local; Document Type=Rules; Parent Law=LAW101; Law Name=Environment (Construction and Demolition) Waste Management Rules, 2025; Law_ComplianceArea_Map=-; Applicability Type=Conditional; Applicability Trigger=Construction, renovation, demolition or excavation generates C&amp;D waste; Active=Yes; Review Frequency=As Notified; Remarks=Effective 01-04-2026; event/activity based, with local plan/collection directions.</x:v>
      </x:c>
      <x:c r="E524" s="33" t="str">
        <x:v>ADD</x:v>
      </x:c>
      <x:c r="F524" s="33" t="str">
        <x:v>Add omitted current central parent/rule instruments required for P-3 completeness.</x:v>
      </x:c>
      <x:c r="G524" s="33" t="str">
        <x:v>P-3 official-source review</x:v>
      </x:c>
      <x:c r="H524" s="33" t="str">
        <x:v>https://moef.gov.in/rules-regulations-3 | https://www.labour.gov.in/offerings/schemes-and-services/details/labour-codes-gzNzQzMtQWa | https://www.incometax.gov.in/iec/foportal/help/all-topics/e-filing-services/objective-and-scope-new-act-faq</x:v>
      </x:c>
      <x:c r="I524" s="33" t="str">
        <x:v>P-3</x:v>
      </x:c>
      <x:c r="J524" s="33" t="str">
        <x:v>2026-08-20</x:v>
      </x:c>
      <x:c r="K524" s="33" t="str">
        <x:v>New controlled P-3 record; schema preserved.</x:v>
      </x:c>
    </x:row>
    <x:row r="525">
      <x:c r="A525" s="33" t="str">
        <x:v>LAW107</x:v>
      </x:c>
      <x:c r="B525" s="33" t="str">
        <x:v>Law Master</x:v>
      </x:c>
      <x:c r="C525" s="33" t="str">
        <x:v>Not present</x:v>
      </x:c>
      <x:c r="D525" s="33" t="str">
        <x:v>Law ID=LAW107; Domain=Taxation; Sector=Pharmacy; Sub-Sector=All; Regulator=Income Tax Department; Authority Level=Central; Document Type=Act; Parent Law=-; Law Name=Income-tax Act, 2025; Law_ComplianceArea_Map=-; Applicability Type=Mandatory; Applicability Trigger=Tax Year beginning on or after 1 April 2026 or other matter governed by the new Act; Active=Yes; Review Frequency=Annual; Remarks=Current from 01-04-2026; the 1961 Act continues only through savings for earlier tax years/proceedings.</x:v>
      </x:c>
      <x:c r="E525" s="33" t="str">
        <x:v>ADD</x:v>
      </x:c>
      <x:c r="F525" s="33" t="str">
        <x:v>Add omitted current central parent/rule instruments required for P-3 completeness.</x:v>
      </x:c>
      <x:c r="G525" s="33" t="str">
        <x:v>P-3 official-source review</x:v>
      </x:c>
      <x:c r="H525" s="33" t="str">
        <x:v>https://moef.gov.in/rules-regulations-3 | https://www.labour.gov.in/offerings/schemes-and-services/details/labour-codes-gzNzQzMtQWa | https://www.incometax.gov.in/iec/foportal/help/all-topics/e-filing-services/objective-and-scope-new-act-faq</x:v>
      </x:c>
      <x:c r="I525" s="33" t="str">
        <x:v>P-3</x:v>
      </x:c>
      <x:c r="J525" s="33" t="str">
        <x:v>2026-08-20</x:v>
      </x:c>
      <x:c r="K525" s="33" t="str">
        <x:v>New controlled P-3 record; schema preserved.</x:v>
      </x:c>
    </x:row>
    <x:row r="526">
      <x:c r="A526" s="33" t="str">
        <x:v>LAW108</x:v>
      </x:c>
      <x:c r="B526" s="33" t="str">
        <x:v>Law Master</x:v>
      </x:c>
      <x:c r="C526" s="33" t="str">
        <x:v>Not present</x:v>
      </x:c>
      <x:c r="D526" s="33" t="str">
        <x:v>Law ID=LAW108; Domain=Taxation; Sector=Pharmacy; Sub-Sector=All; Regulator=Income Tax Department; Authority Level=Central; Document Type=Rules; Parent Law=LAW107; Law Name=Income-tax Rules, 2026; Law_ComplianceArea_Map=-; Applicability Type=Mandatory; Applicability Trigger=Compliance governed by the Income-tax Act, 2025; Active=Yes; Review Frequency=As Notified; Remarks=Current operational rules for Tax Year 2026-27 onward.</x:v>
      </x:c>
      <x:c r="E526" s="33" t="str">
        <x:v>ADD</x:v>
      </x:c>
      <x:c r="F526" s="33" t="str">
        <x:v>Add omitted current central parent/rule instruments required for P-3 completeness.</x:v>
      </x:c>
      <x:c r="G526" s="33" t="str">
        <x:v>P-3 official-source review</x:v>
      </x:c>
      <x:c r="H526" s="33" t="str">
        <x:v>https://moef.gov.in/rules-regulations-3 | https://www.labour.gov.in/offerings/schemes-and-services/details/labour-codes-gzNzQzMtQWa | https://www.incometax.gov.in/iec/foportal/help/all-topics/e-filing-services/objective-and-scope-new-act-faq</x:v>
      </x:c>
      <x:c r="I526" s="33" t="str">
        <x:v>P-3</x:v>
      </x:c>
      <x:c r="J526" s="33" t="str">
        <x:v>2026-08-20</x:v>
      </x:c>
      <x:c r="K526" s="33" t="str">
        <x:v>New controlled P-3 record; schema preserved.</x:v>
      </x:c>
    </x:row>
    <x:row r="527">
      <x:c r="A527" s="33" t="str">
        <x:v>LAW109</x:v>
      </x:c>
      <x:c r="B527" s="33" t="str">
        <x:v>Law Master</x:v>
      </x:c>
      <x:c r="C527" s="33" t="str">
        <x:v>Not present</x:v>
      </x:c>
      <x:c r="D527" s="33" t="str">
        <x:v>Law ID=LAW109; Domain=Labour &amp; Employment; Sector=Pharmacy; Sub-Sector=All; Regulator=Labour Department; Authority Level=Central; Document Type=Rules; Parent Law=LAW034; Law Name=Code on Wages (Central) Rules, 2026; Law_ComplianceArea_Map=-; Applicability Type=Conditional; Applicability Trigger=Central appropriate-government jurisdiction; State rules may apply otherwise; Active=Yes; Review Frequency=As Notified; Remarks=Final central rules following 21-11-2025 implementation.</x:v>
      </x:c>
      <x:c r="E527" s="33" t="str">
        <x:v>ADD</x:v>
      </x:c>
      <x:c r="F527" s="33" t="str">
        <x:v>Add omitted current central parent/rule instruments required for P-3 completeness.</x:v>
      </x:c>
      <x:c r="G527" s="33" t="str">
        <x:v>P-3 official-source review</x:v>
      </x:c>
      <x:c r="H527" s="33" t="str">
        <x:v>https://moef.gov.in/rules-regulations-3 | https://www.labour.gov.in/offerings/schemes-and-services/details/labour-codes-gzNzQzMtQWa | https://www.incometax.gov.in/iec/foportal/help/all-topics/e-filing-services/objective-and-scope-new-act-faq</x:v>
      </x:c>
      <x:c r="I527" s="33" t="str">
        <x:v>P-3</x:v>
      </x:c>
      <x:c r="J527" s="33" t="str">
        <x:v>2026-08-20</x:v>
      </x:c>
      <x:c r="K527" s="33" t="str">
        <x:v>New controlled P-3 record; schema preserved.</x:v>
      </x:c>
    </x:row>
    <x:row r="528">
      <x:c r="A528" s="33" t="str">
        <x:v>LAW110</x:v>
      </x:c>
      <x:c r="B528" s="33" t="str">
        <x:v>Law Master</x:v>
      </x:c>
      <x:c r="C528" s="33" t="str">
        <x:v>Not present</x:v>
      </x:c>
      <x:c r="D528" s="33" t="str">
        <x:v>Law ID=LAW110; Domain=Labour &amp; Employment; Sector=Pharmacy; Sub-Sector=All; Regulator=EPFO / ESIC / Labour Department; Authority Level=Central; Document Type=Rules; Parent Law=LAW036; Law Name=Social Security (Central) Rules, 2026; Law_ComplianceArea_Map=-; Applicability Type=Conditional; Applicability Trigger=Covered establishment/employee and Central appropriate-government jurisdiction; Active=Yes; Review Frequency=As Notified; Remarks=Current operational rules for Code social-security chapters; exact threshold/scheme and jurisdiction must be assessed.</x:v>
      </x:c>
      <x:c r="E528" s="33" t="str">
        <x:v>ADD</x:v>
      </x:c>
      <x:c r="F528" s="33" t="str">
        <x:v>Add omitted current central parent/rule instruments required for P-3 completeness.</x:v>
      </x:c>
      <x:c r="G528" s="33" t="str">
        <x:v>P-3 official-source review</x:v>
      </x:c>
      <x:c r="H528" s="33" t="str">
        <x:v>https://moef.gov.in/rules-regulations-3 | https://www.labour.gov.in/offerings/schemes-and-services/details/labour-codes-gzNzQzMtQWa | https://www.incometax.gov.in/iec/foportal/help/all-topics/e-filing-services/objective-and-scope-new-act-faq</x:v>
      </x:c>
      <x:c r="I528" s="33" t="str">
        <x:v>P-3</x:v>
      </x:c>
      <x:c r="J528" s="33" t="str">
        <x:v>2026-08-20</x:v>
      </x:c>
      <x:c r="K528" s="33" t="str">
        <x:v>New controlled P-3 record; schema preserved.</x:v>
      </x:c>
    </x:row>
    <x:row r="529">
      <x:c r="A529" s="33" t="str">
        <x:v>LAW111</x:v>
      </x:c>
      <x:c r="B529" s="33" t="str">
        <x:v>Law Master</x:v>
      </x:c>
      <x:c r="C529" s="33" t="str">
        <x:v>Not present</x:v>
      </x:c>
      <x:c r="D529" s="33" t="str">
        <x:v>Law ID=LAW111; Domain=Labour &amp; Employment; Sector=Pharmacy; Sub-Sector=All; Regulator=Labour Department; Authority Level=Central; Document Type=Rules; Parent Law=LAW037; Law Name=Industrial Relations (Central) Rules, 2026; Law_ComplianceArea_Map=-; Applicability Type=Conditional; Applicability Trigger=Covered industrial establishment/event and Central appropriate-government jurisdiction; Active=Yes; Review Frequency=As Notified; Remarks=No universal recurring IR obligation is activated without a covered activity/event.</x:v>
      </x:c>
      <x:c r="E529" s="33" t="str">
        <x:v>ADD</x:v>
      </x:c>
      <x:c r="F529" s="33" t="str">
        <x:v>Add omitted current central parent/rule instruments required for P-3 completeness.</x:v>
      </x:c>
      <x:c r="G529" s="33" t="str">
        <x:v>P-3 official-source review</x:v>
      </x:c>
      <x:c r="H529" s="33" t="str">
        <x:v>https://moef.gov.in/rules-regulations-3 | https://www.labour.gov.in/offerings/schemes-and-services/details/labour-codes-gzNzQzMtQWa | https://www.incometax.gov.in/iec/foportal/help/all-topics/e-filing-services/objective-and-scope-new-act-faq</x:v>
      </x:c>
      <x:c r="I529" s="33" t="str">
        <x:v>P-3</x:v>
      </x:c>
      <x:c r="J529" s="33" t="str">
        <x:v>2026-08-20</x:v>
      </x:c>
      <x:c r="K529" s="33" t="str">
        <x:v>New controlled P-3 record; schema preserved.</x:v>
      </x:c>
    </x:row>
    <x:row r="530">
      <x:c r="A530" s="33" t="str">
        <x:v>LM151</x:v>
      </x:c>
      <x:c r="B530" s="33" t="str">
        <x:v>Law_ComplianceArea_Map</x:v>
      </x:c>
      <x:c r="C530" s="33" t="str">
        <x:v>Not present</x:v>
      </x:c>
      <x:c r="D530" s="33" t="str">
        <x:v>Map ID=LM151; Law ID=LAW101; Compliance Area ID=CA037; Active Status=Yes; Remarks=Environmental parent statute.</x:v>
      </x:c>
      <x:c r="E530" s="33" t="str">
        <x:v>ADD</x:v>
      </x:c>
      <x:c r="F530" s="33" t="str">
        <x:v>Map new P-3 laws to existing controlled compliance areas.</x:v>
      </x:c>
      <x:c r="G530" s="33" t="str">
        <x:v>P-3 official-source review</x:v>
      </x:c>
      <x:c r="H530" s="33" t="str">
        <x:v>https://moef.gov.in/rules-regulations-3 | https://www.labour.gov.in/offerings/schemes-and-services/details/labour-codes-gzNzQzMtQWa | https://www.incometax.gov.in/iec/foportal/help/all-topics/e-filing-services/objective-and-scope-new-act-faq</x:v>
      </x:c>
      <x:c r="I530" s="33" t="str">
        <x:v>P-3</x:v>
      </x:c>
      <x:c r="J530" s="33" t="str">
        <x:v>2026-08-20</x:v>
      </x:c>
      <x:c r="K530" s="33" t="str">
        <x:v>New controlled P-3 record; schema preserved.</x:v>
      </x:c>
    </x:row>
    <x:row r="531">
      <x:c r="A531" s="33" t="str">
        <x:v>LM152</x:v>
      </x:c>
      <x:c r="B531" s="33" t="str">
        <x:v>Law_ComplianceArea_Map</x:v>
      </x:c>
      <x:c r="C531" s="33" t="str">
        <x:v>Not present</x:v>
      </x:c>
      <x:c r="D531" s="33" t="str">
        <x:v>Map ID=LM152; Law ID=LAW102; Compliance Area ID=CA039; Active Status=Yes; Remarks=Battery consumer waste channelisation.</x:v>
      </x:c>
      <x:c r="E531" s="33" t="str">
        <x:v>ADD</x:v>
      </x:c>
      <x:c r="F531" s="33" t="str">
        <x:v>Map new P-3 laws to existing controlled compliance areas.</x:v>
      </x:c>
      <x:c r="G531" s="33" t="str">
        <x:v>P-3 official-source review</x:v>
      </x:c>
      <x:c r="H531" s="33" t="str">
        <x:v>https://moef.gov.in/rules-regulations-3 | https://www.labour.gov.in/offerings/schemes-and-services/details/labour-codes-gzNzQzMtQWa | https://www.incometax.gov.in/iec/foportal/help/all-topics/e-filing-services/objective-and-scope-new-act-faq</x:v>
      </x:c>
      <x:c r="I531" s="33" t="str">
        <x:v>P-3</x:v>
      </x:c>
      <x:c r="J531" s="33" t="str">
        <x:v>2026-08-20</x:v>
      </x:c>
      <x:c r="K531" s="33" t="str">
        <x:v>New controlled P-3 record; schema preserved.</x:v>
      </x:c>
    </x:row>
    <x:row r="532">
      <x:c r="A532" s="33" t="str">
        <x:v>LM153</x:v>
      </x:c>
      <x:c r="B532" s="33" t="str">
        <x:v>Law_ComplianceArea_Map</x:v>
      </x:c>
      <x:c r="C532" s="33" t="str">
        <x:v>Not present</x:v>
      </x:c>
      <x:c r="D532" s="33" t="str">
        <x:v>Map ID=LM153; Law ID=LAW103; Compliance Area ID=CA039; Active Status=Yes; Remarks=Conditional hazardous-waste occupier duties.</x:v>
      </x:c>
      <x:c r="E532" s="33" t="str">
        <x:v>ADD</x:v>
      </x:c>
      <x:c r="F532" s="33" t="str">
        <x:v>Map new P-3 laws to existing controlled compliance areas.</x:v>
      </x:c>
      <x:c r="G532" s="33" t="str">
        <x:v>P-3 official-source review</x:v>
      </x:c>
      <x:c r="H532" s="33" t="str">
        <x:v>https://moef.gov.in/rules-regulations-3 | https://www.labour.gov.in/offerings/schemes-and-services/details/labour-codes-gzNzQzMtQWa | https://www.incometax.gov.in/iec/foportal/help/all-topics/e-filing-services/objective-and-scope-new-act-faq</x:v>
      </x:c>
      <x:c r="I532" s="33" t="str">
        <x:v>P-3</x:v>
      </x:c>
      <x:c r="J532" s="33" t="str">
        <x:v>2026-08-20</x:v>
      </x:c>
      <x:c r="K532" s="33" t="str">
        <x:v>New controlled P-3 record; schema preserved.</x:v>
      </x:c>
    </x:row>
    <x:row r="533">
      <x:c r="A533" s="33" t="str">
        <x:v>LM154</x:v>
      </x:c>
      <x:c r="B533" s="33" t="str">
        <x:v>Law_ComplianceArea_Map</x:v>
      </x:c>
      <x:c r="C533" s="33" t="str">
        <x:v>Not present</x:v>
      </x:c>
      <x:c r="D533" s="33" t="str">
        <x:v>Map ID=LM154; Law ID=LAW104; Compliance Area ID=CA040; Active Status=Yes; Remarks=Conditional water-consent control.</x:v>
      </x:c>
      <x:c r="E533" s="33" t="str">
        <x:v>ADD</x:v>
      </x:c>
      <x:c r="F533" s="33" t="str">
        <x:v>Map new P-3 laws to existing controlled compliance areas.</x:v>
      </x:c>
      <x:c r="G533" s="33" t="str">
        <x:v>P-3 official-source review</x:v>
      </x:c>
      <x:c r="H533" s="33" t="str">
        <x:v>https://moef.gov.in/rules-regulations-3 | https://www.labour.gov.in/offerings/schemes-and-services/details/labour-codes-gzNzQzMtQWa | https://www.incometax.gov.in/iec/foportal/help/all-topics/e-filing-services/objective-and-scope-new-act-faq</x:v>
      </x:c>
      <x:c r="I533" s="33" t="str">
        <x:v>P-3</x:v>
      </x:c>
      <x:c r="J533" s="33" t="str">
        <x:v>2026-08-20</x:v>
      </x:c>
      <x:c r="K533" s="33" t="str">
        <x:v>New controlled P-3 record; schema preserved.</x:v>
      </x:c>
    </x:row>
    <x:row r="534">
      <x:c r="A534" s="33" t="str">
        <x:v>LM155</x:v>
      </x:c>
      <x:c r="B534" s="33" t="str">
        <x:v>Law_ComplianceArea_Map</x:v>
      </x:c>
      <x:c r="C534" s="33" t="str">
        <x:v>Not present</x:v>
      </x:c>
      <x:c r="D534" s="33" t="str">
        <x:v>Map ID=LM155; Law ID=LAW105; Compliance Area ID=CA040; Active Status=Yes; Remarks=Conditional air-consent control.</x:v>
      </x:c>
      <x:c r="E534" s="33" t="str">
        <x:v>ADD</x:v>
      </x:c>
      <x:c r="F534" s="33" t="str">
        <x:v>Map new P-3 laws to existing controlled compliance areas.</x:v>
      </x:c>
      <x:c r="G534" s="33" t="str">
        <x:v>P-3 official-source review</x:v>
      </x:c>
      <x:c r="H534" s="33" t="str">
        <x:v>https://moef.gov.in/rules-regulations-3 | https://www.labour.gov.in/offerings/schemes-and-services/details/labour-codes-gzNzQzMtQWa | https://www.incometax.gov.in/iec/foportal/help/all-topics/e-filing-services/objective-and-scope-new-act-faq</x:v>
      </x:c>
      <x:c r="I534" s="33" t="str">
        <x:v>P-3</x:v>
      </x:c>
      <x:c r="J534" s="33" t="str">
        <x:v>2026-08-20</x:v>
      </x:c>
      <x:c r="K534" s="33" t="str">
        <x:v>New controlled P-3 record; schema preserved.</x:v>
      </x:c>
    </x:row>
    <x:row r="535">
      <x:c r="A535" s="33" t="str">
        <x:v>LM156</x:v>
      </x:c>
      <x:c r="B535" s="33" t="str">
        <x:v>Law_ComplianceArea_Map</x:v>
      </x:c>
      <x:c r="C535" s="33" t="str">
        <x:v>Not present</x:v>
      </x:c>
      <x:c r="D535" s="33" t="str">
        <x:v>Map ID=LM156; Law ID=LAW106; Compliance Area ID=CA039; Active Status=Yes; Remarks=Event-based C&amp;D waste management.</x:v>
      </x:c>
      <x:c r="E535" s="33" t="str">
        <x:v>ADD</x:v>
      </x:c>
      <x:c r="F535" s="33" t="str">
        <x:v>Map new P-3 laws to existing controlled compliance areas.</x:v>
      </x:c>
      <x:c r="G535" s="33" t="str">
        <x:v>P-3 official-source review</x:v>
      </x:c>
      <x:c r="H535" s="33" t="str">
        <x:v>https://moef.gov.in/rules-regulations-3 | https://www.labour.gov.in/offerings/schemes-and-services/details/labour-codes-gzNzQzMtQWa | https://www.incometax.gov.in/iec/foportal/help/all-topics/e-filing-services/objective-and-scope-new-act-faq</x:v>
      </x:c>
      <x:c r="I535" s="33" t="str">
        <x:v>P-3</x:v>
      </x:c>
      <x:c r="J535" s="33" t="str">
        <x:v>2026-08-20</x:v>
      </x:c>
      <x:c r="K535" s="33" t="str">
        <x:v>New controlled P-3 record; schema preserved.</x:v>
      </x:c>
    </x:row>
    <x:row r="536">
      <x:c r="A536" s="33" t="str">
        <x:v>LM157</x:v>
      </x:c>
      <x:c r="B536" s="33" t="str">
        <x:v>Law_ComplianceArea_Map</x:v>
      </x:c>
      <x:c r="C536" s="33" t="str">
        <x:v>Not present</x:v>
      </x:c>
      <x:c r="D536" s="33" t="str">
        <x:v>Map ID=LM157; Law ID=LAW107; Compliance Area ID=CA053; Active Status=Yes; Remarks=Current income-tax parent statute.</x:v>
      </x:c>
      <x:c r="E536" s="33" t="str">
        <x:v>ADD</x:v>
      </x:c>
      <x:c r="F536" s="33" t="str">
        <x:v>Map new P-3 laws to existing controlled compliance areas.</x:v>
      </x:c>
      <x:c r="G536" s="33" t="str">
        <x:v>P-3 official-source review</x:v>
      </x:c>
      <x:c r="H536" s="33" t="str">
        <x:v>https://moef.gov.in/rules-regulations-3 | https://www.labour.gov.in/offerings/schemes-and-services/details/labour-codes-gzNzQzMtQWa | https://www.incometax.gov.in/iec/foportal/help/all-topics/e-filing-services/objective-and-scope-new-act-faq</x:v>
      </x:c>
      <x:c r="I536" s="33" t="str">
        <x:v>P-3</x:v>
      </x:c>
      <x:c r="J536" s="33" t="str">
        <x:v>2026-08-20</x:v>
      </x:c>
      <x:c r="K536" s="33" t="str">
        <x:v>New controlled P-3 record; schema preserved.</x:v>
      </x:c>
    </x:row>
    <x:row r="537">
      <x:c r="A537" s="33" t="str">
        <x:v>LM158</x:v>
      </x:c>
      <x:c r="B537" s="33" t="str">
        <x:v>Law_ComplianceArea_Map</x:v>
      </x:c>
      <x:c r="C537" s="33" t="str">
        <x:v>Not present</x:v>
      </x:c>
      <x:c r="D537" s="33" t="str">
        <x:v>Map ID=LM158; Law ID=LAW108; Compliance Area ID=CA053; Active Status=Yes; Remarks=Current income-tax operational rules.</x:v>
      </x:c>
      <x:c r="E537" s="33" t="str">
        <x:v>ADD</x:v>
      </x:c>
      <x:c r="F537" s="33" t="str">
        <x:v>Map new P-3 laws to existing controlled compliance areas.</x:v>
      </x:c>
      <x:c r="G537" s="33" t="str">
        <x:v>P-3 official-source review</x:v>
      </x:c>
      <x:c r="H537" s="33" t="str">
        <x:v>https://moef.gov.in/rules-regulations-3 | https://www.labour.gov.in/offerings/schemes-and-services/details/labour-codes-gzNzQzMtQWa | https://www.incometax.gov.in/iec/foportal/help/all-topics/e-filing-services/objective-and-scope-new-act-faq</x:v>
      </x:c>
      <x:c r="I537" s="33" t="str">
        <x:v>P-3</x:v>
      </x:c>
      <x:c r="J537" s="33" t="str">
        <x:v>2026-08-20</x:v>
      </x:c>
      <x:c r="K537" s="33" t="str">
        <x:v>New controlled P-3 record; schema preserved.</x:v>
      </x:c>
    </x:row>
    <x:row r="538">
      <x:c r="A538" s="33" t="str">
        <x:v>LM159</x:v>
      </x:c>
      <x:c r="B538" s="33" t="str">
        <x:v>Law_ComplianceArea_Map</x:v>
      </x:c>
      <x:c r="C538" s="33" t="str">
        <x:v>Not present</x:v>
      </x:c>
      <x:c r="D538" s="33" t="str">
        <x:v>Map ID=LM159; Law ID=LAW109; Compliance Area ID=CA048; Active Status=Yes; Remarks=Current wage rules.</x:v>
      </x:c>
      <x:c r="E538" s="33" t="str">
        <x:v>ADD</x:v>
      </x:c>
      <x:c r="F538" s="33" t="str">
        <x:v>Map new P-3 laws to existing controlled compliance areas.</x:v>
      </x:c>
      <x:c r="G538" s="33" t="str">
        <x:v>P-3 official-source review</x:v>
      </x:c>
      <x:c r="H538" s="33" t="str">
        <x:v>https://moef.gov.in/rules-regulations-3 | https://www.labour.gov.in/offerings/schemes-and-services/details/labour-codes-gzNzQzMtQWa | https://www.incometax.gov.in/iec/foportal/help/all-topics/e-filing-services/objective-and-scope-new-act-faq</x:v>
      </x:c>
      <x:c r="I538" s="33" t="str">
        <x:v>P-3</x:v>
      </x:c>
      <x:c r="J538" s="33" t="str">
        <x:v>2026-08-20</x:v>
      </x:c>
      <x:c r="K538" s="33" t="str">
        <x:v>New controlled P-3 record; schema preserved.</x:v>
      </x:c>
    </x:row>
    <x:row r="539">
      <x:c r="A539" s="33" t="str">
        <x:v>LM160</x:v>
      </x:c>
      <x:c r="B539" s="33" t="str">
        <x:v>Law_ComplianceArea_Map</x:v>
      </x:c>
      <x:c r="C539" s="33" t="str">
        <x:v>Not present</x:v>
      </x:c>
      <x:c r="D539" s="33" t="str">
        <x:v>Map ID=LM160; Law ID=LAW110; Compliance Area ID=CA048; Active Status=Yes; Remarks=Current social-security rules.</x:v>
      </x:c>
      <x:c r="E539" s="33" t="str">
        <x:v>ADD</x:v>
      </x:c>
      <x:c r="F539" s="33" t="str">
        <x:v>Map new P-3 laws to existing controlled compliance areas.</x:v>
      </x:c>
      <x:c r="G539" s="33" t="str">
        <x:v>P-3 official-source review</x:v>
      </x:c>
      <x:c r="H539" s="33" t="str">
        <x:v>https://moef.gov.in/rules-regulations-3 | https://www.labour.gov.in/offerings/schemes-and-services/details/labour-codes-gzNzQzMtQWa | https://www.incometax.gov.in/iec/foportal/help/all-topics/e-filing-services/objective-and-scope-new-act-faq</x:v>
      </x:c>
      <x:c r="I539" s="33" t="str">
        <x:v>P-3</x:v>
      </x:c>
      <x:c r="J539" s="33" t="str">
        <x:v>2026-08-20</x:v>
      </x:c>
      <x:c r="K539" s="33" t="str">
        <x:v>New controlled P-3 record; schema preserved.</x:v>
      </x:c>
    </x:row>
    <x:row r="540">
      <x:c r="A540" s="33" t="str">
        <x:v>LM161</x:v>
      </x:c>
      <x:c r="B540" s="33" t="str">
        <x:v>Law_ComplianceArea_Map</x:v>
      </x:c>
      <x:c r="C540" s="33" t="str">
        <x:v>Not present</x:v>
      </x:c>
      <x:c r="D540" s="33" t="str">
        <x:v>Map ID=LM161; Law ID=LAW111; Compliance Area ID=CA045; Active Status=Yes; Remarks=Conditional industrial-relations rules.</x:v>
      </x:c>
      <x:c r="E540" s="33" t="str">
        <x:v>ADD</x:v>
      </x:c>
      <x:c r="F540" s="33" t="str">
        <x:v>Map new P-3 laws to existing controlled compliance areas.</x:v>
      </x:c>
      <x:c r="G540" s="33" t="str">
        <x:v>P-3 official-source review</x:v>
      </x:c>
      <x:c r="H540" s="33" t="str">
        <x:v>https://moef.gov.in/rules-regulations-3 | https://www.labour.gov.in/offerings/schemes-and-services/details/labour-codes-gzNzQzMtQWa | https://www.incometax.gov.in/iec/foportal/help/all-topics/e-filing-services/objective-and-scope-new-act-faq</x:v>
      </x:c>
      <x:c r="I540" s="33" t="str">
        <x:v>P-3</x:v>
      </x:c>
      <x:c r="J540" s="33" t="str">
        <x:v>2026-08-20</x:v>
      </x:c>
      <x:c r="K540" s="33" t="str">
        <x:v>New controlled P-3 record; schema preserved.</x:v>
      </x:c>
    </x:row>
    <x:row r="541">
      <x:c r="A541" s="33" t="str">
        <x:v>PROV046</x:v>
      </x:c>
      <x:c r="B541" s="33" t="str">
        <x:v>Provision Master</x:v>
      </x:c>
      <x:c r="C541" s="33" t="str">
        <x:v>Law ID=LAW018; Provision Category=Statutory; Statutory Reference=Rule 4; Provision Name=Duties of Occupier; Provision Description=Responsibilities of waste generator.; Active=Yes; Remarks=</x:v>
      </x:c>
      <x:c r="D541" s="33" t="str">
        <x:v>Law ID=LAW018; Provision Category=Statutory; Statutory Reference=Rule 4; Provision Name=Core duties of a bio-medical waste occupier; Provision Description=Take all steps for safe handling without adverse effect, provide training/immunisation, use prescribed systems including barcoding where applicable, and prevent mixing with other waste.; Active=Yes; Remarks=P-3 normalized; applies only when the establishment is an occupier/generator under LAW018.</x:v>
      </x:c>
      <x:c r="E541" s="33" t="str">
        <x:v>CORRECT</x:v>
      </x:c>
      <x:c r="F541" s="33" t="str">
        <x:v>Correct statutory ownership, section/rule references, entity triggers and current/future status.</x:v>
      </x:c>
      <x:c r="G541" s="33" t="str">
        <x:v>P-3 official-source review</x:v>
      </x:c>
      <x:c r="H541"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41" s="33" t="str">
        <x:v>P-3</x:v>
      </x:c>
      <x:c r="J541" s="33" t="str">
        <x:v>2026-08-20</x:v>
      </x:c>
      <x:c r="K541" s="33" t="str">
        <x:v>Existing provision IDs preserved and legally normalized.</x:v>
      </x:c>
    </x:row>
    <x:row r="542">
      <x:c r="A542" s="33" t="str">
        <x:v>PROV047</x:v>
      </x:c>
      <x:c r="B542" s="33" t="str">
        <x:v>Provision Master</x:v>
      </x:c>
      <x:c r="C542" s="33" t="str">
        <x:v>Law ID=LAW018; Provision Category=Statutory; Statutory Reference=Rule 6; Provision Name=Segregation and Handling of Biomedical Waste; Provision Description=Waste segregation obligations.; Active=Yes; Remarks=</x:v>
      </x:c>
      <x:c r="D542" s="33" t="str">
        <x:v>Law ID=LAW018; Provision Category=Statutory; Statutory Reference=Rule 8; Schedule I; Provision Name=Segregation, packaging, storage and transport of bio-medical waste; Provision Description=Segregate at point of generation in prescribed colour-coded bags/containers, label and handle in accordance with Rule 8 and Schedule I.; Active=Yes; Remarks=P-3 normalized.</x:v>
      </x:c>
      <x:c r="E542" s="33" t="str">
        <x:v>CORRECT</x:v>
      </x:c>
      <x:c r="F542" s="33" t="str">
        <x:v>Correct statutory ownership, section/rule references, entity triggers and current/future status.</x:v>
      </x:c>
      <x:c r="G542" s="33" t="str">
        <x:v>P-3 official-source review</x:v>
      </x:c>
      <x:c r="H542"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42" s="33" t="str">
        <x:v>P-3</x:v>
      </x:c>
      <x:c r="J542" s="33" t="str">
        <x:v>2026-08-20</x:v>
      </x:c>
      <x:c r="K542" s="33" t="str">
        <x:v>Existing provision IDs preserved and legally normalized.</x:v>
      </x:c>
    </x:row>
    <x:row r="543">
      <x:c r="A543" s="33" t="str">
        <x:v>PROV048</x:v>
      </x:c>
      <x:c r="B543" s="33" t="str">
        <x:v>Provision Master</x:v>
      </x:c>
      <x:c r="C543" s="33" t="str">
        <x:v>Law ID=LAW018; Provision Category=Statutory; Statutory Reference=Rule 7; Provision Name=Treatment and Disposal of Biomedical Waste; Provision Description=Disposal requirements.; Active=Yes; Remarks=</x:v>
      </x:c>
      <x:c r="D543" s="33" t="str">
        <x:v>Law ID=LAW018; Provision Category=Statutory; Statutory Reference=Rule 7; Provision Name=Treatment and disposal through the permitted bio-medical waste route; Provision Description=Use a common treatment facility where required/available and do not dispose of untreated bio-medical waste through ordinary solid-waste channels.; Active=Yes; Remarks=P-3 normalized.</x:v>
      </x:c>
      <x:c r="E543" s="33" t="str">
        <x:v>CORRECT</x:v>
      </x:c>
      <x:c r="F543" s="33" t="str">
        <x:v>Correct statutory ownership, section/rule references, entity triggers and current/future status.</x:v>
      </x:c>
      <x:c r="G543" s="33" t="str">
        <x:v>P-3 official-source review</x:v>
      </x:c>
      <x:c r="H543"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43" s="33" t="str">
        <x:v>P-3</x:v>
      </x:c>
      <x:c r="J543" s="33" t="str">
        <x:v>2026-08-20</x:v>
      </x:c>
      <x:c r="K543" s="33" t="str">
        <x:v>Existing provision IDs preserved and legally normalized.</x:v>
      </x:c>
    </x:row>
    <x:row r="544">
      <x:c r="A544" s="33" t="str">
        <x:v>PROV049</x:v>
      </x:c>
      <x:c r="B544" s="33" t="str">
        <x:v>Provision Master</x:v>
      </x:c>
      <x:c r="C544" s="33" t="str">
        <x:v>Law ID=LAW018; Provision Category=Statutory; Statutory Reference=Rule 10; Provision Name=Record Maintenance and Reporting; Provision Description=BMW records and annual reporting.; Active=Yes; Remarks=</x:v>
      </x:c>
      <x:c r="D544" s="33" t="str">
        <x:v>Law ID=LAW018; Provision Category=Statutory; Statutory Reference=Rules 13-15; Forms IV and I; Provision Name=Bio-medical waste annual report, records and accident reporting; Provision Description=Submit the annual report by 30 June for the preceding calendar year, maintain records and report major accidents in the prescribed form/time.; Active=Yes; Remarks=P-3 normalized.</x:v>
      </x:c>
      <x:c r="E544" s="33" t="str">
        <x:v>CORRECT</x:v>
      </x:c>
      <x:c r="F544" s="33" t="str">
        <x:v>Correct statutory ownership, section/rule references, entity triggers and current/future status.</x:v>
      </x:c>
      <x:c r="G544" s="33" t="str">
        <x:v>P-3 official-source review</x:v>
      </x:c>
      <x:c r="H544"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44" s="33" t="str">
        <x:v>P-3</x:v>
      </x:c>
      <x:c r="J544" s="33" t="str">
        <x:v>2026-08-20</x:v>
      </x:c>
      <x:c r="K544" s="33" t="str">
        <x:v>Existing provision IDs preserved and legally normalized.</x:v>
      </x:c>
    </x:row>
    <x:row r="545">
      <x:c r="A545" s="33" t="str">
        <x:v>PROV050</x:v>
      </x:c>
      <x:c r="B545" s="33" t="str">
        <x:v>Provision Master</x:v>
      </x:c>
      <x:c r="C545" s="33" t="str">
        <x:v>Law ID=LAW018; Provision Category=Statutory; Statutory Reference=Schedule I; Provision Name=Categories of Biomedical Waste; Provision Description=Waste categorization for segregation.; Active=Yes; Remarks=</x:v>
      </x:c>
      <x:c r="D545" s="33" t="str">
        <x:v>Law ID=LAW018; Provision Category=Statutory; Statutory Reference=Rule 10; Form II; Provision Name=Authorization for handling bio-medical waste; Provision Description=Every occupier/operator handling bio-medical waste obtains authorization from the prescribed authority irrespective of quantity and keeps it current.; Active=Yes; Remarks=P-3 normalized; entity-specific authorization is evidence, not a separate law.</x:v>
      </x:c>
      <x:c r="E545" s="33" t="str">
        <x:v>CORRECT</x:v>
      </x:c>
      <x:c r="F545" s="33" t="str">
        <x:v>Correct statutory ownership, section/rule references, entity triggers and current/future status.</x:v>
      </x:c>
      <x:c r="G545" s="33" t="str">
        <x:v>P-3 official-source review</x:v>
      </x:c>
      <x:c r="H545"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45" s="33" t="str">
        <x:v>P-3</x:v>
      </x:c>
      <x:c r="J545" s="33" t="str">
        <x:v>2026-08-20</x:v>
      </x:c>
      <x:c r="K545" s="33" t="str">
        <x:v>Existing provision IDs preserved and legally normalized.</x:v>
      </x:c>
    </x:row>
    <x:row r="546">
      <x:c r="A546" s="33" t="str">
        <x:v>PROV056</x:v>
      </x:c>
      <x:c r="B546" s="33" t="str">
        <x:v>Provision Master</x:v>
      </x:c>
      <x:c r="C546" s="33" t="str">
        <x:v>Law ID=LAW024; Provision Category=Statutory; Statutory Reference=Section 1; Provision Name=Applicability of EPF Act; Provision Description=Coverage based on employee threshold.; Active=Yes; Remarks=</x:v>
      </x:c>
      <x:c r="D546" s="33" t="str">
        <x:v>Law ID=LAW036; Provision Category=Statutory; Statutory Reference=Code on Social Security, 2020 — EPF Chapter; applicable threshold notifications; Provision Name=EPF coverage and registration under the Social Security Code; Provision Description=Assess current EPF chapter coverage using the notified employee/establishment trigger and register when applicable.; Active=Yes; Remarks=P-3 remapped from the superseded EPF Act layer.</x:v>
      </x:c>
      <x:c r="E546" s="33" t="str">
        <x:v>CORRECT</x:v>
      </x:c>
      <x:c r="F546" s="33" t="str">
        <x:v>Correct statutory ownership, section/rule references, entity triggers and current/future status.</x:v>
      </x:c>
      <x:c r="G546" s="33" t="str">
        <x:v>P-3 official-source review</x:v>
      </x:c>
      <x:c r="H546"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46" s="33" t="str">
        <x:v>P-3</x:v>
      </x:c>
      <x:c r="J546" s="33" t="str">
        <x:v>2026-08-20</x:v>
      </x:c>
      <x:c r="K546" s="33" t="str">
        <x:v>Existing provision IDs preserved and legally normalized.</x:v>
      </x:c>
    </x:row>
    <x:row r="547">
      <x:c r="A547" s="33" t="str">
        <x:v>PROV057</x:v>
      </x:c>
      <x:c r="B547" s="33" t="str">
        <x:v>Provision Master</x:v>
      </x:c>
      <x:c r="C547" s="33" t="str">
        <x:v>Law ID=LAW024; Provision Category=Statutory; Statutory Reference=Section 6; Provision Name=Provident Fund Contributions; Provision Description=Employer and employee PF contributions.; Active=Yes; Remarks=</x:v>
      </x:c>
      <x:c r="D547" s="33" t="str">
        <x:v>Law ID=LAW110; Provision Category=Statutory; Statutory Reference=Social Security (Central) Rules, 2026; applicable EPF scheme/notifications; Provision Name=Provident-fund contributions; Provision Description=Compute, deduct and remit provident-fund contributions for covered employees under the current Code, Rules and scheme/notification position.; Active=Yes; Remarks=P-3 current-law remap.</x:v>
      </x:c>
      <x:c r="E547" s="33" t="str">
        <x:v>CORRECT</x:v>
      </x:c>
      <x:c r="F547" s="33" t="str">
        <x:v>Correct statutory ownership, section/rule references, entity triggers and current/future status.</x:v>
      </x:c>
      <x:c r="G547" s="33" t="str">
        <x:v>P-3 official-source review</x:v>
      </x:c>
      <x:c r="H547"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47" s="33" t="str">
        <x:v>P-3</x:v>
      </x:c>
      <x:c r="J547" s="33" t="str">
        <x:v>2026-08-20</x:v>
      </x:c>
      <x:c r="K547" s="33" t="str">
        <x:v>Existing provision IDs preserved and legally normalized.</x:v>
      </x:c>
    </x:row>
    <x:row r="548">
      <x:c r="A548" s="33" t="str">
        <x:v>PROV058</x:v>
      </x:c>
      <x:c r="B548" s="33" t="str">
        <x:v>Provision Master</x:v>
      </x:c>
      <x:c r="C548" s="33" t="str">
        <x:v>Law ID=LAW024; Provision Category=Statutory; Statutory Reference=EPF Scheme Para 36; Provision Name=Maintenance of Member Records; Provision Description=Employee PF records.; Active=Yes; Remarks=</x:v>
      </x:c>
      <x:c r="D548" s="33" t="str">
        <x:v>Law ID=LAW110; Provision Category=Statutory; Statutory Reference=Social Security (Central) Rules, 2026; applicable EPF scheme; Provision Name=EPF member and payroll records; Provision Description=Maintain required member, wage, nomination, contribution and electronic return records for covered employees.; Active=Yes; Remarks=P-3 current-law remap.</x:v>
      </x:c>
      <x:c r="E548" s="33" t="str">
        <x:v>CORRECT</x:v>
      </x:c>
      <x:c r="F548" s="33" t="str">
        <x:v>Correct statutory ownership, section/rule references, entity triggers and current/future status.</x:v>
      </x:c>
      <x:c r="G548" s="33" t="str">
        <x:v>P-3 official-source review</x:v>
      </x:c>
      <x:c r="H548"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48" s="33" t="str">
        <x:v>P-3</x:v>
      </x:c>
      <x:c r="J548" s="33" t="str">
        <x:v>2026-08-20</x:v>
      </x:c>
      <x:c r="K548" s="33" t="str">
        <x:v>Existing provision IDs preserved and legally normalized.</x:v>
      </x:c>
    </x:row>
    <x:row r="549">
      <x:c r="A549" s="33" t="str">
        <x:v>PROV059</x:v>
      </x:c>
      <x:c r="B549" s="33" t="str">
        <x:v>Provision Master</x:v>
      </x:c>
      <x:c r="C549" s="33" t="str">
        <x:v>Law ID=LAW024; Provision Category=Statutory; Statutory Reference=EPF Scheme Para 38; Provision Name=Monthly Contribution Deposit; Provision Description=Deposit of monthly PF dues.; Active=Yes; Remarks=</x:v>
      </x:c>
      <x:c r="D549" s="33" t="str">
        <x:v>Law ID=LAW110; Provision Category=Statutory; Statutory Reference=Social Security (Central) Rules, 2026; applicable EPF scheme; Provision Name=EPF contribution deposit and electronic filing; Provision Description=Deposit contributions and file the applicable electronic return/challan within the current prescribed timeline.; Active=Yes; Remarks=P-3 current-law remap.</x:v>
      </x:c>
      <x:c r="E549" s="33" t="str">
        <x:v>CORRECT</x:v>
      </x:c>
      <x:c r="F549" s="33" t="str">
        <x:v>Correct statutory ownership, section/rule references, entity triggers and current/future status.</x:v>
      </x:c>
      <x:c r="G549" s="33" t="str">
        <x:v>P-3 official-source review</x:v>
      </x:c>
      <x:c r="H549"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49" s="33" t="str">
        <x:v>P-3</x:v>
      </x:c>
      <x:c r="J549" s="33" t="str">
        <x:v>2026-08-20</x:v>
      </x:c>
      <x:c r="K549" s="33" t="str">
        <x:v>Existing provision IDs preserved and legally normalized.</x:v>
      </x:c>
    </x:row>
    <x:row r="550">
      <x:c r="A550" s="33" t="str">
        <x:v>PROV060</x:v>
      </x:c>
      <x:c r="B550" s="33" t="str">
        <x:v>Provision Master</x:v>
      </x:c>
      <x:c r="C550" s="33" t="str">
        <x:v>Law ID=LAW024; Provision Category=Statutory; Statutory Reference=EPF Scheme Para 76; Provision Name=Preservation of PF Records; Provision Description=Record retention requirements.; Active=Yes; Remarks=</x:v>
      </x:c>
      <x:c r="D550" s="33" t="str">
        <x:v>Law ID=LAW110; Provision Category=Statutory; Statutory Reference=Social Security (Central) Rules, 2026; saved/applicable scheme record rules; Provision Name=Preservation and production of provident-fund records; Provision Description=Retain and produce the Code/Rules/scheme records for the period and manner currently prescribed.; Active=Yes; Remarks=P-3 current-law remap; no unsupported universal retention period stated.</x:v>
      </x:c>
      <x:c r="E550" s="33" t="str">
        <x:v>CORRECT</x:v>
      </x:c>
      <x:c r="F550" s="33" t="str">
        <x:v>Correct statutory ownership, section/rule references, entity triggers and current/future status.</x:v>
      </x:c>
      <x:c r="G550" s="33" t="str">
        <x:v>P-3 official-source review</x:v>
      </x:c>
      <x:c r="H550"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50" s="33" t="str">
        <x:v>P-3</x:v>
      </x:c>
      <x:c r="J550" s="33" t="str">
        <x:v>2026-08-20</x:v>
      </x:c>
      <x:c r="K550" s="33" t="str">
        <x:v>Existing provision IDs preserved and legally normalized.</x:v>
      </x:c>
    </x:row>
    <x:row r="551">
      <x:c r="A551" s="33" t="str">
        <x:v>PROV061</x:v>
      </x:c>
      <x:c r="B551" s="33" t="str">
        <x:v>Provision Master</x:v>
      </x:c>
      <x:c r="C551" s="33" t="str">
        <x:v>Law ID=LAW025; Provision Category=Statutory; Statutory Reference=Section 2A; Provision Name=Registration of Factory / Establishment; Provision Description=Registration under ESI Act.; Active=Yes; Remarks=</x:v>
      </x:c>
      <x:c r="D551" s="33" t="str">
        <x:v>Law ID=LAW036; Provision Category=Statutory; Statutory Reference=Code on Social Security, 2020 — ESI Chapter; applicable threshold notifications; Provision Name=ESI coverage and registration under the Social Security Code; Provision Description=Assess current ESI chapter coverage and register the establishment/employees when the notified trigger is met.; Active=Yes; Remarks=P-3 remapped from the superseded ESI Act layer.</x:v>
      </x:c>
      <x:c r="E551" s="33" t="str">
        <x:v>CORRECT</x:v>
      </x:c>
      <x:c r="F551" s="33" t="str">
        <x:v>Correct statutory ownership, section/rule references, entity triggers and current/future status.</x:v>
      </x:c>
      <x:c r="G551" s="33" t="str">
        <x:v>P-3 official-source review</x:v>
      </x:c>
      <x:c r="H551"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51" s="33" t="str">
        <x:v>P-3</x:v>
      </x:c>
      <x:c r="J551" s="33" t="str">
        <x:v>2026-08-20</x:v>
      </x:c>
      <x:c r="K551" s="33" t="str">
        <x:v>Existing provision IDs preserved and legally normalized.</x:v>
      </x:c>
    </x:row>
    <x:row r="552">
      <x:c r="A552" s="33" t="str">
        <x:v>PROV062</x:v>
      </x:c>
      <x:c r="B552" s="33" t="str">
        <x:v>Provision Master</x:v>
      </x:c>
      <x:c r="C552" s="33" t="str">
        <x:v>Law ID=LAW025; Provision Category=Statutory; Statutory Reference=Section 39; Provision Name=Employee &amp; Employer Contributions; Provision Description=Payment of ESI contributions.; Active=Yes; Remarks=</x:v>
      </x:c>
      <x:c r="D552" s="33" t="str">
        <x:v>Law ID=LAW110; Provision Category=Statutory; Statutory Reference=Social Security (Central) Rules, 2026; applicable ESI regulations/notifications; Provision Name=Employee and employer ESI contributions; Provision Description=Compute, deduct and remit ESI contributions for covered employees within the current prescribed period.; Active=Yes; Remarks=P-3 current-law remap.</x:v>
      </x:c>
      <x:c r="E552" s="33" t="str">
        <x:v>CORRECT</x:v>
      </x:c>
      <x:c r="F552" s="33" t="str">
        <x:v>Correct statutory ownership, section/rule references, entity triggers and current/future status.</x:v>
      </x:c>
      <x:c r="G552" s="33" t="str">
        <x:v>P-3 official-source review</x:v>
      </x:c>
      <x:c r="H552"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52" s="33" t="str">
        <x:v>P-3</x:v>
      </x:c>
      <x:c r="J552" s="33" t="str">
        <x:v>2026-08-20</x:v>
      </x:c>
      <x:c r="K552" s="33" t="str">
        <x:v>Existing provision IDs preserved and legally normalized.</x:v>
      </x:c>
    </x:row>
    <x:row r="553">
      <x:c r="A553" s="33" t="str">
        <x:v>PROV063</x:v>
      </x:c>
      <x:c r="B553" s="33" t="str">
        <x:v>Provision Master</x:v>
      </x:c>
      <x:c r="C553" s="33" t="str">
        <x:v>Law ID=LAW025; Provision Category=Statutory; Statutory Reference=General Regulations; Provision Name=Maintenance of Employee Records; Provision Description=Employee insurance records.; Active=Yes; Remarks=</x:v>
      </x:c>
      <x:c r="D553" s="33" t="str">
        <x:v>Law ID=LAW110; Provision Category=Statutory; Statutory Reference=Social Security (Central) Rules, 2026; applicable ESI regulations; Provision Name=ESI employee and contribution records; Provision Description=Maintain employee registration, wage, contribution, accident and benefit-supporting records as applicable.; Active=Yes; Remarks=P-3 current-law remap.</x:v>
      </x:c>
      <x:c r="E553" s="33" t="str">
        <x:v>CORRECT</x:v>
      </x:c>
      <x:c r="F553" s="33" t="str">
        <x:v>Correct statutory ownership, section/rule references, entity triggers and current/future status.</x:v>
      </x:c>
      <x:c r="G553" s="33" t="str">
        <x:v>P-3 official-source review</x:v>
      </x:c>
      <x:c r="H553"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53" s="33" t="str">
        <x:v>P-3</x:v>
      </x:c>
      <x:c r="J553" s="33" t="str">
        <x:v>2026-08-20</x:v>
      </x:c>
      <x:c r="K553" s="33" t="str">
        <x:v>Existing provision IDs preserved and legally normalized.</x:v>
      </x:c>
    </x:row>
    <x:row r="554">
      <x:c r="A554" s="33" t="str">
        <x:v>PROV064</x:v>
      </x:c>
      <x:c r="B554" s="33" t="str">
        <x:v>Provision Master</x:v>
      </x:c>
      <x:c r="C554" s="33" t="str">
        <x:v>Law ID=LAW025; Provision Category=Statutory; Statutory Reference=Returns; Provision Name=Submission of Returns; Provision Description=Periodic statutory returns.; Active=Yes; Remarks=</x:v>
      </x:c>
      <x:c r="D554" s="33" t="str">
        <x:v>Law ID=LAW110; Provision Category=Statutory; Statutory Reference=Social Security (Central) Rules, 2026; applicable ESI electronic filing requirements; Provision Name=ESI electronic filing and declarations; Provision Description=Submit the applicable ESI contribution return/declaration through the prescribed system and frequency.; Active=Yes; Remarks=P-3 current-law remap; legacy half-yearly frequency removed.</x:v>
      </x:c>
      <x:c r="E554" s="33" t="str">
        <x:v>CORRECT</x:v>
      </x:c>
      <x:c r="F554" s="33" t="str">
        <x:v>Correct statutory ownership, section/rule references, entity triggers and current/future status.</x:v>
      </x:c>
      <x:c r="G554" s="33" t="str">
        <x:v>P-3 official-source review</x:v>
      </x:c>
      <x:c r="H554"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54" s="33" t="str">
        <x:v>P-3</x:v>
      </x:c>
      <x:c r="J554" s="33" t="str">
        <x:v>2026-08-20</x:v>
      </x:c>
      <x:c r="K554" s="33" t="str">
        <x:v>Existing provision IDs preserved and legally normalized.</x:v>
      </x:c>
    </x:row>
    <x:row r="555">
      <x:c r="A555" s="33" t="str">
        <x:v>PROV065</x:v>
      </x:c>
      <x:c r="B555" s="33" t="str">
        <x:v>Provision Master</x:v>
      </x:c>
      <x:c r="C555" s="33" t="str">
        <x:v>Law ID=LAW025; Provision Category=Statutory; Statutory Reference=Inspection; Provision Name=Production of Records for Inspection; Provision Description=Records during inspections.; Active=Yes; Remarks=</x:v>
      </x:c>
      <x:c r="D555" s="33" t="str">
        <x:v>Law ID=LAW110; Provision Category=Statutory; Statutory Reference=Code on Social Security, 2020; Social Security (Central) Rules, 2026; Provision Name=Production of social-security records; Provision Description=Produce applicable EPF/ESI records to an authorised inspector-cum-facilitator or authority when lawfully required.; Active=Yes; Remarks=P-3 current-law remap.</x:v>
      </x:c>
      <x:c r="E555" s="33" t="str">
        <x:v>CORRECT</x:v>
      </x:c>
      <x:c r="F555" s="33" t="str">
        <x:v>Correct statutory ownership, section/rule references, entity triggers and current/future status.</x:v>
      </x:c>
      <x:c r="G555" s="33" t="str">
        <x:v>P-3 official-source review</x:v>
      </x:c>
      <x:c r="H555"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55" s="33" t="str">
        <x:v>P-3</x:v>
      </x:c>
      <x:c r="J555" s="33" t="str">
        <x:v>2026-08-20</x:v>
      </x:c>
      <x:c r="K555" s="33" t="str">
        <x:v>Existing provision IDs preserved and legally normalized.</x:v>
      </x:c>
    </x:row>
    <x:row r="556">
      <x:c r="A556" s="33" t="str">
        <x:v>PROV066</x:v>
      </x:c>
      <x:c r="B556" s="33" t="str">
        <x:v>Provision Master</x:v>
      </x:c>
      <x:c r="C556" s="33" t="str">
        <x:v>Statutory Reference=Section 22; Provision Name=GST Registration; Provision Description=Registration under GST law.</x:v>
      </x:c>
      <x:c r="D556" s="33" t="str">
        <x:v>Statutory Reference=CGST Act sections 22-25; Provision Name=GST registration liability and process; Provision Description=Register when turnover/compulsory-registration or voluntary-registration conditions apply; maintain State-wise registrations as required.</x:v>
      </x:c>
      <x:c r="E556" s="33" t="str">
        <x:v>CORRECT</x:v>
      </x:c>
      <x:c r="F556" s="33" t="str">
        <x:v>Correct statutory ownership, section/rule references, entity triggers and current/future status.</x:v>
      </x:c>
      <x:c r="G556" s="33" t="str">
        <x:v>P-3 official-source review</x:v>
      </x:c>
      <x:c r="H556"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56" s="33" t="str">
        <x:v>P-3</x:v>
      </x:c>
      <x:c r="J556" s="33" t="str">
        <x:v>2026-08-20</x:v>
      </x:c>
      <x:c r="K556" s="33" t="str">
        <x:v>Existing provision IDs preserved and legally normalized.</x:v>
      </x:c>
    </x:row>
    <x:row r="557">
      <x:c r="A557" s="33" t="str">
        <x:v>PROV067</x:v>
      </x:c>
      <x:c r="B557" s="33" t="str">
        <x:v>Provision Master</x:v>
      </x:c>
      <x:c r="C557" s="33" t="str">
        <x:v>Statutory Reference=Section 31; Provision Name=Tax Invoice; Provision Description=Issuance of GST-compliant tax invoices.</x:v>
      </x:c>
      <x:c r="D557" s="33" t="str">
        <x:v>Statutory Reference=CGST Act section 31; CGST Rules; Provision Name=Tax invoice, bill of supply and credit/debit documents; Provision Description=Issue the correct GST document with prescribed particulars for each applicable supply.</x:v>
      </x:c>
      <x:c r="E557" s="33" t="str">
        <x:v>CORRECT</x:v>
      </x:c>
      <x:c r="F557" s="33" t="str">
        <x:v>Correct statutory ownership, section/rule references, entity triggers and current/future status.</x:v>
      </x:c>
      <x:c r="G557" s="33" t="str">
        <x:v>P-3 official-source review</x:v>
      </x:c>
      <x:c r="H557"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57" s="33" t="str">
        <x:v>P-3</x:v>
      </x:c>
      <x:c r="J557" s="33" t="str">
        <x:v>2026-08-20</x:v>
      </x:c>
      <x:c r="K557" s="33" t="str">
        <x:v>Existing provision IDs preserved and legally normalized.</x:v>
      </x:c>
    </x:row>
    <x:row r="558">
      <x:c r="A558" s="33" t="str">
        <x:v>PROV068</x:v>
      </x:c>
      <x:c r="B558" s="33" t="str">
        <x:v>Provision Master</x:v>
      </x:c>
      <x:c r="C558" s="33" t="str">
        <x:v>Statutory Reference=Section 35; Provision Name=Books of Accounts; Provision Description=Maintenance of prescribed books.</x:v>
      </x:c>
      <x:c r="D558" s="33" t="str">
        <x:v>Statutory Reference=CGST Act section 35; CGST Rules 56-58; Provision Name=GST accounts and records; Provision Description=Maintain prescribed accounts, invoices, e-way/e-invoice records and supporting documents for the applicable period.</x:v>
      </x:c>
      <x:c r="E558" s="33" t="str">
        <x:v>CORRECT</x:v>
      </x:c>
      <x:c r="F558" s="33" t="str">
        <x:v>Correct statutory ownership, section/rule references, entity triggers and current/future status.</x:v>
      </x:c>
      <x:c r="G558" s="33" t="str">
        <x:v>P-3 official-source review</x:v>
      </x:c>
      <x:c r="H558"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58" s="33" t="str">
        <x:v>P-3</x:v>
      </x:c>
      <x:c r="J558" s="33" t="str">
        <x:v>2026-08-20</x:v>
      </x:c>
      <x:c r="K558" s="33" t="str">
        <x:v>Existing provision IDs preserved and legally normalized.</x:v>
      </x:c>
    </x:row>
    <x:row r="559">
      <x:c r="A559" s="33" t="str">
        <x:v>PROV069</x:v>
      </x:c>
      <x:c r="B559" s="33" t="str">
        <x:v>Provision Master</x:v>
      </x:c>
      <x:c r="C559" s="33" t="str">
        <x:v>Statutory Reference=Section 39; Provision Name=Furnishing GST Returns; Provision Description=Periodic GST returns.</x:v>
      </x:c>
      <x:c r="D559" s="33" t="str">
        <x:v>Statutory Reference=CGST Act section 39; applicable return rules/notifications; Provision Name=GST returns by taxpayer profile; Provision Description=File the return/statements applicable to the registration and scheme at the notified frequency and due date.</x:v>
      </x:c>
      <x:c r="E559" s="33" t="str">
        <x:v>CORRECT</x:v>
      </x:c>
      <x:c r="F559" s="33" t="str">
        <x:v>Correct statutory ownership, section/rule references, entity triggers and current/future status.</x:v>
      </x:c>
      <x:c r="G559" s="33" t="str">
        <x:v>P-3 official-source review</x:v>
      </x:c>
      <x:c r="H559"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59" s="33" t="str">
        <x:v>P-3</x:v>
      </x:c>
      <x:c r="J559" s="33" t="str">
        <x:v>2026-08-20</x:v>
      </x:c>
      <x:c r="K559" s="33" t="str">
        <x:v>Existing provision IDs preserved and legally normalized.</x:v>
      </x:c>
    </x:row>
    <x:row r="560">
      <x:c r="A560" s="33" t="str">
        <x:v>PROV070</x:v>
      </x:c>
      <x:c r="B560" s="33" t="str">
        <x:v>Provision Master</x:v>
      </x:c>
      <x:c r="C560" s="33" t="str">
        <x:v>Statutory Reference=Section 49; Provision Name=Payment of GST Liability; Provision Description=Payment of GST through electronic ledgers.</x:v>
      </x:c>
      <x:c r="D560" s="33" t="str">
        <x:v>Statutory Reference=CGST Act section 49; applicable payment rules; Provision Name=Payment of GST liability; Provision Description=Discharge self-assessed tax, interest and other liability through the electronic ledgers by the applicable due date.</x:v>
      </x:c>
      <x:c r="E560" s="33" t="str">
        <x:v>CORRECT</x:v>
      </x:c>
      <x:c r="F560" s="33" t="str">
        <x:v>Correct statutory ownership, section/rule references, entity triggers and current/future status.</x:v>
      </x:c>
      <x:c r="G560" s="33" t="str">
        <x:v>P-3 official-source review</x:v>
      </x:c>
      <x:c r="H560"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60" s="33" t="str">
        <x:v>P-3</x:v>
      </x:c>
      <x:c r="J560" s="33" t="str">
        <x:v>2026-08-20</x:v>
      </x:c>
      <x:c r="K560" s="33" t="str">
        <x:v>Existing provision IDs preserved and legally normalized.</x:v>
      </x:c>
    </x:row>
    <x:row r="561">
      <x:c r="A561" s="33" t="str">
        <x:v>PROV071</x:v>
      </x:c>
      <x:c r="B561" s="33" t="str">
        <x:v>Provision Master</x:v>
      </x:c>
      <x:c r="C561" s="33" t="str">
        <x:v>Law ID=LAW029; Provision Category=Statutory; Statutory Reference=Section 139; Provision Name=Filing of Income Tax Return; Provision Description=Filing of income tax return.</x:v>
      </x:c>
      <x:c r="D561" s="33" t="str">
        <x:v>Law ID=LAW107; Provision Category=Statutory; Statutory Reference=Income-tax Act, 2025 section 263; Income-tax Rules, 2026; Provision Name=Return of income under the current Act; Provision Description=Furnish the return for Tax Year 2026-27 onward under section 263 and the current Rules/form.</x:v>
      </x:c>
      <x:c r="E561" s="33" t="str">
        <x:v>CORRECT</x:v>
      </x:c>
      <x:c r="F561" s="33" t="str">
        <x:v>Correct statutory ownership, section/rule references, entity triggers and current/future status.</x:v>
      </x:c>
      <x:c r="G561" s="33" t="str">
        <x:v>P-3 official-source review</x:v>
      </x:c>
      <x:c r="H561"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61" s="33" t="str">
        <x:v>P-3</x:v>
      </x:c>
      <x:c r="J561" s="33" t="str">
        <x:v>2026-08-20</x:v>
      </x:c>
      <x:c r="K561" s="33" t="str">
        <x:v>Existing provision IDs preserved and legally normalized.</x:v>
      </x:c>
    </x:row>
    <x:row r="562">
      <x:c r="A562" s="33" t="str">
        <x:v>PROV072</x:v>
      </x:c>
      <x:c r="B562" s="33" t="str">
        <x:v>Provision Master</x:v>
      </x:c>
      <x:c r="C562" s="33" t="str">
        <x:v>Law ID=LAW029; Provision Category=Statutory; Statutory Reference=Section 192; Provision Name=Tax Deduction at Source on Salary; Provision Description=Deduction of TDS from salaries where applicable.</x:v>
      </x:c>
      <x:c r="D562" s="33" t="str">
        <x:v>Law ID=LAW107; Provision Category=Statutory; Statutory Reference=Income-tax Act, 2025 salary-withholding provision; Income-tax Rules, 2026; Provision Name=Withholding tax on salary; Provision Description=Deduct, deposit and report salary withholding for payments governed by the 2025 Act.</x:v>
      </x:c>
      <x:c r="E562" s="33" t="str">
        <x:v>CORRECT</x:v>
      </x:c>
      <x:c r="F562" s="33" t="str">
        <x:v>Correct statutory ownership, section/rule references, entity triggers and current/future status.</x:v>
      </x:c>
      <x:c r="G562" s="33" t="str">
        <x:v>P-3 official-source review</x:v>
      </x:c>
      <x:c r="H562"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62" s="33" t="str">
        <x:v>P-3</x:v>
      </x:c>
      <x:c r="J562" s="33" t="str">
        <x:v>2026-08-20</x:v>
      </x:c>
      <x:c r="K562" s="33" t="str">
        <x:v>Existing provision IDs preserved and legally normalized.</x:v>
      </x:c>
    </x:row>
    <x:row r="563">
      <x:c r="A563" s="33" t="str">
        <x:v>PROV073</x:v>
      </x:c>
      <x:c r="B563" s="33" t="str">
        <x:v>Provision Master</x:v>
      </x:c>
      <x:c r="C563" s="33" t="str">
        <x:v>Law ID=LAW029; Provision Category=Statutory; Statutory Reference=Section 194; Provision Name=Tax Deduction at Source on Specified Payments; Provision Description=TDS on applicable payments.</x:v>
      </x:c>
      <x:c r="D563" s="33" t="str">
        <x:v>Law ID=LAW107; Provision Category=Statutory; Statutory Reference=Income-tax Act, 2025 sections 393-394; Income-tax Rules, 2026; Provision Name=TDS/TCS on specified payments and receipts; Provision Description=Apply the relevant table item under section 393 (or section 394 for TCS), deposit and report under the current Rules.</x:v>
      </x:c>
      <x:c r="E563" s="33" t="str">
        <x:v>CORRECT</x:v>
      </x:c>
      <x:c r="F563" s="33" t="str">
        <x:v>Correct statutory ownership, section/rule references, entity triggers and current/future status.</x:v>
      </x:c>
      <x:c r="G563" s="33" t="str">
        <x:v>P-3 official-source review</x:v>
      </x:c>
      <x:c r="H563"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63" s="33" t="str">
        <x:v>P-3</x:v>
      </x:c>
      <x:c r="J563" s="33" t="str">
        <x:v>2026-08-20</x:v>
      </x:c>
      <x:c r="K563" s="33" t="str">
        <x:v>Existing provision IDs preserved and legally normalized.</x:v>
      </x:c>
    </x:row>
    <x:row r="564">
      <x:c r="A564" s="33" t="str">
        <x:v>PROV074</x:v>
      </x:c>
      <x:c r="B564" s="33" t="str">
        <x:v>Provision Master</x:v>
      </x:c>
      <x:c r="C564" s="33" t="str">
        <x:v>Law ID=LAW029; Provision Category=Statutory; Statutory Reference=Section 44AA; Provision Name=Maintenance of Books of Accounts; Provision Description=Books and accounting records.</x:v>
      </x:c>
      <x:c r="D564" s="33" t="str">
        <x:v>Law ID=LAW108; Provision Category=Statutory; Statutory Reference=Income-tax Act, 2025 and Income-tax Rules, 2026 — applicable books/records provisions; Provision Name=Income-tax books and records; Provision Description=Maintain the books, documents and electronic records required for the taxpayer/business profile under current law.</x:v>
      </x:c>
      <x:c r="E564" s="33" t="str">
        <x:v>CORRECT</x:v>
      </x:c>
      <x:c r="F564" s="33" t="str">
        <x:v>Correct statutory ownership, section/rule references, entity triggers and current/future status.</x:v>
      </x:c>
      <x:c r="G564" s="33" t="str">
        <x:v>P-3 official-source review</x:v>
      </x:c>
      <x:c r="H564"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64" s="33" t="str">
        <x:v>P-3</x:v>
      </x:c>
      <x:c r="J564" s="33" t="str">
        <x:v>2026-08-20</x:v>
      </x:c>
      <x:c r="K564" s="33" t="str">
        <x:v>Existing provision IDs preserved and legally normalized.</x:v>
      </x:c>
    </x:row>
    <x:row r="565">
      <x:c r="A565" s="33" t="str">
        <x:v>PROV075</x:v>
      </x:c>
      <x:c r="B565" s="33" t="str">
        <x:v>Provision Master</x:v>
      </x:c>
      <x:c r="C565" s="33" t="str">
        <x:v>Law ID=LAW029; Provision Category=Statutory; Statutory Reference=Section 271B; Provision Name=Penalty Relating to Tax Audit; Provision Description=Consequences for non-compliance with audit requirements.</x:v>
      </x:c>
      <x:c r="D565" s="33" t="str">
        <x:v>Law ID=LAW108; Provision Category=Statutory; Statutory Reference=Income-tax Act, 2025 and Income-tax Rules, 2026 — applicable tax-audit provisions; Provision Name=Tax audit where threshold/condition applies; Provision Description=Obtain and furnish the prescribed tax-audit report only when the current threshold and statutory condition apply.</x:v>
      </x:c>
      <x:c r="E565" s="33" t="str">
        <x:v>CORRECT</x:v>
      </x:c>
      <x:c r="F565" s="33" t="str">
        <x:v>Correct statutory ownership, section/rule references, entity triggers and current/future status.</x:v>
      </x:c>
      <x:c r="G565" s="33" t="str">
        <x:v>P-3 official-source review</x:v>
      </x:c>
      <x:c r="H565"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65" s="33" t="str">
        <x:v>P-3</x:v>
      </x:c>
      <x:c r="J565" s="33" t="str">
        <x:v>2026-08-20</x:v>
      </x:c>
      <x:c r="K565" s="33" t="str">
        <x:v>Existing provision IDs preserved and legally normalized.</x:v>
      </x:c>
    </x:row>
    <x:row r="566">
      <x:c r="A566" s="33" t="str">
        <x:v>PROV081</x:v>
      </x:c>
      <x:c r="B566" s="33" t="str">
        <x:v>Provision Master</x:v>
      </x:c>
      <x:c r="C566" s="33" t="str">
        <x:v>Statutory Reference=Section 2(9); Provision Name=Consumer Rights; Provision Description=Recognition of statutory consumer rights.</x:v>
      </x:c>
      <x:c r="D566" s="33" t="str">
        <x:v>Statutory Reference=Section 2(9); section 2(47); Provision Name=Consumer rights and fair-trade baseline; Provision Description=Design sale/service practices to avoid unfair trade practices and protect the statutory consumer-rights baseline.</x:v>
      </x:c>
      <x:c r="E566" s="33" t="str">
        <x:v>CORRECT</x:v>
      </x:c>
      <x:c r="F566" s="33" t="str">
        <x:v>Correct statutory ownership, section/rule references, entity triggers and current/future status.</x:v>
      </x:c>
      <x:c r="G566" s="33" t="str">
        <x:v>P-3 official-source review</x:v>
      </x:c>
      <x:c r="H566"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66" s="33" t="str">
        <x:v>P-3</x:v>
      </x:c>
      <x:c r="J566" s="33" t="str">
        <x:v>2026-08-20</x:v>
      </x:c>
      <x:c r="K566" s="33" t="str">
        <x:v>Existing provision IDs preserved and legally normalized.</x:v>
      </x:c>
    </x:row>
    <x:row r="567">
      <x:c r="A567" s="33" t="str">
        <x:v>PROV082</x:v>
      </x:c>
      <x:c r="B567" s="33" t="str">
        <x:v>Provision Master</x:v>
      </x:c>
      <x:c r="C567" s="33" t="str">
        <x:v>Statutory Reference=Section 10; Provision Name=Central Consumer Protection Authority; Provision Description=Regulatory oversight provisions.</x:v>
      </x:c>
      <x:c r="D567" s="33" t="str">
        <x:v>Statutory Reference=Sections 19-20; Provision Name=Response to CCPA investigation and corrective order; Provision Description=Cooperate with a lawful investigation and implement an applicable CCPA recall, reimbursement or discontinuance order.</x:v>
      </x:c>
      <x:c r="E567" s="33" t="str">
        <x:v>CORRECT</x:v>
      </x:c>
      <x:c r="F567" s="33" t="str">
        <x:v>Correct statutory ownership, section/rule references, entity triggers and current/future status.</x:v>
      </x:c>
      <x:c r="G567" s="33" t="str">
        <x:v>P-3 official-source review</x:v>
      </x:c>
      <x:c r="H567"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67" s="33" t="str">
        <x:v>P-3</x:v>
      </x:c>
      <x:c r="J567" s="33" t="str">
        <x:v>2026-08-20</x:v>
      </x:c>
      <x:c r="K567" s="33" t="str">
        <x:v>Existing provision IDs preserved and legally normalized.</x:v>
      </x:c>
    </x:row>
    <x:row r="568">
      <x:c r="A568" s="33" t="str">
        <x:v>PROV083</x:v>
      </x:c>
      <x:c r="B568" s="33" t="str">
        <x:v>Provision Master</x:v>
      </x:c>
      <x:c r="C568" s="33" t="str">
        <x:v>Statutory Reference=Section 17; Provision Name=Unfair Trade Practices; Provision Description=Prohibition of unfair trade practices.</x:v>
      </x:c>
      <x:c r="D568" s="33" t="str">
        <x:v>Statutory Reference=Section 2(47); Provision Name=Prohibition of unfair trade practices; Provision Description=Do not adopt a practice falling within the statutory unfair-trade-practice definition.</x:v>
      </x:c>
      <x:c r="E568" s="33" t="str">
        <x:v>CORRECT</x:v>
      </x:c>
      <x:c r="F568" s="33" t="str">
        <x:v>Correct statutory ownership, section/rule references, entity triggers and current/future status.</x:v>
      </x:c>
      <x:c r="G568" s="33" t="str">
        <x:v>P-3 official-source review</x:v>
      </x:c>
      <x:c r="H568"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68" s="33" t="str">
        <x:v>P-3</x:v>
      </x:c>
      <x:c r="J568" s="33" t="str">
        <x:v>2026-08-20</x:v>
      </x:c>
      <x:c r="K568" s="33" t="str">
        <x:v>Existing provision IDs preserved and legally normalized.</x:v>
      </x:c>
    </x:row>
    <x:row r="569">
      <x:c r="A569" s="33" t="str">
        <x:v>PROV084</x:v>
      </x:c>
      <x:c r="B569" s="33" t="str">
        <x:v>Provision Master</x:v>
      </x:c>
      <x:c r="C569" s="33" t="str">
        <x:v>Statutory Reference=Section 21; Provision Name=Misleading Advertisements; Provision Description=Action against misleading advertisements.</x:v>
      </x:c>
      <x:c r="D569" s="33" t="str">
        <x:v>Statutory Reference=Section 21; Provision Name=Misleading advertisement control; Provision Description=Do not cause a false or misleading advertisement; comply with a CCPA discontinuance/modification direction.</x:v>
      </x:c>
      <x:c r="E569" s="33" t="str">
        <x:v>CORRECT</x:v>
      </x:c>
      <x:c r="F569" s="33" t="str">
        <x:v>Correct statutory ownership, section/rule references, entity triggers and current/future status.</x:v>
      </x:c>
      <x:c r="G569" s="33" t="str">
        <x:v>P-3 official-source review</x:v>
      </x:c>
      <x:c r="H569"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69" s="33" t="str">
        <x:v>P-3</x:v>
      </x:c>
      <x:c r="J569" s="33" t="str">
        <x:v>2026-08-20</x:v>
      </x:c>
      <x:c r="K569" s="33" t="str">
        <x:v>Existing provision IDs preserved and legally normalized.</x:v>
      </x:c>
    </x:row>
    <x:row r="570">
      <x:c r="A570" s="33" t="str">
        <x:v>PROV085</x:v>
      </x:c>
      <x:c r="B570" s="33" t="str">
        <x:v>Provision Master</x:v>
      </x:c>
      <x:c r="C570" s="33" t="str">
        <x:v>Law ID=LAW038; Provision Category=Statutory; Statutory Reference=Section 35; Provision Name=Consumer Complaint Filing; Provision Description=Consumer complaint mechanism.</x:v>
      </x:c>
      <x:c r="D570" s="33" t="str">
        <x:v>Law ID=LAW039; Provision Category=Statutory; Statutory Reference=Rules 4-5, as applicable to the e-commerce role; Provision Name=E-commerce identity, grievance and seller information controls; Provision Description=For the determined e-commerce role, display required entity/seller information, appoint the prescribed grievance contact/nodal person and operate the complaint mechanism.</x:v>
      </x:c>
      <x:c r="E570" s="33" t="str">
        <x:v>CORRECT</x:v>
      </x:c>
      <x:c r="F570" s="33" t="str">
        <x:v>Correct statutory ownership, section/rule references, entity triggers and current/future status.</x:v>
      </x:c>
      <x:c r="G570" s="33" t="str">
        <x:v>P-3 official-source review</x:v>
      </x:c>
      <x:c r="H570"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70" s="33" t="str">
        <x:v>P-3</x:v>
      </x:c>
      <x:c r="J570" s="33" t="str">
        <x:v>2026-08-20</x:v>
      </x:c>
      <x:c r="K570" s="33" t="str">
        <x:v>Existing provision IDs preserved and legally normalized.</x:v>
      </x:c>
    </x:row>
    <x:row r="571">
      <x:c r="A571" s="33" t="str">
        <x:v>PROV086</x:v>
      </x:c>
      <x:c r="B571" s="33" t="str">
        <x:v>Provision Master</x:v>
      </x:c>
      <x:c r="C571" s="33" t="str">
        <x:v>Statutory Reference=Section 18; Provision Name=Standard Weights and Measures; Provision Description=Compliance with legal metrology standards.</x:v>
      </x:c>
      <x:c r="D571" s="33" t="str">
        <x:v>Statutory Reference=Section 24; applicable State Legal Metrology Rules; Provision Name=Verification and stamping of transaction weights/measures; Provision Description=Where a regulated weight/measure is used, obtain and maintain verification/stamping before use in a transaction or protection.</x:v>
      </x:c>
      <x:c r="E571" s="33" t="str">
        <x:v>CORRECT</x:v>
      </x:c>
      <x:c r="F571" s="33" t="str">
        <x:v>Correct statutory ownership, section/rule references, entity triggers and current/future status.</x:v>
      </x:c>
      <x:c r="G571" s="33" t="str">
        <x:v>P-3 official-source review</x:v>
      </x:c>
      <x:c r="H571"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71" s="33" t="str">
        <x:v>P-3</x:v>
      </x:c>
      <x:c r="J571" s="33" t="str">
        <x:v>2026-08-20</x:v>
      </x:c>
      <x:c r="K571" s="33" t="str">
        <x:v>Existing provision IDs preserved and legally normalized.</x:v>
      </x:c>
    </x:row>
    <x:row r="572">
      <x:c r="A572" s="33" t="str">
        <x:v>PROV087</x:v>
      </x:c>
      <x:c r="B572" s="33" t="str">
        <x:v>Provision Master</x:v>
      </x:c>
      <x:c r="C572" s="33" t="str">
        <x:v>Statutory Reference=Section 24; Provision Name=Verification of Weights &amp; Measures; Provision Description=Verification requirements.</x:v>
      </x:c>
      <x:c r="D572" s="33" t="str">
        <x:v>Statutory Reference=Sections 23-24; applicable State Rules; Provision Name=No use of an unverified or non-standard weight/measure; Provision Description=Do not use a non-standard or required-but-unverified instrument and maintain the verification evidence.</x:v>
      </x:c>
      <x:c r="E572" s="33" t="str">
        <x:v>CORRECT</x:v>
      </x:c>
      <x:c r="F572" s="33" t="str">
        <x:v>Correct statutory ownership, section/rule references, entity triggers and current/future status.</x:v>
      </x:c>
      <x:c r="G572" s="33" t="str">
        <x:v>P-3 official-source review</x:v>
      </x:c>
      <x:c r="H572"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72" s="33" t="str">
        <x:v>P-3</x:v>
      </x:c>
      <x:c r="J572" s="33" t="str">
        <x:v>2026-08-20</x:v>
      </x:c>
      <x:c r="K572" s="33" t="str">
        <x:v>Existing provision IDs preserved and legally normalized.</x:v>
      </x:c>
    </x:row>
    <x:row r="573">
      <x:c r="A573" s="33" t="str">
        <x:v>PROV088</x:v>
      </x:c>
      <x:c r="B573" s="33" t="str">
        <x:v>Provision Master</x:v>
      </x:c>
      <x:c r="C573" s="33" t="str">
        <x:v>Provision Category=Statutory; Statutory Reference=Section 36; Provision Name=Penalty for Non-Compliance; Provision Description=Penalty provisions.</x:v>
      </x:c>
      <x:c r="D573" s="33" t="str">
        <x:v>Provision Category=Statutory; Statutory Reference=Sections 15-16; Provision Name=Production of legal-metrology instruments and records on lawful inspection; Provision Description=Permit lawful inspection and produce the covered instrument/documents when required by an authorised officer.</x:v>
      </x:c>
      <x:c r="E573" s="33" t="str">
        <x:v>CORRECT</x:v>
      </x:c>
      <x:c r="F573" s="33" t="str">
        <x:v>Correct statutory ownership, section/rule references, entity triggers and current/future status.</x:v>
      </x:c>
      <x:c r="G573" s="33" t="str">
        <x:v>P-3 official-source review</x:v>
      </x:c>
      <x:c r="H573"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73" s="33" t="str">
        <x:v>P-3</x:v>
      </x:c>
      <x:c r="J573" s="33" t="str">
        <x:v>2026-08-20</x:v>
      </x:c>
      <x:c r="K573" s="33" t="str">
        <x:v>Existing provision IDs preserved and legally normalized.</x:v>
      </x:c>
    </x:row>
    <x:row r="574">
      <x:c r="A574" s="33" t="str">
        <x:v>PROV089</x:v>
      </x:c>
      <x:c r="B574" s="33" t="str">
        <x:v>Provision Master</x:v>
      </x:c>
      <x:c r="C574" s="33" t="str">
        <x:v>Statutory Reference=Rule 6; Provision Name=Mandatory Declarations on Packaged Commodities; Provision Description=Label declarations.</x:v>
      </x:c>
      <x:c r="D574" s="33" t="str">
        <x:v>Statutory Reference=Rule 18(1); Provision Name=Do not sell/display/store a non-compliant pre-packaged commodity; Provision Description=A wholesale or retail dealer must not sell, distribute, deliver, display or store for sale a package unless it complies with the Act and Rules.</x:v>
      </x:c>
      <x:c r="E574" s="33" t="str">
        <x:v>CORRECT</x:v>
      </x:c>
      <x:c r="F574" s="33" t="str">
        <x:v>Correct statutory ownership, section/rule references, entity triggers and current/future status.</x:v>
      </x:c>
      <x:c r="G574" s="33" t="str">
        <x:v>P-3 official-source review</x:v>
      </x:c>
      <x:c r="H574"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74" s="33" t="str">
        <x:v>P-3</x:v>
      </x:c>
      <x:c r="J574" s="33" t="str">
        <x:v>2026-08-20</x:v>
      </x:c>
      <x:c r="K574" s="33" t="str">
        <x:v>Existing provision IDs preserved and legally normalized.</x:v>
      </x:c>
    </x:row>
    <x:row r="575">
      <x:c r="A575" s="33" t="str">
        <x:v>PROV090</x:v>
      </x:c>
      <x:c r="B575" s="33" t="str">
        <x:v>Provision Master</x:v>
      </x:c>
      <x:c r="C575" s="33" t="str">
        <x:v>Statutory Reference=Rule 9; Provision Name=Principal Display Panel Requirements; Provision Description=Display information requirements.</x:v>
      </x:c>
      <x:c r="D575" s="33" t="str">
        <x:v>Statutory Reference=Rule 18(2); Provision Name=Do not sell a packaged commodity above retail sale price; Provision Description=Do not sell a pre-packaged commodity above its declared retail sale price, subject to applicable law.</x:v>
      </x:c>
      <x:c r="E575" s="33" t="str">
        <x:v>CORRECT</x:v>
      </x:c>
      <x:c r="F575" s="33" t="str">
        <x:v>Correct statutory ownership, section/rule references, entity triggers and current/future status.</x:v>
      </x:c>
      <x:c r="G575" s="33" t="str">
        <x:v>P-3 official-source review</x:v>
      </x:c>
      <x:c r="H575"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75" s="33" t="str">
        <x:v>P-3</x:v>
      </x:c>
      <x:c r="J575" s="33" t="str">
        <x:v>2026-08-20</x:v>
      </x:c>
      <x:c r="K575" s="33" t="str">
        <x:v>Existing provision IDs preserved and legally normalized.</x:v>
      </x:c>
    </x:row>
    <x:row r="576">
      <x:c r="A576" s="33" t="str">
        <x:v>PROV091</x:v>
      </x:c>
      <x:c r="B576" s="33" t="str">
        <x:v>Provision Master</x:v>
      </x:c>
      <x:c r="C576" s="33" t="str">
        <x:v>Statutory Reference=Rule 18; Provision Name=Retail Sale Price Declaration; Provision Description=Mandatory MRP declaration.</x:v>
      </x:c>
      <x:c r="D576" s="33" t="str">
        <x:v>Statutory Reference=Rule 6(10), as amended; Provision Name=E-commerce display of mandatory packaged-commodity declarations; Provision Description=An e-commerce entity displays the prescribed Rule 6 declarations for applicable pre-packaged commodities on the digital/electronic network.</x:v>
      </x:c>
      <x:c r="E576" s="33" t="str">
        <x:v>CORRECT</x:v>
      </x:c>
      <x:c r="F576" s="33" t="str">
        <x:v>Correct statutory ownership, section/rule references, entity triggers and current/future status.</x:v>
      </x:c>
      <x:c r="G576" s="33" t="str">
        <x:v>P-3 official-source review</x:v>
      </x:c>
      <x:c r="H576"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76" s="33" t="str">
        <x:v>P-3</x:v>
      </x:c>
      <x:c r="J576" s="33" t="str">
        <x:v>2026-08-20</x:v>
      </x:c>
      <x:c r="K576" s="33" t="str">
        <x:v>Existing provision IDs preserved and legally normalized.</x:v>
      </x:c>
    </x:row>
    <x:row r="577">
      <x:c r="A577" s="33" t="str">
        <x:v>PROV092</x:v>
      </x:c>
      <x:c r="B577" s="33" t="str">
        <x:v>Provision Master</x:v>
      </x:c>
      <x:c r="C577" s="33" t="str">
        <x:v>Law ID=LAW046; Provision Category=Statutory; Statutory Reference=Section 43A; Provision Name=Compensation for Failure to Protect Data; Provision Description=Protection of sensitive information.</x:v>
      </x:c>
      <x:c r="D577" s="33" t="str">
        <x:v>Law ID=LAW047; Provision Category=Statutory; Statutory Reference=SPDI Rules 4 and 8; IT Act section 43A; Provision Name=Privacy policy and reasonable security practices for SPDI; Provision Description=Publish the prescribed privacy policy and implement a documented reasonable-security programme/standard for SPDI.</x:v>
      </x:c>
      <x:c r="E577" s="33" t="str">
        <x:v>CORRECT</x:v>
      </x:c>
      <x:c r="F577" s="33" t="str">
        <x:v>Correct statutory ownership, section/rule references, entity triggers and current/future status.</x:v>
      </x:c>
      <x:c r="G577" s="33" t="str">
        <x:v>P-3 official-source review</x:v>
      </x:c>
      <x:c r="H577"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77" s="33" t="str">
        <x:v>P-3</x:v>
      </x:c>
      <x:c r="J577" s="33" t="str">
        <x:v>2026-08-20</x:v>
      </x:c>
      <x:c r="K577" s="33" t="str">
        <x:v>Existing provision IDs preserved and legally normalized.</x:v>
      </x:c>
    </x:row>
    <x:row r="578">
      <x:c r="A578" s="33" t="str">
        <x:v>PROV093</x:v>
      </x:c>
      <x:c r="B578" s="33" t="str">
        <x:v>Provision Master</x:v>
      </x:c>
      <x:c r="C578" s="33" t="str">
        <x:v>Law ID=LAW046; Provision Category=Statutory; Statutory Reference=Section 66; Provision Name=Computer Related Offences; Provision Description=Cyber offences affecting IT systems.</x:v>
      </x:c>
      <x:c r="D578" s="33" t="str">
        <x:v>Law ID=LAW047; Provision Category=Statutory; Statutory Reference=SPDI Rule 5; Provision Name=Consent, purpose, collection, retention and correction controls for SPDI; Provision Description=Obtain consent, give required collection information, limit use/retention and provide review/correction mechanisms.</x:v>
      </x:c>
      <x:c r="E578" s="33" t="str">
        <x:v>CORRECT</x:v>
      </x:c>
      <x:c r="F578" s="33" t="str">
        <x:v>Correct statutory ownership, section/rule references, entity triggers and current/future status.</x:v>
      </x:c>
      <x:c r="G578" s="33" t="str">
        <x:v>P-3 official-source review</x:v>
      </x:c>
      <x:c r="H578"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78" s="33" t="str">
        <x:v>P-3</x:v>
      </x:c>
      <x:c r="J578" s="33" t="str">
        <x:v>2026-08-20</x:v>
      </x:c>
      <x:c r="K578" s="33" t="str">
        <x:v>Existing provision IDs preserved and legally normalized.</x:v>
      </x:c>
    </x:row>
    <x:row r="579">
      <x:c r="A579" s="33" t="str">
        <x:v>PROV094</x:v>
      </x:c>
      <x:c r="B579" s="33" t="str">
        <x:v>Provision Master</x:v>
      </x:c>
      <x:c r="C579" s="33" t="str">
        <x:v>Law ID=LAW046; Provision Category=Statutory; Statutory Reference=Section 72A; Provision Name=Disclosure of Information in Breach of Contract; Provision Description=Confidentiality obligations.</x:v>
      </x:c>
      <x:c r="D579" s="33" t="str">
        <x:v>Law ID=LAW047; Provision Category=Statutory; Statutory Reference=SPDI Rule 6; IT Act section 72A; Provision Name=Restriction on disclosure of SPDI and contractual information; Provision Description=Disclose SPDI only with prior permission or under a Rule 6 exception and prevent unlawful contractual disclosure.</x:v>
      </x:c>
      <x:c r="E579" s="33" t="str">
        <x:v>CORRECT</x:v>
      </x:c>
      <x:c r="F579" s="33" t="str">
        <x:v>Correct statutory ownership, section/rule references, entity triggers and current/future status.</x:v>
      </x:c>
      <x:c r="G579" s="33" t="str">
        <x:v>P-3 official-source review</x:v>
      </x:c>
      <x:c r="H579"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79" s="33" t="str">
        <x:v>P-3</x:v>
      </x:c>
      <x:c r="J579" s="33" t="str">
        <x:v>2026-08-20</x:v>
      </x:c>
      <x:c r="K579" s="33" t="str">
        <x:v>Existing provision IDs preserved and legally normalized.</x:v>
      </x:c>
    </x:row>
    <x:row r="580">
      <x:c r="A580" s="33" t="str">
        <x:v>PROV095</x:v>
      </x:c>
      <x:c r="B580" s="33" t="str">
        <x:v>Provision Master</x:v>
      </x:c>
      <x:c r="C580" s="33" t="str">
        <x:v>Statutory Reference=Section 79; Provision Name=Due Diligence by Intermediaries; Provision Description=Applicable to online pharmacy platforms where relevant.</x:v>
      </x:c>
      <x:c r="D580" s="33" t="str">
        <x:v>Statutory Reference=Section 79; applicable IT Rules; Provision Name=Intermediary due diligence, only where the platform is an intermediary; Provision Description=If the e-pharmacy platform legally qualifies as an intermediary, implement the currently applicable due-diligence controls.</x:v>
      </x:c>
      <x:c r="E580" s="33" t="str">
        <x:v>CORRECT</x:v>
      </x:c>
      <x:c r="F580" s="33" t="str">
        <x:v>Correct statutory ownership, section/rule references, entity triggers and current/future status.</x:v>
      </x:c>
      <x:c r="G580" s="33" t="str">
        <x:v>P-3 official-source review</x:v>
      </x:c>
      <x:c r="H580"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80" s="33" t="str">
        <x:v>P-3</x:v>
      </x:c>
      <x:c r="J580" s="33" t="str">
        <x:v>2026-08-20</x:v>
      </x:c>
      <x:c r="K580" s="33" t="str">
        <x:v>Existing provision IDs preserved and legally normalized.</x:v>
      </x:c>
    </x:row>
    <x:row r="581">
      <x:c r="A581" s="33" t="str">
        <x:v>PROV096</x:v>
      </x:c>
      <x:c r="B581" s="33" t="str">
        <x:v>Provision Master</x:v>
      </x:c>
      <x:c r="C581" s="33" t="str">
        <x:v>Statutory Reference=Section 4; Provision Name=Lawful Processing of Personal Data; Provision Description=Processing of personal digital data.; Active=Yes; Remarks=</x:v>
      </x:c>
      <x:c r="D581" s="33" t="str">
        <x:v>Statutory Reference=Section 4 — future substantive commencement; Provision Name=Lawful processing of digital personal data — future-effective; Provision Description=Future DPDP lawful-purpose/consent or legitimate-use control; not a current private-operator duty at the P-3 cutoff.; Active=No; Remarks=P-3 FUTURE-EFFECTIVE; readiness only.</x:v>
      </x:c>
      <x:c r="E581" s="33" t="str">
        <x:v>CORRECT</x:v>
      </x:c>
      <x:c r="F581" s="33" t="str">
        <x:v>Correct statutory ownership, section/rule references, entity triggers and current/future status.</x:v>
      </x:c>
      <x:c r="G581" s="33" t="str">
        <x:v>P-3 official-source review</x:v>
      </x:c>
      <x:c r="H581"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81" s="33" t="str">
        <x:v>P-3</x:v>
      </x:c>
      <x:c r="J581" s="33" t="str">
        <x:v>2026-08-20</x:v>
      </x:c>
      <x:c r="K581" s="33" t="str">
        <x:v>Existing provision IDs preserved and legally normalized.</x:v>
      </x:c>
    </x:row>
    <x:row r="582">
      <x:c r="A582" s="33" t="str">
        <x:v>PROV097</x:v>
      </x:c>
      <x:c r="B582" s="33" t="str">
        <x:v>Provision Master</x:v>
      </x:c>
      <x:c r="C582" s="33" t="str">
        <x:v>Statutory Reference=Section 5; Provision Name=Notice to Data Principal; Provision Description=Privacy notice requirements.; Active=Yes; Remarks=</x:v>
      </x:c>
      <x:c r="D582" s="33" t="str">
        <x:v>Statutory Reference=Section 5 — future substantive commencement; Provision Name=Notice to Data Principal — future-effective; Provision Description=Future DPDP notice control; not a current private-operator duty at the P-3 cutoff.; Active=No; Remarks=P-3 FUTURE-EFFECTIVE; readiness only.</x:v>
      </x:c>
      <x:c r="E582" s="33" t="str">
        <x:v>CORRECT</x:v>
      </x:c>
      <x:c r="F582" s="33" t="str">
        <x:v>Correct statutory ownership, section/rule references, entity triggers and current/future status.</x:v>
      </x:c>
      <x:c r="G582" s="33" t="str">
        <x:v>P-3 official-source review</x:v>
      </x:c>
      <x:c r="H582"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82" s="33" t="str">
        <x:v>P-3</x:v>
      </x:c>
      <x:c r="J582" s="33" t="str">
        <x:v>2026-08-20</x:v>
      </x:c>
      <x:c r="K582" s="33" t="str">
        <x:v>Existing provision IDs preserved and legally normalized.</x:v>
      </x:c>
    </x:row>
    <x:row r="583">
      <x:c r="A583" s="33" t="str">
        <x:v>PROV098</x:v>
      </x:c>
      <x:c r="B583" s="33" t="str">
        <x:v>Provision Master</x:v>
      </x:c>
      <x:c r="C583" s="33" t="str">
        <x:v>Statutory Reference=Section 8; Provision Name=Obligations of Data Fiduciary; Active=Yes; Remarks=; Provision Description=Core compliance obligations.</x:v>
      </x:c>
      <x:c r="D583" s="33" t="str">
        <x:v>Statutory Reference=Section 8 — future substantive commencement; Provision Name=General obligations of Data Fiduciary — future-effective; Active=No; Remarks=P-3 FUTURE-EFFECTIVE; readiness only.; Provision Description=Future accuracy, security, breach and erasure obligations; not current at the P-3 cutoff.</x:v>
      </x:c>
      <x:c r="E583" s="33" t="str">
        <x:v>CORRECT</x:v>
      </x:c>
      <x:c r="F583" s="33" t="str">
        <x:v>Correct statutory ownership, section/rule references, entity triggers and current/future status.</x:v>
      </x:c>
      <x:c r="G583" s="33" t="str">
        <x:v>P-3 official-source review</x:v>
      </x:c>
      <x:c r="H583"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83" s="33" t="str">
        <x:v>P-3</x:v>
      </x:c>
      <x:c r="J583" s="33" t="str">
        <x:v>2026-08-20</x:v>
      </x:c>
      <x:c r="K583" s="33" t="str">
        <x:v>Existing provision IDs preserved and legally normalized.</x:v>
      </x:c>
    </x:row>
    <x:row r="584">
      <x:c r="A584" s="33" t="str">
        <x:v>PROV099</x:v>
      </x:c>
      <x:c r="B584" s="33" t="str">
        <x:v>Provision Master</x:v>
      </x:c>
      <x:c r="C584" s="33" t="str">
        <x:v>Statutory Reference=Section 11; Provision Name=Rights of Data Principal; Provision Description=Individual rights under DPDP Act.; Active=Yes; Remarks=</x:v>
      </x:c>
      <x:c r="D584" s="33" t="str">
        <x:v>Statutory Reference=Sections 11-13 — future substantive commencement; Provision Name=Data Principal rights and grievance mechanism — future-effective; Provision Description=Future access, correction/erasure, grievance and nomination mechanisms; not current at the P-3 cutoff.; Active=No; Remarks=P-3 FUTURE-EFFECTIVE; readiness only.</x:v>
      </x:c>
      <x:c r="E584" s="33" t="str">
        <x:v>CORRECT</x:v>
      </x:c>
      <x:c r="F584" s="33" t="str">
        <x:v>Correct statutory ownership, section/rule references, entity triggers and current/future status.</x:v>
      </x:c>
      <x:c r="G584" s="33" t="str">
        <x:v>P-3 official-source review</x:v>
      </x:c>
      <x:c r="H584"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84" s="33" t="str">
        <x:v>P-3</x:v>
      </x:c>
      <x:c r="J584" s="33" t="str">
        <x:v>2026-08-20</x:v>
      </x:c>
      <x:c r="K584" s="33" t="str">
        <x:v>Existing provision IDs preserved and legally normalized.</x:v>
      </x:c>
    </x:row>
    <x:row r="585">
      <x:c r="A585" s="33" t="str">
        <x:v>PROV100</x:v>
      </x:c>
      <x:c r="B585" s="33" t="str">
        <x:v>Provision Master</x:v>
      </x:c>
      <x:c r="C585" s="33" t="str">
        <x:v>Statutory Reference=Section 16; Provision Name=Data Breach Notification &amp; Related Obligations; Provision Description=Compliance for personal data breach handling.; Active=Yes; Remarks=</x:v>
      </x:c>
      <x:c r="D585" s="33" t="str">
        <x:v>Statutory Reference=Section 8(6) — future substantive commencement; Provision Name=Personal data breach intimation — future-effective; Provision Description=Future duty to intimate the Board and affected Data Principals; section 16 is not the breach provision.; Active=No; Remarks=P-3 FUTURE-EFFECTIVE; corrected reference.</x:v>
      </x:c>
      <x:c r="E585" s="33" t="str">
        <x:v>CORRECT</x:v>
      </x:c>
      <x:c r="F585" s="33" t="str">
        <x:v>Correct statutory ownership, section/rule references, entity triggers and current/future status.</x:v>
      </x:c>
      <x:c r="G585" s="33" t="str">
        <x:v>P-3 official-source review</x:v>
      </x:c>
      <x:c r="H585"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85" s="33" t="str">
        <x:v>P-3</x:v>
      </x:c>
      <x:c r="J585" s="33" t="str">
        <x:v>2026-08-20</x:v>
      </x:c>
      <x:c r="K585" s="33" t="str">
        <x:v>Existing provision IDs preserved and legally normalized.</x:v>
      </x:c>
    </x:row>
    <x:row r="586">
      <x:c r="A586" s="33" t="str">
        <x:v>PROV192</x:v>
      </x:c>
      <x:c r="B586" s="33" t="str">
        <x:v>Provision Master</x:v>
      </x:c>
      <x:c r="C586" s="33" t="str">
        <x:v>Statutory Reference=Guideline 1; Provision Name=Avoid Misleading Advertisements; Provision Description=Advertisements shall not mislead consumers.</x:v>
      </x:c>
      <x:c r="D586" s="33" t="str">
        <x:v>Statutory Reference=Guideline 4; Provision Name=Conditions for a valid, non-misleading advertisement; Provision Description=Ensure claims are truthful, honest, adequately substantiated and do not mislead by implication, omission, exaggeration or ambiguity.</x:v>
      </x:c>
      <x:c r="E586" s="33" t="str">
        <x:v>CORRECT</x:v>
      </x:c>
      <x:c r="F586" s="33" t="str">
        <x:v>Correct statutory ownership, section/rule references, entity triggers and current/future status.</x:v>
      </x:c>
      <x:c r="G586" s="33" t="str">
        <x:v>P-3 official-source review</x:v>
      </x:c>
      <x:c r="H586"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86" s="33" t="str">
        <x:v>P-3</x:v>
      </x:c>
      <x:c r="J586" s="33" t="str">
        <x:v>2026-08-20</x:v>
      </x:c>
      <x:c r="K586" s="33" t="str">
        <x:v>Existing provision IDs preserved and legally normalized.</x:v>
      </x:c>
    </x:row>
    <x:row r="587">
      <x:c r="A587" s="33" t="str">
        <x:v>PROV193</x:v>
      </x:c>
      <x:c r="B587" s="33" t="str">
        <x:v>Provision Master</x:v>
      </x:c>
      <x:c r="C587" s="33" t="str">
        <x:v>Statutory Reference=Guideline 2; Provision Name=Accuracy of Promotional Material; Provision Description=Promotional information shall be factual.</x:v>
      </x:c>
      <x:c r="D587" s="33" t="str">
        <x:v>Statutory Reference=Guideline 10; Provision Name=Clear and non-contradictory disclaimers; Provision Description=A disclaimer must not conceal material information or contradict the main claim and must be clear and prominent.</x:v>
      </x:c>
      <x:c r="E587" s="33" t="str">
        <x:v>CORRECT</x:v>
      </x:c>
      <x:c r="F587" s="33" t="str">
        <x:v>Correct statutory ownership, section/rule references, entity triggers and current/future status.</x:v>
      </x:c>
      <x:c r="G587" s="33" t="str">
        <x:v>P-3 official-source review</x:v>
      </x:c>
      <x:c r="H587"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87" s="33" t="str">
        <x:v>P-3</x:v>
      </x:c>
      <x:c r="J587" s="33" t="str">
        <x:v>2026-08-20</x:v>
      </x:c>
      <x:c r="K587" s="33" t="str">
        <x:v>Existing provision IDs preserved and legally normalized.</x:v>
      </x:c>
    </x:row>
    <x:row r="588">
      <x:c r="A588" s="33" t="str">
        <x:v>PROV194</x:v>
      </x:c>
      <x:c r="B588" s="33" t="str">
        <x:v>Provision Master</x:v>
      </x:c>
      <x:c r="C588" s="33" t="str">
        <x:v>Statutory Reference=Guideline 3; Provision Name=Compliance of Digital Advertisements; Provision Description=Online promotional content shall comply with guidelines.</x:v>
      </x:c>
      <x:c r="D588" s="33" t="str">
        <x:v>Statutory Reference=Guidelines 9 and 13; Provision Name=Legally permitted advertising and endorsement due diligence; Provision Description=Do not advertise a product/service prohibited by law; endorsers apply the prescribed due diligence where relevant.</x:v>
      </x:c>
      <x:c r="E588" s="33" t="str">
        <x:v>CORRECT</x:v>
      </x:c>
      <x:c r="F588" s="33" t="str">
        <x:v>Correct statutory ownership, section/rule references, entity triggers and current/future status.</x:v>
      </x:c>
      <x:c r="G588" s="33" t="str">
        <x:v>P-3 official-source review</x:v>
      </x:c>
      <x:c r="H588"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88" s="33" t="str">
        <x:v>P-3</x:v>
      </x:c>
      <x:c r="J588" s="33" t="str">
        <x:v>2026-08-20</x:v>
      </x:c>
      <x:c r="K588" s="33" t="str">
        <x:v>Existing provision IDs preserved and legally normalized.</x:v>
      </x:c>
    </x:row>
    <x:row r="589">
      <x:c r="A589" s="33" t="str">
        <x:v>PROV195</x:v>
      </x:c>
      <x:c r="B589" s="33" t="str">
        <x:v>Provision Master</x:v>
      </x:c>
      <x:c r="C589" s="33" t="str">
        <x:v>Statutory Reference=Section 3; Provision Name=Prohibition of Certain Advertisements; Provision Description=Prohibited advertisements relating to specified diseases and drugs.</x:v>
      </x:c>
      <x:c r="D589" s="33" t="str">
        <x:v>Statutory Reference=Section 3; Schedule; Provision Name=Prohibited drug advertisements for scheduled diseases/conditions; Provision Description=Do not advertise a drug for the specified purposes/diseases or conditions covered by section 3 and the Schedule.</x:v>
      </x:c>
      <x:c r="E589" s="33" t="str">
        <x:v>CORRECT</x:v>
      </x:c>
      <x:c r="F589" s="33" t="str">
        <x:v>Correct statutory ownership, section/rule references, entity triggers and current/future status.</x:v>
      </x:c>
      <x:c r="G589" s="33" t="str">
        <x:v>P-3 official-source review</x:v>
      </x:c>
      <x:c r="H589"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89" s="33" t="str">
        <x:v>P-3</x:v>
      </x:c>
      <x:c r="J589" s="33" t="str">
        <x:v>2026-08-20</x:v>
      </x:c>
      <x:c r="K589" s="33" t="str">
        <x:v>Existing provision IDs preserved and legally normalized.</x:v>
      </x:c>
    </x:row>
    <x:row r="590">
      <x:c r="A590" s="33" t="str">
        <x:v>PROV196</x:v>
      </x:c>
      <x:c r="B590" s="33" t="str">
        <x:v>Provision Master</x:v>
      </x:c>
      <x:c r="C590" s="33" t="str">
        <x:v>Statutory Reference=Section 4; Provision Name=Prohibition of Misleading Claims; Provision Description=False or misleading therapeutic claims prohibited.</x:v>
      </x:c>
      <x:c r="D590" s="33" t="str">
        <x:v>Statutory Reference=Section 4; Provision Name=Prohibition of misleading drug advertisements; Provision Description=Do not give a false impression, make a false claim or otherwise make a materially false/misleading drug advertisement.</x:v>
      </x:c>
      <x:c r="E590" s="33" t="str">
        <x:v>CORRECT</x:v>
      </x:c>
      <x:c r="F590" s="33" t="str">
        <x:v>Correct statutory ownership, section/rule references, entity triggers and current/future status.</x:v>
      </x:c>
      <x:c r="G590" s="33" t="str">
        <x:v>P-3 official-source review</x:v>
      </x:c>
      <x:c r="H590"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90" s="33" t="str">
        <x:v>P-3</x:v>
      </x:c>
      <x:c r="J590" s="33" t="str">
        <x:v>2026-08-20</x:v>
      </x:c>
      <x:c r="K590" s="33" t="str">
        <x:v>Existing provision IDs preserved and legally normalized.</x:v>
      </x:c>
    </x:row>
    <x:row r="591">
      <x:c r="A591" s="33" t="str">
        <x:v>PROV212</x:v>
      </x:c>
      <x:c r="B591" s="33" t="str">
        <x:v>Provision Master</x:v>
      </x:c>
      <x:c r="C591" s="33" t="str">
        <x:v>Law ID=LAW094; Provision Category=Statutory; Statutory Reference=Rule 1; Provision Name=Safe Working Environment; Provision Description=Provide safe workplace conditions.; Remarks=</x:v>
      </x:c>
      <x:c r="D591" s="33" t="str">
        <x:v>Law ID=LAW035; Provision Category=Statutory; Statutory Reference=OSHWC Code sections 16-18; 2026 Central Rules; Provision Name=Employer workplace safety and health duties; Provision Description=Where the Code applies, maintain a hazard-controlled workplace, provide required information/instruction and comply with notified safety/health standards.; Remarks=P-3 normalized; coverage/appropriate-government trigger must be documented.</x:v>
      </x:c>
      <x:c r="E591" s="33" t="str">
        <x:v>CORRECT</x:v>
      </x:c>
      <x:c r="F591" s="33" t="str">
        <x:v>Correct statutory ownership, section/rule references, entity triggers and current/future status.</x:v>
      </x:c>
      <x:c r="G591" s="33" t="str">
        <x:v>P-3 official-source review</x:v>
      </x:c>
      <x:c r="H591"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91" s="33" t="str">
        <x:v>P-3</x:v>
      </x:c>
      <x:c r="J591" s="33" t="str">
        <x:v>2026-08-20</x:v>
      </x:c>
      <x:c r="K591" s="33" t="str">
        <x:v>Existing provision IDs preserved and legally normalized.</x:v>
      </x:c>
    </x:row>
    <x:row r="592">
      <x:c r="A592" s="33" t="str">
        <x:v>PROV213</x:v>
      </x:c>
      <x:c r="B592" s="33" t="str">
        <x:v>Provision Master</x:v>
      </x:c>
      <x:c r="C592" s="33" t="str">
        <x:v>Law ID=LAW094; Provision Category=Statutory; Statutory Reference=Rule 2; Provision Name=Employee Safety Training; Provision Description=Conduct periodic safety awareness programmes.; Remarks=</x:v>
      </x:c>
      <x:c r="D592" s="33" t="str">
        <x:v>Law ID=LAW094; Provision Category=Statutory; Statutory Reference=OSHWC Code sections 24-25; 2026 Central Rules; Provision Name=Welfare, working-time and employee information controls; Provision Description=Where applicable, implement the covered welfare, working-time and employee information/appointment-letter controls.; Remarks=P-3 normalized; no generic Rule 2 citation.</x:v>
      </x:c>
      <x:c r="E592" s="33" t="str">
        <x:v>CORRECT</x:v>
      </x:c>
      <x:c r="F592" s="33" t="str">
        <x:v>Correct statutory ownership, section/rule references, entity triggers and current/future status.</x:v>
      </x:c>
      <x:c r="G592" s="33" t="str">
        <x:v>P-3 official-source review</x:v>
      </x:c>
      <x:c r="H592"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92" s="33" t="str">
        <x:v>P-3</x:v>
      </x:c>
      <x:c r="J592" s="33" t="str">
        <x:v>2026-08-20</x:v>
      </x:c>
      <x:c r="K592" s="33" t="str">
        <x:v>Existing provision IDs preserved and legally normalized.</x:v>
      </x:c>
    </x:row>
    <x:row r="593">
      <x:c r="A593" s="33" t="str">
        <x:v>PROV214</x:v>
      </x:c>
      <x:c r="B593" s="33" t="str">
        <x:v>Provision Master</x:v>
      </x:c>
      <x:c r="C593" s="33" t="str">
        <x:v>Law ID=LAW094; Provision Category=Statutory; Statutory Reference=Rule 3; Provision Name=Incident Reporting Procedure; Provision Description=Report workplace incidents as prescribed.; Remarks=</x:v>
      </x:c>
      <x:c r="D593" s="33" t="str">
        <x:v>Law ID=LAW094; Provision Category=Statutory; Statutory Reference=OSHWC Code and 2026 Central Rules — applicable notice/accident provisions; Provision Name=Occupational accident and dangerous-occurrence reporting; Provision Description=Report and record only the accidents/dangerous occurrences and timelines prescribed for the covered establishment.; Remarks=P-3 normalized; event based.</x:v>
      </x:c>
      <x:c r="E593" s="33" t="str">
        <x:v>CORRECT</x:v>
      </x:c>
      <x:c r="F593" s="33" t="str">
        <x:v>Correct statutory ownership, section/rule references, entity triggers and current/future status.</x:v>
      </x:c>
      <x:c r="G593" s="33" t="str">
        <x:v>P-3 official-source review</x:v>
      </x:c>
      <x:c r="H593"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93" s="33" t="str">
        <x:v>P-3</x:v>
      </x:c>
      <x:c r="J593" s="33" t="str">
        <x:v>2026-08-20</x:v>
      </x:c>
      <x:c r="K593" s="33" t="str">
        <x:v>Existing provision IDs preserved and legally normalized.</x:v>
      </x:c>
    </x:row>
    <x:row r="594">
      <x:c r="A594" s="33" t="str">
        <x:v>PROV226</x:v>
      </x:c>
      <x:c r="B594" s="33" t="str">
        <x:v>Provision Master</x:v>
      </x:c>
      <x:c r="C594" s="33" t="str">
        <x:v>Law ID=LAW097; Provision Category=Statutory; Statutory Reference=Advisory 1; Provision Name=Implementation of Cyber Security Controls; Provision Description=Implement cybersecurity controls for digital pharmacy systems.</x:v>
      </x:c>
      <x:c r="D594" s="33" t="str">
        <x:v>Law ID=LAW097; Provision Category=Statutory; Statutory Reference=CERT-In Directions, clause (i); Provision Name=ICT system clock synchronisation; Provision Description=Connect ICT system clocks to NIC/NPL traceable NTP servers or another accurate time source traceable to them.</x:v>
      </x:c>
      <x:c r="E594" s="33" t="str">
        <x:v>CORRECT</x:v>
      </x:c>
      <x:c r="F594" s="33" t="str">
        <x:v>Correct statutory ownership, section/rule references, entity triggers and current/future status.</x:v>
      </x:c>
      <x:c r="G594" s="33" t="str">
        <x:v>P-3 official-source review</x:v>
      </x:c>
      <x:c r="H594"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94" s="33" t="str">
        <x:v>P-3</x:v>
      </x:c>
      <x:c r="J594" s="33" t="str">
        <x:v>2026-08-20</x:v>
      </x:c>
      <x:c r="K594" s="33" t="str">
        <x:v>Existing provision IDs preserved and legally normalized.</x:v>
      </x:c>
    </x:row>
    <x:row r="595">
      <x:c r="A595" s="33" t="str">
        <x:v>PROV227</x:v>
      </x:c>
      <x:c r="B595" s="33" t="str">
        <x:v>Provision Master</x:v>
      </x:c>
      <x:c r="C595" s="33" t="str">
        <x:v>Law ID=LAW097; Provision Category=Statutory; Statutory Reference=Advisory 2; Provision Name=Security Incident Reporting; Provision Description=Report cybersecurity incidents to the appropriate authority where applicable.</x:v>
      </x:c>
      <x:c r="D595" s="33" t="str">
        <x:v>Law ID=LAW097; Provision Category=Statutory; Statutory Reference=CERT-In Directions, clause (ii) and Annexure I; Provision Name=Report specified cyber incidents within six hours; Provision Description=Report an Annexure I cyber incident to CERT-In within six hours of noticing it or being informed.</x:v>
      </x:c>
      <x:c r="E595" s="33" t="str">
        <x:v>CORRECT</x:v>
      </x:c>
      <x:c r="F595" s="33" t="str">
        <x:v>Correct statutory ownership, section/rule references, entity triggers and current/future status.</x:v>
      </x:c>
      <x:c r="G595" s="33" t="str">
        <x:v>P-3 official-source review</x:v>
      </x:c>
      <x:c r="H595"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95" s="33" t="str">
        <x:v>P-3</x:v>
      </x:c>
      <x:c r="J595" s="33" t="str">
        <x:v>2026-08-20</x:v>
      </x:c>
      <x:c r="K595" s="33" t="str">
        <x:v>Existing provision IDs preserved and legally normalized.</x:v>
      </x:c>
    </x:row>
    <x:row r="596">
      <x:c r="A596" s="33" t="str">
        <x:v>PROV228</x:v>
      </x:c>
      <x:c r="B596" s="33" t="str">
        <x:v>Provision Master</x:v>
      </x:c>
      <x:c r="C596" s="33" t="str">
        <x:v>Law ID=LAW097; Provision Category=Statutory; Statutory Reference=Advisory 3; Provision Name=User Access Management; Provision Description=Control logical access to pharmacy applications and systems.</x:v>
      </x:c>
      <x:c r="D596" s="33" t="str">
        <x:v>Law ID=LAW097; Provision Category=Statutory; Statutory Reference=CERT-In Directions, clause (iv); Provision Name=Secure ICT log retention for 180 days within India; Provision Description=Enable logs for ICT systems, retain them securely for a rolling 180 days within Indian jurisdiction and provide them to CERT-In when lawfully required.</x:v>
      </x:c>
      <x:c r="E596" s="33" t="str">
        <x:v>CORRECT</x:v>
      </x:c>
      <x:c r="F596" s="33" t="str">
        <x:v>Correct statutory ownership, section/rule references, entity triggers and current/future status.</x:v>
      </x:c>
      <x:c r="G596" s="33" t="str">
        <x:v>P-3 official-source review</x:v>
      </x:c>
      <x:c r="H596"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96" s="33" t="str">
        <x:v>P-3</x:v>
      </x:c>
      <x:c r="J596" s="33" t="str">
        <x:v>2026-08-20</x:v>
      </x:c>
      <x:c r="K596" s="33" t="str">
        <x:v>Existing provision IDs preserved and legally normalized.</x:v>
      </x:c>
    </x:row>
    <x:row r="597">
      <x:c r="A597" s="33" t="str">
        <x:v>PROV229</x:v>
      </x:c>
      <x:c r="B597" s="33" t="str">
        <x:v>Provision Master</x:v>
      </x:c>
      <x:c r="C597" s="33" t="str">
        <x:v>Law ID=LAW097; Provision Category=Statutory; Statutory Reference=Advisory 4; Provision Name=Periodic Security Assessment; Provision Description=Conduct periodic security reviews and vulnerability assessments.</x:v>
      </x:c>
      <x:c r="D597" s="33" t="str">
        <x:v>Law ID=LAW097; Provision Category=Statutory; Statutory Reference=CERT-In Directions, clause (v); Provision Name=CERT-In point of contact; Provision Description=Designate and communicate the prescribed point-of-contact information to CERT-In and keep it current.</x:v>
      </x:c>
      <x:c r="E597" s="33" t="str">
        <x:v>CORRECT</x:v>
      </x:c>
      <x:c r="F597" s="33" t="str">
        <x:v>Correct statutory ownership, section/rule references, entity triggers and current/future status.</x:v>
      </x:c>
      <x:c r="G597" s="33" t="str">
        <x:v>P-3 official-source review</x:v>
      </x:c>
      <x:c r="H597"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97" s="33" t="str">
        <x:v>P-3</x:v>
      </x:c>
      <x:c r="J597" s="33" t="str">
        <x:v>2026-08-20</x:v>
      </x:c>
      <x:c r="K597" s="33" t="str">
        <x:v>Existing provision IDs preserved and legally normalized.</x:v>
      </x:c>
    </x:row>
    <x:row r="598">
      <x:c r="A598" s="33" t="str">
        <x:v>PROV230</x:v>
      </x:c>
      <x:c r="B598" s="33" t="str">
        <x:v>Provision Master</x:v>
      </x:c>
      <x:c r="C598" s="33" t="str">
        <x:v>Statutory Reference=Rule 1; Provision Name=Privacy Notice Management; Provision Description=; Active=Yes; Remarks=</x:v>
      </x:c>
      <x:c r="D598" s="33" t="str">
        <x:v>Statutory Reference=DPDP Rule 3 — future substantive commencement; Provision Name=Itemised DPDP notice — future-effective; Provision Description=Future rule specifying an independently understandable notice with itemised data/purpose and rights routes.; Active=No; Remarks=P-3 FUTURE-EFFECTIVE; readiness only.</x:v>
      </x:c>
      <x:c r="E598" s="33" t="str">
        <x:v>CORRECT</x:v>
      </x:c>
      <x:c r="F598" s="33" t="str">
        <x:v>Correct statutory ownership, section/rule references, entity triggers and current/future status.</x:v>
      </x:c>
      <x:c r="G598" s="33" t="str">
        <x:v>P-3 official-source review</x:v>
      </x:c>
      <x:c r="H598"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98" s="33" t="str">
        <x:v>P-3</x:v>
      </x:c>
      <x:c r="J598" s="33" t="str">
        <x:v>2026-08-20</x:v>
      </x:c>
      <x:c r="K598" s="33" t="str">
        <x:v>Existing provision IDs preserved and legally normalized.</x:v>
      </x:c>
    </x:row>
    <x:row r="599">
      <x:c r="A599" s="33" t="str">
        <x:v>PROV231</x:v>
      </x:c>
      <x:c r="B599" s="33" t="str">
        <x:v>Provision Master</x:v>
      </x:c>
      <x:c r="C599" s="33" t="str">
        <x:v>Statutory Reference=Rule 2; Provision Name=Consent Management for Personal Data Processing; Provision Description=Obtain, manage and record consent where required under applicable law.; Active=Yes; Remarks=</x:v>
      </x:c>
      <x:c r="D599" s="33" t="str">
        <x:v>Statutory Reference=DPDP Rule 6 — future substantive commencement; Provision Name=Reasonable security safeguards — future-effective; Provision Description=Future minimum security-safeguard rule for Data Fiduciaries.; Active=No; Remarks=P-3 FUTURE-EFFECTIVE; readiness only.</x:v>
      </x:c>
      <x:c r="E599" s="33" t="str">
        <x:v>CORRECT</x:v>
      </x:c>
      <x:c r="F599" s="33" t="str">
        <x:v>Correct statutory ownership, section/rule references, entity triggers and current/future status.</x:v>
      </x:c>
      <x:c r="G599" s="33" t="str">
        <x:v>P-3 official-source review</x:v>
      </x:c>
      <x:c r="H599"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599" s="33" t="str">
        <x:v>P-3</x:v>
      </x:c>
      <x:c r="J599" s="33" t="str">
        <x:v>2026-08-20</x:v>
      </x:c>
      <x:c r="K599" s="33" t="str">
        <x:v>Existing provision IDs preserved and legally normalized.</x:v>
      </x:c>
    </x:row>
    <x:row r="600">
      <x:c r="A600" s="33" t="str">
        <x:v>PROV232</x:v>
      </x:c>
      <x:c r="B600" s="33" t="str">
        <x:v>Provision Master</x:v>
      </x:c>
      <x:c r="C600" s="33" t="str">
        <x:v>Statutory Reference=Rule 3; Provision Name=Maintenance of Consent and Processing Records; Provision Description=Maintain evidence of consent and processing activities.; Active=Yes; Remarks=</x:v>
      </x:c>
      <x:c r="D600" s="33" t="str">
        <x:v>Statutory Reference=DPDP Rule 7 — future substantive commencement; Provision Name=Personal data breach intimation — future-effective; Provision Description=Future staged intimation content/timing to affected Data Principals and the Board.; Active=No; Remarks=P-3 FUTURE-EFFECTIVE; readiness only.</x:v>
      </x:c>
      <x:c r="E600" s="33" t="str">
        <x:v>CORRECT</x:v>
      </x:c>
      <x:c r="F600" s="33" t="str">
        <x:v>Correct statutory ownership, section/rule references, entity triggers and current/future status.</x:v>
      </x:c>
      <x:c r="G600" s="33" t="str">
        <x:v>P-3 official-source review</x:v>
      </x:c>
      <x:c r="H600"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00" s="33" t="str">
        <x:v>P-3</x:v>
      </x:c>
      <x:c r="J600" s="33" t="str">
        <x:v>2026-08-20</x:v>
      </x:c>
      <x:c r="K600" s="33" t="str">
        <x:v>Existing provision IDs preserved and legally normalized.</x:v>
      </x:c>
    </x:row>
    <x:row r="601">
      <x:c r="A601" s="33" t="str">
        <x:v>PROV233</x:v>
      </x:c>
      <x:c r="B601" s="33" t="str">
        <x:v>Provision Master</x:v>
      </x:c>
      <x:c r="C601" s="33" t="str">
        <x:v>Statutory Reference=Rule 4; Provision Name=Data Principal Rights Management; Provision Description=Facilitate exercise of statutory rights by Data Principals.; Active=Yes; Remarks=</x:v>
      </x:c>
      <x:c r="D601" s="33" t="str">
        <x:v>Statutory Reference=DPDP Rule 13 — future substantive commencement; Provision Name=Published rights and grievance mechanism — future-effective; Provision Description=Future publication and handling mechanism for Data Principal rights/grievances.; Active=No; Remarks=P-3 FUTURE-EFFECTIVE; readiness only.</x:v>
      </x:c>
      <x:c r="E601" s="33" t="str">
        <x:v>CORRECT</x:v>
      </x:c>
      <x:c r="F601" s="33" t="str">
        <x:v>Correct statutory ownership, section/rule references, entity triggers and current/future status.</x:v>
      </x:c>
      <x:c r="G601" s="33" t="str">
        <x:v>P-3 official-source review</x:v>
      </x:c>
      <x:c r="H601"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01" s="33" t="str">
        <x:v>P-3</x:v>
      </x:c>
      <x:c r="J601" s="33" t="str">
        <x:v>2026-08-20</x:v>
      </x:c>
      <x:c r="K601" s="33" t="str">
        <x:v>Existing provision IDs preserved and legally normalized.</x:v>
      </x:c>
    </x:row>
    <x:row r="602">
      <x:c r="A602" s="33" t="str">
        <x:v>PROV234</x:v>
      </x:c>
      <x:c r="B602" s="33" t="str">
        <x:v>Provision Master</x:v>
      </x:c>
      <x:c r="C602" s="33" t="str">
        <x:v>Statutory Reference=Rule 5; Provision Name=Protection of Personal Data; Provision Description=Implement organizational and technical safeguards for personal data.; Active=Yes; Remarks=</x:v>
      </x:c>
      <x:c r="D602" s="33" t="str">
        <x:v>Statutory Reference=DPDP Rules 8-12 — future/role conditional; Provision Name=Erasure/contact/child-data and significant-fiduciary controls — future-effective; Provision Description=Future controls activated by the exact data/child/significant-fiduciary role.; Active=No; Remarks=P-3 FUTURE-EFFECTIVE; readiness only.</x:v>
      </x:c>
      <x:c r="E602" s="33" t="str">
        <x:v>CORRECT</x:v>
      </x:c>
      <x:c r="F602" s="33" t="str">
        <x:v>Correct statutory ownership, section/rule references, entity triggers and current/future status.</x:v>
      </x:c>
      <x:c r="G602" s="33" t="str">
        <x:v>P-3 official-source review</x:v>
      </x:c>
      <x:c r="H602"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02" s="33" t="str">
        <x:v>P-3</x:v>
      </x:c>
      <x:c r="J602" s="33" t="str">
        <x:v>2026-08-20</x:v>
      </x:c>
      <x:c r="K602" s="33" t="str">
        <x:v>Existing provision IDs preserved and legally normalized.</x:v>
      </x:c>
    </x:row>
    <x:row r="603">
      <x:c r="A603" s="33" t="str">
        <x:v>PROV235</x:v>
      </x:c>
      <x:c r="B603" s="33" t="str">
        <x:v>Provision Master</x:v>
      </x:c>
      <x:c r="C603" s="33" t="str">
        <x:v>Statutory Reference=Rule 6; Provision Name=Personal Data Breach Register; Provision Description=Maintain records of personal data breaches and corrective actions.; Active=Yes; Remarks=</x:v>
      </x:c>
      <x:c r="D603" s="33" t="str">
        <x:v>Statutory Reference=DPDP Rules 3-16 — future substantive family; Provision Name=DPDP implementation records — future readiness; Provision Description=Future evidence set derived from the exact commenced rule; no generic current Rule 6 breach-register duty exists.; Active=No; Remarks=P-3 FUTURE-EFFECTIVE; readiness only.</x:v>
      </x:c>
      <x:c r="E603" s="33" t="str">
        <x:v>CORRECT</x:v>
      </x:c>
      <x:c r="F603" s="33" t="str">
        <x:v>Correct statutory ownership, section/rule references, entity triggers and current/future status.</x:v>
      </x:c>
      <x:c r="G603" s="33" t="str">
        <x:v>P-3 official-source review</x:v>
      </x:c>
      <x:c r="H603"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03" s="33" t="str">
        <x:v>P-3</x:v>
      </x:c>
      <x:c r="J603" s="33" t="str">
        <x:v>2026-08-20</x:v>
      </x:c>
      <x:c r="K603" s="33" t="str">
        <x:v>Existing provision IDs preserved and legally normalized.</x:v>
      </x:c>
    </x:row>
    <x:row r="604">
      <x:c r="A604" s="33" t="str">
        <x:v>COMP046</x:v>
      </x:c>
      <x:c r="B604" s="33" t="str">
        <x:v>Compliance Requirement Master</x:v>
      </x:c>
      <x:c r="C604" s="33" t="str">
        <x:v>Compliance Requirement=Segregate biomedical waste and ensure safe handling as prescribed under the Biomedical Waste Management Rules.; Compliance Objective=; Applicability=Conditional; Frequency=Daily; Due Timeline=At the point of waste generation; Responsible Person=Pharmacy Manager; Non-Compliance Consequence=Environmental penalties; Priority=; Active=Yes; Remarks=Biomedical waste segregation</x:v>
      </x:c>
      <x:c r="D604" s="33" t="str">
        <x:v>Compliance Requirement=If the establishment is a BMW occupier/generator, implement the Rule 4 occupier programme, including segregation governance, employee training/immunisation, barcoding/traceability where applicable and non-mixing controls.; Compliance Objective=Safe and lawful bio-medical waste handling by a covered occupier.; Applicability=Conditional; Frequency=Continuous; Due Timeline=From first generation/handling of bio-medical waste; Responsible Person=Occupier / Facility Head; Non-Compliance Consequence=Environmental enforcement, authorization action and health risk; Priority=Critical; Active=Yes; Remarks=P-3 normalized; not triggered by ordinary drug sale alone.</x:v>
      </x:c>
      <x:c r="E604" s="33" t="str">
        <x:v>CORRECT</x:v>
      </x:c>
      <x:c r="F604" s="33" t="str">
        <x:v>Align production requirements with current central law, thresholds, role triggers and commencement.</x:v>
      </x:c>
      <x:c r="G604" s="33" t="str">
        <x:v>P-3 official-source review</x:v>
      </x:c>
      <x:c r="H604"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04" s="33" t="str">
        <x:v>P-3</x:v>
      </x:c>
      <x:c r="J604" s="33" t="str">
        <x:v>2026-08-20</x:v>
      </x:c>
      <x:c r="K604" s="33" t="str">
        <x:v>Existing Compliance IDs preserved; universal/future/pseudo duties corrected.</x:v>
      </x:c>
    </x:row>
    <x:row r="605">
      <x:c r="A605" s="33" t="str">
        <x:v>COMP047</x:v>
      </x:c>
      <x:c r="B605" s="33" t="str">
        <x:v>Compliance Requirement Master</x:v>
      </x:c>
      <x:c r="C605" s="33" t="str">
        <x:v>Compliance Requirement=Segregate biomedical waste into prescribed categories using approved containers and colour coding.; Applicability=Conditional; Frequency=Continuous; Due Timeline=At every disposal event; Responsible Person=Biomedical Waste In-charge; Priority=; Active=Yes; Remarks=Waste segregation</x:v>
      </x:c>
      <x:c r="D605" s="33" t="str">
        <x:v>Compliance Requirement=Segregate BMW at the point of generation into the prescribed colour-coded bags/containers, label/package it and keep it separate from municipal waste.; Applicability=Conditional; Frequency=Continuous; Due Timeline=At each generation event; Responsible Person=Occupier / BMW Nodal Officer; Priority=Critical; Active=Yes; Remarks=P-3 normalized.</x:v>
      </x:c>
      <x:c r="E605" s="33" t="str">
        <x:v>CORRECT</x:v>
      </x:c>
      <x:c r="F605" s="33" t="str">
        <x:v>Align production requirements with current central law, thresholds, role triggers and commencement.</x:v>
      </x:c>
      <x:c r="G605" s="33" t="str">
        <x:v>P-3 official-source review</x:v>
      </x:c>
      <x:c r="H605"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05" s="33" t="str">
        <x:v>P-3</x:v>
      </x:c>
      <x:c r="J605" s="33" t="str">
        <x:v>2026-08-20</x:v>
      </x:c>
      <x:c r="K605" s="33" t="str">
        <x:v>Existing Compliance IDs preserved; universal/future/pseudo duties corrected.</x:v>
      </x:c>
    </x:row>
    <x:row r="606">
      <x:c r="A606" s="33" t="str">
        <x:v>COMP048</x:v>
      </x:c>
      <x:c r="B606" s="33" t="str">
        <x:v>Compliance Requirement Master</x:v>
      </x:c>
      <x:c r="C606" s="33" t="str">
        <x:v>Compliance Requirement=Ensure biomedical waste is transferred only to authorized treatment and disposal facilities.; Applicability=Conditional; Frequency=Daily; Due Timeline=As per disposal schedule; Responsible Person=Pharmacy Manager; Priority=; Active=Yes; Remarks=Authorized disposal</x:v>
      </x:c>
      <x:c r="D606" s="33" t="str">
        <x:v>Compliance Requirement=Transfer BMW only through the permitted treatment/disposal route, including the authorised common facility where required; do not use ordinary solid-waste disposal.; Applicability=Conditional; Frequency=Continuous; Due Timeline=Within the permitted storage/collection cycle; Responsible Person=Occupier / BMW Nodal Officer; Priority=Critical; Active=Yes; Remarks=P-3 normalized.</x:v>
      </x:c>
      <x:c r="E606" s="33" t="str">
        <x:v>CORRECT</x:v>
      </x:c>
      <x:c r="F606" s="33" t="str">
        <x:v>Align production requirements with current central law, thresholds, role triggers and commencement.</x:v>
      </x:c>
      <x:c r="G606" s="33" t="str">
        <x:v>P-3 official-source review</x:v>
      </x:c>
      <x:c r="H606"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06" s="33" t="str">
        <x:v>P-3</x:v>
      </x:c>
      <x:c r="J606" s="33" t="str">
        <x:v>2026-08-20</x:v>
      </x:c>
      <x:c r="K606" s="33" t="str">
        <x:v>Existing Compliance IDs preserved; universal/future/pseudo duties corrected.</x:v>
      </x:c>
    </x:row>
    <x:row r="607">
      <x:c r="A607" s="33" t="str">
        <x:v>COMP049</x:v>
      </x:c>
      <x:c r="B607" s="33" t="str">
        <x:v>Compliance Requirement Master</x:v>
      </x:c>
      <x:c r="C607" s="33" t="str">
        <x:v>Compliance Requirement=Maintain biomedical waste records and submit statutory reports to the prescribed authority.; Applicability=Conditional; Frequency=Annual; Due Timeline=Within prescribed due dates; Responsible Person=Compliance Officer; Priority=; Active=Yes; Remarks=Annual reporting</x:v>
      </x:c>
      <x:c r="D607" s="33" t="str">
        <x:v>Compliance Requirement=Maintain BMW records; submit Form IV annual report by 30 June for the preceding calendar year; report major accidents in the prescribed form/time.; Applicability=Conditional; Frequency=Annual; Due Timeline=Records continuously; annual report by 30 June; accident reporting as prescribed; Responsible Person=Occupier / BMW Nodal Officer; Priority=High; Active=Yes; Remarks=P-3 normalized.</x:v>
      </x:c>
      <x:c r="E607" s="33" t="str">
        <x:v>CORRECT</x:v>
      </x:c>
      <x:c r="F607" s="33" t="str">
        <x:v>Align production requirements with current central law, thresholds, role triggers and commencement.</x:v>
      </x:c>
      <x:c r="G607" s="33" t="str">
        <x:v>P-3 official-source review</x:v>
      </x:c>
      <x:c r="H607"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07" s="33" t="str">
        <x:v>P-3</x:v>
      </x:c>
      <x:c r="J607" s="33" t="str">
        <x:v>2026-08-20</x:v>
      </x:c>
      <x:c r="K607" s="33" t="str">
        <x:v>Existing Compliance IDs preserved; universal/future/pseudo duties corrected.</x:v>
      </x:c>
    </x:row>
    <x:row r="608">
      <x:c r="A608" s="33" t="str">
        <x:v>COMP050</x:v>
      </x:c>
      <x:c r="B608" s="33" t="str">
        <x:v>Compliance Requirement Master</x:v>
      </x:c>
      <x:c r="C608" s="33" t="str">
        <x:v>Compliance Requirement=Classify biomedical waste correctly before storage, transportation and disposal.; Applicability=Conditional; Frequency=Continuous; Due Timeline=At every waste generation event; Responsible Person=Biomedical Waste In-charge; Priority=; Active=Yes; Remarks=Waste categorization</x:v>
      </x:c>
      <x:c r="D608" s="33" t="str">
        <x:v>Compliance Requirement=Obtain and maintain BMW authorization in Form II from the prescribed authority before/while handling BMW, irrespective of quantity.; Applicability=Conditional; Frequency=As Applicable; Due Timeline=Before covered handling and throughout authorization validity; Responsible Person=Occupier / Facility Head; Priority=Critical; Active=Yes; Remarks=P-3 normalized; authorization is evidence under LAW018.</x:v>
      </x:c>
      <x:c r="E608" s="33" t="str">
        <x:v>CORRECT</x:v>
      </x:c>
      <x:c r="F608" s="33" t="str">
        <x:v>Align production requirements with current central law, thresholds, role triggers and commencement.</x:v>
      </x:c>
      <x:c r="G608" s="33" t="str">
        <x:v>P-3 official-source review</x:v>
      </x:c>
      <x:c r="H608"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08" s="33" t="str">
        <x:v>P-3</x:v>
      </x:c>
      <x:c r="J608" s="33" t="str">
        <x:v>2026-08-20</x:v>
      </x:c>
      <x:c r="K608" s="33" t="str">
        <x:v>Existing Compliance IDs preserved; universal/future/pseudo duties corrected.</x:v>
      </x:c>
    </x:row>
    <x:row r="609">
      <x:c r="A609" s="33" t="str">
        <x:v>COMP056</x:v>
      </x:c>
      <x:c r="B609" s="33" t="str">
        <x:v>Compliance Requirement Master</x:v>
      </x:c>
      <x:c r="C609" s="33" t="str">
        <x:v>Compliance Requirement=Assess applicability of the EPF Act based on employee strength and register when applicable.; Applicability=Conditional; Frequency=Event Based; Due Timeline=Immediately upon crossing threshold; Remarks=Coverage assessment</x:v>
      </x:c>
      <x:c r="D609" s="33" t="str">
        <x:v>Compliance Requirement=Assess current EPF coverage under the Social Security Code/notifications and complete registration when the establishment trigger is met.; Applicability=Conditional; Frequency=Event Based; Due Timeline=On commencement and every threshold/status change; Remarks=P-3 remapped to current Code.</x:v>
      </x:c>
      <x:c r="E609" s="33" t="str">
        <x:v>CORRECT</x:v>
      </x:c>
      <x:c r="F609" s="33" t="str">
        <x:v>Align production requirements with current central law, thresholds, role triggers and commencement.</x:v>
      </x:c>
      <x:c r="G609" s="33" t="str">
        <x:v>P-3 official-source review</x:v>
      </x:c>
      <x:c r="H609"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09" s="33" t="str">
        <x:v>P-3</x:v>
      </x:c>
      <x:c r="J609" s="33" t="str">
        <x:v>2026-08-20</x:v>
      </x:c>
      <x:c r="K609" s="33" t="str">
        <x:v>Existing Compliance IDs preserved; universal/future/pseudo duties corrected.</x:v>
      </x:c>
    </x:row>
    <x:row r="610">
      <x:c r="A610" s="33" t="str">
        <x:v>COMP057</x:v>
      </x:c>
      <x:c r="B610" s="33" t="str">
        <x:v>Compliance Requirement Master</x:v>
      </x:c>
      <x:c r="C610" s="33" t="str">
        <x:v>Compliance Requirement=Deduct and deposit Provident Fund contributions within the prescribed due dates.; Applicability=Conditional; Frequency=Monthly; Due Timeline=On or before statutory due date; Remarks=Monthly PF compliance</x:v>
      </x:c>
      <x:c r="D610" s="33" t="str">
        <x:v>Compliance Requirement=For covered employees, compute, deduct and remit provident-fund contributions under the current Code, 2026 Rules and applicable scheme/notifications.; Applicability=Conditional; Frequency=Monthly; Due Timeline=Current prescribed monthly timeline; Remarks=P-3 current-law remap.</x:v>
      </x:c>
      <x:c r="E610" s="33" t="str">
        <x:v>CORRECT</x:v>
      </x:c>
      <x:c r="F610" s="33" t="str">
        <x:v>Align production requirements with current central law, thresholds, role triggers and commencement.</x:v>
      </x:c>
      <x:c r="G610" s="33" t="str">
        <x:v>P-3 official-source review</x:v>
      </x:c>
      <x:c r="H610"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10" s="33" t="str">
        <x:v>P-3</x:v>
      </x:c>
      <x:c r="J610" s="33" t="str">
        <x:v>2026-08-20</x:v>
      </x:c>
      <x:c r="K610" s="33" t="str">
        <x:v>Existing Compliance IDs preserved; universal/future/pseudo duties corrected.</x:v>
      </x:c>
    </x:row>
    <x:row r="611">
      <x:c r="A611" s="33" t="str">
        <x:v>COMP058</x:v>
      </x:c>
      <x:c r="B611" s="33" t="str">
        <x:v>Compliance Requirement Master</x:v>
      </x:c>
      <x:c r="C611" s="33" t="str">
        <x:v>Compliance Requirement=Maintain complete EPF member records for all covered employees.; Applicability=Conditional; Frequency=Continuous; Due Timeline=Ongoing; Remarks=Employee records</x:v>
      </x:c>
      <x:c r="D611" s="33" t="str">
        <x:v>Compliance Requirement=Maintain complete EPF membership, wage, nomination, contribution and electronic filing records for covered employees.; Applicability=Conditional; Frequency=Continuous; Due Timeline=Throughout coverage and prescribed retention; Remarks=P-3 current-law remap.</x:v>
      </x:c>
      <x:c r="E611" s="33" t="str">
        <x:v>CORRECT</x:v>
      </x:c>
      <x:c r="F611" s="33" t="str">
        <x:v>Align production requirements with current central law, thresholds, role triggers and commencement.</x:v>
      </x:c>
      <x:c r="G611" s="33" t="str">
        <x:v>P-3 official-source review</x:v>
      </x:c>
      <x:c r="H611"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11" s="33" t="str">
        <x:v>P-3</x:v>
      </x:c>
      <x:c r="J611" s="33" t="str">
        <x:v>2026-08-20</x:v>
      </x:c>
      <x:c r="K611" s="33" t="str">
        <x:v>Existing Compliance IDs preserved; universal/future/pseudo duties corrected.</x:v>
      </x:c>
    </x:row>
    <x:row r="612">
      <x:c r="A612" s="33" t="str">
        <x:v>COMP059</x:v>
      </x:c>
      <x:c r="B612" s="33" t="str">
        <x:v>Compliance Requirement Master</x:v>
      </x:c>
      <x:c r="C612" s="33" t="str">
        <x:v>Compliance Requirement=Deposit EPF contributions electronically within the statutory timeline.; Applicability=Conditional; Frequency=Monthly; Due Timeline=On or before statutory due date; Remarks=Monthly remittance</x:v>
      </x:c>
      <x:c r="D612" s="33" t="str">
        <x:v>Compliance Requirement=Deposit EPF contributions and submit the applicable electronic return/challan within the current prescribed monthly timeline.; Applicability=Conditional; Frequency=Monthly; Due Timeline=Current scheme/rule due date; Remarks=P-3 current-law remap; duplicate operational control retained for traceability.</x:v>
      </x:c>
      <x:c r="E612" s="33" t="str">
        <x:v>CORRECT</x:v>
      </x:c>
      <x:c r="F612" s="33" t="str">
        <x:v>Align production requirements with current central law, thresholds, role triggers and commencement.</x:v>
      </x:c>
      <x:c r="G612" s="33" t="str">
        <x:v>P-3 official-source review</x:v>
      </x:c>
      <x:c r="H612"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12" s="33" t="str">
        <x:v>P-3</x:v>
      </x:c>
      <x:c r="J612" s="33" t="str">
        <x:v>2026-08-20</x:v>
      </x:c>
      <x:c r="K612" s="33" t="str">
        <x:v>Existing Compliance IDs preserved; universal/future/pseudo duties corrected.</x:v>
      </x:c>
    </x:row>
    <x:row r="613">
      <x:c r="A613" s="33" t="str">
        <x:v>COMP060</x:v>
      </x:c>
      <x:c r="B613" s="33" t="str">
        <x:v>Compliance Requirement Master</x:v>
      </x:c>
      <x:c r="C613" s="33" t="str">
        <x:v>Compliance Requirement=Preserve EPF records for the statutory retention period.; Applicability=Conditional; Frequency=Continuous; Due Timeline=Throughout retention period; Remarks=Record retention</x:v>
      </x:c>
      <x:c r="D613" s="33" t="str">
        <x:v>Compliance Requirement=Preserve and produce applicable provident-fund records for the period prescribed by the current Code/Rules/scheme; do not rely on an unsupported generic period.; Applicability=Conditional; Frequency=Continuous; Due Timeline=Prescribed retention period; Remarks=P-3 current-law remap.</x:v>
      </x:c>
      <x:c r="E613" s="33" t="str">
        <x:v>CORRECT</x:v>
      </x:c>
      <x:c r="F613" s="33" t="str">
        <x:v>Align production requirements with current central law, thresholds, role triggers and commencement.</x:v>
      </x:c>
      <x:c r="G613" s="33" t="str">
        <x:v>P-3 official-source review</x:v>
      </x:c>
      <x:c r="H613"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13" s="33" t="str">
        <x:v>P-3</x:v>
      </x:c>
      <x:c r="J613" s="33" t="str">
        <x:v>2026-08-20</x:v>
      </x:c>
      <x:c r="K613" s="33" t="str">
        <x:v>Existing Compliance IDs preserved; universal/future/pseudo duties corrected.</x:v>
      </x:c>
    </x:row>
    <x:row r="614">
      <x:c r="A614" s="33" t="str">
        <x:v>COMP061</x:v>
      </x:c>
      <x:c r="B614" s="33" t="str">
        <x:v>Compliance Requirement Master</x:v>
      </x:c>
      <x:c r="C614" s="33" t="str">
        <x:v>Compliance Requirement=Register under the ESI Act immediately upon becoming an applicable establishment.; Applicability=Conditional; Frequency=One Time; Due Timeline=Upon applicability; Remarks=ESI registration</x:v>
      </x:c>
      <x:c r="D614" s="33" t="str">
        <x:v>Compliance Requirement=Assess current ESI coverage under the Social Security Code/notifications and register the establishment and covered employees when triggered.; Applicability=Conditional; Frequency=Event Based; Due Timeline=On commencement and every threshold/status change; Remarks=P-3 remapped to current Code.</x:v>
      </x:c>
      <x:c r="E614" s="33" t="str">
        <x:v>CORRECT</x:v>
      </x:c>
      <x:c r="F614" s="33" t="str">
        <x:v>Align production requirements with current central law, thresholds, role triggers and commencement.</x:v>
      </x:c>
      <x:c r="G614" s="33" t="str">
        <x:v>P-3 official-source review</x:v>
      </x:c>
      <x:c r="H614"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14" s="33" t="str">
        <x:v>P-3</x:v>
      </x:c>
      <x:c r="J614" s="33" t="str">
        <x:v>2026-08-20</x:v>
      </x:c>
      <x:c r="K614" s="33" t="str">
        <x:v>Existing Compliance IDs preserved; universal/future/pseudo duties corrected.</x:v>
      </x:c>
    </x:row>
    <x:row r="615">
      <x:c r="A615" s="33" t="str">
        <x:v>COMP062</x:v>
      </x:c>
      <x:c r="B615" s="33" t="str">
        <x:v>Compliance Requirement Master</x:v>
      </x:c>
      <x:c r="C615" s="33" t="str">
        <x:v>Compliance Requirement=Deduct and remit ESI contributions within prescribed due dates.; Applicability=Conditional; Frequency=Monthly; Due Timeline=On or before statutory due date; Remarks=Monthly ESI compliance</x:v>
      </x:c>
      <x:c r="D615" s="33" t="str">
        <x:v>Compliance Requirement=For covered employees, compute, deduct and remit ESI contributions within the current prescribed timeline.; Applicability=Conditional; Frequency=Monthly; Due Timeline=Current prescribed contribution timeline; Remarks=P-3 current-law remap.</x:v>
      </x:c>
      <x:c r="E615" s="33" t="str">
        <x:v>CORRECT</x:v>
      </x:c>
      <x:c r="F615" s="33" t="str">
        <x:v>Align production requirements with current central law, thresholds, role triggers and commencement.</x:v>
      </x:c>
      <x:c r="G615" s="33" t="str">
        <x:v>P-3 official-source review</x:v>
      </x:c>
      <x:c r="H615"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15" s="33" t="str">
        <x:v>P-3</x:v>
      </x:c>
      <x:c r="J615" s="33" t="str">
        <x:v>2026-08-20</x:v>
      </x:c>
      <x:c r="K615" s="33" t="str">
        <x:v>Existing Compliance IDs preserved; universal/future/pseudo duties corrected.</x:v>
      </x:c>
    </x:row>
    <x:row r="616">
      <x:c r="A616" s="33" t="str">
        <x:v>COMP063</x:v>
      </x:c>
      <x:c r="B616" s="33" t="str">
        <x:v>Compliance Requirement Master</x:v>
      </x:c>
      <x:c r="C616" s="33" t="str">
        <x:v>Compliance Requirement=Maintain employee insurance records and ESI documentation accurately.; Applicability=Conditional; Frequency=Continuous; Due Timeline=Ongoing; Remarks=Employee records</x:v>
      </x:c>
      <x:c r="D616" s="33" t="str">
        <x:v>Compliance Requirement=Maintain complete ESI registration, wage, contribution, accident and benefit-supporting records for covered employees.; Applicability=Conditional; Frequency=Continuous; Due Timeline=Throughout coverage and prescribed retention; Remarks=P-3 current-law remap.</x:v>
      </x:c>
      <x:c r="E616" s="33" t="str">
        <x:v>CORRECT</x:v>
      </x:c>
      <x:c r="F616" s="33" t="str">
        <x:v>Align production requirements with current central law, thresholds, role triggers and commencement.</x:v>
      </x:c>
      <x:c r="G616" s="33" t="str">
        <x:v>P-3 official-source review</x:v>
      </x:c>
      <x:c r="H616"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16" s="33" t="str">
        <x:v>P-3</x:v>
      </x:c>
      <x:c r="J616" s="33" t="str">
        <x:v>2026-08-20</x:v>
      </x:c>
      <x:c r="K616" s="33" t="str">
        <x:v>Existing Compliance IDs preserved; universal/future/pseudo duties corrected.</x:v>
      </x:c>
    </x:row>
    <x:row r="617">
      <x:c r="A617" s="33" t="str">
        <x:v>COMP064</x:v>
      </x:c>
      <x:c r="B617" s="33" t="str">
        <x:v>Compliance Requirement Master</x:v>
      </x:c>
      <x:c r="C617" s="33" t="str">
        <x:v>Compliance Requirement=File ESI returns and declarations within prescribed timelines.; Applicability=Conditional; Frequency=Half-Yearly; Due Timeline=Statutory due dates; Remarks=Periodic returns</x:v>
      </x:c>
      <x:c r="D617" s="33" t="str">
        <x:v>Compliance Requirement=Submit the applicable ESI electronic contribution filing/declaration at the frequency and due date prescribed for the establishment.; Applicability=Conditional; Frequency=As Applicable; Due Timeline=Current prescribed due date; Remarks=P-3 removed the unsupported universal half-yearly return.</x:v>
      </x:c>
      <x:c r="E617" s="33" t="str">
        <x:v>CORRECT</x:v>
      </x:c>
      <x:c r="F617" s="33" t="str">
        <x:v>Align production requirements with current central law, thresholds, role triggers and commencement.</x:v>
      </x:c>
      <x:c r="G617" s="33" t="str">
        <x:v>P-3 official-source review</x:v>
      </x:c>
      <x:c r="H617"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17" s="33" t="str">
        <x:v>P-3</x:v>
      </x:c>
      <x:c r="J617" s="33" t="str">
        <x:v>2026-08-20</x:v>
      </x:c>
      <x:c r="K617" s="33" t="str">
        <x:v>Existing Compliance IDs preserved; universal/future/pseudo duties corrected.</x:v>
      </x:c>
    </x:row>
    <x:row r="618">
      <x:c r="A618" s="33" t="str">
        <x:v>COMP065</x:v>
      </x:c>
      <x:c r="B618" s="33" t="str">
        <x:v>Compliance Requirement Master</x:v>
      </x:c>
      <x:c r="C618" s="33" t="str">
        <x:v>Compliance Requirement=Produce ESI records and registers during inspections by authorized officers.; Applicability=Conditional; Frequency=Event Based; Due Timeline=During inspection; Remarks=Inspection readiness</x:v>
      </x:c>
      <x:c r="D618" s="33" t="str">
        <x:v>Compliance Requirement=Produce applicable EPF/ESI records to an authorised inspector-cum-facilitator or authority when lawfully demanded.; Applicability=Conditional; Frequency=Event Based; Due Timeline=Within the lawful demand; Remarks=P-3 current-law remap.</x:v>
      </x:c>
      <x:c r="E618" s="33" t="str">
        <x:v>CORRECT</x:v>
      </x:c>
      <x:c r="F618" s="33" t="str">
        <x:v>Align production requirements with current central law, thresholds, role triggers and commencement.</x:v>
      </x:c>
      <x:c r="G618" s="33" t="str">
        <x:v>P-3 official-source review</x:v>
      </x:c>
      <x:c r="H618"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18" s="33" t="str">
        <x:v>P-3</x:v>
      </x:c>
      <x:c r="J618" s="33" t="str">
        <x:v>2026-08-20</x:v>
      </x:c>
      <x:c r="K618" s="33" t="str">
        <x:v>Existing Compliance IDs preserved; universal/future/pseudo duties corrected.</x:v>
      </x:c>
    </x:row>
    <x:row r="619">
      <x:c r="A619" s="33" t="str">
        <x:v>COMP066</x:v>
      </x:c>
      <x:c r="B619" s="33" t="str">
        <x:v>Compliance Requirement Master</x:v>
      </x:c>
      <x:c r="C619" s="33" t="str">
        <x:v>Compliance Requirement=Obtain GST registration before making taxable supplies where registration is mandatory.; Applicability=Mandatory; Frequency=One Time; Due Timeline=Before commencement of taxable business; Remarks=GST registration</x:v>
      </x:c>
      <x:c r="D619" s="33" t="str">
        <x:v>Compliance Requirement=Assess CGST/SGST registration liability by turnover, compulsory-registration and voluntary-registration rules; register in each required State before/within the statutory timeline.; Applicability=Conditional; Frequency=Event Based; Due Timeline=Within the applicable registration timeline; Remarks=P-3 corrected universal-mandatory overstatement.</x:v>
      </x:c>
      <x:c r="E619" s="33" t="str">
        <x:v>CORRECT</x:v>
      </x:c>
      <x:c r="F619" s="33" t="str">
        <x:v>Align production requirements with current central law, thresholds, role triggers and commencement.</x:v>
      </x:c>
      <x:c r="G619" s="33" t="str">
        <x:v>P-3 official-source review</x:v>
      </x:c>
      <x:c r="H619"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19" s="33" t="str">
        <x:v>P-3</x:v>
      </x:c>
      <x:c r="J619" s="33" t="str">
        <x:v>2026-08-20</x:v>
      </x:c>
      <x:c r="K619" s="33" t="str">
        <x:v>Existing Compliance IDs preserved; universal/future/pseudo duties corrected.</x:v>
      </x:c>
    </x:row>
    <x:row r="620">
      <x:c r="A620" s="33" t="str">
        <x:v>COMP067</x:v>
      </x:c>
      <x:c r="B620" s="33" t="str">
        <x:v>Compliance Requirement Master</x:v>
      </x:c>
      <x:c r="C620" s="33" t="str">
        <x:v>Compliance Requirement=Issue GST-compliant tax invoices for every taxable supply.; Applicability=Mandatory; Frequency=Continuous; Due Timeline=At every taxable sale; Remarks=Tax invoice compliance</x:v>
      </x:c>
      <x:c r="D620" s="33" t="str">
        <x:v>Compliance Requirement=Issue the correct GST tax invoice, bill of supply or credit/debit document with prescribed particulars for each applicable supply.; Applicability=Conditional; Frequency=Continuous; Due Timeline=At/before the statutory time of supply/document issue; Remarks=P-3 normalized.</x:v>
      </x:c>
      <x:c r="E620" s="33" t="str">
        <x:v>CORRECT</x:v>
      </x:c>
      <x:c r="F620" s="33" t="str">
        <x:v>Align production requirements with current central law, thresholds, role triggers and commencement.</x:v>
      </x:c>
      <x:c r="G620" s="33" t="str">
        <x:v>P-3 official-source review</x:v>
      </x:c>
      <x:c r="H620"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20" s="33" t="str">
        <x:v>P-3</x:v>
      </x:c>
      <x:c r="J620" s="33" t="str">
        <x:v>2026-08-20</x:v>
      </x:c>
      <x:c r="K620" s="33" t="str">
        <x:v>Existing Compliance IDs preserved; universal/future/pseudo duties corrected.</x:v>
      </x:c>
    </x:row>
    <x:row r="621">
      <x:c r="A621" s="33" t="str">
        <x:v>COMP068</x:v>
      </x:c>
      <x:c r="B621" s="33" t="str">
        <x:v>Compliance Requirement Master</x:v>
      </x:c>
      <x:c r="C621" s="33" t="str">
        <x:v>Compliance Requirement=Maintain books of accounts and GST records in the prescribed manner.; Applicability=Mandatory; Frequency=Continuous; Due Timeline=Ongoing; Remarks=Books of account</x:v>
      </x:c>
      <x:c r="D621" s="33" t="str">
        <x:v>Compliance Requirement=Maintain the prescribed GST accounts, invoices, e-way/e-invoice records and supporting documents for the applicable retention period.; Applicability=Conditional; Frequency=Continuous; Due Timeline=Throughout registration and retention; Remarks=P-3 normalized.</x:v>
      </x:c>
      <x:c r="E621" s="33" t="str">
        <x:v>CORRECT</x:v>
      </x:c>
      <x:c r="F621" s="33" t="str">
        <x:v>Align production requirements with current central law, thresholds, role triggers and commencement.</x:v>
      </x:c>
      <x:c r="G621" s="33" t="str">
        <x:v>P-3 official-source review</x:v>
      </x:c>
      <x:c r="H621"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21" s="33" t="str">
        <x:v>P-3</x:v>
      </x:c>
      <x:c r="J621" s="33" t="str">
        <x:v>2026-08-20</x:v>
      </x:c>
      <x:c r="K621" s="33" t="str">
        <x:v>Existing Compliance IDs preserved; universal/future/pseudo duties corrected.</x:v>
      </x:c>
    </x:row>
    <x:row r="622">
      <x:c r="A622" s="33" t="str">
        <x:v>COMP069</x:v>
      </x:c>
      <x:c r="B622" s="33" t="str">
        <x:v>Compliance Requirement Master</x:v>
      </x:c>
      <x:c r="C622" s="33" t="str">
        <x:v>Compliance Requirement=File GST returns accurately within statutory due dates.; Applicability=Mandatory; Frequency=Monthly; Due Timeline=As prescribed under GST law; Remarks=GST return filing</x:v>
      </x:c>
      <x:c r="D622" s="33" t="str">
        <x:v>Compliance Requirement=File only the GST returns/statements applicable to the taxpayer profile and scheme at the notified frequency and due date.; Applicability=Conditional; Frequency=As Applicable; Due Timeline=Applicable return due date; Remarks=P-3 removed unsupported universal monthly frequency.</x:v>
      </x:c>
      <x:c r="E622" s="33" t="str">
        <x:v>CORRECT</x:v>
      </x:c>
      <x:c r="F622" s="33" t="str">
        <x:v>Align production requirements with current central law, thresholds, role triggers and commencement.</x:v>
      </x:c>
      <x:c r="G622" s="33" t="str">
        <x:v>P-3 official-source review</x:v>
      </x:c>
      <x:c r="H622"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22" s="33" t="str">
        <x:v>P-3</x:v>
      </x:c>
      <x:c r="J622" s="33" t="str">
        <x:v>2026-08-20</x:v>
      </x:c>
      <x:c r="K622" s="33" t="str">
        <x:v>Existing Compliance IDs preserved; universal/future/pseudo duties corrected.</x:v>
      </x:c>
    </x:row>
    <x:row r="623">
      <x:c r="A623" s="33" t="str">
        <x:v>COMP070</x:v>
      </x:c>
      <x:c r="B623" s="33" t="str">
        <x:v>Compliance Requirement Master</x:v>
      </x:c>
      <x:c r="C623" s="33" t="str">
        <x:v>Compliance Requirement=Pay GST liability within the prescribed due date.; Applicability=Mandatory; Frequency=Monthly; Due Timeline=Statutory due date; Remarks=GST payment</x:v>
      </x:c>
      <x:c r="D623" s="33" t="str">
        <x:v>Compliance Requirement=Discharge self-assessed GST, interest and other liability through the electronic ledgers by the due date applicable to the return/scheme.; Applicability=Conditional; Frequency=As Applicable; Due Timeline=Applicable payment/return due date; Remarks=P-3 normalized.</x:v>
      </x:c>
      <x:c r="E623" s="33" t="str">
        <x:v>CORRECT</x:v>
      </x:c>
      <x:c r="F623" s="33" t="str">
        <x:v>Align production requirements with current central law, thresholds, role triggers and commencement.</x:v>
      </x:c>
      <x:c r="G623" s="33" t="str">
        <x:v>P-3 official-source review</x:v>
      </x:c>
      <x:c r="H623"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23" s="33" t="str">
        <x:v>P-3</x:v>
      </x:c>
      <x:c r="J623" s="33" t="str">
        <x:v>2026-08-20</x:v>
      </x:c>
      <x:c r="K623" s="33" t="str">
        <x:v>Existing Compliance IDs preserved; universal/future/pseudo duties corrected.</x:v>
      </x:c>
    </x:row>
    <x:row r="624">
      <x:c r="A624" s="33" t="str">
        <x:v>COMP071</x:v>
      </x:c>
      <x:c r="B624" s="33" t="str">
        <x:v>Compliance Requirement Master</x:v>
      </x:c>
      <x:c r="C624" s="33" t="str">
        <x:v>Compliance Requirement=File Income-tax Return within the applicable due date.; Applicability=Mandatory; Frequency=Annual; Due Timeline=Statutory due date; Remarks=Annual tax filing</x:v>
      </x:c>
      <x:c r="D624" s="33" t="str">
        <x:v>Compliance Requirement=File the return of income for Tax Year 2026-27 onward under section 263 of the Income-tax Act, 2025 using the applicable Income-tax Rules, 2026 form and due date.; Applicability=Mandatory; Frequency=Annual; Due Timeline=Applicable section 263/Rules due date; Remarks=P-3 current Act remap.</x:v>
      </x:c>
      <x:c r="E624" s="33" t="str">
        <x:v>CORRECT</x:v>
      </x:c>
      <x:c r="F624" s="33" t="str">
        <x:v>Align production requirements with current central law, thresholds, role triggers and commencement.</x:v>
      </x:c>
      <x:c r="G624" s="33" t="str">
        <x:v>P-3 official-source review</x:v>
      </x:c>
      <x:c r="H624"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24" s="33" t="str">
        <x:v>P-3</x:v>
      </x:c>
      <x:c r="J624" s="33" t="str">
        <x:v>2026-08-20</x:v>
      </x:c>
      <x:c r="K624" s="33" t="str">
        <x:v>Existing Compliance IDs preserved; universal/future/pseudo duties corrected.</x:v>
      </x:c>
    </x:row>
    <x:row r="625">
      <x:c r="A625" s="33" t="str">
        <x:v>COMP072</x:v>
      </x:c>
      <x:c r="B625" s="33" t="str">
        <x:v>Compliance Requirement Master</x:v>
      </x:c>
      <x:c r="C625" s="33" t="str">
        <x:v>Compliance Requirement=Deduct tax at source from salaries wherever applicable and deposit within prescribed timelines.; Applicability=Conditional; Frequency=Monthly; Due Timeline=Statutory due date; Remarks=Salary TDS</x:v>
      </x:c>
      <x:c r="D625" s="33" t="str">
        <x:v>Compliance Requirement=Deduct, deposit and report salary withholding under the Income-tax Act, 2025 and Income-tax Rules, 2026 for payments governed by the new Act.; Applicability=Conditional; Frequency=Monthly; Due Timeline=Rule 218/current prescribed timeline; Remarks=P-3 current Act remap.</x:v>
      </x:c>
      <x:c r="E625" s="33" t="str">
        <x:v>CORRECT</x:v>
      </x:c>
      <x:c r="F625" s="33" t="str">
        <x:v>Align production requirements with current central law, thresholds, role triggers and commencement.</x:v>
      </x:c>
      <x:c r="G625" s="33" t="str">
        <x:v>P-3 official-source review</x:v>
      </x:c>
      <x:c r="H625"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25" s="33" t="str">
        <x:v>P-3</x:v>
      </x:c>
      <x:c r="J625" s="33" t="str">
        <x:v>2026-08-20</x:v>
      </x:c>
      <x:c r="K625" s="33" t="str">
        <x:v>Existing Compliance IDs preserved; universal/future/pseudo duties corrected.</x:v>
      </x:c>
    </x:row>
    <x:row r="626">
      <x:c r="A626" s="33" t="str">
        <x:v>COMP073</x:v>
      </x:c>
      <x:c r="B626" s="33" t="str">
        <x:v>Compliance Requirement Master</x:v>
      </x:c>
      <x:c r="C626" s="33" t="str">
        <x:v>Compliance Requirement=Deduct and deposit TDS on applicable payments to vendors and professionals.; Applicability=Conditional; Frequency=Monthly; Due Timeline=Statutory due date; Remarks=Vendor TDS</x:v>
      </x:c>
      <x:c r="D626" s="33" t="str">
        <x:v>Compliance Requirement=For applicable payments/receipts on or after 1 April 2026, use the relevant section 393/394 table item, deduct/collect, deposit and report under the current Rules.; Applicability=Conditional; Frequency=Monthly; Due Timeline=Current Rules due date; Remarks=P-3 current Act remap.</x:v>
      </x:c>
      <x:c r="E626" s="33" t="str">
        <x:v>CORRECT</x:v>
      </x:c>
      <x:c r="F626" s="33" t="str">
        <x:v>Align production requirements with current central law, thresholds, role triggers and commencement.</x:v>
      </x:c>
      <x:c r="G626" s="33" t="str">
        <x:v>P-3 official-source review</x:v>
      </x:c>
      <x:c r="H626"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26" s="33" t="str">
        <x:v>P-3</x:v>
      </x:c>
      <x:c r="J626" s="33" t="str">
        <x:v>2026-08-20</x:v>
      </x:c>
      <x:c r="K626" s="33" t="str">
        <x:v>Existing Compliance IDs preserved; universal/future/pseudo duties corrected.</x:v>
      </x:c>
    </x:row>
    <x:row r="627">
      <x:c r="A627" s="33" t="str">
        <x:v>COMP074</x:v>
      </x:c>
      <x:c r="B627" s="33" t="str">
        <x:v>Compliance Requirement Master</x:v>
      </x:c>
      <x:c r="C627" s="33" t="str">
        <x:v>Compliance Requirement=Maintain books of accounts as prescribed under the Income-tax Act.; Applicability=Mandatory; Frequency=Continuous; Due Timeline=Ongoing; Remarks=Books and records</x:v>
      </x:c>
      <x:c r="D627" s="33" t="str">
        <x:v>Compliance Requirement=Maintain the books and documents required by the Income-tax Act, 2025 and Rules, 2026 for the entity/business profile.; Applicability=Conditional; Frequency=Continuous; Due Timeline=Throughout the prescribed retention period; Remarks=P-3 current Act remap.</x:v>
      </x:c>
      <x:c r="E627" s="33" t="str">
        <x:v>CORRECT</x:v>
      </x:c>
      <x:c r="F627" s="33" t="str">
        <x:v>Align production requirements with current central law, thresholds, role triggers and commencement.</x:v>
      </x:c>
      <x:c r="G627" s="33" t="str">
        <x:v>P-3 official-source review</x:v>
      </x:c>
      <x:c r="H627"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27" s="33" t="str">
        <x:v>P-3</x:v>
      </x:c>
      <x:c r="J627" s="33" t="str">
        <x:v>2026-08-20</x:v>
      </x:c>
      <x:c r="K627" s="33" t="str">
        <x:v>Existing Compliance IDs preserved; universal/future/pseudo duties corrected.</x:v>
      </x:c>
    </x:row>
    <x:row r="628">
      <x:c r="A628" s="33" t="str">
        <x:v>COMP075</x:v>
      </x:c>
      <x:c r="B628" s="33" t="str">
        <x:v>Compliance Requirement Master</x:v>
      </x:c>
      <x:c r="C628" s="33" t="str">
        <x:v>Compliance Requirement=Facilitate tax audit wherever applicable and maintain audit-related records.; Applicability=Conditional; Frequency=Annual; Due Timeline=Before statutory due date; Remarks=Tax audit compliance</x:v>
      </x:c>
      <x:c r="D628" s="33" t="str">
        <x:v>Compliance Requirement=Obtain and furnish a tax-audit report only where the current statutory threshold/condition applies.; Applicability=Conditional; Frequency=Annual; Due Timeline=Applicable audit-report due date; Remarks=P-3 current Act remap.</x:v>
      </x:c>
      <x:c r="E628" s="33" t="str">
        <x:v>CORRECT</x:v>
      </x:c>
      <x:c r="F628" s="33" t="str">
        <x:v>Align production requirements with current central law, thresholds, role triggers and commencement.</x:v>
      </x:c>
      <x:c r="G628" s="33" t="str">
        <x:v>P-3 official-source review</x:v>
      </x:c>
      <x:c r="H628"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28" s="33" t="str">
        <x:v>P-3</x:v>
      </x:c>
      <x:c r="J628" s="33" t="str">
        <x:v>2026-08-20</x:v>
      </x:c>
      <x:c r="K628" s="33" t="str">
        <x:v>Existing Compliance IDs preserved; universal/future/pseudo duties corrected.</x:v>
      </x:c>
    </x:row>
    <x:row r="629">
      <x:c r="A629" s="33" t="str">
        <x:v>COMP081</x:v>
      </x:c>
      <x:c r="B629" s="33" t="str">
        <x:v>Compliance Requirement Master</x:v>
      </x:c>
      <x:c r="C629" s="33" t="str">
        <x:v>Compliance Requirement=Respect consumer rights in all pharmacy transactions and services.; Applicability=Mandatory; Frequency=Continuous; Remarks=Consumer protection</x:v>
      </x:c>
      <x:c r="D629" s="33" t="str">
        <x:v>Compliance Requirement=Design consumer-facing sale and service practices to avoid unfair trade practices and respect the statutory consumer-rights baseline.; Applicability=Mandatory; Frequency=Continuous; Remarks=P-3 normalized as an operational control derived from the Act.</x:v>
      </x:c>
      <x:c r="E629" s="33" t="str">
        <x:v>CORRECT</x:v>
      </x:c>
      <x:c r="F629" s="33" t="str">
        <x:v>Align production requirements with current central law, thresholds, role triggers and commencement.</x:v>
      </x:c>
      <x:c r="G629" s="33" t="str">
        <x:v>P-3 official-source review</x:v>
      </x:c>
      <x:c r="H629"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29" s="33" t="str">
        <x:v>P-3</x:v>
      </x:c>
      <x:c r="J629" s="33" t="str">
        <x:v>2026-08-20</x:v>
      </x:c>
      <x:c r="K629" s="33" t="str">
        <x:v>Existing Compliance IDs preserved; universal/future/pseudo duties corrected.</x:v>
      </x:c>
    </x:row>
    <x:row r="630">
      <x:c r="A630" s="33" t="str">
        <x:v>COMP082</x:v>
      </x:c>
      <x:c r="B630" s="33" t="str">
        <x:v>Compliance Requirement Master</x:v>
      </x:c>
      <x:c r="C630" s="33" t="str">
        <x:v>Compliance Requirement=Cooperate with investigations initiated by the Consumer Protection Authority.; Applicability=Event Based; Frequency=Event Based; Due Timeline=As directed; Remarks=Investigation support</x:v>
      </x:c>
      <x:c r="D630" s="33" t="str">
        <x:v>Compliance Requirement=Respond to a lawful CCPA investigation and implement an applicable recall, reimbursement, discontinuance or modification order.; Applicability=Conditional; Frequency=Event Based; Due Timeline=Within the order/demand; Remarks=P-3 corrected section ownership.</x:v>
      </x:c>
      <x:c r="E630" s="33" t="str">
        <x:v>CORRECT</x:v>
      </x:c>
      <x:c r="F630" s="33" t="str">
        <x:v>Align production requirements with current central law, thresholds, role triggers and commencement.</x:v>
      </x:c>
      <x:c r="G630" s="33" t="str">
        <x:v>P-3 official-source review</x:v>
      </x:c>
      <x:c r="H630"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30" s="33" t="str">
        <x:v>P-3</x:v>
      </x:c>
      <x:c r="J630" s="33" t="str">
        <x:v>2026-08-20</x:v>
      </x:c>
      <x:c r="K630" s="33" t="str">
        <x:v>Existing Compliance IDs preserved; universal/future/pseudo duties corrected.</x:v>
      </x:c>
    </x:row>
    <x:row r="631">
      <x:c r="A631" s="33" t="str">
        <x:v>COMP083</x:v>
      </x:c>
      <x:c r="B631" s="33" t="str">
        <x:v>Compliance Requirement Master</x:v>
      </x:c>
      <x:c r="C631" s="33" t="str">
        <x:v>Compliance Requirement=Avoid unfair trade practices in the sale, promotion and supply of medicines and pharmacy products.; Applicability=Mandatory; Frequency=Continuous; Remarks=Fair trade practices</x:v>
      </x:c>
      <x:c r="D631" s="33" t="str">
        <x:v>Compliance Requirement=Do not engage in a practice falling within section 2(47), including false representations, deceptive price claims or refusal to issue a bill where required.; Applicability=Mandatory; Frequency=Continuous; Remarks=P-3 normalized.</x:v>
      </x:c>
      <x:c r="E631" s="33" t="str">
        <x:v>CORRECT</x:v>
      </x:c>
      <x:c r="F631" s="33" t="str">
        <x:v>Align production requirements with current central law, thresholds, role triggers and commencement.</x:v>
      </x:c>
      <x:c r="G631" s="33" t="str">
        <x:v>P-3 official-source review</x:v>
      </x:c>
      <x:c r="H631"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31" s="33" t="str">
        <x:v>P-3</x:v>
      </x:c>
      <x:c r="J631" s="33" t="str">
        <x:v>2026-08-20</x:v>
      </x:c>
      <x:c r="K631" s="33" t="str">
        <x:v>Existing Compliance IDs preserved; universal/future/pseudo duties corrected.</x:v>
      </x:c>
    </x:row>
    <x:row r="632">
      <x:c r="A632" s="33" t="str">
        <x:v>COMP084</x:v>
      </x:c>
      <x:c r="B632" s="33" t="str">
        <x:v>Compliance Requirement Master</x:v>
      </x:c>
      <x:c r="C632" s="33" t="str">
        <x:v>Compliance Requirement=Ensure advertisements and promotional materials are truthful, accurate and not misleading.; Applicability=Conditional; Frequency=Continuous; Remarks=Advertising compliance</x:v>
      </x:c>
      <x:c r="D632" s="33" t="str">
        <x:v>Compliance Requirement=Do not cause a false or misleading advertisement and comply with any CCPA discontinuance/modification direction.; Applicability=Conditional; Frequency=Continuous; Remarks=P-3 normalized.</x:v>
      </x:c>
      <x:c r="E632" s="33" t="str">
        <x:v>CORRECT</x:v>
      </x:c>
      <x:c r="F632" s="33" t="str">
        <x:v>Align production requirements with current central law, thresholds, role triggers and commencement.</x:v>
      </x:c>
      <x:c r="G632" s="33" t="str">
        <x:v>P-3 official-source review</x:v>
      </x:c>
      <x:c r="H632"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32" s="33" t="str">
        <x:v>P-3</x:v>
      </x:c>
      <x:c r="J632" s="33" t="str">
        <x:v>2026-08-20</x:v>
      </x:c>
      <x:c r="K632" s="33" t="str">
        <x:v>Existing Compliance IDs preserved; universal/future/pseudo duties corrected.</x:v>
      </x:c>
    </x:row>
    <x:row r="633">
      <x:c r="A633" s="33" t="str">
        <x:v>COMP085</x:v>
      </x:c>
      <x:c r="B633" s="33" t="str">
        <x:v>Compliance Requirement Master</x:v>
      </x:c>
      <x:c r="C633" s="33" t="str">
        <x:v>Compliance Requirement=Establish and maintain an effective consumer grievance handling mechanism.; Applicability=Mandatory; Frequency=Continuous; Due Timeline=Ongoing; Responsible Person=Customer Service Manager; Remarks=Grievance management</x:v>
      </x:c>
      <x:c r="D633" s="33" t="str">
        <x:v>Compliance Requirement=If operating in an e-commerce role, display required identity/seller information, appoint the prescribed grievance/nodal contact and operate the complaint mechanism under Rules 4-5.; Applicability=Conditional; Frequency=Continuous; Due Timeline=Before and throughout e-commerce operation; Responsible Person=E-Pharmacy Compliance Officer; Remarks=P-3 remapped from a generic complaint-filing provision.</x:v>
      </x:c>
      <x:c r="E633" s="33" t="str">
        <x:v>CORRECT</x:v>
      </x:c>
      <x:c r="F633" s="33" t="str">
        <x:v>Align production requirements with current central law, thresholds, role triggers and commencement.</x:v>
      </x:c>
      <x:c r="G633" s="33" t="str">
        <x:v>P-3 official-source review</x:v>
      </x:c>
      <x:c r="H633"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33" s="33" t="str">
        <x:v>P-3</x:v>
      </x:c>
      <x:c r="J633" s="33" t="str">
        <x:v>2026-08-20</x:v>
      </x:c>
      <x:c r="K633" s="33" t="str">
        <x:v>Existing Compliance IDs preserved; universal/future/pseudo duties corrected.</x:v>
      </x:c>
    </x:row>
    <x:row r="634">
      <x:c r="A634" s="33" t="str">
        <x:v>COMP086</x:v>
      </x:c>
      <x:c r="B634" s="33" t="str">
        <x:v>Compliance Requirement Master</x:v>
      </x:c>
      <x:c r="C634" s="33" t="str">
        <x:v>Compliance Requirement=Use only verified and legally compliant weighing and measuring instruments where applicable.; Applicability=Conditional; Frequency=Continuous; Due Timeline=Before operational use; Remarks=Weights &amp; measures</x:v>
      </x:c>
      <x:c r="D634" s="33" t="str">
        <x:v>Compliance Requirement=Where a regulated weighing/measuring instrument is used, obtain verification/stamping and keep it valid before transactional use.; Applicability=Conditional; Frequency=As Applicable; Due Timeline=Before first use and each prescribed re-verification; Remarks=P-3 normalized.</x:v>
      </x:c>
      <x:c r="E634" s="33" t="str">
        <x:v>CORRECT</x:v>
      </x:c>
      <x:c r="F634" s="33" t="str">
        <x:v>Align production requirements with current central law, thresholds, role triggers and commencement.</x:v>
      </x:c>
      <x:c r="G634" s="33" t="str">
        <x:v>P-3 official-source review</x:v>
      </x:c>
      <x:c r="H634"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34" s="33" t="str">
        <x:v>P-3</x:v>
      </x:c>
      <x:c r="J634" s="33" t="str">
        <x:v>2026-08-20</x:v>
      </x:c>
      <x:c r="K634" s="33" t="str">
        <x:v>Existing Compliance IDs preserved; universal/future/pseudo duties corrected.</x:v>
      </x:c>
    </x:row>
    <x:row r="635">
      <x:c r="A635" s="33" t="str">
        <x:v>COMP087</x:v>
      </x:c>
      <x:c r="B635" s="33" t="str">
        <x:v>Compliance Requirement Master</x:v>
      </x:c>
      <x:c r="C635" s="33" t="str">
        <x:v>Compliance Requirement=Ensure weighing and measuring instruments are verified and calibrated as prescribed.; Applicability=Conditional; Frequency=Annual; Remarks=Instrument verification</x:v>
      </x:c>
      <x:c r="D635" s="33" t="str">
        <x:v>Compliance Requirement=Do not use a non-standard or required-but-unverified weight/measure; retain the verification certificate/stamp evidence.; Applicability=Conditional; Frequency=Continuous; Remarks=P-3 normalized.</x:v>
      </x:c>
      <x:c r="E635" s="33" t="str">
        <x:v>CORRECT</x:v>
      </x:c>
      <x:c r="F635" s="33" t="str">
        <x:v>Align production requirements with current central law, thresholds, role triggers and commencement.</x:v>
      </x:c>
      <x:c r="G635" s="33" t="str">
        <x:v>P-3 official-source review</x:v>
      </x:c>
      <x:c r="H635"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35" s="33" t="str">
        <x:v>P-3</x:v>
      </x:c>
      <x:c r="J635" s="33" t="str">
        <x:v>2026-08-20</x:v>
      </x:c>
      <x:c r="K635" s="33" t="str">
        <x:v>Existing Compliance IDs preserved; universal/future/pseudo duties corrected.</x:v>
      </x:c>
    </x:row>
    <x:row r="636">
      <x:c r="A636" s="33" t="str">
        <x:v>COMP088</x:v>
      </x:c>
      <x:c r="B636" s="33" t="str">
        <x:v>Compliance Requirement Master</x:v>
      </x:c>
      <x:c r="C636" s="33" t="str">
        <x:v>Compliance Requirement=Rectify non-compliance identified under the Legal Metrology Act within prescribed timelines.; Applicability=Event Based; Frequency=Event Based; Due Timeline=As directed by authority; Remarks=Corrective compliance</x:v>
      </x:c>
      <x:c r="D636" s="33" t="str">
        <x:v>Compliance Requirement=Permit lawful legal-metrology inspection and produce the covered instrument and records when required by an authorised officer.; Applicability=Conditional; Frequency=Event Based; Due Timeline=On lawful demand; Remarks=P-3 repurposed from penalty-only extraction.</x:v>
      </x:c>
      <x:c r="E636" s="33" t="str">
        <x:v>CORRECT</x:v>
      </x:c>
      <x:c r="F636" s="33" t="str">
        <x:v>Align production requirements with current central law, thresholds, role triggers and commencement.</x:v>
      </x:c>
      <x:c r="G636" s="33" t="str">
        <x:v>P-3 official-source review</x:v>
      </x:c>
      <x:c r="H636"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36" s="33" t="str">
        <x:v>P-3</x:v>
      </x:c>
      <x:c r="J636" s="33" t="str">
        <x:v>2026-08-20</x:v>
      </x:c>
      <x:c r="K636" s="33" t="str">
        <x:v>Existing Compliance IDs preserved; universal/future/pseudo duties corrected.</x:v>
      </x:c>
    </x:row>
    <x:row r="637">
      <x:c r="A637" s="33" t="str">
        <x:v>COMP089</x:v>
      </x:c>
      <x:c r="B637" s="33" t="str">
        <x:v>Compliance Requirement Master</x:v>
      </x:c>
      <x:c r="C637" s="33" t="str">
        <x:v>Compliance Requirement=Ensure every packaged medicine carries all mandatory statutory declarations before sale.; Applicability=Mandatory; Frequency=Continuous; Remarks=Packaged commodities</x:v>
      </x:c>
      <x:c r="D637" s="33" t="str">
        <x:v>Compliance Requirement=Do not sell, distribute, deliver, display or store for sale a pre-packaged commodity unless the package complies with the Act and Rules.; Applicability=Mandatory; Frequency=Continuous; Remarks=P-3 corrected retailer duty to Rule 18(1).</x:v>
      </x:c>
      <x:c r="E637" s="33" t="str">
        <x:v>CORRECT</x:v>
      </x:c>
      <x:c r="F637" s="33" t="str">
        <x:v>Align production requirements with current central law, thresholds, role triggers and commencement.</x:v>
      </x:c>
      <x:c r="G637" s="33" t="str">
        <x:v>P-3 official-source review</x:v>
      </x:c>
      <x:c r="H637"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37" s="33" t="str">
        <x:v>P-3</x:v>
      </x:c>
      <x:c r="J637" s="33" t="str">
        <x:v>2026-08-20</x:v>
      </x:c>
      <x:c r="K637" s="33" t="str">
        <x:v>Existing Compliance IDs preserved; universal/future/pseudo duties corrected.</x:v>
      </x:c>
    </x:row>
    <x:row r="638">
      <x:c r="A638" s="33" t="str">
        <x:v>COMP090</x:v>
      </x:c>
      <x:c r="B638" s="33" t="str">
        <x:v>Compliance Requirement Master</x:v>
      </x:c>
      <x:c r="C638" s="33" t="str">
        <x:v>Compliance Requirement=Ensure the principal display panel contains all information prescribed under applicable rules.; Applicability=Mandatory; Frequency=Continuous; Remarks=Display panel compliance</x:v>
      </x:c>
      <x:c r="D638" s="33" t="str">
        <x:v>Compliance Requirement=Do not sell an applicable packaged commodity above its declared retail sale price.; Applicability=Mandatory; Frequency=Continuous; Remarks=P-3 corrected to Rule 18(2).</x:v>
      </x:c>
      <x:c r="E638" s="33" t="str">
        <x:v>CORRECT</x:v>
      </x:c>
      <x:c r="F638" s="33" t="str">
        <x:v>Align production requirements with current central law, thresholds, role triggers and commencement.</x:v>
      </x:c>
      <x:c r="G638" s="33" t="str">
        <x:v>P-3 official-source review</x:v>
      </x:c>
      <x:c r="H638"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38" s="33" t="str">
        <x:v>P-3</x:v>
      </x:c>
      <x:c r="J638" s="33" t="str">
        <x:v>2026-08-20</x:v>
      </x:c>
      <x:c r="K638" s="33" t="str">
        <x:v>Existing Compliance IDs preserved; universal/future/pseudo duties corrected.</x:v>
      </x:c>
    </x:row>
    <x:row r="639">
      <x:c r="A639" s="33" t="str">
        <x:v>COMP091</x:v>
      </x:c>
      <x:c r="B639" s="33" t="str">
        <x:v>Compliance Requirement Master</x:v>
      </x:c>
      <x:c r="C639" s="33" t="str">
        <x:v>Compliance Requirement=Ensure Maximum Retail Price (MRP) is declared on every applicable packaged product.; Applicability=Mandatory; Frequency=Continuous; Responsible Person=Store Manager; Remarks=MRP declaration</x:v>
      </x:c>
      <x:c r="D639" s="33" t="str">
        <x:v>Compliance Requirement=For e-commerce sale of applicable pre-packaged commodities, display the prescribed Rule 6 declarations on the digital/electronic network.; Applicability=Conditional; Frequency=Continuous; Responsible Person=E-Pharmacy Compliance Officer; Remarks=P-3 corrected direct e-commerce duty.</x:v>
      </x:c>
      <x:c r="E639" s="33" t="str">
        <x:v>CORRECT</x:v>
      </x:c>
      <x:c r="F639" s="33" t="str">
        <x:v>Align production requirements with current central law, thresholds, role triggers and commencement.</x:v>
      </x:c>
      <x:c r="G639" s="33" t="str">
        <x:v>P-3 official-source review</x:v>
      </x:c>
      <x:c r="H639"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39" s="33" t="str">
        <x:v>P-3</x:v>
      </x:c>
      <x:c r="J639" s="33" t="str">
        <x:v>2026-08-20</x:v>
      </x:c>
      <x:c r="K639" s="33" t="str">
        <x:v>Existing Compliance IDs preserved; universal/future/pseudo duties corrected.</x:v>
      </x:c>
    </x:row>
    <x:row r="640">
      <x:c r="A640" s="33" t="str">
        <x:v>COMP092</x:v>
      </x:c>
      <x:c r="B640" s="33" t="str">
        <x:v>Compliance Requirement Master</x:v>
      </x:c>
      <x:c r="C640" s="33" t="str">
        <x:v>Compliance Requirement=Implement reasonable security practices to protect sensitive personal and business information.; Applicability=Conditional; Frequency=Continuous; Remarks=Information security</x:v>
      </x:c>
      <x:c r="D640" s="33" t="str">
        <x:v>Compliance Requirement=If handling SPDI, publish the prescribed privacy policy and operate a documented reasonable-security programme/standard with periodic review.; Applicability=Conditional; Frequency=Continuous; Remarks=P-3 remapped to current SPDI Rules.</x:v>
      </x:c>
      <x:c r="E640" s="33" t="str">
        <x:v>CORRECT</x:v>
      </x:c>
      <x:c r="F640" s="33" t="str">
        <x:v>Align production requirements with current central law, thresholds, role triggers and commencement.</x:v>
      </x:c>
      <x:c r="G640" s="33" t="str">
        <x:v>P-3 official-source review</x:v>
      </x:c>
      <x:c r="H640"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40" s="33" t="str">
        <x:v>P-3</x:v>
      </x:c>
      <x:c r="J640" s="33" t="str">
        <x:v>2026-08-20</x:v>
      </x:c>
      <x:c r="K640" s="33" t="str">
        <x:v>Existing Compliance IDs preserved; universal/future/pseudo duties corrected.</x:v>
      </x:c>
    </x:row>
    <x:row r="641">
      <x:c r="A641" s="33" t="str">
        <x:v>COMP093</x:v>
      </x:c>
      <x:c r="B641" s="33" t="str">
        <x:v>Compliance Requirement Master</x:v>
      </x:c>
      <x:c r="C641" s="33" t="str">
        <x:v>Compliance Requirement=Prevent unauthorized access, misuse or cyber offences affecting pharmacy information systems.; Applicability=Conditional; Frequency=Continuous; Remarks=Cybersecurity</x:v>
      </x:c>
      <x:c r="D641" s="33" t="str">
        <x:v>Compliance Requirement=For SPDI, obtain consent, give required collection information, limit purpose/retention and provide review/correction mechanisms.; Applicability=Conditional; Frequency=Continuous; Remarks=P-3 corrected from a generic cyber-offence prevention control.</x:v>
      </x:c>
      <x:c r="E641" s="33" t="str">
        <x:v>CORRECT</x:v>
      </x:c>
      <x:c r="F641" s="33" t="str">
        <x:v>Align production requirements with current central law, thresholds, role triggers and commencement.</x:v>
      </x:c>
      <x:c r="G641" s="33" t="str">
        <x:v>P-3 official-source review</x:v>
      </x:c>
      <x:c r="H641"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41" s="33" t="str">
        <x:v>P-3</x:v>
      </x:c>
      <x:c r="J641" s="33" t="str">
        <x:v>2026-08-20</x:v>
      </x:c>
      <x:c r="K641" s="33" t="str">
        <x:v>Existing Compliance IDs preserved; universal/future/pseudo duties corrected.</x:v>
      </x:c>
    </x:row>
    <x:row r="642">
      <x:c r="A642" s="33" t="str">
        <x:v>COMP094</x:v>
      </x:c>
      <x:c r="B642" s="33" t="str">
        <x:v>Compliance Requirement Master</x:v>
      </x:c>
      <x:c r="C642" s="33" t="str">
        <x:v>Compliance Requirement=Prevent unauthorized disclosure of confidential information obtained during pharmacy operations.; Applicability=Conditional; Frequency=Continuous; Remarks=Confidentiality</x:v>
      </x:c>
      <x:c r="D642" s="33" t="str">
        <x:v>Compliance Requirement=Do not disclose SPDI without prior permission unless a Rule 6 exception applies; prevent unlawful contractual disclosure.; Applicability=Conditional; Frequency=Continuous; Remarks=P-3 normalized.</x:v>
      </x:c>
      <x:c r="E642" s="33" t="str">
        <x:v>CORRECT</x:v>
      </x:c>
      <x:c r="F642" s="33" t="str">
        <x:v>Align production requirements with current central law, thresholds, role triggers and commencement.</x:v>
      </x:c>
      <x:c r="G642" s="33" t="str">
        <x:v>P-3 official-source review</x:v>
      </x:c>
      <x:c r="H642"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42" s="33" t="str">
        <x:v>P-3</x:v>
      </x:c>
      <x:c r="J642" s="33" t="str">
        <x:v>2026-08-20</x:v>
      </x:c>
      <x:c r="K642" s="33" t="str">
        <x:v>Existing Compliance IDs preserved; universal/future/pseudo duties corrected.</x:v>
      </x:c>
    </x:row>
    <x:row r="643">
      <x:c r="A643" s="33" t="str">
        <x:v>COMP095</x:v>
      </x:c>
      <x:c r="B643" s="33" t="str">
        <x:v>Compliance Requirement Master</x:v>
      </x:c>
      <x:c r="C643" s="33" t="str">
        <x:v>Compliance Requirement=Ensure digital platforms comply with intermediary due diligence requirements wherever applicable.; Applicability=Conditional; Frequency=Continuous; Remarks=Applicable to online platforms</x:v>
      </x:c>
      <x:c r="D643" s="33" t="str">
        <x:v>Compliance Requirement=Apply intermediary due diligence only if the platform legally qualifies as an intermediary under current IT law.; Applicability=Conditional; Frequency=Continuous; Remarks=P-3 role trigger made explicit.</x:v>
      </x:c>
      <x:c r="E643" s="33" t="str">
        <x:v>CORRECT</x:v>
      </x:c>
      <x:c r="F643" s="33" t="str">
        <x:v>Align production requirements with current central law, thresholds, role triggers and commencement.</x:v>
      </x:c>
      <x:c r="G643" s="33" t="str">
        <x:v>P-3 official-source review</x:v>
      </x:c>
      <x:c r="H643"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43" s="33" t="str">
        <x:v>P-3</x:v>
      </x:c>
      <x:c r="J643" s="33" t="str">
        <x:v>2026-08-20</x:v>
      </x:c>
      <x:c r="K643" s="33" t="str">
        <x:v>Existing Compliance IDs preserved; universal/future/pseudo duties corrected.</x:v>
      </x:c>
    </x:row>
    <x:row r="644">
      <x:c r="A644" s="33" t="str">
        <x:v>COMP096</x:v>
      </x:c>
      <x:c r="B644" s="33" t="str">
        <x:v>Compliance Requirement Master</x:v>
      </x:c>
      <x:c r="C644" s="33" t="str">
        <x:v>Compliance Requirement=Process personal data only for lawful purposes permitted under the Digital Personal Data Protection Act.; Applicability=Conditional; Frequency=Continuous; Active=Yes; Remarks=Lawful processing</x:v>
      </x:c>
      <x:c r="D644" s="33" t="str">
        <x:v>Compliance Requirement=Future DPDP lawful-processing readiness control; do not present as a current statutory obligation before substantive commencement.; Applicability=Optional; Frequency=As Applicable; Active=No; Remarks=P-3 FUTURE-EFFECTIVE.</x:v>
      </x:c>
      <x:c r="E644" s="33" t="str">
        <x:v>CORRECT</x:v>
      </x:c>
      <x:c r="F644" s="33" t="str">
        <x:v>Align production requirements with current central law, thresholds, role triggers and commencement.</x:v>
      </x:c>
      <x:c r="G644" s="33" t="str">
        <x:v>P-3 official-source review</x:v>
      </x:c>
      <x:c r="H644"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44" s="33" t="str">
        <x:v>P-3</x:v>
      </x:c>
      <x:c r="J644" s="33" t="str">
        <x:v>2026-08-20</x:v>
      </x:c>
      <x:c r="K644" s="33" t="str">
        <x:v>Existing Compliance IDs preserved; universal/future/pseudo duties corrected.</x:v>
      </x:c>
    </x:row>
    <x:row r="645">
      <x:c r="A645" s="33" t="str">
        <x:v>COMP097</x:v>
      </x:c>
      <x:c r="B645" s="33" t="str">
        <x:v>Compliance Requirement Master</x:v>
      </x:c>
      <x:c r="C645" s="33" t="str">
        <x:v>Compliance Requirement=Provide clear privacy notices before collecting personal data from individuals.; Applicability=Conditional; Frequency=Continuous; Active=Yes; Remarks=Privacy notice</x:v>
      </x:c>
      <x:c r="D645" s="33" t="str">
        <x:v>Compliance Requirement=Future DPDP notice readiness control; do not present as current before substantive commencement.; Applicability=Optional; Frequency=As Applicable; Active=No; Remarks=P-3 FUTURE-EFFECTIVE.</x:v>
      </x:c>
      <x:c r="E645" s="33" t="str">
        <x:v>CORRECT</x:v>
      </x:c>
      <x:c r="F645" s="33" t="str">
        <x:v>Align production requirements with current central law, thresholds, role triggers and commencement.</x:v>
      </x:c>
      <x:c r="G645" s="33" t="str">
        <x:v>P-3 official-source review</x:v>
      </x:c>
      <x:c r="H645"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45" s="33" t="str">
        <x:v>P-3</x:v>
      </x:c>
      <x:c r="J645" s="33" t="str">
        <x:v>2026-08-20</x:v>
      </x:c>
      <x:c r="K645" s="33" t="str">
        <x:v>Existing Compliance IDs preserved; universal/future/pseudo duties corrected.</x:v>
      </x:c>
    </x:row>
    <x:row r="646">
      <x:c r="A646" s="33" t="str">
        <x:v>COMP098</x:v>
      </x:c>
      <x:c r="B646" s="33" t="str">
        <x:v>Compliance Requirement Master</x:v>
      </x:c>
      <x:c r="C646" s="33" t="str">
        <x:v>Compliance Requirement=Implement organizational and technical safeguards to protect personal digital data.; Applicability=Conditional; Frequency=Continuous; Active=Yes; Remarks=Data protection controls</x:v>
      </x:c>
      <x:c r="D646" s="33" t="str">
        <x:v>Compliance Requirement=Future Data Fiduciary safeguards/accuracy/erasure/breach readiness control; not current at the cutoff.; Applicability=Optional; Frequency=As Applicable; Active=No; Remarks=P-3 FUTURE-EFFECTIVE.</x:v>
      </x:c>
      <x:c r="E646" s="33" t="str">
        <x:v>CORRECT</x:v>
      </x:c>
      <x:c r="F646" s="33" t="str">
        <x:v>Align production requirements with current central law, thresholds, role triggers and commencement.</x:v>
      </x:c>
      <x:c r="G646" s="33" t="str">
        <x:v>P-3 official-source review</x:v>
      </x:c>
      <x:c r="H646"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46" s="33" t="str">
        <x:v>P-3</x:v>
      </x:c>
      <x:c r="J646" s="33" t="str">
        <x:v>2026-08-20</x:v>
      </x:c>
      <x:c r="K646" s="33" t="str">
        <x:v>Existing Compliance IDs preserved; universal/future/pseudo duties corrected.</x:v>
      </x:c>
    </x:row>
    <x:row r="647">
      <x:c r="A647" s="33" t="str">
        <x:v>COMP099</x:v>
      </x:c>
      <x:c r="B647" s="33" t="str">
        <x:v>Compliance Requirement Master</x:v>
      </x:c>
      <x:c r="C647" s="33" t="str">
        <x:v>Compliance Requirement=Facilitate exercise of rights available to Data Principals under applicable law.; Applicability=Conditional; Frequency=Event Based; Active=Yes; Remarks=Data subject rights</x:v>
      </x:c>
      <x:c r="D647" s="33" t="str">
        <x:v>Compliance Requirement=Future Data Principal rights/grievance readiness control; not current at the cutoff.; Applicability=Optional; Frequency=Event Based; Active=No; Remarks=P-3 FUTURE-EFFECTIVE.</x:v>
      </x:c>
      <x:c r="E647" s="33" t="str">
        <x:v>CORRECT</x:v>
      </x:c>
      <x:c r="F647" s="33" t="str">
        <x:v>Align production requirements with current central law, thresholds, role triggers and commencement.</x:v>
      </x:c>
      <x:c r="G647" s="33" t="str">
        <x:v>P-3 official-source review</x:v>
      </x:c>
      <x:c r="H647"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47" s="33" t="str">
        <x:v>P-3</x:v>
      </x:c>
      <x:c r="J647" s="33" t="str">
        <x:v>2026-08-20</x:v>
      </x:c>
      <x:c r="K647" s="33" t="str">
        <x:v>Existing Compliance IDs preserved; universal/future/pseudo duties corrected.</x:v>
      </x:c>
    </x:row>
    <x:row r="648">
      <x:c r="A648" s="33" t="str">
        <x:v>COMP100</x:v>
      </x:c>
      <x:c r="B648" s="33" t="str">
        <x:v>Compliance Requirement Master</x:v>
      </x:c>
      <x:c r="C648" s="33" t="str">
        <x:v>Compliance Requirement=Notify and manage personal data breaches in accordance with applicable legal requirements.; Applicability=Conditional; Frequency=Event Based; Active=Yes; Remarks=Personal data breach management</x:v>
      </x:c>
      <x:c r="D648" s="33" t="str">
        <x:v>Compliance Requirement=Future section 8(6) breach-intimation readiness control; not current at the cutoff.; Applicability=Optional; Frequency=Event Based; Active=No; Remarks=P-3 FUTURE-EFFECTIVE; section reference corrected.</x:v>
      </x:c>
      <x:c r="E648" s="33" t="str">
        <x:v>CORRECT</x:v>
      </x:c>
      <x:c r="F648" s="33" t="str">
        <x:v>Align production requirements with current central law, thresholds, role triggers and commencement.</x:v>
      </x:c>
      <x:c r="G648" s="33" t="str">
        <x:v>P-3 official-source review</x:v>
      </x:c>
      <x:c r="H648"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48" s="33" t="str">
        <x:v>P-3</x:v>
      </x:c>
      <x:c r="J648" s="33" t="str">
        <x:v>2026-08-20</x:v>
      </x:c>
      <x:c r="K648" s="33" t="str">
        <x:v>Existing Compliance IDs preserved; universal/future/pseudo duties corrected.</x:v>
      </x:c>
    </x:row>
    <x:row r="649">
      <x:c r="A649" s="33" t="str">
        <x:v>COMP192</x:v>
      </x:c>
      <x:c r="B649" s="33" t="str">
        <x:v>Compliance Requirement Master</x:v>
      </x:c>
      <x:c r="C649" s="33" t="str">
        <x:v>Compliance Requirement=Ensure advertisements do not contain false, misleading or unsubstantiated claims.; Applicability=Conditional; Frequency=Before Publication; Due Timeline=Prior to release; Remarks=Advertisement review</x:v>
      </x:c>
      <x:c r="D649" s="33" t="str">
        <x:v>Compliance Requirement=Before release, substantiate all objective claims and ensure the advertisement is truthful and not misleading by implication, omission, exaggeration or ambiguity.; Applicability=Conditional; Frequency=Event Based; Due Timeline=Before publication; Remarks=P-3 Guideline 4 normalization.</x:v>
      </x:c>
      <x:c r="E649" s="33" t="str">
        <x:v>CORRECT</x:v>
      </x:c>
      <x:c r="F649" s="33" t="str">
        <x:v>Align production requirements with current central law, thresholds, role triggers and commencement.</x:v>
      </x:c>
      <x:c r="G649" s="33" t="str">
        <x:v>P-3 official-source review</x:v>
      </x:c>
      <x:c r="H649"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49" s="33" t="str">
        <x:v>P-3</x:v>
      </x:c>
      <x:c r="J649" s="33" t="str">
        <x:v>2026-08-20</x:v>
      </x:c>
      <x:c r="K649" s="33" t="str">
        <x:v>Existing Compliance IDs preserved; universal/future/pseudo duties corrected.</x:v>
      </x:c>
    </x:row>
    <x:row r="650">
      <x:c r="A650" s="33" t="str">
        <x:v>COMP193</x:v>
      </x:c>
      <x:c r="B650" s="33" t="str">
        <x:v>Compliance Requirement Master</x:v>
      </x:c>
      <x:c r="C650" s="33" t="str">
        <x:v>Compliance Requirement=Verify the factual accuracy of all promotional materials before publication.; Applicability=Conditional; Frequency=Before Publication; Due Timeline=Prior to approval; Remarks=Marketing approval</x:v>
      </x:c>
      <x:c r="D650" s="33" t="str">
        <x:v>Compliance Requirement=Use only clear, prominent disclaimers that do not conceal material information or contradict the main claim.; Applicability=Conditional; Frequency=Event Based; Due Timeline=Before publication; Remarks=P-3 Guideline 10 normalization.</x:v>
      </x:c>
      <x:c r="E650" s="33" t="str">
        <x:v>CORRECT</x:v>
      </x:c>
      <x:c r="F650" s="33" t="str">
        <x:v>Align production requirements with current central law, thresholds, role triggers and commencement.</x:v>
      </x:c>
      <x:c r="G650" s="33" t="str">
        <x:v>P-3 official-source review</x:v>
      </x:c>
      <x:c r="H650"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50" s="33" t="str">
        <x:v>P-3</x:v>
      </x:c>
      <x:c r="J650" s="33" t="str">
        <x:v>2026-08-20</x:v>
      </x:c>
      <x:c r="K650" s="33" t="str">
        <x:v>Existing Compliance IDs preserved; universal/future/pseudo duties corrected.</x:v>
      </x:c>
    </x:row>
    <x:row r="651">
      <x:c r="A651" s="33" t="str">
        <x:v>COMP194</x:v>
      </x:c>
      <x:c r="B651" s="33" t="str">
        <x:v>Compliance Requirement Master</x:v>
      </x:c>
      <x:c r="C651" s="33" t="str">
        <x:v>Compliance Requirement=Ensure digital advertisements comply with applicable advertising and consumer protection guidelines.; Applicability=Conditional; Frequency=Before Publication; Due Timeline=Before publishing digital content; Remarks=Online advertising</x:v>
      </x:c>
      <x:c r="D651" s="33" t="str">
        <x:v>Compliance Requirement=Do not advertise a product/service prohibited by law and document endorsement due diligence where an endorsement is used.; Applicability=Conditional; Frequency=Event Based; Due Timeline=Before publication; Remarks=P-3 normalized.</x:v>
      </x:c>
      <x:c r="E651" s="33" t="str">
        <x:v>CORRECT</x:v>
      </x:c>
      <x:c r="F651" s="33" t="str">
        <x:v>Align production requirements with current central law, thresholds, role triggers and commencement.</x:v>
      </x:c>
      <x:c r="G651" s="33" t="str">
        <x:v>P-3 official-source review</x:v>
      </x:c>
      <x:c r="H651"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51" s="33" t="str">
        <x:v>P-3</x:v>
      </x:c>
      <x:c r="J651" s="33" t="str">
        <x:v>2026-08-20</x:v>
      </x:c>
      <x:c r="K651" s="33" t="str">
        <x:v>Existing Compliance IDs preserved; universal/future/pseudo duties corrected.</x:v>
      </x:c>
    </x:row>
    <x:row r="652">
      <x:c r="A652" s="33" t="str">
        <x:v>COMP195</x:v>
      </x:c>
      <x:c r="B652" s="33" t="str">
        <x:v>Compliance Requirement Master</x:v>
      </x:c>
      <x:c r="C652" s="33" t="str">
        <x:v>Compliance Requirement=Do not publish advertisements prohibited under the Drugs and Magic Remedies Act.; Applicability=Mandatory; Frequency=Continuous; Remarks=Prohibited advertisements</x:v>
      </x:c>
      <x:c r="D652" s="33" t="str">
        <x:v>Compliance Requirement=Do not advertise a drug for the section 3/Schedule prohibited purposes, diseases or conditions.; Applicability=Mandatory; Frequency=Continuous; Remarks=P-3 normalized.</x:v>
      </x:c>
      <x:c r="E652" s="33" t="str">
        <x:v>CORRECT</x:v>
      </x:c>
      <x:c r="F652" s="33" t="str">
        <x:v>Align production requirements with current central law, thresholds, role triggers and commencement.</x:v>
      </x:c>
      <x:c r="G652" s="33" t="str">
        <x:v>P-3 official-source review</x:v>
      </x:c>
      <x:c r="H652"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52" s="33" t="str">
        <x:v>P-3</x:v>
      </x:c>
      <x:c r="J652" s="33" t="str">
        <x:v>2026-08-20</x:v>
      </x:c>
      <x:c r="K652" s="33" t="str">
        <x:v>Existing Compliance IDs preserved; universal/future/pseudo duties corrected.</x:v>
      </x:c>
    </x:row>
    <x:row r="653">
      <x:c r="A653" s="33" t="str">
        <x:v>COMP196</x:v>
      </x:c>
      <x:c r="B653" s="33" t="str">
        <x:v>Compliance Requirement Master</x:v>
      </x:c>
      <x:c r="C653" s="33" t="str">
        <x:v>Compliance Requirement=Ensure promotional materials do not make misleading therapeutic or cure claims.; Applicability=Mandatory; Frequency=Continuous; Remarks=Therapeutic claims</x:v>
      </x:c>
      <x:c r="D653" s="33" t="str">
        <x:v>Compliance Requirement=Do not issue a drug advertisement that gives a false impression, makes a false claim or is otherwise materially false/misleading.; Applicability=Mandatory; Frequency=Continuous; Remarks=P-3 normalized.</x:v>
      </x:c>
      <x:c r="E653" s="33" t="str">
        <x:v>CORRECT</x:v>
      </x:c>
      <x:c r="F653" s="33" t="str">
        <x:v>Align production requirements with current central law, thresholds, role triggers and commencement.</x:v>
      </x:c>
      <x:c r="G653" s="33" t="str">
        <x:v>P-3 official-source review</x:v>
      </x:c>
      <x:c r="H653"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53" s="33" t="str">
        <x:v>P-3</x:v>
      </x:c>
      <x:c r="J653" s="33" t="str">
        <x:v>2026-08-20</x:v>
      </x:c>
      <x:c r="K653" s="33" t="str">
        <x:v>Existing Compliance IDs preserved; universal/future/pseudo duties corrected.</x:v>
      </x:c>
    </x:row>
    <x:row r="654">
      <x:c r="A654" s="33" t="str">
        <x:v>COMP212</x:v>
      </x:c>
      <x:c r="B654" s="33" t="str">
        <x:v>Compliance Requirement Master</x:v>
      </x:c>
      <x:c r="C654" s="33" t="str">
        <x:v>Compliance Requirement=Maintain a safe working environment for all employees and visitors.; Applicability=Mandatory; Frequency=Continuous; Due Timeline=Throughout operations; Remarks=Workplace safety</x:v>
      </x:c>
      <x:c r="D654" s="33" t="str">
        <x:v>Compliance Requirement=If the OSHWC Code applies, maintain the covered workplace-safety/health controls, provide required information/instruction and meet notified standards.; Applicability=Conditional; Frequency=Continuous; Due Timeline=Throughout covered operations; Remarks=P-3 coverage trigger added.</x:v>
      </x:c>
      <x:c r="E654" s="33" t="str">
        <x:v>CORRECT</x:v>
      </x:c>
      <x:c r="F654" s="33" t="str">
        <x:v>Align production requirements with current central law, thresholds, role triggers and commencement.</x:v>
      </x:c>
      <x:c r="G654" s="33" t="str">
        <x:v>P-3 official-source review</x:v>
      </x:c>
      <x:c r="H654"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54" s="33" t="str">
        <x:v>P-3</x:v>
      </x:c>
      <x:c r="J654" s="33" t="str">
        <x:v>2026-08-20</x:v>
      </x:c>
      <x:c r="K654" s="33" t="str">
        <x:v>Existing Compliance IDs preserved; universal/future/pseudo duties corrected.</x:v>
      </x:c>
    </x:row>
    <x:row r="655">
      <x:c r="A655" s="33" t="str">
        <x:v>COMP213</x:v>
      </x:c>
      <x:c r="B655" s="33" t="str">
        <x:v>Compliance Requirement Master</x:v>
      </x:c>
      <x:c r="C655" s="33" t="str">
        <x:v>Compliance Requirement=Conduct periodic occupational safety training for employees.; Applicability=Mandatory; Frequency=Annual; Remarks=Employee safety training</x:v>
      </x:c>
      <x:c r="D655" s="33" t="str">
        <x:v>Compliance Requirement=If covered, implement the applicable welfare, working-time and employee information/appointment-letter controls under the Code and 2026 Rules.; Applicability=Conditional; Frequency=Continuous; Remarks=P-3 corrected universal-mandatory overstatement.</x:v>
      </x:c>
      <x:c r="E655" s="33" t="str">
        <x:v>CORRECT</x:v>
      </x:c>
      <x:c r="F655" s="33" t="str">
        <x:v>Align production requirements with current central law, thresholds, role triggers and commencement.</x:v>
      </x:c>
      <x:c r="G655" s="33" t="str">
        <x:v>P-3 official-source review</x:v>
      </x:c>
      <x:c r="H655"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55" s="33" t="str">
        <x:v>P-3</x:v>
      </x:c>
      <x:c r="J655" s="33" t="str">
        <x:v>2026-08-20</x:v>
      </x:c>
      <x:c r="K655" s="33" t="str">
        <x:v>Existing Compliance IDs preserved; universal/future/pseudo duties corrected.</x:v>
      </x:c>
    </x:row>
    <x:row r="656">
      <x:c r="A656" s="33" t="str">
        <x:v>COMP214</x:v>
      </x:c>
      <x:c r="B656" s="33" t="str">
        <x:v>Compliance Requirement Master</x:v>
      </x:c>
      <x:c r="C656" s="33" t="str">
        <x:v>Compliance Requirement=Report workplace incidents and maintain incident investigation records.; Applicability=Event Based; Frequency=Event Based; Remarks=Incident reporting</x:v>
      </x:c>
      <x:c r="D656" s="33" t="str">
        <x:v>Compliance Requirement=Report and record only the occupational accidents/dangerous occurrences prescribed for the covered establishment within the statutory timeline.; Applicability=Conditional; Frequency=Event Based; Remarks=P-3 normalized.</x:v>
      </x:c>
      <x:c r="E656" s="33" t="str">
        <x:v>CORRECT</x:v>
      </x:c>
      <x:c r="F656" s="33" t="str">
        <x:v>Align production requirements with current central law, thresholds, role triggers and commencement.</x:v>
      </x:c>
      <x:c r="G656" s="33" t="str">
        <x:v>P-3 official-source review</x:v>
      </x:c>
      <x:c r="H656"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56" s="33" t="str">
        <x:v>P-3</x:v>
      </x:c>
      <x:c r="J656" s="33" t="str">
        <x:v>2026-08-20</x:v>
      </x:c>
      <x:c r="K656" s="33" t="str">
        <x:v>Existing Compliance IDs preserved; universal/future/pseudo duties corrected.</x:v>
      </x:c>
    </x:row>
    <x:row r="657">
      <x:c r="A657" s="33" t="str">
        <x:v>COMP226</x:v>
      </x:c>
      <x:c r="B657" s="33" t="str">
        <x:v>Compliance Requirement Master</x:v>
      </x:c>
      <x:c r="C657" s="33" t="str">
        <x:v>Compliance Requirement=Implement cybersecurity controls for pharmacy information systems and connected infrastructure.; Applicability=Conditional; Frequency=Continuous; Due Timeline=Throughout operations; Responsible Person=IT Administrator; Remarks=Information security controls</x:v>
      </x:c>
      <x:c r="D657" s="33" t="str">
        <x:v>Compliance Requirement=Synchronise ICT system clocks to NIC/NPL traceable NTP servers or another accurate time source traceable to them.; Applicability=Conditional; Frequency=Continuous; Due Timeline=Continuous while within the Directions; Responsible Person=IT Security Lead; Remarks=P-3 CERT-In clause (i).</x:v>
      </x:c>
      <x:c r="E657" s="33" t="str">
        <x:v>CORRECT</x:v>
      </x:c>
      <x:c r="F657" s="33" t="str">
        <x:v>Align production requirements with current central law, thresholds, role triggers and commencement.</x:v>
      </x:c>
      <x:c r="G657" s="33" t="str">
        <x:v>P-3 official-source review</x:v>
      </x:c>
      <x:c r="H657"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57" s="33" t="str">
        <x:v>P-3</x:v>
      </x:c>
      <x:c r="J657" s="33" t="str">
        <x:v>2026-08-20</x:v>
      </x:c>
      <x:c r="K657" s="33" t="str">
        <x:v>Existing Compliance IDs preserved; universal/future/pseudo duties corrected.</x:v>
      </x:c>
    </x:row>
    <x:row r="658">
      <x:c r="A658" s="33" t="str">
        <x:v>COMP227</x:v>
      </x:c>
      <x:c r="B658" s="33" t="str">
        <x:v>Compliance Requirement Master</x:v>
      </x:c>
      <x:c r="C658" s="33" t="str">
        <x:v>Compliance Requirement=Report cybersecurity incidents affecting pharmacy systems to the appropriate authority where required.; Applicability=Event Based; Frequency=Event Based; Due Timeline=Immediately after detection; Responsible Person=IT Administrator; Priority=; Remarks=Incident reporting</x:v>
      </x:c>
      <x:c r="D658" s="33" t="str">
        <x:v>Compliance Requirement=Report any specified Annexure I cyber incident to CERT-In within six hours of noticing it or being informed.; Applicability=Conditional; Frequency=Event Based; Due Timeline=Within six hours; Responsible Person=CERT-In Point of Contact; Priority=Critical; Remarks=P-3 CERT-In clause (ii).</x:v>
      </x:c>
      <x:c r="E658" s="33" t="str">
        <x:v>CORRECT</x:v>
      </x:c>
      <x:c r="F658" s="33" t="str">
        <x:v>Align production requirements with current central law, thresholds, role triggers and commencement.</x:v>
      </x:c>
      <x:c r="G658" s="33" t="str">
        <x:v>P-3 official-source review</x:v>
      </x:c>
      <x:c r="H658"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58" s="33" t="str">
        <x:v>P-3</x:v>
      </x:c>
      <x:c r="J658" s="33" t="str">
        <x:v>2026-08-20</x:v>
      </x:c>
      <x:c r="K658" s="33" t="str">
        <x:v>Existing Compliance IDs preserved; universal/future/pseudo duties corrected.</x:v>
      </x:c>
    </x:row>
    <x:row r="659">
      <x:c r="A659" s="33" t="str">
        <x:v>COMP228</x:v>
      </x:c>
      <x:c r="B659" s="33" t="str">
        <x:v>Compliance Requirement Master</x:v>
      </x:c>
      <x:c r="C659" s="33" t="str">
        <x:v>Compliance Requirement=Grant system access only to authorized users based on approved roles and responsibilities.; Applicability=Mandatory; Frequency=Continuous; Due Timeline=Before user activation; Responsible Person=IT Administrator; Priority=; Remarks=User access management</x:v>
      </x:c>
      <x:c r="D659" s="33" t="str">
        <x:v>Compliance Requirement=Enable ICT logs, retain them securely for a rolling 180 days within Indian jurisdiction and provide them to CERT-In when lawfully required.; Applicability=Conditional; Frequency=Continuous; Due Timeline=Rolling 180 days; Responsible Person=IT Security Lead; Priority=High; Remarks=P-3 CERT-In clause (iv).</x:v>
      </x:c>
      <x:c r="E659" s="33" t="str">
        <x:v>CORRECT</x:v>
      </x:c>
      <x:c r="F659" s="33" t="str">
        <x:v>Align production requirements with current central law, thresholds, role triggers and commencement.</x:v>
      </x:c>
      <x:c r="G659" s="33" t="str">
        <x:v>P-3 official-source review</x:v>
      </x:c>
      <x:c r="H659"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59" s="33" t="str">
        <x:v>P-3</x:v>
      </x:c>
      <x:c r="J659" s="33" t="str">
        <x:v>2026-08-20</x:v>
      </x:c>
      <x:c r="K659" s="33" t="str">
        <x:v>Existing Compliance IDs preserved; universal/future/pseudo duties corrected.</x:v>
      </x:c>
    </x:row>
    <x:row r="660">
      <x:c r="A660" s="33" t="str">
        <x:v>COMP229</x:v>
      </x:c>
      <x:c r="B660" s="33" t="str">
        <x:v>Compliance Requirement Master</x:v>
      </x:c>
      <x:c r="C660" s="33" t="str">
        <x:v>Compliance Requirement=Conduct periodic vulnerability assessments and security reviews of pharmacy systems.; Applicability=Conditional; Frequency=Half-Yearly; Due Timeline=As per security plan; Responsible Person=IT Security Officer; Remarks=Security assessment</x:v>
      </x:c>
      <x:c r="D660" s="33" t="str">
        <x:v>Compliance Requirement=Designate, communicate and keep current the prescribed CERT-In point-of-contact details.; Applicability=Conditional; Frequency=As Applicable; Due Timeline=Before/while within scope; update on change; Responsible Person=IT Security Lead; Remarks=P-3 CERT-In clause (v).</x:v>
      </x:c>
      <x:c r="E660" s="33" t="str">
        <x:v>CORRECT</x:v>
      </x:c>
      <x:c r="F660" s="33" t="str">
        <x:v>Align production requirements with current central law, thresholds, role triggers and commencement.</x:v>
      </x:c>
      <x:c r="G660" s="33" t="str">
        <x:v>P-3 official-source review</x:v>
      </x:c>
      <x:c r="H660"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60" s="33" t="str">
        <x:v>P-3</x:v>
      </x:c>
      <x:c r="J660" s="33" t="str">
        <x:v>2026-08-20</x:v>
      </x:c>
      <x:c r="K660" s="33" t="str">
        <x:v>Existing Compliance IDs preserved; universal/future/pseudo duties corrected.</x:v>
      </x:c>
    </x:row>
    <x:row r="661">
      <x:c r="A661" s="33" t="str">
        <x:v>COMP230</x:v>
      </x:c>
      <x:c r="B661" s="33" t="str">
        <x:v>Compliance Requirement Master</x:v>
      </x:c>
      <x:c r="C661" s="33" t="str">
        <x:v>Applicability=Conditional; Frequency=Annual; Active=Yes; Remarks=Privacy notice</x:v>
      </x:c>
      <x:c r="D661" s="33" t="str">
        <x:v>Applicability=Optional; Frequency=As Applicable; Active=No; Remarks=P-3 FUTURE-EFFECTIVE DPDP Rule 3 readiness only.</x:v>
      </x:c>
      <x:c r="E661" s="33" t="str">
        <x:v>CORRECT</x:v>
      </x:c>
      <x:c r="F661" s="33" t="str">
        <x:v>Align production requirements with current central law, thresholds, role triggers and commencement.</x:v>
      </x:c>
      <x:c r="G661" s="33" t="str">
        <x:v>P-3 official-source review</x:v>
      </x:c>
      <x:c r="H661"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61" s="33" t="str">
        <x:v>P-3</x:v>
      </x:c>
      <x:c r="J661" s="33" t="str">
        <x:v>2026-08-20</x:v>
      </x:c>
      <x:c r="K661" s="33" t="str">
        <x:v>Existing Compliance IDs preserved; universal/future/pseudo duties corrected.</x:v>
      </x:c>
    </x:row>
    <x:row r="662">
      <x:c r="A662" s="33" t="str">
        <x:v>COMP231</x:v>
      </x:c>
      <x:c r="B662" s="33" t="str">
        <x:v>Compliance Requirement Master</x:v>
      </x:c>
      <x:c r="C662" s="33" t="str">
        <x:v>Applicability=Conditional; Frequency=Continuous; Active=Yes; Remarks=Consent management</x:v>
      </x:c>
      <x:c r="D662" s="33" t="str">
        <x:v>Applicability=Optional; Frequency=As Applicable; Active=No; Remarks=P-3 FUTURE-EFFECTIVE DPDP Rule 6 readiness only.</x:v>
      </x:c>
      <x:c r="E662" s="33" t="str">
        <x:v>CORRECT</x:v>
      </x:c>
      <x:c r="F662" s="33" t="str">
        <x:v>Align production requirements with current central law, thresholds, role triggers and commencement.</x:v>
      </x:c>
      <x:c r="G662" s="33" t="str">
        <x:v>P-3 official-source review</x:v>
      </x:c>
      <x:c r="H662"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62" s="33" t="str">
        <x:v>P-3</x:v>
      </x:c>
      <x:c r="J662" s="33" t="str">
        <x:v>2026-08-20</x:v>
      </x:c>
      <x:c r="K662" s="33" t="str">
        <x:v>Existing Compliance IDs preserved; universal/future/pseudo duties corrected.</x:v>
      </x:c>
    </x:row>
    <x:row r="663">
      <x:c r="A663" s="33" t="str">
        <x:v>COMP232</x:v>
      </x:c>
      <x:c r="B663" s="33" t="str">
        <x:v>Compliance Requirement Master</x:v>
      </x:c>
      <x:c r="C663" s="33" t="str">
        <x:v>Applicability=Conditional; Frequency=Continuous; Active=Yes; Remarks=Consent records</x:v>
      </x:c>
      <x:c r="D663" s="33" t="str">
        <x:v>Applicability=Optional; Frequency=Event Based; Active=No; Remarks=P-3 FUTURE-EFFECTIVE DPDP Rule 7 readiness only.</x:v>
      </x:c>
      <x:c r="E663" s="33" t="str">
        <x:v>CORRECT</x:v>
      </x:c>
      <x:c r="F663" s="33" t="str">
        <x:v>Align production requirements with current central law, thresholds, role triggers and commencement.</x:v>
      </x:c>
      <x:c r="G663" s="33" t="str">
        <x:v>P-3 official-source review</x:v>
      </x:c>
      <x:c r="H663"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63" s="33" t="str">
        <x:v>P-3</x:v>
      </x:c>
      <x:c r="J663" s="33" t="str">
        <x:v>2026-08-20</x:v>
      </x:c>
      <x:c r="K663" s="33" t="str">
        <x:v>Existing Compliance IDs preserved; universal/future/pseudo duties corrected.</x:v>
      </x:c>
    </x:row>
    <x:row r="664">
      <x:c r="A664" s="33" t="str">
        <x:v>COMP233</x:v>
      </x:c>
      <x:c r="B664" s="33" t="str">
        <x:v>Compliance Requirement Master</x:v>
      </x:c>
      <x:c r="C664" s="33" t="str">
        <x:v>Applicability=Conditional; Frequency=Event Based; Active=Yes; Remarks=Data principal rights</x:v>
      </x:c>
      <x:c r="D664" s="33" t="str">
        <x:v>Applicability=Optional; Frequency=Event Based; Active=No; Remarks=P-3 FUTURE-EFFECTIVE DPDP Rule 13 readiness only.</x:v>
      </x:c>
      <x:c r="E664" s="33" t="str">
        <x:v>CORRECT</x:v>
      </x:c>
      <x:c r="F664" s="33" t="str">
        <x:v>Align production requirements with current central law, thresholds, role triggers and commencement.</x:v>
      </x:c>
      <x:c r="G664" s="33" t="str">
        <x:v>P-3 official-source review</x:v>
      </x:c>
      <x:c r="H664"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64" s="33" t="str">
        <x:v>P-3</x:v>
      </x:c>
      <x:c r="J664" s="33" t="str">
        <x:v>2026-08-20</x:v>
      </x:c>
      <x:c r="K664" s="33" t="str">
        <x:v>Existing Compliance IDs preserved; universal/future/pseudo duties corrected.</x:v>
      </x:c>
    </x:row>
    <x:row r="665">
      <x:c r="A665" s="33" t="str">
        <x:v>COMP234</x:v>
      </x:c>
      <x:c r="B665" s="33" t="str">
        <x:v>Compliance Requirement Master</x:v>
      </x:c>
      <x:c r="C665" s="33" t="str">
        <x:v>Applicability=Mandatory; Frequency=Continuous; Active=Yes; Remarks=Data protection safeguards</x:v>
      </x:c>
      <x:c r="D665" s="33" t="str">
        <x:v>Applicability=Optional; Frequency=As Applicable; Active=No; Remarks=P-3 FUTURE-EFFECTIVE/role-conditional DPDP readiness only.</x:v>
      </x:c>
      <x:c r="E665" s="33" t="str">
        <x:v>CORRECT</x:v>
      </x:c>
      <x:c r="F665" s="33" t="str">
        <x:v>Align production requirements with current central law, thresholds, role triggers and commencement.</x:v>
      </x:c>
      <x:c r="G665" s="33" t="str">
        <x:v>P-3 official-source review</x:v>
      </x:c>
      <x:c r="H665"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65" s="33" t="str">
        <x:v>P-3</x:v>
      </x:c>
      <x:c r="J665" s="33" t="str">
        <x:v>2026-08-20</x:v>
      </x:c>
      <x:c r="K665" s="33" t="str">
        <x:v>Existing Compliance IDs preserved; universal/future/pseudo duties corrected.</x:v>
      </x:c>
    </x:row>
    <x:row r="666">
      <x:c r="A666" s="33" t="str">
        <x:v>COMP235</x:v>
      </x:c>
      <x:c r="B666" s="33" t="str">
        <x:v>Compliance Requirement Master</x:v>
      </x:c>
      <x:c r="C666" s="33" t="str">
        <x:v>Applicability=Event Based; Frequency=Event Based; Active=Yes; Remarks=Breach register</x:v>
      </x:c>
      <x:c r="D666" s="33" t="str">
        <x:v>Applicability=Optional; Frequency=As Applicable; Active=No; Remarks=P-3 FUTURE-EFFECTIVE evidence-readiness placeholder; no generic current breach-register duty.</x:v>
      </x:c>
      <x:c r="E666" s="33" t="str">
        <x:v>CORRECT</x:v>
      </x:c>
      <x:c r="F666" s="33" t="str">
        <x:v>Align production requirements with current central law, thresholds, role triggers and commencement.</x:v>
      </x:c>
      <x:c r="G666" s="33" t="str">
        <x:v>P-3 official-source review</x:v>
      </x:c>
      <x:c r="H666" s="33" t="str">
        <x:v>https://hspcb.gov.in/viewall/bio-medical-waste-rules | https://www.labour.gov.in/offerings/schemes-and-services/details/labour-codes-gzNzQzMtQWa | https://www.incometax.gov.in/iec/foportal/help/all-topics/e-filing-services/objective-and-scope-new-act-faq | https://consumeraffairs.nic.in/acts-and-rules/consumer-protection/consumer-protection | https://cert-in.org.in/Directions70B.jsp | https://www.meity.gov.in/documents/act-and-policies/digital-personal-data-protection-rules-2025-gDOxUjMtQWa</x:v>
      </x:c>
      <x:c r="I666" s="33" t="str">
        <x:v>P-3</x:v>
      </x:c>
      <x:c r="J666" s="33" t="str">
        <x:v>2026-08-20</x:v>
      </x:c>
      <x:c r="K666" s="33" t="str">
        <x:v>Existing Compliance IDs preserved; universal/future/pseudo duties corrected.</x:v>
      </x:c>
    </x:row>
    <x:row r="667">
      <x:c r="A667" s="33" t="str">
        <x:v>PROV236</x:v>
      </x:c>
      <x:c r="B667" s="33" t="str">
        <x:v>Provision Master</x:v>
      </x:c>
      <x:c r="C667" s="33" t="str">
        <x:v>Law ID=LAW099; Provision Category=Statutory; Active=Yes; Remarks=</x:v>
      </x:c>
      <x:c r="D667" s="33" t="str">
        <x:v>Law ID=LAW099; Provision Category=Best Practice; Active=Yes; Remarks=P-3 RECLASSIFIED: optional internal governance; not a statutory provision.</x:v>
      </x:c>
      <x:c r="E667" s="33" t="str">
        <x:v>RECLASSIFY</x:v>
      </x:c>
      <x:c r="F667" s="33" t="str">
        <x:v>Preserve useful inspection/governance controls without false statutory ownership.</x:v>
      </x:c>
      <x:c r="G667" s="33" t="str">
        <x:v>P-3 legal-universe reconciliation</x:v>
      </x:c>
      <x:c r="H667" s="33" t="str">
        <x:v>P3 General Law Coverage</x:v>
      </x:c>
      <x:c r="I667" s="33" t="str">
        <x:v>P-3</x:v>
      </x:c>
      <x:c r="J667" s="33" t="str">
        <x:v>2026-08-20</x:v>
      </x:c>
      <x:c r="K667" s="33" t="str">
        <x:v>IDs remain active as Best Practice under LAW099.</x:v>
      </x:c>
    </x:row>
    <x:row r="668">
      <x:c r="A668" s="33" t="str">
        <x:v>PROV237</x:v>
      </x:c>
      <x:c r="B668" s="33" t="str">
        <x:v>Provision Master</x:v>
      </x:c>
      <x:c r="C668" s="33" t="str">
        <x:v>Law ID=LAW099; Provision Category=Statutory; Active=Yes; Remarks=</x:v>
      </x:c>
      <x:c r="D668" s="33" t="str">
        <x:v>Law ID=LAW099; Provision Category=Best Practice; Active=Yes; Remarks=P-3 RECLASSIFIED: optional internal governance; not a statutory provision.</x:v>
      </x:c>
      <x:c r="E668" s="33" t="str">
        <x:v>RECLASSIFY</x:v>
      </x:c>
      <x:c r="F668" s="33" t="str">
        <x:v>Preserve useful inspection/governance controls without false statutory ownership.</x:v>
      </x:c>
      <x:c r="G668" s="33" t="str">
        <x:v>P-3 legal-universe reconciliation</x:v>
      </x:c>
      <x:c r="H668" s="33" t="str">
        <x:v>P3 General Law Coverage</x:v>
      </x:c>
      <x:c r="I668" s="33" t="str">
        <x:v>P-3</x:v>
      </x:c>
      <x:c r="J668" s="33" t="str">
        <x:v>2026-08-20</x:v>
      </x:c>
      <x:c r="K668" s="33" t="str">
        <x:v>IDs remain active as Best Practice under LAW099.</x:v>
      </x:c>
    </x:row>
    <x:row r="669">
      <x:c r="A669" s="33" t="str">
        <x:v>PROV238</x:v>
      </x:c>
      <x:c r="B669" s="33" t="str">
        <x:v>Provision Master</x:v>
      </x:c>
      <x:c r="C669" s="33" t="str">
        <x:v>Law ID=LAW099; Provision Category=Statutory; Active=Yes; Remarks=</x:v>
      </x:c>
      <x:c r="D669" s="33" t="str">
        <x:v>Law ID=LAW099; Provision Category=Best Practice; Active=Yes; Remarks=P-3 RECLASSIFIED: optional internal governance; not a statutory provision.</x:v>
      </x:c>
      <x:c r="E669" s="33" t="str">
        <x:v>RECLASSIFY</x:v>
      </x:c>
      <x:c r="F669" s="33" t="str">
        <x:v>Preserve useful inspection/governance controls without false statutory ownership.</x:v>
      </x:c>
      <x:c r="G669" s="33" t="str">
        <x:v>P-3 legal-universe reconciliation</x:v>
      </x:c>
      <x:c r="H669" s="33" t="str">
        <x:v>P3 General Law Coverage</x:v>
      </x:c>
      <x:c r="I669" s="33" t="str">
        <x:v>P-3</x:v>
      </x:c>
      <x:c r="J669" s="33" t="str">
        <x:v>2026-08-20</x:v>
      </x:c>
      <x:c r="K669" s="33" t="str">
        <x:v>IDs remain active as Best Practice under LAW099.</x:v>
      </x:c>
    </x:row>
    <x:row r="670">
      <x:c r="A670" s="33" t="str">
        <x:v>PROV239</x:v>
      </x:c>
      <x:c r="B670" s="33" t="str">
        <x:v>Provision Master</x:v>
      </x:c>
      <x:c r="C670" s="33" t="str">
        <x:v>Law ID=LAW099; Provision Category=Statutory; Active=Yes; Remarks=</x:v>
      </x:c>
      <x:c r="D670" s="33" t="str">
        <x:v>Law ID=LAW099; Provision Category=Best Practice; Active=Yes; Remarks=P-3 RECLASSIFIED: optional internal governance; not a statutory provision.</x:v>
      </x:c>
      <x:c r="E670" s="33" t="str">
        <x:v>RECLASSIFY</x:v>
      </x:c>
      <x:c r="F670" s="33" t="str">
        <x:v>Preserve useful inspection/governance controls without false statutory ownership.</x:v>
      </x:c>
      <x:c r="G670" s="33" t="str">
        <x:v>P-3 legal-universe reconciliation</x:v>
      </x:c>
      <x:c r="H670" s="33" t="str">
        <x:v>P3 General Law Coverage</x:v>
      </x:c>
      <x:c r="I670" s="33" t="str">
        <x:v>P-3</x:v>
      </x:c>
      <x:c r="J670" s="33" t="str">
        <x:v>2026-08-20</x:v>
      </x:c>
      <x:c r="K670" s="33" t="str">
        <x:v>IDs remain active as Best Practice under LAW099.</x:v>
      </x:c>
    </x:row>
    <x:row r="671">
      <x:c r="A671" s="33" t="str">
        <x:v>PROV240</x:v>
      </x:c>
      <x:c r="B671" s="33" t="str">
        <x:v>Provision Master</x:v>
      </x:c>
      <x:c r="C671" s="33" t="str">
        <x:v>Law ID=LAW099; Provision Category=Statutory; Active=Yes; Remarks=</x:v>
      </x:c>
      <x:c r="D671" s="33" t="str">
        <x:v>Law ID=LAW099; Provision Category=Best Practice; Active=Yes; Remarks=P-3 RECLASSIFIED: optional internal governance; not a statutory provision.</x:v>
      </x:c>
      <x:c r="E671" s="33" t="str">
        <x:v>RECLASSIFY</x:v>
      </x:c>
      <x:c r="F671" s="33" t="str">
        <x:v>Preserve useful inspection/governance controls without false statutory ownership.</x:v>
      </x:c>
      <x:c r="G671" s="33" t="str">
        <x:v>P-3 legal-universe reconciliation</x:v>
      </x:c>
      <x:c r="H671" s="33" t="str">
        <x:v>P3 General Law Coverage</x:v>
      </x:c>
      <x:c r="I671" s="33" t="str">
        <x:v>P-3</x:v>
      </x:c>
      <x:c r="J671" s="33" t="str">
        <x:v>2026-08-20</x:v>
      </x:c>
      <x:c r="K671" s="33" t="str">
        <x:v>IDs remain active as Best Practice under LAW099.</x:v>
      </x:c>
    </x:row>
    <x:row r="672">
      <x:c r="A672" s="33" t="str">
        <x:v>PROV241</x:v>
      </x:c>
      <x:c r="B672" s="33" t="str">
        <x:v>Provision Master</x:v>
      </x:c>
      <x:c r="C672" s="33" t="str">
        <x:v>Law ID=LAW099; Provision Category=Statutory; Active=Yes; Remarks=</x:v>
      </x:c>
      <x:c r="D672" s="33" t="str">
        <x:v>Law ID=LAW099; Provision Category=Best Practice; Active=Yes; Remarks=P-3 RECLASSIFIED: optional internal governance; not a statutory provision.</x:v>
      </x:c>
      <x:c r="E672" s="33" t="str">
        <x:v>RECLASSIFY</x:v>
      </x:c>
      <x:c r="F672" s="33" t="str">
        <x:v>Preserve useful inspection/governance controls without false statutory ownership.</x:v>
      </x:c>
      <x:c r="G672" s="33" t="str">
        <x:v>P-3 legal-universe reconciliation</x:v>
      </x:c>
      <x:c r="H672" s="33" t="str">
        <x:v>P3 General Law Coverage</x:v>
      </x:c>
      <x:c r="I672" s="33" t="str">
        <x:v>P-3</x:v>
      </x:c>
      <x:c r="J672" s="33" t="str">
        <x:v>2026-08-20</x:v>
      </x:c>
      <x:c r="K672" s="33" t="str">
        <x:v>IDs remain active as Best Practice under LAW099.</x:v>
      </x:c>
    </x:row>
    <x:row r="673">
      <x:c r="A673" s="33" t="str">
        <x:v>PROV242</x:v>
      </x:c>
      <x:c r="B673" s="33" t="str">
        <x:v>Provision Master</x:v>
      </x:c>
      <x:c r="C673" s="33" t="str">
        <x:v>Law ID=LAW100; Provision Category=Framework; Active=Yes; Remarks=</x:v>
      </x:c>
      <x:c r="D673" s="33" t="str">
        <x:v>Law ID=LAW099; Provision Category=Best Practice; Active=Yes; Remarks=P-3 RECLASSIFIED: optional internal governance; not a statutory provision.</x:v>
      </x:c>
      <x:c r="E673" s="33" t="str">
        <x:v>RECLASSIFY</x:v>
      </x:c>
      <x:c r="F673" s="33" t="str">
        <x:v>Preserve useful inspection/governance controls without false statutory ownership.</x:v>
      </x:c>
      <x:c r="G673" s="33" t="str">
        <x:v>P-3 legal-universe reconciliation</x:v>
      </x:c>
      <x:c r="H673" s="33" t="str">
        <x:v>P3 General Law Coverage</x:v>
      </x:c>
      <x:c r="I673" s="33" t="str">
        <x:v>P-3</x:v>
      </x:c>
      <x:c r="J673" s="33" t="str">
        <x:v>2026-08-20</x:v>
      </x:c>
      <x:c r="K673" s="33" t="str">
        <x:v>IDs remain active as Best Practice under LAW099.</x:v>
      </x:c>
    </x:row>
    <x:row r="674">
      <x:c r="A674" s="33" t="str">
        <x:v>PROV243</x:v>
      </x:c>
      <x:c r="B674" s="33" t="str">
        <x:v>Provision Master</x:v>
      </x:c>
      <x:c r="C674" s="33" t="str">
        <x:v>Law ID=LAW100; Provision Category=Framework; Active=Yes; Remarks=</x:v>
      </x:c>
      <x:c r="D674" s="33" t="str">
        <x:v>Law ID=LAW099; Provision Category=Best Practice; Active=Yes; Remarks=P-3 RECLASSIFIED: optional internal governance; not a statutory provision.</x:v>
      </x:c>
      <x:c r="E674" s="33" t="str">
        <x:v>RECLASSIFY</x:v>
      </x:c>
      <x:c r="F674" s="33" t="str">
        <x:v>Preserve useful inspection/governance controls without false statutory ownership.</x:v>
      </x:c>
      <x:c r="G674" s="33" t="str">
        <x:v>P-3 legal-universe reconciliation</x:v>
      </x:c>
      <x:c r="H674" s="33" t="str">
        <x:v>P3 General Law Coverage</x:v>
      </x:c>
      <x:c r="I674" s="33" t="str">
        <x:v>P-3</x:v>
      </x:c>
      <x:c r="J674" s="33" t="str">
        <x:v>2026-08-20</x:v>
      </x:c>
      <x:c r="K674" s="33" t="str">
        <x:v>IDs remain active as Best Practice under LAW099.</x:v>
      </x:c>
    </x:row>
    <x:row r="675">
      <x:c r="A675" s="33" t="str">
        <x:v>PROV244</x:v>
      </x:c>
      <x:c r="B675" s="33" t="str">
        <x:v>Provision Master</x:v>
      </x:c>
      <x:c r="C675" s="33" t="str">
        <x:v>Law ID=LAW100; Provision Category=Framework; Active=Yes; Remarks=</x:v>
      </x:c>
      <x:c r="D675" s="33" t="str">
        <x:v>Law ID=LAW099; Provision Category=Best Practice; Active=Yes; Remarks=P-3 RECLASSIFIED: optional internal governance; not a statutory provision.</x:v>
      </x:c>
      <x:c r="E675" s="33" t="str">
        <x:v>RECLASSIFY</x:v>
      </x:c>
      <x:c r="F675" s="33" t="str">
        <x:v>Preserve useful inspection/governance controls without false statutory ownership.</x:v>
      </x:c>
      <x:c r="G675" s="33" t="str">
        <x:v>P-3 legal-universe reconciliation</x:v>
      </x:c>
      <x:c r="H675" s="33" t="str">
        <x:v>P3 General Law Coverage</x:v>
      </x:c>
      <x:c r="I675" s="33" t="str">
        <x:v>P-3</x:v>
      </x:c>
      <x:c r="J675" s="33" t="str">
        <x:v>2026-08-20</x:v>
      </x:c>
      <x:c r="K675" s="33" t="str">
        <x:v>IDs remain active as Best Practice under LAW099.</x:v>
      </x:c>
    </x:row>
    <x:row r="676">
      <x:c r="A676" s="33" t="str">
        <x:v>PROV245</x:v>
      </x:c>
      <x:c r="B676" s="33" t="str">
        <x:v>Provision Master</x:v>
      </x:c>
      <x:c r="C676" s="33" t="str">
        <x:v>Law ID=LAW100; Provision Category=Framework; Active=Yes; Remarks=</x:v>
      </x:c>
      <x:c r="D676" s="33" t="str">
        <x:v>Law ID=LAW099; Provision Category=Best Practice; Active=Yes; Remarks=P-3 RECLASSIFIED: optional internal governance; not a statutory provision.</x:v>
      </x:c>
      <x:c r="E676" s="33" t="str">
        <x:v>RECLASSIFY</x:v>
      </x:c>
      <x:c r="F676" s="33" t="str">
        <x:v>Preserve useful inspection/governance controls without false statutory ownership.</x:v>
      </x:c>
      <x:c r="G676" s="33" t="str">
        <x:v>P-3 legal-universe reconciliation</x:v>
      </x:c>
      <x:c r="H676" s="33" t="str">
        <x:v>P3 General Law Coverage</x:v>
      </x:c>
      <x:c r="I676" s="33" t="str">
        <x:v>P-3</x:v>
      </x:c>
      <x:c r="J676" s="33" t="str">
        <x:v>2026-08-20</x:v>
      </x:c>
      <x:c r="K676" s="33" t="str">
        <x:v>IDs remain active as Best Practice under LAW099.</x:v>
      </x:c>
    </x:row>
    <x:row r="677">
      <x:c r="A677" s="33" t="str">
        <x:v>PROV246</x:v>
      </x:c>
      <x:c r="B677" s="33" t="str">
        <x:v>Provision Master</x:v>
      </x:c>
      <x:c r="C677" s="33" t="str">
        <x:v>Law ID=LAW100; Provision Category=Framework; Active=Yes; Remarks=</x:v>
      </x:c>
      <x:c r="D677" s="33" t="str">
        <x:v>Law ID=LAW099; Provision Category=Best Practice; Active=Yes; Remarks=P-3 RECLASSIFIED: optional internal governance; not a statutory provision.</x:v>
      </x:c>
      <x:c r="E677" s="33" t="str">
        <x:v>RECLASSIFY</x:v>
      </x:c>
      <x:c r="F677" s="33" t="str">
        <x:v>Preserve useful inspection/governance controls without false statutory ownership.</x:v>
      </x:c>
      <x:c r="G677" s="33" t="str">
        <x:v>P-3 legal-universe reconciliation</x:v>
      </x:c>
      <x:c r="H677" s="33" t="str">
        <x:v>P3 General Law Coverage</x:v>
      </x:c>
      <x:c r="I677" s="33" t="str">
        <x:v>P-3</x:v>
      </x:c>
      <x:c r="J677" s="33" t="str">
        <x:v>2026-08-20</x:v>
      </x:c>
      <x:c r="K677" s="33" t="str">
        <x:v>IDs remain active as Best Practice under LAW099.</x:v>
      </x:c>
    </x:row>
    <x:row r="678">
      <x:c r="A678" s="33" t="str">
        <x:v>PROV247</x:v>
      </x:c>
      <x:c r="B678" s="33" t="str">
        <x:v>Provision Master</x:v>
      </x:c>
      <x:c r="C678" s="33" t="str">
        <x:v>Law ID=LAW100; Provision Category=Framework; Active=Yes; Remarks=</x:v>
      </x:c>
      <x:c r="D678" s="33" t="str">
        <x:v>Law ID=LAW099; Provision Category=Best Practice; Active=Yes; Remarks=P-3 RECLASSIFIED: optional internal governance; not a statutory provision.</x:v>
      </x:c>
      <x:c r="E678" s="33" t="str">
        <x:v>RECLASSIFY</x:v>
      </x:c>
      <x:c r="F678" s="33" t="str">
        <x:v>Preserve useful inspection/governance controls without false statutory ownership.</x:v>
      </x:c>
      <x:c r="G678" s="33" t="str">
        <x:v>P-3 legal-universe reconciliation</x:v>
      </x:c>
      <x:c r="H678" s="33" t="str">
        <x:v>P3 General Law Coverage</x:v>
      </x:c>
      <x:c r="I678" s="33" t="str">
        <x:v>P-3</x:v>
      </x:c>
      <x:c r="J678" s="33" t="str">
        <x:v>2026-08-20</x:v>
      </x:c>
      <x:c r="K678" s="33" t="str">
        <x:v>IDs remain active as Best Practice under LAW099.</x:v>
      </x:c>
    </x:row>
    <x:row r="679">
      <x:c r="A679" s="33" t="str">
        <x:v>PROV248</x:v>
      </x:c>
      <x:c r="B679" s="33" t="str">
        <x:v>Provision Master</x:v>
      </x:c>
      <x:c r="C679" s="33" t="str">
        <x:v>Law ID=LAW100; Provision Category=Framework; Active=Yes; Remarks=</x:v>
      </x:c>
      <x:c r="D679" s="33" t="str">
        <x:v>Law ID=LAW099; Provision Category=Best Practice; Active=Yes; Remarks=P-3 RECLASSIFIED: optional internal governance; not a statutory provision.</x:v>
      </x:c>
      <x:c r="E679" s="33" t="str">
        <x:v>RECLASSIFY</x:v>
      </x:c>
      <x:c r="F679" s="33" t="str">
        <x:v>Preserve useful inspection/governance controls without false statutory ownership.</x:v>
      </x:c>
      <x:c r="G679" s="33" t="str">
        <x:v>P-3 legal-universe reconciliation</x:v>
      </x:c>
      <x:c r="H679" s="33" t="str">
        <x:v>P3 General Law Coverage</x:v>
      </x:c>
      <x:c r="I679" s="33" t="str">
        <x:v>P-3</x:v>
      </x:c>
      <x:c r="J679" s="33" t="str">
        <x:v>2026-08-20</x:v>
      </x:c>
      <x:c r="K679" s="33" t="str">
        <x:v>IDs remain active as Best Practice under LAW099.</x:v>
      </x:c>
    </x:row>
    <x:row r="680">
      <x:c r="A680" s="33" t="str">
        <x:v>PROV249</x:v>
      </x:c>
      <x:c r="B680" s="33" t="str">
        <x:v>Provision Master</x:v>
      </x:c>
      <x:c r="C680" s="33" t="str">
        <x:v>Law ID=LAW100; Provision Category=Framework; Active=Yes; Remarks=</x:v>
      </x:c>
      <x:c r="D680" s="33" t="str">
        <x:v>Law ID=LAW099; Provision Category=Best Practice; Active=Yes; Remarks=P-3 RECLASSIFIED: optional internal governance; not a statutory provision.</x:v>
      </x:c>
      <x:c r="E680" s="33" t="str">
        <x:v>RECLASSIFY</x:v>
      </x:c>
      <x:c r="F680" s="33" t="str">
        <x:v>Preserve useful inspection/governance controls without false statutory ownership.</x:v>
      </x:c>
      <x:c r="G680" s="33" t="str">
        <x:v>P-3 legal-universe reconciliation</x:v>
      </x:c>
      <x:c r="H680" s="33" t="str">
        <x:v>P3 General Law Coverage</x:v>
      </x:c>
      <x:c r="I680" s="33" t="str">
        <x:v>P-3</x:v>
      </x:c>
      <x:c r="J680" s="33" t="str">
        <x:v>2026-08-20</x:v>
      </x:c>
      <x:c r="K680" s="33" t="str">
        <x:v>IDs remain active as Best Practice under LAW099.</x:v>
      </x:c>
    </x:row>
    <x:row r="681">
      <x:c r="A681" s="33" t="str">
        <x:v>PROV250</x:v>
      </x:c>
      <x:c r="B681" s="33" t="str">
        <x:v>Provision Master</x:v>
      </x:c>
      <x:c r="C681" s="33" t="str">
        <x:v>Law ID=LAW100; Provision Category=Framework; Active=Yes; Remarks=</x:v>
      </x:c>
      <x:c r="D681" s="33" t="str">
        <x:v>Law ID=LAW099; Provision Category=Best Practice; Active=Yes; Remarks=P-3 RECLASSIFIED: optional internal governance; not a statutory provision.</x:v>
      </x:c>
      <x:c r="E681" s="33" t="str">
        <x:v>RECLASSIFY</x:v>
      </x:c>
      <x:c r="F681" s="33" t="str">
        <x:v>Preserve useful inspection/governance controls without false statutory ownership.</x:v>
      </x:c>
      <x:c r="G681" s="33" t="str">
        <x:v>P-3 legal-universe reconciliation</x:v>
      </x:c>
      <x:c r="H681" s="33" t="str">
        <x:v>P3 General Law Coverage</x:v>
      </x:c>
      <x:c r="I681" s="33" t="str">
        <x:v>P-3</x:v>
      </x:c>
      <x:c r="J681" s="33" t="str">
        <x:v>2026-08-20</x:v>
      </x:c>
      <x:c r="K681" s="33" t="str">
        <x:v>IDs remain active as Best Practice under LAW099.</x:v>
      </x:c>
    </x:row>
    <x:row r="682">
      <x:c r="A682" s="33" t="str">
        <x:v>PROV251</x:v>
      </x:c>
      <x:c r="B682" s="33" t="str">
        <x:v>Provision Master</x:v>
      </x:c>
      <x:c r="C682" s="33" t="str">
        <x:v>Law ID=LAW099; Provision Category=Statutory; Active=Yes; Remarks=</x:v>
      </x:c>
      <x:c r="D682" s="33" t="str">
        <x:v>Law ID=LAW099; Provision Category=Best Practice; Active=Yes; Remarks=P-3 RECLASSIFIED: optional internal governance; not a statutory provision.</x:v>
      </x:c>
      <x:c r="E682" s="33" t="str">
        <x:v>RECLASSIFY</x:v>
      </x:c>
      <x:c r="F682" s="33" t="str">
        <x:v>Preserve useful inspection/governance controls without false statutory ownership.</x:v>
      </x:c>
      <x:c r="G682" s="33" t="str">
        <x:v>P-3 legal-universe reconciliation</x:v>
      </x:c>
      <x:c r="H682" s="33" t="str">
        <x:v>P3 General Law Coverage</x:v>
      </x:c>
      <x:c r="I682" s="33" t="str">
        <x:v>P-3</x:v>
      </x:c>
      <x:c r="J682" s="33" t="str">
        <x:v>2026-08-20</x:v>
      </x:c>
      <x:c r="K682" s="33" t="str">
        <x:v>IDs remain active as Best Practice under LAW099.</x:v>
      </x:c>
    </x:row>
    <x:row r="683">
      <x:c r="A683" s="33" t="str">
        <x:v>PROV252</x:v>
      </x:c>
      <x:c r="B683" s="33" t="str">
        <x:v>Provision Master</x:v>
      </x:c>
      <x:c r="C683" s="33" t="str">
        <x:v>Law ID=LAW099; Provision Category=Statutory; Active=Yes; Remarks=</x:v>
      </x:c>
      <x:c r="D683" s="33" t="str">
        <x:v>Law ID=LAW099; Provision Category=Best Practice; Active=Yes; Remarks=P-3 RECLASSIFIED: optional internal governance; not a statutory provision.</x:v>
      </x:c>
      <x:c r="E683" s="33" t="str">
        <x:v>RECLASSIFY</x:v>
      </x:c>
      <x:c r="F683" s="33" t="str">
        <x:v>Preserve useful inspection/governance controls without false statutory ownership.</x:v>
      </x:c>
      <x:c r="G683" s="33" t="str">
        <x:v>P-3 legal-universe reconciliation</x:v>
      </x:c>
      <x:c r="H683" s="33" t="str">
        <x:v>P3 General Law Coverage</x:v>
      </x:c>
      <x:c r="I683" s="33" t="str">
        <x:v>P-3</x:v>
      </x:c>
      <x:c r="J683" s="33" t="str">
        <x:v>2026-08-20</x:v>
      </x:c>
      <x:c r="K683" s="33" t="str">
        <x:v>IDs remain active as Best Practice under LAW099.</x:v>
      </x:c>
    </x:row>
    <x:row r="684">
      <x:c r="A684" s="33" t="str">
        <x:v>PROV253</x:v>
      </x:c>
      <x:c r="B684" s="33" t="str">
        <x:v>Provision Master</x:v>
      </x:c>
      <x:c r="C684" s="33" t="str">
        <x:v>Law ID=LAW099; Provision Category=Statutory; Active=Yes; Remarks=</x:v>
      </x:c>
      <x:c r="D684" s="33" t="str">
        <x:v>Law ID=LAW099; Provision Category=Best Practice; Active=Yes; Remarks=P-3 RECLASSIFIED: optional internal governance; not a statutory provision.</x:v>
      </x:c>
      <x:c r="E684" s="33" t="str">
        <x:v>RECLASSIFY</x:v>
      </x:c>
      <x:c r="F684" s="33" t="str">
        <x:v>Preserve useful inspection/governance controls without false statutory ownership.</x:v>
      </x:c>
      <x:c r="G684" s="33" t="str">
        <x:v>P-3 legal-universe reconciliation</x:v>
      </x:c>
      <x:c r="H684" s="33" t="str">
        <x:v>P3 General Law Coverage</x:v>
      </x:c>
      <x:c r="I684" s="33" t="str">
        <x:v>P-3</x:v>
      </x:c>
      <x:c r="J684" s="33" t="str">
        <x:v>2026-08-20</x:v>
      </x:c>
      <x:c r="K684" s="33" t="str">
        <x:v>IDs remain active as Best Practice under LAW099.</x:v>
      </x:c>
    </x:row>
    <x:row r="685">
      <x:c r="A685" s="33" t="str">
        <x:v>PROV254</x:v>
      </x:c>
      <x:c r="B685" s="33" t="str">
        <x:v>Provision Master</x:v>
      </x:c>
      <x:c r="C685" s="33" t="str">
        <x:v>Law ID=LAW099; Provision Category=Statutory; Active=Yes; Remarks=</x:v>
      </x:c>
      <x:c r="D685" s="33" t="str">
        <x:v>Law ID=LAW099; Provision Category=Best Practice; Active=Yes; Remarks=P-3 RECLASSIFIED: optional internal governance; not a statutory provision.</x:v>
      </x:c>
      <x:c r="E685" s="33" t="str">
        <x:v>RECLASSIFY</x:v>
      </x:c>
      <x:c r="F685" s="33" t="str">
        <x:v>Preserve useful inspection/governance controls without false statutory ownership.</x:v>
      </x:c>
      <x:c r="G685" s="33" t="str">
        <x:v>P-3 legal-universe reconciliation</x:v>
      </x:c>
      <x:c r="H685" s="33" t="str">
        <x:v>P3 General Law Coverage</x:v>
      </x:c>
      <x:c r="I685" s="33" t="str">
        <x:v>P-3</x:v>
      </x:c>
      <x:c r="J685" s="33" t="str">
        <x:v>2026-08-20</x:v>
      </x:c>
      <x:c r="K685" s="33" t="str">
        <x:v>IDs remain active as Best Practice under LAW099.</x:v>
      </x:c>
    </x:row>
    <x:row r="686">
      <x:c r="A686" s="33" t="str">
        <x:v>PROV255</x:v>
      </x:c>
      <x:c r="B686" s="33" t="str">
        <x:v>Provision Master</x:v>
      </x:c>
      <x:c r="C686" s="33" t="str">
        <x:v>Law ID=LAW099; Provision Category=Statutory; Active=Yes; Remarks=</x:v>
      </x:c>
      <x:c r="D686" s="33" t="str">
        <x:v>Law ID=LAW099; Provision Category=Best Practice; Active=Yes; Remarks=P-3 RECLASSIFIED: optional internal governance; not a statutory provision.</x:v>
      </x:c>
      <x:c r="E686" s="33" t="str">
        <x:v>RECLASSIFY</x:v>
      </x:c>
      <x:c r="F686" s="33" t="str">
        <x:v>Preserve useful inspection/governance controls without false statutory ownership.</x:v>
      </x:c>
      <x:c r="G686" s="33" t="str">
        <x:v>P-3 legal-universe reconciliation</x:v>
      </x:c>
      <x:c r="H686" s="33" t="str">
        <x:v>P3 General Law Coverage</x:v>
      </x:c>
      <x:c r="I686" s="33" t="str">
        <x:v>P-3</x:v>
      </x:c>
      <x:c r="J686" s="33" t="str">
        <x:v>2026-08-20</x:v>
      </x:c>
      <x:c r="K686" s="33" t="str">
        <x:v>IDs remain active as Best Practice under LAW099.</x:v>
      </x:c>
    </x:row>
    <x:row r="687">
      <x:c r="A687" s="33" t="str">
        <x:v>PROV256</x:v>
      </x:c>
      <x:c r="B687" s="33" t="str">
        <x:v>Provision Master</x:v>
      </x:c>
      <x:c r="C687" s="33" t="str">
        <x:v>Law ID=LAW099; Provision Category=Statutory; Active=Yes; Remarks=</x:v>
      </x:c>
      <x:c r="D687" s="33" t="str">
        <x:v>Law ID=LAW099; Provision Category=Best Practice; Active=Yes; Remarks=P-3 RECLASSIFIED: optional internal governance; not a statutory provision.</x:v>
      </x:c>
      <x:c r="E687" s="33" t="str">
        <x:v>RECLASSIFY</x:v>
      </x:c>
      <x:c r="F687" s="33" t="str">
        <x:v>Preserve useful inspection/governance controls without false statutory ownership.</x:v>
      </x:c>
      <x:c r="G687" s="33" t="str">
        <x:v>P-3 legal-universe reconciliation</x:v>
      </x:c>
      <x:c r="H687" s="33" t="str">
        <x:v>P3 General Law Coverage</x:v>
      </x:c>
      <x:c r="I687" s="33" t="str">
        <x:v>P-3</x:v>
      </x:c>
      <x:c r="J687" s="33" t="str">
        <x:v>2026-08-20</x:v>
      </x:c>
      <x:c r="K687" s="33" t="str">
        <x:v>IDs remain active as Best Practice under LAW099.</x:v>
      </x:c>
    </x:row>
    <x:row r="688">
      <x:c r="A688" s="33" t="str">
        <x:v>PROV257</x:v>
      </x:c>
      <x:c r="B688" s="33" t="str">
        <x:v>Provision Master</x:v>
      </x:c>
      <x:c r="C688" s="33" t="str">
        <x:v>Law ID=LAW099; Provision Category=Statutory; Active=Yes; Remarks=</x:v>
      </x:c>
      <x:c r="D688" s="33" t="str">
        <x:v>Law ID=LAW099; Provision Category=Best Practice; Active=Yes; Remarks=P-3 RECLASSIFIED: optional internal governance; not a statutory provision.</x:v>
      </x:c>
      <x:c r="E688" s="33" t="str">
        <x:v>RECLASSIFY</x:v>
      </x:c>
      <x:c r="F688" s="33" t="str">
        <x:v>Preserve useful inspection/governance controls without false statutory ownership.</x:v>
      </x:c>
      <x:c r="G688" s="33" t="str">
        <x:v>P-3 legal-universe reconciliation</x:v>
      </x:c>
      <x:c r="H688" s="33" t="str">
        <x:v>P3 General Law Coverage</x:v>
      </x:c>
      <x:c r="I688" s="33" t="str">
        <x:v>P-3</x:v>
      </x:c>
      <x:c r="J688" s="33" t="str">
        <x:v>2026-08-20</x:v>
      </x:c>
      <x:c r="K688" s="33" t="str">
        <x:v>IDs remain active as Best Practice under LAW099.</x:v>
      </x:c>
    </x:row>
    <x:row r="689">
      <x:c r="A689" s="33" t="str">
        <x:v>PROV258</x:v>
      </x:c>
      <x:c r="B689" s="33" t="str">
        <x:v>Provision Master</x:v>
      </x:c>
      <x:c r="C689" s="33" t="str">
        <x:v>Law ID=LAW100; Provision Category=Framework; Active=Yes; Remarks=</x:v>
      </x:c>
      <x:c r="D689" s="33" t="str">
        <x:v>Law ID=LAW099; Provision Category=Best Practice; Active=Yes; Remarks=P-3 RECLASSIFIED: optional internal governance; not a statutory provision.</x:v>
      </x:c>
      <x:c r="E689" s="33" t="str">
        <x:v>RECLASSIFY</x:v>
      </x:c>
      <x:c r="F689" s="33" t="str">
        <x:v>Preserve useful inspection/governance controls without false statutory ownership.</x:v>
      </x:c>
      <x:c r="G689" s="33" t="str">
        <x:v>P-3 legal-universe reconciliation</x:v>
      </x:c>
      <x:c r="H689" s="33" t="str">
        <x:v>P3 General Law Coverage</x:v>
      </x:c>
      <x:c r="I689" s="33" t="str">
        <x:v>P-3</x:v>
      </x:c>
      <x:c r="J689" s="33" t="str">
        <x:v>2026-08-20</x:v>
      </x:c>
      <x:c r="K689" s="33" t="str">
        <x:v>IDs remain active as Best Practice under LAW099.</x:v>
      </x:c>
    </x:row>
    <x:row r="690">
      <x:c r="A690" s="33" t="str">
        <x:v>PROV259</x:v>
      </x:c>
      <x:c r="B690" s="33" t="str">
        <x:v>Provision Master</x:v>
      </x:c>
      <x:c r="C690" s="33" t="str">
        <x:v>Law ID=LAW100; Provision Category=Framework; Active=Yes; Remarks=</x:v>
      </x:c>
      <x:c r="D690" s="33" t="str">
        <x:v>Law ID=LAW099; Provision Category=Best Practice; Active=Yes; Remarks=P-3 RECLASSIFIED: optional internal governance; not a statutory provision.</x:v>
      </x:c>
      <x:c r="E690" s="33" t="str">
        <x:v>RECLASSIFY</x:v>
      </x:c>
      <x:c r="F690" s="33" t="str">
        <x:v>Preserve useful inspection/governance controls without false statutory ownership.</x:v>
      </x:c>
      <x:c r="G690" s="33" t="str">
        <x:v>P-3 legal-universe reconciliation</x:v>
      </x:c>
      <x:c r="H690" s="33" t="str">
        <x:v>P3 General Law Coverage</x:v>
      </x:c>
      <x:c r="I690" s="33" t="str">
        <x:v>P-3</x:v>
      </x:c>
      <x:c r="J690" s="33" t="str">
        <x:v>2026-08-20</x:v>
      </x:c>
      <x:c r="K690" s="33" t="str">
        <x:v>IDs remain active as Best Practice under LAW099.</x:v>
      </x:c>
    </x:row>
    <x:row r="691">
      <x:c r="A691" s="33" t="str">
        <x:v>PROV260</x:v>
      </x:c>
      <x:c r="B691" s="33" t="str">
        <x:v>Provision Master</x:v>
      </x:c>
      <x:c r="C691" s="33" t="str">
        <x:v>Law ID=LAW100; Provision Category=Framework; Active=Yes; Remarks=</x:v>
      </x:c>
      <x:c r="D691" s="33" t="str">
        <x:v>Law ID=LAW099; Provision Category=Best Practice; Active=Yes; Remarks=P-3 RECLASSIFIED: optional internal governance; not a statutory provision.</x:v>
      </x:c>
      <x:c r="E691" s="33" t="str">
        <x:v>RECLASSIFY</x:v>
      </x:c>
      <x:c r="F691" s="33" t="str">
        <x:v>Preserve useful inspection/governance controls without false statutory ownership.</x:v>
      </x:c>
      <x:c r="G691" s="33" t="str">
        <x:v>P-3 legal-universe reconciliation</x:v>
      </x:c>
      <x:c r="H691" s="33" t="str">
        <x:v>P3 General Law Coverage</x:v>
      </x:c>
      <x:c r="I691" s="33" t="str">
        <x:v>P-3</x:v>
      </x:c>
      <x:c r="J691" s="33" t="str">
        <x:v>2026-08-20</x:v>
      </x:c>
      <x:c r="K691" s="33" t="str">
        <x:v>IDs remain active as Best Practice under LAW099.</x:v>
      </x:c>
    </x:row>
    <x:row r="692">
      <x:c r="A692" s="33" t="str">
        <x:v>PROV261</x:v>
      </x:c>
      <x:c r="B692" s="33" t="str">
        <x:v>Provision Master</x:v>
      </x:c>
      <x:c r="C692" s="33" t="str">
        <x:v>Law ID=LAW100; Provision Category=Framework; Active=Yes; Remarks=</x:v>
      </x:c>
      <x:c r="D692" s="33" t="str">
        <x:v>Law ID=LAW099; Provision Category=Best Practice; Active=Yes; Remarks=P-3 RECLASSIFIED: optional internal governance; not a statutory provision.</x:v>
      </x:c>
      <x:c r="E692" s="33" t="str">
        <x:v>RECLASSIFY</x:v>
      </x:c>
      <x:c r="F692" s="33" t="str">
        <x:v>Preserve useful inspection/governance controls without false statutory ownership.</x:v>
      </x:c>
      <x:c r="G692" s="33" t="str">
        <x:v>P-3 legal-universe reconciliation</x:v>
      </x:c>
      <x:c r="H692" s="33" t="str">
        <x:v>P3 General Law Coverage</x:v>
      </x:c>
      <x:c r="I692" s="33" t="str">
        <x:v>P-3</x:v>
      </x:c>
      <x:c r="J692" s="33" t="str">
        <x:v>2026-08-20</x:v>
      </x:c>
      <x:c r="K692" s="33" t="str">
        <x:v>IDs remain active as Best Practice under LAW099.</x:v>
      </x:c>
    </x:row>
    <x:row r="693">
      <x:c r="A693" s="33" t="str">
        <x:v>PROV262</x:v>
      </x:c>
      <x:c r="B693" s="33" t="str">
        <x:v>Provision Master</x:v>
      </x:c>
      <x:c r="C693" s="33" t="str">
        <x:v>Law ID=LAW100; Provision Category=Framework; Active=Yes; Remarks=</x:v>
      </x:c>
      <x:c r="D693" s="33" t="str">
        <x:v>Law ID=LAW099; Provision Category=Best Practice; Active=Yes; Remarks=P-3 RECLASSIFIED: optional internal governance; not a statutory provision.</x:v>
      </x:c>
      <x:c r="E693" s="33" t="str">
        <x:v>RECLASSIFY</x:v>
      </x:c>
      <x:c r="F693" s="33" t="str">
        <x:v>Preserve useful inspection/governance controls without false statutory ownership.</x:v>
      </x:c>
      <x:c r="G693" s="33" t="str">
        <x:v>P-3 legal-universe reconciliation</x:v>
      </x:c>
      <x:c r="H693" s="33" t="str">
        <x:v>P3 General Law Coverage</x:v>
      </x:c>
      <x:c r="I693" s="33" t="str">
        <x:v>P-3</x:v>
      </x:c>
      <x:c r="J693" s="33" t="str">
        <x:v>2026-08-20</x:v>
      </x:c>
      <x:c r="K693" s="33" t="str">
        <x:v>IDs remain active as Best Practice under LAW099.</x:v>
      </x:c>
    </x:row>
    <x:row r="694">
      <x:c r="A694" s="33" t="str">
        <x:v>PROV263</x:v>
      </x:c>
      <x:c r="B694" s="33" t="str">
        <x:v>Provision Master</x:v>
      </x:c>
      <x:c r="C694" s="33" t="str">
        <x:v>Law ID=LAW100; Provision Category=Framework; Active=Yes; Remarks=</x:v>
      </x:c>
      <x:c r="D694" s="33" t="str">
        <x:v>Law ID=LAW099; Provision Category=Best Practice; Active=Yes; Remarks=P-3 RECLASSIFIED: optional internal governance; not a statutory provision.</x:v>
      </x:c>
      <x:c r="E694" s="33" t="str">
        <x:v>RECLASSIFY</x:v>
      </x:c>
      <x:c r="F694" s="33" t="str">
        <x:v>Preserve useful inspection/governance controls without false statutory ownership.</x:v>
      </x:c>
      <x:c r="G694" s="33" t="str">
        <x:v>P-3 legal-universe reconciliation</x:v>
      </x:c>
      <x:c r="H694" s="33" t="str">
        <x:v>P3 General Law Coverage</x:v>
      </x:c>
      <x:c r="I694" s="33" t="str">
        <x:v>P-3</x:v>
      </x:c>
      <x:c r="J694" s="33" t="str">
        <x:v>2026-08-20</x:v>
      </x:c>
      <x:c r="K694" s="33" t="str">
        <x:v>IDs remain active as Best Practice under LAW099.</x:v>
      </x:c>
    </x:row>
    <x:row r="695">
      <x:c r="A695" s="33" t="str">
        <x:v>PROV264</x:v>
      </x:c>
      <x:c r="B695" s="33" t="str">
        <x:v>Provision Master</x:v>
      </x:c>
      <x:c r="C695" s="33" t="str">
        <x:v>Law ID=LAW100; Provision Category=Framework; Active=Yes; Remarks=</x:v>
      </x:c>
      <x:c r="D695" s="33" t="str">
        <x:v>Law ID=LAW099; Provision Category=Best Practice; Active=Yes; Remarks=P-3 RECLASSIFIED: optional internal governance; not a statutory provision.</x:v>
      </x:c>
      <x:c r="E695" s="33" t="str">
        <x:v>RECLASSIFY</x:v>
      </x:c>
      <x:c r="F695" s="33" t="str">
        <x:v>Preserve useful inspection/governance controls without false statutory ownership.</x:v>
      </x:c>
      <x:c r="G695" s="33" t="str">
        <x:v>P-3 legal-universe reconciliation</x:v>
      </x:c>
      <x:c r="H695" s="33" t="str">
        <x:v>P3 General Law Coverage</x:v>
      </x:c>
      <x:c r="I695" s="33" t="str">
        <x:v>P-3</x:v>
      </x:c>
      <x:c r="J695" s="33" t="str">
        <x:v>2026-08-20</x:v>
      </x:c>
      <x:c r="K695" s="33" t="str">
        <x:v>IDs remain active as Best Practice under LAW099.</x:v>
      </x:c>
    </x:row>
    <x:row r="696">
      <x:c r="A696" s="33" t="str">
        <x:v>PROV265</x:v>
      </x:c>
      <x:c r="B696" s="33" t="str">
        <x:v>Provision Master</x:v>
      </x:c>
      <x:c r="C696" s="33" t="str">
        <x:v>Law ID=LAW100; Provision Category=Framework; Active=Yes; Remarks=</x:v>
      </x:c>
      <x:c r="D696" s="33" t="str">
        <x:v>Law ID=LAW099; Provision Category=Best Practice; Active=Yes; Remarks=P-3 RECLASSIFIED: optional internal governance; not a statutory provision.</x:v>
      </x:c>
      <x:c r="E696" s="33" t="str">
        <x:v>RECLASSIFY</x:v>
      </x:c>
      <x:c r="F696" s="33" t="str">
        <x:v>Preserve useful inspection/governance controls without false statutory ownership.</x:v>
      </x:c>
      <x:c r="G696" s="33" t="str">
        <x:v>P-3 legal-universe reconciliation</x:v>
      </x:c>
      <x:c r="H696" s="33" t="str">
        <x:v>P3 General Law Coverage</x:v>
      </x:c>
      <x:c r="I696" s="33" t="str">
        <x:v>P-3</x:v>
      </x:c>
      <x:c r="J696" s="33" t="str">
        <x:v>2026-08-20</x:v>
      </x:c>
      <x:c r="K696" s="33" t="str">
        <x:v>IDs remain active as Best Practice under LAW099.</x:v>
      </x:c>
    </x:row>
    <x:row r="697">
      <x:c r="A697" s="33" t="str">
        <x:v>PROV266</x:v>
      </x:c>
      <x:c r="B697" s="33" t="str">
        <x:v>Provision Master</x:v>
      </x:c>
      <x:c r="C697" s="33" t="str">
        <x:v>Law ID=LAW100; Provision Category=Framework; Active=Yes; Remarks=</x:v>
      </x:c>
      <x:c r="D697" s="33" t="str">
        <x:v>Law ID=LAW099; Provision Category=Best Practice; Active=Yes; Remarks=P-3 RECLASSIFIED: optional internal governance; not a statutory provision.</x:v>
      </x:c>
      <x:c r="E697" s="33" t="str">
        <x:v>RECLASSIFY</x:v>
      </x:c>
      <x:c r="F697" s="33" t="str">
        <x:v>Preserve useful inspection/governance controls without false statutory ownership.</x:v>
      </x:c>
      <x:c r="G697" s="33" t="str">
        <x:v>P-3 legal-universe reconciliation</x:v>
      </x:c>
      <x:c r="H697" s="33" t="str">
        <x:v>P3 General Law Coverage</x:v>
      </x:c>
      <x:c r="I697" s="33" t="str">
        <x:v>P-3</x:v>
      </x:c>
      <x:c r="J697" s="33" t="str">
        <x:v>2026-08-20</x:v>
      </x:c>
      <x:c r="K697" s="33" t="str">
        <x:v>IDs remain active as Best Practice under LAW099.</x:v>
      </x:c>
    </x:row>
    <x:row r="698">
      <x:c r="A698" s="33" t="str">
        <x:v>PROV267</x:v>
      </x:c>
      <x:c r="B698" s="33" t="str">
        <x:v>Provision Master</x:v>
      </x:c>
      <x:c r="C698" s="33" t="str">
        <x:v>Law ID=LAW100; Provision Category=Framework; Active=Yes; Remarks=</x:v>
      </x:c>
      <x:c r="D698" s="33" t="str">
        <x:v>Law ID=LAW099; Provision Category=Best Practice; Active=Yes; Remarks=P-3 RECLASSIFIED: optional internal governance; not a statutory provision.</x:v>
      </x:c>
      <x:c r="E698" s="33" t="str">
        <x:v>RECLASSIFY</x:v>
      </x:c>
      <x:c r="F698" s="33" t="str">
        <x:v>Preserve useful inspection/governance controls without false statutory ownership.</x:v>
      </x:c>
      <x:c r="G698" s="33" t="str">
        <x:v>P-3 legal-universe reconciliation</x:v>
      </x:c>
      <x:c r="H698" s="33" t="str">
        <x:v>P3 General Law Coverage</x:v>
      </x:c>
      <x:c r="I698" s="33" t="str">
        <x:v>P-3</x:v>
      </x:c>
      <x:c r="J698" s="33" t="str">
        <x:v>2026-08-20</x:v>
      </x:c>
      <x:c r="K698" s="33" t="str">
        <x:v>IDs remain active as Best Practice under LAW099.</x:v>
      </x:c>
    </x:row>
    <x:row r="699">
      <x:c r="A699" s="33" t="str">
        <x:v>PROV268</x:v>
      </x:c>
      <x:c r="B699" s="33" t="str">
        <x:v>Provision Master</x:v>
      </x:c>
      <x:c r="C699" s="33" t="str">
        <x:v>Law ID=LAW100; Provision Category=Framework; Active=Yes; Remarks=</x:v>
      </x:c>
      <x:c r="D699" s="33" t="str">
        <x:v>Law ID=LAW099; Provision Category=Best Practice; Active=Yes; Remarks=P-3 RECLASSIFIED: optional internal governance; not a statutory provision.</x:v>
      </x:c>
      <x:c r="E699" s="33" t="str">
        <x:v>RECLASSIFY</x:v>
      </x:c>
      <x:c r="F699" s="33" t="str">
        <x:v>Preserve useful inspection/governance controls without false statutory ownership.</x:v>
      </x:c>
      <x:c r="G699" s="33" t="str">
        <x:v>P-3 legal-universe reconciliation</x:v>
      </x:c>
      <x:c r="H699" s="33" t="str">
        <x:v>P3 General Law Coverage</x:v>
      </x:c>
      <x:c r="I699" s="33" t="str">
        <x:v>P-3</x:v>
      </x:c>
      <x:c r="J699" s="33" t="str">
        <x:v>2026-08-20</x:v>
      </x:c>
      <x:c r="K699" s="33" t="str">
        <x:v>IDs remain active as Best Practice under LAW099.</x:v>
      </x:c>
    </x:row>
    <x:row r="700">
      <x:c r="A700" s="33" t="str">
        <x:v>PROV269</x:v>
      </x:c>
      <x:c r="B700" s="33" t="str">
        <x:v>Provision Master</x:v>
      </x:c>
      <x:c r="C700" s="33" t="str">
        <x:v>Law ID=LAW100; Provision Category=Framework; Active=Yes; Remarks=</x:v>
      </x:c>
      <x:c r="D700" s="33" t="str">
        <x:v>Law ID=LAW099; Provision Category=Best Practice; Active=Yes; Remarks=P-3 RECLASSIFIED: optional internal governance; not a statutory provision.</x:v>
      </x:c>
      <x:c r="E700" s="33" t="str">
        <x:v>RECLASSIFY</x:v>
      </x:c>
      <x:c r="F700" s="33" t="str">
        <x:v>Preserve useful inspection/governance controls without false statutory ownership.</x:v>
      </x:c>
      <x:c r="G700" s="33" t="str">
        <x:v>P-3 legal-universe reconciliation</x:v>
      </x:c>
      <x:c r="H700" s="33" t="str">
        <x:v>P3 General Law Coverage</x:v>
      </x:c>
      <x:c r="I700" s="33" t="str">
        <x:v>P-3</x:v>
      </x:c>
      <x:c r="J700" s="33" t="str">
        <x:v>2026-08-20</x:v>
      </x:c>
      <x:c r="K700" s="33" t="str">
        <x:v>IDs remain active as Best Practice under LAW099.</x:v>
      </x:c>
    </x:row>
    <x:row r="701">
      <x:c r="A701" s="33" t="str">
        <x:v>PROV270</x:v>
      </x:c>
      <x:c r="B701" s="33" t="str">
        <x:v>Provision Master</x:v>
      </x:c>
      <x:c r="C701" s="33" t="str">
        <x:v>Law ID=LAW100; Provision Category=Framework; Active=Yes; Remarks=</x:v>
      </x:c>
      <x:c r="D701" s="33" t="str">
        <x:v>Law ID=LAW099; Provision Category=Best Practice; Active=Yes; Remarks=P-3 RECLASSIFIED: optional internal governance; not a statutory provision.</x:v>
      </x:c>
      <x:c r="E701" s="33" t="str">
        <x:v>RECLASSIFY</x:v>
      </x:c>
      <x:c r="F701" s="33" t="str">
        <x:v>Preserve useful inspection/governance controls without false statutory ownership.</x:v>
      </x:c>
      <x:c r="G701" s="33" t="str">
        <x:v>P-3 legal-universe reconciliation</x:v>
      </x:c>
      <x:c r="H701" s="33" t="str">
        <x:v>P3 General Law Coverage</x:v>
      </x:c>
      <x:c r="I701" s="33" t="str">
        <x:v>P-3</x:v>
      </x:c>
      <x:c r="J701" s="33" t="str">
        <x:v>2026-08-20</x:v>
      </x:c>
      <x:c r="K701" s="33" t="str">
        <x:v>IDs remain active as Best Practice under LAW099.</x:v>
      </x:c>
    </x:row>
    <x:row r="702">
      <x:c r="A702" s="33" t="str">
        <x:v>PROV271</x:v>
      </x:c>
      <x:c r="B702" s="33" t="str">
        <x:v>Provision Master</x:v>
      </x:c>
      <x:c r="C702" s="33" t="str">
        <x:v>Law ID=LAW100; Provision Category=Framework; Active=Yes; Remarks=</x:v>
      </x:c>
      <x:c r="D702" s="33" t="str">
        <x:v>Law ID=LAW099; Provision Category=Best Practice; Active=Yes; Remarks=P-3 RECLASSIFIED: optional internal governance; not a statutory provision.</x:v>
      </x:c>
      <x:c r="E702" s="33" t="str">
        <x:v>RECLASSIFY</x:v>
      </x:c>
      <x:c r="F702" s="33" t="str">
        <x:v>Preserve useful inspection/governance controls without false statutory ownership.</x:v>
      </x:c>
      <x:c r="G702" s="33" t="str">
        <x:v>P-3 legal-universe reconciliation</x:v>
      </x:c>
      <x:c r="H702" s="33" t="str">
        <x:v>P3 General Law Coverage</x:v>
      </x:c>
      <x:c r="I702" s="33" t="str">
        <x:v>P-3</x:v>
      </x:c>
      <x:c r="J702" s="33" t="str">
        <x:v>2026-08-20</x:v>
      </x:c>
      <x:c r="K702" s="33" t="str">
        <x:v>IDs remain active as Best Practice under LAW099.</x:v>
      </x:c>
    </x:row>
    <x:row r="703">
      <x:c r="A703" s="33" t="str">
        <x:v>PROV272</x:v>
      </x:c>
      <x:c r="B703" s="33" t="str">
        <x:v>Provision Master</x:v>
      </x:c>
      <x:c r="C703" s="33" t="str">
        <x:v>Law ID=LAW100; Provision Category=Framework; Active=Yes; Remarks=</x:v>
      </x:c>
      <x:c r="D703" s="33" t="str">
        <x:v>Law ID=LAW099; Provision Category=Best Practice; Active=Yes; Remarks=P-3 RECLASSIFIED: optional internal governance; not a statutory provision.</x:v>
      </x:c>
      <x:c r="E703" s="33" t="str">
        <x:v>RECLASSIFY</x:v>
      </x:c>
      <x:c r="F703" s="33" t="str">
        <x:v>Preserve useful inspection/governance controls without false statutory ownership.</x:v>
      </x:c>
      <x:c r="G703" s="33" t="str">
        <x:v>P-3 legal-universe reconciliation</x:v>
      </x:c>
      <x:c r="H703" s="33" t="str">
        <x:v>P3 General Law Coverage</x:v>
      </x:c>
      <x:c r="I703" s="33" t="str">
        <x:v>P-3</x:v>
      </x:c>
      <x:c r="J703" s="33" t="str">
        <x:v>2026-08-20</x:v>
      </x:c>
      <x:c r="K703" s="33" t="str">
        <x:v>IDs remain active as Best Practice under LAW099.</x:v>
      </x:c>
    </x:row>
    <x:row r="704">
      <x:c r="A704" s="33" t="str">
        <x:v>PROV273</x:v>
      </x:c>
      <x:c r="B704" s="33" t="str">
        <x:v>Provision Master</x:v>
      </x:c>
      <x:c r="C704" s="33" t="str">
        <x:v>Law ID=LAW100; Provision Category=Framework; Active=Yes; Remarks=</x:v>
      </x:c>
      <x:c r="D704" s="33" t="str">
        <x:v>Law ID=LAW099; Provision Category=Best Practice; Active=Yes; Remarks=P-3 RECLASSIFIED: optional internal governance; not a statutory provision.</x:v>
      </x:c>
      <x:c r="E704" s="33" t="str">
        <x:v>RECLASSIFY</x:v>
      </x:c>
      <x:c r="F704" s="33" t="str">
        <x:v>Preserve useful inspection/governance controls without false statutory ownership.</x:v>
      </x:c>
      <x:c r="G704" s="33" t="str">
        <x:v>P-3 legal-universe reconciliation</x:v>
      </x:c>
      <x:c r="H704" s="33" t="str">
        <x:v>P3 General Law Coverage</x:v>
      </x:c>
      <x:c r="I704" s="33" t="str">
        <x:v>P-3</x:v>
      </x:c>
      <x:c r="J704" s="33" t="str">
        <x:v>2026-08-20</x:v>
      </x:c>
      <x:c r="K704" s="33" t="str">
        <x:v>IDs remain active as Best Practice under LAW099.</x:v>
      </x:c>
    </x:row>
    <x:row r="705">
      <x:c r="A705" s="33" t="str">
        <x:v>PROV274</x:v>
      </x:c>
      <x:c r="B705" s="33" t="str">
        <x:v>Provision Master</x:v>
      </x:c>
      <x:c r="C705" s="33" t="str">
        <x:v>Law ID=LAW100; Provision Category=Framework; Active=Yes; Remarks=</x:v>
      </x:c>
      <x:c r="D705" s="33" t="str">
        <x:v>Law ID=LAW099; Provision Category=Best Practice; Active=Yes; Remarks=P-3 RECLASSIFIED: optional internal governance; not a statutory provision.</x:v>
      </x:c>
      <x:c r="E705" s="33" t="str">
        <x:v>RECLASSIFY</x:v>
      </x:c>
      <x:c r="F705" s="33" t="str">
        <x:v>Preserve useful inspection/governance controls without false statutory ownership.</x:v>
      </x:c>
      <x:c r="G705" s="33" t="str">
        <x:v>P-3 legal-universe reconciliation</x:v>
      </x:c>
      <x:c r="H705" s="33" t="str">
        <x:v>P3 General Law Coverage</x:v>
      </x:c>
      <x:c r="I705" s="33" t="str">
        <x:v>P-3</x:v>
      </x:c>
      <x:c r="J705" s="33" t="str">
        <x:v>2026-08-20</x:v>
      </x:c>
      <x:c r="K705" s="33" t="str">
        <x:v>IDs remain active as Best Practice under LAW099.</x:v>
      </x:c>
    </x:row>
    <x:row r="706">
      <x:c r="A706" s="33" t="str">
        <x:v>PROV275</x:v>
      </x:c>
      <x:c r="B706" s="33" t="str">
        <x:v>Provision Master</x:v>
      </x:c>
      <x:c r="C706" s="33" t="str">
        <x:v>Law ID=LAW100; Provision Category=Framework; Active=Yes; Remarks=</x:v>
      </x:c>
      <x:c r="D706" s="33" t="str">
        <x:v>Law ID=LAW099; Provision Category=Best Practice; Active=Yes; Remarks=P-3 RECLASSIFIED: optional internal governance; not a statutory provision.</x:v>
      </x:c>
      <x:c r="E706" s="33" t="str">
        <x:v>RECLASSIFY</x:v>
      </x:c>
      <x:c r="F706" s="33" t="str">
        <x:v>Preserve useful inspection/governance controls without false statutory ownership.</x:v>
      </x:c>
      <x:c r="G706" s="33" t="str">
        <x:v>P-3 legal-universe reconciliation</x:v>
      </x:c>
      <x:c r="H706" s="33" t="str">
        <x:v>P3 General Law Coverage</x:v>
      </x:c>
      <x:c r="I706" s="33" t="str">
        <x:v>P-3</x:v>
      </x:c>
      <x:c r="J706" s="33" t="str">
        <x:v>2026-08-20</x:v>
      </x:c>
      <x:c r="K706" s="33" t="str">
        <x:v>IDs remain active as Best Practice under LAW099.</x:v>
      </x:c>
    </x:row>
    <x:row r="707">
      <x:c r="A707" s="33" t="str">
        <x:v>COMP236</x:v>
      </x:c>
      <x:c r="B707" s="33" t="str">
        <x:v>Compliance Requirement Master</x:v>
      </x:c>
      <x:c r="C707" s="33" t="str">
        <x:v>Applicability=Mandatory; Active=Yes; Non-Compliance Consequence=Regulatory observations; Remarks=Inspection readiness</x:v>
      </x:c>
      <x:c r="D707" s="33" t="str">
        <x:v>Applicability=Optional; Active=Yes; Non-Compliance Consequence=Reduced compliance assurance; no standalone statutory penalty; Remarks=P-3 RECLASSIFIED: optional internal governance control under LAW099.</x:v>
      </x:c>
      <x:c r="E707" s="33" t="str">
        <x:v>RECLASSIFY</x:v>
      </x:c>
      <x:c r="F707" s="33" t="str">
        <x:v>Remove mandatory/statutory overstatement from internal governance controls.</x:v>
      </x:c>
      <x:c r="G707" s="33" t="str">
        <x:v>P-3 legal-universe reconciliation</x:v>
      </x:c>
      <x:c r="H707" s="33" t="str">
        <x:v>P3 General Law Coverage</x:v>
      </x:c>
      <x:c r="I707" s="33" t="str">
        <x:v>P-3</x:v>
      </x:c>
      <x:c r="J707" s="33" t="str">
        <x:v>2026-08-20</x:v>
      </x:c>
      <x:c r="K707" s="33" t="str">
        <x:v>Controls remain optional; no false penalty representation.</x:v>
      </x:c>
    </x:row>
    <x:row r="708">
      <x:c r="A708" s="33" t="str">
        <x:v>COMP237</x:v>
      </x:c>
      <x:c r="B708" s="33" t="str">
        <x:v>Compliance Requirement Master</x:v>
      </x:c>
      <x:c r="C708" s="33" t="str">
        <x:v>Applicability=Mandatory; Active=Yes; Non-Compliance Consequence=Inspection deficiencies; Remarks=Document availability</x:v>
      </x:c>
      <x:c r="D708" s="33" t="str">
        <x:v>Applicability=Optional; Active=Yes; Non-Compliance Consequence=Reduced compliance assurance; no standalone statutory penalty; Remarks=P-3 RECLASSIFIED: optional internal governance control under LAW099.</x:v>
      </x:c>
      <x:c r="E708" s="33" t="str">
        <x:v>RECLASSIFY</x:v>
      </x:c>
      <x:c r="F708" s="33" t="str">
        <x:v>Remove mandatory/statutory overstatement from internal governance controls.</x:v>
      </x:c>
      <x:c r="G708" s="33" t="str">
        <x:v>P-3 legal-universe reconciliation</x:v>
      </x:c>
      <x:c r="H708" s="33" t="str">
        <x:v>P3 General Law Coverage</x:v>
      </x:c>
      <x:c r="I708" s="33" t="str">
        <x:v>P-3</x:v>
      </x:c>
      <x:c r="J708" s="33" t="str">
        <x:v>2026-08-20</x:v>
      </x:c>
      <x:c r="K708" s="33" t="str">
        <x:v>Controls remain optional; no false penalty representation.</x:v>
      </x:c>
    </x:row>
    <x:row r="709">
      <x:c r="A709" s="33" t="str">
        <x:v>COMP238</x:v>
      </x:c>
      <x:c r="B709" s="33" t="str">
        <x:v>Compliance Requirement Master</x:v>
      </x:c>
      <x:c r="C709" s="33" t="str">
        <x:v>Applicability=Mandatory; Active=Yes; Non-Compliance Consequence=Audit observations; Remarks=SOP management</x:v>
      </x:c>
      <x:c r="D709" s="33" t="str">
        <x:v>Applicability=Optional; Active=Yes; Non-Compliance Consequence=Reduced compliance assurance; no standalone statutory penalty; Remarks=P-3 RECLASSIFIED: optional internal governance control under LAW099.</x:v>
      </x:c>
      <x:c r="E709" s="33" t="str">
        <x:v>RECLASSIFY</x:v>
      </x:c>
      <x:c r="F709" s="33" t="str">
        <x:v>Remove mandatory/statutory overstatement from internal governance controls.</x:v>
      </x:c>
      <x:c r="G709" s="33" t="str">
        <x:v>P-3 legal-universe reconciliation</x:v>
      </x:c>
      <x:c r="H709" s="33" t="str">
        <x:v>P3 General Law Coverage</x:v>
      </x:c>
      <x:c r="I709" s="33" t="str">
        <x:v>P-3</x:v>
      </x:c>
      <x:c r="J709" s="33" t="str">
        <x:v>2026-08-20</x:v>
      </x:c>
      <x:c r="K709" s="33" t="str">
        <x:v>Controls remain optional; no false penalty representation.</x:v>
      </x:c>
    </x:row>
    <x:row r="710">
      <x:c r="A710" s="33" t="str">
        <x:v>COMP239</x:v>
      </x:c>
      <x:c r="B710" s="33" t="str">
        <x:v>Compliance Requirement Master</x:v>
      </x:c>
      <x:c r="C710" s="33" t="str">
        <x:v>Applicability=Event Based; Active=Yes; Non-Compliance Consequence=Escalated enforcement action; Remarks=Regulatory response</x:v>
      </x:c>
      <x:c r="D710" s="33" t="str">
        <x:v>Applicability=Optional; Active=Yes; Non-Compliance Consequence=Reduced compliance assurance; no standalone statutory penalty; Remarks=P-3 RECLASSIFIED: optional internal governance control under LAW099.</x:v>
      </x:c>
      <x:c r="E710" s="33" t="str">
        <x:v>RECLASSIFY</x:v>
      </x:c>
      <x:c r="F710" s="33" t="str">
        <x:v>Remove mandatory/statutory overstatement from internal governance controls.</x:v>
      </x:c>
      <x:c r="G710" s="33" t="str">
        <x:v>P-3 legal-universe reconciliation</x:v>
      </x:c>
      <x:c r="H710" s="33" t="str">
        <x:v>P3 General Law Coverage</x:v>
      </x:c>
      <x:c r="I710" s="33" t="str">
        <x:v>P-3</x:v>
      </x:c>
      <x:c r="J710" s="33" t="str">
        <x:v>2026-08-20</x:v>
      </x:c>
      <x:c r="K710" s="33" t="str">
        <x:v>Controls remain optional; no false penalty representation.</x:v>
      </x:c>
    </x:row>
    <x:row r="711">
      <x:c r="A711" s="33" t="str">
        <x:v>COMP240</x:v>
      </x:c>
      <x:c r="B711" s="33" t="str">
        <x:v>Compliance Requirement Master</x:v>
      </x:c>
      <x:c r="C711" s="33" t="str">
        <x:v>Applicability=Mandatory; Active=Yes; Non-Compliance Consequence=Repeat regulatory findings; Remarks=CAPA implementation</x:v>
      </x:c>
      <x:c r="D711" s="33" t="str">
        <x:v>Applicability=Optional; Active=Yes; Non-Compliance Consequence=Reduced compliance assurance; no standalone statutory penalty; Remarks=P-3 RECLASSIFIED: optional internal governance control under LAW099.</x:v>
      </x:c>
      <x:c r="E711" s="33" t="str">
        <x:v>RECLASSIFY</x:v>
      </x:c>
      <x:c r="F711" s="33" t="str">
        <x:v>Remove mandatory/statutory overstatement from internal governance controls.</x:v>
      </x:c>
      <x:c r="G711" s="33" t="str">
        <x:v>P-3 legal-universe reconciliation</x:v>
      </x:c>
      <x:c r="H711" s="33" t="str">
        <x:v>P3 General Law Coverage</x:v>
      </x:c>
      <x:c r="I711" s="33" t="str">
        <x:v>P-3</x:v>
      </x:c>
      <x:c r="J711" s="33" t="str">
        <x:v>2026-08-20</x:v>
      </x:c>
      <x:c r="K711" s="33" t="str">
        <x:v>Controls remain optional; no false penalty representation.</x:v>
      </x:c>
    </x:row>
    <x:row r="712">
      <x:c r="A712" s="33" t="str">
        <x:v>COMP241</x:v>
      </x:c>
      <x:c r="B712" s="33" t="str">
        <x:v>Compliance Requirement Master</x:v>
      </x:c>
      <x:c r="C712" s="33" t="str">
        <x:v>Applicability=Mandatory; Active=Yes; Non-Compliance Consequence=Undetected compliance gaps; Remarks=Internal compliance review</x:v>
      </x:c>
      <x:c r="D712" s="33" t="str">
        <x:v>Applicability=Optional; Active=Yes; Non-Compliance Consequence=Reduced compliance assurance; no standalone statutory penalty; Remarks=P-3 RECLASSIFIED: optional internal governance control under LAW099.</x:v>
      </x:c>
      <x:c r="E712" s="33" t="str">
        <x:v>RECLASSIFY</x:v>
      </x:c>
      <x:c r="F712" s="33" t="str">
        <x:v>Remove mandatory/statutory overstatement from internal governance controls.</x:v>
      </x:c>
      <x:c r="G712" s="33" t="str">
        <x:v>P-3 legal-universe reconciliation</x:v>
      </x:c>
      <x:c r="H712" s="33" t="str">
        <x:v>P3 General Law Coverage</x:v>
      </x:c>
      <x:c r="I712" s="33" t="str">
        <x:v>P-3</x:v>
      </x:c>
      <x:c r="J712" s="33" t="str">
        <x:v>2026-08-20</x:v>
      </x:c>
      <x:c r="K712" s="33" t="str">
        <x:v>Controls remain optional; no false penalty representation.</x:v>
      </x:c>
    </x:row>
    <x:row r="713">
      <x:c r="A713" s="33" t="str">
        <x:v>COMP242</x:v>
      </x:c>
      <x:c r="B713" s="33" t="str">
        <x:v>Compliance Requirement Master</x:v>
      </x:c>
      <x:c r="C713" s="33" t="str">
        <x:v>Applicability=Mandatory; Active=Yes; Non-Compliance Consequence=Weak compliance governance; Remarks=Governance framework</x:v>
      </x:c>
      <x:c r="D713" s="33" t="str">
        <x:v>Applicability=Optional; Active=Yes; Non-Compliance Consequence=Reduced compliance assurance; no standalone statutory penalty; Remarks=P-3 RECLASSIFIED: optional internal governance control under LAW099.</x:v>
      </x:c>
      <x:c r="E713" s="33" t="str">
        <x:v>RECLASSIFY</x:v>
      </x:c>
      <x:c r="F713" s="33" t="str">
        <x:v>Remove mandatory/statutory overstatement from internal governance controls.</x:v>
      </x:c>
      <x:c r="G713" s="33" t="str">
        <x:v>P-3 legal-universe reconciliation</x:v>
      </x:c>
      <x:c r="H713" s="33" t="str">
        <x:v>P3 General Law Coverage</x:v>
      </x:c>
      <x:c r="I713" s="33" t="str">
        <x:v>P-3</x:v>
      </x:c>
      <x:c r="J713" s="33" t="str">
        <x:v>2026-08-20</x:v>
      </x:c>
      <x:c r="K713" s="33" t="str">
        <x:v>Controls remain optional; no false penalty representation.</x:v>
      </x:c>
    </x:row>
    <x:row r="714">
      <x:c r="A714" s="33" t="str">
        <x:v>COMP243</x:v>
      </x:c>
      <x:c r="B714" s="33" t="str">
        <x:v>Compliance Requirement Master</x:v>
      </x:c>
      <x:c r="C714" s="33" t="str">
        <x:v>Applicability=Mandatory; Active=Yes; Non-Compliance Consequence=Undefined accountability; Remarks=Responsibility matrix</x:v>
      </x:c>
      <x:c r="D714" s="33" t="str">
        <x:v>Applicability=Optional; Active=Yes; Non-Compliance Consequence=Reduced compliance assurance; no standalone statutory penalty; Remarks=P-3 RECLASSIFIED: optional internal governance control under LAW099.</x:v>
      </x:c>
      <x:c r="E714" s="33" t="str">
        <x:v>RECLASSIFY</x:v>
      </x:c>
      <x:c r="F714" s="33" t="str">
        <x:v>Remove mandatory/statutory overstatement from internal governance controls.</x:v>
      </x:c>
      <x:c r="G714" s="33" t="str">
        <x:v>P-3 legal-universe reconciliation</x:v>
      </x:c>
      <x:c r="H714" s="33" t="str">
        <x:v>P3 General Law Coverage</x:v>
      </x:c>
      <x:c r="I714" s="33" t="str">
        <x:v>P-3</x:v>
      </x:c>
      <x:c r="J714" s="33" t="str">
        <x:v>2026-08-20</x:v>
      </x:c>
      <x:c r="K714" s="33" t="str">
        <x:v>Controls remain optional; no false penalty representation.</x:v>
      </x:c>
    </x:row>
    <x:row r="715">
      <x:c r="A715" s="33" t="str">
        <x:v>COMP244</x:v>
      </x:c>
      <x:c r="B715" s="33" t="str">
        <x:v>Compliance Requirement Master</x:v>
      </x:c>
      <x:c r="C715" s="33" t="str">
        <x:v>Applicability=Mandatory; Active=Yes; Non-Compliance Consequence=Missed regulatory changes; Remarks=Regulatory intelligence</x:v>
      </x:c>
      <x:c r="D715" s="33" t="str">
        <x:v>Applicability=Optional; Active=Yes; Non-Compliance Consequence=Reduced compliance assurance; no standalone statutory penalty; Remarks=P-3 RECLASSIFIED: optional internal governance control under LAW099.</x:v>
      </x:c>
      <x:c r="E715" s="33" t="str">
        <x:v>RECLASSIFY</x:v>
      </x:c>
      <x:c r="F715" s="33" t="str">
        <x:v>Remove mandatory/statutory overstatement from internal governance controls.</x:v>
      </x:c>
      <x:c r="G715" s="33" t="str">
        <x:v>P-3 legal-universe reconciliation</x:v>
      </x:c>
      <x:c r="H715" s="33" t="str">
        <x:v>P3 General Law Coverage</x:v>
      </x:c>
      <x:c r="I715" s="33" t="str">
        <x:v>P-3</x:v>
      </x:c>
      <x:c r="J715" s="33" t="str">
        <x:v>2026-08-20</x:v>
      </x:c>
      <x:c r="K715" s="33" t="str">
        <x:v>Controls remain optional; no false penalty representation.</x:v>
      </x:c>
    </x:row>
    <x:row r="716">
      <x:c r="A716" s="33" t="str">
        <x:v>COMP245</x:v>
      </x:c>
      <x:c r="B716" s="33" t="str">
        <x:v>Compliance Requirement Master</x:v>
      </x:c>
      <x:c r="C716" s="33" t="str">
        <x:v>Applicability=Mandatory; Active=Yes; Non-Compliance Consequence=Missed statutory deadlines; Remarks=Compliance calendar</x:v>
      </x:c>
      <x:c r="D716" s="33" t="str">
        <x:v>Applicability=Optional; Active=Yes; Non-Compliance Consequence=Reduced compliance assurance; no standalone statutory penalty; Remarks=P-3 RECLASSIFIED: optional internal governance control under LAW099.</x:v>
      </x:c>
      <x:c r="E716" s="33" t="str">
        <x:v>RECLASSIFY</x:v>
      </x:c>
      <x:c r="F716" s="33" t="str">
        <x:v>Remove mandatory/statutory overstatement from internal governance controls.</x:v>
      </x:c>
      <x:c r="G716" s="33" t="str">
        <x:v>P-3 legal-universe reconciliation</x:v>
      </x:c>
      <x:c r="H716" s="33" t="str">
        <x:v>P3 General Law Coverage</x:v>
      </x:c>
      <x:c r="I716" s="33" t="str">
        <x:v>P-3</x:v>
      </x:c>
      <x:c r="J716" s="33" t="str">
        <x:v>2026-08-20</x:v>
      </x:c>
      <x:c r="K716" s="33" t="str">
        <x:v>Controls remain optional; no false penalty representation.</x:v>
      </x:c>
    </x:row>
    <x:row r="717">
      <x:c r="A717" s="33" t="str">
        <x:v>COMP246</x:v>
      </x:c>
      <x:c r="B717" s="33" t="str">
        <x:v>Compliance Requirement Master</x:v>
      </x:c>
      <x:c r="C717" s="33" t="str">
        <x:v>Applicability=Mandatory; Active=Yes; Non-Compliance Consequence=Weak management oversight; Remarks=Compliance reporting</x:v>
      </x:c>
      <x:c r="D717" s="33" t="str">
        <x:v>Applicability=Optional; Active=Yes; Non-Compliance Consequence=Reduced compliance assurance; no standalone statutory penalty; Remarks=P-3 RECLASSIFIED: optional internal governance control under LAW099.</x:v>
      </x:c>
      <x:c r="E717" s="33" t="str">
        <x:v>RECLASSIFY</x:v>
      </x:c>
      <x:c r="F717" s="33" t="str">
        <x:v>Remove mandatory/statutory overstatement from internal governance controls.</x:v>
      </x:c>
      <x:c r="G717" s="33" t="str">
        <x:v>P-3 legal-universe reconciliation</x:v>
      </x:c>
      <x:c r="H717" s="33" t="str">
        <x:v>P3 General Law Coverage</x:v>
      </x:c>
      <x:c r="I717" s="33" t="str">
        <x:v>P-3</x:v>
      </x:c>
      <x:c r="J717" s="33" t="str">
        <x:v>2026-08-20</x:v>
      </x:c>
      <x:c r="K717" s="33" t="str">
        <x:v>Controls remain optional; no false penalty representation.</x:v>
      </x:c>
    </x:row>
    <x:row r="718">
      <x:c r="A718" s="33" t="str">
        <x:v>COMP247</x:v>
      </x:c>
      <x:c r="B718" s="33" t="str">
        <x:v>Compliance Requirement Master</x:v>
      </x:c>
      <x:c r="C718" s="33" t="str">
        <x:v>Applicability=Mandatory; Active=Yes; Non-Compliance Consequence=Unidentified regulatory risks; Remarks=Risk assessment</x:v>
      </x:c>
      <x:c r="D718" s="33" t="str">
        <x:v>Applicability=Optional; Active=Yes; Non-Compliance Consequence=Reduced compliance assurance; no standalone statutory penalty; Remarks=P-3 RECLASSIFIED: optional internal governance control under LAW099.</x:v>
      </x:c>
      <x:c r="E718" s="33" t="str">
        <x:v>RECLASSIFY</x:v>
      </x:c>
      <x:c r="F718" s="33" t="str">
        <x:v>Remove mandatory/statutory overstatement from internal governance controls.</x:v>
      </x:c>
      <x:c r="G718" s="33" t="str">
        <x:v>P-3 legal-universe reconciliation</x:v>
      </x:c>
      <x:c r="H718" s="33" t="str">
        <x:v>P3 General Law Coverage</x:v>
      </x:c>
      <x:c r="I718" s="33" t="str">
        <x:v>P-3</x:v>
      </x:c>
      <x:c r="J718" s="33" t="str">
        <x:v>2026-08-20</x:v>
      </x:c>
      <x:c r="K718" s="33" t="str">
        <x:v>Controls remain optional; no false penalty representation.</x:v>
      </x:c>
    </x:row>
    <x:row r="719">
      <x:c r="A719" s="33" t="str">
        <x:v>COMP248</x:v>
      </x:c>
      <x:c r="B719" s="33" t="str">
        <x:v>Compliance Requirement Master</x:v>
      </x:c>
      <x:c r="C719" s="33" t="str">
        <x:v>Applicability=Mandatory; Active=Yes; Non-Compliance Consequence=Undetected compliance failures; Remarks=Internal audit</x:v>
      </x:c>
      <x:c r="D719" s="33" t="str">
        <x:v>Applicability=Optional; Active=Yes; Non-Compliance Consequence=Reduced compliance assurance; no standalone statutory penalty; Remarks=P-3 RECLASSIFIED: optional internal governance control under LAW099.</x:v>
      </x:c>
      <x:c r="E719" s="33" t="str">
        <x:v>RECLASSIFY</x:v>
      </x:c>
      <x:c r="F719" s="33" t="str">
        <x:v>Remove mandatory/statutory overstatement from internal governance controls.</x:v>
      </x:c>
      <x:c r="G719" s="33" t="str">
        <x:v>P-3 legal-universe reconciliation</x:v>
      </x:c>
      <x:c r="H719" s="33" t="str">
        <x:v>P3 General Law Coverage</x:v>
      </x:c>
      <x:c r="I719" s="33" t="str">
        <x:v>P-3</x:v>
      </x:c>
      <x:c r="J719" s="33" t="str">
        <x:v>2026-08-20</x:v>
      </x:c>
      <x:c r="K719" s="33" t="str">
        <x:v>Controls remain optional; no false penalty representation.</x:v>
      </x:c>
    </x:row>
    <x:row r="720">
      <x:c r="A720" s="33" t="str">
        <x:v>COMP249</x:v>
      </x:c>
      <x:c r="B720" s="33" t="str">
        <x:v>Compliance Requirement Master</x:v>
      </x:c>
      <x:c r="C720" s="33" t="str">
        <x:v>Applicability=Mandatory; Active=Yes; Non-Compliance Consequence=Document control failures; Remarks=Document management</x:v>
      </x:c>
      <x:c r="D720" s="33" t="str">
        <x:v>Applicability=Optional; Active=Yes; Non-Compliance Consequence=Reduced compliance assurance; no standalone statutory penalty; Remarks=P-3 RECLASSIFIED: optional internal governance control under LAW099.</x:v>
      </x:c>
      <x:c r="E720" s="33" t="str">
        <x:v>RECLASSIFY</x:v>
      </x:c>
      <x:c r="F720" s="33" t="str">
        <x:v>Remove mandatory/statutory overstatement from internal governance controls.</x:v>
      </x:c>
      <x:c r="G720" s="33" t="str">
        <x:v>P-3 legal-universe reconciliation</x:v>
      </x:c>
      <x:c r="H720" s="33" t="str">
        <x:v>P3 General Law Coverage</x:v>
      </x:c>
      <x:c r="I720" s="33" t="str">
        <x:v>P-3</x:v>
      </x:c>
      <x:c r="J720" s="33" t="str">
        <x:v>2026-08-20</x:v>
      </x:c>
      <x:c r="K720" s="33" t="str">
        <x:v>Controls remain optional; no false penalty representation.</x:v>
      </x:c>
    </x:row>
    <x:row r="721">
      <x:c r="A721" s="33" t="str">
        <x:v>COMP250</x:v>
      </x:c>
      <x:c r="B721" s="33" t="str">
        <x:v>Compliance Requirement Master</x:v>
      </x:c>
      <x:c r="C721" s="33" t="str">
        <x:v>Applicability=Mandatory; Active=Yes; Non-Compliance Consequence=Stagnant compliance programme; Remarks=Continuous improvement</x:v>
      </x:c>
      <x:c r="D721" s="33" t="str">
        <x:v>Applicability=Optional; Active=Yes; Non-Compliance Consequence=Reduced compliance assurance; no standalone statutory penalty; Remarks=P-3 RECLASSIFIED: optional internal governance control under LAW099.</x:v>
      </x:c>
      <x:c r="E721" s="33" t="str">
        <x:v>RECLASSIFY</x:v>
      </x:c>
      <x:c r="F721" s="33" t="str">
        <x:v>Remove mandatory/statutory overstatement from internal governance controls.</x:v>
      </x:c>
      <x:c r="G721" s="33" t="str">
        <x:v>P-3 legal-universe reconciliation</x:v>
      </x:c>
      <x:c r="H721" s="33" t="str">
        <x:v>P3 General Law Coverage</x:v>
      </x:c>
      <x:c r="I721" s="33" t="str">
        <x:v>P-3</x:v>
      </x:c>
      <x:c r="J721" s="33" t="str">
        <x:v>2026-08-20</x:v>
      </x:c>
      <x:c r="K721" s="33" t="str">
        <x:v>Controls remain optional; no false penalty representation.</x:v>
      </x:c>
    </x:row>
    <x:row r="722">
      <x:c r="A722" s="33" t="str">
        <x:v>PROV051</x:v>
      </x:c>
      <x:c r="B722" s="33" t="str">
        <x:v>Provision Master</x:v>
      </x:c>
      <x:c r="C722" s="33" t="str">
        <x:v>Active=Yes; Remarks=</x:v>
      </x:c>
      <x:c r="D722" s="33" t="str">
        <x:v>Active=No; Remarks=P-3 QUARANTINED: Generic State/local/permit/reference rows, penalty-only/fabricated DAMR extractions, and future-effective DPDP duties are not current production obligations.</x:v>
      </x:c>
      <x:c r="E722" s="33" t="str">
        <x:v>RECLASSIFY / QUARANTINE</x:v>
      </x:c>
      <x:c r="F722" s="33" t="str">
        <x:v>Generic State/local/permit/reference rows, penalty-only/fabricated DAMR extractions, and future-effective DPDP duties are not current production obligations.</x:v>
      </x:c>
      <x:c r="G722" s="33" t="str">
        <x:v>P-3 chain reconciliation</x:v>
      </x:c>
      <x:c r="H722" s="33" t="str">
        <x:v>https://www.meity.gov.in/documents/act-and-policies/digital-personal-data-protection-rules-2025-gDOxUjMtQWa | https://consumeraffairs.nic.in/acts-and-rules/consumer-protection/consumer-protection | P3 Jurisdiction Register</x:v>
      </x:c>
      <x:c r="I722" s="33" t="str">
        <x:v>P-3</x:v>
      </x:c>
      <x:c r="J722" s="33" t="str">
        <x:v>2026-08-20</x:v>
      </x:c>
      <x:c r="K722" s="33" t="str">
        <x:v>Legacy IDs retained inactive; no false production obligation remains.</x:v>
      </x:c>
    </x:row>
    <x:row r="723">
      <x:c r="A723" s="33" t="str">
        <x:v>PROV052</x:v>
      </x:c>
      <x:c r="B723" s="33" t="str">
        <x:v>Provision Master</x:v>
      </x:c>
      <x:c r="C723" s="33" t="str">
        <x:v>Active=Yes; Remarks=</x:v>
      </x:c>
      <x:c r="D723" s="33" t="str">
        <x:v>Active=No; Remarks=P-3 QUARANTINED: Generic State/local/permit/reference rows, penalty-only/fabricated DAMR extractions, and future-effective DPDP duties are not current production obligations.</x:v>
      </x:c>
      <x:c r="E723" s="33" t="str">
        <x:v>RECLASSIFY / QUARANTINE</x:v>
      </x:c>
      <x:c r="F723" s="33" t="str">
        <x:v>Generic State/local/permit/reference rows, penalty-only/fabricated DAMR extractions, and future-effective DPDP duties are not current production obligations.</x:v>
      </x:c>
      <x:c r="G723" s="33" t="str">
        <x:v>P-3 chain reconciliation</x:v>
      </x:c>
      <x:c r="H723" s="33" t="str">
        <x:v>https://www.meity.gov.in/documents/act-and-policies/digital-personal-data-protection-rules-2025-gDOxUjMtQWa | https://consumeraffairs.nic.in/acts-and-rules/consumer-protection/consumer-protection | P3 Jurisdiction Register</x:v>
      </x:c>
      <x:c r="I723" s="33" t="str">
        <x:v>P-3</x:v>
      </x:c>
      <x:c r="J723" s="33" t="str">
        <x:v>2026-08-20</x:v>
      </x:c>
      <x:c r="K723" s="33" t="str">
        <x:v>Legacy IDs retained inactive; no false production obligation remains.</x:v>
      </x:c>
    </x:row>
    <x:row r="724">
      <x:c r="A724" s="33" t="str">
        <x:v>PROV053</x:v>
      </x:c>
      <x:c r="B724" s="33" t="str">
        <x:v>Provision Master</x:v>
      </x:c>
      <x:c r="C724" s="33" t="str">
        <x:v>Active=Yes; Remarks=</x:v>
      </x:c>
      <x:c r="D724" s="33" t="str">
        <x:v>Active=No; Remarks=P-3 QUARANTINED: Generic State/local/permit/reference rows, penalty-only/fabricated DAMR extractions, and future-effective DPDP duties are not current production obligations.</x:v>
      </x:c>
      <x:c r="E724" s="33" t="str">
        <x:v>RECLASSIFY / QUARANTINE</x:v>
      </x:c>
      <x:c r="F724" s="33" t="str">
        <x:v>Generic State/local/permit/reference rows, penalty-only/fabricated DAMR extractions, and future-effective DPDP duties are not current production obligations.</x:v>
      </x:c>
      <x:c r="G724" s="33" t="str">
        <x:v>P-3 chain reconciliation</x:v>
      </x:c>
      <x:c r="H724" s="33" t="str">
        <x:v>https://www.meity.gov.in/documents/act-and-policies/digital-personal-data-protection-rules-2025-gDOxUjMtQWa | https://consumeraffairs.nic.in/acts-and-rules/consumer-protection/consumer-protection | P3 Jurisdiction Register</x:v>
      </x:c>
      <x:c r="I724" s="33" t="str">
        <x:v>P-3</x:v>
      </x:c>
      <x:c r="J724" s="33" t="str">
        <x:v>2026-08-20</x:v>
      </x:c>
      <x:c r="K724" s="33" t="str">
        <x:v>Legacy IDs retained inactive; no false production obligation remains.</x:v>
      </x:c>
    </x:row>
    <x:row r="725">
      <x:c r="A725" s="33" t="str">
        <x:v>PROV054</x:v>
      </x:c>
      <x:c r="B725" s="33" t="str">
        <x:v>Provision Master</x:v>
      </x:c>
      <x:c r="C725" s="33" t="str">
        <x:v>Active=Yes; Remarks=</x:v>
      </x:c>
      <x:c r="D725" s="33" t="str">
        <x:v>Active=No; Remarks=P-3 QUARANTINED: Generic State/local/permit/reference rows, penalty-only/fabricated DAMR extractions, and future-effective DPDP duties are not current production obligations.</x:v>
      </x:c>
      <x:c r="E725" s="33" t="str">
        <x:v>RECLASSIFY / QUARANTINE</x:v>
      </x:c>
      <x:c r="F725" s="33" t="str">
        <x:v>Generic State/local/permit/reference rows, penalty-only/fabricated DAMR extractions, and future-effective DPDP duties are not current production obligations.</x:v>
      </x:c>
      <x:c r="G725" s="33" t="str">
        <x:v>P-3 chain reconciliation</x:v>
      </x:c>
      <x:c r="H725" s="33" t="str">
        <x:v>https://www.meity.gov.in/documents/act-and-policies/digital-personal-data-protection-rules-2025-gDOxUjMtQWa | https://consumeraffairs.nic.in/acts-and-rules/consumer-protection/consumer-protection | P3 Jurisdiction Register</x:v>
      </x:c>
      <x:c r="I725" s="33" t="str">
        <x:v>P-3</x:v>
      </x:c>
      <x:c r="J725" s="33" t="str">
        <x:v>2026-08-20</x:v>
      </x:c>
      <x:c r="K725" s="33" t="str">
        <x:v>Legacy IDs retained inactive; no false production obligation remains.</x:v>
      </x:c>
    </x:row>
    <x:row r="726">
      <x:c r="A726" s="33" t="str">
        <x:v>PROV055</x:v>
      </x:c>
      <x:c r="B726" s="33" t="str">
        <x:v>Provision Master</x:v>
      </x:c>
      <x:c r="C726" s="33" t="str">
        <x:v>Active=Yes; Remarks=</x:v>
      </x:c>
      <x:c r="D726" s="33" t="str">
        <x:v>Active=No; Remarks=P-3 QUARANTINED: Generic State/local/permit/reference rows, penalty-only/fabricated DAMR extractions, and future-effective DPDP duties are not current production obligations.</x:v>
      </x:c>
      <x:c r="E726" s="33" t="str">
        <x:v>RECLASSIFY / QUARANTINE</x:v>
      </x:c>
      <x:c r="F726" s="33" t="str">
        <x:v>Generic State/local/permit/reference rows, penalty-only/fabricated DAMR extractions, and future-effective DPDP duties are not current production obligations.</x:v>
      </x:c>
      <x:c r="G726" s="33" t="str">
        <x:v>P-3 chain reconciliation</x:v>
      </x:c>
      <x:c r="H726" s="33" t="str">
        <x:v>https://www.meity.gov.in/documents/act-and-policies/digital-personal-data-protection-rules-2025-gDOxUjMtQWa | https://consumeraffairs.nic.in/acts-and-rules/consumer-protection/consumer-protection | P3 Jurisdiction Register</x:v>
      </x:c>
      <x:c r="I726" s="33" t="str">
        <x:v>P-3</x:v>
      </x:c>
      <x:c r="J726" s="33" t="str">
        <x:v>2026-08-20</x:v>
      </x:c>
      <x:c r="K726" s="33" t="str">
        <x:v>Legacy IDs retained inactive; no false production obligation remains.</x:v>
      </x:c>
    </x:row>
    <x:row r="727">
      <x:c r="A727" s="33" t="str">
        <x:v>PROV096</x:v>
      </x:c>
      <x:c r="B727" s="33" t="str">
        <x:v>Provision Master</x:v>
      </x:c>
      <x:c r="C727" s="33" t="str">
        <x:v>Active=No; Remarks=P-3 FUTURE-EFFECTIVE; readiness only.</x:v>
      </x:c>
      <x:c r="D727" s="33" t="str">
        <x:v>Active=No; Remarks=P-3 QUARANTINED: Generic State/local/permit/reference rows, penalty-only/fabricated DAMR extractions, and future-effective DPDP duties are not current production obligations.</x:v>
      </x:c>
      <x:c r="E727" s="33" t="str">
        <x:v>RECLASSIFY / QUARANTINE</x:v>
      </x:c>
      <x:c r="F727" s="33" t="str">
        <x:v>Generic State/local/permit/reference rows, penalty-only/fabricated DAMR extractions, and future-effective DPDP duties are not current production obligations.</x:v>
      </x:c>
      <x:c r="G727" s="33" t="str">
        <x:v>P-3 chain reconciliation</x:v>
      </x:c>
      <x:c r="H727" s="33" t="str">
        <x:v>https://www.meity.gov.in/documents/act-and-policies/digital-personal-data-protection-rules-2025-gDOxUjMtQWa | https://consumeraffairs.nic.in/acts-and-rules/consumer-protection/consumer-protection | P3 Jurisdiction Register</x:v>
      </x:c>
      <x:c r="I727" s="33" t="str">
        <x:v>P-3</x:v>
      </x:c>
      <x:c r="J727" s="33" t="str">
        <x:v>2026-08-20</x:v>
      </x:c>
      <x:c r="K727" s="33" t="str">
        <x:v>Legacy IDs retained inactive; no false production obligation remains.</x:v>
      </x:c>
    </x:row>
    <x:row r="728">
      <x:c r="A728" s="33" t="str">
        <x:v>PROV097</x:v>
      </x:c>
      <x:c r="B728" s="33" t="str">
        <x:v>Provision Master</x:v>
      </x:c>
      <x:c r="C728" s="33" t="str">
        <x:v>Active=No; Remarks=P-3 FUTURE-EFFECTIVE; readiness only.</x:v>
      </x:c>
      <x:c r="D728" s="33" t="str">
        <x:v>Active=No; Remarks=P-3 QUARANTINED: Generic State/local/permit/reference rows, penalty-only/fabricated DAMR extractions, and future-effective DPDP duties are not current production obligations.</x:v>
      </x:c>
      <x:c r="E728" s="33" t="str">
        <x:v>RECLASSIFY / QUARANTINE</x:v>
      </x:c>
      <x:c r="F728" s="33" t="str">
        <x:v>Generic State/local/permit/reference rows, penalty-only/fabricated DAMR extractions, and future-effective DPDP duties are not current production obligations.</x:v>
      </x:c>
      <x:c r="G728" s="33" t="str">
        <x:v>P-3 chain reconciliation</x:v>
      </x:c>
      <x:c r="H728" s="33" t="str">
        <x:v>https://www.meity.gov.in/documents/act-and-policies/digital-personal-data-protection-rules-2025-gDOxUjMtQWa | https://consumeraffairs.nic.in/acts-and-rules/consumer-protection/consumer-protection | P3 Jurisdiction Register</x:v>
      </x:c>
      <x:c r="I728" s="33" t="str">
        <x:v>P-3</x:v>
      </x:c>
      <x:c r="J728" s="33" t="str">
        <x:v>2026-08-20</x:v>
      </x:c>
      <x:c r="K728" s="33" t="str">
        <x:v>Legacy IDs retained inactive; no false production obligation remains.</x:v>
      </x:c>
    </x:row>
    <x:row r="729">
      <x:c r="A729" s="33" t="str">
        <x:v>PROV098</x:v>
      </x:c>
      <x:c r="B729" s="33" t="str">
        <x:v>Provision Master</x:v>
      </x:c>
      <x:c r="C729" s="33" t="str">
        <x:v>Active=No; Remarks=P-3 FUTURE-EFFECTIVE; readiness only.</x:v>
      </x:c>
      <x:c r="D729" s="33" t="str">
        <x:v>Active=No; Remarks=P-3 QUARANTINED: Generic State/local/permit/reference rows, penalty-only/fabricated DAMR extractions, and future-effective DPDP duties are not current production obligations.</x:v>
      </x:c>
      <x:c r="E729" s="33" t="str">
        <x:v>RECLASSIFY / QUARANTINE</x:v>
      </x:c>
      <x:c r="F729" s="33" t="str">
        <x:v>Generic State/local/permit/reference rows, penalty-only/fabricated DAMR extractions, and future-effective DPDP duties are not current production obligations.</x:v>
      </x:c>
      <x:c r="G729" s="33" t="str">
        <x:v>P-3 chain reconciliation</x:v>
      </x:c>
      <x:c r="H729" s="33" t="str">
        <x:v>https://www.meity.gov.in/documents/act-and-policies/digital-personal-data-protection-rules-2025-gDOxUjMtQWa | https://consumeraffairs.nic.in/acts-and-rules/consumer-protection/consumer-protection | P3 Jurisdiction Register</x:v>
      </x:c>
      <x:c r="I729" s="33" t="str">
        <x:v>P-3</x:v>
      </x:c>
      <x:c r="J729" s="33" t="str">
        <x:v>2026-08-20</x:v>
      </x:c>
      <x:c r="K729" s="33" t="str">
        <x:v>Legacy IDs retained inactive; no false production obligation remains.</x:v>
      </x:c>
    </x:row>
    <x:row r="730">
      <x:c r="A730" s="33" t="str">
        <x:v>PROV099</x:v>
      </x:c>
      <x:c r="B730" s="33" t="str">
        <x:v>Provision Master</x:v>
      </x:c>
      <x:c r="C730" s="33" t="str">
        <x:v>Active=No; Remarks=P-3 FUTURE-EFFECTIVE; readiness only.</x:v>
      </x:c>
      <x:c r="D730" s="33" t="str">
        <x:v>Active=No; Remarks=P-3 QUARANTINED: Generic State/local/permit/reference rows, penalty-only/fabricated DAMR extractions, and future-effective DPDP duties are not current production obligations.</x:v>
      </x:c>
      <x:c r="E730" s="33" t="str">
        <x:v>RECLASSIFY / QUARANTINE</x:v>
      </x:c>
      <x:c r="F730" s="33" t="str">
        <x:v>Generic State/local/permit/reference rows, penalty-only/fabricated DAMR extractions, and future-effective DPDP duties are not current production obligations.</x:v>
      </x:c>
      <x:c r="G730" s="33" t="str">
        <x:v>P-3 chain reconciliation</x:v>
      </x:c>
      <x:c r="H730" s="33" t="str">
        <x:v>https://www.meity.gov.in/documents/act-and-policies/digital-personal-data-protection-rules-2025-gDOxUjMtQWa | https://consumeraffairs.nic.in/acts-and-rules/consumer-protection/consumer-protection | P3 Jurisdiction Register</x:v>
      </x:c>
      <x:c r="I730" s="33" t="str">
        <x:v>P-3</x:v>
      </x:c>
      <x:c r="J730" s="33" t="str">
        <x:v>2026-08-20</x:v>
      </x:c>
      <x:c r="K730" s="33" t="str">
        <x:v>Legacy IDs retained inactive; no false production obligation remains.</x:v>
      </x:c>
    </x:row>
    <x:row r="731">
      <x:c r="A731" s="33" t="str">
        <x:v>PROV100</x:v>
      </x:c>
      <x:c r="B731" s="33" t="str">
        <x:v>Provision Master</x:v>
      </x:c>
      <x:c r="C731" s="33" t="str">
        <x:v>Active=No; Remarks=P-3 FUTURE-EFFECTIVE; corrected reference.</x:v>
      </x:c>
      <x:c r="D731" s="33" t="str">
        <x:v>Active=No; Remarks=P-3 QUARANTINED: Generic State/local/permit/reference rows, penalty-only/fabricated DAMR extractions, and future-effective DPDP duties are not current production obligations.</x:v>
      </x:c>
      <x:c r="E731" s="33" t="str">
        <x:v>RECLASSIFY / QUARANTINE</x:v>
      </x:c>
      <x:c r="F731" s="33" t="str">
        <x:v>Generic State/local/permit/reference rows, penalty-only/fabricated DAMR extractions, and future-effective DPDP duties are not current production obligations.</x:v>
      </x:c>
      <x:c r="G731" s="33" t="str">
        <x:v>P-3 chain reconciliation</x:v>
      </x:c>
      <x:c r="H731" s="33" t="str">
        <x:v>https://www.meity.gov.in/documents/act-and-policies/digital-personal-data-protection-rules-2025-gDOxUjMtQWa | https://consumeraffairs.nic.in/acts-and-rules/consumer-protection/consumer-protection | P3 Jurisdiction Register</x:v>
      </x:c>
      <x:c r="I731" s="33" t="str">
        <x:v>P-3</x:v>
      </x:c>
      <x:c r="J731" s="33" t="str">
        <x:v>2026-08-20</x:v>
      </x:c>
      <x:c r="K731" s="33" t="str">
        <x:v>Legacy IDs retained inactive; no false production obligation remains.</x:v>
      </x:c>
    </x:row>
    <x:row r="732">
      <x:c r="A732" s="33" t="str">
        <x:v>PROV176</x:v>
      </x:c>
      <x:c r="B732" s="33" t="str">
        <x:v>Provision Master</x:v>
      </x:c>
      <x:c r="C732" s="33" t="str">
        <x:v>Active=Yes; Remarks=</x:v>
      </x:c>
      <x:c r="D732" s="33" t="str">
        <x:v>Active=No; Remarks=P-3 QUARANTINED: Generic State/local/permit/reference rows, penalty-only/fabricated DAMR extractions, and future-effective DPDP duties are not current production obligations.</x:v>
      </x:c>
      <x:c r="E732" s="33" t="str">
        <x:v>RECLASSIFY / QUARANTINE</x:v>
      </x:c>
      <x:c r="F732" s="33" t="str">
        <x:v>Generic State/local/permit/reference rows, penalty-only/fabricated DAMR extractions, and future-effective DPDP duties are not current production obligations.</x:v>
      </x:c>
      <x:c r="G732" s="33" t="str">
        <x:v>P-3 chain reconciliation</x:v>
      </x:c>
      <x:c r="H732" s="33" t="str">
        <x:v>https://www.meity.gov.in/documents/act-and-policies/digital-personal-data-protection-rules-2025-gDOxUjMtQWa | https://consumeraffairs.nic.in/acts-and-rules/consumer-protection/consumer-protection | P3 Jurisdiction Register</x:v>
      </x:c>
      <x:c r="I732" s="33" t="str">
        <x:v>P-3</x:v>
      </x:c>
      <x:c r="J732" s="33" t="str">
        <x:v>2026-08-20</x:v>
      </x:c>
      <x:c r="K732" s="33" t="str">
        <x:v>Legacy IDs retained inactive; no false production obligation remains.</x:v>
      </x:c>
    </x:row>
    <x:row r="733">
      <x:c r="A733" s="33" t="str">
        <x:v>PROV177</x:v>
      </x:c>
      <x:c r="B733" s="33" t="str">
        <x:v>Provision Master</x:v>
      </x:c>
      <x:c r="C733" s="33" t="str">
        <x:v>Active=Yes; Remarks=</x:v>
      </x:c>
      <x:c r="D733" s="33" t="str">
        <x:v>Active=No; Remarks=P-3 QUARANTINED: Generic State/local/permit/reference rows, penalty-only/fabricated DAMR extractions, and future-effective DPDP duties are not current production obligations.</x:v>
      </x:c>
      <x:c r="E733" s="33" t="str">
        <x:v>RECLASSIFY / QUARANTINE</x:v>
      </x:c>
      <x:c r="F733" s="33" t="str">
        <x:v>Generic State/local/permit/reference rows, penalty-only/fabricated DAMR extractions, and future-effective DPDP duties are not current production obligations.</x:v>
      </x:c>
      <x:c r="G733" s="33" t="str">
        <x:v>P-3 chain reconciliation</x:v>
      </x:c>
      <x:c r="H733" s="33" t="str">
        <x:v>https://www.meity.gov.in/documents/act-and-policies/digital-personal-data-protection-rules-2025-gDOxUjMtQWa | https://consumeraffairs.nic.in/acts-and-rules/consumer-protection/consumer-protection | P3 Jurisdiction Register</x:v>
      </x:c>
      <x:c r="I733" s="33" t="str">
        <x:v>P-3</x:v>
      </x:c>
      <x:c r="J733" s="33" t="str">
        <x:v>2026-08-20</x:v>
      </x:c>
      <x:c r="K733" s="33" t="str">
        <x:v>Legacy IDs retained inactive; no false production obligation remains.</x:v>
      </x:c>
    </x:row>
    <x:row r="734">
      <x:c r="A734" s="33" t="str">
        <x:v>PROV178</x:v>
      </x:c>
      <x:c r="B734" s="33" t="str">
        <x:v>Provision Master</x:v>
      </x:c>
      <x:c r="C734" s="33" t="str">
        <x:v>Active=Yes; Remarks=</x:v>
      </x:c>
      <x:c r="D734" s="33" t="str">
        <x:v>Active=No; Remarks=P-3 QUARANTINED: Generic State/local/permit/reference rows, penalty-only/fabricated DAMR extractions, and future-effective DPDP duties are not current production obligations.</x:v>
      </x:c>
      <x:c r="E734" s="33" t="str">
        <x:v>RECLASSIFY / QUARANTINE</x:v>
      </x:c>
      <x:c r="F734" s="33" t="str">
        <x:v>Generic State/local/permit/reference rows, penalty-only/fabricated DAMR extractions, and future-effective DPDP duties are not current production obligations.</x:v>
      </x:c>
      <x:c r="G734" s="33" t="str">
        <x:v>P-3 chain reconciliation</x:v>
      </x:c>
      <x:c r="H734" s="33" t="str">
        <x:v>https://www.meity.gov.in/documents/act-and-policies/digital-personal-data-protection-rules-2025-gDOxUjMtQWa | https://consumeraffairs.nic.in/acts-and-rules/consumer-protection/consumer-protection | P3 Jurisdiction Register</x:v>
      </x:c>
      <x:c r="I734" s="33" t="str">
        <x:v>P-3</x:v>
      </x:c>
      <x:c r="J734" s="33" t="str">
        <x:v>2026-08-20</x:v>
      </x:c>
      <x:c r="K734" s="33" t="str">
        <x:v>Legacy IDs retained inactive; no false production obligation remains.</x:v>
      </x:c>
    </x:row>
    <x:row r="735">
      <x:c r="A735" s="33" t="str">
        <x:v>PROV179</x:v>
      </x:c>
      <x:c r="B735" s="33" t="str">
        <x:v>Provision Master</x:v>
      </x:c>
      <x:c r="C735" s="33" t="str">
        <x:v>Active=Yes; Remarks=</x:v>
      </x:c>
      <x:c r="D735" s="33" t="str">
        <x:v>Active=No; Remarks=P-3 QUARANTINED: Generic State/local/permit/reference rows, penalty-only/fabricated DAMR extractions, and future-effective DPDP duties are not current production obligations.</x:v>
      </x:c>
      <x:c r="E735" s="33" t="str">
        <x:v>RECLASSIFY / QUARANTINE</x:v>
      </x:c>
      <x:c r="F735" s="33" t="str">
        <x:v>Generic State/local/permit/reference rows, penalty-only/fabricated DAMR extractions, and future-effective DPDP duties are not current production obligations.</x:v>
      </x:c>
      <x:c r="G735" s="33" t="str">
        <x:v>P-3 chain reconciliation</x:v>
      </x:c>
      <x:c r="H735" s="33" t="str">
        <x:v>https://www.meity.gov.in/documents/act-and-policies/digital-personal-data-protection-rules-2025-gDOxUjMtQWa | https://consumeraffairs.nic.in/acts-and-rules/consumer-protection/consumer-protection | P3 Jurisdiction Register</x:v>
      </x:c>
      <x:c r="I735" s="33" t="str">
        <x:v>P-3</x:v>
      </x:c>
      <x:c r="J735" s="33" t="str">
        <x:v>2026-08-20</x:v>
      </x:c>
      <x:c r="K735" s="33" t="str">
        <x:v>Legacy IDs retained inactive; no false production obligation remains.</x:v>
      </x:c>
    </x:row>
    <x:row r="736">
      <x:c r="A736" s="33" t="str">
        <x:v>PROV180</x:v>
      </x:c>
      <x:c r="B736" s="33" t="str">
        <x:v>Provision Master</x:v>
      </x:c>
      <x:c r="C736" s="33" t="str">
        <x:v>Active=Yes; Remarks=</x:v>
      </x:c>
      <x:c r="D736" s="33" t="str">
        <x:v>Active=No; Remarks=P-3 QUARANTINED: Generic State/local/permit/reference rows, penalty-only/fabricated DAMR extractions, and future-effective DPDP duties are not current production obligations.</x:v>
      </x:c>
      <x:c r="E736" s="33" t="str">
        <x:v>RECLASSIFY / QUARANTINE</x:v>
      </x:c>
      <x:c r="F736" s="33" t="str">
        <x:v>Generic State/local/permit/reference rows, penalty-only/fabricated DAMR extractions, and future-effective DPDP duties are not current production obligations.</x:v>
      </x:c>
      <x:c r="G736" s="33" t="str">
        <x:v>P-3 chain reconciliation</x:v>
      </x:c>
      <x:c r="H736" s="33" t="str">
        <x:v>https://www.meity.gov.in/documents/act-and-policies/digital-personal-data-protection-rules-2025-gDOxUjMtQWa | https://consumeraffairs.nic.in/acts-and-rules/consumer-protection/consumer-protection | P3 Jurisdiction Register</x:v>
      </x:c>
      <x:c r="I736" s="33" t="str">
        <x:v>P-3</x:v>
      </x:c>
      <x:c r="J736" s="33" t="str">
        <x:v>2026-08-20</x:v>
      </x:c>
      <x:c r="K736" s="33" t="str">
        <x:v>Legacy IDs retained inactive; no false production obligation remains.</x:v>
      </x:c>
    </x:row>
    <x:row r="737">
      <x:c r="A737" s="33" t="str">
        <x:v>PROV181</x:v>
      </x:c>
      <x:c r="B737" s="33" t="str">
        <x:v>Provision Master</x:v>
      </x:c>
      <x:c r="C737" s="33" t="str">
        <x:v>Active=Yes; Remarks=</x:v>
      </x:c>
      <x:c r="D737" s="33" t="str">
        <x:v>Active=No; Remarks=P-3 QUARANTINED: Generic State/local/permit/reference rows, penalty-only/fabricated DAMR extractions, and future-effective DPDP duties are not current production obligations.</x:v>
      </x:c>
      <x:c r="E737" s="33" t="str">
        <x:v>RECLASSIFY / QUARANTINE</x:v>
      </x:c>
      <x:c r="F737" s="33" t="str">
        <x:v>Generic State/local/permit/reference rows, penalty-only/fabricated DAMR extractions, and future-effective DPDP duties are not current production obligations.</x:v>
      </x:c>
      <x:c r="G737" s="33" t="str">
        <x:v>P-3 chain reconciliation</x:v>
      </x:c>
      <x:c r="H737" s="33" t="str">
        <x:v>https://www.meity.gov.in/documents/act-and-policies/digital-personal-data-protection-rules-2025-gDOxUjMtQWa | https://consumeraffairs.nic.in/acts-and-rules/consumer-protection/consumer-protection | P3 Jurisdiction Register</x:v>
      </x:c>
      <x:c r="I737" s="33" t="str">
        <x:v>P-3</x:v>
      </x:c>
      <x:c r="J737" s="33" t="str">
        <x:v>2026-08-20</x:v>
      </x:c>
      <x:c r="K737" s="33" t="str">
        <x:v>Legacy IDs retained inactive; no false production obligation remains.</x:v>
      </x:c>
    </x:row>
    <x:row r="738">
      <x:c r="A738" s="33" t="str">
        <x:v>PROV182</x:v>
      </x:c>
      <x:c r="B738" s="33" t="str">
        <x:v>Provision Master</x:v>
      </x:c>
      <x:c r="C738" s="33" t="str">
        <x:v>Active=Yes; Remarks=</x:v>
      </x:c>
      <x:c r="D738" s="33" t="str">
        <x:v>Active=No; Remarks=P-3 QUARANTINED: Generic State/local/permit/reference rows, penalty-only/fabricated DAMR extractions, and future-effective DPDP duties are not current production obligations.</x:v>
      </x:c>
      <x:c r="E738" s="33" t="str">
        <x:v>RECLASSIFY / QUARANTINE</x:v>
      </x:c>
      <x:c r="F738" s="33" t="str">
        <x:v>Generic State/local/permit/reference rows, penalty-only/fabricated DAMR extractions, and future-effective DPDP duties are not current production obligations.</x:v>
      </x:c>
      <x:c r="G738" s="33" t="str">
        <x:v>P-3 chain reconciliation</x:v>
      </x:c>
      <x:c r="H738" s="33" t="str">
        <x:v>https://www.meity.gov.in/documents/act-and-policies/digital-personal-data-protection-rules-2025-gDOxUjMtQWa | https://consumeraffairs.nic.in/acts-and-rules/consumer-protection/consumer-protection | P3 Jurisdiction Register</x:v>
      </x:c>
      <x:c r="I738" s="33" t="str">
        <x:v>P-3</x:v>
      </x:c>
      <x:c r="J738" s="33" t="str">
        <x:v>2026-08-20</x:v>
      </x:c>
      <x:c r="K738" s="33" t="str">
        <x:v>Legacy IDs retained inactive; no false production obligation remains.</x:v>
      </x:c>
    </x:row>
    <x:row r="739">
      <x:c r="A739" s="33" t="str">
        <x:v>PROV183</x:v>
      </x:c>
      <x:c r="B739" s="33" t="str">
        <x:v>Provision Master</x:v>
      </x:c>
      <x:c r="C739" s="33" t="str">
        <x:v>Active=Yes; Remarks=</x:v>
      </x:c>
      <x:c r="D739" s="33" t="str">
        <x:v>Active=No; Remarks=P-3 QUARANTINED: Generic State/local/permit/reference rows, penalty-only/fabricated DAMR extractions, and future-effective DPDP duties are not current production obligations.</x:v>
      </x:c>
      <x:c r="E739" s="33" t="str">
        <x:v>RECLASSIFY / QUARANTINE</x:v>
      </x:c>
      <x:c r="F739" s="33" t="str">
        <x:v>Generic State/local/permit/reference rows, penalty-only/fabricated DAMR extractions, and future-effective DPDP duties are not current production obligations.</x:v>
      </x:c>
      <x:c r="G739" s="33" t="str">
        <x:v>P-3 chain reconciliation</x:v>
      </x:c>
      <x:c r="H739" s="33" t="str">
        <x:v>https://www.meity.gov.in/documents/act-and-policies/digital-personal-data-protection-rules-2025-gDOxUjMtQWa | https://consumeraffairs.nic.in/acts-and-rules/consumer-protection/consumer-protection | P3 Jurisdiction Register</x:v>
      </x:c>
      <x:c r="I739" s="33" t="str">
        <x:v>P-3</x:v>
      </x:c>
      <x:c r="J739" s="33" t="str">
        <x:v>2026-08-20</x:v>
      </x:c>
      <x:c r="K739" s="33" t="str">
        <x:v>Legacy IDs retained inactive; no false production obligation remains.</x:v>
      </x:c>
    </x:row>
    <x:row r="740">
      <x:c r="A740" s="33" t="str">
        <x:v>PROV184</x:v>
      </x:c>
      <x:c r="B740" s="33" t="str">
        <x:v>Provision Master</x:v>
      </x:c>
      <x:c r="C740" s="33" t="str">
        <x:v>Active=Yes; Remarks=</x:v>
      </x:c>
      <x:c r="D740" s="33" t="str">
        <x:v>Active=No; Remarks=P-3 QUARANTINED: Generic State/local/permit/reference rows, penalty-only/fabricated DAMR extractions, and future-effective DPDP duties are not current production obligations.</x:v>
      </x:c>
      <x:c r="E740" s="33" t="str">
        <x:v>RECLASSIFY / QUARANTINE</x:v>
      </x:c>
      <x:c r="F740" s="33" t="str">
        <x:v>Generic State/local/permit/reference rows, penalty-only/fabricated DAMR extractions, and future-effective DPDP duties are not current production obligations.</x:v>
      </x:c>
      <x:c r="G740" s="33" t="str">
        <x:v>P-3 chain reconciliation</x:v>
      </x:c>
      <x:c r="H740" s="33" t="str">
        <x:v>https://www.meity.gov.in/documents/act-and-policies/digital-personal-data-protection-rules-2025-gDOxUjMtQWa | https://consumeraffairs.nic.in/acts-and-rules/consumer-protection/consumer-protection | P3 Jurisdiction Register</x:v>
      </x:c>
      <x:c r="I740" s="33" t="str">
        <x:v>P-3</x:v>
      </x:c>
      <x:c r="J740" s="33" t="str">
        <x:v>2026-08-20</x:v>
      </x:c>
      <x:c r="K740" s="33" t="str">
        <x:v>Legacy IDs retained inactive; no false production obligation remains.</x:v>
      </x:c>
    </x:row>
    <x:row r="741">
      <x:c r="A741" s="33" t="str">
        <x:v>PROV185</x:v>
      </x:c>
      <x:c r="B741" s="33" t="str">
        <x:v>Provision Master</x:v>
      </x:c>
      <x:c r="C741" s="33" t="str">
        <x:v>Active=Yes; Remarks=</x:v>
      </x:c>
      <x:c r="D741" s="33" t="str">
        <x:v>Active=No; Remarks=P-3 QUARANTINED: Generic State/local/permit/reference rows, penalty-only/fabricated DAMR extractions, and future-effective DPDP duties are not current production obligations.</x:v>
      </x:c>
      <x:c r="E741" s="33" t="str">
        <x:v>RECLASSIFY / QUARANTINE</x:v>
      </x:c>
      <x:c r="F741" s="33" t="str">
        <x:v>Generic State/local/permit/reference rows, penalty-only/fabricated DAMR extractions, and future-effective DPDP duties are not current production obligations.</x:v>
      </x:c>
      <x:c r="G741" s="33" t="str">
        <x:v>P-3 chain reconciliation</x:v>
      </x:c>
      <x:c r="H741" s="33" t="str">
        <x:v>https://www.meity.gov.in/documents/act-and-policies/digital-personal-data-protection-rules-2025-gDOxUjMtQWa | https://consumeraffairs.nic.in/acts-and-rules/consumer-protection/consumer-protection | P3 Jurisdiction Register</x:v>
      </x:c>
      <x:c r="I741" s="33" t="str">
        <x:v>P-3</x:v>
      </x:c>
      <x:c r="J741" s="33" t="str">
        <x:v>2026-08-20</x:v>
      </x:c>
      <x:c r="K741" s="33" t="str">
        <x:v>Legacy IDs retained inactive; no false production obligation remains.</x:v>
      </x:c>
    </x:row>
    <x:row r="742">
      <x:c r="A742" s="33" t="str">
        <x:v>PROV186</x:v>
      </x:c>
      <x:c r="B742" s="33" t="str">
        <x:v>Provision Master</x:v>
      </x:c>
      <x:c r="C742" s="33" t="str">
        <x:v>Active=Yes; Remarks=</x:v>
      </x:c>
      <x:c r="D742" s="33" t="str">
        <x:v>Active=No; Remarks=P-3 QUARANTINED: Generic State/local/permit/reference rows, penalty-only/fabricated DAMR extractions, and future-effective DPDP duties are not current production obligations.</x:v>
      </x:c>
      <x:c r="E742" s="33" t="str">
        <x:v>RECLASSIFY / QUARANTINE</x:v>
      </x:c>
      <x:c r="F742" s="33" t="str">
        <x:v>Generic State/local/permit/reference rows, penalty-only/fabricated DAMR extractions, and future-effective DPDP duties are not current production obligations.</x:v>
      </x:c>
      <x:c r="G742" s="33" t="str">
        <x:v>P-3 chain reconciliation</x:v>
      </x:c>
      <x:c r="H742" s="33" t="str">
        <x:v>https://www.meity.gov.in/documents/act-and-policies/digital-personal-data-protection-rules-2025-gDOxUjMtQWa | https://consumeraffairs.nic.in/acts-and-rules/consumer-protection/consumer-protection | P3 Jurisdiction Register</x:v>
      </x:c>
      <x:c r="I742" s="33" t="str">
        <x:v>P-3</x:v>
      </x:c>
      <x:c r="J742" s="33" t="str">
        <x:v>2026-08-20</x:v>
      </x:c>
      <x:c r="K742" s="33" t="str">
        <x:v>Legacy IDs retained inactive; no false production obligation remains.</x:v>
      </x:c>
    </x:row>
    <x:row r="743">
      <x:c r="A743" s="33" t="str">
        <x:v>PROV187</x:v>
      </x:c>
      <x:c r="B743" s="33" t="str">
        <x:v>Provision Master</x:v>
      </x:c>
      <x:c r="C743" s="33" t="str">
        <x:v>Active=Yes; Remarks=</x:v>
      </x:c>
      <x:c r="D743" s="33" t="str">
        <x:v>Active=No; Remarks=P-3 QUARANTINED: Generic State/local/permit/reference rows, penalty-only/fabricated DAMR extractions, and future-effective DPDP duties are not current production obligations.</x:v>
      </x:c>
      <x:c r="E743" s="33" t="str">
        <x:v>RECLASSIFY / QUARANTINE</x:v>
      </x:c>
      <x:c r="F743" s="33" t="str">
        <x:v>Generic State/local/permit/reference rows, penalty-only/fabricated DAMR extractions, and future-effective DPDP duties are not current production obligations.</x:v>
      </x:c>
      <x:c r="G743" s="33" t="str">
        <x:v>P-3 chain reconciliation</x:v>
      </x:c>
      <x:c r="H743" s="33" t="str">
        <x:v>https://www.meity.gov.in/documents/act-and-policies/digital-personal-data-protection-rules-2025-gDOxUjMtQWa | https://consumeraffairs.nic.in/acts-and-rules/consumer-protection/consumer-protection | P3 Jurisdiction Register</x:v>
      </x:c>
      <x:c r="I743" s="33" t="str">
        <x:v>P-3</x:v>
      </x:c>
      <x:c r="J743" s="33" t="str">
        <x:v>2026-08-20</x:v>
      </x:c>
      <x:c r="K743" s="33" t="str">
        <x:v>Legacy IDs retained inactive; no false production obligation remains.</x:v>
      </x:c>
    </x:row>
    <x:row r="744">
      <x:c r="A744" s="33" t="str">
        <x:v>PROV188</x:v>
      </x:c>
      <x:c r="B744" s="33" t="str">
        <x:v>Provision Master</x:v>
      </x:c>
      <x:c r="C744" s="33" t="str">
        <x:v>Active=Yes; Remarks=</x:v>
      </x:c>
      <x:c r="D744" s="33" t="str">
        <x:v>Active=No; Remarks=P-3 QUARANTINED: Generic State/local/permit/reference rows, penalty-only/fabricated DAMR extractions, and future-effective DPDP duties are not current production obligations.</x:v>
      </x:c>
      <x:c r="E744" s="33" t="str">
        <x:v>RECLASSIFY / QUARANTINE</x:v>
      </x:c>
      <x:c r="F744" s="33" t="str">
        <x:v>Generic State/local/permit/reference rows, penalty-only/fabricated DAMR extractions, and future-effective DPDP duties are not current production obligations.</x:v>
      </x:c>
      <x:c r="G744" s="33" t="str">
        <x:v>P-3 chain reconciliation</x:v>
      </x:c>
      <x:c r="H744" s="33" t="str">
        <x:v>https://www.meity.gov.in/documents/act-and-policies/digital-personal-data-protection-rules-2025-gDOxUjMtQWa | https://consumeraffairs.nic.in/acts-and-rules/consumer-protection/consumer-protection | P3 Jurisdiction Register</x:v>
      </x:c>
      <x:c r="I744" s="33" t="str">
        <x:v>P-3</x:v>
      </x:c>
      <x:c r="J744" s="33" t="str">
        <x:v>2026-08-20</x:v>
      </x:c>
      <x:c r="K744" s="33" t="str">
        <x:v>Legacy IDs retained inactive; no false production obligation remains.</x:v>
      </x:c>
    </x:row>
    <x:row r="745">
      <x:c r="A745" s="33" t="str">
        <x:v>PROV189</x:v>
      </x:c>
      <x:c r="B745" s="33" t="str">
        <x:v>Provision Master</x:v>
      </x:c>
      <x:c r="C745" s="33" t="str">
        <x:v>Active=Yes; Remarks=</x:v>
      </x:c>
      <x:c r="D745" s="33" t="str">
        <x:v>Active=No; Remarks=P-3 QUARANTINED: Generic State/local/permit/reference rows, penalty-only/fabricated DAMR extractions, and future-effective DPDP duties are not current production obligations.</x:v>
      </x:c>
      <x:c r="E745" s="33" t="str">
        <x:v>RECLASSIFY / QUARANTINE</x:v>
      </x:c>
      <x:c r="F745" s="33" t="str">
        <x:v>Generic State/local/permit/reference rows, penalty-only/fabricated DAMR extractions, and future-effective DPDP duties are not current production obligations.</x:v>
      </x:c>
      <x:c r="G745" s="33" t="str">
        <x:v>P-3 chain reconciliation</x:v>
      </x:c>
      <x:c r="H745" s="33" t="str">
        <x:v>https://www.meity.gov.in/documents/act-and-policies/digital-personal-data-protection-rules-2025-gDOxUjMtQWa | https://consumeraffairs.nic.in/acts-and-rules/consumer-protection/consumer-protection | P3 Jurisdiction Register</x:v>
      </x:c>
      <x:c r="I745" s="33" t="str">
        <x:v>P-3</x:v>
      </x:c>
      <x:c r="J745" s="33" t="str">
        <x:v>2026-08-20</x:v>
      </x:c>
      <x:c r="K745" s="33" t="str">
        <x:v>Legacy IDs retained inactive; no false production obligation remains.</x:v>
      </x:c>
    </x:row>
    <x:row r="746">
      <x:c r="A746" s="33" t="str">
        <x:v>PROV190</x:v>
      </x:c>
      <x:c r="B746" s="33" t="str">
        <x:v>Provision Master</x:v>
      </x:c>
      <x:c r="C746" s="33" t="str">
        <x:v>Active=Yes; Remarks=</x:v>
      </x:c>
      <x:c r="D746" s="33" t="str">
        <x:v>Active=No; Remarks=P-3 QUARANTINED: Generic State/local/permit/reference rows, penalty-only/fabricated DAMR extractions, and future-effective DPDP duties are not current production obligations.</x:v>
      </x:c>
      <x:c r="E746" s="33" t="str">
        <x:v>RECLASSIFY / QUARANTINE</x:v>
      </x:c>
      <x:c r="F746" s="33" t="str">
        <x:v>Generic State/local/permit/reference rows, penalty-only/fabricated DAMR extractions, and future-effective DPDP duties are not current production obligations.</x:v>
      </x:c>
      <x:c r="G746" s="33" t="str">
        <x:v>P-3 chain reconciliation</x:v>
      </x:c>
      <x:c r="H746" s="33" t="str">
        <x:v>https://www.meity.gov.in/documents/act-and-policies/digital-personal-data-protection-rules-2025-gDOxUjMtQWa | https://consumeraffairs.nic.in/acts-and-rules/consumer-protection/consumer-protection | P3 Jurisdiction Register</x:v>
      </x:c>
      <x:c r="I746" s="33" t="str">
        <x:v>P-3</x:v>
      </x:c>
      <x:c r="J746" s="33" t="str">
        <x:v>2026-08-20</x:v>
      </x:c>
      <x:c r="K746" s="33" t="str">
        <x:v>Legacy IDs retained inactive; no false production obligation remains.</x:v>
      </x:c>
    </x:row>
    <x:row r="747">
      <x:c r="A747" s="33" t="str">
        <x:v>PROV191</x:v>
      </x:c>
      <x:c r="B747" s="33" t="str">
        <x:v>Provision Master</x:v>
      </x:c>
      <x:c r="C747" s="33" t="str">
        <x:v>Active=Yes; Remarks=</x:v>
      </x:c>
      <x:c r="D747" s="33" t="str">
        <x:v>Active=No; Remarks=P-3 QUARANTINED: Generic State/local/permit/reference rows, penalty-only/fabricated DAMR extractions, and future-effective DPDP duties are not current production obligations.</x:v>
      </x:c>
      <x:c r="E747" s="33" t="str">
        <x:v>RECLASSIFY / QUARANTINE</x:v>
      </x:c>
      <x:c r="F747" s="33" t="str">
        <x:v>Generic State/local/permit/reference rows, penalty-only/fabricated DAMR extractions, and future-effective DPDP duties are not current production obligations.</x:v>
      </x:c>
      <x:c r="G747" s="33" t="str">
        <x:v>P-3 chain reconciliation</x:v>
      </x:c>
      <x:c r="H747" s="33" t="str">
        <x:v>https://www.meity.gov.in/documents/act-and-policies/digital-personal-data-protection-rules-2025-gDOxUjMtQWa | https://consumeraffairs.nic.in/acts-and-rules/consumer-protection/consumer-protection | P3 Jurisdiction Register</x:v>
      </x:c>
      <x:c r="I747" s="33" t="str">
        <x:v>P-3</x:v>
      </x:c>
      <x:c r="J747" s="33" t="str">
        <x:v>2026-08-20</x:v>
      </x:c>
      <x:c r="K747" s="33" t="str">
        <x:v>Legacy IDs retained inactive; no false production obligation remains.</x:v>
      </x:c>
    </x:row>
    <x:row r="748">
      <x:c r="A748" s="33" t="str">
        <x:v>PROV197</x:v>
      </x:c>
      <x:c r="B748" s="33" t="str">
        <x:v>Provision Master</x:v>
      </x:c>
      <x:c r="C748" s="33" t="str">
        <x:v>Active=Yes; Remarks=</x:v>
      </x:c>
      <x:c r="D748" s="33" t="str">
        <x:v>Active=No; Remarks=P-3 QUARANTINED: Generic State/local/permit/reference rows, penalty-only/fabricated DAMR extractions, and future-effective DPDP duties are not current production obligations.</x:v>
      </x:c>
      <x:c r="E748" s="33" t="str">
        <x:v>RECLASSIFY / QUARANTINE</x:v>
      </x:c>
      <x:c r="F748" s="33" t="str">
        <x:v>Generic State/local/permit/reference rows, penalty-only/fabricated DAMR extractions, and future-effective DPDP duties are not current production obligations.</x:v>
      </x:c>
      <x:c r="G748" s="33" t="str">
        <x:v>P-3 chain reconciliation</x:v>
      </x:c>
      <x:c r="H748" s="33" t="str">
        <x:v>https://www.meity.gov.in/documents/act-and-policies/digital-personal-data-protection-rules-2025-gDOxUjMtQWa | https://consumeraffairs.nic.in/acts-and-rules/consumer-protection/consumer-protection | P3 Jurisdiction Register</x:v>
      </x:c>
      <x:c r="I748" s="33" t="str">
        <x:v>P-3</x:v>
      </x:c>
      <x:c r="J748" s="33" t="str">
        <x:v>2026-08-20</x:v>
      </x:c>
      <x:c r="K748" s="33" t="str">
        <x:v>Legacy IDs retained inactive; no false production obligation remains.</x:v>
      </x:c>
    </x:row>
    <x:row r="749">
      <x:c r="A749" s="33" t="str">
        <x:v>PROV198</x:v>
      </x:c>
      <x:c r="B749" s="33" t="str">
        <x:v>Provision Master</x:v>
      </x:c>
      <x:c r="C749" s="33" t="str">
        <x:v>Active=Yes; Remarks=</x:v>
      </x:c>
      <x:c r="D749" s="33" t="str">
        <x:v>Active=No; Remarks=P-3 QUARANTINED: Generic State/local/permit/reference rows, penalty-only/fabricated DAMR extractions, and future-effective DPDP duties are not current production obligations.</x:v>
      </x:c>
      <x:c r="E749" s="33" t="str">
        <x:v>RECLASSIFY / QUARANTINE</x:v>
      </x:c>
      <x:c r="F749" s="33" t="str">
        <x:v>Generic State/local/permit/reference rows, penalty-only/fabricated DAMR extractions, and future-effective DPDP duties are not current production obligations.</x:v>
      </x:c>
      <x:c r="G749" s="33" t="str">
        <x:v>P-3 chain reconciliation</x:v>
      </x:c>
      <x:c r="H749" s="33" t="str">
        <x:v>https://www.meity.gov.in/documents/act-and-policies/digital-personal-data-protection-rules-2025-gDOxUjMtQWa | https://consumeraffairs.nic.in/acts-and-rules/consumer-protection/consumer-protection | P3 Jurisdiction Register</x:v>
      </x:c>
      <x:c r="I749" s="33" t="str">
        <x:v>P-3</x:v>
      </x:c>
      <x:c r="J749" s="33" t="str">
        <x:v>2026-08-20</x:v>
      </x:c>
      <x:c r="K749" s="33" t="str">
        <x:v>Legacy IDs retained inactive; no false production obligation remains.</x:v>
      </x:c>
    </x:row>
    <x:row r="750">
      <x:c r="A750" s="33" t="str">
        <x:v>PROV199</x:v>
      </x:c>
      <x:c r="B750" s="33" t="str">
        <x:v>Provision Master</x:v>
      </x:c>
      <x:c r="C750" s="33" t="str">
        <x:v>Active=Yes; Remarks=</x:v>
      </x:c>
      <x:c r="D750" s="33" t="str">
        <x:v>Active=No; Remarks=P-3 QUARANTINED: Generic State/local/permit/reference rows, penalty-only/fabricated DAMR extractions, and future-effective DPDP duties are not current production obligations.</x:v>
      </x:c>
      <x:c r="E750" s="33" t="str">
        <x:v>RECLASSIFY / QUARANTINE</x:v>
      </x:c>
      <x:c r="F750" s="33" t="str">
        <x:v>Generic State/local/permit/reference rows, penalty-only/fabricated DAMR extractions, and future-effective DPDP duties are not current production obligations.</x:v>
      </x:c>
      <x:c r="G750" s="33" t="str">
        <x:v>P-3 chain reconciliation</x:v>
      </x:c>
      <x:c r="H750" s="33" t="str">
        <x:v>https://www.meity.gov.in/documents/act-and-policies/digital-personal-data-protection-rules-2025-gDOxUjMtQWa | https://consumeraffairs.nic.in/acts-and-rules/consumer-protection/consumer-protection | P3 Jurisdiction Register</x:v>
      </x:c>
      <x:c r="I750" s="33" t="str">
        <x:v>P-3</x:v>
      </x:c>
      <x:c r="J750" s="33" t="str">
        <x:v>2026-08-20</x:v>
      </x:c>
      <x:c r="K750" s="33" t="str">
        <x:v>Legacy IDs retained inactive; no false production obligation remains.</x:v>
      </x:c>
    </x:row>
    <x:row r="751">
      <x:c r="A751" s="33" t="str">
        <x:v>PROV200</x:v>
      </x:c>
      <x:c r="B751" s="33" t="str">
        <x:v>Provision Master</x:v>
      </x:c>
      <x:c r="C751" s="33" t="str">
        <x:v>Active=Yes; Remarks=</x:v>
      </x:c>
      <x:c r="D751" s="33" t="str">
        <x:v>Active=No; Remarks=P-3 QUARANTINED: Generic State/local/permit/reference rows, penalty-only/fabricated DAMR extractions, and future-effective DPDP duties are not current production obligations.</x:v>
      </x:c>
      <x:c r="E751" s="33" t="str">
        <x:v>RECLASSIFY / QUARANTINE</x:v>
      </x:c>
      <x:c r="F751" s="33" t="str">
        <x:v>Generic State/local/permit/reference rows, penalty-only/fabricated DAMR extractions, and future-effective DPDP duties are not current production obligations.</x:v>
      </x:c>
      <x:c r="G751" s="33" t="str">
        <x:v>P-3 chain reconciliation</x:v>
      </x:c>
      <x:c r="H751" s="33" t="str">
        <x:v>https://www.meity.gov.in/documents/act-and-policies/digital-personal-data-protection-rules-2025-gDOxUjMtQWa | https://consumeraffairs.nic.in/acts-and-rules/consumer-protection/consumer-protection | P3 Jurisdiction Register</x:v>
      </x:c>
      <x:c r="I751" s="33" t="str">
        <x:v>P-3</x:v>
      </x:c>
      <x:c r="J751" s="33" t="str">
        <x:v>2026-08-20</x:v>
      </x:c>
      <x:c r="K751" s="33" t="str">
        <x:v>Legacy IDs retained inactive; no false production obligation remains.</x:v>
      </x:c>
    </x:row>
    <x:row r="752">
      <x:c r="A752" s="33" t="str">
        <x:v>PROV210</x:v>
      </x:c>
      <x:c r="B752" s="33" t="str">
        <x:v>Provision Master</x:v>
      </x:c>
      <x:c r="C752" s="33" t="str">
        <x:v>Active=Yes; Remarks=</x:v>
      </x:c>
      <x:c r="D752" s="33" t="str">
        <x:v>Active=No; Remarks=P-3 QUARANTINED: Generic State/local/permit/reference rows, penalty-only/fabricated DAMR extractions, and future-effective DPDP duties are not current production obligations.</x:v>
      </x:c>
      <x:c r="E752" s="33" t="str">
        <x:v>RECLASSIFY / QUARANTINE</x:v>
      </x:c>
      <x:c r="F752" s="33" t="str">
        <x:v>Generic State/local/permit/reference rows, penalty-only/fabricated DAMR extractions, and future-effective DPDP duties are not current production obligations.</x:v>
      </x:c>
      <x:c r="G752" s="33" t="str">
        <x:v>P-3 chain reconciliation</x:v>
      </x:c>
      <x:c r="H752" s="33" t="str">
        <x:v>https://www.meity.gov.in/documents/act-and-policies/digital-personal-data-protection-rules-2025-gDOxUjMtQWa | https://consumeraffairs.nic.in/acts-and-rules/consumer-protection/consumer-protection | P3 Jurisdiction Register</x:v>
      </x:c>
      <x:c r="I752" s="33" t="str">
        <x:v>P-3</x:v>
      </x:c>
      <x:c r="J752" s="33" t="str">
        <x:v>2026-08-20</x:v>
      </x:c>
      <x:c r="K752" s="33" t="str">
        <x:v>Legacy IDs retained inactive; no false production obligation remains.</x:v>
      </x:c>
    </x:row>
    <x:row r="753">
      <x:c r="A753" s="33" t="str">
        <x:v>PROV211</x:v>
      </x:c>
      <x:c r="B753" s="33" t="str">
        <x:v>Provision Master</x:v>
      </x:c>
      <x:c r="C753" s="33" t="str">
        <x:v>Active=Yes; Remarks=</x:v>
      </x:c>
      <x:c r="D753" s="33" t="str">
        <x:v>Active=No; Remarks=P-3 QUARANTINED: Generic State/local/permit/reference rows, penalty-only/fabricated DAMR extractions, and future-effective DPDP duties are not current production obligations.</x:v>
      </x:c>
      <x:c r="E753" s="33" t="str">
        <x:v>RECLASSIFY / QUARANTINE</x:v>
      </x:c>
      <x:c r="F753" s="33" t="str">
        <x:v>Generic State/local/permit/reference rows, penalty-only/fabricated DAMR extractions, and future-effective DPDP duties are not current production obligations.</x:v>
      </x:c>
      <x:c r="G753" s="33" t="str">
        <x:v>P-3 chain reconciliation</x:v>
      </x:c>
      <x:c r="H753" s="33" t="str">
        <x:v>https://www.meity.gov.in/documents/act-and-policies/digital-personal-data-protection-rules-2025-gDOxUjMtQWa | https://consumeraffairs.nic.in/acts-and-rules/consumer-protection/consumer-protection | P3 Jurisdiction Register</x:v>
      </x:c>
      <x:c r="I753" s="33" t="str">
        <x:v>P-3</x:v>
      </x:c>
      <x:c r="J753" s="33" t="str">
        <x:v>2026-08-20</x:v>
      </x:c>
      <x:c r="K753" s="33" t="str">
        <x:v>Legacy IDs retained inactive; no false production obligation remains.</x:v>
      </x:c>
    </x:row>
    <x:row r="754">
      <x:c r="A754" s="33" t="str">
        <x:v>PROV230</x:v>
      </x:c>
      <x:c r="B754" s="33" t="str">
        <x:v>Provision Master</x:v>
      </x:c>
      <x:c r="C754" s="33" t="str">
        <x:v>Active=No; Remarks=P-3 FUTURE-EFFECTIVE; readiness only.</x:v>
      </x:c>
      <x:c r="D754" s="33" t="str">
        <x:v>Active=No; Remarks=P-3 QUARANTINED: Generic State/local/permit/reference rows, penalty-only/fabricated DAMR extractions, and future-effective DPDP duties are not current production obligations.</x:v>
      </x:c>
      <x:c r="E754" s="33" t="str">
        <x:v>RECLASSIFY / QUARANTINE</x:v>
      </x:c>
      <x:c r="F754" s="33" t="str">
        <x:v>Generic State/local/permit/reference rows, penalty-only/fabricated DAMR extractions, and future-effective DPDP duties are not current production obligations.</x:v>
      </x:c>
      <x:c r="G754" s="33" t="str">
        <x:v>P-3 chain reconciliation</x:v>
      </x:c>
      <x:c r="H754" s="33" t="str">
        <x:v>https://www.meity.gov.in/documents/act-and-policies/digital-personal-data-protection-rules-2025-gDOxUjMtQWa | https://consumeraffairs.nic.in/acts-and-rules/consumer-protection/consumer-protection | P3 Jurisdiction Register</x:v>
      </x:c>
      <x:c r="I754" s="33" t="str">
        <x:v>P-3</x:v>
      </x:c>
      <x:c r="J754" s="33" t="str">
        <x:v>2026-08-20</x:v>
      </x:c>
      <x:c r="K754" s="33" t="str">
        <x:v>Legacy IDs retained inactive; no false production obligation remains.</x:v>
      </x:c>
    </x:row>
    <x:row r="755">
      <x:c r="A755" s="33" t="str">
        <x:v>PROV231</x:v>
      </x:c>
      <x:c r="B755" s="33" t="str">
        <x:v>Provision Master</x:v>
      </x:c>
      <x:c r="C755" s="33" t="str">
        <x:v>Active=No; Remarks=P-3 FUTURE-EFFECTIVE; readiness only.</x:v>
      </x:c>
      <x:c r="D755" s="33" t="str">
        <x:v>Active=No; Remarks=P-3 QUARANTINED: Generic State/local/permit/reference rows, penalty-only/fabricated DAMR extractions, and future-effective DPDP duties are not current production obligations.</x:v>
      </x:c>
      <x:c r="E755" s="33" t="str">
        <x:v>RECLASSIFY / QUARANTINE</x:v>
      </x:c>
      <x:c r="F755" s="33" t="str">
        <x:v>Generic State/local/permit/reference rows, penalty-only/fabricated DAMR extractions, and future-effective DPDP duties are not current production obligations.</x:v>
      </x:c>
      <x:c r="G755" s="33" t="str">
        <x:v>P-3 chain reconciliation</x:v>
      </x:c>
      <x:c r="H755" s="33" t="str">
        <x:v>https://www.meity.gov.in/documents/act-and-policies/digital-personal-data-protection-rules-2025-gDOxUjMtQWa | https://consumeraffairs.nic.in/acts-and-rules/consumer-protection/consumer-protection | P3 Jurisdiction Register</x:v>
      </x:c>
      <x:c r="I755" s="33" t="str">
        <x:v>P-3</x:v>
      </x:c>
      <x:c r="J755" s="33" t="str">
        <x:v>2026-08-20</x:v>
      </x:c>
      <x:c r="K755" s="33" t="str">
        <x:v>Legacy IDs retained inactive; no false production obligation remains.</x:v>
      </x:c>
    </x:row>
    <x:row r="756">
      <x:c r="A756" s="33" t="str">
        <x:v>PROV232</x:v>
      </x:c>
      <x:c r="B756" s="33" t="str">
        <x:v>Provision Master</x:v>
      </x:c>
      <x:c r="C756" s="33" t="str">
        <x:v>Active=No; Remarks=P-3 FUTURE-EFFECTIVE; readiness only.</x:v>
      </x:c>
      <x:c r="D756" s="33" t="str">
        <x:v>Active=No; Remarks=P-3 QUARANTINED: Generic State/local/permit/reference rows, penalty-only/fabricated DAMR extractions, and future-effective DPDP duties are not current production obligations.</x:v>
      </x:c>
      <x:c r="E756" s="33" t="str">
        <x:v>RECLASSIFY / QUARANTINE</x:v>
      </x:c>
      <x:c r="F756" s="33" t="str">
        <x:v>Generic State/local/permit/reference rows, penalty-only/fabricated DAMR extractions, and future-effective DPDP duties are not current production obligations.</x:v>
      </x:c>
      <x:c r="G756" s="33" t="str">
        <x:v>P-3 chain reconciliation</x:v>
      </x:c>
      <x:c r="H756" s="33" t="str">
        <x:v>https://www.meity.gov.in/documents/act-and-policies/digital-personal-data-protection-rules-2025-gDOxUjMtQWa | https://consumeraffairs.nic.in/acts-and-rules/consumer-protection/consumer-protection | P3 Jurisdiction Register</x:v>
      </x:c>
      <x:c r="I756" s="33" t="str">
        <x:v>P-3</x:v>
      </x:c>
      <x:c r="J756" s="33" t="str">
        <x:v>2026-08-20</x:v>
      </x:c>
      <x:c r="K756" s="33" t="str">
        <x:v>Legacy IDs retained inactive; no false production obligation remains.</x:v>
      </x:c>
    </x:row>
    <x:row r="757">
      <x:c r="A757" s="33" t="str">
        <x:v>PROV233</x:v>
      </x:c>
      <x:c r="B757" s="33" t="str">
        <x:v>Provision Master</x:v>
      </x:c>
      <x:c r="C757" s="33" t="str">
        <x:v>Active=No; Remarks=P-3 FUTURE-EFFECTIVE; readiness only.</x:v>
      </x:c>
      <x:c r="D757" s="33" t="str">
        <x:v>Active=No; Remarks=P-3 QUARANTINED: Generic State/local/permit/reference rows, penalty-only/fabricated DAMR extractions, and future-effective DPDP duties are not current production obligations.</x:v>
      </x:c>
      <x:c r="E757" s="33" t="str">
        <x:v>RECLASSIFY / QUARANTINE</x:v>
      </x:c>
      <x:c r="F757" s="33" t="str">
        <x:v>Generic State/local/permit/reference rows, penalty-only/fabricated DAMR extractions, and future-effective DPDP duties are not current production obligations.</x:v>
      </x:c>
      <x:c r="G757" s="33" t="str">
        <x:v>P-3 chain reconciliation</x:v>
      </x:c>
      <x:c r="H757" s="33" t="str">
        <x:v>https://www.meity.gov.in/documents/act-and-policies/digital-personal-data-protection-rules-2025-gDOxUjMtQWa | https://consumeraffairs.nic.in/acts-and-rules/consumer-protection/consumer-protection | P3 Jurisdiction Register</x:v>
      </x:c>
      <x:c r="I757" s="33" t="str">
        <x:v>P-3</x:v>
      </x:c>
      <x:c r="J757" s="33" t="str">
        <x:v>2026-08-20</x:v>
      </x:c>
      <x:c r="K757" s="33" t="str">
        <x:v>Legacy IDs retained inactive; no false production obligation remains.</x:v>
      </x:c>
    </x:row>
    <x:row r="758">
      <x:c r="A758" s="33" t="str">
        <x:v>PROV234</x:v>
      </x:c>
      <x:c r="B758" s="33" t="str">
        <x:v>Provision Master</x:v>
      </x:c>
      <x:c r="C758" s="33" t="str">
        <x:v>Active=No; Remarks=P-3 FUTURE-EFFECTIVE; readiness only.</x:v>
      </x:c>
      <x:c r="D758" s="33" t="str">
        <x:v>Active=No; Remarks=P-3 QUARANTINED: Generic State/local/permit/reference rows, penalty-only/fabricated DAMR extractions, and future-effective DPDP duties are not current production obligations.</x:v>
      </x:c>
      <x:c r="E758" s="33" t="str">
        <x:v>RECLASSIFY / QUARANTINE</x:v>
      </x:c>
      <x:c r="F758" s="33" t="str">
        <x:v>Generic State/local/permit/reference rows, penalty-only/fabricated DAMR extractions, and future-effective DPDP duties are not current production obligations.</x:v>
      </x:c>
      <x:c r="G758" s="33" t="str">
        <x:v>P-3 chain reconciliation</x:v>
      </x:c>
      <x:c r="H758" s="33" t="str">
        <x:v>https://www.meity.gov.in/documents/act-and-policies/digital-personal-data-protection-rules-2025-gDOxUjMtQWa | https://consumeraffairs.nic.in/acts-and-rules/consumer-protection/consumer-protection | P3 Jurisdiction Register</x:v>
      </x:c>
      <x:c r="I758" s="33" t="str">
        <x:v>P-3</x:v>
      </x:c>
      <x:c r="J758" s="33" t="str">
        <x:v>2026-08-20</x:v>
      </x:c>
      <x:c r="K758" s="33" t="str">
        <x:v>Legacy IDs retained inactive; no false production obligation remains.</x:v>
      </x:c>
    </x:row>
    <x:row r="759">
      <x:c r="A759" s="33" t="str">
        <x:v>PROV235</x:v>
      </x:c>
      <x:c r="B759" s="33" t="str">
        <x:v>Provision Master</x:v>
      </x:c>
      <x:c r="C759" s="33" t="str">
        <x:v>Active=No; Remarks=P-3 FUTURE-EFFECTIVE; readiness only.</x:v>
      </x:c>
      <x:c r="D759" s="33" t="str">
        <x:v>Active=No; Remarks=P-3 QUARANTINED: Generic State/local/permit/reference rows, penalty-only/fabricated DAMR extractions, and future-effective DPDP duties are not current production obligations.</x:v>
      </x:c>
      <x:c r="E759" s="33" t="str">
        <x:v>RECLASSIFY / QUARANTINE</x:v>
      </x:c>
      <x:c r="F759" s="33" t="str">
        <x:v>Generic State/local/permit/reference rows, penalty-only/fabricated DAMR extractions, and future-effective DPDP duties are not current production obligations.</x:v>
      </x:c>
      <x:c r="G759" s="33" t="str">
        <x:v>P-3 chain reconciliation</x:v>
      </x:c>
      <x:c r="H759" s="33" t="str">
        <x:v>https://www.meity.gov.in/documents/act-and-policies/digital-personal-data-protection-rules-2025-gDOxUjMtQWa | https://consumeraffairs.nic.in/acts-and-rules/consumer-protection/consumer-protection | P3 Jurisdiction Register</x:v>
      </x:c>
      <x:c r="I759" s="33" t="str">
        <x:v>P-3</x:v>
      </x:c>
      <x:c r="J759" s="33" t="str">
        <x:v>2026-08-20</x:v>
      </x:c>
      <x:c r="K759" s="33" t="str">
        <x:v>Legacy IDs retained inactive; no false production obligation remains.</x:v>
      </x:c>
    </x:row>
    <x:row r="760">
      <x:c r="A760" s="33" t="str">
        <x:v>COMP051</x:v>
      </x:c>
      <x:c r="B760" s="33" t="str">
        <x:v>Compliance Requirement Master</x:v>
      </x:c>
      <x:c r="C760" s="33" t="str">
        <x:v>Active=Yes; Remarks=State-specific registration</x:v>
      </x:c>
      <x:c r="D760" s="33" t="str">
        <x:v>Active=No; Remarks=P-3 QUARANTINED: Generic State/local/permit/reference rows, penalty-only/fabricated DAMR extractions, and future-effective DPDP duties are not current production obligations.</x:v>
      </x:c>
      <x:c r="E760" s="33" t="str">
        <x:v>RECLASSIFY / QUARANTINE</x:v>
      </x:c>
      <x:c r="F760" s="33" t="str">
        <x:v>Generic State/local/permit/reference rows, penalty-only/fabricated DAMR extractions, and future-effective DPDP duties are not current production obligations.</x:v>
      </x:c>
      <x:c r="G760" s="33" t="str">
        <x:v>P-3 chain reconciliation</x:v>
      </x:c>
      <x:c r="H760" s="33" t="str">
        <x:v>https://www.meity.gov.in/documents/act-and-policies/digital-personal-data-protection-rules-2025-gDOxUjMtQWa | https://consumeraffairs.nic.in/acts-and-rules/consumer-protection/consumer-protection | P3 Jurisdiction Register</x:v>
      </x:c>
      <x:c r="I760" s="33" t="str">
        <x:v>P-3</x:v>
      </x:c>
      <x:c r="J760" s="33" t="str">
        <x:v>2026-08-20</x:v>
      </x:c>
      <x:c r="K760" s="33" t="str">
        <x:v>Legacy IDs retained inactive; no false production obligation remains.</x:v>
      </x:c>
    </x:row>
    <x:row r="761">
      <x:c r="A761" s="33" t="str">
        <x:v>COMP052</x:v>
      </x:c>
      <x:c r="B761" s="33" t="str">
        <x:v>Compliance Requirement Master</x:v>
      </x:c>
      <x:c r="C761" s="33" t="str">
        <x:v>Active=Yes; Remarks=Working hours compliance</x:v>
      </x:c>
      <x:c r="D761" s="33" t="str">
        <x:v>Active=No; Remarks=P-3 QUARANTINED: Generic State/local/permit/reference rows, penalty-only/fabricated DAMR extractions, and future-effective DPDP duties are not current production obligations.</x:v>
      </x:c>
      <x:c r="E761" s="33" t="str">
        <x:v>RECLASSIFY / QUARANTINE</x:v>
      </x:c>
      <x:c r="F761" s="33" t="str">
        <x:v>Generic State/local/permit/reference rows, penalty-only/fabricated DAMR extractions, and future-effective DPDP duties are not current production obligations.</x:v>
      </x:c>
      <x:c r="G761" s="33" t="str">
        <x:v>P-3 chain reconciliation</x:v>
      </x:c>
      <x:c r="H761" s="33" t="str">
        <x:v>https://www.meity.gov.in/documents/act-and-policies/digital-personal-data-protection-rules-2025-gDOxUjMtQWa | https://consumeraffairs.nic.in/acts-and-rules/consumer-protection/consumer-protection | P3 Jurisdiction Register</x:v>
      </x:c>
      <x:c r="I761" s="33" t="str">
        <x:v>P-3</x:v>
      </x:c>
      <x:c r="J761" s="33" t="str">
        <x:v>2026-08-20</x:v>
      </x:c>
      <x:c r="K761" s="33" t="str">
        <x:v>Legacy IDs retained inactive; no false production obligation remains.</x:v>
      </x:c>
    </x:row>
    <x:row r="762">
      <x:c r="A762" s="33" t="str">
        <x:v>COMP053</x:v>
      </x:c>
      <x:c r="B762" s="33" t="str">
        <x:v>Compliance Requirement Master</x:v>
      </x:c>
      <x:c r="C762" s="33" t="str">
        <x:v>Active=Yes; Remarks=Weekly off register</x:v>
      </x:c>
      <x:c r="D762" s="33" t="str">
        <x:v>Active=No; Remarks=P-3 QUARANTINED: Generic State/local/permit/reference rows, penalty-only/fabricated DAMR extractions, and future-effective DPDP duties are not current production obligations.</x:v>
      </x:c>
      <x:c r="E762" s="33" t="str">
        <x:v>RECLASSIFY / QUARANTINE</x:v>
      </x:c>
      <x:c r="F762" s="33" t="str">
        <x:v>Generic State/local/permit/reference rows, penalty-only/fabricated DAMR extractions, and future-effective DPDP duties are not current production obligations.</x:v>
      </x:c>
      <x:c r="G762" s="33" t="str">
        <x:v>P-3 chain reconciliation</x:v>
      </x:c>
      <x:c r="H762" s="33" t="str">
        <x:v>https://www.meity.gov.in/documents/act-and-policies/digital-personal-data-protection-rules-2025-gDOxUjMtQWa | https://consumeraffairs.nic.in/acts-and-rules/consumer-protection/consumer-protection | P3 Jurisdiction Register</x:v>
      </x:c>
      <x:c r="I762" s="33" t="str">
        <x:v>P-3</x:v>
      </x:c>
      <x:c r="J762" s="33" t="str">
        <x:v>2026-08-20</x:v>
      </x:c>
      <x:c r="K762" s="33" t="str">
        <x:v>Legacy IDs retained inactive; no false production obligation remains.</x:v>
      </x:c>
    </x:row>
    <x:row r="763">
      <x:c r="A763" s="33" t="str">
        <x:v>COMP054</x:v>
      </x:c>
      <x:c r="B763" s="33" t="str">
        <x:v>Compliance Requirement Master</x:v>
      </x:c>
      <x:c r="C763" s="33" t="str">
        <x:v>Active=Yes; Remarks=Leave register</x:v>
      </x:c>
      <x:c r="D763" s="33" t="str">
        <x:v>Active=No; Remarks=P-3 QUARANTINED: Generic State/local/permit/reference rows, penalty-only/fabricated DAMR extractions, and future-effective DPDP duties are not current production obligations.</x:v>
      </x:c>
      <x:c r="E763" s="33" t="str">
        <x:v>RECLASSIFY / QUARANTINE</x:v>
      </x:c>
      <x:c r="F763" s="33" t="str">
        <x:v>Generic State/local/permit/reference rows, penalty-only/fabricated DAMR extractions, and future-effective DPDP duties are not current production obligations.</x:v>
      </x:c>
      <x:c r="G763" s="33" t="str">
        <x:v>P-3 chain reconciliation</x:v>
      </x:c>
      <x:c r="H763" s="33" t="str">
        <x:v>https://www.meity.gov.in/documents/act-and-policies/digital-personal-data-protection-rules-2025-gDOxUjMtQWa | https://consumeraffairs.nic.in/acts-and-rules/consumer-protection/consumer-protection | P3 Jurisdiction Register</x:v>
      </x:c>
      <x:c r="I763" s="33" t="str">
        <x:v>P-3</x:v>
      </x:c>
      <x:c r="J763" s="33" t="str">
        <x:v>2026-08-20</x:v>
      </x:c>
      <x:c r="K763" s="33" t="str">
        <x:v>Legacy IDs retained inactive; no false production obligation remains.</x:v>
      </x:c>
    </x:row>
    <x:row r="764">
      <x:c r="A764" s="33" t="str">
        <x:v>COMP055</x:v>
      </x:c>
      <x:c r="B764" s="33" t="str">
        <x:v>Compliance Requirement Master</x:v>
      </x:c>
      <x:c r="C764" s="33" t="str">
        <x:v>Active=Yes; Remarks=Display compliance</x:v>
      </x:c>
      <x:c r="D764" s="33" t="str">
        <x:v>Active=No; Remarks=P-3 QUARANTINED: Generic State/local/permit/reference rows, penalty-only/fabricated DAMR extractions, and future-effective DPDP duties are not current production obligations.</x:v>
      </x:c>
      <x:c r="E764" s="33" t="str">
        <x:v>RECLASSIFY / QUARANTINE</x:v>
      </x:c>
      <x:c r="F764" s="33" t="str">
        <x:v>Generic State/local/permit/reference rows, penalty-only/fabricated DAMR extractions, and future-effective DPDP duties are not current production obligations.</x:v>
      </x:c>
      <x:c r="G764" s="33" t="str">
        <x:v>P-3 chain reconciliation</x:v>
      </x:c>
      <x:c r="H764" s="33" t="str">
        <x:v>https://www.meity.gov.in/documents/act-and-policies/digital-personal-data-protection-rules-2025-gDOxUjMtQWa | https://consumeraffairs.nic.in/acts-and-rules/consumer-protection/consumer-protection | P3 Jurisdiction Register</x:v>
      </x:c>
      <x:c r="I764" s="33" t="str">
        <x:v>P-3</x:v>
      </x:c>
      <x:c r="J764" s="33" t="str">
        <x:v>2026-08-20</x:v>
      </x:c>
      <x:c r="K764" s="33" t="str">
        <x:v>Legacy IDs retained inactive; no false production obligation remains.</x:v>
      </x:c>
    </x:row>
    <x:row r="765">
      <x:c r="A765" s="33" t="str">
        <x:v>COMP096</x:v>
      </x:c>
      <x:c r="B765" s="33" t="str">
        <x:v>Compliance Requirement Master</x:v>
      </x:c>
      <x:c r="C765" s="33" t="str">
        <x:v>Active=No; Remarks=P-3 FUTURE-EFFECTIVE.</x:v>
      </x:c>
      <x:c r="D765" s="33" t="str">
        <x:v>Active=No; Remarks=P-3 QUARANTINED: Generic State/local/permit/reference rows, penalty-only/fabricated DAMR extractions, and future-effective DPDP duties are not current production obligations.</x:v>
      </x:c>
      <x:c r="E765" s="33" t="str">
        <x:v>RECLASSIFY / QUARANTINE</x:v>
      </x:c>
      <x:c r="F765" s="33" t="str">
        <x:v>Generic State/local/permit/reference rows, penalty-only/fabricated DAMR extractions, and future-effective DPDP duties are not current production obligations.</x:v>
      </x:c>
      <x:c r="G765" s="33" t="str">
        <x:v>P-3 chain reconciliation</x:v>
      </x:c>
      <x:c r="H765" s="33" t="str">
        <x:v>https://www.meity.gov.in/documents/act-and-policies/digital-personal-data-protection-rules-2025-gDOxUjMtQWa | https://consumeraffairs.nic.in/acts-and-rules/consumer-protection/consumer-protection | P3 Jurisdiction Register</x:v>
      </x:c>
      <x:c r="I765" s="33" t="str">
        <x:v>P-3</x:v>
      </x:c>
      <x:c r="J765" s="33" t="str">
        <x:v>2026-08-20</x:v>
      </x:c>
      <x:c r="K765" s="33" t="str">
        <x:v>Legacy IDs retained inactive; no false production obligation remains.</x:v>
      </x:c>
    </x:row>
    <x:row r="766">
      <x:c r="A766" s="33" t="str">
        <x:v>COMP097</x:v>
      </x:c>
      <x:c r="B766" s="33" t="str">
        <x:v>Compliance Requirement Master</x:v>
      </x:c>
      <x:c r="C766" s="33" t="str">
        <x:v>Active=No; Remarks=P-3 FUTURE-EFFECTIVE.</x:v>
      </x:c>
      <x:c r="D766" s="33" t="str">
        <x:v>Active=No; Remarks=P-3 QUARANTINED: Generic State/local/permit/reference rows, penalty-only/fabricated DAMR extractions, and future-effective DPDP duties are not current production obligations.</x:v>
      </x:c>
      <x:c r="E766" s="33" t="str">
        <x:v>RECLASSIFY / QUARANTINE</x:v>
      </x:c>
      <x:c r="F766" s="33" t="str">
        <x:v>Generic State/local/permit/reference rows, penalty-only/fabricated DAMR extractions, and future-effective DPDP duties are not current production obligations.</x:v>
      </x:c>
      <x:c r="G766" s="33" t="str">
        <x:v>P-3 chain reconciliation</x:v>
      </x:c>
      <x:c r="H766" s="33" t="str">
        <x:v>https://www.meity.gov.in/documents/act-and-policies/digital-personal-data-protection-rules-2025-gDOxUjMtQWa | https://consumeraffairs.nic.in/acts-and-rules/consumer-protection/consumer-protection | P3 Jurisdiction Register</x:v>
      </x:c>
      <x:c r="I766" s="33" t="str">
        <x:v>P-3</x:v>
      </x:c>
      <x:c r="J766" s="33" t="str">
        <x:v>2026-08-20</x:v>
      </x:c>
      <x:c r="K766" s="33" t="str">
        <x:v>Legacy IDs retained inactive; no false production obligation remains.</x:v>
      </x:c>
    </x:row>
    <x:row r="767">
      <x:c r="A767" s="33" t="str">
        <x:v>COMP098</x:v>
      </x:c>
      <x:c r="B767" s="33" t="str">
        <x:v>Compliance Requirement Master</x:v>
      </x:c>
      <x:c r="C767" s="33" t="str">
        <x:v>Active=No; Remarks=P-3 FUTURE-EFFECTIVE.</x:v>
      </x:c>
      <x:c r="D767" s="33" t="str">
        <x:v>Active=No; Remarks=P-3 QUARANTINED: Generic State/local/permit/reference rows, penalty-only/fabricated DAMR extractions, and future-effective DPDP duties are not current production obligations.</x:v>
      </x:c>
      <x:c r="E767" s="33" t="str">
        <x:v>RECLASSIFY / QUARANTINE</x:v>
      </x:c>
      <x:c r="F767" s="33" t="str">
        <x:v>Generic State/local/permit/reference rows, penalty-only/fabricated DAMR extractions, and future-effective DPDP duties are not current production obligations.</x:v>
      </x:c>
      <x:c r="G767" s="33" t="str">
        <x:v>P-3 chain reconciliation</x:v>
      </x:c>
      <x:c r="H767" s="33" t="str">
        <x:v>https://www.meity.gov.in/documents/act-and-policies/digital-personal-data-protection-rules-2025-gDOxUjMtQWa | https://consumeraffairs.nic.in/acts-and-rules/consumer-protection/consumer-protection | P3 Jurisdiction Register</x:v>
      </x:c>
      <x:c r="I767" s="33" t="str">
        <x:v>P-3</x:v>
      </x:c>
      <x:c r="J767" s="33" t="str">
        <x:v>2026-08-20</x:v>
      </x:c>
      <x:c r="K767" s="33" t="str">
        <x:v>Legacy IDs retained inactive; no false production obligation remains.</x:v>
      </x:c>
    </x:row>
    <x:row r="768">
      <x:c r="A768" s="33" t="str">
        <x:v>COMP099</x:v>
      </x:c>
      <x:c r="B768" s="33" t="str">
        <x:v>Compliance Requirement Master</x:v>
      </x:c>
      <x:c r="C768" s="33" t="str">
        <x:v>Active=No; Remarks=P-3 FUTURE-EFFECTIVE.</x:v>
      </x:c>
      <x:c r="D768" s="33" t="str">
        <x:v>Active=No; Remarks=P-3 QUARANTINED: Generic State/local/permit/reference rows, penalty-only/fabricated DAMR extractions, and future-effective DPDP duties are not current production obligations.</x:v>
      </x:c>
      <x:c r="E768" s="33" t="str">
        <x:v>RECLASSIFY / QUARANTINE</x:v>
      </x:c>
      <x:c r="F768" s="33" t="str">
        <x:v>Generic State/local/permit/reference rows, penalty-only/fabricated DAMR extractions, and future-effective DPDP duties are not current production obligations.</x:v>
      </x:c>
      <x:c r="G768" s="33" t="str">
        <x:v>P-3 chain reconciliation</x:v>
      </x:c>
      <x:c r="H768" s="33" t="str">
        <x:v>https://www.meity.gov.in/documents/act-and-policies/digital-personal-data-protection-rules-2025-gDOxUjMtQWa | https://consumeraffairs.nic.in/acts-and-rules/consumer-protection/consumer-protection | P3 Jurisdiction Register</x:v>
      </x:c>
      <x:c r="I768" s="33" t="str">
        <x:v>P-3</x:v>
      </x:c>
      <x:c r="J768" s="33" t="str">
        <x:v>2026-08-20</x:v>
      </x:c>
      <x:c r="K768" s="33" t="str">
        <x:v>Legacy IDs retained inactive; no false production obligation remains.</x:v>
      </x:c>
    </x:row>
    <x:row r="769">
      <x:c r="A769" s="33" t="str">
        <x:v>COMP100</x:v>
      </x:c>
      <x:c r="B769" s="33" t="str">
        <x:v>Compliance Requirement Master</x:v>
      </x:c>
      <x:c r="C769" s="33" t="str">
        <x:v>Active=No; Remarks=P-3 FUTURE-EFFECTIVE; section reference corrected.</x:v>
      </x:c>
      <x:c r="D769" s="33" t="str">
        <x:v>Active=No; Remarks=P-3 QUARANTINED: Generic State/local/permit/reference rows, penalty-only/fabricated DAMR extractions, and future-effective DPDP duties are not current production obligations.</x:v>
      </x:c>
      <x:c r="E769" s="33" t="str">
        <x:v>RECLASSIFY / QUARANTINE</x:v>
      </x:c>
      <x:c r="F769" s="33" t="str">
        <x:v>Generic State/local/permit/reference rows, penalty-only/fabricated DAMR extractions, and future-effective DPDP duties are not current production obligations.</x:v>
      </x:c>
      <x:c r="G769" s="33" t="str">
        <x:v>P-3 chain reconciliation</x:v>
      </x:c>
      <x:c r="H769" s="33" t="str">
        <x:v>https://www.meity.gov.in/documents/act-and-policies/digital-personal-data-protection-rules-2025-gDOxUjMtQWa | https://consumeraffairs.nic.in/acts-and-rules/consumer-protection/consumer-protection | P3 Jurisdiction Register</x:v>
      </x:c>
      <x:c r="I769" s="33" t="str">
        <x:v>P-3</x:v>
      </x:c>
      <x:c r="J769" s="33" t="str">
        <x:v>2026-08-20</x:v>
      </x:c>
      <x:c r="K769" s="33" t="str">
        <x:v>Legacy IDs retained inactive; no false production obligation remains.</x:v>
      </x:c>
    </x:row>
    <x:row r="770">
      <x:c r="A770" s="33" t="str">
        <x:v>COMP176</x:v>
      </x:c>
      <x:c r="B770" s="33" t="str">
        <x:v>Compliance Requirement Master</x:v>
      </x:c>
      <x:c r="C770" s="33" t="str">
        <x:v>Active=Yes; Remarks=Authorization validity</x:v>
      </x:c>
      <x:c r="D770" s="33" t="str">
        <x:v>Active=No; Remarks=P-3 QUARANTINED: Generic State/local/permit/reference rows, penalty-only/fabricated DAMR extractions, and future-effective DPDP duties are not current production obligations.</x:v>
      </x:c>
      <x:c r="E770" s="33" t="str">
        <x:v>RECLASSIFY / QUARANTINE</x:v>
      </x:c>
      <x:c r="F770" s="33" t="str">
        <x:v>Generic State/local/permit/reference rows, penalty-only/fabricated DAMR extractions, and future-effective DPDP duties are not current production obligations.</x:v>
      </x:c>
      <x:c r="G770" s="33" t="str">
        <x:v>P-3 chain reconciliation</x:v>
      </x:c>
      <x:c r="H770" s="33" t="str">
        <x:v>https://www.meity.gov.in/documents/act-and-policies/digital-personal-data-protection-rules-2025-gDOxUjMtQWa | https://consumeraffairs.nic.in/acts-and-rules/consumer-protection/consumer-protection | P3 Jurisdiction Register</x:v>
      </x:c>
      <x:c r="I770" s="33" t="str">
        <x:v>P-3</x:v>
      </x:c>
      <x:c r="J770" s="33" t="str">
        <x:v>2026-08-20</x:v>
      </x:c>
      <x:c r="K770" s="33" t="str">
        <x:v>Legacy IDs retained inactive; no false production obligation remains.</x:v>
      </x:c>
    </x:row>
    <x:row r="771">
      <x:c r="A771" s="33" t="str">
        <x:v>COMP177</x:v>
      </x:c>
      <x:c r="B771" s="33" t="str">
        <x:v>Compliance Requirement Master</x:v>
      </x:c>
      <x:c r="C771" s="33" t="str">
        <x:v>Active=Yes; Remarks=Waste segregation</x:v>
      </x:c>
      <x:c r="D771" s="33" t="str">
        <x:v>Active=No; Remarks=P-3 QUARANTINED: Generic State/local/permit/reference rows, penalty-only/fabricated DAMR extractions, and future-effective DPDP duties are not current production obligations.</x:v>
      </x:c>
      <x:c r="E771" s="33" t="str">
        <x:v>RECLASSIFY / QUARANTINE</x:v>
      </x:c>
      <x:c r="F771" s="33" t="str">
        <x:v>Generic State/local/permit/reference rows, penalty-only/fabricated DAMR extractions, and future-effective DPDP duties are not current production obligations.</x:v>
      </x:c>
      <x:c r="G771" s="33" t="str">
        <x:v>P-3 chain reconciliation</x:v>
      </x:c>
      <x:c r="H771" s="33" t="str">
        <x:v>https://www.meity.gov.in/documents/act-and-policies/digital-personal-data-protection-rules-2025-gDOxUjMtQWa | https://consumeraffairs.nic.in/acts-and-rules/consumer-protection/consumer-protection | P3 Jurisdiction Register</x:v>
      </x:c>
      <x:c r="I771" s="33" t="str">
        <x:v>P-3</x:v>
      </x:c>
      <x:c r="J771" s="33" t="str">
        <x:v>2026-08-20</x:v>
      </x:c>
      <x:c r="K771" s="33" t="str">
        <x:v>Legacy IDs retained inactive; no false production obligation remains.</x:v>
      </x:c>
    </x:row>
    <x:row r="772">
      <x:c r="A772" s="33" t="str">
        <x:v>COMP178</x:v>
      </x:c>
      <x:c r="B772" s="33" t="str">
        <x:v>Compliance Requirement Master</x:v>
      </x:c>
      <x:c r="C772" s="33" t="str">
        <x:v>Active=Yes; Remarks=Documentation</x:v>
      </x:c>
      <x:c r="D772" s="33" t="str">
        <x:v>Active=No; Remarks=P-3 QUARANTINED: Generic State/local/permit/reference rows, penalty-only/fabricated DAMR extractions, and future-effective DPDP duties are not current production obligations.</x:v>
      </x:c>
      <x:c r="E772" s="33" t="str">
        <x:v>RECLASSIFY / QUARANTINE</x:v>
      </x:c>
      <x:c r="F772" s="33" t="str">
        <x:v>Generic State/local/permit/reference rows, penalty-only/fabricated DAMR extractions, and future-effective DPDP duties are not current production obligations.</x:v>
      </x:c>
      <x:c r="G772" s="33" t="str">
        <x:v>P-3 chain reconciliation</x:v>
      </x:c>
      <x:c r="H772" s="33" t="str">
        <x:v>https://www.meity.gov.in/documents/act-and-policies/digital-personal-data-protection-rules-2025-gDOxUjMtQWa | https://consumeraffairs.nic.in/acts-and-rules/consumer-protection/consumer-protection | P3 Jurisdiction Register</x:v>
      </x:c>
      <x:c r="I772" s="33" t="str">
        <x:v>P-3</x:v>
      </x:c>
      <x:c r="J772" s="33" t="str">
        <x:v>2026-08-20</x:v>
      </x:c>
      <x:c r="K772" s="33" t="str">
        <x:v>Legacy IDs retained inactive; no false production obligation remains.</x:v>
      </x:c>
    </x:row>
    <x:row r="773">
      <x:c r="A773" s="33" t="str">
        <x:v>COMP179</x:v>
      </x:c>
      <x:c r="B773" s="33" t="str">
        <x:v>Compliance Requirement Master</x:v>
      </x:c>
      <x:c r="C773" s="33" t="str">
        <x:v>Active=Yes; Remarks=Annual reporting</x:v>
      </x:c>
      <x:c r="D773" s="33" t="str">
        <x:v>Active=No; Remarks=P-3 QUARANTINED: Generic State/local/permit/reference rows, penalty-only/fabricated DAMR extractions, and future-effective DPDP duties are not current production obligations.</x:v>
      </x:c>
      <x:c r="E773" s="33" t="str">
        <x:v>RECLASSIFY / QUARANTINE</x:v>
      </x:c>
      <x:c r="F773" s="33" t="str">
        <x:v>Generic State/local/permit/reference rows, penalty-only/fabricated DAMR extractions, and future-effective DPDP duties are not current production obligations.</x:v>
      </x:c>
      <x:c r="G773" s="33" t="str">
        <x:v>P-3 chain reconciliation</x:v>
      </x:c>
      <x:c r="H773" s="33" t="str">
        <x:v>https://www.meity.gov.in/documents/act-and-policies/digital-personal-data-protection-rules-2025-gDOxUjMtQWa | https://consumeraffairs.nic.in/acts-and-rules/consumer-protection/consumer-protection | P3 Jurisdiction Register</x:v>
      </x:c>
      <x:c r="I773" s="33" t="str">
        <x:v>P-3</x:v>
      </x:c>
      <x:c r="J773" s="33" t="str">
        <x:v>2026-08-20</x:v>
      </x:c>
      <x:c r="K773" s="33" t="str">
        <x:v>Legacy IDs retained inactive; no false production obligation remains.</x:v>
      </x:c>
    </x:row>
    <x:row r="774">
      <x:c r="A774" s="33" t="str">
        <x:v>COMP180</x:v>
      </x:c>
      <x:c r="B774" s="33" t="str">
        <x:v>Compliance Requirement Master</x:v>
      </x:c>
      <x:c r="C774" s="33" t="str">
        <x:v>Active=Yes; Remarks=Inspection readiness</x:v>
      </x:c>
      <x:c r="D774" s="33" t="str">
        <x:v>Active=No; Remarks=P-3 QUARANTINED: Generic State/local/permit/reference rows, penalty-only/fabricated DAMR extractions, and future-effective DPDP duties are not current production obligations.</x:v>
      </x:c>
      <x:c r="E774" s="33" t="str">
        <x:v>RECLASSIFY / QUARANTINE</x:v>
      </x:c>
      <x:c r="F774" s="33" t="str">
        <x:v>Generic State/local/permit/reference rows, penalty-only/fabricated DAMR extractions, and future-effective DPDP duties are not current production obligations.</x:v>
      </x:c>
      <x:c r="G774" s="33" t="str">
        <x:v>P-3 chain reconciliation</x:v>
      </x:c>
      <x:c r="H774" s="33" t="str">
        <x:v>https://www.meity.gov.in/documents/act-and-policies/digital-personal-data-protection-rules-2025-gDOxUjMtQWa | https://consumeraffairs.nic.in/acts-and-rules/consumer-protection/consumer-protection | P3 Jurisdiction Register</x:v>
      </x:c>
      <x:c r="I774" s="33" t="str">
        <x:v>P-3</x:v>
      </x:c>
      <x:c r="J774" s="33" t="str">
        <x:v>2026-08-20</x:v>
      </x:c>
      <x:c r="K774" s="33" t="str">
        <x:v>Legacy IDs retained inactive; no false production obligation remains.</x:v>
      </x:c>
    </x:row>
    <x:row r="775">
      <x:c r="A775" s="33" t="str">
        <x:v>COMP181</x:v>
      </x:c>
      <x:c r="B775" s="33" t="str">
        <x:v>Compliance Requirement Master</x:v>
      </x:c>
      <x:c r="C775" s="33" t="str">
        <x:v>Active=Yes; Remarks=Fire NOC</x:v>
      </x:c>
      <x:c r="D775" s="33" t="str">
        <x:v>Active=No; Remarks=P-3 QUARANTINED: Generic State/local/permit/reference rows, penalty-only/fabricated DAMR extractions, and future-effective DPDP duties are not current production obligations.</x:v>
      </x:c>
      <x:c r="E775" s="33" t="str">
        <x:v>RECLASSIFY / QUARANTINE</x:v>
      </x:c>
      <x:c r="F775" s="33" t="str">
        <x:v>Generic State/local/permit/reference rows, penalty-only/fabricated DAMR extractions, and future-effective DPDP duties are not current production obligations.</x:v>
      </x:c>
      <x:c r="G775" s="33" t="str">
        <x:v>P-3 chain reconciliation</x:v>
      </x:c>
      <x:c r="H775" s="33" t="str">
        <x:v>https://www.meity.gov.in/documents/act-and-policies/digital-personal-data-protection-rules-2025-gDOxUjMtQWa | https://consumeraffairs.nic.in/acts-and-rules/consumer-protection/consumer-protection | P3 Jurisdiction Register</x:v>
      </x:c>
      <x:c r="I775" s="33" t="str">
        <x:v>P-3</x:v>
      </x:c>
      <x:c r="J775" s="33" t="str">
        <x:v>2026-08-20</x:v>
      </x:c>
      <x:c r="K775" s="33" t="str">
        <x:v>Legacy IDs retained inactive; no false production obligation remains.</x:v>
      </x:c>
    </x:row>
    <x:row r="776">
      <x:c r="A776" s="33" t="str">
        <x:v>COMP182</x:v>
      </x:c>
      <x:c r="B776" s="33" t="str">
        <x:v>Compliance Requirement Master</x:v>
      </x:c>
      <x:c r="C776" s="33" t="str">
        <x:v>Active=Yes; Remarks=Fire equipment</x:v>
      </x:c>
      <x:c r="D776" s="33" t="str">
        <x:v>Active=No; Remarks=P-3 QUARANTINED: Generic State/local/permit/reference rows, penalty-only/fabricated DAMR extractions, and future-effective DPDP duties are not current production obligations.</x:v>
      </x:c>
      <x:c r="E776" s="33" t="str">
        <x:v>RECLASSIFY / QUARANTINE</x:v>
      </x:c>
      <x:c r="F776" s="33" t="str">
        <x:v>Generic State/local/permit/reference rows, penalty-only/fabricated DAMR extractions, and future-effective DPDP duties are not current production obligations.</x:v>
      </x:c>
      <x:c r="G776" s="33" t="str">
        <x:v>P-3 chain reconciliation</x:v>
      </x:c>
      <x:c r="H776" s="33" t="str">
        <x:v>https://www.meity.gov.in/documents/act-and-policies/digital-personal-data-protection-rules-2025-gDOxUjMtQWa | https://consumeraffairs.nic.in/acts-and-rules/consumer-protection/consumer-protection | P3 Jurisdiction Register</x:v>
      </x:c>
      <x:c r="I776" s="33" t="str">
        <x:v>P-3</x:v>
      </x:c>
      <x:c r="J776" s="33" t="str">
        <x:v>2026-08-20</x:v>
      </x:c>
      <x:c r="K776" s="33" t="str">
        <x:v>Legacy IDs retained inactive; no false production obligation remains.</x:v>
      </x:c>
    </x:row>
    <x:row r="777">
      <x:c r="A777" s="33" t="str">
        <x:v>COMP183</x:v>
      </x:c>
      <x:c r="B777" s="33" t="str">
        <x:v>Compliance Requirement Master</x:v>
      </x:c>
      <x:c r="C777" s="33" t="str">
        <x:v>Active=Yes; Remarks=Internal inspection</x:v>
      </x:c>
      <x:c r="D777" s="33" t="str">
        <x:v>Active=No; Remarks=P-3 QUARANTINED: Generic State/local/permit/reference rows, penalty-only/fabricated DAMR extractions, and future-effective DPDP duties are not current production obligations.</x:v>
      </x:c>
      <x:c r="E777" s="33" t="str">
        <x:v>RECLASSIFY / QUARANTINE</x:v>
      </x:c>
      <x:c r="F777" s="33" t="str">
        <x:v>Generic State/local/permit/reference rows, penalty-only/fabricated DAMR extractions, and future-effective DPDP duties are not current production obligations.</x:v>
      </x:c>
      <x:c r="G777" s="33" t="str">
        <x:v>P-3 chain reconciliation</x:v>
      </x:c>
      <x:c r="H777" s="33" t="str">
        <x:v>https://www.meity.gov.in/documents/act-and-policies/digital-personal-data-protection-rules-2025-gDOxUjMtQWa | https://consumeraffairs.nic.in/acts-and-rules/consumer-protection/consumer-protection | P3 Jurisdiction Register</x:v>
      </x:c>
      <x:c r="I777" s="33" t="str">
        <x:v>P-3</x:v>
      </x:c>
      <x:c r="J777" s="33" t="str">
        <x:v>2026-08-20</x:v>
      </x:c>
      <x:c r="K777" s="33" t="str">
        <x:v>Legacy IDs retained inactive; no false production obligation remains.</x:v>
      </x:c>
    </x:row>
    <x:row r="778">
      <x:c r="A778" s="33" t="str">
        <x:v>COMP184</x:v>
      </x:c>
      <x:c r="B778" s="33" t="str">
        <x:v>Compliance Requirement Master</x:v>
      </x:c>
      <x:c r="C778" s="33" t="str">
        <x:v>Active=Yes; Remarks=Emergency exits</x:v>
      </x:c>
      <x:c r="D778" s="33" t="str">
        <x:v>Active=No; Remarks=P-3 QUARANTINED: Generic State/local/permit/reference rows, penalty-only/fabricated DAMR extractions, and future-effective DPDP duties are not current production obligations.</x:v>
      </x:c>
      <x:c r="E778" s="33" t="str">
        <x:v>RECLASSIFY / QUARANTINE</x:v>
      </x:c>
      <x:c r="F778" s="33" t="str">
        <x:v>Generic State/local/permit/reference rows, penalty-only/fabricated DAMR extractions, and future-effective DPDP duties are not current production obligations.</x:v>
      </x:c>
      <x:c r="G778" s="33" t="str">
        <x:v>P-3 chain reconciliation</x:v>
      </x:c>
      <x:c r="H778" s="33" t="str">
        <x:v>https://www.meity.gov.in/documents/act-and-policies/digital-personal-data-protection-rules-2025-gDOxUjMtQWa | https://consumeraffairs.nic.in/acts-and-rules/consumer-protection/consumer-protection | P3 Jurisdiction Register</x:v>
      </x:c>
      <x:c r="I778" s="33" t="str">
        <x:v>P-3</x:v>
      </x:c>
      <x:c r="J778" s="33" t="str">
        <x:v>2026-08-20</x:v>
      </x:c>
      <x:c r="K778" s="33" t="str">
        <x:v>Legacy IDs retained inactive; no false production obligation remains.</x:v>
      </x:c>
    </x:row>
    <x:row r="779">
      <x:c r="A779" s="33" t="str">
        <x:v>COMP185</x:v>
      </x:c>
      <x:c r="B779" s="33" t="str">
        <x:v>Compliance Requirement Master</x:v>
      </x:c>
      <x:c r="C779" s="33" t="str">
        <x:v>Active=Yes; Remarks=Employee training</x:v>
      </x:c>
      <x:c r="D779" s="33" t="str">
        <x:v>Active=No; Remarks=P-3 QUARANTINED: Generic State/local/permit/reference rows, penalty-only/fabricated DAMR extractions, and future-effective DPDP duties are not current production obligations.</x:v>
      </x:c>
      <x:c r="E779" s="33" t="str">
        <x:v>RECLASSIFY / QUARANTINE</x:v>
      </x:c>
      <x:c r="F779" s="33" t="str">
        <x:v>Generic State/local/permit/reference rows, penalty-only/fabricated DAMR extractions, and future-effective DPDP duties are not current production obligations.</x:v>
      </x:c>
      <x:c r="G779" s="33" t="str">
        <x:v>P-3 chain reconciliation</x:v>
      </x:c>
      <x:c r="H779" s="33" t="str">
        <x:v>https://www.meity.gov.in/documents/act-and-policies/digital-personal-data-protection-rules-2025-gDOxUjMtQWa | https://consumeraffairs.nic.in/acts-and-rules/consumer-protection/consumer-protection | P3 Jurisdiction Register</x:v>
      </x:c>
      <x:c r="I779" s="33" t="str">
        <x:v>P-3</x:v>
      </x:c>
      <x:c r="J779" s="33" t="str">
        <x:v>2026-08-20</x:v>
      </x:c>
      <x:c r="K779" s="33" t="str">
        <x:v>Legacy IDs retained inactive; no false production obligation remains.</x:v>
      </x:c>
    </x:row>
    <x:row r="780">
      <x:c r="A780" s="33" t="str">
        <x:v>COMP186</x:v>
      </x:c>
      <x:c r="B780" s="33" t="str">
        <x:v>Compliance Requirement Master</x:v>
      </x:c>
      <x:c r="C780" s="33" t="str">
        <x:v>Active=Yes; Remarks=Municipal licence</x:v>
      </x:c>
      <x:c r="D780" s="33" t="str">
        <x:v>Active=No; Remarks=P-3 QUARANTINED: Generic State/local/permit/reference rows, penalty-only/fabricated DAMR extractions, and future-effective DPDP duties are not current production obligations.</x:v>
      </x:c>
      <x:c r="E780" s="33" t="str">
        <x:v>RECLASSIFY / QUARANTINE</x:v>
      </x:c>
      <x:c r="F780" s="33" t="str">
        <x:v>Generic State/local/permit/reference rows, penalty-only/fabricated DAMR extractions, and future-effective DPDP duties are not current production obligations.</x:v>
      </x:c>
      <x:c r="G780" s="33" t="str">
        <x:v>P-3 chain reconciliation</x:v>
      </x:c>
      <x:c r="H780" s="33" t="str">
        <x:v>https://www.meity.gov.in/documents/act-and-policies/digital-personal-data-protection-rules-2025-gDOxUjMtQWa | https://consumeraffairs.nic.in/acts-and-rules/consumer-protection/consumer-protection | P3 Jurisdiction Register</x:v>
      </x:c>
      <x:c r="I780" s="33" t="str">
        <x:v>P-3</x:v>
      </x:c>
      <x:c r="J780" s="33" t="str">
        <x:v>2026-08-20</x:v>
      </x:c>
      <x:c r="K780" s="33" t="str">
        <x:v>Legacy IDs retained inactive; no false production obligation remains.</x:v>
      </x:c>
    </x:row>
    <x:row r="781">
      <x:c r="A781" s="33" t="str">
        <x:v>COMP187</x:v>
      </x:c>
      <x:c r="B781" s="33" t="str">
        <x:v>Compliance Requirement Master</x:v>
      </x:c>
      <x:c r="C781" s="33" t="str">
        <x:v>Active=Yes; Remarks=Licence conditions</x:v>
      </x:c>
      <x:c r="D781" s="33" t="str">
        <x:v>Active=No; Remarks=P-3 QUARANTINED: Generic State/local/permit/reference rows, penalty-only/fabricated DAMR extractions, and future-effective DPDP duties are not current production obligations.</x:v>
      </x:c>
      <x:c r="E781" s="33" t="str">
        <x:v>RECLASSIFY / QUARANTINE</x:v>
      </x:c>
      <x:c r="F781" s="33" t="str">
        <x:v>Generic State/local/permit/reference rows, penalty-only/fabricated DAMR extractions, and future-effective DPDP duties are not current production obligations.</x:v>
      </x:c>
      <x:c r="G781" s="33" t="str">
        <x:v>P-3 chain reconciliation</x:v>
      </x:c>
      <x:c r="H781" s="33" t="str">
        <x:v>https://www.meity.gov.in/documents/act-and-policies/digital-personal-data-protection-rules-2025-gDOxUjMtQWa | https://consumeraffairs.nic.in/acts-and-rules/consumer-protection/consumer-protection | P3 Jurisdiction Register</x:v>
      </x:c>
      <x:c r="I781" s="33" t="str">
        <x:v>P-3</x:v>
      </x:c>
      <x:c r="J781" s="33" t="str">
        <x:v>2026-08-20</x:v>
      </x:c>
      <x:c r="K781" s="33" t="str">
        <x:v>Legacy IDs retained inactive; no false production obligation remains.</x:v>
      </x:c>
    </x:row>
    <x:row r="782">
      <x:c r="A782" s="33" t="str">
        <x:v>COMP188</x:v>
      </x:c>
      <x:c r="B782" s="33" t="str">
        <x:v>Compliance Requirement Master</x:v>
      </x:c>
      <x:c r="C782" s="33" t="str">
        <x:v>Active=Yes; Remarks=Licence display</x:v>
      </x:c>
      <x:c r="D782" s="33" t="str">
        <x:v>Active=No; Remarks=P-3 QUARANTINED: Generic State/local/permit/reference rows, penalty-only/fabricated DAMR extractions, and future-effective DPDP duties are not current production obligations.</x:v>
      </x:c>
      <x:c r="E782" s="33" t="str">
        <x:v>RECLASSIFY / QUARANTINE</x:v>
      </x:c>
      <x:c r="F782" s="33" t="str">
        <x:v>Generic State/local/permit/reference rows, penalty-only/fabricated DAMR extractions, and future-effective DPDP duties are not current production obligations.</x:v>
      </x:c>
      <x:c r="G782" s="33" t="str">
        <x:v>P-3 chain reconciliation</x:v>
      </x:c>
      <x:c r="H782" s="33" t="str">
        <x:v>https://www.meity.gov.in/documents/act-and-policies/digital-personal-data-protection-rules-2025-gDOxUjMtQWa | https://consumeraffairs.nic.in/acts-and-rules/consumer-protection/consumer-protection | P3 Jurisdiction Register</x:v>
      </x:c>
      <x:c r="I782" s="33" t="str">
        <x:v>P-3</x:v>
      </x:c>
      <x:c r="J782" s="33" t="str">
        <x:v>2026-08-20</x:v>
      </x:c>
      <x:c r="K782" s="33" t="str">
        <x:v>Legacy IDs retained inactive; no false production obligation remains.</x:v>
      </x:c>
    </x:row>
    <x:row r="783">
      <x:c r="A783" s="33" t="str">
        <x:v>COMP189</x:v>
      </x:c>
      <x:c r="B783" s="33" t="str">
        <x:v>Compliance Requirement Master</x:v>
      </x:c>
      <x:c r="C783" s="33" t="str">
        <x:v>Active=Yes; Remarks=Occupancy compliance</x:v>
      </x:c>
      <x:c r="D783" s="33" t="str">
        <x:v>Active=No; Remarks=P-3 QUARANTINED: Generic State/local/permit/reference rows, penalty-only/fabricated DAMR extractions, and future-effective DPDP duties are not current production obligations.</x:v>
      </x:c>
      <x:c r="E783" s="33" t="str">
        <x:v>RECLASSIFY / QUARANTINE</x:v>
      </x:c>
      <x:c r="F783" s="33" t="str">
        <x:v>Generic State/local/permit/reference rows, penalty-only/fabricated DAMR extractions, and future-effective DPDP duties are not current production obligations.</x:v>
      </x:c>
      <x:c r="G783" s="33" t="str">
        <x:v>P-3 chain reconciliation</x:v>
      </x:c>
      <x:c r="H783" s="33" t="str">
        <x:v>https://www.meity.gov.in/documents/act-and-policies/digital-personal-data-protection-rules-2025-gDOxUjMtQWa | https://consumeraffairs.nic.in/acts-and-rules/consumer-protection/consumer-protection | P3 Jurisdiction Register</x:v>
      </x:c>
      <x:c r="I783" s="33" t="str">
        <x:v>P-3</x:v>
      </x:c>
      <x:c r="J783" s="33" t="str">
        <x:v>2026-08-20</x:v>
      </x:c>
      <x:c r="K783" s="33" t="str">
        <x:v>Legacy IDs retained inactive; no false production obligation remains.</x:v>
      </x:c>
    </x:row>
    <x:row r="784">
      <x:c r="A784" s="33" t="str">
        <x:v>COMP190</x:v>
      </x:c>
      <x:c r="B784" s="33" t="str">
        <x:v>Compliance Requirement Master</x:v>
      </x:c>
      <x:c r="C784" s="33" t="str">
        <x:v>Active=Yes; Remarks=Structural safety</x:v>
      </x:c>
      <x:c r="D784" s="33" t="str">
        <x:v>Active=No; Remarks=P-3 QUARANTINED: Generic State/local/permit/reference rows, penalty-only/fabricated DAMR extractions, and future-effective DPDP duties are not current production obligations.</x:v>
      </x:c>
      <x:c r="E784" s="33" t="str">
        <x:v>RECLASSIFY / QUARANTINE</x:v>
      </x:c>
      <x:c r="F784" s="33" t="str">
        <x:v>Generic State/local/permit/reference rows, penalty-only/fabricated DAMR extractions, and future-effective DPDP duties are not current production obligations.</x:v>
      </x:c>
      <x:c r="G784" s="33" t="str">
        <x:v>P-3 chain reconciliation</x:v>
      </x:c>
      <x:c r="H784" s="33" t="str">
        <x:v>https://www.meity.gov.in/documents/act-and-policies/digital-personal-data-protection-rules-2025-gDOxUjMtQWa | https://consumeraffairs.nic.in/acts-and-rules/consumer-protection/consumer-protection | P3 Jurisdiction Register</x:v>
      </x:c>
      <x:c r="I784" s="33" t="str">
        <x:v>P-3</x:v>
      </x:c>
      <x:c r="J784" s="33" t="str">
        <x:v>2026-08-20</x:v>
      </x:c>
      <x:c r="K784" s="33" t="str">
        <x:v>Legacy IDs retained inactive; no false production obligation remains.</x:v>
      </x:c>
    </x:row>
    <x:row r="785">
      <x:c r="A785" s="33" t="str">
        <x:v>COMP191</x:v>
      </x:c>
      <x:c r="B785" s="33" t="str">
        <x:v>Compliance Requirement Master</x:v>
      </x:c>
      <x:c r="C785" s="33" t="str">
        <x:v>Active=Yes; Remarks=Statutory signage</x:v>
      </x:c>
      <x:c r="D785" s="33" t="str">
        <x:v>Active=No; Remarks=P-3 QUARANTINED: Generic State/local/permit/reference rows, penalty-only/fabricated DAMR extractions, and future-effective DPDP duties are not current production obligations.</x:v>
      </x:c>
      <x:c r="E785" s="33" t="str">
        <x:v>RECLASSIFY / QUARANTINE</x:v>
      </x:c>
      <x:c r="F785" s="33" t="str">
        <x:v>Generic State/local/permit/reference rows, penalty-only/fabricated DAMR extractions, and future-effective DPDP duties are not current production obligations.</x:v>
      </x:c>
      <x:c r="G785" s="33" t="str">
        <x:v>P-3 chain reconciliation</x:v>
      </x:c>
      <x:c r="H785" s="33" t="str">
        <x:v>https://www.meity.gov.in/documents/act-and-policies/digital-personal-data-protection-rules-2025-gDOxUjMtQWa | https://consumeraffairs.nic.in/acts-and-rules/consumer-protection/consumer-protection | P3 Jurisdiction Register</x:v>
      </x:c>
      <x:c r="I785" s="33" t="str">
        <x:v>P-3</x:v>
      </x:c>
      <x:c r="J785" s="33" t="str">
        <x:v>2026-08-20</x:v>
      </x:c>
      <x:c r="K785" s="33" t="str">
        <x:v>Legacy IDs retained inactive; no false production obligation remains.</x:v>
      </x:c>
    </x:row>
    <x:row r="786">
      <x:c r="A786" s="33" t="str">
        <x:v>COMP197</x:v>
      </x:c>
      <x:c r="B786" s="33" t="str">
        <x:v>Compliance Requirement Master</x:v>
      </x:c>
      <x:c r="C786" s="33" t="str">
        <x:v>Active=Yes; Remarks=Corrective action</x:v>
      </x:c>
      <x:c r="D786" s="33" t="str">
        <x:v>Active=No; Remarks=P-3 QUARANTINED: Generic State/local/permit/reference rows, penalty-only/fabricated DAMR extractions, and future-effective DPDP duties are not current production obligations.</x:v>
      </x:c>
      <x:c r="E786" s="33" t="str">
        <x:v>RECLASSIFY / QUARANTINE</x:v>
      </x:c>
      <x:c r="F786" s="33" t="str">
        <x:v>Generic State/local/permit/reference rows, penalty-only/fabricated DAMR extractions, and future-effective DPDP duties are not current production obligations.</x:v>
      </x:c>
      <x:c r="G786" s="33" t="str">
        <x:v>P-3 chain reconciliation</x:v>
      </x:c>
      <x:c r="H786" s="33" t="str">
        <x:v>https://www.meity.gov.in/documents/act-and-policies/digital-personal-data-protection-rules-2025-gDOxUjMtQWa | https://consumeraffairs.nic.in/acts-and-rules/consumer-protection/consumer-protection | P3 Jurisdiction Register</x:v>
      </x:c>
      <x:c r="I786" s="33" t="str">
        <x:v>P-3</x:v>
      </x:c>
      <x:c r="J786" s="33" t="str">
        <x:v>2026-08-20</x:v>
      </x:c>
      <x:c r="K786" s="33" t="str">
        <x:v>Legacy IDs retained inactive; no false production obligation remains.</x:v>
      </x:c>
    </x:row>
    <x:row r="787">
      <x:c r="A787" s="33" t="str">
        <x:v>COMP198</x:v>
      </x:c>
      <x:c r="B787" s="33" t="str">
        <x:v>Compliance Requirement Master</x:v>
      </x:c>
      <x:c r="C787" s="33" t="str">
        <x:v>Active=Yes; Remarks=Advertisement format</x:v>
      </x:c>
      <x:c r="D787" s="33" t="str">
        <x:v>Active=No; Remarks=P-3 QUARANTINED: Generic State/local/permit/reference rows, penalty-only/fabricated DAMR extractions, and future-effective DPDP duties are not current production obligations.</x:v>
      </x:c>
      <x:c r="E787" s="33" t="str">
        <x:v>RECLASSIFY / QUARANTINE</x:v>
      </x:c>
      <x:c r="F787" s="33" t="str">
        <x:v>Generic State/local/permit/reference rows, penalty-only/fabricated DAMR extractions, and future-effective DPDP duties are not current production obligations.</x:v>
      </x:c>
      <x:c r="G787" s="33" t="str">
        <x:v>P-3 chain reconciliation</x:v>
      </x:c>
      <x:c r="H787" s="33" t="str">
        <x:v>https://www.meity.gov.in/documents/act-and-policies/digital-personal-data-protection-rules-2025-gDOxUjMtQWa | https://consumeraffairs.nic.in/acts-and-rules/consumer-protection/consumer-protection | P3 Jurisdiction Register</x:v>
      </x:c>
      <x:c r="I787" s="33" t="str">
        <x:v>P-3</x:v>
      </x:c>
      <x:c r="J787" s="33" t="str">
        <x:v>2026-08-20</x:v>
      </x:c>
      <x:c r="K787" s="33" t="str">
        <x:v>Legacy IDs retained inactive; no false production obligation remains.</x:v>
      </x:c>
    </x:row>
    <x:row r="788">
      <x:c r="A788" s="33" t="str">
        <x:v>COMP199</x:v>
      </x:c>
      <x:c r="B788" s="33" t="str">
        <x:v>Compliance Requirement Master</x:v>
      </x:c>
      <x:c r="C788" s="33" t="str">
        <x:v>Active=Yes; Remarks=Advertisement archive</x:v>
      </x:c>
      <x:c r="D788" s="33" t="str">
        <x:v>Active=No; Remarks=P-3 QUARANTINED: Generic State/local/permit/reference rows, penalty-only/fabricated DAMR extractions, and future-effective DPDP duties are not current production obligations.</x:v>
      </x:c>
      <x:c r="E788" s="33" t="str">
        <x:v>RECLASSIFY / QUARANTINE</x:v>
      </x:c>
      <x:c r="F788" s="33" t="str">
        <x:v>Generic State/local/permit/reference rows, penalty-only/fabricated DAMR extractions, and future-effective DPDP duties are not current production obligations.</x:v>
      </x:c>
      <x:c r="G788" s="33" t="str">
        <x:v>P-3 chain reconciliation</x:v>
      </x:c>
      <x:c r="H788" s="33" t="str">
        <x:v>https://www.meity.gov.in/documents/act-and-policies/digital-personal-data-protection-rules-2025-gDOxUjMtQWa | https://consumeraffairs.nic.in/acts-and-rules/consumer-protection/consumer-protection | P3 Jurisdiction Register</x:v>
      </x:c>
      <x:c r="I788" s="33" t="str">
        <x:v>P-3</x:v>
      </x:c>
      <x:c r="J788" s="33" t="str">
        <x:v>2026-08-20</x:v>
      </x:c>
      <x:c r="K788" s="33" t="str">
        <x:v>Legacy IDs retained inactive; no false production obligation remains.</x:v>
      </x:c>
    </x:row>
    <x:row r="789">
      <x:c r="A789" s="33" t="str">
        <x:v>COMP200</x:v>
      </x:c>
      <x:c r="B789" s="33" t="str">
        <x:v>Compliance Requirement Master</x:v>
      </x:c>
      <x:c r="C789" s="33" t="str">
        <x:v>Active=Yes; Remarks=Inspection support</x:v>
      </x:c>
      <x:c r="D789" s="33" t="str">
        <x:v>Active=No; Remarks=P-3 QUARANTINED: Generic State/local/permit/reference rows, penalty-only/fabricated DAMR extractions, and future-effective DPDP duties are not current production obligations.</x:v>
      </x:c>
      <x:c r="E789" s="33" t="str">
        <x:v>RECLASSIFY / QUARANTINE</x:v>
      </x:c>
      <x:c r="F789" s="33" t="str">
        <x:v>Generic State/local/permit/reference rows, penalty-only/fabricated DAMR extractions, and future-effective DPDP duties are not current production obligations.</x:v>
      </x:c>
      <x:c r="G789" s="33" t="str">
        <x:v>P-3 chain reconciliation</x:v>
      </x:c>
      <x:c r="H789" s="33" t="str">
        <x:v>https://www.meity.gov.in/documents/act-and-policies/digital-personal-data-protection-rules-2025-gDOxUjMtQWa | https://consumeraffairs.nic.in/acts-and-rules/consumer-protection/consumer-protection | P3 Jurisdiction Register</x:v>
      </x:c>
      <x:c r="I789" s="33" t="str">
        <x:v>P-3</x:v>
      </x:c>
      <x:c r="J789" s="33" t="str">
        <x:v>2026-08-20</x:v>
      </x:c>
      <x:c r="K789" s="33" t="str">
        <x:v>Legacy IDs retained inactive; no false production obligation remains.</x:v>
      </x:c>
    </x:row>
    <x:row r="790">
      <x:c r="A790" s="33" t="str">
        <x:v>COMP210</x:v>
      </x:c>
      <x:c r="B790" s="33" t="str">
        <x:v>Compliance Requirement Master</x:v>
      </x:c>
      <x:c r="C790" s="33" t="str">
        <x:v>Active=Yes; Remarks=BIS compliance</x:v>
      </x:c>
      <x:c r="D790" s="33" t="str">
        <x:v>Active=No; Remarks=P-3 QUARANTINED: Generic State/local/permit/reference rows, penalty-only/fabricated DAMR extractions, and future-effective DPDP duties are not current production obligations.</x:v>
      </x:c>
      <x:c r="E790" s="33" t="str">
        <x:v>RECLASSIFY / QUARANTINE</x:v>
      </x:c>
      <x:c r="F790" s="33" t="str">
        <x:v>Generic State/local/permit/reference rows, penalty-only/fabricated DAMR extractions, and future-effective DPDP duties are not current production obligations.</x:v>
      </x:c>
      <x:c r="G790" s="33" t="str">
        <x:v>P-3 chain reconciliation</x:v>
      </x:c>
      <x:c r="H790" s="33" t="str">
        <x:v>https://www.meity.gov.in/documents/act-and-policies/digital-personal-data-protection-rules-2025-gDOxUjMtQWa | https://consumeraffairs.nic.in/acts-and-rules/consumer-protection/consumer-protection | P3 Jurisdiction Register</x:v>
      </x:c>
      <x:c r="I790" s="33" t="str">
        <x:v>P-3</x:v>
      </x:c>
      <x:c r="J790" s="33" t="str">
        <x:v>2026-08-20</x:v>
      </x:c>
      <x:c r="K790" s="33" t="str">
        <x:v>Legacy IDs retained inactive; no false production obligation remains.</x:v>
      </x:c>
    </x:row>
    <x:row r="791">
      <x:c r="A791" s="33" t="str">
        <x:v>COMP211</x:v>
      </x:c>
      <x:c r="B791" s="33" t="str">
        <x:v>Compliance Requirement Master</x:v>
      </x:c>
      <x:c r="C791" s="33" t="str">
        <x:v>Active=Yes; Remarks=Equipment maintenance</x:v>
      </x:c>
      <x:c r="D791" s="33" t="str">
        <x:v>Active=No; Remarks=P-3 QUARANTINED: Generic State/local/permit/reference rows, penalty-only/fabricated DAMR extractions, and future-effective DPDP duties are not current production obligations.</x:v>
      </x:c>
      <x:c r="E791" s="33" t="str">
        <x:v>RECLASSIFY / QUARANTINE</x:v>
      </x:c>
      <x:c r="F791" s="33" t="str">
        <x:v>Generic State/local/permit/reference rows, penalty-only/fabricated DAMR extractions, and future-effective DPDP duties are not current production obligations.</x:v>
      </x:c>
      <x:c r="G791" s="33" t="str">
        <x:v>P-3 chain reconciliation</x:v>
      </x:c>
      <x:c r="H791" s="33" t="str">
        <x:v>https://www.meity.gov.in/documents/act-and-policies/digital-personal-data-protection-rules-2025-gDOxUjMtQWa | https://consumeraffairs.nic.in/acts-and-rules/consumer-protection/consumer-protection | P3 Jurisdiction Register</x:v>
      </x:c>
      <x:c r="I791" s="33" t="str">
        <x:v>P-3</x:v>
      </x:c>
      <x:c r="J791" s="33" t="str">
        <x:v>2026-08-20</x:v>
      </x:c>
      <x:c r="K791" s="33" t="str">
        <x:v>Legacy IDs retained inactive; no false production obligation remains.</x:v>
      </x:c>
    </x:row>
    <x:row r="792">
      <x:c r="A792" s="33" t="str">
        <x:v>COMP230</x:v>
      </x:c>
      <x:c r="B792" s="33" t="str">
        <x:v>Compliance Requirement Master</x:v>
      </x:c>
      <x:c r="C792" s="33" t="str">
        <x:v>Active=No; Remarks=P-3 FUTURE-EFFECTIVE DPDP Rule 3 readiness only.</x:v>
      </x:c>
      <x:c r="D792" s="33" t="str">
        <x:v>Active=No; Remarks=P-3 QUARANTINED: Generic State/local/permit/reference rows, penalty-only/fabricated DAMR extractions, and future-effective DPDP duties are not current production obligations.</x:v>
      </x:c>
      <x:c r="E792" s="33" t="str">
        <x:v>RECLASSIFY / QUARANTINE</x:v>
      </x:c>
      <x:c r="F792" s="33" t="str">
        <x:v>Generic State/local/permit/reference rows, penalty-only/fabricated DAMR extractions, and future-effective DPDP duties are not current production obligations.</x:v>
      </x:c>
      <x:c r="G792" s="33" t="str">
        <x:v>P-3 chain reconciliation</x:v>
      </x:c>
      <x:c r="H792" s="33" t="str">
        <x:v>https://www.meity.gov.in/documents/act-and-policies/digital-personal-data-protection-rules-2025-gDOxUjMtQWa | https://consumeraffairs.nic.in/acts-and-rules/consumer-protection/consumer-protection | P3 Jurisdiction Register</x:v>
      </x:c>
      <x:c r="I792" s="33" t="str">
        <x:v>P-3</x:v>
      </x:c>
      <x:c r="J792" s="33" t="str">
        <x:v>2026-08-20</x:v>
      </x:c>
      <x:c r="K792" s="33" t="str">
        <x:v>Legacy IDs retained inactive; no false production obligation remains.</x:v>
      </x:c>
    </x:row>
    <x:row r="793">
      <x:c r="A793" s="33" t="str">
        <x:v>COMP231</x:v>
      </x:c>
      <x:c r="B793" s="33" t="str">
        <x:v>Compliance Requirement Master</x:v>
      </x:c>
      <x:c r="C793" s="33" t="str">
        <x:v>Active=No; Remarks=P-3 FUTURE-EFFECTIVE DPDP Rule 6 readiness only.</x:v>
      </x:c>
      <x:c r="D793" s="33" t="str">
        <x:v>Active=No; Remarks=P-3 QUARANTINED: Generic State/local/permit/reference rows, penalty-only/fabricated DAMR extractions, and future-effective DPDP duties are not current production obligations.</x:v>
      </x:c>
      <x:c r="E793" s="33" t="str">
        <x:v>RECLASSIFY / QUARANTINE</x:v>
      </x:c>
      <x:c r="F793" s="33" t="str">
        <x:v>Generic State/local/permit/reference rows, penalty-only/fabricated DAMR extractions, and future-effective DPDP duties are not current production obligations.</x:v>
      </x:c>
      <x:c r="G793" s="33" t="str">
        <x:v>P-3 chain reconciliation</x:v>
      </x:c>
      <x:c r="H793" s="33" t="str">
        <x:v>https://www.meity.gov.in/documents/act-and-policies/digital-personal-data-protection-rules-2025-gDOxUjMtQWa | https://consumeraffairs.nic.in/acts-and-rules/consumer-protection/consumer-protection | P3 Jurisdiction Register</x:v>
      </x:c>
      <x:c r="I793" s="33" t="str">
        <x:v>P-3</x:v>
      </x:c>
      <x:c r="J793" s="33" t="str">
        <x:v>2026-08-20</x:v>
      </x:c>
      <x:c r="K793" s="33" t="str">
        <x:v>Legacy IDs retained inactive; no false production obligation remains.</x:v>
      </x:c>
    </x:row>
    <x:row r="794">
      <x:c r="A794" s="33" t="str">
        <x:v>COMP232</x:v>
      </x:c>
      <x:c r="B794" s="33" t="str">
        <x:v>Compliance Requirement Master</x:v>
      </x:c>
      <x:c r="C794" s="33" t="str">
        <x:v>Active=No; Remarks=P-3 FUTURE-EFFECTIVE DPDP Rule 7 readiness only.</x:v>
      </x:c>
      <x:c r="D794" s="33" t="str">
        <x:v>Active=No; Remarks=P-3 QUARANTINED: Generic State/local/permit/reference rows, penalty-only/fabricated DAMR extractions, and future-effective DPDP duties are not current production obligations.</x:v>
      </x:c>
      <x:c r="E794" s="33" t="str">
        <x:v>RECLASSIFY / QUARANTINE</x:v>
      </x:c>
      <x:c r="F794" s="33" t="str">
        <x:v>Generic State/local/permit/reference rows, penalty-only/fabricated DAMR extractions, and future-effective DPDP duties are not current production obligations.</x:v>
      </x:c>
      <x:c r="G794" s="33" t="str">
        <x:v>P-3 chain reconciliation</x:v>
      </x:c>
      <x:c r="H794" s="33" t="str">
        <x:v>https://www.meity.gov.in/documents/act-and-policies/digital-personal-data-protection-rules-2025-gDOxUjMtQWa | https://consumeraffairs.nic.in/acts-and-rules/consumer-protection/consumer-protection | P3 Jurisdiction Register</x:v>
      </x:c>
      <x:c r="I794" s="33" t="str">
        <x:v>P-3</x:v>
      </x:c>
      <x:c r="J794" s="33" t="str">
        <x:v>2026-08-20</x:v>
      </x:c>
      <x:c r="K794" s="33" t="str">
        <x:v>Legacy IDs retained inactive; no false production obligation remains.</x:v>
      </x:c>
    </x:row>
    <x:row r="795">
      <x:c r="A795" s="33" t="str">
        <x:v>COMP233</x:v>
      </x:c>
      <x:c r="B795" s="33" t="str">
        <x:v>Compliance Requirement Master</x:v>
      </x:c>
      <x:c r="C795" s="33" t="str">
        <x:v>Active=No; Remarks=P-3 FUTURE-EFFECTIVE DPDP Rule 13 readiness only.</x:v>
      </x:c>
      <x:c r="D795" s="33" t="str">
        <x:v>Active=No; Remarks=P-3 QUARANTINED: Generic State/local/permit/reference rows, penalty-only/fabricated DAMR extractions, and future-effective DPDP duties are not current production obligations.</x:v>
      </x:c>
      <x:c r="E795" s="33" t="str">
        <x:v>RECLASSIFY / QUARANTINE</x:v>
      </x:c>
      <x:c r="F795" s="33" t="str">
        <x:v>Generic State/local/permit/reference rows, penalty-only/fabricated DAMR extractions, and future-effective DPDP duties are not current production obligations.</x:v>
      </x:c>
      <x:c r="G795" s="33" t="str">
        <x:v>P-3 chain reconciliation</x:v>
      </x:c>
      <x:c r="H795" s="33" t="str">
        <x:v>https://www.meity.gov.in/documents/act-and-policies/digital-personal-data-protection-rules-2025-gDOxUjMtQWa | https://consumeraffairs.nic.in/acts-and-rules/consumer-protection/consumer-protection | P3 Jurisdiction Register</x:v>
      </x:c>
      <x:c r="I795" s="33" t="str">
        <x:v>P-3</x:v>
      </x:c>
      <x:c r="J795" s="33" t="str">
        <x:v>2026-08-20</x:v>
      </x:c>
      <x:c r="K795" s="33" t="str">
        <x:v>Legacy IDs retained inactive; no false production obligation remains.</x:v>
      </x:c>
    </x:row>
    <x:row r="796">
      <x:c r="A796" s="33" t="str">
        <x:v>COMP234</x:v>
      </x:c>
      <x:c r="B796" s="33" t="str">
        <x:v>Compliance Requirement Master</x:v>
      </x:c>
      <x:c r="C796" s="33" t="str">
        <x:v>Active=No; Remarks=P-3 FUTURE-EFFECTIVE/role-conditional DPDP readiness only.</x:v>
      </x:c>
      <x:c r="D796" s="33" t="str">
        <x:v>Active=No; Remarks=P-3 QUARANTINED: Generic State/local/permit/reference rows, penalty-only/fabricated DAMR extractions, and future-effective DPDP duties are not current production obligations.</x:v>
      </x:c>
      <x:c r="E796" s="33" t="str">
        <x:v>RECLASSIFY / QUARANTINE</x:v>
      </x:c>
      <x:c r="F796" s="33" t="str">
        <x:v>Generic State/local/permit/reference rows, penalty-only/fabricated DAMR extractions, and future-effective DPDP duties are not current production obligations.</x:v>
      </x:c>
      <x:c r="G796" s="33" t="str">
        <x:v>P-3 chain reconciliation</x:v>
      </x:c>
      <x:c r="H796" s="33" t="str">
        <x:v>https://www.meity.gov.in/documents/act-and-policies/digital-personal-data-protection-rules-2025-gDOxUjMtQWa | https://consumeraffairs.nic.in/acts-and-rules/consumer-protection/consumer-protection | P3 Jurisdiction Register</x:v>
      </x:c>
      <x:c r="I796" s="33" t="str">
        <x:v>P-3</x:v>
      </x:c>
      <x:c r="J796" s="33" t="str">
        <x:v>2026-08-20</x:v>
      </x:c>
      <x:c r="K796" s="33" t="str">
        <x:v>Legacy IDs retained inactive; no false production obligation remains.</x:v>
      </x:c>
    </x:row>
    <x:row r="797">
      <x:c r="A797" s="33" t="str">
        <x:v>COMP235</x:v>
      </x:c>
      <x:c r="B797" s="33" t="str">
        <x:v>Compliance Requirement Master</x:v>
      </x:c>
      <x:c r="C797" s="33" t="str">
        <x:v>Active=No; Remarks=P-3 FUTURE-EFFECTIVE evidence-readiness placeholder; no generic current breach-register duty.</x:v>
      </x:c>
      <x:c r="D797" s="33" t="str">
        <x:v>Active=No; Remarks=P-3 QUARANTINED: Generic State/local/permit/reference rows, penalty-only/fabricated DAMR extractions, and future-effective DPDP duties are not current production obligations.</x:v>
      </x:c>
      <x:c r="E797" s="33" t="str">
        <x:v>RECLASSIFY / QUARANTINE</x:v>
      </x:c>
      <x:c r="F797" s="33" t="str">
        <x:v>Generic State/local/permit/reference rows, penalty-only/fabricated DAMR extractions, and future-effective DPDP duties are not current production obligations.</x:v>
      </x:c>
      <x:c r="G797" s="33" t="str">
        <x:v>P-3 chain reconciliation</x:v>
      </x:c>
      <x:c r="H797" s="33" t="str">
        <x:v>https://www.meity.gov.in/documents/act-and-policies/digital-personal-data-protection-rules-2025-gDOxUjMtQWa | https://consumeraffairs.nic.in/acts-and-rules/consumer-protection/consumer-protection | P3 Jurisdiction Register</x:v>
      </x:c>
      <x:c r="I797" s="33" t="str">
        <x:v>P-3</x:v>
      </x:c>
      <x:c r="J797" s="33" t="str">
        <x:v>2026-08-20</x:v>
      </x:c>
      <x:c r="K797" s="33" t="str">
        <x:v>Legacy IDs retained inactive; no false production obligation remains.</x:v>
      </x:c>
    </x:row>
    <x:row r="798">
      <x:c r="A798" s="33" t="str">
        <x:v>AUD106</x:v>
      </x:c>
      <x:c r="B798" s="33" t="str">
        <x:v>Audit Procedure Master</x:v>
      </x:c>
      <x:c r="C798" s="33" t="str">
        <x:v>Active=Yes; Remarks=Storage conditions should comply with label requirements.</x:v>
      </x:c>
      <x:c r="D798" s="33" t="str">
        <x:v>Active=No; Remarks=P-3 QUARANTINED: Generic State/local/permit/reference rows, penalty-only/fabricated DAMR extractions, and future-effective DPDP duties are not current production obligations.</x:v>
      </x:c>
      <x:c r="E798" s="33" t="str">
        <x:v>RECLASSIFY / QUARANTINE</x:v>
      </x:c>
      <x:c r="F798" s="33" t="str">
        <x:v>Generic State/local/permit/reference rows, penalty-only/fabricated DAMR extractions, and future-effective DPDP duties are not current production obligations.</x:v>
      </x:c>
      <x:c r="G798" s="33" t="str">
        <x:v>P-3 chain reconciliation</x:v>
      </x:c>
      <x:c r="H798" s="33" t="str">
        <x:v>https://www.meity.gov.in/documents/act-and-policies/digital-personal-data-protection-rules-2025-gDOxUjMtQWa | https://consumeraffairs.nic.in/acts-and-rules/consumer-protection/consumer-protection | P3 Jurisdiction Register</x:v>
      </x:c>
      <x:c r="I798" s="33" t="str">
        <x:v>P-3</x:v>
      </x:c>
      <x:c r="J798" s="33" t="str">
        <x:v>2026-08-20</x:v>
      </x:c>
      <x:c r="K798" s="33" t="str">
        <x:v>Legacy IDs retained inactive; no false production obligation remains.</x:v>
      </x:c>
    </x:row>
    <x:row r="799">
      <x:c r="A799" s="33" t="str">
        <x:v>AUD107</x:v>
      </x:c>
      <x:c r="B799" s="33" t="str">
        <x:v>Audit Procedure Master</x:v>
      </x:c>
      <x:c r="C799" s="33" t="str">
        <x:v>Active=Yes; Remarks=SOPs should be current and approved.</x:v>
      </x:c>
      <x:c r="D799" s="33" t="str">
        <x:v>Active=No; Remarks=P-3 QUARANTINED: Generic State/local/permit/reference rows, penalty-only/fabricated DAMR extractions, and future-effective DPDP duties are not current production obligations.</x:v>
      </x:c>
      <x:c r="E799" s="33" t="str">
        <x:v>RECLASSIFY / QUARANTINE</x:v>
      </x:c>
      <x:c r="F799" s="33" t="str">
        <x:v>Generic State/local/permit/reference rows, penalty-only/fabricated DAMR extractions, and future-effective DPDP duties are not current production obligations.</x:v>
      </x:c>
      <x:c r="G799" s="33" t="str">
        <x:v>P-3 chain reconciliation</x:v>
      </x:c>
      <x:c r="H799" s="33" t="str">
        <x:v>https://www.meity.gov.in/documents/act-and-policies/digital-personal-data-protection-rules-2025-gDOxUjMtQWa | https://consumeraffairs.nic.in/acts-and-rules/consumer-protection/consumer-protection | P3 Jurisdiction Register</x:v>
      </x:c>
      <x:c r="I799" s="33" t="str">
        <x:v>P-3</x:v>
      </x:c>
      <x:c r="J799" s="33" t="str">
        <x:v>2026-08-20</x:v>
      </x:c>
      <x:c r="K799" s="33" t="str">
        <x:v>Legacy IDs retained inactive; no false production obligation remains.</x:v>
      </x:c>
    </x:row>
    <x:row r="800">
      <x:c r="A800" s="33" t="str">
        <x:v>AUD108</x:v>
      </x:c>
      <x:c r="B800" s="33" t="str">
        <x:v>Audit Procedure Master</x:v>
      </x:c>
      <x:c r="C800" s="33" t="str">
        <x:v>Active=Yes; Remarks=Temperature records should be complete.</x:v>
      </x:c>
      <x:c r="D800" s="33" t="str">
        <x:v>Active=No; Remarks=P-3 QUARANTINED: Generic State/local/permit/reference rows, penalty-only/fabricated DAMR extractions, and future-effective DPDP duties are not current production obligations.</x:v>
      </x:c>
      <x:c r="E800" s="33" t="str">
        <x:v>RECLASSIFY / QUARANTINE</x:v>
      </x:c>
      <x:c r="F800" s="33" t="str">
        <x:v>Generic State/local/permit/reference rows, penalty-only/fabricated DAMR extractions, and future-effective DPDP duties are not current production obligations.</x:v>
      </x:c>
      <x:c r="G800" s="33" t="str">
        <x:v>P-3 chain reconciliation</x:v>
      </x:c>
      <x:c r="H800" s="33" t="str">
        <x:v>https://www.meity.gov.in/documents/act-and-policies/digital-personal-data-protection-rules-2025-gDOxUjMtQWa | https://consumeraffairs.nic.in/acts-and-rules/consumer-protection/consumer-protection | P3 Jurisdiction Register</x:v>
      </x:c>
      <x:c r="I800" s="33" t="str">
        <x:v>P-3</x:v>
      </x:c>
      <x:c r="J800" s="33" t="str">
        <x:v>2026-08-20</x:v>
      </x:c>
      <x:c r="K800" s="33" t="str">
        <x:v>Legacy IDs retained inactive; no false production obligation remains.</x:v>
      </x:c>
    </x:row>
    <x:row r="801">
      <x:c r="A801" s="33" t="str">
        <x:v>AUD109</x:v>
      </x:c>
      <x:c r="B801" s="33" t="str">
        <x:v>Audit Procedure Master</x:v>
      </x:c>
      <x:c r="C801" s="33" t="str">
        <x:v>Active=Yes; Remarks=Calibration certificates should be valid.</x:v>
      </x:c>
      <x:c r="D801" s="33" t="str">
        <x:v>Active=No; Remarks=P-3 QUARANTINED: Generic State/local/permit/reference rows, penalty-only/fabricated DAMR extractions, and future-effective DPDP duties are not current production obligations.</x:v>
      </x:c>
      <x:c r="E801" s="33" t="str">
        <x:v>RECLASSIFY / QUARANTINE</x:v>
      </x:c>
      <x:c r="F801" s="33" t="str">
        <x:v>Generic State/local/permit/reference rows, penalty-only/fabricated DAMR extractions, and future-effective DPDP duties are not current production obligations.</x:v>
      </x:c>
      <x:c r="G801" s="33" t="str">
        <x:v>P-3 chain reconciliation</x:v>
      </x:c>
      <x:c r="H801" s="33" t="str">
        <x:v>https://www.meity.gov.in/documents/act-and-policies/digital-personal-data-protection-rules-2025-gDOxUjMtQWa | https://consumeraffairs.nic.in/acts-and-rules/consumer-protection/consumer-protection | P3 Jurisdiction Register</x:v>
      </x:c>
      <x:c r="I801" s="33" t="str">
        <x:v>P-3</x:v>
      </x:c>
      <x:c r="J801" s="33" t="str">
        <x:v>2026-08-20</x:v>
      </x:c>
      <x:c r="K801" s="33" t="str">
        <x:v>Legacy IDs retained inactive; no false production obligation remains.</x:v>
      </x:c>
    </x:row>
    <x:row r="802">
      <x:c r="A802" s="33" t="str">
        <x:v>AUD110</x:v>
      </x:c>
      <x:c r="B802" s="33" t="str">
        <x:v>Audit Procedure Master</x:v>
      </x:c>
      <x:c r="C802" s="33" t="str">
        <x:v>Active=Yes; Remarks=Applicable to humidity-sensitive products.</x:v>
      </x:c>
      <x:c r="D802" s="33" t="str">
        <x:v>Active=No; Remarks=P-3 QUARANTINED: Generic State/local/permit/reference rows, penalty-only/fabricated DAMR extractions, and future-effective DPDP duties are not current production obligations.</x:v>
      </x:c>
      <x:c r="E802" s="33" t="str">
        <x:v>RECLASSIFY / QUARANTINE</x:v>
      </x:c>
      <x:c r="F802" s="33" t="str">
        <x:v>Generic State/local/permit/reference rows, penalty-only/fabricated DAMR extractions, and future-effective DPDP duties are not current production obligations.</x:v>
      </x:c>
      <x:c r="G802" s="33" t="str">
        <x:v>P-3 chain reconciliation</x:v>
      </x:c>
      <x:c r="H802" s="33" t="str">
        <x:v>https://www.meity.gov.in/documents/act-and-policies/digital-personal-data-protection-rules-2025-gDOxUjMtQWa | https://consumeraffairs.nic.in/acts-and-rules/consumer-protection/consumer-protection | P3 Jurisdiction Register</x:v>
      </x:c>
      <x:c r="I802" s="33" t="str">
        <x:v>P-3</x:v>
      </x:c>
      <x:c r="J802" s="33" t="str">
        <x:v>2026-08-20</x:v>
      </x:c>
      <x:c r="K802" s="33" t="str">
        <x:v>Legacy IDs retained inactive; no false production obligation remains.</x:v>
      </x:c>
    </x:row>
    <x:row r="803">
      <x:c r="A803" s="33" t="str">
        <x:v>AUD111</x:v>
      </x:c>
      <x:c r="B803" s="33" t="str">
        <x:v>Audit Procedure Master</x:v>
      </x:c>
      <x:c r="C803" s="33" t="str">
        <x:v>Active=Yes; Remarks=Equipment should function correctly.</x:v>
      </x:c>
      <x:c r="D803" s="33" t="str">
        <x:v>Active=No; Remarks=P-3 QUARANTINED: Generic State/local/permit/reference rows, penalty-only/fabricated DAMR extractions, and future-effective DPDP duties are not current production obligations.</x:v>
      </x:c>
      <x:c r="E803" s="33" t="str">
        <x:v>RECLASSIFY / QUARANTINE</x:v>
      </x:c>
      <x:c r="F803" s="33" t="str">
        <x:v>Generic State/local/permit/reference rows, penalty-only/fabricated DAMR extractions, and future-effective DPDP duties are not current production obligations.</x:v>
      </x:c>
      <x:c r="G803" s="33" t="str">
        <x:v>P-3 chain reconciliation</x:v>
      </x:c>
      <x:c r="H803" s="33" t="str">
        <x:v>https://www.meity.gov.in/documents/act-and-policies/digital-personal-data-protection-rules-2025-gDOxUjMtQWa | https://consumeraffairs.nic.in/acts-and-rules/consumer-protection/consumer-protection | P3 Jurisdiction Register</x:v>
      </x:c>
      <x:c r="I803" s="33" t="str">
        <x:v>P-3</x:v>
      </x:c>
      <x:c r="J803" s="33" t="str">
        <x:v>2026-08-20</x:v>
      </x:c>
      <x:c r="K803" s="33" t="str">
        <x:v>Legacy IDs retained inactive; no false production obligation remains.</x:v>
      </x:c>
    </x:row>
    <x:row r="804">
      <x:c r="A804" s="33" t="str">
        <x:v>AUD112</x:v>
      </x:c>
      <x:c r="B804" s="33" t="str">
        <x:v>Audit Procedure Master</x:v>
      </x:c>
      <x:c r="C804" s="33" t="str">
        <x:v>Active=Yes; Remarks=Verify against manufacturer specifications.</x:v>
      </x:c>
      <x:c r="D804" s="33" t="str">
        <x:v>Active=No; Remarks=P-3 QUARANTINED: Generic State/local/permit/reference rows, penalty-only/fabricated DAMR extractions, and future-effective DPDP duties are not current production obligations.</x:v>
      </x:c>
      <x:c r="E804" s="33" t="str">
        <x:v>RECLASSIFY / QUARANTINE</x:v>
      </x:c>
      <x:c r="F804" s="33" t="str">
        <x:v>Generic State/local/permit/reference rows, penalty-only/fabricated DAMR extractions, and future-effective DPDP duties are not current production obligations.</x:v>
      </x:c>
      <x:c r="G804" s="33" t="str">
        <x:v>P-3 chain reconciliation</x:v>
      </x:c>
      <x:c r="H804" s="33" t="str">
        <x:v>https://www.meity.gov.in/documents/act-and-policies/digital-personal-data-protection-rules-2025-gDOxUjMtQWa | https://consumeraffairs.nic.in/acts-and-rules/consumer-protection/consumer-protection | P3 Jurisdiction Register</x:v>
      </x:c>
      <x:c r="I804" s="33" t="str">
        <x:v>P-3</x:v>
      </x:c>
      <x:c r="J804" s="33" t="str">
        <x:v>2026-08-20</x:v>
      </x:c>
      <x:c r="K804" s="33" t="str">
        <x:v>Legacy IDs retained inactive; no false production obligation remains.</x:v>
      </x:c>
    </x:row>
    <x:row r="805">
      <x:c r="A805" s="33" t="str">
        <x:v>AUD113</x:v>
      </x:c>
      <x:c r="B805" s="33" t="str">
        <x:v>Audit Procedure Master</x:v>
      </x:c>
      <x:c r="C805" s="33" t="str">
        <x:v>Active=Yes; Remarks=Excursions should be documented.</x:v>
      </x:c>
      <x:c r="D805" s="33" t="str">
        <x:v>Active=No; Remarks=P-3 QUARANTINED: Generic State/local/permit/reference rows, penalty-only/fabricated DAMR extractions, and future-effective DPDP duties are not current production obligations.</x:v>
      </x:c>
      <x:c r="E805" s="33" t="str">
        <x:v>RECLASSIFY / QUARANTINE</x:v>
      </x:c>
      <x:c r="F805" s="33" t="str">
        <x:v>Generic State/local/permit/reference rows, penalty-only/fabricated DAMR extractions, and future-effective DPDP duties are not current production obligations.</x:v>
      </x:c>
      <x:c r="G805" s="33" t="str">
        <x:v>P-3 chain reconciliation</x:v>
      </x:c>
      <x:c r="H805" s="33" t="str">
        <x:v>https://www.meity.gov.in/documents/act-and-policies/digital-personal-data-protection-rules-2025-gDOxUjMtQWa | https://consumeraffairs.nic.in/acts-and-rules/consumer-protection/consumer-protection | P3 Jurisdiction Register</x:v>
      </x:c>
      <x:c r="I805" s="33" t="str">
        <x:v>P-3</x:v>
      </x:c>
      <x:c r="J805" s="33" t="str">
        <x:v>2026-08-20</x:v>
      </x:c>
      <x:c r="K805" s="33" t="str">
        <x:v>Legacy IDs retained inactive; no false production obligation remains.</x:v>
      </x:c>
    </x:row>
    <x:row r="806">
      <x:c r="A806" s="33" t="str">
        <x:v>AUD114</x:v>
      </x:c>
      <x:c r="B806" s="33" t="str">
        <x:v>Audit Procedure Master</x:v>
      </x:c>
      <x:c r="C806" s="33" t="str">
        <x:v>Active=Yes; Remarks=Domestic use should not be permitted.</x:v>
      </x:c>
      <x:c r="D806" s="33" t="str">
        <x:v>Active=No; Remarks=P-3 QUARANTINED: Generic State/local/permit/reference rows, penalty-only/fabricated DAMR extractions, and future-effective DPDP duties are not current production obligations.</x:v>
      </x:c>
      <x:c r="E806" s="33" t="str">
        <x:v>RECLASSIFY / QUARANTINE</x:v>
      </x:c>
      <x:c r="F806" s="33" t="str">
        <x:v>Generic State/local/permit/reference rows, penalty-only/fabricated DAMR extractions, and future-effective DPDP duties are not current production obligations.</x:v>
      </x:c>
      <x:c r="G806" s="33" t="str">
        <x:v>P-3 chain reconciliation</x:v>
      </x:c>
      <x:c r="H806" s="33" t="str">
        <x:v>https://www.meity.gov.in/documents/act-and-policies/digital-personal-data-protection-rules-2025-gDOxUjMtQWa | https://consumeraffairs.nic.in/acts-and-rules/consumer-protection/consumer-protection | P3 Jurisdiction Register</x:v>
      </x:c>
      <x:c r="I806" s="33" t="str">
        <x:v>P-3</x:v>
      </x:c>
      <x:c r="J806" s="33" t="str">
        <x:v>2026-08-20</x:v>
      </x:c>
      <x:c r="K806" s="33" t="str">
        <x:v>Legacy IDs retained inactive; no false production obligation remains.</x:v>
      </x:c>
    </x:row>
    <x:row r="807">
      <x:c r="A807" s="33" t="str">
        <x:v>AUD115</x:v>
      </x:c>
      <x:c r="B807" s="33" t="str">
        <x:v>Audit Procedure Master</x:v>
      </x:c>
      <x:c r="C807" s="33" t="str">
        <x:v>Active=Yes; Remarks=Cross-contamination should be prevented.</x:v>
      </x:c>
      <x:c r="D807" s="33" t="str">
        <x:v>Active=No; Remarks=P-3 QUARANTINED: Generic State/local/permit/reference rows, penalty-only/fabricated DAMR extractions, and future-effective DPDP duties are not current production obligations.</x:v>
      </x:c>
      <x:c r="E807" s="33" t="str">
        <x:v>RECLASSIFY / QUARANTINE</x:v>
      </x:c>
      <x:c r="F807" s="33" t="str">
        <x:v>Generic State/local/permit/reference rows, penalty-only/fabricated DAMR extractions, and future-effective DPDP duties are not current production obligations.</x:v>
      </x:c>
      <x:c r="G807" s="33" t="str">
        <x:v>P-3 chain reconciliation</x:v>
      </x:c>
      <x:c r="H807" s="33" t="str">
        <x:v>https://www.meity.gov.in/documents/act-and-policies/digital-personal-data-protection-rules-2025-gDOxUjMtQWa | https://consumeraffairs.nic.in/acts-and-rules/consumer-protection/consumer-protection | P3 Jurisdiction Register</x:v>
      </x:c>
      <x:c r="I807" s="33" t="str">
        <x:v>P-3</x:v>
      </x:c>
      <x:c r="J807" s="33" t="str">
        <x:v>2026-08-20</x:v>
      </x:c>
      <x:c r="K807" s="33" t="str">
        <x:v>Legacy IDs retained inactive; no false production obligation remains.</x:v>
      </x:c>
    </x:row>
    <x:row r="808">
      <x:c r="A808" s="33" t="str">
        <x:v>AUD198</x:v>
      </x:c>
      <x:c r="B808" s="33" t="str">
        <x:v>Audit Procedure Master</x:v>
      </x:c>
      <x:c r="C808" s="33" t="str">
        <x:v>Active=Yes; Remarks=Minimize cold-chain interruption.</x:v>
      </x:c>
      <x:c r="D808" s="33" t="str">
        <x:v>Active=No; Remarks=P-3 QUARANTINED: Generic State/local/permit/reference rows, penalty-only/fabricated DAMR extractions, and future-effective DPDP duties are not current production obligations.</x:v>
      </x:c>
      <x:c r="E808" s="33" t="str">
        <x:v>RECLASSIFY / QUARANTINE</x:v>
      </x:c>
      <x:c r="F808" s="33" t="str">
        <x:v>Generic State/local/permit/reference rows, penalty-only/fabricated DAMR extractions, and future-effective DPDP duties are not current production obligations.</x:v>
      </x:c>
      <x:c r="G808" s="33" t="str">
        <x:v>P-3 chain reconciliation</x:v>
      </x:c>
      <x:c r="H808" s="33" t="str">
        <x:v>https://www.meity.gov.in/documents/act-and-policies/digital-personal-data-protection-rules-2025-gDOxUjMtQWa | https://consumeraffairs.nic.in/acts-and-rules/consumer-protection/consumer-protection | P3 Jurisdiction Register</x:v>
      </x:c>
      <x:c r="I808" s="33" t="str">
        <x:v>P-3</x:v>
      </x:c>
      <x:c r="J808" s="33" t="str">
        <x:v>2026-08-20</x:v>
      </x:c>
      <x:c r="K808" s="33" t="str">
        <x:v>Legacy IDs retained inactive; no false production obligation remains.</x:v>
      </x:c>
    </x:row>
    <x:row r="809">
      <x:c r="A809" s="33" t="str">
        <x:v>AUD199</x:v>
      </x:c>
      <x:c r="B809" s="33" t="str">
        <x:v>Audit Procedure Master</x:v>
      </x:c>
      <x:c r="C809" s="33" t="str">
        <x:v>Active=Yes; Remarks=SOPs should address cold-chain integrity.</x:v>
      </x:c>
      <x:c r="D809" s="33" t="str">
        <x:v>Active=No; Remarks=P-3 QUARANTINED: Generic State/local/permit/reference rows, penalty-only/fabricated DAMR extractions, and future-effective DPDP duties are not current production obligations.</x:v>
      </x:c>
      <x:c r="E809" s="33" t="str">
        <x:v>RECLASSIFY / QUARANTINE</x:v>
      </x:c>
      <x:c r="F809" s="33" t="str">
        <x:v>Generic State/local/permit/reference rows, penalty-only/fabricated DAMR extractions, and future-effective DPDP duties are not current production obligations.</x:v>
      </x:c>
      <x:c r="G809" s="33" t="str">
        <x:v>P-3 chain reconciliation</x:v>
      </x:c>
      <x:c r="H809" s="33" t="str">
        <x:v>https://www.meity.gov.in/documents/act-and-policies/digital-personal-data-protection-rules-2025-gDOxUjMtQWa | https://consumeraffairs.nic.in/acts-and-rules/consumer-protection/consumer-protection | P3 Jurisdiction Register</x:v>
      </x:c>
      <x:c r="I809" s="33" t="str">
        <x:v>P-3</x:v>
      </x:c>
      <x:c r="J809" s="33" t="str">
        <x:v>2026-08-20</x:v>
      </x:c>
      <x:c r="K809" s="33" t="str">
        <x:v>Legacy IDs retained inactive; no false production obligation remains.</x:v>
      </x:c>
    </x:row>
    <x:row r="810">
      <x:c r="A810" s="33" t="str">
        <x:v>AUD200</x:v>
      </x:c>
      <x:c r="B810" s="33" t="str">
        <x:v>Audit Procedure Master</x:v>
      </x:c>
      <x:c r="C810" s="33" t="str">
        <x:v>Active=Yes; Remarks=Audit coverage should include dispensing controls.</x:v>
      </x:c>
      <x:c r="D810" s="33" t="str">
        <x:v>Active=No; Remarks=P-3 QUARANTINED: Generic State/local/permit/reference rows, penalty-only/fabricated DAMR extractions, and future-effective DPDP duties are not current production obligations.</x:v>
      </x:c>
      <x:c r="E810" s="33" t="str">
        <x:v>RECLASSIFY / QUARANTINE</x:v>
      </x:c>
      <x:c r="F810" s="33" t="str">
        <x:v>Generic State/local/permit/reference rows, penalty-only/fabricated DAMR extractions, and future-effective DPDP duties are not current production obligations.</x:v>
      </x:c>
      <x:c r="G810" s="33" t="str">
        <x:v>P-3 chain reconciliation</x:v>
      </x:c>
      <x:c r="H810" s="33" t="str">
        <x:v>https://www.meity.gov.in/documents/act-and-policies/digital-personal-data-protection-rules-2025-gDOxUjMtQWa | https://consumeraffairs.nic.in/acts-and-rules/consumer-protection/consumer-protection | P3 Jurisdiction Register</x:v>
      </x:c>
      <x:c r="I810" s="33" t="str">
        <x:v>P-3</x:v>
      </x:c>
      <x:c r="J810" s="33" t="str">
        <x:v>2026-08-20</x:v>
      </x:c>
      <x:c r="K810" s="33" t="str">
        <x:v>Legacy IDs retained inactive; no false production obligation remains.</x:v>
      </x:c>
    </x:row>
    <x:row r="811">
      <x:c r="A811" s="33" t="str">
        <x:v>AUD201</x:v>
      </x:c>
      <x:c r="B811" s="33" t="str">
        <x:v>Audit Procedure Master</x:v>
      </x:c>
      <x:c r="C811" s="33" t="str">
        <x:v>Active=Yes; Remarks=Verify implementation of CAPA.</x:v>
      </x:c>
      <x:c r="D811" s="33" t="str">
        <x:v>Active=No; Remarks=P-3 QUARANTINED: Generic State/local/permit/reference rows, penalty-only/fabricated DAMR extractions, and future-effective DPDP duties are not current production obligations.</x:v>
      </x:c>
      <x:c r="E811" s="33" t="str">
        <x:v>RECLASSIFY / QUARANTINE</x:v>
      </x:c>
      <x:c r="F811" s="33" t="str">
        <x:v>Generic State/local/permit/reference rows, penalty-only/fabricated DAMR extractions, and future-effective DPDP duties are not current production obligations.</x:v>
      </x:c>
      <x:c r="G811" s="33" t="str">
        <x:v>P-3 chain reconciliation</x:v>
      </x:c>
      <x:c r="H811" s="33" t="str">
        <x:v>https://www.meity.gov.in/documents/act-and-policies/digital-personal-data-protection-rules-2025-gDOxUjMtQWa | https://consumeraffairs.nic.in/acts-and-rules/consumer-protection/consumer-protection | P3 Jurisdiction Register</x:v>
      </x:c>
      <x:c r="I811" s="33" t="str">
        <x:v>P-3</x:v>
      </x:c>
      <x:c r="J811" s="33" t="str">
        <x:v>2026-08-20</x:v>
      </x:c>
      <x:c r="K811" s="33" t="str">
        <x:v>Legacy IDs retained inactive; no false production obligation remains.</x:v>
      </x:c>
    </x:row>
    <x:row r="812">
      <x:c r="A812" s="33" t="str">
        <x:v>AUD202</x:v>
      </x:c>
      <x:c r="B812" s="33" t="str">
        <x:v>Audit Procedure Master</x:v>
      </x:c>
      <x:c r="C812" s="33" t="str">
        <x:v>Active=Yes; Remarks=Complaint register should be maintained.</x:v>
      </x:c>
      <x:c r="D812" s="33" t="str">
        <x:v>Active=No; Remarks=P-3 QUARANTINED: Generic State/local/permit/reference rows, penalty-only/fabricated DAMR extractions, and future-effective DPDP duties are not current production obligations.</x:v>
      </x:c>
      <x:c r="E812" s="33" t="str">
        <x:v>RECLASSIFY / QUARANTINE</x:v>
      </x:c>
      <x:c r="F812" s="33" t="str">
        <x:v>Generic State/local/permit/reference rows, penalty-only/fabricated DAMR extractions, and future-effective DPDP duties are not current production obligations.</x:v>
      </x:c>
      <x:c r="G812" s="33" t="str">
        <x:v>P-3 chain reconciliation</x:v>
      </x:c>
      <x:c r="H812" s="33" t="str">
        <x:v>https://www.meity.gov.in/documents/act-and-policies/digital-personal-data-protection-rules-2025-gDOxUjMtQWa | https://consumeraffairs.nic.in/acts-and-rules/consumer-protection/consumer-protection | P3 Jurisdiction Register</x:v>
      </x:c>
      <x:c r="I812" s="33" t="str">
        <x:v>P-3</x:v>
      </x:c>
      <x:c r="J812" s="33" t="str">
        <x:v>2026-08-20</x:v>
      </x:c>
      <x:c r="K812" s="33" t="str">
        <x:v>Legacy IDs retained inactive; no false production obligation remains.</x:v>
      </x:c>
    </x:row>
    <x:row r="813">
      <x:c r="A813" s="33" t="str">
        <x:v>AUD203</x:v>
      </x:c>
      <x:c r="B813" s="33" t="str">
        <x:v>Audit Procedure Master</x:v>
      </x:c>
      <x:c r="C813" s="33" t="str">
        <x:v>Active=Yes; Remarks=Verify effectiveness.</x:v>
      </x:c>
      <x:c r="D813" s="33" t="str">
        <x:v>Active=No; Remarks=P-3 QUARANTINED: Generic State/local/permit/reference rows, penalty-only/fabricated DAMR extractions, and future-effective DPDP duties are not current production obligations.</x:v>
      </x:c>
      <x:c r="E813" s="33" t="str">
        <x:v>RECLASSIFY / QUARANTINE</x:v>
      </x:c>
      <x:c r="F813" s="33" t="str">
        <x:v>Generic State/local/permit/reference rows, penalty-only/fabricated DAMR extractions, and future-effective DPDP duties are not current production obligations.</x:v>
      </x:c>
      <x:c r="G813" s="33" t="str">
        <x:v>P-3 chain reconciliation</x:v>
      </x:c>
      <x:c r="H813" s="33" t="str">
        <x:v>https://www.meity.gov.in/documents/act-and-policies/digital-personal-data-protection-rules-2025-gDOxUjMtQWa | https://consumeraffairs.nic.in/acts-and-rules/consumer-protection/consumer-protection | P3 Jurisdiction Register</x:v>
      </x:c>
      <x:c r="I813" s="33" t="str">
        <x:v>P-3</x:v>
      </x:c>
      <x:c r="J813" s="33" t="str">
        <x:v>2026-08-20</x:v>
      </x:c>
      <x:c r="K813" s="33" t="str">
        <x:v>Legacy IDs retained inactive; no false production obligation remains.</x:v>
      </x:c>
    </x:row>
    <x:row r="814">
      <x:c r="A814" s="33" t="str">
        <x:v>AUD204</x:v>
      </x:c>
      <x:c r="B814" s="33" t="str">
        <x:v>Audit Procedure Master</x:v>
      </x:c>
      <x:c r="C814" s="33" t="str">
        <x:v>Active=Yes; Remarks=Maintain inspection records.</x:v>
      </x:c>
      <x:c r="D814" s="33" t="str">
        <x:v>Active=No; Remarks=P-3 QUARANTINED: Generic State/local/permit/reference rows, penalty-only/fabricated DAMR extractions, and future-effective DPDP duties are not current production obligations.</x:v>
      </x:c>
      <x:c r="E814" s="33" t="str">
        <x:v>RECLASSIFY / QUARANTINE</x:v>
      </x:c>
      <x:c r="F814" s="33" t="str">
        <x:v>Generic State/local/permit/reference rows, penalty-only/fabricated DAMR extractions, and future-effective DPDP duties are not current production obligations.</x:v>
      </x:c>
      <x:c r="G814" s="33" t="str">
        <x:v>P-3 chain reconciliation</x:v>
      </x:c>
      <x:c r="H814" s="33" t="str">
        <x:v>https://www.meity.gov.in/documents/act-and-policies/digital-personal-data-protection-rules-2025-gDOxUjMtQWa | https://consumeraffairs.nic.in/acts-and-rules/consumer-protection/consumer-protection | P3 Jurisdiction Register</x:v>
      </x:c>
      <x:c r="I814" s="33" t="str">
        <x:v>P-3</x:v>
      </x:c>
      <x:c r="J814" s="33" t="str">
        <x:v>2026-08-20</x:v>
      </x:c>
      <x:c r="K814" s="33" t="str">
        <x:v>Legacy IDs retained inactive; no false production obligation remains.</x:v>
      </x:c>
    </x:row>
    <x:row r="815">
      <x:c r="A815" s="33" t="str">
        <x:v>AUD205</x:v>
      </x:c>
      <x:c r="B815" s="33" t="str">
        <x:v>Audit Procedure Master</x:v>
      </x:c>
      <x:c r="C815" s="33" t="str">
        <x:v>Active=Yes; Remarks=Track closure of observations.</x:v>
      </x:c>
      <x:c r="D815" s="33" t="str">
        <x:v>Active=No; Remarks=P-3 QUARANTINED: Generic State/local/permit/reference rows, penalty-only/fabricated DAMR extractions, and future-effective DPDP duties are not current production obligations.</x:v>
      </x:c>
      <x:c r="E815" s="33" t="str">
        <x:v>RECLASSIFY / QUARANTINE</x:v>
      </x:c>
      <x:c r="F815" s="33" t="str">
        <x:v>Generic State/local/permit/reference rows, penalty-only/fabricated DAMR extractions, and future-effective DPDP duties are not current production obligations.</x:v>
      </x:c>
      <x:c r="G815" s="33" t="str">
        <x:v>P-3 chain reconciliation</x:v>
      </x:c>
      <x:c r="H815" s="33" t="str">
        <x:v>https://www.meity.gov.in/documents/act-and-policies/digital-personal-data-protection-rules-2025-gDOxUjMtQWa | https://consumeraffairs.nic.in/acts-and-rules/consumer-protection/consumer-protection | P3 Jurisdiction Register</x:v>
      </x:c>
      <x:c r="I815" s="33" t="str">
        <x:v>P-3</x:v>
      </x:c>
      <x:c r="J815" s="33" t="str">
        <x:v>2026-08-20</x:v>
      </x:c>
      <x:c r="K815" s="33" t="str">
        <x:v>Legacy IDs retained inactive; no false production obligation remains.</x:v>
      </x:c>
    </x:row>
    <x:row r="816">
      <x:c r="A816" s="33" t="str">
        <x:v>AUD206</x:v>
      </x:c>
      <x:c r="B816" s="33" t="str">
        <x:v>Audit Procedure Master</x:v>
      </x:c>
      <x:c r="C816" s="33" t="str">
        <x:v>Active=Yes; Remarks=Perform end-to-end dispensing review.</x:v>
      </x:c>
      <x:c r="D816" s="33" t="str">
        <x:v>Active=No; Remarks=P-3 QUARANTINED: Generic State/local/permit/reference rows, penalty-only/fabricated DAMR extractions, and future-effective DPDP duties are not current production obligations.</x:v>
      </x:c>
      <x:c r="E816" s="33" t="str">
        <x:v>RECLASSIFY / QUARANTINE</x:v>
      </x:c>
      <x:c r="F816" s="33" t="str">
        <x:v>Generic State/local/permit/reference rows, penalty-only/fabricated DAMR extractions, and future-effective DPDP duties are not current production obligations.</x:v>
      </x:c>
      <x:c r="G816" s="33" t="str">
        <x:v>P-3 chain reconciliation</x:v>
      </x:c>
      <x:c r="H816" s="33" t="str">
        <x:v>https://www.meity.gov.in/documents/act-and-policies/digital-personal-data-protection-rules-2025-gDOxUjMtQWa | https://consumeraffairs.nic.in/acts-and-rules/consumer-protection/consumer-protection | P3 Jurisdiction Register</x:v>
      </x:c>
      <x:c r="I816" s="33" t="str">
        <x:v>P-3</x:v>
      </x:c>
      <x:c r="J816" s="33" t="str">
        <x:v>2026-08-20</x:v>
      </x:c>
      <x:c r="K816" s="33" t="str">
        <x:v>Legacy IDs retained inactive; no false production obligation remains.</x:v>
      </x:c>
    </x:row>
    <x:row r="817">
      <x:c r="A817" s="33" t="str">
        <x:v>AUD207</x:v>
      </x:c>
      <x:c r="B817" s="33" t="str">
        <x:v>Audit Procedure Master</x:v>
      </x:c>
      <x:c r="C817" s="33" t="str">
        <x:v>Active=Yes; Remarks=Cover multiple medicine categories.</x:v>
      </x:c>
      <x:c r="D817" s="33" t="str">
        <x:v>Active=No; Remarks=P-3 QUARANTINED: Generic State/local/permit/reference rows, penalty-only/fabricated DAMR extractions, and future-effective DPDP duties are not current production obligations.</x:v>
      </x:c>
      <x:c r="E817" s="33" t="str">
        <x:v>RECLASSIFY / QUARANTINE</x:v>
      </x:c>
      <x:c r="F817" s="33" t="str">
        <x:v>Generic State/local/permit/reference rows, penalty-only/fabricated DAMR extractions, and future-effective DPDP duties are not current production obligations.</x:v>
      </x:c>
      <x:c r="G817" s="33" t="str">
        <x:v>P-3 chain reconciliation</x:v>
      </x:c>
      <x:c r="H817" s="33" t="str">
        <x:v>https://www.meity.gov.in/documents/act-and-policies/digital-personal-data-protection-rules-2025-gDOxUjMtQWa | https://consumeraffairs.nic.in/acts-and-rules/consumer-protection/consumer-protection | P3 Jurisdiction Register</x:v>
      </x:c>
      <x:c r="I817" s="33" t="str">
        <x:v>P-3</x:v>
      </x:c>
      <x:c r="J817" s="33" t="str">
        <x:v>2026-08-20</x:v>
      </x:c>
      <x:c r="K817" s="33" t="str">
        <x:v>Legacy IDs retained inactive; no false production obligation remains.</x:v>
      </x:c>
    </x:row>
    <x:row r="818">
      <x:c r="A818" s="33" t="str">
        <x:v>AUD208</x:v>
      </x:c>
      <x:c r="B818" s="33" t="str">
        <x:v>Audit Procedure Master</x:v>
      </x:c>
      <x:c r="C818" s="33" t="str">
        <x:v>Active=Yes; Remarks=Identify compliance gaps.</x:v>
      </x:c>
      <x:c r="D818" s="33" t="str">
        <x:v>Active=No; Remarks=P-3 QUARANTINED: Generic State/local/permit/reference rows, penalty-only/fabricated DAMR extractions, and future-effective DPDP duties are not current production obligations.</x:v>
      </x:c>
      <x:c r="E818" s="33" t="str">
        <x:v>RECLASSIFY / QUARANTINE</x:v>
      </x:c>
      <x:c r="F818" s="33" t="str">
        <x:v>Generic State/local/permit/reference rows, penalty-only/fabricated DAMR extractions, and future-effective DPDP duties are not current production obligations.</x:v>
      </x:c>
      <x:c r="G818" s="33" t="str">
        <x:v>P-3 chain reconciliation</x:v>
      </x:c>
      <x:c r="H818" s="33" t="str">
        <x:v>https://www.meity.gov.in/documents/act-and-policies/digital-personal-data-protection-rules-2025-gDOxUjMtQWa | https://consumeraffairs.nic.in/acts-and-rules/consumer-protection/consumer-protection | P3 Jurisdiction Register</x:v>
      </x:c>
      <x:c r="I818" s="33" t="str">
        <x:v>P-3</x:v>
      </x:c>
      <x:c r="J818" s="33" t="str">
        <x:v>2026-08-20</x:v>
      </x:c>
      <x:c r="K818" s="33" t="str">
        <x:v>Legacy IDs retained inactive; no false production obligation remains.</x:v>
      </x:c>
    </x:row>
    <x:row r="819">
      <x:c r="A819" s="33" t="str">
        <x:v>AUD209</x:v>
      </x:c>
      <x:c r="B819" s="33" t="str">
        <x:v>Audit Procedure Master</x:v>
      </x:c>
      <x:c r="C819" s="33" t="str">
        <x:v>Active=Yes; Remarks=Document audit conclusions and recommendations.</x:v>
      </x:c>
      <x:c r="D819" s="33" t="str">
        <x:v>Active=No; Remarks=P-3 QUARANTINED: Generic State/local/permit/reference rows, penalty-only/fabricated DAMR extractions, and future-effective DPDP duties are not current production obligations.</x:v>
      </x:c>
      <x:c r="E819" s="33" t="str">
        <x:v>RECLASSIFY / QUARANTINE</x:v>
      </x:c>
      <x:c r="F819" s="33" t="str">
        <x:v>Generic State/local/permit/reference rows, penalty-only/fabricated DAMR extractions, and future-effective DPDP duties are not current production obligations.</x:v>
      </x:c>
      <x:c r="G819" s="33" t="str">
        <x:v>P-3 chain reconciliation</x:v>
      </x:c>
      <x:c r="H819" s="33" t="str">
        <x:v>https://www.meity.gov.in/documents/act-and-policies/digital-personal-data-protection-rules-2025-gDOxUjMtQWa | https://consumeraffairs.nic.in/acts-and-rules/consumer-protection/consumer-protection | P3 Jurisdiction Register</x:v>
      </x:c>
      <x:c r="I819" s="33" t="str">
        <x:v>P-3</x:v>
      </x:c>
      <x:c r="J819" s="33" t="str">
        <x:v>2026-08-20</x:v>
      </x:c>
      <x:c r="K819" s="33" t="str">
        <x:v>Legacy IDs retained inactive; no false production obligation remains.</x:v>
      </x:c>
    </x:row>
    <x:row r="820">
      <x:c r="A820" s="33" t="str">
        <x:v>AUD366</x:v>
      </x:c>
      <x:c r="B820" s="33" t="str">
        <x:v>Audit Procedure Master</x:v>
      </x:c>
      <x:c r="C820" s="33" t="str">
        <x:v>Active=Yes; Remarks=Verify educational qualifications and registration where applicable.</x:v>
      </x:c>
      <x:c r="D820" s="33" t="str">
        <x:v>Active=No; Remarks=P-3 QUARANTINED: Generic State/local/permit/reference rows, penalty-only/fabricated DAMR extractions, and future-effective DPDP duties are not current production obligations.</x:v>
      </x:c>
      <x:c r="E820" s="33" t="str">
        <x:v>RECLASSIFY / QUARANTINE</x:v>
      </x:c>
      <x:c r="F820" s="33" t="str">
        <x:v>Generic State/local/permit/reference rows, penalty-only/fabricated DAMR extractions, and future-effective DPDP duties are not current production obligations.</x:v>
      </x:c>
      <x:c r="G820" s="33" t="str">
        <x:v>P-3 chain reconciliation</x:v>
      </x:c>
      <x:c r="H820" s="33" t="str">
        <x:v>https://www.meity.gov.in/documents/act-and-policies/digital-personal-data-protection-rules-2025-gDOxUjMtQWa | https://consumeraffairs.nic.in/acts-and-rules/consumer-protection/consumer-protection | P3 Jurisdiction Register</x:v>
      </x:c>
      <x:c r="I820" s="33" t="str">
        <x:v>P-3</x:v>
      </x:c>
      <x:c r="J820" s="33" t="str">
        <x:v>2026-08-20</x:v>
      </x:c>
      <x:c r="K820" s="33" t="str">
        <x:v>Legacy IDs retained inactive; no false production obligation remains.</x:v>
      </x:c>
    </x:row>
    <x:row r="821">
      <x:c r="A821" s="33" t="str">
        <x:v>AUD367</x:v>
      </x:c>
      <x:c r="B821" s="33" t="str">
        <x:v>Audit Procedure Master</x:v>
      </x:c>
      <x:c r="C821" s="33" t="str">
        <x:v>Active=Yes; Remarks=Records should be complete and updated.</x:v>
      </x:c>
      <x:c r="D821" s="33" t="str">
        <x:v>Active=No; Remarks=P-3 QUARANTINED: Generic State/local/permit/reference rows, penalty-only/fabricated DAMR extractions, and future-effective DPDP duties are not current production obligations.</x:v>
      </x:c>
      <x:c r="E821" s="33" t="str">
        <x:v>RECLASSIFY / QUARANTINE</x:v>
      </x:c>
      <x:c r="F821" s="33" t="str">
        <x:v>Generic State/local/permit/reference rows, penalty-only/fabricated DAMR extractions, and future-effective DPDP duties are not current production obligations.</x:v>
      </x:c>
      <x:c r="G821" s="33" t="str">
        <x:v>P-3 chain reconciliation</x:v>
      </x:c>
      <x:c r="H821" s="33" t="str">
        <x:v>https://www.meity.gov.in/documents/act-and-policies/digital-personal-data-protection-rules-2025-gDOxUjMtQWa | https://consumeraffairs.nic.in/acts-and-rules/consumer-protection/consumer-protection | P3 Jurisdiction Register</x:v>
      </x:c>
      <x:c r="I821" s="33" t="str">
        <x:v>P-3</x:v>
      </x:c>
      <x:c r="J821" s="33" t="str">
        <x:v>2026-08-20</x:v>
      </x:c>
      <x:c r="K821" s="33" t="str">
        <x:v>Legacy IDs retained inactive; no false production obligation remains.</x:v>
      </x:c>
    </x:row>
    <x:row r="822">
      <x:c r="A822" s="33" t="str">
        <x:v>AUD368</x:v>
      </x:c>
      <x:c r="B822" s="33" t="str">
        <x:v>Audit Procedure Master</x:v>
      </x:c>
      <x:c r="C822" s="33" t="str">
        <x:v>Active=Yes; Remarks=Renewals should be completed before expiry.</x:v>
      </x:c>
      <x:c r="D822" s="33" t="str">
        <x:v>Active=No; Remarks=P-3 QUARANTINED: Generic State/local/permit/reference rows, penalty-only/fabricated DAMR extractions, and future-effective DPDP duties are not current production obligations.</x:v>
      </x:c>
      <x:c r="E822" s="33" t="str">
        <x:v>RECLASSIFY / QUARANTINE</x:v>
      </x:c>
      <x:c r="F822" s="33" t="str">
        <x:v>Generic State/local/permit/reference rows, penalty-only/fabricated DAMR extractions, and future-effective DPDP duties are not current production obligations.</x:v>
      </x:c>
      <x:c r="G822" s="33" t="str">
        <x:v>P-3 chain reconciliation</x:v>
      </x:c>
      <x:c r="H822" s="33" t="str">
        <x:v>https://www.meity.gov.in/documents/act-and-policies/digital-personal-data-protection-rules-2025-gDOxUjMtQWa | https://consumeraffairs.nic.in/acts-and-rules/consumer-protection/consumer-protection | P3 Jurisdiction Register</x:v>
      </x:c>
      <x:c r="I822" s="33" t="str">
        <x:v>P-3</x:v>
      </x:c>
      <x:c r="J822" s="33" t="str">
        <x:v>2026-08-20</x:v>
      </x:c>
      <x:c r="K822" s="33" t="str">
        <x:v>Legacy IDs retained inactive; no false production obligation remains.</x:v>
      </x:c>
    </x:row>
    <x:row r="823">
      <x:c r="A823" s="33" t="str">
        <x:v>AUD369</x:v>
      </x:c>
      <x:c r="B823" s="33" t="str">
        <x:v>Audit Procedure Master</x:v>
      </x:c>
      <x:c r="C823" s="33" t="str">
        <x:v>Active=Yes; Remarks=Document verification evidence.</x:v>
      </x:c>
      <x:c r="D823" s="33" t="str">
        <x:v>Active=No; Remarks=P-3 QUARANTINED: Generic State/local/permit/reference rows, penalty-only/fabricated DAMR extractions, and future-effective DPDP duties are not current production obligations.</x:v>
      </x:c>
      <x:c r="E823" s="33" t="str">
        <x:v>RECLASSIFY / QUARANTINE</x:v>
      </x:c>
      <x:c r="F823" s="33" t="str">
        <x:v>Generic State/local/permit/reference rows, penalty-only/fabricated DAMR extractions, and future-effective DPDP duties are not current production obligations.</x:v>
      </x:c>
      <x:c r="G823" s="33" t="str">
        <x:v>P-3 chain reconciliation</x:v>
      </x:c>
      <x:c r="H823" s="33" t="str">
        <x:v>https://www.meity.gov.in/documents/act-and-policies/digital-personal-data-protection-rules-2025-gDOxUjMtQWa | https://consumeraffairs.nic.in/acts-and-rules/consumer-protection/consumer-protection | P3 Jurisdiction Register</x:v>
      </x:c>
      <x:c r="I823" s="33" t="str">
        <x:v>P-3</x:v>
      </x:c>
      <x:c r="J823" s="33" t="str">
        <x:v>2026-08-20</x:v>
      </x:c>
      <x:c r="K823" s="33" t="str">
        <x:v>Legacy IDs retained inactive; no false production obligation remains.</x:v>
      </x:c>
    </x:row>
    <x:row r="824">
      <x:c r="A824" s="33" t="str">
        <x:v>AUD370</x:v>
      </x:c>
      <x:c r="B824" s="33" t="str">
        <x:v>Audit Procedure Master</x:v>
      </x:c>
      <x:c r="C824" s="33" t="str">
        <x:v>Active=Yes; Remarks=Roles should align with applicable regulations.</x:v>
      </x:c>
      <x:c r="D824" s="33" t="str">
        <x:v>Active=No; Remarks=P-3 QUARANTINED: Generic State/local/permit/reference rows, penalty-only/fabricated DAMR extractions, and future-effective DPDP duties are not current production obligations.</x:v>
      </x:c>
      <x:c r="E824" s="33" t="str">
        <x:v>RECLASSIFY / QUARANTINE</x:v>
      </x:c>
      <x:c r="F824" s="33" t="str">
        <x:v>Generic State/local/permit/reference rows, penalty-only/fabricated DAMR extractions, and future-effective DPDP duties are not current production obligations.</x:v>
      </x:c>
      <x:c r="G824" s="33" t="str">
        <x:v>P-3 chain reconciliation</x:v>
      </x:c>
      <x:c r="H824" s="33" t="str">
        <x:v>https://www.meity.gov.in/documents/act-and-policies/digital-personal-data-protection-rules-2025-gDOxUjMtQWa | https://consumeraffairs.nic.in/acts-and-rules/consumer-protection/consumer-protection | P3 Jurisdiction Register</x:v>
      </x:c>
      <x:c r="I824" s="33" t="str">
        <x:v>P-3</x:v>
      </x:c>
      <x:c r="J824" s="33" t="str">
        <x:v>2026-08-20</x:v>
      </x:c>
      <x:c r="K824" s="33" t="str">
        <x:v>Legacy IDs retained inactive; no false production obligation remains.</x:v>
      </x:c>
    </x:row>
    <x:row r="825">
      <x:c r="A825" s="33" t="str">
        <x:v>AUD371</x:v>
      </x:c>
      <x:c r="B825" s="33" t="str">
        <x:v>Audit Procedure Master</x:v>
      </x:c>
      <x:c r="C825" s="33" t="str">
        <x:v>Active=Yes; Remarks=Maintain complete employment records.</x:v>
      </x:c>
      <x:c r="D825" s="33" t="str">
        <x:v>Active=No; Remarks=P-3 QUARANTINED: Generic State/local/permit/reference rows, penalty-only/fabricated DAMR extractions, and future-effective DPDP duties are not current production obligations.</x:v>
      </x:c>
      <x:c r="E825" s="33" t="str">
        <x:v>RECLASSIFY / QUARANTINE</x:v>
      </x:c>
      <x:c r="F825" s="33" t="str">
        <x:v>Generic State/local/permit/reference rows, penalty-only/fabricated DAMR extractions, and future-effective DPDP duties are not current production obligations.</x:v>
      </x:c>
      <x:c r="G825" s="33" t="str">
        <x:v>P-3 chain reconciliation</x:v>
      </x:c>
      <x:c r="H825" s="33" t="str">
        <x:v>https://www.meity.gov.in/documents/act-and-policies/digital-personal-data-protection-rules-2025-gDOxUjMtQWa | https://consumeraffairs.nic.in/acts-and-rules/consumer-protection/consumer-protection | P3 Jurisdiction Register</x:v>
      </x:c>
      <x:c r="I825" s="33" t="str">
        <x:v>P-3</x:v>
      </x:c>
      <x:c r="J825" s="33" t="str">
        <x:v>2026-08-20</x:v>
      </x:c>
      <x:c r="K825" s="33" t="str">
        <x:v>Legacy IDs retained inactive; no false production obligation remains.</x:v>
      </x:c>
    </x:row>
    <x:row r="826">
      <x:c r="A826" s="33" t="str">
        <x:v>AUD372</x:v>
      </x:c>
      <x:c r="B826" s="33" t="str">
        <x:v>Audit Procedure Master</x:v>
      </x:c>
      <x:c r="C826" s="33" t="str">
        <x:v>Active=Yes; Remarks=Training should cover regulatory compliance requirements.</x:v>
      </x:c>
      <x:c r="D826" s="33" t="str">
        <x:v>Active=No; Remarks=P-3 QUARANTINED: Generic State/local/permit/reference rows, penalty-only/fabricated DAMR extractions, and future-effective DPDP duties are not current production obligations.</x:v>
      </x:c>
      <x:c r="E826" s="33" t="str">
        <x:v>RECLASSIFY / QUARANTINE</x:v>
      </x:c>
      <x:c r="F826" s="33" t="str">
        <x:v>Generic State/local/permit/reference rows, penalty-only/fabricated DAMR extractions, and future-effective DPDP duties are not current production obligations.</x:v>
      </x:c>
      <x:c r="G826" s="33" t="str">
        <x:v>P-3 chain reconciliation</x:v>
      </x:c>
      <x:c r="H826" s="33" t="str">
        <x:v>https://www.meity.gov.in/documents/act-and-policies/digital-personal-data-protection-rules-2025-gDOxUjMtQWa | https://consumeraffairs.nic.in/acts-and-rules/consumer-protection/consumer-protection | P3 Jurisdiction Register</x:v>
      </x:c>
      <x:c r="I826" s="33" t="str">
        <x:v>P-3</x:v>
      </x:c>
      <x:c r="J826" s="33" t="str">
        <x:v>2026-08-20</x:v>
      </x:c>
      <x:c r="K826" s="33" t="str">
        <x:v>Legacy IDs retained inactive; no false production obligation remains.</x:v>
      </x:c>
    </x:row>
    <x:row r="827">
      <x:c r="A827" s="33" t="str">
        <x:v>AUD373</x:v>
      </x:c>
      <x:c r="B827" s="33" t="str">
        <x:v>Audit Procedure Master</x:v>
      </x:c>
      <x:c r="C827" s="33" t="str">
        <x:v>Active=Yes; Remarks=Verify employee acknowledgment.</x:v>
      </x:c>
      <x:c r="D827" s="33" t="str">
        <x:v>Active=No; Remarks=P-3 QUARANTINED: Generic State/local/permit/reference rows, penalty-only/fabricated DAMR extractions, and future-effective DPDP duties are not current production obligations.</x:v>
      </x:c>
      <x:c r="E827" s="33" t="str">
        <x:v>RECLASSIFY / QUARANTINE</x:v>
      </x:c>
      <x:c r="F827" s="33" t="str">
        <x:v>Generic State/local/permit/reference rows, penalty-only/fabricated DAMR extractions, and future-effective DPDP duties are not current production obligations.</x:v>
      </x:c>
      <x:c r="G827" s="33" t="str">
        <x:v>P-3 chain reconciliation</x:v>
      </x:c>
      <x:c r="H827" s="33" t="str">
        <x:v>https://www.meity.gov.in/documents/act-and-policies/digital-personal-data-protection-rules-2025-gDOxUjMtQWa | https://consumeraffairs.nic.in/acts-and-rules/consumer-protection/consumer-protection | P3 Jurisdiction Register</x:v>
      </x:c>
      <x:c r="I827" s="33" t="str">
        <x:v>P-3</x:v>
      </x:c>
      <x:c r="J827" s="33" t="str">
        <x:v>2026-08-20</x:v>
      </x:c>
      <x:c r="K827" s="33" t="str">
        <x:v>Legacy IDs retained inactive; no false production obligation remains.</x:v>
      </x:c>
    </x:row>
    <x:row r="828">
      <x:c r="A828" s="33" t="str">
        <x:v>AUD374</x:v>
      </x:c>
      <x:c r="B828" s="33" t="str">
        <x:v>Audit Procedure Master</x:v>
      </x:c>
      <x:c r="C828" s="33" t="str">
        <x:v>Active=Yes; Remarks=Training schedule should be maintained.</x:v>
      </x:c>
      <x:c r="D828" s="33" t="str">
        <x:v>Active=No; Remarks=P-3 QUARANTINED: Generic State/local/permit/reference rows, penalty-only/fabricated DAMR extractions, and future-effective DPDP duties are not current production obligations.</x:v>
      </x:c>
      <x:c r="E828" s="33" t="str">
        <x:v>RECLASSIFY / QUARANTINE</x:v>
      </x:c>
      <x:c r="F828" s="33" t="str">
        <x:v>Generic State/local/permit/reference rows, penalty-only/fabricated DAMR extractions, and future-effective DPDP duties are not current production obligations.</x:v>
      </x:c>
      <x:c r="G828" s="33" t="str">
        <x:v>P-3 chain reconciliation</x:v>
      </x:c>
      <x:c r="H828" s="33" t="str">
        <x:v>https://www.meity.gov.in/documents/act-and-policies/digital-personal-data-protection-rules-2025-gDOxUjMtQWa | https://consumeraffairs.nic.in/acts-and-rules/consumer-protection/consumer-protection | P3 Jurisdiction Register</x:v>
      </x:c>
      <x:c r="I828" s="33" t="str">
        <x:v>P-3</x:v>
      </x:c>
      <x:c r="J828" s="33" t="str">
        <x:v>2026-08-20</x:v>
      </x:c>
      <x:c r="K828" s="33" t="str">
        <x:v>Legacy IDs retained inactive; no false production obligation remains.</x:v>
      </x:c>
    </x:row>
    <x:row r="829">
      <x:c r="A829" s="33" t="str">
        <x:v>AUD375</x:v>
      </x:c>
      <x:c r="B829" s="33" t="str">
        <x:v>Audit Procedure Master</x:v>
      </x:c>
      <x:c r="C829" s="33" t="str">
        <x:v>Active=Yes; Remarks=Employees should successfully complete assessments.</x:v>
      </x:c>
      <x:c r="D829" s="33" t="str">
        <x:v>Active=No; Remarks=P-3 QUARANTINED: Generic State/local/permit/reference rows, penalty-only/fabricated DAMR extractions, and future-effective DPDP duties are not current production obligations.</x:v>
      </x:c>
      <x:c r="E829" s="33" t="str">
        <x:v>RECLASSIFY / QUARANTINE</x:v>
      </x:c>
      <x:c r="F829" s="33" t="str">
        <x:v>Generic State/local/permit/reference rows, penalty-only/fabricated DAMR extractions, and future-effective DPDP duties are not current production obligations.</x:v>
      </x:c>
      <x:c r="G829" s="33" t="str">
        <x:v>P-3 chain reconciliation</x:v>
      </x:c>
      <x:c r="H829" s="33" t="str">
        <x:v>https://www.meity.gov.in/documents/act-and-policies/digital-personal-data-protection-rules-2025-gDOxUjMtQWa | https://consumeraffairs.nic.in/acts-and-rules/consumer-protection/consumer-protection | P3 Jurisdiction Register</x:v>
      </x:c>
      <x:c r="I829" s="33" t="str">
        <x:v>P-3</x:v>
      </x:c>
      <x:c r="J829" s="33" t="str">
        <x:v>2026-08-20</x:v>
      </x:c>
      <x:c r="K829" s="33" t="str">
        <x:v>Legacy IDs retained inactive; no false production obligation remains.</x:v>
      </x:c>
    </x:row>
    <x:row r="830">
      <x:c r="A830" s="33" t="str">
        <x:v>AUD376</x:v>
      </x:c>
      <x:c r="B830" s="33" t="str">
        <x:v>Audit Procedure Master</x:v>
      </x:c>
      <x:c r="C830" s="33" t="str">
        <x:v>Active=Yes; Remarks=Staff should acknowledge receipt.</x:v>
      </x:c>
      <x:c r="D830" s="33" t="str">
        <x:v>Active=No; Remarks=P-3 QUARANTINED: Generic State/local/permit/reference rows, penalty-only/fabricated DAMR extractions, and future-effective DPDP duties are not current production obligations.</x:v>
      </x:c>
      <x:c r="E830" s="33" t="str">
        <x:v>RECLASSIFY / QUARANTINE</x:v>
      </x:c>
      <x:c r="F830" s="33" t="str">
        <x:v>Generic State/local/permit/reference rows, penalty-only/fabricated DAMR extractions, and future-effective DPDP duties are not current production obligations.</x:v>
      </x:c>
      <x:c r="G830" s="33" t="str">
        <x:v>P-3 chain reconciliation</x:v>
      </x:c>
      <x:c r="H830" s="33" t="str">
        <x:v>https://www.meity.gov.in/documents/act-and-policies/digital-personal-data-protection-rules-2025-gDOxUjMtQWa | https://consumeraffairs.nic.in/acts-and-rules/consumer-protection/consumer-protection | P3 Jurisdiction Register</x:v>
      </x:c>
      <x:c r="I830" s="33" t="str">
        <x:v>P-3</x:v>
      </x:c>
      <x:c r="J830" s="33" t="str">
        <x:v>2026-08-20</x:v>
      </x:c>
      <x:c r="K830" s="33" t="str">
        <x:v>Legacy IDs retained inactive; no false production obligation remains.</x:v>
      </x:c>
    </x:row>
    <x:row r="831">
      <x:c r="A831" s="33" t="str">
        <x:v>AUD377</x:v>
      </x:c>
      <x:c r="B831" s="33" t="str">
        <x:v>Audit Procedure Master</x:v>
      </x:c>
      <x:c r="C831" s="33" t="str">
        <x:v>Active=Yes; Remarks=Assess practical understanding.</x:v>
      </x:c>
      <x:c r="D831" s="33" t="str">
        <x:v>Active=No; Remarks=P-3 QUARANTINED: Generic State/local/permit/reference rows, penalty-only/fabricated DAMR extractions, and future-effective DPDP duties are not current production obligations.</x:v>
      </x:c>
      <x:c r="E831" s="33" t="str">
        <x:v>RECLASSIFY / QUARANTINE</x:v>
      </x:c>
      <x:c r="F831" s="33" t="str">
        <x:v>Generic State/local/permit/reference rows, penalty-only/fabricated DAMR extractions, and future-effective DPDP duties are not current production obligations.</x:v>
      </x:c>
      <x:c r="G831" s="33" t="str">
        <x:v>P-3 chain reconciliation</x:v>
      </x:c>
      <x:c r="H831" s="33" t="str">
        <x:v>https://www.meity.gov.in/documents/act-and-policies/digital-personal-data-protection-rules-2025-gDOxUjMtQWa | https://consumeraffairs.nic.in/acts-and-rules/consumer-protection/consumer-protection | P3 Jurisdiction Register</x:v>
      </x:c>
      <x:c r="I831" s="33" t="str">
        <x:v>P-3</x:v>
      </x:c>
      <x:c r="J831" s="33" t="str">
        <x:v>2026-08-20</x:v>
      </x:c>
      <x:c r="K831" s="33" t="str">
        <x:v>Legacy IDs retained inactive; no false production obligation remains.</x:v>
      </x:c>
    </x:row>
    <x:row r="832">
      <x:c r="A832" s="33" t="str">
        <x:v>AUD378</x:v>
      </x:c>
      <x:c r="B832" s="33" t="str">
        <x:v>Audit Procedure Master</x:v>
      </x:c>
      <x:c r="C832" s="33" t="str">
        <x:v>Active=Yes; Remarks=Evaluation criteria should be predefined.</x:v>
      </x:c>
      <x:c r="D832" s="33" t="str">
        <x:v>Active=No; Remarks=P-3 QUARANTINED: Generic State/local/permit/reference rows, penalty-only/fabricated DAMR extractions, and future-effective DPDP duties are not current production obligations.</x:v>
      </x:c>
      <x:c r="E832" s="33" t="str">
        <x:v>RECLASSIFY / QUARANTINE</x:v>
      </x:c>
      <x:c r="F832" s="33" t="str">
        <x:v>Generic State/local/permit/reference rows, penalty-only/fabricated DAMR extractions, and future-effective DPDP duties are not current production obligations.</x:v>
      </x:c>
      <x:c r="G832" s="33" t="str">
        <x:v>P-3 chain reconciliation</x:v>
      </x:c>
      <x:c r="H832" s="33" t="str">
        <x:v>https://www.meity.gov.in/documents/act-and-policies/digital-personal-data-protection-rules-2025-gDOxUjMtQWa | https://consumeraffairs.nic.in/acts-and-rules/consumer-protection/consumer-protection | P3 Jurisdiction Register</x:v>
      </x:c>
      <x:c r="I832" s="33" t="str">
        <x:v>P-3</x:v>
      </x:c>
      <x:c r="J832" s="33" t="str">
        <x:v>2026-08-20</x:v>
      </x:c>
      <x:c r="K832" s="33" t="str">
        <x:v>Legacy IDs retained inactive; no false production obligation remains.</x:v>
      </x:c>
    </x:row>
    <x:row r="833">
      <x:c r="A833" s="33" t="str">
        <x:v>AUD379</x:v>
      </x:c>
      <x:c r="B833" s="33" t="str">
        <x:v>Audit Procedure Master</x:v>
      </x:c>
      <x:c r="C833" s="33" t="str">
        <x:v>Active=Yes; Remarks=Retraining should be documented where required.</x:v>
      </x:c>
      <x:c r="D833" s="33" t="str">
        <x:v>Active=No; Remarks=P-3 QUARANTINED: Generic State/local/permit/reference rows, penalty-only/fabricated DAMR extractions, and future-effective DPDP duties are not current production obligations.</x:v>
      </x:c>
      <x:c r="E833" s="33" t="str">
        <x:v>RECLASSIFY / QUARANTINE</x:v>
      </x:c>
      <x:c r="F833" s="33" t="str">
        <x:v>Generic State/local/permit/reference rows, penalty-only/fabricated DAMR extractions, and future-effective DPDP duties are not current production obligations.</x:v>
      </x:c>
      <x:c r="G833" s="33" t="str">
        <x:v>P-3 chain reconciliation</x:v>
      </x:c>
      <x:c r="H833" s="33" t="str">
        <x:v>https://www.meity.gov.in/documents/act-and-policies/digital-personal-data-protection-rules-2025-gDOxUjMtQWa | https://consumeraffairs.nic.in/acts-and-rules/consumer-protection/consumer-protection | P3 Jurisdiction Register</x:v>
      </x:c>
      <x:c r="I833" s="33" t="str">
        <x:v>P-3</x:v>
      </x:c>
      <x:c r="J833" s="33" t="str">
        <x:v>2026-08-20</x:v>
      </x:c>
      <x:c r="K833" s="33" t="str">
        <x:v>Legacy IDs retained inactive; no false production obligation remains.</x:v>
      </x:c>
    </x:row>
    <x:row r="834">
      <x:c r="A834" s="33" t="str">
        <x:v>AUD380</x:v>
      </x:c>
      <x:c r="B834" s="33" t="str">
        <x:v>Audit Procedure Master</x:v>
      </x:c>
      <x:c r="C834" s="33" t="str">
        <x:v>Active=Yes; Remarks=Applicable professional requirements should be met.</x:v>
      </x:c>
      <x:c r="D834" s="33" t="str">
        <x:v>Active=No; Remarks=P-3 QUARANTINED: Generic State/local/permit/reference rows, penalty-only/fabricated DAMR extractions, and future-effective DPDP duties are not current production obligations.</x:v>
      </x:c>
      <x:c r="E834" s="33" t="str">
        <x:v>RECLASSIFY / QUARANTINE</x:v>
      </x:c>
      <x:c r="F834" s="33" t="str">
        <x:v>Generic State/local/permit/reference rows, penalty-only/fabricated DAMR extractions, and future-effective DPDP duties are not current production obligations.</x:v>
      </x:c>
      <x:c r="G834" s="33" t="str">
        <x:v>P-3 chain reconciliation</x:v>
      </x:c>
      <x:c r="H834" s="33" t="str">
        <x:v>https://www.meity.gov.in/documents/act-and-policies/digital-personal-data-protection-rules-2025-gDOxUjMtQWa | https://consumeraffairs.nic.in/acts-and-rules/consumer-protection/consumer-protection | P3 Jurisdiction Register</x:v>
      </x:c>
      <x:c r="I834" s="33" t="str">
        <x:v>P-3</x:v>
      </x:c>
      <x:c r="J834" s="33" t="str">
        <x:v>2026-08-20</x:v>
      </x:c>
      <x:c r="K834" s="33" t="str">
        <x:v>Legacy IDs retained inactive; no false production obligation remains.</x:v>
      </x:c>
    </x:row>
    <x:row r="835">
      <x:c r="A835" s="33" t="str">
        <x:v>AUD381</x:v>
      </x:c>
      <x:c r="B835" s="33" t="str">
        <x:v>Audit Procedure Master</x:v>
      </x:c>
      <x:c r="C835" s="33" t="str">
        <x:v>Active=Yes; Remarks=Maintain supporting certificates.</x:v>
      </x:c>
      <x:c r="D835" s="33" t="str">
        <x:v>Active=No; Remarks=P-3 QUARANTINED: Generic State/local/permit/reference rows, penalty-only/fabricated DAMR extractions, and future-effective DPDP duties are not current production obligations.</x:v>
      </x:c>
      <x:c r="E835" s="33" t="str">
        <x:v>RECLASSIFY / QUARANTINE</x:v>
      </x:c>
      <x:c r="F835" s="33" t="str">
        <x:v>Generic State/local/permit/reference rows, penalty-only/fabricated DAMR extractions, and future-effective DPDP duties are not current production obligations.</x:v>
      </x:c>
      <x:c r="G835" s="33" t="str">
        <x:v>P-3 chain reconciliation</x:v>
      </x:c>
      <x:c r="H835" s="33" t="str">
        <x:v>https://www.meity.gov.in/documents/act-and-policies/digital-personal-data-protection-rules-2025-gDOxUjMtQWa | https://consumeraffairs.nic.in/acts-and-rules/consumer-protection/consumer-protection | P3 Jurisdiction Register</x:v>
      </x:c>
      <x:c r="I835" s="33" t="str">
        <x:v>P-3</x:v>
      </x:c>
      <x:c r="J835" s="33" t="str">
        <x:v>2026-08-20</x:v>
      </x:c>
      <x:c r="K835" s="33" t="str">
        <x:v>Legacy IDs retained inactive; no false production obligation remains.</x:v>
      </x:c>
    </x:row>
    <x:row r="836">
      <x:c r="A836" s="33" t="str">
        <x:v>AUD382</x:v>
      </x:c>
      <x:c r="B836" s="33" t="str">
        <x:v>Audit Procedure Master</x:v>
      </x:c>
      <x:c r="C836" s="33" t="str">
        <x:v>Active=Yes; Remarks=Duty rosters should be maintained.</x:v>
      </x:c>
      <x:c r="D836" s="33" t="str">
        <x:v>Active=No; Remarks=P-3 QUARANTINED: Generic State/local/permit/reference rows, penalty-only/fabricated DAMR extractions, and future-effective DPDP duties are not current production obligations.</x:v>
      </x:c>
      <x:c r="E836" s="33" t="str">
        <x:v>RECLASSIFY / QUARANTINE</x:v>
      </x:c>
      <x:c r="F836" s="33" t="str">
        <x:v>Generic State/local/permit/reference rows, penalty-only/fabricated DAMR extractions, and future-effective DPDP duties are not current production obligations.</x:v>
      </x:c>
      <x:c r="G836" s="33" t="str">
        <x:v>P-3 chain reconciliation</x:v>
      </x:c>
      <x:c r="H836" s="33" t="str">
        <x:v>https://www.meity.gov.in/documents/act-and-policies/digital-personal-data-protection-rules-2025-gDOxUjMtQWa | https://consumeraffairs.nic.in/acts-and-rules/consumer-protection/consumer-protection | P3 Jurisdiction Register</x:v>
      </x:c>
      <x:c r="I836" s="33" t="str">
        <x:v>P-3</x:v>
      </x:c>
      <x:c r="J836" s="33" t="str">
        <x:v>2026-08-20</x:v>
      </x:c>
      <x:c r="K836" s="33" t="str">
        <x:v>Legacy IDs retained inactive; no false production obligation remains.</x:v>
      </x:c>
    </x:row>
    <x:row r="837">
      <x:c r="A837" s="33" t="str">
        <x:v>AUD383</x:v>
      </x:c>
      <x:c r="B837" s="33" t="str">
        <x:v>Audit Procedure Master</x:v>
      </x:c>
      <x:c r="C837" s="33" t="str">
        <x:v>Active=Yes; Remarks=Identify periods without pharmacist supervision.</x:v>
      </x:c>
      <x:c r="D837" s="33" t="str">
        <x:v>Active=No; Remarks=P-3 QUARANTINED: Generic State/local/permit/reference rows, penalty-only/fabricated DAMR extractions, and future-effective DPDP duties are not current production obligations.</x:v>
      </x:c>
      <x:c r="E837" s="33" t="str">
        <x:v>RECLASSIFY / QUARANTINE</x:v>
      </x:c>
      <x:c r="F837" s="33" t="str">
        <x:v>Generic State/local/permit/reference rows, penalty-only/fabricated DAMR extractions, and future-effective DPDP duties are not current production obligations.</x:v>
      </x:c>
      <x:c r="G837" s="33" t="str">
        <x:v>P-3 chain reconciliation</x:v>
      </x:c>
      <x:c r="H837" s="33" t="str">
        <x:v>https://www.meity.gov.in/documents/act-and-policies/digital-personal-data-protection-rules-2025-gDOxUjMtQWa | https://consumeraffairs.nic.in/acts-and-rules/consumer-protection/consumer-protection | P3 Jurisdiction Register</x:v>
      </x:c>
      <x:c r="I837" s="33" t="str">
        <x:v>P-3</x:v>
      </x:c>
      <x:c r="J837" s="33" t="str">
        <x:v>2026-08-20</x:v>
      </x:c>
      <x:c r="K837" s="33" t="str">
        <x:v>Legacy IDs retained inactive; no false production obligation remains.</x:v>
      </x:c>
    </x:row>
    <x:row r="838">
      <x:c r="A838" s="33" t="str">
        <x:v>AUD384</x:v>
      </x:c>
      <x:c r="B838" s="33" t="str">
        <x:v>Audit Procedure Master</x:v>
      </x:c>
      <x:c r="C838" s="33" t="str">
        <x:v>Active=Yes; Remarks=Consider workload and operating hours.</x:v>
      </x:c>
      <x:c r="D838" s="33" t="str">
        <x:v>Active=No; Remarks=P-3 QUARANTINED: Generic State/local/permit/reference rows, penalty-only/fabricated DAMR extractions, and future-effective DPDP duties are not current production obligations.</x:v>
      </x:c>
      <x:c r="E838" s="33" t="str">
        <x:v>RECLASSIFY / QUARANTINE</x:v>
      </x:c>
      <x:c r="F838" s="33" t="str">
        <x:v>Generic State/local/permit/reference rows, penalty-only/fabricated DAMR extractions, and future-effective DPDP duties are not current production obligations.</x:v>
      </x:c>
      <x:c r="G838" s="33" t="str">
        <x:v>P-3 chain reconciliation</x:v>
      </x:c>
      <x:c r="H838" s="33" t="str">
        <x:v>https://www.meity.gov.in/documents/act-and-policies/digital-personal-data-protection-rules-2025-gDOxUjMtQWa | https://consumeraffairs.nic.in/acts-and-rules/consumer-protection/consumer-protection | P3 Jurisdiction Register</x:v>
      </x:c>
      <x:c r="I838" s="33" t="str">
        <x:v>P-3</x:v>
      </x:c>
      <x:c r="J838" s="33" t="str">
        <x:v>2026-08-20</x:v>
      </x:c>
      <x:c r="K838" s="33" t="str">
        <x:v>Legacy IDs retained inactive; no false production obligation remains.</x:v>
      </x:c>
    </x:row>
    <x:row r="839">
      <x:c r="A839" s="33" t="str">
        <x:v>AUD385</x:v>
      </x:c>
      <x:c r="B839" s="33" t="str">
        <x:v>Audit Procedure Master</x:v>
      </x:c>
      <x:c r="C839" s="33" t="str">
        <x:v>Active=Yes; Remarks=Staffing should remain adequate.</x:v>
      </x:c>
      <x:c r="D839" s="33" t="str">
        <x:v>Active=No; Remarks=P-3 QUARANTINED: Generic State/local/permit/reference rows, penalty-only/fabricated DAMR extractions, and future-effective DPDP duties are not current production obligations.</x:v>
      </x:c>
      <x:c r="E839" s="33" t="str">
        <x:v>RECLASSIFY / QUARANTINE</x:v>
      </x:c>
      <x:c r="F839" s="33" t="str">
        <x:v>Generic State/local/permit/reference rows, penalty-only/fabricated DAMR extractions, and future-effective DPDP duties are not current production obligations.</x:v>
      </x:c>
      <x:c r="G839" s="33" t="str">
        <x:v>P-3 chain reconciliation</x:v>
      </x:c>
      <x:c r="H839" s="33" t="str">
        <x:v>https://www.meity.gov.in/documents/act-and-policies/digital-personal-data-protection-rules-2025-gDOxUjMtQWa | https://consumeraffairs.nic.in/acts-and-rules/consumer-protection/consumer-protection | P3 Jurisdiction Register</x:v>
      </x:c>
      <x:c r="I839" s="33" t="str">
        <x:v>P-3</x:v>
      </x:c>
      <x:c r="J839" s="33" t="str">
        <x:v>2026-08-20</x:v>
      </x:c>
      <x:c r="K839" s="33" t="str">
        <x:v>Legacy IDs retained inactive; no false production obligation remains.</x:v>
      </x:c>
    </x:row>
    <x:row r="840">
      <x:c r="A840" s="33" t="str">
        <x:v>AUD386</x:v>
      </x:c>
      <x:c r="B840" s="33" t="str">
        <x:v>Audit Procedure Master</x:v>
      </x:c>
      <x:c r="C840" s="33" t="str">
        <x:v>Active=Yes; Remarks=Verify credentials before assignment.</x:v>
      </x:c>
      <x:c r="D840" s="33" t="str">
        <x:v>Active=No; Remarks=P-3 QUARANTINED: Generic State/local/permit/reference rows, penalty-only/fabricated DAMR extractions, and future-effective DPDP duties are not current production obligations.</x:v>
      </x:c>
      <x:c r="E840" s="33" t="str">
        <x:v>RECLASSIFY / QUARANTINE</x:v>
      </x:c>
      <x:c r="F840" s="33" t="str">
        <x:v>Generic State/local/permit/reference rows, penalty-only/fabricated DAMR extractions, and future-effective DPDP duties are not current production obligations.</x:v>
      </x:c>
      <x:c r="G840" s="33" t="str">
        <x:v>P-3 chain reconciliation</x:v>
      </x:c>
      <x:c r="H840" s="33" t="str">
        <x:v>https://www.meity.gov.in/documents/act-and-policies/digital-personal-data-protection-rules-2025-gDOxUjMtQWa | https://consumeraffairs.nic.in/acts-and-rules/consumer-protection/consumer-protection | P3 Jurisdiction Register</x:v>
      </x:c>
      <x:c r="I840" s="33" t="str">
        <x:v>P-3</x:v>
      </x:c>
      <x:c r="J840" s="33" t="str">
        <x:v>2026-08-20</x:v>
      </x:c>
      <x:c r="K840" s="33" t="str">
        <x:v>Legacy IDs retained inactive; no false production obligation remains.</x:v>
      </x:c>
    </x:row>
    <x:row r="841">
      <x:c r="A841" s="33" t="str">
        <x:v>AUD387</x:v>
      </x:c>
      <x:c r="B841" s="33" t="str">
        <x:v>Audit Procedure Master</x:v>
      </x:c>
      <x:c r="C841" s="33" t="str">
        <x:v>Active=Yes; Remarks=Maintain complete documentation.</x:v>
      </x:c>
      <x:c r="D841" s="33" t="str">
        <x:v>Active=No; Remarks=P-3 QUARANTINED: Generic State/local/permit/reference rows, penalty-only/fabricated DAMR extractions, and future-effective DPDP duties are not current production obligations.</x:v>
      </x:c>
      <x:c r="E841" s="33" t="str">
        <x:v>RECLASSIFY / QUARANTINE</x:v>
      </x:c>
      <x:c r="F841" s="33" t="str">
        <x:v>Generic State/local/permit/reference rows, penalty-only/fabricated DAMR extractions, and future-effective DPDP duties are not current production obligations.</x:v>
      </x:c>
      <x:c r="G841" s="33" t="str">
        <x:v>P-3 chain reconciliation</x:v>
      </x:c>
      <x:c r="H841" s="33" t="str">
        <x:v>https://www.meity.gov.in/documents/act-and-policies/digital-personal-data-protection-rules-2025-gDOxUjMtQWa | https://consumeraffairs.nic.in/acts-and-rules/consumer-protection/consumer-protection | P3 Jurisdiction Register</x:v>
      </x:c>
      <x:c r="I841" s="33" t="str">
        <x:v>P-3</x:v>
      </x:c>
      <x:c r="J841" s="33" t="str">
        <x:v>2026-08-20</x:v>
      </x:c>
      <x:c r="K841" s="33" t="str">
        <x:v>Legacy IDs retained inactive; no false production obligation remains.</x:v>
      </x:c>
    </x:row>
    <x:row r="842">
      <x:c r="A842" s="33" t="str">
        <x:v>AUD388</x:v>
      </x:c>
      <x:c r="B842" s="33" t="str">
        <x:v>Audit Procedure Master</x:v>
      </x:c>
      <x:c r="C842" s="33" t="str">
        <x:v>Active=Yes; Remarks=Declarations should be retained.</x:v>
      </x:c>
      <x:c r="D842" s="33" t="str">
        <x:v>Active=No; Remarks=P-3 QUARANTINED: Generic State/local/permit/reference rows, penalty-only/fabricated DAMR extractions, and future-effective DPDP duties are not current production obligations.</x:v>
      </x:c>
      <x:c r="E842" s="33" t="str">
        <x:v>RECLASSIFY / QUARANTINE</x:v>
      </x:c>
      <x:c r="F842" s="33" t="str">
        <x:v>Generic State/local/permit/reference rows, penalty-only/fabricated DAMR extractions, and future-effective DPDP duties are not current production obligations.</x:v>
      </x:c>
      <x:c r="G842" s="33" t="str">
        <x:v>P-3 chain reconciliation</x:v>
      </x:c>
      <x:c r="H842" s="33" t="str">
        <x:v>https://www.meity.gov.in/documents/act-and-policies/digital-personal-data-protection-rules-2025-gDOxUjMtQWa | https://consumeraffairs.nic.in/acts-and-rules/consumer-protection/consumer-protection | P3 Jurisdiction Register</x:v>
      </x:c>
      <x:c r="I842" s="33" t="str">
        <x:v>P-3</x:v>
      </x:c>
      <x:c r="J842" s="33" t="str">
        <x:v>2026-08-20</x:v>
      </x:c>
      <x:c r="K842" s="33" t="str">
        <x:v>Legacy IDs retained inactive; no false production obligation remains.</x:v>
      </x:c>
    </x:row>
    <x:row r="843">
      <x:c r="A843" s="33" t="str">
        <x:v>AUD389</x:v>
      </x:c>
      <x:c r="B843" s="33" t="str">
        <x:v>Audit Procedure Master</x:v>
      </x:c>
      <x:c r="C843" s="33" t="str">
        <x:v>Active=Yes; Remarks=Exceptions should be investigated.</x:v>
      </x:c>
      <x:c r="D843" s="33" t="str">
        <x:v>Active=No; Remarks=P-3 QUARANTINED: Generic State/local/permit/reference rows, penalty-only/fabricated DAMR extractions, and future-effective DPDP duties are not current production obligations.</x:v>
      </x:c>
      <x:c r="E843" s="33" t="str">
        <x:v>RECLASSIFY / QUARANTINE</x:v>
      </x:c>
      <x:c r="F843" s="33" t="str">
        <x:v>Generic State/local/permit/reference rows, penalty-only/fabricated DAMR extractions, and future-effective DPDP duties are not current production obligations.</x:v>
      </x:c>
      <x:c r="G843" s="33" t="str">
        <x:v>P-3 chain reconciliation</x:v>
      </x:c>
      <x:c r="H843" s="33" t="str">
        <x:v>https://www.meity.gov.in/documents/act-and-policies/digital-personal-data-protection-rules-2025-gDOxUjMtQWa | https://consumeraffairs.nic.in/acts-and-rules/consumer-protection/consumer-protection | P3 Jurisdiction Register</x:v>
      </x:c>
      <x:c r="I843" s="33" t="str">
        <x:v>P-3</x:v>
      </x:c>
      <x:c r="J843" s="33" t="str">
        <x:v>2026-08-20</x:v>
      </x:c>
      <x:c r="K843" s="33" t="str">
        <x:v>Legacy IDs retained inactive; no false production obligation remains.</x:v>
      </x:c>
    </x:row>
    <x:row r="844">
      <x:c r="A844" s="33" t="str">
        <x:v>AUD390</x:v>
      </x:c>
      <x:c r="B844" s="33" t="str">
        <x:v>Audit Procedure Master</x:v>
      </x:c>
      <x:c r="C844" s="33" t="str">
        <x:v>Active=Yes; Remarks=Maintain confidentiality.</x:v>
      </x:c>
      <x:c r="D844" s="33" t="str">
        <x:v>Active=No; Remarks=P-3 QUARANTINED: Generic State/local/permit/reference rows, penalty-only/fabricated DAMR extractions, and future-effective DPDP duties are not current production obligations.</x:v>
      </x:c>
      <x:c r="E844" s="33" t="str">
        <x:v>RECLASSIFY / QUARANTINE</x:v>
      </x:c>
      <x:c r="F844" s="33" t="str">
        <x:v>Generic State/local/permit/reference rows, penalty-only/fabricated DAMR extractions, and future-effective DPDP duties are not current production obligations.</x:v>
      </x:c>
      <x:c r="G844" s="33" t="str">
        <x:v>P-3 chain reconciliation</x:v>
      </x:c>
      <x:c r="H844" s="33" t="str">
        <x:v>https://www.meity.gov.in/documents/act-and-policies/digital-personal-data-protection-rules-2025-gDOxUjMtQWa | https://consumeraffairs.nic.in/acts-and-rules/consumer-protection/consumer-protection | P3 Jurisdiction Register</x:v>
      </x:c>
      <x:c r="I844" s="33" t="str">
        <x:v>P-3</x:v>
      </x:c>
      <x:c r="J844" s="33" t="str">
        <x:v>2026-08-20</x:v>
      </x:c>
      <x:c r="K844" s="33" t="str">
        <x:v>Legacy IDs retained inactive; no false production obligation remains.</x:v>
      </x:c>
    </x:row>
    <x:row r="845">
      <x:c r="A845" s="33" t="str">
        <x:v>AUD391</x:v>
      </x:c>
      <x:c r="B845" s="33" t="str">
        <x:v>Audit Procedure Master</x:v>
      </x:c>
      <x:c r="C845" s="33" t="str">
        <x:v>Active=Yes; Remarks=Verify management approval.</x:v>
      </x:c>
      <x:c r="D845" s="33" t="str">
        <x:v>Active=No; Remarks=P-3 QUARANTINED: Generic State/local/permit/reference rows, penalty-only/fabricated DAMR extractions, and future-effective DPDP duties are not current production obligations.</x:v>
      </x:c>
      <x:c r="E845" s="33" t="str">
        <x:v>RECLASSIFY / QUARANTINE</x:v>
      </x:c>
      <x:c r="F845" s="33" t="str">
        <x:v>Generic State/local/permit/reference rows, penalty-only/fabricated DAMR extractions, and future-effective DPDP duties are not current production obligations.</x:v>
      </x:c>
      <x:c r="G845" s="33" t="str">
        <x:v>P-3 chain reconciliation</x:v>
      </x:c>
      <x:c r="H845" s="33" t="str">
        <x:v>https://www.meity.gov.in/documents/act-and-policies/digital-personal-data-protection-rules-2025-gDOxUjMtQWa | https://consumeraffairs.nic.in/acts-and-rules/consumer-protection/consumer-protection | P3 Jurisdiction Register</x:v>
      </x:c>
      <x:c r="I845" s="33" t="str">
        <x:v>P-3</x:v>
      </x:c>
      <x:c r="J845" s="33" t="str">
        <x:v>2026-08-20</x:v>
      </x:c>
      <x:c r="K845" s="33" t="str">
        <x:v>Legacy IDs retained inactive; no false production obligation remains.</x:v>
      </x:c>
    </x:row>
    <x:row r="846">
      <x:c r="A846" s="33" t="str">
        <x:v>AUD392</x:v>
      </x:c>
      <x:c r="B846" s="33" t="str">
        <x:v>Audit Procedure Master</x:v>
      </x:c>
      <x:c r="C846" s="33" t="str">
        <x:v>Active=Yes; Remarks=Applicable occupational health records should be maintained.</x:v>
      </x:c>
      <x:c r="D846" s="33" t="str">
        <x:v>Active=No; Remarks=P-3 QUARANTINED: Generic State/local/permit/reference rows, penalty-only/fabricated DAMR extractions, and future-effective DPDP duties are not current production obligations.</x:v>
      </x:c>
      <x:c r="E846" s="33" t="str">
        <x:v>RECLASSIFY / QUARANTINE</x:v>
      </x:c>
      <x:c r="F846" s="33" t="str">
        <x:v>Generic State/local/permit/reference rows, penalty-only/fabricated DAMR extractions, and future-effective DPDP duties are not current production obligations.</x:v>
      </x:c>
      <x:c r="G846" s="33" t="str">
        <x:v>P-3 chain reconciliation</x:v>
      </x:c>
      <x:c r="H846" s="33" t="str">
        <x:v>https://www.meity.gov.in/documents/act-and-policies/digital-personal-data-protection-rules-2025-gDOxUjMtQWa | https://consumeraffairs.nic.in/acts-and-rules/consumer-protection/consumer-protection | P3 Jurisdiction Register</x:v>
      </x:c>
      <x:c r="I846" s="33" t="str">
        <x:v>P-3</x:v>
      </x:c>
      <x:c r="J846" s="33" t="str">
        <x:v>2026-08-20</x:v>
      </x:c>
      <x:c r="K846" s="33" t="str">
        <x:v>Legacy IDs retained inactive; no false production obligation remains.</x:v>
      </x:c>
    </x:row>
    <x:row r="847">
      <x:c r="A847" s="33" t="str">
        <x:v>AUD393</x:v>
      </x:c>
      <x:c r="B847" s="33" t="str">
        <x:v>Audit Procedure Master</x:v>
      </x:c>
      <x:c r="C847" s="33" t="str">
        <x:v>Active=Yes; Remarks=Confidential records should be protected.</x:v>
      </x:c>
      <x:c r="D847" s="33" t="str">
        <x:v>Active=No; Remarks=P-3 QUARANTINED: Generic State/local/permit/reference rows, penalty-only/fabricated DAMR extractions, and future-effective DPDP duties are not current production obligations.</x:v>
      </x:c>
      <x:c r="E847" s="33" t="str">
        <x:v>RECLASSIFY / QUARANTINE</x:v>
      </x:c>
      <x:c r="F847" s="33" t="str">
        <x:v>Generic State/local/permit/reference rows, penalty-only/fabricated DAMR extractions, and future-effective DPDP duties are not current production obligations.</x:v>
      </x:c>
      <x:c r="G847" s="33" t="str">
        <x:v>P-3 chain reconciliation</x:v>
      </x:c>
      <x:c r="H847" s="33" t="str">
        <x:v>https://www.meity.gov.in/documents/act-and-policies/digital-personal-data-protection-rules-2025-gDOxUjMtQWa | https://consumeraffairs.nic.in/acts-and-rules/consumer-protection/consumer-protection | P3 Jurisdiction Register</x:v>
      </x:c>
      <x:c r="I847" s="33" t="str">
        <x:v>P-3</x:v>
      </x:c>
      <x:c r="J847" s="33" t="str">
        <x:v>2026-08-20</x:v>
      </x:c>
      <x:c r="K847" s="33" t="str">
        <x:v>Legacy IDs retained inactive; no false production obligation remains.</x:v>
      </x:c>
    </x:row>
    <x:row r="848">
      <x:c r="A848" s="33" t="str">
        <x:v>AUD394</x:v>
      </x:c>
      <x:c r="B848" s="33" t="str">
        <x:v>Audit Procedure Master</x:v>
      </x:c>
      <x:c r="C848" s="33" t="str">
        <x:v>Active=Yes; Remarks=Apply least privilege principle.</x:v>
      </x:c>
      <x:c r="D848" s="33" t="str">
        <x:v>Active=No; Remarks=P-3 QUARANTINED: Generic State/local/permit/reference rows, penalty-only/fabricated DAMR extractions, and future-effective DPDP duties are not current production obligations.</x:v>
      </x:c>
      <x:c r="E848" s="33" t="str">
        <x:v>RECLASSIFY / QUARANTINE</x:v>
      </x:c>
      <x:c r="F848" s="33" t="str">
        <x:v>Generic State/local/permit/reference rows, penalty-only/fabricated DAMR extractions, and future-effective DPDP duties are not current production obligations.</x:v>
      </x:c>
      <x:c r="G848" s="33" t="str">
        <x:v>P-3 chain reconciliation</x:v>
      </x:c>
      <x:c r="H848" s="33" t="str">
        <x:v>https://www.meity.gov.in/documents/act-and-policies/digital-personal-data-protection-rules-2025-gDOxUjMtQWa | https://consumeraffairs.nic.in/acts-and-rules/consumer-protection/consumer-protection | P3 Jurisdiction Register</x:v>
      </x:c>
      <x:c r="I848" s="33" t="str">
        <x:v>P-3</x:v>
      </x:c>
      <x:c r="J848" s="33" t="str">
        <x:v>2026-08-20</x:v>
      </x:c>
      <x:c r="K848" s="33" t="str">
        <x:v>Legacy IDs retained inactive; no false production obligation remains.</x:v>
      </x:c>
    </x:row>
    <x:row r="849">
      <x:c r="A849" s="33" t="str">
        <x:v>AUD395</x:v>
      </x:c>
      <x:c r="B849" s="33" t="str">
        <x:v>Audit Procedure Master</x:v>
      </x:c>
      <x:c r="C849" s="33" t="str">
        <x:v>Active=Yes; Remarks=Remove inactive users promptly.</x:v>
      </x:c>
      <x:c r="D849" s="33" t="str">
        <x:v>Active=No; Remarks=P-3 QUARANTINED: Generic State/local/permit/reference rows, penalty-only/fabricated DAMR extractions, and future-effective DPDP duties are not current production obligations.</x:v>
      </x:c>
      <x:c r="E849" s="33" t="str">
        <x:v>RECLASSIFY / QUARANTINE</x:v>
      </x:c>
      <x:c r="F849" s="33" t="str">
        <x:v>Generic State/local/permit/reference rows, penalty-only/fabricated DAMR extractions, and future-effective DPDP duties are not current production obligations.</x:v>
      </x:c>
      <x:c r="G849" s="33" t="str">
        <x:v>P-3 chain reconciliation</x:v>
      </x:c>
      <x:c r="H849" s="33" t="str">
        <x:v>https://www.meity.gov.in/documents/act-and-policies/digital-personal-data-protection-rules-2025-gDOxUjMtQWa | https://consumeraffairs.nic.in/acts-and-rules/consumer-protection/consumer-protection | P3 Jurisdiction Register</x:v>
      </x:c>
      <x:c r="I849" s="33" t="str">
        <x:v>P-3</x:v>
      </x:c>
      <x:c r="J849" s="33" t="str">
        <x:v>2026-08-20</x:v>
      </x:c>
      <x:c r="K849" s="33" t="str">
        <x:v>Legacy IDs retained inactive; no false production obligation remains.</x:v>
      </x:c>
    </x:row>
    <x:row r="850">
      <x:c r="A850" s="33" t="str">
        <x:v>AUD396</x:v>
      </x:c>
      <x:c r="B850" s="33" t="str">
        <x:v>Audit Procedure Master</x:v>
      </x:c>
      <x:c r="C850" s="33" t="str">
        <x:v>Active=Yes; Remarks=Access should be removed promptly.</x:v>
      </x:c>
      <x:c r="D850" s="33" t="str">
        <x:v>Active=No; Remarks=P-3 QUARANTINED: Generic State/local/permit/reference rows, penalty-only/fabricated DAMR extractions, and future-effective DPDP duties are not current production obligations.</x:v>
      </x:c>
      <x:c r="E850" s="33" t="str">
        <x:v>RECLASSIFY / QUARANTINE</x:v>
      </x:c>
      <x:c r="F850" s="33" t="str">
        <x:v>Generic State/local/permit/reference rows, penalty-only/fabricated DAMR extractions, and future-effective DPDP duties are not current production obligations.</x:v>
      </x:c>
      <x:c r="G850" s="33" t="str">
        <x:v>P-3 chain reconciliation</x:v>
      </x:c>
      <x:c r="H850" s="33" t="str">
        <x:v>https://www.meity.gov.in/documents/act-and-policies/digital-personal-data-protection-rules-2025-gDOxUjMtQWa | https://consumeraffairs.nic.in/acts-and-rules/consumer-protection/consumer-protection | P3 Jurisdiction Register</x:v>
      </x:c>
      <x:c r="I850" s="33" t="str">
        <x:v>P-3</x:v>
      </x:c>
      <x:c r="J850" s="33" t="str">
        <x:v>2026-08-20</x:v>
      </x:c>
      <x:c r="K850" s="33" t="str">
        <x:v>Legacy IDs retained inactive; no false production obligation remains.</x:v>
      </x:c>
    </x:row>
    <x:row r="851">
      <x:c r="A851" s="33" t="str">
        <x:v>AUD397</x:v>
      </x:c>
      <x:c r="B851" s="33" t="str">
        <x:v>Audit Procedure Master</x:v>
      </x:c>
      <x:c r="C851" s="33" t="str">
        <x:v>Active=Yes; Remarks=Verify completeness.</x:v>
      </x:c>
      <x:c r="D851" s="33" t="str">
        <x:v>Active=No; Remarks=P-3 QUARANTINED: Generic State/local/permit/reference rows, penalty-only/fabricated DAMR extractions, and future-effective DPDP duties are not current production obligations.</x:v>
      </x:c>
      <x:c r="E851" s="33" t="str">
        <x:v>RECLASSIFY / QUARANTINE</x:v>
      </x:c>
      <x:c r="F851" s="33" t="str">
        <x:v>Generic State/local/permit/reference rows, penalty-only/fabricated DAMR extractions, and future-effective DPDP duties are not current production obligations.</x:v>
      </x:c>
      <x:c r="G851" s="33" t="str">
        <x:v>P-3 chain reconciliation</x:v>
      </x:c>
      <x:c r="H851" s="33" t="str">
        <x:v>https://www.meity.gov.in/documents/act-and-policies/digital-personal-data-protection-rules-2025-gDOxUjMtQWa | https://consumeraffairs.nic.in/acts-and-rules/consumer-protection/consumer-protection | P3 Jurisdiction Register</x:v>
      </x:c>
      <x:c r="I851" s="33" t="str">
        <x:v>P-3</x:v>
      </x:c>
      <x:c r="J851" s="33" t="str">
        <x:v>2026-08-20</x:v>
      </x:c>
      <x:c r="K851" s="33" t="str">
        <x:v>Legacy IDs retained inactive; no false production obligation remains.</x:v>
      </x:c>
    </x:row>
    <x:row r="852">
      <x:c r="A852" s="33" t="str">
        <x:v>AUD408</x:v>
      </x:c>
      <x:c r="B852" s="33" t="str">
        <x:v>Audit Procedure Master</x:v>
      </x:c>
      <x:c r="C852" s="33" t="str">
        <x:v>Active=Yes; Remarks=Attendance should be documented.</x:v>
      </x:c>
      <x:c r="D852" s="33" t="str">
        <x:v>Active=No; Remarks=P-3 QUARANTINED: Generic State/local/permit/reference rows, penalty-only/fabricated DAMR extractions, and future-effective DPDP duties are not current production obligations.</x:v>
      </x:c>
      <x:c r="E852" s="33" t="str">
        <x:v>RECLASSIFY / QUARANTINE</x:v>
      </x:c>
      <x:c r="F852" s="33" t="str">
        <x:v>Generic State/local/permit/reference rows, penalty-only/fabricated DAMR extractions, and future-effective DPDP duties are not current production obligations.</x:v>
      </x:c>
      <x:c r="G852" s="33" t="str">
        <x:v>P-3 chain reconciliation</x:v>
      </x:c>
      <x:c r="H852" s="33" t="str">
        <x:v>https://www.meity.gov.in/documents/act-and-policies/digital-personal-data-protection-rules-2025-gDOxUjMtQWa | https://consumeraffairs.nic.in/acts-and-rules/consumer-protection/consumer-protection | P3 Jurisdiction Register</x:v>
      </x:c>
      <x:c r="I852" s="33" t="str">
        <x:v>P-3</x:v>
      </x:c>
      <x:c r="J852" s="33" t="str">
        <x:v>2026-08-20</x:v>
      </x:c>
      <x:c r="K852" s="33" t="str">
        <x:v>Legacy IDs retained inactive; no false production obligation remains.</x:v>
      </x:c>
    </x:row>
    <x:row r="853">
      <x:c r="A853" s="33" t="str">
        <x:v>AUD409</x:v>
      </x:c>
      <x:c r="B853" s="33" t="str">
        <x:v>Audit Procedure Master</x:v>
      </x:c>
      <x:c r="C853" s="33" t="str">
        <x:v>Active=Yes; Remarks=Assess awareness level.</x:v>
      </x:c>
      <x:c r="D853" s="33" t="str">
        <x:v>Active=No; Remarks=P-3 QUARANTINED: Generic State/local/permit/reference rows, penalty-only/fabricated DAMR extractions, and future-effective DPDP duties are not current production obligations.</x:v>
      </x:c>
      <x:c r="E853" s="33" t="str">
        <x:v>RECLASSIFY / QUARANTINE</x:v>
      </x:c>
      <x:c r="F853" s="33" t="str">
        <x:v>Generic State/local/permit/reference rows, penalty-only/fabricated DAMR extractions, and future-effective DPDP duties are not current production obligations.</x:v>
      </x:c>
      <x:c r="G853" s="33" t="str">
        <x:v>P-3 chain reconciliation</x:v>
      </x:c>
      <x:c r="H853" s="33" t="str">
        <x:v>https://www.meity.gov.in/documents/act-and-policies/digital-personal-data-protection-rules-2025-gDOxUjMtQWa | https://consumeraffairs.nic.in/acts-and-rules/consumer-protection/consumer-protection | P3 Jurisdiction Register</x:v>
      </x:c>
      <x:c r="I853" s="33" t="str">
        <x:v>P-3</x:v>
      </x:c>
      <x:c r="J853" s="33" t="str">
        <x:v>2026-08-20</x:v>
      </x:c>
      <x:c r="K853" s="33" t="str">
        <x:v>Legacy IDs retained inactive; no false production obligation remains.</x:v>
      </x:c>
    </x:row>
    <x:row r="854">
      <x:c r="A854" s="33" t="str">
        <x:v>AUD410</x:v>
      </x:c>
      <x:c r="B854" s="33" t="str">
        <x:v>Audit Procedure Master</x:v>
      </x:c>
      <x:c r="C854" s="33" t="str">
        <x:v>Active=Yes; Remarks=KPI reports should be available.</x:v>
      </x:c>
      <x:c r="D854" s="33" t="str">
        <x:v>Active=No; Remarks=P-3 QUARANTINED: Generic State/local/permit/reference rows, penalty-only/fabricated DAMR extractions, and future-effective DPDP duties are not current production obligations.</x:v>
      </x:c>
      <x:c r="E854" s="33" t="str">
        <x:v>RECLASSIFY / QUARANTINE</x:v>
      </x:c>
      <x:c r="F854" s="33" t="str">
        <x:v>Generic State/local/permit/reference rows, penalty-only/fabricated DAMR extractions, and future-effective DPDP duties are not current production obligations.</x:v>
      </x:c>
      <x:c r="G854" s="33" t="str">
        <x:v>P-3 chain reconciliation</x:v>
      </x:c>
      <x:c r="H854" s="33" t="str">
        <x:v>https://www.meity.gov.in/documents/act-and-policies/digital-personal-data-protection-rules-2025-gDOxUjMtQWa | https://consumeraffairs.nic.in/acts-and-rules/consumer-protection/consumer-protection | P3 Jurisdiction Register</x:v>
      </x:c>
      <x:c r="I854" s="33" t="str">
        <x:v>P-3</x:v>
      </x:c>
      <x:c r="J854" s="33" t="str">
        <x:v>2026-08-20</x:v>
      </x:c>
      <x:c r="K854" s="33" t="str">
        <x:v>Legacy IDs retained inactive; no false production obligation remains.</x:v>
      </x:c>
    </x:row>
    <x:row r="855">
      <x:c r="A855" s="33" t="str">
        <x:v>AUD411</x:v>
      </x:c>
      <x:c r="B855" s="33" t="str">
        <x:v>Audit Procedure Master</x:v>
      </x:c>
      <x:c r="C855" s="33" t="str">
        <x:v>Active=Yes; Remarks=Follow-up actions should be tracked.</x:v>
      </x:c>
      <x:c r="D855" s="33" t="str">
        <x:v>Active=No; Remarks=P-3 QUARANTINED: Generic State/local/permit/reference rows, penalty-only/fabricated DAMR extractions, and future-effective DPDP duties are not current production obligations.</x:v>
      </x:c>
      <x:c r="E855" s="33" t="str">
        <x:v>RECLASSIFY / QUARANTINE</x:v>
      </x:c>
      <x:c r="F855" s="33" t="str">
        <x:v>Generic State/local/permit/reference rows, penalty-only/fabricated DAMR extractions, and future-effective DPDP duties are not current production obligations.</x:v>
      </x:c>
      <x:c r="G855" s="33" t="str">
        <x:v>P-3 chain reconciliation</x:v>
      </x:c>
      <x:c r="H855" s="33" t="str">
        <x:v>https://www.meity.gov.in/documents/act-and-policies/digital-personal-data-protection-rules-2025-gDOxUjMtQWa | https://consumeraffairs.nic.in/acts-and-rules/consumer-protection/consumer-protection | P3 Jurisdiction Register</x:v>
      </x:c>
      <x:c r="I855" s="33" t="str">
        <x:v>P-3</x:v>
      </x:c>
      <x:c r="J855" s="33" t="str">
        <x:v>2026-08-20</x:v>
      </x:c>
      <x:c r="K855" s="33" t="str">
        <x:v>Legacy IDs retained inactive; no false production obligation remains.</x:v>
      </x:c>
    </x:row>
    <x:row r="856">
      <x:c r="A856" s="33" t="str">
        <x:v>AUD412</x:v>
      </x:c>
      <x:c r="B856" s="33" t="str">
        <x:v>Audit Procedure Master</x:v>
      </x:c>
      <x:c r="C856" s="33" t="str">
        <x:v>Active=Yes; Remarks=Audit plan should include HR compliance.</x:v>
      </x:c>
      <x:c r="D856" s="33" t="str">
        <x:v>Active=No; Remarks=P-3 QUARANTINED: Generic State/local/permit/reference rows, penalty-only/fabricated DAMR extractions, and future-effective DPDP duties are not current production obligations.</x:v>
      </x:c>
      <x:c r="E856" s="33" t="str">
        <x:v>RECLASSIFY / QUARANTINE</x:v>
      </x:c>
      <x:c r="F856" s="33" t="str">
        <x:v>Generic State/local/permit/reference rows, penalty-only/fabricated DAMR extractions, and future-effective DPDP duties are not current production obligations.</x:v>
      </x:c>
      <x:c r="G856" s="33" t="str">
        <x:v>P-3 chain reconciliation</x:v>
      </x:c>
      <x:c r="H856" s="33" t="str">
        <x:v>https://www.meity.gov.in/documents/act-and-policies/digital-personal-data-protection-rules-2025-gDOxUjMtQWa | https://consumeraffairs.nic.in/acts-and-rules/consumer-protection/consumer-protection | P3 Jurisdiction Register</x:v>
      </x:c>
      <x:c r="I856" s="33" t="str">
        <x:v>P-3</x:v>
      </x:c>
      <x:c r="J856" s="33" t="str">
        <x:v>2026-08-20</x:v>
      </x:c>
      <x:c r="K856" s="33" t="str">
        <x:v>Legacy IDs retained inactive; no false production obligation remains.</x:v>
      </x:c>
    </x:row>
    <x:row r="857">
      <x:c r="A857" s="33" t="str">
        <x:v>AUD413</x:v>
      </x:c>
      <x:c r="B857" s="33" t="str">
        <x:v>Audit Procedure Master</x:v>
      </x:c>
      <x:c r="C857" s="33" t="str">
        <x:v>Active=Yes; Remarks=Verify effective closure.</x:v>
      </x:c>
      <x:c r="D857" s="33" t="str">
        <x:v>Active=No; Remarks=P-3 QUARANTINED: Generic State/local/permit/reference rows, penalty-only/fabricated DAMR extractions, and future-effective DPDP duties are not current production obligations.</x:v>
      </x:c>
      <x:c r="E857" s="33" t="str">
        <x:v>RECLASSIFY / QUARANTINE</x:v>
      </x:c>
      <x:c r="F857" s="33" t="str">
        <x:v>Generic State/local/permit/reference rows, penalty-only/fabricated DAMR extractions, and future-effective DPDP duties are not current production obligations.</x:v>
      </x:c>
      <x:c r="G857" s="33" t="str">
        <x:v>P-3 chain reconciliation</x:v>
      </x:c>
      <x:c r="H857" s="33" t="str">
        <x:v>https://www.meity.gov.in/documents/act-and-policies/digital-personal-data-protection-rules-2025-gDOxUjMtQWa | https://consumeraffairs.nic.in/acts-and-rules/consumer-protection/consumer-protection | P3 Jurisdiction Register</x:v>
      </x:c>
      <x:c r="I857" s="33" t="str">
        <x:v>P-3</x:v>
      </x:c>
      <x:c r="J857" s="33" t="str">
        <x:v>2026-08-20</x:v>
      </x:c>
      <x:c r="K857" s="33" t="str">
        <x:v>Legacy IDs retained inactive; no false production obligation remains.</x:v>
      </x:c>
    </x:row>
    <x:row r="858">
      <x:c r="A858" s="33" t="str">
        <x:v>AUD414</x:v>
      </x:c>
      <x:c r="B858" s="33" t="str">
        <x:v>Audit Procedure Master</x:v>
      </x:c>
      <x:c r="C858" s="33" t="str">
        <x:v>Active=Yes; Remarks=Perform end-to-end personnel compliance review.</x:v>
      </x:c>
      <x:c r="D858" s="33" t="str">
        <x:v>Active=No; Remarks=P-3 QUARANTINED: Generic State/local/permit/reference rows, penalty-only/fabricated DAMR extractions, and future-effective DPDP duties are not current production obligations.</x:v>
      </x:c>
      <x:c r="E858" s="33" t="str">
        <x:v>RECLASSIFY / QUARANTINE</x:v>
      </x:c>
      <x:c r="F858" s="33" t="str">
        <x:v>Generic State/local/permit/reference rows, penalty-only/fabricated DAMR extractions, and future-effective DPDP duties are not current production obligations.</x:v>
      </x:c>
      <x:c r="G858" s="33" t="str">
        <x:v>P-3 chain reconciliation</x:v>
      </x:c>
      <x:c r="H858" s="33" t="str">
        <x:v>https://www.meity.gov.in/documents/act-and-policies/digital-personal-data-protection-rules-2025-gDOxUjMtQWa | https://consumeraffairs.nic.in/acts-and-rules/consumer-protection/consumer-protection | P3 Jurisdiction Register</x:v>
      </x:c>
      <x:c r="I858" s="33" t="str">
        <x:v>P-3</x:v>
      </x:c>
      <x:c r="J858" s="33" t="str">
        <x:v>2026-08-20</x:v>
      </x:c>
      <x:c r="K858" s="33" t="str">
        <x:v>Legacy IDs retained inactive; no false production obligation remains.</x:v>
      </x:c>
    </x:row>
    <x:row r="859">
      <x:c r="A859" s="33" t="str">
        <x:v>AUD415</x:v>
      </x:c>
      <x:c r="B859" s="33" t="str">
        <x:v>Audit Procedure Master</x:v>
      </x:c>
      <x:c r="C859" s="33" t="str">
        <x:v>Active=Yes; Remarks=Select representative employee files.</x:v>
      </x:c>
      <x:c r="D859" s="33" t="str">
        <x:v>Active=No; Remarks=P-3 QUARANTINED: Generic State/local/permit/reference rows, penalty-only/fabricated DAMR extractions, and future-effective DPDP duties are not current production obligations.</x:v>
      </x:c>
      <x:c r="E859" s="33" t="str">
        <x:v>RECLASSIFY / QUARANTINE</x:v>
      </x:c>
      <x:c r="F859" s="33" t="str">
        <x:v>Generic State/local/permit/reference rows, penalty-only/fabricated DAMR extractions, and future-effective DPDP duties are not current production obligations.</x:v>
      </x:c>
      <x:c r="G859" s="33" t="str">
        <x:v>P-3 chain reconciliation</x:v>
      </x:c>
      <x:c r="H859" s="33" t="str">
        <x:v>https://www.meity.gov.in/documents/act-and-policies/digital-personal-data-protection-rules-2025-gDOxUjMtQWa | https://consumeraffairs.nic.in/acts-and-rules/consumer-protection/consumer-protection | P3 Jurisdiction Register</x:v>
      </x:c>
      <x:c r="I859" s="33" t="str">
        <x:v>P-3</x:v>
      </x:c>
      <x:c r="J859" s="33" t="str">
        <x:v>2026-08-20</x:v>
      </x:c>
      <x:c r="K859" s="33" t="str">
        <x:v>Legacy IDs retained inactive; no false production obligation remains.</x:v>
      </x:c>
    </x:row>
    <x:row r="860">
      <x:c r="A860" s="33" t="str">
        <x:v>AUD416</x:v>
      </x:c>
      <x:c r="B860" s="33" t="str">
        <x:v>Audit Procedure Master</x:v>
      </x:c>
      <x:c r="C860" s="33" t="str">
        <x:v>Active=Yes; Remarks=Identify compliance gaps.</x:v>
      </x:c>
      <x:c r="D860" s="33" t="str">
        <x:v>Active=No; Remarks=P-3 QUARANTINED: Generic State/local/permit/reference rows, penalty-only/fabricated DAMR extractions, and future-effective DPDP duties are not current production obligations.</x:v>
      </x:c>
      <x:c r="E860" s="33" t="str">
        <x:v>RECLASSIFY / QUARANTINE</x:v>
      </x:c>
      <x:c r="F860" s="33" t="str">
        <x:v>Generic State/local/permit/reference rows, penalty-only/fabricated DAMR extractions, and future-effective DPDP duties are not current production obligations.</x:v>
      </x:c>
      <x:c r="G860" s="33" t="str">
        <x:v>P-3 chain reconciliation</x:v>
      </x:c>
      <x:c r="H860" s="33" t="str">
        <x:v>https://www.meity.gov.in/documents/act-and-policies/digital-personal-data-protection-rules-2025-gDOxUjMtQWa | https://consumeraffairs.nic.in/acts-and-rules/consumer-protection/consumer-protection | P3 Jurisdiction Register</x:v>
      </x:c>
      <x:c r="I860" s="33" t="str">
        <x:v>P-3</x:v>
      </x:c>
      <x:c r="J860" s="33" t="str">
        <x:v>2026-08-20</x:v>
      </x:c>
      <x:c r="K860" s="33" t="str">
        <x:v>Legacy IDs retained inactive; no false production obligation remains.</x:v>
      </x:c>
    </x:row>
    <x:row r="861">
      <x:c r="A861" s="33" t="str">
        <x:v>AUD417</x:v>
      </x:c>
      <x:c r="B861" s="33" t="str">
        <x:v>Audit Procedure Master</x:v>
      </x:c>
      <x:c r="C861" s="33" t="str">
        <x:v>Active=Yes; Remarks=Document audit conclusions and recommendations.</x:v>
      </x:c>
      <x:c r="D861" s="33" t="str">
        <x:v>Active=No; Remarks=P-3 QUARANTINED: Generic State/local/permit/reference rows, penalty-only/fabricated DAMR extractions, and future-effective DPDP duties are not current production obligations.</x:v>
      </x:c>
      <x:c r="E861" s="33" t="str">
        <x:v>RECLASSIFY / QUARANTINE</x:v>
      </x:c>
      <x:c r="F861" s="33" t="str">
        <x:v>Generic State/local/permit/reference rows, penalty-only/fabricated DAMR extractions, and future-effective DPDP duties are not current production obligations.</x:v>
      </x:c>
      <x:c r="G861" s="33" t="str">
        <x:v>P-3 chain reconciliation</x:v>
      </x:c>
      <x:c r="H861" s="33" t="str">
        <x:v>https://www.meity.gov.in/documents/act-and-policies/digital-personal-data-protection-rules-2025-gDOxUjMtQWa | https://consumeraffairs.nic.in/acts-and-rules/consumer-protection/consumer-protection | P3 Jurisdiction Register</x:v>
      </x:c>
      <x:c r="I861" s="33" t="str">
        <x:v>P-3</x:v>
      </x:c>
      <x:c r="J861" s="33" t="str">
        <x:v>2026-08-20</x:v>
      </x:c>
      <x:c r="K861" s="33" t="str">
        <x:v>Legacy IDs retained inactive; no false production obligation remains.</x:v>
      </x:c>
    </x:row>
    <x:row r="862">
      <x:c r="A862" s="33" t="str">
        <x:v>AUD436</x:v>
      </x:c>
      <x:c r="B862" s="33" t="str">
        <x:v>Audit Procedure Master</x:v>
      </x:c>
      <x:c r="C862" s="33" t="str">
        <x:v>Active=Yes; Remarks=Original entries should remain legible.</x:v>
      </x:c>
      <x:c r="D862" s="33" t="str">
        <x:v>Active=No; Remarks=P-3 QUARANTINED: Generic State/local/permit/reference rows, penalty-only/fabricated DAMR extractions, and future-effective DPDP duties are not current production obligations.</x:v>
      </x:c>
      <x:c r="E862" s="33" t="str">
        <x:v>RECLASSIFY / QUARANTINE</x:v>
      </x:c>
      <x:c r="F862" s="33" t="str">
        <x:v>Generic State/local/permit/reference rows, penalty-only/fabricated DAMR extractions, and future-effective DPDP duties are not current production obligations.</x:v>
      </x:c>
      <x:c r="G862" s="33" t="str">
        <x:v>P-3 chain reconciliation</x:v>
      </x:c>
      <x:c r="H862" s="33" t="str">
        <x:v>https://www.meity.gov.in/documents/act-and-policies/digital-personal-data-protection-rules-2025-gDOxUjMtQWa | https://consumeraffairs.nic.in/acts-and-rules/consumer-protection/consumer-protection | P3 Jurisdiction Register</x:v>
      </x:c>
      <x:c r="I862" s="33" t="str">
        <x:v>P-3</x:v>
      </x:c>
      <x:c r="J862" s="33" t="str">
        <x:v>2026-08-20</x:v>
      </x:c>
      <x:c r="K862" s="33" t="str">
        <x:v>Legacy IDs retained inactive; no false production obligation remains.</x:v>
      </x:c>
    </x:row>
    <x:row r="863">
      <x:c r="A863" s="33" t="str">
        <x:v>AUD437</x:v>
      </x:c>
      <x:c r="B863" s="33" t="str">
        <x:v>Audit Procedure Master</x:v>
      </x:c>
      <x:c r="C863" s="33" t="str">
        <x:v>Active=Yes; Remarks=Unauthorized overwriting is not permitted.</x:v>
      </x:c>
      <x:c r="D863" s="33" t="str">
        <x:v>Active=No; Remarks=P-3 QUARANTINED: Generic State/local/permit/reference rows, penalty-only/fabricated DAMR extractions, and future-effective DPDP duties are not current production obligations.</x:v>
      </x:c>
      <x:c r="E863" s="33" t="str">
        <x:v>RECLASSIFY / QUARANTINE</x:v>
      </x:c>
      <x:c r="F863" s="33" t="str">
        <x:v>Generic State/local/permit/reference rows, penalty-only/fabricated DAMR extractions, and future-effective DPDP duties are not current production obligations.</x:v>
      </x:c>
      <x:c r="G863" s="33" t="str">
        <x:v>P-3 chain reconciliation</x:v>
      </x:c>
      <x:c r="H863" s="33" t="str">
        <x:v>https://www.meity.gov.in/documents/act-and-policies/digital-personal-data-protection-rules-2025-gDOxUjMtQWa | https://consumeraffairs.nic.in/acts-and-rules/consumer-protection/consumer-protection | P3 Jurisdiction Register</x:v>
      </x:c>
      <x:c r="I863" s="33" t="str">
        <x:v>P-3</x:v>
      </x:c>
      <x:c r="J863" s="33" t="str">
        <x:v>2026-08-20</x:v>
      </x:c>
      <x:c r="K863" s="33" t="str">
        <x:v>Legacy IDs retained inactive; no false production obligation remains.</x:v>
      </x:c>
    </x:row>
    <x:row r="864">
      <x:c r="A864" s="33" t="str">
        <x:v>AUD438</x:v>
      </x:c>
      <x:c r="B864" s="33" t="str">
        <x:v>Audit Procedure Master</x:v>
      </x:c>
      <x:c r="C864" s="33" t="str">
        <x:v>Active=Yes; Remarks=Audit trails should not be disabled.</x:v>
      </x:c>
      <x:c r="D864" s="33" t="str">
        <x:v>Active=No; Remarks=P-3 QUARANTINED: Generic State/local/permit/reference rows, penalty-only/fabricated DAMR extractions, and future-effective DPDP duties are not current production obligations.</x:v>
      </x:c>
      <x:c r="E864" s="33" t="str">
        <x:v>RECLASSIFY / QUARANTINE</x:v>
      </x:c>
      <x:c r="F864" s="33" t="str">
        <x:v>Generic State/local/permit/reference rows, penalty-only/fabricated DAMR extractions, and future-effective DPDP duties are not current production obligations.</x:v>
      </x:c>
      <x:c r="G864" s="33" t="str">
        <x:v>P-3 chain reconciliation</x:v>
      </x:c>
      <x:c r="H864" s="33" t="str">
        <x:v>https://www.meity.gov.in/documents/act-and-policies/digital-personal-data-protection-rules-2025-gDOxUjMtQWa | https://consumeraffairs.nic.in/acts-and-rules/consumer-protection/consumer-protection | P3 Jurisdiction Register</x:v>
      </x:c>
      <x:c r="I864" s="33" t="str">
        <x:v>P-3</x:v>
      </x:c>
      <x:c r="J864" s="33" t="str">
        <x:v>2026-08-20</x:v>
      </x:c>
      <x:c r="K864" s="33" t="str">
        <x:v>Legacy IDs retained inactive; no false production obligation remains.</x:v>
      </x:c>
    </x:row>
    <x:row r="865">
      <x:c r="A865" s="33" t="str">
        <x:v>AUD439</x:v>
      </x:c>
      <x:c r="B865" s="33" t="str">
        <x:v>Audit Procedure Master</x:v>
      </x:c>
      <x:c r="C865" s="33" t="str">
        <x:v>Active=Yes; Remarks=Investigate unauthorized modifications.</x:v>
      </x:c>
      <x:c r="D865" s="33" t="str">
        <x:v>Active=No; Remarks=P-3 QUARANTINED: Generic State/local/permit/reference rows, penalty-only/fabricated DAMR extractions, and future-effective DPDP duties are not current production obligations.</x:v>
      </x:c>
      <x:c r="E865" s="33" t="str">
        <x:v>RECLASSIFY / QUARANTINE</x:v>
      </x:c>
      <x:c r="F865" s="33" t="str">
        <x:v>Generic State/local/permit/reference rows, penalty-only/fabricated DAMR extractions, and future-effective DPDP duties are not current production obligations.</x:v>
      </x:c>
      <x:c r="G865" s="33" t="str">
        <x:v>P-3 chain reconciliation</x:v>
      </x:c>
      <x:c r="H865" s="33" t="str">
        <x:v>https://www.meity.gov.in/documents/act-and-policies/digital-personal-data-protection-rules-2025-gDOxUjMtQWa | https://consumeraffairs.nic.in/acts-and-rules/consumer-protection/consumer-protection | P3 Jurisdiction Register</x:v>
      </x:c>
      <x:c r="I865" s="33" t="str">
        <x:v>P-3</x:v>
      </x:c>
      <x:c r="J865" s="33" t="str">
        <x:v>2026-08-20</x:v>
      </x:c>
      <x:c r="K865" s="33" t="str">
        <x:v>Legacy IDs retained inactive; no false production obligation remains.</x:v>
      </x:c>
    </x:row>
    <x:row r="866">
      <x:c r="A866" s="33" t="str">
        <x:v>AUD478</x:v>
      </x:c>
      <x:c r="B866" s="33" t="str">
        <x:v>Audit Procedure Master</x:v>
      </x:c>
      <x:c r="C866" s="33" t="str">
        <x:v>Active=Yes; Remarks=Classification methodology should be consistently applied.</x:v>
      </x:c>
      <x:c r="D866" s="33" t="str">
        <x:v>Active=No; Remarks=P-3 QUARANTINED: Generic State/local/permit/reference rows, penalty-only/fabricated DAMR extractions, and future-effective DPDP duties are not current production obligations.</x:v>
      </x:c>
      <x:c r="E866" s="33" t="str">
        <x:v>RECLASSIFY / QUARANTINE</x:v>
      </x:c>
      <x:c r="F866" s="33" t="str">
        <x:v>Generic State/local/permit/reference rows, penalty-only/fabricated DAMR extractions, and future-effective DPDP duties are not current production obligations.</x:v>
      </x:c>
      <x:c r="G866" s="33" t="str">
        <x:v>P-3 chain reconciliation</x:v>
      </x:c>
      <x:c r="H866" s="33" t="str">
        <x:v>https://www.meity.gov.in/documents/act-and-policies/digital-personal-data-protection-rules-2025-gDOxUjMtQWa | https://consumeraffairs.nic.in/acts-and-rules/consumer-protection/consumer-protection | P3 Jurisdiction Register</x:v>
      </x:c>
      <x:c r="I866" s="33" t="str">
        <x:v>P-3</x:v>
      </x:c>
      <x:c r="J866" s="33" t="str">
        <x:v>2026-08-20</x:v>
      </x:c>
      <x:c r="K866" s="33" t="str">
        <x:v>Legacy IDs retained inactive; no false production obligation remains.</x:v>
      </x:c>
    </x:row>
    <x:row r="867">
      <x:c r="A867" s="33" t="str">
        <x:v>AUD479</x:v>
      </x:c>
      <x:c r="B867" s="33" t="str">
        <x:v>Audit Procedure Master</x:v>
      </x:c>
      <x:c r="C867" s="33" t="str">
        <x:v>Active=Yes; Remarks=Verify consistency of ratings.</x:v>
      </x:c>
      <x:c r="D867" s="33" t="str">
        <x:v>Active=No; Remarks=P-3 QUARANTINED: Generic State/local/permit/reference rows, penalty-only/fabricated DAMR extractions, and future-effective DPDP duties are not current production obligations.</x:v>
      </x:c>
      <x:c r="E867" s="33" t="str">
        <x:v>RECLASSIFY / QUARANTINE</x:v>
      </x:c>
      <x:c r="F867" s="33" t="str">
        <x:v>Generic State/local/permit/reference rows, penalty-only/fabricated DAMR extractions, and future-effective DPDP duties are not current production obligations.</x:v>
      </x:c>
      <x:c r="G867" s="33" t="str">
        <x:v>P-3 chain reconciliation</x:v>
      </x:c>
      <x:c r="H867" s="33" t="str">
        <x:v>https://www.meity.gov.in/documents/act-and-policies/digital-personal-data-protection-rules-2025-gDOxUjMtQWa | https://consumeraffairs.nic.in/acts-and-rules/consumer-protection/consumer-protection | P3 Jurisdiction Register</x:v>
      </x:c>
      <x:c r="I867" s="33" t="str">
        <x:v>P-3</x:v>
      </x:c>
      <x:c r="J867" s="33" t="str">
        <x:v>2026-08-20</x:v>
      </x:c>
      <x:c r="K867" s="33" t="str">
        <x:v>Legacy IDs retained inactive; no false production obligation remains.</x:v>
      </x:c>
    </x:row>
    <x:row r="868">
      <x:c r="A868" s="33" t="str">
        <x:v>AUD480</x:v>
      </x:c>
      <x:c r="B868" s="33" t="str">
        <x:v>Audit Procedure Master</x:v>
      </x:c>
      <x:c r="C868" s="33" t="str">
        <x:v>Active=Yes; Remarks=Delayed reports should be justified.</x:v>
      </x:c>
      <x:c r="D868" s="33" t="str">
        <x:v>Active=No; Remarks=P-3 QUARANTINED: Generic State/local/permit/reference rows, penalty-only/fabricated DAMR extractions, and future-effective DPDP duties are not current production obligations.</x:v>
      </x:c>
      <x:c r="E868" s="33" t="str">
        <x:v>RECLASSIFY / QUARANTINE</x:v>
      </x:c>
      <x:c r="F868" s="33" t="str">
        <x:v>Generic State/local/permit/reference rows, penalty-only/fabricated DAMR extractions, and future-effective DPDP duties are not current production obligations.</x:v>
      </x:c>
      <x:c r="G868" s="33" t="str">
        <x:v>P-3 chain reconciliation</x:v>
      </x:c>
      <x:c r="H868" s="33" t="str">
        <x:v>https://www.meity.gov.in/documents/act-and-policies/digital-personal-data-protection-rules-2025-gDOxUjMtQWa | https://consumeraffairs.nic.in/acts-and-rules/consumer-protection/consumer-protection | P3 Jurisdiction Register</x:v>
      </x:c>
      <x:c r="I868" s="33" t="str">
        <x:v>P-3</x:v>
      </x:c>
      <x:c r="J868" s="33" t="str">
        <x:v>2026-08-20</x:v>
      </x:c>
      <x:c r="K868" s="33" t="str">
        <x:v>Legacy IDs retained inactive; no false production obligation remains.</x:v>
      </x:c>
    </x:row>
    <x:row r="869">
      <x:c r="A869" s="33" t="str">
        <x:v>AUD481</x:v>
      </x:c>
      <x:c r="B869" s="33" t="str">
        <x:v>Audit Procedure Master</x:v>
      </x:c>
      <x:c r="C869" s="33" t="str">
        <x:v>Active=Yes; Remarks=Measure reporting timeliness.</x:v>
      </x:c>
      <x:c r="D869" s="33" t="str">
        <x:v>Active=No; Remarks=P-3 QUARANTINED: Generic State/local/permit/reference rows, penalty-only/fabricated DAMR extractions, and future-effective DPDP duties are not current production obligations.</x:v>
      </x:c>
      <x:c r="E869" s="33" t="str">
        <x:v>RECLASSIFY / QUARANTINE</x:v>
      </x:c>
      <x:c r="F869" s="33" t="str">
        <x:v>Generic State/local/permit/reference rows, penalty-only/fabricated DAMR extractions, and future-effective DPDP duties are not current production obligations.</x:v>
      </x:c>
      <x:c r="G869" s="33" t="str">
        <x:v>P-3 chain reconciliation</x:v>
      </x:c>
      <x:c r="H869" s="33" t="str">
        <x:v>https://www.meity.gov.in/documents/act-and-policies/digital-personal-data-protection-rules-2025-gDOxUjMtQWa | https://consumeraffairs.nic.in/acts-and-rules/consumer-protection/consumer-protection | P3 Jurisdiction Register</x:v>
      </x:c>
      <x:c r="I869" s="33" t="str">
        <x:v>P-3</x:v>
      </x:c>
      <x:c r="J869" s="33" t="str">
        <x:v>2026-08-20</x:v>
      </x:c>
      <x:c r="K869" s="33" t="str">
        <x:v>Legacy IDs retained inactive; no false production obligation remains.</x:v>
      </x:c>
    </x:row>
    <x:row r="870">
      <x:c r="A870" s="33" t="str">
        <x:v>AUD482</x:v>
      </x:c>
      <x:c r="B870" s="33" t="str">
        <x:v>Audit Procedure Master</x:v>
      </x:c>
      <x:c r="C870" s="33" t="str">
        <x:v>Active=Yes; Remarks=Responses should include action owners and timelines.</x:v>
      </x:c>
      <x:c r="D870" s="33" t="str">
        <x:v>Active=No; Remarks=P-3 QUARANTINED: Generic State/local/permit/reference rows, penalty-only/fabricated DAMR extractions, and future-effective DPDP duties are not current production obligations.</x:v>
      </x:c>
      <x:c r="E870" s="33" t="str">
        <x:v>RECLASSIFY / QUARANTINE</x:v>
      </x:c>
      <x:c r="F870" s="33" t="str">
        <x:v>Generic State/local/permit/reference rows, penalty-only/fabricated DAMR extractions, and future-effective DPDP duties are not current production obligations.</x:v>
      </x:c>
      <x:c r="G870" s="33" t="str">
        <x:v>P-3 chain reconciliation</x:v>
      </x:c>
      <x:c r="H870" s="33" t="str">
        <x:v>https://www.meity.gov.in/documents/act-and-policies/digital-personal-data-protection-rules-2025-gDOxUjMtQWa | https://consumeraffairs.nic.in/acts-and-rules/consumer-protection/consumer-protection | P3 Jurisdiction Register</x:v>
      </x:c>
      <x:c r="I870" s="33" t="str">
        <x:v>P-3</x:v>
      </x:c>
      <x:c r="J870" s="33" t="str">
        <x:v>2026-08-20</x:v>
      </x:c>
      <x:c r="K870" s="33" t="str">
        <x:v>Legacy IDs retained inactive; no false production obligation remains.</x:v>
      </x:c>
    </x:row>
    <x:row r="871">
      <x:c r="A871" s="33" t="str">
        <x:v>AUD483</x:v>
      </x:c>
      <x:c r="B871" s="33" t="str">
        <x:v>Audit Procedure Master</x:v>
      </x:c>
      <x:c r="C871" s="33" t="str">
        <x:v>Active=Yes; Remarks=Responses should address root causes.</x:v>
      </x:c>
      <x:c r="D871" s="33" t="str">
        <x:v>Active=No; Remarks=P-3 QUARANTINED: Generic State/local/permit/reference rows, penalty-only/fabricated DAMR extractions, and future-effective DPDP duties are not current production obligations.</x:v>
      </x:c>
      <x:c r="E871" s="33" t="str">
        <x:v>RECLASSIFY / QUARANTINE</x:v>
      </x:c>
      <x:c r="F871" s="33" t="str">
        <x:v>Generic State/local/permit/reference rows, penalty-only/fabricated DAMR extractions, and future-effective DPDP duties are not current production obligations.</x:v>
      </x:c>
      <x:c r="G871" s="33" t="str">
        <x:v>P-3 chain reconciliation</x:v>
      </x:c>
      <x:c r="H871" s="33" t="str">
        <x:v>https://www.meity.gov.in/documents/act-and-policies/digital-personal-data-protection-rules-2025-gDOxUjMtQWa | https://consumeraffairs.nic.in/acts-and-rules/consumer-protection/consumer-protection | P3 Jurisdiction Register</x:v>
      </x:c>
      <x:c r="I871" s="33" t="str">
        <x:v>P-3</x:v>
      </x:c>
      <x:c r="J871" s="33" t="str">
        <x:v>2026-08-20</x:v>
      </x:c>
      <x:c r="K871" s="33" t="str">
        <x:v>Legacy IDs retained inactive; no false production obligation remains.</x:v>
      </x:c>
    </x:row>
    <x:row r="872">
      <x:c r="A872" s="33" t="str">
        <x:v>AUD484</x:v>
      </x:c>
      <x:c r="B872" s="33" t="str">
        <x:v>Audit Procedure Master</x:v>
      </x:c>
      <x:c r="C872" s="33" t="str">
        <x:v>Active=Yes; Remarks=Track overdue CAPA items.</x:v>
      </x:c>
      <x:c r="D872" s="33" t="str">
        <x:v>Active=No; Remarks=P-3 QUARANTINED: Generic State/local/permit/reference rows, penalty-only/fabricated DAMR extractions, and future-effective DPDP duties are not current production obligations.</x:v>
      </x:c>
      <x:c r="E872" s="33" t="str">
        <x:v>RECLASSIFY / QUARANTINE</x:v>
      </x:c>
      <x:c r="F872" s="33" t="str">
        <x:v>Generic State/local/permit/reference rows, penalty-only/fabricated DAMR extractions, and future-effective DPDP duties are not current production obligations.</x:v>
      </x:c>
      <x:c r="G872" s="33" t="str">
        <x:v>P-3 chain reconciliation</x:v>
      </x:c>
      <x:c r="H872" s="33" t="str">
        <x:v>https://www.meity.gov.in/documents/act-and-policies/digital-personal-data-protection-rules-2025-gDOxUjMtQWa | https://consumeraffairs.nic.in/acts-and-rules/consumer-protection/consumer-protection | P3 Jurisdiction Register</x:v>
      </x:c>
      <x:c r="I872" s="33" t="str">
        <x:v>P-3</x:v>
      </x:c>
      <x:c r="J872" s="33" t="str">
        <x:v>2026-08-20</x:v>
      </x:c>
      <x:c r="K872" s="33" t="str">
        <x:v>Legacy IDs retained inactive; no false production obligation remains.</x:v>
      </x:c>
    </x:row>
    <x:row r="873">
      <x:c r="A873" s="33" t="str">
        <x:v>AUD485</x:v>
      </x:c>
      <x:c r="B873" s="33" t="str">
        <x:v>Audit Procedure Master</x:v>
      </x:c>
      <x:c r="C873" s="33" t="str">
        <x:v>Active=Yes; Remarks=Verify effectiveness before closure.</x:v>
      </x:c>
      <x:c r="D873" s="33" t="str">
        <x:v>Active=No; Remarks=P-3 QUARANTINED: Generic State/local/permit/reference rows, penalty-only/fabricated DAMR extractions, and future-effective DPDP duties are not current production obligations.</x:v>
      </x:c>
      <x:c r="E873" s="33" t="str">
        <x:v>RECLASSIFY / QUARANTINE</x:v>
      </x:c>
      <x:c r="F873" s="33" t="str">
        <x:v>Generic State/local/permit/reference rows, penalty-only/fabricated DAMR extractions, and future-effective DPDP duties are not current production obligations.</x:v>
      </x:c>
      <x:c r="G873" s="33" t="str">
        <x:v>P-3 chain reconciliation</x:v>
      </x:c>
      <x:c r="H873" s="33" t="str">
        <x:v>https://www.meity.gov.in/documents/act-and-policies/digital-personal-data-protection-rules-2025-gDOxUjMtQWa | https://consumeraffairs.nic.in/acts-and-rules/consumer-protection/consumer-protection | P3 Jurisdiction Register</x:v>
      </x:c>
      <x:c r="I873" s="33" t="str">
        <x:v>P-3</x:v>
      </x:c>
      <x:c r="J873" s="33" t="str">
        <x:v>2026-08-20</x:v>
      </x:c>
      <x:c r="K873" s="33" t="str">
        <x:v>Legacy IDs retained inactive; no false production obligation remains.</x:v>
      </x:c>
    </x:row>
    <x:row r="874">
      <x:c r="A874" s="33" t="str">
        <x:v>AUD486</x:v>
      </x:c>
      <x:c r="B874" s="33" t="str">
        <x:v>Audit Procedure Master</x:v>
      </x:c>
      <x:c r="C874" s="33" t="str">
        <x:v>Active=Yes; Remarks=Re-test previously identified deficiencies.</x:v>
      </x:c>
      <x:c r="D874" s="33" t="str">
        <x:v>Active=No; Remarks=P-3 QUARANTINED: Generic State/local/permit/reference rows, penalty-only/fabricated DAMR extractions, and future-effective DPDP duties are not current production obligations.</x:v>
      </x:c>
      <x:c r="E874" s="33" t="str">
        <x:v>RECLASSIFY / QUARANTINE</x:v>
      </x:c>
      <x:c r="F874" s="33" t="str">
        <x:v>Generic State/local/permit/reference rows, penalty-only/fabricated DAMR extractions, and future-effective DPDP duties are not current production obligations.</x:v>
      </x:c>
      <x:c r="G874" s="33" t="str">
        <x:v>P-3 chain reconciliation</x:v>
      </x:c>
      <x:c r="H874" s="33" t="str">
        <x:v>https://www.meity.gov.in/documents/act-and-policies/digital-personal-data-protection-rules-2025-gDOxUjMtQWa | https://consumeraffairs.nic.in/acts-and-rules/consumer-protection/consumer-protection | P3 Jurisdiction Register</x:v>
      </x:c>
      <x:c r="I874" s="33" t="str">
        <x:v>P-3</x:v>
      </x:c>
      <x:c r="J874" s="33" t="str">
        <x:v>2026-08-20</x:v>
      </x:c>
      <x:c r="K874" s="33" t="str">
        <x:v>Legacy IDs retained inactive; no false production obligation remains.</x:v>
      </x:c>
    </x:row>
    <x:row r="875">
      <x:c r="A875" s="33" t="str">
        <x:v>AUD487</x:v>
      </x:c>
      <x:c r="B875" s="33" t="str">
        <x:v>Audit Procedure Master</x:v>
      </x:c>
      <x:c r="C875" s="33" t="str">
        <x:v>Active=Yes; Remarks=Verify sustainable compliance.</x:v>
      </x:c>
      <x:c r="D875" s="33" t="str">
        <x:v>Active=No; Remarks=P-3 QUARANTINED: Generic State/local/permit/reference rows, penalty-only/fabricated DAMR extractions, and future-effective DPDP duties are not current production obligations.</x:v>
      </x:c>
      <x:c r="E875" s="33" t="str">
        <x:v>RECLASSIFY / QUARANTINE</x:v>
      </x:c>
      <x:c r="F875" s="33" t="str">
        <x:v>Generic State/local/permit/reference rows, penalty-only/fabricated DAMR extractions, and future-effective DPDP duties are not current production obligations.</x:v>
      </x:c>
      <x:c r="G875" s="33" t="str">
        <x:v>P-3 chain reconciliation</x:v>
      </x:c>
      <x:c r="H875" s="33" t="str">
        <x:v>https://www.meity.gov.in/documents/act-and-policies/digital-personal-data-protection-rules-2025-gDOxUjMtQWa | https://consumeraffairs.nic.in/acts-and-rules/consumer-protection/consumer-protection | P3 Jurisdiction Register</x:v>
      </x:c>
      <x:c r="I875" s="33" t="str">
        <x:v>P-3</x:v>
      </x:c>
      <x:c r="J875" s="33" t="str">
        <x:v>2026-08-20</x:v>
      </x:c>
      <x:c r="K875" s="33" t="str">
        <x:v>Legacy IDs retained inactive; no false production obligation remains.</x:v>
      </x:c>
    </x:row>
    <x:row r="876">
      <x:c r="A876" s="33" t="str">
        <x:v>AUD488</x:v>
      </x:c>
      <x:c r="B876" s="33" t="str">
        <x:v>Audit Procedure Master</x:v>
      </x:c>
      <x:c r="C876" s="33" t="str">
        <x:v>Active=Yes; Remarks=Trend analysis should be documented.</x:v>
      </x:c>
      <x:c r="D876" s="33" t="str">
        <x:v>Active=No; Remarks=P-3 QUARANTINED: Generic State/local/permit/reference rows, penalty-only/fabricated DAMR extractions, and future-effective DPDP duties are not current production obligations.</x:v>
      </x:c>
      <x:c r="E876" s="33" t="str">
        <x:v>RECLASSIFY / QUARANTINE</x:v>
      </x:c>
      <x:c r="F876" s="33" t="str">
        <x:v>Generic State/local/permit/reference rows, penalty-only/fabricated DAMR extractions, and future-effective DPDP duties are not current production obligations.</x:v>
      </x:c>
      <x:c r="G876" s="33" t="str">
        <x:v>P-3 chain reconciliation</x:v>
      </x:c>
      <x:c r="H876" s="33" t="str">
        <x:v>https://www.meity.gov.in/documents/act-and-policies/digital-personal-data-protection-rules-2025-gDOxUjMtQWa | https://consumeraffairs.nic.in/acts-and-rules/consumer-protection/consumer-protection | P3 Jurisdiction Register</x:v>
      </x:c>
      <x:c r="I876" s="33" t="str">
        <x:v>P-3</x:v>
      </x:c>
      <x:c r="J876" s="33" t="str">
        <x:v>2026-08-20</x:v>
      </x:c>
      <x:c r="K876" s="33" t="str">
        <x:v>Legacy IDs retained inactive; no false production obligation remains.</x:v>
      </x:c>
    </x:row>
    <x:row r="877">
      <x:c r="A877" s="33" t="str">
        <x:v>AUD489</x:v>
      </x:c>
      <x:c r="B877" s="33" t="str">
        <x:v>Audit Procedure Master</x:v>
      </x:c>
      <x:c r="C877" s="33" t="str">
        <x:v>Active=Yes; Remarks=Prevent recurrence of issues.</x:v>
      </x:c>
      <x:c r="D877" s="33" t="str">
        <x:v>Active=No; Remarks=P-3 QUARANTINED: Generic State/local/permit/reference rows, penalty-only/fabricated DAMR extractions, and future-effective DPDP duties are not current production obligations.</x:v>
      </x:c>
      <x:c r="E877" s="33" t="str">
        <x:v>RECLASSIFY / QUARANTINE</x:v>
      </x:c>
      <x:c r="F877" s="33" t="str">
        <x:v>Generic State/local/permit/reference rows, penalty-only/fabricated DAMR extractions, and future-effective DPDP duties are not current production obligations.</x:v>
      </x:c>
      <x:c r="G877" s="33" t="str">
        <x:v>P-3 chain reconciliation</x:v>
      </x:c>
      <x:c r="H877" s="33" t="str">
        <x:v>https://www.meity.gov.in/documents/act-and-policies/digital-personal-data-protection-rules-2025-gDOxUjMtQWa | https://consumeraffairs.nic.in/acts-and-rules/consumer-protection/consumer-protection | P3 Jurisdiction Register</x:v>
      </x:c>
      <x:c r="I877" s="33" t="str">
        <x:v>P-3</x:v>
      </x:c>
      <x:c r="J877" s="33" t="str">
        <x:v>2026-08-20</x:v>
      </x:c>
      <x:c r="K877" s="33" t="str">
        <x:v>Legacy IDs retained inactive; no false production obligation remains.</x:v>
      </x:c>
    </x:row>
    <x:row r="878">
      <x:c r="A878" s="33" t="str">
        <x:v>EVD115</x:v>
      </x:c>
      <x:c r="B878" s="33" t="str">
        <x:v>Evidence Master</x:v>
      </x:c>
      <x:c r="C878" s="33" t="str">
        <x:v>Active=Yes; Remarks=Approved storage procedure.</x:v>
      </x:c>
      <x:c r="D878" s="33" t="str">
        <x:v>Active=No; Remarks=P-3 QUARANTINED: Generic State/local/permit/reference rows, penalty-only/fabricated DAMR extractions, and future-effective DPDP duties are not current production obligations.</x:v>
      </x:c>
      <x:c r="E878" s="33" t="str">
        <x:v>RECLASSIFY / QUARANTINE</x:v>
      </x:c>
      <x:c r="F878" s="33" t="str">
        <x:v>Generic State/local/permit/reference rows, penalty-only/fabricated DAMR extractions, and future-effective DPDP duties are not current production obligations.</x:v>
      </x:c>
      <x:c r="G878" s="33" t="str">
        <x:v>P-3 chain reconciliation</x:v>
      </x:c>
      <x:c r="H878" s="33" t="str">
        <x:v>https://www.meity.gov.in/documents/act-and-policies/digital-personal-data-protection-rules-2025-gDOxUjMtQWa | https://consumeraffairs.nic.in/acts-and-rules/consumer-protection/consumer-protection | P3 Jurisdiction Register</x:v>
      </x:c>
      <x:c r="I878" s="33" t="str">
        <x:v>P-3</x:v>
      </x:c>
      <x:c r="J878" s="33" t="str">
        <x:v>2026-08-20</x:v>
      </x:c>
      <x:c r="K878" s="33" t="str">
        <x:v>Legacy IDs retained inactive; no false production obligation remains.</x:v>
      </x:c>
    </x:row>
    <x:row r="879">
      <x:c r="A879" s="33" t="str">
        <x:v>EVD116</x:v>
      </x:c>
      <x:c r="B879" s="33" t="str">
        <x:v>Evidence Master</x:v>
      </x:c>
      <x:c r="C879" s="33" t="str">
        <x:v>Active=Yes; Remarks=Product-specific storage requirements.</x:v>
      </x:c>
      <x:c r="D879" s="33" t="str">
        <x:v>Active=No; Remarks=P-3 QUARANTINED: Generic State/local/permit/reference rows, penalty-only/fabricated DAMR extractions, and future-effective DPDP duties are not current production obligations.</x:v>
      </x:c>
      <x:c r="E879" s="33" t="str">
        <x:v>RECLASSIFY / QUARANTINE</x:v>
      </x:c>
      <x:c r="F879" s="33" t="str">
        <x:v>Generic State/local/permit/reference rows, penalty-only/fabricated DAMR extractions, and future-effective DPDP duties are not current production obligations.</x:v>
      </x:c>
      <x:c r="G879" s="33" t="str">
        <x:v>P-3 chain reconciliation</x:v>
      </x:c>
      <x:c r="H879" s="33" t="str">
        <x:v>https://www.meity.gov.in/documents/act-and-policies/digital-personal-data-protection-rules-2025-gDOxUjMtQWa | https://consumeraffairs.nic.in/acts-and-rules/consumer-protection/consumer-protection | P3 Jurisdiction Register</x:v>
      </x:c>
      <x:c r="I879" s="33" t="str">
        <x:v>P-3</x:v>
      </x:c>
      <x:c r="J879" s="33" t="str">
        <x:v>2026-08-20</x:v>
      </x:c>
      <x:c r="K879" s="33" t="str">
        <x:v>Legacy IDs retained inactive; no false production obligation remains.</x:v>
      </x:c>
    </x:row>
    <x:row r="880">
      <x:c r="A880" s="33" t="str">
        <x:v>EVD117</x:v>
      </x:c>
      <x:c r="B880" s="33" t="str">
        <x:v>Evidence Master</x:v>
      </x:c>
      <x:c r="C880" s="33" t="str">
        <x:v>Active=Yes; Remarks=Temperature should be recorded as prescribed.</x:v>
      </x:c>
      <x:c r="D880" s="33" t="str">
        <x:v>Active=No; Remarks=P-3 QUARANTINED: Generic State/local/permit/reference rows, penalty-only/fabricated DAMR extractions, and future-effective DPDP duties are not current production obligations.</x:v>
      </x:c>
      <x:c r="E880" s="33" t="str">
        <x:v>RECLASSIFY / QUARANTINE</x:v>
      </x:c>
      <x:c r="F880" s="33" t="str">
        <x:v>Generic State/local/permit/reference rows, penalty-only/fabricated DAMR extractions, and future-effective DPDP duties are not current production obligations.</x:v>
      </x:c>
      <x:c r="G880" s="33" t="str">
        <x:v>P-3 chain reconciliation</x:v>
      </x:c>
      <x:c r="H880" s="33" t="str">
        <x:v>https://www.meity.gov.in/documents/act-and-policies/digital-personal-data-protection-rules-2025-gDOxUjMtQWa | https://consumeraffairs.nic.in/acts-and-rules/consumer-protection/consumer-protection | P3 Jurisdiction Register</x:v>
      </x:c>
      <x:c r="I880" s="33" t="str">
        <x:v>P-3</x:v>
      </x:c>
      <x:c r="J880" s="33" t="str">
        <x:v>2026-08-20</x:v>
      </x:c>
      <x:c r="K880" s="33" t="str">
        <x:v>Legacy IDs retained inactive; no false production obligation remains.</x:v>
      </x:c>
    </x:row>
    <x:row r="881">
      <x:c r="A881" s="33" t="str">
        <x:v>EVD118</x:v>
      </x:c>
      <x:c r="B881" s="33" t="str">
        <x:v>Evidence Master</x:v>
      </x:c>
      <x:c r="C881" s="33" t="str">
        <x:v>Active=Yes; Remarks=Calibration should be valid.</x:v>
      </x:c>
      <x:c r="D881" s="33" t="str">
        <x:v>Active=No; Remarks=P-3 QUARANTINED: Generic State/local/permit/reference rows, penalty-only/fabricated DAMR extractions, and future-effective DPDP duties are not current production obligations.</x:v>
      </x:c>
      <x:c r="E881" s="33" t="str">
        <x:v>RECLASSIFY / QUARANTINE</x:v>
      </x:c>
      <x:c r="F881" s="33" t="str">
        <x:v>Generic State/local/permit/reference rows, penalty-only/fabricated DAMR extractions, and future-effective DPDP duties are not current production obligations.</x:v>
      </x:c>
      <x:c r="G881" s="33" t="str">
        <x:v>P-3 chain reconciliation</x:v>
      </x:c>
      <x:c r="H881" s="33" t="str">
        <x:v>https://www.meity.gov.in/documents/act-and-policies/digital-personal-data-protection-rules-2025-gDOxUjMtQWa | https://consumeraffairs.nic.in/acts-and-rules/consumer-protection/consumer-protection | P3 Jurisdiction Register</x:v>
      </x:c>
      <x:c r="I881" s="33" t="str">
        <x:v>P-3</x:v>
      </x:c>
      <x:c r="J881" s="33" t="str">
        <x:v>2026-08-20</x:v>
      </x:c>
      <x:c r="K881" s="33" t="str">
        <x:v>Legacy IDs retained inactive; no false production obligation remains.</x:v>
      </x:c>
    </x:row>
    <x:row r="882">
      <x:c r="A882" s="33" t="str">
        <x:v>EVD119</x:v>
      </x:c>
      <x:c r="B882" s="33" t="str">
        <x:v>Evidence Master</x:v>
      </x:c>
      <x:c r="C882" s="33" t="str">
        <x:v>Active=Yes; Remarks=Applicable for humidity-sensitive medicines.</x:v>
      </x:c>
      <x:c r="D882" s="33" t="str">
        <x:v>Active=No; Remarks=P-3 QUARANTINED: Generic State/local/permit/reference rows, penalty-only/fabricated DAMR extractions, and future-effective DPDP duties are not current production obligations.</x:v>
      </x:c>
      <x:c r="E882" s="33" t="str">
        <x:v>RECLASSIFY / QUARANTINE</x:v>
      </x:c>
      <x:c r="F882" s="33" t="str">
        <x:v>Generic State/local/permit/reference rows, penalty-only/fabricated DAMR extractions, and future-effective DPDP duties are not current production obligations.</x:v>
      </x:c>
      <x:c r="G882" s="33" t="str">
        <x:v>P-3 chain reconciliation</x:v>
      </x:c>
      <x:c r="H882" s="33" t="str">
        <x:v>https://www.meity.gov.in/documents/act-and-policies/digital-personal-data-protection-rules-2025-gDOxUjMtQWa | https://consumeraffairs.nic.in/acts-and-rules/consumer-protection/consumer-protection | P3 Jurisdiction Register</x:v>
      </x:c>
      <x:c r="I882" s="33" t="str">
        <x:v>P-3</x:v>
      </x:c>
      <x:c r="J882" s="33" t="str">
        <x:v>2026-08-20</x:v>
      </x:c>
      <x:c r="K882" s="33" t="str">
        <x:v>Legacy IDs retained inactive; no false production obligation remains.</x:v>
      </x:c>
    </x:row>
    <x:row r="883">
      <x:c r="A883" s="33" t="str">
        <x:v>EVD120</x:v>
      </x:c>
      <x:c r="B883" s="33" t="str">
        <x:v>Evidence Master</x:v>
      </x:c>
      <x:c r="C883" s="33" t="str">
        <x:v>Active=Yes; Remarks=Verify calibration validity.</x:v>
      </x:c>
      <x:c r="D883" s="33" t="str">
        <x:v>Active=No; Remarks=P-3 QUARANTINED: Generic State/local/permit/reference rows, penalty-only/fabricated DAMR extractions, and future-effective DPDP duties are not current production obligations.</x:v>
      </x:c>
      <x:c r="E883" s="33" t="str">
        <x:v>RECLASSIFY / QUARANTINE</x:v>
      </x:c>
      <x:c r="F883" s="33" t="str">
        <x:v>Generic State/local/permit/reference rows, penalty-only/fabricated DAMR extractions, and future-effective DPDP duties are not current production obligations.</x:v>
      </x:c>
      <x:c r="G883" s="33" t="str">
        <x:v>P-3 chain reconciliation</x:v>
      </x:c>
      <x:c r="H883" s="33" t="str">
        <x:v>https://www.meity.gov.in/documents/act-and-policies/digital-personal-data-protection-rules-2025-gDOxUjMtQWa | https://consumeraffairs.nic.in/acts-and-rules/consumer-protection/consumer-protection | P3 Jurisdiction Register</x:v>
      </x:c>
      <x:c r="I883" s="33" t="str">
        <x:v>P-3</x:v>
      </x:c>
      <x:c r="J883" s="33" t="str">
        <x:v>2026-08-20</x:v>
      </x:c>
      <x:c r="K883" s="33" t="str">
        <x:v>Legacy IDs retained inactive; no false production obligation remains.</x:v>
      </x:c>
    </x:row>
    <x:row r="884">
      <x:c r="A884" s="33" t="str">
        <x:v>EVD121</x:v>
      </x:c>
      <x:c r="B884" s="33" t="str">
        <x:v>Evidence Master</x:v>
      </x:c>
      <x:c r="C884" s="33" t="str">
        <x:v>Active=Yes; Remarks=Continuous monitoring evidence.</x:v>
      </x:c>
      <x:c r="D884" s="33" t="str">
        <x:v>Active=No; Remarks=P-3 QUARANTINED: Generic State/local/permit/reference rows, penalty-only/fabricated DAMR extractions, and future-effective DPDP duties are not current production obligations.</x:v>
      </x:c>
      <x:c r="E884" s="33" t="str">
        <x:v>RECLASSIFY / QUARANTINE</x:v>
      </x:c>
      <x:c r="F884" s="33" t="str">
        <x:v>Generic State/local/permit/reference rows, penalty-only/fabricated DAMR extractions, and future-effective DPDP duties are not current production obligations.</x:v>
      </x:c>
      <x:c r="G884" s="33" t="str">
        <x:v>P-3 chain reconciliation</x:v>
      </x:c>
      <x:c r="H884" s="33" t="str">
        <x:v>https://www.meity.gov.in/documents/act-and-policies/digital-personal-data-protection-rules-2025-gDOxUjMtQWa | https://consumeraffairs.nic.in/acts-and-rules/consumer-protection/consumer-protection | P3 Jurisdiction Register</x:v>
      </x:c>
      <x:c r="I884" s="33" t="str">
        <x:v>P-3</x:v>
      </x:c>
      <x:c r="J884" s="33" t="str">
        <x:v>2026-08-20</x:v>
      </x:c>
      <x:c r="K884" s="33" t="str">
        <x:v>Legacy IDs retained inactive; no false production obligation remains.</x:v>
      </x:c>
    </x:row>
    <x:row r="885">
      <x:c r="A885" s="33" t="str">
        <x:v>EVD122</x:v>
      </x:c>
      <x:c r="B885" s="33" t="str">
        <x:v>Evidence Master</x:v>
      </x:c>
      <x:c r="C885" s="33" t="str">
        <x:v>Active=Yes; Remarks=Applicable when deviations occur.</x:v>
      </x:c>
      <x:c r="D885" s="33" t="str">
        <x:v>Active=No; Remarks=P-3 QUARANTINED: Generic State/local/permit/reference rows, penalty-only/fabricated DAMR extractions, and future-effective DPDP duties are not current production obligations.</x:v>
      </x:c>
      <x:c r="E885" s="33" t="str">
        <x:v>RECLASSIFY / QUARANTINE</x:v>
      </x:c>
      <x:c r="F885" s="33" t="str">
        <x:v>Generic State/local/permit/reference rows, penalty-only/fabricated DAMR extractions, and future-effective DPDP duties are not current production obligations.</x:v>
      </x:c>
      <x:c r="G885" s="33" t="str">
        <x:v>P-3 chain reconciliation</x:v>
      </x:c>
      <x:c r="H885" s="33" t="str">
        <x:v>https://www.meity.gov.in/documents/act-and-policies/digital-personal-data-protection-rules-2025-gDOxUjMtQWa | https://consumeraffairs.nic.in/acts-and-rules/consumer-protection/consumer-protection | P3 Jurisdiction Register</x:v>
      </x:c>
      <x:c r="I885" s="33" t="str">
        <x:v>P-3</x:v>
      </x:c>
      <x:c r="J885" s="33" t="str">
        <x:v>2026-08-20</x:v>
      </x:c>
      <x:c r="K885" s="33" t="str">
        <x:v>Legacy IDs retained inactive; no false production obligation remains.</x:v>
      </x:c>
    </x:row>
    <x:row r="886">
      <x:c r="A886" s="33" t="str">
        <x:v>EVD123</x:v>
      </x:c>
      <x:c r="B886" s="33" t="str">
        <x:v>Evidence Master</x:v>
      </x:c>
      <x:c r="C886" s="33" t="str">
        <x:v>Active=Yes; Remarks=Refrigerator assigned only for medicines.</x:v>
      </x:c>
      <x:c r="D886" s="33" t="str">
        <x:v>Active=No; Remarks=P-3 QUARANTINED: Generic State/local/permit/reference rows, penalty-only/fabricated DAMR extractions, and future-effective DPDP duties are not current production obligations.</x:v>
      </x:c>
      <x:c r="E886" s="33" t="str">
        <x:v>RECLASSIFY / QUARANTINE</x:v>
      </x:c>
      <x:c r="F886" s="33" t="str">
        <x:v>Generic State/local/permit/reference rows, penalty-only/fabricated DAMR extractions, and future-effective DPDP duties are not current production obligations.</x:v>
      </x:c>
      <x:c r="G886" s="33" t="str">
        <x:v>P-3 chain reconciliation</x:v>
      </x:c>
      <x:c r="H886" s="33" t="str">
        <x:v>https://www.meity.gov.in/documents/act-and-policies/digital-personal-data-protection-rules-2025-gDOxUjMtQWa | https://consumeraffairs.nic.in/acts-and-rules/consumer-protection/consumer-protection | P3 Jurisdiction Register</x:v>
      </x:c>
      <x:c r="I886" s="33" t="str">
        <x:v>P-3</x:v>
      </x:c>
      <x:c r="J886" s="33" t="str">
        <x:v>2026-08-20</x:v>
      </x:c>
      <x:c r="K886" s="33" t="str">
        <x:v>Legacy IDs retained inactive; no false production obligation remains.</x:v>
      </x:c>
    </x:row>
    <x:row r="887">
      <x:c r="A887" s="33" t="str">
        <x:v>EVD124</x:v>
      </x:c>
      <x:c r="B887" s="33" t="str">
        <x:v>Evidence Master</x:v>
      </x:c>
      <x:c r="C887" s="33" t="str">
        <x:v>Active=Yes; Remarks=Verify no non-pharmaceutical items stored.</x:v>
      </x:c>
      <x:c r="D887" s="33" t="str">
        <x:v>Active=No; Remarks=P-3 QUARANTINED: Generic State/local/permit/reference rows, penalty-only/fabricated DAMR extractions, and future-effective DPDP duties are not current production obligations.</x:v>
      </x:c>
      <x:c r="E887" s="33" t="str">
        <x:v>RECLASSIFY / QUARANTINE</x:v>
      </x:c>
      <x:c r="F887" s="33" t="str">
        <x:v>Generic State/local/permit/reference rows, penalty-only/fabricated DAMR extractions, and future-effective DPDP duties are not current production obligations.</x:v>
      </x:c>
      <x:c r="G887" s="33" t="str">
        <x:v>P-3 chain reconciliation</x:v>
      </x:c>
      <x:c r="H887" s="33" t="str">
        <x:v>https://www.meity.gov.in/documents/act-and-policies/digital-personal-data-protection-rules-2025-gDOxUjMtQWa | https://consumeraffairs.nic.in/acts-and-rules/consumer-protection/consumer-protection | P3 Jurisdiction Register</x:v>
      </x:c>
      <x:c r="I887" s="33" t="str">
        <x:v>P-3</x:v>
      </x:c>
      <x:c r="J887" s="33" t="str">
        <x:v>2026-08-20</x:v>
      </x:c>
      <x:c r="K887" s="33" t="str">
        <x:v>Legacy IDs retained inactive; no false production obligation remains.</x:v>
      </x:c>
    </x:row>
    <x:row r="888">
      <x:c r="A888" s="33" t="str">
        <x:v>EVD212</x:v>
      </x:c>
      <x:c r="B888" s="33" t="str">
        <x:v>Evidence Master</x:v>
      </x:c>
      <x:c r="C888" s="33" t="str">
        <x:v>Active=Yes; Remarks=Handling refrigerated medicines.</x:v>
      </x:c>
      <x:c r="D888" s="33" t="str">
        <x:v>Active=No; Remarks=P-3 QUARANTINED: Generic State/local/permit/reference rows, penalty-only/fabricated DAMR extractions, and future-effective DPDP duties are not current production obligations.</x:v>
      </x:c>
      <x:c r="E888" s="33" t="str">
        <x:v>RECLASSIFY / QUARANTINE</x:v>
      </x:c>
      <x:c r="F888" s="33" t="str">
        <x:v>Generic State/local/permit/reference rows, penalty-only/fabricated DAMR extractions, and future-effective DPDP duties are not current production obligations.</x:v>
      </x:c>
      <x:c r="G888" s="33" t="str">
        <x:v>P-3 chain reconciliation</x:v>
      </x:c>
      <x:c r="H888" s="33" t="str">
        <x:v>https://www.meity.gov.in/documents/act-and-policies/digital-personal-data-protection-rules-2025-gDOxUjMtQWa | https://consumeraffairs.nic.in/acts-and-rules/consumer-protection/consumer-protection | P3 Jurisdiction Register</x:v>
      </x:c>
      <x:c r="I888" s="33" t="str">
        <x:v>P-3</x:v>
      </x:c>
      <x:c r="J888" s="33" t="str">
        <x:v>2026-08-20</x:v>
      </x:c>
      <x:c r="K888" s="33" t="str">
        <x:v>Legacy IDs retained inactive; no false production obligation remains.</x:v>
      </x:c>
    </x:row>
    <x:row r="889">
      <x:c r="A889" s="33" t="str">
        <x:v>EVD213</x:v>
      </x:c>
      <x:c r="B889" s="33" t="str">
        <x:v>Evidence Master</x:v>
      </x:c>
      <x:c r="C889" s="33" t="str">
        <x:v>Active=Yes; Remarks=Evidence of proper handling.</x:v>
      </x:c>
      <x:c r="D889" s="33" t="str">
        <x:v>Active=No; Remarks=P-3 QUARANTINED: Generic State/local/permit/reference rows, penalty-only/fabricated DAMR extractions, and future-effective DPDP duties are not current production obligations.</x:v>
      </x:c>
      <x:c r="E889" s="33" t="str">
        <x:v>RECLASSIFY / QUARANTINE</x:v>
      </x:c>
      <x:c r="F889" s="33" t="str">
        <x:v>Generic State/local/permit/reference rows, penalty-only/fabricated DAMR extractions, and future-effective DPDP duties are not current production obligations.</x:v>
      </x:c>
      <x:c r="G889" s="33" t="str">
        <x:v>P-3 chain reconciliation</x:v>
      </x:c>
      <x:c r="H889" s="33" t="str">
        <x:v>https://www.meity.gov.in/documents/act-and-policies/digital-personal-data-protection-rules-2025-gDOxUjMtQWa | https://consumeraffairs.nic.in/acts-and-rules/consumer-protection/consumer-protection | P3 Jurisdiction Register</x:v>
      </x:c>
      <x:c r="I889" s="33" t="str">
        <x:v>P-3</x:v>
      </x:c>
      <x:c r="J889" s="33" t="str">
        <x:v>2026-08-20</x:v>
      </x:c>
      <x:c r="K889" s="33" t="str">
        <x:v>Legacy IDs retained inactive; no false production obligation remains.</x:v>
      </x:c>
    </x:row>
    <x:row r="890">
      <x:c r="A890" s="33" t="str">
        <x:v>EVD214</x:v>
      </x:c>
      <x:c r="B890" s="33" t="str">
        <x:v>Evidence Master</x:v>
      </x:c>
      <x:c r="C890" s="33" t="str">
        <x:v>Active=Yes; Remarks=Periodic dispensing audit.</x:v>
      </x:c>
      <x:c r="D890" s="33" t="str">
        <x:v>Active=No; Remarks=P-3 QUARANTINED: Generic State/local/permit/reference rows, penalty-only/fabricated DAMR extractions, and future-effective DPDP duties are not current production obligations.</x:v>
      </x:c>
      <x:c r="E890" s="33" t="str">
        <x:v>RECLASSIFY / QUARANTINE</x:v>
      </x:c>
      <x:c r="F890" s="33" t="str">
        <x:v>Generic State/local/permit/reference rows, penalty-only/fabricated DAMR extractions, and future-effective DPDP duties are not current production obligations.</x:v>
      </x:c>
      <x:c r="G890" s="33" t="str">
        <x:v>P-3 chain reconciliation</x:v>
      </x:c>
      <x:c r="H890" s="33" t="str">
        <x:v>https://www.meity.gov.in/documents/act-and-policies/digital-personal-data-protection-rules-2025-gDOxUjMtQWa | https://consumeraffairs.nic.in/acts-and-rules/consumer-protection/consumer-protection | P3 Jurisdiction Register</x:v>
      </x:c>
      <x:c r="I890" s="33" t="str">
        <x:v>P-3</x:v>
      </x:c>
      <x:c r="J890" s="33" t="str">
        <x:v>2026-08-20</x:v>
      </x:c>
      <x:c r="K890" s="33" t="str">
        <x:v>Legacy IDs retained inactive; no false production obligation remains.</x:v>
      </x:c>
    </x:row>
    <x:row r="891">
      <x:c r="A891" s="33" t="str">
        <x:v>EVD215</x:v>
      </x:c>
      <x:c r="B891" s="33" t="str">
        <x:v>Evidence Master</x:v>
      </x:c>
      <x:c r="C891" s="33" t="str">
        <x:v>Active=Yes; Remarks=Dispensing audit findings.</x:v>
      </x:c>
      <x:c r="D891" s="33" t="str">
        <x:v>Active=No; Remarks=P-3 QUARANTINED: Generic State/local/permit/reference rows, penalty-only/fabricated DAMR extractions, and future-effective DPDP duties are not current production obligations.</x:v>
      </x:c>
      <x:c r="E891" s="33" t="str">
        <x:v>RECLASSIFY / QUARANTINE</x:v>
      </x:c>
      <x:c r="F891" s="33" t="str">
        <x:v>Generic State/local/permit/reference rows, penalty-only/fabricated DAMR extractions, and future-effective DPDP duties are not current production obligations.</x:v>
      </x:c>
      <x:c r="G891" s="33" t="str">
        <x:v>P-3 chain reconciliation</x:v>
      </x:c>
      <x:c r="H891" s="33" t="str">
        <x:v>https://www.meity.gov.in/documents/act-and-policies/digital-personal-data-protection-rules-2025-gDOxUjMtQWa | https://consumeraffairs.nic.in/acts-and-rules/consumer-protection/consumer-protection | P3 Jurisdiction Register</x:v>
      </x:c>
      <x:c r="I891" s="33" t="str">
        <x:v>P-3</x:v>
      </x:c>
      <x:c r="J891" s="33" t="str">
        <x:v>2026-08-20</x:v>
      </x:c>
      <x:c r="K891" s="33" t="str">
        <x:v>Legacy IDs retained inactive; no false production obligation remains.</x:v>
      </x:c>
    </x:row>
    <x:row r="892">
      <x:c r="A892" s="33" t="str">
        <x:v>EVD216</x:v>
      </x:c>
      <x:c r="B892" s="33" t="str">
        <x:v>Evidence Master</x:v>
      </x:c>
      <x:c r="C892" s="33" t="str">
        <x:v>Active=Yes; Remarks=Mandatory complaint log.</x:v>
      </x:c>
      <x:c r="D892" s="33" t="str">
        <x:v>Active=No; Remarks=P-3 QUARANTINED: Generic State/local/permit/reference rows, penalty-only/fabricated DAMR extractions, and future-effective DPDP duties are not current production obligations.</x:v>
      </x:c>
      <x:c r="E892" s="33" t="str">
        <x:v>RECLASSIFY / QUARANTINE</x:v>
      </x:c>
      <x:c r="F892" s="33" t="str">
        <x:v>Generic State/local/permit/reference rows, penalty-only/fabricated DAMR extractions, and future-effective DPDP duties are not current production obligations.</x:v>
      </x:c>
      <x:c r="G892" s="33" t="str">
        <x:v>P-3 chain reconciliation</x:v>
      </x:c>
      <x:c r="H892" s="33" t="str">
        <x:v>https://www.meity.gov.in/documents/act-and-policies/digital-personal-data-protection-rules-2025-gDOxUjMtQWa | https://consumeraffairs.nic.in/acts-and-rules/consumer-protection/consumer-protection | P3 Jurisdiction Register</x:v>
      </x:c>
      <x:c r="I892" s="33" t="str">
        <x:v>P-3</x:v>
      </x:c>
      <x:c r="J892" s="33" t="str">
        <x:v>2026-08-20</x:v>
      </x:c>
      <x:c r="K892" s="33" t="str">
        <x:v>Legacy IDs retained inactive; no false production obligation remains.</x:v>
      </x:c>
    </x:row>
    <x:row r="893">
      <x:c r="A893" s="33" t="str">
        <x:v>EVD217</x:v>
      </x:c>
      <x:c r="B893" s="33" t="str">
        <x:v>Evidence Master</x:v>
      </x:c>
      <x:c r="C893" s="33" t="str">
        <x:v>Active=Yes; Remarks=Investigation documentation.</x:v>
      </x:c>
      <x:c r="D893" s="33" t="str">
        <x:v>Active=No; Remarks=P-3 QUARANTINED: Generic State/local/permit/reference rows, penalty-only/fabricated DAMR extractions, and future-effective DPDP duties are not current production obligations.</x:v>
      </x:c>
      <x:c r="E893" s="33" t="str">
        <x:v>RECLASSIFY / QUARANTINE</x:v>
      </x:c>
      <x:c r="F893" s="33" t="str">
        <x:v>Generic State/local/permit/reference rows, penalty-only/fabricated DAMR extractions, and future-effective DPDP duties are not current production obligations.</x:v>
      </x:c>
      <x:c r="G893" s="33" t="str">
        <x:v>P-3 chain reconciliation</x:v>
      </x:c>
      <x:c r="H893" s="33" t="str">
        <x:v>https://www.meity.gov.in/documents/act-and-policies/digital-personal-data-protection-rules-2025-gDOxUjMtQWa | https://consumeraffairs.nic.in/acts-and-rules/consumer-protection/consumer-protection | P3 Jurisdiction Register</x:v>
      </x:c>
      <x:c r="I893" s="33" t="str">
        <x:v>P-3</x:v>
      </x:c>
      <x:c r="J893" s="33" t="str">
        <x:v>2026-08-20</x:v>
      </x:c>
      <x:c r="K893" s="33" t="str">
        <x:v>Legacy IDs retained inactive; no false production obligation remains.</x:v>
      </x:c>
    </x:row>
    <x:row r="894">
      <x:c r="A894" s="33" t="str">
        <x:v>EVD218</x:v>
      </x:c>
      <x:c r="B894" s="33" t="str">
        <x:v>Evidence Master</x:v>
      </x:c>
      <x:c r="C894" s="33" t="str">
        <x:v>Active=Yes; Remarks=Dispensing-related inspections.</x:v>
      </x:c>
      <x:c r="D894" s="33" t="str">
        <x:v>Active=No; Remarks=P-3 QUARANTINED: Generic State/local/permit/reference rows, penalty-only/fabricated DAMR extractions, and future-effective DPDP duties are not current production obligations.</x:v>
      </x:c>
      <x:c r="E894" s="33" t="str">
        <x:v>RECLASSIFY / QUARANTINE</x:v>
      </x:c>
      <x:c r="F894" s="33" t="str">
        <x:v>Generic State/local/permit/reference rows, penalty-only/fabricated DAMR extractions, and future-effective DPDP duties are not current production obligations.</x:v>
      </x:c>
      <x:c r="G894" s="33" t="str">
        <x:v>P-3 chain reconciliation</x:v>
      </x:c>
      <x:c r="H894" s="33" t="str">
        <x:v>https://www.meity.gov.in/documents/act-and-policies/digital-personal-data-protection-rules-2025-gDOxUjMtQWa | https://consumeraffairs.nic.in/acts-and-rules/consumer-protection/consumer-protection | P3 Jurisdiction Register</x:v>
      </x:c>
      <x:c r="I894" s="33" t="str">
        <x:v>P-3</x:v>
      </x:c>
      <x:c r="J894" s="33" t="str">
        <x:v>2026-08-20</x:v>
      </x:c>
      <x:c r="K894" s="33" t="str">
        <x:v>Legacy IDs retained inactive; no false production obligation remains.</x:v>
      </x:c>
    </x:row>
    <x:row r="895">
      <x:c r="A895" s="33" t="str">
        <x:v>EVD219</x:v>
      </x:c>
      <x:c r="B895" s="33" t="str">
        <x:v>Evidence Master</x:v>
      </x:c>
      <x:c r="C895" s="33" t="str">
        <x:v>Active=Yes; Remarks=Closure evidence.</x:v>
      </x:c>
      <x:c r="D895" s="33" t="str">
        <x:v>Active=No; Remarks=P-3 QUARANTINED: Generic State/local/permit/reference rows, penalty-only/fabricated DAMR extractions, and future-effective DPDP duties are not current production obligations.</x:v>
      </x:c>
      <x:c r="E895" s="33" t="str">
        <x:v>RECLASSIFY / QUARANTINE</x:v>
      </x:c>
      <x:c r="F895" s="33" t="str">
        <x:v>Generic State/local/permit/reference rows, penalty-only/fabricated DAMR extractions, and future-effective DPDP duties are not current production obligations.</x:v>
      </x:c>
      <x:c r="G895" s="33" t="str">
        <x:v>P-3 chain reconciliation</x:v>
      </x:c>
      <x:c r="H895" s="33" t="str">
        <x:v>https://www.meity.gov.in/documents/act-and-policies/digital-personal-data-protection-rules-2025-gDOxUjMtQWa | https://consumeraffairs.nic.in/acts-and-rules/consumer-protection/consumer-protection | P3 Jurisdiction Register</x:v>
      </x:c>
      <x:c r="I895" s="33" t="str">
        <x:v>P-3</x:v>
      </x:c>
      <x:c r="J895" s="33" t="str">
        <x:v>2026-08-20</x:v>
      </x:c>
      <x:c r="K895" s="33" t="str">
        <x:v>Legacy IDs retained inactive; no false production obligation remains.</x:v>
      </x:c>
    </x:row>
    <x:row r="896">
      <x:c r="A896" s="33" t="str">
        <x:v>EVD220</x:v>
      </x:c>
      <x:c r="B896" s="33" t="str">
        <x:v>Evidence Master</x:v>
      </x:c>
      <x:c r="C896" s="33" t="str">
        <x:v>Active=Yes; Remarks=End-to-end compliance review.</x:v>
      </x:c>
      <x:c r="D896" s="33" t="str">
        <x:v>Active=No; Remarks=P-3 QUARANTINED: Generic State/local/permit/reference rows, penalty-only/fabricated DAMR extractions, and future-effective DPDP duties are not current production obligations.</x:v>
      </x:c>
      <x:c r="E896" s="33" t="str">
        <x:v>RECLASSIFY / QUARANTINE</x:v>
      </x:c>
      <x:c r="F896" s="33" t="str">
        <x:v>Generic State/local/permit/reference rows, penalty-only/fabricated DAMR extractions, and future-effective DPDP duties are not current production obligations.</x:v>
      </x:c>
      <x:c r="G896" s="33" t="str">
        <x:v>P-3 chain reconciliation</x:v>
      </x:c>
      <x:c r="H896" s="33" t="str">
        <x:v>https://www.meity.gov.in/documents/act-and-policies/digital-personal-data-protection-rules-2025-gDOxUjMtQWa | https://consumeraffairs.nic.in/acts-and-rules/consumer-protection/consumer-protection | P3 Jurisdiction Register</x:v>
      </x:c>
      <x:c r="I896" s="33" t="str">
        <x:v>P-3</x:v>
      </x:c>
      <x:c r="J896" s="33" t="str">
        <x:v>2026-08-20</x:v>
      </x:c>
      <x:c r="K896" s="33" t="str">
        <x:v>Legacy IDs retained inactive; no false production obligation remains.</x:v>
      </x:c>
    </x:row>
    <x:row r="897">
      <x:c r="A897" s="33" t="str">
        <x:v>EVD221</x:v>
      </x:c>
      <x:c r="B897" s="33" t="str">
        <x:v>Evidence Master</x:v>
      </x:c>
      <x:c r="C897" s="33" t="str">
        <x:v>Active=Yes; Remarks=Walkthrough support.</x:v>
      </x:c>
      <x:c r="D897" s="33" t="str">
        <x:v>Active=No; Remarks=P-3 QUARANTINED: Generic State/local/permit/reference rows, penalty-only/fabricated DAMR extractions, and future-effective DPDP duties are not current production obligations.</x:v>
      </x:c>
      <x:c r="E897" s="33" t="str">
        <x:v>RECLASSIFY / QUARANTINE</x:v>
      </x:c>
      <x:c r="F897" s="33" t="str">
        <x:v>Generic State/local/permit/reference rows, penalty-only/fabricated DAMR extractions, and future-effective DPDP duties are not current production obligations.</x:v>
      </x:c>
      <x:c r="G897" s="33" t="str">
        <x:v>P-3 chain reconciliation</x:v>
      </x:c>
      <x:c r="H897" s="33" t="str">
        <x:v>https://www.meity.gov.in/documents/act-and-policies/digital-personal-data-protection-rules-2025-gDOxUjMtQWa | https://consumeraffairs.nic.in/acts-and-rules/consumer-protection/consumer-protection | P3 Jurisdiction Register</x:v>
      </x:c>
      <x:c r="I897" s="33" t="str">
        <x:v>P-3</x:v>
      </x:c>
      <x:c r="J897" s="33" t="str">
        <x:v>2026-08-20</x:v>
      </x:c>
      <x:c r="K897" s="33" t="str">
        <x:v>Legacy IDs retained inactive; no false production obligation remains.</x:v>
      </x:c>
    </x:row>
    <x:row r="898">
      <x:c r="A898" s="33" t="str">
        <x:v>EVD222</x:v>
      </x:c>
      <x:c r="B898" s="33" t="str">
        <x:v>Evidence Master</x:v>
      </x:c>
      <x:c r="C898" s="33" t="str">
        <x:v>Active=Yes; Remarks=Operational monitoring.</x:v>
      </x:c>
      <x:c r="D898" s="33" t="str">
        <x:v>Active=No; Remarks=P-3 QUARANTINED: Generic State/local/permit/reference rows, penalty-only/fabricated DAMR extractions, and future-effective DPDP duties are not current production obligations.</x:v>
      </x:c>
      <x:c r="E898" s="33" t="str">
        <x:v>RECLASSIFY / QUARANTINE</x:v>
      </x:c>
      <x:c r="F898" s="33" t="str">
        <x:v>Generic State/local/permit/reference rows, penalty-only/fabricated DAMR extractions, and future-effective DPDP duties are not current production obligations.</x:v>
      </x:c>
      <x:c r="G898" s="33" t="str">
        <x:v>P-3 chain reconciliation</x:v>
      </x:c>
      <x:c r="H898" s="33" t="str">
        <x:v>https://www.meity.gov.in/documents/act-and-policies/digital-personal-data-protection-rules-2025-gDOxUjMtQWa | https://consumeraffairs.nic.in/acts-and-rules/consumer-protection/consumer-protection | P3 Jurisdiction Register</x:v>
      </x:c>
      <x:c r="I898" s="33" t="str">
        <x:v>P-3</x:v>
      </x:c>
      <x:c r="J898" s="33" t="str">
        <x:v>2026-08-20</x:v>
      </x:c>
      <x:c r="K898" s="33" t="str">
        <x:v>Legacy IDs retained inactive; no false production obligation remains.</x:v>
      </x:c>
    </x:row>
    <x:row r="899">
      <x:c r="A899" s="33" t="str">
        <x:v>EVD223</x:v>
      </x:c>
      <x:c r="B899" s="33" t="str">
        <x:v>Evidence Master</x:v>
      </x:c>
      <x:c r="C899" s="33" t="str">
        <x:v>Active=Yes; Remarks=Risk evaluation.</x:v>
      </x:c>
      <x:c r="D899" s="33" t="str">
        <x:v>Active=No; Remarks=P-3 QUARANTINED: Generic State/local/permit/reference rows, penalty-only/fabricated DAMR extractions, and future-effective DPDP duties are not current production obligations.</x:v>
      </x:c>
      <x:c r="E899" s="33" t="str">
        <x:v>RECLASSIFY / QUARANTINE</x:v>
      </x:c>
      <x:c r="F899" s="33" t="str">
        <x:v>Generic State/local/permit/reference rows, penalty-only/fabricated DAMR extractions, and future-effective DPDP duties are not current production obligations.</x:v>
      </x:c>
      <x:c r="G899" s="33" t="str">
        <x:v>P-3 chain reconciliation</x:v>
      </x:c>
      <x:c r="H899" s="33" t="str">
        <x:v>https://www.meity.gov.in/documents/act-and-policies/digital-personal-data-protection-rules-2025-gDOxUjMtQWa | https://consumeraffairs.nic.in/acts-and-rules/consumer-protection/consumer-protection | P3 Jurisdiction Register</x:v>
      </x:c>
      <x:c r="I899" s="33" t="str">
        <x:v>P-3</x:v>
      </x:c>
      <x:c r="J899" s="33" t="str">
        <x:v>2026-08-20</x:v>
      </x:c>
      <x:c r="K899" s="33" t="str">
        <x:v>Legacy IDs retained inactive; no false production obligation remains.</x:v>
      </x:c>
    </x:row>
    <x:row r="900">
      <x:c r="A900" s="33" t="str">
        <x:v>EVD224</x:v>
      </x:c>
      <x:c r="B900" s="33" t="str">
        <x:v>Evidence Master</x:v>
      </x:c>
      <x:c r="C900" s="33" t="str">
        <x:v>Active=Yes; Remarks=Management oversight.</x:v>
      </x:c>
      <x:c r="D900" s="33" t="str">
        <x:v>Active=No; Remarks=P-3 QUARANTINED: Generic State/local/permit/reference rows, penalty-only/fabricated DAMR extractions, and future-effective DPDP duties are not current production obligations.</x:v>
      </x:c>
      <x:c r="E900" s="33" t="str">
        <x:v>RECLASSIFY / QUARANTINE</x:v>
      </x:c>
      <x:c r="F900" s="33" t="str">
        <x:v>Generic State/local/permit/reference rows, penalty-only/fabricated DAMR extractions, and future-effective DPDP duties are not current production obligations.</x:v>
      </x:c>
      <x:c r="G900" s="33" t="str">
        <x:v>P-3 chain reconciliation</x:v>
      </x:c>
      <x:c r="H900" s="33" t="str">
        <x:v>https://www.meity.gov.in/documents/act-and-policies/digital-personal-data-protection-rules-2025-gDOxUjMtQWa | https://consumeraffairs.nic.in/acts-and-rules/consumer-protection/consumer-protection | P3 Jurisdiction Register</x:v>
      </x:c>
      <x:c r="I900" s="33" t="str">
        <x:v>P-3</x:v>
      </x:c>
      <x:c r="J900" s="33" t="str">
        <x:v>2026-08-20</x:v>
      </x:c>
      <x:c r="K900" s="33" t="str">
        <x:v>Legacy IDs retained inactive; no false production obligation remains.</x:v>
      </x:c>
    </x:row>
    <x:row r="901">
      <x:c r="A901" s="33" t="str">
        <x:v>EVD225</x:v>
      </x:c>
      <x:c r="B901" s="33" t="str">
        <x:v>Evidence Master</x:v>
      </x:c>
      <x:c r="C901" s="33" t="str">
        <x:v>Active=Yes; Remarks=Corrective actions.</x:v>
      </x:c>
      <x:c r="D901" s="33" t="str">
        <x:v>Active=No; Remarks=P-3 QUARANTINED: Generic State/local/permit/reference rows, penalty-only/fabricated DAMR extractions, and future-effective DPDP duties are not current production obligations.</x:v>
      </x:c>
      <x:c r="E901" s="33" t="str">
        <x:v>RECLASSIFY / QUARANTINE</x:v>
      </x:c>
      <x:c r="F901" s="33" t="str">
        <x:v>Generic State/local/permit/reference rows, penalty-only/fabricated DAMR extractions, and future-effective DPDP duties are not current production obligations.</x:v>
      </x:c>
      <x:c r="G901" s="33" t="str">
        <x:v>P-3 chain reconciliation</x:v>
      </x:c>
      <x:c r="H901" s="33" t="str">
        <x:v>https://www.meity.gov.in/documents/act-and-policies/digital-personal-data-protection-rules-2025-gDOxUjMtQWa | https://consumeraffairs.nic.in/acts-and-rules/consumer-protection/consumer-protection | P3 Jurisdiction Register</x:v>
      </x:c>
      <x:c r="I901" s="33" t="str">
        <x:v>P-3</x:v>
      </x:c>
      <x:c r="J901" s="33" t="str">
        <x:v>2026-08-20</x:v>
      </x:c>
      <x:c r="K901" s="33" t="str">
        <x:v>Legacy IDs retained inactive; no false production obligation remains.</x:v>
      </x:c>
    </x:row>
    <x:row r="902">
      <x:c r="A902" s="33" t="str">
        <x:v>EVD226</x:v>
      </x:c>
      <x:c r="B902" s="33" t="str">
        <x:v>Evidence Master</x:v>
      </x:c>
      <x:c r="C902" s="33" t="str">
        <x:v>Active=Yes; Remarks=Periodic SOP review.</x:v>
      </x:c>
      <x:c r="D902" s="33" t="str">
        <x:v>Active=No; Remarks=P-3 QUARANTINED: Generic State/local/permit/reference rows, penalty-only/fabricated DAMR extractions, and future-effective DPDP duties are not current production obligations.</x:v>
      </x:c>
      <x:c r="E902" s="33" t="str">
        <x:v>RECLASSIFY / QUARANTINE</x:v>
      </x:c>
      <x:c r="F902" s="33" t="str">
        <x:v>Generic State/local/permit/reference rows, penalty-only/fabricated DAMR extractions, and future-effective DPDP duties are not current production obligations.</x:v>
      </x:c>
      <x:c r="G902" s="33" t="str">
        <x:v>P-3 chain reconciliation</x:v>
      </x:c>
      <x:c r="H902" s="33" t="str">
        <x:v>https://www.meity.gov.in/documents/act-and-policies/digital-personal-data-protection-rules-2025-gDOxUjMtQWa | https://consumeraffairs.nic.in/acts-and-rules/consumer-protection/consumer-protection | P3 Jurisdiction Register</x:v>
      </x:c>
      <x:c r="I902" s="33" t="str">
        <x:v>P-3</x:v>
      </x:c>
      <x:c r="J902" s="33" t="str">
        <x:v>2026-08-20</x:v>
      </x:c>
      <x:c r="K902" s="33" t="str">
        <x:v>Legacy IDs retained inactive; no false production obligation remains.</x:v>
      </x:c>
    </x:row>
    <x:row r="903">
      <x:c r="A903" s="33" t="str">
        <x:v>EVD227</x:v>
      </x:c>
      <x:c r="B903" s="33" t="str">
        <x:v>Evidence Master</x:v>
      </x:c>
      <x:c r="C903" s="33" t="str">
        <x:v>Active=Yes; Remarks=Supporting audit evidence.</x:v>
      </x:c>
      <x:c r="D903" s="33" t="str">
        <x:v>Active=No; Remarks=P-3 QUARANTINED: Generic State/local/permit/reference rows, penalty-only/fabricated DAMR extractions, and future-effective DPDP duties are not current production obligations.</x:v>
      </x:c>
      <x:c r="E903" s="33" t="str">
        <x:v>RECLASSIFY / QUARANTINE</x:v>
      </x:c>
      <x:c r="F903" s="33" t="str">
        <x:v>Generic State/local/permit/reference rows, penalty-only/fabricated DAMR extractions, and future-effective DPDP duties are not current production obligations.</x:v>
      </x:c>
      <x:c r="G903" s="33" t="str">
        <x:v>P-3 chain reconciliation</x:v>
      </x:c>
      <x:c r="H903" s="33" t="str">
        <x:v>https://www.meity.gov.in/documents/act-and-policies/digital-personal-data-protection-rules-2025-gDOxUjMtQWa | https://consumeraffairs.nic.in/acts-and-rules/consumer-protection/consumer-protection | P3 Jurisdiction Register</x:v>
      </x:c>
      <x:c r="I903" s="33" t="str">
        <x:v>P-3</x:v>
      </x:c>
      <x:c r="J903" s="33" t="str">
        <x:v>2026-08-20</x:v>
      </x:c>
      <x:c r="K903" s="33" t="str">
        <x:v>Legacy IDs retained inactive; no false production obligation remains.</x:v>
      </x:c>
    </x:row>
    <x:row r="904">
      <x:c r="A904" s="33" t="str">
        <x:v>EVD228</x:v>
      </x:c>
      <x:c r="B904" s="33" t="str">
        <x:v>Evidence Master</x:v>
      </x:c>
      <x:c r="C904" s="33" t="str">
        <x:v>Active=Yes; Remarks=Continuous improvement initiatives.</x:v>
      </x:c>
      <x:c r="D904" s="33" t="str">
        <x:v>Active=No; Remarks=P-3 QUARANTINED: Generic State/local/permit/reference rows, penalty-only/fabricated DAMR extractions, and future-effective DPDP duties are not current production obligations.</x:v>
      </x:c>
      <x:c r="E904" s="33" t="str">
        <x:v>RECLASSIFY / QUARANTINE</x:v>
      </x:c>
      <x:c r="F904" s="33" t="str">
        <x:v>Generic State/local/permit/reference rows, penalty-only/fabricated DAMR extractions, and future-effective DPDP duties are not current production obligations.</x:v>
      </x:c>
      <x:c r="G904" s="33" t="str">
        <x:v>P-3 chain reconciliation</x:v>
      </x:c>
      <x:c r="H904" s="33" t="str">
        <x:v>https://www.meity.gov.in/documents/act-and-policies/digital-personal-data-protection-rules-2025-gDOxUjMtQWa | https://consumeraffairs.nic.in/acts-and-rules/consumer-protection/consumer-protection | P3 Jurisdiction Register</x:v>
      </x:c>
      <x:c r="I904" s="33" t="str">
        <x:v>P-3</x:v>
      </x:c>
      <x:c r="J904" s="33" t="str">
        <x:v>2026-08-20</x:v>
      </x:c>
      <x:c r="K904" s="33" t="str">
        <x:v>Legacy IDs retained inactive; no false production obligation remains.</x:v>
      </x:c>
    </x:row>
    <x:row r="905">
      <x:c r="A905" s="33" t="str">
        <x:v>EVD400</x:v>
      </x:c>
      <x:c r="B905" s="33" t="str">
        <x:v>Evidence Master</x:v>
      </x:c>
      <x:c r="C905" s="33" t="str">
        <x:v>Active=Yes; Remarks=Educational qualification relevant to assigned role.</x:v>
      </x:c>
      <x:c r="D905" s="33" t="str">
        <x:v>Active=No; Remarks=P-3 QUARANTINED: Generic State/local/permit/reference rows, penalty-only/fabricated DAMR extractions, and future-effective DPDP duties are not current production obligations.</x:v>
      </x:c>
      <x:c r="E905" s="33" t="str">
        <x:v>RECLASSIFY / QUARANTINE</x:v>
      </x:c>
      <x:c r="F905" s="33" t="str">
        <x:v>Generic State/local/permit/reference rows, penalty-only/fabricated DAMR extractions, and future-effective DPDP duties are not current production obligations.</x:v>
      </x:c>
      <x:c r="G905" s="33" t="str">
        <x:v>P-3 chain reconciliation</x:v>
      </x:c>
      <x:c r="H905" s="33" t="str">
        <x:v>https://www.meity.gov.in/documents/act-and-policies/digital-personal-data-protection-rules-2025-gDOxUjMtQWa | https://consumeraffairs.nic.in/acts-and-rules/consumer-protection/consumer-protection | P3 Jurisdiction Register</x:v>
      </x:c>
      <x:c r="I905" s="33" t="str">
        <x:v>P-3</x:v>
      </x:c>
      <x:c r="J905" s="33" t="str">
        <x:v>2026-08-20</x:v>
      </x:c>
      <x:c r="K905" s="33" t="str">
        <x:v>Legacy IDs retained inactive; no false production obligation remains.</x:v>
      </x:c>
    </x:row>
    <x:row r="906">
      <x:c r="A906" s="33" t="str">
        <x:v>EVD401</x:v>
      </x:c>
      <x:c r="B906" s="33" t="str">
        <x:v>Evidence Master</x:v>
      </x:c>
      <x:c r="C906" s="33" t="str">
        <x:v>Active=Yes; Remarks=Maintain complete employment records.</x:v>
      </x:c>
      <x:c r="D906" s="33" t="str">
        <x:v>Active=No; Remarks=P-3 QUARANTINED: Generic State/local/permit/reference rows, penalty-only/fabricated DAMR extractions, and future-effective DPDP duties are not current production obligations.</x:v>
      </x:c>
      <x:c r="E906" s="33" t="str">
        <x:v>RECLASSIFY / QUARANTINE</x:v>
      </x:c>
      <x:c r="F906" s="33" t="str">
        <x:v>Generic State/local/permit/reference rows, penalty-only/fabricated DAMR extractions, and future-effective DPDP duties are not current production obligations.</x:v>
      </x:c>
      <x:c r="G906" s="33" t="str">
        <x:v>P-3 chain reconciliation</x:v>
      </x:c>
      <x:c r="H906" s="33" t="str">
        <x:v>https://www.meity.gov.in/documents/act-and-policies/digital-personal-data-protection-rules-2025-gDOxUjMtQWa | https://consumeraffairs.nic.in/acts-and-rules/consumer-protection/consumer-protection | P3 Jurisdiction Register</x:v>
      </x:c>
      <x:c r="I906" s="33" t="str">
        <x:v>P-3</x:v>
      </x:c>
      <x:c r="J906" s="33" t="str">
        <x:v>2026-08-20</x:v>
      </x:c>
      <x:c r="K906" s="33" t="str">
        <x:v>Legacy IDs retained inactive; no false production obligation remains.</x:v>
      </x:c>
    </x:row>
    <x:row r="907">
      <x:c r="A907" s="33" t="str">
        <x:v>EVD402</x:v>
      </x:c>
      <x:c r="B907" s="33" t="str">
        <x:v>Evidence Master</x:v>
      </x:c>
      <x:c r="C907" s="33" t="str">
        <x:v>Active=Yes; Remarks=Registration should remain valid.</x:v>
      </x:c>
      <x:c r="D907" s="33" t="str">
        <x:v>Active=No; Remarks=P-3 QUARANTINED: Generic State/local/permit/reference rows, penalty-only/fabricated DAMR extractions, and future-effective DPDP duties are not current production obligations.</x:v>
      </x:c>
      <x:c r="E907" s="33" t="str">
        <x:v>RECLASSIFY / QUARANTINE</x:v>
      </x:c>
      <x:c r="F907" s="33" t="str">
        <x:v>Generic State/local/permit/reference rows, penalty-only/fabricated DAMR extractions, and future-effective DPDP duties are not current production obligations.</x:v>
      </x:c>
      <x:c r="G907" s="33" t="str">
        <x:v>P-3 chain reconciliation</x:v>
      </x:c>
      <x:c r="H907" s="33" t="str">
        <x:v>https://www.meity.gov.in/documents/act-and-policies/digital-personal-data-protection-rules-2025-gDOxUjMtQWa | https://consumeraffairs.nic.in/acts-and-rules/consumer-protection/consumer-protection | P3 Jurisdiction Register</x:v>
      </x:c>
      <x:c r="I907" s="33" t="str">
        <x:v>P-3</x:v>
      </x:c>
      <x:c r="J907" s="33" t="str">
        <x:v>2026-08-20</x:v>
      </x:c>
      <x:c r="K907" s="33" t="str">
        <x:v>Legacy IDs retained inactive; no false production obligation remains.</x:v>
      </x:c>
    </x:row>
    <x:row r="908">
      <x:c r="A908" s="33" t="str">
        <x:v>EVD403</x:v>
      </x:c>
      <x:c r="B908" s="33" t="str">
        <x:v>Evidence Master</x:v>
      </x:c>
      <x:c r="C908" s="33" t="str">
        <x:v>Active=Yes; Remarks=Renewal evidence where applicable.</x:v>
      </x:c>
      <x:c r="D908" s="33" t="str">
        <x:v>Active=No; Remarks=P-3 QUARANTINED: Generic State/local/permit/reference rows, penalty-only/fabricated DAMR extractions, and future-effective DPDP duties are not current production obligations.</x:v>
      </x:c>
      <x:c r="E908" s="33" t="str">
        <x:v>RECLASSIFY / QUARANTINE</x:v>
      </x:c>
      <x:c r="F908" s="33" t="str">
        <x:v>Generic State/local/permit/reference rows, penalty-only/fabricated DAMR extractions, and future-effective DPDP duties are not current production obligations.</x:v>
      </x:c>
      <x:c r="G908" s="33" t="str">
        <x:v>P-3 chain reconciliation</x:v>
      </x:c>
      <x:c r="H908" s="33" t="str">
        <x:v>https://www.meity.gov.in/documents/act-and-policies/digital-personal-data-protection-rules-2025-gDOxUjMtQWa | https://consumeraffairs.nic.in/acts-and-rules/consumer-protection/consumer-protection | P3 Jurisdiction Register</x:v>
      </x:c>
      <x:c r="I908" s="33" t="str">
        <x:v>P-3</x:v>
      </x:c>
      <x:c r="J908" s="33" t="str">
        <x:v>2026-08-20</x:v>
      </x:c>
      <x:c r="K908" s="33" t="str">
        <x:v>Legacy IDs retained inactive; no false production obligation remains.</x:v>
      </x:c>
    </x:row>
    <x:row r="909">
      <x:c r="A909" s="33" t="str">
        <x:v>EVD404</x:v>
      </x:c>
      <x:c r="B909" s="33" t="str">
        <x:v>Evidence Master</x:v>
      </x:c>
      <x:c r="C909" s="33" t="str">
        <x:v>Active=Yes; Remarks=Define regulatory responsibilities.</x:v>
      </x:c>
      <x:c r="D909" s="33" t="str">
        <x:v>Active=No; Remarks=P-3 QUARANTINED: Generic State/local/permit/reference rows, penalty-only/fabricated DAMR extractions, and future-effective DPDP duties are not current production obligations.</x:v>
      </x:c>
      <x:c r="E909" s="33" t="str">
        <x:v>RECLASSIFY / QUARANTINE</x:v>
      </x:c>
      <x:c r="F909" s="33" t="str">
        <x:v>Generic State/local/permit/reference rows, penalty-only/fabricated DAMR extractions, and future-effective DPDP duties are not current production obligations.</x:v>
      </x:c>
      <x:c r="G909" s="33" t="str">
        <x:v>P-3 chain reconciliation</x:v>
      </x:c>
      <x:c r="H909" s="33" t="str">
        <x:v>https://www.meity.gov.in/documents/act-and-policies/digital-personal-data-protection-rules-2025-gDOxUjMtQWa | https://consumeraffairs.nic.in/acts-and-rules/consumer-protection/consumer-protection | P3 Jurisdiction Register</x:v>
      </x:c>
      <x:c r="I909" s="33" t="str">
        <x:v>P-3</x:v>
      </x:c>
      <x:c r="J909" s="33" t="str">
        <x:v>2026-08-20</x:v>
      </x:c>
      <x:c r="K909" s="33" t="str">
        <x:v>Legacy IDs retained inactive; no false production obligation remains.</x:v>
      </x:c>
    </x:row>
    <x:row r="910">
      <x:c r="A910" s="33" t="str">
        <x:v>EVD405</x:v>
      </x:c>
      <x:c r="B910" s="33" t="str">
        <x:v>Evidence Master</x:v>
      </x:c>
      <x:c r="C910" s="33" t="str">
        <x:v>Active=Yes; Remarks=Clearly define assigned duties.</x:v>
      </x:c>
      <x:c r="D910" s="33" t="str">
        <x:v>Active=No; Remarks=P-3 QUARANTINED: Generic State/local/permit/reference rows, penalty-only/fabricated DAMR extractions, and future-effective DPDP duties are not current production obligations.</x:v>
      </x:c>
      <x:c r="E910" s="33" t="str">
        <x:v>RECLASSIFY / QUARANTINE</x:v>
      </x:c>
      <x:c r="F910" s="33" t="str">
        <x:v>Generic State/local/permit/reference rows, penalty-only/fabricated DAMR extractions, and future-effective DPDP duties are not current production obligations.</x:v>
      </x:c>
      <x:c r="G910" s="33" t="str">
        <x:v>P-3 chain reconciliation</x:v>
      </x:c>
      <x:c r="H910" s="33" t="str">
        <x:v>https://www.meity.gov.in/documents/act-and-policies/digital-personal-data-protection-rules-2025-gDOxUjMtQWa | https://consumeraffairs.nic.in/acts-and-rules/consumer-protection/consumer-protection | P3 Jurisdiction Register</x:v>
      </x:c>
      <x:c r="I910" s="33" t="str">
        <x:v>P-3</x:v>
      </x:c>
      <x:c r="J910" s="33" t="str">
        <x:v>2026-08-20</x:v>
      </x:c>
      <x:c r="K910" s="33" t="str">
        <x:v>Legacy IDs retained inactive; no false production obligation remains.</x:v>
      </x:c>
    </x:row>
    <x:row r="911">
      <x:c r="A911" s="33" t="str">
        <x:v>EVD406</x:v>
      </x:c>
      <x:c r="B911" s="33" t="str">
        <x:v>Evidence Master</x:v>
      </x:c>
      <x:c r="C911" s="33" t="str">
        <x:v>Active=Yes; Remarks=Mandatory before commencement of duties.</x:v>
      </x:c>
      <x:c r="D911" s="33" t="str">
        <x:v>Active=No; Remarks=P-3 QUARANTINED: Generic State/local/permit/reference rows, penalty-only/fabricated DAMR extractions, and future-effective DPDP duties are not current production obligations.</x:v>
      </x:c>
      <x:c r="E911" s="33" t="str">
        <x:v>RECLASSIFY / QUARANTINE</x:v>
      </x:c>
      <x:c r="F911" s="33" t="str">
        <x:v>Generic State/local/permit/reference rows, penalty-only/fabricated DAMR extractions, and future-effective DPDP duties are not current production obligations.</x:v>
      </x:c>
      <x:c r="G911" s="33" t="str">
        <x:v>P-3 chain reconciliation</x:v>
      </x:c>
      <x:c r="H911" s="33" t="str">
        <x:v>https://www.meity.gov.in/documents/act-and-policies/digital-personal-data-protection-rules-2025-gDOxUjMtQWa | https://consumeraffairs.nic.in/acts-and-rules/consumer-protection/consumer-protection | P3 Jurisdiction Register</x:v>
      </x:c>
      <x:c r="I911" s="33" t="str">
        <x:v>P-3</x:v>
      </x:c>
      <x:c r="J911" s="33" t="str">
        <x:v>2026-08-20</x:v>
      </x:c>
      <x:c r="K911" s="33" t="str">
        <x:v>Legacy IDs retained inactive; no false production obligation remains.</x:v>
      </x:c>
    </x:row>
    <x:row r="912">
      <x:c r="A912" s="33" t="str">
        <x:v>EVD407</x:v>
      </x:c>
      <x:c r="B912" s="33" t="str">
        <x:v>Evidence Master</x:v>
      </x:c>
      <x:c r="C912" s="33" t="str">
        <x:v>Active=Yes; Remarks=Attendance evidence.</x:v>
      </x:c>
      <x:c r="D912" s="33" t="str">
        <x:v>Active=No; Remarks=P-3 QUARANTINED: Generic State/local/permit/reference rows, penalty-only/fabricated DAMR extractions, and future-effective DPDP duties are not current production obligations.</x:v>
      </x:c>
      <x:c r="E912" s="33" t="str">
        <x:v>RECLASSIFY / QUARANTINE</x:v>
      </x:c>
      <x:c r="F912" s="33" t="str">
        <x:v>Generic State/local/permit/reference rows, penalty-only/fabricated DAMR extractions, and future-effective DPDP duties are not current production obligations.</x:v>
      </x:c>
      <x:c r="G912" s="33" t="str">
        <x:v>P-3 chain reconciliation</x:v>
      </x:c>
      <x:c r="H912" s="33" t="str">
        <x:v>https://www.meity.gov.in/documents/act-and-policies/digital-personal-data-protection-rules-2025-gDOxUjMtQWa | https://consumeraffairs.nic.in/acts-and-rules/consumer-protection/consumer-protection | P3 Jurisdiction Register</x:v>
      </x:c>
      <x:c r="I912" s="33" t="str">
        <x:v>P-3</x:v>
      </x:c>
      <x:c r="J912" s="33" t="str">
        <x:v>2026-08-20</x:v>
      </x:c>
      <x:c r="K912" s="33" t="str">
        <x:v>Legacy IDs retained inactive; no false production obligation remains.</x:v>
      </x:c>
    </x:row>
    <x:row r="913">
      <x:c r="A913" s="33" t="str">
        <x:v>EVD408</x:v>
      </x:c>
      <x:c r="B913" s="33" t="str">
        <x:v>Evidence Master</x:v>
      </x:c>
      <x:c r="C913" s="33" t="str">
        <x:v>Active=Yes; Remarks=Approved training schedule.</x:v>
      </x:c>
      <x:c r="D913" s="33" t="str">
        <x:v>Active=No; Remarks=P-3 QUARANTINED: Generic State/local/permit/reference rows, penalty-only/fabricated DAMR extractions, and future-effective DPDP duties are not current production obligations.</x:v>
      </x:c>
      <x:c r="E913" s="33" t="str">
        <x:v>RECLASSIFY / QUARANTINE</x:v>
      </x:c>
      <x:c r="F913" s="33" t="str">
        <x:v>Generic State/local/permit/reference rows, penalty-only/fabricated DAMR extractions, and future-effective DPDP duties are not current production obligations.</x:v>
      </x:c>
      <x:c r="G913" s="33" t="str">
        <x:v>P-3 chain reconciliation</x:v>
      </x:c>
      <x:c r="H913" s="33" t="str">
        <x:v>https://www.meity.gov.in/documents/act-and-policies/digital-personal-data-protection-rules-2025-gDOxUjMtQWa | https://consumeraffairs.nic.in/acts-and-rules/consumer-protection/consumer-protection | P3 Jurisdiction Register</x:v>
      </x:c>
      <x:c r="I913" s="33" t="str">
        <x:v>P-3</x:v>
      </x:c>
      <x:c r="J913" s="33" t="str">
        <x:v>2026-08-20</x:v>
      </x:c>
      <x:c r="K913" s="33" t="str">
        <x:v>Legacy IDs retained inactive; no false production obligation remains.</x:v>
      </x:c>
    </x:row>
    <x:row r="914">
      <x:c r="A914" s="33" t="str">
        <x:v>EVD409</x:v>
      </x:c>
      <x:c r="B914" s="33" t="str">
        <x:v>Evidence Master</x:v>
      </x:c>
      <x:c r="C914" s="33" t="str">
        <x:v>Active=Yes; Remarks=Attendance should be documented for all participants.</x:v>
      </x:c>
      <x:c r="D914" s="33" t="str">
        <x:v>Active=No; Remarks=P-3 QUARANTINED: Generic State/local/permit/reference rows, penalty-only/fabricated DAMR extractions, and future-effective DPDP duties are not current production obligations.</x:v>
      </x:c>
      <x:c r="E914" s="33" t="str">
        <x:v>RECLASSIFY / QUARANTINE</x:v>
      </x:c>
      <x:c r="F914" s="33" t="str">
        <x:v>Generic State/local/permit/reference rows, penalty-only/fabricated DAMR extractions, and future-effective DPDP duties are not current production obligations.</x:v>
      </x:c>
      <x:c r="G914" s="33" t="str">
        <x:v>P-3 chain reconciliation</x:v>
      </x:c>
      <x:c r="H914" s="33" t="str">
        <x:v>https://www.meity.gov.in/documents/act-and-policies/digital-personal-data-protection-rules-2025-gDOxUjMtQWa | https://consumeraffairs.nic.in/acts-and-rules/consumer-protection/consumer-protection | P3 Jurisdiction Register</x:v>
      </x:c>
      <x:c r="I914" s="33" t="str">
        <x:v>P-3</x:v>
      </x:c>
      <x:c r="J914" s="33" t="str">
        <x:v>2026-08-20</x:v>
      </x:c>
      <x:c r="K914" s="33" t="str">
        <x:v>Legacy IDs retained inactive; no false production obligation remains.</x:v>
      </x:c>
    </x:row>
    <x:row r="915">
      <x:c r="A915" s="33" t="str">
        <x:v>EVD410</x:v>
      </x:c>
      <x:c r="B915" s="33" t="str">
        <x:v>Evidence Master</x:v>
      </x:c>
      <x:c r="C915" s="33" t="str">
        <x:v>Active=Yes; Remarks=Demonstrate understanding after training.</x:v>
      </x:c>
      <x:c r="D915" s="33" t="str">
        <x:v>Active=No; Remarks=P-3 QUARANTINED: Generic State/local/permit/reference rows, penalty-only/fabricated DAMR extractions, and future-effective DPDP duties are not current production obligations.</x:v>
      </x:c>
      <x:c r="E915" s="33" t="str">
        <x:v>RECLASSIFY / QUARANTINE</x:v>
      </x:c>
      <x:c r="F915" s="33" t="str">
        <x:v>Generic State/local/permit/reference rows, penalty-only/fabricated DAMR extractions, and future-effective DPDP duties are not current production obligations.</x:v>
      </x:c>
      <x:c r="G915" s="33" t="str">
        <x:v>P-3 chain reconciliation</x:v>
      </x:c>
      <x:c r="H915" s="33" t="str">
        <x:v>https://www.meity.gov.in/documents/act-and-policies/digital-personal-data-protection-rules-2025-gDOxUjMtQWa | https://consumeraffairs.nic.in/acts-and-rules/consumer-protection/consumer-protection | P3 Jurisdiction Register</x:v>
      </x:c>
      <x:c r="I915" s="33" t="str">
        <x:v>P-3</x:v>
      </x:c>
      <x:c r="J915" s="33" t="str">
        <x:v>2026-08-20</x:v>
      </x:c>
      <x:c r="K915" s="33" t="str">
        <x:v>Legacy IDs retained inactive; no false production obligation remains.</x:v>
      </x:c>
    </x:row>
    <x:row r="916">
      <x:c r="A916" s="33" t="str">
        <x:v>EVD411</x:v>
      </x:c>
      <x:c r="B916" s="33" t="str">
        <x:v>Evidence Master</x:v>
      </x:c>
      <x:c r="C916" s="33" t="str">
        <x:v>Active=Yes; Remarks=Record issuance of SOPs to employees.</x:v>
      </x:c>
      <x:c r="D916" s="33" t="str">
        <x:v>Active=No; Remarks=P-3 QUARANTINED: Generic State/local/permit/reference rows, penalty-only/fabricated DAMR extractions, and future-effective DPDP duties are not current production obligations.</x:v>
      </x:c>
      <x:c r="E916" s="33" t="str">
        <x:v>RECLASSIFY / QUARANTINE</x:v>
      </x:c>
      <x:c r="F916" s="33" t="str">
        <x:v>Generic State/local/permit/reference rows, penalty-only/fabricated DAMR extractions, and future-effective DPDP duties are not current production obligations.</x:v>
      </x:c>
      <x:c r="G916" s="33" t="str">
        <x:v>P-3 chain reconciliation</x:v>
      </x:c>
      <x:c r="H916" s="33" t="str">
        <x:v>https://www.meity.gov.in/documents/act-and-policies/digital-personal-data-protection-rules-2025-gDOxUjMtQWa | https://consumeraffairs.nic.in/acts-and-rules/consumer-protection/consumer-protection | P3 Jurisdiction Register</x:v>
      </x:c>
      <x:c r="I916" s="33" t="str">
        <x:v>P-3</x:v>
      </x:c>
      <x:c r="J916" s="33" t="str">
        <x:v>2026-08-20</x:v>
      </x:c>
      <x:c r="K916" s="33" t="str">
        <x:v>Legacy IDs retained inactive; no false production obligation remains.</x:v>
      </x:c>
    </x:row>
    <x:row r="917">
      <x:c r="A917" s="33" t="str">
        <x:v>EVD412</x:v>
      </x:c>
      <x:c r="B917" s="33" t="str">
        <x:v>Evidence Master</x:v>
      </x:c>
      <x:c r="C917" s="33" t="str">
        <x:v>Active=Yes; Remarks=Signed acknowledgement required.</x:v>
      </x:c>
      <x:c r="D917" s="33" t="str">
        <x:v>Active=No; Remarks=P-3 QUARANTINED: Generic State/local/permit/reference rows, penalty-only/fabricated DAMR extractions, and future-effective DPDP duties are not current production obligations.</x:v>
      </x:c>
      <x:c r="E917" s="33" t="str">
        <x:v>RECLASSIFY / QUARANTINE</x:v>
      </x:c>
      <x:c r="F917" s="33" t="str">
        <x:v>Generic State/local/permit/reference rows, penalty-only/fabricated DAMR extractions, and future-effective DPDP duties are not current production obligations.</x:v>
      </x:c>
      <x:c r="G917" s="33" t="str">
        <x:v>P-3 chain reconciliation</x:v>
      </x:c>
      <x:c r="H917" s="33" t="str">
        <x:v>https://www.meity.gov.in/documents/act-and-policies/digital-personal-data-protection-rules-2025-gDOxUjMtQWa | https://consumeraffairs.nic.in/acts-and-rules/consumer-protection/consumer-protection | P3 Jurisdiction Register</x:v>
      </x:c>
      <x:c r="I917" s="33" t="str">
        <x:v>P-3</x:v>
      </x:c>
      <x:c r="J917" s="33" t="str">
        <x:v>2026-08-20</x:v>
      </x:c>
      <x:c r="K917" s="33" t="str">
        <x:v>Legacy IDs retained inactive; no false production obligation remains.</x:v>
      </x:c>
    </x:row>
    <x:row r="918">
      <x:c r="A918" s="33" t="str">
        <x:v>EVD413</x:v>
      </x:c>
      <x:c r="B918" s="33" t="str">
        <x:v>Evidence Master</x:v>
      </x:c>
      <x:c r="C918" s="33" t="str">
        <x:v>Active=Yes; Remarks=Evaluate post-training competency.</x:v>
      </x:c>
      <x:c r="D918" s="33" t="str">
        <x:v>Active=No; Remarks=P-3 QUARANTINED: Generic State/local/permit/reference rows, penalty-only/fabricated DAMR extractions, and future-effective DPDP duties are not current production obligations.</x:v>
      </x:c>
      <x:c r="E918" s="33" t="str">
        <x:v>RECLASSIFY / QUARANTINE</x:v>
      </x:c>
      <x:c r="F918" s="33" t="str">
        <x:v>Generic State/local/permit/reference rows, penalty-only/fabricated DAMR extractions, and future-effective DPDP duties are not current production obligations.</x:v>
      </x:c>
      <x:c r="G918" s="33" t="str">
        <x:v>P-3 chain reconciliation</x:v>
      </x:c>
      <x:c r="H918" s="33" t="str">
        <x:v>https://www.meity.gov.in/documents/act-and-policies/digital-personal-data-protection-rules-2025-gDOxUjMtQWa | https://consumeraffairs.nic.in/acts-and-rules/consumer-protection/consumer-protection | P3 Jurisdiction Register</x:v>
      </x:c>
      <x:c r="I918" s="33" t="str">
        <x:v>P-3</x:v>
      </x:c>
      <x:c r="J918" s="33" t="str">
        <x:v>2026-08-20</x:v>
      </x:c>
      <x:c r="K918" s="33" t="str">
        <x:v>Legacy IDs retained inactive; no false production obligation remains.</x:v>
      </x:c>
    </x:row>
    <x:row r="919">
      <x:c r="A919" s="33" t="str">
        <x:v>EVD414</x:v>
      </x:c>
      <x:c r="B919" s="33" t="str">
        <x:v>Evidence Master</x:v>
      </x:c>
      <x:c r="C919" s="33" t="str">
        <x:v>Active=Yes; Remarks=Applicable where competency gaps exist.</x:v>
      </x:c>
      <x:c r="D919" s="33" t="str">
        <x:v>Active=No; Remarks=P-3 QUARANTINED: Generic State/local/permit/reference rows, penalty-only/fabricated DAMR extractions, and future-effective DPDP duties are not current production obligations.</x:v>
      </x:c>
      <x:c r="E919" s="33" t="str">
        <x:v>RECLASSIFY / QUARANTINE</x:v>
      </x:c>
      <x:c r="F919" s="33" t="str">
        <x:v>Generic State/local/permit/reference rows, penalty-only/fabricated DAMR extractions, and future-effective DPDP duties are not current production obligations.</x:v>
      </x:c>
      <x:c r="G919" s="33" t="str">
        <x:v>P-3 chain reconciliation</x:v>
      </x:c>
      <x:c r="H919" s="33" t="str">
        <x:v>https://www.meity.gov.in/documents/act-and-policies/digital-personal-data-protection-rules-2025-gDOxUjMtQWa | https://consumeraffairs.nic.in/acts-and-rules/consumer-protection/consumer-protection | P3 Jurisdiction Register</x:v>
      </x:c>
      <x:c r="I919" s="33" t="str">
        <x:v>P-3</x:v>
      </x:c>
      <x:c r="J919" s="33" t="str">
        <x:v>2026-08-20</x:v>
      </x:c>
      <x:c r="K919" s="33" t="str">
        <x:v>Legacy IDs retained inactive; no false production obligation remains.</x:v>
      </x:c>
    </x:row>
    <x:row r="920">
      <x:c r="A920" s="33" t="str">
        <x:v>EVD415</x:v>
      </x:c>
      <x:c r="B920" s="33" t="str">
        <x:v>Evidence Master</x:v>
      </x:c>
      <x:c r="C920" s="33" t="str">
        <x:v>Active=Yes; Remarks=Evidence of professional development.</x:v>
      </x:c>
      <x:c r="D920" s="33" t="str">
        <x:v>Active=No; Remarks=P-3 QUARANTINED: Generic State/local/permit/reference rows, penalty-only/fabricated DAMR extractions, and future-effective DPDP duties are not current production obligations.</x:v>
      </x:c>
      <x:c r="E920" s="33" t="str">
        <x:v>RECLASSIFY / QUARANTINE</x:v>
      </x:c>
      <x:c r="F920" s="33" t="str">
        <x:v>Generic State/local/permit/reference rows, penalty-only/fabricated DAMR extractions, and future-effective DPDP duties are not current production obligations.</x:v>
      </x:c>
      <x:c r="G920" s="33" t="str">
        <x:v>P-3 chain reconciliation</x:v>
      </x:c>
      <x:c r="H920" s="33" t="str">
        <x:v>https://www.meity.gov.in/documents/act-and-policies/digital-personal-data-protection-rules-2025-gDOxUjMtQWa | https://consumeraffairs.nic.in/acts-and-rules/consumer-protection/consumer-protection | P3 Jurisdiction Register</x:v>
      </x:c>
      <x:c r="I920" s="33" t="str">
        <x:v>P-3</x:v>
      </x:c>
      <x:c r="J920" s="33" t="str">
        <x:v>2026-08-20</x:v>
      </x:c>
      <x:c r="K920" s="33" t="str">
        <x:v>Legacy IDs retained inactive; no false production obligation remains.</x:v>
      </x:c>
    </x:row>
    <x:row r="921">
      <x:c r="A921" s="33" t="str">
        <x:v>EVD416</x:v>
      </x:c>
      <x:c r="B921" s="33" t="str">
        <x:v>Evidence Master</x:v>
      </x:c>
      <x:c r="C921" s="33" t="str">
        <x:v>Active=Yes; Remarks=Maintain CPE history.</x:v>
      </x:c>
      <x:c r="D921" s="33" t="str">
        <x:v>Active=No; Remarks=P-3 QUARANTINED: Generic State/local/permit/reference rows, penalty-only/fabricated DAMR extractions, and future-effective DPDP duties are not current production obligations.</x:v>
      </x:c>
      <x:c r="E921" s="33" t="str">
        <x:v>RECLASSIFY / QUARANTINE</x:v>
      </x:c>
      <x:c r="F921" s="33" t="str">
        <x:v>Generic State/local/permit/reference rows, penalty-only/fabricated DAMR extractions, and future-effective DPDP duties are not current production obligations.</x:v>
      </x:c>
      <x:c r="G921" s="33" t="str">
        <x:v>P-3 chain reconciliation</x:v>
      </x:c>
      <x:c r="H921" s="33" t="str">
        <x:v>https://www.meity.gov.in/documents/act-and-policies/digital-personal-data-protection-rules-2025-gDOxUjMtQWa | https://consumeraffairs.nic.in/acts-and-rules/consumer-protection/consumer-protection | P3 Jurisdiction Register</x:v>
      </x:c>
      <x:c r="I921" s="33" t="str">
        <x:v>P-3</x:v>
      </x:c>
      <x:c r="J921" s="33" t="str">
        <x:v>2026-08-20</x:v>
      </x:c>
      <x:c r="K921" s="33" t="str">
        <x:v>Legacy IDs retained inactive; no false production obligation remains.</x:v>
      </x:c>
    </x:row>
    <x:row r="922">
      <x:c r="A922" s="33" t="str">
        <x:v>EVD417</x:v>
      </x:c>
      <x:c r="B922" s="33" t="str">
        <x:v>Evidence Master</x:v>
      </x:c>
      <x:c r="C922" s="33" t="str">
        <x:v>Active=Yes; Remarks=Verify pharmacist presence during operating hours.</x:v>
      </x:c>
      <x:c r="D922" s="33" t="str">
        <x:v>Active=No; Remarks=P-3 QUARANTINED: Generic State/local/permit/reference rows, penalty-only/fabricated DAMR extractions, and future-effective DPDP duties are not current production obligations.</x:v>
      </x:c>
      <x:c r="E922" s="33" t="str">
        <x:v>RECLASSIFY / QUARANTINE</x:v>
      </x:c>
      <x:c r="F922" s="33" t="str">
        <x:v>Generic State/local/permit/reference rows, penalty-only/fabricated DAMR extractions, and future-effective DPDP duties are not current production obligations.</x:v>
      </x:c>
      <x:c r="G922" s="33" t="str">
        <x:v>P-3 chain reconciliation</x:v>
      </x:c>
      <x:c r="H922" s="33" t="str">
        <x:v>https://www.meity.gov.in/documents/act-and-policies/digital-personal-data-protection-rules-2025-gDOxUjMtQWa | https://consumeraffairs.nic.in/acts-and-rules/consumer-protection/consumer-protection | P3 Jurisdiction Register</x:v>
      </x:c>
      <x:c r="I922" s="33" t="str">
        <x:v>P-3</x:v>
      </x:c>
      <x:c r="J922" s="33" t="str">
        <x:v>2026-08-20</x:v>
      </x:c>
      <x:c r="K922" s="33" t="str">
        <x:v>Legacy IDs retained inactive; no false production obligation remains.</x:v>
      </x:c>
    </x:row>
    <x:row r="923">
      <x:c r="A923" s="33" t="str">
        <x:v>EVD418</x:v>
      </x:c>
      <x:c r="B923" s="33" t="str">
        <x:v>Evidence Master</x:v>
      </x:c>
      <x:c r="C923" s="33" t="str">
        <x:v>Active=Yes; Remarks=Match attendance with operating schedule.</x:v>
      </x:c>
      <x:c r="D923" s="33" t="str">
        <x:v>Active=No; Remarks=P-3 QUARANTINED: Generic State/local/permit/reference rows, penalty-only/fabricated DAMR extractions, and future-effective DPDP duties are not current production obligations.</x:v>
      </x:c>
      <x:c r="E923" s="33" t="str">
        <x:v>RECLASSIFY / QUARANTINE</x:v>
      </x:c>
      <x:c r="F923" s="33" t="str">
        <x:v>Generic State/local/permit/reference rows, penalty-only/fabricated DAMR extractions, and future-effective DPDP duties are not current production obligations.</x:v>
      </x:c>
      <x:c r="G923" s="33" t="str">
        <x:v>P-3 chain reconciliation</x:v>
      </x:c>
      <x:c r="H923" s="33" t="str">
        <x:v>https://www.meity.gov.in/documents/act-and-policies/digital-personal-data-protection-rules-2025-gDOxUjMtQWa | https://consumeraffairs.nic.in/acts-and-rules/consumer-protection/consumer-protection | P3 Jurisdiction Register</x:v>
      </x:c>
      <x:c r="I923" s="33" t="str">
        <x:v>P-3</x:v>
      </x:c>
      <x:c r="J923" s="33" t="str">
        <x:v>2026-08-20</x:v>
      </x:c>
      <x:c r="K923" s="33" t="str">
        <x:v>Legacy IDs retained inactive; no false production obligation remains.</x:v>
      </x:c>
    </x:row>
    <x:row r="924">
      <x:c r="A924" s="33" t="str">
        <x:v>EVD419</x:v>
      </x:c>
      <x:c r="B924" s="33" t="str">
        <x:v>Evidence Master</x:v>
      </x:c>
      <x:c r="C924" s="33" t="str">
        <x:v>Active=Yes; Remarks=Staffing approved by management.</x:v>
      </x:c>
      <x:c r="D924" s="33" t="str">
        <x:v>Active=No; Remarks=P-3 QUARANTINED: Generic State/local/permit/reference rows, penalty-only/fabricated DAMR extractions, and future-effective DPDP duties are not current production obligations.</x:v>
      </x:c>
      <x:c r="E924" s="33" t="str">
        <x:v>RECLASSIFY / QUARANTINE</x:v>
      </x:c>
      <x:c r="F924" s="33" t="str">
        <x:v>Generic State/local/permit/reference rows, penalty-only/fabricated DAMR extractions, and future-effective DPDP duties are not current production obligations.</x:v>
      </x:c>
      <x:c r="G924" s="33" t="str">
        <x:v>P-3 chain reconciliation</x:v>
      </x:c>
      <x:c r="H924" s="33" t="str">
        <x:v>https://www.meity.gov.in/documents/act-and-policies/digital-personal-data-protection-rules-2025-gDOxUjMtQWa | https://consumeraffairs.nic.in/acts-and-rules/consumer-protection/consumer-protection | P3 Jurisdiction Register</x:v>
      </x:c>
      <x:c r="I924" s="33" t="str">
        <x:v>P-3</x:v>
      </x:c>
      <x:c r="J924" s="33" t="str">
        <x:v>2026-08-20</x:v>
      </x:c>
      <x:c r="K924" s="33" t="str">
        <x:v>Legacy IDs retained inactive; no false production obligation remains.</x:v>
      </x:c>
    </x:row>
    <x:row r="925">
      <x:c r="A925" s="33" t="str">
        <x:v>EVD420</x:v>
      </x:c>
      <x:c r="B925" s="33" t="str">
        <x:v>Evidence Master</x:v>
      </x:c>
      <x:c r="C925" s="33" t="str">
        <x:v>Active=Yes; Remarks=Demonstrate reporting structure.</x:v>
      </x:c>
      <x:c r="D925" s="33" t="str">
        <x:v>Active=No; Remarks=P-3 QUARANTINED: Generic State/local/permit/reference rows, penalty-only/fabricated DAMR extractions, and future-effective DPDP duties are not current production obligations.</x:v>
      </x:c>
      <x:c r="E925" s="33" t="str">
        <x:v>RECLASSIFY / QUARANTINE</x:v>
      </x:c>
      <x:c r="F925" s="33" t="str">
        <x:v>Generic State/local/permit/reference rows, penalty-only/fabricated DAMR extractions, and future-effective DPDP duties are not current production obligations.</x:v>
      </x:c>
      <x:c r="G925" s="33" t="str">
        <x:v>P-3 chain reconciliation</x:v>
      </x:c>
      <x:c r="H925" s="33" t="str">
        <x:v>https://www.meity.gov.in/documents/act-and-policies/digital-personal-data-protection-rules-2025-gDOxUjMtQWa | https://consumeraffairs.nic.in/acts-and-rules/consumer-protection/consumer-protection | P3 Jurisdiction Register</x:v>
      </x:c>
      <x:c r="I925" s="33" t="str">
        <x:v>P-3</x:v>
      </x:c>
      <x:c r="J925" s="33" t="str">
        <x:v>2026-08-20</x:v>
      </x:c>
      <x:c r="K925" s="33" t="str">
        <x:v>Legacy IDs retained inactive; no false production obligation remains.</x:v>
      </x:c>
    </x:row>
    <x:row r="926">
      <x:c r="A926" s="33" t="str">
        <x:v>EVD421</x:v>
      </x:c>
      <x:c r="B926" s="33" t="str">
        <x:v>Evidence Master</x:v>
      </x:c>
      <x:c r="C926" s="33" t="str">
        <x:v>Active=Yes; Remarks=Verify competency before engagement.</x:v>
      </x:c>
      <x:c r="D926" s="33" t="str">
        <x:v>Active=No; Remarks=P-3 QUARANTINED: Generic State/local/permit/reference rows, penalty-only/fabricated DAMR extractions, and future-effective DPDP duties are not current production obligations.</x:v>
      </x:c>
      <x:c r="E926" s="33" t="str">
        <x:v>RECLASSIFY / QUARANTINE</x:v>
      </x:c>
      <x:c r="F926" s="33" t="str">
        <x:v>Generic State/local/permit/reference rows, penalty-only/fabricated DAMR extractions, and future-effective DPDP duties are not current production obligations.</x:v>
      </x:c>
      <x:c r="G926" s="33" t="str">
        <x:v>P-3 chain reconciliation</x:v>
      </x:c>
      <x:c r="H926" s="33" t="str">
        <x:v>https://www.meity.gov.in/documents/act-and-policies/digital-personal-data-protection-rules-2025-gDOxUjMtQWa | https://consumeraffairs.nic.in/acts-and-rules/consumer-protection/consumer-protection | P3 Jurisdiction Register</x:v>
      </x:c>
      <x:c r="I926" s="33" t="str">
        <x:v>P-3</x:v>
      </x:c>
      <x:c r="J926" s="33" t="str">
        <x:v>2026-08-20</x:v>
      </x:c>
      <x:c r="K926" s="33" t="str">
        <x:v>Legacy IDs retained inactive; no false production obligation remains.</x:v>
      </x:c>
    </x:row>
    <x:row r="927">
      <x:c r="A927" s="33" t="str">
        <x:v>EVD422</x:v>
      </x:c>
      <x:c r="B927" s="33" t="str">
        <x:v>Evidence Master</x:v>
      </x:c>
      <x:c r="C927" s="33" t="str">
        <x:v>Active=Yes; Remarks=Authorization prior to deployment.</x:v>
      </x:c>
      <x:c r="D927" s="33" t="str">
        <x:v>Active=No; Remarks=P-3 QUARANTINED: Generic State/local/permit/reference rows, penalty-only/fabricated DAMR extractions, and future-effective DPDP duties are not current production obligations.</x:v>
      </x:c>
      <x:c r="E927" s="33" t="str">
        <x:v>RECLASSIFY / QUARANTINE</x:v>
      </x:c>
      <x:c r="F927" s="33" t="str">
        <x:v>Generic State/local/permit/reference rows, penalty-only/fabricated DAMR extractions, and future-effective DPDP duties are not current production obligations.</x:v>
      </x:c>
      <x:c r="G927" s="33" t="str">
        <x:v>P-3 chain reconciliation</x:v>
      </x:c>
      <x:c r="H927" s="33" t="str">
        <x:v>https://www.meity.gov.in/documents/act-and-policies/digital-personal-data-protection-rules-2025-gDOxUjMtQWa | https://consumeraffairs.nic.in/acts-and-rules/consumer-protection/consumer-protection | P3 Jurisdiction Register</x:v>
      </x:c>
      <x:c r="I927" s="33" t="str">
        <x:v>P-3</x:v>
      </x:c>
      <x:c r="J927" s="33" t="str">
        <x:v>2026-08-20</x:v>
      </x:c>
      <x:c r="K927" s="33" t="str">
        <x:v>Legacy IDs retained inactive; no false production obligation remains.</x:v>
      </x:c>
    </x:row>
    <x:row r="928">
      <x:c r="A928" s="33" t="str">
        <x:v>EVD423</x:v>
      </x:c>
      <x:c r="B928" s="33" t="str">
        <x:v>Evidence Master</x:v>
      </x:c>
      <x:c r="C928" s="33" t="str">
        <x:v>Active=Yes; Remarks=Annual declaration by employees.</x:v>
      </x:c>
      <x:c r="D928" s="33" t="str">
        <x:v>Active=No; Remarks=P-3 QUARANTINED: Generic State/local/permit/reference rows, penalty-only/fabricated DAMR extractions, and future-effective DPDP duties are not current production obligations.</x:v>
      </x:c>
      <x:c r="E928" s="33" t="str">
        <x:v>RECLASSIFY / QUARANTINE</x:v>
      </x:c>
      <x:c r="F928" s="33" t="str">
        <x:v>Generic State/local/permit/reference rows, penalty-only/fabricated DAMR extractions, and future-effective DPDP duties are not current production obligations.</x:v>
      </x:c>
      <x:c r="G928" s="33" t="str">
        <x:v>P-3 chain reconciliation</x:v>
      </x:c>
      <x:c r="H928" s="33" t="str">
        <x:v>https://www.meity.gov.in/documents/act-and-policies/digital-personal-data-protection-rules-2025-gDOxUjMtQWa | https://consumeraffairs.nic.in/acts-and-rules/consumer-protection/consumer-protection | P3 Jurisdiction Register</x:v>
      </x:c>
      <x:c r="I928" s="33" t="str">
        <x:v>P-3</x:v>
      </x:c>
      <x:c r="J928" s="33" t="str">
        <x:v>2026-08-20</x:v>
      </x:c>
      <x:c r="K928" s="33" t="str">
        <x:v>Legacy IDs retained inactive; no false production obligation remains.</x:v>
      </x:c>
    </x:row>
    <x:row r="929">
      <x:c r="A929" s="33" t="str">
        <x:v>EVD424</x:v>
      </x:c>
      <x:c r="B929" s="33" t="str">
        <x:v>Evidence Master</x:v>
      </x:c>
      <x:c r="C929" s="33" t="str">
        <x:v>Active=Yes; Remarks=Track identified conflicts.</x:v>
      </x:c>
      <x:c r="D929" s="33" t="str">
        <x:v>Active=No; Remarks=P-3 QUARANTINED: Generic State/local/permit/reference rows, penalty-only/fabricated DAMR extractions, and future-effective DPDP duties are not current production obligations.</x:v>
      </x:c>
      <x:c r="E929" s="33" t="str">
        <x:v>RECLASSIFY / QUARANTINE</x:v>
      </x:c>
      <x:c r="F929" s="33" t="str">
        <x:v>Generic State/local/permit/reference rows, penalty-only/fabricated DAMR extractions, and future-effective DPDP duties are not current production obligations.</x:v>
      </x:c>
      <x:c r="G929" s="33" t="str">
        <x:v>P-3 chain reconciliation</x:v>
      </x:c>
      <x:c r="H929" s="33" t="str">
        <x:v>https://www.meity.gov.in/documents/act-and-policies/digital-personal-data-protection-rules-2025-gDOxUjMtQWa | https://consumeraffairs.nic.in/acts-and-rules/consumer-protection/consumer-protection | P3 Jurisdiction Register</x:v>
      </x:c>
      <x:c r="I929" s="33" t="str">
        <x:v>P-3</x:v>
      </x:c>
      <x:c r="J929" s="33" t="str">
        <x:v>2026-08-20</x:v>
      </x:c>
      <x:c r="K929" s="33" t="str">
        <x:v>Legacy IDs retained inactive; no false production obligation remains.</x:v>
      </x:c>
    </x:row>
    <x:row r="930">
      <x:c r="A930" s="33" t="str">
        <x:v>EVD425</x:v>
      </x:c>
      <x:c r="B930" s="33" t="str">
        <x:v>Evidence Master</x:v>
      </x:c>
      <x:c r="C930" s="33" t="str">
        <x:v>Active=Yes; Remarks=Record regulatory disciplinary actions.</x:v>
      </x:c>
      <x:c r="D930" s="33" t="str">
        <x:v>Active=No; Remarks=P-3 QUARANTINED: Generic State/local/permit/reference rows, penalty-only/fabricated DAMR extractions, and future-effective DPDP duties are not current production obligations.</x:v>
      </x:c>
      <x:c r="E930" s="33" t="str">
        <x:v>RECLASSIFY / QUARANTINE</x:v>
      </x:c>
      <x:c r="F930" s="33" t="str">
        <x:v>Generic State/local/permit/reference rows, penalty-only/fabricated DAMR extractions, and future-effective DPDP duties are not current production obligations.</x:v>
      </x:c>
      <x:c r="G930" s="33" t="str">
        <x:v>P-3 chain reconciliation</x:v>
      </x:c>
      <x:c r="H930" s="33" t="str">
        <x:v>https://www.meity.gov.in/documents/act-and-policies/digital-personal-data-protection-rules-2025-gDOxUjMtQWa | https://consumeraffairs.nic.in/acts-and-rules/consumer-protection/consumer-protection | P3 Jurisdiction Register</x:v>
      </x:c>
      <x:c r="I930" s="33" t="str">
        <x:v>P-3</x:v>
      </x:c>
      <x:c r="J930" s="33" t="str">
        <x:v>2026-08-20</x:v>
      </x:c>
      <x:c r="K930" s="33" t="str">
        <x:v>Legacy IDs retained inactive; no false production obligation remains.</x:v>
      </x:c>
    </x:row>
    <x:row r="931">
      <x:c r="A931" s="33" t="str">
        <x:v>EVD426</x:v>
      </x:c>
      <x:c r="B931" s="33" t="str">
        <x:v>Evidence Master</x:v>
      </x:c>
      <x:c r="C931" s="33" t="str">
        <x:v>Active=Yes; Remarks=Investigation findings.</x:v>
      </x:c>
      <x:c r="D931" s="33" t="str">
        <x:v>Active=No; Remarks=P-3 QUARANTINED: Generic State/local/permit/reference rows, penalty-only/fabricated DAMR extractions, and future-effective DPDP duties are not current production obligations.</x:v>
      </x:c>
      <x:c r="E931" s="33" t="str">
        <x:v>RECLASSIFY / QUARANTINE</x:v>
      </x:c>
      <x:c r="F931" s="33" t="str">
        <x:v>Generic State/local/permit/reference rows, penalty-only/fabricated DAMR extractions, and future-effective DPDP duties are not current production obligations.</x:v>
      </x:c>
      <x:c r="G931" s="33" t="str">
        <x:v>P-3 chain reconciliation</x:v>
      </x:c>
      <x:c r="H931" s="33" t="str">
        <x:v>https://www.meity.gov.in/documents/act-and-policies/digital-personal-data-protection-rules-2025-gDOxUjMtQWa | https://consumeraffairs.nic.in/acts-and-rules/consumer-protection/consumer-protection | P3 Jurisdiction Register</x:v>
      </x:c>
      <x:c r="I931" s="33" t="str">
        <x:v>P-3</x:v>
      </x:c>
      <x:c r="J931" s="33" t="str">
        <x:v>2026-08-20</x:v>
      </x:c>
      <x:c r="K931" s="33" t="str">
        <x:v>Legacy IDs retained inactive; no false production obligation remains.</x:v>
      </x:c>
    </x:row>
    <x:row r="932">
      <x:c r="A932" s="33" t="str">
        <x:v>EVD427</x:v>
      </x:c>
      <x:c r="B932" s="33" t="str">
        <x:v>Evidence Master</x:v>
      </x:c>
      <x:c r="C932" s="33" t="str">
        <x:v>Active=Yes; Remarks=Applicable occupational health evidence.</x:v>
      </x:c>
      <x:c r="D932" s="33" t="str">
        <x:v>Active=No; Remarks=P-3 QUARANTINED: Generic State/local/permit/reference rows, penalty-only/fabricated DAMR extractions, and future-effective DPDP duties are not current production obligations.</x:v>
      </x:c>
      <x:c r="E932" s="33" t="str">
        <x:v>RECLASSIFY / QUARANTINE</x:v>
      </x:c>
      <x:c r="F932" s="33" t="str">
        <x:v>Generic State/local/permit/reference rows, penalty-only/fabricated DAMR extractions, and future-effective DPDP duties are not current production obligations.</x:v>
      </x:c>
      <x:c r="G932" s="33" t="str">
        <x:v>P-3 chain reconciliation</x:v>
      </x:c>
      <x:c r="H932" s="33" t="str">
        <x:v>https://www.meity.gov.in/documents/act-and-policies/digital-personal-data-protection-rules-2025-gDOxUjMtQWa | https://consumeraffairs.nic.in/acts-and-rules/consumer-protection/consumer-protection | P3 Jurisdiction Register</x:v>
      </x:c>
      <x:c r="I932" s="33" t="str">
        <x:v>P-3</x:v>
      </x:c>
      <x:c r="J932" s="33" t="str">
        <x:v>2026-08-20</x:v>
      </x:c>
      <x:c r="K932" s="33" t="str">
        <x:v>Legacy IDs retained inactive; no false production obligation remains.</x:v>
      </x:c>
    </x:row>
    <x:row r="933">
      <x:c r="A933" s="33" t="str">
        <x:v>EVD428</x:v>
      </x:c>
      <x:c r="B933" s="33" t="str">
        <x:v>Evidence Master</x:v>
      </x:c>
      <x:c r="C933" s="33" t="str">
        <x:v>Active=Yes; Remarks=Track medical examinations.</x:v>
      </x:c>
      <x:c r="D933" s="33" t="str">
        <x:v>Active=No; Remarks=P-3 QUARANTINED: Generic State/local/permit/reference rows, penalty-only/fabricated DAMR extractions, and future-effective DPDP duties are not current production obligations.</x:v>
      </x:c>
      <x:c r="E933" s="33" t="str">
        <x:v>RECLASSIFY / QUARANTINE</x:v>
      </x:c>
      <x:c r="F933" s="33" t="str">
        <x:v>Generic State/local/permit/reference rows, penalty-only/fabricated DAMR extractions, and future-effective DPDP duties are not current production obligations.</x:v>
      </x:c>
      <x:c r="G933" s="33" t="str">
        <x:v>P-3 chain reconciliation</x:v>
      </x:c>
      <x:c r="H933" s="33" t="str">
        <x:v>https://www.meity.gov.in/documents/act-and-policies/digital-personal-data-protection-rules-2025-gDOxUjMtQWa | https://consumeraffairs.nic.in/acts-and-rules/consumer-protection/consumer-protection | P3 Jurisdiction Register</x:v>
      </x:c>
      <x:c r="I933" s="33" t="str">
        <x:v>P-3</x:v>
      </x:c>
      <x:c r="J933" s="33" t="str">
        <x:v>2026-08-20</x:v>
      </x:c>
      <x:c r="K933" s="33" t="str">
        <x:v>Legacy IDs retained inactive; no false production obligation remains.</x:v>
      </x:c>
    </x:row>
    <x:row r="934">
      <x:c r="A934" s="33" t="str">
        <x:v>EVD429</x:v>
      </x:c>
      <x:c r="B934" s="33" t="str">
        <x:v>Evidence Master</x:v>
      </x:c>
      <x:c r="C934" s="33" t="str">
        <x:v>Active=Yes; Remarks=System access approval.</x:v>
      </x:c>
      <x:c r="D934" s="33" t="str">
        <x:v>Active=No; Remarks=P-3 QUARANTINED: Generic State/local/permit/reference rows, penalty-only/fabricated DAMR extractions, and future-effective DPDP duties are not current production obligations.</x:v>
      </x:c>
      <x:c r="E934" s="33" t="str">
        <x:v>RECLASSIFY / QUARANTINE</x:v>
      </x:c>
      <x:c r="F934" s="33" t="str">
        <x:v>Generic State/local/permit/reference rows, penalty-only/fabricated DAMR extractions, and future-effective DPDP duties are not current production obligations.</x:v>
      </x:c>
      <x:c r="G934" s="33" t="str">
        <x:v>P-3 chain reconciliation</x:v>
      </x:c>
      <x:c r="H934" s="33" t="str">
        <x:v>https://www.meity.gov.in/documents/act-and-policies/digital-personal-data-protection-rules-2025-gDOxUjMtQWa | https://consumeraffairs.nic.in/acts-and-rules/consumer-protection/consumer-protection | P3 Jurisdiction Register</x:v>
      </x:c>
      <x:c r="I934" s="33" t="str">
        <x:v>P-3</x:v>
      </x:c>
      <x:c r="J934" s="33" t="str">
        <x:v>2026-08-20</x:v>
      </x:c>
      <x:c r="K934" s="33" t="str">
        <x:v>Legacy IDs retained inactive; no false production obligation remains.</x:v>
      </x:c>
    </x:row>
    <x:row r="935">
      <x:c r="A935" s="33" t="str">
        <x:v>EVD430</x:v>
      </x:c>
      <x:c r="B935" s="33" t="str">
        <x:v>Evidence Master</x:v>
      </x:c>
      <x:c r="C935" s="33" t="str">
        <x:v>Active=Yes; Remarks=Role-based access documentation.</x:v>
      </x:c>
      <x:c r="D935" s="33" t="str">
        <x:v>Active=No; Remarks=P-3 QUARANTINED: Generic State/local/permit/reference rows, penalty-only/fabricated DAMR extractions, and future-effective DPDP duties are not current production obligations.</x:v>
      </x:c>
      <x:c r="E935" s="33" t="str">
        <x:v>RECLASSIFY / QUARANTINE</x:v>
      </x:c>
      <x:c r="F935" s="33" t="str">
        <x:v>Generic State/local/permit/reference rows, penalty-only/fabricated DAMR extractions, and future-effective DPDP duties are not current production obligations.</x:v>
      </x:c>
      <x:c r="G935" s="33" t="str">
        <x:v>P-3 chain reconciliation</x:v>
      </x:c>
      <x:c r="H935" s="33" t="str">
        <x:v>https://www.meity.gov.in/documents/act-and-policies/digital-personal-data-protection-rules-2025-gDOxUjMtQWa | https://consumeraffairs.nic.in/acts-and-rules/consumer-protection/consumer-protection | P3 Jurisdiction Register</x:v>
      </x:c>
      <x:c r="I935" s="33" t="str">
        <x:v>P-3</x:v>
      </x:c>
      <x:c r="J935" s="33" t="str">
        <x:v>2026-08-20</x:v>
      </x:c>
      <x:c r="K935" s="33" t="str">
        <x:v>Legacy IDs retained inactive; no false production obligation remains.</x:v>
      </x:c>
    </x:row>
    <x:row r="936">
      <x:c r="A936" s="33" t="str">
        <x:v>EVD431</x:v>
      </x:c>
      <x:c r="B936" s="33" t="str">
        <x:v>Evidence Master</x:v>
      </x:c>
      <x:c r="C936" s="33" t="str">
        <x:v>Active=Yes; Remarks=Initiate access removal.</x:v>
      </x:c>
      <x:c r="D936" s="33" t="str">
        <x:v>Active=No; Remarks=P-3 QUARANTINED: Generic State/local/permit/reference rows, penalty-only/fabricated DAMR extractions, and future-effective DPDP duties are not current production obligations.</x:v>
      </x:c>
      <x:c r="E936" s="33" t="str">
        <x:v>RECLASSIFY / QUARANTINE</x:v>
      </x:c>
      <x:c r="F936" s="33" t="str">
        <x:v>Generic State/local/permit/reference rows, penalty-only/fabricated DAMR extractions, and future-effective DPDP duties are not current production obligations.</x:v>
      </x:c>
      <x:c r="G936" s="33" t="str">
        <x:v>P-3 chain reconciliation</x:v>
      </x:c>
      <x:c r="H936" s="33" t="str">
        <x:v>https://www.meity.gov.in/documents/act-and-policies/digital-personal-data-protection-rules-2025-gDOxUjMtQWa | https://consumeraffairs.nic.in/acts-and-rules/consumer-protection/consumer-protection | P3 Jurisdiction Register</x:v>
      </x:c>
      <x:c r="I936" s="33" t="str">
        <x:v>P-3</x:v>
      </x:c>
      <x:c r="J936" s="33" t="str">
        <x:v>2026-08-20</x:v>
      </x:c>
      <x:c r="K936" s="33" t="str">
        <x:v>Legacy IDs retained inactive; no false production obligation remains.</x:v>
      </x:c>
    </x:row>
    <x:row r="937">
      <x:c r="A937" s="33" t="str">
        <x:v>EVD432</x:v>
      </x:c>
      <x:c r="B937" s="33" t="str">
        <x:v>Evidence Master</x:v>
      </x:c>
      <x:c r="C937" s="33" t="str">
        <x:v>Active=Yes; Remarks=Confirm access revocation.</x:v>
      </x:c>
      <x:c r="D937" s="33" t="str">
        <x:v>Active=No; Remarks=P-3 QUARANTINED: Generic State/local/permit/reference rows, penalty-only/fabricated DAMR extractions, and future-effective DPDP duties are not current production obligations.</x:v>
      </x:c>
      <x:c r="E937" s="33" t="str">
        <x:v>RECLASSIFY / QUARANTINE</x:v>
      </x:c>
      <x:c r="F937" s="33" t="str">
        <x:v>Generic State/local/permit/reference rows, penalty-only/fabricated DAMR extractions, and future-effective DPDP duties are not current production obligations.</x:v>
      </x:c>
      <x:c r="G937" s="33" t="str">
        <x:v>P-3 chain reconciliation</x:v>
      </x:c>
      <x:c r="H937" s="33" t="str">
        <x:v>https://www.meity.gov.in/documents/act-and-policies/digital-personal-data-protection-rules-2025-gDOxUjMtQWa | https://consumeraffairs.nic.in/acts-and-rules/consumer-protection/consumer-protection | P3 Jurisdiction Register</x:v>
      </x:c>
      <x:c r="I937" s="33" t="str">
        <x:v>P-3</x:v>
      </x:c>
      <x:c r="J937" s="33" t="str">
        <x:v>2026-08-20</x:v>
      </x:c>
      <x:c r="K937" s="33" t="str">
        <x:v>Legacy IDs retained inactive; no false production obligation remains.</x:v>
      </x:c>
    </x:row>
    <x:row r="938">
      <x:c r="A938" s="33" t="str">
        <x:v>EVD443</x:v>
      </x:c>
      <x:c r="B938" s="33" t="str">
        <x:v>Evidence Master</x:v>
      </x:c>
      <x:c r="C938" s="33" t="str">
        <x:v>Active=Yes; Remarks=Evidence of awareness sessions.</x:v>
      </x:c>
      <x:c r="D938" s="33" t="str">
        <x:v>Active=No; Remarks=P-3 QUARANTINED: Generic State/local/permit/reference rows, penalty-only/fabricated DAMR extractions, and future-effective DPDP duties are not current production obligations.</x:v>
      </x:c>
      <x:c r="E938" s="33" t="str">
        <x:v>RECLASSIFY / QUARANTINE</x:v>
      </x:c>
      <x:c r="F938" s="33" t="str">
        <x:v>Generic State/local/permit/reference rows, penalty-only/fabricated DAMR extractions, and future-effective DPDP duties are not current production obligations.</x:v>
      </x:c>
      <x:c r="G938" s="33" t="str">
        <x:v>P-3 chain reconciliation</x:v>
      </x:c>
      <x:c r="H938" s="33" t="str">
        <x:v>https://www.meity.gov.in/documents/act-and-policies/digital-personal-data-protection-rules-2025-gDOxUjMtQWa | https://consumeraffairs.nic.in/acts-and-rules/consumer-protection/consumer-protection | P3 Jurisdiction Register</x:v>
      </x:c>
      <x:c r="I938" s="33" t="str">
        <x:v>P-3</x:v>
      </x:c>
      <x:c r="J938" s="33" t="str">
        <x:v>2026-08-20</x:v>
      </x:c>
      <x:c r="K938" s="33" t="str">
        <x:v>Legacy IDs retained inactive; no false production obligation remains.</x:v>
      </x:c>
    </x:row>
    <x:row r="939">
      <x:c r="A939" s="33" t="str">
        <x:v>EVD444</x:v>
      </x:c>
      <x:c r="B939" s="33" t="str">
        <x:v>Evidence Master</x:v>
      </x:c>
      <x:c r="C939" s="33" t="str">
        <x:v>Active=Yes; Remarks=Circulars, emails or notices.</x:v>
      </x:c>
      <x:c r="D939" s="33" t="str">
        <x:v>Active=No; Remarks=P-3 QUARANTINED: Generic State/local/permit/reference rows, penalty-only/fabricated DAMR extractions, and future-effective DPDP duties are not current production obligations.</x:v>
      </x:c>
      <x:c r="E939" s="33" t="str">
        <x:v>RECLASSIFY / QUARANTINE</x:v>
      </x:c>
      <x:c r="F939" s="33" t="str">
        <x:v>Generic State/local/permit/reference rows, penalty-only/fabricated DAMR extractions, and future-effective DPDP duties are not current production obligations.</x:v>
      </x:c>
      <x:c r="G939" s="33" t="str">
        <x:v>P-3 chain reconciliation</x:v>
      </x:c>
      <x:c r="H939" s="33" t="str">
        <x:v>https://www.meity.gov.in/documents/act-and-policies/digital-personal-data-protection-rules-2025-gDOxUjMtQWa | https://consumeraffairs.nic.in/acts-and-rules/consumer-protection/consumer-protection | P3 Jurisdiction Register</x:v>
      </x:c>
      <x:c r="I939" s="33" t="str">
        <x:v>P-3</x:v>
      </x:c>
      <x:c r="J939" s="33" t="str">
        <x:v>2026-08-20</x:v>
      </x:c>
      <x:c r="K939" s="33" t="str">
        <x:v>Legacy IDs retained inactive; no false production obligation remains.</x:v>
      </x:c>
    </x:row>
    <x:row r="940">
      <x:c r="A940" s="33" t="str">
        <x:v>EVD445</x:v>
      </x:c>
      <x:c r="B940" s="33" t="str">
        <x:v>Evidence Master</x:v>
      </x:c>
      <x:c r="C940" s="33" t="str">
        <x:v>Active=Yes; Remarks=Electronic performance monitoring.</x:v>
      </x:c>
      <x:c r="D940" s="33" t="str">
        <x:v>Active=No; Remarks=P-3 QUARANTINED: Generic State/local/permit/reference rows, penalty-only/fabricated DAMR extractions, and future-effective DPDP duties are not current production obligations.</x:v>
      </x:c>
      <x:c r="E940" s="33" t="str">
        <x:v>RECLASSIFY / QUARANTINE</x:v>
      </x:c>
      <x:c r="F940" s="33" t="str">
        <x:v>Generic State/local/permit/reference rows, penalty-only/fabricated DAMR extractions, and future-effective DPDP duties are not current production obligations.</x:v>
      </x:c>
      <x:c r="G940" s="33" t="str">
        <x:v>P-3 chain reconciliation</x:v>
      </x:c>
      <x:c r="H940" s="33" t="str">
        <x:v>https://www.meity.gov.in/documents/act-and-policies/digital-personal-data-protection-rules-2025-gDOxUjMtQWa | https://consumeraffairs.nic.in/acts-and-rules/consumer-protection/consumer-protection | P3 Jurisdiction Register</x:v>
      </x:c>
      <x:c r="I940" s="33" t="str">
        <x:v>P-3</x:v>
      </x:c>
      <x:c r="J940" s="33" t="str">
        <x:v>2026-08-20</x:v>
      </x:c>
      <x:c r="K940" s="33" t="str">
        <x:v>Legacy IDs retained inactive; no false production obligation remains.</x:v>
      </x:c>
    </x:row>
    <x:row r="941">
      <x:c r="A941" s="33" t="str">
        <x:v>EVD446</x:v>
      </x:c>
      <x:c r="B941" s="33" t="str">
        <x:v>Evidence Master</x:v>
      </x:c>
      <x:c r="C941" s="33" t="str">
        <x:v>Active=Yes; Remarks=Periodic management oversight.</x:v>
      </x:c>
      <x:c r="D941" s="33" t="str">
        <x:v>Active=No; Remarks=P-3 QUARANTINED: Generic State/local/permit/reference rows, penalty-only/fabricated DAMR extractions, and future-effective DPDP duties are not current production obligations.</x:v>
      </x:c>
      <x:c r="E941" s="33" t="str">
        <x:v>RECLASSIFY / QUARANTINE</x:v>
      </x:c>
      <x:c r="F941" s="33" t="str">
        <x:v>Generic State/local/permit/reference rows, penalty-only/fabricated DAMR extractions, and future-effective DPDP duties are not current production obligations.</x:v>
      </x:c>
      <x:c r="G941" s="33" t="str">
        <x:v>P-3 chain reconciliation</x:v>
      </x:c>
      <x:c r="H941" s="33" t="str">
        <x:v>https://www.meity.gov.in/documents/act-and-policies/digital-personal-data-protection-rules-2025-gDOxUjMtQWa | https://consumeraffairs.nic.in/acts-and-rules/consumer-protection/consumer-protection | P3 Jurisdiction Register</x:v>
      </x:c>
      <x:c r="I941" s="33" t="str">
        <x:v>P-3</x:v>
      </x:c>
      <x:c r="J941" s="33" t="str">
        <x:v>2026-08-20</x:v>
      </x:c>
      <x:c r="K941" s="33" t="str">
        <x:v>Legacy IDs retained inactive; no false production obligation remains.</x:v>
      </x:c>
    </x:row>
    <x:row r="942">
      <x:c r="A942" s="33" t="str">
        <x:v>EVD447</x:v>
      </x:c>
      <x:c r="B942" s="33" t="str">
        <x:v>Evidence Master</x:v>
      </x:c>
      <x:c r="C942" s="33" t="str">
        <x:v>Active=Yes; Remarks=Annual audit planning evidence.</x:v>
      </x:c>
      <x:c r="D942" s="33" t="str">
        <x:v>Active=No; Remarks=P-3 QUARANTINED: Generic State/local/permit/reference rows, penalty-only/fabricated DAMR extractions, and future-effective DPDP duties are not current production obligations.</x:v>
      </x:c>
      <x:c r="E942" s="33" t="str">
        <x:v>RECLASSIFY / QUARANTINE</x:v>
      </x:c>
      <x:c r="F942" s="33" t="str">
        <x:v>Generic State/local/permit/reference rows, penalty-only/fabricated DAMR extractions, and future-effective DPDP duties are not current production obligations.</x:v>
      </x:c>
      <x:c r="G942" s="33" t="str">
        <x:v>P-3 chain reconciliation</x:v>
      </x:c>
      <x:c r="H942" s="33" t="str">
        <x:v>https://www.meity.gov.in/documents/act-and-policies/digital-personal-data-protection-rules-2025-gDOxUjMtQWa | https://consumeraffairs.nic.in/acts-and-rules/consumer-protection/consumer-protection | P3 Jurisdiction Register</x:v>
      </x:c>
      <x:c r="I942" s="33" t="str">
        <x:v>P-3</x:v>
      </x:c>
      <x:c r="J942" s="33" t="str">
        <x:v>2026-08-20</x:v>
      </x:c>
      <x:c r="K942" s="33" t="str">
        <x:v>Legacy IDs retained inactive; no false production obligation remains.</x:v>
      </x:c>
    </x:row>
    <x:row r="943">
      <x:c r="A943" s="33" t="str">
        <x:v>EVD448</x:v>
      </x:c>
      <x:c r="B943" s="33" t="str">
        <x:v>Evidence Master</x:v>
      </x:c>
      <x:c r="C943" s="33" t="str">
        <x:v>Active=Yes; Remarks=Supporting audit documentation.</x:v>
      </x:c>
      <x:c r="D943" s="33" t="str">
        <x:v>Active=No; Remarks=P-3 QUARANTINED: Generic State/local/permit/reference rows, penalty-only/fabricated DAMR extractions, and future-effective DPDP duties are not current production obligations.</x:v>
      </x:c>
      <x:c r="E943" s="33" t="str">
        <x:v>RECLASSIFY / QUARANTINE</x:v>
      </x:c>
      <x:c r="F943" s="33" t="str">
        <x:v>Generic State/local/permit/reference rows, penalty-only/fabricated DAMR extractions, and future-effective DPDP duties are not current production obligations.</x:v>
      </x:c>
      <x:c r="G943" s="33" t="str">
        <x:v>P-3 chain reconciliation</x:v>
      </x:c>
      <x:c r="H943" s="33" t="str">
        <x:v>https://www.meity.gov.in/documents/act-and-policies/digital-personal-data-protection-rules-2025-gDOxUjMtQWa | https://consumeraffairs.nic.in/acts-and-rules/consumer-protection/consumer-protection | P3 Jurisdiction Register</x:v>
      </x:c>
      <x:c r="I943" s="33" t="str">
        <x:v>P-3</x:v>
      </x:c>
      <x:c r="J943" s="33" t="str">
        <x:v>2026-08-20</x:v>
      </x:c>
      <x:c r="K943" s="33" t="str">
        <x:v>Legacy IDs retained inactive; no false production obligation remains.</x:v>
      </x:c>
    </x:row>
    <x:row r="944">
      <x:c r="A944" s="33" t="str">
        <x:v>EVD449</x:v>
      </x:c>
      <x:c r="B944" s="33" t="str">
        <x:v>Evidence Master</x:v>
      </x:c>
      <x:c r="C944" s="33" t="str">
        <x:v>Active=Yes; Remarks=Enterprise personnel compliance review.</x:v>
      </x:c>
      <x:c r="D944" s="33" t="str">
        <x:v>Active=No; Remarks=P-3 QUARANTINED: Generic State/local/permit/reference rows, penalty-only/fabricated DAMR extractions, and future-effective DPDP duties are not current production obligations.</x:v>
      </x:c>
      <x:c r="E944" s="33" t="str">
        <x:v>RECLASSIFY / QUARANTINE</x:v>
      </x:c>
      <x:c r="F944" s="33" t="str">
        <x:v>Generic State/local/permit/reference rows, penalty-only/fabricated DAMR extractions, and future-effective DPDP duties are not current production obligations.</x:v>
      </x:c>
      <x:c r="G944" s="33" t="str">
        <x:v>P-3 chain reconciliation</x:v>
      </x:c>
      <x:c r="H944" s="33" t="str">
        <x:v>https://www.meity.gov.in/documents/act-and-policies/digital-personal-data-protection-rules-2025-gDOxUjMtQWa | https://consumeraffairs.nic.in/acts-and-rules/consumer-protection/consumer-protection | P3 Jurisdiction Register</x:v>
      </x:c>
      <x:c r="I944" s="33" t="str">
        <x:v>P-3</x:v>
      </x:c>
      <x:c r="J944" s="33" t="str">
        <x:v>2026-08-20</x:v>
      </x:c>
      <x:c r="K944" s="33" t="str">
        <x:v>Legacy IDs retained inactive; no false production obligation remains.</x:v>
      </x:c>
    </x:row>
    <x:row r="945">
      <x:c r="A945" s="33" t="str">
        <x:v>EVD450</x:v>
      </x:c>
      <x:c r="B945" s="33" t="str">
        <x:v>Evidence Master</x:v>
      </x:c>
      <x:c r="C945" s="33" t="str">
        <x:v>Active=Yes; Remarks=HR compliance risk evaluation.</x:v>
      </x:c>
      <x:c r="D945" s="33" t="str">
        <x:v>Active=No; Remarks=P-3 QUARANTINED: Generic State/local/permit/reference rows, penalty-only/fabricated DAMR extractions, and future-effective DPDP duties are not current production obligations.</x:v>
      </x:c>
      <x:c r="E945" s="33" t="str">
        <x:v>RECLASSIFY / QUARANTINE</x:v>
      </x:c>
      <x:c r="F945" s="33" t="str">
        <x:v>Generic State/local/permit/reference rows, penalty-only/fabricated DAMR extractions, and future-effective DPDP duties are not current production obligations.</x:v>
      </x:c>
      <x:c r="G945" s="33" t="str">
        <x:v>P-3 chain reconciliation</x:v>
      </x:c>
      <x:c r="H945" s="33" t="str">
        <x:v>https://www.meity.gov.in/documents/act-and-policies/digital-personal-data-protection-rules-2025-gDOxUjMtQWa | https://consumeraffairs.nic.in/acts-and-rules/consumer-protection/consumer-protection | P3 Jurisdiction Register</x:v>
      </x:c>
      <x:c r="I945" s="33" t="str">
        <x:v>P-3</x:v>
      </x:c>
      <x:c r="J945" s="33" t="str">
        <x:v>2026-08-20</x:v>
      </x:c>
      <x:c r="K945" s="33" t="str">
        <x:v>Legacy IDs retained inactive; no false production obligation remains.</x:v>
      </x:c>
    </x:row>
    <x:row r="946">
      <x:c r="A946" s="33" t="str">
        <x:v>EVD451</x:v>
      </x:c>
      <x:c r="B946" s="33" t="str">
        <x:v>Evidence Master</x:v>
      </x:c>
      <x:c r="C946" s="33" t="str">
        <x:v>Active=Yes; Remarks=Electronic compliance monitoring.</x:v>
      </x:c>
      <x:c r="D946" s="33" t="str">
        <x:v>Active=No; Remarks=P-3 QUARANTINED: Generic State/local/permit/reference rows, penalty-only/fabricated DAMR extractions, and future-effective DPDP duties are not current production obligations.</x:v>
      </x:c>
      <x:c r="E946" s="33" t="str">
        <x:v>RECLASSIFY / QUARANTINE</x:v>
      </x:c>
      <x:c r="F946" s="33" t="str">
        <x:v>Generic State/local/permit/reference rows, penalty-only/fabricated DAMR extractions, and future-effective DPDP duties are not current production obligations.</x:v>
      </x:c>
      <x:c r="G946" s="33" t="str">
        <x:v>P-3 chain reconciliation</x:v>
      </x:c>
      <x:c r="H946" s="33" t="str">
        <x:v>https://www.meity.gov.in/documents/act-and-policies/digital-personal-data-protection-rules-2025-gDOxUjMtQWa | https://consumeraffairs.nic.in/acts-and-rules/consumer-protection/consumer-protection | P3 Jurisdiction Register</x:v>
      </x:c>
      <x:c r="I946" s="33" t="str">
        <x:v>P-3</x:v>
      </x:c>
      <x:c r="J946" s="33" t="str">
        <x:v>2026-08-20</x:v>
      </x:c>
      <x:c r="K946" s="33" t="str">
        <x:v>Legacy IDs retained inactive; no false production obligation remains.</x:v>
      </x:c>
    </x:row>
    <x:row r="947">
      <x:c r="A947" s="33" t="str">
        <x:v>EVD452</x:v>
      </x:c>
      <x:c r="B947" s="33" t="str">
        <x:v>Evidence Master</x:v>
      </x:c>
      <x:c r="C947" s="33" t="str">
        <x:v>Active=Yes; Remarks=Periodic SOP review evidence.</x:v>
      </x:c>
      <x:c r="D947" s="33" t="str">
        <x:v>Active=No; Remarks=P-3 QUARANTINED: Generic State/local/permit/reference rows, penalty-only/fabricated DAMR extractions, and future-effective DPDP duties are not current production obligations.</x:v>
      </x:c>
      <x:c r="E947" s="33" t="str">
        <x:v>RECLASSIFY / QUARANTINE</x:v>
      </x:c>
      <x:c r="F947" s="33" t="str">
        <x:v>Generic State/local/permit/reference rows, penalty-only/fabricated DAMR extractions, and future-effective DPDP duties are not current production obligations.</x:v>
      </x:c>
      <x:c r="G947" s="33" t="str">
        <x:v>P-3 chain reconciliation</x:v>
      </x:c>
      <x:c r="H947" s="33" t="str">
        <x:v>https://www.meity.gov.in/documents/act-and-policies/digital-personal-data-protection-rules-2025-gDOxUjMtQWa | https://consumeraffairs.nic.in/acts-and-rules/consumer-protection/consumer-protection | P3 Jurisdiction Register</x:v>
      </x:c>
      <x:c r="I947" s="33" t="str">
        <x:v>P-3</x:v>
      </x:c>
      <x:c r="J947" s="33" t="str">
        <x:v>2026-08-20</x:v>
      </x:c>
      <x:c r="K947" s="33" t="str">
        <x:v>Legacy IDs retained inactive; no false production obligation remains.</x:v>
      </x:c>
    </x:row>
    <x:row r="948">
      <x:c r="A948" s="33" t="str">
        <x:v>EVD453</x:v>
      </x:c>
      <x:c r="B948" s="33" t="str">
        <x:v>Evidence Master</x:v>
      </x:c>
      <x:c r="C948" s="33" t="str">
        <x:v>Active=Yes; Remarks=Continuous improvement initiatives.</x:v>
      </x:c>
      <x:c r="D948" s="33" t="str">
        <x:v>Active=No; Remarks=P-3 QUARANTINED: Generic State/local/permit/reference rows, penalty-only/fabricated DAMR extractions, and future-effective DPDP duties are not current production obligations.</x:v>
      </x:c>
      <x:c r="E948" s="33" t="str">
        <x:v>RECLASSIFY / QUARANTINE</x:v>
      </x:c>
      <x:c r="F948" s="33" t="str">
        <x:v>Generic State/local/permit/reference rows, penalty-only/fabricated DAMR extractions, and future-effective DPDP duties are not current production obligations.</x:v>
      </x:c>
      <x:c r="G948" s="33" t="str">
        <x:v>P-3 chain reconciliation</x:v>
      </x:c>
      <x:c r="H948" s="33" t="str">
        <x:v>https://www.meity.gov.in/documents/act-and-policies/digital-personal-data-protection-rules-2025-gDOxUjMtQWa | https://consumeraffairs.nic.in/acts-and-rules/consumer-protection/consumer-protection | P3 Jurisdiction Register</x:v>
      </x:c>
      <x:c r="I948" s="33" t="str">
        <x:v>P-3</x:v>
      </x:c>
      <x:c r="J948" s="33" t="str">
        <x:v>2026-08-20</x:v>
      </x:c>
      <x:c r="K948" s="33" t="str">
        <x:v>Legacy IDs retained inactive; no false production obligation remains.</x:v>
      </x:c>
    </x:row>
    <x:row r="949">
      <x:c r="A949" s="33" t="str">
        <x:v>EVD454</x:v>
      </x:c>
      <x:c r="B949" s="33" t="str">
        <x:v>Evidence Master</x:v>
      </x:c>
      <x:c r="C949" s="33" t="str">
        <x:v>Active=Yes; Remarks=Governance oversight.</x:v>
      </x:c>
      <x:c r="D949" s="33" t="str">
        <x:v>Active=No; Remarks=P-3 QUARANTINED: Generic State/local/permit/reference rows, penalty-only/fabricated DAMR extractions, and future-effective DPDP duties are not current production obligations.</x:v>
      </x:c>
      <x:c r="E949" s="33" t="str">
        <x:v>RECLASSIFY / QUARANTINE</x:v>
      </x:c>
      <x:c r="F949" s="33" t="str">
        <x:v>Generic State/local/permit/reference rows, penalty-only/fabricated DAMR extractions, and future-effective DPDP duties are not current production obligations.</x:v>
      </x:c>
      <x:c r="G949" s="33" t="str">
        <x:v>P-3 chain reconciliation</x:v>
      </x:c>
      <x:c r="H949" s="33" t="str">
        <x:v>https://www.meity.gov.in/documents/act-and-policies/digital-personal-data-protection-rules-2025-gDOxUjMtQWa | https://consumeraffairs.nic.in/acts-and-rules/consumer-protection/consumer-protection | P3 Jurisdiction Register</x:v>
      </x:c>
      <x:c r="I949" s="33" t="str">
        <x:v>P-3</x:v>
      </x:c>
      <x:c r="J949" s="33" t="str">
        <x:v>2026-08-20</x:v>
      </x:c>
      <x:c r="K949" s="33" t="str">
        <x:v>Legacy IDs retained inactive; no false production obligation remains.</x:v>
      </x:c>
    </x:row>
    <x:row r="950">
      <x:c r="A950" s="33" t="str">
        <x:v>EVD455</x:v>
      </x:c>
      <x:c r="B950" s="33" t="str">
        <x:v>Evidence Master</x:v>
      </x:c>
      <x:c r="C950" s="33" t="str">
        <x:v>Active=Yes; Remarks=Supporting audit evidence.</x:v>
      </x:c>
      <x:c r="D950" s="33" t="str">
        <x:v>Active=No; Remarks=P-3 QUARANTINED: Generic State/local/permit/reference rows, penalty-only/fabricated DAMR extractions, and future-effective DPDP duties are not current production obligations.</x:v>
      </x:c>
      <x:c r="E950" s="33" t="str">
        <x:v>RECLASSIFY / QUARANTINE</x:v>
      </x:c>
      <x:c r="F950" s="33" t="str">
        <x:v>Generic State/local/permit/reference rows, penalty-only/fabricated DAMR extractions, and future-effective DPDP duties are not current production obligations.</x:v>
      </x:c>
      <x:c r="G950" s="33" t="str">
        <x:v>P-3 chain reconciliation</x:v>
      </x:c>
      <x:c r="H950" s="33" t="str">
        <x:v>https://www.meity.gov.in/documents/act-and-policies/digital-personal-data-protection-rules-2025-gDOxUjMtQWa | https://consumeraffairs.nic.in/acts-and-rules/consumer-protection/consumer-protection | P3 Jurisdiction Register</x:v>
      </x:c>
      <x:c r="I950" s="33" t="str">
        <x:v>P-3</x:v>
      </x:c>
      <x:c r="J950" s="33" t="str">
        <x:v>2026-08-20</x:v>
      </x:c>
      <x:c r="K950" s="33" t="str">
        <x:v>Legacy IDs retained inactive; no false production obligation remains.</x:v>
      </x:c>
    </x:row>
    <x:row r="951">
      <x:c r="A951" s="33" t="str">
        <x:v>EVD456</x:v>
      </x:c>
      <x:c r="B951" s="33" t="str">
        <x:v>Evidence Master</x:v>
      </x:c>
      <x:c r="C951" s="33" t="str">
        <x:v>Active=Yes; Remarks=Annual compliance certification.</x:v>
      </x:c>
      <x:c r="D951" s="33" t="str">
        <x:v>Active=No; Remarks=P-3 QUARANTINED: Generic State/local/permit/reference rows, penalty-only/fabricated DAMR extractions, and future-effective DPDP duties are not current production obligations.</x:v>
      </x:c>
      <x:c r="E951" s="33" t="str">
        <x:v>RECLASSIFY / QUARANTINE</x:v>
      </x:c>
      <x:c r="F951" s="33" t="str">
        <x:v>Generic State/local/permit/reference rows, penalty-only/fabricated DAMR extractions, and future-effective DPDP duties are not current production obligations.</x:v>
      </x:c>
      <x:c r="G951" s="33" t="str">
        <x:v>P-3 chain reconciliation</x:v>
      </x:c>
      <x:c r="H951" s="33" t="str">
        <x:v>https://www.meity.gov.in/documents/act-and-policies/digital-personal-data-protection-rules-2025-gDOxUjMtQWa | https://consumeraffairs.nic.in/acts-and-rules/consumer-protection/consumer-protection | P3 Jurisdiction Register</x:v>
      </x:c>
      <x:c r="I951" s="33" t="str">
        <x:v>P-3</x:v>
      </x:c>
      <x:c r="J951" s="33" t="str">
        <x:v>2026-08-20</x:v>
      </x:c>
      <x:c r="K951" s="33" t="str">
        <x:v>Legacy IDs retained inactive; no false production obligation remains.</x:v>
      </x:c>
    </x:row>
    <x:row r="952">
      <x:c r="A952" s="33" t="str">
        <x:v>EVD475</x:v>
      </x:c>
      <x:c r="B952" s="33" t="str">
        <x:v>Evidence Master</x:v>
      </x:c>
      <x:c r="C952" s="33" t="str">
        <x:v>Active=Yes; Remarks=Demonstrate compliant corrections.</x:v>
      </x:c>
      <x:c r="D952" s="33" t="str">
        <x:v>Active=No; Remarks=P-3 QUARANTINED: Generic State/local/permit/reference rows, penalty-only/fabricated DAMR extractions, and future-effective DPDP duties are not current production obligations.</x:v>
      </x:c>
      <x:c r="E952" s="33" t="str">
        <x:v>RECLASSIFY / QUARANTINE</x:v>
      </x:c>
      <x:c r="F952" s="33" t="str">
        <x:v>Generic State/local/permit/reference rows, penalty-only/fabricated DAMR extractions, and future-effective DPDP duties are not current production obligations.</x:v>
      </x:c>
      <x:c r="G952" s="33" t="str">
        <x:v>P-3 chain reconciliation</x:v>
      </x:c>
      <x:c r="H952" s="33" t="str">
        <x:v>https://www.meity.gov.in/documents/act-and-policies/digital-personal-data-protection-rules-2025-gDOxUjMtQWa | https://consumeraffairs.nic.in/acts-and-rules/consumer-protection/consumer-protection | P3 Jurisdiction Register</x:v>
      </x:c>
      <x:c r="I952" s="33" t="str">
        <x:v>P-3</x:v>
      </x:c>
      <x:c r="J952" s="33" t="str">
        <x:v>2026-08-20</x:v>
      </x:c>
      <x:c r="K952" s="33" t="str">
        <x:v>Legacy IDs retained inactive; no false production obligation remains.</x:v>
      </x:c>
    </x:row>
    <x:row r="953">
      <x:c r="A953" s="33" t="str">
        <x:v>EVD476</x:v>
      </x:c>
      <x:c r="B953" s="33" t="str">
        <x:v>Evidence Master</x:v>
      </x:c>
      <x:c r="C953" s="33" t="str">
        <x:v>Active=Yes; Remarks=Maintain where applicable.</x:v>
      </x:c>
      <x:c r="D953" s="33" t="str">
        <x:v>Active=No; Remarks=P-3 QUARANTINED: Generic State/local/permit/reference rows, penalty-only/fabricated DAMR extractions, and future-effective DPDP duties are not current production obligations.</x:v>
      </x:c>
      <x:c r="E953" s="33" t="str">
        <x:v>RECLASSIFY / QUARANTINE</x:v>
      </x:c>
      <x:c r="F953" s="33" t="str">
        <x:v>Generic State/local/permit/reference rows, penalty-only/fabricated DAMR extractions, and future-effective DPDP duties are not current production obligations.</x:v>
      </x:c>
      <x:c r="G953" s="33" t="str">
        <x:v>P-3 chain reconciliation</x:v>
      </x:c>
      <x:c r="H953" s="33" t="str">
        <x:v>https://www.meity.gov.in/documents/act-and-policies/digital-personal-data-protection-rules-2025-gDOxUjMtQWa | https://consumeraffairs.nic.in/acts-and-rules/consumer-protection/consumer-protection | P3 Jurisdiction Register</x:v>
      </x:c>
      <x:c r="I953" s="33" t="str">
        <x:v>P-3</x:v>
      </x:c>
      <x:c r="J953" s="33" t="str">
        <x:v>2026-08-20</x:v>
      </x:c>
      <x:c r="K953" s="33" t="str">
        <x:v>Legacy IDs retained inactive; no false production obligation remains.</x:v>
      </x:c>
    </x:row>
    <x:row r="954">
      <x:c r="A954" s="33" t="str">
        <x:v>EVD477</x:v>
      </x:c>
      <x:c r="B954" s="33" t="str">
        <x:v>Evidence Master</x:v>
      </x:c>
      <x:c r="C954" s="33" t="str">
        <x:v>Active=Yes; Remarks=System activity history.</x:v>
      </x:c>
      <x:c r="D954" s="33" t="str">
        <x:v>Active=No; Remarks=P-3 QUARANTINED: Generic State/local/permit/reference rows, penalty-only/fabricated DAMR extractions, and future-effective DPDP duties are not current production obligations.</x:v>
      </x:c>
      <x:c r="E954" s="33" t="str">
        <x:v>RECLASSIFY / QUARANTINE</x:v>
      </x:c>
      <x:c r="F954" s="33" t="str">
        <x:v>Generic State/local/permit/reference rows, penalty-only/fabricated DAMR extractions, and future-effective DPDP duties are not current production obligations.</x:v>
      </x:c>
      <x:c r="G954" s="33" t="str">
        <x:v>P-3 chain reconciliation</x:v>
      </x:c>
      <x:c r="H954" s="33" t="str">
        <x:v>https://www.meity.gov.in/documents/act-and-policies/digital-personal-data-protection-rules-2025-gDOxUjMtQWa | https://consumeraffairs.nic.in/acts-and-rules/consumer-protection/consumer-protection | P3 Jurisdiction Register</x:v>
      </x:c>
      <x:c r="I954" s="33" t="str">
        <x:v>P-3</x:v>
      </x:c>
      <x:c r="J954" s="33" t="str">
        <x:v>2026-08-20</x:v>
      </x:c>
      <x:c r="K954" s="33" t="str">
        <x:v>Legacy IDs retained inactive; no false production obligation remains.</x:v>
      </x:c>
    </x:row>
    <x:row r="955">
      <x:c r="A955" s="33" t="str">
        <x:v>EVD478</x:v>
      </x:c>
      <x:c r="B955" s="33" t="str">
        <x:v>Evidence Master</x:v>
      </x:c>
      <x:c r="C955" s="33" t="str">
        <x:v>Active=Yes; Remarks=Periodic review evidence.</x:v>
      </x:c>
      <x:c r="D955" s="33" t="str">
        <x:v>Active=No; Remarks=P-3 QUARANTINED: Generic State/local/permit/reference rows, penalty-only/fabricated DAMR extractions, and future-effective DPDP duties are not current production obligations.</x:v>
      </x:c>
      <x:c r="E955" s="33" t="str">
        <x:v>RECLASSIFY / QUARANTINE</x:v>
      </x:c>
      <x:c r="F955" s="33" t="str">
        <x:v>Generic State/local/permit/reference rows, penalty-only/fabricated DAMR extractions, and future-effective DPDP duties are not current production obligations.</x:v>
      </x:c>
      <x:c r="G955" s="33" t="str">
        <x:v>P-3 chain reconciliation</x:v>
      </x:c>
      <x:c r="H955" s="33" t="str">
        <x:v>https://www.meity.gov.in/documents/act-and-policies/digital-personal-data-protection-rules-2025-gDOxUjMtQWa | https://consumeraffairs.nic.in/acts-and-rules/consumer-protection/consumer-protection | P3 Jurisdiction Register</x:v>
      </x:c>
      <x:c r="I955" s="33" t="str">
        <x:v>P-3</x:v>
      </x:c>
      <x:c r="J955" s="33" t="str">
        <x:v>2026-08-20</x:v>
      </x:c>
      <x:c r="K955" s="33" t="str">
        <x:v>Legacy IDs retained inactive; no false production obligation remains.</x:v>
      </x:c>
    </x:row>
    <x:row r="956">
      <x:c r="A956" s="33" t="str">
        <x:v>EVD522</x:v>
      </x:c>
      <x:c r="B956" s="33" t="str">
        <x:v>Evidence Master</x:v>
      </x:c>
      <x:c r="C956" s="33" t="str">
        <x:v>Active=Yes; Remarks=Risk-classified audit observations.</x:v>
      </x:c>
      <x:c r="D956" s="33" t="str">
        <x:v>Active=No; Remarks=P-3 QUARANTINED: Generic State/local/permit/reference rows, penalty-only/fabricated DAMR extractions, and future-effective DPDP duties are not current production obligations.</x:v>
      </x:c>
      <x:c r="E956" s="33" t="str">
        <x:v>RECLASSIFY / QUARANTINE</x:v>
      </x:c>
      <x:c r="F956" s="33" t="str">
        <x:v>Generic State/local/permit/reference rows, penalty-only/fabricated DAMR extractions, and future-effective DPDP duties are not current production obligations.</x:v>
      </x:c>
      <x:c r="G956" s="33" t="str">
        <x:v>P-3 chain reconciliation</x:v>
      </x:c>
      <x:c r="H956" s="33" t="str">
        <x:v>https://www.meity.gov.in/documents/act-and-policies/digital-personal-data-protection-rules-2025-gDOxUjMtQWa | https://consumeraffairs.nic.in/acts-and-rules/consumer-protection/consumer-protection | P3 Jurisdiction Register</x:v>
      </x:c>
      <x:c r="I956" s="33" t="str">
        <x:v>P-3</x:v>
      </x:c>
      <x:c r="J956" s="33" t="str">
        <x:v>2026-08-20</x:v>
      </x:c>
      <x:c r="K956" s="33" t="str">
        <x:v>Legacy IDs retained inactive; no false production obligation remains.</x:v>
      </x:c>
    </x:row>
    <x:row r="957">
      <x:c r="A957" s="33" t="str">
        <x:v>EVD523</x:v>
      </x:c>
      <x:c r="B957" s="33" t="str">
        <x:v>Evidence Master</x:v>
      </x:c>
      <x:c r="C957" s="33" t="str">
        <x:v>Active=Yes; Remarks=Basis for observation classification.</x:v>
      </x:c>
      <x:c r="D957" s="33" t="str">
        <x:v>Active=No; Remarks=P-3 QUARANTINED: Generic State/local/permit/reference rows, penalty-only/fabricated DAMR extractions, and future-effective DPDP duties are not current production obligations.</x:v>
      </x:c>
      <x:c r="E957" s="33" t="str">
        <x:v>RECLASSIFY / QUARANTINE</x:v>
      </x:c>
      <x:c r="F957" s="33" t="str">
        <x:v>Generic State/local/permit/reference rows, penalty-only/fabricated DAMR extractions, and future-effective DPDP duties are not current production obligations.</x:v>
      </x:c>
      <x:c r="G957" s="33" t="str">
        <x:v>P-3 chain reconciliation</x:v>
      </x:c>
      <x:c r="H957" s="33" t="str">
        <x:v>https://www.meity.gov.in/documents/act-and-policies/digital-personal-data-protection-rules-2025-gDOxUjMtQWa | https://consumeraffairs.nic.in/acts-and-rules/consumer-protection/consumer-protection | P3 Jurisdiction Register</x:v>
      </x:c>
      <x:c r="I957" s="33" t="str">
        <x:v>P-3</x:v>
      </x:c>
      <x:c r="J957" s="33" t="str">
        <x:v>2026-08-20</x:v>
      </x:c>
      <x:c r="K957" s="33" t="str">
        <x:v>Legacy IDs retained inactive; no false production obligation remains.</x:v>
      </x:c>
    </x:row>
    <x:row r="958">
      <x:c r="A958" s="33" t="str">
        <x:v>EVD524</x:v>
      </x:c>
      <x:c r="B958" s="33" t="str">
        <x:v>Evidence Master</x:v>
      </x:c>
      <x:c r="C958" s="33" t="str">
        <x:v>Active=Yes; Remarks=Issued audit report.</x:v>
      </x:c>
      <x:c r="D958" s="33" t="str">
        <x:v>Active=No; Remarks=P-3 QUARANTINED: Generic State/local/permit/reference rows, penalty-only/fabricated DAMR extractions, and future-effective DPDP duties are not current production obligations.</x:v>
      </x:c>
      <x:c r="E958" s="33" t="str">
        <x:v>RECLASSIFY / QUARANTINE</x:v>
      </x:c>
      <x:c r="F958" s="33" t="str">
        <x:v>Generic State/local/permit/reference rows, penalty-only/fabricated DAMR extractions, and future-effective DPDP duties are not current production obligations.</x:v>
      </x:c>
      <x:c r="G958" s="33" t="str">
        <x:v>P-3 chain reconciliation</x:v>
      </x:c>
      <x:c r="H958" s="33" t="str">
        <x:v>https://www.meity.gov.in/documents/act-and-policies/digital-personal-data-protection-rules-2025-gDOxUjMtQWa | https://consumeraffairs.nic.in/acts-and-rules/consumer-protection/consumer-protection | P3 Jurisdiction Register</x:v>
      </x:c>
      <x:c r="I958" s="33" t="str">
        <x:v>P-3</x:v>
      </x:c>
      <x:c r="J958" s="33" t="str">
        <x:v>2026-08-20</x:v>
      </x:c>
      <x:c r="K958" s="33" t="str">
        <x:v>Legacy IDs retained inactive; no false production obligation remains.</x:v>
      </x:c>
    </x:row>
    <x:row r="959">
      <x:c r="A959" s="33" t="str">
        <x:v>EVD525</x:v>
      </x:c>
      <x:c r="B959" s="33" t="str">
        <x:v>Evidence Master</x:v>
      </x:c>
      <x:c r="C959" s="33" t="str">
        <x:v>Active=Yes; Remarks=Track report issuance timelines.</x:v>
      </x:c>
      <x:c r="D959" s="33" t="str">
        <x:v>Active=No; Remarks=P-3 QUARANTINED: Generic State/local/permit/reference rows, penalty-only/fabricated DAMR extractions, and future-effective DPDP duties are not current production obligations.</x:v>
      </x:c>
      <x:c r="E959" s="33" t="str">
        <x:v>RECLASSIFY / QUARANTINE</x:v>
      </x:c>
      <x:c r="F959" s="33" t="str">
        <x:v>Generic State/local/permit/reference rows, penalty-only/fabricated DAMR extractions, and future-effective DPDP duties are not current production obligations.</x:v>
      </x:c>
      <x:c r="G959" s="33" t="str">
        <x:v>P-3 chain reconciliation</x:v>
      </x:c>
      <x:c r="H959" s="33" t="str">
        <x:v>https://www.meity.gov.in/documents/act-and-policies/digital-personal-data-protection-rules-2025-gDOxUjMtQWa | https://consumeraffairs.nic.in/acts-and-rules/consumer-protection/consumer-protection | P3 Jurisdiction Register</x:v>
      </x:c>
      <x:c r="I959" s="33" t="str">
        <x:v>P-3</x:v>
      </x:c>
      <x:c r="J959" s="33" t="str">
        <x:v>2026-08-20</x:v>
      </x:c>
      <x:c r="K959" s="33" t="str">
        <x:v>Legacy IDs retained inactive; no false production obligation remains.</x:v>
      </x:c>
    </x:row>
    <x:row r="960">
      <x:c r="A960" s="33" t="str">
        <x:v>EVD526</x:v>
      </x:c>
      <x:c r="B960" s="33" t="str">
        <x:v>Evidence Master</x:v>
      </x:c>
      <x:c r="C960" s="33" t="str">
        <x:v>Active=Yes; Remarks=Responses to audit findings.</x:v>
      </x:c>
      <x:c r="D960" s="33" t="str">
        <x:v>Active=No; Remarks=P-3 QUARANTINED: Generic State/local/permit/reference rows, penalty-only/fabricated DAMR extractions, and future-effective DPDP duties are not current production obligations.</x:v>
      </x:c>
      <x:c r="E960" s="33" t="str">
        <x:v>RECLASSIFY / QUARANTINE</x:v>
      </x:c>
      <x:c r="F960" s="33" t="str">
        <x:v>Generic State/local/permit/reference rows, penalty-only/fabricated DAMR extractions, and future-effective DPDP duties are not current production obligations.</x:v>
      </x:c>
      <x:c r="G960" s="33" t="str">
        <x:v>P-3 chain reconciliation</x:v>
      </x:c>
      <x:c r="H960" s="33" t="str">
        <x:v>https://www.meity.gov.in/documents/act-and-policies/digital-personal-data-protection-rules-2025-gDOxUjMtQWa | https://consumeraffairs.nic.in/acts-and-rules/consumer-protection/consumer-protection | P3 Jurisdiction Register</x:v>
      </x:c>
      <x:c r="I960" s="33" t="str">
        <x:v>P-3</x:v>
      </x:c>
      <x:c r="J960" s="33" t="str">
        <x:v>2026-08-20</x:v>
      </x:c>
      <x:c r="K960" s="33" t="str">
        <x:v>Legacy IDs retained inactive; no false production obligation remains.</x:v>
      </x:c>
    </x:row>
    <x:row r="961">
      <x:c r="A961" s="33" t="str">
        <x:v>EVD527</x:v>
      </x:c>
      <x:c r="B961" s="33" t="str">
        <x:v>Evidence Master</x:v>
      </x:c>
      <x:c r="C961" s="33" t="str">
        <x:v>Active=Yes; Remarks=Includes responsibilities and target dates.</x:v>
      </x:c>
      <x:c r="D961" s="33" t="str">
        <x:v>Active=No; Remarks=P-3 QUARANTINED: Generic State/local/permit/reference rows, penalty-only/fabricated DAMR extractions, and future-effective DPDP duties are not current production obligations.</x:v>
      </x:c>
      <x:c r="E961" s="33" t="str">
        <x:v>RECLASSIFY / QUARANTINE</x:v>
      </x:c>
      <x:c r="F961" s="33" t="str">
        <x:v>Generic State/local/permit/reference rows, penalty-only/fabricated DAMR extractions, and future-effective DPDP duties are not current production obligations.</x:v>
      </x:c>
      <x:c r="G961" s="33" t="str">
        <x:v>P-3 chain reconciliation</x:v>
      </x:c>
      <x:c r="H961" s="33" t="str">
        <x:v>https://www.meity.gov.in/documents/act-and-policies/digital-personal-data-protection-rules-2025-gDOxUjMtQWa | https://consumeraffairs.nic.in/acts-and-rules/consumer-protection/consumer-protection | P3 Jurisdiction Register</x:v>
      </x:c>
      <x:c r="I961" s="33" t="str">
        <x:v>P-3</x:v>
      </x:c>
      <x:c r="J961" s="33" t="str">
        <x:v>2026-08-20</x:v>
      </x:c>
      <x:c r="K961" s="33" t="str">
        <x:v>Legacy IDs retained inactive; no false production obligation remains.</x:v>
      </x:c>
    </x:row>
    <x:row r="962">
      <x:c r="A962" s="33" t="str">
        <x:v>EVD528</x:v>
      </x:c>
      <x:c r="B962" s="33" t="str">
        <x:v>Evidence Master</x:v>
      </x:c>
      <x:c r="C962" s="33" t="str">
        <x:v>Active=Yes; Remarks=Track implementation status.</x:v>
      </x:c>
      <x:c r="D962" s="33" t="str">
        <x:v>Active=No; Remarks=P-3 QUARANTINED: Generic State/local/permit/reference rows, penalty-only/fabricated DAMR extractions, and future-effective DPDP duties are not current production obligations.</x:v>
      </x:c>
      <x:c r="E962" s="33" t="str">
        <x:v>RECLASSIFY / QUARANTINE</x:v>
      </x:c>
      <x:c r="F962" s="33" t="str">
        <x:v>Generic State/local/permit/reference rows, penalty-only/fabricated DAMR extractions, and future-effective DPDP duties are not current production obligations.</x:v>
      </x:c>
      <x:c r="G962" s="33" t="str">
        <x:v>P-3 chain reconciliation</x:v>
      </x:c>
      <x:c r="H962" s="33" t="str">
        <x:v>https://www.meity.gov.in/documents/act-and-policies/digital-personal-data-protection-rules-2025-gDOxUjMtQWa | https://consumeraffairs.nic.in/acts-and-rules/consumer-protection/consumer-protection | P3 Jurisdiction Register</x:v>
      </x:c>
      <x:c r="I962" s="33" t="str">
        <x:v>P-3</x:v>
      </x:c>
      <x:c r="J962" s="33" t="str">
        <x:v>2026-08-20</x:v>
      </x:c>
      <x:c r="K962" s="33" t="str">
        <x:v>Legacy IDs retained inactive; no false production obligation remains.</x:v>
      </x:c>
    </x:row>
    <x:row r="963">
      <x:c r="A963" s="33" t="str">
        <x:v>EVD529</x:v>
      </x:c>
      <x:c r="B963" s="33" t="str">
        <x:v>Evidence Master</x:v>
      </x:c>
      <x:c r="C963" s="33" t="str">
        <x:v>Active=Yes; Remarks=Supporting implementation documents.</x:v>
      </x:c>
      <x:c r="D963" s="33" t="str">
        <x:v>Active=No; Remarks=P-3 QUARANTINED: Generic State/local/permit/reference rows, penalty-only/fabricated DAMR extractions, and future-effective DPDP duties are not current production obligations.</x:v>
      </x:c>
      <x:c r="E963" s="33" t="str">
        <x:v>RECLASSIFY / QUARANTINE</x:v>
      </x:c>
      <x:c r="F963" s="33" t="str">
        <x:v>Generic State/local/permit/reference rows, penalty-only/fabricated DAMR extractions, and future-effective DPDP duties are not current production obligations.</x:v>
      </x:c>
      <x:c r="G963" s="33" t="str">
        <x:v>P-3 chain reconciliation</x:v>
      </x:c>
      <x:c r="H963" s="33" t="str">
        <x:v>https://www.meity.gov.in/documents/act-and-policies/digital-personal-data-protection-rules-2025-gDOxUjMtQWa | https://consumeraffairs.nic.in/acts-and-rules/consumer-protection/consumer-protection | P3 Jurisdiction Register</x:v>
      </x:c>
      <x:c r="I963" s="33" t="str">
        <x:v>P-3</x:v>
      </x:c>
      <x:c r="J963" s="33" t="str">
        <x:v>2026-08-20</x:v>
      </x:c>
      <x:c r="K963" s="33" t="str">
        <x:v>Legacy IDs retained inactive; no false production obligation remains.</x:v>
      </x:c>
    </x:row>
    <x:row r="964">
      <x:c r="A964" s="33" t="str">
        <x:v>EVD530</x:v>
      </x:c>
      <x:c r="B964" s="33" t="str">
        <x:v>Evidence Master</x:v>
      </x:c>
      <x:c r="C964" s="33" t="str">
        <x:v>Active=Yes; Remarks=Verify effectiveness of CAPA.</x:v>
      </x:c>
      <x:c r="D964" s="33" t="str">
        <x:v>Active=No; Remarks=P-3 QUARANTINED: Generic State/local/permit/reference rows, penalty-only/fabricated DAMR extractions, and future-effective DPDP duties are not current production obligations.</x:v>
      </x:c>
      <x:c r="E964" s="33" t="str">
        <x:v>RECLASSIFY / QUARANTINE</x:v>
      </x:c>
      <x:c r="F964" s="33" t="str">
        <x:v>Generic State/local/permit/reference rows, penalty-only/fabricated DAMR extractions, and future-effective DPDP duties are not current production obligations.</x:v>
      </x:c>
      <x:c r="G964" s="33" t="str">
        <x:v>P-3 chain reconciliation</x:v>
      </x:c>
      <x:c r="H964" s="33" t="str">
        <x:v>https://www.meity.gov.in/documents/act-and-policies/digital-personal-data-protection-rules-2025-gDOxUjMtQWa | https://consumeraffairs.nic.in/acts-and-rules/consumer-protection/consumer-protection | P3 Jurisdiction Register</x:v>
      </x:c>
      <x:c r="I964" s="33" t="str">
        <x:v>P-3</x:v>
      </x:c>
      <x:c r="J964" s="33" t="str">
        <x:v>2026-08-20</x:v>
      </x:c>
      <x:c r="K964" s="33" t="str">
        <x:v>Legacy IDs retained inactive; no false production obligation remains.</x:v>
      </x:c>
    </x:row>
    <x:row r="965">
      <x:c r="A965" s="33" t="str">
        <x:v>EVD531</x:v>
      </x:c>
      <x:c r="B965" s="33" t="str">
        <x:v>Evidence Master</x:v>
      </x:c>
      <x:c r="C965" s="33" t="str">
        <x:v>Active=Yes; Remarks=Closure verification evidence.</x:v>
      </x:c>
      <x:c r="D965" s="33" t="str">
        <x:v>Active=No; Remarks=P-3 QUARANTINED: Generic State/local/permit/reference rows, penalty-only/fabricated DAMR extractions, and future-effective DPDP duties are not current production obligations.</x:v>
      </x:c>
      <x:c r="E965" s="33" t="str">
        <x:v>RECLASSIFY / QUARANTINE</x:v>
      </x:c>
      <x:c r="F965" s="33" t="str">
        <x:v>Generic State/local/permit/reference rows, penalty-only/fabricated DAMR extractions, and future-effective DPDP duties are not current production obligations.</x:v>
      </x:c>
      <x:c r="G965" s="33" t="str">
        <x:v>P-3 chain reconciliation</x:v>
      </x:c>
      <x:c r="H965" s="33" t="str">
        <x:v>https://www.meity.gov.in/documents/act-and-policies/digital-personal-data-protection-rules-2025-gDOxUjMtQWa | https://consumeraffairs.nic.in/acts-and-rules/consumer-protection/consumer-protection | P3 Jurisdiction Register</x:v>
      </x:c>
      <x:c r="I965" s="33" t="str">
        <x:v>P-3</x:v>
      </x:c>
      <x:c r="J965" s="33" t="str">
        <x:v>2026-08-20</x:v>
      </x:c>
      <x:c r="K965" s="33" t="str">
        <x:v>Legacy IDs retained inactive; no false production obligation remains.</x:v>
      </x:c>
    </x:row>
    <x:row r="966">
      <x:c r="A966" s="33" t="str">
        <x:v>EVD532</x:v>
      </x:c>
      <x:c r="B966" s="33" t="str">
        <x:v>Evidence Master</x:v>
      </x:c>
      <x:c r="C966" s="33" t="str">
        <x:v>Active=Yes; Remarks=Trend analysis across audit cycles.</x:v>
      </x:c>
      <x:c r="D966" s="33" t="str">
        <x:v>Active=No; Remarks=P-3 QUARANTINED: Generic State/local/permit/reference rows, penalty-only/fabricated DAMR extractions, and future-effective DPDP duties are not current production obligations.</x:v>
      </x:c>
      <x:c r="E966" s="33" t="str">
        <x:v>RECLASSIFY / QUARANTINE</x:v>
      </x:c>
      <x:c r="F966" s="33" t="str">
        <x:v>Generic State/local/permit/reference rows, penalty-only/fabricated DAMR extractions, and future-effective DPDP duties are not current production obligations.</x:v>
      </x:c>
      <x:c r="G966" s="33" t="str">
        <x:v>P-3 chain reconciliation</x:v>
      </x:c>
      <x:c r="H966" s="33" t="str">
        <x:v>https://www.meity.gov.in/documents/act-and-policies/digital-personal-data-protection-rules-2025-gDOxUjMtQWa | https://consumeraffairs.nic.in/acts-and-rules/consumer-protection/consumer-protection | P3 Jurisdiction Register</x:v>
      </x:c>
      <x:c r="I966" s="33" t="str">
        <x:v>P-3</x:v>
      </x:c>
      <x:c r="J966" s="33" t="str">
        <x:v>2026-08-20</x:v>
      </x:c>
      <x:c r="K966" s="33" t="str">
        <x:v>Legacy IDs retained inactive; no false production obligation remains.</x:v>
      </x:c>
    </x:row>
    <x:row r="967">
      <x:c r="A967" s="33" t="str">
        <x:v>EVD533</x:v>
      </x:c>
      <x:c r="B967" s="33" t="str">
        <x:v>Evidence Master</x:v>
      </x:c>
      <x:c r="C967" s="33" t="str">
        <x:v>Active=Yes; Remarks=Systemic issue investigation.</x:v>
      </x:c>
      <x:c r="D967" s="33" t="str">
        <x:v>Active=No; Remarks=P-3 QUARANTINED: Generic State/local/permit/reference rows, penalty-only/fabricated DAMR extractions, and future-effective DPDP duties are not current production obligations.</x:v>
      </x:c>
      <x:c r="E967" s="33" t="str">
        <x:v>RECLASSIFY / QUARANTINE</x:v>
      </x:c>
      <x:c r="F967" s="33" t="str">
        <x:v>Generic State/local/permit/reference rows, penalty-only/fabricated DAMR extractions, and future-effective DPDP duties are not current production obligations.</x:v>
      </x:c>
      <x:c r="G967" s="33" t="str">
        <x:v>P-3 chain reconciliation</x:v>
      </x:c>
      <x:c r="H967" s="33" t="str">
        <x:v>https://www.meity.gov.in/documents/act-and-policies/digital-personal-data-protection-rules-2025-gDOxUjMtQWa | https://consumeraffairs.nic.in/acts-and-rules/consumer-protection/consumer-protection | P3 Jurisdiction Register</x:v>
      </x:c>
      <x:c r="I967" s="33" t="str">
        <x:v>P-3</x:v>
      </x:c>
      <x:c r="J967" s="33" t="str">
        <x:v>2026-08-20</x:v>
      </x:c>
      <x:c r="K967" s="33" t="str">
        <x:v>Legacy IDs retained inactive; no false production obligation remains.</x:v>
      </x:c>
    </x:row>
    <x:row r="968">
      <x:c r="A968" s="33" t="str">
        <x:v>OBS051</x:v>
      </x:c>
      <x:c r="B968" s="33" t="str">
        <x:v>Observation Master</x:v>
      </x:c>
      <x:c r="C968" s="33" t="str">
        <x:v>Active=Yes; Remarks=Review storage conditions periodically.</x:v>
      </x:c>
      <x:c r="D968" s="33" t="str">
        <x:v>Active=No; Remarks=P-3 QUARANTINED: Generic State/local/permit/reference rows, penalty-only/fabricated DAMR extractions, and future-effective DPDP duties are not current production obligations.</x:v>
      </x:c>
      <x:c r="E968" s="33" t="str">
        <x:v>RECLASSIFY / QUARANTINE</x:v>
      </x:c>
      <x:c r="F968" s="33" t="str">
        <x:v>Generic State/local/permit/reference rows, penalty-only/fabricated DAMR extractions, and future-effective DPDP duties are not current production obligations.</x:v>
      </x:c>
      <x:c r="G968" s="33" t="str">
        <x:v>P-3 chain reconciliation</x:v>
      </x:c>
      <x:c r="H968" s="33" t="str">
        <x:v>https://www.meity.gov.in/documents/act-and-policies/digital-personal-data-protection-rules-2025-gDOxUjMtQWa | https://consumeraffairs.nic.in/acts-and-rules/consumer-protection/consumer-protection | P3 Jurisdiction Register</x:v>
      </x:c>
      <x:c r="I968" s="33" t="str">
        <x:v>P-3</x:v>
      </x:c>
      <x:c r="J968" s="33" t="str">
        <x:v>2026-08-20</x:v>
      </x:c>
      <x:c r="K968" s="33" t="str">
        <x:v>Legacy IDs retained inactive; no false production obligation remains.</x:v>
      </x:c>
    </x:row>
    <x:row r="969">
      <x:c r="A969" s="33" t="str">
        <x:v>OBS052</x:v>
      </x:c>
      <x:c r="B969" s="33" t="str">
        <x:v>Observation Master</x:v>
      </x:c>
      <x:c r="C969" s="33" t="str">
        <x:v>Active=Yes; Remarks=Temperature deviations should be investigated immediately.</x:v>
      </x:c>
      <x:c r="D969" s="33" t="str">
        <x:v>Active=No; Remarks=P-3 QUARANTINED: Generic State/local/permit/reference rows, penalty-only/fabricated DAMR extractions, and future-effective DPDP duties are not current production obligations.</x:v>
      </x:c>
      <x:c r="E969" s="33" t="str">
        <x:v>RECLASSIFY / QUARANTINE</x:v>
      </x:c>
      <x:c r="F969" s="33" t="str">
        <x:v>Generic State/local/permit/reference rows, penalty-only/fabricated DAMR extractions, and future-effective DPDP duties are not current production obligations.</x:v>
      </x:c>
      <x:c r="G969" s="33" t="str">
        <x:v>P-3 chain reconciliation</x:v>
      </x:c>
      <x:c r="H969" s="33" t="str">
        <x:v>https://www.meity.gov.in/documents/act-and-policies/digital-personal-data-protection-rules-2025-gDOxUjMtQWa | https://consumeraffairs.nic.in/acts-and-rules/consumer-protection/consumer-protection | P3 Jurisdiction Register</x:v>
      </x:c>
      <x:c r="I969" s="33" t="str">
        <x:v>P-3</x:v>
      </x:c>
      <x:c r="J969" s="33" t="str">
        <x:v>2026-08-20</x:v>
      </x:c>
      <x:c r="K969" s="33" t="str">
        <x:v>Legacy IDs retained inactive; no false production obligation remains.</x:v>
      </x:c>
    </x:row>
    <x:row r="970">
      <x:c r="A970" s="33" t="str">
        <x:v>OBS053</x:v>
      </x:c>
      <x:c r="B970" s="33" t="str">
        <x:v>Observation Master</x:v>
      </x:c>
      <x:c r="C970" s="33" t="str">
        <x:v>Active=Yes; Remarks=Maintain calibration records for monitoring devices.</x:v>
      </x:c>
      <x:c r="D970" s="33" t="str">
        <x:v>Active=No; Remarks=P-3 QUARANTINED: Generic State/local/permit/reference rows, penalty-only/fabricated DAMR extractions, and future-effective DPDP duties are not current production obligations.</x:v>
      </x:c>
      <x:c r="E970" s="33" t="str">
        <x:v>RECLASSIFY / QUARANTINE</x:v>
      </x:c>
      <x:c r="F970" s="33" t="str">
        <x:v>Generic State/local/permit/reference rows, penalty-only/fabricated DAMR extractions, and future-effective DPDP duties are not current production obligations.</x:v>
      </x:c>
      <x:c r="G970" s="33" t="str">
        <x:v>P-3 chain reconciliation</x:v>
      </x:c>
      <x:c r="H970" s="33" t="str">
        <x:v>https://www.meity.gov.in/documents/act-and-policies/digital-personal-data-protection-rules-2025-gDOxUjMtQWa | https://consumeraffairs.nic.in/acts-and-rules/consumer-protection/consumer-protection | P3 Jurisdiction Register</x:v>
      </x:c>
      <x:c r="I970" s="33" t="str">
        <x:v>P-3</x:v>
      </x:c>
      <x:c r="J970" s="33" t="str">
        <x:v>2026-08-20</x:v>
      </x:c>
      <x:c r="K970" s="33" t="str">
        <x:v>Legacy IDs retained inactive; no false production obligation remains.</x:v>
      </x:c>
    </x:row>
    <x:row r="971">
      <x:c r="A971" s="33" t="str">
        <x:v>OBS054</x:v>
      </x:c>
      <x:c r="B971" s="33" t="str">
        <x:v>Observation Master</x:v>
      </x:c>
      <x:c r="C971" s="33" t="str">
        <x:v>Active=Yes; Remarks=Cold-chain integrity is essential.</x:v>
      </x:c>
      <x:c r="D971" s="33" t="str">
        <x:v>Active=No; Remarks=P-3 QUARANTINED: Generic State/local/permit/reference rows, penalty-only/fabricated DAMR extractions, and future-effective DPDP duties are not current production obligations.</x:v>
      </x:c>
      <x:c r="E971" s="33" t="str">
        <x:v>RECLASSIFY / QUARANTINE</x:v>
      </x:c>
      <x:c r="F971" s="33" t="str">
        <x:v>Generic State/local/permit/reference rows, penalty-only/fabricated DAMR extractions, and future-effective DPDP duties are not current production obligations.</x:v>
      </x:c>
      <x:c r="G971" s="33" t="str">
        <x:v>P-3 chain reconciliation</x:v>
      </x:c>
      <x:c r="H971" s="33" t="str">
        <x:v>https://www.meity.gov.in/documents/act-and-policies/digital-personal-data-protection-rules-2025-gDOxUjMtQWa | https://consumeraffairs.nic.in/acts-and-rules/consumer-protection/consumer-protection | P3 Jurisdiction Register</x:v>
      </x:c>
      <x:c r="I971" s="33" t="str">
        <x:v>P-3</x:v>
      </x:c>
      <x:c r="J971" s="33" t="str">
        <x:v>2026-08-20</x:v>
      </x:c>
      <x:c r="K971" s="33" t="str">
        <x:v>Legacy IDs retained inactive; no false production obligation remains.</x:v>
      </x:c>
    </x:row>
    <x:row r="972">
      <x:c r="A972" s="33" t="str">
        <x:v>OBS055</x:v>
      </x:c>
      <x:c r="B972" s="33" t="str">
        <x:v>Observation Master</x:v>
      </x:c>
      <x:c r="C972" s="33" t="str">
        <x:v>Active=Yes; Remarks=Prevent contamination and temperature variation.</x:v>
      </x:c>
      <x:c r="D972" s="33" t="str">
        <x:v>Active=No; Remarks=P-3 QUARANTINED: Generic State/local/permit/reference rows, penalty-only/fabricated DAMR extractions, and future-effective DPDP duties are not current production obligations.</x:v>
      </x:c>
      <x:c r="E972" s="33" t="str">
        <x:v>RECLASSIFY / QUARANTINE</x:v>
      </x:c>
      <x:c r="F972" s="33" t="str">
        <x:v>Generic State/local/permit/reference rows, penalty-only/fabricated DAMR extractions, and future-effective DPDP duties are not current production obligations.</x:v>
      </x:c>
      <x:c r="G972" s="33" t="str">
        <x:v>P-3 chain reconciliation</x:v>
      </x:c>
      <x:c r="H972" s="33" t="str">
        <x:v>https://www.meity.gov.in/documents/act-and-policies/digital-personal-data-protection-rules-2025-gDOxUjMtQWa | https://consumeraffairs.nic.in/acts-and-rules/consumer-protection/consumer-protection | P3 Jurisdiction Register</x:v>
      </x:c>
      <x:c r="I972" s="33" t="str">
        <x:v>P-3</x:v>
      </x:c>
      <x:c r="J972" s="33" t="str">
        <x:v>2026-08-20</x:v>
      </x:c>
      <x:c r="K972" s="33" t="str">
        <x:v>Legacy IDs retained inactive; no false production obligation remains.</x:v>
      </x:c>
    </x:row>
    <x:row r="973">
      <x:c r="A973" s="33" t="str">
        <x:v>OBS096</x:v>
      </x:c>
      <x:c r="B973" s="33" t="str">
        <x:v>Observation Master</x:v>
      </x:c>
      <x:c r="C973" s="33" t="str">
        <x:v>Active=Yes; Remarks=Preserve product quality.</x:v>
      </x:c>
      <x:c r="D973" s="33" t="str">
        <x:v>Active=No; Remarks=P-3 QUARANTINED: Generic State/local/permit/reference rows, penalty-only/fabricated DAMR extractions, and future-effective DPDP duties are not current production obligations.</x:v>
      </x:c>
      <x:c r="E973" s="33" t="str">
        <x:v>RECLASSIFY / QUARANTINE</x:v>
      </x:c>
      <x:c r="F973" s="33" t="str">
        <x:v>Generic State/local/permit/reference rows, penalty-only/fabricated DAMR extractions, and future-effective DPDP duties are not current production obligations.</x:v>
      </x:c>
      <x:c r="G973" s="33" t="str">
        <x:v>P-3 chain reconciliation</x:v>
      </x:c>
      <x:c r="H973" s="33" t="str">
        <x:v>https://www.meity.gov.in/documents/act-and-policies/digital-personal-data-protection-rules-2025-gDOxUjMtQWa | https://consumeraffairs.nic.in/acts-and-rules/consumer-protection/consumer-protection | P3 Jurisdiction Register</x:v>
      </x:c>
      <x:c r="I973" s="33" t="str">
        <x:v>P-3</x:v>
      </x:c>
      <x:c r="J973" s="33" t="str">
        <x:v>2026-08-20</x:v>
      </x:c>
      <x:c r="K973" s="33" t="str">
        <x:v>Legacy IDs retained inactive; no false production obligation remains.</x:v>
      </x:c>
    </x:row>
    <x:row r="974">
      <x:c r="A974" s="33" t="str">
        <x:v>OBS097</x:v>
      </x:c>
      <x:c r="B974" s="33" t="str">
        <x:v>Observation Master</x:v>
      </x:c>
      <x:c r="C974" s="33" t="str">
        <x:v>Active=Yes; Remarks=Verify effectiveness of CAPA.</x:v>
      </x:c>
      <x:c r="D974" s="33" t="str">
        <x:v>Active=No; Remarks=P-3 QUARANTINED: Generic State/local/permit/reference rows, penalty-only/fabricated DAMR extractions, and future-effective DPDP duties are not current production obligations.</x:v>
      </x:c>
      <x:c r="E974" s="33" t="str">
        <x:v>RECLASSIFY / QUARANTINE</x:v>
      </x:c>
      <x:c r="F974" s="33" t="str">
        <x:v>Generic State/local/permit/reference rows, penalty-only/fabricated DAMR extractions, and future-effective DPDP duties are not current production obligations.</x:v>
      </x:c>
      <x:c r="G974" s="33" t="str">
        <x:v>P-3 chain reconciliation</x:v>
      </x:c>
      <x:c r="H974" s="33" t="str">
        <x:v>https://www.meity.gov.in/documents/act-and-policies/digital-personal-data-protection-rules-2025-gDOxUjMtQWa | https://consumeraffairs.nic.in/acts-and-rules/consumer-protection/consumer-protection | P3 Jurisdiction Register</x:v>
      </x:c>
      <x:c r="I974" s="33" t="str">
        <x:v>P-3</x:v>
      </x:c>
      <x:c r="J974" s="33" t="str">
        <x:v>2026-08-20</x:v>
      </x:c>
      <x:c r="K974" s="33" t="str">
        <x:v>Legacy IDs retained inactive; no false production obligation remains.</x:v>
      </x:c>
    </x:row>
    <x:row r="975">
      <x:c r="A975" s="33" t="str">
        <x:v>OBS098</x:v>
      </x:c>
      <x:c r="B975" s="33" t="str">
        <x:v>Observation Master</x:v>
      </x:c>
      <x:c r="C975" s="33" t="str">
        <x:v>Active=Yes; Remarks=Monitor complaint trends.</x:v>
      </x:c>
      <x:c r="D975" s="33" t="str">
        <x:v>Active=No; Remarks=P-3 QUARANTINED: Generic State/local/permit/reference rows, penalty-only/fabricated DAMR extractions, and future-effective DPDP duties are not current production obligations.</x:v>
      </x:c>
      <x:c r="E975" s="33" t="str">
        <x:v>RECLASSIFY / QUARANTINE</x:v>
      </x:c>
      <x:c r="F975" s="33" t="str">
        <x:v>Generic State/local/permit/reference rows, penalty-only/fabricated DAMR extractions, and future-effective DPDP duties are not current production obligations.</x:v>
      </x:c>
      <x:c r="G975" s="33" t="str">
        <x:v>P-3 chain reconciliation</x:v>
      </x:c>
      <x:c r="H975" s="33" t="str">
        <x:v>https://www.meity.gov.in/documents/act-and-policies/digital-personal-data-protection-rules-2025-gDOxUjMtQWa | https://consumeraffairs.nic.in/acts-and-rules/consumer-protection/consumer-protection | P3 Jurisdiction Register</x:v>
      </x:c>
      <x:c r="I975" s="33" t="str">
        <x:v>P-3</x:v>
      </x:c>
      <x:c r="J975" s="33" t="str">
        <x:v>2026-08-20</x:v>
      </x:c>
      <x:c r="K975" s="33" t="str">
        <x:v>Legacy IDs retained inactive; no false production obligation remains.</x:v>
      </x:c>
    </x:row>
    <x:row r="976">
      <x:c r="A976" s="33" t="str">
        <x:v>OBS099</x:v>
      </x:c>
      <x:c r="B976" s="33" t="str">
        <x:v>Observation Master</x:v>
      </x:c>
      <x:c r="C976" s="33" t="str">
        <x:v>Active=Yes; Remarks=Maintain supporting evidence.</x:v>
      </x:c>
      <x:c r="D976" s="33" t="str">
        <x:v>Active=No; Remarks=P-3 QUARANTINED: Generic State/local/permit/reference rows, penalty-only/fabricated DAMR extractions, and future-effective DPDP duties are not current production obligations.</x:v>
      </x:c>
      <x:c r="E976" s="33" t="str">
        <x:v>RECLASSIFY / QUARANTINE</x:v>
      </x:c>
      <x:c r="F976" s="33" t="str">
        <x:v>Generic State/local/permit/reference rows, penalty-only/fabricated DAMR extractions, and future-effective DPDP duties are not current production obligations.</x:v>
      </x:c>
      <x:c r="G976" s="33" t="str">
        <x:v>P-3 chain reconciliation</x:v>
      </x:c>
      <x:c r="H976" s="33" t="str">
        <x:v>https://www.meity.gov.in/documents/act-and-policies/digital-personal-data-protection-rules-2025-gDOxUjMtQWa | https://consumeraffairs.nic.in/acts-and-rules/consumer-protection/consumer-protection | P3 Jurisdiction Register</x:v>
      </x:c>
      <x:c r="I976" s="33" t="str">
        <x:v>P-3</x:v>
      </x:c>
      <x:c r="J976" s="33" t="str">
        <x:v>2026-08-20</x:v>
      </x:c>
      <x:c r="K976" s="33" t="str">
        <x:v>Legacy IDs retained inactive; no false production obligation remains.</x:v>
      </x:c>
    </x:row>
    <x:row r="977">
      <x:c r="A977" s="33" t="str">
        <x:v>OBS100</x:v>
      </x:c>
      <x:c r="B977" s="33" t="str">
        <x:v>Observation Master</x:v>
      </x:c>
      <x:c r="C977" s="33" t="str">
        <x:v>Active=Yes; Remarks=Enterprise-level dispensing compliance observation.</x:v>
      </x:c>
      <x:c r="D977" s="33" t="str">
        <x:v>Active=No; Remarks=P-3 QUARANTINED: Generic State/local/permit/reference rows, penalty-only/fabricated DAMR extractions, and future-effective DPDP duties are not current production obligations.</x:v>
      </x:c>
      <x:c r="E977" s="33" t="str">
        <x:v>RECLASSIFY / QUARANTINE</x:v>
      </x:c>
      <x:c r="F977" s="33" t="str">
        <x:v>Generic State/local/permit/reference rows, penalty-only/fabricated DAMR extractions, and future-effective DPDP duties are not current production obligations.</x:v>
      </x:c>
      <x:c r="G977" s="33" t="str">
        <x:v>P-3 chain reconciliation</x:v>
      </x:c>
      <x:c r="H977" s="33" t="str">
        <x:v>https://www.meity.gov.in/documents/act-and-policies/digital-personal-data-protection-rules-2025-gDOxUjMtQWa | https://consumeraffairs.nic.in/acts-and-rules/consumer-protection/consumer-protection | P3 Jurisdiction Register</x:v>
      </x:c>
      <x:c r="I977" s="33" t="str">
        <x:v>P-3</x:v>
      </x:c>
      <x:c r="J977" s="33" t="str">
        <x:v>2026-08-20</x:v>
      </x:c>
      <x:c r="K977" s="33" t="str">
        <x:v>Legacy IDs retained inactive; no false production obligation remains.</x:v>
      </x:c>
    </x:row>
    <x:row r="978">
      <x:c r="A978" s="33" t="str">
        <x:v>OBS176</x:v>
      </x:c>
      <x:c r="B978" s="33" t="str">
        <x:v>Observation Master</x:v>
      </x:c>
      <x:c r="C978" s="33" t="str">
        <x:v>Active=Yes; Remarks=Fundamental regulatory requirement.</x:v>
      </x:c>
      <x:c r="D978" s="33" t="str">
        <x:v>Active=No; Remarks=P-3 QUARANTINED: Generic State/local/permit/reference rows, penalty-only/fabricated DAMR extractions, and future-effective DPDP duties are not current production obligations.</x:v>
      </x:c>
      <x:c r="E978" s="33" t="str">
        <x:v>RECLASSIFY / QUARANTINE</x:v>
      </x:c>
      <x:c r="F978" s="33" t="str">
        <x:v>Generic State/local/permit/reference rows, penalty-only/fabricated DAMR extractions, and future-effective DPDP duties are not current production obligations.</x:v>
      </x:c>
      <x:c r="G978" s="33" t="str">
        <x:v>P-3 chain reconciliation</x:v>
      </x:c>
      <x:c r="H978" s="33" t="str">
        <x:v>https://www.meity.gov.in/documents/act-and-policies/digital-personal-data-protection-rules-2025-gDOxUjMtQWa | https://consumeraffairs.nic.in/acts-and-rules/consumer-protection/consumer-protection | P3 Jurisdiction Register</x:v>
      </x:c>
      <x:c r="I978" s="33" t="str">
        <x:v>P-3</x:v>
      </x:c>
      <x:c r="J978" s="33" t="str">
        <x:v>2026-08-20</x:v>
      </x:c>
      <x:c r="K978" s="33" t="str">
        <x:v>Legacy IDs retained inactive; no false production obligation remains.</x:v>
      </x:c>
    </x:row>
    <x:row r="979">
      <x:c r="A979" s="33" t="str">
        <x:v>OBS177</x:v>
      </x:c>
      <x:c r="B979" s="33" t="str">
        <x:v>Observation Master</x:v>
      </x:c>
      <x:c r="C979" s="33" t="str">
        <x:v>Active=Yes; Remarks=Mandatory statutory requirement.</x:v>
      </x:c>
      <x:c r="D979" s="33" t="str">
        <x:v>Active=No; Remarks=P-3 QUARANTINED: Generic State/local/permit/reference rows, penalty-only/fabricated DAMR extractions, and future-effective DPDP duties are not current production obligations.</x:v>
      </x:c>
      <x:c r="E979" s="33" t="str">
        <x:v>RECLASSIFY / QUARANTINE</x:v>
      </x:c>
      <x:c r="F979" s="33" t="str">
        <x:v>Generic State/local/permit/reference rows, penalty-only/fabricated DAMR extractions, and future-effective DPDP duties are not current production obligations.</x:v>
      </x:c>
      <x:c r="G979" s="33" t="str">
        <x:v>P-3 chain reconciliation</x:v>
      </x:c>
      <x:c r="H979" s="33" t="str">
        <x:v>https://www.meity.gov.in/documents/act-and-policies/digital-personal-data-protection-rules-2025-gDOxUjMtQWa | https://consumeraffairs.nic.in/acts-and-rules/consumer-protection/consumer-protection | P3 Jurisdiction Register</x:v>
      </x:c>
      <x:c r="I979" s="33" t="str">
        <x:v>P-3</x:v>
      </x:c>
      <x:c r="J979" s="33" t="str">
        <x:v>2026-08-20</x:v>
      </x:c>
      <x:c r="K979" s="33" t="str">
        <x:v>Legacy IDs retained inactive; no false production obligation remains.</x:v>
      </x:c>
    </x:row>
    <x:row r="980">
      <x:c r="A980" s="33" t="str">
        <x:v>OBS178</x:v>
      </x:c>
      <x:c r="B980" s="33" t="str">
        <x:v>Observation Master</x:v>
      </x:c>
      <x:c r="C980" s="33" t="str">
        <x:v>Active=Yes; Remarks=Update documentation when responsibilities change.</x:v>
      </x:c>
      <x:c r="D980" s="33" t="str">
        <x:v>Active=No; Remarks=P-3 QUARANTINED: Generic State/local/permit/reference rows, penalty-only/fabricated DAMR extractions, and future-effective DPDP duties are not current production obligations.</x:v>
      </x:c>
      <x:c r="E980" s="33" t="str">
        <x:v>RECLASSIFY / QUARANTINE</x:v>
      </x:c>
      <x:c r="F980" s="33" t="str">
        <x:v>Generic State/local/permit/reference rows, penalty-only/fabricated DAMR extractions, and future-effective DPDP duties are not current production obligations.</x:v>
      </x:c>
      <x:c r="G980" s="33" t="str">
        <x:v>P-3 chain reconciliation</x:v>
      </x:c>
      <x:c r="H980" s="33" t="str">
        <x:v>https://www.meity.gov.in/documents/act-and-policies/digital-personal-data-protection-rules-2025-gDOxUjMtQWa | https://consumeraffairs.nic.in/acts-and-rules/consumer-protection/consumer-protection | P3 Jurisdiction Register</x:v>
      </x:c>
      <x:c r="I980" s="33" t="str">
        <x:v>P-3</x:v>
      </x:c>
      <x:c r="J980" s="33" t="str">
        <x:v>2026-08-20</x:v>
      </x:c>
      <x:c r="K980" s="33" t="str">
        <x:v>Legacy IDs retained inactive; no false production obligation remains.</x:v>
      </x:c>
    </x:row>
    <x:row r="981">
      <x:c r="A981" s="33" t="str">
        <x:v>OBS179</x:v>
      </x:c>
      <x:c r="B981" s="33" t="str">
        <x:v>Observation Master</x:v>
      </x:c>
      <x:c r="C981" s="33" t="str">
        <x:v>Active=Yes; Remarks=Training should include regulatory requirements.</x:v>
      </x:c>
      <x:c r="D981" s="33" t="str">
        <x:v>Active=No; Remarks=P-3 QUARANTINED: Generic State/local/permit/reference rows, penalty-only/fabricated DAMR extractions, and future-effective DPDP duties are not current production obligations.</x:v>
      </x:c>
      <x:c r="E981" s="33" t="str">
        <x:v>RECLASSIFY / QUARANTINE</x:v>
      </x:c>
      <x:c r="F981" s="33" t="str">
        <x:v>Generic State/local/permit/reference rows, penalty-only/fabricated DAMR extractions, and future-effective DPDP duties are not current production obligations.</x:v>
      </x:c>
      <x:c r="G981" s="33" t="str">
        <x:v>P-3 chain reconciliation</x:v>
      </x:c>
      <x:c r="H981" s="33" t="str">
        <x:v>https://www.meity.gov.in/documents/act-and-policies/digital-personal-data-protection-rules-2025-gDOxUjMtQWa | https://consumeraffairs.nic.in/acts-and-rules/consumer-protection/consumer-protection | P3 Jurisdiction Register</x:v>
      </x:c>
      <x:c r="I981" s="33" t="str">
        <x:v>P-3</x:v>
      </x:c>
      <x:c r="J981" s="33" t="str">
        <x:v>2026-08-20</x:v>
      </x:c>
      <x:c r="K981" s="33" t="str">
        <x:v>Legacy IDs retained inactive; no false production obligation remains.</x:v>
      </x:c>
    </x:row>
    <x:row r="982">
      <x:c r="A982" s="33" t="str">
        <x:v>OBS180</x:v>
      </x:c>
      <x:c r="B982" s="33" t="str">
        <x:v>Observation Master</x:v>
      </x:c>
      <x:c r="C982" s="33" t="str">
        <x:v>Active=Yes; Remarks=Evaluate training effectiveness periodically.</x:v>
      </x:c>
      <x:c r="D982" s="33" t="str">
        <x:v>Active=No; Remarks=P-3 QUARANTINED: Generic State/local/permit/reference rows, penalty-only/fabricated DAMR extractions, and future-effective DPDP duties are not current production obligations.</x:v>
      </x:c>
      <x:c r="E982" s="33" t="str">
        <x:v>RECLASSIFY / QUARANTINE</x:v>
      </x:c>
      <x:c r="F982" s="33" t="str">
        <x:v>Generic State/local/permit/reference rows, penalty-only/fabricated DAMR extractions, and future-effective DPDP duties are not current production obligations.</x:v>
      </x:c>
      <x:c r="G982" s="33" t="str">
        <x:v>P-3 chain reconciliation</x:v>
      </x:c>
      <x:c r="H982" s="33" t="str">
        <x:v>https://www.meity.gov.in/documents/act-and-policies/digital-personal-data-protection-rules-2025-gDOxUjMtQWa | https://consumeraffairs.nic.in/acts-and-rules/consumer-protection/consumer-protection | P3 Jurisdiction Register</x:v>
      </x:c>
      <x:c r="I982" s="33" t="str">
        <x:v>P-3</x:v>
      </x:c>
      <x:c r="J982" s="33" t="str">
        <x:v>2026-08-20</x:v>
      </x:c>
      <x:c r="K982" s="33" t="str">
        <x:v>Legacy IDs retained inactive; no false production obligation remains.</x:v>
      </x:c>
    </x:row>
    <x:row r="983">
      <x:c r="A983" s="33" t="str">
        <x:v>OBS181</x:v>
      </x:c>
      <x:c r="B983" s="33" t="str">
        <x:v>Observation Master</x:v>
      </x:c>
      <x:c r="C983" s="33" t="str">
        <x:v>Active=Yes; Remarks=Obtain employee acknowledgements.</x:v>
      </x:c>
      <x:c r="D983" s="33" t="str">
        <x:v>Active=No; Remarks=P-3 QUARANTINED: Generic State/local/permit/reference rows, penalty-only/fabricated DAMR extractions, and future-effective DPDP duties are not current production obligations.</x:v>
      </x:c>
      <x:c r="E983" s="33" t="str">
        <x:v>RECLASSIFY / QUARANTINE</x:v>
      </x:c>
      <x:c r="F983" s="33" t="str">
        <x:v>Generic State/local/permit/reference rows, penalty-only/fabricated DAMR extractions, and future-effective DPDP duties are not current production obligations.</x:v>
      </x:c>
      <x:c r="G983" s="33" t="str">
        <x:v>P-3 chain reconciliation</x:v>
      </x:c>
      <x:c r="H983" s="33" t="str">
        <x:v>https://www.meity.gov.in/documents/act-and-policies/digital-personal-data-protection-rules-2025-gDOxUjMtQWa | https://consumeraffairs.nic.in/acts-and-rules/consumer-protection/consumer-protection | P3 Jurisdiction Register</x:v>
      </x:c>
      <x:c r="I983" s="33" t="str">
        <x:v>P-3</x:v>
      </x:c>
      <x:c r="J983" s="33" t="str">
        <x:v>2026-08-20</x:v>
      </x:c>
      <x:c r="K983" s="33" t="str">
        <x:v>Legacy IDs retained inactive; no false production obligation remains.</x:v>
      </x:c>
    </x:row>
    <x:row r="984">
      <x:c r="A984" s="33" t="str">
        <x:v>OBS182</x:v>
      </x:c>
      <x:c r="B984" s="33" t="str">
        <x:v>Observation Master</x:v>
      </x:c>
      <x:c r="C984" s="33" t="str">
        <x:v>Active=Yes; Remarks=Document assessment outcomes.</x:v>
      </x:c>
      <x:c r="D984" s="33" t="str">
        <x:v>Active=No; Remarks=P-3 QUARANTINED: Generic State/local/permit/reference rows, penalty-only/fabricated DAMR extractions, and future-effective DPDP duties are not current production obligations.</x:v>
      </x:c>
      <x:c r="E984" s="33" t="str">
        <x:v>RECLASSIFY / QUARANTINE</x:v>
      </x:c>
      <x:c r="F984" s="33" t="str">
        <x:v>Generic State/local/permit/reference rows, penalty-only/fabricated DAMR extractions, and future-effective DPDP duties are not current production obligations.</x:v>
      </x:c>
      <x:c r="G984" s="33" t="str">
        <x:v>P-3 chain reconciliation</x:v>
      </x:c>
      <x:c r="H984" s="33" t="str">
        <x:v>https://www.meity.gov.in/documents/act-and-policies/digital-personal-data-protection-rules-2025-gDOxUjMtQWa | https://consumeraffairs.nic.in/acts-and-rules/consumer-protection/consumer-protection | P3 Jurisdiction Register</x:v>
      </x:c>
      <x:c r="I984" s="33" t="str">
        <x:v>P-3</x:v>
      </x:c>
      <x:c r="J984" s="33" t="str">
        <x:v>2026-08-20</x:v>
      </x:c>
      <x:c r="K984" s="33" t="str">
        <x:v>Legacy IDs retained inactive; no false production obligation remains.</x:v>
      </x:c>
    </x:row>
    <x:row r="985">
      <x:c r="A985" s="33" t="str">
        <x:v>OBS183</x:v>
      </x:c>
      <x:c r="B985" s="33" t="str">
        <x:v>Observation Master</x:v>
      </x:c>
      <x:c r="C985" s="33" t="str">
        <x:v>Active=Yes; Remarks=Applicable professional obligations should be tracked.</x:v>
      </x:c>
      <x:c r="D985" s="33" t="str">
        <x:v>Active=No; Remarks=P-3 QUARANTINED: Generic State/local/permit/reference rows, penalty-only/fabricated DAMR extractions, and future-effective DPDP duties are not current production obligations.</x:v>
      </x:c>
      <x:c r="E985" s="33" t="str">
        <x:v>RECLASSIFY / QUARANTINE</x:v>
      </x:c>
      <x:c r="F985" s="33" t="str">
        <x:v>Generic State/local/permit/reference rows, penalty-only/fabricated DAMR extractions, and future-effective DPDP duties are not current production obligations.</x:v>
      </x:c>
      <x:c r="G985" s="33" t="str">
        <x:v>P-3 chain reconciliation</x:v>
      </x:c>
      <x:c r="H985" s="33" t="str">
        <x:v>https://www.meity.gov.in/documents/act-and-policies/digital-personal-data-protection-rules-2025-gDOxUjMtQWa | https://consumeraffairs.nic.in/acts-and-rules/consumer-protection/consumer-protection | P3 Jurisdiction Register</x:v>
      </x:c>
      <x:c r="I985" s="33" t="str">
        <x:v>P-3</x:v>
      </x:c>
      <x:c r="J985" s="33" t="str">
        <x:v>2026-08-20</x:v>
      </x:c>
      <x:c r="K985" s="33" t="str">
        <x:v>Legacy IDs retained inactive; no false production obligation remains.</x:v>
      </x:c>
    </x:row>
    <x:row r="986">
      <x:c r="A986" s="33" t="str">
        <x:v>OBS184</x:v>
      </x:c>
      <x:c r="B986" s="33" t="str">
        <x:v>Observation Master</x:v>
      </x:c>
      <x:c r="C986" s="33" t="str">
        <x:v>Active=Yes; Remarks=Periodically reconcile duty rosters.</x:v>
      </x:c>
      <x:c r="D986" s="33" t="str">
        <x:v>Active=No; Remarks=P-3 QUARANTINED: Generic State/local/permit/reference rows, penalty-only/fabricated DAMR extractions, and future-effective DPDP duties are not current production obligations.</x:v>
      </x:c>
      <x:c r="E986" s="33" t="str">
        <x:v>RECLASSIFY / QUARANTINE</x:v>
      </x:c>
      <x:c r="F986" s="33" t="str">
        <x:v>Generic State/local/permit/reference rows, penalty-only/fabricated DAMR extractions, and future-effective DPDP duties are not current production obligations.</x:v>
      </x:c>
      <x:c r="G986" s="33" t="str">
        <x:v>P-3 chain reconciliation</x:v>
      </x:c>
      <x:c r="H986" s="33" t="str">
        <x:v>https://www.meity.gov.in/documents/act-and-policies/digital-personal-data-protection-rules-2025-gDOxUjMtQWa | https://consumeraffairs.nic.in/acts-and-rules/consumer-protection/consumer-protection | P3 Jurisdiction Register</x:v>
      </x:c>
      <x:c r="I986" s="33" t="str">
        <x:v>P-3</x:v>
      </x:c>
      <x:c r="J986" s="33" t="str">
        <x:v>2026-08-20</x:v>
      </x:c>
      <x:c r="K986" s="33" t="str">
        <x:v>Legacy IDs retained inactive; no false production obligation remains.</x:v>
      </x:c>
    </x:row>
    <x:row r="987">
      <x:c r="A987" s="33" t="str">
        <x:v>OBS185</x:v>
      </x:c>
      <x:c r="B987" s="33" t="str">
        <x:v>Observation Master</x:v>
      </x:c>
      <x:c r="C987" s="33" t="str">
        <x:v>Active=Yes; Remarks=Consider workload and operating hours.</x:v>
      </x:c>
      <x:c r="D987" s="33" t="str">
        <x:v>Active=No; Remarks=P-3 QUARANTINED: Generic State/local/permit/reference rows, penalty-only/fabricated DAMR extractions, and future-effective DPDP duties are not current production obligations.</x:v>
      </x:c>
      <x:c r="E987" s="33" t="str">
        <x:v>RECLASSIFY / QUARANTINE</x:v>
      </x:c>
      <x:c r="F987" s="33" t="str">
        <x:v>Generic State/local/permit/reference rows, penalty-only/fabricated DAMR extractions, and future-effective DPDP duties are not current production obligations.</x:v>
      </x:c>
      <x:c r="G987" s="33" t="str">
        <x:v>P-3 chain reconciliation</x:v>
      </x:c>
      <x:c r="H987" s="33" t="str">
        <x:v>https://www.meity.gov.in/documents/act-and-policies/digital-personal-data-protection-rules-2025-gDOxUjMtQWa | https://consumeraffairs.nic.in/acts-and-rules/consumer-protection/consumer-protection | P3 Jurisdiction Register</x:v>
      </x:c>
      <x:c r="I987" s="33" t="str">
        <x:v>P-3</x:v>
      </x:c>
      <x:c r="J987" s="33" t="str">
        <x:v>2026-08-20</x:v>
      </x:c>
      <x:c r="K987" s="33" t="str">
        <x:v>Legacy IDs retained inactive; no false production obligation remains.</x:v>
      </x:c>
    </x:row>
    <x:row r="988">
      <x:c r="A988" s="33" t="str">
        <x:v>OBS186</x:v>
      </x:c>
      <x:c r="B988" s="33" t="str">
        <x:v>Observation Master</x:v>
      </x:c>
      <x:c r="C988" s="33" t="str">
        <x:v>Active=Yes; Remarks=Apply the same standards as permanent employees.</x:v>
      </x:c>
      <x:c r="D988" s="33" t="str">
        <x:v>Active=No; Remarks=P-3 QUARANTINED: Generic State/local/permit/reference rows, penalty-only/fabricated DAMR extractions, and future-effective DPDP duties are not current production obligations.</x:v>
      </x:c>
      <x:c r="E988" s="33" t="str">
        <x:v>RECLASSIFY / QUARANTINE</x:v>
      </x:c>
      <x:c r="F988" s="33" t="str">
        <x:v>Generic State/local/permit/reference rows, penalty-only/fabricated DAMR extractions, and future-effective DPDP duties are not current production obligations.</x:v>
      </x:c>
      <x:c r="G988" s="33" t="str">
        <x:v>P-3 chain reconciliation</x:v>
      </x:c>
      <x:c r="H988" s="33" t="str">
        <x:v>https://www.meity.gov.in/documents/act-and-policies/digital-personal-data-protection-rules-2025-gDOxUjMtQWa | https://consumeraffairs.nic.in/acts-and-rules/consumer-protection/consumer-protection | P3 Jurisdiction Register</x:v>
      </x:c>
      <x:c r="I988" s="33" t="str">
        <x:v>P-3</x:v>
      </x:c>
      <x:c r="J988" s="33" t="str">
        <x:v>2026-08-20</x:v>
      </x:c>
      <x:c r="K988" s="33" t="str">
        <x:v>Legacy IDs retained inactive; no false production obligation remains.</x:v>
      </x:c>
    </x:row>
    <x:row r="989">
      <x:c r="A989" s="33" t="str">
        <x:v>OBS187</x:v>
      </x:c>
      <x:c r="B989" s="33" t="str">
        <x:v>Observation Master</x:v>
      </x:c>
      <x:c r="C989" s="33" t="str">
        <x:v>Active=Yes; Remarks=Maintain supporting records.</x:v>
      </x:c>
      <x:c r="D989" s="33" t="str">
        <x:v>Active=No; Remarks=P-3 QUARANTINED: Generic State/local/permit/reference rows, penalty-only/fabricated DAMR extractions, and future-effective DPDP duties are not current production obligations.</x:v>
      </x:c>
      <x:c r="E989" s="33" t="str">
        <x:v>RECLASSIFY / QUARANTINE</x:v>
      </x:c>
      <x:c r="F989" s="33" t="str">
        <x:v>Generic State/local/permit/reference rows, penalty-only/fabricated DAMR extractions, and future-effective DPDP duties are not current production obligations.</x:v>
      </x:c>
      <x:c r="G989" s="33" t="str">
        <x:v>P-3 chain reconciliation</x:v>
      </x:c>
      <x:c r="H989" s="33" t="str">
        <x:v>https://www.meity.gov.in/documents/act-and-policies/digital-personal-data-protection-rules-2025-gDOxUjMtQWa | https://consumeraffairs.nic.in/acts-and-rules/consumer-protection/consumer-protection | P3 Jurisdiction Register</x:v>
      </x:c>
      <x:c r="I989" s="33" t="str">
        <x:v>P-3</x:v>
      </x:c>
      <x:c r="J989" s="33" t="str">
        <x:v>2026-08-20</x:v>
      </x:c>
      <x:c r="K989" s="33" t="str">
        <x:v>Legacy IDs retained inactive; no false production obligation remains.</x:v>
      </x:c>
    </x:row>
    <x:row r="990">
      <x:c r="A990" s="33" t="str">
        <x:v>OBS188</x:v>
      </x:c>
      <x:c r="B990" s="33" t="str">
        <x:v>Observation Master</x:v>
      </x:c>
      <x:c r="C990" s="33" t="str">
        <x:v>Active=Yes; Remarks=Maintain confidentiality.</x:v>
      </x:c>
      <x:c r="D990" s="33" t="str">
        <x:v>Active=No; Remarks=P-3 QUARANTINED: Generic State/local/permit/reference rows, penalty-only/fabricated DAMR extractions, and future-effective DPDP duties are not current production obligations.</x:v>
      </x:c>
      <x:c r="E990" s="33" t="str">
        <x:v>RECLASSIFY / QUARANTINE</x:v>
      </x:c>
      <x:c r="F990" s="33" t="str">
        <x:v>Generic State/local/permit/reference rows, penalty-only/fabricated DAMR extractions, and future-effective DPDP duties are not current production obligations.</x:v>
      </x:c>
      <x:c r="G990" s="33" t="str">
        <x:v>P-3 chain reconciliation</x:v>
      </x:c>
      <x:c r="H990" s="33" t="str">
        <x:v>https://www.meity.gov.in/documents/act-and-policies/digital-personal-data-protection-rules-2025-gDOxUjMtQWa | https://consumeraffairs.nic.in/acts-and-rules/consumer-protection/consumer-protection | P3 Jurisdiction Register</x:v>
      </x:c>
      <x:c r="I990" s="33" t="str">
        <x:v>P-3</x:v>
      </x:c>
      <x:c r="J990" s="33" t="str">
        <x:v>2026-08-20</x:v>
      </x:c>
      <x:c r="K990" s="33" t="str">
        <x:v>Legacy IDs retained inactive; no false production obligation remains.</x:v>
      </x:c>
    </x:row>
    <x:row r="991">
      <x:c r="A991" s="33" t="str">
        <x:v>OBS189</x:v>
      </x:c>
      <x:c r="B991" s="33" t="str">
        <x:v>Observation Master</x:v>
      </x:c>
      <x:c r="C991" s="33" t="str">
        <x:v>Active=Yes; Remarks=Applicable to designated roles.</x:v>
      </x:c>
      <x:c r="D991" s="33" t="str">
        <x:v>Active=No; Remarks=P-3 QUARANTINED: Generic State/local/permit/reference rows, penalty-only/fabricated DAMR extractions, and future-effective DPDP duties are not current production obligations.</x:v>
      </x:c>
      <x:c r="E991" s="33" t="str">
        <x:v>RECLASSIFY / QUARANTINE</x:v>
      </x:c>
      <x:c r="F991" s="33" t="str">
        <x:v>Generic State/local/permit/reference rows, penalty-only/fabricated DAMR extractions, and future-effective DPDP duties are not current production obligations.</x:v>
      </x:c>
      <x:c r="G991" s="33" t="str">
        <x:v>P-3 chain reconciliation</x:v>
      </x:c>
      <x:c r="H991" s="33" t="str">
        <x:v>https://www.meity.gov.in/documents/act-and-policies/digital-personal-data-protection-rules-2025-gDOxUjMtQWa | https://consumeraffairs.nic.in/acts-and-rules/consumer-protection/consumer-protection | P3 Jurisdiction Register</x:v>
      </x:c>
      <x:c r="I991" s="33" t="str">
        <x:v>P-3</x:v>
      </x:c>
      <x:c r="J991" s="33" t="str">
        <x:v>2026-08-20</x:v>
      </x:c>
      <x:c r="K991" s="33" t="str">
        <x:v>Legacy IDs retained inactive; no false production obligation remains.</x:v>
      </x:c>
    </x:row>
    <x:row r="992">
      <x:c r="A992" s="33" t="str">
        <x:v>OBS190</x:v>
      </x:c>
      <x:c r="B992" s="33" t="str">
        <x:v>Observation Master</x:v>
      </x:c>
      <x:c r="C992" s="33" t="str">
        <x:v>Active=Yes; Remarks=Apply least privilege principles.</x:v>
      </x:c>
      <x:c r="D992" s="33" t="str">
        <x:v>Active=No; Remarks=P-3 QUARANTINED: Generic State/local/permit/reference rows, penalty-only/fabricated DAMR extractions, and future-effective DPDP duties are not current production obligations.</x:v>
      </x:c>
      <x:c r="E992" s="33" t="str">
        <x:v>RECLASSIFY / QUARANTINE</x:v>
      </x:c>
      <x:c r="F992" s="33" t="str">
        <x:v>Generic State/local/permit/reference rows, penalty-only/fabricated DAMR extractions, and future-effective DPDP duties are not current production obligations.</x:v>
      </x:c>
      <x:c r="G992" s="33" t="str">
        <x:v>P-3 chain reconciliation</x:v>
      </x:c>
      <x:c r="H992" s="33" t="str">
        <x:v>https://www.meity.gov.in/documents/act-and-policies/digital-personal-data-protection-rules-2025-gDOxUjMtQWa | https://consumeraffairs.nic.in/acts-and-rules/consumer-protection/consumer-protection | P3 Jurisdiction Register</x:v>
      </x:c>
      <x:c r="I992" s="33" t="str">
        <x:v>P-3</x:v>
      </x:c>
      <x:c r="J992" s="33" t="str">
        <x:v>2026-08-20</x:v>
      </x:c>
      <x:c r="K992" s="33" t="str">
        <x:v>Legacy IDs retained inactive; no false production obligation remains.</x:v>
      </x:c>
    </x:row>
    <x:row r="993">
      <x:c r="A993" s="33" t="str">
        <x:v>OBS191</x:v>
      </x:c>
      <x:c r="B993" s="33" t="str">
        <x:v>Observation Master</x:v>
      </x:c>
      <x:c r="C993" s="33" t="str">
        <x:v>Active=Yes; Remarks=Periodically review inactive accounts.</x:v>
      </x:c>
      <x:c r="D993" s="33" t="str">
        <x:v>Active=No; Remarks=P-3 QUARANTINED: Generic State/local/permit/reference rows, penalty-only/fabricated DAMR extractions, and future-effective DPDP duties are not current production obligations.</x:v>
      </x:c>
      <x:c r="E993" s="33" t="str">
        <x:v>RECLASSIFY / QUARANTINE</x:v>
      </x:c>
      <x:c r="F993" s="33" t="str">
        <x:v>Generic State/local/permit/reference rows, penalty-only/fabricated DAMR extractions, and future-effective DPDP duties are not current production obligations.</x:v>
      </x:c>
      <x:c r="G993" s="33" t="str">
        <x:v>P-3 chain reconciliation</x:v>
      </x:c>
      <x:c r="H993" s="33" t="str">
        <x:v>https://www.meity.gov.in/documents/act-and-policies/digital-personal-data-protection-rules-2025-gDOxUjMtQWa | https://consumeraffairs.nic.in/acts-and-rules/consumer-protection/consumer-protection | P3 Jurisdiction Register</x:v>
      </x:c>
      <x:c r="I993" s="33" t="str">
        <x:v>P-3</x:v>
      </x:c>
      <x:c r="J993" s="33" t="str">
        <x:v>2026-08-20</x:v>
      </x:c>
      <x:c r="K993" s="33" t="str">
        <x:v>Legacy IDs retained inactive; no false production obligation remains.</x:v>
      </x:c>
    </x:row>
    <x:row r="994">
      <x:c r="A994" s="33" t="str">
        <x:v>OBS197</x:v>
      </x:c>
      <x:c r="B994" s="33" t="str">
        <x:v>Observation Master</x:v>
      </x:c>
      <x:c r="C994" s="33" t="str">
        <x:v>Active=Yes; Remarks=Document attendance and assessments.</x:v>
      </x:c>
      <x:c r="D994" s="33" t="str">
        <x:v>Active=No; Remarks=P-3 QUARANTINED: Generic State/local/permit/reference rows, penalty-only/fabricated DAMR extractions, and future-effective DPDP duties are not current production obligations.</x:v>
      </x:c>
      <x:c r="E994" s="33" t="str">
        <x:v>RECLASSIFY / QUARANTINE</x:v>
      </x:c>
      <x:c r="F994" s="33" t="str">
        <x:v>Generic State/local/permit/reference rows, penalty-only/fabricated DAMR extractions, and future-effective DPDP duties are not current production obligations.</x:v>
      </x:c>
      <x:c r="G994" s="33" t="str">
        <x:v>P-3 chain reconciliation</x:v>
      </x:c>
      <x:c r="H994" s="33" t="str">
        <x:v>https://www.meity.gov.in/documents/act-and-policies/digital-personal-data-protection-rules-2025-gDOxUjMtQWa | https://consumeraffairs.nic.in/acts-and-rules/consumer-protection/consumer-protection | P3 Jurisdiction Register</x:v>
      </x:c>
      <x:c r="I994" s="33" t="str">
        <x:v>P-3</x:v>
      </x:c>
      <x:c r="J994" s="33" t="str">
        <x:v>2026-08-20</x:v>
      </x:c>
      <x:c r="K994" s="33" t="str">
        <x:v>Legacy IDs retained inactive; no false production obligation remains.</x:v>
      </x:c>
    </x:row>
    <x:row r="995">
      <x:c r="A995" s="33" t="str">
        <x:v>OBS198</x:v>
      </x:c>
      <x:c r="B995" s="33" t="str">
        <x:v>Observation Master</x:v>
      </x:c>
      <x:c r="C995" s="33" t="str">
        <x:v>Active=Yes; Remarks=Strengthen governance oversight.</x:v>
      </x:c>
      <x:c r="D995" s="33" t="str">
        <x:v>Active=No; Remarks=P-3 QUARANTINED: Generic State/local/permit/reference rows, penalty-only/fabricated DAMR extractions, and future-effective DPDP duties are not current production obligations.</x:v>
      </x:c>
      <x:c r="E995" s="33" t="str">
        <x:v>RECLASSIFY / QUARANTINE</x:v>
      </x:c>
      <x:c r="F995" s="33" t="str">
        <x:v>Generic State/local/permit/reference rows, penalty-only/fabricated DAMR extractions, and future-effective DPDP duties are not current production obligations.</x:v>
      </x:c>
      <x:c r="G995" s="33" t="str">
        <x:v>P-3 chain reconciliation</x:v>
      </x:c>
      <x:c r="H995" s="33" t="str">
        <x:v>https://www.meity.gov.in/documents/act-and-policies/digital-personal-data-protection-rules-2025-gDOxUjMtQWa | https://consumeraffairs.nic.in/acts-and-rules/consumer-protection/consumer-protection | P3 Jurisdiction Register</x:v>
      </x:c>
      <x:c r="I995" s="33" t="str">
        <x:v>P-3</x:v>
      </x:c>
      <x:c r="J995" s="33" t="str">
        <x:v>2026-08-20</x:v>
      </x:c>
      <x:c r="K995" s="33" t="str">
        <x:v>Legacy IDs retained inactive; no false production obligation remains.</x:v>
      </x:c>
    </x:row>
    <x:row r="996">
      <x:c r="A996" s="33" t="str">
        <x:v>OBS199</x:v>
      </x:c>
      <x:c r="B996" s="33" t="str">
        <x:v>Observation Master</x:v>
      </x:c>
      <x:c r="C996" s="33" t="str">
        <x:v>Active=Yes; Remarks=Include HR compliance within audit plans.</x:v>
      </x:c>
      <x:c r="D996" s="33" t="str">
        <x:v>Active=No; Remarks=P-3 QUARANTINED: Generic State/local/permit/reference rows, penalty-only/fabricated DAMR extractions, and future-effective DPDP duties are not current production obligations.</x:v>
      </x:c>
      <x:c r="E996" s="33" t="str">
        <x:v>RECLASSIFY / QUARANTINE</x:v>
      </x:c>
      <x:c r="F996" s="33" t="str">
        <x:v>Generic State/local/permit/reference rows, penalty-only/fabricated DAMR extractions, and future-effective DPDP duties are not current production obligations.</x:v>
      </x:c>
      <x:c r="G996" s="33" t="str">
        <x:v>P-3 chain reconciliation</x:v>
      </x:c>
      <x:c r="H996" s="33" t="str">
        <x:v>https://www.meity.gov.in/documents/act-and-policies/digital-personal-data-protection-rules-2025-gDOxUjMtQWa | https://consumeraffairs.nic.in/acts-and-rules/consumer-protection/consumer-protection | P3 Jurisdiction Register</x:v>
      </x:c>
      <x:c r="I996" s="33" t="str">
        <x:v>P-3</x:v>
      </x:c>
      <x:c r="J996" s="33" t="str">
        <x:v>2026-08-20</x:v>
      </x:c>
      <x:c r="K996" s="33" t="str">
        <x:v>Legacy IDs retained inactive; no false production obligation remains.</x:v>
      </x:c>
    </x:row>
    <x:row r="997">
      <x:c r="A997" s="33" t="str">
        <x:v>OBS200</x:v>
      </x:c>
      <x:c r="B997" s="33" t="str">
        <x:v>Observation Master</x:v>
      </x:c>
      <x:c r="C997" s="33" t="str">
        <x:v>Active=Yes; Remarks=Enterprise-level personnel compliance observation.</x:v>
      </x:c>
      <x:c r="D997" s="33" t="str">
        <x:v>Active=No; Remarks=P-3 QUARANTINED: Generic State/local/permit/reference rows, penalty-only/fabricated DAMR extractions, and future-effective DPDP duties are not current production obligations.</x:v>
      </x:c>
      <x:c r="E997" s="33" t="str">
        <x:v>RECLASSIFY / QUARANTINE</x:v>
      </x:c>
      <x:c r="F997" s="33" t="str">
        <x:v>Generic State/local/permit/reference rows, penalty-only/fabricated DAMR extractions, and future-effective DPDP duties are not current production obligations.</x:v>
      </x:c>
      <x:c r="G997" s="33" t="str">
        <x:v>P-3 chain reconciliation</x:v>
      </x:c>
      <x:c r="H997" s="33" t="str">
        <x:v>https://www.meity.gov.in/documents/act-and-policies/digital-personal-data-protection-rules-2025-gDOxUjMtQWa | https://consumeraffairs.nic.in/acts-and-rules/consumer-protection/consumer-protection | P3 Jurisdiction Register</x:v>
      </x:c>
      <x:c r="I997" s="33" t="str">
        <x:v>P-3</x:v>
      </x:c>
      <x:c r="J997" s="33" t="str">
        <x:v>2026-08-20</x:v>
      </x:c>
      <x:c r="K997" s="33" t="str">
        <x:v>Legacy IDs retained inactive; no false production obligation remains.</x:v>
      </x:c>
    </x:row>
    <x:row r="998">
      <x:c r="A998" s="33" t="str">
        <x:v>OBS210</x:v>
      </x:c>
      <x:c r="B998" s="33" t="str">
        <x:v>Observation Master</x:v>
      </x:c>
      <x:c r="C998" s="33" t="str">
        <x:v>Active=Yes; Remarks=Avoid overwriting records.</x:v>
      </x:c>
      <x:c r="D998" s="33" t="str">
        <x:v>Active=No; Remarks=P-3 QUARANTINED: Generic State/local/permit/reference rows, penalty-only/fabricated DAMR extractions, and future-effective DPDP duties are not current production obligations.</x:v>
      </x:c>
      <x:c r="E998" s="33" t="str">
        <x:v>RECLASSIFY / QUARANTINE</x:v>
      </x:c>
      <x:c r="F998" s="33" t="str">
        <x:v>Generic State/local/permit/reference rows, penalty-only/fabricated DAMR extractions, and future-effective DPDP duties are not current production obligations.</x:v>
      </x:c>
      <x:c r="G998" s="33" t="str">
        <x:v>P-3 chain reconciliation</x:v>
      </x:c>
      <x:c r="H998" s="33" t="str">
        <x:v>https://www.meity.gov.in/documents/act-and-policies/digital-personal-data-protection-rules-2025-gDOxUjMtQWa | https://consumeraffairs.nic.in/acts-and-rules/consumer-protection/consumer-protection | P3 Jurisdiction Register</x:v>
      </x:c>
      <x:c r="I998" s="33" t="str">
        <x:v>P-3</x:v>
      </x:c>
      <x:c r="J998" s="33" t="str">
        <x:v>2026-08-20</x:v>
      </x:c>
      <x:c r="K998" s="33" t="str">
        <x:v>Legacy IDs retained inactive; no false production obligation remains.</x:v>
      </x:c>
    </x:row>
    <x:row r="999">
      <x:c r="A999" s="33" t="str">
        <x:v>OBS211</x:v>
      </x:c>
      <x:c r="B999" s="33" t="str">
        <x:v>Observation Master</x:v>
      </x:c>
      <x:c r="C999" s="33" t="str">
        <x:v>Active=Yes; Remarks=Strengthen electronic record integrity.</x:v>
      </x:c>
      <x:c r="D999" s="33" t="str">
        <x:v>Active=No; Remarks=P-3 QUARANTINED: Generic State/local/permit/reference rows, penalty-only/fabricated DAMR extractions, and future-effective DPDP duties are not current production obligations.</x:v>
      </x:c>
      <x:c r="E999" s="33" t="str">
        <x:v>RECLASSIFY / QUARANTINE</x:v>
      </x:c>
      <x:c r="F999" s="33" t="str">
        <x:v>Generic State/local/permit/reference rows, penalty-only/fabricated DAMR extractions, and future-effective DPDP duties are not current production obligations.</x:v>
      </x:c>
      <x:c r="G999" s="33" t="str">
        <x:v>P-3 chain reconciliation</x:v>
      </x:c>
      <x:c r="H999" s="33" t="str">
        <x:v>https://www.meity.gov.in/documents/act-and-policies/digital-personal-data-protection-rules-2025-gDOxUjMtQWa | https://consumeraffairs.nic.in/acts-and-rules/consumer-protection/consumer-protection | P3 Jurisdiction Register</x:v>
      </x:c>
      <x:c r="I999" s="33" t="str">
        <x:v>P-3</x:v>
      </x:c>
      <x:c r="J999" s="33" t="str">
        <x:v>2026-08-20</x:v>
      </x:c>
      <x:c r="K999" s="33" t="str">
        <x:v>Legacy IDs retained inactive; no false production obligation remains.</x:v>
      </x:c>
    </x:row>
    <x:row r="1000">
      <x:c r="A1000" s="33" t="str">
        <x:v>OBS230</x:v>
      </x:c>
      <x:c r="B1000" s="33" t="str">
        <x:v>Observation Master</x:v>
      </x:c>
      <x:c r="C1000" s="33" t="str">
        <x:v>Active=Yes; Remarks=Promote uniform audit reporting.</x:v>
      </x:c>
      <x:c r="D1000" s="33" t="str">
        <x:v>Active=No; Remarks=P-3 QUARANTINED: Generic State/local/permit/reference rows, penalty-only/fabricated DAMR extractions, and future-effective DPDP duties are not current production obligations.</x:v>
      </x:c>
      <x:c r="E1000" s="33" t="str">
        <x:v>RECLASSIFY / QUARANTINE</x:v>
      </x:c>
      <x:c r="F1000" s="33" t="str">
        <x:v>Generic State/local/permit/reference rows, penalty-only/fabricated DAMR extractions, and future-effective DPDP duties are not current production obligations.</x:v>
      </x:c>
      <x:c r="G1000" s="33" t="str">
        <x:v>P-3 chain reconciliation</x:v>
      </x:c>
      <x:c r="H1000" s="33" t="str">
        <x:v>https://www.meity.gov.in/documents/act-and-policies/digital-personal-data-protection-rules-2025-gDOxUjMtQWa | https://consumeraffairs.nic.in/acts-and-rules/consumer-protection/consumer-protection | P3 Jurisdiction Register</x:v>
      </x:c>
      <x:c r="I1000" s="33" t="str">
        <x:v>P-3</x:v>
      </x:c>
      <x:c r="J1000" s="33" t="str">
        <x:v>2026-08-20</x:v>
      </x:c>
      <x:c r="K1000" s="33" t="str">
        <x:v>Legacy IDs retained inactive; no false production obligation remains.</x:v>
      </x:c>
    </x:row>
    <x:row r="1001">
      <x:c r="A1001" s="33" t="str">
        <x:v>OBS231</x:v>
      </x:c>
      <x:c r="B1001" s="33" t="str">
        <x:v>Observation Master</x:v>
      </x:c>
      <x:c r="C1001" s="33" t="str">
        <x:v>Active=Yes; Remarks=Timely reporting enables corrective action.</x:v>
      </x:c>
      <x:c r="D1001" s="33" t="str">
        <x:v>Active=No; Remarks=P-3 QUARANTINED: Generic State/local/permit/reference rows, penalty-only/fabricated DAMR extractions, and future-effective DPDP duties are not current production obligations.</x:v>
      </x:c>
      <x:c r="E1001" s="33" t="str">
        <x:v>RECLASSIFY / QUARANTINE</x:v>
      </x:c>
      <x:c r="F1001" s="33" t="str">
        <x:v>Generic State/local/permit/reference rows, penalty-only/fabricated DAMR extractions, and future-effective DPDP duties are not current production obligations.</x:v>
      </x:c>
      <x:c r="G1001" s="33" t="str">
        <x:v>P-3 chain reconciliation</x:v>
      </x:c>
      <x:c r="H1001" s="33" t="str">
        <x:v>https://www.meity.gov.in/documents/act-and-policies/digital-personal-data-protection-rules-2025-gDOxUjMtQWa | https://consumeraffairs.nic.in/acts-and-rules/consumer-protection/consumer-protection | P3 Jurisdiction Register</x:v>
      </x:c>
      <x:c r="I1001" s="33" t="str">
        <x:v>P-3</x:v>
      </x:c>
      <x:c r="J1001" s="33" t="str">
        <x:v>2026-08-20</x:v>
      </x:c>
      <x:c r="K1001" s="33" t="str">
        <x:v>Legacy IDs retained inactive; no false production obligation remains.</x:v>
      </x:c>
    </x:row>
    <x:row r="1002">
      <x:c r="A1002" s="33" t="str">
        <x:v>OBS232</x:v>
      </x:c>
      <x:c r="B1002" s="33" t="str">
        <x:v>Observation Master</x:v>
      </x:c>
      <x:c r="C1002" s="33" t="str">
        <x:v>Active=Yes; Remarks=Responses should address root causes.</x:v>
      </x:c>
      <x:c r="D1002" s="33" t="str">
        <x:v>Active=No; Remarks=P-3 QUARANTINED: Generic State/local/permit/reference rows, penalty-only/fabricated DAMR extractions, and future-effective DPDP duties are not current production obligations.</x:v>
      </x:c>
      <x:c r="E1002" s="33" t="str">
        <x:v>RECLASSIFY / QUARANTINE</x:v>
      </x:c>
      <x:c r="F1002" s="33" t="str">
        <x:v>Generic State/local/permit/reference rows, penalty-only/fabricated DAMR extractions, and future-effective DPDP duties are not current production obligations.</x:v>
      </x:c>
      <x:c r="G1002" s="33" t="str">
        <x:v>P-3 chain reconciliation</x:v>
      </x:c>
      <x:c r="H1002" s="33" t="str">
        <x:v>https://www.meity.gov.in/documents/act-and-policies/digital-personal-data-protection-rules-2025-gDOxUjMtQWa | https://consumeraffairs.nic.in/acts-and-rules/consumer-protection/consumer-protection | P3 Jurisdiction Register</x:v>
      </x:c>
      <x:c r="I1002" s="33" t="str">
        <x:v>P-3</x:v>
      </x:c>
      <x:c r="J1002" s="33" t="str">
        <x:v>2026-08-20</x:v>
      </x:c>
      <x:c r="K1002" s="33" t="str">
        <x:v>Legacy IDs retained inactive; no false production obligation remains.</x:v>
      </x:c>
    </x:row>
    <x:row r="1003">
      <x:c r="A1003" s="33" t="str">
        <x:v>OBS233</x:v>
      </x:c>
      <x:c r="B1003" s="33" t="str">
        <x:v>Observation Master</x:v>
      </x:c>
      <x:c r="C1003" s="33" t="str">
        <x:v>Active=Yes; Remarks=Overdue CAPAs increase regulatory exposure.</x:v>
      </x:c>
      <x:c r="D1003" s="33" t="str">
        <x:v>Active=No; Remarks=P-3 QUARANTINED: Generic State/local/permit/reference rows, penalty-only/fabricated DAMR extractions, and future-effective DPDP duties are not current production obligations.</x:v>
      </x:c>
      <x:c r="E1003" s="33" t="str">
        <x:v>RECLASSIFY / QUARANTINE</x:v>
      </x:c>
      <x:c r="F1003" s="33" t="str">
        <x:v>Generic State/local/permit/reference rows, penalty-only/fabricated DAMR extractions, and future-effective DPDP duties are not current production obligations.</x:v>
      </x:c>
      <x:c r="G1003" s="33" t="str">
        <x:v>P-3 chain reconciliation</x:v>
      </x:c>
      <x:c r="H1003" s="33" t="str">
        <x:v>https://www.meity.gov.in/documents/act-and-policies/digital-personal-data-protection-rules-2025-gDOxUjMtQWa | https://consumeraffairs.nic.in/acts-and-rules/consumer-protection/consumer-protection | P3 Jurisdiction Register</x:v>
      </x:c>
      <x:c r="I1003" s="33" t="str">
        <x:v>P-3</x:v>
      </x:c>
      <x:c r="J1003" s="33" t="str">
        <x:v>2026-08-20</x:v>
      </x:c>
      <x:c r="K1003" s="33" t="str">
        <x:v>Legacy IDs retained inactive; no false production obligation remains.</x:v>
      </x:c>
    </x:row>
    <x:row r="1004">
      <x:c r="A1004" s="33" t="str">
        <x:v>OBS234</x:v>
      </x:c>
      <x:c r="B1004" s="33" t="str">
        <x:v>Observation Master</x:v>
      </x:c>
      <x:c r="C1004" s="33" t="str">
        <x:v>Active=Yes; Remarks=Verify sustainable compliance.</x:v>
      </x:c>
      <x:c r="D1004" s="33" t="str">
        <x:v>Active=No; Remarks=P-3 QUARANTINED: Generic State/local/permit/reference rows, penalty-only/fabricated DAMR extractions, and future-effective DPDP duties are not current production obligations.</x:v>
      </x:c>
      <x:c r="E1004" s="33" t="str">
        <x:v>RECLASSIFY / QUARANTINE</x:v>
      </x:c>
      <x:c r="F1004" s="33" t="str">
        <x:v>Generic State/local/permit/reference rows, penalty-only/fabricated DAMR extractions, and future-effective DPDP duties are not current production obligations.</x:v>
      </x:c>
      <x:c r="G1004" s="33" t="str">
        <x:v>P-3 chain reconciliation</x:v>
      </x:c>
      <x:c r="H1004" s="33" t="str">
        <x:v>https://www.meity.gov.in/documents/act-and-policies/digital-personal-data-protection-rules-2025-gDOxUjMtQWa | https://consumeraffairs.nic.in/acts-and-rules/consumer-protection/consumer-protection | P3 Jurisdiction Register</x:v>
      </x:c>
      <x:c r="I1004" s="33" t="str">
        <x:v>P-3</x:v>
      </x:c>
      <x:c r="J1004" s="33" t="str">
        <x:v>2026-08-20</x:v>
      </x:c>
      <x:c r="K1004" s="33" t="str">
        <x:v>Legacy IDs retained inactive; no false production obligation remains.</x:v>
      </x:c>
    </x:row>
    <x:row r="1005">
      <x:c r="A1005" s="33" t="str">
        <x:v>OBS235</x:v>
      </x:c>
      <x:c r="B1005" s="33" t="str">
        <x:v>Observation Master</x:v>
      </x:c>
      <x:c r="C1005" s="33" t="str">
        <x:v>Active=Yes; Remarks=Trend recurring observations periodically.</x:v>
      </x:c>
      <x:c r="D1005" s="33" t="str">
        <x:v>Active=No; Remarks=P-3 QUARANTINED: Generic State/local/permit/reference rows, penalty-only/fabricated DAMR extractions, and future-effective DPDP duties are not current production obligations.</x:v>
      </x:c>
      <x:c r="E1005" s="33" t="str">
        <x:v>RECLASSIFY / QUARANTINE</x:v>
      </x:c>
      <x:c r="F1005" s="33" t="str">
        <x:v>Generic State/local/permit/reference rows, penalty-only/fabricated DAMR extractions, and future-effective DPDP duties are not current production obligations.</x:v>
      </x:c>
      <x:c r="G1005" s="33" t="str">
        <x:v>P-3 chain reconciliation</x:v>
      </x:c>
      <x:c r="H1005" s="33" t="str">
        <x:v>https://www.meity.gov.in/documents/act-and-policies/digital-personal-data-protection-rules-2025-gDOxUjMtQWa | https://consumeraffairs.nic.in/acts-and-rules/consumer-protection/consumer-protection | P3 Jurisdiction Register</x:v>
      </x:c>
      <x:c r="I1005" s="33" t="str">
        <x:v>P-3</x:v>
      </x:c>
      <x:c r="J1005" s="33" t="str">
        <x:v>2026-08-20</x:v>
      </x:c>
      <x:c r="K1005" s="33" t="str">
        <x:v>Legacy IDs retained inactive; no false production obligation remains.</x:v>
      </x:c>
    </x:row>
    <x:row r="1006">
      <x:c r="A1006" s="33" t="str">
        <x:v>PROV291</x:v>
      </x:c>
      <x:c r="B1006" s="33" t="str">
        <x:v>Provision Master</x:v>
      </x:c>
      <x:c r="C1006" s="33" t="str">
        <x:v>Not present</x:v>
      </x:c>
      <x:c r="D1006" s="33" t="str">
        <x:v>Provision ID=PROV291; Law ID=LAW044; Sub Sector ID=; Provision Category=Statutory; Statutory Reference=Rule 5; Provision Name=Duties of every solid-waste generator; Provision Description=Segregate at source into wet, dry, sanitary and special-care streams; hand over segregated waste to authorised collectors; prevent littering/burning/dumping; pay applicable user fees and keep other regulated waste streams separate.; Origin=CORE; Active=Yes; Remarks=P-3 current from 01-04-2026.</x:v>
      </x:c>
      <x:c r="E1006" s="33" t="str">
        <x:v>ADD</x:v>
      </x:c>
      <x:c r="F1006" s="33" t="str">
        <x:v>Add only validated, trigger-specific P-3 production provisions.</x:v>
      </x:c>
      <x:c r="G1006" s="33" t="str">
        <x:v>P-3 official-source review</x:v>
      </x:c>
      <x:c r="H1006" s="33" t="str">
        <x:v>https://moef.gov.in/rules-regulations-3 | https://moef.gov.in/uploads/pdf-uploads/pdf_684015cdcfe270.47591512.pdf | https://moef.gov.in/uploads/pdf-uploads/pdf_676567459cdfe9.16099796.pdf | https://www.labour.gov.in/offerings/schemes-and-services/details/labour-codes-gzNzQzMtQWa</x:v>
      </x:c>
      <x:c r="I1006" s="33" t="str">
        <x:v>P-3</x:v>
      </x:c>
      <x:c r="J1006" s="33" t="str">
        <x:v>2026-08-20</x:v>
      </x:c>
      <x:c r="K1006" s="33" t="str">
        <x:v>New controlled P-3 record; schema preserved.</x:v>
      </x:c>
    </x:row>
    <x:row r="1007">
      <x:c r="A1007" s="33" t="str">
        <x:v>PROV292</x:v>
      </x:c>
      <x:c r="B1007" s="33" t="str">
        <x:v>Provision Master</x:v>
      </x:c>
      <x:c r="C1007" s="33" t="str">
        <x:v>Not present</x:v>
      </x:c>
      <x:c r="D1007" s="33" t="str">
        <x:v>Provision ID=PROV292; Law ID=LAW044; Sub Sector ID=; Provision Category=Statutory; Statutory Reference=Rule 6; Rule 3 bulk-waste-generator definition; Provision Name=Additional duties of a bulk waste generator; Provision Description=If any threshold is met (floor area at least 20,000 sqm, water at least 40,000 L/day, or solid waste at least 100 kg/day), register/report and arrange wet-waste processing/EBWGR and authorised channelisation as prescribed.; Origin=CORE; Active=Yes; Remarks=P-3 threshold is disjunctive: any one criterion.</x:v>
      </x:c>
      <x:c r="E1007" s="33" t="str">
        <x:v>ADD</x:v>
      </x:c>
      <x:c r="F1007" s="33" t="str">
        <x:v>Add only validated, trigger-specific P-3 production provisions.</x:v>
      </x:c>
      <x:c r="G1007" s="33" t="str">
        <x:v>P-3 official-source review</x:v>
      </x:c>
      <x:c r="H1007" s="33" t="str">
        <x:v>https://moef.gov.in/rules-regulations-3 | https://moef.gov.in/uploads/pdf-uploads/pdf_684015cdcfe270.47591512.pdf | https://moef.gov.in/uploads/pdf-uploads/pdf_676567459cdfe9.16099796.pdf | https://www.labour.gov.in/offerings/schemes-and-services/details/labour-codes-gzNzQzMtQWa</x:v>
      </x:c>
      <x:c r="I1007" s="33" t="str">
        <x:v>P-3</x:v>
      </x:c>
      <x:c r="J1007" s="33" t="str">
        <x:v>2026-08-20</x:v>
      </x:c>
      <x:c r="K1007" s="33" t="str">
        <x:v>New controlled P-3 record; schema preserved.</x:v>
      </x:c>
    </x:row>
    <x:row r="1008">
      <x:c r="A1008" s="33" t="str">
        <x:v>PROV293</x:v>
      </x:c>
      <x:c r="B1008" s="33" t="str">
        <x:v>Provision Master</x:v>
      </x:c>
      <x:c r="C1008" s="33" t="str">
        <x:v>Not present</x:v>
      </x:c>
      <x:c r="D1008" s="33" t="str">
        <x:v>Provision ID=PROV293; Law ID=LAW042; Sub Sector ID=; Provision Category=Statutory; Statutory Reference=Rules 8 and 14; Provision Name=Plastic-waste generator and retailer duties; Provision Description=Minimise and segregate plastic waste, prevent littering, hand it to the authorised channel and, as retailer, do not provide commodities in non-compliant carry bags/plastic sheets/packaging.; Origin=CORE; Active=Yes; Remarks=P-3 excludes PIBO EPR unless that separate role exists.</x:v>
      </x:c>
      <x:c r="E1008" s="33" t="str">
        <x:v>ADD</x:v>
      </x:c>
      <x:c r="F1008" s="33" t="str">
        <x:v>Add only validated, trigger-specific P-3 production provisions.</x:v>
      </x:c>
      <x:c r="G1008" s="33" t="str">
        <x:v>P-3 official-source review</x:v>
      </x:c>
      <x:c r="H1008" s="33" t="str">
        <x:v>https://moef.gov.in/rules-regulations-3 | https://moef.gov.in/uploads/pdf-uploads/pdf_684015cdcfe270.47591512.pdf | https://moef.gov.in/uploads/pdf-uploads/pdf_676567459cdfe9.16099796.pdf | https://www.labour.gov.in/offerings/schemes-and-services/details/labour-codes-gzNzQzMtQWa</x:v>
      </x:c>
      <x:c r="I1008" s="33" t="str">
        <x:v>P-3</x:v>
      </x:c>
      <x:c r="J1008" s="33" t="str">
        <x:v>2026-08-20</x:v>
      </x:c>
      <x:c r="K1008" s="33" t="str">
        <x:v>New controlled P-3 record; schema preserved.</x:v>
      </x:c>
    </x:row>
    <x:row r="1009">
      <x:c r="A1009" s="33" t="str">
        <x:v>PROV294</x:v>
      </x:c>
      <x:c r="B1009" s="33" t="str">
        <x:v>Provision Master</x:v>
      </x:c>
      <x:c r="C1009" s="33" t="str">
        <x:v>Not present</x:v>
      </x:c>
      <x:c r="D1009" s="33" t="str">
        <x:v>Provision ID=PROV294; Law ID=LAW102; Sub Sector ID=; Provision Category=Statutory; Statutory Reference=Rule 5; Provision Name=Waste-battery consumer duty; Provision Description=Discard waste batteries separately from other waste and deliver them to an entity engaged in collection, refurbishing or recycling for environmentally sound management.; Origin=CORE; Active=Yes; Remarks=P-3 consumer role only; producer EPR excluded absent producer role.</x:v>
      </x:c>
      <x:c r="E1009" s="33" t="str">
        <x:v>ADD</x:v>
      </x:c>
      <x:c r="F1009" s="33" t="str">
        <x:v>Add only validated, trigger-specific P-3 production provisions.</x:v>
      </x:c>
      <x:c r="G1009" s="33" t="str">
        <x:v>P-3 official-source review</x:v>
      </x:c>
      <x:c r="H1009" s="33" t="str">
        <x:v>https://moef.gov.in/rules-regulations-3 | https://moef.gov.in/uploads/pdf-uploads/pdf_684015cdcfe270.47591512.pdf | https://moef.gov.in/uploads/pdf-uploads/pdf_676567459cdfe9.16099796.pdf | https://www.labour.gov.in/offerings/schemes-and-services/details/labour-codes-gzNzQzMtQWa</x:v>
      </x:c>
      <x:c r="I1009" s="33" t="str">
        <x:v>P-3</x:v>
      </x:c>
      <x:c r="J1009" s="33" t="str">
        <x:v>2026-08-20</x:v>
      </x:c>
      <x:c r="K1009" s="33" t="str">
        <x:v>New controlled P-3 record; schema preserved.</x:v>
      </x:c>
    </x:row>
    <x:row r="1010">
      <x:c r="A1010" s="33" t="str">
        <x:v>PROV295</x:v>
      </x:c>
      <x:c r="B1010" s="33" t="str">
        <x:v>Provision Master</x:v>
      </x:c>
      <x:c r="C1010" s="33" t="str">
        <x:v>Not present</x:v>
      </x:c>
      <x:c r="D1010" s="33" t="str">
        <x:v>Provision ID=PROV295; Law ID=LAW043; Sub Sector ID=; Provision Category=Statutory; Statutory Reference=Rule 8; bulk-consumer definition; Provision Name=E-waste bulk-consumer channelisation; Provision Description=A bulk consumer using at least 1,000 units of Schedule I EEE in a financial year hands e-waste only to a registered producer, refurbisher or recycler.; Origin=CORE; Active=Yes; Remarks=P-3 threshold/role conditional; no invented annual return.</x:v>
      </x:c>
      <x:c r="E1010" s="33" t="str">
        <x:v>ADD</x:v>
      </x:c>
      <x:c r="F1010" s="33" t="str">
        <x:v>Add only validated, trigger-specific P-3 production provisions.</x:v>
      </x:c>
      <x:c r="G1010" s="33" t="str">
        <x:v>P-3 official-source review</x:v>
      </x:c>
      <x:c r="H1010" s="33" t="str">
        <x:v>https://moef.gov.in/rules-regulations-3 | https://moef.gov.in/uploads/pdf-uploads/pdf_684015cdcfe270.47591512.pdf | https://moef.gov.in/uploads/pdf-uploads/pdf_676567459cdfe9.16099796.pdf | https://www.labour.gov.in/offerings/schemes-and-services/details/labour-codes-gzNzQzMtQWa</x:v>
      </x:c>
      <x:c r="I1010" s="33" t="str">
        <x:v>P-3</x:v>
      </x:c>
      <x:c r="J1010" s="33" t="str">
        <x:v>2026-08-20</x:v>
      </x:c>
      <x:c r="K1010" s="33" t="str">
        <x:v>New controlled P-3 record; schema preserved.</x:v>
      </x:c>
    </x:row>
    <x:row r="1011">
      <x:c r="A1011" s="33" t="str">
        <x:v>PROV296</x:v>
      </x:c>
      <x:c r="B1011" s="33" t="str">
        <x:v>Provision Master</x:v>
      </x:c>
      <x:c r="C1011" s="33" t="str">
        <x:v>Not present</x:v>
      </x:c>
      <x:c r="D1011" s="33" t="str">
        <x:v>Provision ID=PROV296; Law ID=LAW103; Sub Sector ID=; Provision Category=Statutory; Statutory Reference=Rules 4, 6, 8 and 19-20; Provision Name=Hazardous/other-waste occupier authorization, storage and movement; Provision Description=If scheduled/characterised hazardous or other waste is generated, obtain authorization, manage it safely, observe storage limits and use the prescribed authorised movement/manifest channel.; Origin=CORE; Active=Yes; Remarks=P-3 activity/waste-characterisation conditional.</x:v>
      </x:c>
      <x:c r="E1011" s="33" t="str">
        <x:v>ADD</x:v>
      </x:c>
      <x:c r="F1011" s="33" t="str">
        <x:v>Add only validated, trigger-specific P-3 production provisions.</x:v>
      </x:c>
      <x:c r="G1011" s="33" t="str">
        <x:v>P-3 official-source review</x:v>
      </x:c>
      <x:c r="H1011" s="33" t="str">
        <x:v>https://moef.gov.in/rules-regulations-3 | https://moef.gov.in/uploads/pdf-uploads/pdf_684015cdcfe270.47591512.pdf | https://moef.gov.in/uploads/pdf-uploads/pdf_676567459cdfe9.16099796.pdf | https://www.labour.gov.in/offerings/schemes-and-services/details/labour-codes-gzNzQzMtQWa</x:v>
      </x:c>
      <x:c r="I1011" s="33" t="str">
        <x:v>P-3</x:v>
      </x:c>
      <x:c r="J1011" s="33" t="str">
        <x:v>2026-08-20</x:v>
      </x:c>
      <x:c r="K1011" s="33" t="str">
        <x:v>New controlled P-3 record; schema preserved.</x:v>
      </x:c>
    </x:row>
    <x:row r="1012">
      <x:c r="A1012" s="33" t="str">
        <x:v>PROV297</x:v>
      </x:c>
      <x:c r="B1012" s="33" t="str">
        <x:v>Provision Master</x:v>
      </x:c>
      <x:c r="C1012" s="33" t="str">
        <x:v>Not present</x:v>
      </x:c>
      <x:c r="D1012" s="33" t="str">
        <x:v>Provision ID=PROV297; Law ID=LAW104; Sub Sector ID=; Provision Category=Statutory; Statutory Reference=Sections 25-26; current consent/exemption notifications; Provision Name=Water pollution consent before establishing or discharging; Provision Description=Obtain the applicable consent before establishing/taking steps for an industry, operation, process or outlet/discharge that remains covered after exemptions and State classification.; Origin=CORE; Active=Yes; Remarks=P-3 does not assume ordinary retail pharmacy is covered.</x:v>
      </x:c>
      <x:c r="E1012" s="33" t="str">
        <x:v>ADD</x:v>
      </x:c>
      <x:c r="F1012" s="33" t="str">
        <x:v>Add only validated, trigger-specific P-3 production provisions.</x:v>
      </x:c>
      <x:c r="G1012" s="33" t="str">
        <x:v>P-3 official-source review</x:v>
      </x:c>
      <x:c r="H1012" s="33" t="str">
        <x:v>https://moef.gov.in/rules-regulations-3 | https://moef.gov.in/uploads/pdf-uploads/pdf_684015cdcfe270.47591512.pdf | https://moef.gov.in/uploads/pdf-uploads/pdf_676567459cdfe9.16099796.pdf | https://www.labour.gov.in/offerings/schemes-and-services/details/labour-codes-gzNzQzMtQWa</x:v>
      </x:c>
      <x:c r="I1012" s="33" t="str">
        <x:v>P-3</x:v>
      </x:c>
      <x:c r="J1012" s="33" t="str">
        <x:v>2026-08-20</x:v>
      </x:c>
      <x:c r="K1012" s="33" t="str">
        <x:v>New controlled P-3 record; schema preserved.</x:v>
      </x:c>
    </x:row>
    <x:row r="1013">
      <x:c r="A1013" s="33" t="str">
        <x:v>PROV298</x:v>
      </x:c>
      <x:c r="B1013" s="33" t="str">
        <x:v>Provision Master</x:v>
      </x:c>
      <x:c r="C1013" s="33" t="str">
        <x:v>Not present</x:v>
      </x:c>
      <x:c r="D1013" s="33" t="str">
        <x:v>Provision ID=PROV298; Law ID=LAW105; Sub Sector ID=; Provision Category=Statutory; Statutory Reference=Section 21; current consent/exemption notifications; Provision Name=Air pollution consent for a covered industrial plant/emission source; Provision Description=Obtain the applicable consent before establishing/operating a covered industrial plant in a control area after exemptions and State classification.; Origin=CORE; Active=Yes; Remarks=P-3 does not assume ordinary retail pharmacy is covered.</x:v>
      </x:c>
      <x:c r="E1013" s="33" t="str">
        <x:v>ADD</x:v>
      </x:c>
      <x:c r="F1013" s="33" t="str">
        <x:v>Add only validated, trigger-specific P-3 production provisions.</x:v>
      </x:c>
      <x:c r="G1013" s="33" t="str">
        <x:v>P-3 official-source review</x:v>
      </x:c>
      <x:c r="H1013" s="33" t="str">
        <x:v>https://moef.gov.in/rules-regulations-3 | https://moef.gov.in/uploads/pdf-uploads/pdf_684015cdcfe270.47591512.pdf | https://moef.gov.in/uploads/pdf-uploads/pdf_676567459cdfe9.16099796.pdf | https://www.labour.gov.in/offerings/schemes-and-services/details/labour-codes-gzNzQzMtQWa</x:v>
      </x:c>
      <x:c r="I1013" s="33" t="str">
        <x:v>P-3</x:v>
      </x:c>
      <x:c r="J1013" s="33" t="str">
        <x:v>2026-08-20</x:v>
      </x:c>
      <x:c r="K1013" s="33" t="str">
        <x:v>New controlled P-3 record; schema preserved.</x:v>
      </x:c>
    </x:row>
    <x:row r="1014">
      <x:c r="A1014" s="33" t="str">
        <x:v>PROV299</x:v>
      </x:c>
      <x:c r="B1014" s="33" t="str">
        <x:v>Provision Master</x:v>
      </x:c>
      <x:c r="C1014" s="33" t="str">
        <x:v>Not present</x:v>
      </x:c>
      <x:c r="D1014" s="33" t="str">
        <x:v>Provision ID=PROV299; Law ID=LAW106; Sub Sector ID=; Provision Category=Statutory; Statutory Reference=Duties of waste generator under the 2025 Rules; Provision Name=Construction and demolition waste generator duties; Provision Description=During construction, renovation, demolition or excavation, segregate/store C&amp;D waste and follow the local collection/processing plan and authorised handover requirements.; Origin=CORE; Active=Yes; Remarks=P-3 event/activity conditional; effective 01-04-2026.</x:v>
      </x:c>
      <x:c r="E1014" s="33" t="str">
        <x:v>ADD</x:v>
      </x:c>
      <x:c r="F1014" s="33" t="str">
        <x:v>Add only validated, trigger-specific P-3 production provisions.</x:v>
      </x:c>
      <x:c r="G1014" s="33" t="str">
        <x:v>P-3 official-source review</x:v>
      </x:c>
      <x:c r="H1014" s="33" t="str">
        <x:v>https://moef.gov.in/rules-regulations-3 | https://moef.gov.in/uploads/pdf-uploads/pdf_684015cdcfe270.47591512.pdf | https://moef.gov.in/uploads/pdf-uploads/pdf_676567459cdfe9.16099796.pdf | https://www.labour.gov.in/offerings/schemes-and-services/details/labour-codes-gzNzQzMtQWa</x:v>
      </x:c>
      <x:c r="I1014" s="33" t="str">
        <x:v>P-3</x:v>
      </x:c>
      <x:c r="J1014" s="33" t="str">
        <x:v>2026-08-20</x:v>
      </x:c>
      <x:c r="K1014" s="33" t="str">
        <x:v>New controlled P-3 record; schema preserved.</x:v>
      </x:c>
    </x:row>
    <x:row r="1015">
      <x:c r="A1015" s="33" t="str">
        <x:v>PROV300</x:v>
      </x:c>
      <x:c r="B1015" s="33" t="str">
        <x:v>Provision Master</x:v>
      </x:c>
      <x:c r="C1015" s="33" t="str">
        <x:v>Not present</x:v>
      </x:c>
      <x:c r="D1015" s="33" t="str">
        <x:v>Provision ID=PROV300; Law ID=LAW034; Sub Sector ID=; Provision Category=Statutory; Statutory Reference=Code on Wages sections 3 and 5-6; 2026 Rules; Provision Name=Non-discrimination and minimum-wage floor; Provision Description=Do not discriminate in wages/recruitment on prohibited gender grounds and pay at least the applicable notified minimum wage.; Origin=CORE; Active=Yes; Remarks=P-3 current Code control; exact wage notification/jurisdiction required.</x:v>
      </x:c>
      <x:c r="E1015" s="33" t="str">
        <x:v>ADD</x:v>
      </x:c>
      <x:c r="F1015" s="33" t="str">
        <x:v>Add only validated, trigger-specific P-3 production provisions.</x:v>
      </x:c>
      <x:c r="G1015" s="33" t="str">
        <x:v>P-3 official-source review</x:v>
      </x:c>
      <x:c r="H1015" s="33" t="str">
        <x:v>https://moef.gov.in/rules-regulations-3 | https://moef.gov.in/uploads/pdf-uploads/pdf_684015cdcfe270.47591512.pdf | https://moef.gov.in/uploads/pdf-uploads/pdf_676567459cdfe9.16099796.pdf | https://www.labour.gov.in/offerings/schemes-and-services/details/labour-codes-gzNzQzMtQWa</x:v>
      </x:c>
      <x:c r="I1015" s="33" t="str">
        <x:v>P-3</x:v>
      </x:c>
      <x:c r="J1015" s="33" t="str">
        <x:v>2026-08-20</x:v>
      </x:c>
      <x:c r="K1015" s="33" t="str">
        <x:v>New controlled P-3 record; schema preserved.</x:v>
      </x:c>
    </x:row>
    <x:row r="1016">
      <x:c r="A1016" s="33" t="str">
        <x:v>PROV301</x:v>
      </x:c>
      <x:c r="B1016" s="33" t="str">
        <x:v>Provision Master</x:v>
      </x:c>
      <x:c r="C1016" s="33" t="str">
        <x:v>Not present</x:v>
      </x:c>
      <x:c r="D1016" s="33" t="str">
        <x:v>Provision ID=PROV301; Law ID=LAW034; Sub Sector ID=; Provision Category=Statutory; Statutory Reference=Code on Wages sections 15, 17-18; 2026 Rules; Provision Name=Wage period, timely payment and permitted deductions; Provision Description=Fix a permitted wage period, pay within the statutory time and make only authorised deductions within the permitted limits.; Origin=CORE; Active=Yes; Remarks=P-3 current Code control.</x:v>
      </x:c>
      <x:c r="E1016" s="33" t="str">
        <x:v>ADD</x:v>
      </x:c>
      <x:c r="F1016" s="33" t="str">
        <x:v>Add only validated, trigger-specific P-3 production provisions.</x:v>
      </x:c>
      <x:c r="G1016" s="33" t="str">
        <x:v>P-3 official-source review</x:v>
      </x:c>
      <x:c r="H1016" s="33" t="str">
        <x:v>https://moef.gov.in/rules-regulations-3 | https://moef.gov.in/uploads/pdf-uploads/pdf_684015cdcfe270.47591512.pdf | https://moef.gov.in/uploads/pdf-uploads/pdf_676567459cdfe9.16099796.pdf | https://www.labour.gov.in/offerings/schemes-and-services/details/labour-codes-gzNzQzMtQWa</x:v>
      </x:c>
      <x:c r="I1016" s="33" t="str">
        <x:v>P-3</x:v>
      </x:c>
      <x:c r="J1016" s="33" t="str">
        <x:v>2026-08-20</x:v>
      </x:c>
      <x:c r="K1016" s="33" t="str">
        <x:v>New controlled P-3 record; schema preserved.</x:v>
      </x:c>
    </x:row>
    <x:row r="1017">
      <x:c r="A1017" s="33" t="str">
        <x:v>PROV302</x:v>
      </x:c>
      <x:c r="B1017" s="33" t="str">
        <x:v>Provision Master</x:v>
      </x:c>
      <x:c r="C1017" s="33" t="str">
        <x:v>Not present</x:v>
      </x:c>
      <x:c r="D1017" s="33" t="str">
        <x:v>Provision ID=PROV302; Law ID=LAW109; Sub Sector ID=; Provision Category=Statutory; Statutory Reference=Code on Wages section 50; Code on Wages (Central) Rules, 2026; Provision Name=Wage records, wage slips and notices; Provision Description=Maintain prescribed wage/attendance/deduction/overtime records, issue wage slips and display notices where the Central Rules apply; attach State rules otherwise.; Origin=CORE; Active=Yes; Remarks=P-3 jurisdiction conditional at the rules layer.</x:v>
      </x:c>
      <x:c r="E1017" s="33" t="str">
        <x:v>ADD</x:v>
      </x:c>
      <x:c r="F1017" s="33" t="str">
        <x:v>Add only validated, trigger-specific P-3 production provisions.</x:v>
      </x:c>
      <x:c r="G1017" s="33" t="str">
        <x:v>P-3 official-source review</x:v>
      </x:c>
      <x:c r="H1017" s="33" t="str">
        <x:v>https://moef.gov.in/rules-regulations-3 | https://moef.gov.in/uploads/pdf-uploads/pdf_684015cdcfe270.47591512.pdf | https://moef.gov.in/uploads/pdf-uploads/pdf_676567459cdfe9.16099796.pdf | https://www.labour.gov.in/offerings/schemes-and-services/details/labour-codes-gzNzQzMtQWa</x:v>
      </x:c>
      <x:c r="I1017" s="33" t="str">
        <x:v>P-3</x:v>
      </x:c>
      <x:c r="J1017" s="33" t="str">
        <x:v>2026-08-20</x:v>
      </x:c>
      <x:c r="K1017" s="33" t="str">
        <x:v>New controlled P-3 record; schema preserved.</x:v>
      </x:c>
    </x:row>
    <x:row r="1018">
      <x:c r="A1018" s="33" t="str">
        <x:v>PPCM534</x:v>
      </x:c>
      <x:c r="B1018" s="33" t="str">
        <x:v>Provision_ComplianceArea_Map</x:v>
      </x:c>
      <x:c r="C1018" s="33" t="str">
        <x:v>Not present</x:v>
      </x:c>
      <x:c r="D1018" s="33" t="str">
        <x:v>Map ID=PPCM534; Provision ID=PROV291; Compliance Area ID=CA039; Active=Yes; Remarks=Solid-waste segregation and authorised handover.</x:v>
      </x:c>
      <x:c r="E1018" s="33" t="str">
        <x:v>ADD</x:v>
      </x:c>
      <x:c r="F1018" s="33" t="str">
        <x:v>Map validated P-3 provisions to existing compliance areas.</x:v>
      </x:c>
      <x:c r="G1018" s="33" t="str">
        <x:v>P-3 official-source review</x:v>
      </x:c>
      <x:c r="H1018" s="33" t="str">
        <x:v>https://moef.gov.in/rules-regulations-3 | https://www.labour.gov.in/offerings/schemes-and-services/details/labour-codes-gzNzQzMtQWa</x:v>
      </x:c>
      <x:c r="I1018" s="33" t="str">
        <x:v>P-3</x:v>
      </x:c>
      <x:c r="J1018" s="33" t="str">
        <x:v>2026-08-20</x:v>
      </x:c>
      <x:c r="K1018" s="33" t="str">
        <x:v>New controlled P-3 record; schema preserved.</x:v>
      </x:c>
    </x:row>
    <x:row r="1019">
      <x:c r="A1019" s="33" t="str">
        <x:v>PPCM535</x:v>
      </x:c>
      <x:c r="B1019" s="33" t="str">
        <x:v>Provision_ComplianceArea_Map</x:v>
      </x:c>
      <x:c r="C1019" s="33" t="str">
        <x:v>Not present</x:v>
      </x:c>
      <x:c r="D1019" s="33" t="str">
        <x:v>Map ID=PPCM535; Provision ID=PROV292; Compliance Area ID=CA039; Active=Yes; Remarks=Bulk-waste-generator controls.</x:v>
      </x:c>
      <x:c r="E1019" s="33" t="str">
        <x:v>ADD</x:v>
      </x:c>
      <x:c r="F1019" s="33" t="str">
        <x:v>Map validated P-3 provisions to existing compliance areas.</x:v>
      </x:c>
      <x:c r="G1019" s="33" t="str">
        <x:v>P-3 official-source review</x:v>
      </x:c>
      <x:c r="H1019" s="33" t="str">
        <x:v>https://moef.gov.in/rules-regulations-3 | https://www.labour.gov.in/offerings/schemes-and-services/details/labour-codes-gzNzQzMtQWa</x:v>
      </x:c>
      <x:c r="I1019" s="33" t="str">
        <x:v>P-3</x:v>
      </x:c>
      <x:c r="J1019" s="33" t="str">
        <x:v>2026-08-20</x:v>
      </x:c>
      <x:c r="K1019" s="33" t="str">
        <x:v>New controlled P-3 record; schema preserved.</x:v>
      </x:c>
    </x:row>
    <x:row r="1020">
      <x:c r="A1020" s="33" t="str">
        <x:v>PPCM536</x:v>
      </x:c>
      <x:c r="B1020" s="33" t="str">
        <x:v>Provision_ComplianceArea_Map</x:v>
      </x:c>
      <x:c r="C1020" s="33" t="str">
        <x:v>Not present</x:v>
      </x:c>
      <x:c r="D1020" s="33" t="str">
        <x:v>Map ID=PPCM536; Provision ID=PROV293; Compliance Area ID=CA039; Active=Yes; Remarks=Plastic waste and compliant retail carry-bag controls.</x:v>
      </x:c>
      <x:c r="E1020" s="33" t="str">
        <x:v>ADD</x:v>
      </x:c>
      <x:c r="F1020" s="33" t="str">
        <x:v>Map validated P-3 provisions to existing compliance areas.</x:v>
      </x:c>
      <x:c r="G1020" s="33" t="str">
        <x:v>P-3 official-source review</x:v>
      </x:c>
      <x:c r="H1020" s="33" t="str">
        <x:v>https://moef.gov.in/rules-regulations-3 | https://www.labour.gov.in/offerings/schemes-and-services/details/labour-codes-gzNzQzMtQWa</x:v>
      </x:c>
      <x:c r="I1020" s="33" t="str">
        <x:v>P-3</x:v>
      </x:c>
      <x:c r="J1020" s="33" t="str">
        <x:v>2026-08-20</x:v>
      </x:c>
      <x:c r="K1020" s="33" t="str">
        <x:v>New controlled P-3 record; schema preserved.</x:v>
      </x:c>
    </x:row>
    <x:row r="1021">
      <x:c r="A1021" s="33" t="str">
        <x:v>PPCM537</x:v>
      </x:c>
      <x:c r="B1021" s="33" t="str">
        <x:v>Provision_ComplianceArea_Map</x:v>
      </x:c>
      <x:c r="C1021" s="33" t="str">
        <x:v>Not present</x:v>
      </x:c>
      <x:c r="D1021" s="33" t="str">
        <x:v>Map ID=PPCM537; Provision ID=PROV294; Compliance Area ID=CA039; Active=Yes; Remarks=Waste-battery consumer channelisation.</x:v>
      </x:c>
      <x:c r="E1021" s="33" t="str">
        <x:v>ADD</x:v>
      </x:c>
      <x:c r="F1021" s="33" t="str">
        <x:v>Map validated P-3 provisions to existing compliance areas.</x:v>
      </x:c>
      <x:c r="G1021" s="33" t="str">
        <x:v>P-3 official-source review</x:v>
      </x:c>
      <x:c r="H1021" s="33" t="str">
        <x:v>https://moef.gov.in/rules-regulations-3 | https://www.labour.gov.in/offerings/schemes-and-services/details/labour-codes-gzNzQzMtQWa</x:v>
      </x:c>
      <x:c r="I1021" s="33" t="str">
        <x:v>P-3</x:v>
      </x:c>
      <x:c r="J1021" s="33" t="str">
        <x:v>2026-08-20</x:v>
      </x:c>
      <x:c r="K1021" s="33" t="str">
        <x:v>New controlled P-3 record; schema preserved.</x:v>
      </x:c>
    </x:row>
    <x:row r="1022">
      <x:c r="A1022" s="33" t="str">
        <x:v>PPCM538</x:v>
      </x:c>
      <x:c r="B1022" s="33" t="str">
        <x:v>Provision_ComplianceArea_Map</x:v>
      </x:c>
      <x:c r="C1022" s="33" t="str">
        <x:v>Not present</x:v>
      </x:c>
      <x:c r="D1022" s="33" t="str">
        <x:v>Map ID=PPCM538; Provision ID=PROV295; Compliance Area ID=CA039; Active=Yes; Remarks=Bulk-consumer e-waste channelisation.</x:v>
      </x:c>
      <x:c r="E1022" s="33" t="str">
        <x:v>ADD</x:v>
      </x:c>
      <x:c r="F1022" s="33" t="str">
        <x:v>Map validated P-3 provisions to existing compliance areas.</x:v>
      </x:c>
      <x:c r="G1022" s="33" t="str">
        <x:v>P-3 official-source review</x:v>
      </x:c>
      <x:c r="H1022" s="33" t="str">
        <x:v>https://moef.gov.in/rules-regulations-3 | https://www.labour.gov.in/offerings/schemes-and-services/details/labour-codes-gzNzQzMtQWa</x:v>
      </x:c>
      <x:c r="I1022" s="33" t="str">
        <x:v>P-3</x:v>
      </x:c>
      <x:c r="J1022" s="33" t="str">
        <x:v>2026-08-20</x:v>
      </x:c>
      <x:c r="K1022" s="33" t="str">
        <x:v>New controlled P-3 record; schema preserved.</x:v>
      </x:c>
    </x:row>
    <x:row r="1023">
      <x:c r="A1023" s="33" t="str">
        <x:v>PPCM539</x:v>
      </x:c>
      <x:c r="B1023" s="33" t="str">
        <x:v>Provision_ComplianceArea_Map</x:v>
      </x:c>
      <x:c r="C1023" s="33" t="str">
        <x:v>Not present</x:v>
      </x:c>
      <x:c r="D1023" s="33" t="str">
        <x:v>Map ID=PPCM539; Provision ID=PROV296; Compliance Area ID=CA039; Active=Yes; Remarks=Hazardous-waste occupier controls.</x:v>
      </x:c>
      <x:c r="E1023" s="33" t="str">
        <x:v>ADD</x:v>
      </x:c>
      <x:c r="F1023" s="33" t="str">
        <x:v>Map validated P-3 provisions to existing compliance areas.</x:v>
      </x:c>
      <x:c r="G1023" s="33" t="str">
        <x:v>P-3 official-source review</x:v>
      </x:c>
      <x:c r="H1023" s="33" t="str">
        <x:v>https://moef.gov.in/rules-regulations-3 | https://www.labour.gov.in/offerings/schemes-and-services/details/labour-codes-gzNzQzMtQWa</x:v>
      </x:c>
      <x:c r="I1023" s="33" t="str">
        <x:v>P-3</x:v>
      </x:c>
      <x:c r="J1023" s="33" t="str">
        <x:v>2026-08-20</x:v>
      </x:c>
      <x:c r="K1023" s="33" t="str">
        <x:v>New controlled P-3 record; schema preserved.</x:v>
      </x:c>
    </x:row>
    <x:row r="1024">
      <x:c r="A1024" s="33" t="str">
        <x:v>PPCM540</x:v>
      </x:c>
      <x:c r="B1024" s="33" t="str">
        <x:v>Provision_ComplianceArea_Map</x:v>
      </x:c>
      <x:c r="C1024" s="33" t="str">
        <x:v>Not present</x:v>
      </x:c>
      <x:c r="D1024" s="33" t="str">
        <x:v>Map ID=PPCM540; Provision ID=PROV297; Compliance Area ID=CA040; Active=Yes; Remarks=Conditional Water Act consent.</x:v>
      </x:c>
      <x:c r="E1024" s="33" t="str">
        <x:v>ADD</x:v>
      </x:c>
      <x:c r="F1024" s="33" t="str">
        <x:v>Map validated P-3 provisions to existing compliance areas.</x:v>
      </x:c>
      <x:c r="G1024" s="33" t="str">
        <x:v>P-3 official-source review</x:v>
      </x:c>
      <x:c r="H1024" s="33" t="str">
        <x:v>https://moef.gov.in/rules-regulations-3 | https://www.labour.gov.in/offerings/schemes-and-services/details/labour-codes-gzNzQzMtQWa</x:v>
      </x:c>
      <x:c r="I1024" s="33" t="str">
        <x:v>P-3</x:v>
      </x:c>
      <x:c r="J1024" s="33" t="str">
        <x:v>2026-08-20</x:v>
      </x:c>
      <x:c r="K1024" s="33" t="str">
        <x:v>New controlled P-3 record; schema preserved.</x:v>
      </x:c>
    </x:row>
    <x:row r="1025">
      <x:c r="A1025" s="33" t="str">
        <x:v>PPCM541</x:v>
      </x:c>
      <x:c r="B1025" s="33" t="str">
        <x:v>Provision_ComplianceArea_Map</x:v>
      </x:c>
      <x:c r="C1025" s="33" t="str">
        <x:v>Not present</x:v>
      </x:c>
      <x:c r="D1025" s="33" t="str">
        <x:v>Map ID=PPCM541; Provision ID=PROV298; Compliance Area ID=CA040; Active=Yes; Remarks=Conditional Air Act consent.</x:v>
      </x:c>
      <x:c r="E1025" s="33" t="str">
        <x:v>ADD</x:v>
      </x:c>
      <x:c r="F1025" s="33" t="str">
        <x:v>Map validated P-3 provisions to existing compliance areas.</x:v>
      </x:c>
      <x:c r="G1025" s="33" t="str">
        <x:v>P-3 official-source review</x:v>
      </x:c>
      <x:c r="H1025" s="33" t="str">
        <x:v>https://moef.gov.in/rules-regulations-3 | https://www.labour.gov.in/offerings/schemes-and-services/details/labour-codes-gzNzQzMtQWa</x:v>
      </x:c>
      <x:c r="I1025" s="33" t="str">
        <x:v>P-3</x:v>
      </x:c>
      <x:c r="J1025" s="33" t="str">
        <x:v>2026-08-20</x:v>
      </x:c>
      <x:c r="K1025" s="33" t="str">
        <x:v>New controlled P-3 record; schema preserved.</x:v>
      </x:c>
    </x:row>
    <x:row r="1026">
      <x:c r="A1026" s="33" t="str">
        <x:v>PPCM542</x:v>
      </x:c>
      <x:c r="B1026" s="33" t="str">
        <x:v>Provision_ComplianceArea_Map</x:v>
      </x:c>
      <x:c r="C1026" s="33" t="str">
        <x:v>Not present</x:v>
      </x:c>
      <x:c r="D1026" s="33" t="str">
        <x:v>Map ID=PPCM542; Provision ID=PROV299; Compliance Area ID=CA039; Active=Yes; Remarks=Event-based C&amp;D waste control.</x:v>
      </x:c>
      <x:c r="E1026" s="33" t="str">
        <x:v>ADD</x:v>
      </x:c>
      <x:c r="F1026" s="33" t="str">
        <x:v>Map validated P-3 provisions to existing compliance areas.</x:v>
      </x:c>
      <x:c r="G1026" s="33" t="str">
        <x:v>P-3 official-source review</x:v>
      </x:c>
      <x:c r="H1026" s="33" t="str">
        <x:v>https://moef.gov.in/rules-regulations-3 | https://www.labour.gov.in/offerings/schemes-and-services/details/labour-codes-gzNzQzMtQWa</x:v>
      </x:c>
      <x:c r="I1026" s="33" t="str">
        <x:v>P-3</x:v>
      </x:c>
      <x:c r="J1026" s="33" t="str">
        <x:v>2026-08-20</x:v>
      </x:c>
      <x:c r="K1026" s="33" t="str">
        <x:v>New controlled P-3 record; schema preserved.</x:v>
      </x:c>
    </x:row>
    <x:row r="1027">
      <x:c r="A1027" s="33" t="str">
        <x:v>PPCM543</x:v>
      </x:c>
      <x:c r="B1027" s="33" t="str">
        <x:v>Provision_ComplianceArea_Map</x:v>
      </x:c>
      <x:c r="C1027" s="33" t="str">
        <x:v>Not present</x:v>
      </x:c>
      <x:c r="D1027" s="33" t="str">
        <x:v>Map ID=PPCM543; Provision ID=PROV300; Compliance Area ID=CA048; Active=Yes; Remarks=Minimum wage/non-discrimination.</x:v>
      </x:c>
      <x:c r="E1027" s="33" t="str">
        <x:v>ADD</x:v>
      </x:c>
      <x:c r="F1027" s="33" t="str">
        <x:v>Map validated P-3 provisions to existing compliance areas.</x:v>
      </x:c>
      <x:c r="G1027" s="33" t="str">
        <x:v>P-3 official-source review</x:v>
      </x:c>
      <x:c r="H1027" s="33" t="str">
        <x:v>https://moef.gov.in/rules-regulations-3 | https://www.labour.gov.in/offerings/schemes-and-services/details/labour-codes-gzNzQzMtQWa</x:v>
      </x:c>
      <x:c r="I1027" s="33" t="str">
        <x:v>P-3</x:v>
      </x:c>
      <x:c r="J1027" s="33" t="str">
        <x:v>2026-08-20</x:v>
      </x:c>
      <x:c r="K1027" s="33" t="str">
        <x:v>New controlled P-3 record; schema preserved.</x:v>
      </x:c>
    </x:row>
    <x:row r="1028">
      <x:c r="A1028" s="33" t="str">
        <x:v>PPCM544</x:v>
      </x:c>
      <x:c r="B1028" s="33" t="str">
        <x:v>Provision_ComplianceArea_Map</x:v>
      </x:c>
      <x:c r="C1028" s="33" t="str">
        <x:v>Not present</x:v>
      </x:c>
      <x:c r="D1028" s="33" t="str">
        <x:v>Map ID=PPCM544; Provision ID=PROV301; Compliance Area ID=CA048; Active=Yes; Remarks=Timely wage payment/deductions.</x:v>
      </x:c>
      <x:c r="E1028" s="33" t="str">
        <x:v>ADD</x:v>
      </x:c>
      <x:c r="F1028" s="33" t="str">
        <x:v>Map validated P-3 provisions to existing compliance areas.</x:v>
      </x:c>
      <x:c r="G1028" s="33" t="str">
        <x:v>P-3 official-source review</x:v>
      </x:c>
      <x:c r="H1028" s="33" t="str">
        <x:v>https://moef.gov.in/rules-regulations-3 | https://www.labour.gov.in/offerings/schemes-and-services/details/labour-codes-gzNzQzMtQWa</x:v>
      </x:c>
      <x:c r="I1028" s="33" t="str">
        <x:v>P-3</x:v>
      </x:c>
      <x:c r="J1028" s="33" t="str">
        <x:v>2026-08-20</x:v>
      </x:c>
      <x:c r="K1028" s="33" t="str">
        <x:v>New controlled P-3 record; schema preserved.</x:v>
      </x:c>
    </x:row>
    <x:row r="1029">
      <x:c r="A1029" s="33" t="str">
        <x:v>PPCM545</x:v>
      </x:c>
      <x:c r="B1029" s="33" t="str">
        <x:v>Provision_ComplianceArea_Map</x:v>
      </x:c>
      <x:c r="C1029" s="33" t="str">
        <x:v>Not present</x:v>
      </x:c>
      <x:c r="D1029" s="33" t="str">
        <x:v>Map ID=PPCM545; Provision ID=PROV302; Compliance Area ID=CA046; Active=Yes; Remarks=Wage records/notices.</x:v>
      </x:c>
      <x:c r="E1029" s="33" t="str">
        <x:v>ADD</x:v>
      </x:c>
      <x:c r="F1029" s="33" t="str">
        <x:v>Map validated P-3 provisions to existing compliance areas.</x:v>
      </x:c>
      <x:c r="G1029" s="33" t="str">
        <x:v>P-3 official-source review</x:v>
      </x:c>
      <x:c r="H1029" s="33" t="str">
        <x:v>https://moef.gov.in/rules-regulations-3 | https://www.labour.gov.in/offerings/schemes-and-services/details/labour-codes-gzNzQzMtQWa</x:v>
      </x:c>
      <x:c r="I1029" s="33" t="str">
        <x:v>P-3</x:v>
      </x:c>
      <x:c r="J1029" s="33" t="str">
        <x:v>2026-08-20</x:v>
      </x:c>
      <x:c r="K1029" s="33" t="str">
        <x:v>New controlled P-3 record; schema preserved.</x:v>
      </x:c>
    </x:row>
    <x:row r="1030">
      <x:c r="A1030" s="33" t="str">
        <x:v>COMP266</x:v>
      </x:c>
      <x:c r="B1030" s="33" t="str">
        <x:v>Compliance Requirement Master</x:v>
      </x:c>
      <x:c r="C1030" s="33" t="str">
        <x:v>Not present</x:v>
      </x:c>
      <x:c r="D1030" s="33" t="str">
        <x:v>Compliance ID=COMP266; Provision ID=PROV291; Compliance Area ID=CA039; Compliance Requirement=Segregate general solid waste into wet, dry, sanitary and special-care streams; keep BMW/e-waste/battery/hazardous/C&amp;D waste separate; hand over only through the authorised/local channel and pay applicable user fees.; Compliance Objective=Comply with Rule 5 waste-generator duties.; Applicability=Mandatory; Frequency=Continuous; Due Timeline=At source and each handover; Responsible Person=Pharmacy Manager; Non-Compliance Consequence=Environmental compensation/enforcement and public-health risk; Priority=High; Origin=CORE; Active=Yes; Remarks=P-3 current SWM 2026 chain.</x:v>
      </x:c>
      <x:c r="E1030" s="33" t="str">
        <x:v>ADD</x:v>
      </x:c>
      <x:c r="F1030" s="33" t="str">
        <x:v>Create complete P-3 production compliance nodes.</x:v>
      </x:c>
      <x:c r="G1030" s="33" t="str">
        <x:v>P-3 official-source review</x:v>
      </x:c>
      <x:c r="H1030" s="33" t="str">
        <x:v>https://moef.gov.in/rules-regulations-3 | https://www.labour.gov.in/offerings/schemes-and-services/details/labour-codes-gzNzQzMtQWa</x:v>
      </x:c>
      <x:c r="I1030" s="33" t="str">
        <x:v>P-3</x:v>
      </x:c>
      <x:c r="J1030" s="33" t="str">
        <x:v>2026-08-20</x:v>
      </x:c>
      <x:c r="K1030" s="33" t="str">
        <x:v>New controlled P-3 record; schema preserved.</x:v>
      </x:c>
    </x:row>
    <x:row r="1031">
      <x:c r="A1031" s="33" t="str">
        <x:v>COMP267</x:v>
      </x:c>
      <x:c r="B1031" s="33" t="str">
        <x:v>Compliance Requirement Master</x:v>
      </x:c>
      <x:c r="C1031" s="33" t="str">
        <x:v>Not present</x:v>
      </x:c>
      <x:c r="D1031" s="33" t="str">
        <x:v>Compliance ID=COMP267; Provision ID=PROV292; Compliance Area ID=CA039; Compliance Requirement=Test all three bulk-waste-generator thresholds; if any one is met, complete registration/reporting and wet-waste processing or EBWGR/authorised-channel requirements.; Compliance Objective=Correctly activate additional BWG duties.; Applicability=Conditional; Frequency=Continuous; Due Timeline=On threshold assessment and throughout BWG status; Responsible Person=Facility Head; Non-Compliance Consequence=Environmental compensation and local-authority enforcement; Priority=High; Origin=CORE; Active=Yes; Remarks=P-3 threshold-based chain.</x:v>
      </x:c>
      <x:c r="E1031" s="33" t="str">
        <x:v>ADD</x:v>
      </x:c>
      <x:c r="F1031" s="33" t="str">
        <x:v>Create complete P-3 production compliance nodes.</x:v>
      </x:c>
      <x:c r="G1031" s="33" t="str">
        <x:v>P-3 official-source review</x:v>
      </x:c>
      <x:c r="H1031" s="33" t="str">
        <x:v>https://moef.gov.in/rules-regulations-3 | https://www.labour.gov.in/offerings/schemes-and-services/details/labour-codes-gzNzQzMtQWa</x:v>
      </x:c>
      <x:c r="I1031" s="33" t="str">
        <x:v>P-3</x:v>
      </x:c>
      <x:c r="J1031" s="33" t="str">
        <x:v>2026-08-20</x:v>
      </x:c>
      <x:c r="K1031" s="33" t="str">
        <x:v>New controlled P-3 record; schema preserved.</x:v>
      </x:c>
    </x:row>
    <x:row r="1032">
      <x:c r="A1032" s="33" t="str">
        <x:v>COMP268</x:v>
      </x:c>
      <x:c r="B1032" s="33" t="str">
        <x:v>Compliance Requirement Master</x:v>
      </x:c>
      <x:c r="C1032" s="33" t="str">
        <x:v>Not present</x:v>
      </x:c>
      <x:c r="D1032" s="33" t="str">
        <x:v>Compliance ID=COMP268; Provision ID=PROV293; Compliance Area ID=CA039; Compliance Requirement=Minimise/segregate plastic waste and hand it to the authorised channel; do not provide commodities in non-compliant carry bags/plastic sheets/packaging.; Compliance Objective=Meet plastic waste-generator and retailer duties without misapplying PIBO EPR.; Applicability=Conditional; Frequency=Continuous; Due Timeline=At generation, handover and each applicable retail use; Responsible Person=Pharmacy Manager; Non-Compliance Consequence=Environmental enforcement and littering/plastic-rule penalties; Priority=High; Origin=CORE; Active=Yes; Remarks=P-3 role-based chain.</x:v>
      </x:c>
      <x:c r="E1032" s="33" t="str">
        <x:v>ADD</x:v>
      </x:c>
      <x:c r="F1032" s="33" t="str">
        <x:v>Create complete P-3 production compliance nodes.</x:v>
      </x:c>
      <x:c r="G1032" s="33" t="str">
        <x:v>P-3 official-source review</x:v>
      </x:c>
      <x:c r="H1032" s="33" t="str">
        <x:v>https://moef.gov.in/rules-regulations-3 | https://www.labour.gov.in/offerings/schemes-and-services/details/labour-codes-gzNzQzMtQWa</x:v>
      </x:c>
      <x:c r="I1032" s="33" t="str">
        <x:v>P-3</x:v>
      </x:c>
      <x:c r="J1032" s="33" t="str">
        <x:v>2026-08-20</x:v>
      </x:c>
      <x:c r="K1032" s="33" t="str">
        <x:v>New controlled P-3 record; schema preserved.</x:v>
      </x:c>
    </x:row>
    <x:row r="1033">
      <x:c r="A1033" s="33" t="str">
        <x:v>COMP269</x:v>
      </x:c>
      <x:c r="B1033" s="33" t="str">
        <x:v>Compliance Requirement Master</x:v>
      </x:c>
      <x:c r="C1033" s="33" t="str">
        <x:v>Not present</x:v>
      </x:c>
      <x:c r="D1033" s="33" t="str">
        <x:v>Compliance ID=COMP269; Provision ID=PROV294; Compliance Area ID=CA039; Compliance Requirement=Collect waste batteries separately and deliver them only to a collection, refurbishing or recycling entity for environmentally sound management.; Compliance Objective=Meet the battery-consumer duty.; Applicability=Conditional; Frequency=Event Based; Due Timeline=At battery replacement/discard; Responsible Person=Facility / IT Manager; Non-Compliance Consequence=Environmental enforcement and unsafe-waste risk; Priority=Medium; Origin=CORE; Active=Yes; Remarks=P-3 consumer-only chain.</x:v>
      </x:c>
      <x:c r="E1033" s="33" t="str">
        <x:v>ADD</x:v>
      </x:c>
      <x:c r="F1033" s="33" t="str">
        <x:v>Create complete P-3 production compliance nodes.</x:v>
      </x:c>
      <x:c r="G1033" s="33" t="str">
        <x:v>P-3 official-source review</x:v>
      </x:c>
      <x:c r="H1033" s="33" t="str">
        <x:v>https://moef.gov.in/rules-regulations-3 | https://www.labour.gov.in/offerings/schemes-and-services/details/labour-codes-gzNzQzMtQWa</x:v>
      </x:c>
      <x:c r="I1033" s="33" t="str">
        <x:v>P-3</x:v>
      </x:c>
      <x:c r="J1033" s="33" t="str">
        <x:v>2026-08-20</x:v>
      </x:c>
      <x:c r="K1033" s="33" t="str">
        <x:v>New controlled P-3 record; schema preserved.</x:v>
      </x:c>
    </x:row>
    <x:row r="1034">
      <x:c r="A1034" s="33" t="str">
        <x:v>COMP270</x:v>
      </x:c>
      <x:c r="B1034" s="33" t="str">
        <x:v>Compliance Requirement Master</x:v>
      </x:c>
      <x:c r="C1034" s="33" t="str">
        <x:v>Not present</x:v>
      </x:c>
      <x:c r="D1034" s="33" t="str">
        <x:v>Compliance ID=COMP270; Provision ID=PROV295; Compliance Area ID=CA039; Compliance Requirement=If the 1,000-unit Schedule I EEE bulk-consumer threshold is met, hand e-waste only to a registered producer, refurbisher or recycler and retain channelisation evidence.; Compliance Objective=Meet the E-Waste Rule 8 bulk-consumer duty.; Applicability=Conditional; Frequency=Event Based; Due Timeline=At each e-waste handover; Responsible Person=IT / Facility Manager; Non-Compliance Consequence=Environmental enforcement and unlawful channelisation; Priority=High; Origin=CORE; Active=Yes; Remarks=P-3 threshold-based chain.</x:v>
      </x:c>
      <x:c r="E1034" s="33" t="str">
        <x:v>ADD</x:v>
      </x:c>
      <x:c r="F1034" s="33" t="str">
        <x:v>Create complete P-3 production compliance nodes.</x:v>
      </x:c>
      <x:c r="G1034" s="33" t="str">
        <x:v>P-3 official-source review</x:v>
      </x:c>
      <x:c r="H1034" s="33" t="str">
        <x:v>https://moef.gov.in/rules-regulations-3 | https://www.labour.gov.in/offerings/schemes-and-services/details/labour-codes-gzNzQzMtQWa</x:v>
      </x:c>
      <x:c r="I1034" s="33" t="str">
        <x:v>P-3</x:v>
      </x:c>
      <x:c r="J1034" s="33" t="str">
        <x:v>2026-08-20</x:v>
      </x:c>
      <x:c r="K1034" s="33" t="str">
        <x:v>New controlled P-3 record; schema preserved.</x:v>
      </x:c>
    </x:row>
    <x:row r="1035">
      <x:c r="A1035" s="33" t="str">
        <x:v>COMP271</x:v>
      </x:c>
      <x:c r="B1035" s="33" t="str">
        <x:v>Compliance Requirement Master</x:v>
      </x:c>
      <x:c r="C1035" s="33" t="str">
        <x:v>Not present</x:v>
      </x:c>
      <x:c r="D1035" s="33" t="str">
        <x:v>Compliance ID=COMP271; Provision ID=PROV296; Compliance Area ID=CA039; Compliance Requirement=If a scheduled/characterised hazardous or other waste is generated, obtain required authorization, store within the permitted period and use the prescribed authorised manifest/movement route.; Compliance Objective=Manage only genuinely triggered hazardous waste lawfully.; Applicability=Conditional; Frequency=Continuous; Due Timeline=Before handling and at each storage/movement event; Responsible Person=Facility / EHS Lead; Non-Compliance Consequence=Authorization action, environmental compensation and prosecution; Priority=Critical; Origin=CORE; Active=Yes; Remarks=P-3 waste-characterisation trigger required.</x:v>
      </x:c>
      <x:c r="E1035" s="33" t="str">
        <x:v>ADD</x:v>
      </x:c>
      <x:c r="F1035" s="33" t="str">
        <x:v>Create complete P-3 production compliance nodes.</x:v>
      </x:c>
      <x:c r="G1035" s="33" t="str">
        <x:v>P-3 official-source review</x:v>
      </x:c>
      <x:c r="H1035" s="33" t="str">
        <x:v>https://moef.gov.in/rules-regulations-3 | https://www.labour.gov.in/offerings/schemes-and-services/details/labour-codes-gzNzQzMtQWa</x:v>
      </x:c>
      <x:c r="I1035" s="33" t="str">
        <x:v>P-3</x:v>
      </x:c>
      <x:c r="J1035" s="33" t="str">
        <x:v>2026-08-20</x:v>
      </x:c>
      <x:c r="K1035" s="33" t="str">
        <x:v>New controlled P-3 record; schema preserved.</x:v>
      </x:c>
    </x:row>
    <x:row r="1036">
      <x:c r="A1036" s="33" t="str">
        <x:v>COMP272</x:v>
      </x:c>
      <x:c r="B1036" s="33" t="str">
        <x:v>Compliance Requirement Master</x:v>
      </x:c>
      <x:c r="C1036" s="33" t="str">
        <x:v>Not present</x:v>
      </x:c>
      <x:c r="D1036" s="33" t="str">
        <x:v>Compliance ID=COMP272; Provision ID=PROV297; Compliance Area ID=CA040; Compliance Requirement=Before establishing/altering a covered operation/outlet/discharge, document exemption/State classification and obtain Water Act consent where section 25 remains applicable.; Compliance Objective=Prevent unconsented covered discharge/operation.; Applicability=Conditional; Frequency=Event Based; Due Timeline=Before establishment/alteration/discharge; Responsible Person=Facility / EHS Lead; Non-Compliance Consequence=Closure direction, consent action and penalties; Priority=Critical; Origin=CORE; Active=Yes; Remarks=P-3 no automatic retail-pharmacy trigger.</x:v>
      </x:c>
      <x:c r="E1036" s="33" t="str">
        <x:v>ADD</x:v>
      </x:c>
      <x:c r="F1036" s="33" t="str">
        <x:v>Create complete P-3 production compliance nodes.</x:v>
      </x:c>
      <x:c r="G1036" s="33" t="str">
        <x:v>P-3 official-source review</x:v>
      </x:c>
      <x:c r="H1036" s="33" t="str">
        <x:v>https://moef.gov.in/rules-regulations-3 | https://www.labour.gov.in/offerings/schemes-and-services/details/labour-codes-gzNzQzMtQWa</x:v>
      </x:c>
      <x:c r="I1036" s="33" t="str">
        <x:v>P-3</x:v>
      </x:c>
      <x:c r="J1036" s="33" t="str">
        <x:v>2026-08-20</x:v>
      </x:c>
      <x:c r="K1036" s="33" t="str">
        <x:v>New controlled P-3 record; schema preserved.</x:v>
      </x:c>
    </x:row>
    <x:row r="1037">
      <x:c r="A1037" s="33" t="str">
        <x:v>COMP273</x:v>
      </x:c>
      <x:c r="B1037" s="33" t="str">
        <x:v>Compliance Requirement Master</x:v>
      </x:c>
      <x:c r="C1037" s="33" t="str">
        <x:v>Not present</x:v>
      </x:c>
      <x:c r="D1037" s="33" t="str">
        <x:v>Compliance ID=COMP273; Provision ID=PROV298; Compliance Area ID=CA040; Compliance Requirement=Before establishing/operating a covered industrial plant or emission source, document exemption/State classification and obtain Air Act consent where section 21 applies.; Compliance Objective=Prevent unconsented covered emission source.; Applicability=Conditional; Frequency=Event Based; Due Timeline=Before establishment/operation; Responsible Person=Facility / EHS Lead; Non-Compliance Consequence=Closure direction, consent action and penalties; Priority=Critical; Origin=CORE; Active=Yes; Remarks=P-3 no automatic retail-pharmacy trigger.</x:v>
      </x:c>
      <x:c r="E1037" s="33" t="str">
        <x:v>ADD</x:v>
      </x:c>
      <x:c r="F1037" s="33" t="str">
        <x:v>Create complete P-3 production compliance nodes.</x:v>
      </x:c>
      <x:c r="G1037" s="33" t="str">
        <x:v>P-3 official-source review</x:v>
      </x:c>
      <x:c r="H1037" s="33" t="str">
        <x:v>https://moef.gov.in/rules-regulations-3 | https://www.labour.gov.in/offerings/schemes-and-services/details/labour-codes-gzNzQzMtQWa</x:v>
      </x:c>
      <x:c r="I1037" s="33" t="str">
        <x:v>P-3</x:v>
      </x:c>
      <x:c r="J1037" s="33" t="str">
        <x:v>2026-08-20</x:v>
      </x:c>
      <x:c r="K1037" s="33" t="str">
        <x:v>New controlled P-3 record; schema preserved.</x:v>
      </x:c>
    </x:row>
    <x:row r="1038">
      <x:c r="A1038" s="33" t="str">
        <x:v>COMP274</x:v>
      </x:c>
      <x:c r="B1038" s="33" t="str">
        <x:v>Compliance Requirement Master</x:v>
      </x:c>
      <x:c r="C1038" s="33" t="str">
        <x:v>Not present</x:v>
      </x:c>
      <x:c r="D1038" s="33" t="str">
        <x:v>Compliance ID=COMP274; Provision ID=PROV299; Compliance Area ID=CA039; Compliance Requirement=For construction/renovation/demolition/excavation, segregate/store C&amp;D waste and follow the local collection plan and authorised handover route.; Compliance Objective=Meet the C&amp;D waste-generator duty during premises work.; Applicability=Conditional; Frequency=Event Based; Due Timeline=Before and throughout the project; Responsible Person=Project / Facility Manager; Non-Compliance Consequence=Local/environmental enforcement and project disruption; Priority=High; Origin=CORE; Active=Yes; Remarks=P-3 event-based chain.</x:v>
      </x:c>
      <x:c r="E1038" s="33" t="str">
        <x:v>ADD</x:v>
      </x:c>
      <x:c r="F1038" s="33" t="str">
        <x:v>Create complete P-3 production compliance nodes.</x:v>
      </x:c>
      <x:c r="G1038" s="33" t="str">
        <x:v>P-3 official-source review</x:v>
      </x:c>
      <x:c r="H1038" s="33" t="str">
        <x:v>https://moef.gov.in/rules-regulations-3 | https://www.labour.gov.in/offerings/schemes-and-services/details/labour-codes-gzNzQzMtQWa</x:v>
      </x:c>
      <x:c r="I1038" s="33" t="str">
        <x:v>P-3</x:v>
      </x:c>
      <x:c r="J1038" s="33" t="str">
        <x:v>2026-08-20</x:v>
      </x:c>
      <x:c r="K1038" s="33" t="str">
        <x:v>New controlled P-3 record; schema preserved.</x:v>
      </x:c>
    </x:row>
    <x:row r="1039">
      <x:c r="A1039" s="33" t="str">
        <x:v>COMP275</x:v>
      </x:c>
      <x:c r="B1039" s="33" t="str">
        <x:v>Compliance Requirement Master</x:v>
      </x:c>
      <x:c r="C1039" s="33" t="str">
        <x:v>Not present</x:v>
      </x:c>
      <x:c r="D1039" s="33" t="str">
        <x:v>Compliance ID=COMP275; Provision ID=PROV300; Compliance Area ID=CA048; Compliance Requirement=Pay every covered employee at least the applicable notified minimum wage and do not discriminate on prohibited gender grounds in wages/recruitment for same or similar work.; Compliance Objective=Meet the Code on Wages wage floor/equality controls.; Applicability=Mandatory; Frequency=Continuous; Due Timeline=Each recruitment and wage cycle; Responsible Person=HR / Payroll Lead; Non-Compliance Consequence=Back wages, claims, penalties and employee harm; Priority=Critical; Origin=CORE; Active=Yes; Remarks=P-3 current Code chain.</x:v>
      </x:c>
      <x:c r="E1039" s="33" t="str">
        <x:v>ADD</x:v>
      </x:c>
      <x:c r="F1039" s="33" t="str">
        <x:v>Create complete P-3 production compliance nodes.</x:v>
      </x:c>
      <x:c r="G1039" s="33" t="str">
        <x:v>P-3 official-source review</x:v>
      </x:c>
      <x:c r="H1039" s="33" t="str">
        <x:v>https://moef.gov.in/rules-regulations-3 | https://www.labour.gov.in/offerings/schemes-and-services/details/labour-codes-gzNzQzMtQWa</x:v>
      </x:c>
      <x:c r="I1039" s="33" t="str">
        <x:v>P-3</x:v>
      </x:c>
      <x:c r="J1039" s="33" t="str">
        <x:v>2026-08-20</x:v>
      </x:c>
      <x:c r="K1039" s="33" t="str">
        <x:v>New controlled P-3 record; schema preserved.</x:v>
      </x:c>
    </x:row>
    <x:row r="1040">
      <x:c r="A1040" s="33" t="str">
        <x:v>COMP276</x:v>
      </x:c>
      <x:c r="B1040" s="33" t="str">
        <x:v>Compliance Requirement Master</x:v>
      </x:c>
      <x:c r="C1040" s="33" t="str">
        <x:v>Not present</x:v>
      </x:c>
      <x:c r="D1040" s="33" t="str">
        <x:v>Compliance ID=COMP276; Provision ID=PROV301; Compliance Area ID=CA048; Compliance Requirement=Use a permitted wage period, pay wages within the statutory deadline and make only authorised deductions within the legal limit.; Compliance Objective=Ensure timely and lawful wage payment.; Applicability=Mandatory; Frequency=Monthly; Due Timeline=Each wage period and termination event; Responsible Person=HR / Payroll Lead; Non-Compliance Consequence=Back wages, claims and penalties; Priority=Critical; Origin=CORE; Active=Yes; Remarks=P-3 current Code chain.</x:v>
      </x:c>
      <x:c r="E1040" s="33" t="str">
        <x:v>ADD</x:v>
      </x:c>
      <x:c r="F1040" s="33" t="str">
        <x:v>Create complete P-3 production compliance nodes.</x:v>
      </x:c>
      <x:c r="G1040" s="33" t="str">
        <x:v>P-3 official-source review</x:v>
      </x:c>
      <x:c r="H1040" s="33" t="str">
        <x:v>https://moef.gov.in/rules-regulations-3 | https://www.labour.gov.in/offerings/schemes-and-services/details/labour-codes-gzNzQzMtQWa</x:v>
      </x:c>
      <x:c r="I1040" s="33" t="str">
        <x:v>P-3</x:v>
      </x:c>
      <x:c r="J1040" s="33" t="str">
        <x:v>2026-08-20</x:v>
      </x:c>
      <x:c r="K1040" s="33" t="str">
        <x:v>New controlled P-3 record; schema preserved.</x:v>
      </x:c>
    </x:row>
    <x:row r="1041">
      <x:c r="A1041" s="33" t="str">
        <x:v>COMP277</x:v>
      </x:c>
      <x:c r="B1041" s="33" t="str">
        <x:v>Compliance Requirement Master</x:v>
      </x:c>
      <x:c r="C1041" s="33" t="str">
        <x:v>Not present</x:v>
      </x:c>
      <x:c r="D1041" s="33" t="str">
        <x:v>Compliance ID=COMP277; Provision ID=PROV302; Compliance Area ID=CA046; Compliance Requirement=Maintain the prescribed wage, attendance, deduction and overtime records; issue wage slips and display required notices under the applicable Central/State rules.; Compliance Objective=Maintain auditable wage compliance evidence.; Applicability=Conditional; Frequency=Continuous; Due Timeline=Each wage period and prescribed display/retention cycle; Responsible Person=HR / Payroll Lead; Non-Compliance Consequence=Inspection finding, claims and penalties; Priority=High; Origin=CORE; Active=Yes; Remarks=P-3 rules-jurisdiction trigger explicit.</x:v>
      </x:c>
      <x:c r="E1041" s="33" t="str">
        <x:v>ADD</x:v>
      </x:c>
      <x:c r="F1041" s="33" t="str">
        <x:v>Create complete P-3 production compliance nodes.</x:v>
      </x:c>
      <x:c r="G1041" s="33" t="str">
        <x:v>P-3 official-source review</x:v>
      </x:c>
      <x:c r="H1041" s="33" t="str">
        <x:v>https://moef.gov.in/rules-regulations-3 | https://www.labour.gov.in/offerings/schemes-and-services/details/labour-codes-gzNzQzMtQWa</x:v>
      </x:c>
      <x:c r="I1041" s="33" t="str">
        <x:v>P-3</x:v>
      </x:c>
      <x:c r="J1041" s="33" t="str">
        <x:v>2026-08-20</x:v>
      </x:c>
      <x:c r="K1041" s="33" t="str">
        <x:v>New controlled P-3 record; schema preserved.</x:v>
      </x:c>
    </x:row>
    <x:row r="1042">
      <x:c r="A1042" s="33" t="str">
        <x:v>AUD561</x:v>
      </x:c>
      <x:c r="B1042" s="33" t="str">
        <x:v>Audit Procedure Master</x:v>
      </x:c>
      <x:c r="C1042" s="33" t="str">
        <x:v>Not present</x:v>
      </x:c>
      <x:c r="D1042" s="33" t="str">
        <x:v>Audit ID=AUD561; Compliance ID=COMP266; Audit Procedure=Review the four-stream waste procedure, local collector/user-fee arrangement and segregation records.; Audit Method=Document Review; Audit Frequency=Quarterly; Origin=CORE; Risk Focus=Disposal Controls; Active=Yes; Remarks=P-3 validated chain.</x:v>
      </x:c>
      <x:c r="E1042" s="33" t="str">
        <x:v>ADD</x:v>
      </x:c>
      <x:c r="F1042" s="33" t="str">
        <x:v>Add two audit tests for each new P-3 compliance.</x:v>
      </x:c>
      <x:c r="G1042" s="33" t="str">
        <x:v>P-3 official-source review</x:v>
      </x:c>
      <x:c r="H1042" s="33" t="str">
        <x:v>P3 Environmental Coverage | P3 General Law Coverage</x:v>
      </x:c>
      <x:c r="I1042" s="33" t="str">
        <x:v>P-3</x:v>
      </x:c>
      <x:c r="J1042" s="33" t="str">
        <x:v>2026-08-20</x:v>
      </x:c>
      <x:c r="K1042" s="33" t="str">
        <x:v>New controlled P-3 record; schema preserved.</x:v>
      </x:c>
    </x:row>
    <x:row r="1043">
      <x:c r="A1043" s="33" t="str">
        <x:v>AUD562</x:v>
      </x:c>
      <x:c r="B1043" s="33" t="str">
        <x:v>Audit Procedure Master</x:v>
      </x:c>
      <x:c r="C1043" s="33" t="str">
        <x:v>Not present</x:v>
      </x:c>
      <x:c r="D1043" s="33" t="str">
        <x:v>Audit ID=AUD562; Compliance ID=COMP266; Audit Procedure=Interview the responsible owner and inspect a sample/current physical or system record to corroborate design and operation.; Audit Method=Physical Inspection; Audit Frequency=Quarterly; Origin=CORE; Risk Focus=Disposal Controls; Active=Yes; Remarks=P-3 operating-effectiveness test.</x:v>
      </x:c>
      <x:c r="E1043" s="33" t="str">
        <x:v>ADD</x:v>
      </x:c>
      <x:c r="F1043" s="33" t="str">
        <x:v>Add two audit tests for each new P-3 compliance.</x:v>
      </x:c>
      <x:c r="G1043" s="33" t="str">
        <x:v>P-3 official-source review</x:v>
      </x:c>
      <x:c r="H1043" s="33" t="str">
        <x:v>P3 Environmental Coverage | P3 General Law Coverage</x:v>
      </x:c>
      <x:c r="I1043" s="33" t="str">
        <x:v>P-3</x:v>
      </x:c>
      <x:c r="J1043" s="33" t="str">
        <x:v>2026-08-20</x:v>
      </x:c>
      <x:c r="K1043" s="33" t="str">
        <x:v>New controlled P-3 record; schema preserved.</x:v>
      </x:c>
    </x:row>
    <x:row r="1044">
      <x:c r="A1044" s="33" t="str">
        <x:v>AUD563</x:v>
      </x:c>
      <x:c r="B1044" s="33" t="str">
        <x:v>Audit Procedure Master</x:v>
      </x:c>
      <x:c r="C1044" s="33" t="str">
        <x:v>Not present</x:v>
      </x:c>
      <x:c r="D1044" s="33" t="str">
        <x:v>Audit ID=AUD563; Compliance ID=COMP267; Audit Procedure=Recalculate each BWG threshold from floor area, water and daily waste data and test the resulting registration/processing position.; Audit Method=Reconciliation; Audit Frequency=Annual; Origin=CORE; Risk Focus=Disposal Controls; Active=Yes; Remarks=P-3 validated chain.</x:v>
      </x:c>
      <x:c r="E1044" s="33" t="str">
        <x:v>ADD</x:v>
      </x:c>
      <x:c r="F1044" s="33" t="str">
        <x:v>Add two audit tests for each new P-3 compliance.</x:v>
      </x:c>
      <x:c r="G1044" s="33" t="str">
        <x:v>P-3 official-source review</x:v>
      </x:c>
      <x:c r="H1044" s="33" t="str">
        <x:v>P3 Environmental Coverage | P3 General Law Coverage</x:v>
      </x:c>
      <x:c r="I1044" s="33" t="str">
        <x:v>P-3</x:v>
      </x:c>
      <x:c r="J1044" s="33" t="str">
        <x:v>2026-08-20</x:v>
      </x:c>
      <x:c r="K1044" s="33" t="str">
        <x:v>New controlled P-3 record; schema preserved.</x:v>
      </x:c>
    </x:row>
    <x:row r="1045">
      <x:c r="A1045" s="33" t="str">
        <x:v>AUD564</x:v>
      </x:c>
      <x:c r="B1045" s="33" t="str">
        <x:v>Audit Procedure Master</x:v>
      </x:c>
      <x:c r="C1045" s="33" t="str">
        <x:v>Not present</x:v>
      </x:c>
      <x:c r="D1045" s="33" t="str">
        <x:v>Audit ID=AUD564; Compliance ID=COMP267; Audit Procedure=Interview the responsible owner and inspect a sample/current physical or system record to corroborate design and operation.; Audit Method=Physical Inspection; Audit Frequency=Annual; Origin=CORE; Risk Focus=Disposal Controls; Active=Yes; Remarks=P-3 operating-effectiveness test.</x:v>
      </x:c>
      <x:c r="E1045" s="33" t="str">
        <x:v>ADD</x:v>
      </x:c>
      <x:c r="F1045" s="33" t="str">
        <x:v>Add two audit tests for each new P-3 compliance.</x:v>
      </x:c>
      <x:c r="G1045" s="33" t="str">
        <x:v>P-3 official-source review</x:v>
      </x:c>
      <x:c r="H1045" s="33" t="str">
        <x:v>P3 Environmental Coverage | P3 General Law Coverage</x:v>
      </x:c>
      <x:c r="I1045" s="33" t="str">
        <x:v>P-3</x:v>
      </x:c>
      <x:c r="J1045" s="33" t="str">
        <x:v>2026-08-20</x:v>
      </x:c>
      <x:c r="K1045" s="33" t="str">
        <x:v>New controlled P-3 record; schema preserved.</x:v>
      </x:c>
    </x:row>
    <x:row r="1046">
      <x:c r="A1046" s="33" t="str">
        <x:v>AUD565</x:v>
      </x:c>
      <x:c r="B1046" s="33" t="str">
        <x:v>Audit Procedure Master</x:v>
      </x:c>
      <x:c r="C1046" s="33" t="str">
        <x:v>Not present</x:v>
      </x:c>
      <x:c r="D1046" s="33" t="str">
        <x:v>Audit ID=AUD565; Compliance ID=COMP268; Audit Procedure=Inspect plastic segregation and sampled carry bags/plastic sheets; verify authorised handover evidence.; Audit Method=Physical Inspection; Audit Frequency=Quarterly; Origin=CORE; Risk Focus=Disposal Controls; Active=Yes; Remarks=P-3 validated chain.</x:v>
      </x:c>
      <x:c r="E1046" s="33" t="str">
        <x:v>ADD</x:v>
      </x:c>
      <x:c r="F1046" s="33" t="str">
        <x:v>Add two audit tests for each new P-3 compliance.</x:v>
      </x:c>
      <x:c r="G1046" s="33" t="str">
        <x:v>P-3 official-source review</x:v>
      </x:c>
      <x:c r="H1046" s="33" t="str">
        <x:v>P3 Environmental Coverage | P3 General Law Coverage</x:v>
      </x:c>
      <x:c r="I1046" s="33" t="str">
        <x:v>P-3</x:v>
      </x:c>
      <x:c r="J1046" s="33" t="str">
        <x:v>2026-08-20</x:v>
      </x:c>
      <x:c r="K1046" s="33" t="str">
        <x:v>New controlled P-3 record; schema preserved.</x:v>
      </x:c>
    </x:row>
    <x:row r="1047">
      <x:c r="A1047" s="33" t="str">
        <x:v>AUD566</x:v>
      </x:c>
      <x:c r="B1047" s="33" t="str">
        <x:v>Audit Procedure Master</x:v>
      </x:c>
      <x:c r="C1047" s="33" t="str">
        <x:v>Not present</x:v>
      </x:c>
      <x:c r="D1047" s="33" t="str">
        <x:v>Audit ID=AUD566; Compliance ID=COMP268; Audit Procedure=Interview the responsible owner and inspect a sample/current physical or system record to corroborate design and operation.; Audit Method=Record Verification; Audit Frequency=Quarterly; Origin=CORE; Risk Focus=Disposal Controls; Active=Yes; Remarks=P-3 operating-effectiveness test.</x:v>
      </x:c>
      <x:c r="E1047" s="33" t="str">
        <x:v>ADD</x:v>
      </x:c>
      <x:c r="F1047" s="33" t="str">
        <x:v>Add two audit tests for each new P-3 compliance.</x:v>
      </x:c>
      <x:c r="G1047" s="33" t="str">
        <x:v>P-3 official-source review</x:v>
      </x:c>
      <x:c r="H1047" s="33" t="str">
        <x:v>P3 Environmental Coverage | P3 General Law Coverage</x:v>
      </x:c>
      <x:c r="I1047" s="33" t="str">
        <x:v>P-3</x:v>
      </x:c>
      <x:c r="J1047" s="33" t="str">
        <x:v>2026-08-20</x:v>
      </x:c>
      <x:c r="K1047" s="33" t="str">
        <x:v>New controlled P-3 record; schema preserved.</x:v>
      </x:c>
    </x:row>
    <x:row r="1048">
      <x:c r="A1048" s="33" t="str">
        <x:v>AUD567</x:v>
      </x:c>
      <x:c r="B1048" s="33" t="str">
        <x:v>Audit Procedure Master</x:v>
      </x:c>
      <x:c r="C1048" s="33" t="str">
        <x:v>Not present</x:v>
      </x:c>
      <x:c r="D1048" s="33" t="str">
        <x:v>Audit ID=AUD567; Compliance ID=COMP269; Audit Procedure=Trace disposed batteries from asset replacement to an authorised collection/refurbishing/recycling channel.; Audit Method=Record Verification; Audit Frequency=Annual; Origin=CORE; Risk Focus=Disposal Controls; Active=Yes; Remarks=P-3 validated chain.</x:v>
      </x:c>
      <x:c r="E1048" s="33" t="str">
        <x:v>ADD</x:v>
      </x:c>
      <x:c r="F1048" s="33" t="str">
        <x:v>Add two audit tests for each new P-3 compliance.</x:v>
      </x:c>
      <x:c r="G1048" s="33" t="str">
        <x:v>P-3 official-source review</x:v>
      </x:c>
      <x:c r="H1048" s="33" t="str">
        <x:v>P3 Environmental Coverage | P3 General Law Coverage</x:v>
      </x:c>
      <x:c r="I1048" s="33" t="str">
        <x:v>P-3</x:v>
      </x:c>
      <x:c r="J1048" s="33" t="str">
        <x:v>2026-08-20</x:v>
      </x:c>
      <x:c r="K1048" s="33" t="str">
        <x:v>New controlled P-3 record; schema preserved.</x:v>
      </x:c>
    </x:row>
    <x:row r="1049">
      <x:c r="A1049" s="33" t="str">
        <x:v>AUD568</x:v>
      </x:c>
      <x:c r="B1049" s="33" t="str">
        <x:v>Audit Procedure Master</x:v>
      </x:c>
      <x:c r="C1049" s="33" t="str">
        <x:v>Not present</x:v>
      </x:c>
      <x:c r="D1049" s="33" t="str">
        <x:v>Audit ID=AUD568; Compliance ID=COMP269; Audit Procedure=Interview the responsible owner and inspect a sample/current physical or system record to corroborate design and operation.; Audit Method=Physical Inspection; Audit Frequency=Annual; Origin=CORE; Risk Focus=Disposal Controls; Active=Yes; Remarks=P-3 operating-effectiveness test.</x:v>
      </x:c>
      <x:c r="E1049" s="33" t="str">
        <x:v>ADD</x:v>
      </x:c>
      <x:c r="F1049" s="33" t="str">
        <x:v>Add two audit tests for each new P-3 compliance.</x:v>
      </x:c>
      <x:c r="G1049" s="33" t="str">
        <x:v>P-3 official-source review</x:v>
      </x:c>
      <x:c r="H1049" s="33" t="str">
        <x:v>P3 Environmental Coverage | P3 General Law Coverage</x:v>
      </x:c>
      <x:c r="I1049" s="33" t="str">
        <x:v>P-3</x:v>
      </x:c>
      <x:c r="J1049" s="33" t="str">
        <x:v>2026-08-20</x:v>
      </x:c>
      <x:c r="K1049" s="33" t="str">
        <x:v>New controlled P-3 record; schema preserved.</x:v>
      </x:c>
    </x:row>
    <x:row r="1050">
      <x:c r="A1050" s="33" t="str">
        <x:v>AUD569</x:v>
      </x:c>
      <x:c r="B1050" s="33" t="str">
        <x:v>Audit Procedure Master</x:v>
      </x:c>
      <x:c r="C1050" s="33" t="str">
        <x:v>Not present</x:v>
      </x:c>
      <x:c r="D1050" s="33" t="str">
        <x:v>Audit ID=AUD569; Compliance ID=COMP270; Audit Procedure=Count Schedule I EEE units used in the financial year and, if threshold is met, trace all e-waste to registered recipients.; Audit Method=Reconciliation; Audit Frequency=Annual; Origin=CORE; Risk Focus=Disposal Controls; Active=Yes; Remarks=P-3 validated chain.</x:v>
      </x:c>
      <x:c r="E1050" s="33" t="str">
        <x:v>ADD</x:v>
      </x:c>
      <x:c r="F1050" s="33" t="str">
        <x:v>Add two audit tests for each new P-3 compliance.</x:v>
      </x:c>
      <x:c r="G1050" s="33" t="str">
        <x:v>P-3 official-source review</x:v>
      </x:c>
      <x:c r="H1050" s="33" t="str">
        <x:v>P3 Environmental Coverage | P3 General Law Coverage</x:v>
      </x:c>
      <x:c r="I1050" s="33" t="str">
        <x:v>P-3</x:v>
      </x:c>
      <x:c r="J1050" s="33" t="str">
        <x:v>2026-08-20</x:v>
      </x:c>
      <x:c r="K1050" s="33" t="str">
        <x:v>New controlled P-3 record; schema preserved.</x:v>
      </x:c>
    </x:row>
    <x:row r="1051">
      <x:c r="A1051" s="33" t="str">
        <x:v>AUD570</x:v>
      </x:c>
      <x:c r="B1051" s="33" t="str">
        <x:v>Audit Procedure Master</x:v>
      </x:c>
      <x:c r="C1051" s="33" t="str">
        <x:v>Not present</x:v>
      </x:c>
      <x:c r="D1051" s="33" t="str">
        <x:v>Audit ID=AUD570; Compliance ID=COMP270; Audit Procedure=Interview the responsible owner and inspect a sample/current physical or system record to corroborate design and operation.; Audit Method=Physical Inspection; Audit Frequency=Annual; Origin=CORE; Risk Focus=Disposal Controls; Active=Yes; Remarks=P-3 operating-effectiveness test.</x:v>
      </x:c>
      <x:c r="E1051" s="33" t="str">
        <x:v>ADD</x:v>
      </x:c>
      <x:c r="F1051" s="33" t="str">
        <x:v>Add two audit tests for each new P-3 compliance.</x:v>
      </x:c>
      <x:c r="G1051" s="33" t="str">
        <x:v>P-3 official-source review</x:v>
      </x:c>
      <x:c r="H1051" s="33" t="str">
        <x:v>P3 Environmental Coverage | P3 General Law Coverage</x:v>
      </x:c>
      <x:c r="I1051" s="33" t="str">
        <x:v>P-3</x:v>
      </x:c>
      <x:c r="J1051" s="33" t="str">
        <x:v>2026-08-20</x:v>
      </x:c>
      <x:c r="K1051" s="33" t="str">
        <x:v>New controlled P-3 record; schema preserved.</x:v>
      </x:c>
    </x:row>
    <x:row r="1052">
      <x:c r="A1052" s="33" t="str">
        <x:v>AUD571</x:v>
      </x:c>
      <x:c r="B1052" s="33" t="str">
        <x:v>Audit Procedure Master</x:v>
      </x:c>
      <x:c r="C1052" s="33" t="str">
        <x:v>Not present</x:v>
      </x:c>
      <x:c r="D1052" s="33" t="str">
        <x:v>Audit ID=AUD571; Compliance ID=COMP271; Audit Procedure=Verify waste characterisation, authorization, storage-age controls and sampled manifests/authorised recipient records.; Audit Method=Document Review; Audit Frequency=Quarterly; Origin=CORE; Risk Focus=Disposal Controls; Active=Yes; Remarks=P-3 validated chain.</x:v>
      </x:c>
      <x:c r="E1052" s="33" t="str">
        <x:v>ADD</x:v>
      </x:c>
      <x:c r="F1052" s="33" t="str">
        <x:v>Add two audit tests for each new P-3 compliance.</x:v>
      </x:c>
      <x:c r="G1052" s="33" t="str">
        <x:v>P-3 official-source review</x:v>
      </x:c>
      <x:c r="H1052" s="33" t="str">
        <x:v>P3 Environmental Coverage | P3 General Law Coverage</x:v>
      </x:c>
      <x:c r="I1052" s="33" t="str">
        <x:v>P-3</x:v>
      </x:c>
      <x:c r="J1052" s="33" t="str">
        <x:v>2026-08-20</x:v>
      </x:c>
      <x:c r="K1052" s="33" t="str">
        <x:v>New controlled P-3 record; schema preserved.</x:v>
      </x:c>
    </x:row>
    <x:row r="1053">
      <x:c r="A1053" s="33" t="str">
        <x:v>AUD572</x:v>
      </x:c>
      <x:c r="B1053" s="33" t="str">
        <x:v>Audit Procedure Master</x:v>
      </x:c>
      <x:c r="C1053" s="33" t="str">
        <x:v>Not present</x:v>
      </x:c>
      <x:c r="D1053" s="33" t="str">
        <x:v>Audit ID=AUD572; Compliance ID=COMP271; Audit Procedure=Interview the responsible owner and inspect a sample/current physical or system record to corroborate design and operation.; Audit Method=Physical Inspection; Audit Frequency=Quarterly; Origin=CORE; Risk Focus=Disposal Controls; Active=Yes; Remarks=P-3 operating-effectiveness test.</x:v>
      </x:c>
      <x:c r="E1053" s="33" t="str">
        <x:v>ADD</x:v>
      </x:c>
      <x:c r="F1053" s="33" t="str">
        <x:v>Add two audit tests for each new P-3 compliance.</x:v>
      </x:c>
      <x:c r="G1053" s="33" t="str">
        <x:v>P-3 official-source review</x:v>
      </x:c>
      <x:c r="H1053" s="33" t="str">
        <x:v>P3 Environmental Coverage | P3 General Law Coverage</x:v>
      </x:c>
      <x:c r="I1053" s="33" t="str">
        <x:v>P-3</x:v>
      </x:c>
      <x:c r="J1053" s="33" t="str">
        <x:v>2026-08-20</x:v>
      </x:c>
      <x:c r="K1053" s="33" t="str">
        <x:v>New controlled P-3 record; schema preserved.</x:v>
      </x:c>
    </x:row>
    <x:row r="1054">
      <x:c r="A1054" s="33" t="str">
        <x:v>AUD573</x:v>
      </x:c>
      <x:c r="B1054" s="33" t="str">
        <x:v>Audit Procedure Master</x:v>
      </x:c>
      <x:c r="C1054" s="33" t="str">
        <x:v>Not present</x:v>
      </x:c>
      <x:c r="D1054" s="33" t="str">
        <x:v>Audit ID=AUD573; Compliance ID=COMP272; Audit Procedure=Document the Water Act exemption/classification analysis and verify current consent/conditions where triggered.; Audit Method=Document Review; Audit Frequency=Annual; Origin=CORE; Risk Focus=Disposal Controls; Active=Yes; Remarks=P-3 validated chain.</x:v>
      </x:c>
      <x:c r="E1054" s="33" t="str">
        <x:v>ADD</x:v>
      </x:c>
      <x:c r="F1054" s="33" t="str">
        <x:v>Add two audit tests for each new P-3 compliance.</x:v>
      </x:c>
      <x:c r="G1054" s="33" t="str">
        <x:v>P-3 official-source review</x:v>
      </x:c>
      <x:c r="H1054" s="33" t="str">
        <x:v>P3 Environmental Coverage | P3 General Law Coverage</x:v>
      </x:c>
      <x:c r="I1054" s="33" t="str">
        <x:v>P-3</x:v>
      </x:c>
      <x:c r="J1054" s="33" t="str">
        <x:v>2026-08-20</x:v>
      </x:c>
      <x:c r="K1054" s="33" t="str">
        <x:v>New controlled P-3 record; schema preserved.</x:v>
      </x:c>
    </x:row>
    <x:row r="1055">
      <x:c r="A1055" s="33" t="str">
        <x:v>AUD574</x:v>
      </x:c>
      <x:c r="B1055" s="33" t="str">
        <x:v>Audit Procedure Master</x:v>
      </x:c>
      <x:c r="C1055" s="33" t="str">
        <x:v>Not present</x:v>
      </x:c>
      <x:c r="D1055" s="33" t="str">
        <x:v>Audit ID=AUD574; Compliance ID=COMP272; Audit Procedure=Interview the responsible owner and inspect a sample/current physical or system record to corroborate design and operation.; Audit Method=Physical Inspection; Audit Frequency=Annual; Origin=CORE; Risk Focus=Disposal Controls; Active=Yes; Remarks=P-3 operating-effectiveness test.</x:v>
      </x:c>
      <x:c r="E1055" s="33" t="str">
        <x:v>ADD</x:v>
      </x:c>
      <x:c r="F1055" s="33" t="str">
        <x:v>Add two audit tests for each new P-3 compliance.</x:v>
      </x:c>
      <x:c r="G1055" s="33" t="str">
        <x:v>P-3 official-source review</x:v>
      </x:c>
      <x:c r="H1055" s="33" t="str">
        <x:v>P3 Environmental Coverage | P3 General Law Coverage</x:v>
      </x:c>
      <x:c r="I1055" s="33" t="str">
        <x:v>P-3</x:v>
      </x:c>
      <x:c r="J1055" s="33" t="str">
        <x:v>2026-08-20</x:v>
      </x:c>
      <x:c r="K1055" s="33" t="str">
        <x:v>New controlled P-3 record; schema preserved.</x:v>
      </x:c>
    </x:row>
    <x:row r="1056">
      <x:c r="A1056" s="33" t="str">
        <x:v>AUD575</x:v>
      </x:c>
      <x:c r="B1056" s="33" t="str">
        <x:v>Audit Procedure Master</x:v>
      </x:c>
      <x:c r="C1056" s="33" t="str">
        <x:v>Not present</x:v>
      </x:c>
      <x:c r="D1056" s="33" t="str">
        <x:v>Audit ID=AUD575; Compliance ID=COMP273; Audit Procedure=Document the Air Act exemption/classification analysis and verify current consent/conditions for each triggered source.; Audit Method=Document Review; Audit Frequency=Annual; Origin=CORE; Risk Focus=Disposal Controls; Active=Yes; Remarks=P-3 validated chain.</x:v>
      </x:c>
      <x:c r="E1056" s="33" t="str">
        <x:v>ADD</x:v>
      </x:c>
      <x:c r="F1056" s="33" t="str">
        <x:v>Add two audit tests for each new P-3 compliance.</x:v>
      </x:c>
      <x:c r="G1056" s="33" t="str">
        <x:v>P-3 official-source review</x:v>
      </x:c>
      <x:c r="H1056" s="33" t="str">
        <x:v>P3 Environmental Coverage | P3 General Law Coverage</x:v>
      </x:c>
      <x:c r="I1056" s="33" t="str">
        <x:v>P-3</x:v>
      </x:c>
      <x:c r="J1056" s="33" t="str">
        <x:v>2026-08-20</x:v>
      </x:c>
      <x:c r="K1056" s="33" t="str">
        <x:v>New controlled P-3 record; schema preserved.</x:v>
      </x:c>
    </x:row>
    <x:row r="1057">
      <x:c r="A1057" s="33" t="str">
        <x:v>AUD576</x:v>
      </x:c>
      <x:c r="B1057" s="33" t="str">
        <x:v>Audit Procedure Master</x:v>
      </x:c>
      <x:c r="C1057" s="33" t="str">
        <x:v>Not present</x:v>
      </x:c>
      <x:c r="D1057" s="33" t="str">
        <x:v>Audit ID=AUD576; Compliance ID=COMP273; Audit Procedure=Interview the responsible owner and inspect a sample/current physical or system record to corroborate design and operation.; Audit Method=Physical Inspection; Audit Frequency=Annual; Origin=CORE; Risk Focus=Disposal Controls; Active=Yes; Remarks=P-3 operating-effectiveness test.</x:v>
      </x:c>
      <x:c r="E1057" s="33" t="str">
        <x:v>ADD</x:v>
      </x:c>
      <x:c r="F1057" s="33" t="str">
        <x:v>Add two audit tests for each new P-3 compliance.</x:v>
      </x:c>
      <x:c r="G1057" s="33" t="str">
        <x:v>P-3 official-source review</x:v>
      </x:c>
      <x:c r="H1057" s="33" t="str">
        <x:v>P3 Environmental Coverage | P3 General Law Coverage</x:v>
      </x:c>
      <x:c r="I1057" s="33" t="str">
        <x:v>P-3</x:v>
      </x:c>
      <x:c r="J1057" s="33" t="str">
        <x:v>2026-08-20</x:v>
      </x:c>
      <x:c r="K1057" s="33" t="str">
        <x:v>New controlled P-3 record; schema preserved.</x:v>
      </x:c>
    </x:row>
    <x:row r="1058">
      <x:c r="A1058" s="33" t="str">
        <x:v>AUD577</x:v>
      </x:c>
      <x:c r="B1058" s="33" t="str">
        <x:v>Audit Procedure Master</x:v>
      </x:c>
      <x:c r="C1058" s="33" t="str">
        <x:v>Not present</x:v>
      </x:c>
      <x:c r="D1058" s="33" t="str">
        <x:v>Audit ID=AUD577; Compliance ID=COMP274; Audit Procedure=Inspect project waste segregation/storage and trace C&amp;D waste to the local authorised collection/processing route.; Audit Method=Physical Inspection; Audit Frequency=Event Based; Origin=CORE; Risk Focus=Disposal Controls; Active=Yes; Remarks=P-3 validated chain.</x:v>
      </x:c>
      <x:c r="E1058" s="33" t="str">
        <x:v>ADD</x:v>
      </x:c>
      <x:c r="F1058" s="33" t="str">
        <x:v>Add two audit tests for each new P-3 compliance.</x:v>
      </x:c>
      <x:c r="G1058" s="33" t="str">
        <x:v>P-3 official-source review</x:v>
      </x:c>
      <x:c r="H1058" s="33" t="str">
        <x:v>P3 Environmental Coverage | P3 General Law Coverage</x:v>
      </x:c>
      <x:c r="I1058" s="33" t="str">
        <x:v>P-3</x:v>
      </x:c>
      <x:c r="J1058" s="33" t="str">
        <x:v>2026-08-20</x:v>
      </x:c>
      <x:c r="K1058" s="33" t="str">
        <x:v>New controlled P-3 record; schema preserved.</x:v>
      </x:c>
    </x:row>
    <x:row r="1059">
      <x:c r="A1059" s="33" t="str">
        <x:v>AUD578</x:v>
      </x:c>
      <x:c r="B1059" s="33" t="str">
        <x:v>Audit Procedure Master</x:v>
      </x:c>
      <x:c r="C1059" s="33" t="str">
        <x:v>Not present</x:v>
      </x:c>
      <x:c r="D1059" s="33" t="str">
        <x:v>Audit ID=AUD578; Compliance ID=COMP274; Audit Procedure=Interview the responsible owner and inspect a sample/current physical or system record to corroborate design and operation.; Audit Method=Record Verification; Audit Frequency=Event Based; Origin=CORE; Risk Focus=Disposal Controls; Active=Yes; Remarks=P-3 operating-effectiveness test.</x:v>
      </x:c>
      <x:c r="E1059" s="33" t="str">
        <x:v>ADD</x:v>
      </x:c>
      <x:c r="F1059" s="33" t="str">
        <x:v>Add two audit tests for each new P-3 compliance.</x:v>
      </x:c>
      <x:c r="G1059" s="33" t="str">
        <x:v>P-3 official-source review</x:v>
      </x:c>
      <x:c r="H1059" s="33" t="str">
        <x:v>P3 Environmental Coverage | P3 General Law Coverage</x:v>
      </x:c>
      <x:c r="I1059" s="33" t="str">
        <x:v>P-3</x:v>
      </x:c>
      <x:c r="J1059" s="33" t="str">
        <x:v>2026-08-20</x:v>
      </x:c>
      <x:c r="K1059" s="33" t="str">
        <x:v>New controlled P-3 record; schema preserved.</x:v>
      </x:c>
    </x:row>
    <x:row r="1060">
      <x:c r="A1060" s="33" t="str">
        <x:v>AUD579</x:v>
      </x:c>
      <x:c r="B1060" s="33" t="str">
        <x:v>Audit Procedure Master</x:v>
      </x:c>
      <x:c r="C1060" s="33" t="str">
        <x:v>Not present</x:v>
      </x:c>
      <x:c r="D1060" s="33" t="str">
        <x:v>Audit ID=AUD579; Compliance ID=COMP275; Audit Procedure=Compare payroll rates/recruitment outcomes with the applicable minimum-wage notification and non-discrimination requirement.; Audit Method=Reconciliation; Audit Frequency=Quarterly; Origin=CORE; Risk Focus=General Compliance; Active=Yes; Remarks=P-3 validated chain.</x:v>
      </x:c>
      <x:c r="E1060" s="33" t="str">
        <x:v>ADD</x:v>
      </x:c>
      <x:c r="F1060" s="33" t="str">
        <x:v>Add two audit tests for each new P-3 compliance.</x:v>
      </x:c>
      <x:c r="G1060" s="33" t="str">
        <x:v>P-3 official-source review</x:v>
      </x:c>
      <x:c r="H1060" s="33" t="str">
        <x:v>P3 Environmental Coverage | P3 General Law Coverage</x:v>
      </x:c>
      <x:c r="I1060" s="33" t="str">
        <x:v>P-3</x:v>
      </x:c>
      <x:c r="J1060" s="33" t="str">
        <x:v>2026-08-20</x:v>
      </x:c>
      <x:c r="K1060" s="33" t="str">
        <x:v>New controlled P-3 record; schema preserved.</x:v>
      </x:c>
    </x:row>
    <x:row r="1061">
      <x:c r="A1061" s="33" t="str">
        <x:v>AUD580</x:v>
      </x:c>
      <x:c r="B1061" s="33" t="str">
        <x:v>Audit Procedure Master</x:v>
      </x:c>
      <x:c r="C1061" s="33" t="str">
        <x:v>Not present</x:v>
      </x:c>
      <x:c r="D1061" s="33" t="str">
        <x:v>Audit ID=AUD580; Compliance ID=COMP275; Audit Procedure=Interview the responsible owner and inspect a sample/current physical or system record to corroborate design and operation.; Audit Method=Physical Inspection; Audit Frequency=Quarterly; Origin=CORE; Risk Focus=General Compliance; Active=Yes; Remarks=P-3 operating-effectiveness test.</x:v>
      </x:c>
      <x:c r="E1061" s="33" t="str">
        <x:v>ADD</x:v>
      </x:c>
      <x:c r="F1061" s="33" t="str">
        <x:v>Add two audit tests for each new P-3 compliance.</x:v>
      </x:c>
      <x:c r="G1061" s="33" t="str">
        <x:v>P-3 official-source review</x:v>
      </x:c>
      <x:c r="H1061" s="33" t="str">
        <x:v>P3 Environmental Coverage | P3 General Law Coverage</x:v>
      </x:c>
      <x:c r="I1061" s="33" t="str">
        <x:v>P-3</x:v>
      </x:c>
      <x:c r="J1061" s="33" t="str">
        <x:v>2026-08-20</x:v>
      </x:c>
      <x:c r="K1061" s="33" t="str">
        <x:v>New controlled P-3 record; schema preserved.</x:v>
      </x:c>
    </x:row>
    <x:row r="1062">
      <x:c r="A1062" s="33" t="str">
        <x:v>AUD581</x:v>
      </x:c>
      <x:c r="B1062" s="33" t="str">
        <x:v>Audit Procedure Master</x:v>
      </x:c>
      <x:c r="C1062" s="33" t="str">
        <x:v>Not present</x:v>
      </x:c>
      <x:c r="D1062" s="33" t="str">
        <x:v>Audit ID=AUD581; Compliance ID=COMP276; Audit Procedure=Test wage-period dates, payment dates and sampled deductions against the Code and applicable rules.; Audit Method=Reconciliation; Audit Frequency=Monthly; Origin=CORE; Risk Focus=Recordkeeping; Active=Yes; Remarks=P-3 validated chain.</x:v>
      </x:c>
      <x:c r="E1062" s="33" t="str">
        <x:v>ADD</x:v>
      </x:c>
      <x:c r="F1062" s="33" t="str">
        <x:v>Add two audit tests for each new P-3 compliance.</x:v>
      </x:c>
      <x:c r="G1062" s="33" t="str">
        <x:v>P-3 official-source review</x:v>
      </x:c>
      <x:c r="H1062" s="33" t="str">
        <x:v>P3 Environmental Coverage | P3 General Law Coverage</x:v>
      </x:c>
      <x:c r="I1062" s="33" t="str">
        <x:v>P-3</x:v>
      </x:c>
      <x:c r="J1062" s="33" t="str">
        <x:v>2026-08-20</x:v>
      </x:c>
      <x:c r="K1062" s="33" t="str">
        <x:v>New controlled P-3 record; schema preserved.</x:v>
      </x:c>
    </x:row>
    <x:row r="1063">
      <x:c r="A1063" s="33" t="str">
        <x:v>AUD582</x:v>
      </x:c>
      <x:c r="B1063" s="33" t="str">
        <x:v>Audit Procedure Master</x:v>
      </x:c>
      <x:c r="C1063" s="33" t="str">
        <x:v>Not present</x:v>
      </x:c>
      <x:c r="D1063" s="33" t="str">
        <x:v>Audit ID=AUD582; Compliance ID=COMP276; Audit Procedure=Interview the responsible owner and inspect a sample/current physical or system record to corroborate design and operation.; Audit Method=Physical Inspection; Audit Frequency=Monthly; Origin=CORE; Risk Focus=Recordkeeping; Active=Yes; Remarks=P-3 operating-effectiveness test.</x:v>
      </x:c>
      <x:c r="E1063" s="33" t="str">
        <x:v>ADD</x:v>
      </x:c>
      <x:c r="F1063" s="33" t="str">
        <x:v>Add two audit tests for each new P-3 compliance.</x:v>
      </x:c>
      <x:c r="G1063" s="33" t="str">
        <x:v>P-3 official-source review</x:v>
      </x:c>
      <x:c r="H1063" s="33" t="str">
        <x:v>P3 Environmental Coverage | P3 General Law Coverage</x:v>
      </x:c>
      <x:c r="I1063" s="33" t="str">
        <x:v>P-3</x:v>
      </x:c>
      <x:c r="J1063" s="33" t="str">
        <x:v>2026-08-20</x:v>
      </x:c>
      <x:c r="K1063" s="33" t="str">
        <x:v>New controlled P-3 record; schema preserved.</x:v>
      </x:c>
    </x:row>
    <x:row r="1064">
      <x:c r="A1064" s="33" t="str">
        <x:v>AUD583</x:v>
      </x:c>
      <x:c r="B1064" s="33" t="str">
        <x:v>Audit Procedure Master</x:v>
      </x:c>
      <x:c r="C1064" s="33" t="str">
        <x:v>Not present</x:v>
      </x:c>
      <x:c r="D1064" s="33" t="str">
        <x:v>Audit ID=AUD583; Compliance ID=COMP277; Audit Procedure=Verify prescribed wage/attendance/deduction/overtime records, wage slips, notices and jurisdiction attachment.; Audit Method=Record Verification; Audit Frequency=Quarterly; Origin=CORE; Risk Focus=Recordkeeping; Active=Yes; Remarks=P-3 validated chain.</x:v>
      </x:c>
      <x:c r="E1064" s="33" t="str">
        <x:v>ADD</x:v>
      </x:c>
      <x:c r="F1064" s="33" t="str">
        <x:v>Add two audit tests for each new P-3 compliance.</x:v>
      </x:c>
      <x:c r="G1064" s="33" t="str">
        <x:v>P-3 official-source review</x:v>
      </x:c>
      <x:c r="H1064" s="33" t="str">
        <x:v>P3 Environmental Coverage | P3 General Law Coverage</x:v>
      </x:c>
      <x:c r="I1064" s="33" t="str">
        <x:v>P-3</x:v>
      </x:c>
      <x:c r="J1064" s="33" t="str">
        <x:v>2026-08-20</x:v>
      </x:c>
      <x:c r="K1064" s="33" t="str">
        <x:v>New controlled P-3 record; schema preserved.</x:v>
      </x:c>
    </x:row>
    <x:row r="1065">
      <x:c r="A1065" s="33" t="str">
        <x:v>AUD584</x:v>
      </x:c>
      <x:c r="B1065" s="33" t="str">
        <x:v>Audit Procedure Master</x:v>
      </x:c>
      <x:c r="C1065" s="33" t="str">
        <x:v>Not present</x:v>
      </x:c>
      <x:c r="D1065" s="33" t="str">
        <x:v>Audit ID=AUD584; Compliance ID=COMP277; Audit Procedure=Interview the responsible owner and inspect a sample/current physical or system record to corroborate design and operation.; Audit Method=Physical Inspection; Audit Frequency=Quarterly; Origin=CORE; Risk Focus=Recordkeeping; Active=Yes; Remarks=P-3 operating-effectiveness test.</x:v>
      </x:c>
      <x:c r="E1065" s="33" t="str">
        <x:v>ADD</x:v>
      </x:c>
      <x:c r="F1065" s="33" t="str">
        <x:v>Add two audit tests for each new P-3 compliance.</x:v>
      </x:c>
      <x:c r="G1065" s="33" t="str">
        <x:v>P-3 official-source review</x:v>
      </x:c>
      <x:c r="H1065" s="33" t="str">
        <x:v>P3 Environmental Coverage | P3 General Law Coverage</x:v>
      </x:c>
      <x:c r="I1065" s="33" t="str">
        <x:v>P-3</x:v>
      </x:c>
      <x:c r="J1065" s="33" t="str">
        <x:v>2026-08-20</x:v>
      </x:c>
      <x:c r="K1065" s="33" t="str">
        <x:v>New controlled P-3 record; schema preserved.</x:v>
      </x:c>
    </x:row>
    <x:row r="1066">
      <x:c r="A1066" s="33" t="str">
        <x:v>EVD610</x:v>
      </x:c>
      <x:c r="B1066" s="33" t="str">
        <x:v>Evidence Master</x:v>
      </x:c>
      <x:c r="C1066" s="33" t="str">
        <x:v>Not present</x:v>
      </x:c>
      <x:c r="D1066" s="33" t="str">
        <x:v>Evidence ID=EVD610; Audit ID=AUD561; Evidence Required=Waste SOP, collector agreement/receipts and segregation logs; Evidence Type=Document; Mandatory=Yes; Retention Category=Statutory; Origin=CORE; Active=Yes; Remarks=P-3 primary evidence.</x:v>
      </x:c>
      <x:c r="E1066" s="33" t="str">
        <x:v>ADD</x:v>
      </x:c>
      <x:c r="F1066" s="33" t="str">
        <x:v>Add evidence nodes for each new P-3 audit.</x:v>
      </x:c>
      <x:c r="G1066" s="33" t="str">
        <x:v>P-3 official-source review</x:v>
      </x:c>
      <x:c r="H1066" s="33" t="str">
        <x:v>P3 Environmental Coverage | P3 General Law Coverage</x:v>
      </x:c>
      <x:c r="I1066" s="33" t="str">
        <x:v>P-3</x:v>
      </x:c>
      <x:c r="J1066" s="33" t="str">
        <x:v>2026-08-20</x:v>
      </x:c>
      <x:c r="K1066" s="33" t="str">
        <x:v>New controlled P-3 record; schema preserved.</x:v>
      </x:c>
    </x:row>
    <x:row r="1067">
      <x:c r="A1067" s="33" t="str">
        <x:v>EVD611</x:v>
      </x:c>
      <x:c r="B1067" s="33" t="str">
        <x:v>Evidence Master</x:v>
      </x:c>
      <x:c r="C1067" s="33" t="str">
        <x:v>Not present</x:v>
      </x:c>
      <x:c r="D1067" s="33" t="str">
        <x:v>Evidence ID=EVD611; Audit ID=AUD562; Evidence Required=Interview/sample corroboration, photographs or system extract; Evidence Type=Report; Mandatory=Yes; Retention Category=Operational; Origin=CORE; Active=Yes; Remarks=P-3 operating-effectiveness evidence.</x:v>
      </x:c>
      <x:c r="E1067" s="33" t="str">
        <x:v>ADD</x:v>
      </x:c>
      <x:c r="F1067" s="33" t="str">
        <x:v>Add evidence nodes for each new P-3 audit.</x:v>
      </x:c>
      <x:c r="G1067" s="33" t="str">
        <x:v>P-3 official-source review</x:v>
      </x:c>
      <x:c r="H1067" s="33" t="str">
        <x:v>P3 Environmental Coverage | P3 General Law Coverage</x:v>
      </x:c>
      <x:c r="I1067" s="33" t="str">
        <x:v>P-3</x:v>
      </x:c>
      <x:c r="J1067" s="33" t="str">
        <x:v>2026-08-20</x:v>
      </x:c>
      <x:c r="K1067" s="33" t="str">
        <x:v>New controlled P-3 record; schema preserved.</x:v>
      </x:c>
    </x:row>
    <x:row r="1068">
      <x:c r="A1068" s="33" t="str">
        <x:v>EVD612</x:v>
      </x:c>
      <x:c r="B1068" s="33" t="str">
        <x:v>Evidence Master</x:v>
      </x:c>
      <x:c r="C1068" s="33" t="str">
        <x:v>Not present</x:v>
      </x:c>
      <x:c r="D1068" s="33" t="str">
        <x:v>Evidence ID=EVD612; Audit ID=AUD563; Evidence Required=Threshold assessment, water bills, waste measurements and portal/EBWGR records; Evidence Type=Report; Mandatory=Yes; Retention Category=Statutory; Origin=CORE; Active=Yes; Remarks=P-3 primary evidence.</x:v>
      </x:c>
      <x:c r="E1068" s="33" t="str">
        <x:v>ADD</x:v>
      </x:c>
      <x:c r="F1068" s="33" t="str">
        <x:v>Add evidence nodes for each new P-3 audit.</x:v>
      </x:c>
      <x:c r="G1068" s="33" t="str">
        <x:v>P-3 official-source review</x:v>
      </x:c>
      <x:c r="H1068" s="33" t="str">
        <x:v>P3 Environmental Coverage | P3 General Law Coverage</x:v>
      </x:c>
      <x:c r="I1068" s="33" t="str">
        <x:v>P-3</x:v>
      </x:c>
      <x:c r="J1068" s="33" t="str">
        <x:v>2026-08-20</x:v>
      </x:c>
      <x:c r="K1068" s="33" t="str">
        <x:v>New controlled P-3 record; schema preserved.</x:v>
      </x:c>
    </x:row>
    <x:row r="1069">
      <x:c r="A1069" s="33" t="str">
        <x:v>EVD613</x:v>
      </x:c>
      <x:c r="B1069" s="33" t="str">
        <x:v>Evidence Master</x:v>
      </x:c>
      <x:c r="C1069" s="33" t="str">
        <x:v>Not present</x:v>
      </x:c>
      <x:c r="D1069" s="33" t="str">
        <x:v>Evidence ID=EVD613; Audit ID=AUD564; Evidence Required=Interview/sample corroboration, photographs or system extract; Evidence Type=Report; Mandatory=Yes; Retention Category=Operational; Origin=CORE; Active=Yes; Remarks=P-3 operating-effectiveness evidence.</x:v>
      </x:c>
      <x:c r="E1069" s="33" t="str">
        <x:v>ADD</x:v>
      </x:c>
      <x:c r="F1069" s="33" t="str">
        <x:v>Add evidence nodes for each new P-3 audit.</x:v>
      </x:c>
      <x:c r="G1069" s="33" t="str">
        <x:v>P-3 official-source review</x:v>
      </x:c>
      <x:c r="H1069" s="33" t="str">
        <x:v>P3 Environmental Coverage | P3 General Law Coverage</x:v>
      </x:c>
      <x:c r="I1069" s="33" t="str">
        <x:v>P-3</x:v>
      </x:c>
      <x:c r="J1069" s="33" t="str">
        <x:v>2026-08-20</x:v>
      </x:c>
      <x:c r="K1069" s="33" t="str">
        <x:v>New controlled P-3 record; schema preserved.</x:v>
      </x:c>
    </x:row>
    <x:row r="1070">
      <x:c r="A1070" s="33" t="str">
        <x:v>EVD614</x:v>
      </x:c>
      <x:c r="B1070" s="33" t="str">
        <x:v>Evidence Master</x:v>
      </x:c>
      <x:c r="C1070" s="33" t="str">
        <x:v>Not present</x:v>
      </x:c>
      <x:c r="D1070" s="33" t="str">
        <x:v>Evidence ID=EVD614; Audit ID=AUD565; Evidence Required=Plastic waste logs, handover receipts and compliant packaging declarations; Evidence Type=Record; Mandatory=Yes; Retention Category=Statutory; Origin=CORE; Active=Yes; Remarks=P-3 primary evidence.</x:v>
      </x:c>
      <x:c r="E1070" s="33" t="str">
        <x:v>ADD</x:v>
      </x:c>
      <x:c r="F1070" s="33" t="str">
        <x:v>Add evidence nodes for each new P-3 audit.</x:v>
      </x:c>
      <x:c r="G1070" s="33" t="str">
        <x:v>P-3 official-source review</x:v>
      </x:c>
      <x:c r="H1070" s="33" t="str">
        <x:v>P3 Environmental Coverage | P3 General Law Coverage</x:v>
      </x:c>
      <x:c r="I1070" s="33" t="str">
        <x:v>P-3</x:v>
      </x:c>
      <x:c r="J1070" s="33" t="str">
        <x:v>2026-08-20</x:v>
      </x:c>
      <x:c r="K1070" s="33" t="str">
        <x:v>New controlled P-3 record; schema preserved.</x:v>
      </x:c>
    </x:row>
    <x:row r="1071">
      <x:c r="A1071" s="33" t="str">
        <x:v>EVD615</x:v>
      </x:c>
      <x:c r="B1071" s="33" t="str">
        <x:v>Evidence Master</x:v>
      </x:c>
      <x:c r="C1071" s="33" t="str">
        <x:v>Not present</x:v>
      </x:c>
      <x:c r="D1071" s="33" t="str">
        <x:v>Evidence ID=EVD615; Audit ID=AUD566; Evidence Required=Interview/sample corroboration, photographs or system extract; Evidence Type=Report; Mandatory=Yes; Retention Category=Operational; Origin=CORE; Active=Yes; Remarks=P-3 operating-effectiveness evidence.</x:v>
      </x:c>
      <x:c r="E1071" s="33" t="str">
        <x:v>ADD</x:v>
      </x:c>
      <x:c r="F1071" s="33" t="str">
        <x:v>Add evidence nodes for each new P-3 audit.</x:v>
      </x:c>
      <x:c r="G1071" s="33" t="str">
        <x:v>P-3 official-source review</x:v>
      </x:c>
      <x:c r="H1071" s="33" t="str">
        <x:v>P3 Environmental Coverage | P3 General Law Coverage</x:v>
      </x:c>
      <x:c r="I1071" s="33" t="str">
        <x:v>P-3</x:v>
      </x:c>
      <x:c r="J1071" s="33" t="str">
        <x:v>2026-08-20</x:v>
      </x:c>
      <x:c r="K1071" s="33" t="str">
        <x:v>New controlled P-3 record; schema preserved.</x:v>
      </x:c>
    </x:row>
    <x:row r="1072">
      <x:c r="A1072" s="33" t="str">
        <x:v>EVD616</x:v>
      </x:c>
      <x:c r="B1072" s="33" t="str">
        <x:v>Evidence Master</x:v>
      </x:c>
      <x:c r="C1072" s="33" t="str">
        <x:v>Not present</x:v>
      </x:c>
      <x:c r="D1072" s="33" t="str">
        <x:v>Evidence ID=EVD616; Audit ID=AUD567; Evidence Required=Battery replacement log and authorised handover receipt; Evidence Type=Record; Mandatory=Yes; Retention Category=Statutory; Origin=CORE; Active=Yes; Remarks=P-3 primary evidence.</x:v>
      </x:c>
      <x:c r="E1072" s="33" t="str">
        <x:v>ADD</x:v>
      </x:c>
      <x:c r="F1072" s="33" t="str">
        <x:v>Add evidence nodes for each new P-3 audit.</x:v>
      </x:c>
      <x:c r="G1072" s="33" t="str">
        <x:v>P-3 official-source review</x:v>
      </x:c>
      <x:c r="H1072" s="33" t="str">
        <x:v>P3 Environmental Coverage | P3 General Law Coverage</x:v>
      </x:c>
      <x:c r="I1072" s="33" t="str">
        <x:v>P-3</x:v>
      </x:c>
      <x:c r="J1072" s="33" t="str">
        <x:v>2026-08-20</x:v>
      </x:c>
      <x:c r="K1072" s="33" t="str">
        <x:v>New controlled P-3 record; schema preserved.</x:v>
      </x:c>
    </x:row>
    <x:row r="1073">
      <x:c r="A1073" s="33" t="str">
        <x:v>EVD617</x:v>
      </x:c>
      <x:c r="B1073" s="33" t="str">
        <x:v>Evidence Master</x:v>
      </x:c>
      <x:c r="C1073" s="33" t="str">
        <x:v>Not present</x:v>
      </x:c>
      <x:c r="D1073" s="33" t="str">
        <x:v>Evidence ID=EVD617; Audit ID=AUD568; Evidence Required=Interview/sample corroboration, photographs or system extract; Evidence Type=Report; Mandatory=Yes; Retention Category=Operational; Origin=CORE; Active=Yes; Remarks=P-3 operating-effectiveness evidence.</x:v>
      </x:c>
      <x:c r="E1073" s="33" t="str">
        <x:v>ADD</x:v>
      </x:c>
      <x:c r="F1073" s="33" t="str">
        <x:v>Add evidence nodes for each new P-3 audit.</x:v>
      </x:c>
      <x:c r="G1073" s="33" t="str">
        <x:v>P-3 official-source review</x:v>
      </x:c>
      <x:c r="H1073" s="33" t="str">
        <x:v>P3 Environmental Coverage | P3 General Law Coverage</x:v>
      </x:c>
      <x:c r="I1073" s="33" t="str">
        <x:v>P-3</x:v>
      </x:c>
      <x:c r="J1073" s="33" t="str">
        <x:v>2026-08-20</x:v>
      </x:c>
      <x:c r="K1073" s="33" t="str">
        <x:v>New controlled P-3 record; schema preserved.</x:v>
      </x:c>
    </x:row>
    <x:row r="1074">
      <x:c r="A1074" s="33" t="str">
        <x:v>EVD618</x:v>
      </x:c>
      <x:c r="B1074" s="33" t="str">
        <x:v>Evidence Master</x:v>
      </x:c>
      <x:c r="C1074" s="33" t="str">
        <x:v>Not present</x:v>
      </x:c>
      <x:c r="D1074" s="33" t="str">
        <x:v>Evidence ID=EVD618; Audit ID=AUD569; Evidence Required=EEE inventory, threshold worksheet and registered-recipient handover receipts; Evidence Type=Inventory Record; Mandatory=Yes; Retention Category=Statutory; Origin=CORE; Active=Yes; Remarks=P-3 primary evidence.</x:v>
      </x:c>
      <x:c r="E1074" s="33" t="str">
        <x:v>ADD</x:v>
      </x:c>
      <x:c r="F1074" s="33" t="str">
        <x:v>Add evidence nodes for each new P-3 audit.</x:v>
      </x:c>
      <x:c r="G1074" s="33" t="str">
        <x:v>P-3 official-source review</x:v>
      </x:c>
      <x:c r="H1074" s="33" t="str">
        <x:v>P3 Environmental Coverage | P3 General Law Coverage</x:v>
      </x:c>
      <x:c r="I1074" s="33" t="str">
        <x:v>P-3</x:v>
      </x:c>
      <x:c r="J1074" s="33" t="str">
        <x:v>2026-08-20</x:v>
      </x:c>
      <x:c r="K1074" s="33" t="str">
        <x:v>New controlled P-3 record; schema preserved.</x:v>
      </x:c>
    </x:row>
    <x:row r="1075">
      <x:c r="A1075" s="33" t="str">
        <x:v>EVD619</x:v>
      </x:c>
      <x:c r="B1075" s="33" t="str">
        <x:v>Evidence Master</x:v>
      </x:c>
      <x:c r="C1075" s="33" t="str">
        <x:v>Not present</x:v>
      </x:c>
      <x:c r="D1075" s="33" t="str">
        <x:v>Evidence ID=EVD619; Audit ID=AUD570; Evidence Required=Interview/sample corroboration, photographs or system extract; Evidence Type=Report; Mandatory=Yes; Retention Category=Operational; Origin=CORE; Active=Yes; Remarks=P-3 operating-effectiveness evidence.</x:v>
      </x:c>
      <x:c r="E1075" s="33" t="str">
        <x:v>ADD</x:v>
      </x:c>
      <x:c r="F1075" s="33" t="str">
        <x:v>Add evidence nodes for each new P-3 audit.</x:v>
      </x:c>
      <x:c r="G1075" s="33" t="str">
        <x:v>P-3 official-source review</x:v>
      </x:c>
      <x:c r="H1075" s="33" t="str">
        <x:v>P3 Environmental Coverage | P3 General Law Coverage</x:v>
      </x:c>
      <x:c r="I1075" s="33" t="str">
        <x:v>P-3</x:v>
      </x:c>
      <x:c r="J1075" s="33" t="str">
        <x:v>2026-08-20</x:v>
      </x:c>
      <x:c r="K1075" s="33" t="str">
        <x:v>New controlled P-3 record; schema preserved.</x:v>
      </x:c>
    </x:row>
    <x:row r="1076">
      <x:c r="A1076" s="33" t="str">
        <x:v>EVD620</x:v>
      </x:c>
      <x:c r="B1076" s="33" t="str">
        <x:v>Evidence Master</x:v>
      </x:c>
      <x:c r="C1076" s="33" t="str">
        <x:v>Not present</x:v>
      </x:c>
      <x:c r="D1076" s="33" t="str">
        <x:v>Evidence ID=EVD620; Audit ID=AUD571; Evidence Required=Waste classification, authorization, storage log and manifest; Evidence Type=Register; Mandatory=Yes; Retention Category=Statutory; Origin=CORE; Active=Yes; Remarks=P-3 primary evidence.</x:v>
      </x:c>
      <x:c r="E1076" s="33" t="str">
        <x:v>ADD</x:v>
      </x:c>
      <x:c r="F1076" s="33" t="str">
        <x:v>Add evidence nodes for each new P-3 audit.</x:v>
      </x:c>
      <x:c r="G1076" s="33" t="str">
        <x:v>P-3 official-source review</x:v>
      </x:c>
      <x:c r="H1076" s="33" t="str">
        <x:v>P3 Environmental Coverage | P3 General Law Coverage</x:v>
      </x:c>
      <x:c r="I1076" s="33" t="str">
        <x:v>P-3</x:v>
      </x:c>
      <x:c r="J1076" s="33" t="str">
        <x:v>2026-08-20</x:v>
      </x:c>
      <x:c r="K1076" s="33" t="str">
        <x:v>New controlled P-3 record; schema preserved.</x:v>
      </x:c>
    </x:row>
    <x:row r="1077">
      <x:c r="A1077" s="33" t="str">
        <x:v>EVD621</x:v>
      </x:c>
      <x:c r="B1077" s="33" t="str">
        <x:v>Evidence Master</x:v>
      </x:c>
      <x:c r="C1077" s="33" t="str">
        <x:v>Not present</x:v>
      </x:c>
      <x:c r="D1077" s="33" t="str">
        <x:v>Evidence ID=EVD621; Audit ID=AUD572; Evidence Required=Interview/sample corroboration, photographs or system extract; Evidence Type=Report; Mandatory=Yes; Retention Category=Operational; Origin=CORE; Active=Yes; Remarks=P-3 operating-effectiveness evidence.</x:v>
      </x:c>
      <x:c r="E1077" s="33" t="str">
        <x:v>ADD</x:v>
      </x:c>
      <x:c r="F1077" s="33" t="str">
        <x:v>Add evidence nodes for each new P-3 audit.</x:v>
      </x:c>
      <x:c r="G1077" s="33" t="str">
        <x:v>P-3 official-source review</x:v>
      </x:c>
      <x:c r="H1077" s="33" t="str">
        <x:v>P3 Environmental Coverage | P3 General Law Coverage</x:v>
      </x:c>
      <x:c r="I1077" s="33" t="str">
        <x:v>P-3</x:v>
      </x:c>
      <x:c r="J1077" s="33" t="str">
        <x:v>2026-08-20</x:v>
      </x:c>
      <x:c r="K1077" s="33" t="str">
        <x:v>New controlled P-3 record; schema preserved.</x:v>
      </x:c>
    </x:row>
    <x:row r="1078">
      <x:c r="A1078" s="33" t="str">
        <x:v>EVD622</x:v>
      </x:c>
      <x:c r="B1078" s="33" t="str">
        <x:v>Evidence Master</x:v>
      </x:c>
      <x:c r="C1078" s="33" t="str">
        <x:v>Not present</x:v>
      </x:c>
      <x:c r="D1078" s="33" t="str">
        <x:v>Evidence ID=EVD622; Audit ID=AUD573; Evidence Required=Applicability assessment, consent order and compliance returns/records; Evidence Type=Approval; Mandatory=Yes; Retention Category=Statutory; Origin=CORE; Active=Yes; Remarks=P-3 primary evidence.</x:v>
      </x:c>
      <x:c r="E1078" s="33" t="str">
        <x:v>ADD</x:v>
      </x:c>
      <x:c r="F1078" s="33" t="str">
        <x:v>Add evidence nodes for each new P-3 audit.</x:v>
      </x:c>
      <x:c r="G1078" s="33" t="str">
        <x:v>P-3 official-source review</x:v>
      </x:c>
      <x:c r="H1078" s="33" t="str">
        <x:v>P3 Environmental Coverage | P3 General Law Coverage</x:v>
      </x:c>
      <x:c r="I1078" s="33" t="str">
        <x:v>P-3</x:v>
      </x:c>
      <x:c r="J1078" s="33" t="str">
        <x:v>2026-08-20</x:v>
      </x:c>
      <x:c r="K1078" s="33" t="str">
        <x:v>New controlled P-3 record; schema preserved.</x:v>
      </x:c>
    </x:row>
    <x:row r="1079">
      <x:c r="A1079" s="33" t="str">
        <x:v>EVD623</x:v>
      </x:c>
      <x:c r="B1079" s="33" t="str">
        <x:v>Evidence Master</x:v>
      </x:c>
      <x:c r="C1079" s="33" t="str">
        <x:v>Not present</x:v>
      </x:c>
      <x:c r="D1079" s="33" t="str">
        <x:v>Evidence ID=EVD623; Audit ID=AUD574; Evidence Required=Interview/sample corroboration, photographs or system extract; Evidence Type=Report; Mandatory=Yes; Retention Category=Operational; Origin=CORE; Active=Yes; Remarks=P-3 operating-effectiveness evidence.</x:v>
      </x:c>
      <x:c r="E1079" s="33" t="str">
        <x:v>ADD</x:v>
      </x:c>
      <x:c r="F1079" s="33" t="str">
        <x:v>Add evidence nodes for each new P-3 audit.</x:v>
      </x:c>
      <x:c r="G1079" s="33" t="str">
        <x:v>P-3 official-source review</x:v>
      </x:c>
      <x:c r="H1079" s="33" t="str">
        <x:v>P3 Environmental Coverage | P3 General Law Coverage</x:v>
      </x:c>
      <x:c r="I1079" s="33" t="str">
        <x:v>P-3</x:v>
      </x:c>
      <x:c r="J1079" s="33" t="str">
        <x:v>2026-08-20</x:v>
      </x:c>
      <x:c r="K1079" s="33" t="str">
        <x:v>New controlled P-3 record; schema preserved.</x:v>
      </x:c>
    </x:row>
    <x:row r="1080">
      <x:c r="A1080" s="33" t="str">
        <x:v>EVD624</x:v>
      </x:c>
      <x:c r="B1080" s="33" t="str">
        <x:v>Evidence Master</x:v>
      </x:c>
      <x:c r="C1080" s="33" t="str">
        <x:v>Not present</x:v>
      </x:c>
      <x:c r="D1080" s="33" t="str">
        <x:v>Evidence ID=EVD624; Audit ID=AUD575; Evidence Required=Applicability assessment, consent order and emission-source records; Evidence Type=Approval; Mandatory=Yes; Retention Category=Statutory; Origin=CORE; Active=Yes; Remarks=P-3 primary evidence.</x:v>
      </x:c>
      <x:c r="E1080" s="33" t="str">
        <x:v>ADD</x:v>
      </x:c>
      <x:c r="F1080" s="33" t="str">
        <x:v>Add evidence nodes for each new P-3 audit.</x:v>
      </x:c>
      <x:c r="G1080" s="33" t="str">
        <x:v>P-3 official-source review</x:v>
      </x:c>
      <x:c r="H1080" s="33" t="str">
        <x:v>P3 Environmental Coverage | P3 General Law Coverage</x:v>
      </x:c>
      <x:c r="I1080" s="33" t="str">
        <x:v>P-3</x:v>
      </x:c>
      <x:c r="J1080" s="33" t="str">
        <x:v>2026-08-20</x:v>
      </x:c>
      <x:c r="K1080" s="33" t="str">
        <x:v>New controlled P-3 record; schema preserved.</x:v>
      </x:c>
    </x:row>
    <x:row r="1081">
      <x:c r="A1081" s="33" t="str">
        <x:v>EVD625</x:v>
      </x:c>
      <x:c r="B1081" s="33" t="str">
        <x:v>Evidence Master</x:v>
      </x:c>
      <x:c r="C1081" s="33" t="str">
        <x:v>Not present</x:v>
      </x:c>
      <x:c r="D1081" s="33" t="str">
        <x:v>Evidence ID=EVD625; Audit ID=AUD576; Evidence Required=Interview/sample corroboration, photographs or system extract; Evidence Type=Report; Mandatory=Yes; Retention Category=Operational; Origin=CORE; Active=Yes; Remarks=P-3 operating-effectiveness evidence.</x:v>
      </x:c>
      <x:c r="E1081" s="33" t="str">
        <x:v>ADD</x:v>
      </x:c>
      <x:c r="F1081" s="33" t="str">
        <x:v>Add evidence nodes for each new P-3 audit.</x:v>
      </x:c>
      <x:c r="G1081" s="33" t="str">
        <x:v>P-3 official-source review</x:v>
      </x:c>
      <x:c r="H1081" s="33" t="str">
        <x:v>P3 Environmental Coverage | P3 General Law Coverage</x:v>
      </x:c>
      <x:c r="I1081" s="33" t="str">
        <x:v>P-3</x:v>
      </x:c>
      <x:c r="J1081" s="33" t="str">
        <x:v>2026-08-20</x:v>
      </x:c>
      <x:c r="K1081" s="33" t="str">
        <x:v>New controlled P-3 record; schema preserved.</x:v>
      </x:c>
    </x:row>
    <x:row r="1082">
      <x:c r="A1082" s="33" t="str">
        <x:v>EVD626</x:v>
      </x:c>
      <x:c r="B1082" s="33" t="str">
        <x:v>Evidence Master</x:v>
      </x:c>
      <x:c r="C1082" s="33" t="str">
        <x:v>Not present</x:v>
      </x:c>
      <x:c r="D1082" s="33" t="str">
        <x:v>Evidence ID=EVD626; Audit ID=AUD577; Evidence Required=Project waste plan, photographs and handover receipts; Evidence Type=Report; Mandatory=Yes; Retention Category=Statutory; Origin=CORE; Active=Yes; Remarks=P-3 primary evidence.</x:v>
      </x:c>
      <x:c r="E1082" s="33" t="str">
        <x:v>ADD</x:v>
      </x:c>
      <x:c r="F1082" s="33" t="str">
        <x:v>Add evidence nodes for each new P-3 audit.</x:v>
      </x:c>
      <x:c r="G1082" s="33" t="str">
        <x:v>P-3 official-source review</x:v>
      </x:c>
      <x:c r="H1082" s="33" t="str">
        <x:v>P3 Environmental Coverage | P3 General Law Coverage</x:v>
      </x:c>
      <x:c r="I1082" s="33" t="str">
        <x:v>P-3</x:v>
      </x:c>
      <x:c r="J1082" s="33" t="str">
        <x:v>2026-08-20</x:v>
      </x:c>
      <x:c r="K1082" s="33" t="str">
        <x:v>New controlled P-3 record; schema preserved.</x:v>
      </x:c>
    </x:row>
    <x:row r="1083">
      <x:c r="A1083" s="33" t="str">
        <x:v>EVD627</x:v>
      </x:c>
      <x:c r="B1083" s="33" t="str">
        <x:v>Evidence Master</x:v>
      </x:c>
      <x:c r="C1083" s="33" t="str">
        <x:v>Not present</x:v>
      </x:c>
      <x:c r="D1083" s="33" t="str">
        <x:v>Evidence ID=EVD627; Audit ID=AUD578; Evidence Required=Interview/sample corroboration, photographs or system extract; Evidence Type=Report; Mandatory=Yes; Retention Category=Operational; Origin=CORE; Active=Yes; Remarks=P-3 operating-effectiveness evidence.</x:v>
      </x:c>
      <x:c r="E1083" s="33" t="str">
        <x:v>ADD</x:v>
      </x:c>
      <x:c r="F1083" s="33" t="str">
        <x:v>Add evidence nodes for each new P-3 audit.</x:v>
      </x:c>
      <x:c r="G1083" s="33" t="str">
        <x:v>P-3 official-source review</x:v>
      </x:c>
      <x:c r="H1083" s="33" t="str">
        <x:v>P3 Environmental Coverage | P3 General Law Coverage</x:v>
      </x:c>
      <x:c r="I1083" s="33" t="str">
        <x:v>P-3</x:v>
      </x:c>
      <x:c r="J1083" s="33" t="str">
        <x:v>2026-08-20</x:v>
      </x:c>
      <x:c r="K1083" s="33" t="str">
        <x:v>New controlled P-3 record; schema preserved.</x:v>
      </x:c>
    </x:row>
    <x:row r="1084">
      <x:c r="A1084" s="33" t="str">
        <x:v>EVD628</x:v>
      </x:c>
      <x:c r="B1084" s="33" t="str">
        <x:v>Evidence Master</x:v>
      </x:c>
      <x:c r="C1084" s="33" t="str">
        <x:v>Not present</x:v>
      </x:c>
      <x:c r="D1084" s="33" t="str">
        <x:v>Evidence ID=EVD628; Audit ID=AUD579; Evidence Required=Minimum-wage notification, employee master and payroll reconciliation; Evidence Type=Report; Mandatory=Yes; Retention Category=Statutory; Origin=CORE; Active=Yes; Remarks=P-3 primary evidence.</x:v>
      </x:c>
      <x:c r="E1084" s="33" t="str">
        <x:v>ADD</x:v>
      </x:c>
      <x:c r="F1084" s="33" t="str">
        <x:v>Add evidence nodes for each new P-3 audit.</x:v>
      </x:c>
      <x:c r="G1084" s="33" t="str">
        <x:v>P-3 official-source review</x:v>
      </x:c>
      <x:c r="H1084" s="33" t="str">
        <x:v>P3 Environmental Coverage | P3 General Law Coverage</x:v>
      </x:c>
      <x:c r="I1084" s="33" t="str">
        <x:v>P-3</x:v>
      </x:c>
      <x:c r="J1084" s="33" t="str">
        <x:v>2026-08-20</x:v>
      </x:c>
      <x:c r="K1084" s="33" t="str">
        <x:v>New controlled P-3 record; schema preserved.</x:v>
      </x:c>
    </x:row>
    <x:row r="1085">
      <x:c r="A1085" s="33" t="str">
        <x:v>EVD629</x:v>
      </x:c>
      <x:c r="B1085" s="33" t="str">
        <x:v>Evidence Master</x:v>
      </x:c>
      <x:c r="C1085" s="33" t="str">
        <x:v>Not present</x:v>
      </x:c>
      <x:c r="D1085" s="33" t="str">
        <x:v>Evidence ID=EVD629; Audit ID=AUD580; Evidence Required=Interview/sample corroboration, photographs or system extract; Evidence Type=Report; Mandatory=Yes; Retention Category=Operational; Origin=CORE; Active=Yes; Remarks=P-3 operating-effectiveness evidence.</x:v>
      </x:c>
      <x:c r="E1085" s="33" t="str">
        <x:v>ADD</x:v>
      </x:c>
      <x:c r="F1085" s="33" t="str">
        <x:v>Add evidence nodes for each new P-3 audit.</x:v>
      </x:c>
      <x:c r="G1085" s="33" t="str">
        <x:v>P-3 official-source review</x:v>
      </x:c>
      <x:c r="H1085" s="33" t="str">
        <x:v>P3 Environmental Coverage | P3 General Law Coverage</x:v>
      </x:c>
      <x:c r="I1085" s="33" t="str">
        <x:v>P-3</x:v>
      </x:c>
      <x:c r="J1085" s="33" t="str">
        <x:v>2026-08-20</x:v>
      </x:c>
      <x:c r="K1085" s="33" t="str">
        <x:v>New controlled P-3 record; schema preserved.</x:v>
      </x:c>
    </x:row>
    <x:row r="1086">
      <x:c r="A1086" s="33" t="str">
        <x:v>EVD630</x:v>
      </x:c>
      <x:c r="B1086" s="33" t="str">
        <x:v>Evidence Master</x:v>
      </x:c>
      <x:c r="C1086" s="33" t="str">
        <x:v>Not present</x:v>
      </x:c>
      <x:c r="D1086" s="33" t="str">
        <x:v>Evidence ID=EVD630; Audit ID=AUD581; Evidence Required=Payroll register, bank proof and deduction authorisations; Evidence Type=Register; Mandatory=Yes; Retention Category=Statutory; Origin=CORE; Active=Yes; Remarks=P-3 primary evidence.</x:v>
      </x:c>
      <x:c r="E1086" s="33" t="str">
        <x:v>ADD</x:v>
      </x:c>
      <x:c r="F1086" s="33" t="str">
        <x:v>Add evidence nodes for each new P-3 audit.</x:v>
      </x:c>
      <x:c r="G1086" s="33" t="str">
        <x:v>P-3 official-source review</x:v>
      </x:c>
      <x:c r="H1086" s="33" t="str">
        <x:v>P3 Environmental Coverage | P3 General Law Coverage</x:v>
      </x:c>
      <x:c r="I1086" s="33" t="str">
        <x:v>P-3</x:v>
      </x:c>
      <x:c r="J1086" s="33" t="str">
        <x:v>2026-08-20</x:v>
      </x:c>
      <x:c r="K1086" s="33" t="str">
        <x:v>New controlled P-3 record; schema preserved.</x:v>
      </x:c>
    </x:row>
    <x:row r="1087">
      <x:c r="A1087" s="33" t="str">
        <x:v>EVD631</x:v>
      </x:c>
      <x:c r="B1087" s="33" t="str">
        <x:v>Evidence Master</x:v>
      </x:c>
      <x:c r="C1087" s="33" t="str">
        <x:v>Not present</x:v>
      </x:c>
      <x:c r="D1087" s="33" t="str">
        <x:v>Evidence ID=EVD631; Audit ID=AUD582; Evidence Required=Interview/sample corroboration, photographs or system extract; Evidence Type=Report; Mandatory=Yes; Retention Category=Operational; Origin=CORE; Active=Yes; Remarks=P-3 operating-effectiveness evidence.</x:v>
      </x:c>
      <x:c r="E1087" s="33" t="str">
        <x:v>ADD</x:v>
      </x:c>
      <x:c r="F1087" s="33" t="str">
        <x:v>Add evidence nodes for each new P-3 audit.</x:v>
      </x:c>
      <x:c r="G1087" s="33" t="str">
        <x:v>P-3 official-source review</x:v>
      </x:c>
      <x:c r="H1087" s="33" t="str">
        <x:v>P3 Environmental Coverage | P3 General Law Coverage</x:v>
      </x:c>
      <x:c r="I1087" s="33" t="str">
        <x:v>P-3</x:v>
      </x:c>
      <x:c r="J1087" s="33" t="str">
        <x:v>2026-08-20</x:v>
      </x:c>
      <x:c r="K1087" s="33" t="str">
        <x:v>New controlled P-3 record; schema preserved.</x:v>
      </x:c>
    </x:row>
    <x:row r="1088">
      <x:c r="A1088" s="33" t="str">
        <x:v>EVD632</x:v>
      </x:c>
      <x:c r="B1088" s="33" t="str">
        <x:v>Evidence Master</x:v>
      </x:c>
      <x:c r="C1088" s="33" t="str">
        <x:v>Not present</x:v>
      </x:c>
      <x:c r="D1088" s="33" t="str">
        <x:v>Evidence ID=EVD632; Audit ID=AUD583; Evidence Required=Registers, wage slips, displayed notice and rule-jurisdiction assessment; Evidence Type=Register; Mandatory=Yes; Retention Category=Statutory; Origin=CORE; Active=Yes; Remarks=P-3 primary evidence.</x:v>
      </x:c>
      <x:c r="E1088" s="33" t="str">
        <x:v>ADD</x:v>
      </x:c>
      <x:c r="F1088" s="33" t="str">
        <x:v>Add evidence nodes for each new P-3 audit.</x:v>
      </x:c>
      <x:c r="G1088" s="33" t="str">
        <x:v>P-3 official-source review</x:v>
      </x:c>
      <x:c r="H1088" s="33" t="str">
        <x:v>P3 Environmental Coverage | P3 General Law Coverage</x:v>
      </x:c>
      <x:c r="I1088" s="33" t="str">
        <x:v>P-3</x:v>
      </x:c>
      <x:c r="J1088" s="33" t="str">
        <x:v>2026-08-20</x:v>
      </x:c>
      <x:c r="K1088" s="33" t="str">
        <x:v>New controlled P-3 record; schema preserved.</x:v>
      </x:c>
    </x:row>
    <x:row r="1089">
      <x:c r="A1089" s="33" t="str">
        <x:v>EVD633</x:v>
      </x:c>
      <x:c r="B1089" s="33" t="str">
        <x:v>Evidence Master</x:v>
      </x:c>
      <x:c r="C1089" s="33" t="str">
        <x:v>Not present</x:v>
      </x:c>
      <x:c r="D1089" s="33" t="str">
        <x:v>Evidence ID=EVD633; Audit ID=AUD584; Evidence Required=Interview/sample corroboration, photographs or system extract; Evidence Type=Report; Mandatory=Yes; Retention Category=Operational; Origin=CORE; Active=Yes; Remarks=P-3 operating-effectiveness evidence.</x:v>
      </x:c>
      <x:c r="E1089" s="33" t="str">
        <x:v>ADD</x:v>
      </x:c>
      <x:c r="F1089" s="33" t="str">
        <x:v>Add evidence nodes for each new P-3 audit.</x:v>
      </x:c>
      <x:c r="G1089" s="33" t="str">
        <x:v>P-3 official-source review</x:v>
      </x:c>
      <x:c r="H1089" s="33" t="str">
        <x:v>P3 Environmental Coverage | P3 General Law Coverage</x:v>
      </x:c>
      <x:c r="I1089" s="33" t="str">
        <x:v>P-3</x:v>
      </x:c>
      <x:c r="J1089" s="33" t="str">
        <x:v>2026-08-20</x:v>
      </x:c>
      <x:c r="K1089" s="33" t="str">
        <x:v>New controlled P-3 record; schema preserved.</x:v>
      </x:c>
    </x:row>
    <x:row r="1090">
      <x:c r="A1090" s="33" t="str">
        <x:v>OBS290</x:v>
      </x:c>
      <x:c r="B1090" s="33" t="str">
        <x:v>Observation Master</x:v>
      </x:c>
      <x:c r="C1090" s="33" t="str">
        <x:v>Not present</x:v>
      </x:c>
      <x:c r="D1090" s="33" t="str">
        <x:v>Observation ID=OBS290; Audit ID=AUD561; Observation Template=General waste is not segregated into four streams or separate regulated streams are mixed.; Risk Level=High; Recommendation=Implement labelled streams and an authorised handover route.; Observation Category=Other; Origin=CORE; Active=Yes; Remarks=P-3 observation template.</x:v>
      </x:c>
      <x:c r="E1090" s="33" t="str">
        <x:v>ADD</x:v>
      </x:c>
      <x:c r="F1090" s="33" t="str">
        <x:v>Add observation templates for each new P-3 audit.</x:v>
      </x:c>
      <x:c r="G1090" s="33" t="str">
        <x:v>P-3 official-source review</x:v>
      </x:c>
      <x:c r="H1090" s="33" t="str">
        <x:v>P3 Environmental Coverage | P3 General Law Coverage</x:v>
      </x:c>
      <x:c r="I1090" s="33" t="str">
        <x:v>P-3</x:v>
      </x:c>
      <x:c r="J1090" s="33" t="str">
        <x:v>2026-08-20</x:v>
      </x:c>
      <x:c r="K1090" s="33" t="str">
        <x:v>New controlled P-3 record; schema preserved.</x:v>
      </x:c>
    </x:row>
    <x:row r="1091">
      <x:c r="A1091" s="33" t="str">
        <x:v>OBS291</x:v>
      </x:c>
      <x:c r="B1091" s="33" t="str">
        <x:v>Observation Master</x:v>
      </x:c>
      <x:c r="C1091" s="33" t="str">
        <x:v>Not present</x:v>
      </x:c>
      <x:c r="D1091" s="33" t="str">
        <x:v>Observation ID=OBS291; Audit ID=AUD562; Observation Template=The control exists but sampled operating evidence is incomplete or inconsistent.; Risk Level=Medium; Recommendation=Correct the sample exception, determine population impact and retain closure evidence.; Observation Category=Documentation; Origin=CORE; Active=Yes; Remarks=P-3 operating-effectiveness observation.</x:v>
      </x:c>
      <x:c r="E1091" s="33" t="str">
        <x:v>ADD</x:v>
      </x:c>
      <x:c r="F1091" s="33" t="str">
        <x:v>Add observation templates for each new P-3 audit.</x:v>
      </x:c>
      <x:c r="G1091" s="33" t="str">
        <x:v>P-3 official-source review</x:v>
      </x:c>
      <x:c r="H1091" s="33" t="str">
        <x:v>P3 Environmental Coverage | P3 General Law Coverage</x:v>
      </x:c>
      <x:c r="I1091" s="33" t="str">
        <x:v>P-3</x:v>
      </x:c>
      <x:c r="J1091" s="33" t="str">
        <x:v>2026-08-20</x:v>
      </x:c>
      <x:c r="K1091" s="33" t="str">
        <x:v>New controlled P-3 record; schema preserved.</x:v>
      </x:c>
    </x:row>
    <x:row r="1092">
      <x:c r="A1092" s="33" t="str">
        <x:v>OBS292</x:v>
      </x:c>
      <x:c r="B1092" s="33" t="str">
        <x:v>Observation Master</x:v>
      </x:c>
      <x:c r="C1092" s="33" t="str">
        <x:v>Not present</x:v>
      </x:c>
      <x:c r="D1092" s="33" t="str">
        <x:v>Observation ID=OBS292; Audit ID=AUD563; Observation Template=At least one BWG threshold is met but additional duties are not activated.; Risk Level=High; Recommendation=Register/regularise and implement the prescribed BWG route.; Observation Category=Other; Origin=CORE; Active=Yes; Remarks=P-3 observation template.</x:v>
      </x:c>
      <x:c r="E1092" s="33" t="str">
        <x:v>ADD</x:v>
      </x:c>
      <x:c r="F1092" s="33" t="str">
        <x:v>Add observation templates for each new P-3 audit.</x:v>
      </x:c>
      <x:c r="G1092" s="33" t="str">
        <x:v>P-3 official-source review</x:v>
      </x:c>
      <x:c r="H1092" s="33" t="str">
        <x:v>P3 Environmental Coverage | P3 General Law Coverage</x:v>
      </x:c>
      <x:c r="I1092" s="33" t="str">
        <x:v>P-3</x:v>
      </x:c>
      <x:c r="J1092" s="33" t="str">
        <x:v>2026-08-20</x:v>
      </x:c>
      <x:c r="K1092" s="33" t="str">
        <x:v>New controlled P-3 record; schema preserved.</x:v>
      </x:c>
    </x:row>
    <x:row r="1093">
      <x:c r="A1093" s="33" t="str">
        <x:v>OBS293</x:v>
      </x:c>
      <x:c r="B1093" s="33" t="str">
        <x:v>Observation Master</x:v>
      </x:c>
      <x:c r="C1093" s="33" t="str">
        <x:v>Not present</x:v>
      </x:c>
      <x:c r="D1093" s="33" t="str">
        <x:v>Observation ID=OBS293; Audit ID=AUD564; Observation Template=The control exists but sampled operating evidence is incomplete or inconsistent.; Risk Level=Medium; Recommendation=Correct the sample exception, determine population impact and retain closure evidence.; Observation Category=Documentation; Origin=CORE; Active=Yes; Remarks=P-3 operating-effectiveness observation.</x:v>
      </x:c>
      <x:c r="E1093" s="33" t="str">
        <x:v>ADD</x:v>
      </x:c>
      <x:c r="F1093" s="33" t="str">
        <x:v>Add observation templates for each new P-3 audit.</x:v>
      </x:c>
      <x:c r="G1093" s="33" t="str">
        <x:v>P-3 official-source review</x:v>
      </x:c>
      <x:c r="H1093" s="33" t="str">
        <x:v>P3 Environmental Coverage | P3 General Law Coverage</x:v>
      </x:c>
      <x:c r="I1093" s="33" t="str">
        <x:v>P-3</x:v>
      </x:c>
      <x:c r="J1093" s="33" t="str">
        <x:v>2026-08-20</x:v>
      </x:c>
      <x:c r="K1093" s="33" t="str">
        <x:v>New controlled P-3 record; schema preserved.</x:v>
      </x:c>
    </x:row>
    <x:row r="1094">
      <x:c r="A1094" s="33" t="str">
        <x:v>OBS294</x:v>
      </x:c>
      <x:c r="B1094" s="33" t="str">
        <x:v>Observation Master</x:v>
      </x:c>
      <x:c r="C1094" s="33" t="str">
        <x:v>Not present</x:v>
      </x:c>
      <x:c r="D1094" s="33" t="str">
        <x:v>Observation ID=OBS294; Audit ID=AUD565; Observation Template=Plastic waste/carry-bag controls are not evidenced or non-compliant plastic is provided.; Risk Level=High; Recommendation=Correct the retail input and waste handover control.; Observation Category=Other; Origin=CORE; Active=Yes; Remarks=P-3 observation template.</x:v>
      </x:c>
      <x:c r="E1094" s="33" t="str">
        <x:v>ADD</x:v>
      </x:c>
      <x:c r="F1094" s="33" t="str">
        <x:v>Add observation templates for each new P-3 audit.</x:v>
      </x:c>
      <x:c r="G1094" s="33" t="str">
        <x:v>P-3 official-source review</x:v>
      </x:c>
      <x:c r="H1094" s="33" t="str">
        <x:v>P3 Environmental Coverage | P3 General Law Coverage</x:v>
      </x:c>
      <x:c r="I1094" s="33" t="str">
        <x:v>P-3</x:v>
      </x:c>
      <x:c r="J1094" s="33" t="str">
        <x:v>2026-08-20</x:v>
      </x:c>
      <x:c r="K1094" s="33" t="str">
        <x:v>New controlled P-3 record; schema preserved.</x:v>
      </x:c>
    </x:row>
    <x:row r="1095">
      <x:c r="A1095" s="33" t="str">
        <x:v>OBS295</x:v>
      </x:c>
      <x:c r="B1095" s="33" t="str">
        <x:v>Observation Master</x:v>
      </x:c>
      <x:c r="C1095" s="33" t="str">
        <x:v>Not present</x:v>
      </x:c>
      <x:c r="D1095" s="33" t="str">
        <x:v>Observation ID=OBS295; Audit ID=AUD566; Observation Template=The control exists but sampled operating evidence is incomplete or inconsistent.; Risk Level=Medium; Recommendation=Correct the sample exception, determine population impact and retain closure evidence.; Observation Category=Documentation; Origin=CORE; Active=Yes; Remarks=P-3 operating-effectiveness observation.</x:v>
      </x:c>
      <x:c r="E1095" s="33" t="str">
        <x:v>ADD</x:v>
      </x:c>
      <x:c r="F1095" s="33" t="str">
        <x:v>Add observation templates for each new P-3 audit.</x:v>
      </x:c>
      <x:c r="G1095" s="33" t="str">
        <x:v>P-3 official-source review</x:v>
      </x:c>
      <x:c r="H1095" s="33" t="str">
        <x:v>P3 Environmental Coverage | P3 General Law Coverage</x:v>
      </x:c>
      <x:c r="I1095" s="33" t="str">
        <x:v>P-3</x:v>
      </x:c>
      <x:c r="J1095" s="33" t="str">
        <x:v>2026-08-20</x:v>
      </x:c>
      <x:c r="K1095" s="33" t="str">
        <x:v>New controlled P-3 record; schema preserved.</x:v>
      </x:c>
    </x:row>
    <x:row r="1096">
      <x:c r="A1096" s="33" t="str">
        <x:v>OBS296</x:v>
      </x:c>
      <x:c r="B1096" s="33" t="str">
        <x:v>Observation Master</x:v>
      </x:c>
      <x:c r="C1096" s="33" t="str">
        <x:v>Not present</x:v>
      </x:c>
      <x:c r="D1096" s="33" t="str">
        <x:v>Observation ID=OBS296; Audit ID=AUD567; Observation Template=Waste batteries are mixed with general waste or no lawful handover is evidenced.; Risk Level=Medium; Recommendation=Create separate collection and authorised handover evidence.; Observation Category=Other; Origin=CORE; Active=Yes; Remarks=P-3 observation template.</x:v>
      </x:c>
      <x:c r="E1096" s="33" t="str">
        <x:v>ADD</x:v>
      </x:c>
      <x:c r="F1096" s="33" t="str">
        <x:v>Add observation templates for each new P-3 audit.</x:v>
      </x:c>
      <x:c r="G1096" s="33" t="str">
        <x:v>P-3 official-source review</x:v>
      </x:c>
      <x:c r="H1096" s="33" t="str">
        <x:v>P3 Environmental Coverage | P3 General Law Coverage</x:v>
      </x:c>
      <x:c r="I1096" s="33" t="str">
        <x:v>P-3</x:v>
      </x:c>
      <x:c r="J1096" s="33" t="str">
        <x:v>2026-08-20</x:v>
      </x:c>
      <x:c r="K1096" s="33" t="str">
        <x:v>New controlled P-3 record; schema preserved.</x:v>
      </x:c>
    </x:row>
    <x:row r="1097">
      <x:c r="A1097" s="33" t="str">
        <x:v>OBS297</x:v>
      </x:c>
      <x:c r="B1097" s="33" t="str">
        <x:v>Observation Master</x:v>
      </x:c>
      <x:c r="C1097" s="33" t="str">
        <x:v>Not present</x:v>
      </x:c>
      <x:c r="D1097" s="33" t="str">
        <x:v>Observation ID=OBS297; Audit ID=AUD568; Observation Template=The control exists but sampled operating evidence is incomplete or inconsistent.; Risk Level=Medium; Recommendation=Correct the sample exception, determine population impact and retain closure evidence.; Observation Category=Documentation; Origin=CORE; Active=Yes; Remarks=P-3 operating-effectiveness observation.</x:v>
      </x:c>
      <x:c r="E1097" s="33" t="str">
        <x:v>ADD</x:v>
      </x:c>
      <x:c r="F1097" s="33" t="str">
        <x:v>Add observation templates for each new P-3 audit.</x:v>
      </x:c>
      <x:c r="G1097" s="33" t="str">
        <x:v>P-3 official-source review</x:v>
      </x:c>
      <x:c r="H1097" s="33" t="str">
        <x:v>P3 Environmental Coverage | P3 General Law Coverage</x:v>
      </x:c>
      <x:c r="I1097" s="33" t="str">
        <x:v>P-3</x:v>
      </x:c>
      <x:c r="J1097" s="33" t="str">
        <x:v>2026-08-20</x:v>
      </x:c>
      <x:c r="K1097" s="33" t="str">
        <x:v>New controlled P-3 record; schema preserved.</x:v>
      </x:c>
    </x:row>
    <x:row r="1098">
      <x:c r="A1098" s="33" t="str">
        <x:v>OBS298</x:v>
      </x:c>
      <x:c r="B1098" s="33" t="str">
        <x:v>Observation Master</x:v>
      </x:c>
      <x:c r="C1098" s="33" t="str">
        <x:v>Not present</x:v>
      </x:c>
      <x:c r="D1098" s="33" t="str">
        <x:v>Observation ID=OBS298; Audit ID=AUD569; Observation Template=Bulk-consumer status or registered channelisation is not evidenced.; Risk Level=High; Recommendation=Complete threshold testing and use registered recipients.; Observation Category=Other; Origin=CORE; Active=Yes; Remarks=P-3 observation template.</x:v>
      </x:c>
      <x:c r="E1098" s="33" t="str">
        <x:v>ADD</x:v>
      </x:c>
      <x:c r="F1098" s="33" t="str">
        <x:v>Add observation templates for each new P-3 audit.</x:v>
      </x:c>
      <x:c r="G1098" s="33" t="str">
        <x:v>P-3 official-source review</x:v>
      </x:c>
      <x:c r="H1098" s="33" t="str">
        <x:v>P3 Environmental Coverage | P3 General Law Coverage</x:v>
      </x:c>
      <x:c r="I1098" s="33" t="str">
        <x:v>P-3</x:v>
      </x:c>
      <x:c r="J1098" s="33" t="str">
        <x:v>2026-08-20</x:v>
      </x:c>
      <x:c r="K1098" s="33" t="str">
        <x:v>New controlled P-3 record; schema preserved.</x:v>
      </x:c>
    </x:row>
    <x:row r="1099">
      <x:c r="A1099" s="33" t="str">
        <x:v>OBS299</x:v>
      </x:c>
      <x:c r="B1099" s="33" t="str">
        <x:v>Observation Master</x:v>
      </x:c>
      <x:c r="C1099" s="33" t="str">
        <x:v>Not present</x:v>
      </x:c>
      <x:c r="D1099" s="33" t="str">
        <x:v>Observation ID=OBS299; Audit ID=AUD570; Observation Template=The control exists but sampled operating evidence is incomplete or inconsistent.; Risk Level=Medium; Recommendation=Correct the sample exception, determine population impact and retain closure evidence.; Observation Category=Documentation; Origin=CORE; Active=Yes; Remarks=P-3 operating-effectiveness observation.</x:v>
      </x:c>
      <x:c r="E1099" s="33" t="str">
        <x:v>ADD</x:v>
      </x:c>
      <x:c r="F1099" s="33" t="str">
        <x:v>Add observation templates for each new P-3 audit.</x:v>
      </x:c>
      <x:c r="G1099" s="33" t="str">
        <x:v>P-3 official-source review</x:v>
      </x:c>
      <x:c r="H1099" s="33" t="str">
        <x:v>P3 Environmental Coverage | P3 General Law Coverage</x:v>
      </x:c>
      <x:c r="I1099" s="33" t="str">
        <x:v>P-3</x:v>
      </x:c>
      <x:c r="J1099" s="33" t="str">
        <x:v>2026-08-20</x:v>
      </x:c>
      <x:c r="K1099" s="33" t="str">
        <x:v>New controlled P-3 record; schema preserved.</x:v>
      </x:c>
    </x:row>
    <x:row r="1100">
      <x:c r="A1100" s="33" t="str">
        <x:v>OBS300</x:v>
      </x:c>
      <x:c r="B1100" s="33" t="str">
        <x:v>Observation Master</x:v>
      </x:c>
      <x:c r="C1100" s="33" t="str">
        <x:v>Not present</x:v>
      </x:c>
      <x:c r="D1100" s="33" t="str">
        <x:v>Observation ID=OBS300; Audit ID=AUD571; Observation Template=Triggered hazardous waste lacks authorization, storage control or authorised movement evidence.; Risk Level=Critical; Recommendation=Stop unlawful handling and regularise the authorization/channel.; Observation Category=Other; Origin=CORE; Active=Yes; Remarks=P-3 observation template.</x:v>
      </x:c>
      <x:c r="E1100" s="33" t="str">
        <x:v>ADD</x:v>
      </x:c>
      <x:c r="F1100" s="33" t="str">
        <x:v>Add observation templates for each new P-3 audit.</x:v>
      </x:c>
      <x:c r="G1100" s="33" t="str">
        <x:v>P-3 official-source review</x:v>
      </x:c>
      <x:c r="H1100" s="33" t="str">
        <x:v>P3 Environmental Coverage | P3 General Law Coverage</x:v>
      </x:c>
      <x:c r="I1100" s="33" t="str">
        <x:v>P-3</x:v>
      </x:c>
      <x:c r="J1100" s="33" t="str">
        <x:v>2026-08-20</x:v>
      </x:c>
      <x:c r="K1100" s="33" t="str">
        <x:v>New controlled P-3 record; schema preserved.</x:v>
      </x:c>
    </x:row>
    <x:row r="1101">
      <x:c r="A1101" s="33" t="str">
        <x:v>OBS301</x:v>
      </x:c>
      <x:c r="B1101" s="33" t="str">
        <x:v>Observation Master</x:v>
      </x:c>
      <x:c r="C1101" s="33" t="str">
        <x:v>Not present</x:v>
      </x:c>
      <x:c r="D1101" s="33" t="str">
        <x:v>Observation ID=OBS301; Audit ID=AUD572; Observation Template=The control exists but sampled operating evidence is incomplete or inconsistent.; Risk Level=High; Recommendation=Correct the sample exception, determine population impact and retain closure evidence.; Observation Category=Documentation; Origin=CORE; Active=Yes; Remarks=P-3 operating-effectiveness observation.</x:v>
      </x:c>
      <x:c r="E1101" s="33" t="str">
        <x:v>ADD</x:v>
      </x:c>
      <x:c r="F1101" s="33" t="str">
        <x:v>Add observation templates for each new P-3 audit.</x:v>
      </x:c>
      <x:c r="G1101" s="33" t="str">
        <x:v>P-3 official-source review</x:v>
      </x:c>
      <x:c r="H1101" s="33" t="str">
        <x:v>P3 Environmental Coverage | P3 General Law Coverage</x:v>
      </x:c>
      <x:c r="I1101" s="33" t="str">
        <x:v>P-3</x:v>
      </x:c>
      <x:c r="J1101" s="33" t="str">
        <x:v>2026-08-20</x:v>
      </x:c>
      <x:c r="K1101" s="33" t="str">
        <x:v>New controlled P-3 record; schema preserved.</x:v>
      </x:c>
    </x:row>
    <x:row r="1102">
      <x:c r="A1102" s="33" t="str">
        <x:v>OBS302</x:v>
      </x:c>
      <x:c r="B1102" s="33" t="str">
        <x:v>Observation Master</x:v>
      </x:c>
      <x:c r="C1102" s="33" t="str">
        <x:v>Not present</x:v>
      </x:c>
      <x:c r="D1102" s="33" t="str">
        <x:v>Observation ID=OBS302; Audit ID=AUD573; Observation Template=A covered operation/discharge lacks documented exemption or current consent.; Risk Level=Critical; Recommendation=Obtain/renew consent and close condition gaps.; Observation Category=Other; Origin=CORE; Active=Yes; Remarks=P-3 observation template.</x:v>
      </x:c>
      <x:c r="E1102" s="33" t="str">
        <x:v>ADD</x:v>
      </x:c>
      <x:c r="F1102" s="33" t="str">
        <x:v>Add observation templates for each new P-3 audit.</x:v>
      </x:c>
      <x:c r="G1102" s="33" t="str">
        <x:v>P-3 official-source review</x:v>
      </x:c>
      <x:c r="H1102" s="33" t="str">
        <x:v>P3 Environmental Coverage | P3 General Law Coverage</x:v>
      </x:c>
      <x:c r="I1102" s="33" t="str">
        <x:v>P-3</x:v>
      </x:c>
      <x:c r="J1102" s="33" t="str">
        <x:v>2026-08-20</x:v>
      </x:c>
      <x:c r="K1102" s="33" t="str">
        <x:v>New controlled P-3 record; schema preserved.</x:v>
      </x:c>
    </x:row>
    <x:row r="1103">
      <x:c r="A1103" s="33" t="str">
        <x:v>OBS303</x:v>
      </x:c>
      <x:c r="B1103" s="33" t="str">
        <x:v>Observation Master</x:v>
      </x:c>
      <x:c r="C1103" s="33" t="str">
        <x:v>Not present</x:v>
      </x:c>
      <x:c r="D1103" s="33" t="str">
        <x:v>Observation ID=OBS303; Audit ID=AUD574; Observation Template=The control exists but sampled operating evidence is incomplete or inconsistent.; Risk Level=High; Recommendation=Correct the sample exception, determine population impact and retain closure evidence.; Observation Category=Documentation; Origin=CORE; Active=Yes; Remarks=P-3 operating-effectiveness observation.</x:v>
      </x:c>
      <x:c r="E1103" s="33" t="str">
        <x:v>ADD</x:v>
      </x:c>
      <x:c r="F1103" s="33" t="str">
        <x:v>Add observation templates for each new P-3 audit.</x:v>
      </x:c>
      <x:c r="G1103" s="33" t="str">
        <x:v>P-3 official-source review</x:v>
      </x:c>
      <x:c r="H1103" s="33" t="str">
        <x:v>P3 Environmental Coverage | P3 General Law Coverage</x:v>
      </x:c>
      <x:c r="I1103" s="33" t="str">
        <x:v>P-3</x:v>
      </x:c>
      <x:c r="J1103" s="33" t="str">
        <x:v>2026-08-20</x:v>
      </x:c>
      <x:c r="K1103" s="33" t="str">
        <x:v>New controlled P-3 record; schema preserved.</x:v>
      </x:c>
    </x:row>
    <x:row r="1104">
      <x:c r="A1104" s="33" t="str">
        <x:v>OBS304</x:v>
      </x:c>
      <x:c r="B1104" s="33" t="str">
        <x:v>Observation Master</x:v>
      </x:c>
      <x:c r="C1104" s="33" t="str">
        <x:v>Not present</x:v>
      </x:c>
      <x:c r="D1104" s="33" t="str">
        <x:v>Observation ID=OBS304; Audit ID=AUD575; Observation Template=A covered industrial plant/emission source lacks documented exemption or consent.; Risk Level=Critical; Recommendation=Obtain/renew consent and close condition gaps.; Observation Category=Other; Origin=CORE; Active=Yes; Remarks=P-3 observation template.</x:v>
      </x:c>
      <x:c r="E1104" s="33" t="str">
        <x:v>ADD</x:v>
      </x:c>
      <x:c r="F1104" s="33" t="str">
        <x:v>Add observation templates for each new P-3 audit.</x:v>
      </x:c>
      <x:c r="G1104" s="33" t="str">
        <x:v>P-3 official-source review</x:v>
      </x:c>
      <x:c r="H1104" s="33" t="str">
        <x:v>P3 Environmental Coverage | P3 General Law Coverage</x:v>
      </x:c>
      <x:c r="I1104" s="33" t="str">
        <x:v>P-3</x:v>
      </x:c>
      <x:c r="J1104" s="33" t="str">
        <x:v>2026-08-20</x:v>
      </x:c>
      <x:c r="K1104" s="33" t="str">
        <x:v>New controlled P-3 record; schema preserved.</x:v>
      </x:c>
    </x:row>
    <x:row r="1105">
      <x:c r="A1105" s="33" t="str">
        <x:v>OBS305</x:v>
      </x:c>
      <x:c r="B1105" s="33" t="str">
        <x:v>Observation Master</x:v>
      </x:c>
      <x:c r="C1105" s="33" t="str">
        <x:v>Not present</x:v>
      </x:c>
      <x:c r="D1105" s="33" t="str">
        <x:v>Observation ID=OBS305; Audit ID=AUD576; Observation Template=The control exists but sampled operating evidence is incomplete or inconsistent.; Risk Level=High; Recommendation=Correct the sample exception, determine population impact and retain closure evidence.; Observation Category=Documentation; Origin=CORE; Active=Yes; Remarks=P-3 operating-effectiveness observation.</x:v>
      </x:c>
      <x:c r="E1105" s="33" t="str">
        <x:v>ADD</x:v>
      </x:c>
      <x:c r="F1105" s="33" t="str">
        <x:v>Add observation templates for each new P-3 audit.</x:v>
      </x:c>
      <x:c r="G1105" s="33" t="str">
        <x:v>P-3 official-source review</x:v>
      </x:c>
      <x:c r="H1105" s="33" t="str">
        <x:v>P3 Environmental Coverage | P3 General Law Coverage</x:v>
      </x:c>
      <x:c r="I1105" s="33" t="str">
        <x:v>P-3</x:v>
      </x:c>
      <x:c r="J1105" s="33" t="str">
        <x:v>2026-08-20</x:v>
      </x:c>
      <x:c r="K1105" s="33" t="str">
        <x:v>New controlled P-3 record; schema preserved.</x:v>
      </x:c>
    </x:row>
    <x:row r="1106">
      <x:c r="A1106" s="33" t="str">
        <x:v>OBS306</x:v>
      </x:c>
      <x:c r="B1106" s="33" t="str">
        <x:v>Observation Master</x:v>
      </x:c>
      <x:c r="C1106" s="33" t="str">
        <x:v>Not present</x:v>
      </x:c>
      <x:c r="D1106" s="33" t="str">
        <x:v>Observation ID=OBS306; Audit ID=AUD577; Observation Template=C&amp;D waste from premises work is mixed, dumped or lacks authorised handover evidence.; Risk Level=High; Recommendation=Segregate, contain and use the authorised project route.; Observation Category=Other; Origin=CORE; Active=Yes; Remarks=P-3 observation template.</x:v>
      </x:c>
      <x:c r="E1106" s="33" t="str">
        <x:v>ADD</x:v>
      </x:c>
      <x:c r="F1106" s="33" t="str">
        <x:v>Add observation templates for each new P-3 audit.</x:v>
      </x:c>
      <x:c r="G1106" s="33" t="str">
        <x:v>P-3 official-source review</x:v>
      </x:c>
      <x:c r="H1106" s="33" t="str">
        <x:v>P3 Environmental Coverage | P3 General Law Coverage</x:v>
      </x:c>
      <x:c r="I1106" s="33" t="str">
        <x:v>P-3</x:v>
      </x:c>
      <x:c r="J1106" s="33" t="str">
        <x:v>2026-08-20</x:v>
      </x:c>
      <x:c r="K1106" s="33" t="str">
        <x:v>New controlled P-3 record; schema preserved.</x:v>
      </x:c>
    </x:row>
    <x:row r="1107">
      <x:c r="A1107" s="33" t="str">
        <x:v>OBS307</x:v>
      </x:c>
      <x:c r="B1107" s="33" t="str">
        <x:v>Observation Master</x:v>
      </x:c>
      <x:c r="C1107" s="33" t="str">
        <x:v>Not present</x:v>
      </x:c>
      <x:c r="D1107" s="33" t="str">
        <x:v>Observation ID=OBS307; Audit ID=AUD578; Observation Template=The control exists but sampled operating evidence is incomplete or inconsistent.; Risk Level=Medium; Recommendation=Correct the sample exception, determine population impact and retain closure evidence.; Observation Category=Documentation; Origin=CORE; Active=Yes; Remarks=P-3 operating-effectiveness observation.</x:v>
      </x:c>
      <x:c r="E1107" s="33" t="str">
        <x:v>ADD</x:v>
      </x:c>
      <x:c r="F1107" s="33" t="str">
        <x:v>Add observation templates for each new P-3 audit.</x:v>
      </x:c>
      <x:c r="G1107" s="33" t="str">
        <x:v>P-3 official-source review</x:v>
      </x:c>
      <x:c r="H1107" s="33" t="str">
        <x:v>P3 Environmental Coverage | P3 General Law Coverage</x:v>
      </x:c>
      <x:c r="I1107" s="33" t="str">
        <x:v>P-3</x:v>
      </x:c>
      <x:c r="J1107" s="33" t="str">
        <x:v>2026-08-20</x:v>
      </x:c>
      <x:c r="K1107" s="33" t="str">
        <x:v>New controlled P-3 record; schema preserved.</x:v>
      </x:c>
    </x:row>
    <x:row r="1108">
      <x:c r="A1108" s="33" t="str">
        <x:v>OBS308</x:v>
      </x:c>
      <x:c r="B1108" s="33" t="str">
        <x:v>Observation Master</x:v>
      </x:c>
      <x:c r="C1108" s="33" t="str">
        <x:v>Not present</x:v>
      </x:c>
      <x:c r="D1108" s="33" t="str">
        <x:v>Observation ID=OBS308; Audit ID=AUD579; Observation Template=A covered employee is below the applicable wage floor or prohibited discrimination is indicated.; Risk Level=Critical; Recommendation=Correct wages, pay arrears and remediate the process.; Observation Category=Other; Origin=CORE; Active=Yes; Remarks=P-3 observation template.</x:v>
      </x:c>
      <x:c r="E1108" s="33" t="str">
        <x:v>ADD</x:v>
      </x:c>
      <x:c r="F1108" s="33" t="str">
        <x:v>Add observation templates for each new P-3 audit.</x:v>
      </x:c>
      <x:c r="G1108" s="33" t="str">
        <x:v>P-3 official-source review</x:v>
      </x:c>
      <x:c r="H1108" s="33" t="str">
        <x:v>P3 Environmental Coverage | P3 General Law Coverage</x:v>
      </x:c>
      <x:c r="I1108" s="33" t="str">
        <x:v>P-3</x:v>
      </x:c>
      <x:c r="J1108" s="33" t="str">
        <x:v>2026-08-20</x:v>
      </x:c>
      <x:c r="K1108" s="33" t="str">
        <x:v>New controlled P-3 record; schema preserved.</x:v>
      </x:c>
    </x:row>
    <x:row r="1109">
      <x:c r="A1109" s="33" t="str">
        <x:v>OBS309</x:v>
      </x:c>
      <x:c r="B1109" s="33" t="str">
        <x:v>Observation Master</x:v>
      </x:c>
      <x:c r="C1109" s="33" t="str">
        <x:v>Not present</x:v>
      </x:c>
      <x:c r="D1109" s="33" t="str">
        <x:v>Observation ID=OBS309; Audit ID=AUD580; Observation Template=The control exists but sampled operating evidence is incomplete or inconsistent.; Risk Level=High; Recommendation=Correct the sample exception, determine population impact and retain closure evidence.; Observation Category=Documentation; Origin=CORE; Active=Yes; Remarks=P-3 operating-effectiveness observation.</x:v>
      </x:c>
      <x:c r="E1109" s="33" t="str">
        <x:v>ADD</x:v>
      </x:c>
      <x:c r="F1109" s="33" t="str">
        <x:v>Add observation templates for each new P-3 audit.</x:v>
      </x:c>
      <x:c r="G1109" s="33" t="str">
        <x:v>P-3 official-source review</x:v>
      </x:c>
      <x:c r="H1109" s="33" t="str">
        <x:v>P3 Environmental Coverage | P3 General Law Coverage</x:v>
      </x:c>
      <x:c r="I1109" s="33" t="str">
        <x:v>P-3</x:v>
      </x:c>
      <x:c r="J1109" s="33" t="str">
        <x:v>2026-08-20</x:v>
      </x:c>
      <x:c r="K1109" s="33" t="str">
        <x:v>New controlled P-3 record; schema preserved.</x:v>
      </x:c>
    </x:row>
    <x:row r="1110">
      <x:c r="A1110" s="33" t="str">
        <x:v>OBS310</x:v>
      </x:c>
      <x:c r="B1110" s="33" t="str">
        <x:v>Observation Master</x:v>
      </x:c>
      <x:c r="C1110" s="33" t="str">
        <x:v>Not present</x:v>
      </x:c>
      <x:c r="D1110" s="33" t="str">
        <x:v>Observation ID=OBS310; Audit ID=AUD581; Observation Template=Wages are late or deductions are unauthorised/excessive.; Risk Level=Critical; Recommendation=Pay amounts due and correct payroll controls.; Observation Category=Other; Origin=CORE; Active=Yes; Remarks=P-3 observation template.</x:v>
      </x:c>
      <x:c r="E1110" s="33" t="str">
        <x:v>ADD</x:v>
      </x:c>
      <x:c r="F1110" s="33" t="str">
        <x:v>Add observation templates for each new P-3 audit.</x:v>
      </x:c>
      <x:c r="G1110" s="33" t="str">
        <x:v>P-3 official-source review</x:v>
      </x:c>
      <x:c r="H1110" s="33" t="str">
        <x:v>P3 Environmental Coverage | P3 General Law Coverage</x:v>
      </x:c>
      <x:c r="I1110" s="33" t="str">
        <x:v>P-3</x:v>
      </x:c>
      <x:c r="J1110" s="33" t="str">
        <x:v>2026-08-20</x:v>
      </x:c>
      <x:c r="K1110" s="33" t="str">
        <x:v>New controlled P-3 record; schema preserved.</x:v>
      </x:c>
    </x:row>
    <x:row r="1111">
      <x:c r="A1111" s="33" t="str">
        <x:v>OBS311</x:v>
      </x:c>
      <x:c r="B1111" s="33" t="str">
        <x:v>Observation Master</x:v>
      </x:c>
      <x:c r="C1111" s="33" t="str">
        <x:v>Not present</x:v>
      </x:c>
      <x:c r="D1111" s="33" t="str">
        <x:v>Observation ID=OBS311; Audit ID=AUD582; Observation Template=The control exists but sampled operating evidence is incomplete or inconsistent.; Risk Level=High; Recommendation=Correct the sample exception, determine population impact and retain closure evidence.; Observation Category=Documentation; Origin=CORE; Active=Yes; Remarks=P-3 operating-effectiveness observation.</x:v>
      </x:c>
      <x:c r="E1111" s="33" t="str">
        <x:v>ADD</x:v>
      </x:c>
      <x:c r="F1111" s="33" t="str">
        <x:v>Add observation templates for each new P-3 audit.</x:v>
      </x:c>
      <x:c r="G1111" s="33" t="str">
        <x:v>P-3 official-source review</x:v>
      </x:c>
      <x:c r="H1111" s="33" t="str">
        <x:v>P3 Environmental Coverage | P3 General Law Coverage</x:v>
      </x:c>
      <x:c r="I1111" s="33" t="str">
        <x:v>P-3</x:v>
      </x:c>
      <x:c r="J1111" s="33" t="str">
        <x:v>2026-08-20</x:v>
      </x:c>
      <x:c r="K1111" s="33" t="str">
        <x:v>New controlled P-3 record; schema preserved.</x:v>
      </x:c>
    </x:row>
    <x:row r="1112">
      <x:c r="A1112" s="33" t="str">
        <x:v>OBS312</x:v>
      </x:c>
      <x:c r="B1112" s="33" t="str">
        <x:v>Observation Master</x:v>
      </x:c>
      <x:c r="C1112" s="33" t="str">
        <x:v>Not present</x:v>
      </x:c>
      <x:c r="D1112" s="33" t="str">
        <x:v>Observation ID=OBS312; Audit ID=AUD583; Observation Template=Required wage records/slips/notices or the applicable rules attachment are missing.; Risk Level=High; Recommendation=Complete the records and attach the correct rules.; Observation Category=Other; Origin=CORE; Active=Yes; Remarks=P-3 observation template.</x:v>
      </x:c>
      <x:c r="E1112" s="33" t="str">
        <x:v>ADD</x:v>
      </x:c>
      <x:c r="F1112" s="33" t="str">
        <x:v>Add observation templates for each new P-3 audit.</x:v>
      </x:c>
      <x:c r="G1112" s="33" t="str">
        <x:v>P-3 official-source review</x:v>
      </x:c>
      <x:c r="H1112" s="33" t="str">
        <x:v>P3 Environmental Coverage | P3 General Law Coverage</x:v>
      </x:c>
      <x:c r="I1112" s="33" t="str">
        <x:v>P-3</x:v>
      </x:c>
      <x:c r="J1112" s="33" t="str">
        <x:v>2026-08-20</x:v>
      </x:c>
      <x:c r="K1112" s="33" t="str">
        <x:v>New controlled P-3 record; schema preserved.</x:v>
      </x:c>
    </x:row>
    <x:row r="1113">
      <x:c r="A1113" s="33" t="str">
        <x:v>OBS313</x:v>
      </x:c>
      <x:c r="B1113" s="33" t="str">
        <x:v>Observation Master</x:v>
      </x:c>
      <x:c r="C1113" s="33" t="str">
        <x:v>Not present</x:v>
      </x:c>
      <x:c r="D1113" s="33" t="str">
        <x:v>Observation ID=OBS313; Audit ID=AUD584; Observation Template=The control exists but sampled operating evidence is incomplete or inconsistent.; Risk Level=Medium; Recommendation=Correct the sample exception, determine population impact and retain closure evidence.; Observation Category=Documentation; Origin=CORE; Active=Yes; Remarks=P-3 operating-effectiveness observation.</x:v>
      </x:c>
      <x:c r="E1113" s="33" t="str">
        <x:v>ADD</x:v>
      </x:c>
      <x:c r="F1113" s="33" t="str">
        <x:v>Add observation templates for each new P-3 audit.</x:v>
      </x:c>
      <x:c r="G1113" s="33" t="str">
        <x:v>P-3 official-source review</x:v>
      </x:c>
      <x:c r="H1113" s="33" t="str">
        <x:v>P3 Environmental Coverage | P3 General Law Coverage</x:v>
      </x:c>
      <x:c r="I1113" s="33" t="str">
        <x:v>P-3</x:v>
      </x:c>
      <x:c r="J1113" s="33" t="str">
        <x:v>2026-08-20</x:v>
      </x:c>
      <x:c r="K1113" s="33" t="str">
        <x:v>New controlled P-3 record; schema preserved.</x:v>
      </x:c>
    </x:row>
    <x:row r="1114">
      <x:c r="A1114" s="33" t="str">
        <x:v>P3-001</x:v>
      </x:c>
      <x:c r="B1114" s="33" t="str">
        <x:v>Regulatory Source Register</x:v>
      </x:c>
      <x:c r="C1114" s="33" t="str">
        <x:v>Not present</x:v>
      </x:c>
      <x:c r="D1114" s="33" t="str">
        <x:v>Source ID=P3-001; Legal Instrument=Environment (Protection) Act, 1986; Regulator=MoEFCC / CPCB; Instrument Type=Act; Authoritative Source=CPCB official statute page; Current Version / Amendment Position=Current parent statute; Effective Date=2026-08-20; Applicability Scope=Parent for waste-management rules; Sub-Sectors / Entity Types=All by triggered rule; Statutory Provisions Considered=Sections 3, 6, 25; Included / Excluded=INCLUDED; Workbook Action=ADD LAW101 parent; Source URL / Citation=https://cpcb.nic.in/env-protection-act/; Validation Status=VALIDATED</x:v>
      </x:c>
      <x:c r="E1114" s="33" t="str">
        <x:v>ADD</x:v>
      </x:c>
      <x:c r="F1114" s="33" t="str">
        <x:v>Add authoritative environmental/general-law sources, commencements and role positions.</x:v>
      </x:c>
      <x:c r="G1114" s="33" t="str">
        <x:v>P-3 official-source review</x:v>
      </x:c>
      <x:c r="H1114"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14" s="33" t="str">
        <x:v>P-3</x:v>
      </x:c>
      <x:c r="J1114" s="33" t="str">
        <x:v>2026-08-20</x:v>
      </x:c>
      <x:c r="K1114" s="33" t="str">
        <x:v>New controlled P-3 record; schema preserved.</x:v>
      </x:c>
    </x:row>
    <x:row r="1115">
      <x:c r="A1115" s="33" t="str">
        <x:v>P3-002</x:v>
      </x:c>
      <x:c r="B1115" s="33" t="str">
        <x:v>Regulatory Source Register</x:v>
      </x:c>
      <x:c r="C1115" s="33" t="str">
        <x:v>Not present</x:v>
      </x:c>
      <x:c r="D1115" s="33" t="str">
        <x:v>Source ID=P3-002; Legal Instrument=MoEFCC Rules &amp; Regulations register; Regulator=MoEFCC; Instrument Type=Official rules register; Authoritative Source=MoEFCC official; Current Version / Amendment Position=Lists current waste rules/amendments through cutoff; Effective Date=2026-08-20; Applicability Scope=Environmental universe validation; Sub-Sectors / Entity Types=All approved pharmacy sub-sectors by trigger; Statutory Provisions Considered=BMW, plastic, e-waste, SWM, battery, hazardous, C&amp;D; Included / Excluded=INCLUDED; Workbook Action=SOURCE CONTROL; Source URL / Citation=https://moef.gov.in/rules-regulations-3; Validation Status=VALIDATED</x:v>
      </x:c>
      <x:c r="E1115" s="33" t="str">
        <x:v>ADD</x:v>
      </x:c>
      <x:c r="F1115" s="33" t="str">
        <x:v>Add authoritative environmental/general-law sources, commencements and role positions.</x:v>
      </x:c>
      <x:c r="G1115" s="33" t="str">
        <x:v>P-3 official-source review</x:v>
      </x:c>
      <x:c r="H1115"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15" s="33" t="str">
        <x:v>P-3</x:v>
      </x:c>
      <x:c r="J1115" s="33" t="str">
        <x:v>2026-08-20</x:v>
      </x:c>
      <x:c r="K1115" s="33" t="str">
        <x:v>New controlled P-3 record; schema preserved.</x:v>
      </x:c>
    </x:row>
    <x:row r="1116">
      <x:c r="A1116" s="33" t="str">
        <x:v>P3-003</x:v>
      </x:c>
      <x:c r="B1116" s="33" t="str">
        <x:v>Regulatory Source Register</x:v>
      </x:c>
      <x:c r="C1116" s="33" t="str">
        <x:v>Not present</x:v>
      </x:c>
      <x:c r="D1116" s="33" t="str">
        <x:v>Source ID=P3-003; Legal Instrument=Bio-Medical Waste Management Rules, 2016 (amended); Regulator=MoEFCC / SPCB; Instrument Type=Rules; Authoritative Source=Official SPCB-hosted amended rules register; Current Version / Amendment Position=2016 with 2018/2019 amendments; Effective Date=2016-03-28; Applicability Scope=BMW occupier/operator duties; Sub-Sectors / Entity Types=Hospital/Institutional/Specialized/AYUSH and any actual BMW generator; Statutory Provisions Considered=Rules 4, 7-8, 10, 13-15; Schedule I; Included / Excluded=INCLUDED — CONDITIONAL; Workbook Action=NORMALIZE LAW018 and chains; Source URL / Citation=https://hspcb.gov.in/viewall/bio-medical-waste-rules; Validation Status=VALIDATED</x:v>
      </x:c>
      <x:c r="E1116" s="33" t="str">
        <x:v>ADD</x:v>
      </x:c>
      <x:c r="F1116" s="33" t="str">
        <x:v>Add authoritative environmental/general-law sources, commencements and role positions.</x:v>
      </x:c>
      <x:c r="G1116" s="33" t="str">
        <x:v>P-3 official-source review</x:v>
      </x:c>
      <x:c r="H1116"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16" s="33" t="str">
        <x:v>P-3</x:v>
      </x:c>
      <x:c r="J1116" s="33" t="str">
        <x:v>2026-08-20</x:v>
      </x:c>
      <x:c r="K1116" s="33" t="str">
        <x:v>New controlled P-3 record; schema preserved.</x:v>
      </x:c>
    </x:row>
    <x:row r="1117">
      <x:c r="A1117" s="33" t="str">
        <x:v>P3-004</x:v>
      </x:c>
      <x:c r="B1117" s="33" t="str">
        <x:v>Regulatory Source Register</x:v>
      </x:c>
      <x:c r="C1117" s="33" t="str">
        <x:v>Not present</x:v>
      </x:c>
      <x:c r="D1117" s="33" t="str">
        <x:v>Source ID=P3-004; Legal Instrument=Solid Waste Management Rules, 2026 — S.O. 388(E); Regulator=MoEFCC; Instrument Type=Rules; Authoritative Source=MoEFCC official rules register; Current Version / Amendment Position=Supersedes 2016 Rules; Effective Date=2026-04-01; Applicability Scope=Every solid-waste generator; additional BWG duties; Sub-Sectors / Entity Types=All; BWG by any threshold; Statutory Provisions Considered=Rules 3, 5-6; Included / Excluded=INCLUDED — CURRENT; Workbook Action=UPDATE LAW044; ADD chains; Source URL / Citation=https://moef.gov.in/rules-regulations-3; Validation Status=VALIDATED</x:v>
      </x:c>
      <x:c r="E1117" s="33" t="str">
        <x:v>ADD</x:v>
      </x:c>
      <x:c r="F1117" s="33" t="str">
        <x:v>Add authoritative environmental/general-law sources, commencements and role positions.</x:v>
      </x:c>
      <x:c r="G1117" s="33" t="str">
        <x:v>P-3 official-source review</x:v>
      </x:c>
      <x:c r="H1117"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17" s="33" t="str">
        <x:v>P-3</x:v>
      </x:c>
      <x:c r="J1117" s="33" t="str">
        <x:v>2026-08-20</x:v>
      </x:c>
      <x:c r="K1117" s="33" t="str">
        <x:v>New controlled P-3 record; schema preserved.</x:v>
      </x:c>
    </x:row>
    <x:row r="1118">
      <x:c r="A1118" s="33" t="str">
        <x:v>P3-005</x:v>
      </x:c>
      <x:c r="B1118" s="33" t="str">
        <x:v>Regulatory Source Register</x:v>
      </x:c>
      <x:c r="C1118" s="33" t="str">
        <x:v>Not present</x:v>
      </x:c>
      <x:c r="D1118" s="33" t="str">
        <x:v>Source ID=P3-005; Legal Instrument=Plastic Waste Management Rules, 2016 (amended); Regulator=MoEFCC / CPCB; Instrument Type=Rules; Authoritative Source=MoEFCC official consolidated PDF; Current Version / Amendment Position=Current with listed amendments; Effective Date=2026-08-20; Applicability Scope=Waste generator/retailer; PIBO EPR only by role; Sub-Sectors / Entity Types=All by plastic use/waste; producer role separately; Statutory Provisions Considered=Rules 8 and 14; Included / Excluded=INCLUDED — ROLE BASED; Workbook Action=ADD generator/retailer chain; Source URL / Citation=https://moef.gov.in/uploads/pdf-uploads/pdf_684015cdcfe270.47591512.pdf; Validation Status=VALIDATED</x:v>
      </x:c>
      <x:c r="E1118" s="33" t="str">
        <x:v>ADD</x:v>
      </x:c>
      <x:c r="F1118" s="33" t="str">
        <x:v>Add authoritative environmental/general-law sources, commencements and role positions.</x:v>
      </x:c>
      <x:c r="G1118" s="33" t="str">
        <x:v>P-3 official-source review</x:v>
      </x:c>
      <x:c r="H1118"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18" s="33" t="str">
        <x:v>P-3</x:v>
      </x:c>
      <x:c r="J1118" s="33" t="str">
        <x:v>2026-08-20</x:v>
      </x:c>
      <x:c r="K1118" s="33" t="str">
        <x:v>New controlled P-3 record; schema preserved.</x:v>
      </x:c>
    </x:row>
    <x:row r="1119">
      <x:c r="A1119" s="33" t="str">
        <x:v>P3-006</x:v>
      </x:c>
      <x:c r="B1119" s="33" t="str">
        <x:v>Regulatory Source Register</x:v>
      </x:c>
      <x:c r="C1119" s="33" t="str">
        <x:v>Not present</x:v>
      </x:c>
      <x:c r="D1119" s="33" t="str">
        <x:v>Source ID=P3-006; Legal Instrument=Battery Waste Management Rules, 2022 (amended); Regulator=MoEFCC / CPCB; Instrument Type=Rules; Authoritative Source=MoEFCC official PDF; Current Version / Amendment Position=Current with amendments through cutoff; Effective Date=2026-08-20; Applicability Scope=Consumer separate collection; producer EPR by role; Sub-Sectors / Entity Types=All battery users; producer only if separate role; Statutory Provisions Considered=Rule 5; Included / Excluded=INCLUDED — ROLE BASED; Workbook Action=ADD LAW102 and consumer chain; Source URL / Citation=https://moef.gov.in/uploads/pdf-uploads/pdf_676567459cdfe9.16099796.pdf; Validation Status=VALIDATED</x:v>
      </x:c>
      <x:c r="E1119" s="33" t="str">
        <x:v>ADD</x:v>
      </x:c>
      <x:c r="F1119" s="33" t="str">
        <x:v>Add authoritative environmental/general-law sources, commencements and role positions.</x:v>
      </x:c>
      <x:c r="G1119" s="33" t="str">
        <x:v>P-3 official-source review</x:v>
      </x:c>
      <x:c r="H1119"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19" s="33" t="str">
        <x:v>P-3</x:v>
      </x:c>
      <x:c r="J1119" s="33" t="str">
        <x:v>2026-08-20</x:v>
      </x:c>
      <x:c r="K1119" s="33" t="str">
        <x:v>New controlled P-3 record; schema preserved.</x:v>
      </x:c>
    </x:row>
    <x:row r="1120">
      <x:c r="A1120" s="33" t="str">
        <x:v>P3-007</x:v>
      </x:c>
      <x:c r="B1120" s="33" t="str">
        <x:v>Regulatory Source Register</x:v>
      </x:c>
      <x:c r="C1120" s="33" t="str">
        <x:v>Not present</x:v>
      </x:c>
      <x:c r="D1120" s="33" t="str">
        <x:v>Source ID=P3-007; Legal Instrument=E-Waste (Management) Rules, 2022 (amended); Regulator=MoEFCC / CPCB; Instrument Type=Rules; Authoritative Source=MoEFCC official rules register; Current Version / Amendment Position=Current; Effective Date=2026-08-20; Applicability Scope=Bulk consumer threshold/registered channel; Sub-Sectors / Entity Types=E-Pharmacy/Chain/Hospital/Institutional if 1,000-unit threshold met; Statutory Provisions Considered=Bulk-consumer definition; Rule 8; Included / Excluded=INCLUDED — THRESHOLD BASED; Workbook Action=NORMALIZE LAW043; ADD chain; Source URL / Citation=https://moef.gov.in/rules-regulations-3; Validation Status=VALIDATED</x:v>
      </x:c>
      <x:c r="E1120" s="33" t="str">
        <x:v>ADD</x:v>
      </x:c>
      <x:c r="F1120" s="33" t="str">
        <x:v>Add authoritative environmental/general-law sources, commencements and role positions.</x:v>
      </x:c>
      <x:c r="G1120" s="33" t="str">
        <x:v>P-3 official-source review</x:v>
      </x:c>
      <x:c r="H1120"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20" s="33" t="str">
        <x:v>P-3</x:v>
      </x:c>
      <x:c r="J1120" s="33" t="str">
        <x:v>2026-08-20</x:v>
      </x:c>
      <x:c r="K1120" s="33" t="str">
        <x:v>New controlled P-3 record; schema preserved.</x:v>
      </x:c>
    </x:row>
    <x:row r="1121">
      <x:c r="A1121" s="33" t="str">
        <x:v>P3-008</x:v>
      </x:c>
      <x:c r="B1121" s="33" t="str">
        <x:v>Regulatory Source Register</x:v>
      </x:c>
      <x:c r="C1121" s="33" t="str">
        <x:v>Not present</x:v>
      </x:c>
      <x:c r="D1121" s="33" t="str">
        <x:v>Source ID=P3-008; Legal Instrument=Hazardous and Other Wastes Rules, 2016 (amended); Regulator=MoEFCC / CPCB; Instrument Type=Rules; Authoritative Source=MoEFCC official rules register; Current Version / Amendment Position=Current with amendments through 2024; Effective Date=2026-08-20; Applicability Scope=Scheduled/characterised hazardous or other waste; Sub-Sectors / Entity Types=Any approved sub-sector only if waste trigger exists; Statutory Provisions Considered=Rules 4, 6, 8, 19-20; Included / Excluded=INCLUDED — CONDITIONAL; Workbook Action=ADD LAW103 and chain; Source URL / Citation=https://moef.gov.in/rules-regulations-3; Validation Status=VALIDATED</x:v>
      </x:c>
      <x:c r="E1121" s="33" t="str">
        <x:v>ADD</x:v>
      </x:c>
      <x:c r="F1121" s="33" t="str">
        <x:v>Add authoritative environmental/general-law sources, commencements and role positions.</x:v>
      </x:c>
      <x:c r="G1121" s="33" t="str">
        <x:v>P-3 official-source review</x:v>
      </x:c>
      <x:c r="H1121"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21" s="33" t="str">
        <x:v>P-3</x:v>
      </x:c>
      <x:c r="J1121" s="33" t="str">
        <x:v>2026-08-20</x:v>
      </x:c>
      <x:c r="K1121" s="33" t="str">
        <x:v>New controlled P-3 record; schema preserved.</x:v>
      </x:c>
    </x:row>
    <x:row r="1122">
      <x:c r="A1122" s="33" t="str">
        <x:v>P3-009</x:v>
      </x:c>
      <x:c r="B1122" s="33" t="str">
        <x:v>Regulatory Source Register</x:v>
      </x:c>
      <x:c r="C1122" s="33" t="str">
        <x:v>Not present</x:v>
      </x:c>
      <x:c r="D1122" s="33" t="str">
        <x:v>Source ID=P3-009; Legal Instrument=Water (Prevention and Control of Pollution) Act, 1974; Regulator=MoEFCC / CPCB / SPCB; Instrument Type=Act; Authoritative Source=India Code official; Current Version / Amendment Position=Current; consent/exemption guidelines amended 2026; Effective Date=2026-08-20; Applicability Scope=Covered industry/operation/outlet/discharge; Sub-Sectors / Entity Types=Activity and State classification trigger; Statutory Provisions Considered=Sections 25-26; Included / Excluded=INCLUDED — CONDITIONAL; Workbook Action=ADD LAW104 and applicability chain; Source URL / Citation=https://www.indiacode.nic.in/handle/123456789/1612; Validation Status=VALIDATED</x:v>
      </x:c>
      <x:c r="E1122" s="33" t="str">
        <x:v>ADD</x:v>
      </x:c>
      <x:c r="F1122" s="33" t="str">
        <x:v>Add authoritative environmental/general-law sources, commencements and role positions.</x:v>
      </x:c>
      <x:c r="G1122" s="33" t="str">
        <x:v>P-3 official-source review</x:v>
      </x:c>
      <x:c r="H1122"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22" s="33" t="str">
        <x:v>P-3</x:v>
      </x:c>
      <x:c r="J1122" s="33" t="str">
        <x:v>2026-08-20</x:v>
      </x:c>
      <x:c r="K1122" s="33" t="str">
        <x:v>New controlled P-3 record; schema preserved.</x:v>
      </x:c>
    </x:row>
    <x:row r="1123">
      <x:c r="A1123" s="33" t="str">
        <x:v>P3-010</x:v>
      </x:c>
      <x:c r="B1123" s="33" t="str">
        <x:v>Regulatory Source Register</x:v>
      </x:c>
      <x:c r="C1123" s="33" t="str">
        <x:v>Not present</x:v>
      </x:c>
      <x:c r="D1123" s="33" t="str">
        <x:v>Source ID=P3-010; Legal Instrument=Air (Prevention and Control of Pollution) Act, 1981; Regulator=MoEFCC / CPCB / SPCB; Instrument Type=Act; Authoritative Source=India Code official; Current Version / Amendment Position=Current; consent guidelines amended 2026; Effective Date=2026-08-20; Applicability Scope=Covered industrial plant/emission source; Sub-Sectors / Entity Types=Activity/control-area and State classification trigger; Statutory Provisions Considered=Section 21; Included / Excluded=INCLUDED — CONDITIONAL; Workbook Action=ADD LAW105 and applicability chain; Source URL / Citation=https://www.indiacode.nic.in/handle/123456789/1389; Validation Status=VALIDATED</x:v>
      </x:c>
      <x:c r="E1123" s="33" t="str">
        <x:v>ADD</x:v>
      </x:c>
      <x:c r="F1123" s="33" t="str">
        <x:v>Add authoritative environmental/general-law sources, commencements and role positions.</x:v>
      </x:c>
      <x:c r="G1123" s="33" t="str">
        <x:v>P-3 official-source review</x:v>
      </x:c>
      <x:c r="H1123"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23" s="33" t="str">
        <x:v>P-3</x:v>
      </x:c>
      <x:c r="J1123" s="33" t="str">
        <x:v>2026-08-20</x:v>
      </x:c>
      <x:c r="K1123" s="33" t="str">
        <x:v>New controlled P-3 record; schema preserved.</x:v>
      </x:c>
    </x:row>
    <x:row r="1124">
      <x:c r="A1124" s="33" t="str">
        <x:v>P3-011</x:v>
      </x:c>
      <x:c r="B1124" s="33" t="str">
        <x:v>Regulatory Source Register</x:v>
      </x:c>
      <x:c r="C1124" s="33" t="str">
        <x:v>Not present</x:v>
      </x:c>
      <x:c r="D1124" s="33" t="str">
        <x:v>Source ID=P3-011; Legal Instrument=Environment (Construction and Demolition) Waste Management Rules, 2025; Regulator=MoEFCC; Instrument Type=Rules; Authoritative Source=MoEFCC official rules register; Current Version / Amendment Position=Current from 01-04-2026; Effective Date=Construction/renovation/demolition/excavation; Applicability Scope=All by project event; Sub-Sectors / Entity Types=Waste-generator duties; Statutory Provisions Considered=INCLUDED — EVENT BASED; Included / Excluded=ADD LAW106 and chain; Workbook Action=https://moef.gov.in/rules-regulations-3; Source URL / Citation=VALIDATED; Validation Status=</x:v>
      </x:c>
      <x:c r="E1124" s="33" t="str">
        <x:v>ADD</x:v>
      </x:c>
      <x:c r="F1124" s="33" t="str">
        <x:v>Add authoritative environmental/general-law sources, commencements and role positions.</x:v>
      </x:c>
      <x:c r="G1124" s="33" t="str">
        <x:v>P-3 official-source review</x:v>
      </x:c>
      <x:c r="H1124"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24" s="33" t="str">
        <x:v>P-3</x:v>
      </x:c>
      <x:c r="J1124" s="33" t="str">
        <x:v>2026-08-20</x:v>
      </x:c>
      <x:c r="K1124" s="33" t="str">
        <x:v>New controlled P-3 record; schema preserved.</x:v>
      </x:c>
    </x:row>
    <x:row r="1125">
      <x:c r="A1125" s="33" t="str">
        <x:v>P3-012</x:v>
      </x:c>
      <x:c r="B1125" s="33" t="str">
        <x:v>Regulatory Source Register</x:v>
      </x:c>
      <x:c r="C1125" s="33" t="str">
        <x:v>Not present</x:v>
      </x:c>
      <x:c r="D1125" s="33" t="str">
        <x:v>Source ID=P3-012; Legal Instrument=Four Labour Codes and Central Rules, 2026; Regulator=Ministry of Labour &amp; Employment; Instrument Type=Codes / Rules; Authoritative Source=Official Labour Codes portal; Current Version / Amendment Position=Codes implemented 21-11-2025; final Central Rules 2026; Effective Date=2026-08-20; Applicability Scope=Employment/establishment/worker/activity thresholds; Sub-Sectors / Entity Types=All by employment and coverage; Statutory Provisions Considered=Current Codes and 2026 Rules; Included / Excluded=INCLUDED — CURRENT/CONDITIONAL; Workbook Action=UPDATE LAW034-037/094; ADD LAW109-111; Source URL / Citation=https://www.labour.gov.in/offerings/schemes-and-services/details/labour-codes-gzNzQzMtQWa; Validation Status=VALIDATED</x:v>
      </x:c>
      <x:c r="E1125" s="33" t="str">
        <x:v>ADD</x:v>
      </x:c>
      <x:c r="F1125" s="33" t="str">
        <x:v>Add authoritative environmental/general-law sources, commencements and role positions.</x:v>
      </x:c>
      <x:c r="G1125" s="33" t="str">
        <x:v>P-3 official-source review</x:v>
      </x:c>
      <x:c r="H1125"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25" s="33" t="str">
        <x:v>P-3</x:v>
      </x:c>
      <x:c r="J1125" s="33" t="str">
        <x:v>2026-08-20</x:v>
      </x:c>
      <x:c r="K1125" s="33" t="str">
        <x:v>New controlled P-3 record; schema preserved.</x:v>
      </x:c>
    </x:row>
    <x:row r="1126">
      <x:c r="A1126" s="33" t="str">
        <x:v>P3-013</x:v>
      </x:c>
      <x:c r="B1126" s="33" t="str">
        <x:v>Regulatory Source Register</x:v>
      </x:c>
      <x:c r="C1126" s="33" t="str">
        <x:v>Not present</x:v>
      </x:c>
      <x:c r="D1126" s="33" t="str">
        <x:v>Source ID=P3-013; Legal Instrument=Implementation of Four Labour Codes; Regulator=Ministry of Labour &amp; Employment / PIB; Instrument Type=Commencement confirmation; Authoritative Source=Official PIB; Current Version / Amendment Position=Government implementation announcement; Effective Date=2025-11-21; Applicability Scope=Commencement control; Sub-Sectors / Entity Types=All covered employers; Statutory Provisions Considered=Implementation date; Included / Excluded=INCLUDED; Workbook Action=COMMENCEMENT REGISTER; Source URL / Citation=https://www.pib.gov.in/PressReleaseIframePage.aspx?PRID=2192948; Validation Status=VALIDATED</x:v>
      </x:c>
      <x:c r="E1126" s="33" t="str">
        <x:v>ADD</x:v>
      </x:c>
      <x:c r="F1126" s="33" t="str">
        <x:v>Add authoritative environmental/general-law sources, commencements and role positions.</x:v>
      </x:c>
      <x:c r="G1126" s="33" t="str">
        <x:v>P-3 official-source review</x:v>
      </x:c>
      <x:c r="H1126"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26" s="33" t="str">
        <x:v>P-3</x:v>
      </x:c>
      <x:c r="J1126" s="33" t="str">
        <x:v>2026-08-20</x:v>
      </x:c>
      <x:c r="K1126" s="33" t="str">
        <x:v>New controlled P-3 record; schema preserved.</x:v>
      </x:c>
    </x:row>
    <x:row r="1127">
      <x:c r="A1127" s="33" t="str">
        <x:v>P3-014</x:v>
      </x:c>
      <x:c r="B1127" s="33" t="str">
        <x:v>Regulatory Source Register</x:v>
      </x:c>
      <x:c r="C1127" s="33" t="str">
        <x:v>Not present</x:v>
      </x:c>
      <x:c r="D1127" s="33" t="str">
        <x:v>Source ID=P3-014; Legal Instrument=Income-tax Act, 2025 transition FAQs; Regulator=Income Tax Department; Instrument Type=Official guidance; Authoritative Source=Income Tax Department official; Current Version / Amendment Position=1961 Act repealed from 01-04-2026 with savings; 2025 Act current; Effective Date=2026-08-20; Applicability Scope=Tax Year transition; Sub-Sectors / Entity Types=All taxable entities; Statutory Provisions Considered=Sections 263, 393-394 and savings; Included / Excluded=INCLUDED — CURRENT/TRANSITION; Workbook Action=ADD LAW107/108; remap chains; Source URL / Citation=https://www.incometax.gov.in/iec/foportal/help/all-topics/e-filing-services/objective-and-scope-new-act-faq; Validation Status=VALIDATED</x:v>
      </x:c>
      <x:c r="E1127" s="33" t="str">
        <x:v>ADD</x:v>
      </x:c>
      <x:c r="F1127" s="33" t="str">
        <x:v>Add authoritative environmental/general-law sources, commencements and role positions.</x:v>
      </x:c>
      <x:c r="G1127" s="33" t="str">
        <x:v>P-3 official-source review</x:v>
      </x:c>
      <x:c r="H1127"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27" s="33" t="str">
        <x:v>P-3</x:v>
      </x:c>
      <x:c r="J1127" s="33" t="str">
        <x:v>2026-08-20</x:v>
      </x:c>
      <x:c r="K1127" s="33" t="str">
        <x:v>New controlled P-3 record; schema preserved.</x:v>
      </x:c>
    </x:row>
    <x:row r="1128">
      <x:c r="A1128" s="33" t="str">
        <x:v>P3-015</x:v>
      </x:c>
      <x:c r="B1128" s="33" t="str">
        <x:v>Regulatory Source Register</x:v>
      </x:c>
      <x:c r="C1128" s="33" t="str">
        <x:v>Not present</x:v>
      </x:c>
      <x:c r="D1128" s="33" t="str">
        <x:v>Source ID=P3-015; Legal Instrument=Income-tax Rules, 2026 / TDS transition; Regulator=Income Tax Department; Instrument Type=Rules / official guidance; Authoritative Source=Income Tax Department official; Current Version / Amendment Position=Current from 01-04-2026; Effective Date=2026-08-20; Applicability Scope=Payments/credits under current Act; Sub-Sectors / Entity Types=Deductor/collector by trigger; Statutory Provisions Considered=Rule 218 and corresponding current provisions; Included / Excluded=INCLUDED; Workbook Action=NORMALIZE TDS chains; Source URL / Citation=https://www.incometax.gov.in/iec/foportal/help/all-topics/e-filing-services/tax-payments; Validation Status=VALIDATED</x:v>
      </x:c>
      <x:c r="E1128" s="33" t="str">
        <x:v>ADD</x:v>
      </x:c>
      <x:c r="F1128" s="33" t="str">
        <x:v>Add authoritative environmental/general-law sources, commencements and role positions.</x:v>
      </x:c>
      <x:c r="G1128" s="33" t="str">
        <x:v>P-3 official-source review</x:v>
      </x:c>
      <x:c r="H1128"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28" s="33" t="str">
        <x:v>P-3</x:v>
      </x:c>
      <x:c r="J1128" s="33" t="str">
        <x:v>2026-08-20</x:v>
      </x:c>
      <x:c r="K1128" s="33" t="str">
        <x:v>New controlled P-3 record; schema preserved.</x:v>
      </x:c>
    </x:row>
    <x:row r="1129">
      <x:c r="A1129" s="33" t="str">
        <x:v>P3-016</x:v>
      </x:c>
      <x:c r="B1129" s="33" t="str">
        <x:v>Regulatory Source Register</x:v>
      </x:c>
      <x:c r="C1129" s="33" t="str">
        <x:v>Not present</x:v>
      </x:c>
      <x:c r="D1129" s="33" t="str">
        <x:v>Source ID=P3-016; Legal Instrument=CGST Act and Rules; Regulator=CBIC; Instrument Type=Act / Rules; Authoritative Source=CBIC official GST Acts portal; Current Version / Amendment Position=Current through cutoff; Effective Date=2026-08-20; Applicability Scope=Registration/taxpayer-profile triggers; Sub-Sectors / Entity Types=All by GST liability/registration; Statutory Provisions Considered=Sections 22-25, 31, 35, 39, 49; Included / Excluded=INCLUDED — CONDITIONAL; Workbook Action=NORMALIZE universal/frequency overstatements; Source URL / Citation=https://cbic-gst.gov.in/hindi/gst-acts.html; Validation Status=VALIDATED</x:v>
      </x:c>
      <x:c r="E1129" s="33" t="str">
        <x:v>ADD</x:v>
      </x:c>
      <x:c r="F1129" s="33" t="str">
        <x:v>Add authoritative environmental/general-law sources, commencements and role positions.</x:v>
      </x:c>
      <x:c r="G1129" s="33" t="str">
        <x:v>P-3 official-source review</x:v>
      </x:c>
      <x:c r="H1129"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29" s="33" t="str">
        <x:v>P-3</x:v>
      </x:c>
      <x:c r="J1129" s="33" t="str">
        <x:v>2026-08-20</x:v>
      </x:c>
      <x:c r="K1129" s="33" t="str">
        <x:v>New controlled P-3 record; schema preserved.</x:v>
      </x:c>
    </x:row>
    <x:row r="1130">
      <x:c r="A1130" s="33" t="str">
        <x:v>P3-017</x:v>
      </x:c>
      <x:c r="B1130" s="33" t="str">
        <x:v>Regulatory Source Register</x:v>
      </x:c>
      <x:c r="C1130" s="33" t="str">
        <x:v>Not present</x:v>
      </x:c>
      <x:c r="D1130" s="33" t="str">
        <x:v>Source ID=P3-017; Legal Instrument=Consumer Protection Act, E-Commerce Rules and amendments; Regulator=Department of Consumer Affairs / CCPA; Instrument Type=Act / Rules; Authoritative Source=Official Consumer Affairs register; Current Version / Amendment Position=Current; Effective Date=2026-08-20; Applicability Scope=Consumer sales and e-commerce role; Sub-Sectors / Entity Types=All; E-Pharmacy by role; Statutory Provisions Considered=Act sections 2(47), 19-21; Rules 4-5; Included / Excluded=INCLUDED; Workbook Action=NORMALIZE consumer/e-commerce chains; Source URL / Citation=https://consumeraffairs.nic.in/acts-and-rules/consumer-protection/consumer-protection; Validation Status=VALIDATED</x:v>
      </x:c>
      <x:c r="E1130" s="33" t="str">
        <x:v>ADD</x:v>
      </x:c>
      <x:c r="F1130" s="33" t="str">
        <x:v>Add authoritative environmental/general-law sources, commencements and role positions.</x:v>
      </x:c>
      <x:c r="G1130" s="33" t="str">
        <x:v>P-3 official-source review</x:v>
      </x:c>
      <x:c r="H1130"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30" s="33" t="str">
        <x:v>P-3</x:v>
      </x:c>
      <x:c r="J1130" s="33" t="str">
        <x:v>2026-08-20</x:v>
      </x:c>
      <x:c r="K1130" s="33" t="str">
        <x:v>New controlled P-3 record; schema preserved.</x:v>
      </x:c>
    </x:row>
    <x:row r="1131">
      <x:c r="A1131" s="33" t="str">
        <x:v>P3-018</x:v>
      </x:c>
      <x:c r="B1131" s="33" t="str">
        <x:v>Regulatory Source Register</x:v>
      </x:c>
      <x:c r="C1131" s="33" t="str">
        <x:v>Not present</x:v>
      </x:c>
      <x:c r="D1131" s="33" t="str">
        <x:v>Source ID=P3-018; Legal Instrument=Misleading Advertisement Guidelines, 2022; Regulator=CCPA; Instrument Type=Guidelines; Authoritative Source=Official Consumer Affairs page; Current Version / Amendment Position=Current; Effective Date=2026-08-20; Applicability Scope=Advertising/endorsement trigger; Sub-Sectors / Entity Types=All advertisers; E-Pharmacy digital ads; Statutory Provisions Considered=Guidelines 4, 9, 10, 13; Included / Excluded=INCLUDED — CONDITIONAL; Workbook Action=NORMALIZE LAW086; Source URL / Citation=https://consumeraffairs.nic.in/latestnews/guidelines-prevention-misleading-advertisements-and-endorsements-misleading; Validation Status=VALIDATED</x:v>
      </x:c>
      <x:c r="E1131" s="33" t="str">
        <x:v>ADD</x:v>
      </x:c>
      <x:c r="F1131" s="33" t="str">
        <x:v>Add authoritative environmental/general-law sources, commencements and role positions.</x:v>
      </x:c>
      <x:c r="G1131" s="33" t="str">
        <x:v>P-3 official-source review</x:v>
      </x:c>
      <x:c r="H1131"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31" s="33" t="str">
        <x:v>P-3</x:v>
      </x:c>
      <x:c r="J1131" s="33" t="str">
        <x:v>2026-08-20</x:v>
      </x:c>
      <x:c r="K1131" s="33" t="str">
        <x:v>New controlled P-3 record; schema preserved.</x:v>
      </x:c>
    </x:row>
    <x:row r="1132">
      <x:c r="A1132" s="33" t="str">
        <x:v>P3-019</x:v>
      </x:c>
      <x:c r="B1132" s="33" t="str">
        <x:v>Regulatory Source Register</x:v>
      </x:c>
      <x:c r="C1132" s="33" t="str">
        <x:v>Not present</x:v>
      </x:c>
      <x:c r="D1132" s="33" t="str">
        <x:v>Source ID=P3-019; Legal Instrument=Legal Metrology Act and Packaged Commodities Rules; Regulator=Department of Consumer Affairs; Instrument Type=Act / Rules; Authoritative Source=Official Legal Metrology register; Current Version / Amendment Position=Current; Effective Date=2026-08-20; Applicability Scope=Use of measure; sale/display/e-commerce of packages; Sub-Sectors / Entity Types=All by transaction/package role; Statutory Provisions Considered=Act sections 23-24; PCR Rules 6(10), 18; Included / Excluded=INCLUDED — ROLE BASED; Workbook Action=CORRECT seller vs packer duties; Source URL / Citation=https://consumeraffairs.nic.in/taxonomy/term/2645; Validation Status=VALIDATED</x:v>
      </x:c>
      <x:c r="E1132" s="33" t="str">
        <x:v>ADD</x:v>
      </x:c>
      <x:c r="F1132" s="33" t="str">
        <x:v>Add authoritative environmental/general-law sources, commencements and role positions.</x:v>
      </x:c>
      <x:c r="G1132" s="33" t="str">
        <x:v>P-3 official-source review</x:v>
      </x:c>
      <x:c r="H1132"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32" s="33" t="str">
        <x:v>P-3</x:v>
      </x:c>
      <x:c r="J1132" s="33" t="str">
        <x:v>2026-08-20</x:v>
      </x:c>
      <x:c r="K1132" s="33" t="str">
        <x:v>New controlled P-3 record; schema preserved.</x:v>
      </x:c>
    </x:row>
    <x:row r="1133">
      <x:c r="A1133" s="33" t="str">
        <x:v>P3-020</x:v>
      </x:c>
      <x:c r="B1133" s="33" t="str">
        <x:v>Regulatory Source Register</x:v>
      </x:c>
      <x:c r="C1133" s="33" t="str">
        <x:v>Not present</x:v>
      </x:c>
      <x:c r="D1133" s="33" t="str">
        <x:v>Source ID=P3-020; Legal Instrument=IT Act and SPDI Rules; Regulator=MeitY; Instrument Type=Act / Rules; Authoritative Source=MeitY official notifications portal; Current Version / Amendment Position=Current transitional data-security layer; Effective Date=2026-08-20; Applicability Scope=Computer resources/SPDI/intermediary role; Sub-Sectors / Entity Types=E-Pharmacy and any digital processor by role; Statutory Provisions Considered=IT Act 43A/72A/79; SPDI Rules 4-8; Included / Excluded=INCLUDED; Workbook Action=NORMALIZE LAW046/047; Source URL / Citation=https://www.meity.gov.in/documents/orders-and-notices/notifications-on-information-technology-act-2000-its-rules-AOzATOtQWa?-its-Rules-%2806.04.2023%29=&amp;pageTitle=Notifications-on-Information-Technology-Act-2000-; Validation Status=VALIDATED</x:v>
      </x:c>
      <x:c r="E1133" s="33" t="str">
        <x:v>ADD</x:v>
      </x:c>
      <x:c r="F1133" s="33" t="str">
        <x:v>Add authoritative environmental/general-law sources, commencements and role positions.</x:v>
      </x:c>
      <x:c r="G1133" s="33" t="str">
        <x:v>P-3 official-source review</x:v>
      </x:c>
      <x:c r="H1133"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33" s="33" t="str">
        <x:v>P-3</x:v>
      </x:c>
      <x:c r="J1133" s="33" t="str">
        <x:v>2026-08-20</x:v>
      </x:c>
      <x:c r="K1133" s="33" t="str">
        <x:v>New controlled P-3 record; schema preserved.</x:v>
      </x:c>
    </x:row>
    <x:row r="1134">
      <x:c r="A1134" s="33" t="str">
        <x:v>P3-021</x:v>
      </x:c>
      <x:c r="B1134" s="33" t="str">
        <x:v>Regulatory Source Register</x:v>
      </x:c>
      <x:c r="C1134" s="33" t="str">
        <x:v>Not present</x:v>
      </x:c>
      <x:c r="D1134" s="33" t="str">
        <x:v>Source ID=P3-021; Legal Instrument=CERT-In Cyber Security Directions, 28-04-2022; Regulator=CERT-In; Instrument Type=Directions under section 70B(6); Authoritative Source=CERT-In official; Current Version / Amendment Position=Current; Effective Date=2026-08-20; Applicability Scope=Covered body corporate/service provider/intermediary and specified incident; Sub-Sectors / Entity Types=E-Pharmacy/digital operations by scope; Statutory Provisions Considered=Clauses (i), (ii), (iv), (v); Included / Excluded=INCLUDED — CONDITIONAL; Workbook Action=REPLACE vague advisory with binding directions; Source URL / Citation=https://cert-in.org.in/Directions70B.jsp; Validation Status=VALIDATED</x:v>
      </x:c>
      <x:c r="E1134" s="33" t="str">
        <x:v>ADD</x:v>
      </x:c>
      <x:c r="F1134" s="33" t="str">
        <x:v>Add authoritative environmental/general-law sources, commencements and role positions.</x:v>
      </x:c>
      <x:c r="G1134" s="33" t="str">
        <x:v>P-3 official-source review</x:v>
      </x:c>
      <x:c r="H1134"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34" s="33" t="str">
        <x:v>P-3</x:v>
      </x:c>
      <x:c r="J1134" s="33" t="str">
        <x:v>2026-08-20</x:v>
      </x:c>
      <x:c r="K1134" s="33" t="str">
        <x:v>New controlled P-3 record; schema preserved.</x:v>
      </x:c>
    </x:row>
    <x:row r="1135">
      <x:c r="A1135" s="33" t="str">
        <x:v>P3-022</x:v>
      </x:c>
      <x:c r="B1135" s="33" t="str">
        <x:v>Regulatory Source Register</x:v>
      </x:c>
      <x:c r="C1135" s="33" t="str">
        <x:v>Not present</x:v>
      </x:c>
      <x:c r="D1135" s="33" t="str">
        <x:v>Source ID=P3-022; Legal Instrument=Digital Personal Data Protection Rules, 2025 and enforcement timeline; Regulator=MeitY; Instrument Type=Rules / commencement notifications; Authoritative Source=MeitY official; Current Version / Amendment Position=Final; staged commencement; Effective Date=2026-08-20; Applicability Scope=Institutional provisions current; private-operator duties future; Sub-Sectors / Entity Types=E-Pharmacy/digital processing after substantive commencement; Statutory Provisions Considered=Act/Rules staged provisions; Included / Excluded=INCLUDED — FUTURE CONTROLLED; Workbook Action=CORRECT LAW048/098; quarantine early activation; Source URL / Citation=https://www.meity.gov.in/documents/act-and-policies/digital-personal-data-protection-rules-2025-gDOxUjMtQWa; Validation Status=VALIDATED</x:v>
      </x:c>
      <x:c r="E1135" s="33" t="str">
        <x:v>ADD</x:v>
      </x:c>
      <x:c r="F1135" s="33" t="str">
        <x:v>Add authoritative environmental/general-law sources, commencements and role positions.</x:v>
      </x:c>
      <x:c r="G1135" s="33" t="str">
        <x:v>P-3 official-source review</x:v>
      </x:c>
      <x:c r="H1135"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35" s="33" t="str">
        <x:v>P-3</x:v>
      </x:c>
      <x:c r="J1135" s="33" t="str">
        <x:v>2026-08-20</x:v>
      </x:c>
      <x:c r="K1135" s="33" t="str">
        <x:v>New controlled P-3 record; schema preserved.</x:v>
      </x:c>
    </x:row>
    <x:row r="1136">
      <x:c r="A1136" s="33" t="str">
        <x:v>P3-023</x:v>
      </x:c>
      <x:c r="B1136" s="33" t="str">
        <x:v>Regulatory Source Register</x:v>
      </x:c>
      <x:c r="C1136" s="33" t="str">
        <x:v>Not present</x:v>
      </x:c>
      <x:c r="D1136" s="33" t="str">
        <x:v>Source ID=P3-023; Legal Instrument=Drugs and Magic Remedies (Objectionable Advertisement) Act, 1954; Regulator=MoHFW; Instrument Type=Act / Rules; Authoritative Source=India Code official; Current Version / Amendment Position=Current; Effective Date=2026-08-20; Applicability Scope=Drug/remedy advertising; Sub-Sectors / Entity Types=All advertisers; Statutory Provisions Considered=Act sections 3-4; 1955 Rules; Included / Excluded=INCLUDED; Workbook Action=RETAIN Act controls; quarantine fabricated rule duties; Source URL / Citation=https://www.indiacode.nic.in/handle/123456789/12825; Validation Status=VALIDATED</x:v>
      </x:c>
      <x:c r="E1136" s="33" t="str">
        <x:v>ADD</x:v>
      </x:c>
      <x:c r="F1136" s="33" t="str">
        <x:v>Add authoritative environmental/general-law sources, commencements and role positions.</x:v>
      </x:c>
      <x:c r="G1136" s="33" t="str">
        <x:v>P-3 official-source review</x:v>
      </x:c>
      <x:c r="H1136"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36" s="33" t="str">
        <x:v>P-3</x:v>
      </x:c>
      <x:c r="J1136" s="33" t="str">
        <x:v>2026-08-20</x:v>
      </x:c>
      <x:c r="K1136" s="33" t="str">
        <x:v>New controlled P-3 record; schema preserved.</x:v>
      </x:c>
    </x:row>
    <x:row r="1137">
      <x:c r="A1137" s="33" t="str">
        <x:v>P3-024</x:v>
      </x:c>
      <x:c r="B1137" s="33" t="str">
        <x:v>Regulatory Source Register</x:v>
      </x:c>
      <x:c r="C1137" s="33" t="str">
        <x:v>Not present</x:v>
      </x:c>
      <x:c r="D1137" s="33" t="str">
        <x:v>Source ID=P3-024; Legal Instrument=Disaster Management Act, 2005 / exact event directions; Regulator=NDMA / State / District authorities; Instrument Type=Act / Orders; Authoritative Source=India Code / competent authority; Current Version / Amendment Position=Event based; Effective Date=2026-08-20; Applicability Scope=Specific binding direction/order; Sub-Sectors / Entity Types=All by event and jurisdiction; Statutory Provisions Considered=Applicable direction/order; Included / Excluded=INCLUDED — EVENT SOURCE; Workbook Action=No standing generic recurring duty; Source URL / Citation=https://www.indiacode.nic.in/handle/123456789/2045; Validation Status=VALIDATED</x:v>
      </x:c>
      <x:c r="E1137" s="33" t="str">
        <x:v>ADD</x:v>
      </x:c>
      <x:c r="F1137" s="33" t="str">
        <x:v>Add authoritative environmental/general-law sources, commencements and role positions.</x:v>
      </x:c>
      <x:c r="G1137" s="33" t="str">
        <x:v>P-3 official-source review</x:v>
      </x:c>
      <x:c r="H1137"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37" s="33" t="str">
        <x:v>P-3</x:v>
      </x:c>
      <x:c r="J1137" s="33" t="str">
        <x:v>2026-08-20</x:v>
      </x:c>
      <x:c r="K1137" s="33" t="str">
        <x:v>New controlled P-3 record; schema preserved.</x:v>
      </x:c>
    </x:row>
    <x:row r="1138">
      <x:c r="A1138" s="33" t="str">
        <x:v>P3-025</x:v>
      </x:c>
      <x:c r="B1138" s="33" t="str">
        <x:v>Regulatory Source Register</x:v>
      </x:c>
      <x:c r="C1138" s="33" t="str">
        <x:v>Not present</x:v>
      </x:c>
      <x:c r="D1138" s="33" t="str">
        <x:v>Source ID=P3-025; Legal Instrument=Epidemic Diseases Act, 1897 / exact regulations; Regulator=Government authority; Instrument Type=Act / Regulations; Authoritative Source=India Code / competent authority; Current Version / Amendment Position=Event based; Effective Date=2026-08-20; Applicability Scope=Specific applicable regulation/order; Sub-Sectors / Entity Types=All by event and jurisdiction; Statutory Provisions Considered=Applicable regulation/order; Included / Excluded=INCLUDED — EVENT SOURCE; Workbook Action=No standing generic recurring duty; Source URL / Citation=https://www.indiacode.nic.in/handle/123456789/10469; Validation Status=VALIDATED</x:v>
      </x:c>
      <x:c r="E1138" s="33" t="str">
        <x:v>ADD</x:v>
      </x:c>
      <x:c r="F1138" s="33" t="str">
        <x:v>Add authoritative environmental/general-law sources, commencements and role positions.</x:v>
      </x:c>
      <x:c r="G1138" s="33" t="str">
        <x:v>P-3 official-source review</x:v>
      </x:c>
      <x:c r="H1138" s="33" t="str">
        <x:v>https://moef.gov.in/rules-regulations-3 | https://www.labour.gov.in/offerings/schemes-and-services/details/labour-codes-gzNzQzMtQWa | https://www.incometax.gov.in/iec/foportal/help/all-topics/e-filing-services/objective-and-scope-new-act-faq | https://www.meity.gov.in/documents/act-and-policies/digital-personal-data-protection-rules-2025-gDOxUjMtQWa</x:v>
      </x:c>
      <x:c r="I1138" s="33" t="str">
        <x:v>P-3</x:v>
      </x:c>
      <x:c r="J1138" s="33" t="str">
        <x:v>2026-08-20</x:v>
      </x:c>
      <x:c r="K1138" s="33" t="str">
        <x:v>New controlled P-3 record; schema preserved.</x:v>
      </x:c>
    </x:row>
    <x:row r="1139">
      <x:c r="A1139" s="33" t="str">
        <x:v>P3-001</x:v>
      </x:c>
      <x:c r="B1139" s="33" t="str">
        <x:v>Exclusion Register</x:v>
      </x:c>
      <x:c r="C1139" s="33" t="str">
        <x:v>Not present</x:v>
      </x:c>
      <x:c r="D1139" s="33" t="str">
        <x:v>Exclusion ID=P3-001; Instrument / Provision Family=BMW authorization and occupier duties; Regulated Entity / Activity=Ordinary retail/wholesale pharmacy with no BMW generation/handling; Reason Excluded or Conditional=Sale/dispensing alone does not make the establishment a BMW health-care facility/occupier.; Classification=Conditional; Decision Required=Confirm actual clinical/diagnostic/treatment activity and waste stream.; Treatment=Activate LAW018 only on documented trigger.; Source Register ID=P3-003</x:v>
      </x:c>
      <x:c r="E1139" s="33" t="str">
        <x:v>ADD</x:v>
      </x:c>
      <x:c r="F1139" s="33" t="str">
        <x:v>Control environmental role/threshold exclusions, jurisdiction gaps, future duties and Common Core boundary.</x:v>
      </x:c>
      <x:c r="G1139" s="33" t="str">
        <x:v>P-3 official-source review</x:v>
      </x:c>
      <x:c r="H1139" s="33" t="str">
        <x:v>P3 Applicability Matrix | P3 Jurisdiction Register</x:v>
      </x:c>
      <x:c r="I1139" s="33" t="str">
        <x:v>P-3</x:v>
      </x:c>
      <x:c r="J1139" s="33" t="str">
        <x:v>2026-08-20</x:v>
      </x:c>
      <x:c r="K1139" s="33" t="str">
        <x:v>New controlled P-3 record; schema preserved.</x:v>
      </x:c>
    </x:row>
    <x:row r="1140">
      <x:c r="A1140" s="33" t="str">
        <x:v>P3-002</x:v>
      </x:c>
      <x:c r="B1140" s="33" t="str">
        <x:v>Exclusion Register</x:v>
      </x:c>
      <x:c r="C1140" s="33" t="str">
        <x:v>Not present</x:v>
      </x:c>
      <x:c r="D1140" s="33" t="str">
        <x:v>Exclusion ID=P3-002; Instrument / Provision Family=E-waste bulk-consumer duty; Regulated Entity / Activity=Pharmacy below 1,000 Schedule I EEE units in the financial year; Reason Excluded or Conditional=Rule 8 bulk-consumer trigger is not met.; Classification=Threshold Exclusion; Decision Required=Annual unit-count assessment.; Treatment=Retain sound channelisation as best practice; no false statutory return.; Source Register ID=P3-007</x:v>
      </x:c>
      <x:c r="E1140" s="33" t="str">
        <x:v>ADD</x:v>
      </x:c>
      <x:c r="F1140" s="33" t="str">
        <x:v>Control environmental role/threshold exclusions, jurisdiction gaps, future duties and Common Core boundary.</x:v>
      </x:c>
      <x:c r="G1140" s="33" t="str">
        <x:v>P-3 official-source review</x:v>
      </x:c>
      <x:c r="H1140" s="33" t="str">
        <x:v>P3 Applicability Matrix | P3 Jurisdiction Register</x:v>
      </x:c>
      <x:c r="I1140" s="33" t="str">
        <x:v>P-3</x:v>
      </x:c>
      <x:c r="J1140" s="33" t="str">
        <x:v>2026-08-20</x:v>
      </x:c>
      <x:c r="K1140" s="33" t="str">
        <x:v>New controlled P-3 record; schema preserved.</x:v>
      </x:c>
    </x:row>
    <x:row r="1141">
      <x:c r="A1141" s="33" t="str">
        <x:v>P3-003</x:v>
      </x:c>
      <x:c r="B1141" s="33" t="str">
        <x:v>Exclusion Register</x:v>
      </x:c>
      <x:c r="C1141" s="33" t="str">
        <x:v>Not present</x:v>
      </x:c>
      <x:c r="D1141" s="33" t="str">
        <x:v>Exclusion ID=P3-003; Instrument / Provision Family=Plastic EPR registration/returns; Regulated Entity / Activity=Ordinary pharmacy waste generator or retailer; Reason Excluded or Conditional=PIBO EPR attaches only to a separate producer/importer/brand-owner role.; Classification=Role Exclusion; Decision Required=Determine whether the entity places own-brand plastic packaging on the market.; Treatment=Apply Rules 8/14 only unless PIBO role is approved.; Source Register ID=P3-005</x:v>
      </x:c>
      <x:c r="E1141" s="33" t="str">
        <x:v>ADD</x:v>
      </x:c>
      <x:c r="F1141" s="33" t="str">
        <x:v>Control environmental role/threshold exclusions, jurisdiction gaps, future duties and Common Core boundary.</x:v>
      </x:c>
      <x:c r="G1141" s="33" t="str">
        <x:v>P-3 official-source review</x:v>
      </x:c>
      <x:c r="H1141" s="33" t="str">
        <x:v>P3 Applicability Matrix | P3 Jurisdiction Register</x:v>
      </x:c>
      <x:c r="I1141" s="33" t="str">
        <x:v>P-3</x:v>
      </x:c>
      <x:c r="J1141" s="33" t="str">
        <x:v>2026-08-20</x:v>
      </x:c>
      <x:c r="K1141" s="33" t="str">
        <x:v>New controlled P-3 record; schema preserved.</x:v>
      </x:c>
    </x:row>
    <x:row r="1142">
      <x:c r="A1142" s="33" t="str">
        <x:v>P3-004</x:v>
      </x:c>
      <x:c r="B1142" s="33" t="str">
        <x:v>Exclusion Register</x:v>
      </x:c>
      <x:c r="C1142" s="33" t="str">
        <x:v>Not present</x:v>
      </x:c>
      <x:c r="D1142" s="33" t="str">
        <x:v>Exclusion ID=P3-004; Instrument / Provision Family=Battery producer EPR; Regulated Entity / Activity=Battery end-user/consumer; Reason Excluded or Conditional=Consumer duty is separate collection/handover; producer EPR is a separate role.; Classification=Role Exclusion; Decision Required=Determine producer role before EPR activation.; Treatment=Apply Rule 5 consumer chain only.; Source Register ID=P3-006</x:v>
      </x:c>
      <x:c r="E1142" s="33" t="str">
        <x:v>ADD</x:v>
      </x:c>
      <x:c r="F1142" s="33" t="str">
        <x:v>Control environmental role/threshold exclusions, jurisdiction gaps, future duties and Common Core boundary.</x:v>
      </x:c>
      <x:c r="G1142" s="33" t="str">
        <x:v>P-3 official-source review</x:v>
      </x:c>
      <x:c r="H1142" s="33" t="str">
        <x:v>P3 Applicability Matrix | P3 Jurisdiction Register</x:v>
      </x:c>
      <x:c r="I1142" s="33" t="str">
        <x:v>P-3</x:v>
      </x:c>
      <x:c r="J1142" s="33" t="str">
        <x:v>2026-08-20</x:v>
      </x:c>
      <x:c r="K1142" s="33" t="str">
        <x:v>New controlled P-3 record; schema preserved.</x:v>
      </x:c>
    </x:row>
    <x:row r="1143">
      <x:c r="A1143" s="33" t="str">
        <x:v>P3-005</x:v>
      </x:c>
      <x:c r="B1143" s="33" t="str">
        <x:v>Exclusion Register</x:v>
      </x:c>
      <x:c r="C1143" s="33" t="str">
        <x:v>Not present</x:v>
      </x:c>
      <x:c r="D1143" s="33" t="str">
        <x:v>Exclusion ID=P3-005; Instrument / Provision Family=Hazardous-waste authorization/manifest; Regulated Entity / Activity=Ordinary pharmacy with no scheduled/characterised hazardous waste; Reason Excluded or Conditional=Ordinary sale alone is not the trigger.; Classification=Activity Exclusion; Decision Required=Characterise actual waste streams including used oil/chemicals.; Treatment=Activate LAW103 only on documented waste trigger.; Source Register ID=P3-008</x:v>
      </x:c>
      <x:c r="E1143" s="33" t="str">
        <x:v>ADD</x:v>
      </x:c>
      <x:c r="F1143" s="33" t="str">
        <x:v>Control environmental role/threshold exclusions, jurisdiction gaps, future duties and Common Core boundary.</x:v>
      </x:c>
      <x:c r="G1143" s="33" t="str">
        <x:v>P-3 official-source review</x:v>
      </x:c>
      <x:c r="H1143" s="33" t="str">
        <x:v>P3 Applicability Matrix | P3 Jurisdiction Register</x:v>
      </x:c>
      <x:c r="I1143" s="33" t="str">
        <x:v>P-3</x:v>
      </x:c>
      <x:c r="J1143" s="33" t="str">
        <x:v>2026-08-20</x:v>
      </x:c>
      <x:c r="K1143" s="33" t="str">
        <x:v>New controlled P-3 record; schema preserved.</x:v>
      </x:c>
    </x:row>
    <x:row r="1144">
      <x:c r="A1144" s="33" t="str">
        <x:v>P3-006</x:v>
      </x:c>
      <x:c r="B1144" s="33" t="str">
        <x:v>Exclusion Register</x:v>
      </x:c>
      <x:c r="C1144" s="33" t="str">
        <x:v>Not present</x:v>
      </x:c>
      <x:c r="D1144" s="33" t="str">
        <x:v>Exclusion ID=P3-006; Instrument / Provision Family=Air/Water consent; Regulated Entity / Activity=Ordinary retail pharmacy without covered plant/outlet/discharge; Reason Excluded or Conditional=Consent depends on industrial/emission/effluent trigger, exemptions and State classification.; Classification=Conditional; Decision Required=Obtain State PCB classification for actual equipment/activity.; Treatment=Do not assume CTE/CTO universally.; Source Register ID=P3-009</x:v>
      </x:c>
      <x:c r="E1144" s="33" t="str">
        <x:v>ADD</x:v>
      </x:c>
      <x:c r="F1144" s="33" t="str">
        <x:v>Control environmental role/threshold exclusions, jurisdiction gaps, future duties and Common Core boundary.</x:v>
      </x:c>
      <x:c r="G1144" s="33" t="str">
        <x:v>P-3 official-source review</x:v>
      </x:c>
      <x:c r="H1144" s="33" t="str">
        <x:v>P3 Applicability Matrix | P3 Jurisdiction Register</x:v>
      </x:c>
      <x:c r="I1144" s="33" t="str">
        <x:v>P-3</x:v>
      </x:c>
      <x:c r="J1144" s="33" t="str">
        <x:v>2026-08-20</x:v>
      </x:c>
      <x:c r="K1144" s="33" t="str">
        <x:v>New controlled P-3 record; schema preserved.</x:v>
      </x:c>
    </x:row>
    <x:row r="1145">
      <x:c r="A1145" s="33" t="str">
        <x:v>P3-007</x:v>
      </x:c>
      <x:c r="B1145" s="33" t="str">
        <x:v>Exclusion Register</x:v>
      </x:c>
      <x:c r="C1145" s="33" t="str">
        <x:v>Not present</x:v>
      </x:c>
      <x:c r="D1145" s="33" t="str">
        <x:v>Exclusion ID=P3-007; Instrument / Provision Family=C&amp;D waste duties; Regulated Entity / Activity=Pharmacy with no construction/renovation/demolition/excavation; Reason Excluded or Conditional=No project waste trigger.; Classification=Event Exclusion; Decision Required=Reassess before premises work.; Treatment=Activate LAW106 only for the project.; Source Register ID=P3-011</x:v>
      </x:c>
      <x:c r="E1145" s="33" t="str">
        <x:v>ADD</x:v>
      </x:c>
      <x:c r="F1145" s="33" t="str">
        <x:v>Control environmental role/threshold exclusions, jurisdiction gaps, future duties and Common Core boundary.</x:v>
      </x:c>
      <x:c r="G1145" s="33" t="str">
        <x:v>P-3 official-source review</x:v>
      </x:c>
      <x:c r="H1145" s="33" t="str">
        <x:v>P3 Applicability Matrix | P3 Jurisdiction Register</x:v>
      </x:c>
      <x:c r="I1145" s="33" t="str">
        <x:v>P-3</x:v>
      </x:c>
      <x:c r="J1145" s="33" t="str">
        <x:v>2026-08-20</x:v>
      </x:c>
      <x:c r="K1145" s="33" t="str">
        <x:v>New controlled P-3 record; schema preserved.</x:v>
      </x:c>
    </x:row>
    <x:row r="1146">
      <x:c r="A1146" s="33" t="str">
        <x:v>P3-008</x:v>
      </x:c>
      <x:c r="B1146" s="33" t="str">
        <x:v>Exclusion Register</x:v>
      </x:c>
      <x:c r="C1146" s="33" t="str">
        <x:v>Not present</x:v>
      </x:c>
      <x:c r="D1146" s="33" t="str">
        <x:v>Exclusion ID=P3-008; Instrument / Provision Family=Generic fire/trade/building/shops/SGST placeholders; Regulated Entity / Activity=National template without State/ULB profile; Reason Excluded or Conditional=No single national instrument supplies exact duties, thresholds, forms and conditions.; Classification=Jurisdiction Required; Decision Required=Attach exact State/local law and permit.; Treatment=Legacy generic production chains quarantined.; Source Register ID=P3-012</x:v>
      </x:c>
      <x:c r="E1146" s="33" t="str">
        <x:v>ADD</x:v>
      </x:c>
      <x:c r="F1146" s="33" t="str">
        <x:v>Control environmental role/threshold exclusions, jurisdiction gaps, future duties and Common Core boundary.</x:v>
      </x:c>
      <x:c r="G1146" s="33" t="str">
        <x:v>P-3 official-source review</x:v>
      </x:c>
      <x:c r="H1146" s="33" t="str">
        <x:v>P3 Applicability Matrix | P3 Jurisdiction Register</x:v>
      </x:c>
      <x:c r="I1146" s="33" t="str">
        <x:v>P-3</x:v>
      </x:c>
      <x:c r="J1146" s="33" t="str">
        <x:v>2026-08-20</x:v>
      </x:c>
      <x:c r="K1146" s="33" t="str">
        <x:v>New controlled P-3 record; schema preserved.</x:v>
      </x:c>
    </x:row>
    <x:row r="1147">
      <x:c r="A1147" s="33" t="str">
        <x:v>P3-009</x:v>
      </x:c>
      <x:c r="B1147" s="33" t="str">
        <x:v>Exclusion Register</x:v>
      </x:c>
      <x:c r="C1147" s="33" t="str">
        <x:v>Not present</x:v>
      </x:c>
      <x:c r="D1147" s="33" t="str">
        <x:v>Exclusion ID=P3-009; Instrument / Provision Family=DPDP private-operator compliance; Regulated Entity / Activity=Digital pharmacy before substantive commencement; Reason Excluded or Conditional=Final Act/Rules duties are staged and not current at the P-3 cutoff.; Classification=Future Effective; Decision Required=Maintain readiness plan and monitor commencement.; Treatment=Provision/compliance chains inactive until legal commencement.; Source Register ID=P3-022</x:v>
      </x:c>
      <x:c r="E1147" s="33" t="str">
        <x:v>ADD</x:v>
      </x:c>
      <x:c r="F1147" s="33" t="str">
        <x:v>Control environmental role/threshold exclusions, jurisdiction gaps, future duties and Common Core boundary.</x:v>
      </x:c>
      <x:c r="G1147" s="33" t="str">
        <x:v>P-3 official-source review</x:v>
      </x:c>
      <x:c r="H1147" s="33" t="str">
        <x:v>P3 Applicability Matrix | P3 Jurisdiction Register</x:v>
      </x:c>
      <x:c r="I1147" s="33" t="str">
        <x:v>P-3</x:v>
      </x:c>
      <x:c r="J1147" s="33" t="str">
        <x:v>2026-08-20</x:v>
      </x:c>
      <x:c r="K1147" s="33" t="str">
        <x:v>New controlled P-3 record; schema preserved.</x:v>
      </x:c>
    </x:row>
    <x:row r="1148">
      <x:c r="A1148" s="33" t="str">
        <x:v>P3-010</x:v>
      </x:c>
      <x:c r="B1148" s="33" t="str">
        <x:v>Exclusion Register</x:v>
      </x:c>
      <x:c r="C1148" s="33" t="str">
        <x:v>Not present</x:v>
      </x:c>
      <x:c r="D1148" s="33" t="str">
        <x:v>Exclusion ID=P3-010; Instrument / Provision Family=LLP/companies governance; Regulated Entity / Activity=Entity-form governance; Reason Excluded or Conditional=Owned by Common Corporate Core.; Classification=Common Core Exclusion; Decision Required=Combine at runtime using entity type.; Treatment=No physical duplication in Pharmacy dataset.; Source Register ID=P3-014</x:v>
      </x:c>
      <x:c r="E1148" s="33" t="str">
        <x:v>ADD</x:v>
      </x:c>
      <x:c r="F1148" s="33" t="str">
        <x:v>Control environmental role/threshold exclusions, jurisdiction gaps, future duties and Common Core boundary.</x:v>
      </x:c>
      <x:c r="G1148" s="33" t="str">
        <x:v>P-3 official-source review</x:v>
      </x:c>
      <x:c r="H1148" s="33" t="str">
        <x:v>P3 Applicability Matrix | P3 Jurisdiction Register</x:v>
      </x:c>
      <x:c r="I1148" s="33" t="str">
        <x:v>P-3</x:v>
      </x:c>
      <x:c r="J1148" s="33" t="str">
        <x:v>2026-08-20</x:v>
      </x:c>
      <x:c r="K1148" s="33" t="str">
        <x:v>New controlled P-3 record; schema preserved.</x:v>
      </x:c>
    </x:row>
    <x:row r="1149">
      <x:c r="A1149" s="33" t="str">
        <x:v>P3-011</x:v>
      </x:c>
      <x:c r="B1149" s="33" t="str">
        <x:v>Exclusion Register</x:v>
      </x:c>
      <x:c r="C1149" s="33" t="str">
        <x:v>Not present</x:v>
      </x:c>
      <x:c r="D1149" s="33" t="str">
        <x:v>Exclusion ID=P3-011; Instrument / Provision Family=NBC/BIS generic references; Regulated Entity / Activity=Unidentified standard not incorporated by law/QCO/permit; Reason Excluded or Conditional=Reference material is not automatically binding.; Classification=Reference Only; Decision Required=Identify exact incorporated standard/instrument.; Treatment=Generic LAW045/LAW093 chains inactive.; Source Register ID=P3-019</x:v>
      </x:c>
      <x:c r="E1149" s="33" t="str">
        <x:v>ADD</x:v>
      </x:c>
      <x:c r="F1149" s="33" t="str">
        <x:v>Control environmental role/threshold exclusions, jurisdiction gaps, future duties and Common Core boundary.</x:v>
      </x:c>
      <x:c r="G1149" s="33" t="str">
        <x:v>P-3 official-source review</x:v>
      </x:c>
      <x:c r="H1149" s="33" t="str">
        <x:v>P3 Applicability Matrix | P3 Jurisdiction Register</x:v>
      </x:c>
      <x:c r="I1149" s="33" t="str">
        <x:v>P-3</x:v>
      </x:c>
      <x:c r="J1149" s="33" t="str">
        <x:v>2026-08-20</x:v>
      </x:c>
      <x:c r="K1149" s="33" t="str">
        <x:v>New controlled P-3 record; schema preserved.</x:v>
      </x:c>
    </x:row>
    <x:row r="1150">
      <x:c r="A1150" s="33" t="str">
        <x:v>P3-012</x:v>
      </x:c>
      <x:c r="B1150" s="33" t="str">
        <x:v>Exclusion Register</x:v>
      </x:c>
      <x:c r="C1150" s="33" t="str">
        <x:v>Not present</x:v>
      </x:c>
      <x:c r="D1150" s="33" t="str">
        <x:v>Exclusion ID=P3-012; Instrument / Provision Family=Disaster/epidemic/public-health advisories; Regulated Entity / Activity=No current applicable order/regulation; Reason Excluded or Conditional=Parent Acts are event-authority statutes, not standing recurring pharmacy duties.; Classification=Event Based; Decision Required=Attach exact order, date, territory and duration.; Treatment=Activate only the exact binding event instrument.; Source Register ID=P3-024</x:v>
      </x:c>
      <x:c r="E1150" s="33" t="str">
        <x:v>ADD</x:v>
      </x:c>
      <x:c r="F1150" s="33" t="str">
        <x:v>Control environmental role/threshold exclusions, jurisdiction gaps, future duties and Common Core boundary.</x:v>
      </x:c>
      <x:c r="G1150" s="33" t="str">
        <x:v>P-3 official-source review</x:v>
      </x:c>
      <x:c r="H1150" s="33" t="str">
        <x:v>P3 Applicability Matrix | P3 Jurisdiction Register</x:v>
      </x:c>
      <x:c r="I1150" s="33" t="str">
        <x:v>P-3</x:v>
      </x:c>
      <x:c r="J1150" s="33" t="str">
        <x:v>2026-08-20</x:v>
      </x:c>
      <x:c r="K1150" s="33" t="str">
        <x:v>New controlled P-3 record; schema preserved.</x:v>
      </x:c>
    </x:row>
    <x:row r="1151">
      <x:c r="A1151" s="33" t="str">
        <x:v>P3-P3EnvCoverageTable</x:v>
      </x:c>
      <x:c r="B1151" s="33" t="str">
        <x:v>P3 Environmental Coverage</x:v>
      </x:c>
      <x:c r="C1151" s="33" t="str">
        <x:v>Not present</x:v>
      </x:c>
      <x:c r="D1151" s="33" t="str">
        <x:v>12 controlled rows</x:v>
      </x:c>
      <x:c r="E1151" s="33" t="str">
        <x:v>ADD</x:v>
      </x:c>
      <x:c r="F1151" s="33" t="str">
        <x:v>Create P3 Environmental Coverage.</x:v>
      </x:c>
      <x:c r="G1151" s="33" t="str">
        <x:v>P-3 validation</x:v>
      </x:c>
      <x:c r="H1151" s="33" t="str">
        <x:v>https://moef.gov.in/rules-regulations-3</x:v>
      </x:c>
      <x:c r="I1151" s="33" t="str">
        <x:v>P-3</x:v>
      </x:c>
      <x:c r="J1151" s="33" t="str">
        <x:v>2026-08-20</x:v>
      </x:c>
      <x:c r="K1151" s="33" t="str">
        <x:v>Supporting register added; production schemas unchanged.</x:v>
      </x:c>
    </x:row>
    <x:row r="1152">
      <x:c r="A1152" s="33" t="str">
        <x:v>P3-P3GenCoverageTable</x:v>
      </x:c>
      <x:c r="B1152" s="33" t="str">
        <x:v>P3 General Law Coverage</x:v>
      </x:c>
      <x:c r="C1152" s="33" t="str">
        <x:v>Not present</x:v>
      </x:c>
      <x:c r="D1152" s="33" t="str">
        <x:v>22 controlled rows</x:v>
      </x:c>
      <x:c r="E1152" s="33" t="str">
        <x:v>ADD</x:v>
      </x:c>
      <x:c r="F1152" s="33" t="str">
        <x:v>Create P3 General Law Coverage.</x:v>
      </x:c>
      <x:c r="G1152" s="33" t="str">
        <x:v>P-3 validation</x:v>
      </x:c>
      <x:c r="H1152" s="33" t="str">
        <x:v>https://moef.gov.in/rules-regulations-3</x:v>
      </x:c>
      <x:c r="I1152" s="33" t="str">
        <x:v>P-3</x:v>
      </x:c>
      <x:c r="J1152" s="33" t="str">
        <x:v>2026-08-20</x:v>
      </x:c>
      <x:c r="K1152" s="33" t="str">
        <x:v>Supporting register added; production schemas unchanged.</x:v>
      </x:c>
    </x:row>
    <x:row r="1153">
      <x:c r="A1153" s="33" t="str">
        <x:v>P3-P3ApplicabilityTable</x:v>
      </x:c>
      <x:c r="B1153" s="33" t="str">
        <x:v>P3 Applicability Matrix</x:v>
      </x:c>
      <x:c r="C1153" s="33" t="str">
        <x:v>Not present</x:v>
      </x:c>
      <x:c r="D1153" s="33" t="str">
        <x:v>20 controlled rows</x:v>
      </x:c>
      <x:c r="E1153" s="33" t="str">
        <x:v>ADD</x:v>
      </x:c>
      <x:c r="F1153" s="33" t="str">
        <x:v>Create P3 Applicability Matrix.</x:v>
      </x:c>
      <x:c r="G1153" s="33" t="str">
        <x:v>P-3 validation</x:v>
      </x:c>
      <x:c r="H1153" s="33" t="str">
        <x:v>https://moef.gov.in/rules-regulations-3</x:v>
      </x:c>
      <x:c r="I1153" s="33" t="str">
        <x:v>P-3</x:v>
      </x:c>
      <x:c r="J1153" s="33" t="str">
        <x:v>2026-08-20</x:v>
      </x:c>
      <x:c r="K1153" s="33" t="str">
        <x:v>Supporting register added; production schemas unchanged.</x:v>
      </x:c>
    </x:row>
    <x:row r="1154">
      <x:c r="A1154" s="33" t="str">
        <x:v>P3-P3CommencementTable</x:v>
      </x:c>
      <x:c r="B1154" s="33" t="str">
        <x:v>P3 Commencement Register</x:v>
      </x:c>
      <x:c r="C1154" s="33" t="str">
        <x:v>Not present</x:v>
      </x:c>
      <x:c r="D1154" s="33" t="str">
        <x:v>10 controlled rows</x:v>
      </x:c>
      <x:c r="E1154" s="33" t="str">
        <x:v>ADD</x:v>
      </x:c>
      <x:c r="F1154" s="33" t="str">
        <x:v>Create P3 Commencement Register.</x:v>
      </x:c>
      <x:c r="G1154" s="33" t="str">
        <x:v>P-3 validation</x:v>
      </x:c>
      <x:c r="H1154" s="33" t="str">
        <x:v>https://moef.gov.in/rules-regulations-3</x:v>
      </x:c>
      <x:c r="I1154" s="33" t="str">
        <x:v>P-3</x:v>
      </x:c>
      <x:c r="J1154" s="33" t="str">
        <x:v>2026-08-20</x:v>
      </x:c>
      <x:c r="K1154" s="33" t="str">
        <x:v>Supporting register added; production schemas unchanged.</x:v>
      </x:c>
    </x:row>
    <x:row r="1155">
      <x:c r="A1155" s="33" t="str">
        <x:v>P3-P3JurisdictionTable</x:v>
      </x:c>
      <x:c r="B1155" s="33" t="str">
        <x:v>P3 Jurisdiction Register</x:v>
      </x:c>
      <x:c r="C1155" s="33" t="str">
        <x:v>Not present</x:v>
      </x:c>
      <x:c r="D1155" s="33" t="str">
        <x:v>7 controlled rows</x:v>
      </x:c>
      <x:c r="E1155" s="33" t="str">
        <x:v>ADD</x:v>
      </x:c>
      <x:c r="F1155" s="33" t="str">
        <x:v>Create P3 Jurisdiction Register.</x:v>
      </x:c>
      <x:c r="G1155" s="33" t="str">
        <x:v>P-3 validation</x:v>
      </x:c>
      <x:c r="H1155" s="33" t="str">
        <x:v>https://moef.gov.in/rules-regulations-3</x:v>
      </x:c>
      <x:c r="I1155" s="33" t="str">
        <x:v>P-3</x:v>
      </x:c>
      <x:c r="J1155" s="33" t="str">
        <x:v>2026-08-20</x:v>
      </x:c>
      <x:c r="K1155" s="33" t="str">
        <x:v>Supporting register added; production schemas unchanged.</x:v>
      </x:c>
    </x:row>
    <x:row r="1156">
      <x:c r="A1156" s="33" t="str">
        <x:v>P3-GATE</x:v>
      </x:c>
      <x:c r="B1156" s="33" t="str">
        <x:v>P3 Gate Summary</x:v>
      </x:c>
      <x:c r="C1156" s="33" t="str">
        <x:v>Not present</x:v>
      </x:c>
      <x:c r="D1156" s="33" t="str">
        <x:v>P-3 gate PASS</x:v>
      </x:c>
      <x:c r="E1156" s="33" t="str">
        <x:v>ADD</x:v>
      </x:c>
      <x:c r="F1156" s="33" t="str">
        <x:v>Formalize P-3 completion.</x:v>
      </x:c>
      <x:c r="G1156" s="33" t="str">
        <x:v>P-3 registers</x:v>
      </x:c>
      <x:c r="H1156" s="33" t="str">
        <x:v>https://moef.gov.in/rules-regulations-3</x:v>
      </x:c>
      <x:c r="I1156" s="33" t="str">
        <x:v>P-3</x:v>
      </x:c>
      <x:c r="J1156" s="33" t="str">
        <x:v>2026-08-20</x:v>
      </x:c>
      <x:c r="K1156" s="33" t="str">
        <x:v>Authorizes P-4; workbook remains not frozen.</x:v>
      </x:c>
    </x:row>
    <x:row r="1157">
      <x:c r="A1157" s="33" t="str">
        <x:v>v1.0-P3</x:v>
      </x:c>
      <x:c r="B1157" s="33" t="str">
        <x:v>Version History</x:v>
      </x:c>
      <x:c r="C1157" s="33" t="str">
        <x:v>Not present</x:v>
      </x:c>
      <x:c r="D1157" s="33" t="str">
        <x:v>P-3 COMPLETE — NOT FROZEN</x:v>
      </x:c>
      <x:c r="E1157" s="33" t="str">
        <x:v>ADD</x:v>
      </x:c>
      <x:c r="F1157" s="33" t="str">
        <x:v>Record P-3 completion.</x:v>
      </x:c>
      <x:c r="G1157" s="33" t="str">
        <x:v>P3 Gate Summary</x:v>
      </x:c>
      <x:c r="H1157" s="33" t="str">
        <x:v>P-3</x:v>
      </x:c>
      <x:c r="I1157" s="33" t="str">
        <x:v>P-3</x:v>
      </x:c>
      <x:c r="J1157" s="33" t="str">
        <x:v>2026-08-20</x:v>
      </x:c>
      <x:c r="K1157" s="33" t="str">
        <x:v>Working-copy history updated.</x:v>
      </x:c>
    </x:row>
    <x:row r="1158">
      <x:c r="A1158" s="33" t="str">
        <x:v>Freeze Decision</x:v>
      </x:c>
      <x:c r="B1158" s="33" t="str">
        <x:v>QA Summary</x:v>
      </x:c>
      <x:c r="C1158" s="33" t="str">
        <x:v>Result=P-2 COMPLETE — NEXT GATE OPEN; Notes=Drugs Rules deep validation passed through 20-08-2026. Workbook remains not frozen pending environmental/general-law and remaining applicability/technical gates.</x:v>
      </x:c>
      <x:c r="D1158" s="33" t="str">
        <x:v>Result=P-3 COMPLETE — NEXT GATE OPEN; Notes=Environmental/general-law validation passed through 20-08-2026. Workbook remains not frozen pending P-4 remaining technical/entity-applicability validation.</x:v>
      </x:c>
      <x:c r="E1158" s="33" t="str">
        <x:v>CORRECT</x:v>
      </x:c>
      <x:c r="F1158" s="33" t="str">
        <x:v>Update phase QA decision without overstating final freeze.</x:v>
      </x:c>
      <x:c r="G1158" s="33" t="str">
        <x:v>P3 Gate Summary</x:v>
      </x:c>
      <x:c r="H1158" s="33" t="str">
        <x:v>P-3</x:v>
      </x:c>
      <x:c r="I1158" s="33" t="str">
        <x:v>P-3</x:v>
      </x:c>
      <x:c r="J1158" s="33" t="str">
        <x:v>2026-08-20</x:v>
      </x:c>
      <x:c r="K1158" s="33" t="str">
        <x:v>P-3 status synchronized.</x:v>
      </x:c>
    </x:row>
    <x:row r="1159">
      <x:c r="A1159" s="33" t="str">
        <x:v>Enum Validation</x:v>
      </x:c>
      <x:c r="B1159" s="33" t="str">
        <x:v>QA Summary</x:v>
      </x:c>
      <x:c r="C1159" s="33" t="str">
        <x:v>Result=P-2 SCOPE PASS — LEGACY BACKLOG; Notes=All P-2 added or modified controlled values conform to the approved enums. Unmodified legacy irregular values remain for later gates; this working copy is not frozen.</x:v>
      </x:c>
      <x:c r="D1159" s="33" t="str">
        <x:v>Result=P-3 SCOPE PASS — LEGACY BACKLOG; Notes=All P-3 added/modified production enum values were controlled. Jurisdiction and future-effective items are explicitly inactive; final whole-workbook closeout remains P-4.</x:v>
      </x:c>
      <x:c r="E1159" s="33" t="str">
        <x:v>CORRECT</x:v>
      </x:c>
      <x:c r="F1159" s="33" t="str">
        <x:v>Update phase QA decision without overstating final freeze.</x:v>
      </x:c>
      <x:c r="G1159" s="33" t="str">
        <x:v>P3 Gate Summary</x:v>
      </x:c>
      <x:c r="H1159" s="33" t="str">
        <x:v>P-3</x:v>
      </x:c>
      <x:c r="I1159" s="33" t="str">
        <x:v>P-3</x:v>
      </x:c>
      <x:c r="J1159" s="33" t="str">
        <x:v>2026-08-20</x:v>
      </x:c>
      <x:c r="K1159" s="33" t="str">
        <x:v>P-3 status synchronized.</x:v>
      </x:c>
    </x:row>
    <x:row r="1160">
      <x:c r="A1160" s="33" t="str">
        <x:v>Execution Chain Validation</x:v>
      </x:c>
      <x:c r="B1160" s="33" t="str">
        <x:v>QA Summary</x:v>
      </x:c>
      <x:c r="C1160" s="33" t="str">
        <x:v>Result=P-2 SCOPE PASS — WORKBOOK OPEN; Notes=All P-2 added, replaced and rescued Drugs Rules chains resolve from Law through Observation. Non-P-2 active/inactive relationships remain controlled backlog for later gates.</x:v>
      </x:c>
      <x:c r="D1160" s="33" t="str">
        <x:v>Result=P-3 SCOPE PASS — WORKBOOK OPEN; Notes=All new P-3 production compliances have complete Law→Provision→Compliance→Audit→Evidence→Observation chains. Quarantined legacy chains are inactive.</x:v>
      </x:c>
      <x:c r="E1160" s="33" t="str">
        <x:v>CORRECT</x:v>
      </x:c>
      <x:c r="F1160" s="33" t="str">
        <x:v>Update phase QA decision without overstating final freeze.</x:v>
      </x:c>
      <x:c r="G1160" s="33" t="str">
        <x:v>P3 Gate Summary</x:v>
      </x:c>
      <x:c r="H1160" s="33" t="str">
        <x:v>P-3</x:v>
      </x:c>
      <x:c r="I1160" s="33" t="str">
        <x:v>P-3</x:v>
      </x:c>
      <x:c r="J1160" s="33" t="str">
        <x:v>2026-08-20</x:v>
      </x:c>
      <x:c r="K1160" s="33" t="str">
        <x:v>P-3 status synchronized.</x:v>
      </x:c>
    </x:row>
    <x:row r="1161">
      <x:c r="A1161" s="33" t="str">
        <x:v>Status</x:v>
      </x:c>
      <x:c r="B1161" s="33" t="str">
        <x:v>Freeze Certificate</x:v>
      </x:c>
      <x:c r="C1161" s="33" t="str">
        <x:v>Value=BASELINE CERTIFICATE RETAINED — P-2 WORKING COPY NOT FROZEN</x:v>
      </x:c>
      <x:c r="D1161" s="33" t="str">
        <x:v>Value=BASELINE CERTIFICATE RETAINED — P-3 WORKING COPY NOT FROZEN</x:v>
      </x:c>
      <x:c r="E1161" s="33" t="str">
        <x:v>CORRECT</x:v>
      </x:c>
      <x:c r="F1161" s="33" t="str">
        <x:v>Prevent baseline certificate from certifying the P-3 working copy.</x:v>
      </x:c>
      <x:c r="G1161" s="33" t="str">
        <x:v>P3 Gate Summary</x:v>
      </x:c>
      <x:c r="H1161" s="33" t="str">
        <x:v>P3 Gate Summary</x:v>
      </x:c>
      <x:c r="I1161" s="33" t="str">
        <x:v>P-3</x:v>
      </x:c>
      <x:c r="J1161" s="33" t="str">
        <x:v>2026-08-20</x:v>
      </x:c>
      <x:c r="K1161" s="33" t="str">
        <x:v>Working-copy status updated; baseline certificate preserved.</x:v>
      </x:c>
    </x:row>
    <x:row r="1162">
      <x:c r="A1162" s="33" t="str">
        <x:v>Certification Statement</x:v>
      </x:c>
      <x:c r="B1162" s="33" t="str">
        <x:v>Freeze Certificate</x:v>
      </x:c>
      <x:c r="C1162" s="33" t="str">
        <x:v>Value=This sheet records the original v1.0 baseline certificate. The present P-2 working copy is not frozen and must not be treated as final production until all remaining Pharmacy gates pass.</x:v>
      </x:c>
      <x:c r="D1162" s="33" t="str">
        <x:v>Value=This sheet records the original v1.0 baseline certificate. The present P-3 working copy is not frozen and must not be treated as final production until P-4 and final closeout pass.</x:v>
      </x:c>
      <x:c r="E1162" s="33" t="str">
        <x:v>CORRECT</x:v>
      </x:c>
      <x:c r="F1162" s="33" t="str">
        <x:v>Clarify certificate scope.</x:v>
      </x:c>
      <x:c r="G1162" s="33" t="str">
        <x:v>P3 Gate Summary</x:v>
      </x:c>
      <x:c r="H1162" s="33" t="str">
        <x:v>P3 Gate Summary</x:v>
      </x:c>
      <x:c r="I1162" s="33" t="str">
        <x:v>P-3</x:v>
      </x:c>
      <x:c r="J1162" s="33" t="str">
        <x:v>2026-08-20</x:v>
      </x:c>
      <x:c r="K1162" s="33" t="str">
        <x:v>Working-copy status updated; baseline certificate preserved.</x:v>
      </x:c>
    </x:row>
    <x:row r="1163">
      <x:c r="A1163" s="33" t="str">
        <x:v>QA-Law Master</x:v>
      </x:c>
      <x:c r="B1163" s="33" t="str">
        <x:v>QA Summary</x:v>
      </x:c>
      <x:c r="C1163" s="33" t="str">
        <x:v>Records=100</x:v>
      </x:c>
      <x:c r="D1163" s="33" t="str">
        <x:v>Records=111</x:v>
      </x:c>
      <x:c r="E1163" s="33" t="str">
        <x:v>CORRECT</x:v>
      </x:c>
      <x:c r="F1163" s="33" t="str">
        <x:v>Synchronize master record count after P-3 additions.</x:v>
      </x:c>
      <x:c r="G1163" s="33" t="str">
        <x:v>P3 Gate Summary</x:v>
      </x:c>
      <x:c r="H1163" s="33" t="str">
        <x:v>P-3</x:v>
      </x:c>
      <x:c r="I1163" s="33" t="str">
        <x:v>P-3</x:v>
      </x:c>
      <x:c r="J1163" s="33" t="str">
        <x:v>2026-08-20</x:v>
      </x:c>
      <x:c r="K1163" s="33" t="str">
        <x:v>QA count updated.</x:v>
      </x:c>
    </x:row>
    <x:row r="1164">
      <x:c r="A1164" s="33" t="str">
        <x:v>QA-Law_ComplianceArea_Map</x:v>
      </x:c>
      <x:c r="B1164" s="33" t="str">
        <x:v>QA Summary</x:v>
      </x:c>
      <x:c r="C1164" s="33" t="str">
        <x:v>Records=150</x:v>
      </x:c>
      <x:c r="D1164" s="33" t="str">
        <x:v>Records=161</x:v>
      </x:c>
      <x:c r="E1164" s="33" t="str">
        <x:v>CORRECT</x:v>
      </x:c>
      <x:c r="F1164" s="33" t="str">
        <x:v>Synchronize master record count after P-3 additions.</x:v>
      </x:c>
      <x:c r="G1164" s="33" t="str">
        <x:v>P3 Gate Summary</x:v>
      </x:c>
      <x:c r="H1164" s="33" t="str">
        <x:v>P-3</x:v>
      </x:c>
      <x:c r="I1164" s="33" t="str">
        <x:v>P-3</x:v>
      </x:c>
      <x:c r="J1164" s="33" t="str">
        <x:v>2026-08-20</x:v>
      </x:c>
      <x:c r="K1164" s="33" t="str">
        <x:v>QA count updated.</x:v>
      </x:c>
    </x:row>
    <x:row r="1165">
      <x:c r="A1165" s="33" t="str">
        <x:v>QA-Provision Master</x:v>
      </x:c>
      <x:c r="B1165" s="33" t="str">
        <x:v>QA Summary</x:v>
      </x:c>
      <x:c r="C1165" s="33" t="str">
        <x:v>Records=750</x:v>
      </x:c>
      <x:c r="D1165" s="33" t="str">
        <x:v>Records=762</x:v>
      </x:c>
      <x:c r="E1165" s="33" t="str">
        <x:v>CORRECT</x:v>
      </x:c>
      <x:c r="F1165" s="33" t="str">
        <x:v>Synchronize master record count after P-3 additions.</x:v>
      </x:c>
      <x:c r="G1165" s="33" t="str">
        <x:v>P3 Gate Summary</x:v>
      </x:c>
      <x:c r="H1165" s="33" t="str">
        <x:v>P-3</x:v>
      </x:c>
      <x:c r="I1165" s="33" t="str">
        <x:v>P-3</x:v>
      </x:c>
      <x:c r="J1165" s="33" t="str">
        <x:v>2026-08-20</x:v>
      </x:c>
      <x:c r="K1165" s="33" t="str">
        <x:v>QA count updated.</x:v>
      </x:c>
    </x:row>
    <x:row r="1166">
      <x:c r="A1166" s="33" t="str">
        <x:v>QA-Provision_ComplianceArea_Map</x:v>
      </x:c>
      <x:c r="B1166" s="33" t="str">
        <x:v>QA Summary</x:v>
      </x:c>
      <x:c r="C1166" s="33" t="str">
        <x:v>Records=533</x:v>
      </x:c>
      <x:c r="D1166" s="33" t="str">
        <x:v>Records=545</x:v>
      </x:c>
      <x:c r="E1166" s="33" t="str">
        <x:v>CORRECT</x:v>
      </x:c>
      <x:c r="F1166" s="33" t="str">
        <x:v>Synchronize master record count after P-3 additions.</x:v>
      </x:c>
      <x:c r="G1166" s="33" t="str">
        <x:v>P3 Gate Summary</x:v>
      </x:c>
      <x:c r="H1166" s="33" t="str">
        <x:v>P-3</x:v>
      </x:c>
      <x:c r="I1166" s="33" t="str">
        <x:v>P-3</x:v>
      </x:c>
      <x:c r="J1166" s="33" t="str">
        <x:v>2026-08-20</x:v>
      </x:c>
      <x:c r="K1166" s="33" t="str">
        <x:v>QA count updated.</x:v>
      </x:c>
    </x:row>
    <x:row r="1167">
      <x:c r="A1167" s="33" t="str">
        <x:v>QA-Compliance Requirement Master</x:v>
      </x:c>
      <x:c r="B1167" s="33" t="str">
        <x:v>QA Summary</x:v>
      </x:c>
      <x:c r="C1167" s="33" t="str">
        <x:v>Records=725</x:v>
      </x:c>
      <x:c r="D1167" s="33" t="str">
        <x:v>Records=737</x:v>
      </x:c>
      <x:c r="E1167" s="33" t="str">
        <x:v>CORRECT</x:v>
      </x:c>
      <x:c r="F1167" s="33" t="str">
        <x:v>Synchronize master record count after P-3 additions.</x:v>
      </x:c>
      <x:c r="G1167" s="33" t="str">
        <x:v>P3 Gate Summary</x:v>
      </x:c>
      <x:c r="H1167" s="33" t="str">
        <x:v>P-3</x:v>
      </x:c>
      <x:c r="I1167" s="33" t="str">
        <x:v>P-3</x:v>
      </x:c>
      <x:c r="J1167" s="33" t="str">
        <x:v>2026-08-20</x:v>
      </x:c>
      <x:c r="K1167" s="33" t="str">
        <x:v>QA count updated.</x:v>
      </x:c>
    </x:row>
    <x:row r="1168">
      <x:c r="A1168" s="33" t="str">
        <x:v>QA-Audit Procedure Master</x:v>
      </x:c>
      <x:c r="B1168" s="33" t="str">
        <x:v>QA Summary</x:v>
      </x:c>
      <x:c r="C1168" s="33" t="str">
        <x:v>Records=1020</x:v>
      </x:c>
      <x:c r="D1168" s="33" t="str">
        <x:v>Records=1044</x:v>
      </x:c>
      <x:c r="E1168" s="33" t="str">
        <x:v>CORRECT</x:v>
      </x:c>
      <x:c r="F1168" s="33" t="str">
        <x:v>Synchronize master record count after P-3 additions.</x:v>
      </x:c>
      <x:c r="G1168" s="33" t="str">
        <x:v>P3 Gate Summary</x:v>
      </x:c>
      <x:c r="H1168" s="33" t="str">
        <x:v>P-3</x:v>
      </x:c>
      <x:c r="I1168" s="33" t="str">
        <x:v>P-3</x:v>
      </x:c>
      <x:c r="J1168" s="33" t="str">
        <x:v>2026-08-20</x:v>
      </x:c>
      <x:c r="K1168" s="33" t="str">
        <x:v>QA count updated.</x:v>
      </x:c>
    </x:row>
    <x:row r="1169">
      <x:c r="A1169" s="33" t="str">
        <x:v>QA-Evidence Master</x:v>
      </x:c>
      <x:c r="B1169" s="33" t="str">
        <x:v>QA Summary</x:v>
      </x:c>
      <x:c r="C1169" s="33" t="str">
        <x:v>Records=1069</x:v>
      </x:c>
      <x:c r="D1169" s="33" t="str">
        <x:v>Records=1093</x:v>
      </x:c>
      <x:c r="E1169" s="33" t="str">
        <x:v>CORRECT</x:v>
      </x:c>
      <x:c r="F1169" s="33" t="str">
        <x:v>Synchronize master record count after P-3 additions.</x:v>
      </x:c>
      <x:c r="G1169" s="33" t="str">
        <x:v>P3 Gate Summary</x:v>
      </x:c>
      <x:c r="H1169" s="33" t="str">
        <x:v>P-3</x:v>
      </x:c>
      <x:c r="I1169" s="33" t="str">
        <x:v>P-3</x:v>
      </x:c>
      <x:c r="J1169" s="33" t="str">
        <x:v>2026-08-20</x:v>
      </x:c>
      <x:c r="K1169" s="33" t="str">
        <x:v>QA count updated.</x:v>
      </x:c>
    </x:row>
    <x:row r="1170">
      <x:c r="A1170" s="33" t="str">
        <x:v>QA-Observation Master</x:v>
      </x:c>
      <x:c r="B1170" s="33" t="str">
        <x:v>QA Summary</x:v>
      </x:c>
      <x:c r="C1170" s="33" t="str">
        <x:v>Records=749</x:v>
      </x:c>
      <x:c r="D1170" s="33" t="str">
        <x:v>Records=773</x:v>
      </x:c>
      <x:c r="E1170" s="33" t="str">
        <x:v>CORRECT</x:v>
      </x:c>
      <x:c r="F1170" s="33" t="str">
        <x:v>Synchronize master record count after P-3 additions.</x:v>
      </x:c>
      <x:c r="G1170" s="33" t="str">
        <x:v>P3 Gate Summary</x:v>
      </x:c>
      <x:c r="H1170" s="33" t="str">
        <x:v>P-3</x:v>
      </x:c>
      <x:c r="I1170" s="33" t="str">
        <x:v>P-3</x:v>
      </x:c>
      <x:c r="J1170" s="33" t="str">
        <x:v>2026-08-20</x:v>
      </x:c>
      <x:c r="K1170" s="33" t="str">
        <x:v>QA count updated.</x:v>
      </x:c>
    </x:row>
    <x:row r="1171">
      <x:c r="A1171" s="33" t="str">
        <x:v>QA-Version History</x:v>
      </x:c>
      <x:c r="B1171" s="33" t="str">
        <x:v>QA Summary</x:v>
      </x:c>
      <x:c r="C1171" s="33" t="str">
        <x:v>Records=4</x:v>
      </x:c>
      <x:c r="D1171" s="33" t="str">
        <x:v>Records=5</x:v>
      </x:c>
      <x:c r="E1171" s="33" t="str">
        <x:v>CORRECT</x:v>
      </x:c>
      <x:c r="F1171" s="33" t="str">
        <x:v>Synchronize master record count after P-3 additions.</x:v>
      </x:c>
      <x:c r="G1171" s="33" t="str">
        <x:v>P3 Gate Summary</x:v>
      </x:c>
      <x:c r="H1171" s="33" t="str">
        <x:v>P-3</x:v>
      </x:c>
      <x:c r="I1171" s="33" t="str">
        <x:v>P-3</x:v>
      </x:c>
      <x:c r="J1171" s="33" t="str">
        <x:v>2026-08-20</x:v>
      </x:c>
      <x:c r="K1171" s="33" t="str">
        <x:v>QA count updated.</x:v>
      </x:c>
    </x:row>
    <x:row r="1172">
      <x:c r="A1172" s="33" t="str">
        <x:v>SUB008</x:v>
      </x:c>
      <x:c r="B1172" s="33" t="str">
        <x:v>Sub-Sector Master</x:v>
      </x:c>
      <x:c r="C1172" s="33" t="str">
        <x:v>Description=; Active=</x:v>
      </x:c>
      <x:c r="D1172" s="33" t="str">
        <x:v>Description=Pharmacies selling and dispensing homoeopathic medicines under the applicable Drugs Rules Part VI-A and licence conditions.; Active=Yes</x:v>
      </x:c>
      <x:c r="E1172" s="33" t="str">
        <x:v>CORRECT / RECLASSIFY</x:v>
      </x:c>
      <x:c r="F1172" s="33" t="str">
        <x:v>Complete the approved nine-sub-sector taxonomy; no new regulated entity role is introduced.</x:v>
      </x:c>
      <x:c r="G1172" s="33" t="str">
        <x:v>P-4 taxonomy validation</x:v>
      </x:c>
      <x:c r="H1172" s="33" t="str">
        <x:v>P-4</x:v>
      </x:c>
      <x:c r="I1172" s="33" t="str">
        <x:v>P-4</x:v>
      </x:c>
      <x:c r="J1172" s="33" t="str">
        <x:v>2026-08-20</x:v>
      </x:c>
      <x:c r="K1172" s="33" t="str">
        <x:v>SUB008 and SUB009 become usable production taxonomy records.</x:v>
      </x:c>
    </x:row>
    <x:row r="1173">
      <x:c r="A1173" s="33" t="str">
        <x:v>SUB009</x:v>
      </x:c>
      <x:c r="B1173" s="33" t="str">
        <x:v>Sub-Sector Master</x:v>
      </x:c>
      <x:c r="C1173" s="33" t="str">
        <x:v>Description=; Active=</x:v>
      </x:c>
      <x:c r="D1173" s="33" t="str">
        <x:v>Description=Pharmacies selling and dispensing Ayurveda, Siddha, Unani and other AYUSH medicines under the exact product, licence and jurisdictional framework applicable to the establishment.; Active=Yes</x:v>
      </x:c>
      <x:c r="E1173" s="33" t="str">
        <x:v>CORRECT / RECLASSIFY</x:v>
      </x:c>
      <x:c r="F1173" s="33" t="str">
        <x:v>Complete the approved nine-sub-sector taxonomy; no new regulated entity role is introduced.</x:v>
      </x:c>
      <x:c r="G1173" s="33" t="str">
        <x:v>P-4 taxonomy validation</x:v>
      </x:c>
      <x:c r="H1173" s="33" t="str">
        <x:v>P-4</x:v>
      </x:c>
      <x:c r="I1173" s="33" t="str">
        <x:v>P-4</x:v>
      </x:c>
      <x:c r="J1173" s="33" t="str">
        <x:v>2026-08-20</x:v>
      </x:c>
      <x:c r="K1173" s="33" t="str">
        <x:v>SUB008 and SUB009 become usable production taxonomy records.</x:v>
      </x:c>
    </x:row>
    <x:row r="1174">
      <x:c r="A1174" s="33" t="str">
        <x:v>LAW005</x:v>
      </x:c>
      <x:c r="B1174" s="33" t="str">
        <x:v>Law Master</x:v>
      </x:c>
      <x:c r="C1174" s="33" t="str">
        <x:v>Active=Yes; Applicability Type=Conditional; Remarks=Relevant where qualification verification is required.</x:v>
      </x:c>
      <x:c r="D1174" s="33" t="str">
        <x:v>Active=No; Applicability Type=Conditional; Remarks=P-4 RECLASSIFIED: source family, generic jurisdiction placeholder, superseded/duplicative reference, or regulated role outside the approved pharmacy-operator taxonomy; exact applicable instrument must be attached before activation.</x:v>
      </x:c>
      <x:c r="E1174" s="33" t="str">
        <x:v>CORRECT / RECLASSIFY</x:v>
      </x:c>
      <x:c r="F1174" s="33" t="str">
        <x:v>Resolve residual technical, source-family, jurisdiction and regulated-role applicability at the law level.</x:v>
      </x:c>
      <x:c r="G1174" s="33" t="str">
        <x:v>Official India Code, CDSCO, PCI, NPPA and Clinical Establishments sources</x:v>
      </x:c>
      <x:c r="H117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74" s="33" t="str">
        <x:v>P-4</x:v>
      </x:c>
      <x:c r="J1174" s="33" t="str">
        <x:v>2026-08-20</x:v>
      </x:c>
      <x:c r="K1174" s="33" t="str">
        <x:v>Active law universe now matches the approved pharmacy-operator taxonomy.</x:v>
      </x:c>
    </x:row>
    <x:row r="1175">
      <x:c r="A1175" s="33" t="str">
        <x:v>LAW007</x:v>
      </x:c>
      <x:c r="B1175" s="33" t="str">
        <x:v>Law Master</x:v>
      </x:c>
      <x:c r="C1175" s="33" t="str">
        <x:v>Active=Yes; Applicability Type=Conditional; Remarks=Updated whenever NPPA revises prices.</x:v>
      </x:c>
      <x:c r="D1175" s="33" t="str">
        <x:v>Active=No; Applicability Type=Conditional; Remarks=P-4 RECLASSIFIED: source family, generic jurisdiction placeholder, superseded/duplicative reference, or regulated role outside the approved pharmacy-operator taxonomy; exact applicable instrument must be attached before activation.</x:v>
      </x:c>
      <x:c r="E1175" s="33" t="str">
        <x:v>CORRECT / RECLASSIFY</x:v>
      </x:c>
      <x:c r="F1175" s="33" t="str">
        <x:v>Resolve residual technical, source-family, jurisdiction and regulated-role applicability at the law level.</x:v>
      </x:c>
      <x:c r="G1175" s="33" t="str">
        <x:v>Official India Code, CDSCO, PCI, NPPA and Clinical Establishments sources</x:v>
      </x:c>
      <x:c r="H117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75" s="33" t="str">
        <x:v>P-4</x:v>
      </x:c>
      <x:c r="J1175" s="33" t="str">
        <x:v>2026-08-20</x:v>
      </x:c>
      <x:c r="K1175" s="33" t="str">
        <x:v>Active law universe now matches the approved pharmacy-operator taxonomy.</x:v>
      </x:c>
    </x:row>
    <x:row r="1176">
      <x:c r="A1176" s="33" t="str">
        <x:v>LAW008</x:v>
      </x:c>
      <x:c r="B1176" s="33" t="str">
        <x:v>Law Master</x:v>
      </x:c>
      <x:c r="C1176" s="33" t="str">
        <x:v>Active=Yes; Applicability Type=Conditional; Remarks=Mainly applicable to research institutions and certain pharmacies.</x:v>
      </x:c>
      <x:c r="D1176" s="33" t="str">
        <x:v>Active=No; Applicability Type=Conditional; Remarks=P-4 RECLASSIFIED: source family, generic jurisdiction placeholder, superseded/duplicative reference, or regulated role outside the approved pharmacy-operator taxonomy; exact applicable instrument must be attached before activation.</x:v>
      </x:c>
      <x:c r="E1176" s="33" t="str">
        <x:v>CORRECT / RECLASSIFY</x:v>
      </x:c>
      <x:c r="F1176" s="33" t="str">
        <x:v>Resolve residual technical, source-family, jurisdiction and regulated-role applicability at the law level.</x:v>
      </x:c>
      <x:c r="G1176" s="33" t="str">
        <x:v>Official India Code, CDSCO, PCI, NPPA and Clinical Establishments sources</x:v>
      </x:c>
      <x:c r="H117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76" s="33" t="str">
        <x:v>P-4</x:v>
      </x:c>
      <x:c r="J1176" s="33" t="str">
        <x:v>2026-08-20</x:v>
      </x:c>
      <x:c r="K1176" s="33" t="str">
        <x:v>Active law universe now matches the approved pharmacy-operator taxonomy.</x:v>
      </x:c>
    </x:row>
    <x:row r="1177">
      <x:c r="A1177" s="33" t="str">
        <x:v>LAW009</x:v>
      </x:c>
      <x:c r="B1177" s="33" t="str">
        <x:v>Law Master</x:v>
      </x:c>
      <x:c r="C1177" s="33" t="str">
        <x:v>Active=Yes; Applicability Type=Best Practice / Regulatory Expectation; Remarks=Applicable particularly to wholesalers and distributors.</x:v>
      </x:c>
      <x:c r="D1177" s="33" t="str">
        <x:v>Active=No; Applicability Type=Conditional; Remarks=P-4 RECLASSIFIED: source family, generic jurisdiction placeholder, superseded/duplicative reference, or regulated role outside the approved pharmacy-operator taxonomy; exact applicable instrument must be attached before activation.</x:v>
      </x:c>
      <x:c r="E1177" s="33" t="str">
        <x:v>CORRECT / RECLASSIFY</x:v>
      </x:c>
      <x:c r="F1177" s="33" t="str">
        <x:v>Resolve residual technical, source-family, jurisdiction and regulated-role applicability at the law level.</x:v>
      </x:c>
      <x:c r="G1177" s="33" t="str">
        <x:v>Official India Code, CDSCO, PCI, NPPA and Clinical Establishments sources</x:v>
      </x:c>
      <x:c r="H117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77" s="33" t="str">
        <x:v>P-4</x:v>
      </x:c>
      <x:c r="J1177" s="33" t="str">
        <x:v>2026-08-20</x:v>
      </x:c>
      <x:c r="K1177" s="33" t="str">
        <x:v>Active law universe now matches the approved pharmacy-operator taxonomy.</x:v>
      </x:c>
    </x:row>
    <x:row r="1178">
      <x:c r="A1178" s="33" t="str">
        <x:v>LAW010</x:v>
      </x:c>
      <x:c r="B1178" s="33" t="str">
        <x:v>Law Master</x:v>
      </x:c>
      <x:c r="C1178" s="33" t="str">
        <x:v>Active=Yes; Applicability Type=Regulatory Expectation; Remarks=Temperature, humidity and storage controls.</x:v>
      </x:c>
      <x:c r="D1178" s="33" t="str">
        <x:v>Active=No; Applicability Type=Conditional; Remarks=P-4 RECLASSIFIED: source family, generic jurisdiction placeholder, superseded/duplicative reference, or regulated role outside the approved pharmacy-operator taxonomy; exact applicable instrument must be attached before activation.</x:v>
      </x:c>
      <x:c r="E1178" s="33" t="str">
        <x:v>CORRECT / RECLASSIFY</x:v>
      </x:c>
      <x:c r="F1178" s="33" t="str">
        <x:v>Resolve residual technical, source-family, jurisdiction and regulated-role applicability at the law level.</x:v>
      </x:c>
      <x:c r="G1178" s="33" t="str">
        <x:v>Official India Code, CDSCO, PCI, NPPA and Clinical Establishments sources</x:v>
      </x:c>
      <x:c r="H117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78" s="33" t="str">
        <x:v>P-4</x:v>
      </x:c>
      <x:c r="J1178" s="33" t="str">
        <x:v>2026-08-20</x:v>
      </x:c>
      <x:c r="K1178" s="33" t="str">
        <x:v>Active law universe now matches the approved pharmacy-operator taxonomy.</x:v>
      </x:c>
    </x:row>
    <x:row r="1179">
      <x:c r="A1179" s="33" t="str">
        <x:v>LAW017</x:v>
      </x:c>
      <x:c r="B1179" s="33" t="str">
        <x:v>Law Master</x:v>
      </x:c>
      <x:c r="C1179" s="33" t="str">
        <x:v>Active=Yes; Applicability Type=Conditional; Remarks=Enforcement guidance where applicable.</x:v>
      </x:c>
      <x:c r="D1179" s="33" t="str">
        <x:v>Active=No; Applicability Type=Conditional; Remarks=P-4 RECLASSIFIED: source family, generic jurisdiction placeholder, superseded/duplicative reference, or regulated role outside the approved pharmacy-operator taxonomy; exact applicable instrument must be attached before activation.</x:v>
      </x:c>
      <x:c r="E1179" s="33" t="str">
        <x:v>CORRECT / RECLASSIFY</x:v>
      </x:c>
      <x:c r="F1179" s="33" t="str">
        <x:v>Resolve residual technical, source-family, jurisdiction and regulated-role applicability at the law level.</x:v>
      </x:c>
      <x:c r="G1179" s="33" t="str">
        <x:v>Official India Code, CDSCO, PCI, NPPA and Clinical Establishments sources</x:v>
      </x:c>
      <x:c r="H117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79" s="33" t="str">
        <x:v>P-4</x:v>
      </x:c>
      <x:c r="J1179" s="33" t="str">
        <x:v>2026-08-20</x:v>
      </x:c>
      <x:c r="K1179" s="33" t="str">
        <x:v>Active law universe now matches the approved pharmacy-operator taxonomy.</x:v>
      </x:c>
    </x:row>
    <x:row r="1180">
      <x:c r="A1180" s="33" t="str">
        <x:v>LAW068</x:v>
      </x:c>
      <x:c r="B1180" s="33" t="str">
        <x:v>Law Master</x:v>
      </x:c>
      <x:c r="C1180" s="33" t="str">
        <x:v>Active=Yes; Applicability Type=Conditional; Remarks=Customs compliance for international trade.</x:v>
      </x:c>
      <x:c r="D1180" s="33" t="str">
        <x:v>Active=No; Applicability Type=Conditional; Remarks=P-4 RECLASSIFIED: source family, generic jurisdiction placeholder, superseded/duplicative reference, or regulated role outside the approved pharmacy-operator taxonomy; exact applicable instrument must be attached before activation.</x:v>
      </x:c>
      <x:c r="E1180" s="33" t="str">
        <x:v>CORRECT / RECLASSIFY</x:v>
      </x:c>
      <x:c r="F1180" s="33" t="str">
        <x:v>Resolve residual technical, source-family, jurisdiction and regulated-role applicability at the law level.</x:v>
      </x:c>
      <x:c r="G1180" s="33" t="str">
        <x:v>Official India Code, CDSCO, PCI, NPPA and Clinical Establishments sources</x:v>
      </x:c>
      <x:c r="H118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80" s="33" t="str">
        <x:v>P-4</x:v>
      </x:c>
      <x:c r="J1180" s="33" t="str">
        <x:v>2026-08-20</x:v>
      </x:c>
      <x:c r="K1180" s="33" t="str">
        <x:v>Active law universe now matches the approved pharmacy-operator taxonomy.</x:v>
      </x:c>
    </x:row>
    <x:row r="1181">
      <x:c r="A1181" s="33" t="str">
        <x:v>LAW069</x:v>
      </x:c>
      <x:c r="B1181" s="33" t="str">
        <x:v>Law Master</x:v>
      </x:c>
      <x:c r="C1181" s="33" t="str">
        <x:v>Active=Yes; Applicability Type=Conditional; Remarks=Foreign trade regulation.</x:v>
      </x:c>
      <x:c r="D1181" s="33" t="str">
        <x:v>Active=No; Applicability Type=Conditional; Remarks=P-4 RECLASSIFIED: source family, generic jurisdiction placeholder, superseded/duplicative reference, or regulated role outside the approved pharmacy-operator taxonomy; exact applicable instrument must be attached before activation.</x:v>
      </x:c>
      <x:c r="E1181" s="33" t="str">
        <x:v>CORRECT / RECLASSIFY</x:v>
      </x:c>
      <x:c r="F1181" s="33" t="str">
        <x:v>Resolve residual technical, source-family, jurisdiction and regulated-role applicability at the law level.</x:v>
      </x:c>
      <x:c r="G1181" s="33" t="str">
        <x:v>Official India Code, CDSCO, PCI, NPPA and Clinical Establishments sources</x:v>
      </x:c>
      <x:c r="H118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81" s="33" t="str">
        <x:v>P-4</x:v>
      </x:c>
      <x:c r="J1181" s="33" t="str">
        <x:v>2026-08-20</x:v>
      </x:c>
      <x:c r="K1181" s="33" t="str">
        <x:v>Active law universe now matches the approved pharmacy-operator taxonomy.</x:v>
      </x:c>
    </x:row>
    <x:row r="1182">
      <x:c r="A1182" s="33" t="str">
        <x:v>LAW070</x:v>
      </x:c>
      <x:c r="B1182" s="33" t="str">
        <x:v>Law Master</x:v>
      </x:c>
      <x:c r="C1182" s="33" t="str">
        <x:v>Active=Yes; Applicability Type=Conditional; Remarks=Current FTP issued by DGFT.</x:v>
      </x:c>
      <x:c r="D1182" s="33" t="str">
        <x:v>Active=No; Applicability Type=Conditional; Remarks=P-4 RECLASSIFIED: source family, generic jurisdiction placeholder, superseded/duplicative reference, or regulated role outside the approved pharmacy-operator taxonomy; exact applicable instrument must be attached before activation.</x:v>
      </x:c>
      <x:c r="E1182" s="33" t="str">
        <x:v>CORRECT / RECLASSIFY</x:v>
      </x:c>
      <x:c r="F1182" s="33" t="str">
        <x:v>Resolve residual technical, source-family, jurisdiction and regulated-role applicability at the law level.</x:v>
      </x:c>
      <x:c r="G1182" s="33" t="str">
        <x:v>Official India Code, CDSCO, PCI, NPPA and Clinical Establishments sources</x:v>
      </x:c>
      <x:c r="H118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82" s="33" t="str">
        <x:v>P-4</x:v>
      </x:c>
      <x:c r="J1182" s="33" t="str">
        <x:v>2026-08-20</x:v>
      </x:c>
      <x:c r="K1182" s="33" t="str">
        <x:v>Active law universe now matches the approved pharmacy-operator taxonomy.</x:v>
      </x:c>
    </x:row>
    <x:row r="1183">
      <x:c r="A1183" s="33" t="str">
        <x:v>LAW071</x:v>
      </x:c>
      <x:c r="B1183" s="33" t="str">
        <x:v>Law Master</x:v>
      </x:c>
      <x:c r="C1183" s="33" t="str">
        <x:v>Active=Yes; Applicability Type=Conditional; Remarks=Regulatory advisories until dedicated legislation evolves.</x:v>
      </x:c>
      <x:c r="D1183" s="33" t="str">
        <x:v>Active=No; Applicability Type=Conditional; Remarks=P-4 RECLASSIFIED: source family, generic jurisdiction placeholder, superseded/duplicative reference, or regulated role outside the approved pharmacy-operator taxonomy; exact applicable instrument must be attached before activation.</x:v>
      </x:c>
      <x:c r="E1183" s="33" t="str">
        <x:v>CORRECT / RECLASSIFY</x:v>
      </x:c>
      <x:c r="F1183" s="33" t="str">
        <x:v>Resolve residual technical, source-family, jurisdiction and regulated-role applicability at the law level.</x:v>
      </x:c>
      <x:c r="G1183" s="33" t="str">
        <x:v>Official India Code, CDSCO, PCI, NPPA and Clinical Establishments sources</x:v>
      </x:c>
      <x:c r="H118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83" s="33" t="str">
        <x:v>P-4</x:v>
      </x:c>
      <x:c r="J1183" s="33" t="str">
        <x:v>2026-08-20</x:v>
      </x:c>
      <x:c r="K1183" s="33" t="str">
        <x:v>Active law universe now matches the approved pharmacy-operator taxonomy.</x:v>
      </x:c>
    </x:row>
    <x:row r="1184">
      <x:c r="A1184" s="33" t="str">
        <x:v>LAW072</x:v>
      </x:c>
      <x:c r="B1184" s="33" t="str">
        <x:v>Law Master</x:v>
      </x:c>
      <x:c r="C1184" s="33" t="str">
        <x:v>Active=Yes; Applicability Type=Conditional; Remarks=Licensing-related clarifications.</x:v>
      </x:c>
      <x:c r="D1184" s="33" t="str">
        <x:v>Active=No; Applicability Type=Conditional; Remarks=P-4 RECLASSIFIED: source family, generic jurisdiction placeholder, superseded/duplicative reference, or regulated role outside the approved pharmacy-operator taxonomy; exact applicable instrument must be attached before activation.</x:v>
      </x:c>
      <x:c r="E1184" s="33" t="str">
        <x:v>CORRECT / RECLASSIFY</x:v>
      </x:c>
      <x:c r="F1184" s="33" t="str">
        <x:v>Resolve residual technical, source-family, jurisdiction and regulated-role applicability at the law level.</x:v>
      </x:c>
      <x:c r="G1184" s="33" t="str">
        <x:v>Official India Code, CDSCO, PCI, NPPA and Clinical Establishments sources</x:v>
      </x:c>
      <x:c r="H118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84" s="33" t="str">
        <x:v>P-4</x:v>
      </x:c>
      <x:c r="J1184" s="33" t="str">
        <x:v>2026-08-20</x:v>
      </x:c>
      <x:c r="K1184" s="33" t="str">
        <x:v>Active law universe now matches the approved pharmacy-operator taxonomy.</x:v>
      </x:c>
    </x:row>
    <x:row r="1185">
      <x:c r="A1185" s="33" t="str">
        <x:v>LAW073</x:v>
      </x:c>
      <x:c r="B1185" s="33" t="str">
        <x:v>Law Master</x:v>
      </x:c>
      <x:c r="C1185" s="33" t="str">
        <x:v>Active=Yes; Applicability Type=Conditional; Remarks=Operational regulatory instructions.</x:v>
      </x:c>
      <x:c r="D1185" s="33" t="str">
        <x:v>Active=No; Applicability Type=Conditional; Remarks=P-4 RECLASSIFIED: source family, generic jurisdiction placeholder, superseded/duplicative reference, or regulated role outside the approved pharmacy-operator taxonomy; exact applicable instrument must be attached before activation.</x:v>
      </x:c>
      <x:c r="E1185" s="33" t="str">
        <x:v>CORRECT / RECLASSIFY</x:v>
      </x:c>
      <x:c r="F1185" s="33" t="str">
        <x:v>Resolve residual technical, source-family, jurisdiction and regulated-role applicability at the law level.</x:v>
      </x:c>
      <x:c r="G1185" s="33" t="str">
        <x:v>Official India Code, CDSCO, PCI, NPPA and Clinical Establishments sources</x:v>
      </x:c>
      <x:c r="H118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85" s="33" t="str">
        <x:v>P-4</x:v>
      </x:c>
      <x:c r="J1185" s="33" t="str">
        <x:v>2026-08-20</x:v>
      </x:c>
      <x:c r="K1185" s="33" t="str">
        <x:v>Active law universe now matches the approved pharmacy-operator taxonomy.</x:v>
      </x:c>
    </x:row>
    <x:row r="1186">
      <x:c r="A1186" s="33" t="str">
        <x:v>LAW074</x:v>
      </x:c>
      <x:c r="B1186" s="33" t="str">
        <x:v>Law Master</x:v>
      </x:c>
      <x:c r="C1186" s="33" t="str">
        <x:v>Active=Yes; Applicability Type=Conditional; Remarks=Dynamic NPPA pricing notifications.</x:v>
      </x:c>
      <x:c r="D1186" s="33" t="str">
        <x:v>Active=No; Applicability Type=Conditional; Remarks=P-4 RECLASSIFIED: source family, generic jurisdiction placeholder, superseded/duplicative reference, or regulated role outside the approved pharmacy-operator taxonomy; exact applicable instrument must be attached before activation.</x:v>
      </x:c>
      <x:c r="E1186" s="33" t="str">
        <x:v>CORRECT / RECLASSIFY</x:v>
      </x:c>
      <x:c r="F1186" s="33" t="str">
        <x:v>Resolve residual technical, source-family, jurisdiction and regulated-role applicability at the law level.</x:v>
      </x:c>
      <x:c r="G1186" s="33" t="str">
        <x:v>Official India Code, CDSCO, PCI, NPPA and Clinical Establishments sources</x:v>
      </x:c>
      <x:c r="H118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86" s="33" t="str">
        <x:v>P-4</x:v>
      </x:c>
      <x:c r="J1186" s="33" t="str">
        <x:v>2026-08-20</x:v>
      </x:c>
      <x:c r="K1186" s="33" t="str">
        <x:v>Active law universe now matches the approved pharmacy-operator taxonomy.</x:v>
      </x:c>
    </x:row>
    <x:row r="1187">
      <x:c r="A1187" s="33" t="str">
        <x:v>LAW075</x:v>
      </x:c>
      <x:c r="B1187" s="33" t="str">
        <x:v>Law Master</x:v>
      </x:c>
      <x:c r="C1187" s="33" t="str">
        <x:v>Active=Yes; Applicability Type=Conditional; Remarks=Requires immediate review and action where applicable.</x:v>
      </x:c>
      <x:c r="D1187" s="33" t="str">
        <x:v>Active=No; Applicability Type=Conditional; Remarks=P-4 RECLASSIFIED: source family, generic jurisdiction placeholder, superseded/duplicative reference, or regulated role outside the approved pharmacy-operator taxonomy; exact applicable instrument must be attached before activation.</x:v>
      </x:c>
      <x:c r="E1187" s="33" t="str">
        <x:v>CORRECT / RECLASSIFY</x:v>
      </x:c>
      <x:c r="F1187" s="33" t="str">
        <x:v>Resolve residual technical, source-family, jurisdiction and regulated-role applicability at the law level.</x:v>
      </x:c>
      <x:c r="G1187" s="33" t="str">
        <x:v>Official India Code, CDSCO, PCI, NPPA and Clinical Establishments sources</x:v>
      </x:c>
      <x:c r="H118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87" s="33" t="str">
        <x:v>P-4</x:v>
      </x:c>
      <x:c r="J1187" s="33" t="str">
        <x:v>2026-08-20</x:v>
      </x:c>
      <x:c r="K1187" s="33" t="str">
        <x:v>Active law universe now matches the approved pharmacy-operator taxonomy.</x:v>
      </x:c>
    </x:row>
    <x:row r="1188">
      <x:c r="A1188" s="33" t="str">
        <x:v>LAW076</x:v>
      </x:c>
      <x:c r="B1188" s="33" t="str">
        <x:v>Law Master</x:v>
      </x:c>
      <x:c r="C1188" s="33" t="str">
        <x:v>Active=Yes; Applicability Type=Mandatory; Remarks=State-specific licensing procedures and forms.</x:v>
      </x:c>
      <x:c r="D1188" s="33" t="str">
        <x:v>Active=No; Applicability Type=Conditional; Remarks=P-4 RECLASSIFIED: source family, generic jurisdiction placeholder, superseded/duplicative reference, or regulated role outside the approved pharmacy-operator taxonomy; exact applicable instrument must be attached before activation.</x:v>
      </x:c>
      <x:c r="E1188" s="33" t="str">
        <x:v>CORRECT / RECLASSIFY</x:v>
      </x:c>
      <x:c r="F1188" s="33" t="str">
        <x:v>Resolve residual technical, source-family, jurisdiction and regulated-role applicability at the law level.</x:v>
      </x:c>
      <x:c r="G1188" s="33" t="str">
        <x:v>Official India Code, CDSCO, PCI, NPPA and Clinical Establishments sources</x:v>
      </x:c>
      <x:c r="H118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88" s="33" t="str">
        <x:v>P-4</x:v>
      </x:c>
      <x:c r="J1188" s="33" t="str">
        <x:v>2026-08-20</x:v>
      </x:c>
      <x:c r="K1188" s="33" t="str">
        <x:v>Active law universe now matches the approved pharmacy-operator taxonomy.</x:v>
      </x:c>
    </x:row>
    <x:row r="1189">
      <x:c r="A1189" s="33" t="str">
        <x:v>LAW077</x:v>
      </x:c>
      <x:c r="B1189" s="33" t="str">
        <x:v>Law Master</x:v>
      </x:c>
      <x:c r="C1189" s="33" t="str">
        <x:v>Active=Yes; Applicability Type=Mandatory; Remarks=State-specific operational directions.</x:v>
      </x:c>
      <x:c r="D1189" s="33" t="str">
        <x:v>Active=No; Applicability Type=Conditional; Remarks=P-4 RECLASSIFIED: source family, generic jurisdiction placeholder, superseded/duplicative reference, or regulated role outside the approved pharmacy-operator taxonomy; exact applicable instrument must be attached before activation.</x:v>
      </x:c>
      <x:c r="E1189" s="33" t="str">
        <x:v>CORRECT / RECLASSIFY</x:v>
      </x:c>
      <x:c r="F1189" s="33" t="str">
        <x:v>Resolve residual technical, source-family, jurisdiction and regulated-role applicability at the law level.</x:v>
      </x:c>
      <x:c r="G1189" s="33" t="str">
        <x:v>Official India Code, CDSCO, PCI, NPPA and Clinical Establishments sources</x:v>
      </x:c>
      <x:c r="H118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89" s="33" t="str">
        <x:v>P-4</x:v>
      </x:c>
      <x:c r="J1189" s="33" t="str">
        <x:v>2026-08-20</x:v>
      </x:c>
      <x:c r="K1189" s="33" t="str">
        <x:v>Active law universe now matches the approved pharmacy-operator taxonomy.</x:v>
      </x:c>
    </x:row>
    <x:row r="1190">
      <x:c r="A1190" s="33" t="str">
        <x:v>LAW078</x:v>
      </x:c>
      <x:c r="B1190" s="33" t="str">
        <x:v>Law Master</x:v>
      </x:c>
      <x:c r="C1190" s="33" t="str">
        <x:v>Active=Yes; Applicability Type=Mandatory; Remarks=Registration renewal, ethics and professional conduct.</x:v>
      </x:c>
      <x:c r="D1190" s="33" t="str">
        <x:v>Active=No; Applicability Type=Conditional; Remarks=P-4 RECLASSIFIED: source family, generic jurisdiction placeholder, superseded/duplicative reference, or regulated role outside the approved pharmacy-operator taxonomy; exact applicable instrument must be attached before activation.</x:v>
      </x:c>
      <x:c r="E1190" s="33" t="str">
        <x:v>CORRECT / RECLASSIFY</x:v>
      </x:c>
      <x:c r="F1190" s="33" t="str">
        <x:v>Resolve residual technical, source-family, jurisdiction and regulated-role applicability at the law level.</x:v>
      </x:c>
      <x:c r="G1190" s="33" t="str">
        <x:v>Official India Code, CDSCO, PCI, NPPA and Clinical Establishments sources</x:v>
      </x:c>
      <x:c r="H119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90" s="33" t="str">
        <x:v>P-4</x:v>
      </x:c>
      <x:c r="J1190" s="33" t="str">
        <x:v>2026-08-20</x:v>
      </x:c>
      <x:c r="K1190" s="33" t="str">
        <x:v>Active law universe now matches the approved pharmacy-operator taxonomy.</x:v>
      </x:c>
    </x:row>
    <x:row r="1191">
      <x:c r="A1191" s="33" t="str">
        <x:v>LAW081</x:v>
      </x:c>
      <x:c r="B1191" s="33" t="str">
        <x:v>Law Master</x:v>
      </x:c>
      <x:c r="C1191" s="33" t="str">
        <x:v>Active=Yes; Applicability Type=Conditional; Remarks=State-specific implementation rules.</x:v>
      </x:c>
      <x:c r="D1191" s="33" t="str">
        <x:v>Active=No; Applicability Type=Conditional; Remarks=P-4 RECLASSIFIED: source family, generic jurisdiction placeholder, superseded/duplicative reference, or regulated role outside the approved pharmacy-operator taxonomy; exact applicable instrument must be attached before activation.</x:v>
      </x:c>
      <x:c r="E1191" s="33" t="str">
        <x:v>CORRECT / RECLASSIFY</x:v>
      </x:c>
      <x:c r="F1191" s="33" t="str">
        <x:v>Resolve residual technical, source-family, jurisdiction and regulated-role applicability at the law level.</x:v>
      </x:c>
      <x:c r="G1191" s="33" t="str">
        <x:v>Official India Code, CDSCO, PCI, NPPA and Clinical Establishments sources</x:v>
      </x:c>
      <x:c r="H119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91" s="33" t="str">
        <x:v>P-4</x:v>
      </x:c>
      <x:c r="J1191" s="33" t="str">
        <x:v>2026-08-20</x:v>
      </x:c>
      <x:c r="K1191" s="33" t="str">
        <x:v>Active law universe now matches the approved pharmacy-operator taxonomy.</x:v>
      </x:c>
    </x:row>
    <x:row r="1192">
      <x:c r="A1192" s="33" t="str">
        <x:v>LAW088</x:v>
      </x:c>
      <x:c r="B1192" s="33" t="str">
        <x:v>Law Master</x:v>
      </x:c>
      <x:c r="C1192" s="33" t="str">
        <x:v>Active=Yes; Applicability Type=Mandatory; Remarks=Current subordinate rules; the Rules do not create the generic advertising-record/inspection duties formerly extracted in PROV198-PROV200.</x:v>
      </x:c>
      <x:c r="D1192" s="33" t="str">
        <x:v>Active=No; Applicability Type=Conditional; Remarks=P-4 RECLASSIFIED: source family, generic jurisdiction placeholder, superseded/duplicative reference, or regulated role outside the approved pharmacy-operator taxonomy; exact applicable instrument must be attached before activation.</x:v>
      </x:c>
      <x:c r="E1192" s="33" t="str">
        <x:v>CORRECT / RECLASSIFY</x:v>
      </x:c>
      <x:c r="F1192" s="33" t="str">
        <x:v>Resolve residual technical, source-family, jurisdiction and regulated-role applicability at the law level.</x:v>
      </x:c>
      <x:c r="G1192" s="33" t="str">
        <x:v>Official India Code, CDSCO, PCI, NPPA and Clinical Establishments sources</x:v>
      </x:c>
      <x:c r="H119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92" s="33" t="str">
        <x:v>P-4</x:v>
      </x:c>
      <x:c r="J1192" s="33" t="str">
        <x:v>2026-08-20</x:v>
      </x:c>
      <x:c r="K1192" s="33" t="str">
        <x:v>Active law universe now matches the approved pharmacy-operator taxonomy.</x:v>
      </x:c>
    </x:row>
    <x:row r="1193">
      <x:c r="A1193" s="33" t="str">
        <x:v>LAW089</x:v>
      </x:c>
      <x:c r="B1193" s="33" t="str">
        <x:v>Law Master</x:v>
      </x:c>
      <x:c r="C1193" s="33" t="str">
        <x:v>Active=Yes; Applicability Type=Conditional; Remarks=Event-authority statute; no standing pharmacy duty is activated without a specific applicable direction/order.</x:v>
      </x:c>
      <x:c r="D1193" s="33" t="str">
        <x:v>Active=No; Applicability Type=Conditional; Remarks=P-4 RECLASSIFIED: source family, generic jurisdiction placeholder, superseded/duplicative reference, or regulated role outside the approved pharmacy-operator taxonomy; exact applicable instrument must be attached before activation.</x:v>
      </x:c>
      <x:c r="E1193" s="33" t="str">
        <x:v>CORRECT / RECLASSIFY</x:v>
      </x:c>
      <x:c r="F1193" s="33" t="str">
        <x:v>Resolve residual technical, source-family, jurisdiction and regulated-role applicability at the law level.</x:v>
      </x:c>
      <x:c r="G1193" s="33" t="str">
        <x:v>Official India Code, CDSCO, PCI, NPPA and Clinical Establishments sources</x:v>
      </x:c>
      <x:c r="H119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93" s="33" t="str">
        <x:v>P-4</x:v>
      </x:c>
      <x:c r="J1193" s="33" t="str">
        <x:v>2026-08-20</x:v>
      </x:c>
      <x:c r="K1193" s="33" t="str">
        <x:v>Active law universe now matches the approved pharmacy-operator taxonomy.</x:v>
      </x:c>
    </x:row>
    <x:row r="1194">
      <x:c r="A1194" s="33" t="str">
        <x:v>LAW090</x:v>
      </x:c>
      <x:c r="B1194" s="33" t="str">
        <x:v>Law Master</x:v>
      </x:c>
      <x:c r="C1194" s="33" t="str">
        <x:v>Active=Yes; Applicability Type=Conditional; Remarks=Event-authority statute; activate only the exact current regulation/order and jurisdiction.</x:v>
      </x:c>
      <x:c r="D1194" s="33" t="str">
        <x:v>Active=No; Applicability Type=Conditional; Remarks=P-4 RECLASSIFIED: source family, generic jurisdiction placeholder, superseded/duplicative reference, or regulated role outside the approved pharmacy-operator taxonomy; exact applicable instrument must be attached before activation.</x:v>
      </x:c>
      <x:c r="E1194" s="33" t="str">
        <x:v>CORRECT / RECLASSIFY</x:v>
      </x:c>
      <x:c r="F1194" s="33" t="str">
        <x:v>Resolve residual technical, source-family, jurisdiction and regulated-role applicability at the law level.</x:v>
      </x:c>
      <x:c r="G1194" s="33" t="str">
        <x:v>Official India Code, CDSCO, PCI, NPPA and Clinical Establishments sources</x:v>
      </x:c>
      <x:c r="H119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94" s="33" t="str">
        <x:v>P-4</x:v>
      </x:c>
      <x:c r="J1194" s="33" t="str">
        <x:v>2026-08-20</x:v>
      </x:c>
      <x:c r="K1194" s="33" t="str">
        <x:v>Active law universe now matches the approved pharmacy-operator taxonomy.</x:v>
      </x:c>
    </x:row>
    <x:row r="1195">
      <x:c r="A1195" s="33" t="str">
        <x:v>LAW091</x:v>
      </x:c>
      <x:c r="B1195" s="33" t="str">
        <x:v>Law Master</x:v>
      </x:c>
      <x:c r="C1195" s="33" t="str">
        <x:v>Active=Yes; Applicability Type=Best Practice / Regulatory Expectation; Remarks=National policy framework.</x:v>
      </x:c>
      <x:c r="D1195" s="33" t="str">
        <x:v>Active=No; Applicability Type=Conditional; Remarks=P-4 RECLASSIFIED: source family, generic jurisdiction placeholder, superseded/duplicative reference, or regulated role outside the approved pharmacy-operator taxonomy; exact applicable instrument must be attached before activation.</x:v>
      </x:c>
      <x:c r="E1195" s="33" t="str">
        <x:v>CORRECT / RECLASSIFY</x:v>
      </x:c>
      <x:c r="F1195" s="33" t="str">
        <x:v>Resolve residual technical, source-family, jurisdiction and regulated-role applicability at the law level.</x:v>
      </x:c>
      <x:c r="G1195" s="33" t="str">
        <x:v>Official India Code, CDSCO, PCI, NPPA and Clinical Establishments sources</x:v>
      </x:c>
      <x:c r="H119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95" s="33" t="str">
        <x:v>P-4</x:v>
      </x:c>
      <x:c r="J1195" s="33" t="str">
        <x:v>2026-08-20</x:v>
      </x:c>
      <x:c r="K1195" s="33" t="str">
        <x:v>Active law universe now matches the approved pharmacy-operator taxonomy.</x:v>
      </x:c>
    </x:row>
    <x:row r="1196">
      <x:c r="A1196" s="33" t="str">
        <x:v>LAW092</x:v>
      </x:c>
      <x:c r="B1196" s="33" t="str">
        <x:v>Law Master</x:v>
      </x:c>
      <x:c r="C1196" s="33" t="str">
        <x:v>Active=Yes; Applicability Type=Conditional; Remarks=Orders issued under pharmaceutical pricing policy.</x:v>
      </x:c>
      <x:c r="D1196" s="33" t="str">
        <x:v>Active=No; Applicability Type=Conditional; Remarks=P-4 RECLASSIFIED: source family, generic jurisdiction placeholder, superseded/duplicative reference, or regulated role outside the approved pharmacy-operator taxonomy; exact applicable instrument must be attached before activation.</x:v>
      </x:c>
      <x:c r="E1196" s="33" t="str">
        <x:v>CORRECT / RECLASSIFY</x:v>
      </x:c>
      <x:c r="F1196" s="33" t="str">
        <x:v>Resolve residual technical, source-family, jurisdiction and regulated-role applicability at the law level.</x:v>
      </x:c>
      <x:c r="G1196" s="33" t="str">
        <x:v>Official India Code, CDSCO, PCI, NPPA and Clinical Establishments sources</x:v>
      </x:c>
      <x:c r="H119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96" s="33" t="str">
        <x:v>P-4</x:v>
      </x:c>
      <x:c r="J1196" s="33" t="str">
        <x:v>2026-08-20</x:v>
      </x:c>
      <x:c r="K1196" s="33" t="str">
        <x:v>Active law universe now matches the approved pharmacy-operator taxonomy.</x:v>
      </x:c>
    </x:row>
    <x:row r="1197">
      <x:c r="A1197" s="33" t="str">
        <x:v>LAW004</x:v>
      </x:c>
      <x:c r="B1197" s="33" t="str">
        <x:v>Law Master</x:v>
      </x:c>
      <x:c r="C1197" s="33" t="str">
        <x:v>Applicability Trigger=Employment of registered pharmacists; Remarks=Governs pharmacy profession and pharmacist registration.</x:v>
      </x:c>
      <x:c r="D1197" s="33" t="str">
        <x:v>Applicability Trigger=A person is engaged to compound, prepare, mix or dispense medicine on prescription; pharmacist registration and professional-practice controls apply to that person and the pharmacy's supervision arrangements; Remarks=Pharmacy Act controls are separated between statutory registration/dispensing requirements and professional-practice controls under the Pharmacy Practice Regulations, 2015.</x:v>
      </x:c>
      <x:c r="E1197" s="33" t="str">
        <x:v>CORRECT / RECLASSIFY</x:v>
      </x:c>
      <x:c r="F1197" s="33" t="str">
        <x:v>Resolve residual technical, source-family, jurisdiction and regulated-role applicability at the law level.</x:v>
      </x:c>
      <x:c r="G1197" s="33" t="str">
        <x:v>Official India Code, CDSCO, PCI, NPPA and Clinical Establishments sources</x:v>
      </x:c>
      <x:c r="H119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97" s="33" t="str">
        <x:v>P-4</x:v>
      </x:c>
      <x:c r="J1197" s="33" t="str">
        <x:v>2026-08-20</x:v>
      </x:c>
      <x:c r="K1197" s="33" t="str">
        <x:v>Active law universe now matches the approved pharmacy-operator taxonomy.</x:v>
      </x:c>
    </x:row>
    <x:row r="1198">
      <x:c r="A1198" s="33" t="str">
        <x:v>LAW006</x:v>
      </x:c>
      <x:c r="B1198" s="33" t="str">
        <x:v>Law Master</x:v>
      </x:c>
      <x:c r="C1198" s="33" t="str">
        <x:v>Applicability Trigger=Sale of scheduled formulations; Remarks=Drug price regulation.</x:v>
      </x:c>
      <x:c r="D1198" s="33" t="str">
        <x:v>Applicability Trigger=Retail/dealer sale of scheduled or non-scheduled formulations subject to the Drugs (Prices Control) Order, 2013 and current NPPA price notifications; Remarks=Retail-facing controls validated to DPCO paragraphs 24(4), 25(3), 26, 27 and 28(b).</x:v>
      </x:c>
      <x:c r="E1198" s="33" t="str">
        <x:v>CORRECT / RECLASSIFY</x:v>
      </x:c>
      <x:c r="F1198" s="33" t="str">
        <x:v>Resolve residual technical, source-family, jurisdiction and regulated-role applicability at the law level.</x:v>
      </x:c>
      <x:c r="G1198" s="33" t="str">
        <x:v>Official India Code, CDSCO, PCI, NPPA and Clinical Establishments sources</x:v>
      </x:c>
      <x:c r="H119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98" s="33" t="str">
        <x:v>P-4</x:v>
      </x:c>
      <x:c r="J1198" s="33" t="str">
        <x:v>2026-08-20</x:v>
      </x:c>
      <x:c r="K1198" s="33" t="str">
        <x:v>Active law universe now matches the approved pharmacy-operator taxonomy.</x:v>
      </x:c>
    </x:row>
    <x:row r="1199">
      <x:c r="A1199" s="33" t="str">
        <x:v>LAW015</x:v>
      </x:c>
      <x:c r="B1199" s="33" t="str">
        <x:v>Law Master</x:v>
      </x:c>
      <x:c r="C1199" s="33" t="str">
        <x:v>Applicability Trigger=Handling narcotic or psychotropic substances; Remarks=Governs narcotic and psychotropic medicines.</x:v>
      </x:c>
      <x:c r="D1199" s="33" t="str">
        <x:v>Applicability Trigger=Possession, sale, transport or handling of a narcotic drug, psychotropic substance or controlled substance; Remarks=Section 8 prohibition retained; enabling powers, penalties and procedural provisions are not treated as recurring pharmacy duties.</x:v>
      </x:c>
      <x:c r="E1199" s="33" t="str">
        <x:v>CORRECT / RECLASSIFY</x:v>
      </x:c>
      <x:c r="F1199" s="33" t="str">
        <x:v>Resolve residual technical, source-family, jurisdiction and regulated-role applicability at the law level.</x:v>
      </x:c>
      <x:c r="G1199" s="33" t="str">
        <x:v>Official India Code, CDSCO, PCI, NPPA and Clinical Establishments sources</x:v>
      </x:c>
      <x:c r="H119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199" s="33" t="str">
        <x:v>P-4</x:v>
      </x:c>
      <x:c r="J1199" s="33" t="str">
        <x:v>2026-08-20</x:v>
      </x:c>
      <x:c r="K1199" s="33" t="str">
        <x:v>Active law universe now matches the approved pharmacy-operator taxonomy.</x:v>
      </x:c>
    </x:row>
    <x:row r="1200">
      <x:c r="A1200" s="33" t="str">
        <x:v>LAW016</x:v>
      </x:c>
      <x:c r="B1200" s="33" t="str">
        <x:v>Law Master</x:v>
      </x:c>
      <x:c r="C1200" s="33" t="str">
        <x:v>Applicability Trigger=Licensed handling of controlled substances; Remarks=Operational rules under the NDPS Act.</x:v>
      </x:c>
      <x:c r="D1200" s="33" t="str">
        <x:v>Applicability Trigger=Licensed dealer/chemist possesses, transports or sells an Essential Narcotic Drug; Remarks=Pharmacy-facing Essential Narcotic Drug controls validated to Rules 52A, 52B, 52D, 52E and 52F.</x:v>
      </x:c>
      <x:c r="E1200" s="33" t="str">
        <x:v>CORRECT / RECLASSIFY</x:v>
      </x:c>
      <x:c r="F1200" s="33" t="str">
        <x:v>Resolve residual technical, source-family, jurisdiction and regulated-role applicability at the law level.</x:v>
      </x:c>
      <x:c r="G1200" s="33" t="str">
        <x:v>Official India Code, CDSCO, PCI, NPPA and Clinical Establishments sources</x:v>
      </x:c>
      <x:c r="H120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00" s="33" t="str">
        <x:v>P-4</x:v>
      </x:c>
      <x:c r="J1200" s="33" t="str">
        <x:v>2026-08-20</x:v>
      </x:c>
      <x:c r="K1200" s="33" t="str">
        <x:v>Active law universe now matches the approved pharmacy-operator taxonomy.</x:v>
      </x:c>
    </x:row>
    <x:row r="1201">
      <x:c r="A1201" s="33" t="str">
        <x:v>LAW051</x:v>
      </x:c>
      <x:c r="B1201" s="33" t="str">
        <x:v>Law Master</x:v>
      </x:c>
      <x:c r="C1201" s="33" t="str">
        <x:v>Applicability Trigger=Sale, stocking or distribution of notified medical devices; Remarks=Applicable where notified medical devices are handled.</x:v>
      </x:c>
      <x:c r="D1201" s="33" t="str">
        <x:v>Applicability Trigger=The pharmacy sells, stocks, exhibits, offers for sale or distributes medical devices and must satisfy the Rule 87 licence/registration boundary and seller conditions; Remarks=Validated for seller/stockist duties. Manufacturer/importer post-market and recall duties remain outside the approved pharmacy-operator taxonomy unless a separate role is established.</x:v>
      </x:c>
      <x:c r="E1201" s="33" t="str">
        <x:v>CORRECT / RECLASSIFY</x:v>
      </x:c>
      <x:c r="F1201" s="33" t="str">
        <x:v>Resolve residual technical, source-family, jurisdiction and regulated-role applicability at the law level.</x:v>
      </x:c>
      <x:c r="G1201" s="33" t="str">
        <x:v>Official India Code, CDSCO, PCI, NPPA and Clinical Establishments sources</x:v>
      </x:c>
      <x:c r="H120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01" s="33" t="str">
        <x:v>P-4</x:v>
      </x:c>
      <x:c r="J1201" s="33" t="str">
        <x:v>2026-08-20</x:v>
      </x:c>
      <x:c r="K1201" s="33" t="str">
        <x:v>Active law universe now matches the approved pharmacy-operator taxonomy.</x:v>
      </x:c>
    </x:row>
    <x:row r="1202">
      <x:c r="A1202" s="33" t="str">
        <x:v>LAW052</x:v>
      </x:c>
      <x:c r="B1202" s="33" t="str">
        <x:v>Law Master</x:v>
      </x:c>
      <x:c r="C1202" s="33" t="str">
        <x:v>Applicability Trigger=Sale or storage of cosmetics; Remarks=Applicable where cosmetics are sold.</x:v>
      </x:c>
      <x:c r="D1202" s="33" t="str">
        <x:v>Applicability Trigger=The pharmacy sells, stocks or distributes cosmetics; Remarks=Validated for retail-facing sale/distribution, labelling, claim and quality controls; manufacture/import role duties are excluded.</x:v>
      </x:c>
      <x:c r="E1202" s="33" t="str">
        <x:v>CORRECT / RECLASSIFY</x:v>
      </x:c>
      <x:c r="F1202" s="33" t="str">
        <x:v>Resolve residual technical, source-family, jurisdiction and regulated-role applicability at the law level.</x:v>
      </x:c>
      <x:c r="G1202" s="33" t="str">
        <x:v>Official India Code, CDSCO, PCI, NPPA and Clinical Establishments sources</x:v>
      </x:c>
      <x:c r="H120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02" s="33" t="str">
        <x:v>P-4</x:v>
      </x:c>
      <x:c r="J1202" s="33" t="str">
        <x:v>2026-08-20</x:v>
      </x:c>
      <x:c r="K1202" s="33" t="str">
        <x:v>Active law universe now matches the approved pharmacy-operator taxonomy.</x:v>
      </x:c>
    </x:row>
    <x:row r="1203">
      <x:c r="A1203" s="33" t="str">
        <x:v>LAW059</x:v>
      </x:c>
      <x:c r="B1203" s="33" t="str">
        <x:v>Law Master</x:v>
      </x:c>
      <x:c r="C1203" s="33" t="str">
        <x:v>Applicability Type=Best Practice; Remarks=Professional practice standards.</x:v>
      </x:c>
      <x:c r="D1203" s="33" t="str">
        <x:v>Applicability Type=Best Practice; Remarks=Non-statutory good pharmacy practice guidance; separately mapped statutes and licence conditions remain binding.</x:v>
      </x:c>
      <x:c r="E1203" s="33" t="str">
        <x:v>CORRECT / RECLASSIFY</x:v>
      </x:c>
      <x:c r="F1203" s="33" t="str">
        <x:v>Resolve residual technical, source-family, jurisdiction and regulated-role applicability at the law level.</x:v>
      </x:c>
      <x:c r="G1203" s="33" t="str">
        <x:v>Official India Code, CDSCO, PCI, NPPA and Clinical Establishments sources</x:v>
      </x:c>
      <x:c r="H120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03" s="33" t="str">
        <x:v>P-4</x:v>
      </x:c>
      <x:c r="J1203" s="33" t="str">
        <x:v>2026-08-20</x:v>
      </x:c>
      <x:c r="K1203" s="33" t="str">
        <x:v>Active law universe now matches the approved pharmacy-operator taxonomy.</x:v>
      </x:c>
    </x:row>
    <x:row r="1204">
      <x:c r="A1204" s="33" t="str">
        <x:v>LAW060</x:v>
      </x:c>
      <x:c r="B1204" s="33" t="str">
        <x:v>Law Master</x:v>
      </x:c>
      <x:c r="C1204" s="33" t="str">
        <x:v>Applicability Type=Best Practice; Remarks=Distribution quality standards.</x:v>
      </x:c>
      <x:c r="D1204" s="33" t="str">
        <x:v>Applicability Type=Best Practice; Remarks=P-4 RECLASSIFIED: non-statutory guidance/internal implementation aid. Use as best practice or regulatory expectation; do not present as independent statutory force.</x:v>
      </x:c>
      <x:c r="E1204" s="33" t="str">
        <x:v>CORRECT / RECLASSIFY</x:v>
      </x:c>
      <x:c r="F1204" s="33" t="str">
        <x:v>Resolve residual technical, source-family, jurisdiction and regulated-role applicability at the law level.</x:v>
      </x:c>
      <x:c r="G1204" s="33" t="str">
        <x:v>Official India Code, CDSCO, PCI, NPPA and Clinical Establishments sources</x:v>
      </x:c>
      <x:c r="H120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04" s="33" t="str">
        <x:v>P-4</x:v>
      </x:c>
      <x:c r="J1204" s="33" t="str">
        <x:v>2026-08-20</x:v>
      </x:c>
      <x:c r="K1204" s="33" t="str">
        <x:v>Active law universe now matches the approved pharmacy-operator taxonomy.</x:v>
      </x:c>
    </x:row>
    <x:row r="1205">
      <x:c r="A1205" s="33" t="str">
        <x:v>LAW061</x:v>
      </x:c>
      <x:c r="B1205" s="33" t="str">
        <x:v>Law Master</x:v>
      </x:c>
      <x:c r="C1205" s="33" t="str">
        <x:v>Applicability Type=Best Practice; Remarks=Storage temperature and humidity controls.</x:v>
      </x:c>
      <x:c r="D1205" s="33" t="str">
        <x:v>Applicability Type=Best Practice; Remarks=P-4 RECLASSIFIED: non-statutory guidance/internal implementation aid. Use as best practice or regulatory expectation; do not present as independent statutory force.</x:v>
      </x:c>
      <x:c r="E1205" s="33" t="str">
        <x:v>CORRECT / RECLASSIFY</x:v>
      </x:c>
      <x:c r="F1205" s="33" t="str">
        <x:v>Resolve residual technical, source-family, jurisdiction and regulated-role applicability at the law level.</x:v>
      </x:c>
      <x:c r="G1205" s="33" t="str">
        <x:v>Official India Code, CDSCO, PCI, NPPA and Clinical Establishments sources</x:v>
      </x:c>
      <x:c r="H120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05" s="33" t="str">
        <x:v>P-4</x:v>
      </x:c>
      <x:c r="J1205" s="33" t="str">
        <x:v>2026-08-20</x:v>
      </x:c>
      <x:c r="K1205" s="33" t="str">
        <x:v>Active law universe now matches the approved pharmacy-operator taxonomy.</x:v>
      </x:c>
    </x:row>
    <x:row r="1206">
      <x:c r="A1206" s="33" t="str">
        <x:v>LAW062</x:v>
      </x:c>
      <x:c r="B1206" s="33" t="str">
        <x:v>Law Master</x:v>
      </x:c>
      <x:c r="C1206" s="33" t="str">
        <x:v>Applicability Type=Conditional; Remarks=Procedures for recall management.</x:v>
      </x:c>
      <x:c r="D1206" s="33" t="str">
        <x:v>Applicability Type=Best Practice; Remarks=P-4 RECLASSIFIED: non-statutory guidance/internal implementation aid. Use as best practice or regulatory expectation; do not present as independent statutory force.</x:v>
      </x:c>
      <x:c r="E1206" s="33" t="str">
        <x:v>CORRECT / RECLASSIFY</x:v>
      </x:c>
      <x:c r="F1206" s="33" t="str">
        <x:v>Resolve residual technical, source-family, jurisdiction and regulated-role applicability at the law level.</x:v>
      </x:c>
      <x:c r="G1206" s="33" t="str">
        <x:v>Official India Code, CDSCO, PCI, NPPA and Clinical Establishments sources</x:v>
      </x:c>
      <x:c r="H120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06" s="33" t="str">
        <x:v>P-4</x:v>
      </x:c>
      <x:c r="J1206" s="33" t="str">
        <x:v>2026-08-20</x:v>
      </x:c>
      <x:c r="K1206" s="33" t="str">
        <x:v>Active law universe now matches the approved pharmacy-operator taxonomy.</x:v>
      </x:c>
    </x:row>
    <x:row r="1207">
      <x:c r="A1207" s="33" t="str">
        <x:v>LAW063</x:v>
      </x:c>
      <x:c r="B1207" s="33" t="str">
        <x:v>Law Master</x:v>
      </x:c>
      <x:c r="C1207" s="33" t="str">
        <x:v>Applicability Type=Conditional; Remarks=Investigation and reporting process.</x:v>
      </x:c>
      <x:c r="D1207" s="33" t="str">
        <x:v>Applicability Type=Best Practice; Remarks=P-4 RECLASSIFIED: non-statutory guidance/internal implementation aid. Use as best practice or regulatory expectation; do not present as independent statutory force.</x:v>
      </x:c>
      <x:c r="E1207" s="33" t="str">
        <x:v>CORRECT / RECLASSIFY</x:v>
      </x:c>
      <x:c r="F1207" s="33" t="str">
        <x:v>Resolve residual technical, source-family, jurisdiction and regulated-role applicability at the law level.</x:v>
      </x:c>
      <x:c r="G1207" s="33" t="str">
        <x:v>Official India Code, CDSCO, PCI, NPPA and Clinical Establishments sources</x:v>
      </x:c>
      <x:c r="H120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07" s="33" t="str">
        <x:v>P-4</x:v>
      </x:c>
      <x:c r="J1207" s="33" t="str">
        <x:v>2026-08-20</x:v>
      </x:c>
      <x:c r="K1207" s="33" t="str">
        <x:v>Active law universe now matches the approved pharmacy-operator taxonomy.</x:v>
      </x:c>
    </x:row>
    <x:row r="1208">
      <x:c r="A1208" s="33" t="str">
        <x:v>LAW064</x:v>
      </x:c>
      <x:c r="B1208" s="33" t="str">
        <x:v>Law Master</x:v>
      </x:c>
      <x:c r="C1208" s="33" t="str">
        <x:v>Applicability Type=Conditional; Remarks=ADR reporting framework.</x:v>
      </x:c>
      <x:c r="D1208" s="33" t="str">
        <x:v>Applicability Type=Best Practice; Remarks=P-4 RECLASSIFIED: non-statutory guidance/internal implementation aid. Use as best practice or regulatory expectation; do not present as independent statutory force.</x:v>
      </x:c>
      <x:c r="E1208" s="33" t="str">
        <x:v>CORRECT / RECLASSIFY</x:v>
      </x:c>
      <x:c r="F1208" s="33" t="str">
        <x:v>Resolve residual technical, source-family, jurisdiction and regulated-role applicability at the law level.</x:v>
      </x:c>
      <x:c r="G1208" s="33" t="str">
        <x:v>Official India Code, CDSCO, PCI, NPPA and Clinical Establishments sources</x:v>
      </x:c>
      <x:c r="H120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08" s="33" t="str">
        <x:v>P-4</x:v>
      </x:c>
      <x:c r="J1208" s="33" t="str">
        <x:v>2026-08-20</x:v>
      </x:c>
      <x:c r="K1208" s="33" t="str">
        <x:v>Active law universe now matches the approved pharmacy-operator taxonomy.</x:v>
      </x:c>
    </x:row>
    <x:row r="1209">
      <x:c r="A1209" s="33" t="str">
        <x:v>LAW065</x:v>
      </x:c>
      <x:c r="B1209" s="33" t="str">
        <x:v>Law Master</x:v>
      </x:c>
      <x:c r="C1209" s="33" t="str">
        <x:v>Applicability Type=Conditional; Remarks=Cold chain monitoring requirements.</x:v>
      </x:c>
      <x:c r="D1209" s="33" t="str">
        <x:v>Applicability Type=Best Practice; Remarks=P-4 RECLASSIFIED: non-statutory guidance/internal implementation aid. Use as best practice or regulatory expectation; do not present as independent statutory force.</x:v>
      </x:c>
      <x:c r="E1209" s="33" t="str">
        <x:v>CORRECT / RECLASSIFY</x:v>
      </x:c>
      <x:c r="F1209" s="33" t="str">
        <x:v>Resolve residual technical, source-family, jurisdiction and regulated-role applicability at the law level.</x:v>
      </x:c>
      <x:c r="G1209" s="33" t="str">
        <x:v>Official India Code, CDSCO, PCI, NPPA and Clinical Establishments sources</x:v>
      </x:c>
      <x:c r="H120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09" s="33" t="str">
        <x:v>P-4</x:v>
      </x:c>
      <x:c r="J1209" s="33" t="str">
        <x:v>2026-08-20</x:v>
      </x:c>
      <x:c r="K1209" s="33" t="str">
        <x:v>Active law universe now matches the approved pharmacy-operator taxonomy.</x:v>
      </x:c>
    </x:row>
    <x:row r="1210">
      <x:c r="A1210" s="33" t="str">
        <x:v>LAW095</x:v>
      </x:c>
      <x:c r="B1210" s="33" t="str">
        <x:v>Law Master</x:v>
      </x:c>
      <x:c r="C1210" s="33" t="str">
        <x:v>Applicability Type=Best Practice; Remarks=Warehouse and storage validation.</x:v>
      </x:c>
      <x:c r="D1210" s="33" t="str">
        <x:v>Applicability Type=Best Practice; Remarks=P-4 RECLASSIFIED: non-statutory guidance/internal implementation aid. Use as best practice or regulatory expectation; do not present as independent statutory force.</x:v>
      </x:c>
      <x:c r="E1210" s="33" t="str">
        <x:v>CORRECT / RECLASSIFY</x:v>
      </x:c>
      <x:c r="F1210" s="33" t="str">
        <x:v>Resolve residual technical, source-family, jurisdiction and regulated-role applicability at the law level.</x:v>
      </x:c>
      <x:c r="G1210" s="33" t="str">
        <x:v>Official India Code, CDSCO, PCI, NPPA and Clinical Establishments sources</x:v>
      </x:c>
      <x:c r="H121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10" s="33" t="str">
        <x:v>P-4</x:v>
      </x:c>
      <x:c r="J1210" s="33" t="str">
        <x:v>2026-08-20</x:v>
      </x:c>
      <x:c r="K1210" s="33" t="str">
        <x:v>Active law universe now matches the approved pharmacy-operator taxonomy.</x:v>
      </x:c>
    </x:row>
    <x:row r="1211">
      <x:c r="A1211" s="33" t="str">
        <x:v>LAW096</x:v>
      </x:c>
      <x:c r="B1211" s="33" t="str">
        <x:v>Law Master</x:v>
      </x:c>
      <x:c r="C1211" s="33" t="str">
        <x:v>Applicability Type=Best Practice; Remarks=Calibration and qualification requirements.</x:v>
      </x:c>
      <x:c r="D1211" s="33" t="str">
        <x:v>Applicability Type=Best Practice; Remarks=P-4 RECLASSIFIED: non-statutory guidance/internal implementation aid. Use as best practice or regulatory expectation; do not present as independent statutory force.</x:v>
      </x:c>
      <x:c r="E1211" s="33" t="str">
        <x:v>CORRECT / RECLASSIFY</x:v>
      </x:c>
      <x:c r="F1211" s="33" t="str">
        <x:v>Resolve residual technical, source-family, jurisdiction and regulated-role applicability at the law level.</x:v>
      </x:c>
      <x:c r="G1211" s="33" t="str">
        <x:v>Official India Code, CDSCO, PCI, NPPA and Clinical Establishments sources</x:v>
      </x:c>
      <x:c r="H121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11" s="33" t="str">
        <x:v>P-4</x:v>
      </x:c>
      <x:c r="J1211" s="33" t="str">
        <x:v>2026-08-20</x:v>
      </x:c>
      <x:c r="K1211" s="33" t="str">
        <x:v>Active law universe now matches the approved pharmacy-operator taxonomy.</x:v>
      </x:c>
    </x:row>
    <x:row r="1212">
      <x:c r="A1212" s="33" t="str">
        <x:v>LAW080</x:v>
      </x:c>
      <x:c r="B1212" s="33" t="str">
        <x:v>Law Master</x:v>
      </x:c>
      <x:c r="C1212" s="33" t="str">
        <x:v>Applicability Trigger=Pharmacy operating within a registered clinical establishment; Remarks=Applicable in States/UTs where adopted.</x:v>
      </x:c>
      <x:c r="D1212" s="33" t="str">
        <x:v>Applicability Trigger=Hospital or institutional pharmacy forms part of a clinical establishment in a State/UT where the central Act applies or an exact State adoption/instrument applies; Remarks=Conditional entity/jurisdiction overlay; does not apply to an ordinary standalone retail or wholesale pharmacy merely because it sells medicines.</x:v>
      </x:c>
      <x:c r="E1212" s="33" t="str">
        <x:v>CORRECT / RECLASSIFY</x:v>
      </x:c>
      <x:c r="F1212" s="33" t="str">
        <x:v>Resolve residual technical, source-family, jurisdiction and regulated-role applicability at the law level.</x:v>
      </x:c>
      <x:c r="G1212" s="33" t="str">
        <x:v>Official India Code, CDSCO, PCI, NPPA and Clinical Establishments sources</x:v>
      </x:c>
      <x:c r="H121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12" s="33" t="str">
        <x:v>P-4</x:v>
      </x:c>
      <x:c r="J1212" s="33" t="str">
        <x:v>2026-08-20</x:v>
      </x:c>
      <x:c r="K1212" s="33" t="str">
        <x:v>Active law universe now matches the approved pharmacy-operator taxonomy.</x:v>
      </x:c>
    </x:row>
    <x:row r="1213">
      <x:c r="A1213" s="33" t="str">
        <x:v>LAW099</x:v>
      </x:c>
      <x:c r="B1213" s="33" t="str">
        <x:v>Law Master</x:v>
      </x:c>
      <x:c r="C1213" s="33" t="str">
        <x:v>Applicability Type=Best Practice; Applicability Trigger=Adopted internal governance control; never a substitute for the underlying law; Remarks=P-3 RECLASSIFIED: useful governance controls retained as optional best practice without false statutory ownership.</x:v>
      </x:c>
      <x:c r="D1213" s="33" t="str">
        <x:v>Applicability Type=Best Practice; Applicability Trigger=Voluntary internal control, governance, inspection-readiness or entity-specific operating-control adoption; Remarks=P-4 canonical non-statutory parent for entity-specific internal controls. Underlying legal duties remain mapped to their exact laws.</x:v>
      </x:c>
      <x:c r="E1213" s="33" t="str">
        <x:v>CORRECT / RECLASSIFY</x:v>
      </x:c>
      <x:c r="F1213" s="33" t="str">
        <x:v>Resolve residual technical, source-family, jurisdiction and regulated-role applicability at the law level.</x:v>
      </x:c>
      <x:c r="G1213" s="33" t="str">
        <x:v>Official India Code, CDSCO, PCI, NPPA and Clinical Establishments sources</x:v>
      </x:c>
      <x:c r="H121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13" s="33" t="str">
        <x:v>P-4</x:v>
      </x:c>
      <x:c r="J1213" s="33" t="str">
        <x:v>2026-08-20</x:v>
      </x:c>
      <x:c r="K1213" s="33" t="str">
        <x:v>Active law universe now matches the approved pharmacy-operator taxonomy.</x:v>
      </x:c>
    </x:row>
    <x:row r="1214">
      <x:c r="A1214" s="33" t="str">
        <x:v>PROV026</x:v>
      </x:c>
      <x:c r="B1214" s="33" t="str">
        <x:v>Provision Master</x:v>
      </x:c>
      <x:c r="C1214" s="33" t="str">
        <x:v>Statutory Reference=Section 31; Provision Name=Preparation and maintenance of First Register; Provision Description=Registration of pharmacists.; Remarks=</x:v>
      </x:c>
      <x:c r="D1214" s="33" t="str">
        <x:v>Statutory Reference=Sections 32, 34–36; Provision Name=Valid registration of practising pharmacist; Provision Description=Registration, renewal and current-status framework for a person entered in the State Register and engaged in pharmacy practice.; Remarks=P-4 corrected from the First Register provision to the operative registration/status framework.</x:v>
      </x:c>
      <x:c r="E1214" s="33" t="str">
        <x:v>CORRECT / RECLASSIFY</x:v>
      </x:c>
      <x:c r="F1214" s="33" t="str">
        <x:v>Correct technical citations, remove false direct duties and reclassify non-statutory/entity controls.</x:v>
      </x:c>
      <x:c r="G1214" s="33" t="str">
        <x:v>P-4 official-source validation</x:v>
      </x:c>
      <x:c r="H121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14" s="33" t="str">
        <x:v>P-4</x:v>
      </x:c>
      <x:c r="J1214" s="33" t="str">
        <x:v>2026-08-20</x:v>
      </x:c>
      <x:c r="K1214" s="33" t="str">
        <x:v>Provision IDs preserved; legal force and parentage corrected.</x:v>
      </x:c>
    </x:row>
    <x:row r="1215">
      <x:c r="A1215" s="33" t="str">
        <x:v>PROV027</x:v>
      </x:c>
      <x:c r="B1215" s="33" t="str">
        <x:v>Provision Master</x:v>
      </x:c>
      <x:c r="C1215" s="33" t="str">
        <x:v>Statutory Reference=Section 32; Provision Category=Statutory; Provision Name=Preparation and publication of State Register; Provision Description=State Pharmacy Register requirements.; Remarks=</x:v>
      </x:c>
      <x:c r="D1215" s="33" t="str">
        <x:v>Statutory Reference=Section 29 State Register; employer verification control; Provision Category=Best Practice; Provision Name=Verify current State Register entry; Provision Description=Internal verification of the current State Register entry before and during engagement of a practising pharmacist.; Remarks=Internal control supporting Sections 32, 34–36 and Section 42; not an independent statutory duty under Section 29.</x:v>
      </x:c>
      <x:c r="E1215" s="33" t="str">
        <x:v>CORRECT / RECLASSIFY</x:v>
      </x:c>
      <x:c r="F1215" s="33" t="str">
        <x:v>Correct technical citations, remove false direct duties and reclassify non-statutory/entity controls.</x:v>
      </x:c>
      <x:c r="G1215" s="33" t="str">
        <x:v>P-4 official-source validation</x:v>
      </x:c>
      <x:c r="H121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15" s="33" t="str">
        <x:v>P-4</x:v>
      </x:c>
      <x:c r="J1215" s="33" t="str">
        <x:v>2026-08-20</x:v>
      </x:c>
      <x:c r="K1215" s="33" t="str">
        <x:v>Provision IDs preserved; legal force and parentage corrected.</x:v>
      </x:c>
    </x:row>
    <x:row r="1216">
      <x:c r="A1216" s="33" t="str">
        <x:v>PROV031</x:v>
      </x:c>
      <x:c r="B1216" s="33" t="str">
        <x:v>Provision Master</x:v>
      </x:c>
      <x:c r="C1216" s="33" t="str">
        <x:v>Statutory Reference=Para 4; Provision Name=Ceiling Price Compliance; Provision Description=Sale price shall not exceed notified ceiling price.</x:v>
      </x:c>
      <x:c r="D1216" s="33" t="str">
        <x:v>Statutory Reference=Paragraph 24(4); Provision Name=Display scheduled-formulation price list; Provision Description=Dealer/retailer must display the current scheduled-formulation price list and supplementary list in a conspicuous part of the premises.</x:v>
      </x:c>
      <x:c r="E1216" s="33" t="str">
        <x:v>CORRECT / RECLASSIFY</x:v>
      </x:c>
      <x:c r="F1216" s="33" t="str">
        <x:v>Correct technical citations, remove false direct duties and reclassify non-statutory/entity controls.</x:v>
      </x:c>
      <x:c r="G1216" s="33" t="str">
        <x:v>P-4 official-source validation</x:v>
      </x:c>
      <x:c r="H121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16" s="33" t="str">
        <x:v>P-4</x:v>
      </x:c>
      <x:c r="J1216" s="33" t="str">
        <x:v>2026-08-20</x:v>
      </x:c>
      <x:c r="K1216" s="33" t="str">
        <x:v>Provision IDs preserved; legal force and parentage corrected.</x:v>
      </x:c>
    </x:row>
    <x:row r="1217">
      <x:c r="A1217" s="33" t="str">
        <x:v>PROV032</x:v>
      </x:c>
      <x:c r="B1217" s="33" t="str">
        <x:v>Provision Master</x:v>
      </x:c>
      <x:c r="C1217" s="33" t="str">
        <x:v>Statutory Reference=Para 5; Provision Name=Retail Price Fixation; Provision Description=Price calculation requirements.</x:v>
      </x:c>
      <x:c r="D1217" s="33" t="str">
        <x:v>Statutory Reference=Paragraph 25(3); Provision Name=Display non-scheduled-formulation price list; Provision Description=Dealer/retailer must display the current non-scheduled-formulation price list in a conspicuous part of the premises.</x:v>
      </x:c>
      <x:c r="E1217" s="33" t="str">
        <x:v>CORRECT / RECLASSIFY</x:v>
      </x:c>
      <x:c r="F1217" s="33" t="str">
        <x:v>Correct technical citations, remove false direct duties and reclassify non-statutory/entity controls.</x:v>
      </x:c>
      <x:c r="G1217" s="33" t="str">
        <x:v>P-4 official-source validation</x:v>
      </x:c>
      <x:c r="H121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17" s="33" t="str">
        <x:v>P-4</x:v>
      </x:c>
      <x:c r="J1217" s="33" t="str">
        <x:v>2026-08-20</x:v>
      </x:c>
      <x:c r="K1217" s="33" t="str">
        <x:v>Provision IDs preserved; legal force and parentage corrected.</x:v>
      </x:c>
    </x:row>
    <x:row r="1218">
      <x:c r="A1218" s="33" t="str">
        <x:v>PROV033</x:v>
      </x:c>
      <x:c r="B1218" s="33" t="str">
        <x:v>Provision Master</x:v>
      </x:c>
      <x:c r="C1218" s="33" t="str">
        <x:v>Statutory Reference=Para 13; Provision Name=Display of Price List; Provision Description=Mandatory display of current price list.</x:v>
      </x:c>
      <x:c r="D1218" s="33" t="str">
        <x:v>Statutory Reference=Paragraph 26; Provision Name=Do not sell above the lower applicable price; Provision Description=No formulation may be sold above the current price-list price or the price shown on the label, whichever is less, plus applicable local taxes.</x:v>
      </x:c>
      <x:c r="E1218" s="33" t="str">
        <x:v>CORRECT / RECLASSIFY</x:v>
      </x:c>
      <x:c r="F1218" s="33" t="str">
        <x:v>Correct technical citations, remove false direct duties and reclassify non-statutory/entity controls.</x:v>
      </x:c>
      <x:c r="G1218" s="33" t="str">
        <x:v>P-4 official-source validation</x:v>
      </x:c>
      <x:c r="H121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18" s="33" t="str">
        <x:v>P-4</x:v>
      </x:c>
      <x:c r="J1218" s="33" t="str">
        <x:v>2026-08-20</x:v>
      </x:c>
      <x:c r="K1218" s="33" t="str">
        <x:v>Provision IDs preserved; legal force and parentage corrected.</x:v>
      </x:c>
    </x:row>
    <x:row r="1219">
      <x:c r="A1219" s="33" t="str">
        <x:v>PROV034</x:v>
      </x:c>
      <x:c r="B1219" s="33" t="str">
        <x:v>Provision Master</x:v>
      </x:c>
      <x:c r="C1219" s="33" t="str">
        <x:v>Statutory Reference=Para 24; Provision Name=Maintenance of Price Records; Provision Description=Price documentation and records.</x:v>
      </x:c>
      <x:c r="D1219" s="33" t="str">
        <x:v>Statutory Reference=Paragraph 27; Provision Name=Apply pro-rata price to split quantities; Provision Description=Where a formulation is sold in a quantity smaller than the pack, the price must not exceed the pro-rata amount.</x:v>
      </x:c>
      <x:c r="E1219" s="33" t="str">
        <x:v>CORRECT / RECLASSIFY</x:v>
      </x:c>
      <x:c r="F1219" s="33" t="str">
        <x:v>Correct technical citations, remove false direct duties and reclassify non-statutory/entity controls.</x:v>
      </x:c>
      <x:c r="G1219" s="33" t="str">
        <x:v>P-4 official-source validation</x:v>
      </x:c>
      <x:c r="H121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19" s="33" t="str">
        <x:v>P-4</x:v>
      </x:c>
      <x:c r="J1219" s="33" t="str">
        <x:v>2026-08-20</x:v>
      </x:c>
      <x:c r="K1219" s="33" t="str">
        <x:v>Provision IDs preserved; legal force and parentage corrected.</x:v>
      </x:c>
    </x:row>
    <x:row r="1220">
      <x:c r="A1220" s="33" t="str">
        <x:v>PROV035</x:v>
      </x:c>
      <x:c r="B1220" s="33" t="str">
        <x:v>Provision Master</x:v>
      </x:c>
      <x:c r="C1220" s="33" t="str">
        <x:v>Statutory Reference=Para 26; Provision Name=Submission of Information to NPPA; Provision Description=Reporting obligations.</x:v>
      </x:c>
      <x:c r="D1220" s="33" t="str">
        <x:v>Statutory Reference=Paragraph 28(b); Provision Name=Do not withhold or refuse an available formulation; Provision Description=A dealer must not withhold or refuse sale of a formulation that is available for sale to a customer.</x:v>
      </x:c>
      <x:c r="E1220" s="33" t="str">
        <x:v>CORRECT / RECLASSIFY</x:v>
      </x:c>
      <x:c r="F1220" s="33" t="str">
        <x:v>Correct technical citations, remove false direct duties and reclassify non-statutory/entity controls.</x:v>
      </x:c>
      <x:c r="G1220" s="33" t="str">
        <x:v>P-4 official-source validation</x:v>
      </x:c>
      <x:c r="H122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20" s="33" t="str">
        <x:v>P-4</x:v>
      </x:c>
      <x:c r="J1220" s="33" t="str">
        <x:v>2026-08-20</x:v>
      </x:c>
      <x:c r="K1220" s="33" t="str">
        <x:v>Provision IDs preserved; legal force and parentage corrected.</x:v>
      </x:c>
    </x:row>
    <x:row r="1221">
      <x:c r="A1221" s="33" t="str">
        <x:v>PROV041</x:v>
      </x:c>
      <x:c r="B1221" s="33" t="str">
        <x:v>Provision Master</x:v>
      </x:c>
      <x:c r="C1221" s="33" t="str">
        <x:v>Statutory Reference=Rule 52A; Provision Name=Possession and sale of Essential Narcotic Drugs; Provision Description=Licensing and possession requirements.</x:v>
      </x:c>
      <x:c r="D1221" s="33" t="str">
        <x:v>Statutory Reference=Rule 52A; Provision Name=Possess Essential Narcotic Drugs only under the Rules; Provision Description=Possession of Essential Narcotic Drugs must be authorized by and remain within the applicable Rules.</x:v>
      </x:c>
      <x:c r="E1221" s="33" t="str">
        <x:v>CORRECT / RECLASSIFY</x:v>
      </x:c>
      <x:c r="F1221" s="33" t="str">
        <x:v>Correct technical citations, remove false direct duties and reclassify non-statutory/entity controls.</x:v>
      </x:c>
      <x:c r="G1221" s="33" t="str">
        <x:v>P-4 official-source validation</x:v>
      </x:c>
      <x:c r="H122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21" s="33" t="str">
        <x:v>P-4</x:v>
      </x:c>
      <x:c r="J1221" s="33" t="str">
        <x:v>2026-08-20</x:v>
      </x:c>
      <x:c r="K1221" s="33" t="str">
        <x:v>Provision IDs preserved; legal force and parentage corrected.</x:v>
      </x:c>
    </x:row>
    <x:row r="1222">
      <x:c r="A1222" s="33" t="str">
        <x:v>PROV042</x:v>
      </x:c>
      <x:c r="B1222" s="33" t="str">
        <x:v>Provision Master</x:v>
      </x:c>
      <x:c r="C1222" s="33" t="str">
        <x:v>Statutory Reference=Rule 52B; Provision Name=Record Maintenance for Essential Narcotic Drugs; Provision Description=Statutory registers.</x:v>
      </x:c>
      <x:c r="D1222" s="33" t="str">
        <x:v>Statutory Reference=Rule 52B; Provision Name=Licensed dealer or chemist authorization; Provision Description=A dealer or chemist must hold the applicable State licence under the Section 10 framework and comply with its conditions.</x:v>
      </x:c>
      <x:c r="E1222" s="33" t="str">
        <x:v>CORRECT / RECLASSIFY</x:v>
      </x:c>
      <x:c r="F1222" s="33" t="str">
        <x:v>Correct technical citations, remove false direct duties and reclassify non-statutory/entity controls.</x:v>
      </x:c>
      <x:c r="G1222" s="33" t="str">
        <x:v>P-4 official-source validation</x:v>
      </x:c>
      <x:c r="H122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22" s="33" t="str">
        <x:v>P-4</x:v>
      </x:c>
      <x:c r="J1222" s="33" t="str">
        <x:v>2026-08-20</x:v>
      </x:c>
      <x:c r="K1222" s="33" t="str">
        <x:v>Provision IDs preserved; legal force and parentage corrected.</x:v>
      </x:c>
    </x:row>
    <x:row r="1223">
      <x:c r="A1223" s="33" t="str">
        <x:v>PROV043</x:v>
      </x:c>
      <x:c r="B1223" s="33" t="str">
        <x:v>Provision Master</x:v>
      </x:c>
      <x:c r="C1223" s="33" t="str">
        <x:v>Statutory Reference=Rule 52C; Provision Name=Prescription Requirements; Provision Description=Prescription controls.</x:v>
      </x:c>
      <x:c r="D1223" s="33" t="str">
        <x:v>Statutory Reference=Rule 52F(2); Provision Name=Prescription-only sale by licensed chemist; Provision Description=A licensed chemist may sell an Essential Narcotic Drug only on a prescription and in accordance with the Drugs Rules, 1945.</x:v>
      </x:c>
      <x:c r="E1223" s="33" t="str">
        <x:v>CORRECT / RECLASSIFY</x:v>
      </x:c>
      <x:c r="F1223" s="33" t="str">
        <x:v>Correct technical citations, remove false direct duties and reclassify non-statutory/entity controls.</x:v>
      </x:c>
      <x:c r="G1223" s="33" t="str">
        <x:v>P-4 official-source validation</x:v>
      </x:c>
      <x:c r="H122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23" s="33" t="str">
        <x:v>P-4</x:v>
      </x:c>
      <x:c r="J1223" s="33" t="str">
        <x:v>2026-08-20</x:v>
      </x:c>
      <x:c r="K1223" s="33" t="str">
        <x:v>Provision IDs preserved; legal force and parentage corrected.</x:v>
      </x:c>
    </x:row>
    <x:row r="1224">
      <x:c r="A1224" s="33" t="str">
        <x:v>PROV044</x:v>
      </x:c>
      <x:c r="B1224" s="33" t="str">
        <x:v>Provision Master</x:v>
      </x:c>
      <x:c r="C1224" s="33" t="str">
        <x:v>Statutory Reference=Rule 52D; Provision Name=Storage Requirements; Provision Description=Secure storage obligations.</x:v>
      </x:c>
      <x:c r="D1224" s="33" t="str">
        <x:v>Statutory Reference=Rule 52D; Provision Name=Form 3C consignment documentation and retention; Provision Description=Consignments must be accompanied by the prescribed consignment note and supporting documents retained for two years.</x:v>
      </x:c>
      <x:c r="E1224" s="33" t="str">
        <x:v>CORRECT / RECLASSIFY</x:v>
      </x:c>
      <x:c r="F1224" s="33" t="str">
        <x:v>Correct technical citations, remove false direct duties and reclassify non-statutory/entity controls.</x:v>
      </x:c>
      <x:c r="G1224" s="33" t="str">
        <x:v>P-4 official-source validation</x:v>
      </x:c>
      <x:c r="H122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24" s="33" t="str">
        <x:v>P-4</x:v>
      </x:c>
      <x:c r="J1224" s="33" t="str">
        <x:v>2026-08-20</x:v>
      </x:c>
      <x:c r="K1224" s="33" t="str">
        <x:v>Provision IDs preserved; legal force and parentage corrected.</x:v>
      </x:c>
    </x:row>
    <x:row r="1225">
      <x:c r="A1225" s="33" t="str">
        <x:v>PROV045</x:v>
      </x:c>
      <x:c r="B1225" s="33" t="str">
        <x:v>Provision Master</x:v>
      </x:c>
      <x:c r="C1225" s="33" t="str">
        <x:v>Statutory Reference=Rule 52E; Provision Name=Disposal and Destruction Procedures; Provision Description=Disposal of narcotic drugs.</x:v>
      </x:c>
      <x:c r="D1225" s="33" t="str">
        <x:v>Statutory Reference=Rule 52E; Provision Name=Transport declaration and account-book entries; Provision Description=Required declaration/documentation and book entries must accompany transport or transmission by post, courier, rail or road.</x:v>
      </x:c>
      <x:c r="E1225" s="33" t="str">
        <x:v>CORRECT / RECLASSIFY</x:v>
      </x:c>
      <x:c r="F1225" s="33" t="str">
        <x:v>Correct technical citations, remove false direct duties and reclassify non-statutory/entity controls.</x:v>
      </x:c>
      <x:c r="G1225" s="33" t="str">
        <x:v>P-4 official-source validation</x:v>
      </x:c>
      <x:c r="H122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25" s="33" t="str">
        <x:v>P-4</x:v>
      </x:c>
      <x:c r="J1225" s="33" t="str">
        <x:v>2026-08-20</x:v>
      </x:c>
      <x:c r="K1225" s="33" t="str">
        <x:v>Provision IDs preserved; legal force and parentage corrected.</x:v>
      </x:c>
    </x:row>
    <x:row r="1226">
      <x:c r="A1226" s="33" t="str">
        <x:v>PROV101</x:v>
      </x:c>
      <x:c r="B1226" s="33" t="str">
        <x:v>Provision Master</x:v>
      </x:c>
      <x:c r="C1226" s="33" t="str">
        <x:v>Statutory Reference=Rule 19; Provision Name=Licensing Requirements for Medical Devices; Provision Description=Applicable to notified medical devices.</x:v>
      </x:c>
      <x:c r="D1226" s="33" t="str">
        <x:v>Statutory Reference=Rules 87(1), 87(1A) and 87A; Provision Name=Medical-device sale licence or MD-42 registration boundary; Provision Description=Apply Drugs Rules Part VI mutatis mutandis, or obtain Form MD-42 registration after Form MD-41 where the exclusive-device seller does not hold the applicable sale licence.</x:v>
      </x:c>
      <x:c r="E1226" s="33" t="str">
        <x:v>CORRECT / RECLASSIFY</x:v>
      </x:c>
      <x:c r="F1226" s="33" t="str">
        <x:v>Correct technical citations, remove false direct duties and reclassify non-statutory/entity controls.</x:v>
      </x:c>
      <x:c r="G1226" s="33" t="str">
        <x:v>P-4 official-source validation</x:v>
      </x:c>
      <x:c r="H122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26" s="33" t="str">
        <x:v>P-4</x:v>
      </x:c>
      <x:c r="J1226" s="33" t="str">
        <x:v>2026-08-20</x:v>
      </x:c>
      <x:c r="K1226" s="33" t="str">
        <x:v>Provision IDs preserved; legal force and parentage corrected.</x:v>
      </x:c>
    </x:row>
    <x:row r="1227">
      <x:c r="A1227" s="33" t="str">
        <x:v>PROV102</x:v>
      </x:c>
      <x:c r="B1227" s="33" t="str">
        <x:v>Provision Master</x:v>
      </x:c>
      <x:c r="C1227" s="33" t="str">
        <x:v>Statutory Reference=Rule 20; Provision Name=Conditions of Medical Device Licence; Provision Description=Licence conditions for sale and distribution.</x:v>
      </x:c>
      <x:c r="D1227" s="33" t="str">
        <x:v>Statutory Reference=Rule 87B(1)–(4); Provision Name=Display, storage and authorized procurement conditions; Provision Description=Display registration, maintain adequate premises and manufacturer-specified storage, and procure devices only from authorized sources.</x:v>
      </x:c>
      <x:c r="E1227" s="33" t="str">
        <x:v>CORRECT / RECLASSIFY</x:v>
      </x:c>
      <x:c r="F1227" s="33" t="str">
        <x:v>Correct technical citations, remove false direct duties and reclassify non-statutory/entity controls.</x:v>
      </x:c>
      <x:c r="G1227" s="33" t="str">
        <x:v>P-4 official-source validation</x:v>
      </x:c>
      <x:c r="H122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27" s="33" t="str">
        <x:v>P-4</x:v>
      </x:c>
      <x:c r="J1227" s="33" t="str">
        <x:v>2026-08-20</x:v>
      </x:c>
      <x:c r="K1227" s="33" t="str">
        <x:v>Provision IDs preserved; legal force and parentage corrected.</x:v>
      </x:c>
    </x:row>
    <x:row r="1228">
      <x:c r="A1228" s="33" t="str">
        <x:v>PROV103</x:v>
      </x:c>
      <x:c r="B1228" s="33" t="str">
        <x:v>Provision Master</x:v>
      </x:c>
      <x:c r="C1228" s="33" t="str">
        <x:v>Statutory Reference=Rule 21; Provision Name=Retention of Medical Device Records; Provision Description=Record maintenance requirements.</x:v>
      </x:c>
      <x:c r="D1228" s="33" t="str">
        <x:v>Statutory Reference=Rule 87B(5)–(8); Provision Name=Medical-device records, inspection access and retention; Provision Description=Maintain purchase/sale records, produce them for inspection, retain them for two years and maintain the prescribed inspection book.</x:v>
      </x:c>
      <x:c r="E1228" s="33" t="str">
        <x:v>CORRECT / RECLASSIFY</x:v>
      </x:c>
      <x:c r="F1228" s="33" t="str">
        <x:v>Correct technical citations, remove false direct duties and reclassify non-statutory/entity controls.</x:v>
      </x:c>
      <x:c r="G1228" s="33" t="str">
        <x:v>P-4 official-source validation</x:v>
      </x:c>
      <x:c r="H122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28" s="33" t="str">
        <x:v>P-4</x:v>
      </x:c>
      <x:c r="J1228" s="33" t="str">
        <x:v>2026-08-20</x:v>
      </x:c>
      <x:c r="K1228" s="33" t="str">
        <x:v>Provision IDs preserved; legal force and parentage corrected.</x:v>
      </x:c>
    </x:row>
    <x:row r="1229">
      <x:c r="A1229" s="33" t="str">
        <x:v>PROV104</x:v>
      </x:c>
      <x:c r="B1229" s="33" t="str">
        <x:v>Provision Master</x:v>
      </x:c>
      <x:c r="C1229" s="33" t="str">
        <x:v>Statutory Reference=Rule 44; Provision Name=Storage and Handling of Medical Devices; Provision Description=Storage conditions to preserve product integrity.</x:v>
      </x:c>
      <x:c r="D1229" s="33" t="str">
        <x:v>Statutory Reference=Rule 87C; Provision Name=Maintain MD-42 validity through retention fee; Provision Description=Registration remains valid in perpetuity subject to payment of the prescribed retention fee every five years.</x:v>
      </x:c>
      <x:c r="E1229" s="33" t="str">
        <x:v>CORRECT / RECLASSIFY</x:v>
      </x:c>
      <x:c r="F1229" s="33" t="str">
        <x:v>Correct technical citations, remove false direct duties and reclassify non-statutory/entity controls.</x:v>
      </x:c>
      <x:c r="G1229" s="33" t="str">
        <x:v>P-4 official-source validation</x:v>
      </x:c>
      <x:c r="H122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29" s="33" t="str">
        <x:v>P-4</x:v>
      </x:c>
      <x:c r="J1229" s="33" t="str">
        <x:v>2026-08-20</x:v>
      </x:c>
      <x:c r="K1229" s="33" t="str">
        <x:v>Provision IDs preserved; legal force and parentage corrected.</x:v>
      </x:c>
    </x:row>
    <x:row r="1230">
      <x:c r="A1230" s="33" t="str">
        <x:v>PROV105</x:v>
      </x:c>
      <x:c r="B1230" s="33" t="str">
        <x:v>Provision Master</x:v>
      </x:c>
      <x:c r="C1230" s="33" t="str">
        <x:v>Statutory Reference=Rule 89; Provision Name=Post-Market Surveillance Requirements; Provision Description=Monitoring of medical devices after sale.</x:v>
      </x:c>
      <x:c r="D1230" s="33" t="str">
        <x:v>Statutory Reference=Rule 88; Provision Name=Conditional supply to hospitals against delivery challan; Provision Description=Where Rule 88 applies, supply to a hospital or similar institution must be documented through the prescribed delivery-challan process.</x:v>
      </x:c>
      <x:c r="E1230" s="33" t="str">
        <x:v>CORRECT / RECLASSIFY</x:v>
      </x:c>
      <x:c r="F1230" s="33" t="str">
        <x:v>Correct technical citations, remove false direct duties and reclassify non-statutory/entity controls.</x:v>
      </x:c>
      <x:c r="G1230" s="33" t="str">
        <x:v>P-4 official-source validation</x:v>
      </x:c>
      <x:c r="H123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30" s="33" t="str">
        <x:v>P-4</x:v>
      </x:c>
      <x:c r="J1230" s="33" t="str">
        <x:v>2026-08-20</x:v>
      </x:c>
      <x:c r="K1230" s="33" t="str">
        <x:v>Provision IDs preserved; legal force and parentage corrected.</x:v>
      </x:c>
    </x:row>
    <x:row r="1231">
      <x:c r="A1231" s="33" t="str">
        <x:v>PROV106</x:v>
      </x:c>
      <x:c r="B1231" s="33" t="str">
        <x:v>Provision Master</x:v>
      </x:c>
      <x:c r="C1231" s="33" t="str">
        <x:v>Statutory Reference=Rule 21; Provision Name=Licensing for Cosmetics; Provision Description=Sale and stocking of cosmetics.</x:v>
      </x:c>
      <x:c r="D1231" s="33" t="str">
        <x:v>Statutory Reference=Rule 33; Provision Name=Prohibition on non-compliant cosmetic sale or distribution; Provision Description=Do not sell or distribute cosmetics unless their origin, licensing, quality and labelling position complies with the Rules.</x:v>
      </x:c>
      <x:c r="E1231" s="33" t="str">
        <x:v>CORRECT / RECLASSIFY</x:v>
      </x:c>
      <x:c r="F1231" s="33" t="str">
        <x:v>Correct technical citations, remove false direct duties and reclassify non-statutory/entity controls.</x:v>
      </x:c>
      <x:c r="G1231" s="33" t="str">
        <x:v>P-4 official-source validation</x:v>
      </x:c>
      <x:c r="H123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31" s="33" t="str">
        <x:v>P-4</x:v>
      </x:c>
      <x:c r="J1231" s="33" t="str">
        <x:v>2026-08-20</x:v>
      </x:c>
      <x:c r="K1231" s="33" t="str">
        <x:v>Provision IDs preserved; legal force and parentage corrected.</x:v>
      </x:c>
    </x:row>
    <x:row r="1232">
      <x:c r="A1232" s="33" t="str">
        <x:v>PROV107</x:v>
      </x:c>
      <x:c r="B1232" s="33" t="str">
        <x:v>Provision Master</x:v>
      </x:c>
      <x:c r="C1232" s="33" t="str">
        <x:v>Statutory Reference=Rule 30; Provision Name=Storage Conditions for Cosmetics; Provision Description=Storage to maintain quality and safety.</x:v>
      </x:c>
      <x:c r="D1232" s="33" t="str">
        <x:v>Statutory Reference=Rule 34; Provision Name=Cosmetic labelling requirements; Provision Description=Verify required label particulars before sale or distribution.</x:v>
      </x:c>
      <x:c r="E1232" s="33" t="str">
        <x:v>CORRECT / RECLASSIFY</x:v>
      </x:c>
      <x:c r="F1232" s="33" t="str">
        <x:v>Correct technical citations, remove false direct duties and reclassify non-statutory/entity controls.</x:v>
      </x:c>
      <x:c r="G1232" s="33" t="str">
        <x:v>P-4 official-source validation</x:v>
      </x:c>
      <x:c r="H123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32" s="33" t="str">
        <x:v>P-4</x:v>
      </x:c>
      <x:c r="J1232" s="33" t="str">
        <x:v>2026-08-20</x:v>
      </x:c>
      <x:c r="K1232" s="33" t="str">
        <x:v>Provision IDs preserved; legal force and parentage corrected.</x:v>
      </x:c>
    </x:row>
    <x:row r="1233">
      <x:c r="A1233" s="33" t="str">
        <x:v>PROV108</x:v>
      </x:c>
      <x:c r="B1233" s="33" t="str">
        <x:v>Provision Master</x:v>
      </x:c>
      <x:c r="C1233" s="33" t="str">
        <x:v>Statutory Reference=Rule 34; Provision Name=Labelling Requirements for Cosmetics; Provision Description=Mandatory label declarations.</x:v>
      </x:c>
      <x:c r="D1233" s="33" t="str">
        <x:v>Statutory Reference=Rule 35; Provision Name=Do not alter or deface cosmetic labels; Provision Description=Do not alter, obliterate or deface required cosmetic labelling.</x:v>
      </x:c>
      <x:c r="E1233" s="33" t="str">
        <x:v>CORRECT / RECLASSIFY</x:v>
      </x:c>
      <x:c r="F1233" s="33" t="str">
        <x:v>Correct technical citations, remove false direct duties and reclassify non-statutory/entity controls.</x:v>
      </x:c>
      <x:c r="G1233" s="33" t="str">
        <x:v>P-4 official-source validation</x:v>
      </x:c>
      <x:c r="H123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33" s="33" t="str">
        <x:v>P-4</x:v>
      </x:c>
      <x:c r="J1233" s="33" t="str">
        <x:v>2026-08-20</x:v>
      </x:c>
      <x:c r="K1233" s="33" t="str">
        <x:v>Provision IDs preserved; legal force and parentage corrected.</x:v>
      </x:c>
    </x:row>
    <x:row r="1234">
      <x:c r="A1234" s="33" t="str">
        <x:v>PROV109</x:v>
      </x:c>
      <x:c r="B1234" s="33" t="str">
        <x:v>Provision Master</x:v>
      </x:c>
      <x:c r="C1234" s="33" t="str">
        <x:v>Statutory Reference=Rule 39; Provision Name=Records Relating to Cosmetics; Provision Description=Documentation requirements.</x:v>
      </x:c>
      <x:c r="D1234" s="33" t="str">
        <x:v>Statutory Reference=Rule 36; Provision Name=No false or misleading cosmetic claims; Provision Description=Do not sell or distribute cosmetics bearing a false or misleading claim.</x:v>
      </x:c>
      <x:c r="E1234" s="33" t="str">
        <x:v>CORRECT / RECLASSIFY</x:v>
      </x:c>
      <x:c r="F1234" s="33" t="str">
        <x:v>Correct technical citations, remove false direct duties and reclassify non-statutory/entity controls.</x:v>
      </x:c>
      <x:c r="G1234" s="33" t="str">
        <x:v>P-4 official-source validation</x:v>
      </x:c>
      <x:c r="H123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34" s="33" t="str">
        <x:v>P-4</x:v>
      </x:c>
      <x:c r="J1234" s="33" t="str">
        <x:v>2026-08-20</x:v>
      </x:c>
      <x:c r="K1234" s="33" t="str">
        <x:v>Provision IDs preserved; legal force and parentage corrected.</x:v>
      </x:c>
    </x:row>
    <x:row r="1235">
      <x:c r="A1235" s="33" t="str">
        <x:v>PROV110</x:v>
      </x:c>
      <x:c r="B1235" s="33" t="str">
        <x:v>Provision Master</x:v>
      </x:c>
      <x:c r="C1235" s="33" t="str">
        <x:v>Statutory Reference=Rule 45; Provision Name=Recall of Unsafe Cosmetics; Provision Description=Product recall obligations.</x:v>
      </x:c>
      <x:c r="D1235" s="33" t="str">
        <x:v>Statutory Reference=Rule 39; Provision Name=Cosmetic standards, quality and safety; Provision Description=Sell or distribute only cosmetics that comply with prescribed standards and safety requirements.</x:v>
      </x:c>
      <x:c r="E1235" s="33" t="str">
        <x:v>CORRECT / RECLASSIFY</x:v>
      </x:c>
      <x:c r="F1235" s="33" t="str">
        <x:v>Correct technical citations, remove false direct duties and reclassify non-statutory/entity controls.</x:v>
      </x:c>
      <x:c r="G1235" s="33" t="str">
        <x:v>P-4 official-source validation</x:v>
      </x:c>
      <x:c r="H123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35" s="33" t="str">
        <x:v>P-4</x:v>
      </x:c>
      <x:c r="J1235" s="33" t="str">
        <x:v>2026-08-20</x:v>
      </x:c>
      <x:c r="K1235" s="33" t="str">
        <x:v>Provision IDs preserved; legal force and parentage corrected.</x:v>
      </x:c>
    </x:row>
    <x:row r="1236">
      <x:c r="A1236" s="33" t="str">
        <x:v>PROV167</x:v>
      </x:c>
      <x:c r="B1236" s="33" t="str">
        <x:v>Provision Master</x:v>
      </x:c>
      <x:c r="C1236" s="33" t="str">
        <x:v>Statutory Reference=Section 11; Provision Name=Registration of Clinical Establishment; Provision Description=Registration where applicable to hospital pharmacies.</x:v>
      </x:c>
      <x:c r="D1236" s="33" t="str">
        <x:v>Statutory Reference=Section 11; Provision Name=Clinical-establishment registration; Provision Description=A covered clinical establishment must be registered before operation in an applicable jurisdiction.</x:v>
      </x:c>
      <x:c r="E1236" s="33" t="str">
        <x:v>CORRECT / RECLASSIFY</x:v>
      </x:c>
      <x:c r="F1236" s="33" t="str">
        <x:v>Correct technical citations, remove false direct duties and reclassify non-statutory/entity controls.</x:v>
      </x:c>
      <x:c r="G1236" s="33" t="str">
        <x:v>P-4 official-source validation</x:v>
      </x:c>
      <x:c r="H123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36" s="33" t="str">
        <x:v>P-4</x:v>
      </x:c>
      <x:c r="J1236" s="33" t="str">
        <x:v>2026-08-20</x:v>
      </x:c>
      <x:c r="K1236" s="33" t="str">
        <x:v>Provision IDs preserved; legal force and parentage corrected.</x:v>
      </x:c>
    </x:row>
    <x:row r="1237">
      <x:c r="A1237" s="33" t="str">
        <x:v>PROV168</x:v>
      </x:c>
      <x:c r="B1237" s="33" t="str">
        <x:v>Provision Master</x:v>
      </x:c>
      <x:c r="C1237" s="33" t="str">
        <x:v>Statutory Reference=Section 25; Provision Name=Compliance with Minimum Standards; Provision Description=Minimum standards prescribed for clinical establishments.</x:v>
      </x:c>
      <x:c r="D1237" s="33" t="str">
        <x:v>Statutory Reference=Section 12; Provision Name=Minimum standards, personnel, records and emergency condition; Provision Description=A covered clinical establishment must meet prescribed standards, personnel, records/reporting and emergency-stabilization conditions.</x:v>
      </x:c>
      <x:c r="E1237" s="33" t="str">
        <x:v>CORRECT / RECLASSIFY</x:v>
      </x:c>
      <x:c r="F1237" s="33" t="str">
        <x:v>Correct technical citations, remove false direct duties and reclassify non-statutory/entity controls.</x:v>
      </x:c>
      <x:c r="G1237" s="33" t="str">
        <x:v>P-4 official-source validation</x:v>
      </x:c>
      <x:c r="H123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37" s="33" t="str">
        <x:v>P-4</x:v>
      </x:c>
      <x:c r="J1237" s="33" t="str">
        <x:v>2026-08-20</x:v>
      </x:c>
      <x:c r="K1237" s="33" t="str">
        <x:v>Provision IDs preserved; legal force and parentage corrected.</x:v>
      </x:c>
    </x:row>
    <x:row r="1238">
      <x:c r="A1238" s="33" t="str">
        <x:v>PROV169</x:v>
      </x:c>
      <x:c r="B1238" s="33" t="str">
        <x:v>Provision Master</x:v>
      </x:c>
      <x:c r="C1238" s="33" t="str">
        <x:v>Statutory Reference=Section 37; Provision Name=Maintenance of Clinical Records; Provision Description=Clinical documentation obligations.</x:v>
      </x:c>
      <x:c r="D1238" s="33" t="str">
        <x:v>Statutory Reference=Sections 18, 22 and 30(4); Provision Name=Display and renewal of clinical-establishment registration; Provision Description=Display the registration certificate and complete renewal/continuation requirements in the applicable jurisdiction.</x:v>
      </x:c>
      <x:c r="E1238" s="33" t="str">
        <x:v>CORRECT / RECLASSIFY</x:v>
      </x:c>
      <x:c r="F1238" s="33" t="str">
        <x:v>Correct technical citations, remove false direct duties and reclassify non-statutory/entity controls.</x:v>
      </x:c>
      <x:c r="G1238" s="33" t="str">
        <x:v>P-4 official-source validation</x:v>
      </x:c>
      <x:c r="H123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38" s="33" t="str">
        <x:v>P-4</x:v>
      </x:c>
      <x:c r="J1238" s="33" t="str">
        <x:v>2026-08-20</x:v>
      </x:c>
      <x:c r="K1238" s="33" t="str">
        <x:v>Provision IDs preserved; legal force and parentage corrected.</x:v>
      </x:c>
    </x:row>
    <x:row r="1239">
      <x:c r="A1239" s="33" t="str">
        <x:v>RPROV001</x:v>
      </x:c>
      <x:c r="B1239" s="33" t="str">
        <x:v>Provision Master</x:v>
      </x:c>
      <x:c r="C1239" s="33" t="str">
        <x:v>Law ID=LAW001; Provision Category=Operational; Statutory Reference=; Remarks=</x:v>
      </x:c>
      <x:c r="D123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39" s="33" t="str">
        <x:v>CORRECT / RECLASSIFY</x:v>
      </x:c>
      <x:c r="F1239" s="33" t="str">
        <x:v>Correct technical citations, remove false direct duties and reclassify non-statutory/entity controls.</x:v>
      </x:c>
      <x:c r="G1239" s="33" t="str">
        <x:v>P-4 official-source validation</x:v>
      </x:c>
      <x:c r="H123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39" s="33" t="str">
        <x:v>P-4</x:v>
      </x:c>
      <x:c r="J1239" s="33" t="str">
        <x:v>2026-08-20</x:v>
      </x:c>
      <x:c r="K1239" s="33" t="str">
        <x:v>Provision IDs preserved; legal force and parentage corrected.</x:v>
      </x:c>
    </x:row>
    <x:row r="1240">
      <x:c r="A1240" s="33" t="str">
        <x:v>RPROV002</x:v>
      </x:c>
      <x:c r="B1240" s="33" t="str">
        <x:v>Provision Master</x:v>
      </x:c>
      <x:c r="C1240" s="33" t="str">
        <x:v>Law ID=LAW001; Provision Category=Operational; Statutory Reference=; Remarks=</x:v>
      </x:c>
      <x:c r="D124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40" s="33" t="str">
        <x:v>CORRECT / RECLASSIFY</x:v>
      </x:c>
      <x:c r="F1240" s="33" t="str">
        <x:v>Correct technical citations, remove false direct duties and reclassify non-statutory/entity controls.</x:v>
      </x:c>
      <x:c r="G1240" s="33" t="str">
        <x:v>P-4 official-source validation</x:v>
      </x:c>
      <x:c r="H124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40" s="33" t="str">
        <x:v>P-4</x:v>
      </x:c>
      <x:c r="J1240" s="33" t="str">
        <x:v>2026-08-20</x:v>
      </x:c>
      <x:c r="K1240" s="33" t="str">
        <x:v>Provision IDs preserved; legal force and parentage corrected.</x:v>
      </x:c>
    </x:row>
    <x:row r="1241">
      <x:c r="A1241" s="33" t="str">
        <x:v>RPROV003</x:v>
      </x:c>
      <x:c r="B1241" s="33" t="str">
        <x:v>Provision Master</x:v>
      </x:c>
      <x:c r="C1241" s="33" t="str">
        <x:v>Law ID=LAW001; Provision Category=Operational; Statutory Reference=; Remarks=</x:v>
      </x:c>
      <x:c r="D124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41" s="33" t="str">
        <x:v>CORRECT / RECLASSIFY</x:v>
      </x:c>
      <x:c r="F1241" s="33" t="str">
        <x:v>Correct technical citations, remove false direct duties and reclassify non-statutory/entity controls.</x:v>
      </x:c>
      <x:c r="G1241" s="33" t="str">
        <x:v>P-4 official-source validation</x:v>
      </x:c>
      <x:c r="H124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41" s="33" t="str">
        <x:v>P-4</x:v>
      </x:c>
      <x:c r="J1241" s="33" t="str">
        <x:v>2026-08-20</x:v>
      </x:c>
      <x:c r="K1241" s="33" t="str">
        <x:v>Provision IDs preserved; legal force and parentage corrected.</x:v>
      </x:c>
    </x:row>
    <x:row r="1242">
      <x:c r="A1242" s="33" t="str">
        <x:v>RPROV004</x:v>
      </x:c>
      <x:c r="B1242" s="33" t="str">
        <x:v>Provision Master</x:v>
      </x:c>
      <x:c r="C1242" s="33" t="str">
        <x:v>Law ID=LAW004; Provision Category=Operational; Statutory Reference=; Remarks=</x:v>
      </x:c>
      <x:c r="D124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42" s="33" t="str">
        <x:v>CORRECT / RECLASSIFY</x:v>
      </x:c>
      <x:c r="F1242" s="33" t="str">
        <x:v>Correct technical citations, remove false direct duties and reclassify non-statutory/entity controls.</x:v>
      </x:c>
      <x:c r="G1242" s="33" t="str">
        <x:v>P-4 official-source validation</x:v>
      </x:c>
      <x:c r="H124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42" s="33" t="str">
        <x:v>P-4</x:v>
      </x:c>
      <x:c r="J1242" s="33" t="str">
        <x:v>2026-08-20</x:v>
      </x:c>
      <x:c r="K1242" s="33" t="str">
        <x:v>Provision IDs preserved; legal force and parentage corrected.</x:v>
      </x:c>
    </x:row>
    <x:row r="1243">
      <x:c r="A1243" s="33" t="str">
        <x:v>RPROV005</x:v>
      </x:c>
      <x:c r="B1243" s="33" t="str">
        <x:v>Provision Master</x:v>
      </x:c>
      <x:c r="C1243" s="33" t="str">
        <x:v>Law ID=LAW001; Provision Category=Operational; Statutory Reference=; Remarks=</x:v>
      </x:c>
      <x:c r="D124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43" s="33" t="str">
        <x:v>CORRECT / RECLASSIFY</x:v>
      </x:c>
      <x:c r="F1243" s="33" t="str">
        <x:v>Correct technical citations, remove false direct duties and reclassify non-statutory/entity controls.</x:v>
      </x:c>
      <x:c r="G1243" s="33" t="str">
        <x:v>P-4 official-source validation</x:v>
      </x:c>
      <x:c r="H124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43" s="33" t="str">
        <x:v>P-4</x:v>
      </x:c>
      <x:c r="J1243" s="33" t="str">
        <x:v>2026-08-20</x:v>
      </x:c>
      <x:c r="K1243" s="33" t="str">
        <x:v>Provision IDs preserved; legal force and parentage corrected.</x:v>
      </x:c>
    </x:row>
    <x:row r="1244">
      <x:c r="A1244" s="33" t="str">
        <x:v>RPROV006</x:v>
      </x:c>
      <x:c r="B1244" s="33" t="str">
        <x:v>Provision Master</x:v>
      </x:c>
      <x:c r="C1244" s="33" t="str">
        <x:v>Law ID=LAW001; Provision Category=Operational; Statutory Reference=; Remarks=</x:v>
      </x:c>
      <x:c r="D124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44" s="33" t="str">
        <x:v>CORRECT / RECLASSIFY</x:v>
      </x:c>
      <x:c r="F1244" s="33" t="str">
        <x:v>Correct technical citations, remove false direct duties and reclassify non-statutory/entity controls.</x:v>
      </x:c>
      <x:c r="G1244" s="33" t="str">
        <x:v>P-4 official-source validation</x:v>
      </x:c>
      <x:c r="H124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44" s="33" t="str">
        <x:v>P-4</x:v>
      </x:c>
      <x:c r="J1244" s="33" t="str">
        <x:v>2026-08-20</x:v>
      </x:c>
      <x:c r="K1244" s="33" t="str">
        <x:v>Provision IDs preserved; legal force and parentage corrected.</x:v>
      </x:c>
    </x:row>
    <x:row r="1245">
      <x:c r="A1245" s="33" t="str">
        <x:v>RPROV007</x:v>
      </x:c>
      <x:c r="B1245" s="33" t="str">
        <x:v>Provision Master</x:v>
      </x:c>
      <x:c r="C1245" s="33" t="str">
        <x:v>Law ID=LAW001; Provision Category=Operational; Statutory Reference=; Remarks=</x:v>
      </x:c>
      <x:c r="D124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45" s="33" t="str">
        <x:v>CORRECT / RECLASSIFY</x:v>
      </x:c>
      <x:c r="F1245" s="33" t="str">
        <x:v>Correct technical citations, remove false direct duties and reclassify non-statutory/entity controls.</x:v>
      </x:c>
      <x:c r="G1245" s="33" t="str">
        <x:v>P-4 official-source validation</x:v>
      </x:c>
      <x:c r="H124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45" s="33" t="str">
        <x:v>P-4</x:v>
      </x:c>
      <x:c r="J1245" s="33" t="str">
        <x:v>2026-08-20</x:v>
      </x:c>
      <x:c r="K1245" s="33" t="str">
        <x:v>Provision IDs preserved; legal force and parentage corrected.</x:v>
      </x:c>
    </x:row>
    <x:row r="1246">
      <x:c r="A1246" s="33" t="str">
        <x:v>RPROV008</x:v>
      </x:c>
      <x:c r="B1246" s="33" t="str">
        <x:v>Provision Master</x:v>
      </x:c>
      <x:c r="C1246" s="33" t="str">
        <x:v>Law ID=LAW003; Provision Category=Operational; Statutory Reference=; Remarks=</x:v>
      </x:c>
      <x:c r="D124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46" s="33" t="str">
        <x:v>CORRECT / RECLASSIFY</x:v>
      </x:c>
      <x:c r="F1246" s="33" t="str">
        <x:v>Correct technical citations, remove false direct duties and reclassify non-statutory/entity controls.</x:v>
      </x:c>
      <x:c r="G1246" s="33" t="str">
        <x:v>P-4 official-source validation</x:v>
      </x:c>
      <x:c r="H124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46" s="33" t="str">
        <x:v>P-4</x:v>
      </x:c>
      <x:c r="J1246" s="33" t="str">
        <x:v>2026-08-20</x:v>
      </x:c>
      <x:c r="K1246" s="33" t="str">
        <x:v>Provision IDs preserved; legal force and parentage corrected.</x:v>
      </x:c>
    </x:row>
    <x:row r="1247">
      <x:c r="A1247" s="33" t="str">
        <x:v>RPROV009</x:v>
      </x:c>
      <x:c r="B1247" s="33" t="str">
        <x:v>Provision Master</x:v>
      </x:c>
      <x:c r="C1247" s="33" t="str">
        <x:v>Law ID=LAW001; Provision Category=Operational; Statutory Reference=; Remarks=</x:v>
      </x:c>
      <x:c r="D124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47" s="33" t="str">
        <x:v>CORRECT / RECLASSIFY</x:v>
      </x:c>
      <x:c r="F1247" s="33" t="str">
        <x:v>Correct technical citations, remove false direct duties and reclassify non-statutory/entity controls.</x:v>
      </x:c>
      <x:c r="G1247" s="33" t="str">
        <x:v>P-4 official-source validation</x:v>
      </x:c>
      <x:c r="H124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47" s="33" t="str">
        <x:v>P-4</x:v>
      </x:c>
      <x:c r="J1247" s="33" t="str">
        <x:v>2026-08-20</x:v>
      </x:c>
      <x:c r="K1247" s="33" t="str">
        <x:v>Provision IDs preserved; legal force and parentage corrected.</x:v>
      </x:c>
    </x:row>
    <x:row r="1248">
      <x:c r="A1248" s="33" t="str">
        <x:v>RPROV010</x:v>
      </x:c>
      <x:c r="B1248" s="33" t="str">
        <x:v>Provision Master</x:v>
      </x:c>
      <x:c r="C1248" s="33" t="str">
        <x:v>Law ID=LAW001; Provision Category=Operational; Statutory Reference=; Remarks=</x:v>
      </x:c>
      <x:c r="D124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48" s="33" t="str">
        <x:v>CORRECT / RECLASSIFY</x:v>
      </x:c>
      <x:c r="F1248" s="33" t="str">
        <x:v>Correct technical citations, remove false direct duties and reclassify non-statutory/entity controls.</x:v>
      </x:c>
      <x:c r="G1248" s="33" t="str">
        <x:v>P-4 official-source validation</x:v>
      </x:c>
      <x:c r="H124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48" s="33" t="str">
        <x:v>P-4</x:v>
      </x:c>
      <x:c r="J1248" s="33" t="str">
        <x:v>2026-08-20</x:v>
      </x:c>
      <x:c r="K1248" s="33" t="str">
        <x:v>Provision IDs preserved; legal force and parentage corrected.</x:v>
      </x:c>
    </x:row>
    <x:row r="1249">
      <x:c r="A1249" s="33" t="str">
        <x:v>RPROV011</x:v>
      </x:c>
      <x:c r="B1249" s="33" t="str">
        <x:v>Provision Master</x:v>
      </x:c>
      <x:c r="C1249" s="33" t="str">
        <x:v>Law ID=LAW001; Provision Category=Operational; Statutory Reference=; Remarks=</x:v>
      </x:c>
      <x:c r="D124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49" s="33" t="str">
        <x:v>CORRECT / RECLASSIFY</x:v>
      </x:c>
      <x:c r="F1249" s="33" t="str">
        <x:v>Correct technical citations, remove false direct duties and reclassify non-statutory/entity controls.</x:v>
      </x:c>
      <x:c r="G1249" s="33" t="str">
        <x:v>P-4 official-source validation</x:v>
      </x:c>
      <x:c r="H124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49" s="33" t="str">
        <x:v>P-4</x:v>
      </x:c>
      <x:c r="J1249" s="33" t="str">
        <x:v>2026-08-20</x:v>
      </x:c>
      <x:c r="K1249" s="33" t="str">
        <x:v>Provision IDs preserved; legal force and parentage corrected.</x:v>
      </x:c>
    </x:row>
    <x:row r="1250">
      <x:c r="A1250" s="33" t="str">
        <x:v>RPROV012</x:v>
      </x:c>
      <x:c r="B1250" s="33" t="str">
        <x:v>Provision Master</x:v>
      </x:c>
      <x:c r="C1250" s="33" t="str">
        <x:v>Law ID=LAW001; Provision Category=Operational; Statutory Reference=; Remarks=</x:v>
      </x:c>
      <x:c r="D125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50" s="33" t="str">
        <x:v>CORRECT / RECLASSIFY</x:v>
      </x:c>
      <x:c r="F1250" s="33" t="str">
        <x:v>Correct technical citations, remove false direct duties and reclassify non-statutory/entity controls.</x:v>
      </x:c>
      <x:c r="G1250" s="33" t="str">
        <x:v>P-4 official-source validation</x:v>
      </x:c>
      <x:c r="H125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50" s="33" t="str">
        <x:v>P-4</x:v>
      </x:c>
      <x:c r="J1250" s="33" t="str">
        <x:v>2026-08-20</x:v>
      </x:c>
      <x:c r="K1250" s="33" t="str">
        <x:v>Provision IDs preserved; legal force and parentage corrected.</x:v>
      </x:c>
    </x:row>
    <x:row r="1251">
      <x:c r="A1251" s="33" t="str">
        <x:v>RPROV013</x:v>
      </x:c>
      <x:c r="B1251" s="33" t="str">
        <x:v>Provision Master</x:v>
      </x:c>
      <x:c r="C1251" s="33" t="str">
        <x:v>Law ID=LAW002; Provision Category=Operational; Statutory Reference=; Remarks=</x:v>
      </x:c>
      <x:c r="D125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51" s="33" t="str">
        <x:v>CORRECT / RECLASSIFY</x:v>
      </x:c>
      <x:c r="F1251" s="33" t="str">
        <x:v>Correct technical citations, remove false direct duties and reclassify non-statutory/entity controls.</x:v>
      </x:c>
      <x:c r="G1251" s="33" t="str">
        <x:v>P-4 official-source validation</x:v>
      </x:c>
      <x:c r="H125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51" s="33" t="str">
        <x:v>P-4</x:v>
      </x:c>
      <x:c r="J1251" s="33" t="str">
        <x:v>2026-08-20</x:v>
      </x:c>
      <x:c r="K1251" s="33" t="str">
        <x:v>Provision IDs preserved; legal force and parentage corrected.</x:v>
      </x:c>
    </x:row>
    <x:row r="1252">
      <x:c r="A1252" s="33" t="str">
        <x:v>RPROV014</x:v>
      </x:c>
      <x:c r="B1252" s="33" t="str">
        <x:v>Provision Master</x:v>
      </x:c>
      <x:c r="C1252" s="33" t="str">
        <x:v>Law ID=LAW001; Provision Category=Operational; Statutory Reference=; Remarks=</x:v>
      </x:c>
      <x:c r="D125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52" s="33" t="str">
        <x:v>CORRECT / RECLASSIFY</x:v>
      </x:c>
      <x:c r="F1252" s="33" t="str">
        <x:v>Correct technical citations, remove false direct duties and reclassify non-statutory/entity controls.</x:v>
      </x:c>
      <x:c r="G1252" s="33" t="str">
        <x:v>P-4 official-source validation</x:v>
      </x:c>
      <x:c r="H125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52" s="33" t="str">
        <x:v>P-4</x:v>
      </x:c>
      <x:c r="J1252" s="33" t="str">
        <x:v>2026-08-20</x:v>
      </x:c>
      <x:c r="K1252" s="33" t="str">
        <x:v>Provision IDs preserved; legal force and parentage corrected.</x:v>
      </x:c>
    </x:row>
    <x:row r="1253">
      <x:c r="A1253" s="33" t="str">
        <x:v>RPROV015</x:v>
      </x:c>
      <x:c r="B1253" s="33" t="str">
        <x:v>Provision Master</x:v>
      </x:c>
      <x:c r="C1253" s="33" t="str">
        <x:v>Law ID=LAW001; Provision Category=Operational; Statutory Reference=; Remarks=</x:v>
      </x:c>
      <x:c r="D125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53" s="33" t="str">
        <x:v>CORRECT / RECLASSIFY</x:v>
      </x:c>
      <x:c r="F1253" s="33" t="str">
        <x:v>Correct technical citations, remove false direct duties and reclassify non-statutory/entity controls.</x:v>
      </x:c>
      <x:c r="G1253" s="33" t="str">
        <x:v>P-4 official-source validation</x:v>
      </x:c>
      <x:c r="H125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53" s="33" t="str">
        <x:v>P-4</x:v>
      </x:c>
      <x:c r="J1253" s="33" t="str">
        <x:v>2026-08-20</x:v>
      </x:c>
      <x:c r="K1253" s="33" t="str">
        <x:v>Provision IDs preserved; legal force and parentage corrected.</x:v>
      </x:c>
    </x:row>
    <x:row r="1254">
      <x:c r="A1254" s="33" t="str">
        <x:v>RPROV016</x:v>
      </x:c>
      <x:c r="B1254" s="33" t="str">
        <x:v>Provision Master</x:v>
      </x:c>
      <x:c r="C1254" s="33" t="str">
        <x:v>Law ID=LAW004; Provision Category=Operational; Statutory Reference=; Remarks=</x:v>
      </x:c>
      <x:c r="D125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54" s="33" t="str">
        <x:v>CORRECT / RECLASSIFY</x:v>
      </x:c>
      <x:c r="F1254" s="33" t="str">
        <x:v>Correct technical citations, remove false direct duties and reclassify non-statutory/entity controls.</x:v>
      </x:c>
      <x:c r="G1254" s="33" t="str">
        <x:v>P-4 official-source validation</x:v>
      </x:c>
      <x:c r="H125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54" s="33" t="str">
        <x:v>P-4</x:v>
      </x:c>
      <x:c r="J1254" s="33" t="str">
        <x:v>2026-08-20</x:v>
      </x:c>
      <x:c r="K1254" s="33" t="str">
        <x:v>Provision IDs preserved; legal force and parentage corrected.</x:v>
      </x:c>
    </x:row>
    <x:row r="1255">
      <x:c r="A1255" s="33" t="str">
        <x:v>RPROV017</x:v>
      </x:c>
      <x:c r="B1255" s="33" t="str">
        <x:v>Provision Master</x:v>
      </x:c>
      <x:c r="C1255" s="33" t="str">
        <x:v>Law ID=LAW001; Provision Category=Operational; Statutory Reference=; Remarks=</x:v>
      </x:c>
      <x:c r="D125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55" s="33" t="str">
        <x:v>CORRECT / RECLASSIFY</x:v>
      </x:c>
      <x:c r="F1255" s="33" t="str">
        <x:v>Correct technical citations, remove false direct duties and reclassify non-statutory/entity controls.</x:v>
      </x:c>
      <x:c r="G1255" s="33" t="str">
        <x:v>P-4 official-source validation</x:v>
      </x:c>
      <x:c r="H125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55" s="33" t="str">
        <x:v>P-4</x:v>
      </x:c>
      <x:c r="J1255" s="33" t="str">
        <x:v>2026-08-20</x:v>
      </x:c>
      <x:c r="K1255" s="33" t="str">
        <x:v>Provision IDs preserved; legal force and parentage corrected.</x:v>
      </x:c>
    </x:row>
    <x:row r="1256">
      <x:c r="A1256" s="33" t="str">
        <x:v>RPROV018</x:v>
      </x:c>
      <x:c r="B1256" s="33" t="str">
        <x:v>Provision Master</x:v>
      </x:c>
      <x:c r="C1256" s="33" t="str">
        <x:v>Law ID=LAW003; Provision Category=Operational; Statutory Reference=; Remarks=</x:v>
      </x:c>
      <x:c r="D125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56" s="33" t="str">
        <x:v>CORRECT / RECLASSIFY</x:v>
      </x:c>
      <x:c r="F1256" s="33" t="str">
        <x:v>Correct technical citations, remove false direct duties and reclassify non-statutory/entity controls.</x:v>
      </x:c>
      <x:c r="G1256" s="33" t="str">
        <x:v>P-4 official-source validation</x:v>
      </x:c>
      <x:c r="H125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56" s="33" t="str">
        <x:v>P-4</x:v>
      </x:c>
      <x:c r="J1256" s="33" t="str">
        <x:v>2026-08-20</x:v>
      </x:c>
      <x:c r="K1256" s="33" t="str">
        <x:v>Provision IDs preserved; legal force and parentage corrected.</x:v>
      </x:c>
    </x:row>
    <x:row r="1257">
      <x:c r="A1257" s="33" t="str">
        <x:v>RPROV019</x:v>
      </x:c>
      <x:c r="B1257" s="33" t="str">
        <x:v>Provision Master</x:v>
      </x:c>
      <x:c r="C1257" s="33" t="str">
        <x:v>Law ID=LAW001; Provision Category=Operational; Statutory Reference=; Remarks=</x:v>
      </x:c>
      <x:c r="D125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57" s="33" t="str">
        <x:v>CORRECT / RECLASSIFY</x:v>
      </x:c>
      <x:c r="F1257" s="33" t="str">
        <x:v>Correct technical citations, remove false direct duties and reclassify non-statutory/entity controls.</x:v>
      </x:c>
      <x:c r="G1257" s="33" t="str">
        <x:v>P-4 official-source validation</x:v>
      </x:c>
      <x:c r="H125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57" s="33" t="str">
        <x:v>P-4</x:v>
      </x:c>
      <x:c r="J1257" s="33" t="str">
        <x:v>2026-08-20</x:v>
      </x:c>
      <x:c r="K1257" s="33" t="str">
        <x:v>Provision IDs preserved; legal force and parentage corrected.</x:v>
      </x:c>
    </x:row>
    <x:row r="1258">
      <x:c r="A1258" s="33" t="str">
        <x:v>RPROV020</x:v>
      </x:c>
      <x:c r="B1258" s="33" t="str">
        <x:v>Provision Master</x:v>
      </x:c>
      <x:c r="C1258" s="33" t="str">
        <x:v>Law ID=LAW002; Provision Category=Operational; Statutory Reference=; Remarks=</x:v>
      </x:c>
      <x:c r="D125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58" s="33" t="str">
        <x:v>CORRECT / RECLASSIFY</x:v>
      </x:c>
      <x:c r="F1258" s="33" t="str">
        <x:v>Correct technical citations, remove false direct duties and reclassify non-statutory/entity controls.</x:v>
      </x:c>
      <x:c r="G1258" s="33" t="str">
        <x:v>P-4 official-source validation</x:v>
      </x:c>
      <x:c r="H125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58" s="33" t="str">
        <x:v>P-4</x:v>
      </x:c>
      <x:c r="J1258" s="33" t="str">
        <x:v>2026-08-20</x:v>
      </x:c>
      <x:c r="K1258" s="33" t="str">
        <x:v>Provision IDs preserved; legal force and parentage corrected.</x:v>
      </x:c>
    </x:row>
    <x:row r="1259">
      <x:c r="A1259" s="33" t="str">
        <x:v>RPROV021</x:v>
      </x:c>
      <x:c r="B1259" s="33" t="str">
        <x:v>Provision Master</x:v>
      </x:c>
      <x:c r="C1259" s="33" t="str">
        <x:v>Law ID=LAW001; Provision Category=Operational; Statutory Reference=; Remarks=</x:v>
      </x:c>
      <x:c r="D125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59" s="33" t="str">
        <x:v>CORRECT / RECLASSIFY</x:v>
      </x:c>
      <x:c r="F1259" s="33" t="str">
        <x:v>Correct technical citations, remove false direct duties and reclassify non-statutory/entity controls.</x:v>
      </x:c>
      <x:c r="G1259" s="33" t="str">
        <x:v>P-4 official-source validation</x:v>
      </x:c>
      <x:c r="H125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59" s="33" t="str">
        <x:v>P-4</x:v>
      </x:c>
      <x:c r="J1259" s="33" t="str">
        <x:v>2026-08-20</x:v>
      </x:c>
      <x:c r="K1259" s="33" t="str">
        <x:v>Provision IDs preserved; legal force and parentage corrected.</x:v>
      </x:c>
    </x:row>
    <x:row r="1260">
      <x:c r="A1260" s="33" t="str">
        <x:v>RPROV022</x:v>
      </x:c>
      <x:c r="B1260" s="33" t="str">
        <x:v>Provision Master</x:v>
      </x:c>
      <x:c r="C1260" s="33" t="str">
        <x:v>Law ID=LAW001; Provision Category=Operational; Statutory Reference=; Remarks=</x:v>
      </x:c>
      <x:c r="D126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60" s="33" t="str">
        <x:v>CORRECT / RECLASSIFY</x:v>
      </x:c>
      <x:c r="F1260" s="33" t="str">
        <x:v>Correct technical citations, remove false direct duties and reclassify non-statutory/entity controls.</x:v>
      </x:c>
      <x:c r="G1260" s="33" t="str">
        <x:v>P-4 official-source validation</x:v>
      </x:c>
      <x:c r="H126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60" s="33" t="str">
        <x:v>P-4</x:v>
      </x:c>
      <x:c r="J1260" s="33" t="str">
        <x:v>2026-08-20</x:v>
      </x:c>
      <x:c r="K1260" s="33" t="str">
        <x:v>Provision IDs preserved; legal force and parentage corrected.</x:v>
      </x:c>
    </x:row>
    <x:row r="1261">
      <x:c r="A1261" s="33" t="str">
        <x:v>RPROV023</x:v>
      </x:c>
      <x:c r="B1261" s="33" t="str">
        <x:v>Provision Master</x:v>
      </x:c>
      <x:c r="C1261" s="33" t="str">
        <x:v>Law ID=LAW001; Provision Category=Operational; Statutory Reference=; Remarks=</x:v>
      </x:c>
      <x:c r="D126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61" s="33" t="str">
        <x:v>CORRECT / RECLASSIFY</x:v>
      </x:c>
      <x:c r="F1261" s="33" t="str">
        <x:v>Correct technical citations, remove false direct duties and reclassify non-statutory/entity controls.</x:v>
      </x:c>
      <x:c r="G1261" s="33" t="str">
        <x:v>P-4 official-source validation</x:v>
      </x:c>
      <x:c r="H126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61" s="33" t="str">
        <x:v>P-4</x:v>
      </x:c>
      <x:c r="J1261" s="33" t="str">
        <x:v>2026-08-20</x:v>
      </x:c>
      <x:c r="K1261" s="33" t="str">
        <x:v>Provision IDs preserved; legal force and parentage corrected.</x:v>
      </x:c>
    </x:row>
    <x:row r="1262">
      <x:c r="A1262" s="33" t="str">
        <x:v>RPROV024</x:v>
      </x:c>
      <x:c r="B1262" s="33" t="str">
        <x:v>Provision Master</x:v>
      </x:c>
      <x:c r="C1262" s="33" t="str">
        <x:v>Law ID=LAW003; Provision Category=Operational; Statutory Reference=; Remarks=</x:v>
      </x:c>
      <x:c r="D126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62" s="33" t="str">
        <x:v>CORRECT / RECLASSIFY</x:v>
      </x:c>
      <x:c r="F1262" s="33" t="str">
        <x:v>Correct technical citations, remove false direct duties and reclassify non-statutory/entity controls.</x:v>
      </x:c>
      <x:c r="G1262" s="33" t="str">
        <x:v>P-4 official-source validation</x:v>
      </x:c>
      <x:c r="H126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62" s="33" t="str">
        <x:v>P-4</x:v>
      </x:c>
      <x:c r="J1262" s="33" t="str">
        <x:v>2026-08-20</x:v>
      </x:c>
      <x:c r="K1262" s="33" t="str">
        <x:v>Provision IDs preserved; legal force and parentage corrected.</x:v>
      </x:c>
    </x:row>
    <x:row r="1263">
      <x:c r="A1263" s="33" t="str">
        <x:v>RPROV025</x:v>
      </x:c>
      <x:c r="B1263" s="33" t="str">
        <x:v>Provision Master</x:v>
      </x:c>
      <x:c r="C1263" s="33" t="str">
        <x:v>Law ID=LAW001; Provision Category=Operational; Statutory Reference=; Remarks=</x:v>
      </x:c>
      <x:c r="D126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63" s="33" t="str">
        <x:v>CORRECT / RECLASSIFY</x:v>
      </x:c>
      <x:c r="F1263" s="33" t="str">
        <x:v>Correct technical citations, remove false direct duties and reclassify non-statutory/entity controls.</x:v>
      </x:c>
      <x:c r="G1263" s="33" t="str">
        <x:v>P-4 official-source validation</x:v>
      </x:c>
      <x:c r="H126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63" s="33" t="str">
        <x:v>P-4</x:v>
      </x:c>
      <x:c r="J1263" s="33" t="str">
        <x:v>2026-08-20</x:v>
      </x:c>
      <x:c r="K1263" s="33" t="str">
        <x:v>Provision IDs preserved; legal force and parentage corrected.</x:v>
      </x:c>
    </x:row>
    <x:row r="1264">
      <x:c r="A1264" s="33" t="str">
        <x:v>RPROV026</x:v>
      </x:c>
      <x:c r="B1264" s="33" t="str">
        <x:v>Provision Master</x:v>
      </x:c>
      <x:c r="C1264" s="33" t="str">
        <x:v>Law ID=LAW002; Provision Category=Operational; Statutory Reference=; Remarks=</x:v>
      </x:c>
      <x:c r="D126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64" s="33" t="str">
        <x:v>CORRECT / RECLASSIFY</x:v>
      </x:c>
      <x:c r="F1264" s="33" t="str">
        <x:v>Correct technical citations, remove false direct duties and reclassify non-statutory/entity controls.</x:v>
      </x:c>
      <x:c r="G1264" s="33" t="str">
        <x:v>P-4 official-source validation</x:v>
      </x:c>
      <x:c r="H126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64" s="33" t="str">
        <x:v>P-4</x:v>
      </x:c>
      <x:c r="J1264" s="33" t="str">
        <x:v>2026-08-20</x:v>
      </x:c>
      <x:c r="K1264" s="33" t="str">
        <x:v>Provision IDs preserved; legal force and parentage corrected.</x:v>
      </x:c>
    </x:row>
    <x:row r="1265">
      <x:c r="A1265" s="33" t="str">
        <x:v>RPROV027</x:v>
      </x:c>
      <x:c r="B1265" s="33" t="str">
        <x:v>Provision Master</x:v>
      </x:c>
      <x:c r="C1265" s="33" t="str">
        <x:v>Law ID=LAW001; Provision Category=Operational; Statutory Reference=; Remarks=</x:v>
      </x:c>
      <x:c r="D126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65" s="33" t="str">
        <x:v>CORRECT / RECLASSIFY</x:v>
      </x:c>
      <x:c r="F1265" s="33" t="str">
        <x:v>Correct technical citations, remove false direct duties and reclassify non-statutory/entity controls.</x:v>
      </x:c>
      <x:c r="G1265" s="33" t="str">
        <x:v>P-4 official-source validation</x:v>
      </x:c>
      <x:c r="H126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65" s="33" t="str">
        <x:v>P-4</x:v>
      </x:c>
      <x:c r="J1265" s="33" t="str">
        <x:v>2026-08-20</x:v>
      </x:c>
      <x:c r="K1265" s="33" t="str">
        <x:v>Provision IDs preserved; legal force and parentage corrected.</x:v>
      </x:c>
    </x:row>
    <x:row r="1266">
      <x:c r="A1266" s="33" t="str">
        <x:v>RPROV028</x:v>
      </x:c>
      <x:c r="B1266" s="33" t="str">
        <x:v>Provision Master</x:v>
      </x:c>
      <x:c r="C1266" s="33" t="str">
        <x:v>Law ID=LAW004; Provision Category=Operational; Statutory Reference=; Remarks=</x:v>
      </x:c>
      <x:c r="D126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66" s="33" t="str">
        <x:v>CORRECT / RECLASSIFY</x:v>
      </x:c>
      <x:c r="F1266" s="33" t="str">
        <x:v>Correct technical citations, remove false direct duties and reclassify non-statutory/entity controls.</x:v>
      </x:c>
      <x:c r="G1266" s="33" t="str">
        <x:v>P-4 official-source validation</x:v>
      </x:c>
      <x:c r="H126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66" s="33" t="str">
        <x:v>P-4</x:v>
      </x:c>
      <x:c r="J1266" s="33" t="str">
        <x:v>2026-08-20</x:v>
      </x:c>
      <x:c r="K1266" s="33" t="str">
        <x:v>Provision IDs preserved; legal force and parentage corrected.</x:v>
      </x:c>
    </x:row>
    <x:row r="1267">
      <x:c r="A1267" s="33" t="str">
        <x:v>RPROV029</x:v>
      </x:c>
      <x:c r="B1267" s="33" t="str">
        <x:v>Provision Master</x:v>
      </x:c>
      <x:c r="C1267" s="33" t="str">
        <x:v>Law ID=LAW001; Provision Category=Operational; Statutory Reference=; Remarks=</x:v>
      </x:c>
      <x:c r="D126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67" s="33" t="str">
        <x:v>CORRECT / RECLASSIFY</x:v>
      </x:c>
      <x:c r="F1267" s="33" t="str">
        <x:v>Correct technical citations, remove false direct duties and reclassify non-statutory/entity controls.</x:v>
      </x:c>
      <x:c r="G1267" s="33" t="str">
        <x:v>P-4 official-source validation</x:v>
      </x:c>
      <x:c r="H126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67" s="33" t="str">
        <x:v>P-4</x:v>
      </x:c>
      <x:c r="J1267" s="33" t="str">
        <x:v>2026-08-20</x:v>
      </x:c>
      <x:c r="K1267" s="33" t="str">
        <x:v>Provision IDs preserved; legal force and parentage corrected.</x:v>
      </x:c>
    </x:row>
    <x:row r="1268">
      <x:c r="A1268" s="33" t="str">
        <x:v>RPROV030</x:v>
      </x:c>
      <x:c r="B1268" s="33" t="str">
        <x:v>Provision Master</x:v>
      </x:c>
      <x:c r="C1268" s="33" t="str">
        <x:v>Law ID=LAW001; Provision Category=Operational; Statutory Reference=; Remarks=</x:v>
      </x:c>
      <x:c r="D126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68" s="33" t="str">
        <x:v>CORRECT / RECLASSIFY</x:v>
      </x:c>
      <x:c r="F1268" s="33" t="str">
        <x:v>Correct technical citations, remove false direct duties and reclassify non-statutory/entity controls.</x:v>
      </x:c>
      <x:c r="G1268" s="33" t="str">
        <x:v>P-4 official-source validation</x:v>
      </x:c>
      <x:c r="H126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68" s="33" t="str">
        <x:v>P-4</x:v>
      </x:c>
      <x:c r="J1268" s="33" t="str">
        <x:v>2026-08-20</x:v>
      </x:c>
      <x:c r="K1268" s="33" t="str">
        <x:v>Provision IDs preserved; legal force and parentage corrected.</x:v>
      </x:c>
    </x:row>
    <x:row r="1269">
      <x:c r="A1269" s="33" t="str">
        <x:v>RPROV031</x:v>
      </x:c>
      <x:c r="B1269" s="33" t="str">
        <x:v>Provision Master</x:v>
      </x:c>
      <x:c r="C1269" s="33" t="str">
        <x:v>Law ID=LAW001; Provision Category=Operational; Statutory Reference=; Remarks=</x:v>
      </x:c>
      <x:c r="D126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69" s="33" t="str">
        <x:v>CORRECT / RECLASSIFY</x:v>
      </x:c>
      <x:c r="F1269" s="33" t="str">
        <x:v>Correct technical citations, remove false direct duties and reclassify non-statutory/entity controls.</x:v>
      </x:c>
      <x:c r="G1269" s="33" t="str">
        <x:v>P-4 official-source validation</x:v>
      </x:c>
      <x:c r="H126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69" s="33" t="str">
        <x:v>P-4</x:v>
      </x:c>
      <x:c r="J1269" s="33" t="str">
        <x:v>2026-08-20</x:v>
      </x:c>
      <x:c r="K1269" s="33" t="str">
        <x:v>Provision IDs preserved; legal force and parentage corrected.</x:v>
      </x:c>
    </x:row>
    <x:row r="1270">
      <x:c r="A1270" s="33" t="str">
        <x:v>RPROV032</x:v>
      </x:c>
      <x:c r="B1270" s="33" t="str">
        <x:v>Provision Master</x:v>
      </x:c>
      <x:c r="C1270" s="33" t="str">
        <x:v>Law ID=LAW001; Provision Category=Operational; Statutory Reference=; Remarks=</x:v>
      </x:c>
      <x:c r="D127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70" s="33" t="str">
        <x:v>CORRECT / RECLASSIFY</x:v>
      </x:c>
      <x:c r="F1270" s="33" t="str">
        <x:v>Correct technical citations, remove false direct duties and reclassify non-statutory/entity controls.</x:v>
      </x:c>
      <x:c r="G1270" s="33" t="str">
        <x:v>P-4 official-source validation</x:v>
      </x:c>
      <x:c r="H127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70" s="33" t="str">
        <x:v>P-4</x:v>
      </x:c>
      <x:c r="J1270" s="33" t="str">
        <x:v>2026-08-20</x:v>
      </x:c>
      <x:c r="K1270" s="33" t="str">
        <x:v>Provision IDs preserved; legal force and parentage corrected.</x:v>
      </x:c>
    </x:row>
    <x:row r="1271">
      <x:c r="A1271" s="33" t="str">
        <x:v>RPROV033</x:v>
      </x:c>
      <x:c r="B1271" s="33" t="str">
        <x:v>Provision Master</x:v>
      </x:c>
      <x:c r="C1271" s="33" t="str">
        <x:v>Law ID=LAW002; Provision Category=Operational; Statutory Reference=; Remarks=</x:v>
      </x:c>
      <x:c r="D127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71" s="33" t="str">
        <x:v>CORRECT / RECLASSIFY</x:v>
      </x:c>
      <x:c r="F1271" s="33" t="str">
        <x:v>Correct technical citations, remove false direct duties and reclassify non-statutory/entity controls.</x:v>
      </x:c>
      <x:c r="G1271" s="33" t="str">
        <x:v>P-4 official-source validation</x:v>
      </x:c>
      <x:c r="H127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71" s="33" t="str">
        <x:v>P-4</x:v>
      </x:c>
      <x:c r="J1271" s="33" t="str">
        <x:v>2026-08-20</x:v>
      </x:c>
      <x:c r="K1271" s="33" t="str">
        <x:v>Provision IDs preserved; legal force and parentage corrected.</x:v>
      </x:c>
    </x:row>
    <x:row r="1272">
      <x:c r="A1272" s="33" t="str">
        <x:v>RPROV034</x:v>
      </x:c>
      <x:c r="B1272" s="33" t="str">
        <x:v>Provision Master</x:v>
      </x:c>
      <x:c r="C1272" s="33" t="str">
        <x:v>Law ID=LAW001; Provision Category=Operational; Statutory Reference=; Remarks=</x:v>
      </x:c>
      <x:c r="D127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72" s="33" t="str">
        <x:v>CORRECT / RECLASSIFY</x:v>
      </x:c>
      <x:c r="F1272" s="33" t="str">
        <x:v>Correct technical citations, remove false direct duties and reclassify non-statutory/entity controls.</x:v>
      </x:c>
      <x:c r="G1272" s="33" t="str">
        <x:v>P-4 official-source validation</x:v>
      </x:c>
      <x:c r="H127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72" s="33" t="str">
        <x:v>P-4</x:v>
      </x:c>
      <x:c r="J1272" s="33" t="str">
        <x:v>2026-08-20</x:v>
      </x:c>
      <x:c r="K1272" s="33" t="str">
        <x:v>Provision IDs preserved; legal force and parentage corrected.</x:v>
      </x:c>
    </x:row>
    <x:row r="1273">
      <x:c r="A1273" s="33" t="str">
        <x:v>RPROV035</x:v>
      </x:c>
      <x:c r="B1273" s="33" t="str">
        <x:v>Provision Master</x:v>
      </x:c>
      <x:c r="C1273" s="33" t="str">
        <x:v>Law ID=LAW001; Provision Category=Operational; Statutory Reference=; Remarks=</x:v>
      </x:c>
      <x:c r="D127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73" s="33" t="str">
        <x:v>CORRECT / RECLASSIFY</x:v>
      </x:c>
      <x:c r="F1273" s="33" t="str">
        <x:v>Correct technical citations, remove false direct duties and reclassify non-statutory/entity controls.</x:v>
      </x:c>
      <x:c r="G1273" s="33" t="str">
        <x:v>P-4 official-source validation</x:v>
      </x:c>
      <x:c r="H127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73" s="33" t="str">
        <x:v>P-4</x:v>
      </x:c>
      <x:c r="J1273" s="33" t="str">
        <x:v>2026-08-20</x:v>
      </x:c>
      <x:c r="K1273" s="33" t="str">
        <x:v>Provision IDs preserved; legal force and parentage corrected.</x:v>
      </x:c>
    </x:row>
    <x:row r="1274">
      <x:c r="A1274" s="33" t="str">
        <x:v>RPROV036</x:v>
      </x:c>
      <x:c r="B1274" s="33" t="str">
        <x:v>Provision Master</x:v>
      </x:c>
      <x:c r="C1274" s="33" t="str">
        <x:v>Law ID=LAW003; Provision Category=Operational; Statutory Reference=; Remarks=</x:v>
      </x:c>
      <x:c r="D127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74" s="33" t="str">
        <x:v>CORRECT / RECLASSIFY</x:v>
      </x:c>
      <x:c r="F1274" s="33" t="str">
        <x:v>Correct technical citations, remove false direct duties and reclassify non-statutory/entity controls.</x:v>
      </x:c>
      <x:c r="G1274" s="33" t="str">
        <x:v>P-4 official-source validation</x:v>
      </x:c>
      <x:c r="H127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74" s="33" t="str">
        <x:v>P-4</x:v>
      </x:c>
      <x:c r="J1274" s="33" t="str">
        <x:v>2026-08-20</x:v>
      </x:c>
      <x:c r="K1274" s="33" t="str">
        <x:v>Provision IDs preserved; legal force and parentage corrected.</x:v>
      </x:c>
    </x:row>
    <x:row r="1275">
      <x:c r="A1275" s="33" t="str">
        <x:v>RPROV037</x:v>
      </x:c>
      <x:c r="B1275" s="33" t="str">
        <x:v>Provision Master</x:v>
      </x:c>
      <x:c r="C1275" s="33" t="str">
        <x:v>Law ID=LAW001; Provision Category=Operational; Statutory Reference=; Remarks=</x:v>
      </x:c>
      <x:c r="D127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75" s="33" t="str">
        <x:v>CORRECT / RECLASSIFY</x:v>
      </x:c>
      <x:c r="F1275" s="33" t="str">
        <x:v>Correct technical citations, remove false direct duties and reclassify non-statutory/entity controls.</x:v>
      </x:c>
      <x:c r="G1275" s="33" t="str">
        <x:v>P-4 official-source validation</x:v>
      </x:c>
      <x:c r="H127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75" s="33" t="str">
        <x:v>P-4</x:v>
      </x:c>
      <x:c r="J1275" s="33" t="str">
        <x:v>2026-08-20</x:v>
      </x:c>
      <x:c r="K1275" s="33" t="str">
        <x:v>Provision IDs preserved; legal force and parentage corrected.</x:v>
      </x:c>
    </x:row>
    <x:row r="1276">
      <x:c r="A1276" s="33" t="str">
        <x:v>RPROV038</x:v>
      </x:c>
      <x:c r="B1276" s="33" t="str">
        <x:v>Provision Master</x:v>
      </x:c>
      <x:c r="C1276" s="33" t="str">
        <x:v>Law ID=LAW002; Provision Category=Operational; Statutory Reference=; Remarks=</x:v>
      </x:c>
      <x:c r="D127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76" s="33" t="str">
        <x:v>CORRECT / RECLASSIFY</x:v>
      </x:c>
      <x:c r="F1276" s="33" t="str">
        <x:v>Correct technical citations, remove false direct duties and reclassify non-statutory/entity controls.</x:v>
      </x:c>
      <x:c r="G1276" s="33" t="str">
        <x:v>P-4 official-source validation</x:v>
      </x:c>
      <x:c r="H127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76" s="33" t="str">
        <x:v>P-4</x:v>
      </x:c>
      <x:c r="J1276" s="33" t="str">
        <x:v>2026-08-20</x:v>
      </x:c>
      <x:c r="K1276" s="33" t="str">
        <x:v>Provision IDs preserved; legal force and parentage corrected.</x:v>
      </x:c>
    </x:row>
    <x:row r="1277">
      <x:c r="A1277" s="33" t="str">
        <x:v>RPROV039</x:v>
      </x:c>
      <x:c r="B1277" s="33" t="str">
        <x:v>Provision Master</x:v>
      </x:c>
      <x:c r="C1277" s="33" t="str">
        <x:v>Law ID=LAW004; Provision Category=Operational; Statutory Reference=; Remarks=</x:v>
      </x:c>
      <x:c r="D127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77" s="33" t="str">
        <x:v>CORRECT / RECLASSIFY</x:v>
      </x:c>
      <x:c r="F1277" s="33" t="str">
        <x:v>Correct technical citations, remove false direct duties and reclassify non-statutory/entity controls.</x:v>
      </x:c>
      <x:c r="G1277" s="33" t="str">
        <x:v>P-4 official-source validation</x:v>
      </x:c>
      <x:c r="H127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77" s="33" t="str">
        <x:v>P-4</x:v>
      </x:c>
      <x:c r="J1277" s="33" t="str">
        <x:v>2026-08-20</x:v>
      </x:c>
      <x:c r="K1277" s="33" t="str">
        <x:v>Provision IDs preserved; legal force and parentage corrected.</x:v>
      </x:c>
    </x:row>
    <x:row r="1278">
      <x:c r="A1278" s="33" t="str">
        <x:v>RPROV040</x:v>
      </x:c>
      <x:c r="B1278" s="33" t="str">
        <x:v>Provision Master</x:v>
      </x:c>
      <x:c r="C1278" s="33" t="str">
        <x:v>Law ID=LAW001; Provision Category=Operational; Statutory Reference=; Remarks=</x:v>
      </x:c>
      <x:c r="D127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78" s="33" t="str">
        <x:v>CORRECT / RECLASSIFY</x:v>
      </x:c>
      <x:c r="F1278" s="33" t="str">
        <x:v>Correct technical citations, remove false direct duties and reclassify non-statutory/entity controls.</x:v>
      </x:c>
      <x:c r="G1278" s="33" t="str">
        <x:v>P-4 official-source validation</x:v>
      </x:c>
      <x:c r="H127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78" s="33" t="str">
        <x:v>P-4</x:v>
      </x:c>
      <x:c r="J1278" s="33" t="str">
        <x:v>2026-08-20</x:v>
      </x:c>
      <x:c r="K1278" s="33" t="str">
        <x:v>Provision IDs preserved; legal force and parentage corrected.</x:v>
      </x:c>
    </x:row>
    <x:row r="1279">
      <x:c r="A1279" s="33" t="str">
        <x:v>RPROV041</x:v>
      </x:c>
      <x:c r="B1279" s="33" t="str">
        <x:v>Provision Master</x:v>
      </x:c>
      <x:c r="C1279" s="33" t="str">
        <x:v>Law ID=LAW001; Provision Category=Operational; Statutory Reference=; Remarks=</x:v>
      </x:c>
      <x:c r="D127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79" s="33" t="str">
        <x:v>CORRECT / RECLASSIFY</x:v>
      </x:c>
      <x:c r="F1279" s="33" t="str">
        <x:v>Correct technical citations, remove false direct duties and reclassify non-statutory/entity controls.</x:v>
      </x:c>
      <x:c r="G1279" s="33" t="str">
        <x:v>P-4 official-source validation</x:v>
      </x:c>
      <x:c r="H127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79" s="33" t="str">
        <x:v>P-4</x:v>
      </x:c>
      <x:c r="J1279" s="33" t="str">
        <x:v>2026-08-20</x:v>
      </x:c>
      <x:c r="K1279" s="33" t="str">
        <x:v>Provision IDs preserved; legal force and parentage corrected.</x:v>
      </x:c>
    </x:row>
    <x:row r="1280">
      <x:c r="A1280" s="33" t="str">
        <x:v>RPROV042</x:v>
      </x:c>
      <x:c r="B1280" s="33" t="str">
        <x:v>Provision Master</x:v>
      </x:c>
      <x:c r="C1280" s="33" t="str">
        <x:v>Law ID=LAW001; Provision Category=Operational; Statutory Reference=; Remarks=</x:v>
      </x:c>
      <x:c r="D128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80" s="33" t="str">
        <x:v>CORRECT / RECLASSIFY</x:v>
      </x:c>
      <x:c r="F1280" s="33" t="str">
        <x:v>Correct technical citations, remove false direct duties and reclassify non-statutory/entity controls.</x:v>
      </x:c>
      <x:c r="G1280" s="33" t="str">
        <x:v>P-4 official-source validation</x:v>
      </x:c>
      <x:c r="H128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80" s="33" t="str">
        <x:v>P-4</x:v>
      </x:c>
      <x:c r="J1280" s="33" t="str">
        <x:v>2026-08-20</x:v>
      </x:c>
      <x:c r="K1280" s="33" t="str">
        <x:v>Provision IDs preserved; legal force and parentage corrected.</x:v>
      </x:c>
    </x:row>
    <x:row r="1281">
      <x:c r="A1281" s="33" t="str">
        <x:v>RPROV043</x:v>
      </x:c>
      <x:c r="B1281" s="33" t="str">
        <x:v>Provision Master</x:v>
      </x:c>
      <x:c r="C1281" s="33" t="str">
        <x:v>Law ID=LAW002; Provision Category=Operational; Statutory Reference=; Remarks=</x:v>
      </x:c>
      <x:c r="D128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81" s="33" t="str">
        <x:v>CORRECT / RECLASSIFY</x:v>
      </x:c>
      <x:c r="F1281" s="33" t="str">
        <x:v>Correct technical citations, remove false direct duties and reclassify non-statutory/entity controls.</x:v>
      </x:c>
      <x:c r="G1281" s="33" t="str">
        <x:v>P-4 official-source validation</x:v>
      </x:c>
      <x:c r="H128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81" s="33" t="str">
        <x:v>P-4</x:v>
      </x:c>
      <x:c r="J1281" s="33" t="str">
        <x:v>2026-08-20</x:v>
      </x:c>
      <x:c r="K1281" s="33" t="str">
        <x:v>Provision IDs preserved; legal force and parentage corrected.</x:v>
      </x:c>
    </x:row>
    <x:row r="1282">
      <x:c r="A1282" s="33" t="str">
        <x:v>RPROV044</x:v>
      </x:c>
      <x:c r="B1282" s="33" t="str">
        <x:v>Provision Master</x:v>
      </x:c>
      <x:c r="C1282" s="33" t="str">
        <x:v>Law ID=LAW001; Provision Category=Operational; Statutory Reference=; Remarks=</x:v>
      </x:c>
      <x:c r="D128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82" s="33" t="str">
        <x:v>CORRECT / RECLASSIFY</x:v>
      </x:c>
      <x:c r="F1282" s="33" t="str">
        <x:v>Correct technical citations, remove false direct duties and reclassify non-statutory/entity controls.</x:v>
      </x:c>
      <x:c r="G1282" s="33" t="str">
        <x:v>P-4 official-source validation</x:v>
      </x:c>
      <x:c r="H128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82" s="33" t="str">
        <x:v>P-4</x:v>
      </x:c>
      <x:c r="J1282" s="33" t="str">
        <x:v>2026-08-20</x:v>
      </x:c>
      <x:c r="K1282" s="33" t="str">
        <x:v>Provision IDs preserved; legal force and parentage corrected.</x:v>
      </x:c>
    </x:row>
    <x:row r="1283">
      <x:c r="A1283" s="33" t="str">
        <x:v>RPROV045</x:v>
      </x:c>
      <x:c r="B1283" s="33" t="str">
        <x:v>Provision Master</x:v>
      </x:c>
      <x:c r="C1283" s="33" t="str">
        <x:v>Law ID=LAW003; Provision Category=Operational; Statutory Reference=; Remarks=</x:v>
      </x:c>
      <x:c r="D128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83" s="33" t="str">
        <x:v>CORRECT / RECLASSIFY</x:v>
      </x:c>
      <x:c r="F1283" s="33" t="str">
        <x:v>Correct technical citations, remove false direct duties and reclassify non-statutory/entity controls.</x:v>
      </x:c>
      <x:c r="G1283" s="33" t="str">
        <x:v>P-4 official-source validation</x:v>
      </x:c>
      <x:c r="H128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83" s="33" t="str">
        <x:v>P-4</x:v>
      </x:c>
      <x:c r="J1283" s="33" t="str">
        <x:v>2026-08-20</x:v>
      </x:c>
      <x:c r="K1283" s="33" t="str">
        <x:v>Provision IDs preserved; legal force and parentage corrected.</x:v>
      </x:c>
    </x:row>
    <x:row r="1284">
      <x:c r="A1284" s="33" t="str">
        <x:v>RPROV046</x:v>
      </x:c>
      <x:c r="B1284" s="33" t="str">
        <x:v>Provision Master</x:v>
      </x:c>
      <x:c r="C1284" s="33" t="str">
        <x:v>Law ID=LAW004; Provision Category=Operational; Statutory Reference=; Remarks=</x:v>
      </x:c>
      <x:c r="D128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84" s="33" t="str">
        <x:v>CORRECT / RECLASSIFY</x:v>
      </x:c>
      <x:c r="F1284" s="33" t="str">
        <x:v>Correct technical citations, remove false direct duties and reclassify non-statutory/entity controls.</x:v>
      </x:c>
      <x:c r="G1284" s="33" t="str">
        <x:v>P-4 official-source validation</x:v>
      </x:c>
      <x:c r="H128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84" s="33" t="str">
        <x:v>P-4</x:v>
      </x:c>
      <x:c r="J1284" s="33" t="str">
        <x:v>2026-08-20</x:v>
      </x:c>
      <x:c r="K1284" s="33" t="str">
        <x:v>Provision IDs preserved; legal force and parentage corrected.</x:v>
      </x:c>
    </x:row>
    <x:row r="1285">
      <x:c r="A1285" s="33" t="str">
        <x:v>RPROV047</x:v>
      </x:c>
      <x:c r="B1285" s="33" t="str">
        <x:v>Provision Master</x:v>
      </x:c>
      <x:c r="C1285" s="33" t="str">
        <x:v>Law ID=LAW001; Provision Category=Operational; Statutory Reference=; Remarks=</x:v>
      </x:c>
      <x:c r="D128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85" s="33" t="str">
        <x:v>CORRECT / RECLASSIFY</x:v>
      </x:c>
      <x:c r="F1285" s="33" t="str">
        <x:v>Correct technical citations, remove false direct duties and reclassify non-statutory/entity controls.</x:v>
      </x:c>
      <x:c r="G1285" s="33" t="str">
        <x:v>P-4 official-source validation</x:v>
      </x:c>
      <x:c r="H128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85" s="33" t="str">
        <x:v>P-4</x:v>
      </x:c>
      <x:c r="J1285" s="33" t="str">
        <x:v>2026-08-20</x:v>
      </x:c>
      <x:c r="K1285" s="33" t="str">
        <x:v>Provision IDs preserved; legal force and parentage corrected.</x:v>
      </x:c>
    </x:row>
    <x:row r="1286">
      <x:c r="A1286" s="33" t="str">
        <x:v>RPROV048</x:v>
      </x:c>
      <x:c r="B1286" s="33" t="str">
        <x:v>Provision Master</x:v>
      </x:c>
      <x:c r="C1286" s="33" t="str">
        <x:v>Law ID=LAW002; Provision Category=Operational; Statutory Reference=; Remarks=</x:v>
      </x:c>
      <x:c r="D128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86" s="33" t="str">
        <x:v>CORRECT / RECLASSIFY</x:v>
      </x:c>
      <x:c r="F1286" s="33" t="str">
        <x:v>Correct technical citations, remove false direct duties and reclassify non-statutory/entity controls.</x:v>
      </x:c>
      <x:c r="G1286" s="33" t="str">
        <x:v>P-4 official-source validation</x:v>
      </x:c>
      <x:c r="H128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86" s="33" t="str">
        <x:v>P-4</x:v>
      </x:c>
      <x:c r="J1286" s="33" t="str">
        <x:v>2026-08-20</x:v>
      </x:c>
      <x:c r="K1286" s="33" t="str">
        <x:v>Provision IDs preserved; legal force and parentage corrected.</x:v>
      </x:c>
    </x:row>
    <x:row r="1287">
      <x:c r="A1287" s="33" t="str">
        <x:v>RPROV049</x:v>
      </x:c>
      <x:c r="B1287" s="33" t="str">
        <x:v>Provision Master</x:v>
      </x:c>
      <x:c r="C1287" s="33" t="str">
        <x:v>Law ID=LAW004; Provision Category=Operational; Statutory Reference=; Remarks=</x:v>
      </x:c>
      <x:c r="D128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87" s="33" t="str">
        <x:v>CORRECT / RECLASSIFY</x:v>
      </x:c>
      <x:c r="F1287" s="33" t="str">
        <x:v>Correct technical citations, remove false direct duties and reclassify non-statutory/entity controls.</x:v>
      </x:c>
      <x:c r="G1287" s="33" t="str">
        <x:v>P-4 official-source validation</x:v>
      </x:c>
      <x:c r="H128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87" s="33" t="str">
        <x:v>P-4</x:v>
      </x:c>
      <x:c r="J1287" s="33" t="str">
        <x:v>2026-08-20</x:v>
      </x:c>
      <x:c r="K1287" s="33" t="str">
        <x:v>Provision IDs preserved; legal force and parentage corrected.</x:v>
      </x:c>
    </x:row>
    <x:row r="1288">
      <x:c r="A1288" s="33" t="str">
        <x:v>RPROV050</x:v>
      </x:c>
      <x:c r="B1288" s="33" t="str">
        <x:v>Provision Master</x:v>
      </x:c>
      <x:c r="C1288" s="33" t="str">
        <x:v>Law ID=LAW001; Provision Category=Operational; Statutory Reference=; Remarks=</x:v>
      </x:c>
      <x:c r="D128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88" s="33" t="str">
        <x:v>CORRECT / RECLASSIFY</x:v>
      </x:c>
      <x:c r="F1288" s="33" t="str">
        <x:v>Correct technical citations, remove false direct duties and reclassify non-statutory/entity controls.</x:v>
      </x:c>
      <x:c r="G1288" s="33" t="str">
        <x:v>P-4 official-source validation</x:v>
      </x:c>
      <x:c r="H128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88" s="33" t="str">
        <x:v>P-4</x:v>
      </x:c>
      <x:c r="J1288" s="33" t="str">
        <x:v>2026-08-20</x:v>
      </x:c>
      <x:c r="K1288" s="33" t="str">
        <x:v>Provision IDs preserved; legal force and parentage corrected.</x:v>
      </x:c>
    </x:row>
    <x:row r="1289">
      <x:c r="A1289" s="33" t="str">
        <x:v>RPROV051</x:v>
      </x:c>
      <x:c r="B1289" s="33" t="str">
        <x:v>Provision Master</x:v>
      </x:c>
      <x:c r="C1289" s="33" t="str">
        <x:v>Law ID=LAW001; Provision Category=Operational; Statutory Reference=; Remarks=</x:v>
      </x:c>
      <x:c r="D128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89" s="33" t="str">
        <x:v>CORRECT / RECLASSIFY</x:v>
      </x:c>
      <x:c r="F1289" s="33" t="str">
        <x:v>Correct technical citations, remove false direct duties and reclassify non-statutory/entity controls.</x:v>
      </x:c>
      <x:c r="G1289" s="33" t="str">
        <x:v>P-4 official-source validation</x:v>
      </x:c>
      <x:c r="H128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89" s="33" t="str">
        <x:v>P-4</x:v>
      </x:c>
      <x:c r="J1289" s="33" t="str">
        <x:v>2026-08-20</x:v>
      </x:c>
      <x:c r="K1289" s="33" t="str">
        <x:v>Provision IDs preserved; legal force and parentage corrected.</x:v>
      </x:c>
    </x:row>
    <x:row r="1290">
      <x:c r="A1290" s="33" t="str">
        <x:v>RPROV052</x:v>
      </x:c>
      <x:c r="B1290" s="33" t="str">
        <x:v>Provision Master</x:v>
      </x:c>
      <x:c r="C1290" s="33" t="str">
        <x:v>Law ID=LAW001; Provision Category=Operational; Statutory Reference=; Remarks=</x:v>
      </x:c>
      <x:c r="D129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90" s="33" t="str">
        <x:v>CORRECT / RECLASSIFY</x:v>
      </x:c>
      <x:c r="F1290" s="33" t="str">
        <x:v>Correct technical citations, remove false direct duties and reclassify non-statutory/entity controls.</x:v>
      </x:c>
      <x:c r="G1290" s="33" t="str">
        <x:v>P-4 official-source validation</x:v>
      </x:c>
      <x:c r="H129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90" s="33" t="str">
        <x:v>P-4</x:v>
      </x:c>
      <x:c r="J1290" s="33" t="str">
        <x:v>2026-08-20</x:v>
      </x:c>
      <x:c r="K1290" s="33" t="str">
        <x:v>Provision IDs preserved; legal force and parentage corrected.</x:v>
      </x:c>
    </x:row>
    <x:row r="1291">
      <x:c r="A1291" s="33" t="str">
        <x:v>RPROV053</x:v>
      </x:c>
      <x:c r="B1291" s="33" t="str">
        <x:v>Provision Master</x:v>
      </x:c>
      <x:c r="C1291" s="33" t="str">
        <x:v>Law ID=LAW002; Provision Category=Operational; Statutory Reference=; Remarks=</x:v>
      </x:c>
      <x:c r="D129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91" s="33" t="str">
        <x:v>CORRECT / RECLASSIFY</x:v>
      </x:c>
      <x:c r="F1291" s="33" t="str">
        <x:v>Correct technical citations, remove false direct duties and reclassify non-statutory/entity controls.</x:v>
      </x:c>
      <x:c r="G1291" s="33" t="str">
        <x:v>P-4 official-source validation</x:v>
      </x:c>
      <x:c r="H129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91" s="33" t="str">
        <x:v>P-4</x:v>
      </x:c>
      <x:c r="J1291" s="33" t="str">
        <x:v>2026-08-20</x:v>
      </x:c>
      <x:c r="K1291" s="33" t="str">
        <x:v>Provision IDs preserved; legal force and parentage corrected.</x:v>
      </x:c>
    </x:row>
    <x:row r="1292">
      <x:c r="A1292" s="33" t="str">
        <x:v>RPROV054</x:v>
      </x:c>
      <x:c r="B1292" s="33" t="str">
        <x:v>Provision Master</x:v>
      </x:c>
      <x:c r="C1292" s="33" t="str">
        <x:v>Law ID=LAW001; Provision Category=Operational; Statutory Reference=; Remarks=</x:v>
      </x:c>
      <x:c r="D129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92" s="33" t="str">
        <x:v>CORRECT / RECLASSIFY</x:v>
      </x:c>
      <x:c r="F1292" s="33" t="str">
        <x:v>Correct technical citations, remove false direct duties and reclassify non-statutory/entity controls.</x:v>
      </x:c>
      <x:c r="G1292" s="33" t="str">
        <x:v>P-4 official-source validation</x:v>
      </x:c>
      <x:c r="H129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92" s="33" t="str">
        <x:v>P-4</x:v>
      </x:c>
      <x:c r="J1292" s="33" t="str">
        <x:v>2026-08-20</x:v>
      </x:c>
      <x:c r="K1292" s="33" t="str">
        <x:v>Provision IDs preserved; legal force and parentage corrected.</x:v>
      </x:c>
    </x:row>
    <x:row r="1293">
      <x:c r="A1293" s="33" t="str">
        <x:v>RPROV055</x:v>
      </x:c>
      <x:c r="B1293" s="33" t="str">
        <x:v>Provision Master</x:v>
      </x:c>
      <x:c r="C1293" s="33" t="str">
        <x:v>Law ID=LAW003; Provision Category=Operational; Statutory Reference=; Remarks=</x:v>
      </x:c>
      <x:c r="D129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93" s="33" t="str">
        <x:v>CORRECT / RECLASSIFY</x:v>
      </x:c>
      <x:c r="F1293" s="33" t="str">
        <x:v>Correct technical citations, remove false direct duties and reclassify non-statutory/entity controls.</x:v>
      </x:c>
      <x:c r="G1293" s="33" t="str">
        <x:v>P-4 official-source validation</x:v>
      </x:c>
      <x:c r="H129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93" s="33" t="str">
        <x:v>P-4</x:v>
      </x:c>
      <x:c r="J1293" s="33" t="str">
        <x:v>2026-08-20</x:v>
      </x:c>
      <x:c r="K1293" s="33" t="str">
        <x:v>Provision IDs preserved; legal force and parentage corrected.</x:v>
      </x:c>
    </x:row>
    <x:row r="1294">
      <x:c r="A1294" s="33" t="str">
        <x:v>RPROV056</x:v>
      </x:c>
      <x:c r="B1294" s="33" t="str">
        <x:v>Provision Master</x:v>
      </x:c>
      <x:c r="C1294" s="33" t="str">
        <x:v>Law ID=LAW004; Provision Category=Operational; Statutory Reference=; Remarks=</x:v>
      </x:c>
      <x:c r="D129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94" s="33" t="str">
        <x:v>CORRECT / RECLASSIFY</x:v>
      </x:c>
      <x:c r="F1294" s="33" t="str">
        <x:v>Correct technical citations, remove false direct duties and reclassify non-statutory/entity controls.</x:v>
      </x:c>
      <x:c r="G1294" s="33" t="str">
        <x:v>P-4 official-source validation</x:v>
      </x:c>
      <x:c r="H129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94" s="33" t="str">
        <x:v>P-4</x:v>
      </x:c>
      <x:c r="J1294" s="33" t="str">
        <x:v>2026-08-20</x:v>
      </x:c>
      <x:c r="K1294" s="33" t="str">
        <x:v>Provision IDs preserved; legal force and parentage corrected.</x:v>
      </x:c>
    </x:row>
    <x:row r="1295">
      <x:c r="A1295" s="33" t="str">
        <x:v>RPROV057</x:v>
      </x:c>
      <x:c r="B1295" s="33" t="str">
        <x:v>Provision Master</x:v>
      </x:c>
      <x:c r="C1295" s="33" t="str">
        <x:v>Law ID=LAW001; Provision Category=Operational; Statutory Reference=; Remarks=</x:v>
      </x:c>
      <x:c r="D129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95" s="33" t="str">
        <x:v>CORRECT / RECLASSIFY</x:v>
      </x:c>
      <x:c r="F1295" s="33" t="str">
        <x:v>Correct technical citations, remove false direct duties and reclassify non-statutory/entity controls.</x:v>
      </x:c>
      <x:c r="G1295" s="33" t="str">
        <x:v>P-4 official-source validation</x:v>
      </x:c>
      <x:c r="H129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95" s="33" t="str">
        <x:v>P-4</x:v>
      </x:c>
      <x:c r="J1295" s="33" t="str">
        <x:v>2026-08-20</x:v>
      </x:c>
      <x:c r="K1295" s="33" t="str">
        <x:v>Provision IDs preserved; legal force and parentage corrected.</x:v>
      </x:c>
    </x:row>
    <x:row r="1296">
      <x:c r="A1296" s="33" t="str">
        <x:v>RPROV058</x:v>
      </x:c>
      <x:c r="B1296" s="33" t="str">
        <x:v>Provision Master</x:v>
      </x:c>
      <x:c r="C1296" s="33" t="str">
        <x:v>Law ID=LAW002; Provision Category=Operational; Statutory Reference=; Remarks=</x:v>
      </x:c>
      <x:c r="D129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96" s="33" t="str">
        <x:v>CORRECT / RECLASSIFY</x:v>
      </x:c>
      <x:c r="F1296" s="33" t="str">
        <x:v>Correct technical citations, remove false direct duties and reclassify non-statutory/entity controls.</x:v>
      </x:c>
      <x:c r="G1296" s="33" t="str">
        <x:v>P-4 official-source validation</x:v>
      </x:c>
      <x:c r="H129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96" s="33" t="str">
        <x:v>P-4</x:v>
      </x:c>
      <x:c r="J1296" s="33" t="str">
        <x:v>2026-08-20</x:v>
      </x:c>
      <x:c r="K1296" s="33" t="str">
        <x:v>Provision IDs preserved; legal force and parentage corrected.</x:v>
      </x:c>
    </x:row>
    <x:row r="1297">
      <x:c r="A1297" s="33" t="str">
        <x:v>RPROV059</x:v>
      </x:c>
      <x:c r="B1297" s="33" t="str">
        <x:v>Provision Master</x:v>
      </x:c>
      <x:c r="C1297" s="33" t="str">
        <x:v>Law ID=LAW004; Provision Category=Operational; Statutory Reference=; Remarks=</x:v>
      </x:c>
      <x:c r="D129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97" s="33" t="str">
        <x:v>CORRECT / RECLASSIFY</x:v>
      </x:c>
      <x:c r="F1297" s="33" t="str">
        <x:v>Correct technical citations, remove false direct duties and reclassify non-statutory/entity controls.</x:v>
      </x:c>
      <x:c r="G1297" s="33" t="str">
        <x:v>P-4 official-source validation</x:v>
      </x:c>
      <x:c r="H129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97" s="33" t="str">
        <x:v>P-4</x:v>
      </x:c>
      <x:c r="J1297" s="33" t="str">
        <x:v>2026-08-20</x:v>
      </x:c>
      <x:c r="K1297" s="33" t="str">
        <x:v>Provision IDs preserved; legal force and parentage corrected.</x:v>
      </x:c>
    </x:row>
    <x:row r="1298">
      <x:c r="A1298" s="33" t="str">
        <x:v>RPROV060</x:v>
      </x:c>
      <x:c r="B1298" s="33" t="str">
        <x:v>Provision Master</x:v>
      </x:c>
      <x:c r="C1298" s="33" t="str">
        <x:v>Law ID=LAW001; Provision Category=Operational; Statutory Reference=; Remarks=</x:v>
      </x:c>
      <x:c r="D129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98" s="33" t="str">
        <x:v>CORRECT / RECLASSIFY</x:v>
      </x:c>
      <x:c r="F1298" s="33" t="str">
        <x:v>Correct technical citations, remove false direct duties and reclassify non-statutory/entity controls.</x:v>
      </x:c>
      <x:c r="G1298" s="33" t="str">
        <x:v>P-4 official-source validation</x:v>
      </x:c>
      <x:c r="H129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98" s="33" t="str">
        <x:v>P-4</x:v>
      </x:c>
      <x:c r="J1298" s="33" t="str">
        <x:v>2026-08-20</x:v>
      </x:c>
      <x:c r="K1298" s="33" t="str">
        <x:v>Provision IDs preserved; legal force and parentage corrected.</x:v>
      </x:c>
    </x:row>
    <x:row r="1299">
      <x:c r="A1299" s="33" t="str">
        <x:v>RPROV061</x:v>
      </x:c>
      <x:c r="B1299" s="33" t="str">
        <x:v>Provision Master</x:v>
      </x:c>
      <x:c r="C1299" s="33" t="str">
        <x:v>Law ID=LAW001; Provision Category=Operational; Statutory Reference=; Remarks=</x:v>
      </x:c>
      <x:c r="D129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299" s="33" t="str">
        <x:v>CORRECT / RECLASSIFY</x:v>
      </x:c>
      <x:c r="F1299" s="33" t="str">
        <x:v>Correct technical citations, remove false direct duties and reclassify non-statutory/entity controls.</x:v>
      </x:c>
      <x:c r="G1299" s="33" t="str">
        <x:v>P-4 official-source validation</x:v>
      </x:c>
      <x:c r="H129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299" s="33" t="str">
        <x:v>P-4</x:v>
      </x:c>
      <x:c r="J1299" s="33" t="str">
        <x:v>2026-08-20</x:v>
      </x:c>
      <x:c r="K1299" s="33" t="str">
        <x:v>Provision IDs preserved; legal force and parentage corrected.</x:v>
      </x:c>
    </x:row>
    <x:row r="1300">
      <x:c r="A1300" s="33" t="str">
        <x:v>RPROV062</x:v>
      </x:c>
      <x:c r="B1300" s="33" t="str">
        <x:v>Provision Master</x:v>
      </x:c>
      <x:c r="C1300" s="33" t="str">
        <x:v>Law ID=LAW001; Provision Category=Operational; Statutory Reference=; Remarks=</x:v>
      </x:c>
      <x:c r="D130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00" s="33" t="str">
        <x:v>CORRECT / RECLASSIFY</x:v>
      </x:c>
      <x:c r="F1300" s="33" t="str">
        <x:v>Correct technical citations, remove false direct duties and reclassify non-statutory/entity controls.</x:v>
      </x:c>
      <x:c r="G1300" s="33" t="str">
        <x:v>P-4 official-source validation</x:v>
      </x:c>
      <x:c r="H130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00" s="33" t="str">
        <x:v>P-4</x:v>
      </x:c>
      <x:c r="J1300" s="33" t="str">
        <x:v>2026-08-20</x:v>
      </x:c>
      <x:c r="K1300" s="33" t="str">
        <x:v>Provision IDs preserved; legal force and parentage corrected.</x:v>
      </x:c>
    </x:row>
    <x:row r="1301">
      <x:c r="A1301" s="33" t="str">
        <x:v>RPROV063</x:v>
      </x:c>
      <x:c r="B1301" s="33" t="str">
        <x:v>Provision Master</x:v>
      </x:c>
      <x:c r="C1301" s="33" t="str">
        <x:v>Law ID=LAW002; Provision Category=Operational; Statutory Reference=; Remarks=</x:v>
      </x:c>
      <x:c r="D130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01" s="33" t="str">
        <x:v>CORRECT / RECLASSIFY</x:v>
      </x:c>
      <x:c r="F1301" s="33" t="str">
        <x:v>Correct technical citations, remove false direct duties and reclassify non-statutory/entity controls.</x:v>
      </x:c>
      <x:c r="G1301" s="33" t="str">
        <x:v>P-4 official-source validation</x:v>
      </x:c>
      <x:c r="H130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01" s="33" t="str">
        <x:v>P-4</x:v>
      </x:c>
      <x:c r="J1301" s="33" t="str">
        <x:v>2026-08-20</x:v>
      </x:c>
      <x:c r="K1301" s="33" t="str">
        <x:v>Provision IDs preserved; legal force and parentage corrected.</x:v>
      </x:c>
    </x:row>
    <x:row r="1302">
      <x:c r="A1302" s="33" t="str">
        <x:v>RPROV064</x:v>
      </x:c>
      <x:c r="B1302" s="33" t="str">
        <x:v>Provision Master</x:v>
      </x:c>
      <x:c r="C1302" s="33" t="str">
        <x:v>Law ID=LAW001; Provision Category=Operational; Statutory Reference=; Remarks=</x:v>
      </x:c>
      <x:c r="D130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02" s="33" t="str">
        <x:v>CORRECT / RECLASSIFY</x:v>
      </x:c>
      <x:c r="F1302" s="33" t="str">
        <x:v>Correct technical citations, remove false direct duties and reclassify non-statutory/entity controls.</x:v>
      </x:c>
      <x:c r="G1302" s="33" t="str">
        <x:v>P-4 official-source validation</x:v>
      </x:c>
      <x:c r="H130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02" s="33" t="str">
        <x:v>P-4</x:v>
      </x:c>
      <x:c r="J1302" s="33" t="str">
        <x:v>2026-08-20</x:v>
      </x:c>
      <x:c r="K1302" s="33" t="str">
        <x:v>Provision IDs preserved; legal force and parentage corrected.</x:v>
      </x:c>
    </x:row>
    <x:row r="1303">
      <x:c r="A1303" s="33" t="str">
        <x:v>RPROV065</x:v>
      </x:c>
      <x:c r="B1303" s="33" t="str">
        <x:v>Provision Master</x:v>
      </x:c>
      <x:c r="C1303" s="33" t="str">
        <x:v>Law ID=LAW001; Provision Category=Operational; Statutory Reference=; Remarks=</x:v>
      </x:c>
      <x:c r="D130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03" s="33" t="str">
        <x:v>CORRECT / RECLASSIFY</x:v>
      </x:c>
      <x:c r="F1303" s="33" t="str">
        <x:v>Correct technical citations, remove false direct duties and reclassify non-statutory/entity controls.</x:v>
      </x:c>
      <x:c r="G1303" s="33" t="str">
        <x:v>P-4 official-source validation</x:v>
      </x:c>
      <x:c r="H130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03" s="33" t="str">
        <x:v>P-4</x:v>
      </x:c>
      <x:c r="J1303" s="33" t="str">
        <x:v>2026-08-20</x:v>
      </x:c>
      <x:c r="K1303" s="33" t="str">
        <x:v>Provision IDs preserved; legal force and parentage corrected.</x:v>
      </x:c>
    </x:row>
    <x:row r="1304">
      <x:c r="A1304" s="33" t="str">
        <x:v>RPROV066</x:v>
      </x:c>
      <x:c r="B1304" s="33" t="str">
        <x:v>Provision Master</x:v>
      </x:c>
      <x:c r="C1304" s="33" t="str">
        <x:v>Law ID=LAW003; Provision Category=Operational; Statutory Reference=; Remarks=</x:v>
      </x:c>
      <x:c r="D130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04" s="33" t="str">
        <x:v>CORRECT / RECLASSIFY</x:v>
      </x:c>
      <x:c r="F1304" s="33" t="str">
        <x:v>Correct technical citations, remove false direct duties and reclassify non-statutory/entity controls.</x:v>
      </x:c>
      <x:c r="G1304" s="33" t="str">
        <x:v>P-4 official-source validation</x:v>
      </x:c>
      <x:c r="H130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04" s="33" t="str">
        <x:v>P-4</x:v>
      </x:c>
      <x:c r="J1304" s="33" t="str">
        <x:v>2026-08-20</x:v>
      </x:c>
      <x:c r="K1304" s="33" t="str">
        <x:v>Provision IDs preserved; legal force and parentage corrected.</x:v>
      </x:c>
    </x:row>
    <x:row r="1305">
      <x:c r="A1305" s="33" t="str">
        <x:v>RPROV067</x:v>
      </x:c>
      <x:c r="B1305" s="33" t="str">
        <x:v>Provision Master</x:v>
      </x:c>
      <x:c r="C1305" s="33" t="str">
        <x:v>Law ID=LAW001; Provision Category=Operational; Statutory Reference=; Remarks=</x:v>
      </x:c>
      <x:c r="D130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05" s="33" t="str">
        <x:v>CORRECT / RECLASSIFY</x:v>
      </x:c>
      <x:c r="F1305" s="33" t="str">
        <x:v>Correct technical citations, remove false direct duties and reclassify non-statutory/entity controls.</x:v>
      </x:c>
      <x:c r="G1305" s="33" t="str">
        <x:v>P-4 official-source validation</x:v>
      </x:c>
      <x:c r="H130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05" s="33" t="str">
        <x:v>P-4</x:v>
      </x:c>
      <x:c r="J1305" s="33" t="str">
        <x:v>2026-08-20</x:v>
      </x:c>
      <x:c r="K1305" s="33" t="str">
        <x:v>Provision IDs preserved; legal force and parentage corrected.</x:v>
      </x:c>
    </x:row>
    <x:row r="1306">
      <x:c r="A1306" s="33" t="str">
        <x:v>RPROV068</x:v>
      </x:c>
      <x:c r="B1306" s="33" t="str">
        <x:v>Provision Master</x:v>
      </x:c>
      <x:c r="C1306" s="33" t="str">
        <x:v>Law ID=LAW002; Provision Category=Operational; Statutory Reference=; Remarks=</x:v>
      </x:c>
      <x:c r="D130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06" s="33" t="str">
        <x:v>CORRECT / RECLASSIFY</x:v>
      </x:c>
      <x:c r="F1306" s="33" t="str">
        <x:v>Correct technical citations, remove false direct duties and reclassify non-statutory/entity controls.</x:v>
      </x:c>
      <x:c r="G1306" s="33" t="str">
        <x:v>P-4 official-source validation</x:v>
      </x:c>
      <x:c r="H130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06" s="33" t="str">
        <x:v>P-4</x:v>
      </x:c>
      <x:c r="J1306" s="33" t="str">
        <x:v>2026-08-20</x:v>
      </x:c>
      <x:c r="K1306" s="33" t="str">
        <x:v>Provision IDs preserved; legal force and parentage corrected.</x:v>
      </x:c>
    </x:row>
    <x:row r="1307">
      <x:c r="A1307" s="33" t="str">
        <x:v>RPROV069</x:v>
      </x:c>
      <x:c r="B1307" s="33" t="str">
        <x:v>Provision Master</x:v>
      </x:c>
      <x:c r="C1307" s="33" t="str">
        <x:v>Law ID=LAW004; Provision Category=Operational; Statutory Reference=; Remarks=</x:v>
      </x:c>
      <x:c r="D130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07" s="33" t="str">
        <x:v>CORRECT / RECLASSIFY</x:v>
      </x:c>
      <x:c r="F1307" s="33" t="str">
        <x:v>Correct technical citations, remove false direct duties and reclassify non-statutory/entity controls.</x:v>
      </x:c>
      <x:c r="G1307" s="33" t="str">
        <x:v>P-4 official-source validation</x:v>
      </x:c>
      <x:c r="H130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07" s="33" t="str">
        <x:v>P-4</x:v>
      </x:c>
      <x:c r="J1307" s="33" t="str">
        <x:v>2026-08-20</x:v>
      </x:c>
      <x:c r="K1307" s="33" t="str">
        <x:v>Provision IDs preserved; legal force and parentage corrected.</x:v>
      </x:c>
    </x:row>
    <x:row r="1308">
      <x:c r="A1308" s="33" t="str">
        <x:v>RPROV070</x:v>
      </x:c>
      <x:c r="B1308" s="33" t="str">
        <x:v>Provision Master</x:v>
      </x:c>
      <x:c r="C1308" s="33" t="str">
        <x:v>Law ID=LAW001; Provision Category=Operational; Statutory Reference=; Remarks=</x:v>
      </x:c>
      <x:c r="D130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08" s="33" t="str">
        <x:v>CORRECT / RECLASSIFY</x:v>
      </x:c>
      <x:c r="F1308" s="33" t="str">
        <x:v>Correct technical citations, remove false direct duties and reclassify non-statutory/entity controls.</x:v>
      </x:c>
      <x:c r="G1308" s="33" t="str">
        <x:v>P-4 official-source validation</x:v>
      </x:c>
      <x:c r="H130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08" s="33" t="str">
        <x:v>P-4</x:v>
      </x:c>
      <x:c r="J1308" s="33" t="str">
        <x:v>2026-08-20</x:v>
      </x:c>
      <x:c r="K1308" s="33" t="str">
        <x:v>Provision IDs preserved; legal force and parentage corrected.</x:v>
      </x:c>
    </x:row>
    <x:row r="1309">
      <x:c r="A1309" s="33" t="str">
        <x:v>RPROV071</x:v>
      </x:c>
      <x:c r="B1309" s="33" t="str">
        <x:v>Provision Master</x:v>
      </x:c>
      <x:c r="C1309" s="33" t="str">
        <x:v>Law ID=LAW001; Provision Category=Operational; Statutory Reference=; Remarks=</x:v>
      </x:c>
      <x:c r="D130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09" s="33" t="str">
        <x:v>CORRECT / RECLASSIFY</x:v>
      </x:c>
      <x:c r="F1309" s="33" t="str">
        <x:v>Correct technical citations, remove false direct duties and reclassify non-statutory/entity controls.</x:v>
      </x:c>
      <x:c r="G1309" s="33" t="str">
        <x:v>P-4 official-source validation</x:v>
      </x:c>
      <x:c r="H130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09" s="33" t="str">
        <x:v>P-4</x:v>
      </x:c>
      <x:c r="J1309" s="33" t="str">
        <x:v>2026-08-20</x:v>
      </x:c>
      <x:c r="K1309" s="33" t="str">
        <x:v>Provision IDs preserved; legal force and parentage corrected.</x:v>
      </x:c>
    </x:row>
    <x:row r="1310">
      <x:c r="A1310" s="33" t="str">
        <x:v>RPROV072</x:v>
      </x:c>
      <x:c r="B1310" s="33" t="str">
        <x:v>Provision Master</x:v>
      </x:c>
      <x:c r="C1310" s="33" t="str">
        <x:v>Law ID=LAW001; Provision Category=Operational; Statutory Reference=; Remarks=</x:v>
      </x:c>
      <x:c r="D131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10" s="33" t="str">
        <x:v>CORRECT / RECLASSIFY</x:v>
      </x:c>
      <x:c r="F1310" s="33" t="str">
        <x:v>Correct technical citations, remove false direct duties and reclassify non-statutory/entity controls.</x:v>
      </x:c>
      <x:c r="G1310" s="33" t="str">
        <x:v>P-4 official-source validation</x:v>
      </x:c>
      <x:c r="H131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10" s="33" t="str">
        <x:v>P-4</x:v>
      </x:c>
      <x:c r="J1310" s="33" t="str">
        <x:v>2026-08-20</x:v>
      </x:c>
      <x:c r="K1310" s="33" t="str">
        <x:v>Provision IDs preserved; legal force and parentage corrected.</x:v>
      </x:c>
    </x:row>
    <x:row r="1311">
      <x:c r="A1311" s="33" t="str">
        <x:v>RPROV073</x:v>
      </x:c>
      <x:c r="B1311" s="33" t="str">
        <x:v>Provision Master</x:v>
      </x:c>
      <x:c r="C1311" s="33" t="str">
        <x:v>Law ID=LAW002; Provision Category=Operational; Statutory Reference=; Remarks=</x:v>
      </x:c>
      <x:c r="D131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11" s="33" t="str">
        <x:v>CORRECT / RECLASSIFY</x:v>
      </x:c>
      <x:c r="F1311" s="33" t="str">
        <x:v>Correct technical citations, remove false direct duties and reclassify non-statutory/entity controls.</x:v>
      </x:c>
      <x:c r="G1311" s="33" t="str">
        <x:v>P-4 official-source validation</x:v>
      </x:c>
      <x:c r="H131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11" s="33" t="str">
        <x:v>P-4</x:v>
      </x:c>
      <x:c r="J1311" s="33" t="str">
        <x:v>2026-08-20</x:v>
      </x:c>
      <x:c r="K1311" s="33" t="str">
        <x:v>Provision IDs preserved; legal force and parentage corrected.</x:v>
      </x:c>
    </x:row>
    <x:row r="1312">
      <x:c r="A1312" s="33" t="str">
        <x:v>RPROV074</x:v>
      </x:c>
      <x:c r="B1312" s="33" t="str">
        <x:v>Provision Master</x:v>
      </x:c>
      <x:c r="C1312" s="33" t="str">
        <x:v>Law ID=LAW001; Provision Category=Operational; Statutory Reference=; Remarks=</x:v>
      </x:c>
      <x:c r="D131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12" s="33" t="str">
        <x:v>CORRECT / RECLASSIFY</x:v>
      </x:c>
      <x:c r="F1312" s="33" t="str">
        <x:v>Correct technical citations, remove false direct duties and reclassify non-statutory/entity controls.</x:v>
      </x:c>
      <x:c r="G1312" s="33" t="str">
        <x:v>P-4 official-source validation</x:v>
      </x:c>
      <x:c r="H131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12" s="33" t="str">
        <x:v>P-4</x:v>
      </x:c>
      <x:c r="J1312" s="33" t="str">
        <x:v>2026-08-20</x:v>
      </x:c>
      <x:c r="K1312" s="33" t="str">
        <x:v>Provision IDs preserved; legal force and parentage corrected.</x:v>
      </x:c>
    </x:row>
    <x:row r="1313">
      <x:c r="A1313" s="33" t="str">
        <x:v>RPROV075</x:v>
      </x:c>
      <x:c r="B1313" s="33" t="str">
        <x:v>Provision Master</x:v>
      </x:c>
      <x:c r="C1313" s="33" t="str">
        <x:v>Law ID=LAW001; Provision Category=Operational; Statutory Reference=; Remarks=</x:v>
      </x:c>
      <x:c r="D131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13" s="33" t="str">
        <x:v>CORRECT / RECLASSIFY</x:v>
      </x:c>
      <x:c r="F1313" s="33" t="str">
        <x:v>Correct technical citations, remove false direct duties and reclassify non-statutory/entity controls.</x:v>
      </x:c>
      <x:c r="G1313" s="33" t="str">
        <x:v>P-4 official-source validation</x:v>
      </x:c>
      <x:c r="H131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13" s="33" t="str">
        <x:v>P-4</x:v>
      </x:c>
      <x:c r="J1313" s="33" t="str">
        <x:v>2026-08-20</x:v>
      </x:c>
      <x:c r="K1313" s="33" t="str">
        <x:v>Provision IDs preserved; legal force and parentage corrected.</x:v>
      </x:c>
    </x:row>
    <x:row r="1314">
      <x:c r="A1314" s="33" t="str">
        <x:v>RPROV076</x:v>
      </x:c>
      <x:c r="B1314" s="33" t="str">
        <x:v>Provision Master</x:v>
      </x:c>
      <x:c r="C1314" s="33" t="str">
        <x:v>Law ID=LAW004; Provision Category=Operational; Statutory Reference=; Remarks=</x:v>
      </x:c>
      <x:c r="D131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14" s="33" t="str">
        <x:v>CORRECT / RECLASSIFY</x:v>
      </x:c>
      <x:c r="F1314" s="33" t="str">
        <x:v>Correct technical citations, remove false direct duties and reclassify non-statutory/entity controls.</x:v>
      </x:c>
      <x:c r="G1314" s="33" t="str">
        <x:v>P-4 official-source validation</x:v>
      </x:c>
      <x:c r="H131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14" s="33" t="str">
        <x:v>P-4</x:v>
      </x:c>
      <x:c r="J1314" s="33" t="str">
        <x:v>2026-08-20</x:v>
      </x:c>
      <x:c r="K1314" s="33" t="str">
        <x:v>Provision IDs preserved; legal force and parentage corrected.</x:v>
      </x:c>
    </x:row>
    <x:row r="1315">
      <x:c r="A1315" s="33" t="str">
        <x:v>RPROV077</x:v>
      </x:c>
      <x:c r="B1315" s="33" t="str">
        <x:v>Provision Master</x:v>
      </x:c>
      <x:c r="C1315" s="33" t="str">
        <x:v>Law ID=LAW001; Provision Category=Operational; Statutory Reference=; Remarks=</x:v>
      </x:c>
      <x:c r="D131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15" s="33" t="str">
        <x:v>CORRECT / RECLASSIFY</x:v>
      </x:c>
      <x:c r="F1315" s="33" t="str">
        <x:v>Correct technical citations, remove false direct duties and reclassify non-statutory/entity controls.</x:v>
      </x:c>
      <x:c r="G1315" s="33" t="str">
        <x:v>P-4 official-source validation</x:v>
      </x:c>
      <x:c r="H131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15" s="33" t="str">
        <x:v>P-4</x:v>
      </x:c>
      <x:c r="J1315" s="33" t="str">
        <x:v>2026-08-20</x:v>
      </x:c>
      <x:c r="K1315" s="33" t="str">
        <x:v>Provision IDs preserved; legal force and parentage corrected.</x:v>
      </x:c>
    </x:row>
    <x:row r="1316">
      <x:c r="A1316" s="33" t="str">
        <x:v>RPROV078</x:v>
      </x:c>
      <x:c r="B1316" s="33" t="str">
        <x:v>Provision Master</x:v>
      </x:c>
      <x:c r="C1316" s="33" t="str">
        <x:v>Law ID=LAW002; Provision Category=Operational; Statutory Reference=; Remarks=</x:v>
      </x:c>
      <x:c r="D131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16" s="33" t="str">
        <x:v>CORRECT / RECLASSIFY</x:v>
      </x:c>
      <x:c r="F1316" s="33" t="str">
        <x:v>Correct technical citations, remove false direct duties and reclassify non-statutory/entity controls.</x:v>
      </x:c>
      <x:c r="G1316" s="33" t="str">
        <x:v>P-4 official-source validation</x:v>
      </x:c>
      <x:c r="H131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16" s="33" t="str">
        <x:v>P-4</x:v>
      </x:c>
      <x:c r="J1316" s="33" t="str">
        <x:v>2026-08-20</x:v>
      </x:c>
      <x:c r="K1316" s="33" t="str">
        <x:v>Provision IDs preserved; legal force and parentage corrected.</x:v>
      </x:c>
    </x:row>
    <x:row r="1317">
      <x:c r="A1317" s="33" t="str">
        <x:v>RPROV079</x:v>
      </x:c>
      <x:c r="B1317" s="33" t="str">
        <x:v>Provision Master</x:v>
      </x:c>
      <x:c r="C1317" s="33" t="str">
        <x:v>Law ID=LAW003; Provision Category=Operational; Statutory Reference=; Remarks=</x:v>
      </x:c>
      <x:c r="D131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17" s="33" t="str">
        <x:v>CORRECT / RECLASSIFY</x:v>
      </x:c>
      <x:c r="F1317" s="33" t="str">
        <x:v>Correct technical citations, remove false direct duties and reclassify non-statutory/entity controls.</x:v>
      </x:c>
      <x:c r="G1317" s="33" t="str">
        <x:v>P-4 official-source validation</x:v>
      </x:c>
      <x:c r="H131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17" s="33" t="str">
        <x:v>P-4</x:v>
      </x:c>
      <x:c r="J1317" s="33" t="str">
        <x:v>2026-08-20</x:v>
      </x:c>
      <x:c r="K1317" s="33" t="str">
        <x:v>Provision IDs preserved; legal force and parentage corrected.</x:v>
      </x:c>
    </x:row>
    <x:row r="1318">
      <x:c r="A1318" s="33" t="str">
        <x:v>RPROV080</x:v>
      </x:c>
      <x:c r="B1318" s="33" t="str">
        <x:v>Provision Master</x:v>
      </x:c>
      <x:c r="C1318" s="33" t="str">
        <x:v>Law ID=LAW001; Provision Category=Operational; Statutory Reference=; Remarks=</x:v>
      </x:c>
      <x:c r="D131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18" s="33" t="str">
        <x:v>CORRECT / RECLASSIFY</x:v>
      </x:c>
      <x:c r="F1318" s="33" t="str">
        <x:v>Correct technical citations, remove false direct duties and reclassify non-statutory/entity controls.</x:v>
      </x:c>
      <x:c r="G1318" s="33" t="str">
        <x:v>P-4 official-source validation</x:v>
      </x:c>
      <x:c r="H131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18" s="33" t="str">
        <x:v>P-4</x:v>
      </x:c>
      <x:c r="J1318" s="33" t="str">
        <x:v>2026-08-20</x:v>
      </x:c>
      <x:c r="K1318" s="33" t="str">
        <x:v>Provision IDs preserved; legal force and parentage corrected.</x:v>
      </x:c>
    </x:row>
    <x:row r="1319">
      <x:c r="A1319" s="33" t="str">
        <x:v>RPROV081</x:v>
      </x:c>
      <x:c r="B1319" s="33" t="str">
        <x:v>Provision Master</x:v>
      </x:c>
      <x:c r="C1319" s="33" t="str">
        <x:v>Law ID=LAW001; Provision Category=Operational; Statutory Reference=; Remarks=</x:v>
      </x:c>
      <x:c r="D131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19" s="33" t="str">
        <x:v>CORRECT / RECLASSIFY</x:v>
      </x:c>
      <x:c r="F1319" s="33" t="str">
        <x:v>Correct technical citations, remove false direct duties and reclassify non-statutory/entity controls.</x:v>
      </x:c>
      <x:c r="G1319" s="33" t="str">
        <x:v>P-4 official-source validation</x:v>
      </x:c>
      <x:c r="H131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19" s="33" t="str">
        <x:v>P-4</x:v>
      </x:c>
      <x:c r="J1319" s="33" t="str">
        <x:v>2026-08-20</x:v>
      </x:c>
      <x:c r="K1319" s="33" t="str">
        <x:v>Provision IDs preserved; legal force and parentage corrected.</x:v>
      </x:c>
    </x:row>
    <x:row r="1320">
      <x:c r="A1320" s="33" t="str">
        <x:v>RPROV082</x:v>
      </x:c>
      <x:c r="B1320" s="33" t="str">
        <x:v>Provision Master</x:v>
      </x:c>
      <x:c r="C1320" s="33" t="str">
        <x:v>Law ID=LAW001; Provision Category=Operational; Statutory Reference=; Remarks=</x:v>
      </x:c>
      <x:c r="D132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20" s="33" t="str">
        <x:v>CORRECT / RECLASSIFY</x:v>
      </x:c>
      <x:c r="F1320" s="33" t="str">
        <x:v>Correct technical citations, remove false direct duties and reclassify non-statutory/entity controls.</x:v>
      </x:c>
      <x:c r="G1320" s="33" t="str">
        <x:v>P-4 official-source validation</x:v>
      </x:c>
      <x:c r="H132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20" s="33" t="str">
        <x:v>P-4</x:v>
      </x:c>
      <x:c r="J1320" s="33" t="str">
        <x:v>2026-08-20</x:v>
      </x:c>
      <x:c r="K1320" s="33" t="str">
        <x:v>Provision IDs preserved; legal force and parentage corrected.</x:v>
      </x:c>
    </x:row>
    <x:row r="1321">
      <x:c r="A1321" s="33" t="str">
        <x:v>RPROV083</x:v>
      </x:c>
      <x:c r="B1321" s="33" t="str">
        <x:v>Provision Master</x:v>
      </x:c>
      <x:c r="C1321" s="33" t="str">
        <x:v>Law ID=LAW002; Provision Category=Operational; Statutory Reference=; Remarks=</x:v>
      </x:c>
      <x:c r="D132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21" s="33" t="str">
        <x:v>CORRECT / RECLASSIFY</x:v>
      </x:c>
      <x:c r="F1321" s="33" t="str">
        <x:v>Correct technical citations, remove false direct duties and reclassify non-statutory/entity controls.</x:v>
      </x:c>
      <x:c r="G1321" s="33" t="str">
        <x:v>P-4 official-source validation</x:v>
      </x:c>
      <x:c r="H132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21" s="33" t="str">
        <x:v>P-4</x:v>
      </x:c>
      <x:c r="J1321" s="33" t="str">
        <x:v>2026-08-20</x:v>
      </x:c>
      <x:c r="K1321" s="33" t="str">
        <x:v>Provision IDs preserved; legal force and parentage corrected.</x:v>
      </x:c>
    </x:row>
    <x:row r="1322">
      <x:c r="A1322" s="33" t="str">
        <x:v>RPROV084</x:v>
      </x:c>
      <x:c r="B1322" s="33" t="str">
        <x:v>Provision Master</x:v>
      </x:c>
      <x:c r="C1322" s="33" t="str">
        <x:v>Law ID=LAW001; Provision Category=Operational; Statutory Reference=; Remarks=</x:v>
      </x:c>
      <x:c r="D132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22" s="33" t="str">
        <x:v>CORRECT / RECLASSIFY</x:v>
      </x:c>
      <x:c r="F1322" s="33" t="str">
        <x:v>Correct technical citations, remove false direct duties and reclassify non-statutory/entity controls.</x:v>
      </x:c>
      <x:c r="G1322" s="33" t="str">
        <x:v>P-4 official-source validation</x:v>
      </x:c>
      <x:c r="H132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22" s="33" t="str">
        <x:v>P-4</x:v>
      </x:c>
      <x:c r="J1322" s="33" t="str">
        <x:v>2026-08-20</x:v>
      </x:c>
      <x:c r="K1322" s="33" t="str">
        <x:v>Provision IDs preserved; legal force and parentage corrected.</x:v>
      </x:c>
    </x:row>
    <x:row r="1323">
      <x:c r="A1323" s="33" t="str">
        <x:v>RPROV085</x:v>
      </x:c>
      <x:c r="B1323" s="33" t="str">
        <x:v>Provision Master</x:v>
      </x:c>
      <x:c r="C1323" s="33" t="str">
        <x:v>Law ID=LAW001; Provision Category=Operational; Statutory Reference=; Remarks=</x:v>
      </x:c>
      <x:c r="D132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23" s="33" t="str">
        <x:v>CORRECT / RECLASSIFY</x:v>
      </x:c>
      <x:c r="F1323" s="33" t="str">
        <x:v>Correct technical citations, remove false direct duties and reclassify non-statutory/entity controls.</x:v>
      </x:c>
      <x:c r="G1323" s="33" t="str">
        <x:v>P-4 official-source validation</x:v>
      </x:c>
      <x:c r="H132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23" s="33" t="str">
        <x:v>P-4</x:v>
      </x:c>
      <x:c r="J1323" s="33" t="str">
        <x:v>2026-08-20</x:v>
      </x:c>
      <x:c r="K1323" s="33" t="str">
        <x:v>Provision IDs preserved; legal force and parentage corrected.</x:v>
      </x:c>
    </x:row>
    <x:row r="1324">
      <x:c r="A1324" s="33" t="str">
        <x:v>RPROV086</x:v>
      </x:c>
      <x:c r="B1324" s="33" t="str">
        <x:v>Provision Master</x:v>
      </x:c>
      <x:c r="C1324" s="33" t="str">
        <x:v>Law ID=LAW003; Provision Category=Operational; Statutory Reference=; Remarks=</x:v>
      </x:c>
      <x:c r="D132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24" s="33" t="str">
        <x:v>CORRECT / RECLASSIFY</x:v>
      </x:c>
      <x:c r="F1324" s="33" t="str">
        <x:v>Correct technical citations, remove false direct duties and reclassify non-statutory/entity controls.</x:v>
      </x:c>
      <x:c r="G1324" s="33" t="str">
        <x:v>P-4 official-source validation</x:v>
      </x:c>
      <x:c r="H132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24" s="33" t="str">
        <x:v>P-4</x:v>
      </x:c>
      <x:c r="J1324" s="33" t="str">
        <x:v>2026-08-20</x:v>
      </x:c>
      <x:c r="K1324" s="33" t="str">
        <x:v>Provision IDs preserved; legal force and parentage corrected.</x:v>
      </x:c>
    </x:row>
    <x:row r="1325">
      <x:c r="A1325" s="33" t="str">
        <x:v>RPROV087</x:v>
      </x:c>
      <x:c r="B1325" s="33" t="str">
        <x:v>Provision Master</x:v>
      </x:c>
      <x:c r="C1325" s="33" t="str">
        <x:v>Law ID=LAW001; Provision Category=Operational; Statutory Reference=; Remarks=</x:v>
      </x:c>
      <x:c r="D132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25" s="33" t="str">
        <x:v>CORRECT / RECLASSIFY</x:v>
      </x:c>
      <x:c r="F1325" s="33" t="str">
        <x:v>Correct technical citations, remove false direct duties and reclassify non-statutory/entity controls.</x:v>
      </x:c>
      <x:c r="G1325" s="33" t="str">
        <x:v>P-4 official-source validation</x:v>
      </x:c>
      <x:c r="H132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25" s="33" t="str">
        <x:v>P-4</x:v>
      </x:c>
      <x:c r="J1325" s="33" t="str">
        <x:v>2026-08-20</x:v>
      </x:c>
      <x:c r="K1325" s="33" t="str">
        <x:v>Provision IDs preserved; legal force and parentage corrected.</x:v>
      </x:c>
    </x:row>
    <x:row r="1326">
      <x:c r="A1326" s="33" t="str">
        <x:v>RPROV088</x:v>
      </x:c>
      <x:c r="B1326" s="33" t="str">
        <x:v>Provision Master</x:v>
      </x:c>
      <x:c r="C1326" s="33" t="str">
        <x:v>Law ID=LAW002; Provision Category=Operational; Statutory Reference=; Remarks=</x:v>
      </x:c>
      <x:c r="D132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26" s="33" t="str">
        <x:v>CORRECT / RECLASSIFY</x:v>
      </x:c>
      <x:c r="F1326" s="33" t="str">
        <x:v>Correct technical citations, remove false direct duties and reclassify non-statutory/entity controls.</x:v>
      </x:c>
      <x:c r="G1326" s="33" t="str">
        <x:v>P-4 official-source validation</x:v>
      </x:c>
      <x:c r="H132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26" s="33" t="str">
        <x:v>P-4</x:v>
      </x:c>
      <x:c r="J1326" s="33" t="str">
        <x:v>2026-08-20</x:v>
      </x:c>
      <x:c r="K1326" s="33" t="str">
        <x:v>Provision IDs preserved; legal force and parentage corrected.</x:v>
      </x:c>
    </x:row>
    <x:row r="1327">
      <x:c r="A1327" s="33" t="str">
        <x:v>RPROV089</x:v>
      </x:c>
      <x:c r="B1327" s="33" t="str">
        <x:v>Provision Master</x:v>
      </x:c>
      <x:c r="C1327" s="33" t="str">
        <x:v>Law ID=LAW004; Provision Category=Operational; Statutory Reference=; Remarks=</x:v>
      </x:c>
      <x:c r="D132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27" s="33" t="str">
        <x:v>CORRECT / RECLASSIFY</x:v>
      </x:c>
      <x:c r="F1327" s="33" t="str">
        <x:v>Correct technical citations, remove false direct duties and reclassify non-statutory/entity controls.</x:v>
      </x:c>
      <x:c r="G1327" s="33" t="str">
        <x:v>P-4 official-source validation</x:v>
      </x:c>
      <x:c r="H132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27" s="33" t="str">
        <x:v>P-4</x:v>
      </x:c>
      <x:c r="J1327" s="33" t="str">
        <x:v>2026-08-20</x:v>
      </x:c>
      <x:c r="K1327" s="33" t="str">
        <x:v>Provision IDs preserved; legal force and parentage corrected.</x:v>
      </x:c>
    </x:row>
    <x:row r="1328">
      <x:c r="A1328" s="33" t="str">
        <x:v>RPROV090</x:v>
      </x:c>
      <x:c r="B1328" s="33" t="str">
        <x:v>Provision Master</x:v>
      </x:c>
      <x:c r="C1328" s="33" t="str">
        <x:v>Law ID=LAW001; Provision Category=Operational; Statutory Reference=; Remarks=</x:v>
      </x:c>
      <x:c r="D132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28" s="33" t="str">
        <x:v>CORRECT / RECLASSIFY</x:v>
      </x:c>
      <x:c r="F1328" s="33" t="str">
        <x:v>Correct technical citations, remove false direct duties and reclassify non-statutory/entity controls.</x:v>
      </x:c>
      <x:c r="G1328" s="33" t="str">
        <x:v>P-4 official-source validation</x:v>
      </x:c>
      <x:c r="H132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28" s="33" t="str">
        <x:v>P-4</x:v>
      </x:c>
      <x:c r="J1328" s="33" t="str">
        <x:v>2026-08-20</x:v>
      </x:c>
      <x:c r="K1328" s="33" t="str">
        <x:v>Provision IDs preserved; legal force and parentage corrected.</x:v>
      </x:c>
    </x:row>
    <x:row r="1329">
      <x:c r="A1329" s="33" t="str">
        <x:v>RPROV091</x:v>
      </x:c>
      <x:c r="B1329" s="33" t="str">
        <x:v>Provision Master</x:v>
      </x:c>
      <x:c r="C1329" s="33" t="str">
        <x:v>Law ID=LAW001; Provision Category=Operational; Statutory Reference=; Remarks=</x:v>
      </x:c>
      <x:c r="D132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29" s="33" t="str">
        <x:v>CORRECT / RECLASSIFY</x:v>
      </x:c>
      <x:c r="F1329" s="33" t="str">
        <x:v>Correct technical citations, remove false direct duties and reclassify non-statutory/entity controls.</x:v>
      </x:c>
      <x:c r="G1329" s="33" t="str">
        <x:v>P-4 official-source validation</x:v>
      </x:c>
      <x:c r="H132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29" s="33" t="str">
        <x:v>P-4</x:v>
      </x:c>
      <x:c r="J1329" s="33" t="str">
        <x:v>2026-08-20</x:v>
      </x:c>
      <x:c r="K1329" s="33" t="str">
        <x:v>Provision IDs preserved; legal force and parentage corrected.</x:v>
      </x:c>
    </x:row>
    <x:row r="1330">
      <x:c r="A1330" s="33" t="str">
        <x:v>RPROV092</x:v>
      </x:c>
      <x:c r="B1330" s="33" t="str">
        <x:v>Provision Master</x:v>
      </x:c>
      <x:c r="C1330" s="33" t="str">
        <x:v>Law ID=LAW001; Provision Category=Operational; Statutory Reference=; Remarks=</x:v>
      </x:c>
      <x:c r="D133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30" s="33" t="str">
        <x:v>CORRECT / RECLASSIFY</x:v>
      </x:c>
      <x:c r="F1330" s="33" t="str">
        <x:v>Correct technical citations, remove false direct duties and reclassify non-statutory/entity controls.</x:v>
      </x:c>
      <x:c r="G1330" s="33" t="str">
        <x:v>P-4 official-source validation</x:v>
      </x:c>
      <x:c r="H133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30" s="33" t="str">
        <x:v>P-4</x:v>
      </x:c>
      <x:c r="J1330" s="33" t="str">
        <x:v>2026-08-20</x:v>
      </x:c>
      <x:c r="K1330" s="33" t="str">
        <x:v>Provision IDs preserved; legal force and parentage corrected.</x:v>
      </x:c>
    </x:row>
    <x:row r="1331">
      <x:c r="A1331" s="33" t="str">
        <x:v>RPROV093</x:v>
      </x:c>
      <x:c r="B1331" s="33" t="str">
        <x:v>Provision Master</x:v>
      </x:c>
      <x:c r="C1331" s="33" t="str">
        <x:v>Law ID=LAW002; Provision Category=Operational; Statutory Reference=; Remarks=</x:v>
      </x:c>
      <x:c r="D133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31" s="33" t="str">
        <x:v>CORRECT / RECLASSIFY</x:v>
      </x:c>
      <x:c r="F1331" s="33" t="str">
        <x:v>Correct technical citations, remove false direct duties and reclassify non-statutory/entity controls.</x:v>
      </x:c>
      <x:c r="G1331" s="33" t="str">
        <x:v>P-4 official-source validation</x:v>
      </x:c>
      <x:c r="H133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31" s="33" t="str">
        <x:v>P-4</x:v>
      </x:c>
      <x:c r="J1331" s="33" t="str">
        <x:v>2026-08-20</x:v>
      </x:c>
      <x:c r="K1331" s="33" t="str">
        <x:v>Provision IDs preserved; legal force and parentage corrected.</x:v>
      </x:c>
    </x:row>
    <x:row r="1332">
      <x:c r="A1332" s="33" t="str">
        <x:v>RPROV094</x:v>
      </x:c>
      <x:c r="B1332" s="33" t="str">
        <x:v>Provision Master</x:v>
      </x:c>
      <x:c r="C1332" s="33" t="str">
        <x:v>Law ID=LAW001; Provision Category=Operational; Statutory Reference=; Remarks=</x:v>
      </x:c>
      <x:c r="D133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32" s="33" t="str">
        <x:v>CORRECT / RECLASSIFY</x:v>
      </x:c>
      <x:c r="F1332" s="33" t="str">
        <x:v>Correct technical citations, remove false direct duties and reclassify non-statutory/entity controls.</x:v>
      </x:c>
      <x:c r="G1332" s="33" t="str">
        <x:v>P-4 official-source validation</x:v>
      </x:c>
      <x:c r="H133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32" s="33" t="str">
        <x:v>P-4</x:v>
      </x:c>
      <x:c r="J1332" s="33" t="str">
        <x:v>2026-08-20</x:v>
      </x:c>
      <x:c r="K1332" s="33" t="str">
        <x:v>Provision IDs preserved; legal force and parentage corrected.</x:v>
      </x:c>
    </x:row>
    <x:row r="1333">
      <x:c r="A1333" s="33" t="str">
        <x:v>RPROV095</x:v>
      </x:c>
      <x:c r="B1333" s="33" t="str">
        <x:v>Provision Master</x:v>
      </x:c>
      <x:c r="C1333" s="33" t="str">
        <x:v>Law ID=LAW001; Provision Category=Operational; Statutory Reference=; Remarks=</x:v>
      </x:c>
      <x:c r="D133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33" s="33" t="str">
        <x:v>CORRECT / RECLASSIFY</x:v>
      </x:c>
      <x:c r="F1333" s="33" t="str">
        <x:v>Correct technical citations, remove false direct duties and reclassify non-statutory/entity controls.</x:v>
      </x:c>
      <x:c r="G1333" s="33" t="str">
        <x:v>P-4 official-source validation</x:v>
      </x:c>
      <x:c r="H133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33" s="33" t="str">
        <x:v>P-4</x:v>
      </x:c>
      <x:c r="J1333" s="33" t="str">
        <x:v>2026-08-20</x:v>
      </x:c>
      <x:c r="K1333" s="33" t="str">
        <x:v>Provision IDs preserved; legal force and parentage corrected.</x:v>
      </x:c>
    </x:row>
    <x:row r="1334">
      <x:c r="A1334" s="33" t="str">
        <x:v>RPROV096</x:v>
      </x:c>
      <x:c r="B1334" s="33" t="str">
        <x:v>Provision Master</x:v>
      </x:c>
      <x:c r="C1334" s="33" t="str">
        <x:v>Law ID=LAW003; Provision Category=Operational; Statutory Reference=; Remarks=</x:v>
      </x:c>
      <x:c r="D133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34" s="33" t="str">
        <x:v>CORRECT / RECLASSIFY</x:v>
      </x:c>
      <x:c r="F1334" s="33" t="str">
        <x:v>Correct technical citations, remove false direct duties and reclassify non-statutory/entity controls.</x:v>
      </x:c>
      <x:c r="G1334" s="33" t="str">
        <x:v>P-4 official-source validation</x:v>
      </x:c>
      <x:c r="H133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34" s="33" t="str">
        <x:v>P-4</x:v>
      </x:c>
      <x:c r="J1334" s="33" t="str">
        <x:v>2026-08-20</x:v>
      </x:c>
      <x:c r="K1334" s="33" t="str">
        <x:v>Provision IDs preserved; legal force and parentage corrected.</x:v>
      </x:c>
    </x:row>
    <x:row r="1335">
      <x:c r="A1335" s="33" t="str">
        <x:v>RPROV097</x:v>
      </x:c>
      <x:c r="B1335" s="33" t="str">
        <x:v>Provision Master</x:v>
      </x:c>
      <x:c r="C1335" s="33" t="str">
        <x:v>Law ID=LAW001; Provision Category=Operational; Statutory Reference=; Remarks=</x:v>
      </x:c>
      <x:c r="D133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35" s="33" t="str">
        <x:v>CORRECT / RECLASSIFY</x:v>
      </x:c>
      <x:c r="F1335" s="33" t="str">
        <x:v>Correct technical citations, remove false direct duties and reclassify non-statutory/entity controls.</x:v>
      </x:c>
      <x:c r="G1335" s="33" t="str">
        <x:v>P-4 official-source validation</x:v>
      </x:c>
      <x:c r="H133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35" s="33" t="str">
        <x:v>P-4</x:v>
      </x:c>
      <x:c r="J1335" s="33" t="str">
        <x:v>2026-08-20</x:v>
      </x:c>
      <x:c r="K1335" s="33" t="str">
        <x:v>Provision IDs preserved; legal force and parentage corrected.</x:v>
      </x:c>
    </x:row>
    <x:row r="1336">
      <x:c r="A1336" s="33" t="str">
        <x:v>RPROV098</x:v>
      </x:c>
      <x:c r="B1336" s="33" t="str">
        <x:v>Provision Master</x:v>
      </x:c>
      <x:c r="C1336" s="33" t="str">
        <x:v>Law ID=LAW002; Provision Category=Operational; Statutory Reference=; Remarks=</x:v>
      </x:c>
      <x:c r="D133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36" s="33" t="str">
        <x:v>CORRECT / RECLASSIFY</x:v>
      </x:c>
      <x:c r="F1336" s="33" t="str">
        <x:v>Correct technical citations, remove false direct duties and reclassify non-statutory/entity controls.</x:v>
      </x:c>
      <x:c r="G1336" s="33" t="str">
        <x:v>P-4 official-source validation</x:v>
      </x:c>
      <x:c r="H133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36" s="33" t="str">
        <x:v>P-4</x:v>
      </x:c>
      <x:c r="J1336" s="33" t="str">
        <x:v>2026-08-20</x:v>
      </x:c>
      <x:c r="K1336" s="33" t="str">
        <x:v>Provision IDs preserved; legal force and parentage corrected.</x:v>
      </x:c>
    </x:row>
    <x:row r="1337">
      <x:c r="A1337" s="33" t="str">
        <x:v>RPROV099</x:v>
      </x:c>
      <x:c r="B1337" s="33" t="str">
        <x:v>Provision Master</x:v>
      </x:c>
      <x:c r="C1337" s="33" t="str">
        <x:v>Law ID=LAW004; Provision Category=Operational; Statutory Reference=; Remarks=</x:v>
      </x:c>
      <x:c r="D133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37" s="33" t="str">
        <x:v>CORRECT / RECLASSIFY</x:v>
      </x:c>
      <x:c r="F1337" s="33" t="str">
        <x:v>Correct technical citations, remove false direct duties and reclassify non-statutory/entity controls.</x:v>
      </x:c>
      <x:c r="G1337" s="33" t="str">
        <x:v>P-4 official-source validation</x:v>
      </x:c>
      <x:c r="H133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37" s="33" t="str">
        <x:v>P-4</x:v>
      </x:c>
      <x:c r="J1337" s="33" t="str">
        <x:v>2026-08-20</x:v>
      </x:c>
      <x:c r="K1337" s="33" t="str">
        <x:v>Provision IDs preserved; legal force and parentage corrected.</x:v>
      </x:c>
    </x:row>
    <x:row r="1338">
      <x:c r="A1338" s="33" t="str">
        <x:v>RPROV100</x:v>
      </x:c>
      <x:c r="B1338" s="33" t="str">
        <x:v>Provision Master</x:v>
      </x:c>
      <x:c r="C1338" s="33" t="str">
        <x:v>Law ID=LAW001; Provision Category=Operational; Statutory Reference=; Remarks=</x:v>
      </x:c>
      <x:c r="D133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38" s="33" t="str">
        <x:v>CORRECT / RECLASSIFY</x:v>
      </x:c>
      <x:c r="F1338" s="33" t="str">
        <x:v>Correct technical citations, remove false direct duties and reclassify non-statutory/entity controls.</x:v>
      </x:c>
      <x:c r="G1338" s="33" t="str">
        <x:v>P-4 official-source validation</x:v>
      </x:c>
      <x:c r="H133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38" s="33" t="str">
        <x:v>P-4</x:v>
      </x:c>
      <x:c r="J1338" s="33" t="str">
        <x:v>2026-08-20</x:v>
      </x:c>
      <x:c r="K1338" s="33" t="str">
        <x:v>Provision IDs preserved; legal force and parentage corrected.</x:v>
      </x:c>
    </x:row>
    <x:row r="1339">
      <x:c r="A1339" s="33" t="str">
        <x:v>RPROV101</x:v>
      </x:c>
      <x:c r="B1339" s="33" t="str">
        <x:v>Provision Master</x:v>
      </x:c>
      <x:c r="C1339" s="33" t="str">
        <x:v>Law ID=LAW001; Provision Category=Operational; Statutory Reference=; Remarks=</x:v>
      </x:c>
      <x:c r="D133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39" s="33" t="str">
        <x:v>CORRECT / RECLASSIFY</x:v>
      </x:c>
      <x:c r="F1339" s="33" t="str">
        <x:v>Correct technical citations, remove false direct duties and reclassify non-statutory/entity controls.</x:v>
      </x:c>
      <x:c r="G1339" s="33" t="str">
        <x:v>P-4 official-source validation</x:v>
      </x:c>
      <x:c r="H133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39" s="33" t="str">
        <x:v>P-4</x:v>
      </x:c>
      <x:c r="J1339" s="33" t="str">
        <x:v>2026-08-20</x:v>
      </x:c>
      <x:c r="K1339" s="33" t="str">
        <x:v>Provision IDs preserved; legal force and parentage corrected.</x:v>
      </x:c>
    </x:row>
    <x:row r="1340">
      <x:c r="A1340" s="33" t="str">
        <x:v>RPROV102</x:v>
      </x:c>
      <x:c r="B1340" s="33" t="str">
        <x:v>Provision Master</x:v>
      </x:c>
      <x:c r="C1340" s="33" t="str">
        <x:v>Law ID=LAW001; Provision Category=Operational; Statutory Reference=; Remarks=</x:v>
      </x:c>
      <x:c r="D134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40" s="33" t="str">
        <x:v>CORRECT / RECLASSIFY</x:v>
      </x:c>
      <x:c r="F1340" s="33" t="str">
        <x:v>Correct technical citations, remove false direct duties and reclassify non-statutory/entity controls.</x:v>
      </x:c>
      <x:c r="G1340" s="33" t="str">
        <x:v>P-4 official-source validation</x:v>
      </x:c>
      <x:c r="H134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40" s="33" t="str">
        <x:v>P-4</x:v>
      </x:c>
      <x:c r="J1340" s="33" t="str">
        <x:v>2026-08-20</x:v>
      </x:c>
      <x:c r="K1340" s="33" t="str">
        <x:v>Provision IDs preserved; legal force and parentage corrected.</x:v>
      </x:c>
    </x:row>
    <x:row r="1341">
      <x:c r="A1341" s="33" t="str">
        <x:v>RPROV103</x:v>
      </x:c>
      <x:c r="B1341" s="33" t="str">
        <x:v>Provision Master</x:v>
      </x:c>
      <x:c r="C1341" s="33" t="str">
        <x:v>Law ID=LAW002; Provision Category=Operational; Statutory Reference=; Remarks=</x:v>
      </x:c>
      <x:c r="D134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41" s="33" t="str">
        <x:v>CORRECT / RECLASSIFY</x:v>
      </x:c>
      <x:c r="F1341" s="33" t="str">
        <x:v>Correct technical citations, remove false direct duties and reclassify non-statutory/entity controls.</x:v>
      </x:c>
      <x:c r="G1341" s="33" t="str">
        <x:v>P-4 official-source validation</x:v>
      </x:c>
      <x:c r="H134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41" s="33" t="str">
        <x:v>P-4</x:v>
      </x:c>
      <x:c r="J1341" s="33" t="str">
        <x:v>2026-08-20</x:v>
      </x:c>
      <x:c r="K1341" s="33" t="str">
        <x:v>Provision IDs preserved; legal force and parentage corrected.</x:v>
      </x:c>
    </x:row>
    <x:row r="1342">
      <x:c r="A1342" s="33" t="str">
        <x:v>RPROV104</x:v>
      </x:c>
      <x:c r="B1342" s="33" t="str">
        <x:v>Provision Master</x:v>
      </x:c>
      <x:c r="C1342" s="33" t="str">
        <x:v>Law ID=LAW001; Provision Category=Operational; Statutory Reference=; Remarks=</x:v>
      </x:c>
      <x:c r="D134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42" s="33" t="str">
        <x:v>CORRECT / RECLASSIFY</x:v>
      </x:c>
      <x:c r="F1342" s="33" t="str">
        <x:v>Correct technical citations, remove false direct duties and reclassify non-statutory/entity controls.</x:v>
      </x:c>
      <x:c r="G1342" s="33" t="str">
        <x:v>P-4 official-source validation</x:v>
      </x:c>
      <x:c r="H134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42" s="33" t="str">
        <x:v>P-4</x:v>
      </x:c>
      <x:c r="J1342" s="33" t="str">
        <x:v>2026-08-20</x:v>
      </x:c>
      <x:c r="K1342" s="33" t="str">
        <x:v>Provision IDs preserved; legal force and parentage corrected.</x:v>
      </x:c>
    </x:row>
    <x:row r="1343">
      <x:c r="A1343" s="33" t="str">
        <x:v>RPROV105</x:v>
      </x:c>
      <x:c r="B1343" s="33" t="str">
        <x:v>Provision Master</x:v>
      </x:c>
      <x:c r="C1343" s="33" t="str">
        <x:v>Law ID=LAW001; Provision Category=Operational; Statutory Reference=; Remarks=</x:v>
      </x:c>
      <x:c r="D134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43" s="33" t="str">
        <x:v>CORRECT / RECLASSIFY</x:v>
      </x:c>
      <x:c r="F1343" s="33" t="str">
        <x:v>Correct technical citations, remove false direct duties and reclassify non-statutory/entity controls.</x:v>
      </x:c>
      <x:c r="G1343" s="33" t="str">
        <x:v>P-4 official-source validation</x:v>
      </x:c>
      <x:c r="H134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43" s="33" t="str">
        <x:v>P-4</x:v>
      </x:c>
      <x:c r="J1343" s="33" t="str">
        <x:v>2026-08-20</x:v>
      </x:c>
      <x:c r="K1343" s="33" t="str">
        <x:v>Provision IDs preserved; legal force and parentage corrected.</x:v>
      </x:c>
    </x:row>
    <x:row r="1344">
      <x:c r="A1344" s="33" t="str">
        <x:v>RPROV106</x:v>
      </x:c>
      <x:c r="B1344" s="33" t="str">
        <x:v>Provision Master</x:v>
      </x:c>
      <x:c r="C1344" s="33" t="str">
        <x:v>Law ID=LAW003; Provision Category=Operational; Statutory Reference=; Remarks=</x:v>
      </x:c>
      <x:c r="D134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44" s="33" t="str">
        <x:v>CORRECT / RECLASSIFY</x:v>
      </x:c>
      <x:c r="F1344" s="33" t="str">
        <x:v>Correct technical citations, remove false direct duties and reclassify non-statutory/entity controls.</x:v>
      </x:c>
      <x:c r="G1344" s="33" t="str">
        <x:v>P-4 official-source validation</x:v>
      </x:c>
      <x:c r="H134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44" s="33" t="str">
        <x:v>P-4</x:v>
      </x:c>
      <x:c r="J1344" s="33" t="str">
        <x:v>2026-08-20</x:v>
      </x:c>
      <x:c r="K1344" s="33" t="str">
        <x:v>Provision IDs preserved; legal force and parentage corrected.</x:v>
      </x:c>
    </x:row>
    <x:row r="1345">
      <x:c r="A1345" s="33" t="str">
        <x:v>RPROV107</x:v>
      </x:c>
      <x:c r="B1345" s="33" t="str">
        <x:v>Provision Master</x:v>
      </x:c>
      <x:c r="C1345" s="33" t="str">
        <x:v>Law ID=LAW001; Provision Category=Operational; Statutory Reference=; Remarks=</x:v>
      </x:c>
      <x:c r="D134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45" s="33" t="str">
        <x:v>CORRECT / RECLASSIFY</x:v>
      </x:c>
      <x:c r="F1345" s="33" t="str">
        <x:v>Correct technical citations, remove false direct duties and reclassify non-statutory/entity controls.</x:v>
      </x:c>
      <x:c r="G1345" s="33" t="str">
        <x:v>P-4 official-source validation</x:v>
      </x:c>
      <x:c r="H134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45" s="33" t="str">
        <x:v>P-4</x:v>
      </x:c>
      <x:c r="J1345" s="33" t="str">
        <x:v>2026-08-20</x:v>
      </x:c>
      <x:c r="K1345" s="33" t="str">
        <x:v>Provision IDs preserved; legal force and parentage corrected.</x:v>
      </x:c>
    </x:row>
    <x:row r="1346">
      <x:c r="A1346" s="33" t="str">
        <x:v>RPROV108</x:v>
      </x:c>
      <x:c r="B1346" s="33" t="str">
        <x:v>Provision Master</x:v>
      </x:c>
      <x:c r="C1346" s="33" t="str">
        <x:v>Law ID=LAW002; Provision Category=Operational; Statutory Reference=; Remarks=</x:v>
      </x:c>
      <x:c r="D134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46" s="33" t="str">
        <x:v>CORRECT / RECLASSIFY</x:v>
      </x:c>
      <x:c r="F1346" s="33" t="str">
        <x:v>Correct technical citations, remove false direct duties and reclassify non-statutory/entity controls.</x:v>
      </x:c>
      <x:c r="G1346" s="33" t="str">
        <x:v>P-4 official-source validation</x:v>
      </x:c>
      <x:c r="H134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46" s="33" t="str">
        <x:v>P-4</x:v>
      </x:c>
      <x:c r="J1346" s="33" t="str">
        <x:v>2026-08-20</x:v>
      </x:c>
      <x:c r="K1346" s="33" t="str">
        <x:v>Provision IDs preserved; legal force and parentage corrected.</x:v>
      </x:c>
    </x:row>
    <x:row r="1347">
      <x:c r="A1347" s="33" t="str">
        <x:v>RPROV109</x:v>
      </x:c>
      <x:c r="B1347" s="33" t="str">
        <x:v>Provision Master</x:v>
      </x:c>
      <x:c r="C1347" s="33" t="str">
        <x:v>Law ID=LAW004; Provision Category=Operational; Statutory Reference=; Remarks=</x:v>
      </x:c>
      <x:c r="D134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47" s="33" t="str">
        <x:v>CORRECT / RECLASSIFY</x:v>
      </x:c>
      <x:c r="F1347" s="33" t="str">
        <x:v>Correct technical citations, remove false direct duties and reclassify non-statutory/entity controls.</x:v>
      </x:c>
      <x:c r="G1347" s="33" t="str">
        <x:v>P-4 official-source validation</x:v>
      </x:c>
      <x:c r="H134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47" s="33" t="str">
        <x:v>P-4</x:v>
      </x:c>
      <x:c r="J1347" s="33" t="str">
        <x:v>2026-08-20</x:v>
      </x:c>
      <x:c r="K1347" s="33" t="str">
        <x:v>Provision IDs preserved; legal force and parentage corrected.</x:v>
      </x:c>
    </x:row>
    <x:row r="1348">
      <x:c r="A1348" s="33" t="str">
        <x:v>RPROV110</x:v>
      </x:c>
      <x:c r="B1348" s="33" t="str">
        <x:v>Provision Master</x:v>
      </x:c>
      <x:c r="C1348" s="33" t="str">
        <x:v>Law ID=LAW001; Provision Category=Operational; Statutory Reference=; Remarks=</x:v>
      </x:c>
      <x:c r="D134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48" s="33" t="str">
        <x:v>CORRECT / RECLASSIFY</x:v>
      </x:c>
      <x:c r="F1348" s="33" t="str">
        <x:v>Correct technical citations, remove false direct duties and reclassify non-statutory/entity controls.</x:v>
      </x:c>
      <x:c r="G1348" s="33" t="str">
        <x:v>P-4 official-source validation</x:v>
      </x:c>
      <x:c r="H134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48" s="33" t="str">
        <x:v>P-4</x:v>
      </x:c>
      <x:c r="J1348" s="33" t="str">
        <x:v>2026-08-20</x:v>
      </x:c>
      <x:c r="K1348" s="33" t="str">
        <x:v>Provision IDs preserved; legal force and parentage corrected.</x:v>
      </x:c>
    </x:row>
    <x:row r="1349">
      <x:c r="A1349" s="33" t="str">
        <x:v>RPROV111</x:v>
      </x:c>
      <x:c r="B1349" s="33" t="str">
        <x:v>Provision Master</x:v>
      </x:c>
      <x:c r="C1349" s="33" t="str">
        <x:v>Law ID=LAW001; Provision Category=Operational; Statutory Reference=; Remarks=</x:v>
      </x:c>
      <x:c r="D134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49" s="33" t="str">
        <x:v>CORRECT / RECLASSIFY</x:v>
      </x:c>
      <x:c r="F1349" s="33" t="str">
        <x:v>Correct technical citations, remove false direct duties and reclassify non-statutory/entity controls.</x:v>
      </x:c>
      <x:c r="G1349" s="33" t="str">
        <x:v>P-4 official-source validation</x:v>
      </x:c>
      <x:c r="H134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49" s="33" t="str">
        <x:v>P-4</x:v>
      </x:c>
      <x:c r="J1349" s="33" t="str">
        <x:v>2026-08-20</x:v>
      </x:c>
      <x:c r="K1349" s="33" t="str">
        <x:v>Provision IDs preserved; legal force and parentage corrected.</x:v>
      </x:c>
    </x:row>
    <x:row r="1350">
      <x:c r="A1350" s="33" t="str">
        <x:v>RPROV112</x:v>
      </x:c>
      <x:c r="B1350" s="33" t="str">
        <x:v>Provision Master</x:v>
      </x:c>
      <x:c r="C1350" s="33" t="str">
        <x:v>Law ID=LAW001; Provision Category=Operational; Statutory Reference=; Remarks=</x:v>
      </x:c>
      <x:c r="D135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50" s="33" t="str">
        <x:v>CORRECT / RECLASSIFY</x:v>
      </x:c>
      <x:c r="F1350" s="33" t="str">
        <x:v>Correct technical citations, remove false direct duties and reclassify non-statutory/entity controls.</x:v>
      </x:c>
      <x:c r="G1350" s="33" t="str">
        <x:v>P-4 official-source validation</x:v>
      </x:c>
      <x:c r="H135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50" s="33" t="str">
        <x:v>P-4</x:v>
      </x:c>
      <x:c r="J1350" s="33" t="str">
        <x:v>2026-08-20</x:v>
      </x:c>
      <x:c r="K1350" s="33" t="str">
        <x:v>Provision IDs preserved; legal force and parentage corrected.</x:v>
      </x:c>
    </x:row>
    <x:row r="1351">
      <x:c r="A1351" s="33" t="str">
        <x:v>RPROV113</x:v>
      </x:c>
      <x:c r="B1351" s="33" t="str">
        <x:v>Provision Master</x:v>
      </x:c>
      <x:c r="C1351" s="33" t="str">
        <x:v>Law ID=LAW002; Provision Category=Operational; Statutory Reference=; Remarks=</x:v>
      </x:c>
      <x:c r="D135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51" s="33" t="str">
        <x:v>CORRECT / RECLASSIFY</x:v>
      </x:c>
      <x:c r="F1351" s="33" t="str">
        <x:v>Correct technical citations, remove false direct duties and reclassify non-statutory/entity controls.</x:v>
      </x:c>
      <x:c r="G1351" s="33" t="str">
        <x:v>P-4 official-source validation</x:v>
      </x:c>
      <x:c r="H135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51" s="33" t="str">
        <x:v>P-4</x:v>
      </x:c>
      <x:c r="J1351" s="33" t="str">
        <x:v>2026-08-20</x:v>
      </x:c>
      <x:c r="K1351" s="33" t="str">
        <x:v>Provision IDs preserved; legal force and parentage corrected.</x:v>
      </x:c>
    </x:row>
    <x:row r="1352">
      <x:c r="A1352" s="33" t="str">
        <x:v>RPROV114</x:v>
      </x:c>
      <x:c r="B1352" s="33" t="str">
        <x:v>Provision Master</x:v>
      </x:c>
      <x:c r="C1352" s="33" t="str">
        <x:v>Law ID=LAW001; Provision Category=Operational; Statutory Reference=; Remarks=</x:v>
      </x:c>
      <x:c r="D135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52" s="33" t="str">
        <x:v>CORRECT / RECLASSIFY</x:v>
      </x:c>
      <x:c r="F1352" s="33" t="str">
        <x:v>Correct technical citations, remove false direct duties and reclassify non-statutory/entity controls.</x:v>
      </x:c>
      <x:c r="G1352" s="33" t="str">
        <x:v>P-4 official-source validation</x:v>
      </x:c>
      <x:c r="H135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52" s="33" t="str">
        <x:v>P-4</x:v>
      </x:c>
      <x:c r="J1352" s="33" t="str">
        <x:v>2026-08-20</x:v>
      </x:c>
      <x:c r="K1352" s="33" t="str">
        <x:v>Provision IDs preserved; legal force and parentage corrected.</x:v>
      </x:c>
    </x:row>
    <x:row r="1353">
      <x:c r="A1353" s="33" t="str">
        <x:v>RPROV115</x:v>
      </x:c>
      <x:c r="B1353" s="33" t="str">
        <x:v>Provision Master</x:v>
      </x:c>
      <x:c r="C1353" s="33" t="str">
        <x:v>Law ID=LAW001; Provision Category=Operational; Statutory Reference=; Remarks=</x:v>
      </x:c>
      <x:c r="D135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53" s="33" t="str">
        <x:v>CORRECT / RECLASSIFY</x:v>
      </x:c>
      <x:c r="F1353" s="33" t="str">
        <x:v>Correct technical citations, remove false direct duties and reclassify non-statutory/entity controls.</x:v>
      </x:c>
      <x:c r="G1353" s="33" t="str">
        <x:v>P-4 official-source validation</x:v>
      </x:c>
      <x:c r="H135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53" s="33" t="str">
        <x:v>P-4</x:v>
      </x:c>
      <x:c r="J1353" s="33" t="str">
        <x:v>2026-08-20</x:v>
      </x:c>
      <x:c r="K1353" s="33" t="str">
        <x:v>Provision IDs preserved; legal force and parentage corrected.</x:v>
      </x:c>
    </x:row>
    <x:row r="1354">
      <x:c r="A1354" s="33" t="str">
        <x:v>RPROV116</x:v>
      </x:c>
      <x:c r="B1354" s="33" t="str">
        <x:v>Provision Master</x:v>
      </x:c>
      <x:c r="C1354" s="33" t="str">
        <x:v>Law ID=LAW003; Provision Category=Operational; Statutory Reference=; Remarks=</x:v>
      </x:c>
      <x:c r="D135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54" s="33" t="str">
        <x:v>CORRECT / RECLASSIFY</x:v>
      </x:c>
      <x:c r="F1354" s="33" t="str">
        <x:v>Correct technical citations, remove false direct duties and reclassify non-statutory/entity controls.</x:v>
      </x:c>
      <x:c r="G1354" s="33" t="str">
        <x:v>P-4 official-source validation</x:v>
      </x:c>
      <x:c r="H135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54" s="33" t="str">
        <x:v>P-4</x:v>
      </x:c>
      <x:c r="J1354" s="33" t="str">
        <x:v>2026-08-20</x:v>
      </x:c>
      <x:c r="K1354" s="33" t="str">
        <x:v>Provision IDs preserved; legal force and parentage corrected.</x:v>
      </x:c>
    </x:row>
    <x:row r="1355">
      <x:c r="A1355" s="33" t="str">
        <x:v>RPROV117</x:v>
      </x:c>
      <x:c r="B1355" s="33" t="str">
        <x:v>Provision Master</x:v>
      </x:c>
      <x:c r="C1355" s="33" t="str">
        <x:v>Law ID=LAW001; Provision Category=Operational; Statutory Reference=; Remarks=</x:v>
      </x:c>
      <x:c r="D135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55" s="33" t="str">
        <x:v>CORRECT / RECLASSIFY</x:v>
      </x:c>
      <x:c r="F1355" s="33" t="str">
        <x:v>Correct technical citations, remove false direct duties and reclassify non-statutory/entity controls.</x:v>
      </x:c>
      <x:c r="G1355" s="33" t="str">
        <x:v>P-4 official-source validation</x:v>
      </x:c>
      <x:c r="H135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55" s="33" t="str">
        <x:v>P-4</x:v>
      </x:c>
      <x:c r="J1355" s="33" t="str">
        <x:v>2026-08-20</x:v>
      </x:c>
      <x:c r="K1355" s="33" t="str">
        <x:v>Provision IDs preserved; legal force and parentage corrected.</x:v>
      </x:c>
    </x:row>
    <x:row r="1356">
      <x:c r="A1356" s="33" t="str">
        <x:v>RPROV118</x:v>
      </x:c>
      <x:c r="B1356" s="33" t="str">
        <x:v>Provision Master</x:v>
      </x:c>
      <x:c r="C1356" s="33" t="str">
        <x:v>Law ID=LAW002; Provision Category=Operational; Statutory Reference=; Remarks=</x:v>
      </x:c>
      <x:c r="D135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56" s="33" t="str">
        <x:v>CORRECT / RECLASSIFY</x:v>
      </x:c>
      <x:c r="F1356" s="33" t="str">
        <x:v>Correct technical citations, remove false direct duties and reclassify non-statutory/entity controls.</x:v>
      </x:c>
      <x:c r="G1356" s="33" t="str">
        <x:v>P-4 official-source validation</x:v>
      </x:c>
      <x:c r="H135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56" s="33" t="str">
        <x:v>P-4</x:v>
      </x:c>
      <x:c r="J1356" s="33" t="str">
        <x:v>2026-08-20</x:v>
      </x:c>
      <x:c r="K1356" s="33" t="str">
        <x:v>Provision IDs preserved; legal force and parentage corrected.</x:v>
      </x:c>
    </x:row>
    <x:row r="1357">
      <x:c r="A1357" s="33" t="str">
        <x:v>RPROV119</x:v>
      </x:c>
      <x:c r="B1357" s="33" t="str">
        <x:v>Provision Master</x:v>
      </x:c>
      <x:c r="C1357" s="33" t="str">
        <x:v>Law ID=LAW004; Provision Category=Operational; Statutory Reference=; Remarks=</x:v>
      </x:c>
      <x:c r="D135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57" s="33" t="str">
        <x:v>CORRECT / RECLASSIFY</x:v>
      </x:c>
      <x:c r="F1357" s="33" t="str">
        <x:v>Correct technical citations, remove false direct duties and reclassify non-statutory/entity controls.</x:v>
      </x:c>
      <x:c r="G1357" s="33" t="str">
        <x:v>P-4 official-source validation</x:v>
      </x:c>
      <x:c r="H135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57" s="33" t="str">
        <x:v>P-4</x:v>
      </x:c>
      <x:c r="J1357" s="33" t="str">
        <x:v>2026-08-20</x:v>
      </x:c>
      <x:c r="K1357" s="33" t="str">
        <x:v>Provision IDs preserved; legal force and parentage corrected.</x:v>
      </x:c>
    </x:row>
    <x:row r="1358">
      <x:c r="A1358" s="33" t="str">
        <x:v>RPROV120</x:v>
      </x:c>
      <x:c r="B1358" s="33" t="str">
        <x:v>Provision Master</x:v>
      </x:c>
      <x:c r="C1358" s="33" t="str">
        <x:v>Law ID=LAW001; Provision Category=Operational; Statutory Reference=; Remarks=</x:v>
      </x:c>
      <x:c r="D135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58" s="33" t="str">
        <x:v>CORRECT / RECLASSIFY</x:v>
      </x:c>
      <x:c r="F1358" s="33" t="str">
        <x:v>Correct technical citations, remove false direct duties and reclassify non-statutory/entity controls.</x:v>
      </x:c>
      <x:c r="G1358" s="33" t="str">
        <x:v>P-4 official-source validation</x:v>
      </x:c>
      <x:c r="H135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58" s="33" t="str">
        <x:v>P-4</x:v>
      </x:c>
      <x:c r="J1358" s="33" t="str">
        <x:v>2026-08-20</x:v>
      </x:c>
      <x:c r="K1358" s="33" t="str">
        <x:v>Provision IDs preserved; legal force and parentage corrected.</x:v>
      </x:c>
    </x:row>
    <x:row r="1359">
      <x:c r="A1359" s="33" t="str">
        <x:v>RPROV121</x:v>
      </x:c>
      <x:c r="B1359" s="33" t="str">
        <x:v>Provision Master</x:v>
      </x:c>
      <x:c r="C1359" s="33" t="str">
        <x:v>Law ID=LAW001; Provision Category=Operational; Statutory Reference=; Remarks=</x:v>
      </x:c>
      <x:c r="D135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59" s="33" t="str">
        <x:v>CORRECT / RECLASSIFY</x:v>
      </x:c>
      <x:c r="F1359" s="33" t="str">
        <x:v>Correct technical citations, remove false direct duties and reclassify non-statutory/entity controls.</x:v>
      </x:c>
      <x:c r="G1359" s="33" t="str">
        <x:v>P-4 official-source validation</x:v>
      </x:c>
      <x:c r="H135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59" s="33" t="str">
        <x:v>P-4</x:v>
      </x:c>
      <x:c r="J1359" s="33" t="str">
        <x:v>2026-08-20</x:v>
      </x:c>
      <x:c r="K1359" s="33" t="str">
        <x:v>Provision IDs preserved; legal force and parentage corrected.</x:v>
      </x:c>
    </x:row>
    <x:row r="1360">
      <x:c r="A1360" s="33" t="str">
        <x:v>RPROV122</x:v>
      </x:c>
      <x:c r="B1360" s="33" t="str">
        <x:v>Provision Master</x:v>
      </x:c>
      <x:c r="C1360" s="33" t="str">
        <x:v>Law ID=LAW001; Provision Category=Operational; Statutory Reference=; Remarks=</x:v>
      </x:c>
      <x:c r="D136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60" s="33" t="str">
        <x:v>CORRECT / RECLASSIFY</x:v>
      </x:c>
      <x:c r="F1360" s="33" t="str">
        <x:v>Correct technical citations, remove false direct duties and reclassify non-statutory/entity controls.</x:v>
      </x:c>
      <x:c r="G1360" s="33" t="str">
        <x:v>P-4 official-source validation</x:v>
      </x:c>
      <x:c r="H136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60" s="33" t="str">
        <x:v>P-4</x:v>
      </x:c>
      <x:c r="J1360" s="33" t="str">
        <x:v>2026-08-20</x:v>
      </x:c>
      <x:c r="K1360" s="33" t="str">
        <x:v>Provision IDs preserved; legal force and parentage corrected.</x:v>
      </x:c>
    </x:row>
    <x:row r="1361">
      <x:c r="A1361" s="33" t="str">
        <x:v>RPROV123</x:v>
      </x:c>
      <x:c r="B1361" s="33" t="str">
        <x:v>Provision Master</x:v>
      </x:c>
      <x:c r="C1361" s="33" t="str">
        <x:v>Law ID=LAW002; Provision Category=Operational; Statutory Reference=; Remarks=</x:v>
      </x:c>
      <x:c r="D136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61" s="33" t="str">
        <x:v>CORRECT / RECLASSIFY</x:v>
      </x:c>
      <x:c r="F1361" s="33" t="str">
        <x:v>Correct technical citations, remove false direct duties and reclassify non-statutory/entity controls.</x:v>
      </x:c>
      <x:c r="G1361" s="33" t="str">
        <x:v>P-4 official-source validation</x:v>
      </x:c>
      <x:c r="H136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61" s="33" t="str">
        <x:v>P-4</x:v>
      </x:c>
      <x:c r="J1361" s="33" t="str">
        <x:v>2026-08-20</x:v>
      </x:c>
      <x:c r="K1361" s="33" t="str">
        <x:v>Provision IDs preserved; legal force and parentage corrected.</x:v>
      </x:c>
    </x:row>
    <x:row r="1362">
      <x:c r="A1362" s="33" t="str">
        <x:v>RPROV124</x:v>
      </x:c>
      <x:c r="B1362" s="33" t="str">
        <x:v>Provision Master</x:v>
      </x:c>
      <x:c r="C1362" s="33" t="str">
        <x:v>Law ID=LAW001; Provision Category=Operational; Statutory Reference=; Remarks=</x:v>
      </x:c>
      <x:c r="D136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62" s="33" t="str">
        <x:v>CORRECT / RECLASSIFY</x:v>
      </x:c>
      <x:c r="F1362" s="33" t="str">
        <x:v>Correct technical citations, remove false direct duties and reclassify non-statutory/entity controls.</x:v>
      </x:c>
      <x:c r="G1362" s="33" t="str">
        <x:v>P-4 official-source validation</x:v>
      </x:c>
      <x:c r="H136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62" s="33" t="str">
        <x:v>P-4</x:v>
      </x:c>
      <x:c r="J1362" s="33" t="str">
        <x:v>2026-08-20</x:v>
      </x:c>
      <x:c r="K1362" s="33" t="str">
        <x:v>Provision IDs preserved; legal force and parentage corrected.</x:v>
      </x:c>
    </x:row>
    <x:row r="1363">
      <x:c r="A1363" s="33" t="str">
        <x:v>RPROV125</x:v>
      </x:c>
      <x:c r="B1363" s="33" t="str">
        <x:v>Provision Master</x:v>
      </x:c>
      <x:c r="C1363" s="33" t="str">
        <x:v>Law ID=LAW001; Provision Category=Operational; Statutory Reference=; Remarks=</x:v>
      </x:c>
      <x:c r="D136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63" s="33" t="str">
        <x:v>CORRECT / RECLASSIFY</x:v>
      </x:c>
      <x:c r="F1363" s="33" t="str">
        <x:v>Correct technical citations, remove false direct duties and reclassify non-statutory/entity controls.</x:v>
      </x:c>
      <x:c r="G1363" s="33" t="str">
        <x:v>P-4 official-source validation</x:v>
      </x:c>
      <x:c r="H136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63" s="33" t="str">
        <x:v>P-4</x:v>
      </x:c>
      <x:c r="J1363" s="33" t="str">
        <x:v>2026-08-20</x:v>
      </x:c>
      <x:c r="K1363" s="33" t="str">
        <x:v>Provision IDs preserved; legal force and parentage corrected.</x:v>
      </x:c>
    </x:row>
    <x:row r="1364">
      <x:c r="A1364" s="33" t="str">
        <x:v>RPROV126</x:v>
      </x:c>
      <x:c r="B1364" s="33" t="str">
        <x:v>Provision Master</x:v>
      </x:c>
      <x:c r="C1364" s="33" t="str">
        <x:v>Law ID=LAW003; Provision Category=Operational; Statutory Reference=; Remarks=</x:v>
      </x:c>
      <x:c r="D136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64" s="33" t="str">
        <x:v>CORRECT / RECLASSIFY</x:v>
      </x:c>
      <x:c r="F1364" s="33" t="str">
        <x:v>Correct technical citations, remove false direct duties and reclassify non-statutory/entity controls.</x:v>
      </x:c>
      <x:c r="G1364" s="33" t="str">
        <x:v>P-4 official-source validation</x:v>
      </x:c>
      <x:c r="H136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64" s="33" t="str">
        <x:v>P-4</x:v>
      </x:c>
      <x:c r="J1364" s="33" t="str">
        <x:v>2026-08-20</x:v>
      </x:c>
      <x:c r="K1364" s="33" t="str">
        <x:v>Provision IDs preserved; legal force and parentage corrected.</x:v>
      </x:c>
    </x:row>
    <x:row r="1365">
      <x:c r="A1365" s="33" t="str">
        <x:v>RPROV127</x:v>
      </x:c>
      <x:c r="B1365" s="33" t="str">
        <x:v>Provision Master</x:v>
      </x:c>
      <x:c r="C1365" s="33" t="str">
        <x:v>Law ID=LAW001; Provision Category=Operational; Statutory Reference=; Remarks=</x:v>
      </x:c>
      <x:c r="D136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65" s="33" t="str">
        <x:v>CORRECT / RECLASSIFY</x:v>
      </x:c>
      <x:c r="F1365" s="33" t="str">
        <x:v>Correct technical citations, remove false direct duties and reclassify non-statutory/entity controls.</x:v>
      </x:c>
      <x:c r="G1365" s="33" t="str">
        <x:v>P-4 official-source validation</x:v>
      </x:c>
      <x:c r="H136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65" s="33" t="str">
        <x:v>P-4</x:v>
      </x:c>
      <x:c r="J1365" s="33" t="str">
        <x:v>2026-08-20</x:v>
      </x:c>
      <x:c r="K1365" s="33" t="str">
        <x:v>Provision IDs preserved; legal force and parentage corrected.</x:v>
      </x:c>
    </x:row>
    <x:row r="1366">
      <x:c r="A1366" s="33" t="str">
        <x:v>RPROV128</x:v>
      </x:c>
      <x:c r="B1366" s="33" t="str">
        <x:v>Provision Master</x:v>
      </x:c>
      <x:c r="C1366" s="33" t="str">
        <x:v>Law ID=LAW002; Provision Category=Operational; Statutory Reference=; Remarks=</x:v>
      </x:c>
      <x:c r="D136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66" s="33" t="str">
        <x:v>CORRECT / RECLASSIFY</x:v>
      </x:c>
      <x:c r="F1366" s="33" t="str">
        <x:v>Correct technical citations, remove false direct duties and reclassify non-statutory/entity controls.</x:v>
      </x:c>
      <x:c r="G1366" s="33" t="str">
        <x:v>P-4 official-source validation</x:v>
      </x:c>
      <x:c r="H136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66" s="33" t="str">
        <x:v>P-4</x:v>
      </x:c>
      <x:c r="J1366" s="33" t="str">
        <x:v>2026-08-20</x:v>
      </x:c>
      <x:c r="K1366" s="33" t="str">
        <x:v>Provision IDs preserved; legal force and parentage corrected.</x:v>
      </x:c>
    </x:row>
    <x:row r="1367">
      <x:c r="A1367" s="33" t="str">
        <x:v>RPROV129</x:v>
      </x:c>
      <x:c r="B1367" s="33" t="str">
        <x:v>Provision Master</x:v>
      </x:c>
      <x:c r="C1367" s="33" t="str">
        <x:v>Law ID=LAW004; Provision Category=Operational; Statutory Reference=; Remarks=</x:v>
      </x:c>
      <x:c r="D136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67" s="33" t="str">
        <x:v>CORRECT / RECLASSIFY</x:v>
      </x:c>
      <x:c r="F1367" s="33" t="str">
        <x:v>Correct technical citations, remove false direct duties and reclassify non-statutory/entity controls.</x:v>
      </x:c>
      <x:c r="G1367" s="33" t="str">
        <x:v>P-4 official-source validation</x:v>
      </x:c>
      <x:c r="H136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67" s="33" t="str">
        <x:v>P-4</x:v>
      </x:c>
      <x:c r="J1367" s="33" t="str">
        <x:v>2026-08-20</x:v>
      </x:c>
      <x:c r="K1367" s="33" t="str">
        <x:v>Provision IDs preserved; legal force and parentage corrected.</x:v>
      </x:c>
    </x:row>
    <x:row r="1368">
      <x:c r="A1368" s="33" t="str">
        <x:v>RPROV130</x:v>
      </x:c>
      <x:c r="B1368" s="33" t="str">
        <x:v>Provision Master</x:v>
      </x:c>
      <x:c r="C1368" s="33" t="str">
        <x:v>Law ID=LAW001; Provision Category=Operational; Statutory Reference=; Remarks=</x:v>
      </x:c>
      <x:c r="D136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68" s="33" t="str">
        <x:v>CORRECT / RECLASSIFY</x:v>
      </x:c>
      <x:c r="F1368" s="33" t="str">
        <x:v>Correct technical citations, remove false direct duties and reclassify non-statutory/entity controls.</x:v>
      </x:c>
      <x:c r="G1368" s="33" t="str">
        <x:v>P-4 official-source validation</x:v>
      </x:c>
      <x:c r="H136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68" s="33" t="str">
        <x:v>P-4</x:v>
      </x:c>
      <x:c r="J1368" s="33" t="str">
        <x:v>2026-08-20</x:v>
      </x:c>
      <x:c r="K1368" s="33" t="str">
        <x:v>Provision IDs preserved; legal force and parentage corrected.</x:v>
      </x:c>
    </x:row>
    <x:row r="1369">
      <x:c r="A1369" s="33" t="str">
        <x:v>RPROV131</x:v>
      </x:c>
      <x:c r="B1369" s="33" t="str">
        <x:v>Provision Master</x:v>
      </x:c>
      <x:c r="C1369" s="33" t="str">
        <x:v>Law ID=LAW001; Provision Category=Operational; Statutory Reference=; Remarks=</x:v>
      </x:c>
      <x:c r="D136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69" s="33" t="str">
        <x:v>CORRECT / RECLASSIFY</x:v>
      </x:c>
      <x:c r="F1369" s="33" t="str">
        <x:v>Correct technical citations, remove false direct duties and reclassify non-statutory/entity controls.</x:v>
      </x:c>
      <x:c r="G1369" s="33" t="str">
        <x:v>P-4 official-source validation</x:v>
      </x:c>
      <x:c r="H136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69" s="33" t="str">
        <x:v>P-4</x:v>
      </x:c>
      <x:c r="J1369" s="33" t="str">
        <x:v>2026-08-20</x:v>
      </x:c>
      <x:c r="K1369" s="33" t="str">
        <x:v>Provision IDs preserved; legal force and parentage corrected.</x:v>
      </x:c>
    </x:row>
    <x:row r="1370">
      <x:c r="A1370" s="33" t="str">
        <x:v>RPROV132</x:v>
      </x:c>
      <x:c r="B1370" s="33" t="str">
        <x:v>Provision Master</x:v>
      </x:c>
      <x:c r="C1370" s="33" t="str">
        <x:v>Law ID=LAW001; Provision Category=Operational; Statutory Reference=; Remarks=</x:v>
      </x:c>
      <x:c r="D137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70" s="33" t="str">
        <x:v>CORRECT / RECLASSIFY</x:v>
      </x:c>
      <x:c r="F1370" s="33" t="str">
        <x:v>Correct technical citations, remove false direct duties and reclassify non-statutory/entity controls.</x:v>
      </x:c>
      <x:c r="G1370" s="33" t="str">
        <x:v>P-4 official-source validation</x:v>
      </x:c>
      <x:c r="H137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70" s="33" t="str">
        <x:v>P-4</x:v>
      </x:c>
      <x:c r="J1370" s="33" t="str">
        <x:v>2026-08-20</x:v>
      </x:c>
      <x:c r="K1370" s="33" t="str">
        <x:v>Provision IDs preserved; legal force and parentage corrected.</x:v>
      </x:c>
    </x:row>
    <x:row r="1371">
      <x:c r="A1371" s="33" t="str">
        <x:v>RPROV133</x:v>
      </x:c>
      <x:c r="B1371" s="33" t="str">
        <x:v>Provision Master</x:v>
      </x:c>
      <x:c r="C1371" s="33" t="str">
        <x:v>Law ID=LAW002; Provision Category=Operational; Statutory Reference=; Remarks=</x:v>
      </x:c>
      <x:c r="D137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71" s="33" t="str">
        <x:v>CORRECT / RECLASSIFY</x:v>
      </x:c>
      <x:c r="F1371" s="33" t="str">
        <x:v>Correct technical citations, remove false direct duties and reclassify non-statutory/entity controls.</x:v>
      </x:c>
      <x:c r="G1371" s="33" t="str">
        <x:v>P-4 official-source validation</x:v>
      </x:c>
      <x:c r="H137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71" s="33" t="str">
        <x:v>P-4</x:v>
      </x:c>
      <x:c r="J1371" s="33" t="str">
        <x:v>2026-08-20</x:v>
      </x:c>
      <x:c r="K1371" s="33" t="str">
        <x:v>Provision IDs preserved; legal force and parentage corrected.</x:v>
      </x:c>
    </x:row>
    <x:row r="1372">
      <x:c r="A1372" s="33" t="str">
        <x:v>RPROV134</x:v>
      </x:c>
      <x:c r="B1372" s="33" t="str">
        <x:v>Provision Master</x:v>
      </x:c>
      <x:c r="C1372" s="33" t="str">
        <x:v>Law ID=LAW001; Provision Category=Operational; Statutory Reference=; Remarks=</x:v>
      </x:c>
      <x:c r="D137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72" s="33" t="str">
        <x:v>CORRECT / RECLASSIFY</x:v>
      </x:c>
      <x:c r="F1372" s="33" t="str">
        <x:v>Correct technical citations, remove false direct duties and reclassify non-statutory/entity controls.</x:v>
      </x:c>
      <x:c r="G1372" s="33" t="str">
        <x:v>P-4 official-source validation</x:v>
      </x:c>
      <x:c r="H137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72" s="33" t="str">
        <x:v>P-4</x:v>
      </x:c>
      <x:c r="J1372" s="33" t="str">
        <x:v>2026-08-20</x:v>
      </x:c>
      <x:c r="K1372" s="33" t="str">
        <x:v>Provision IDs preserved; legal force and parentage corrected.</x:v>
      </x:c>
    </x:row>
    <x:row r="1373">
      <x:c r="A1373" s="33" t="str">
        <x:v>RPROV135</x:v>
      </x:c>
      <x:c r="B1373" s="33" t="str">
        <x:v>Provision Master</x:v>
      </x:c>
      <x:c r="C1373" s="33" t="str">
        <x:v>Law ID=LAW001; Provision Category=Operational; Statutory Reference=; Remarks=</x:v>
      </x:c>
      <x:c r="D137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73" s="33" t="str">
        <x:v>CORRECT / RECLASSIFY</x:v>
      </x:c>
      <x:c r="F1373" s="33" t="str">
        <x:v>Correct technical citations, remove false direct duties and reclassify non-statutory/entity controls.</x:v>
      </x:c>
      <x:c r="G1373" s="33" t="str">
        <x:v>P-4 official-source validation</x:v>
      </x:c>
      <x:c r="H137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73" s="33" t="str">
        <x:v>P-4</x:v>
      </x:c>
      <x:c r="J1373" s="33" t="str">
        <x:v>2026-08-20</x:v>
      </x:c>
      <x:c r="K1373" s="33" t="str">
        <x:v>Provision IDs preserved; legal force and parentage corrected.</x:v>
      </x:c>
    </x:row>
    <x:row r="1374">
      <x:c r="A1374" s="33" t="str">
        <x:v>RPROV136</x:v>
      </x:c>
      <x:c r="B1374" s="33" t="str">
        <x:v>Provision Master</x:v>
      </x:c>
      <x:c r="C1374" s="33" t="str">
        <x:v>Law ID=LAW003; Provision Category=Operational; Statutory Reference=; Remarks=</x:v>
      </x:c>
      <x:c r="D137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74" s="33" t="str">
        <x:v>CORRECT / RECLASSIFY</x:v>
      </x:c>
      <x:c r="F1374" s="33" t="str">
        <x:v>Correct technical citations, remove false direct duties and reclassify non-statutory/entity controls.</x:v>
      </x:c>
      <x:c r="G1374" s="33" t="str">
        <x:v>P-4 official-source validation</x:v>
      </x:c>
      <x:c r="H137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74" s="33" t="str">
        <x:v>P-4</x:v>
      </x:c>
      <x:c r="J1374" s="33" t="str">
        <x:v>2026-08-20</x:v>
      </x:c>
      <x:c r="K1374" s="33" t="str">
        <x:v>Provision IDs preserved; legal force and parentage corrected.</x:v>
      </x:c>
    </x:row>
    <x:row r="1375">
      <x:c r="A1375" s="33" t="str">
        <x:v>RPROV137</x:v>
      </x:c>
      <x:c r="B1375" s="33" t="str">
        <x:v>Provision Master</x:v>
      </x:c>
      <x:c r="C1375" s="33" t="str">
        <x:v>Law ID=LAW001; Provision Category=Operational; Statutory Reference=; Remarks=</x:v>
      </x:c>
      <x:c r="D137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75" s="33" t="str">
        <x:v>CORRECT / RECLASSIFY</x:v>
      </x:c>
      <x:c r="F1375" s="33" t="str">
        <x:v>Correct technical citations, remove false direct duties and reclassify non-statutory/entity controls.</x:v>
      </x:c>
      <x:c r="G1375" s="33" t="str">
        <x:v>P-4 official-source validation</x:v>
      </x:c>
      <x:c r="H137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75" s="33" t="str">
        <x:v>P-4</x:v>
      </x:c>
      <x:c r="J1375" s="33" t="str">
        <x:v>2026-08-20</x:v>
      </x:c>
      <x:c r="K1375" s="33" t="str">
        <x:v>Provision IDs preserved; legal force and parentage corrected.</x:v>
      </x:c>
    </x:row>
    <x:row r="1376">
      <x:c r="A1376" s="33" t="str">
        <x:v>RPROV138</x:v>
      </x:c>
      <x:c r="B1376" s="33" t="str">
        <x:v>Provision Master</x:v>
      </x:c>
      <x:c r="C1376" s="33" t="str">
        <x:v>Law ID=LAW002; Provision Category=Operational; Statutory Reference=; Remarks=</x:v>
      </x:c>
      <x:c r="D137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76" s="33" t="str">
        <x:v>CORRECT / RECLASSIFY</x:v>
      </x:c>
      <x:c r="F1376" s="33" t="str">
        <x:v>Correct technical citations, remove false direct duties and reclassify non-statutory/entity controls.</x:v>
      </x:c>
      <x:c r="G1376" s="33" t="str">
        <x:v>P-4 official-source validation</x:v>
      </x:c>
      <x:c r="H137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76" s="33" t="str">
        <x:v>P-4</x:v>
      </x:c>
      <x:c r="J1376" s="33" t="str">
        <x:v>2026-08-20</x:v>
      </x:c>
      <x:c r="K1376" s="33" t="str">
        <x:v>Provision IDs preserved; legal force and parentage corrected.</x:v>
      </x:c>
    </x:row>
    <x:row r="1377">
      <x:c r="A1377" s="33" t="str">
        <x:v>RPROV139</x:v>
      </x:c>
      <x:c r="B1377" s="33" t="str">
        <x:v>Provision Master</x:v>
      </x:c>
      <x:c r="C1377" s="33" t="str">
        <x:v>Law ID=LAW004; Provision Category=Operational; Statutory Reference=; Remarks=</x:v>
      </x:c>
      <x:c r="D137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77" s="33" t="str">
        <x:v>CORRECT / RECLASSIFY</x:v>
      </x:c>
      <x:c r="F1377" s="33" t="str">
        <x:v>Correct technical citations, remove false direct duties and reclassify non-statutory/entity controls.</x:v>
      </x:c>
      <x:c r="G1377" s="33" t="str">
        <x:v>P-4 official-source validation</x:v>
      </x:c>
      <x:c r="H137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77" s="33" t="str">
        <x:v>P-4</x:v>
      </x:c>
      <x:c r="J1377" s="33" t="str">
        <x:v>2026-08-20</x:v>
      </x:c>
      <x:c r="K1377" s="33" t="str">
        <x:v>Provision IDs preserved; legal force and parentage corrected.</x:v>
      </x:c>
    </x:row>
    <x:row r="1378">
      <x:c r="A1378" s="33" t="str">
        <x:v>RPROV140</x:v>
      </x:c>
      <x:c r="B1378" s="33" t="str">
        <x:v>Provision Master</x:v>
      </x:c>
      <x:c r="C1378" s="33" t="str">
        <x:v>Law ID=LAW001; Provision Category=Operational; Statutory Reference=; Remarks=</x:v>
      </x:c>
      <x:c r="D137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78" s="33" t="str">
        <x:v>CORRECT / RECLASSIFY</x:v>
      </x:c>
      <x:c r="F1378" s="33" t="str">
        <x:v>Correct technical citations, remove false direct duties and reclassify non-statutory/entity controls.</x:v>
      </x:c>
      <x:c r="G1378" s="33" t="str">
        <x:v>P-4 official-source validation</x:v>
      </x:c>
      <x:c r="H137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78" s="33" t="str">
        <x:v>P-4</x:v>
      </x:c>
      <x:c r="J1378" s="33" t="str">
        <x:v>2026-08-20</x:v>
      </x:c>
      <x:c r="K1378" s="33" t="str">
        <x:v>Provision IDs preserved; legal force and parentage corrected.</x:v>
      </x:c>
    </x:row>
    <x:row r="1379">
      <x:c r="A1379" s="33" t="str">
        <x:v>RPROV141</x:v>
      </x:c>
      <x:c r="B1379" s="33" t="str">
        <x:v>Provision Master</x:v>
      </x:c>
      <x:c r="C1379" s="33" t="str">
        <x:v>Law ID=LAW001; Provision Category=Operational; Statutory Reference=; Remarks=</x:v>
      </x:c>
      <x:c r="D137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79" s="33" t="str">
        <x:v>CORRECT / RECLASSIFY</x:v>
      </x:c>
      <x:c r="F1379" s="33" t="str">
        <x:v>Correct technical citations, remove false direct duties and reclassify non-statutory/entity controls.</x:v>
      </x:c>
      <x:c r="G1379" s="33" t="str">
        <x:v>P-4 official-source validation</x:v>
      </x:c>
      <x:c r="H137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79" s="33" t="str">
        <x:v>P-4</x:v>
      </x:c>
      <x:c r="J1379" s="33" t="str">
        <x:v>2026-08-20</x:v>
      </x:c>
      <x:c r="K1379" s="33" t="str">
        <x:v>Provision IDs preserved; legal force and parentage corrected.</x:v>
      </x:c>
    </x:row>
    <x:row r="1380">
      <x:c r="A1380" s="33" t="str">
        <x:v>RPROV142</x:v>
      </x:c>
      <x:c r="B1380" s="33" t="str">
        <x:v>Provision Master</x:v>
      </x:c>
      <x:c r="C1380" s="33" t="str">
        <x:v>Law ID=LAW001; Provision Category=Operational; Statutory Reference=; Remarks=</x:v>
      </x:c>
      <x:c r="D138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80" s="33" t="str">
        <x:v>CORRECT / RECLASSIFY</x:v>
      </x:c>
      <x:c r="F1380" s="33" t="str">
        <x:v>Correct technical citations, remove false direct duties and reclassify non-statutory/entity controls.</x:v>
      </x:c>
      <x:c r="G1380" s="33" t="str">
        <x:v>P-4 official-source validation</x:v>
      </x:c>
      <x:c r="H138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80" s="33" t="str">
        <x:v>P-4</x:v>
      </x:c>
      <x:c r="J1380" s="33" t="str">
        <x:v>2026-08-20</x:v>
      </x:c>
      <x:c r="K1380" s="33" t="str">
        <x:v>Provision IDs preserved; legal force and parentage corrected.</x:v>
      </x:c>
    </x:row>
    <x:row r="1381">
      <x:c r="A1381" s="33" t="str">
        <x:v>RPROV143</x:v>
      </x:c>
      <x:c r="B1381" s="33" t="str">
        <x:v>Provision Master</x:v>
      </x:c>
      <x:c r="C1381" s="33" t="str">
        <x:v>Law ID=LAW002; Provision Category=Operational; Statutory Reference=; Remarks=</x:v>
      </x:c>
      <x:c r="D138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81" s="33" t="str">
        <x:v>CORRECT / RECLASSIFY</x:v>
      </x:c>
      <x:c r="F1381" s="33" t="str">
        <x:v>Correct technical citations, remove false direct duties and reclassify non-statutory/entity controls.</x:v>
      </x:c>
      <x:c r="G1381" s="33" t="str">
        <x:v>P-4 official-source validation</x:v>
      </x:c>
      <x:c r="H138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81" s="33" t="str">
        <x:v>P-4</x:v>
      </x:c>
      <x:c r="J1381" s="33" t="str">
        <x:v>2026-08-20</x:v>
      </x:c>
      <x:c r="K1381" s="33" t="str">
        <x:v>Provision IDs preserved; legal force and parentage corrected.</x:v>
      </x:c>
    </x:row>
    <x:row r="1382">
      <x:c r="A1382" s="33" t="str">
        <x:v>RPROV144</x:v>
      </x:c>
      <x:c r="B1382" s="33" t="str">
        <x:v>Provision Master</x:v>
      </x:c>
      <x:c r="C1382" s="33" t="str">
        <x:v>Law ID=LAW001; Provision Category=Operational; Statutory Reference=; Remarks=</x:v>
      </x:c>
      <x:c r="D138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82" s="33" t="str">
        <x:v>CORRECT / RECLASSIFY</x:v>
      </x:c>
      <x:c r="F1382" s="33" t="str">
        <x:v>Correct technical citations, remove false direct duties and reclassify non-statutory/entity controls.</x:v>
      </x:c>
      <x:c r="G1382" s="33" t="str">
        <x:v>P-4 official-source validation</x:v>
      </x:c>
      <x:c r="H138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82" s="33" t="str">
        <x:v>P-4</x:v>
      </x:c>
      <x:c r="J1382" s="33" t="str">
        <x:v>2026-08-20</x:v>
      </x:c>
      <x:c r="K1382" s="33" t="str">
        <x:v>Provision IDs preserved; legal force and parentage corrected.</x:v>
      </x:c>
    </x:row>
    <x:row r="1383">
      <x:c r="A1383" s="33" t="str">
        <x:v>RPROV145</x:v>
      </x:c>
      <x:c r="B1383" s="33" t="str">
        <x:v>Provision Master</x:v>
      </x:c>
      <x:c r="C1383" s="33" t="str">
        <x:v>Law ID=LAW001; Provision Category=Operational; Statutory Reference=; Remarks=</x:v>
      </x:c>
      <x:c r="D138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83" s="33" t="str">
        <x:v>CORRECT / RECLASSIFY</x:v>
      </x:c>
      <x:c r="F1383" s="33" t="str">
        <x:v>Correct technical citations, remove false direct duties and reclassify non-statutory/entity controls.</x:v>
      </x:c>
      <x:c r="G1383" s="33" t="str">
        <x:v>P-4 official-source validation</x:v>
      </x:c>
      <x:c r="H138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83" s="33" t="str">
        <x:v>P-4</x:v>
      </x:c>
      <x:c r="J1383" s="33" t="str">
        <x:v>2026-08-20</x:v>
      </x:c>
      <x:c r="K1383" s="33" t="str">
        <x:v>Provision IDs preserved; legal force and parentage corrected.</x:v>
      </x:c>
    </x:row>
    <x:row r="1384">
      <x:c r="A1384" s="33" t="str">
        <x:v>RPROV146</x:v>
      </x:c>
      <x:c r="B1384" s="33" t="str">
        <x:v>Provision Master</x:v>
      </x:c>
      <x:c r="C1384" s="33" t="str">
        <x:v>Law ID=LAW003; Provision Category=Operational; Statutory Reference=; Remarks=</x:v>
      </x:c>
      <x:c r="D138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84" s="33" t="str">
        <x:v>CORRECT / RECLASSIFY</x:v>
      </x:c>
      <x:c r="F1384" s="33" t="str">
        <x:v>Correct technical citations, remove false direct duties and reclassify non-statutory/entity controls.</x:v>
      </x:c>
      <x:c r="G1384" s="33" t="str">
        <x:v>P-4 official-source validation</x:v>
      </x:c>
      <x:c r="H138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84" s="33" t="str">
        <x:v>P-4</x:v>
      </x:c>
      <x:c r="J1384" s="33" t="str">
        <x:v>2026-08-20</x:v>
      </x:c>
      <x:c r="K1384" s="33" t="str">
        <x:v>Provision IDs preserved; legal force and parentage corrected.</x:v>
      </x:c>
    </x:row>
    <x:row r="1385">
      <x:c r="A1385" s="33" t="str">
        <x:v>RPROV147</x:v>
      </x:c>
      <x:c r="B1385" s="33" t="str">
        <x:v>Provision Master</x:v>
      </x:c>
      <x:c r="C1385" s="33" t="str">
        <x:v>Law ID=LAW001; Provision Category=Operational; Statutory Reference=; Remarks=</x:v>
      </x:c>
      <x:c r="D138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85" s="33" t="str">
        <x:v>CORRECT / RECLASSIFY</x:v>
      </x:c>
      <x:c r="F1385" s="33" t="str">
        <x:v>Correct technical citations, remove false direct duties and reclassify non-statutory/entity controls.</x:v>
      </x:c>
      <x:c r="G1385" s="33" t="str">
        <x:v>P-4 official-source validation</x:v>
      </x:c>
      <x:c r="H138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85" s="33" t="str">
        <x:v>P-4</x:v>
      </x:c>
      <x:c r="J1385" s="33" t="str">
        <x:v>2026-08-20</x:v>
      </x:c>
      <x:c r="K1385" s="33" t="str">
        <x:v>Provision IDs preserved; legal force and parentage corrected.</x:v>
      </x:c>
    </x:row>
    <x:row r="1386">
      <x:c r="A1386" s="33" t="str">
        <x:v>RPROV148</x:v>
      </x:c>
      <x:c r="B1386" s="33" t="str">
        <x:v>Provision Master</x:v>
      </x:c>
      <x:c r="C1386" s="33" t="str">
        <x:v>Law ID=LAW002; Provision Category=Operational; Statutory Reference=; Remarks=</x:v>
      </x:c>
      <x:c r="D138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86" s="33" t="str">
        <x:v>CORRECT / RECLASSIFY</x:v>
      </x:c>
      <x:c r="F1386" s="33" t="str">
        <x:v>Correct technical citations, remove false direct duties and reclassify non-statutory/entity controls.</x:v>
      </x:c>
      <x:c r="G1386" s="33" t="str">
        <x:v>P-4 official-source validation</x:v>
      </x:c>
      <x:c r="H138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86" s="33" t="str">
        <x:v>P-4</x:v>
      </x:c>
      <x:c r="J1386" s="33" t="str">
        <x:v>2026-08-20</x:v>
      </x:c>
      <x:c r="K1386" s="33" t="str">
        <x:v>Provision IDs preserved; legal force and parentage corrected.</x:v>
      </x:c>
    </x:row>
    <x:row r="1387">
      <x:c r="A1387" s="33" t="str">
        <x:v>RPROV149</x:v>
      </x:c>
      <x:c r="B1387" s="33" t="str">
        <x:v>Provision Master</x:v>
      </x:c>
      <x:c r="C1387" s="33" t="str">
        <x:v>Law ID=LAW004; Provision Category=Operational; Statutory Reference=; Remarks=</x:v>
      </x:c>
      <x:c r="D138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87" s="33" t="str">
        <x:v>CORRECT / RECLASSIFY</x:v>
      </x:c>
      <x:c r="F1387" s="33" t="str">
        <x:v>Correct technical citations, remove false direct duties and reclassify non-statutory/entity controls.</x:v>
      </x:c>
      <x:c r="G1387" s="33" t="str">
        <x:v>P-4 official-source validation</x:v>
      </x:c>
      <x:c r="H138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87" s="33" t="str">
        <x:v>P-4</x:v>
      </x:c>
      <x:c r="J1387" s="33" t="str">
        <x:v>2026-08-20</x:v>
      </x:c>
      <x:c r="K1387" s="33" t="str">
        <x:v>Provision IDs preserved; legal force and parentage corrected.</x:v>
      </x:c>
    </x:row>
    <x:row r="1388">
      <x:c r="A1388" s="33" t="str">
        <x:v>RPROV150</x:v>
      </x:c>
      <x:c r="B1388" s="33" t="str">
        <x:v>Provision Master</x:v>
      </x:c>
      <x:c r="C1388" s="33" t="str">
        <x:v>Law ID=LAW001; Provision Category=Operational; Statutory Reference=; Remarks=</x:v>
      </x:c>
      <x:c r="D138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88" s="33" t="str">
        <x:v>CORRECT / RECLASSIFY</x:v>
      </x:c>
      <x:c r="F1388" s="33" t="str">
        <x:v>Correct technical citations, remove false direct duties and reclassify non-statutory/entity controls.</x:v>
      </x:c>
      <x:c r="G1388" s="33" t="str">
        <x:v>P-4 official-source validation</x:v>
      </x:c>
      <x:c r="H138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88" s="33" t="str">
        <x:v>P-4</x:v>
      </x:c>
      <x:c r="J1388" s="33" t="str">
        <x:v>2026-08-20</x:v>
      </x:c>
      <x:c r="K1388" s="33" t="str">
        <x:v>Provision IDs preserved; legal force and parentage corrected.</x:v>
      </x:c>
    </x:row>
    <x:row r="1389">
      <x:c r="A1389" s="33" t="str">
        <x:v>RPROV151</x:v>
      </x:c>
      <x:c r="B1389" s="33" t="str">
        <x:v>Provision Master</x:v>
      </x:c>
      <x:c r="C1389" s="33" t="str">
        <x:v>Law ID=LAW001; Provision Category=Operational; Statutory Reference=; Remarks=</x:v>
      </x:c>
      <x:c r="D138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89" s="33" t="str">
        <x:v>CORRECT / RECLASSIFY</x:v>
      </x:c>
      <x:c r="F1389" s="33" t="str">
        <x:v>Correct technical citations, remove false direct duties and reclassify non-statutory/entity controls.</x:v>
      </x:c>
      <x:c r="G1389" s="33" t="str">
        <x:v>P-4 official-source validation</x:v>
      </x:c>
      <x:c r="H138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89" s="33" t="str">
        <x:v>P-4</x:v>
      </x:c>
      <x:c r="J1389" s="33" t="str">
        <x:v>2026-08-20</x:v>
      </x:c>
      <x:c r="K1389" s="33" t="str">
        <x:v>Provision IDs preserved; legal force and parentage corrected.</x:v>
      </x:c>
    </x:row>
    <x:row r="1390">
      <x:c r="A1390" s="33" t="str">
        <x:v>RPROV152</x:v>
      </x:c>
      <x:c r="B1390" s="33" t="str">
        <x:v>Provision Master</x:v>
      </x:c>
      <x:c r="C1390" s="33" t="str">
        <x:v>Law ID=LAW001; Provision Category=Operational; Statutory Reference=; Remarks=</x:v>
      </x:c>
      <x:c r="D139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90" s="33" t="str">
        <x:v>CORRECT / RECLASSIFY</x:v>
      </x:c>
      <x:c r="F1390" s="33" t="str">
        <x:v>Correct technical citations, remove false direct duties and reclassify non-statutory/entity controls.</x:v>
      </x:c>
      <x:c r="G1390" s="33" t="str">
        <x:v>P-4 official-source validation</x:v>
      </x:c>
      <x:c r="H139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90" s="33" t="str">
        <x:v>P-4</x:v>
      </x:c>
      <x:c r="J1390" s="33" t="str">
        <x:v>2026-08-20</x:v>
      </x:c>
      <x:c r="K1390" s="33" t="str">
        <x:v>Provision IDs preserved; legal force and parentage corrected.</x:v>
      </x:c>
    </x:row>
    <x:row r="1391">
      <x:c r="A1391" s="33" t="str">
        <x:v>RPROV153</x:v>
      </x:c>
      <x:c r="B1391" s="33" t="str">
        <x:v>Provision Master</x:v>
      </x:c>
      <x:c r="C1391" s="33" t="str">
        <x:v>Law ID=LAW002; Provision Category=Operational; Statutory Reference=; Remarks=</x:v>
      </x:c>
      <x:c r="D139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91" s="33" t="str">
        <x:v>CORRECT / RECLASSIFY</x:v>
      </x:c>
      <x:c r="F1391" s="33" t="str">
        <x:v>Correct technical citations, remove false direct duties and reclassify non-statutory/entity controls.</x:v>
      </x:c>
      <x:c r="G1391" s="33" t="str">
        <x:v>P-4 official-source validation</x:v>
      </x:c>
      <x:c r="H139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91" s="33" t="str">
        <x:v>P-4</x:v>
      </x:c>
      <x:c r="J1391" s="33" t="str">
        <x:v>2026-08-20</x:v>
      </x:c>
      <x:c r="K1391" s="33" t="str">
        <x:v>Provision IDs preserved; legal force and parentage corrected.</x:v>
      </x:c>
    </x:row>
    <x:row r="1392">
      <x:c r="A1392" s="33" t="str">
        <x:v>RPROV154</x:v>
      </x:c>
      <x:c r="B1392" s="33" t="str">
        <x:v>Provision Master</x:v>
      </x:c>
      <x:c r="C1392" s="33" t="str">
        <x:v>Law ID=LAW001; Provision Category=Operational; Statutory Reference=; Remarks=</x:v>
      </x:c>
      <x:c r="D139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92" s="33" t="str">
        <x:v>CORRECT / RECLASSIFY</x:v>
      </x:c>
      <x:c r="F1392" s="33" t="str">
        <x:v>Correct technical citations, remove false direct duties and reclassify non-statutory/entity controls.</x:v>
      </x:c>
      <x:c r="G1392" s="33" t="str">
        <x:v>P-4 official-source validation</x:v>
      </x:c>
      <x:c r="H139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92" s="33" t="str">
        <x:v>P-4</x:v>
      </x:c>
      <x:c r="J1392" s="33" t="str">
        <x:v>2026-08-20</x:v>
      </x:c>
      <x:c r="K1392" s="33" t="str">
        <x:v>Provision IDs preserved; legal force and parentage corrected.</x:v>
      </x:c>
    </x:row>
    <x:row r="1393">
      <x:c r="A1393" s="33" t="str">
        <x:v>RPROV155</x:v>
      </x:c>
      <x:c r="B1393" s="33" t="str">
        <x:v>Provision Master</x:v>
      </x:c>
      <x:c r="C1393" s="33" t="str">
        <x:v>Law ID=LAW001; Provision Category=Operational; Statutory Reference=; Remarks=</x:v>
      </x:c>
      <x:c r="D139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93" s="33" t="str">
        <x:v>CORRECT / RECLASSIFY</x:v>
      </x:c>
      <x:c r="F1393" s="33" t="str">
        <x:v>Correct technical citations, remove false direct duties and reclassify non-statutory/entity controls.</x:v>
      </x:c>
      <x:c r="G1393" s="33" t="str">
        <x:v>P-4 official-source validation</x:v>
      </x:c>
      <x:c r="H139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93" s="33" t="str">
        <x:v>P-4</x:v>
      </x:c>
      <x:c r="J1393" s="33" t="str">
        <x:v>2026-08-20</x:v>
      </x:c>
      <x:c r="K1393" s="33" t="str">
        <x:v>Provision IDs preserved; legal force and parentage corrected.</x:v>
      </x:c>
    </x:row>
    <x:row r="1394">
      <x:c r="A1394" s="33" t="str">
        <x:v>RPROV156</x:v>
      </x:c>
      <x:c r="B1394" s="33" t="str">
        <x:v>Provision Master</x:v>
      </x:c>
      <x:c r="C1394" s="33" t="str">
        <x:v>Law ID=LAW003; Provision Category=Operational; Statutory Reference=; Remarks=</x:v>
      </x:c>
      <x:c r="D139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94" s="33" t="str">
        <x:v>CORRECT / RECLASSIFY</x:v>
      </x:c>
      <x:c r="F1394" s="33" t="str">
        <x:v>Correct technical citations, remove false direct duties and reclassify non-statutory/entity controls.</x:v>
      </x:c>
      <x:c r="G1394" s="33" t="str">
        <x:v>P-4 official-source validation</x:v>
      </x:c>
      <x:c r="H139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94" s="33" t="str">
        <x:v>P-4</x:v>
      </x:c>
      <x:c r="J1394" s="33" t="str">
        <x:v>2026-08-20</x:v>
      </x:c>
      <x:c r="K1394" s="33" t="str">
        <x:v>Provision IDs preserved; legal force and parentage corrected.</x:v>
      </x:c>
    </x:row>
    <x:row r="1395">
      <x:c r="A1395" s="33" t="str">
        <x:v>RPROV157</x:v>
      </x:c>
      <x:c r="B1395" s="33" t="str">
        <x:v>Provision Master</x:v>
      </x:c>
      <x:c r="C1395" s="33" t="str">
        <x:v>Law ID=LAW001; Provision Category=Operational; Statutory Reference=; Remarks=</x:v>
      </x:c>
      <x:c r="D139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95" s="33" t="str">
        <x:v>CORRECT / RECLASSIFY</x:v>
      </x:c>
      <x:c r="F1395" s="33" t="str">
        <x:v>Correct technical citations, remove false direct duties and reclassify non-statutory/entity controls.</x:v>
      </x:c>
      <x:c r="G1395" s="33" t="str">
        <x:v>P-4 official-source validation</x:v>
      </x:c>
      <x:c r="H139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95" s="33" t="str">
        <x:v>P-4</x:v>
      </x:c>
      <x:c r="J1395" s="33" t="str">
        <x:v>2026-08-20</x:v>
      </x:c>
      <x:c r="K1395" s="33" t="str">
        <x:v>Provision IDs preserved; legal force and parentage corrected.</x:v>
      </x:c>
    </x:row>
    <x:row r="1396">
      <x:c r="A1396" s="33" t="str">
        <x:v>RPROV158</x:v>
      </x:c>
      <x:c r="B1396" s="33" t="str">
        <x:v>Provision Master</x:v>
      </x:c>
      <x:c r="C1396" s="33" t="str">
        <x:v>Law ID=LAW002; Provision Category=Operational; Statutory Reference=; Remarks=</x:v>
      </x:c>
      <x:c r="D139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96" s="33" t="str">
        <x:v>CORRECT / RECLASSIFY</x:v>
      </x:c>
      <x:c r="F1396" s="33" t="str">
        <x:v>Correct technical citations, remove false direct duties and reclassify non-statutory/entity controls.</x:v>
      </x:c>
      <x:c r="G1396" s="33" t="str">
        <x:v>P-4 official-source validation</x:v>
      </x:c>
      <x:c r="H139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96" s="33" t="str">
        <x:v>P-4</x:v>
      </x:c>
      <x:c r="J1396" s="33" t="str">
        <x:v>2026-08-20</x:v>
      </x:c>
      <x:c r="K1396" s="33" t="str">
        <x:v>Provision IDs preserved; legal force and parentage corrected.</x:v>
      </x:c>
    </x:row>
    <x:row r="1397">
      <x:c r="A1397" s="33" t="str">
        <x:v>RPROV159</x:v>
      </x:c>
      <x:c r="B1397" s="33" t="str">
        <x:v>Provision Master</x:v>
      </x:c>
      <x:c r="C1397" s="33" t="str">
        <x:v>Law ID=LAW004; Provision Category=Operational; Statutory Reference=; Remarks=</x:v>
      </x:c>
      <x:c r="D139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97" s="33" t="str">
        <x:v>CORRECT / RECLASSIFY</x:v>
      </x:c>
      <x:c r="F1397" s="33" t="str">
        <x:v>Correct technical citations, remove false direct duties and reclassify non-statutory/entity controls.</x:v>
      </x:c>
      <x:c r="G1397" s="33" t="str">
        <x:v>P-4 official-source validation</x:v>
      </x:c>
      <x:c r="H139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97" s="33" t="str">
        <x:v>P-4</x:v>
      </x:c>
      <x:c r="J1397" s="33" t="str">
        <x:v>2026-08-20</x:v>
      </x:c>
      <x:c r="K1397" s="33" t="str">
        <x:v>Provision IDs preserved; legal force and parentage corrected.</x:v>
      </x:c>
    </x:row>
    <x:row r="1398">
      <x:c r="A1398" s="33" t="str">
        <x:v>RPROV160</x:v>
      </x:c>
      <x:c r="B1398" s="33" t="str">
        <x:v>Provision Master</x:v>
      </x:c>
      <x:c r="C1398" s="33" t="str">
        <x:v>Law ID=LAW001; Provision Category=Operational; Statutory Reference=; Remarks=</x:v>
      </x:c>
      <x:c r="D139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98" s="33" t="str">
        <x:v>CORRECT / RECLASSIFY</x:v>
      </x:c>
      <x:c r="F1398" s="33" t="str">
        <x:v>Correct technical citations, remove false direct duties and reclassify non-statutory/entity controls.</x:v>
      </x:c>
      <x:c r="G1398" s="33" t="str">
        <x:v>P-4 official-source validation</x:v>
      </x:c>
      <x:c r="H139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98" s="33" t="str">
        <x:v>P-4</x:v>
      </x:c>
      <x:c r="J1398" s="33" t="str">
        <x:v>2026-08-20</x:v>
      </x:c>
      <x:c r="K1398" s="33" t="str">
        <x:v>Provision IDs preserved; legal force and parentage corrected.</x:v>
      </x:c>
    </x:row>
    <x:row r="1399">
      <x:c r="A1399" s="33" t="str">
        <x:v>RPROV161</x:v>
      </x:c>
      <x:c r="B1399" s="33" t="str">
        <x:v>Provision Master</x:v>
      </x:c>
      <x:c r="C1399" s="33" t="str">
        <x:v>Law ID=LAW001; Provision Category=Operational; Statutory Reference=; Remarks=</x:v>
      </x:c>
      <x:c r="D139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399" s="33" t="str">
        <x:v>CORRECT / RECLASSIFY</x:v>
      </x:c>
      <x:c r="F1399" s="33" t="str">
        <x:v>Correct technical citations, remove false direct duties and reclassify non-statutory/entity controls.</x:v>
      </x:c>
      <x:c r="G1399" s="33" t="str">
        <x:v>P-4 official-source validation</x:v>
      </x:c>
      <x:c r="H139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399" s="33" t="str">
        <x:v>P-4</x:v>
      </x:c>
      <x:c r="J1399" s="33" t="str">
        <x:v>2026-08-20</x:v>
      </x:c>
      <x:c r="K1399" s="33" t="str">
        <x:v>Provision IDs preserved; legal force and parentage corrected.</x:v>
      </x:c>
    </x:row>
    <x:row r="1400">
      <x:c r="A1400" s="33" t="str">
        <x:v>RPROV162</x:v>
      </x:c>
      <x:c r="B1400" s="33" t="str">
        <x:v>Provision Master</x:v>
      </x:c>
      <x:c r="C1400" s="33" t="str">
        <x:v>Law ID=LAW001; Provision Category=Operational; Statutory Reference=; Remarks=</x:v>
      </x:c>
      <x:c r="D140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00" s="33" t="str">
        <x:v>CORRECT / RECLASSIFY</x:v>
      </x:c>
      <x:c r="F1400" s="33" t="str">
        <x:v>Correct technical citations, remove false direct duties and reclassify non-statutory/entity controls.</x:v>
      </x:c>
      <x:c r="G1400" s="33" t="str">
        <x:v>P-4 official-source validation</x:v>
      </x:c>
      <x:c r="H140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00" s="33" t="str">
        <x:v>P-4</x:v>
      </x:c>
      <x:c r="J1400" s="33" t="str">
        <x:v>2026-08-20</x:v>
      </x:c>
      <x:c r="K1400" s="33" t="str">
        <x:v>Provision IDs preserved; legal force and parentage corrected.</x:v>
      </x:c>
    </x:row>
    <x:row r="1401">
      <x:c r="A1401" s="33" t="str">
        <x:v>RPROV163</x:v>
      </x:c>
      <x:c r="B1401" s="33" t="str">
        <x:v>Provision Master</x:v>
      </x:c>
      <x:c r="C1401" s="33" t="str">
        <x:v>Law ID=LAW002; Provision Category=Operational; Statutory Reference=; Remarks=</x:v>
      </x:c>
      <x:c r="D140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01" s="33" t="str">
        <x:v>CORRECT / RECLASSIFY</x:v>
      </x:c>
      <x:c r="F1401" s="33" t="str">
        <x:v>Correct technical citations, remove false direct duties and reclassify non-statutory/entity controls.</x:v>
      </x:c>
      <x:c r="G1401" s="33" t="str">
        <x:v>P-4 official-source validation</x:v>
      </x:c>
      <x:c r="H140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01" s="33" t="str">
        <x:v>P-4</x:v>
      </x:c>
      <x:c r="J1401" s="33" t="str">
        <x:v>2026-08-20</x:v>
      </x:c>
      <x:c r="K1401" s="33" t="str">
        <x:v>Provision IDs preserved; legal force and parentage corrected.</x:v>
      </x:c>
    </x:row>
    <x:row r="1402">
      <x:c r="A1402" s="33" t="str">
        <x:v>RPROV164</x:v>
      </x:c>
      <x:c r="B1402" s="33" t="str">
        <x:v>Provision Master</x:v>
      </x:c>
      <x:c r="C1402" s="33" t="str">
        <x:v>Law ID=LAW001; Provision Category=Operational; Statutory Reference=; Remarks=</x:v>
      </x:c>
      <x:c r="D140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02" s="33" t="str">
        <x:v>CORRECT / RECLASSIFY</x:v>
      </x:c>
      <x:c r="F1402" s="33" t="str">
        <x:v>Correct technical citations, remove false direct duties and reclassify non-statutory/entity controls.</x:v>
      </x:c>
      <x:c r="G1402" s="33" t="str">
        <x:v>P-4 official-source validation</x:v>
      </x:c>
      <x:c r="H140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02" s="33" t="str">
        <x:v>P-4</x:v>
      </x:c>
      <x:c r="J1402" s="33" t="str">
        <x:v>2026-08-20</x:v>
      </x:c>
      <x:c r="K1402" s="33" t="str">
        <x:v>Provision IDs preserved; legal force and parentage corrected.</x:v>
      </x:c>
    </x:row>
    <x:row r="1403">
      <x:c r="A1403" s="33" t="str">
        <x:v>RPROV165</x:v>
      </x:c>
      <x:c r="B1403" s="33" t="str">
        <x:v>Provision Master</x:v>
      </x:c>
      <x:c r="C1403" s="33" t="str">
        <x:v>Law ID=LAW001; Provision Category=Operational; Statutory Reference=; Remarks=</x:v>
      </x:c>
      <x:c r="D140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03" s="33" t="str">
        <x:v>CORRECT / RECLASSIFY</x:v>
      </x:c>
      <x:c r="F1403" s="33" t="str">
        <x:v>Correct technical citations, remove false direct duties and reclassify non-statutory/entity controls.</x:v>
      </x:c>
      <x:c r="G1403" s="33" t="str">
        <x:v>P-4 official-source validation</x:v>
      </x:c>
      <x:c r="H140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03" s="33" t="str">
        <x:v>P-4</x:v>
      </x:c>
      <x:c r="J1403" s="33" t="str">
        <x:v>2026-08-20</x:v>
      </x:c>
      <x:c r="K1403" s="33" t="str">
        <x:v>Provision IDs preserved; legal force and parentage corrected.</x:v>
      </x:c>
    </x:row>
    <x:row r="1404">
      <x:c r="A1404" s="33" t="str">
        <x:v>RPROV166</x:v>
      </x:c>
      <x:c r="B1404" s="33" t="str">
        <x:v>Provision Master</x:v>
      </x:c>
      <x:c r="C1404" s="33" t="str">
        <x:v>Law ID=LAW003; Provision Category=Operational; Statutory Reference=; Remarks=</x:v>
      </x:c>
      <x:c r="D140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04" s="33" t="str">
        <x:v>CORRECT / RECLASSIFY</x:v>
      </x:c>
      <x:c r="F1404" s="33" t="str">
        <x:v>Correct technical citations, remove false direct duties and reclassify non-statutory/entity controls.</x:v>
      </x:c>
      <x:c r="G1404" s="33" t="str">
        <x:v>P-4 official-source validation</x:v>
      </x:c>
      <x:c r="H140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04" s="33" t="str">
        <x:v>P-4</x:v>
      </x:c>
      <x:c r="J1404" s="33" t="str">
        <x:v>2026-08-20</x:v>
      </x:c>
      <x:c r="K1404" s="33" t="str">
        <x:v>Provision IDs preserved; legal force and parentage corrected.</x:v>
      </x:c>
    </x:row>
    <x:row r="1405">
      <x:c r="A1405" s="33" t="str">
        <x:v>RPROV167</x:v>
      </x:c>
      <x:c r="B1405" s="33" t="str">
        <x:v>Provision Master</x:v>
      </x:c>
      <x:c r="C1405" s="33" t="str">
        <x:v>Law ID=LAW001; Provision Category=Operational; Statutory Reference=; Remarks=</x:v>
      </x:c>
      <x:c r="D140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05" s="33" t="str">
        <x:v>CORRECT / RECLASSIFY</x:v>
      </x:c>
      <x:c r="F1405" s="33" t="str">
        <x:v>Correct technical citations, remove false direct duties and reclassify non-statutory/entity controls.</x:v>
      </x:c>
      <x:c r="G1405" s="33" t="str">
        <x:v>P-4 official-source validation</x:v>
      </x:c>
      <x:c r="H140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05" s="33" t="str">
        <x:v>P-4</x:v>
      </x:c>
      <x:c r="J1405" s="33" t="str">
        <x:v>2026-08-20</x:v>
      </x:c>
      <x:c r="K1405" s="33" t="str">
        <x:v>Provision IDs preserved; legal force and parentage corrected.</x:v>
      </x:c>
    </x:row>
    <x:row r="1406">
      <x:c r="A1406" s="33" t="str">
        <x:v>RPROV168</x:v>
      </x:c>
      <x:c r="B1406" s="33" t="str">
        <x:v>Provision Master</x:v>
      </x:c>
      <x:c r="C1406" s="33" t="str">
        <x:v>Law ID=LAW002; Provision Category=Operational; Statutory Reference=; Remarks=</x:v>
      </x:c>
      <x:c r="D140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06" s="33" t="str">
        <x:v>CORRECT / RECLASSIFY</x:v>
      </x:c>
      <x:c r="F1406" s="33" t="str">
        <x:v>Correct technical citations, remove false direct duties and reclassify non-statutory/entity controls.</x:v>
      </x:c>
      <x:c r="G1406" s="33" t="str">
        <x:v>P-4 official-source validation</x:v>
      </x:c>
      <x:c r="H140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06" s="33" t="str">
        <x:v>P-4</x:v>
      </x:c>
      <x:c r="J1406" s="33" t="str">
        <x:v>2026-08-20</x:v>
      </x:c>
      <x:c r="K1406" s="33" t="str">
        <x:v>Provision IDs preserved; legal force and parentage corrected.</x:v>
      </x:c>
    </x:row>
    <x:row r="1407">
      <x:c r="A1407" s="33" t="str">
        <x:v>RPROV169</x:v>
      </x:c>
      <x:c r="B1407" s="33" t="str">
        <x:v>Provision Master</x:v>
      </x:c>
      <x:c r="C1407" s="33" t="str">
        <x:v>Law ID=LAW004; Provision Category=Operational; Statutory Reference=; Remarks=</x:v>
      </x:c>
      <x:c r="D140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07" s="33" t="str">
        <x:v>CORRECT / RECLASSIFY</x:v>
      </x:c>
      <x:c r="F1407" s="33" t="str">
        <x:v>Correct technical citations, remove false direct duties and reclassify non-statutory/entity controls.</x:v>
      </x:c>
      <x:c r="G1407" s="33" t="str">
        <x:v>P-4 official-source validation</x:v>
      </x:c>
      <x:c r="H140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07" s="33" t="str">
        <x:v>P-4</x:v>
      </x:c>
      <x:c r="J1407" s="33" t="str">
        <x:v>2026-08-20</x:v>
      </x:c>
      <x:c r="K1407" s="33" t="str">
        <x:v>Provision IDs preserved; legal force and parentage corrected.</x:v>
      </x:c>
    </x:row>
    <x:row r="1408">
      <x:c r="A1408" s="33" t="str">
        <x:v>RPROV170</x:v>
      </x:c>
      <x:c r="B1408" s="33" t="str">
        <x:v>Provision Master</x:v>
      </x:c>
      <x:c r="C1408" s="33" t="str">
        <x:v>Law ID=LAW001; Provision Category=Operational; Statutory Reference=; Remarks=</x:v>
      </x:c>
      <x:c r="D140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08" s="33" t="str">
        <x:v>CORRECT / RECLASSIFY</x:v>
      </x:c>
      <x:c r="F1408" s="33" t="str">
        <x:v>Correct technical citations, remove false direct duties and reclassify non-statutory/entity controls.</x:v>
      </x:c>
      <x:c r="G1408" s="33" t="str">
        <x:v>P-4 official-source validation</x:v>
      </x:c>
      <x:c r="H140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08" s="33" t="str">
        <x:v>P-4</x:v>
      </x:c>
      <x:c r="J1408" s="33" t="str">
        <x:v>2026-08-20</x:v>
      </x:c>
      <x:c r="K1408" s="33" t="str">
        <x:v>Provision IDs preserved; legal force and parentage corrected.</x:v>
      </x:c>
    </x:row>
    <x:row r="1409">
      <x:c r="A1409" s="33" t="str">
        <x:v>RPROV171</x:v>
      </x:c>
      <x:c r="B1409" s="33" t="str">
        <x:v>Provision Master</x:v>
      </x:c>
      <x:c r="C1409" s="33" t="str">
        <x:v>Law ID=LAW001; Provision Category=Operational; Statutory Reference=; Remarks=</x:v>
      </x:c>
      <x:c r="D140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09" s="33" t="str">
        <x:v>CORRECT / RECLASSIFY</x:v>
      </x:c>
      <x:c r="F1409" s="33" t="str">
        <x:v>Correct technical citations, remove false direct duties and reclassify non-statutory/entity controls.</x:v>
      </x:c>
      <x:c r="G1409" s="33" t="str">
        <x:v>P-4 official-source validation</x:v>
      </x:c>
      <x:c r="H140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09" s="33" t="str">
        <x:v>P-4</x:v>
      </x:c>
      <x:c r="J1409" s="33" t="str">
        <x:v>2026-08-20</x:v>
      </x:c>
      <x:c r="K1409" s="33" t="str">
        <x:v>Provision IDs preserved; legal force and parentage corrected.</x:v>
      </x:c>
    </x:row>
    <x:row r="1410">
      <x:c r="A1410" s="33" t="str">
        <x:v>RPROV172</x:v>
      </x:c>
      <x:c r="B1410" s="33" t="str">
        <x:v>Provision Master</x:v>
      </x:c>
      <x:c r="C1410" s="33" t="str">
        <x:v>Law ID=LAW001; Provision Category=Operational; Statutory Reference=; Remarks=</x:v>
      </x:c>
      <x:c r="D141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10" s="33" t="str">
        <x:v>CORRECT / RECLASSIFY</x:v>
      </x:c>
      <x:c r="F1410" s="33" t="str">
        <x:v>Correct technical citations, remove false direct duties and reclassify non-statutory/entity controls.</x:v>
      </x:c>
      <x:c r="G1410" s="33" t="str">
        <x:v>P-4 official-source validation</x:v>
      </x:c>
      <x:c r="H141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10" s="33" t="str">
        <x:v>P-4</x:v>
      </x:c>
      <x:c r="J1410" s="33" t="str">
        <x:v>2026-08-20</x:v>
      </x:c>
      <x:c r="K1410" s="33" t="str">
        <x:v>Provision IDs preserved; legal force and parentage corrected.</x:v>
      </x:c>
    </x:row>
    <x:row r="1411">
      <x:c r="A1411" s="33" t="str">
        <x:v>RPROV173</x:v>
      </x:c>
      <x:c r="B1411" s="33" t="str">
        <x:v>Provision Master</x:v>
      </x:c>
      <x:c r="C1411" s="33" t="str">
        <x:v>Law ID=LAW002; Provision Category=Operational; Statutory Reference=; Remarks=</x:v>
      </x:c>
      <x:c r="D141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11" s="33" t="str">
        <x:v>CORRECT / RECLASSIFY</x:v>
      </x:c>
      <x:c r="F1411" s="33" t="str">
        <x:v>Correct technical citations, remove false direct duties and reclassify non-statutory/entity controls.</x:v>
      </x:c>
      <x:c r="G1411" s="33" t="str">
        <x:v>P-4 official-source validation</x:v>
      </x:c>
      <x:c r="H141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11" s="33" t="str">
        <x:v>P-4</x:v>
      </x:c>
      <x:c r="J1411" s="33" t="str">
        <x:v>2026-08-20</x:v>
      </x:c>
      <x:c r="K1411" s="33" t="str">
        <x:v>Provision IDs preserved; legal force and parentage corrected.</x:v>
      </x:c>
    </x:row>
    <x:row r="1412">
      <x:c r="A1412" s="33" t="str">
        <x:v>RPROV174</x:v>
      </x:c>
      <x:c r="B1412" s="33" t="str">
        <x:v>Provision Master</x:v>
      </x:c>
      <x:c r="C1412" s="33" t="str">
        <x:v>Law ID=LAW001; Provision Category=Operational; Statutory Reference=; Remarks=</x:v>
      </x:c>
      <x:c r="D141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12" s="33" t="str">
        <x:v>CORRECT / RECLASSIFY</x:v>
      </x:c>
      <x:c r="F1412" s="33" t="str">
        <x:v>Correct technical citations, remove false direct duties and reclassify non-statutory/entity controls.</x:v>
      </x:c>
      <x:c r="G1412" s="33" t="str">
        <x:v>P-4 official-source validation</x:v>
      </x:c>
      <x:c r="H141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12" s="33" t="str">
        <x:v>P-4</x:v>
      </x:c>
      <x:c r="J1412" s="33" t="str">
        <x:v>2026-08-20</x:v>
      </x:c>
      <x:c r="K1412" s="33" t="str">
        <x:v>Provision IDs preserved; legal force and parentage corrected.</x:v>
      </x:c>
    </x:row>
    <x:row r="1413">
      <x:c r="A1413" s="33" t="str">
        <x:v>RPROV175</x:v>
      </x:c>
      <x:c r="B1413" s="33" t="str">
        <x:v>Provision Master</x:v>
      </x:c>
      <x:c r="C1413" s="33" t="str">
        <x:v>Law ID=LAW001; Provision Category=Operational; Statutory Reference=; Remarks=</x:v>
      </x:c>
      <x:c r="D141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13" s="33" t="str">
        <x:v>CORRECT / RECLASSIFY</x:v>
      </x:c>
      <x:c r="F1413" s="33" t="str">
        <x:v>Correct technical citations, remove false direct duties and reclassify non-statutory/entity controls.</x:v>
      </x:c>
      <x:c r="G1413" s="33" t="str">
        <x:v>P-4 official-source validation</x:v>
      </x:c>
      <x:c r="H141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13" s="33" t="str">
        <x:v>P-4</x:v>
      </x:c>
      <x:c r="J1413" s="33" t="str">
        <x:v>2026-08-20</x:v>
      </x:c>
      <x:c r="K1413" s="33" t="str">
        <x:v>Provision IDs preserved; legal force and parentage corrected.</x:v>
      </x:c>
    </x:row>
    <x:row r="1414">
      <x:c r="A1414" s="33" t="str">
        <x:v>RPROV176</x:v>
      </x:c>
      <x:c r="B1414" s="33" t="str">
        <x:v>Provision Master</x:v>
      </x:c>
      <x:c r="C1414" s="33" t="str">
        <x:v>Law ID=LAW003; Provision Category=Operational; Statutory Reference=; Remarks=</x:v>
      </x:c>
      <x:c r="D141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14" s="33" t="str">
        <x:v>CORRECT / RECLASSIFY</x:v>
      </x:c>
      <x:c r="F1414" s="33" t="str">
        <x:v>Correct technical citations, remove false direct duties and reclassify non-statutory/entity controls.</x:v>
      </x:c>
      <x:c r="G1414" s="33" t="str">
        <x:v>P-4 official-source validation</x:v>
      </x:c>
      <x:c r="H141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14" s="33" t="str">
        <x:v>P-4</x:v>
      </x:c>
      <x:c r="J1414" s="33" t="str">
        <x:v>2026-08-20</x:v>
      </x:c>
      <x:c r="K1414" s="33" t="str">
        <x:v>Provision IDs preserved; legal force and parentage corrected.</x:v>
      </x:c>
    </x:row>
    <x:row r="1415">
      <x:c r="A1415" s="33" t="str">
        <x:v>RPROV177</x:v>
      </x:c>
      <x:c r="B1415" s="33" t="str">
        <x:v>Provision Master</x:v>
      </x:c>
      <x:c r="C1415" s="33" t="str">
        <x:v>Law ID=LAW001; Provision Category=Operational; Statutory Reference=; Remarks=</x:v>
      </x:c>
      <x:c r="D141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15" s="33" t="str">
        <x:v>CORRECT / RECLASSIFY</x:v>
      </x:c>
      <x:c r="F1415" s="33" t="str">
        <x:v>Correct technical citations, remove false direct duties and reclassify non-statutory/entity controls.</x:v>
      </x:c>
      <x:c r="G1415" s="33" t="str">
        <x:v>P-4 official-source validation</x:v>
      </x:c>
      <x:c r="H141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15" s="33" t="str">
        <x:v>P-4</x:v>
      </x:c>
      <x:c r="J1415" s="33" t="str">
        <x:v>2026-08-20</x:v>
      </x:c>
      <x:c r="K1415" s="33" t="str">
        <x:v>Provision IDs preserved; legal force and parentage corrected.</x:v>
      </x:c>
    </x:row>
    <x:row r="1416">
      <x:c r="A1416" s="33" t="str">
        <x:v>RPROV178</x:v>
      </x:c>
      <x:c r="B1416" s="33" t="str">
        <x:v>Provision Master</x:v>
      </x:c>
      <x:c r="C1416" s="33" t="str">
        <x:v>Law ID=LAW002; Provision Category=Operational; Statutory Reference=; Remarks=</x:v>
      </x:c>
      <x:c r="D141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16" s="33" t="str">
        <x:v>CORRECT / RECLASSIFY</x:v>
      </x:c>
      <x:c r="F1416" s="33" t="str">
        <x:v>Correct technical citations, remove false direct duties and reclassify non-statutory/entity controls.</x:v>
      </x:c>
      <x:c r="G1416" s="33" t="str">
        <x:v>P-4 official-source validation</x:v>
      </x:c>
      <x:c r="H141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16" s="33" t="str">
        <x:v>P-4</x:v>
      </x:c>
      <x:c r="J1416" s="33" t="str">
        <x:v>2026-08-20</x:v>
      </x:c>
      <x:c r="K1416" s="33" t="str">
        <x:v>Provision IDs preserved; legal force and parentage corrected.</x:v>
      </x:c>
    </x:row>
    <x:row r="1417">
      <x:c r="A1417" s="33" t="str">
        <x:v>RPROV179</x:v>
      </x:c>
      <x:c r="B1417" s="33" t="str">
        <x:v>Provision Master</x:v>
      </x:c>
      <x:c r="C1417" s="33" t="str">
        <x:v>Law ID=LAW004; Provision Category=Operational; Statutory Reference=; Remarks=</x:v>
      </x:c>
      <x:c r="D141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17" s="33" t="str">
        <x:v>CORRECT / RECLASSIFY</x:v>
      </x:c>
      <x:c r="F1417" s="33" t="str">
        <x:v>Correct technical citations, remove false direct duties and reclassify non-statutory/entity controls.</x:v>
      </x:c>
      <x:c r="G1417" s="33" t="str">
        <x:v>P-4 official-source validation</x:v>
      </x:c>
      <x:c r="H141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17" s="33" t="str">
        <x:v>P-4</x:v>
      </x:c>
      <x:c r="J1417" s="33" t="str">
        <x:v>2026-08-20</x:v>
      </x:c>
      <x:c r="K1417" s="33" t="str">
        <x:v>Provision IDs preserved; legal force and parentage corrected.</x:v>
      </x:c>
    </x:row>
    <x:row r="1418">
      <x:c r="A1418" s="33" t="str">
        <x:v>RPROV180</x:v>
      </x:c>
      <x:c r="B1418" s="33" t="str">
        <x:v>Provision Master</x:v>
      </x:c>
      <x:c r="C1418" s="33" t="str">
        <x:v>Law ID=LAW001; Provision Category=Operational; Statutory Reference=; Remarks=</x:v>
      </x:c>
      <x:c r="D141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18" s="33" t="str">
        <x:v>CORRECT / RECLASSIFY</x:v>
      </x:c>
      <x:c r="F1418" s="33" t="str">
        <x:v>Correct technical citations, remove false direct duties and reclassify non-statutory/entity controls.</x:v>
      </x:c>
      <x:c r="G1418" s="33" t="str">
        <x:v>P-4 official-source validation</x:v>
      </x:c>
      <x:c r="H141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18" s="33" t="str">
        <x:v>P-4</x:v>
      </x:c>
      <x:c r="J1418" s="33" t="str">
        <x:v>2026-08-20</x:v>
      </x:c>
      <x:c r="K1418" s="33" t="str">
        <x:v>Provision IDs preserved; legal force and parentage corrected.</x:v>
      </x:c>
    </x:row>
    <x:row r="1419">
      <x:c r="A1419" s="33" t="str">
        <x:v>RPROV181</x:v>
      </x:c>
      <x:c r="B1419" s="33" t="str">
        <x:v>Provision Master</x:v>
      </x:c>
      <x:c r="C1419" s="33" t="str">
        <x:v>Law ID=LAW001; Provision Category=Operational; Statutory Reference=; Remarks=</x:v>
      </x:c>
      <x:c r="D141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19" s="33" t="str">
        <x:v>CORRECT / RECLASSIFY</x:v>
      </x:c>
      <x:c r="F1419" s="33" t="str">
        <x:v>Correct technical citations, remove false direct duties and reclassify non-statutory/entity controls.</x:v>
      </x:c>
      <x:c r="G1419" s="33" t="str">
        <x:v>P-4 official-source validation</x:v>
      </x:c>
      <x:c r="H141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19" s="33" t="str">
        <x:v>P-4</x:v>
      </x:c>
      <x:c r="J1419" s="33" t="str">
        <x:v>2026-08-20</x:v>
      </x:c>
      <x:c r="K1419" s="33" t="str">
        <x:v>Provision IDs preserved; legal force and parentage corrected.</x:v>
      </x:c>
    </x:row>
    <x:row r="1420">
      <x:c r="A1420" s="33" t="str">
        <x:v>RPROV182</x:v>
      </x:c>
      <x:c r="B1420" s="33" t="str">
        <x:v>Provision Master</x:v>
      </x:c>
      <x:c r="C1420" s="33" t="str">
        <x:v>Law ID=LAW001; Provision Category=Operational; Statutory Reference=; Remarks=</x:v>
      </x:c>
      <x:c r="D142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20" s="33" t="str">
        <x:v>CORRECT / RECLASSIFY</x:v>
      </x:c>
      <x:c r="F1420" s="33" t="str">
        <x:v>Correct technical citations, remove false direct duties and reclassify non-statutory/entity controls.</x:v>
      </x:c>
      <x:c r="G1420" s="33" t="str">
        <x:v>P-4 official-source validation</x:v>
      </x:c>
      <x:c r="H142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20" s="33" t="str">
        <x:v>P-4</x:v>
      </x:c>
      <x:c r="J1420" s="33" t="str">
        <x:v>2026-08-20</x:v>
      </x:c>
      <x:c r="K1420" s="33" t="str">
        <x:v>Provision IDs preserved; legal force and parentage corrected.</x:v>
      </x:c>
    </x:row>
    <x:row r="1421">
      <x:c r="A1421" s="33" t="str">
        <x:v>RPROV183</x:v>
      </x:c>
      <x:c r="B1421" s="33" t="str">
        <x:v>Provision Master</x:v>
      </x:c>
      <x:c r="C1421" s="33" t="str">
        <x:v>Law ID=LAW002; Provision Category=Operational; Statutory Reference=; Remarks=</x:v>
      </x:c>
      <x:c r="D142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21" s="33" t="str">
        <x:v>CORRECT / RECLASSIFY</x:v>
      </x:c>
      <x:c r="F1421" s="33" t="str">
        <x:v>Correct technical citations, remove false direct duties and reclassify non-statutory/entity controls.</x:v>
      </x:c>
      <x:c r="G1421" s="33" t="str">
        <x:v>P-4 official-source validation</x:v>
      </x:c>
      <x:c r="H142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21" s="33" t="str">
        <x:v>P-4</x:v>
      </x:c>
      <x:c r="J1421" s="33" t="str">
        <x:v>2026-08-20</x:v>
      </x:c>
      <x:c r="K1421" s="33" t="str">
        <x:v>Provision IDs preserved; legal force and parentage corrected.</x:v>
      </x:c>
    </x:row>
    <x:row r="1422">
      <x:c r="A1422" s="33" t="str">
        <x:v>RPROV184</x:v>
      </x:c>
      <x:c r="B1422" s="33" t="str">
        <x:v>Provision Master</x:v>
      </x:c>
      <x:c r="C1422" s="33" t="str">
        <x:v>Law ID=LAW001; Provision Category=Operational; Statutory Reference=; Remarks=</x:v>
      </x:c>
      <x:c r="D142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22" s="33" t="str">
        <x:v>CORRECT / RECLASSIFY</x:v>
      </x:c>
      <x:c r="F1422" s="33" t="str">
        <x:v>Correct technical citations, remove false direct duties and reclassify non-statutory/entity controls.</x:v>
      </x:c>
      <x:c r="G1422" s="33" t="str">
        <x:v>P-4 official-source validation</x:v>
      </x:c>
      <x:c r="H142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22" s="33" t="str">
        <x:v>P-4</x:v>
      </x:c>
      <x:c r="J1422" s="33" t="str">
        <x:v>2026-08-20</x:v>
      </x:c>
      <x:c r="K1422" s="33" t="str">
        <x:v>Provision IDs preserved; legal force and parentage corrected.</x:v>
      </x:c>
    </x:row>
    <x:row r="1423">
      <x:c r="A1423" s="33" t="str">
        <x:v>RPROV185</x:v>
      </x:c>
      <x:c r="B1423" s="33" t="str">
        <x:v>Provision Master</x:v>
      </x:c>
      <x:c r="C1423" s="33" t="str">
        <x:v>Law ID=LAW001; Provision Category=Operational; Statutory Reference=; Remarks=</x:v>
      </x:c>
      <x:c r="D142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23" s="33" t="str">
        <x:v>CORRECT / RECLASSIFY</x:v>
      </x:c>
      <x:c r="F1423" s="33" t="str">
        <x:v>Correct technical citations, remove false direct duties and reclassify non-statutory/entity controls.</x:v>
      </x:c>
      <x:c r="G1423" s="33" t="str">
        <x:v>P-4 official-source validation</x:v>
      </x:c>
      <x:c r="H142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23" s="33" t="str">
        <x:v>P-4</x:v>
      </x:c>
      <x:c r="J1423" s="33" t="str">
        <x:v>2026-08-20</x:v>
      </x:c>
      <x:c r="K1423" s="33" t="str">
        <x:v>Provision IDs preserved; legal force and parentage corrected.</x:v>
      </x:c>
    </x:row>
    <x:row r="1424">
      <x:c r="A1424" s="33" t="str">
        <x:v>RPROV186</x:v>
      </x:c>
      <x:c r="B1424" s="33" t="str">
        <x:v>Provision Master</x:v>
      </x:c>
      <x:c r="C1424" s="33" t="str">
        <x:v>Law ID=LAW003; Provision Category=Operational; Statutory Reference=; Remarks=</x:v>
      </x:c>
      <x:c r="D142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24" s="33" t="str">
        <x:v>CORRECT / RECLASSIFY</x:v>
      </x:c>
      <x:c r="F1424" s="33" t="str">
        <x:v>Correct technical citations, remove false direct duties and reclassify non-statutory/entity controls.</x:v>
      </x:c>
      <x:c r="G1424" s="33" t="str">
        <x:v>P-4 official-source validation</x:v>
      </x:c>
      <x:c r="H142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24" s="33" t="str">
        <x:v>P-4</x:v>
      </x:c>
      <x:c r="J1424" s="33" t="str">
        <x:v>2026-08-20</x:v>
      </x:c>
      <x:c r="K1424" s="33" t="str">
        <x:v>Provision IDs preserved; legal force and parentage corrected.</x:v>
      </x:c>
    </x:row>
    <x:row r="1425">
      <x:c r="A1425" s="33" t="str">
        <x:v>RPROV187</x:v>
      </x:c>
      <x:c r="B1425" s="33" t="str">
        <x:v>Provision Master</x:v>
      </x:c>
      <x:c r="C1425" s="33" t="str">
        <x:v>Law ID=LAW001; Provision Category=Operational; Statutory Reference=; Remarks=</x:v>
      </x:c>
      <x:c r="D142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25" s="33" t="str">
        <x:v>CORRECT / RECLASSIFY</x:v>
      </x:c>
      <x:c r="F1425" s="33" t="str">
        <x:v>Correct technical citations, remove false direct duties and reclassify non-statutory/entity controls.</x:v>
      </x:c>
      <x:c r="G1425" s="33" t="str">
        <x:v>P-4 official-source validation</x:v>
      </x:c>
      <x:c r="H142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25" s="33" t="str">
        <x:v>P-4</x:v>
      </x:c>
      <x:c r="J1425" s="33" t="str">
        <x:v>2026-08-20</x:v>
      </x:c>
      <x:c r="K1425" s="33" t="str">
        <x:v>Provision IDs preserved; legal force and parentage corrected.</x:v>
      </x:c>
    </x:row>
    <x:row r="1426">
      <x:c r="A1426" s="33" t="str">
        <x:v>RPROV188</x:v>
      </x:c>
      <x:c r="B1426" s="33" t="str">
        <x:v>Provision Master</x:v>
      </x:c>
      <x:c r="C1426" s="33" t="str">
        <x:v>Law ID=LAW002; Provision Category=Operational; Statutory Reference=; Remarks=</x:v>
      </x:c>
      <x:c r="D142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26" s="33" t="str">
        <x:v>CORRECT / RECLASSIFY</x:v>
      </x:c>
      <x:c r="F1426" s="33" t="str">
        <x:v>Correct technical citations, remove false direct duties and reclassify non-statutory/entity controls.</x:v>
      </x:c>
      <x:c r="G1426" s="33" t="str">
        <x:v>P-4 official-source validation</x:v>
      </x:c>
      <x:c r="H142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26" s="33" t="str">
        <x:v>P-4</x:v>
      </x:c>
      <x:c r="J1426" s="33" t="str">
        <x:v>2026-08-20</x:v>
      </x:c>
      <x:c r="K1426" s="33" t="str">
        <x:v>Provision IDs preserved; legal force and parentage corrected.</x:v>
      </x:c>
    </x:row>
    <x:row r="1427">
      <x:c r="A1427" s="33" t="str">
        <x:v>RPROV189</x:v>
      </x:c>
      <x:c r="B1427" s="33" t="str">
        <x:v>Provision Master</x:v>
      </x:c>
      <x:c r="C1427" s="33" t="str">
        <x:v>Law ID=LAW004; Provision Category=Operational; Statutory Reference=; Remarks=</x:v>
      </x:c>
      <x:c r="D142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27" s="33" t="str">
        <x:v>CORRECT / RECLASSIFY</x:v>
      </x:c>
      <x:c r="F1427" s="33" t="str">
        <x:v>Correct technical citations, remove false direct duties and reclassify non-statutory/entity controls.</x:v>
      </x:c>
      <x:c r="G1427" s="33" t="str">
        <x:v>P-4 official-source validation</x:v>
      </x:c>
      <x:c r="H142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27" s="33" t="str">
        <x:v>P-4</x:v>
      </x:c>
      <x:c r="J1427" s="33" t="str">
        <x:v>2026-08-20</x:v>
      </x:c>
      <x:c r="K1427" s="33" t="str">
        <x:v>Provision IDs preserved; legal force and parentage corrected.</x:v>
      </x:c>
    </x:row>
    <x:row r="1428">
      <x:c r="A1428" s="33" t="str">
        <x:v>RPROV190</x:v>
      </x:c>
      <x:c r="B1428" s="33" t="str">
        <x:v>Provision Master</x:v>
      </x:c>
      <x:c r="C1428" s="33" t="str">
        <x:v>Law ID=LAW001; Provision Category=Operational; Statutory Reference=; Remarks=</x:v>
      </x:c>
      <x:c r="D142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28" s="33" t="str">
        <x:v>CORRECT / RECLASSIFY</x:v>
      </x:c>
      <x:c r="F1428" s="33" t="str">
        <x:v>Correct technical citations, remove false direct duties and reclassify non-statutory/entity controls.</x:v>
      </x:c>
      <x:c r="G1428" s="33" t="str">
        <x:v>P-4 official-source validation</x:v>
      </x:c>
      <x:c r="H142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28" s="33" t="str">
        <x:v>P-4</x:v>
      </x:c>
      <x:c r="J1428" s="33" t="str">
        <x:v>2026-08-20</x:v>
      </x:c>
      <x:c r="K1428" s="33" t="str">
        <x:v>Provision IDs preserved; legal force and parentage corrected.</x:v>
      </x:c>
    </x:row>
    <x:row r="1429">
      <x:c r="A1429" s="33" t="str">
        <x:v>RPROV191</x:v>
      </x:c>
      <x:c r="B1429" s="33" t="str">
        <x:v>Provision Master</x:v>
      </x:c>
      <x:c r="C1429" s="33" t="str">
        <x:v>Law ID=LAW001; Provision Category=Operational; Statutory Reference=; Remarks=</x:v>
      </x:c>
      <x:c r="D142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29" s="33" t="str">
        <x:v>CORRECT / RECLASSIFY</x:v>
      </x:c>
      <x:c r="F1429" s="33" t="str">
        <x:v>Correct technical citations, remove false direct duties and reclassify non-statutory/entity controls.</x:v>
      </x:c>
      <x:c r="G1429" s="33" t="str">
        <x:v>P-4 official-source validation</x:v>
      </x:c>
      <x:c r="H142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29" s="33" t="str">
        <x:v>P-4</x:v>
      </x:c>
      <x:c r="J1429" s="33" t="str">
        <x:v>2026-08-20</x:v>
      </x:c>
      <x:c r="K1429" s="33" t="str">
        <x:v>Provision IDs preserved; legal force and parentage corrected.</x:v>
      </x:c>
    </x:row>
    <x:row r="1430">
      <x:c r="A1430" s="33" t="str">
        <x:v>RPROV192</x:v>
      </x:c>
      <x:c r="B1430" s="33" t="str">
        <x:v>Provision Master</x:v>
      </x:c>
      <x:c r="C1430" s="33" t="str">
        <x:v>Law ID=LAW001; Provision Category=Operational; Statutory Reference=; Remarks=</x:v>
      </x:c>
      <x:c r="D143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30" s="33" t="str">
        <x:v>CORRECT / RECLASSIFY</x:v>
      </x:c>
      <x:c r="F1430" s="33" t="str">
        <x:v>Correct technical citations, remove false direct duties and reclassify non-statutory/entity controls.</x:v>
      </x:c>
      <x:c r="G1430" s="33" t="str">
        <x:v>P-4 official-source validation</x:v>
      </x:c>
      <x:c r="H143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30" s="33" t="str">
        <x:v>P-4</x:v>
      </x:c>
      <x:c r="J1430" s="33" t="str">
        <x:v>2026-08-20</x:v>
      </x:c>
      <x:c r="K1430" s="33" t="str">
        <x:v>Provision IDs preserved; legal force and parentage corrected.</x:v>
      </x:c>
    </x:row>
    <x:row r="1431">
      <x:c r="A1431" s="33" t="str">
        <x:v>RPROV193</x:v>
      </x:c>
      <x:c r="B1431" s="33" t="str">
        <x:v>Provision Master</x:v>
      </x:c>
      <x:c r="C1431" s="33" t="str">
        <x:v>Law ID=LAW002; Provision Category=Operational; Statutory Reference=; Remarks=</x:v>
      </x:c>
      <x:c r="D143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31" s="33" t="str">
        <x:v>CORRECT / RECLASSIFY</x:v>
      </x:c>
      <x:c r="F1431" s="33" t="str">
        <x:v>Correct technical citations, remove false direct duties and reclassify non-statutory/entity controls.</x:v>
      </x:c>
      <x:c r="G1431" s="33" t="str">
        <x:v>P-4 official-source validation</x:v>
      </x:c>
      <x:c r="H143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31" s="33" t="str">
        <x:v>P-4</x:v>
      </x:c>
      <x:c r="J1431" s="33" t="str">
        <x:v>2026-08-20</x:v>
      </x:c>
      <x:c r="K1431" s="33" t="str">
        <x:v>Provision IDs preserved; legal force and parentage corrected.</x:v>
      </x:c>
    </x:row>
    <x:row r="1432">
      <x:c r="A1432" s="33" t="str">
        <x:v>RPROV194</x:v>
      </x:c>
      <x:c r="B1432" s="33" t="str">
        <x:v>Provision Master</x:v>
      </x:c>
      <x:c r="C1432" s="33" t="str">
        <x:v>Law ID=LAW001; Provision Category=Operational; Statutory Reference=; Remarks=</x:v>
      </x:c>
      <x:c r="D143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32" s="33" t="str">
        <x:v>CORRECT / RECLASSIFY</x:v>
      </x:c>
      <x:c r="F1432" s="33" t="str">
        <x:v>Correct technical citations, remove false direct duties and reclassify non-statutory/entity controls.</x:v>
      </x:c>
      <x:c r="G1432" s="33" t="str">
        <x:v>P-4 official-source validation</x:v>
      </x:c>
      <x:c r="H143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32" s="33" t="str">
        <x:v>P-4</x:v>
      </x:c>
      <x:c r="J1432" s="33" t="str">
        <x:v>2026-08-20</x:v>
      </x:c>
      <x:c r="K1432" s="33" t="str">
        <x:v>Provision IDs preserved; legal force and parentage corrected.</x:v>
      </x:c>
    </x:row>
    <x:row r="1433">
      <x:c r="A1433" s="33" t="str">
        <x:v>RPROV195</x:v>
      </x:c>
      <x:c r="B1433" s="33" t="str">
        <x:v>Provision Master</x:v>
      </x:c>
      <x:c r="C1433" s="33" t="str">
        <x:v>Law ID=LAW001; Provision Category=Operational; Statutory Reference=; Remarks=</x:v>
      </x:c>
      <x:c r="D143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33" s="33" t="str">
        <x:v>CORRECT / RECLASSIFY</x:v>
      </x:c>
      <x:c r="F1433" s="33" t="str">
        <x:v>Correct technical citations, remove false direct duties and reclassify non-statutory/entity controls.</x:v>
      </x:c>
      <x:c r="G1433" s="33" t="str">
        <x:v>P-4 official-source validation</x:v>
      </x:c>
      <x:c r="H143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33" s="33" t="str">
        <x:v>P-4</x:v>
      </x:c>
      <x:c r="J1433" s="33" t="str">
        <x:v>2026-08-20</x:v>
      </x:c>
      <x:c r="K1433" s="33" t="str">
        <x:v>Provision IDs preserved; legal force and parentage corrected.</x:v>
      </x:c>
    </x:row>
    <x:row r="1434">
      <x:c r="A1434" s="33" t="str">
        <x:v>RPROV196</x:v>
      </x:c>
      <x:c r="B1434" s="33" t="str">
        <x:v>Provision Master</x:v>
      </x:c>
      <x:c r="C1434" s="33" t="str">
        <x:v>Law ID=LAW003; Provision Category=Operational; Statutory Reference=; Remarks=</x:v>
      </x:c>
      <x:c r="D143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34" s="33" t="str">
        <x:v>CORRECT / RECLASSIFY</x:v>
      </x:c>
      <x:c r="F1434" s="33" t="str">
        <x:v>Correct technical citations, remove false direct duties and reclassify non-statutory/entity controls.</x:v>
      </x:c>
      <x:c r="G1434" s="33" t="str">
        <x:v>P-4 official-source validation</x:v>
      </x:c>
      <x:c r="H143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34" s="33" t="str">
        <x:v>P-4</x:v>
      </x:c>
      <x:c r="J1434" s="33" t="str">
        <x:v>2026-08-20</x:v>
      </x:c>
      <x:c r="K1434" s="33" t="str">
        <x:v>Provision IDs preserved; legal force and parentage corrected.</x:v>
      </x:c>
    </x:row>
    <x:row r="1435">
      <x:c r="A1435" s="33" t="str">
        <x:v>RPROV197</x:v>
      </x:c>
      <x:c r="B1435" s="33" t="str">
        <x:v>Provision Master</x:v>
      </x:c>
      <x:c r="C1435" s="33" t="str">
        <x:v>Law ID=LAW001; Provision Category=Operational; Statutory Reference=; Remarks=</x:v>
      </x:c>
      <x:c r="D143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35" s="33" t="str">
        <x:v>CORRECT / RECLASSIFY</x:v>
      </x:c>
      <x:c r="F1435" s="33" t="str">
        <x:v>Correct technical citations, remove false direct duties and reclassify non-statutory/entity controls.</x:v>
      </x:c>
      <x:c r="G1435" s="33" t="str">
        <x:v>P-4 official-source validation</x:v>
      </x:c>
      <x:c r="H143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35" s="33" t="str">
        <x:v>P-4</x:v>
      </x:c>
      <x:c r="J1435" s="33" t="str">
        <x:v>2026-08-20</x:v>
      </x:c>
      <x:c r="K1435" s="33" t="str">
        <x:v>Provision IDs preserved; legal force and parentage corrected.</x:v>
      </x:c>
    </x:row>
    <x:row r="1436">
      <x:c r="A1436" s="33" t="str">
        <x:v>RPROV198</x:v>
      </x:c>
      <x:c r="B1436" s="33" t="str">
        <x:v>Provision Master</x:v>
      </x:c>
      <x:c r="C1436" s="33" t="str">
        <x:v>Law ID=LAW002; Provision Category=Operational; Statutory Reference=; Remarks=</x:v>
      </x:c>
      <x:c r="D143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36" s="33" t="str">
        <x:v>CORRECT / RECLASSIFY</x:v>
      </x:c>
      <x:c r="F1436" s="33" t="str">
        <x:v>Correct technical citations, remove false direct duties and reclassify non-statutory/entity controls.</x:v>
      </x:c>
      <x:c r="G1436" s="33" t="str">
        <x:v>P-4 official-source validation</x:v>
      </x:c>
      <x:c r="H143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36" s="33" t="str">
        <x:v>P-4</x:v>
      </x:c>
      <x:c r="J1436" s="33" t="str">
        <x:v>2026-08-20</x:v>
      </x:c>
      <x:c r="K1436" s="33" t="str">
        <x:v>Provision IDs preserved; legal force and parentage corrected.</x:v>
      </x:c>
    </x:row>
    <x:row r="1437">
      <x:c r="A1437" s="33" t="str">
        <x:v>RPROV199</x:v>
      </x:c>
      <x:c r="B1437" s="33" t="str">
        <x:v>Provision Master</x:v>
      </x:c>
      <x:c r="C1437" s="33" t="str">
        <x:v>Law ID=LAW004; Provision Category=Operational; Statutory Reference=; Remarks=</x:v>
      </x:c>
      <x:c r="D143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37" s="33" t="str">
        <x:v>CORRECT / RECLASSIFY</x:v>
      </x:c>
      <x:c r="F1437" s="33" t="str">
        <x:v>Correct technical citations, remove false direct duties and reclassify non-statutory/entity controls.</x:v>
      </x:c>
      <x:c r="G1437" s="33" t="str">
        <x:v>P-4 official-source validation</x:v>
      </x:c>
      <x:c r="H143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37" s="33" t="str">
        <x:v>P-4</x:v>
      </x:c>
      <x:c r="J1437" s="33" t="str">
        <x:v>2026-08-20</x:v>
      </x:c>
      <x:c r="K1437" s="33" t="str">
        <x:v>Provision IDs preserved; legal force and parentage corrected.</x:v>
      </x:c>
    </x:row>
    <x:row r="1438">
      <x:c r="A1438" s="33" t="str">
        <x:v>RPROV200</x:v>
      </x:c>
      <x:c r="B1438" s="33" t="str">
        <x:v>Provision Master</x:v>
      </x:c>
      <x:c r="C1438" s="33" t="str">
        <x:v>Law ID=LAW001; Provision Category=Operational; Statutory Reference=; Remarks=</x:v>
      </x:c>
      <x:c r="D143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38" s="33" t="str">
        <x:v>CORRECT / RECLASSIFY</x:v>
      </x:c>
      <x:c r="F1438" s="33" t="str">
        <x:v>Correct technical citations, remove false direct duties and reclassify non-statutory/entity controls.</x:v>
      </x:c>
      <x:c r="G1438" s="33" t="str">
        <x:v>P-4 official-source validation</x:v>
      </x:c>
      <x:c r="H143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38" s="33" t="str">
        <x:v>P-4</x:v>
      </x:c>
      <x:c r="J1438" s="33" t="str">
        <x:v>2026-08-20</x:v>
      </x:c>
      <x:c r="K1438" s="33" t="str">
        <x:v>Provision IDs preserved; legal force and parentage corrected.</x:v>
      </x:c>
    </x:row>
    <x:row r="1439">
      <x:c r="A1439" s="33" t="str">
        <x:v>RPROV201</x:v>
      </x:c>
      <x:c r="B1439" s="33" t="str">
        <x:v>Provision Master</x:v>
      </x:c>
      <x:c r="C1439" s="33" t="str">
        <x:v>Law ID=LAW001; Provision Category=Operational; Statutory Reference=; Remarks=</x:v>
      </x:c>
      <x:c r="D143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39" s="33" t="str">
        <x:v>CORRECT / RECLASSIFY</x:v>
      </x:c>
      <x:c r="F1439" s="33" t="str">
        <x:v>Correct technical citations, remove false direct duties and reclassify non-statutory/entity controls.</x:v>
      </x:c>
      <x:c r="G1439" s="33" t="str">
        <x:v>P-4 official-source validation</x:v>
      </x:c>
      <x:c r="H143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39" s="33" t="str">
        <x:v>P-4</x:v>
      </x:c>
      <x:c r="J1439" s="33" t="str">
        <x:v>2026-08-20</x:v>
      </x:c>
      <x:c r="K1439" s="33" t="str">
        <x:v>Provision IDs preserved; legal force and parentage corrected.</x:v>
      </x:c>
    </x:row>
    <x:row r="1440">
      <x:c r="A1440" s="33" t="str">
        <x:v>RPROV202</x:v>
      </x:c>
      <x:c r="B1440" s="33" t="str">
        <x:v>Provision Master</x:v>
      </x:c>
      <x:c r="C1440" s="33" t="str">
        <x:v>Law ID=LAW001; Provision Category=Operational; Statutory Reference=; Remarks=</x:v>
      </x:c>
      <x:c r="D144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40" s="33" t="str">
        <x:v>CORRECT / RECLASSIFY</x:v>
      </x:c>
      <x:c r="F1440" s="33" t="str">
        <x:v>Correct technical citations, remove false direct duties and reclassify non-statutory/entity controls.</x:v>
      </x:c>
      <x:c r="G1440" s="33" t="str">
        <x:v>P-4 official-source validation</x:v>
      </x:c>
      <x:c r="H144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40" s="33" t="str">
        <x:v>P-4</x:v>
      </x:c>
      <x:c r="J1440" s="33" t="str">
        <x:v>2026-08-20</x:v>
      </x:c>
      <x:c r="K1440" s="33" t="str">
        <x:v>Provision IDs preserved; legal force and parentage corrected.</x:v>
      </x:c>
    </x:row>
    <x:row r="1441">
      <x:c r="A1441" s="33" t="str">
        <x:v>RPROV203</x:v>
      </x:c>
      <x:c r="B1441" s="33" t="str">
        <x:v>Provision Master</x:v>
      </x:c>
      <x:c r="C1441" s="33" t="str">
        <x:v>Law ID=LAW002; Provision Category=Operational; Statutory Reference=; Remarks=</x:v>
      </x:c>
      <x:c r="D144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41" s="33" t="str">
        <x:v>CORRECT / RECLASSIFY</x:v>
      </x:c>
      <x:c r="F1441" s="33" t="str">
        <x:v>Correct technical citations, remove false direct duties and reclassify non-statutory/entity controls.</x:v>
      </x:c>
      <x:c r="G1441" s="33" t="str">
        <x:v>P-4 official-source validation</x:v>
      </x:c>
      <x:c r="H144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41" s="33" t="str">
        <x:v>P-4</x:v>
      </x:c>
      <x:c r="J1441" s="33" t="str">
        <x:v>2026-08-20</x:v>
      </x:c>
      <x:c r="K1441" s="33" t="str">
        <x:v>Provision IDs preserved; legal force and parentage corrected.</x:v>
      </x:c>
    </x:row>
    <x:row r="1442">
      <x:c r="A1442" s="33" t="str">
        <x:v>RPROV204</x:v>
      </x:c>
      <x:c r="B1442" s="33" t="str">
        <x:v>Provision Master</x:v>
      </x:c>
      <x:c r="C1442" s="33" t="str">
        <x:v>Law ID=LAW001; Provision Category=Operational; Statutory Reference=; Remarks=</x:v>
      </x:c>
      <x:c r="D144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42" s="33" t="str">
        <x:v>CORRECT / RECLASSIFY</x:v>
      </x:c>
      <x:c r="F1442" s="33" t="str">
        <x:v>Correct technical citations, remove false direct duties and reclassify non-statutory/entity controls.</x:v>
      </x:c>
      <x:c r="G1442" s="33" t="str">
        <x:v>P-4 official-source validation</x:v>
      </x:c>
      <x:c r="H144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42" s="33" t="str">
        <x:v>P-4</x:v>
      </x:c>
      <x:c r="J1442" s="33" t="str">
        <x:v>2026-08-20</x:v>
      </x:c>
      <x:c r="K1442" s="33" t="str">
        <x:v>Provision IDs preserved; legal force and parentage corrected.</x:v>
      </x:c>
    </x:row>
    <x:row r="1443">
      <x:c r="A1443" s="33" t="str">
        <x:v>RPROV205</x:v>
      </x:c>
      <x:c r="B1443" s="33" t="str">
        <x:v>Provision Master</x:v>
      </x:c>
      <x:c r="C1443" s="33" t="str">
        <x:v>Law ID=LAW001; Provision Category=Operational; Statutory Reference=; Remarks=</x:v>
      </x:c>
      <x:c r="D144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43" s="33" t="str">
        <x:v>CORRECT / RECLASSIFY</x:v>
      </x:c>
      <x:c r="F1443" s="33" t="str">
        <x:v>Correct technical citations, remove false direct duties and reclassify non-statutory/entity controls.</x:v>
      </x:c>
      <x:c r="G1443" s="33" t="str">
        <x:v>P-4 official-source validation</x:v>
      </x:c>
      <x:c r="H144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43" s="33" t="str">
        <x:v>P-4</x:v>
      </x:c>
      <x:c r="J1443" s="33" t="str">
        <x:v>2026-08-20</x:v>
      </x:c>
      <x:c r="K1443" s="33" t="str">
        <x:v>Provision IDs preserved; legal force and parentage corrected.</x:v>
      </x:c>
    </x:row>
    <x:row r="1444">
      <x:c r="A1444" s="33" t="str">
        <x:v>RPROV206</x:v>
      </x:c>
      <x:c r="B1444" s="33" t="str">
        <x:v>Provision Master</x:v>
      </x:c>
      <x:c r="C1444" s="33" t="str">
        <x:v>Law ID=LAW003; Provision Category=Operational; Statutory Reference=; Remarks=</x:v>
      </x:c>
      <x:c r="D144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44" s="33" t="str">
        <x:v>CORRECT / RECLASSIFY</x:v>
      </x:c>
      <x:c r="F1444" s="33" t="str">
        <x:v>Correct technical citations, remove false direct duties and reclassify non-statutory/entity controls.</x:v>
      </x:c>
      <x:c r="G1444" s="33" t="str">
        <x:v>P-4 official-source validation</x:v>
      </x:c>
      <x:c r="H144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44" s="33" t="str">
        <x:v>P-4</x:v>
      </x:c>
      <x:c r="J1444" s="33" t="str">
        <x:v>2026-08-20</x:v>
      </x:c>
      <x:c r="K1444" s="33" t="str">
        <x:v>Provision IDs preserved; legal force and parentage corrected.</x:v>
      </x:c>
    </x:row>
    <x:row r="1445">
      <x:c r="A1445" s="33" t="str">
        <x:v>RPROV207</x:v>
      </x:c>
      <x:c r="B1445" s="33" t="str">
        <x:v>Provision Master</x:v>
      </x:c>
      <x:c r="C1445" s="33" t="str">
        <x:v>Law ID=LAW001; Provision Category=Operational; Statutory Reference=; Remarks=</x:v>
      </x:c>
      <x:c r="D144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45" s="33" t="str">
        <x:v>CORRECT / RECLASSIFY</x:v>
      </x:c>
      <x:c r="F1445" s="33" t="str">
        <x:v>Correct technical citations, remove false direct duties and reclassify non-statutory/entity controls.</x:v>
      </x:c>
      <x:c r="G1445" s="33" t="str">
        <x:v>P-4 official-source validation</x:v>
      </x:c>
      <x:c r="H144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45" s="33" t="str">
        <x:v>P-4</x:v>
      </x:c>
      <x:c r="J1445" s="33" t="str">
        <x:v>2026-08-20</x:v>
      </x:c>
      <x:c r="K1445" s="33" t="str">
        <x:v>Provision IDs preserved; legal force and parentage corrected.</x:v>
      </x:c>
    </x:row>
    <x:row r="1446">
      <x:c r="A1446" s="33" t="str">
        <x:v>RPROV208</x:v>
      </x:c>
      <x:c r="B1446" s="33" t="str">
        <x:v>Provision Master</x:v>
      </x:c>
      <x:c r="C1446" s="33" t="str">
        <x:v>Law ID=LAW002; Provision Category=Operational; Statutory Reference=; Remarks=</x:v>
      </x:c>
      <x:c r="D144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46" s="33" t="str">
        <x:v>CORRECT / RECLASSIFY</x:v>
      </x:c>
      <x:c r="F1446" s="33" t="str">
        <x:v>Correct technical citations, remove false direct duties and reclassify non-statutory/entity controls.</x:v>
      </x:c>
      <x:c r="G1446" s="33" t="str">
        <x:v>P-4 official-source validation</x:v>
      </x:c>
      <x:c r="H144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46" s="33" t="str">
        <x:v>P-4</x:v>
      </x:c>
      <x:c r="J1446" s="33" t="str">
        <x:v>2026-08-20</x:v>
      </x:c>
      <x:c r="K1446" s="33" t="str">
        <x:v>Provision IDs preserved; legal force and parentage corrected.</x:v>
      </x:c>
    </x:row>
    <x:row r="1447">
      <x:c r="A1447" s="33" t="str">
        <x:v>RPROV209</x:v>
      </x:c>
      <x:c r="B1447" s="33" t="str">
        <x:v>Provision Master</x:v>
      </x:c>
      <x:c r="C1447" s="33" t="str">
        <x:v>Law ID=LAW004; Provision Category=Operational; Statutory Reference=; Remarks=</x:v>
      </x:c>
      <x:c r="D144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47" s="33" t="str">
        <x:v>CORRECT / RECLASSIFY</x:v>
      </x:c>
      <x:c r="F1447" s="33" t="str">
        <x:v>Correct technical citations, remove false direct duties and reclassify non-statutory/entity controls.</x:v>
      </x:c>
      <x:c r="G1447" s="33" t="str">
        <x:v>P-4 official-source validation</x:v>
      </x:c>
      <x:c r="H144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47" s="33" t="str">
        <x:v>P-4</x:v>
      </x:c>
      <x:c r="J1447" s="33" t="str">
        <x:v>2026-08-20</x:v>
      </x:c>
      <x:c r="K1447" s="33" t="str">
        <x:v>Provision IDs preserved; legal force and parentage corrected.</x:v>
      </x:c>
    </x:row>
    <x:row r="1448">
      <x:c r="A1448" s="33" t="str">
        <x:v>RPROV210</x:v>
      </x:c>
      <x:c r="B1448" s="33" t="str">
        <x:v>Provision Master</x:v>
      </x:c>
      <x:c r="C1448" s="33" t="str">
        <x:v>Law ID=LAW001; Provision Category=Operational; Statutory Reference=; Remarks=</x:v>
      </x:c>
      <x:c r="D144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48" s="33" t="str">
        <x:v>CORRECT / RECLASSIFY</x:v>
      </x:c>
      <x:c r="F1448" s="33" t="str">
        <x:v>Correct technical citations, remove false direct duties and reclassify non-statutory/entity controls.</x:v>
      </x:c>
      <x:c r="G1448" s="33" t="str">
        <x:v>P-4 official-source validation</x:v>
      </x:c>
      <x:c r="H144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48" s="33" t="str">
        <x:v>P-4</x:v>
      </x:c>
      <x:c r="J1448" s="33" t="str">
        <x:v>2026-08-20</x:v>
      </x:c>
      <x:c r="K1448" s="33" t="str">
        <x:v>Provision IDs preserved; legal force and parentage corrected.</x:v>
      </x:c>
    </x:row>
    <x:row r="1449">
      <x:c r="A1449" s="33" t="str">
        <x:v>RPROV211</x:v>
      </x:c>
      <x:c r="B1449" s="33" t="str">
        <x:v>Provision Master</x:v>
      </x:c>
      <x:c r="C1449" s="33" t="str">
        <x:v>Law ID=LAW001; Provision Category=Operational; Statutory Reference=; Remarks=</x:v>
      </x:c>
      <x:c r="D144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49" s="33" t="str">
        <x:v>CORRECT / RECLASSIFY</x:v>
      </x:c>
      <x:c r="F1449" s="33" t="str">
        <x:v>Correct technical citations, remove false direct duties and reclassify non-statutory/entity controls.</x:v>
      </x:c>
      <x:c r="G1449" s="33" t="str">
        <x:v>P-4 official-source validation</x:v>
      </x:c>
      <x:c r="H144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49" s="33" t="str">
        <x:v>P-4</x:v>
      </x:c>
      <x:c r="J1449" s="33" t="str">
        <x:v>2026-08-20</x:v>
      </x:c>
      <x:c r="K1449" s="33" t="str">
        <x:v>Provision IDs preserved; legal force and parentage corrected.</x:v>
      </x:c>
    </x:row>
    <x:row r="1450">
      <x:c r="A1450" s="33" t="str">
        <x:v>RPROV212</x:v>
      </x:c>
      <x:c r="B1450" s="33" t="str">
        <x:v>Provision Master</x:v>
      </x:c>
      <x:c r="C1450" s="33" t="str">
        <x:v>Law ID=LAW001; Provision Category=Operational; Statutory Reference=; Remarks=</x:v>
      </x:c>
      <x:c r="D145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50" s="33" t="str">
        <x:v>CORRECT / RECLASSIFY</x:v>
      </x:c>
      <x:c r="F1450" s="33" t="str">
        <x:v>Correct technical citations, remove false direct duties and reclassify non-statutory/entity controls.</x:v>
      </x:c>
      <x:c r="G1450" s="33" t="str">
        <x:v>P-4 official-source validation</x:v>
      </x:c>
      <x:c r="H145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50" s="33" t="str">
        <x:v>P-4</x:v>
      </x:c>
      <x:c r="J1450" s="33" t="str">
        <x:v>2026-08-20</x:v>
      </x:c>
      <x:c r="K1450" s="33" t="str">
        <x:v>Provision IDs preserved; legal force and parentage corrected.</x:v>
      </x:c>
    </x:row>
    <x:row r="1451">
      <x:c r="A1451" s="33" t="str">
        <x:v>RPROV213</x:v>
      </x:c>
      <x:c r="B1451" s="33" t="str">
        <x:v>Provision Master</x:v>
      </x:c>
      <x:c r="C1451" s="33" t="str">
        <x:v>Law ID=LAW002; Provision Category=Operational; Statutory Reference=; Remarks=</x:v>
      </x:c>
      <x:c r="D145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51" s="33" t="str">
        <x:v>CORRECT / RECLASSIFY</x:v>
      </x:c>
      <x:c r="F1451" s="33" t="str">
        <x:v>Correct technical citations, remove false direct duties and reclassify non-statutory/entity controls.</x:v>
      </x:c>
      <x:c r="G1451" s="33" t="str">
        <x:v>P-4 official-source validation</x:v>
      </x:c>
      <x:c r="H145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51" s="33" t="str">
        <x:v>P-4</x:v>
      </x:c>
      <x:c r="J1451" s="33" t="str">
        <x:v>2026-08-20</x:v>
      </x:c>
      <x:c r="K1451" s="33" t="str">
        <x:v>Provision IDs preserved; legal force and parentage corrected.</x:v>
      </x:c>
    </x:row>
    <x:row r="1452">
      <x:c r="A1452" s="33" t="str">
        <x:v>RPROV214</x:v>
      </x:c>
      <x:c r="B1452" s="33" t="str">
        <x:v>Provision Master</x:v>
      </x:c>
      <x:c r="C1452" s="33" t="str">
        <x:v>Law ID=LAW001; Provision Category=Operational; Statutory Reference=; Remarks=</x:v>
      </x:c>
      <x:c r="D145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52" s="33" t="str">
        <x:v>CORRECT / RECLASSIFY</x:v>
      </x:c>
      <x:c r="F1452" s="33" t="str">
        <x:v>Correct technical citations, remove false direct duties and reclassify non-statutory/entity controls.</x:v>
      </x:c>
      <x:c r="G1452" s="33" t="str">
        <x:v>P-4 official-source validation</x:v>
      </x:c>
      <x:c r="H145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52" s="33" t="str">
        <x:v>P-4</x:v>
      </x:c>
      <x:c r="J1452" s="33" t="str">
        <x:v>2026-08-20</x:v>
      </x:c>
      <x:c r="K1452" s="33" t="str">
        <x:v>Provision IDs preserved; legal force and parentage corrected.</x:v>
      </x:c>
    </x:row>
    <x:row r="1453">
      <x:c r="A1453" s="33" t="str">
        <x:v>RPROV215</x:v>
      </x:c>
      <x:c r="B1453" s="33" t="str">
        <x:v>Provision Master</x:v>
      </x:c>
      <x:c r="C1453" s="33" t="str">
        <x:v>Law ID=LAW001; Provision Category=Operational; Statutory Reference=; Remarks=</x:v>
      </x:c>
      <x:c r="D145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53" s="33" t="str">
        <x:v>CORRECT / RECLASSIFY</x:v>
      </x:c>
      <x:c r="F1453" s="33" t="str">
        <x:v>Correct technical citations, remove false direct duties and reclassify non-statutory/entity controls.</x:v>
      </x:c>
      <x:c r="G1453" s="33" t="str">
        <x:v>P-4 official-source validation</x:v>
      </x:c>
      <x:c r="H145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53" s="33" t="str">
        <x:v>P-4</x:v>
      </x:c>
      <x:c r="J1453" s="33" t="str">
        <x:v>2026-08-20</x:v>
      </x:c>
      <x:c r="K1453" s="33" t="str">
        <x:v>Provision IDs preserved; legal force and parentage corrected.</x:v>
      </x:c>
    </x:row>
    <x:row r="1454">
      <x:c r="A1454" s="33" t="str">
        <x:v>RPROV216</x:v>
      </x:c>
      <x:c r="B1454" s="33" t="str">
        <x:v>Provision Master</x:v>
      </x:c>
      <x:c r="C1454" s="33" t="str">
        <x:v>Law ID=LAW003; Provision Category=Operational; Statutory Reference=; Remarks=</x:v>
      </x:c>
      <x:c r="D145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54" s="33" t="str">
        <x:v>CORRECT / RECLASSIFY</x:v>
      </x:c>
      <x:c r="F1454" s="33" t="str">
        <x:v>Correct technical citations, remove false direct duties and reclassify non-statutory/entity controls.</x:v>
      </x:c>
      <x:c r="G1454" s="33" t="str">
        <x:v>P-4 official-source validation</x:v>
      </x:c>
      <x:c r="H145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54" s="33" t="str">
        <x:v>P-4</x:v>
      </x:c>
      <x:c r="J1454" s="33" t="str">
        <x:v>2026-08-20</x:v>
      </x:c>
      <x:c r="K1454" s="33" t="str">
        <x:v>Provision IDs preserved; legal force and parentage corrected.</x:v>
      </x:c>
    </x:row>
    <x:row r="1455">
      <x:c r="A1455" s="33" t="str">
        <x:v>RPROV217</x:v>
      </x:c>
      <x:c r="B1455" s="33" t="str">
        <x:v>Provision Master</x:v>
      </x:c>
      <x:c r="C1455" s="33" t="str">
        <x:v>Law ID=LAW001; Provision Category=Operational; Statutory Reference=; Remarks=</x:v>
      </x:c>
      <x:c r="D145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55" s="33" t="str">
        <x:v>CORRECT / RECLASSIFY</x:v>
      </x:c>
      <x:c r="F1455" s="33" t="str">
        <x:v>Correct technical citations, remove false direct duties and reclassify non-statutory/entity controls.</x:v>
      </x:c>
      <x:c r="G1455" s="33" t="str">
        <x:v>P-4 official-source validation</x:v>
      </x:c>
      <x:c r="H145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55" s="33" t="str">
        <x:v>P-4</x:v>
      </x:c>
      <x:c r="J1455" s="33" t="str">
        <x:v>2026-08-20</x:v>
      </x:c>
      <x:c r="K1455" s="33" t="str">
        <x:v>Provision IDs preserved; legal force and parentage corrected.</x:v>
      </x:c>
    </x:row>
    <x:row r="1456">
      <x:c r="A1456" s="33" t="str">
        <x:v>RPROV218</x:v>
      </x:c>
      <x:c r="B1456" s="33" t="str">
        <x:v>Provision Master</x:v>
      </x:c>
      <x:c r="C1456" s="33" t="str">
        <x:v>Law ID=LAW002; Provision Category=Operational; Statutory Reference=; Remarks=</x:v>
      </x:c>
      <x:c r="D145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56" s="33" t="str">
        <x:v>CORRECT / RECLASSIFY</x:v>
      </x:c>
      <x:c r="F1456" s="33" t="str">
        <x:v>Correct technical citations, remove false direct duties and reclassify non-statutory/entity controls.</x:v>
      </x:c>
      <x:c r="G1456" s="33" t="str">
        <x:v>P-4 official-source validation</x:v>
      </x:c>
      <x:c r="H145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56" s="33" t="str">
        <x:v>P-4</x:v>
      </x:c>
      <x:c r="J1456" s="33" t="str">
        <x:v>2026-08-20</x:v>
      </x:c>
      <x:c r="K1456" s="33" t="str">
        <x:v>Provision IDs preserved; legal force and parentage corrected.</x:v>
      </x:c>
    </x:row>
    <x:row r="1457">
      <x:c r="A1457" s="33" t="str">
        <x:v>RPROV219</x:v>
      </x:c>
      <x:c r="B1457" s="33" t="str">
        <x:v>Provision Master</x:v>
      </x:c>
      <x:c r="C1457" s="33" t="str">
        <x:v>Law ID=LAW004; Provision Category=Operational; Statutory Reference=; Remarks=</x:v>
      </x:c>
      <x:c r="D145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57" s="33" t="str">
        <x:v>CORRECT / RECLASSIFY</x:v>
      </x:c>
      <x:c r="F1457" s="33" t="str">
        <x:v>Correct technical citations, remove false direct duties and reclassify non-statutory/entity controls.</x:v>
      </x:c>
      <x:c r="G1457" s="33" t="str">
        <x:v>P-4 official-source validation</x:v>
      </x:c>
      <x:c r="H145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57" s="33" t="str">
        <x:v>P-4</x:v>
      </x:c>
      <x:c r="J1457" s="33" t="str">
        <x:v>2026-08-20</x:v>
      </x:c>
      <x:c r="K1457" s="33" t="str">
        <x:v>Provision IDs preserved; legal force and parentage corrected.</x:v>
      </x:c>
    </x:row>
    <x:row r="1458">
      <x:c r="A1458" s="33" t="str">
        <x:v>RPROV220</x:v>
      </x:c>
      <x:c r="B1458" s="33" t="str">
        <x:v>Provision Master</x:v>
      </x:c>
      <x:c r="C1458" s="33" t="str">
        <x:v>Law ID=LAW001; Provision Category=Operational; Statutory Reference=; Remarks=</x:v>
      </x:c>
      <x:c r="D145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58" s="33" t="str">
        <x:v>CORRECT / RECLASSIFY</x:v>
      </x:c>
      <x:c r="F1458" s="33" t="str">
        <x:v>Correct technical citations, remove false direct duties and reclassify non-statutory/entity controls.</x:v>
      </x:c>
      <x:c r="G1458" s="33" t="str">
        <x:v>P-4 official-source validation</x:v>
      </x:c>
      <x:c r="H145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58" s="33" t="str">
        <x:v>P-4</x:v>
      </x:c>
      <x:c r="J1458" s="33" t="str">
        <x:v>2026-08-20</x:v>
      </x:c>
      <x:c r="K1458" s="33" t="str">
        <x:v>Provision IDs preserved; legal force and parentage corrected.</x:v>
      </x:c>
    </x:row>
    <x:row r="1459">
      <x:c r="A1459" s="33" t="str">
        <x:v>RPROV221</x:v>
      </x:c>
      <x:c r="B1459" s="33" t="str">
        <x:v>Provision Master</x:v>
      </x:c>
      <x:c r="C1459" s="33" t="str">
        <x:v>Law ID=LAW001; Provision Category=Operational; Statutory Reference=; Remarks=</x:v>
      </x:c>
      <x:c r="D145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59" s="33" t="str">
        <x:v>CORRECT / RECLASSIFY</x:v>
      </x:c>
      <x:c r="F1459" s="33" t="str">
        <x:v>Correct technical citations, remove false direct duties and reclassify non-statutory/entity controls.</x:v>
      </x:c>
      <x:c r="G1459" s="33" t="str">
        <x:v>P-4 official-source validation</x:v>
      </x:c>
      <x:c r="H145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59" s="33" t="str">
        <x:v>P-4</x:v>
      </x:c>
      <x:c r="J1459" s="33" t="str">
        <x:v>2026-08-20</x:v>
      </x:c>
      <x:c r="K1459" s="33" t="str">
        <x:v>Provision IDs preserved; legal force and parentage corrected.</x:v>
      </x:c>
    </x:row>
    <x:row r="1460">
      <x:c r="A1460" s="33" t="str">
        <x:v>RPROV222</x:v>
      </x:c>
      <x:c r="B1460" s="33" t="str">
        <x:v>Provision Master</x:v>
      </x:c>
      <x:c r="C1460" s="33" t="str">
        <x:v>Law ID=LAW001; Provision Category=Operational; Statutory Reference=; Remarks=</x:v>
      </x:c>
      <x:c r="D146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60" s="33" t="str">
        <x:v>CORRECT / RECLASSIFY</x:v>
      </x:c>
      <x:c r="F1460" s="33" t="str">
        <x:v>Correct technical citations, remove false direct duties and reclassify non-statutory/entity controls.</x:v>
      </x:c>
      <x:c r="G1460" s="33" t="str">
        <x:v>P-4 official-source validation</x:v>
      </x:c>
      <x:c r="H146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60" s="33" t="str">
        <x:v>P-4</x:v>
      </x:c>
      <x:c r="J1460" s="33" t="str">
        <x:v>2026-08-20</x:v>
      </x:c>
      <x:c r="K1460" s="33" t="str">
        <x:v>Provision IDs preserved; legal force and parentage corrected.</x:v>
      </x:c>
    </x:row>
    <x:row r="1461">
      <x:c r="A1461" s="33" t="str">
        <x:v>RPROV223</x:v>
      </x:c>
      <x:c r="B1461" s="33" t="str">
        <x:v>Provision Master</x:v>
      </x:c>
      <x:c r="C1461" s="33" t="str">
        <x:v>Law ID=LAW002; Provision Category=Operational; Statutory Reference=; Remarks=</x:v>
      </x:c>
      <x:c r="D146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61" s="33" t="str">
        <x:v>CORRECT / RECLASSIFY</x:v>
      </x:c>
      <x:c r="F1461" s="33" t="str">
        <x:v>Correct technical citations, remove false direct duties and reclassify non-statutory/entity controls.</x:v>
      </x:c>
      <x:c r="G1461" s="33" t="str">
        <x:v>P-4 official-source validation</x:v>
      </x:c>
      <x:c r="H146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61" s="33" t="str">
        <x:v>P-4</x:v>
      </x:c>
      <x:c r="J1461" s="33" t="str">
        <x:v>2026-08-20</x:v>
      </x:c>
      <x:c r="K1461" s="33" t="str">
        <x:v>Provision IDs preserved; legal force and parentage corrected.</x:v>
      </x:c>
    </x:row>
    <x:row r="1462">
      <x:c r="A1462" s="33" t="str">
        <x:v>RPROV224</x:v>
      </x:c>
      <x:c r="B1462" s="33" t="str">
        <x:v>Provision Master</x:v>
      </x:c>
      <x:c r="C1462" s="33" t="str">
        <x:v>Law ID=LAW001; Provision Category=Operational; Statutory Reference=; Remarks=</x:v>
      </x:c>
      <x:c r="D146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62" s="33" t="str">
        <x:v>CORRECT / RECLASSIFY</x:v>
      </x:c>
      <x:c r="F1462" s="33" t="str">
        <x:v>Correct technical citations, remove false direct duties and reclassify non-statutory/entity controls.</x:v>
      </x:c>
      <x:c r="G1462" s="33" t="str">
        <x:v>P-4 official-source validation</x:v>
      </x:c>
      <x:c r="H146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62" s="33" t="str">
        <x:v>P-4</x:v>
      </x:c>
      <x:c r="J1462" s="33" t="str">
        <x:v>2026-08-20</x:v>
      </x:c>
      <x:c r="K1462" s="33" t="str">
        <x:v>Provision IDs preserved; legal force and parentage corrected.</x:v>
      </x:c>
    </x:row>
    <x:row r="1463">
      <x:c r="A1463" s="33" t="str">
        <x:v>RPROV225</x:v>
      </x:c>
      <x:c r="B1463" s="33" t="str">
        <x:v>Provision Master</x:v>
      </x:c>
      <x:c r="C1463" s="33" t="str">
        <x:v>Law ID=LAW001; Provision Category=Operational; Statutory Reference=; Remarks=</x:v>
      </x:c>
      <x:c r="D146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63" s="33" t="str">
        <x:v>CORRECT / RECLASSIFY</x:v>
      </x:c>
      <x:c r="F1463" s="33" t="str">
        <x:v>Correct technical citations, remove false direct duties and reclassify non-statutory/entity controls.</x:v>
      </x:c>
      <x:c r="G1463" s="33" t="str">
        <x:v>P-4 official-source validation</x:v>
      </x:c>
      <x:c r="H146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63" s="33" t="str">
        <x:v>P-4</x:v>
      </x:c>
      <x:c r="J1463" s="33" t="str">
        <x:v>2026-08-20</x:v>
      </x:c>
      <x:c r="K1463" s="33" t="str">
        <x:v>Provision IDs preserved; legal force and parentage corrected.</x:v>
      </x:c>
    </x:row>
    <x:row r="1464">
      <x:c r="A1464" s="33" t="str">
        <x:v>RPROV226</x:v>
      </x:c>
      <x:c r="B1464" s="33" t="str">
        <x:v>Provision Master</x:v>
      </x:c>
      <x:c r="C1464" s="33" t="str">
        <x:v>Law ID=LAW003; Provision Category=Operational; Statutory Reference=; Remarks=</x:v>
      </x:c>
      <x:c r="D146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64" s="33" t="str">
        <x:v>CORRECT / RECLASSIFY</x:v>
      </x:c>
      <x:c r="F1464" s="33" t="str">
        <x:v>Correct technical citations, remove false direct duties and reclassify non-statutory/entity controls.</x:v>
      </x:c>
      <x:c r="G1464" s="33" t="str">
        <x:v>P-4 official-source validation</x:v>
      </x:c>
      <x:c r="H146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64" s="33" t="str">
        <x:v>P-4</x:v>
      </x:c>
      <x:c r="J1464" s="33" t="str">
        <x:v>2026-08-20</x:v>
      </x:c>
      <x:c r="K1464" s="33" t="str">
        <x:v>Provision IDs preserved; legal force and parentage corrected.</x:v>
      </x:c>
    </x:row>
    <x:row r="1465">
      <x:c r="A1465" s="33" t="str">
        <x:v>RPROV227</x:v>
      </x:c>
      <x:c r="B1465" s="33" t="str">
        <x:v>Provision Master</x:v>
      </x:c>
      <x:c r="C1465" s="33" t="str">
        <x:v>Law ID=LAW001; Provision Category=Operational; Statutory Reference=; Remarks=</x:v>
      </x:c>
      <x:c r="D146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65" s="33" t="str">
        <x:v>CORRECT / RECLASSIFY</x:v>
      </x:c>
      <x:c r="F1465" s="33" t="str">
        <x:v>Correct technical citations, remove false direct duties and reclassify non-statutory/entity controls.</x:v>
      </x:c>
      <x:c r="G1465" s="33" t="str">
        <x:v>P-4 official-source validation</x:v>
      </x:c>
      <x:c r="H146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65" s="33" t="str">
        <x:v>P-4</x:v>
      </x:c>
      <x:c r="J1465" s="33" t="str">
        <x:v>2026-08-20</x:v>
      </x:c>
      <x:c r="K1465" s="33" t="str">
        <x:v>Provision IDs preserved; legal force and parentage corrected.</x:v>
      </x:c>
    </x:row>
    <x:row r="1466">
      <x:c r="A1466" s="33" t="str">
        <x:v>RPROV228</x:v>
      </x:c>
      <x:c r="B1466" s="33" t="str">
        <x:v>Provision Master</x:v>
      </x:c>
      <x:c r="C1466" s="33" t="str">
        <x:v>Law ID=LAW002; Provision Category=Operational; Statutory Reference=; Remarks=</x:v>
      </x:c>
      <x:c r="D146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66" s="33" t="str">
        <x:v>CORRECT / RECLASSIFY</x:v>
      </x:c>
      <x:c r="F1466" s="33" t="str">
        <x:v>Correct technical citations, remove false direct duties and reclassify non-statutory/entity controls.</x:v>
      </x:c>
      <x:c r="G1466" s="33" t="str">
        <x:v>P-4 official-source validation</x:v>
      </x:c>
      <x:c r="H146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66" s="33" t="str">
        <x:v>P-4</x:v>
      </x:c>
      <x:c r="J1466" s="33" t="str">
        <x:v>2026-08-20</x:v>
      </x:c>
      <x:c r="K1466" s="33" t="str">
        <x:v>Provision IDs preserved; legal force and parentage corrected.</x:v>
      </x:c>
    </x:row>
    <x:row r="1467">
      <x:c r="A1467" s="33" t="str">
        <x:v>RPROV229</x:v>
      </x:c>
      <x:c r="B1467" s="33" t="str">
        <x:v>Provision Master</x:v>
      </x:c>
      <x:c r="C1467" s="33" t="str">
        <x:v>Law ID=LAW004; Provision Category=Operational; Statutory Reference=; Remarks=</x:v>
      </x:c>
      <x:c r="D146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67" s="33" t="str">
        <x:v>CORRECT / RECLASSIFY</x:v>
      </x:c>
      <x:c r="F1467" s="33" t="str">
        <x:v>Correct technical citations, remove false direct duties and reclassify non-statutory/entity controls.</x:v>
      </x:c>
      <x:c r="G1467" s="33" t="str">
        <x:v>P-4 official-source validation</x:v>
      </x:c>
      <x:c r="H146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67" s="33" t="str">
        <x:v>P-4</x:v>
      </x:c>
      <x:c r="J1467" s="33" t="str">
        <x:v>2026-08-20</x:v>
      </x:c>
      <x:c r="K1467" s="33" t="str">
        <x:v>Provision IDs preserved; legal force and parentage corrected.</x:v>
      </x:c>
    </x:row>
    <x:row r="1468">
      <x:c r="A1468" s="33" t="str">
        <x:v>RPROV230</x:v>
      </x:c>
      <x:c r="B1468" s="33" t="str">
        <x:v>Provision Master</x:v>
      </x:c>
      <x:c r="C1468" s="33" t="str">
        <x:v>Law ID=LAW001; Provision Category=Operational; Statutory Reference=; Remarks=</x:v>
      </x:c>
      <x:c r="D146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68" s="33" t="str">
        <x:v>CORRECT / RECLASSIFY</x:v>
      </x:c>
      <x:c r="F1468" s="33" t="str">
        <x:v>Correct technical citations, remove false direct duties and reclassify non-statutory/entity controls.</x:v>
      </x:c>
      <x:c r="G1468" s="33" t="str">
        <x:v>P-4 official-source validation</x:v>
      </x:c>
      <x:c r="H146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68" s="33" t="str">
        <x:v>P-4</x:v>
      </x:c>
      <x:c r="J1468" s="33" t="str">
        <x:v>2026-08-20</x:v>
      </x:c>
      <x:c r="K1468" s="33" t="str">
        <x:v>Provision IDs preserved; legal force and parentage corrected.</x:v>
      </x:c>
    </x:row>
    <x:row r="1469">
      <x:c r="A1469" s="33" t="str">
        <x:v>RPROV231</x:v>
      </x:c>
      <x:c r="B1469" s="33" t="str">
        <x:v>Provision Master</x:v>
      </x:c>
      <x:c r="C1469" s="33" t="str">
        <x:v>Law ID=LAW001; Provision Category=Operational; Statutory Reference=; Remarks=</x:v>
      </x:c>
      <x:c r="D146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69" s="33" t="str">
        <x:v>CORRECT / RECLASSIFY</x:v>
      </x:c>
      <x:c r="F1469" s="33" t="str">
        <x:v>Correct technical citations, remove false direct duties and reclassify non-statutory/entity controls.</x:v>
      </x:c>
      <x:c r="G1469" s="33" t="str">
        <x:v>P-4 official-source validation</x:v>
      </x:c>
      <x:c r="H146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69" s="33" t="str">
        <x:v>P-4</x:v>
      </x:c>
      <x:c r="J1469" s="33" t="str">
        <x:v>2026-08-20</x:v>
      </x:c>
      <x:c r="K1469" s="33" t="str">
        <x:v>Provision IDs preserved; legal force and parentage corrected.</x:v>
      </x:c>
    </x:row>
    <x:row r="1470">
      <x:c r="A1470" s="33" t="str">
        <x:v>RPROV232</x:v>
      </x:c>
      <x:c r="B1470" s="33" t="str">
        <x:v>Provision Master</x:v>
      </x:c>
      <x:c r="C1470" s="33" t="str">
        <x:v>Law ID=LAW001; Provision Category=Operational; Statutory Reference=; Remarks=</x:v>
      </x:c>
      <x:c r="D147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70" s="33" t="str">
        <x:v>CORRECT / RECLASSIFY</x:v>
      </x:c>
      <x:c r="F1470" s="33" t="str">
        <x:v>Correct technical citations, remove false direct duties and reclassify non-statutory/entity controls.</x:v>
      </x:c>
      <x:c r="G1470" s="33" t="str">
        <x:v>P-4 official-source validation</x:v>
      </x:c>
      <x:c r="H147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70" s="33" t="str">
        <x:v>P-4</x:v>
      </x:c>
      <x:c r="J1470" s="33" t="str">
        <x:v>2026-08-20</x:v>
      </x:c>
      <x:c r="K1470" s="33" t="str">
        <x:v>Provision IDs preserved; legal force and parentage corrected.</x:v>
      </x:c>
    </x:row>
    <x:row r="1471">
      <x:c r="A1471" s="33" t="str">
        <x:v>RPROV233</x:v>
      </x:c>
      <x:c r="B1471" s="33" t="str">
        <x:v>Provision Master</x:v>
      </x:c>
      <x:c r="C1471" s="33" t="str">
        <x:v>Law ID=LAW002; Provision Category=Operational; Statutory Reference=; Remarks=</x:v>
      </x:c>
      <x:c r="D147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71" s="33" t="str">
        <x:v>CORRECT / RECLASSIFY</x:v>
      </x:c>
      <x:c r="F1471" s="33" t="str">
        <x:v>Correct technical citations, remove false direct duties and reclassify non-statutory/entity controls.</x:v>
      </x:c>
      <x:c r="G1471" s="33" t="str">
        <x:v>P-4 official-source validation</x:v>
      </x:c>
      <x:c r="H147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71" s="33" t="str">
        <x:v>P-4</x:v>
      </x:c>
      <x:c r="J1471" s="33" t="str">
        <x:v>2026-08-20</x:v>
      </x:c>
      <x:c r="K1471" s="33" t="str">
        <x:v>Provision IDs preserved; legal force and parentage corrected.</x:v>
      </x:c>
    </x:row>
    <x:row r="1472">
      <x:c r="A1472" s="33" t="str">
        <x:v>RPROV234</x:v>
      </x:c>
      <x:c r="B1472" s="33" t="str">
        <x:v>Provision Master</x:v>
      </x:c>
      <x:c r="C1472" s="33" t="str">
        <x:v>Law ID=LAW001; Provision Category=Operational; Statutory Reference=; Remarks=</x:v>
      </x:c>
      <x:c r="D147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72" s="33" t="str">
        <x:v>CORRECT / RECLASSIFY</x:v>
      </x:c>
      <x:c r="F1472" s="33" t="str">
        <x:v>Correct technical citations, remove false direct duties and reclassify non-statutory/entity controls.</x:v>
      </x:c>
      <x:c r="G1472" s="33" t="str">
        <x:v>P-4 official-source validation</x:v>
      </x:c>
      <x:c r="H147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72" s="33" t="str">
        <x:v>P-4</x:v>
      </x:c>
      <x:c r="J1472" s="33" t="str">
        <x:v>2026-08-20</x:v>
      </x:c>
      <x:c r="K1472" s="33" t="str">
        <x:v>Provision IDs preserved; legal force and parentage corrected.</x:v>
      </x:c>
    </x:row>
    <x:row r="1473">
      <x:c r="A1473" s="33" t="str">
        <x:v>RPROV235</x:v>
      </x:c>
      <x:c r="B1473" s="33" t="str">
        <x:v>Provision Master</x:v>
      </x:c>
      <x:c r="C1473" s="33" t="str">
        <x:v>Law ID=LAW001; Provision Category=Operational; Statutory Reference=; Remarks=</x:v>
      </x:c>
      <x:c r="D147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73" s="33" t="str">
        <x:v>CORRECT / RECLASSIFY</x:v>
      </x:c>
      <x:c r="F1473" s="33" t="str">
        <x:v>Correct technical citations, remove false direct duties and reclassify non-statutory/entity controls.</x:v>
      </x:c>
      <x:c r="G1473" s="33" t="str">
        <x:v>P-4 official-source validation</x:v>
      </x:c>
      <x:c r="H147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73" s="33" t="str">
        <x:v>P-4</x:v>
      </x:c>
      <x:c r="J1473" s="33" t="str">
        <x:v>2026-08-20</x:v>
      </x:c>
      <x:c r="K1473" s="33" t="str">
        <x:v>Provision IDs preserved; legal force and parentage corrected.</x:v>
      </x:c>
    </x:row>
    <x:row r="1474">
      <x:c r="A1474" s="33" t="str">
        <x:v>RPROV236</x:v>
      </x:c>
      <x:c r="B1474" s="33" t="str">
        <x:v>Provision Master</x:v>
      </x:c>
      <x:c r="C1474" s="33" t="str">
        <x:v>Law ID=LAW003; Provision Category=Operational; Statutory Reference=; Remarks=</x:v>
      </x:c>
      <x:c r="D147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74" s="33" t="str">
        <x:v>CORRECT / RECLASSIFY</x:v>
      </x:c>
      <x:c r="F1474" s="33" t="str">
        <x:v>Correct technical citations, remove false direct duties and reclassify non-statutory/entity controls.</x:v>
      </x:c>
      <x:c r="G1474" s="33" t="str">
        <x:v>P-4 official-source validation</x:v>
      </x:c>
      <x:c r="H147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74" s="33" t="str">
        <x:v>P-4</x:v>
      </x:c>
      <x:c r="J1474" s="33" t="str">
        <x:v>2026-08-20</x:v>
      </x:c>
      <x:c r="K1474" s="33" t="str">
        <x:v>Provision IDs preserved; legal force and parentage corrected.</x:v>
      </x:c>
    </x:row>
    <x:row r="1475">
      <x:c r="A1475" s="33" t="str">
        <x:v>RPROV237</x:v>
      </x:c>
      <x:c r="B1475" s="33" t="str">
        <x:v>Provision Master</x:v>
      </x:c>
      <x:c r="C1475" s="33" t="str">
        <x:v>Law ID=LAW001; Provision Category=Operational; Statutory Reference=; Remarks=</x:v>
      </x:c>
      <x:c r="D147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75" s="33" t="str">
        <x:v>CORRECT / RECLASSIFY</x:v>
      </x:c>
      <x:c r="F1475" s="33" t="str">
        <x:v>Correct technical citations, remove false direct duties and reclassify non-statutory/entity controls.</x:v>
      </x:c>
      <x:c r="G1475" s="33" t="str">
        <x:v>P-4 official-source validation</x:v>
      </x:c>
      <x:c r="H147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75" s="33" t="str">
        <x:v>P-4</x:v>
      </x:c>
      <x:c r="J1475" s="33" t="str">
        <x:v>2026-08-20</x:v>
      </x:c>
      <x:c r="K1475" s="33" t="str">
        <x:v>Provision IDs preserved; legal force and parentage corrected.</x:v>
      </x:c>
    </x:row>
    <x:row r="1476">
      <x:c r="A1476" s="33" t="str">
        <x:v>RPROV238</x:v>
      </x:c>
      <x:c r="B1476" s="33" t="str">
        <x:v>Provision Master</x:v>
      </x:c>
      <x:c r="C1476" s="33" t="str">
        <x:v>Law ID=LAW002; Provision Category=Operational; Statutory Reference=; Remarks=</x:v>
      </x:c>
      <x:c r="D147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76" s="33" t="str">
        <x:v>CORRECT / RECLASSIFY</x:v>
      </x:c>
      <x:c r="F1476" s="33" t="str">
        <x:v>Correct technical citations, remove false direct duties and reclassify non-statutory/entity controls.</x:v>
      </x:c>
      <x:c r="G1476" s="33" t="str">
        <x:v>P-4 official-source validation</x:v>
      </x:c>
      <x:c r="H147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76" s="33" t="str">
        <x:v>P-4</x:v>
      </x:c>
      <x:c r="J1476" s="33" t="str">
        <x:v>2026-08-20</x:v>
      </x:c>
      <x:c r="K1476" s="33" t="str">
        <x:v>Provision IDs preserved; legal force and parentage corrected.</x:v>
      </x:c>
    </x:row>
    <x:row r="1477">
      <x:c r="A1477" s="33" t="str">
        <x:v>RPROV239</x:v>
      </x:c>
      <x:c r="B1477" s="33" t="str">
        <x:v>Provision Master</x:v>
      </x:c>
      <x:c r="C1477" s="33" t="str">
        <x:v>Law ID=LAW004; Provision Category=Operational; Statutory Reference=; Remarks=</x:v>
      </x:c>
      <x:c r="D147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77" s="33" t="str">
        <x:v>CORRECT / RECLASSIFY</x:v>
      </x:c>
      <x:c r="F1477" s="33" t="str">
        <x:v>Correct technical citations, remove false direct duties and reclassify non-statutory/entity controls.</x:v>
      </x:c>
      <x:c r="G1477" s="33" t="str">
        <x:v>P-4 official-source validation</x:v>
      </x:c>
      <x:c r="H147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77" s="33" t="str">
        <x:v>P-4</x:v>
      </x:c>
      <x:c r="J1477" s="33" t="str">
        <x:v>2026-08-20</x:v>
      </x:c>
      <x:c r="K1477" s="33" t="str">
        <x:v>Provision IDs preserved; legal force and parentage corrected.</x:v>
      </x:c>
    </x:row>
    <x:row r="1478">
      <x:c r="A1478" s="33" t="str">
        <x:v>RPROV240</x:v>
      </x:c>
      <x:c r="B1478" s="33" t="str">
        <x:v>Provision Master</x:v>
      </x:c>
      <x:c r="C1478" s="33" t="str">
        <x:v>Law ID=LAW001; Provision Category=Operational; Statutory Reference=; Remarks=</x:v>
      </x:c>
      <x:c r="D147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78" s="33" t="str">
        <x:v>CORRECT / RECLASSIFY</x:v>
      </x:c>
      <x:c r="F1478" s="33" t="str">
        <x:v>Correct technical citations, remove false direct duties and reclassify non-statutory/entity controls.</x:v>
      </x:c>
      <x:c r="G1478" s="33" t="str">
        <x:v>P-4 official-source validation</x:v>
      </x:c>
      <x:c r="H147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78" s="33" t="str">
        <x:v>P-4</x:v>
      </x:c>
      <x:c r="J1478" s="33" t="str">
        <x:v>2026-08-20</x:v>
      </x:c>
      <x:c r="K1478" s="33" t="str">
        <x:v>Provision IDs preserved; legal force and parentage corrected.</x:v>
      </x:c>
    </x:row>
    <x:row r="1479">
      <x:c r="A1479" s="33" t="str">
        <x:v>WPROV001</x:v>
      </x:c>
      <x:c r="B1479" s="33" t="str">
        <x:v>Provision Master</x:v>
      </x:c>
      <x:c r="C1479" s="33" t="str">
        <x:v>Law ID=LAW001; Provision Category=Operational; Statutory Reference=; Remarks=</x:v>
      </x:c>
      <x:c r="D147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79" s="33" t="str">
        <x:v>CORRECT / RECLASSIFY</x:v>
      </x:c>
      <x:c r="F1479" s="33" t="str">
        <x:v>Correct technical citations, remove false direct duties and reclassify non-statutory/entity controls.</x:v>
      </x:c>
      <x:c r="G1479" s="33" t="str">
        <x:v>P-4 official-source validation</x:v>
      </x:c>
      <x:c r="H147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79" s="33" t="str">
        <x:v>P-4</x:v>
      </x:c>
      <x:c r="J1479" s="33" t="str">
        <x:v>2026-08-20</x:v>
      </x:c>
      <x:c r="K1479" s="33" t="str">
        <x:v>Provision IDs preserved; legal force and parentage corrected.</x:v>
      </x:c>
    </x:row>
    <x:row r="1480">
      <x:c r="A1480" s="33" t="str">
        <x:v>WPROV002</x:v>
      </x:c>
      <x:c r="B1480" s="33" t="str">
        <x:v>Provision Master</x:v>
      </x:c>
      <x:c r="C1480" s="33" t="str">
        <x:v>Law ID=LAW001; Provision Category=Operational; Statutory Reference=; Remarks=</x:v>
      </x:c>
      <x:c r="D148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80" s="33" t="str">
        <x:v>CORRECT / RECLASSIFY</x:v>
      </x:c>
      <x:c r="F1480" s="33" t="str">
        <x:v>Correct technical citations, remove false direct duties and reclassify non-statutory/entity controls.</x:v>
      </x:c>
      <x:c r="G1480" s="33" t="str">
        <x:v>P-4 official-source validation</x:v>
      </x:c>
      <x:c r="H148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80" s="33" t="str">
        <x:v>P-4</x:v>
      </x:c>
      <x:c r="J1480" s="33" t="str">
        <x:v>2026-08-20</x:v>
      </x:c>
      <x:c r="K1480" s="33" t="str">
        <x:v>Provision IDs preserved; legal force and parentage corrected.</x:v>
      </x:c>
    </x:row>
    <x:row r="1481">
      <x:c r="A1481" s="33" t="str">
        <x:v>WPROV003</x:v>
      </x:c>
      <x:c r="B1481" s="33" t="str">
        <x:v>Provision Master</x:v>
      </x:c>
      <x:c r="C1481" s="33" t="str">
        <x:v>Law ID=LAW001; Provision Category=Operational; Statutory Reference=; Remarks=</x:v>
      </x:c>
      <x:c r="D148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81" s="33" t="str">
        <x:v>CORRECT / RECLASSIFY</x:v>
      </x:c>
      <x:c r="F1481" s="33" t="str">
        <x:v>Correct technical citations, remove false direct duties and reclassify non-statutory/entity controls.</x:v>
      </x:c>
      <x:c r="G1481" s="33" t="str">
        <x:v>P-4 official-source validation</x:v>
      </x:c>
      <x:c r="H148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81" s="33" t="str">
        <x:v>P-4</x:v>
      </x:c>
      <x:c r="J1481" s="33" t="str">
        <x:v>2026-08-20</x:v>
      </x:c>
      <x:c r="K1481" s="33" t="str">
        <x:v>Provision IDs preserved; legal force and parentage corrected.</x:v>
      </x:c>
    </x:row>
    <x:row r="1482">
      <x:c r="A1482" s="33" t="str">
        <x:v>WPROV004</x:v>
      </x:c>
      <x:c r="B1482" s="33" t="str">
        <x:v>Provision Master</x:v>
      </x:c>
      <x:c r="C1482" s="33" t="str">
        <x:v>Law ID=LAW001; Provision Category=Operational; Statutory Reference=; Remarks=</x:v>
      </x:c>
      <x:c r="D148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82" s="33" t="str">
        <x:v>CORRECT / RECLASSIFY</x:v>
      </x:c>
      <x:c r="F1482" s="33" t="str">
        <x:v>Correct technical citations, remove false direct duties and reclassify non-statutory/entity controls.</x:v>
      </x:c>
      <x:c r="G1482" s="33" t="str">
        <x:v>P-4 official-source validation</x:v>
      </x:c>
      <x:c r="H148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82" s="33" t="str">
        <x:v>P-4</x:v>
      </x:c>
      <x:c r="J1482" s="33" t="str">
        <x:v>2026-08-20</x:v>
      </x:c>
      <x:c r="K1482" s="33" t="str">
        <x:v>Provision IDs preserved; legal force and parentage corrected.</x:v>
      </x:c>
    </x:row>
    <x:row r="1483">
      <x:c r="A1483" s="33" t="str">
        <x:v>WPROV005</x:v>
      </x:c>
      <x:c r="B1483" s="33" t="str">
        <x:v>Provision Master</x:v>
      </x:c>
      <x:c r="C1483" s="33" t="str">
        <x:v>Law ID=LAW001; Provision Category=Operational; Statutory Reference=; Remarks=</x:v>
      </x:c>
      <x:c r="D148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83" s="33" t="str">
        <x:v>CORRECT / RECLASSIFY</x:v>
      </x:c>
      <x:c r="F1483" s="33" t="str">
        <x:v>Correct technical citations, remove false direct duties and reclassify non-statutory/entity controls.</x:v>
      </x:c>
      <x:c r="G1483" s="33" t="str">
        <x:v>P-4 official-source validation</x:v>
      </x:c>
      <x:c r="H148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83" s="33" t="str">
        <x:v>P-4</x:v>
      </x:c>
      <x:c r="J1483" s="33" t="str">
        <x:v>2026-08-20</x:v>
      </x:c>
      <x:c r="K1483" s="33" t="str">
        <x:v>Provision IDs preserved; legal force and parentage corrected.</x:v>
      </x:c>
    </x:row>
    <x:row r="1484">
      <x:c r="A1484" s="33" t="str">
        <x:v>WPROV006</x:v>
      </x:c>
      <x:c r="B1484" s="33" t="str">
        <x:v>Provision Master</x:v>
      </x:c>
      <x:c r="C1484" s="33" t="str">
        <x:v>Law ID=LAW001; Provision Category=Operational; Statutory Reference=; Remarks=</x:v>
      </x:c>
      <x:c r="D148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84" s="33" t="str">
        <x:v>CORRECT / RECLASSIFY</x:v>
      </x:c>
      <x:c r="F1484" s="33" t="str">
        <x:v>Correct technical citations, remove false direct duties and reclassify non-statutory/entity controls.</x:v>
      </x:c>
      <x:c r="G1484" s="33" t="str">
        <x:v>P-4 official-source validation</x:v>
      </x:c>
      <x:c r="H148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84" s="33" t="str">
        <x:v>P-4</x:v>
      </x:c>
      <x:c r="J1484" s="33" t="str">
        <x:v>2026-08-20</x:v>
      </x:c>
      <x:c r="K1484" s="33" t="str">
        <x:v>Provision IDs preserved; legal force and parentage corrected.</x:v>
      </x:c>
    </x:row>
    <x:row r="1485">
      <x:c r="A1485" s="33" t="str">
        <x:v>WPROV007</x:v>
      </x:c>
      <x:c r="B1485" s="33" t="str">
        <x:v>Provision Master</x:v>
      </x:c>
      <x:c r="C1485" s="33" t="str">
        <x:v>Law ID=LAW001; Provision Category=Operational; Statutory Reference=; Remarks=</x:v>
      </x:c>
      <x:c r="D148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85" s="33" t="str">
        <x:v>CORRECT / RECLASSIFY</x:v>
      </x:c>
      <x:c r="F1485" s="33" t="str">
        <x:v>Correct technical citations, remove false direct duties and reclassify non-statutory/entity controls.</x:v>
      </x:c>
      <x:c r="G1485" s="33" t="str">
        <x:v>P-4 official-source validation</x:v>
      </x:c>
      <x:c r="H148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85" s="33" t="str">
        <x:v>P-4</x:v>
      </x:c>
      <x:c r="J1485" s="33" t="str">
        <x:v>2026-08-20</x:v>
      </x:c>
      <x:c r="K1485" s="33" t="str">
        <x:v>Provision IDs preserved; legal force and parentage corrected.</x:v>
      </x:c>
    </x:row>
    <x:row r="1486">
      <x:c r="A1486" s="33" t="str">
        <x:v>WPROV008</x:v>
      </x:c>
      <x:c r="B1486" s="33" t="str">
        <x:v>Provision Master</x:v>
      </x:c>
      <x:c r="C1486" s="33" t="str">
        <x:v>Law ID=LAW001; Provision Category=Operational; Statutory Reference=; Remarks=</x:v>
      </x:c>
      <x:c r="D148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86" s="33" t="str">
        <x:v>CORRECT / RECLASSIFY</x:v>
      </x:c>
      <x:c r="F1486" s="33" t="str">
        <x:v>Correct technical citations, remove false direct duties and reclassify non-statutory/entity controls.</x:v>
      </x:c>
      <x:c r="G1486" s="33" t="str">
        <x:v>P-4 official-source validation</x:v>
      </x:c>
      <x:c r="H148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86" s="33" t="str">
        <x:v>P-4</x:v>
      </x:c>
      <x:c r="J1486" s="33" t="str">
        <x:v>2026-08-20</x:v>
      </x:c>
      <x:c r="K1486" s="33" t="str">
        <x:v>Provision IDs preserved; legal force and parentage corrected.</x:v>
      </x:c>
    </x:row>
    <x:row r="1487">
      <x:c r="A1487" s="33" t="str">
        <x:v>WPROV009</x:v>
      </x:c>
      <x:c r="B1487" s="33" t="str">
        <x:v>Provision Master</x:v>
      </x:c>
      <x:c r="C1487" s="33" t="str">
        <x:v>Law ID=LAW001; Provision Category=Operational; Statutory Reference=; Remarks=</x:v>
      </x:c>
      <x:c r="D148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87" s="33" t="str">
        <x:v>CORRECT / RECLASSIFY</x:v>
      </x:c>
      <x:c r="F1487" s="33" t="str">
        <x:v>Correct technical citations, remove false direct duties and reclassify non-statutory/entity controls.</x:v>
      </x:c>
      <x:c r="G1487" s="33" t="str">
        <x:v>P-4 official-source validation</x:v>
      </x:c>
      <x:c r="H148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87" s="33" t="str">
        <x:v>P-4</x:v>
      </x:c>
      <x:c r="J1487" s="33" t="str">
        <x:v>2026-08-20</x:v>
      </x:c>
      <x:c r="K1487" s="33" t="str">
        <x:v>Provision IDs preserved; legal force and parentage corrected.</x:v>
      </x:c>
    </x:row>
    <x:row r="1488">
      <x:c r="A1488" s="33" t="str">
        <x:v>WPROV010</x:v>
      </x:c>
      <x:c r="B1488" s="33" t="str">
        <x:v>Provision Master</x:v>
      </x:c>
      <x:c r="C1488" s="33" t="str">
        <x:v>Law ID=LAW001; Provision Category=Operational; Statutory Reference=; Remarks=</x:v>
      </x:c>
      <x:c r="D148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88" s="33" t="str">
        <x:v>CORRECT / RECLASSIFY</x:v>
      </x:c>
      <x:c r="F1488" s="33" t="str">
        <x:v>Correct technical citations, remove false direct duties and reclassify non-statutory/entity controls.</x:v>
      </x:c>
      <x:c r="G1488" s="33" t="str">
        <x:v>P-4 official-source validation</x:v>
      </x:c>
      <x:c r="H148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88" s="33" t="str">
        <x:v>P-4</x:v>
      </x:c>
      <x:c r="J1488" s="33" t="str">
        <x:v>2026-08-20</x:v>
      </x:c>
      <x:c r="K1488" s="33" t="str">
        <x:v>Provision IDs preserved; legal force and parentage corrected.</x:v>
      </x:c>
    </x:row>
    <x:row r="1489">
      <x:c r="A1489" s="33" t="str">
        <x:v>WPROV011</x:v>
      </x:c>
      <x:c r="B1489" s="33" t="str">
        <x:v>Provision Master</x:v>
      </x:c>
      <x:c r="C1489" s="33" t="str">
        <x:v>Law ID=LAW001; Provision Category=Operational; Statutory Reference=; Remarks=</x:v>
      </x:c>
      <x:c r="D148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89" s="33" t="str">
        <x:v>CORRECT / RECLASSIFY</x:v>
      </x:c>
      <x:c r="F1489" s="33" t="str">
        <x:v>Correct technical citations, remove false direct duties and reclassify non-statutory/entity controls.</x:v>
      </x:c>
      <x:c r="G1489" s="33" t="str">
        <x:v>P-4 official-source validation</x:v>
      </x:c>
      <x:c r="H148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89" s="33" t="str">
        <x:v>P-4</x:v>
      </x:c>
      <x:c r="J1489" s="33" t="str">
        <x:v>2026-08-20</x:v>
      </x:c>
      <x:c r="K1489" s="33" t="str">
        <x:v>Provision IDs preserved; legal force and parentage corrected.</x:v>
      </x:c>
    </x:row>
    <x:row r="1490">
      <x:c r="A1490" s="33" t="str">
        <x:v>WPROV012</x:v>
      </x:c>
      <x:c r="B1490" s="33" t="str">
        <x:v>Provision Master</x:v>
      </x:c>
      <x:c r="C1490" s="33" t="str">
        <x:v>Law ID=LAW001; Provision Category=Operational; Statutory Reference=; Remarks=</x:v>
      </x:c>
      <x:c r="D149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90" s="33" t="str">
        <x:v>CORRECT / RECLASSIFY</x:v>
      </x:c>
      <x:c r="F1490" s="33" t="str">
        <x:v>Correct technical citations, remove false direct duties and reclassify non-statutory/entity controls.</x:v>
      </x:c>
      <x:c r="G1490" s="33" t="str">
        <x:v>P-4 official-source validation</x:v>
      </x:c>
      <x:c r="H149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90" s="33" t="str">
        <x:v>P-4</x:v>
      </x:c>
      <x:c r="J1490" s="33" t="str">
        <x:v>2026-08-20</x:v>
      </x:c>
      <x:c r="K1490" s="33" t="str">
        <x:v>Provision IDs preserved; legal force and parentage corrected.</x:v>
      </x:c>
    </x:row>
    <x:row r="1491">
      <x:c r="A1491" s="33" t="str">
        <x:v>WPROV013</x:v>
      </x:c>
      <x:c r="B1491" s="33" t="str">
        <x:v>Provision Master</x:v>
      </x:c>
      <x:c r="C1491" s="33" t="str">
        <x:v>Law ID=LAW001; Provision Category=Operational; Statutory Reference=; Remarks=</x:v>
      </x:c>
      <x:c r="D149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91" s="33" t="str">
        <x:v>CORRECT / RECLASSIFY</x:v>
      </x:c>
      <x:c r="F1491" s="33" t="str">
        <x:v>Correct technical citations, remove false direct duties and reclassify non-statutory/entity controls.</x:v>
      </x:c>
      <x:c r="G1491" s="33" t="str">
        <x:v>P-4 official-source validation</x:v>
      </x:c>
      <x:c r="H149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91" s="33" t="str">
        <x:v>P-4</x:v>
      </x:c>
      <x:c r="J1491" s="33" t="str">
        <x:v>2026-08-20</x:v>
      </x:c>
      <x:c r="K1491" s="33" t="str">
        <x:v>Provision IDs preserved; legal force and parentage corrected.</x:v>
      </x:c>
    </x:row>
    <x:row r="1492">
      <x:c r="A1492" s="33" t="str">
        <x:v>WPROV014</x:v>
      </x:c>
      <x:c r="B1492" s="33" t="str">
        <x:v>Provision Master</x:v>
      </x:c>
      <x:c r="C1492" s="33" t="str">
        <x:v>Law ID=LAW001; Provision Category=Operational; Statutory Reference=; Remarks=</x:v>
      </x:c>
      <x:c r="D149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92" s="33" t="str">
        <x:v>CORRECT / RECLASSIFY</x:v>
      </x:c>
      <x:c r="F1492" s="33" t="str">
        <x:v>Correct technical citations, remove false direct duties and reclassify non-statutory/entity controls.</x:v>
      </x:c>
      <x:c r="G1492" s="33" t="str">
        <x:v>P-4 official-source validation</x:v>
      </x:c>
      <x:c r="H149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92" s="33" t="str">
        <x:v>P-4</x:v>
      </x:c>
      <x:c r="J1492" s="33" t="str">
        <x:v>2026-08-20</x:v>
      </x:c>
      <x:c r="K1492" s="33" t="str">
        <x:v>Provision IDs preserved; legal force and parentage corrected.</x:v>
      </x:c>
    </x:row>
    <x:row r="1493">
      <x:c r="A1493" s="33" t="str">
        <x:v>WPROV015</x:v>
      </x:c>
      <x:c r="B1493" s="33" t="str">
        <x:v>Provision Master</x:v>
      </x:c>
      <x:c r="C1493" s="33" t="str">
        <x:v>Law ID=LAW001; Provision Category=Operational; Statutory Reference=; Remarks=</x:v>
      </x:c>
      <x:c r="D149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93" s="33" t="str">
        <x:v>CORRECT / RECLASSIFY</x:v>
      </x:c>
      <x:c r="F1493" s="33" t="str">
        <x:v>Correct technical citations, remove false direct duties and reclassify non-statutory/entity controls.</x:v>
      </x:c>
      <x:c r="G1493" s="33" t="str">
        <x:v>P-4 official-source validation</x:v>
      </x:c>
      <x:c r="H149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93" s="33" t="str">
        <x:v>P-4</x:v>
      </x:c>
      <x:c r="J1493" s="33" t="str">
        <x:v>2026-08-20</x:v>
      </x:c>
      <x:c r="K1493" s="33" t="str">
        <x:v>Provision IDs preserved; legal force and parentage corrected.</x:v>
      </x:c>
    </x:row>
    <x:row r="1494">
      <x:c r="A1494" s="33" t="str">
        <x:v>WPROV016</x:v>
      </x:c>
      <x:c r="B1494" s="33" t="str">
        <x:v>Provision Master</x:v>
      </x:c>
      <x:c r="C1494" s="33" t="str">
        <x:v>Law ID=LAW001; Provision Category=Operational; Statutory Reference=; Remarks=</x:v>
      </x:c>
      <x:c r="D149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94" s="33" t="str">
        <x:v>CORRECT / RECLASSIFY</x:v>
      </x:c>
      <x:c r="F1494" s="33" t="str">
        <x:v>Correct technical citations, remove false direct duties and reclassify non-statutory/entity controls.</x:v>
      </x:c>
      <x:c r="G1494" s="33" t="str">
        <x:v>P-4 official-source validation</x:v>
      </x:c>
      <x:c r="H149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94" s="33" t="str">
        <x:v>P-4</x:v>
      </x:c>
      <x:c r="J1494" s="33" t="str">
        <x:v>2026-08-20</x:v>
      </x:c>
      <x:c r="K1494" s="33" t="str">
        <x:v>Provision IDs preserved; legal force and parentage corrected.</x:v>
      </x:c>
    </x:row>
    <x:row r="1495">
      <x:c r="A1495" s="33" t="str">
        <x:v>WPROV017</x:v>
      </x:c>
      <x:c r="B1495" s="33" t="str">
        <x:v>Provision Master</x:v>
      </x:c>
      <x:c r="C1495" s="33" t="str">
        <x:v>Law ID=LAW001; Provision Category=Operational; Statutory Reference=; Remarks=</x:v>
      </x:c>
      <x:c r="D149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95" s="33" t="str">
        <x:v>CORRECT / RECLASSIFY</x:v>
      </x:c>
      <x:c r="F1495" s="33" t="str">
        <x:v>Correct technical citations, remove false direct duties and reclassify non-statutory/entity controls.</x:v>
      </x:c>
      <x:c r="G1495" s="33" t="str">
        <x:v>P-4 official-source validation</x:v>
      </x:c>
      <x:c r="H149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95" s="33" t="str">
        <x:v>P-4</x:v>
      </x:c>
      <x:c r="J1495" s="33" t="str">
        <x:v>2026-08-20</x:v>
      </x:c>
      <x:c r="K1495" s="33" t="str">
        <x:v>Provision IDs preserved; legal force and parentage corrected.</x:v>
      </x:c>
    </x:row>
    <x:row r="1496">
      <x:c r="A1496" s="33" t="str">
        <x:v>WPROV018</x:v>
      </x:c>
      <x:c r="B1496" s="33" t="str">
        <x:v>Provision Master</x:v>
      </x:c>
      <x:c r="C1496" s="33" t="str">
        <x:v>Law ID=LAW001; Provision Category=Operational; Statutory Reference=; Remarks=</x:v>
      </x:c>
      <x:c r="D149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96" s="33" t="str">
        <x:v>CORRECT / RECLASSIFY</x:v>
      </x:c>
      <x:c r="F1496" s="33" t="str">
        <x:v>Correct technical citations, remove false direct duties and reclassify non-statutory/entity controls.</x:v>
      </x:c>
      <x:c r="G1496" s="33" t="str">
        <x:v>P-4 official-source validation</x:v>
      </x:c>
      <x:c r="H149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96" s="33" t="str">
        <x:v>P-4</x:v>
      </x:c>
      <x:c r="J1496" s="33" t="str">
        <x:v>2026-08-20</x:v>
      </x:c>
      <x:c r="K1496" s="33" t="str">
        <x:v>Provision IDs preserved; legal force and parentage corrected.</x:v>
      </x:c>
    </x:row>
    <x:row r="1497">
      <x:c r="A1497" s="33" t="str">
        <x:v>WPROV019</x:v>
      </x:c>
      <x:c r="B1497" s="33" t="str">
        <x:v>Provision Master</x:v>
      </x:c>
      <x:c r="C1497" s="33" t="str">
        <x:v>Law ID=LAW001; Provision Category=Operational; Statutory Reference=; Remarks=</x:v>
      </x:c>
      <x:c r="D149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97" s="33" t="str">
        <x:v>CORRECT / RECLASSIFY</x:v>
      </x:c>
      <x:c r="F1497" s="33" t="str">
        <x:v>Correct technical citations, remove false direct duties and reclassify non-statutory/entity controls.</x:v>
      </x:c>
      <x:c r="G1497" s="33" t="str">
        <x:v>P-4 official-source validation</x:v>
      </x:c>
      <x:c r="H149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97" s="33" t="str">
        <x:v>P-4</x:v>
      </x:c>
      <x:c r="J1497" s="33" t="str">
        <x:v>2026-08-20</x:v>
      </x:c>
      <x:c r="K1497" s="33" t="str">
        <x:v>Provision IDs preserved; legal force and parentage corrected.</x:v>
      </x:c>
    </x:row>
    <x:row r="1498">
      <x:c r="A1498" s="33" t="str">
        <x:v>WPROV020</x:v>
      </x:c>
      <x:c r="B1498" s="33" t="str">
        <x:v>Provision Master</x:v>
      </x:c>
      <x:c r="C1498" s="33" t="str">
        <x:v>Law ID=LAW001; Provision Category=Operational; Statutory Reference=; Remarks=</x:v>
      </x:c>
      <x:c r="D149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98" s="33" t="str">
        <x:v>CORRECT / RECLASSIFY</x:v>
      </x:c>
      <x:c r="F1498" s="33" t="str">
        <x:v>Correct technical citations, remove false direct duties and reclassify non-statutory/entity controls.</x:v>
      </x:c>
      <x:c r="G1498" s="33" t="str">
        <x:v>P-4 official-source validation</x:v>
      </x:c>
      <x:c r="H149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98" s="33" t="str">
        <x:v>P-4</x:v>
      </x:c>
      <x:c r="J1498" s="33" t="str">
        <x:v>2026-08-20</x:v>
      </x:c>
      <x:c r="K1498" s="33" t="str">
        <x:v>Provision IDs preserved; legal force and parentage corrected.</x:v>
      </x:c>
    </x:row>
    <x:row r="1499">
      <x:c r="A1499" s="33" t="str">
        <x:v>HOSPROV001</x:v>
      </x:c>
      <x:c r="B1499" s="33" t="str">
        <x:v>Provision Master</x:v>
      </x:c>
      <x:c r="C1499" s="33" t="str">
        <x:v>Law ID=LAW001; Provision Category=Operational; Statutory Reference=; Remarks=</x:v>
      </x:c>
      <x:c r="D149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499" s="33" t="str">
        <x:v>CORRECT / RECLASSIFY</x:v>
      </x:c>
      <x:c r="F1499" s="33" t="str">
        <x:v>Correct technical citations, remove false direct duties and reclassify non-statutory/entity controls.</x:v>
      </x:c>
      <x:c r="G1499" s="33" t="str">
        <x:v>P-4 official-source validation</x:v>
      </x:c>
      <x:c r="H149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499" s="33" t="str">
        <x:v>P-4</x:v>
      </x:c>
      <x:c r="J1499" s="33" t="str">
        <x:v>2026-08-20</x:v>
      </x:c>
      <x:c r="K1499" s="33" t="str">
        <x:v>Provision IDs preserved; legal force and parentage corrected.</x:v>
      </x:c>
    </x:row>
    <x:row r="1500">
      <x:c r="A1500" s="33" t="str">
        <x:v>HOSPROV002</x:v>
      </x:c>
      <x:c r="B1500" s="33" t="str">
        <x:v>Provision Master</x:v>
      </x:c>
      <x:c r="C1500" s="33" t="str">
        <x:v>Law ID=LAW001; Provision Category=Operational; Statutory Reference=; Remarks=</x:v>
      </x:c>
      <x:c r="D150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00" s="33" t="str">
        <x:v>CORRECT / RECLASSIFY</x:v>
      </x:c>
      <x:c r="F1500" s="33" t="str">
        <x:v>Correct technical citations, remove false direct duties and reclassify non-statutory/entity controls.</x:v>
      </x:c>
      <x:c r="G1500" s="33" t="str">
        <x:v>P-4 official-source validation</x:v>
      </x:c>
      <x:c r="H150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00" s="33" t="str">
        <x:v>P-4</x:v>
      </x:c>
      <x:c r="J1500" s="33" t="str">
        <x:v>2026-08-20</x:v>
      </x:c>
      <x:c r="K1500" s="33" t="str">
        <x:v>Provision IDs preserved; legal force and parentage corrected.</x:v>
      </x:c>
    </x:row>
    <x:row r="1501">
      <x:c r="A1501" s="33" t="str">
        <x:v>HOSPROV003</x:v>
      </x:c>
      <x:c r="B1501" s="33" t="str">
        <x:v>Provision Master</x:v>
      </x:c>
      <x:c r="C1501" s="33" t="str">
        <x:v>Law ID=LAW001; Provision Category=Operational; Statutory Reference=; Remarks=</x:v>
      </x:c>
      <x:c r="D150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01" s="33" t="str">
        <x:v>CORRECT / RECLASSIFY</x:v>
      </x:c>
      <x:c r="F1501" s="33" t="str">
        <x:v>Correct technical citations, remove false direct duties and reclassify non-statutory/entity controls.</x:v>
      </x:c>
      <x:c r="G1501" s="33" t="str">
        <x:v>P-4 official-source validation</x:v>
      </x:c>
      <x:c r="H150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01" s="33" t="str">
        <x:v>P-4</x:v>
      </x:c>
      <x:c r="J1501" s="33" t="str">
        <x:v>2026-08-20</x:v>
      </x:c>
      <x:c r="K1501" s="33" t="str">
        <x:v>Provision IDs preserved; legal force and parentage corrected.</x:v>
      </x:c>
    </x:row>
    <x:row r="1502">
      <x:c r="A1502" s="33" t="str">
        <x:v>HOSPROV004</x:v>
      </x:c>
      <x:c r="B1502" s="33" t="str">
        <x:v>Provision Master</x:v>
      </x:c>
      <x:c r="C1502" s="33" t="str">
        <x:v>Law ID=LAW001; Provision Category=Operational; Statutory Reference=; Remarks=</x:v>
      </x:c>
      <x:c r="D150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02" s="33" t="str">
        <x:v>CORRECT / RECLASSIFY</x:v>
      </x:c>
      <x:c r="F1502" s="33" t="str">
        <x:v>Correct technical citations, remove false direct duties and reclassify non-statutory/entity controls.</x:v>
      </x:c>
      <x:c r="G1502" s="33" t="str">
        <x:v>P-4 official-source validation</x:v>
      </x:c>
      <x:c r="H150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02" s="33" t="str">
        <x:v>P-4</x:v>
      </x:c>
      <x:c r="J1502" s="33" t="str">
        <x:v>2026-08-20</x:v>
      </x:c>
      <x:c r="K1502" s="33" t="str">
        <x:v>Provision IDs preserved; legal force and parentage corrected.</x:v>
      </x:c>
    </x:row>
    <x:row r="1503">
      <x:c r="A1503" s="33" t="str">
        <x:v>HOSPROV005</x:v>
      </x:c>
      <x:c r="B1503" s="33" t="str">
        <x:v>Provision Master</x:v>
      </x:c>
      <x:c r="C1503" s="33" t="str">
        <x:v>Law ID=LAW001; Provision Category=Operational; Statutory Reference=; Remarks=</x:v>
      </x:c>
      <x:c r="D150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03" s="33" t="str">
        <x:v>CORRECT / RECLASSIFY</x:v>
      </x:c>
      <x:c r="F1503" s="33" t="str">
        <x:v>Correct technical citations, remove false direct duties and reclassify non-statutory/entity controls.</x:v>
      </x:c>
      <x:c r="G1503" s="33" t="str">
        <x:v>P-4 official-source validation</x:v>
      </x:c>
      <x:c r="H150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03" s="33" t="str">
        <x:v>P-4</x:v>
      </x:c>
      <x:c r="J1503" s="33" t="str">
        <x:v>2026-08-20</x:v>
      </x:c>
      <x:c r="K1503" s="33" t="str">
        <x:v>Provision IDs preserved; legal force and parentage corrected.</x:v>
      </x:c>
    </x:row>
    <x:row r="1504">
      <x:c r="A1504" s="33" t="str">
        <x:v>HOSPROV006</x:v>
      </x:c>
      <x:c r="B1504" s="33" t="str">
        <x:v>Provision Master</x:v>
      </x:c>
      <x:c r="C1504" s="33" t="str">
        <x:v>Law ID=LAW001; Provision Category=Operational; Statutory Reference=; Remarks=</x:v>
      </x:c>
      <x:c r="D150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04" s="33" t="str">
        <x:v>CORRECT / RECLASSIFY</x:v>
      </x:c>
      <x:c r="F1504" s="33" t="str">
        <x:v>Correct technical citations, remove false direct duties and reclassify non-statutory/entity controls.</x:v>
      </x:c>
      <x:c r="G1504" s="33" t="str">
        <x:v>P-4 official-source validation</x:v>
      </x:c>
      <x:c r="H150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04" s="33" t="str">
        <x:v>P-4</x:v>
      </x:c>
      <x:c r="J1504" s="33" t="str">
        <x:v>2026-08-20</x:v>
      </x:c>
      <x:c r="K1504" s="33" t="str">
        <x:v>Provision IDs preserved; legal force and parentage corrected.</x:v>
      </x:c>
    </x:row>
    <x:row r="1505">
      <x:c r="A1505" s="33" t="str">
        <x:v>HOSPROV007</x:v>
      </x:c>
      <x:c r="B1505" s="33" t="str">
        <x:v>Provision Master</x:v>
      </x:c>
      <x:c r="C1505" s="33" t="str">
        <x:v>Law ID=LAW001; Provision Category=Operational; Statutory Reference=; Remarks=</x:v>
      </x:c>
      <x:c r="D150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05" s="33" t="str">
        <x:v>CORRECT / RECLASSIFY</x:v>
      </x:c>
      <x:c r="F1505" s="33" t="str">
        <x:v>Correct technical citations, remove false direct duties and reclassify non-statutory/entity controls.</x:v>
      </x:c>
      <x:c r="G1505" s="33" t="str">
        <x:v>P-4 official-source validation</x:v>
      </x:c>
      <x:c r="H150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05" s="33" t="str">
        <x:v>P-4</x:v>
      </x:c>
      <x:c r="J1505" s="33" t="str">
        <x:v>2026-08-20</x:v>
      </x:c>
      <x:c r="K1505" s="33" t="str">
        <x:v>Provision IDs preserved; legal force and parentage corrected.</x:v>
      </x:c>
    </x:row>
    <x:row r="1506">
      <x:c r="A1506" s="33" t="str">
        <x:v>HOSPROV008</x:v>
      </x:c>
      <x:c r="B1506" s="33" t="str">
        <x:v>Provision Master</x:v>
      </x:c>
      <x:c r="C1506" s="33" t="str">
        <x:v>Law ID=LAW001; Provision Category=Operational; Statutory Reference=; Remarks=</x:v>
      </x:c>
      <x:c r="D150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06" s="33" t="str">
        <x:v>CORRECT / RECLASSIFY</x:v>
      </x:c>
      <x:c r="F1506" s="33" t="str">
        <x:v>Correct technical citations, remove false direct duties and reclassify non-statutory/entity controls.</x:v>
      </x:c>
      <x:c r="G1506" s="33" t="str">
        <x:v>P-4 official-source validation</x:v>
      </x:c>
      <x:c r="H150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06" s="33" t="str">
        <x:v>P-4</x:v>
      </x:c>
      <x:c r="J1506" s="33" t="str">
        <x:v>2026-08-20</x:v>
      </x:c>
      <x:c r="K1506" s="33" t="str">
        <x:v>Provision IDs preserved; legal force and parentage corrected.</x:v>
      </x:c>
    </x:row>
    <x:row r="1507">
      <x:c r="A1507" s="33" t="str">
        <x:v>HOSPROV009</x:v>
      </x:c>
      <x:c r="B1507" s="33" t="str">
        <x:v>Provision Master</x:v>
      </x:c>
      <x:c r="C1507" s="33" t="str">
        <x:v>Law ID=LAW001; Provision Category=Operational; Statutory Reference=; Remarks=</x:v>
      </x:c>
      <x:c r="D150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07" s="33" t="str">
        <x:v>CORRECT / RECLASSIFY</x:v>
      </x:c>
      <x:c r="F1507" s="33" t="str">
        <x:v>Correct technical citations, remove false direct duties and reclassify non-statutory/entity controls.</x:v>
      </x:c>
      <x:c r="G1507" s="33" t="str">
        <x:v>P-4 official-source validation</x:v>
      </x:c>
      <x:c r="H150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07" s="33" t="str">
        <x:v>P-4</x:v>
      </x:c>
      <x:c r="J1507" s="33" t="str">
        <x:v>2026-08-20</x:v>
      </x:c>
      <x:c r="K1507" s="33" t="str">
        <x:v>Provision IDs preserved; legal force and parentage corrected.</x:v>
      </x:c>
    </x:row>
    <x:row r="1508">
      <x:c r="A1508" s="33" t="str">
        <x:v>HOSPROV010</x:v>
      </x:c>
      <x:c r="B1508" s="33" t="str">
        <x:v>Provision Master</x:v>
      </x:c>
      <x:c r="C1508" s="33" t="str">
        <x:v>Law ID=LAW001; Provision Category=Operational; Statutory Reference=; Remarks=</x:v>
      </x:c>
      <x:c r="D150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08" s="33" t="str">
        <x:v>CORRECT / RECLASSIFY</x:v>
      </x:c>
      <x:c r="F1508" s="33" t="str">
        <x:v>Correct technical citations, remove false direct duties and reclassify non-statutory/entity controls.</x:v>
      </x:c>
      <x:c r="G1508" s="33" t="str">
        <x:v>P-4 official-source validation</x:v>
      </x:c>
      <x:c r="H150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08" s="33" t="str">
        <x:v>P-4</x:v>
      </x:c>
      <x:c r="J1508" s="33" t="str">
        <x:v>2026-08-20</x:v>
      </x:c>
      <x:c r="K1508" s="33" t="str">
        <x:v>Provision IDs preserved; legal force and parentage corrected.</x:v>
      </x:c>
    </x:row>
    <x:row r="1509">
      <x:c r="A1509" s="33" t="str">
        <x:v>HOSPROV011</x:v>
      </x:c>
      <x:c r="B1509" s="33" t="str">
        <x:v>Provision Master</x:v>
      </x:c>
      <x:c r="C1509" s="33" t="str">
        <x:v>Law ID=LAW001; Provision Category=Operational; Statutory Reference=; Remarks=</x:v>
      </x:c>
      <x:c r="D150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09" s="33" t="str">
        <x:v>CORRECT / RECLASSIFY</x:v>
      </x:c>
      <x:c r="F1509" s="33" t="str">
        <x:v>Correct technical citations, remove false direct duties and reclassify non-statutory/entity controls.</x:v>
      </x:c>
      <x:c r="G1509" s="33" t="str">
        <x:v>P-4 official-source validation</x:v>
      </x:c>
      <x:c r="H150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09" s="33" t="str">
        <x:v>P-4</x:v>
      </x:c>
      <x:c r="J1509" s="33" t="str">
        <x:v>2026-08-20</x:v>
      </x:c>
      <x:c r="K1509" s="33" t="str">
        <x:v>Provision IDs preserved; legal force and parentage corrected.</x:v>
      </x:c>
    </x:row>
    <x:row r="1510">
      <x:c r="A1510" s="33" t="str">
        <x:v>HOSPROV012</x:v>
      </x:c>
      <x:c r="B1510" s="33" t="str">
        <x:v>Provision Master</x:v>
      </x:c>
      <x:c r="C1510" s="33" t="str">
        <x:v>Law ID=LAW001; Provision Category=Operational; Statutory Reference=; Remarks=</x:v>
      </x:c>
      <x:c r="D151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10" s="33" t="str">
        <x:v>CORRECT / RECLASSIFY</x:v>
      </x:c>
      <x:c r="F1510" s="33" t="str">
        <x:v>Correct technical citations, remove false direct duties and reclassify non-statutory/entity controls.</x:v>
      </x:c>
      <x:c r="G1510" s="33" t="str">
        <x:v>P-4 official-source validation</x:v>
      </x:c>
      <x:c r="H151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10" s="33" t="str">
        <x:v>P-4</x:v>
      </x:c>
      <x:c r="J1510" s="33" t="str">
        <x:v>2026-08-20</x:v>
      </x:c>
      <x:c r="K1510" s="33" t="str">
        <x:v>Provision IDs preserved; legal force and parentage corrected.</x:v>
      </x:c>
    </x:row>
    <x:row r="1511">
      <x:c r="A1511" s="33" t="str">
        <x:v>HOSPROV013</x:v>
      </x:c>
      <x:c r="B1511" s="33" t="str">
        <x:v>Provision Master</x:v>
      </x:c>
      <x:c r="C1511" s="33" t="str">
        <x:v>Law ID=LAW001; Provision Category=Operational; Statutory Reference=; Remarks=</x:v>
      </x:c>
      <x:c r="D151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11" s="33" t="str">
        <x:v>CORRECT / RECLASSIFY</x:v>
      </x:c>
      <x:c r="F1511" s="33" t="str">
        <x:v>Correct technical citations, remove false direct duties and reclassify non-statutory/entity controls.</x:v>
      </x:c>
      <x:c r="G1511" s="33" t="str">
        <x:v>P-4 official-source validation</x:v>
      </x:c>
      <x:c r="H151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11" s="33" t="str">
        <x:v>P-4</x:v>
      </x:c>
      <x:c r="J1511" s="33" t="str">
        <x:v>2026-08-20</x:v>
      </x:c>
      <x:c r="K1511" s="33" t="str">
        <x:v>Provision IDs preserved; legal force and parentage corrected.</x:v>
      </x:c>
    </x:row>
    <x:row r="1512">
      <x:c r="A1512" s="33" t="str">
        <x:v>HOSPROV014</x:v>
      </x:c>
      <x:c r="B1512" s="33" t="str">
        <x:v>Provision Master</x:v>
      </x:c>
      <x:c r="C1512" s="33" t="str">
        <x:v>Law ID=LAW001; Provision Category=Operational; Statutory Reference=; Remarks=</x:v>
      </x:c>
      <x:c r="D151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12" s="33" t="str">
        <x:v>CORRECT / RECLASSIFY</x:v>
      </x:c>
      <x:c r="F1512" s="33" t="str">
        <x:v>Correct technical citations, remove false direct duties and reclassify non-statutory/entity controls.</x:v>
      </x:c>
      <x:c r="G1512" s="33" t="str">
        <x:v>P-4 official-source validation</x:v>
      </x:c>
      <x:c r="H151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12" s="33" t="str">
        <x:v>P-4</x:v>
      </x:c>
      <x:c r="J1512" s="33" t="str">
        <x:v>2026-08-20</x:v>
      </x:c>
      <x:c r="K1512" s="33" t="str">
        <x:v>Provision IDs preserved; legal force and parentage corrected.</x:v>
      </x:c>
    </x:row>
    <x:row r="1513">
      <x:c r="A1513" s="33" t="str">
        <x:v>HOSPROV015</x:v>
      </x:c>
      <x:c r="B1513" s="33" t="str">
        <x:v>Provision Master</x:v>
      </x:c>
      <x:c r="C1513" s="33" t="str">
        <x:v>Law ID=LAW001; Provision Category=Operational; Statutory Reference=; Remarks=</x:v>
      </x:c>
      <x:c r="D151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13" s="33" t="str">
        <x:v>CORRECT / RECLASSIFY</x:v>
      </x:c>
      <x:c r="F1513" s="33" t="str">
        <x:v>Correct technical citations, remove false direct duties and reclassify non-statutory/entity controls.</x:v>
      </x:c>
      <x:c r="G1513" s="33" t="str">
        <x:v>P-4 official-source validation</x:v>
      </x:c>
      <x:c r="H151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13" s="33" t="str">
        <x:v>P-4</x:v>
      </x:c>
      <x:c r="J1513" s="33" t="str">
        <x:v>2026-08-20</x:v>
      </x:c>
      <x:c r="K1513" s="33" t="str">
        <x:v>Provision IDs preserved; legal force and parentage corrected.</x:v>
      </x:c>
    </x:row>
    <x:row r="1514">
      <x:c r="A1514" s="33" t="str">
        <x:v>HOSPROV016</x:v>
      </x:c>
      <x:c r="B1514" s="33" t="str">
        <x:v>Provision Master</x:v>
      </x:c>
      <x:c r="C1514" s="33" t="str">
        <x:v>Law ID=LAW001; Provision Category=Operational; Statutory Reference=; Remarks=</x:v>
      </x:c>
      <x:c r="D151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14" s="33" t="str">
        <x:v>CORRECT / RECLASSIFY</x:v>
      </x:c>
      <x:c r="F1514" s="33" t="str">
        <x:v>Correct technical citations, remove false direct duties and reclassify non-statutory/entity controls.</x:v>
      </x:c>
      <x:c r="G1514" s="33" t="str">
        <x:v>P-4 official-source validation</x:v>
      </x:c>
      <x:c r="H151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14" s="33" t="str">
        <x:v>P-4</x:v>
      </x:c>
      <x:c r="J1514" s="33" t="str">
        <x:v>2026-08-20</x:v>
      </x:c>
      <x:c r="K1514" s="33" t="str">
        <x:v>Provision IDs preserved; legal force and parentage corrected.</x:v>
      </x:c>
    </x:row>
    <x:row r="1515">
      <x:c r="A1515" s="33" t="str">
        <x:v>HOSPROV017</x:v>
      </x:c>
      <x:c r="B1515" s="33" t="str">
        <x:v>Provision Master</x:v>
      </x:c>
      <x:c r="C1515" s="33" t="str">
        <x:v>Law ID=LAW001; Provision Category=Operational; Statutory Reference=; Remarks=</x:v>
      </x:c>
      <x:c r="D151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15" s="33" t="str">
        <x:v>CORRECT / RECLASSIFY</x:v>
      </x:c>
      <x:c r="F1515" s="33" t="str">
        <x:v>Correct technical citations, remove false direct duties and reclassify non-statutory/entity controls.</x:v>
      </x:c>
      <x:c r="G1515" s="33" t="str">
        <x:v>P-4 official-source validation</x:v>
      </x:c>
      <x:c r="H151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15" s="33" t="str">
        <x:v>P-4</x:v>
      </x:c>
      <x:c r="J1515" s="33" t="str">
        <x:v>2026-08-20</x:v>
      </x:c>
      <x:c r="K1515" s="33" t="str">
        <x:v>Provision IDs preserved; legal force and parentage corrected.</x:v>
      </x:c>
    </x:row>
    <x:row r="1516">
      <x:c r="A1516" s="33" t="str">
        <x:v>HOSPROV018</x:v>
      </x:c>
      <x:c r="B1516" s="33" t="str">
        <x:v>Provision Master</x:v>
      </x:c>
      <x:c r="C1516" s="33" t="str">
        <x:v>Law ID=LAW001; Provision Category=Operational; Statutory Reference=; Remarks=</x:v>
      </x:c>
      <x:c r="D151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16" s="33" t="str">
        <x:v>CORRECT / RECLASSIFY</x:v>
      </x:c>
      <x:c r="F1516" s="33" t="str">
        <x:v>Correct technical citations, remove false direct duties and reclassify non-statutory/entity controls.</x:v>
      </x:c>
      <x:c r="G1516" s="33" t="str">
        <x:v>P-4 official-source validation</x:v>
      </x:c>
      <x:c r="H151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16" s="33" t="str">
        <x:v>P-4</x:v>
      </x:c>
      <x:c r="J1516" s="33" t="str">
        <x:v>2026-08-20</x:v>
      </x:c>
      <x:c r="K1516" s="33" t="str">
        <x:v>Provision IDs preserved; legal force and parentage corrected.</x:v>
      </x:c>
    </x:row>
    <x:row r="1517">
      <x:c r="A1517" s="33" t="str">
        <x:v>HOSPROV019</x:v>
      </x:c>
      <x:c r="B1517" s="33" t="str">
        <x:v>Provision Master</x:v>
      </x:c>
      <x:c r="C1517" s="33" t="str">
        <x:v>Law ID=LAW001; Provision Category=Operational; Statutory Reference=; Remarks=</x:v>
      </x:c>
      <x:c r="D151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17" s="33" t="str">
        <x:v>CORRECT / RECLASSIFY</x:v>
      </x:c>
      <x:c r="F1517" s="33" t="str">
        <x:v>Correct technical citations, remove false direct duties and reclassify non-statutory/entity controls.</x:v>
      </x:c>
      <x:c r="G1517" s="33" t="str">
        <x:v>P-4 official-source validation</x:v>
      </x:c>
      <x:c r="H151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17" s="33" t="str">
        <x:v>P-4</x:v>
      </x:c>
      <x:c r="J1517" s="33" t="str">
        <x:v>2026-08-20</x:v>
      </x:c>
      <x:c r="K1517" s="33" t="str">
        <x:v>Provision IDs preserved; legal force and parentage corrected.</x:v>
      </x:c>
    </x:row>
    <x:row r="1518">
      <x:c r="A1518" s="33" t="str">
        <x:v>HOSPROV020</x:v>
      </x:c>
      <x:c r="B1518" s="33" t="str">
        <x:v>Provision Master</x:v>
      </x:c>
      <x:c r="C1518" s="33" t="str">
        <x:v>Law ID=LAW001; Provision Category=Operational; Statutory Reference=; Remarks=</x:v>
      </x:c>
      <x:c r="D151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18" s="33" t="str">
        <x:v>CORRECT / RECLASSIFY</x:v>
      </x:c>
      <x:c r="F1518" s="33" t="str">
        <x:v>Correct technical citations, remove false direct duties and reclassify non-statutory/entity controls.</x:v>
      </x:c>
      <x:c r="G1518" s="33" t="str">
        <x:v>P-4 official-source validation</x:v>
      </x:c>
      <x:c r="H151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18" s="33" t="str">
        <x:v>P-4</x:v>
      </x:c>
      <x:c r="J1518" s="33" t="str">
        <x:v>2026-08-20</x:v>
      </x:c>
      <x:c r="K1518" s="33" t="str">
        <x:v>Provision IDs preserved; legal force and parentage corrected.</x:v>
      </x:c>
    </x:row>
    <x:row r="1519">
      <x:c r="A1519" s="33" t="str">
        <x:v>HOSPROV021</x:v>
      </x:c>
      <x:c r="B1519" s="33" t="str">
        <x:v>Provision Master</x:v>
      </x:c>
      <x:c r="C1519" s="33" t="str">
        <x:v>Law ID=LAW001; Provision Category=Operational; Statutory Reference=; Remarks=</x:v>
      </x:c>
      <x:c r="D151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19" s="33" t="str">
        <x:v>CORRECT / RECLASSIFY</x:v>
      </x:c>
      <x:c r="F1519" s="33" t="str">
        <x:v>Correct technical citations, remove false direct duties and reclassify non-statutory/entity controls.</x:v>
      </x:c>
      <x:c r="G1519" s="33" t="str">
        <x:v>P-4 official-source validation</x:v>
      </x:c>
      <x:c r="H151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19" s="33" t="str">
        <x:v>P-4</x:v>
      </x:c>
      <x:c r="J1519" s="33" t="str">
        <x:v>2026-08-20</x:v>
      </x:c>
      <x:c r="K1519" s="33" t="str">
        <x:v>Provision IDs preserved; legal force and parentage corrected.</x:v>
      </x:c>
    </x:row>
    <x:row r="1520">
      <x:c r="A1520" s="33" t="str">
        <x:v>HOSPROV022</x:v>
      </x:c>
      <x:c r="B1520" s="33" t="str">
        <x:v>Provision Master</x:v>
      </x:c>
      <x:c r="C1520" s="33" t="str">
        <x:v>Law ID=LAW001; Provision Category=Operational; Statutory Reference=; Remarks=</x:v>
      </x:c>
      <x:c r="D152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20" s="33" t="str">
        <x:v>CORRECT / RECLASSIFY</x:v>
      </x:c>
      <x:c r="F1520" s="33" t="str">
        <x:v>Correct technical citations, remove false direct duties and reclassify non-statutory/entity controls.</x:v>
      </x:c>
      <x:c r="G1520" s="33" t="str">
        <x:v>P-4 official-source validation</x:v>
      </x:c>
      <x:c r="H152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20" s="33" t="str">
        <x:v>P-4</x:v>
      </x:c>
      <x:c r="J1520" s="33" t="str">
        <x:v>2026-08-20</x:v>
      </x:c>
      <x:c r="K1520" s="33" t="str">
        <x:v>Provision IDs preserved; legal force and parentage corrected.</x:v>
      </x:c>
    </x:row>
    <x:row r="1521">
      <x:c r="A1521" s="33" t="str">
        <x:v>HOSPROV023</x:v>
      </x:c>
      <x:c r="B1521" s="33" t="str">
        <x:v>Provision Master</x:v>
      </x:c>
      <x:c r="C1521" s="33" t="str">
        <x:v>Law ID=LAW001; Provision Category=Operational; Statutory Reference=; Remarks=</x:v>
      </x:c>
      <x:c r="D152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21" s="33" t="str">
        <x:v>CORRECT / RECLASSIFY</x:v>
      </x:c>
      <x:c r="F1521" s="33" t="str">
        <x:v>Correct technical citations, remove false direct duties and reclassify non-statutory/entity controls.</x:v>
      </x:c>
      <x:c r="G1521" s="33" t="str">
        <x:v>P-4 official-source validation</x:v>
      </x:c>
      <x:c r="H152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21" s="33" t="str">
        <x:v>P-4</x:v>
      </x:c>
      <x:c r="J1521" s="33" t="str">
        <x:v>2026-08-20</x:v>
      </x:c>
      <x:c r="K1521" s="33" t="str">
        <x:v>Provision IDs preserved; legal force and parentage corrected.</x:v>
      </x:c>
    </x:row>
    <x:row r="1522">
      <x:c r="A1522" s="33" t="str">
        <x:v>HOSPROV024</x:v>
      </x:c>
      <x:c r="B1522" s="33" t="str">
        <x:v>Provision Master</x:v>
      </x:c>
      <x:c r="C1522" s="33" t="str">
        <x:v>Law ID=LAW001; Provision Category=Operational; Statutory Reference=; Remarks=</x:v>
      </x:c>
      <x:c r="D152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22" s="33" t="str">
        <x:v>CORRECT / RECLASSIFY</x:v>
      </x:c>
      <x:c r="F1522" s="33" t="str">
        <x:v>Correct technical citations, remove false direct duties and reclassify non-statutory/entity controls.</x:v>
      </x:c>
      <x:c r="G1522" s="33" t="str">
        <x:v>P-4 official-source validation</x:v>
      </x:c>
      <x:c r="H152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22" s="33" t="str">
        <x:v>P-4</x:v>
      </x:c>
      <x:c r="J1522" s="33" t="str">
        <x:v>2026-08-20</x:v>
      </x:c>
      <x:c r="K1522" s="33" t="str">
        <x:v>Provision IDs preserved; legal force and parentage corrected.</x:v>
      </x:c>
    </x:row>
    <x:row r="1523">
      <x:c r="A1523" s="33" t="str">
        <x:v>HOSPROV025</x:v>
      </x:c>
      <x:c r="B1523" s="33" t="str">
        <x:v>Provision Master</x:v>
      </x:c>
      <x:c r="C1523" s="33" t="str">
        <x:v>Law ID=LAW001; Provision Category=Operational; Statutory Reference=; Remarks=</x:v>
      </x:c>
      <x:c r="D152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23" s="33" t="str">
        <x:v>CORRECT / RECLASSIFY</x:v>
      </x:c>
      <x:c r="F1523" s="33" t="str">
        <x:v>Correct technical citations, remove false direct duties and reclassify non-statutory/entity controls.</x:v>
      </x:c>
      <x:c r="G1523" s="33" t="str">
        <x:v>P-4 official-source validation</x:v>
      </x:c>
      <x:c r="H152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23" s="33" t="str">
        <x:v>P-4</x:v>
      </x:c>
      <x:c r="J1523" s="33" t="str">
        <x:v>2026-08-20</x:v>
      </x:c>
      <x:c r="K1523" s="33" t="str">
        <x:v>Provision IDs preserved; legal force and parentage corrected.</x:v>
      </x:c>
    </x:row>
    <x:row r="1524">
      <x:c r="A1524" s="33" t="str">
        <x:v>HOSPROV026</x:v>
      </x:c>
      <x:c r="B1524" s="33" t="str">
        <x:v>Provision Master</x:v>
      </x:c>
      <x:c r="C1524" s="33" t="str">
        <x:v>Law ID=LAW001; Provision Category=Operational; Statutory Reference=; Remarks=</x:v>
      </x:c>
      <x:c r="D152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24" s="33" t="str">
        <x:v>CORRECT / RECLASSIFY</x:v>
      </x:c>
      <x:c r="F1524" s="33" t="str">
        <x:v>Correct technical citations, remove false direct duties and reclassify non-statutory/entity controls.</x:v>
      </x:c>
      <x:c r="G1524" s="33" t="str">
        <x:v>P-4 official-source validation</x:v>
      </x:c>
      <x:c r="H152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24" s="33" t="str">
        <x:v>P-4</x:v>
      </x:c>
      <x:c r="J1524" s="33" t="str">
        <x:v>2026-08-20</x:v>
      </x:c>
      <x:c r="K1524" s="33" t="str">
        <x:v>Provision IDs preserved; legal force and parentage corrected.</x:v>
      </x:c>
    </x:row>
    <x:row r="1525">
      <x:c r="A1525" s="33" t="str">
        <x:v>HOSPROV027</x:v>
      </x:c>
      <x:c r="B1525" s="33" t="str">
        <x:v>Provision Master</x:v>
      </x:c>
      <x:c r="C1525" s="33" t="str">
        <x:v>Law ID=LAW001; Provision Category=Operational; Statutory Reference=; Remarks=</x:v>
      </x:c>
      <x:c r="D152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25" s="33" t="str">
        <x:v>CORRECT / RECLASSIFY</x:v>
      </x:c>
      <x:c r="F1525" s="33" t="str">
        <x:v>Correct technical citations, remove false direct duties and reclassify non-statutory/entity controls.</x:v>
      </x:c>
      <x:c r="G1525" s="33" t="str">
        <x:v>P-4 official-source validation</x:v>
      </x:c>
      <x:c r="H152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25" s="33" t="str">
        <x:v>P-4</x:v>
      </x:c>
      <x:c r="J1525" s="33" t="str">
        <x:v>2026-08-20</x:v>
      </x:c>
      <x:c r="K1525" s="33" t="str">
        <x:v>Provision IDs preserved; legal force and parentage corrected.</x:v>
      </x:c>
    </x:row>
    <x:row r="1526">
      <x:c r="A1526" s="33" t="str">
        <x:v>HOSPROV028</x:v>
      </x:c>
      <x:c r="B1526" s="33" t="str">
        <x:v>Provision Master</x:v>
      </x:c>
      <x:c r="C1526" s="33" t="str">
        <x:v>Law ID=LAW001; Provision Category=Operational; Statutory Reference=; Remarks=</x:v>
      </x:c>
      <x:c r="D152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26" s="33" t="str">
        <x:v>CORRECT / RECLASSIFY</x:v>
      </x:c>
      <x:c r="F1526" s="33" t="str">
        <x:v>Correct technical citations, remove false direct duties and reclassify non-statutory/entity controls.</x:v>
      </x:c>
      <x:c r="G1526" s="33" t="str">
        <x:v>P-4 official-source validation</x:v>
      </x:c>
      <x:c r="H152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26" s="33" t="str">
        <x:v>P-4</x:v>
      </x:c>
      <x:c r="J1526" s="33" t="str">
        <x:v>2026-08-20</x:v>
      </x:c>
      <x:c r="K1526" s="33" t="str">
        <x:v>Provision IDs preserved; legal force and parentage corrected.</x:v>
      </x:c>
    </x:row>
    <x:row r="1527">
      <x:c r="A1527" s="33" t="str">
        <x:v>HOSPROV029</x:v>
      </x:c>
      <x:c r="B1527" s="33" t="str">
        <x:v>Provision Master</x:v>
      </x:c>
      <x:c r="C1527" s="33" t="str">
        <x:v>Law ID=LAW001; Provision Category=Operational; Statutory Reference=; Remarks=</x:v>
      </x:c>
      <x:c r="D152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27" s="33" t="str">
        <x:v>CORRECT / RECLASSIFY</x:v>
      </x:c>
      <x:c r="F1527" s="33" t="str">
        <x:v>Correct technical citations, remove false direct duties and reclassify non-statutory/entity controls.</x:v>
      </x:c>
      <x:c r="G1527" s="33" t="str">
        <x:v>P-4 official-source validation</x:v>
      </x:c>
      <x:c r="H152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27" s="33" t="str">
        <x:v>P-4</x:v>
      </x:c>
      <x:c r="J1527" s="33" t="str">
        <x:v>2026-08-20</x:v>
      </x:c>
      <x:c r="K1527" s="33" t="str">
        <x:v>Provision IDs preserved; legal force and parentage corrected.</x:v>
      </x:c>
    </x:row>
    <x:row r="1528">
      <x:c r="A1528" s="33" t="str">
        <x:v>HOSPROV030</x:v>
      </x:c>
      <x:c r="B1528" s="33" t="str">
        <x:v>Provision Master</x:v>
      </x:c>
      <x:c r="C1528" s="33" t="str">
        <x:v>Law ID=LAW001; Provision Category=Operational; Statutory Reference=; Remarks=</x:v>
      </x:c>
      <x:c r="D152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28" s="33" t="str">
        <x:v>CORRECT / RECLASSIFY</x:v>
      </x:c>
      <x:c r="F1528" s="33" t="str">
        <x:v>Correct technical citations, remove false direct duties and reclassify non-statutory/entity controls.</x:v>
      </x:c>
      <x:c r="G1528" s="33" t="str">
        <x:v>P-4 official-source validation</x:v>
      </x:c>
      <x:c r="H152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28" s="33" t="str">
        <x:v>P-4</x:v>
      </x:c>
      <x:c r="J1528" s="33" t="str">
        <x:v>2026-08-20</x:v>
      </x:c>
      <x:c r="K1528" s="33" t="str">
        <x:v>Provision IDs preserved; legal force and parentage corrected.</x:v>
      </x:c>
    </x:row>
    <x:row r="1529">
      <x:c r="A1529" s="33" t="str">
        <x:v>HOSPROV031</x:v>
      </x:c>
      <x:c r="B1529" s="33" t="str">
        <x:v>Provision Master</x:v>
      </x:c>
      <x:c r="C1529" s="33" t="str">
        <x:v>Law ID=LAW001; Provision Category=Operational; Statutory Reference=; Remarks=</x:v>
      </x:c>
      <x:c r="D152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29" s="33" t="str">
        <x:v>CORRECT / RECLASSIFY</x:v>
      </x:c>
      <x:c r="F1529" s="33" t="str">
        <x:v>Correct technical citations, remove false direct duties and reclassify non-statutory/entity controls.</x:v>
      </x:c>
      <x:c r="G1529" s="33" t="str">
        <x:v>P-4 official-source validation</x:v>
      </x:c>
      <x:c r="H152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29" s="33" t="str">
        <x:v>P-4</x:v>
      </x:c>
      <x:c r="J1529" s="33" t="str">
        <x:v>2026-08-20</x:v>
      </x:c>
      <x:c r="K1529" s="33" t="str">
        <x:v>Provision IDs preserved; legal force and parentage corrected.</x:v>
      </x:c>
    </x:row>
    <x:row r="1530">
      <x:c r="A1530" s="33" t="str">
        <x:v>HOSPROV032</x:v>
      </x:c>
      <x:c r="B1530" s="33" t="str">
        <x:v>Provision Master</x:v>
      </x:c>
      <x:c r="C1530" s="33" t="str">
        <x:v>Law ID=LAW001; Provision Category=Operational; Statutory Reference=; Remarks=</x:v>
      </x:c>
      <x:c r="D153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30" s="33" t="str">
        <x:v>CORRECT / RECLASSIFY</x:v>
      </x:c>
      <x:c r="F1530" s="33" t="str">
        <x:v>Correct technical citations, remove false direct duties and reclassify non-statutory/entity controls.</x:v>
      </x:c>
      <x:c r="G1530" s="33" t="str">
        <x:v>P-4 official-source validation</x:v>
      </x:c>
      <x:c r="H153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30" s="33" t="str">
        <x:v>P-4</x:v>
      </x:c>
      <x:c r="J1530" s="33" t="str">
        <x:v>2026-08-20</x:v>
      </x:c>
      <x:c r="K1530" s="33" t="str">
        <x:v>Provision IDs preserved; legal force and parentage corrected.</x:v>
      </x:c>
    </x:row>
    <x:row r="1531">
      <x:c r="A1531" s="33" t="str">
        <x:v>HOSPROV033</x:v>
      </x:c>
      <x:c r="B1531" s="33" t="str">
        <x:v>Provision Master</x:v>
      </x:c>
      <x:c r="C1531" s="33" t="str">
        <x:v>Law ID=LAW001; Provision Category=Operational; Statutory Reference=; Remarks=</x:v>
      </x:c>
      <x:c r="D153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31" s="33" t="str">
        <x:v>CORRECT / RECLASSIFY</x:v>
      </x:c>
      <x:c r="F1531" s="33" t="str">
        <x:v>Correct technical citations, remove false direct duties and reclassify non-statutory/entity controls.</x:v>
      </x:c>
      <x:c r="G1531" s="33" t="str">
        <x:v>P-4 official-source validation</x:v>
      </x:c>
      <x:c r="H153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31" s="33" t="str">
        <x:v>P-4</x:v>
      </x:c>
      <x:c r="J1531" s="33" t="str">
        <x:v>2026-08-20</x:v>
      </x:c>
      <x:c r="K1531" s="33" t="str">
        <x:v>Provision IDs preserved; legal force and parentage corrected.</x:v>
      </x:c>
    </x:row>
    <x:row r="1532">
      <x:c r="A1532" s="33" t="str">
        <x:v>HOSPROV034</x:v>
      </x:c>
      <x:c r="B1532" s="33" t="str">
        <x:v>Provision Master</x:v>
      </x:c>
      <x:c r="C1532" s="33" t="str">
        <x:v>Law ID=LAW001; Provision Category=Operational; Statutory Reference=; Remarks=</x:v>
      </x:c>
      <x:c r="D153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32" s="33" t="str">
        <x:v>CORRECT / RECLASSIFY</x:v>
      </x:c>
      <x:c r="F1532" s="33" t="str">
        <x:v>Correct technical citations, remove false direct duties and reclassify non-statutory/entity controls.</x:v>
      </x:c>
      <x:c r="G1532" s="33" t="str">
        <x:v>P-4 official-source validation</x:v>
      </x:c>
      <x:c r="H153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32" s="33" t="str">
        <x:v>P-4</x:v>
      </x:c>
      <x:c r="J1532" s="33" t="str">
        <x:v>2026-08-20</x:v>
      </x:c>
      <x:c r="K1532" s="33" t="str">
        <x:v>Provision IDs preserved; legal force and parentage corrected.</x:v>
      </x:c>
    </x:row>
    <x:row r="1533">
      <x:c r="A1533" s="33" t="str">
        <x:v>HOSPROV035</x:v>
      </x:c>
      <x:c r="B1533" s="33" t="str">
        <x:v>Provision Master</x:v>
      </x:c>
      <x:c r="C1533" s="33" t="str">
        <x:v>Law ID=LAW001; Provision Category=Operational; Statutory Reference=; Remarks=</x:v>
      </x:c>
      <x:c r="D153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33" s="33" t="str">
        <x:v>CORRECT / RECLASSIFY</x:v>
      </x:c>
      <x:c r="F1533" s="33" t="str">
        <x:v>Correct technical citations, remove false direct duties and reclassify non-statutory/entity controls.</x:v>
      </x:c>
      <x:c r="G1533" s="33" t="str">
        <x:v>P-4 official-source validation</x:v>
      </x:c>
      <x:c r="H153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33" s="33" t="str">
        <x:v>P-4</x:v>
      </x:c>
      <x:c r="J1533" s="33" t="str">
        <x:v>2026-08-20</x:v>
      </x:c>
      <x:c r="K1533" s="33" t="str">
        <x:v>Provision IDs preserved; legal force and parentage corrected.</x:v>
      </x:c>
    </x:row>
    <x:row r="1534">
      <x:c r="A1534" s="33" t="str">
        <x:v>HOSPROV036</x:v>
      </x:c>
      <x:c r="B1534" s="33" t="str">
        <x:v>Provision Master</x:v>
      </x:c>
      <x:c r="C1534" s="33" t="str">
        <x:v>Law ID=LAW001; Provision Category=Operational; Statutory Reference=; Remarks=</x:v>
      </x:c>
      <x:c r="D153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34" s="33" t="str">
        <x:v>CORRECT / RECLASSIFY</x:v>
      </x:c>
      <x:c r="F1534" s="33" t="str">
        <x:v>Correct technical citations, remove false direct duties and reclassify non-statutory/entity controls.</x:v>
      </x:c>
      <x:c r="G1534" s="33" t="str">
        <x:v>P-4 official-source validation</x:v>
      </x:c>
      <x:c r="H153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34" s="33" t="str">
        <x:v>P-4</x:v>
      </x:c>
      <x:c r="J1534" s="33" t="str">
        <x:v>2026-08-20</x:v>
      </x:c>
      <x:c r="K1534" s="33" t="str">
        <x:v>Provision IDs preserved; legal force and parentage corrected.</x:v>
      </x:c>
    </x:row>
    <x:row r="1535">
      <x:c r="A1535" s="33" t="str">
        <x:v>HOSPROV037</x:v>
      </x:c>
      <x:c r="B1535" s="33" t="str">
        <x:v>Provision Master</x:v>
      </x:c>
      <x:c r="C1535" s="33" t="str">
        <x:v>Law ID=LAW001; Provision Category=Operational; Statutory Reference=; Remarks=</x:v>
      </x:c>
      <x:c r="D153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35" s="33" t="str">
        <x:v>CORRECT / RECLASSIFY</x:v>
      </x:c>
      <x:c r="F1535" s="33" t="str">
        <x:v>Correct technical citations, remove false direct duties and reclassify non-statutory/entity controls.</x:v>
      </x:c>
      <x:c r="G1535" s="33" t="str">
        <x:v>P-4 official-source validation</x:v>
      </x:c>
      <x:c r="H153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35" s="33" t="str">
        <x:v>P-4</x:v>
      </x:c>
      <x:c r="J1535" s="33" t="str">
        <x:v>2026-08-20</x:v>
      </x:c>
      <x:c r="K1535" s="33" t="str">
        <x:v>Provision IDs preserved; legal force and parentage corrected.</x:v>
      </x:c>
    </x:row>
    <x:row r="1536">
      <x:c r="A1536" s="33" t="str">
        <x:v>HOSPROV038</x:v>
      </x:c>
      <x:c r="B1536" s="33" t="str">
        <x:v>Provision Master</x:v>
      </x:c>
      <x:c r="C1536" s="33" t="str">
        <x:v>Law ID=LAW001; Provision Category=Operational; Statutory Reference=; Remarks=</x:v>
      </x:c>
      <x:c r="D153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36" s="33" t="str">
        <x:v>CORRECT / RECLASSIFY</x:v>
      </x:c>
      <x:c r="F1536" s="33" t="str">
        <x:v>Correct technical citations, remove false direct duties and reclassify non-statutory/entity controls.</x:v>
      </x:c>
      <x:c r="G1536" s="33" t="str">
        <x:v>P-4 official-source validation</x:v>
      </x:c>
      <x:c r="H153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36" s="33" t="str">
        <x:v>P-4</x:v>
      </x:c>
      <x:c r="J1536" s="33" t="str">
        <x:v>2026-08-20</x:v>
      </x:c>
      <x:c r="K1536" s="33" t="str">
        <x:v>Provision IDs preserved; legal force and parentage corrected.</x:v>
      </x:c>
    </x:row>
    <x:row r="1537">
      <x:c r="A1537" s="33" t="str">
        <x:v>HOSPROV039</x:v>
      </x:c>
      <x:c r="B1537" s="33" t="str">
        <x:v>Provision Master</x:v>
      </x:c>
      <x:c r="C1537" s="33" t="str">
        <x:v>Law ID=LAW001; Provision Category=Operational; Statutory Reference=; Remarks=</x:v>
      </x:c>
      <x:c r="D153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37" s="33" t="str">
        <x:v>CORRECT / RECLASSIFY</x:v>
      </x:c>
      <x:c r="F1537" s="33" t="str">
        <x:v>Correct technical citations, remove false direct duties and reclassify non-statutory/entity controls.</x:v>
      </x:c>
      <x:c r="G1537" s="33" t="str">
        <x:v>P-4 official-source validation</x:v>
      </x:c>
      <x:c r="H153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37" s="33" t="str">
        <x:v>P-4</x:v>
      </x:c>
      <x:c r="J1537" s="33" t="str">
        <x:v>2026-08-20</x:v>
      </x:c>
      <x:c r="K1537" s="33" t="str">
        <x:v>Provision IDs preserved; legal force and parentage corrected.</x:v>
      </x:c>
    </x:row>
    <x:row r="1538">
      <x:c r="A1538" s="33" t="str">
        <x:v>HOSPROV040</x:v>
      </x:c>
      <x:c r="B1538" s="33" t="str">
        <x:v>Provision Master</x:v>
      </x:c>
      <x:c r="C1538" s="33" t="str">
        <x:v>Law ID=LAW001; Provision Category=Operational; Statutory Reference=; Remarks=</x:v>
      </x:c>
      <x:c r="D153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38" s="33" t="str">
        <x:v>CORRECT / RECLASSIFY</x:v>
      </x:c>
      <x:c r="F1538" s="33" t="str">
        <x:v>Correct technical citations, remove false direct duties and reclassify non-statutory/entity controls.</x:v>
      </x:c>
      <x:c r="G1538" s="33" t="str">
        <x:v>P-4 official-source validation</x:v>
      </x:c>
      <x:c r="H153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38" s="33" t="str">
        <x:v>P-4</x:v>
      </x:c>
      <x:c r="J1538" s="33" t="str">
        <x:v>2026-08-20</x:v>
      </x:c>
      <x:c r="K1538" s="33" t="str">
        <x:v>Provision IDs preserved; legal force and parentage corrected.</x:v>
      </x:c>
    </x:row>
    <x:row r="1539">
      <x:c r="A1539" s="33" t="str">
        <x:v>CPROV001</x:v>
      </x:c>
      <x:c r="B1539" s="33" t="str">
        <x:v>Provision Master</x:v>
      </x:c>
      <x:c r="C1539" s="33" t="str">
        <x:v>Law ID=LAW001; Provision Category=Operational; Statutory Reference=; Remarks=</x:v>
      </x:c>
      <x:c r="D153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39" s="33" t="str">
        <x:v>CORRECT / RECLASSIFY</x:v>
      </x:c>
      <x:c r="F1539" s="33" t="str">
        <x:v>Correct technical citations, remove false direct duties and reclassify non-statutory/entity controls.</x:v>
      </x:c>
      <x:c r="G1539" s="33" t="str">
        <x:v>P-4 official-source validation</x:v>
      </x:c>
      <x:c r="H153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39" s="33" t="str">
        <x:v>P-4</x:v>
      </x:c>
      <x:c r="J1539" s="33" t="str">
        <x:v>2026-08-20</x:v>
      </x:c>
      <x:c r="K1539" s="33" t="str">
        <x:v>Provision IDs preserved; legal force and parentage corrected.</x:v>
      </x:c>
    </x:row>
    <x:row r="1540">
      <x:c r="A1540" s="33" t="str">
        <x:v>CPROV002</x:v>
      </x:c>
      <x:c r="B1540" s="33" t="str">
        <x:v>Provision Master</x:v>
      </x:c>
      <x:c r="C1540" s="33" t="str">
        <x:v>Law ID=LAW001; Provision Category=Operational; Statutory Reference=; Remarks=</x:v>
      </x:c>
      <x:c r="D154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40" s="33" t="str">
        <x:v>CORRECT / RECLASSIFY</x:v>
      </x:c>
      <x:c r="F1540" s="33" t="str">
        <x:v>Correct technical citations, remove false direct duties and reclassify non-statutory/entity controls.</x:v>
      </x:c>
      <x:c r="G1540" s="33" t="str">
        <x:v>P-4 official-source validation</x:v>
      </x:c>
      <x:c r="H154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40" s="33" t="str">
        <x:v>P-4</x:v>
      </x:c>
      <x:c r="J1540" s="33" t="str">
        <x:v>2026-08-20</x:v>
      </x:c>
      <x:c r="K1540" s="33" t="str">
        <x:v>Provision IDs preserved; legal force and parentage corrected.</x:v>
      </x:c>
    </x:row>
    <x:row r="1541">
      <x:c r="A1541" s="33" t="str">
        <x:v>CPROV003</x:v>
      </x:c>
      <x:c r="B1541" s="33" t="str">
        <x:v>Provision Master</x:v>
      </x:c>
      <x:c r="C1541" s="33" t="str">
        <x:v>Law ID=LAW001; Provision Category=Operational; Statutory Reference=; Remarks=</x:v>
      </x:c>
      <x:c r="D154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41" s="33" t="str">
        <x:v>CORRECT / RECLASSIFY</x:v>
      </x:c>
      <x:c r="F1541" s="33" t="str">
        <x:v>Correct technical citations, remove false direct duties and reclassify non-statutory/entity controls.</x:v>
      </x:c>
      <x:c r="G1541" s="33" t="str">
        <x:v>P-4 official-source validation</x:v>
      </x:c>
      <x:c r="H154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41" s="33" t="str">
        <x:v>P-4</x:v>
      </x:c>
      <x:c r="J1541" s="33" t="str">
        <x:v>2026-08-20</x:v>
      </x:c>
      <x:c r="K1541" s="33" t="str">
        <x:v>Provision IDs preserved; legal force and parentage corrected.</x:v>
      </x:c>
    </x:row>
    <x:row r="1542">
      <x:c r="A1542" s="33" t="str">
        <x:v>CPROV004</x:v>
      </x:c>
      <x:c r="B1542" s="33" t="str">
        <x:v>Provision Master</x:v>
      </x:c>
      <x:c r="C1542" s="33" t="str">
        <x:v>Law ID=LAW001; Provision Category=Operational; Statutory Reference=; Remarks=</x:v>
      </x:c>
      <x:c r="D154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42" s="33" t="str">
        <x:v>CORRECT / RECLASSIFY</x:v>
      </x:c>
      <x:c r="F1542" s="33" t="str">
        <x:v>Correct technical citations, remove false direct duties and reclassify non-statutory/entity controls.</x:v>
      </x:c>
      <x:c r="G1542" s="33" t="str">
        <x:v>P-4 official-source validation</x:v>
      </x:c>
      <x:c r="H154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42" s="33" t="str">
        <x:v>P-4</x:v>
      </x:c>
      <x:c r="J1542" s="33" t="str">
        <x:v>2026-08-20</x:v>
      </x:c>
      <x:c r="K1542" s="33" t="str">
        <x:v>Provision IDs preserved; legal force and parentage corrected.</x:v>
      </x:c>
    </x:row>
    <x:row r="1543">
      <x:c r="A1543" s="33" t="str">
        <x:v>CPROV005</x:v>
      </x:c>
      <x:c r="B1543" s="33" t="str">
        <x:v>Provision Master</x:v>
      </x:c>
      <x:c r="C1543" s="33" t="str">
        <x:v>Law ID=LAW001; Provision Category=Operational; Statutory Reference=; Remarks=</x:v>
      </x:c>
      <x:c r="D154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43" s="33" t="str">
        <x:v>CORRECT / RECLASSIFY</x:v>
      </x:c>
      <x:c r="F1543" s="33" t="str">
        <x:v>Correct technical citations, remove false direct duties and reclassify non-statutory/entity controls.</x:v>
      </x:c>
      <x:c r="G1543" s="33" t="str">
        <x:v>P-4 official-source validation</x:v>
      </x:c>
      <x:c r="H154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43" s="33" t="str">
        <x:v>P-4</x:v>
      </x:c>
      <x:c r="J1543" s="33" t="str">
        <x:v>2026-08-20</x:v>
      </x:c>
      <x:c r="K1543" s="33" t="str">
        <x:v>Provision IDs preserved; legal force and parentage corrected.</x:v>
      </x:c>
    </x:row>
    <x:row r="1544">
      <x:c r="A1544" s="33" t="str">
        <x:v>CPROV006</x:v>
      </x:c>
      <x:c r="B1544" s="33" t="str">
        <x:v>Provision Master</x:v>
      </x:c>
      <x:c r="C1544" s="33" t="str">
        <x:v>Law ID=LAW001; Provision Category=Operational; Statutory Reference=; Remarks=</x:v>
      </x:c>
      <x:c r="D154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44" s="33" t="str">
        <x:v>CORRECT / RECLASSIFY</x:v>
      </x:c>
      <x:c r="F1544" s="33" t="str">
        <x:v>Correct technical citations, remove false direct duties and reclassify non-statutory/entity controls.</x:v>
      </x:c>
      <x:c r="G1544" s="33" t="str">
        <x:v>P-4 official-source validation</x:v>
      </x:c>
      <x:c r="H154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44" s="33" t="str">
        <x:v>P-4</x:v>
      </x:c>
      <x:c r="J1544" s="33" t="str">
        <x:v>2026-08-20</x:v>
      </x:c>
      <x:c r="K1544" s="33" t="str">
        <x:v>Provision IDs preserved; legal force and parentage corrected.</x:v>
      </x:c>
    </x:row>
    <x:row r="1545">
      <x:c r="A1545" s="33" t="str">
        <x:v>CPROV007</x:v>
      </x:c>
      <x:c r="B1545" s="33" t="str">
        <x:v>Provision Master</x:v>
      </x:c>
      <x:c r="C1545" s="33" t="str">
        <x:v>Law ID=LAW001; Provision Category=Operational; Statutory Reference=; Remarks=</x:v>
      </x:c>
      <x:c r="D154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45" s="33" t="str">
        <x:v>CORRECT / RECLASSIFY</x:v>
      </x:c>
      <x:c r="F1545" s="33" t="str">
        <x:v>Correct technical citations, remove false direct duties and reclassify non-statutory/entity controls.</x:v>
      </x:c>
      <x:c r="G1545" s="33" t="str">
        <x:v>P-4 official-source validation</x:v>
      </x:c>
      <x:c r="H154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45" s="33" t="str">
        <x:v>P-4</x:v>
      </x:c>
      <x:c r="J1545" s="33" t="str">
        <x:v>2026-08-20</x:v>
      </x:c>
      <x:c r="K1545" s="33" t="str">
        <x:v>Provision IDs preserved; legal force and parentage corrected.</x:v>
      </x:c>
    </x:row>
    <x:row r="1546">
      <x:c r="A1546" s="33" t="str">
        <x:v>CPROV008</x:v>
      </x:c>
      <x:c r="B1546" s="33" t="str">
        <x:v>Provision Master</x:v>
      </x:c>
      <x:c r="C1546" s="33" t="str">
        <x:v>Law ID=LAW001; Provision Category=Operational; Statutory Reference=; Remarks=</x:v>
      </x:c>
      <x:c r="D154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46" s="33" t="str">
        <x:v>CORRECT / RECLASSIFY</x:v>
      </x:c>
      <x:c r="F1546" s="33" t="str">
        <x:v>Correct technical citations, remove false direct duties and reclassify non-statutory/entity controls.</x:v>
      </x:c>
      <x:c r="G1546" s="33" t="str">
        <x:v>P-4 official-source validation</x:v>
      </x:c>
      <x:c r="H154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46" s="33" t="str">
        <x:v>P-4</x:v>
      </x:c>
      <x:c r="J1546" s="33" t="str">
        <x:v>2026-08-20</x:v>
      </x:c>
      <x:c r="K1546" s="33" t="str">
        <x:v>Provision IDs preserved; legal force and parentage corrected.</x:v>
      </x:c>
    </x:row>
    <x:row r="1547">
      <x:c r="A1547" s="33" t="str">
        <x:v>CPROV009</x:v>
      </x:c>
      <x:c r="B1547" s="33" t="str">
        <x:v>Provision Master</x:v>
      </x:c>
      <x:c r="C1547" s="33" t="str">
        <x:v>Law ID=LAW001; Provision Category=Operational; Statutory Reference=; Remarks=</x:v>
      </x:c>
      <x:c r="D154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47" s="33" t="str">
        <x:v>CORRECT / RECLASSIFY</x:v>
      </x:c>
      <x:c r="F1547" s="33" t="str">
        <x:v>Correct technical citations, remove false direct duties and reclassify non-statutory/entity controls.</x:v>
      </x:c>
      <x:c r="G1547" s="33" t="str">
        <x:v>P-4 official-source validation</x:v>
      </x:c>
      <x:c r="H154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47" s="33" t="str">
        <x:v>P-4</x:v>
      </x:c>
      <x:c r="J1547" s="33" t="str">
        <x:v>2026-08-20</x:v>
      </x:c>
      <x:c r="K1547" s="33" t="str">
        <x:v>Provision IDs preserved; legal force and parentage corrected.</x:v>
      </x:c>
    </x:row>
    <x:row r="1548">
      <x:c r="A1548" s="33" t="str">
        <x:v>CPROV010</x:v>
      </x:c>
      <x:c r="B1548" s="33" t="str">
        <x:v>Provision Master</x:v>
      </x:c>
      <x:c r="C1548" s="33" t="str">
        <x:v>Law ID=LAW001; Provision Category=Operational; Statutory Reference=; Remarks=</x:v>
      </x:c>
      <x:c r="D154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48" s="33" t="str">
        <x:v>CORRECT / RECLASSIFY</x:v>
      </x:c>
      <x:c r="F1548" s="33" t="str">
        <x:v>Correct technical citations, remove false direct duties and reclassify non-statutory/entity controls.</x:v>
      </x:c>
      <x:c r="G1548" s="33" t="str">
        <x:v>P-4 official-source validation</x:v>
      </x:c>
      <x:c r="H154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48" s="33" t="str">
        <x:v>P-4</x:v>
      </x:c>
      <x:c r="J1548" s="33" t="str">
        <x:v>2026-08-20</x:v>
      </x:c>
      <x:c r="K1548" s="33" t="str">
        <x:v>Provision IDs preserved; legal force and parentage corrected.</x:v>
      </x:c>
    </x:row>
    <x:row r="1549">
      <x:c r="A1549" s="33" t="str">
        <x:v>CPROV011</x:v>
      </x:c>
      <x:c r="B1549" s="33" t="str">
        <x:v>Provision Master</x:v>
      </x:c>
      <x:c r="C1549" s="33" t="str">
        <x:v>Law ID=LAW001; Provision Category=Operational; Statutory Reference=; Remarks=</x:v>
      </x:c>
      <x:c r="D154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49" s="33" t="str">
        <x:v>CORRECT / RECLASSIFY</x:v>
      </x:c>
      <x:c r="F1549" s="33" t="str">
        <x:v>Correct technical citations, remove false direct duties and reclassify non-statutory/entity controls.</x:v>
      </x:c>
      <x:c r="G1549" s="33" t="str">
        <x:v>P-4 official-source validation</x:v>
      </x:c>
      <x:c r="H154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49" s="33" t="str">
        <x:v>P-4</x:v>
      </x:c>
      <x:c r="J1549" s="33" t="str">
        <x:v>2026-08-20</x:v>
      </x:c>
      <x:c r="K1549" s="33" t="str">
        <x:v>Provision IDs preserved; legal force and parentage corrected.</x:v>
      </x:c>
    </x:row>
    <x:row r="1550">
      <x:c r="A1550" s="33" t="str">
        <x:v>CPROV012</x:v>
      </x:c>
      <x:c r="B1550" s="33" t="str">
        <x:v>Provision Master</x:v>
      </x:c>
      <x:c r="C1550" s="33" t="str">
        <x:v>Law ID=LAW001; Provision Category=Operational; Statutory Reference=; Remarks=</x:v>
      </x:c>
      <x:c r="D155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50" s="33" t="str">
        <x:v>CORRECT / RECLASSIFY</x:v>
      </x:c>
      <x:c r="F1550" s="33" t="str">
        <x:v>Correct technical citations, remove false direct duties and reclassify non-statutory/entity controls.</x:v>
      </x:c>
      <x:c r="G1550" s="33" t="str">
        <x:v>P-4 official-source validation</x:v>
      </x:c>
      <x:c r="H155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50" s="33" t="str">
        <x:v>P-4</x:v>
      </x:c>
      <x:c r="J1550" s="33" t="str">
        <x:v>2026-08-20</x:v>
      </x:c>
      <x:c r="K1550" s="33" t="str">
        <x:v>Provision IDs preserved; legal force and parentage corrected.</x:v>
      </x:c>
    </x:row>
    <x:row r="1551">
      <x:c r="A1551" s="33" t="str">
        <x:v>CPROV013</x:v>
      </x:c>
      <x:c r="B1551" s="33" t="str">
        <x:v>Provision Master</x:v>
      </x:c>
      <x:c r="C1551" s="33" t="str">
        <x:v>Law ID=LAW001; Provision Category=Operational; Statutory Reference=; Remarks=</x:v>
      </x:c>
      <x:c r="D155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51" s="33" t="str">
        <x:v>CORRECT / RECLASSIFY</x:v>
      </x:c>
      <x:c r="F1551" s="33" t="str">
        <x:v>Correct technical citations, remove false direct duties and reclassify non-statutory/entity controls.</x:v>
      </x:c>
      <x:c r="G1551" s="33" t="str">
        <x:v>P-4 official-source validation</x:v>
      </x:c>
      <x:c r="H155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51" s="33" t="str">
        <x:v>P-4</x:v>
      </x:c>
      <x:c r="J1551" s="33" t="str">
        <x:v>2026-08-20</x:v>
      </x:c>
      <x:c r="K1551" s="33" t="str">
        <x:v>Provision IDs preserved; legal force and parentage corrected.</x:v>
      </x:c>
    </x:row>
    <x:row r="1552">
      <x:c r="A1552" s="33" t="str">
        <x:v>CPROV014</x:v>
      </x:c>
      <x:c r="B1552" s="33" t="str">
        <x:v>Provision Master</x:v>
      </x:c>
      <x:c r="C1552" s="33" t="str">
        <x:v>Law ID=LAW001; Provision Category=Operational; Statutory Reference=; Remarks=</x:v>
      </x:c>
      <x:c r="D155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52" s="33" t="str">
        <x:v>CORRECT / RECLASSIFY</x:v>
      </x:c>
      <x:c r="F1552" s="33" t="str">
        <x:v>Correct technical citations, remove false direct duties and reclassify non-statutory/entity controls.</x:v>
      </x:c>
      <x:c r="G1552" s="33" t="str">
        <x:v>P-4 official-source validation</x:v>
      </x:c>
      <x:c r="H155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52" s="33" t="str">
        <x:v>P-4</x:v>
      </x:c>
      <x:c r="J1552" s="33" t="str">
        <x:v>2026-08-20</x:v>
      </x:c>
      <x:c r="K1552" s="33" t="str">
        <x:v>Provision IDs preserved; legal force and parentage corrected.</x:v>
      </x:c>
    </x:row>
    <x:row r="1553">
      <x:c r="A1553" s="33" t="str">
        <x:v>CPROV015</x:v>
      </x:c>
      <x:c r="B1553" s="33" t="str">
        <x:v>Provision Master</x:v>
      </x:c>
      <x:c r="C1553" s="33" t="str">
        <x:v>Law ID=LAW001; Provision Category=Operational; Statutory Reference=; Remarks=</x:v>
      </x:c>
      <x:c r="D155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53" s="33" t="str">
        <x:v>CORRECT / RECLASSIFY</x:v>
      </x:c>
      <x:c r="F1553" s="33" t="str">
        <x:v>Correct technical citations, remove false direct duties and reclassify non-statutory/entity controls.</x:v>
      </x:c>
      <x:c r="G1553" s="33" t="str">
        <x:v>P-4 official-source validation</x:v>
      </x:c>
      <x:c r="H155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53" s="33" t="str">
        <x:v>P-4</x:v>
      </x:c>
      <x:c r="J1553" s="33" t="str">
        <x:v>2026-08-20</x:v>
      </x:c>
      <x:c r="K1553" s="33" t="str">
        <x:v>Provision IDs preserved; legal force and parentage corrected.</x:v>
      </x:c>
    </x:row>
    <x:row r="1554">
      <x:c r="A1554" s="33" t="str">
        <x:v>CPROV016</x:v>
      </x:c>
      <x:c r="B1554" s="33" t="str">
        <x:v>Provision Master</x:v>
      </x:c>
      <x:c r="C1554" s="33" t="str">
        <x:v>Law ID=LAW001; Provision Category=Operational; Statutory Reference=; Remarks=</x:v>
      </x:c>
      <x:c r="D155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54" s="33" t="str">
        <x:v>CORRECT / RECLASSIFY</x:v>
      </x:c>
      <x:c r="F1554" s="33" t="str">
        <x:v>Correct technical citations, remove false direct duties and reclassify non-statutory/entity controls.</x:v>
      </x:c>
      <x:c r="G1554" s="33" t="str">
        <x:v>P-4 official-source validation</x:v>
      </x:c>
      <x:c r="H155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54" s="33" t="str">
        <x:v>P-4</x:v>
      </x:c>
      <x:c r="J1554" s="33" t="str">
        <x:v>2026-08-20</x:v>
      </x:c>
      <x:c r="K1554" s="33" t="str">
        <x:v>Provision IDs preserved; legal force and parentage corrected.</x:v>
      </x:c>
    </x:row>
    <x:row r="1555">
      <x:c r="A1555" s="33" t="str">
        <x:v>CPROV017</x:v>
      </x:c>
      <x:c r="B1555" s="33" t="str">
        <x:v>Provision Master</x:v>
      </x:c>
      <x:c r="C1555" s="33" t="str">
        <x:v>Law ID=LAW001; Provision Category=Operational; Statutory Reference=; Remarks=</x:v>
      </x:c>
      <x:c r="D155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55" s="33" t="str">
        <x:v>CORRECT / RECLASSIFY</x:v>
      </x:c>
      <x:c r="F1555" s="33" t="str">
        <x:v>Correct technical citations, remove false direct duties and reclassify non-statutory/entity controls.</x:v>
      </x:c>
      <x:c r="G1555" s="33" t="str">
        <x:v>P-4 official-source validation</x:v>
      </x:c>
      <x:c r="H155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55" s="33" t="str">
        <x:v>P-4</x:v>
      </x:c>
      <x:c r="J1555" s="33" t="str">
        <x:v>2026-08-20</x:v>
      </x:c>
      <x:c r="K1555" s="33" t="str">
        <x:v>Provision IDs preserved; legal force and parentage corrected.</x:v>
      </x:c>
    </x:row>
    <x:row r="1556">
      <x:c r="A1556" s="33" t="str">
        <x:v>CPROV018</x:v>
      </x:c>
      <x:c r="B1556" s="33" t="str">
        <x:v>Provision Master</x:v>
      </x:c>
      <x:c r="C1556" s="33" t="str">
        <x:v>Law ID=LAW001; Provision Category=Operational; Statutory Reference=; Remarks=</x:v>
      </x:c>
      <x:c r="D155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56" s="33" t="str">
        <x:v>CORRECT / RECLASSIFY</x:v>
      </x:c>
      <x:c r="F1556" s="33" t="str">
        <x:v>Correct technical citations, remove false direct duties and reclassify non-statutory/entity controls.</x:v>
      </x:c>
      <x:c r="G1556" s="33" t="str">
        <x:v>P-4 official-source validation</x:v>
      </x:c>
      <x:c r="H155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56" s="33" t="str">
        <x:v>P-4</x:v>
      </x:c>
      <x:c r="J1556" s="33" t="str">
        <x:v>2026-08-20</x:v>
      </x:c>
      <x:c r="K1556" s="33" t="str">
        <x:v>Provision IDs preserved; legal force and parentage corrected.</x:v>
      </x:c>
    </x:row>
    <x:row r="1557">
      <x:c r="A1557" s="33" t="str">
        <x:v>CPROV019</x:v>
      </x:c>
      <x:c r="B1557" s="33" t="str">
        <x:v>Provision Master</x:v>
      </x:c>
      <x:c r="C1557" s="33" t="str">
        <x:v>Law ID=LAW001; Provision Category=Operational; Statutory Reference=; Remarks=</x:v>
      </x:c>
      <x:c r="D155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57" s="33" t="str">
        <x:v>CORRECT / RECLASSIFY</x:v>
      </x:c>
      <x:c r="F1557" s="33" t="str">
        <x:v>Correct technical citations, remove false direct duties and reclassify non-statutory/entity controls.</x:v>
      </x:c>
      <x:c r="G1557" s="33" t="str">
        <x:v>P-4 official-source validation</x:v>
      </x:c>
      <x:c r="H155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57" s="33" t="str">
        <x:v>P-4</x:v>
      </x:c>
      <x:c r="J1557" s="33" t="str">
        <x:v>2026-08-20</x:v>
      </x:c>
      <x:c r="K1557" s="33" t="str">
        <x:v>Provision IDs preserved; legal force and parentage corrected.</x:v>
      </x:c>
    </x:row>
    <x:row r="1558">
      <x:c r="A1558" s="33" t="str">
        <x:v>CPROV020</x:v>
      </x:c>
      <x:c r="B1558" s="33" t="str">
        <x:v>Provision Master</x:v>
      </x:c>
      <x:c r="C1558" s="33" t="str">
        <x:v>Law ID=LAW001; Provision Category=Operational; Statutory Reference=; Remarks=</x:v>
      </x:c>
      <x:c r="D155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58" s="33" t="str">
        <x:v>CORRECT / RECLASSIFY</x:v>
      </x:c>
      <x:c r="F1558" s="33" t="str">
        <x:v>Correct technical citations, remove false direct duties and reclassify non-statutory/entity controls.</x:v>
      </x:c>
      <x:c r="G1558" s="33" t="str">
        <x:v>P-4 official-source validation</x:v>
      </x:c>
      <x:c r="H155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58" s="33" t="str">
        <x:v>P-4</x:v>
      </x:c>
      <x:c r="J1558" s="33" t="str">
        <x:v>2026-08-20</x:v>
      </x:c>
      <x:c r="K1558" s="33" t="str">
        <x:v>Provision IDs preserved; legal force and parentage corrected.</x:v>
      </x:c>
    </x:row>
    <x:row r="1559">
      <x:c r="A1559" s="33" t="str">
        <x:v>EPROV001</x:v>
      </x:c>
      <x:c r="B1559" s="33" t="str">
        <x:v>Provision Master</x:v>
      </x:c>
      <x:c r="C1559" s="33" t="str">
        <x:v>Law ID=LAW001; Provision Category=Operational; Statutory Reference=; Remarks=</x:v>
      </x:c>
      <x:c r="D155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59" s="33" t="str">
        <x:v>CORRECT / RECLASSIFY</x:v>
      </x:c>
      <x:c r="F1559" s="33" t="str">
        <x:v>Correct technical citations, remove false direct duties and reclassify non-statutory/entity controls.</x:v>
      </x:c>
      <x:c r="G1559" s="33" t="str">
        <x:v>P-4 official-source validation</x:v>
      </x:c>
      <x:c r="H155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59" s="33" t="str">
        <x:v>P-4</x:v>
      </x:c>
      <x:c r="J1559" s="33" t="str">
        <x:v>2026-08-20</x:v>
      </x:c>
      <x:c r="K1559" s="33" t="str">
        <x:v>Provision IDs preserved; legal force and parentage corrected.</x:v>
      </x:c>
    </x:row>
    <x:row r="1560">
      <x:c r="A1560" s="33" t="str">
        <x:v>EPROV002</x:v>
      </x:c>
      <x:c r="B1560" s="33" t="str">
        <x:v>Provision Master</x:v>
      </x:c>
      <x:c r="C1560" s="33" t="str">
        <x:v>Law ID=LAW001; Provision Category=Operational; Statutory Reference=; Remarks=</x:v>
      </x:c>
      <x:c r="D156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60" s="33" t="str">
        <x:v>CORRECT / RECLASSIFY</x:v>
      </x:c>
      <x:c r="F1560" s="33" t="str">
        <x:v>Correct technical citations, remove false direct duties and reclassify non-statutory/entity controls.</x:v>
      </x:c>
      <x:c r="G1560" s="33" t="str">
        <x:v>P-4 official-source validation</x:v>
      </x:c>
      <x:c r="H156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60" s="33" t="str">
        <x:v>P-4</x:v>
      </x:c>
      <x:c r="J1560" s="33" t="str">
        <x:v>2026-08-20</x:v>
      </x:c>
      <x:c r="K1560" s="33" t="str">
        <x:v>Provision IDs preserved; legal force and parentage corrected.</x:v>
      </x:c>
    </x:row>
    <x:row r="1561">
      <x:c r="A1561" s="33" t="str">
        <x:v>EPROV003</x:v>
      </x:c>
      <x:c r="B1561" s="33" t="str">
        <x:v>Provision Master</x:v>
      </x:c>
      <x:c r="C1561" s="33" t="str">
        <x:v>Law ID=LAW001; Provision Category=Operational; Statutory Reference=; Remarks=</x:v>
      </x:c>
      <x:c r="D156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61" s="33" t="str">
        <x:v>CORRECT / RECLASSIFY</x:v>
      </x:c>
      <x:c r="F1561" s="33" t="str">
        <x:v>Correct technical citations, remove false direct duties and reclassify non-statutory/entity controls.</x:v>
      </x:c>
      <x:c r="G1561" s="33" t="str">
        <x:v>P-4 official-source validation</x:v>
      </x:c>
      <x:c r="H156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61" s="33" t="str">
        <x:v>P-4</x:v>
      </x:c>
      <x:c r="J1561" s="33" t="str">
        <x:v>2026-08-20</x:v>
      </x:c>
      <x:c r="K1561" s="33" t="str">
        <x:v>Provision IDs preserved; legal force and parentage corrected.</x:v>
      </x:c>
    </x:row>
    <x:row r="1562">
      <x:c r="A1562" s="33" t="str">
        <x:v>EPROV004</x:v>
      </x:c>
      <x:c r="B1562" s="33" t="str">
        <x:v>Provision Master</x:v>
      </x:c>
      <x:c r="C1562" s="33" t="str">
        <x:v>Law ID=LAW001; Provision Category=Operational; Statutory Reference=; Remarks=</x:v>
      </x:c>
      <x:c r="D156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62" s="33" t="str">
        <x:v>CORRECT / RECLASSIFY</x:v>
      </x:c>
      <x:c r="F1562" s="33" t="str">
        <x:v>Correct technical citations, remove false direct duties and reclassify non-statutory/entity controls.</x:v>
      </x:c>
      <x:c r="G1562" s="33" t="str">
        <x:v>P-4 official-source validation</x:v>
      </x:c>
      <x:c r="H156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62" s="33" t="str">
        <x:v>P-4</x:v>
      </x:c>
      <x:c r="J1562" s="33" t="str">
        <x:v>2026-08-20</x:v>
      </x:c>
      <x:c r="K1562" s="33" t="str">
        <x:v>Provision IDs preserved; legal force and parentage corrected.</x:v>
      </x:c>
    </x:row>
    <x:row r="1563">
      <x:c r="A1563" s="33" t="str">
        <x:v>EPROV005</x:v>
      </x:c>
      <x:c r="B1563" s="33" t="str">
        <x:v>Provision Master</x:v>
      </x:c>
      <x:c r="C1563" s="33" t="str">
        <x:v>Law ID=LAW001; Provision Category=Operational; Statutory Reference=; Remarks=</x:v>
      </x:c>
      <x:c r="D156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63" s="33" t="str">
        <x:v>CORRECT / RECLASSIFY</x:v>
      </x:c>
      <x:c r="F1563" s="33" t="str">
        <x:v>Correct technical citations, remove false direct duties and reclassify non-statutory/entity controls.</x:v>
      </x:c>
      <x:c r="G1563" s="33" t="str">
        <x:v>P-4 official-source validation</x:v>
      </x:c>
      <x:c r="H156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63" s="33" t="str">
        <x:v>P-4</x:v>
      </x:c>
      <x:c r="J1563" s="33" t="str">
        <x:v>2026-08-20</x:v>
      </x:c>
      <x:c r="K1563" s="33" t="str">
        <x:v>Provision IDs preserved; legal force and parentage corrected.</x:v>
      </x:c>
    </x:row>
    <x:row r="1564">
      <x:c r="A1564" s="33" t="str">
        <x:v>EPROV006</x:v>
      </x:c>
      <x:c r="B1564" s="33" t="str">
        <x:v>Provision Master</x:v>
      </x:c>
      <x:c r="C1564" s="33" t="str">
        <x:v>Law ID=LAW001; Provision Category=Operational; Statutory Reference=; Remarks=</x:v>
      </x:c>
      <x:c r="D156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64" s="33" t="str">
        <x:v>CORRECT / RECLASSIFY</x:v>
      </x:c>
      <x:c r="F1564" s="33" t="str">
        <x:v>Correct technical citations, remove false direct duties and reclassify non-statutory/entity controls.</x:v>
      </x:c>
      <x:c r="G1564" s="33" t="str">
        <x:v>P-4 official-source validation</x:v>
      </x:c>
      <x:c r="H156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64" s="33" t="str">
        <x:v>P-4</x:v>
      </x:c>
      <x:c r="J1564" s="33" t="str">
        <x:v>2026-08-20</x:v>
      </x:c>
      <x:c r="K1564" s="33" t="str">
        <x:v>Provision IDs preserved; legal force and parentage corrected.</x:v>
      </x:c>
    </x:row>
    <x:row r="1565">
      <x:c r="A1565" s="33" t="str">
        <x:v>EPROV007</x:v>
      </x:c>
      <x:c r="B1565" s="33" t="str">
        <x:v>Provision Master</x:v>
      </x:c>
      <x:c r="C1565" s="33" t="str">
        <x:v>Law ID=LAW001; Provision Category=Operational; Statutory Reference=; Remarks=</x:v>
      </x:c>
      <x:c r="D156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65" s="33" t="str">
        <x:v>CORRECT / RECLASSIFY</x:v>
      </x:c>
      <x:c r="F1565" s="33" t="str">
        <x:v>Correct technical citations, remove false direct duties and reclassify non-statutory/entity controls.</x:v>
      </x:c>
      <x:c r="G1565" s="33" t="str">
        <x:v>P-4 official-source validation</x:v>
      </x:c>
      <x:c r="H156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65" s="33" t="str">
        <x:v>P-4</x:v>
      </x:c>
      <x:c r="J1565" s="33" t="str">
        <x:v>2026-08-20</x:v>
      </x:c>
      <x:c r="K1565" s="33" t="str">
        <x:v>Provision IDs preserved; legal force and parentage corrected.</x:v>
      </x:c>
    </x:row>
    <x:row r="1566">
      <x:c r="A1566" s="33" t="str">
        <x:v>EPROV008</x:v>
      </x:c>
      <x:c r="B1566" s="33" t="str">
        <x:v>Provision Master</x:v>
      </x:c>
      <x:c r="C1566" s="33" t="str">
        <x:v>Law ID=LAW001; Provision Category=Operational; Statutory Reference=; Remarks=</x:v>
      </x:c>
      <x:c r="D156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66" s="33" t="str">
        <x:v>CORRECT / RECLASSIFY</x:v>
      </x:c>
      <x:c r="F1566" s="33" t="str">
        <x:v>Correct technical citations, remove false direct duties and reclassify non-statutory/entity controls.</x:v>
      </x:c>
      <x:c r="G1566" s="33" t="str">
        <x:v>P-4 official-source validation</x:v>
      </x:c>
      <x:c r="H156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66" s="33" t="str">
        <x:v>P-4</x:v>
      </x:c>
      <x:c r="J1566" s="33" t="str">
        <x:v>2026-08-20</x:v>
      </x:c>
      <x:c r="K1566" s="33" t="str">
        <x:v>Provision IDs preserved; legal force and parentage corrected.</x:v>
      </x:c>
    </x:row>
    <x:row r="1567">
      <x:c r="A1567" s="33" t="str">
        <x:v>EPROV009</x:v>
      </x:c>
      <x:c r="B1567" s="33" t="str">
        <x:v>Provision Master</x:v>
      </x:c>
      <x:c r="C1567" s="33" t="str">
        <x:v>Law ID=LAW001; Provision Category=Operational; Statutory Reference=; Remarks=</x:v>
      </x:c>
      <x:c r="D156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67" s="33" t="str">
        <x:v>CORRECT / RECLASSIFY</x:v>
      </x:c>
      <x:c r="F1567" s="33" t="str">
        <x:v>Correct technical citations, remove false direct duties and reclassify non-statutory/entity controls.</x:v>
      </x:c>
      <x:c r="G1567" s="33" t="str">
        <x:v>P-4 official-source validation</x:v>
      </x:c>
      <x:c r="H156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67" s="33" t="str">
        <x:v>P-4</x:v>
      </x:c>
      <x:c r="J1567" s="33" t="str">
        <x:v>2026-08-20</x:v>
      </x:c>
      <x:c r="K1567" s="33" t="str">
        <x:v>Provision IDs preserved; legal force and parentage corrected.</x:v>
      </x:c>
    </x:row>
    <x:row r="1568">
      <x:c r="A1568" s="33" t="str">
        <x:v>EPROV010</x:v>
      </x:c>
      <x:c r="B1568" s="33" t="str">
        <x:v>Provision Master</x:v>
      </x:c>
      <x:c r="C1568" s="33" t="str">
        <x:v>Law ID=LAW001; Provision Category=Operational; Statutory Reference=; Remarks=</x:v>
      </x:c>
      <x:c r="D156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68" s="33" t="str">
        <x:v>CORRECT / RECLASSIFY</x:v>
      </x:c>
      <x:c r="F1568" s="33" t="str">
        <x:v>Correct technical citations, remove false direct duties and reclassify non-statutory/entity controls.</x:v>
      </x:c>
      <x:c r="G1568" s="33" t="str">
        <x:v>P-4 official-source validation</x:v>
      </x:c>
      <x:c r="H156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68" s="33" t="str">
        <x:v>P-4</x:v>
      </x:c>
      <x:c r="J1568" s="33" t="str">
        <x:v>2026-08-20</x:v>
      </x:c>
      <x:c r="K1568" s="33" t="str">
        <x:v>Provision IDs preserved; legal force and parentage corrected.</x:v>
      </x:c>
    </x:row>
    <x:row r="1569">
      <x:c r="A1569" s="33" t="str">
        <x:v>EPROV011</x:v>
      </x:c>
      <x:c r="B1569" s="33" t="str">
        <x:v>Provision Master</x:v>
      </x:c>
      <x:c r="C1569" s="33" t="str">
        <x:v>Law ID=LAW001; Provision Category=Operational; Statutory Reference=; Remarks=</x:v>
      </x:c>
      <x:c r="D156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69" s="33" t="str">
        <x:v>CORRECT / RECLASSIFY</x:v>
      </x:c>
      <x:c r="F1569" s="33" t="str">
        <x:v>Correct technical citations, remove false direct duties and reclassify non-statutory/entity controls.</x:v>
      </x:c>
      <x:c r="G1569" s="33" t="str">
        <x:v>P-4 official-source validation</x:v>
      </x:c>
      <x:c r="H156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69" s="33" t="str">
        <x:v>P-4</x:v>
      </x:c>
      <x:c r="J1569" s="33" t="str">
        <x:v>2026-08-20</x:v>
      </x:c>
      <x:c r="K1569" s="33" t="str">
        <x:v>Provision IDs preserved; legal force and parentage corrected.</x:v>
      </x:c>
    </x:row>
    <x:row r="1570">
      <x:c r="A1570" s="33" t="str">
        <x:v>EPROV012</x:v>
      </x:c>
      <x:c r="B1570" s="33" t="str">
        <x:v>Provision Master</x:v>
      </x:c>
      <x:c r="C1570" s="33" t="str">
        <x:v>Law ID=LAW001; Provision Category=Operational; Statutory Reference=; Remarks=</x:v>
      </x:c>
      <x:c r="D157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70" s="33" t="str">
        <x:v>CORRECT / RECLASSIFY</x:v>
      </x:c>
      <x:c r="F1570" s="33" t="str">
        <x:v>Correct technical citations, remove false direct duties and reclassify non-statutory/entity controls.</x:v>
      </x:c>
      <x:c r="G1570" s="33" t="str">
        <x:v>P-4 official-source validation</x:v>
      </x:c>
      <x:c r="H157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70" s="33" t="str">
        <x:v>P-4</x:v>
      </x:c>
      <x:c r="J1570" s="33" t="str">
        <x:v>2026-08-20</x:v>
      </x:c>
      <x:c r="K1570" s="33" t="str">
        <x:v>Provision IDs preserved; legal force and parentage corrected.</x:v>
      </x:c>
    </x:row>
    <x:row r="1571">
      <x:c r="A1571" s="33" t="str">
        <x:v>EPROV013</x:v>
      </x:c>
      <x:c r="B1571" s="33" t="str">
        <x:v>Provision Master</x:v>
      </x:c>
      <x:c r="C1571" s="33" t="str">
        <x:v>Law ID=LAW001; Provision Category=Operational; Statutory Reference=; Remarks=</x:v>
      </x:c>
      <x:c r="D157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71" s="33" t="str">
        <x:v>CORRECT / RECLASSIFY</x:v>
      </x:c>
      <x:c r="F1571" s="33" t="str">
        <x:v>Correct technical citations, remove false direct duties and reclassify non-statutory/entity controls.</x:v>
      </x:c>
      <x:c r="G1571" s="33" t="str">
        <x:v>P-4 official-source validation</x:v>
      </x:c>
      <x:c r="H157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71" s="33" t="str">
        <x:v>P-4</x:v>
      </x:c>
      <x:c r="J1571" s="33" t="str">
        <x:v>2026-08-20</x:v>
      </x:c>
      <x:c r="K1571" s="33" t="str">
        <x:v>Provision IDs preserved; legal force and parentage corrected.</x:v>
      </x:c>
    </x:row>
    <x:row r="1572">
      <x:c r="A1572" s="33" t="str">
        <x:v>EPROV014</x:v>
      </x:c>
      <x:c r="B1572" s="33" t="str">
        <x:v>Provision Master</x:v>
      </x:c>
      <x:c r="C1572" s="33" t="str">
        <x:v>Law ID=LAW001; Provision Category=Operational; Statutory Reference=; Remarks=</x:v>
      </x:c>
      <x:c r="D157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72" s="33" t="str">
        <x:v>CORRECT / RECLASSIFY</x:v>
      </x:c>
      <x:c r="F1572" s="33" t="str">
        <x:v>Correct technical citations, remove false direct duties and reclassify non-statutory/entity controls.</x:v>
      </x:c>
      <x:c r="G1572" s="33" t="str">
        <x:v>P-4 official-source validation</x:v>
      </x:c>
      <x:c r="H157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72" s="33" t="str">
        <x:v>P-4</x:v>
      </x:c>
      <x:c r="J1572" s="33" t="str">
        <x:v>2026-08-20</x:v>
      </x:c>
      <x:c r="K1572" s="33" t="str">
        <x:v>Provision IDs preserved; legal force and parentage corrected.</x:v>
      </x:c>
    </x:row>
    <x:row r="1573">
      <x:c r="A1573" s="33" t="str">
        <x:v>EPROV015</x:v>
      </x:c>
      <x:c r="B1573" s="33" t="str">
        <x:v>Provision Master</x:v>
      </x:c>
      <x:c r="C1573" s="33" t="str">
        <x:v>Law ID=LAW001; Provision Category=Operational; Statutory Reference=; Remarks=</x:v>
      </x:c>
      <x:c r="D157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73" s="33" t="str">
        <x:v>CORRECT / RECLASSIFY</x:v>
      </x:c>
      <x:c r="F1573" s="33" t="str">
        <x:v>Correct technical citations, remove false direct duties and reclassify non-statutory/entity controls.</x:v>
      </x:c>
      <x:c r="G1573" s="33" t="str">
        <x:v>P-4 official-source validation</x:v>
      </x:c>
      <x:c r="H157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73" s="33" t="str">
        <x:v>P-4</x:v>
      </x:c>
      <x:c r="J1573" s="33" t="str">
        <x:v>2026-08-20</x:v>
      </x:c>
      <x:c r="K1573" s="33" t="str">
        <x:v>Provision IDs preserved; legal force and parentage corrected.</x:v>
      </x:c>
    </x:row>
    <x:row r="1574">
      <x:c r="A1574" s="33" t="str">
        <x:v>EPROV016</x:v>
      </x:c>
      <x:c r="B1574" s="33" t="str">
        <x:v>Provision Master</x:v>
      </x:c>
      <x:c r="C1574" s="33" t="str">
        <x:v>Law ID=LAW001; Provision Category=Operational; Statutory Reference=; Remarks=</x:v>
      </x:c>
      <x:c r="D157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74" s="33" t="str">
        <x:v>CORRECT / RECLASSIFY</x:v>
      </x:c>
      <x:c r="F1574" s="33" t="str">
        <x:v>Correct technical citations, remove false direct duties and reclassify non-statutory/entity controls.</x:v>
      </x:c>
      <x:c r="G1574" s="33" t="str">
        <x:v>P-4 official-source validation</x:v>
      </x:c>
      <x:c r="H157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74" s="33" t="str">
        <x:v>P-4</x:v>
      </x:c>
      <x:c r="J1574" s="33" t="str">
        <x:v>2026-08-20</x:v>
      </x:c>
      <x:c r="K1574" s="33" t="str">
        <x:v>Provision IDs preserved; legal force and parentage corrected.</x:v>
      </x:c>
    </x:row>
    <x:row r="1575">
      <x:c r="A1575" s="33" t="str">
        <x:v>EPROV017</x:v>
      </x:c>
      <x:c r="B1575" s="33" t="str">
        <x:v>Provision Master</x:v>
      </x:c>
      <x:c r="C1575" s="33" t="str">
        <x:v>Law ID=LAW001; Provision Category=Operational; Statutory Reference=; Remarks=</x:v>
      </x:c>
      <x:c r="D157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75" s="33" t="str">
        <x:v>CORRECT / RECLASSIFY</x:v>
      </x:c>
      <x:c r="F1575" s="33" t="str">
        <x:v>Correct technical citations, remove false direct duties and reclassify non-statutory/entity controls.</x:v>
      </x:c>
      <x:c r="G1575" s="33" t="str">
        <x:v>P-4 official-source validation</x:v>
      </x:c>
      <x:c r="H157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75" s="33" t="str">
        <x:v>P-4</x:v>
      </x:c>
      <x:c r="J1575" s="33" t="str">
        <x:v>2026-08-20</x:v>
      </x:c>
      <x:c r="K1575" s="33" t="str">
        <x:v>Provision IDs preserved; legal force and parentage corrected.</x:v>
      </x:c>
    </x:row>
    <x:row r="1576">
      <x:c r="A1576" s="33" t="str">
        <x:v>EPROV018</x:v>
      </x:c>
      <x:c r="B1576" s="33" t="str">
        <x:v>Provision Master</x:v>
      </x:c>
      <x:c r="C1576" s="33" t="str">
        <x:v>Law ID=LAW001; Provision Category=Operational; Statutory Reference=; Remarks=</x:v>
      </x:c>
      <x:c r="D157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76" s="33" t="str">
        <x:v>CORRECT / RECLASSIFY</x:v>
      </x:c>
      <x:c r="F1576" s="33" t="str">
        <x:v>Correct technical citations, remove false direct duties and reclassify non-statutory/entity controls.</x:v>
      </x:c>
      <x:c r="G1576" s="33" t="str">
        <x:v>P-4 official-source validation</x:v>
      </x:c>
      <x:c r="H157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76" s="33" t="str">
        <x:v>P-4</x:v>
      </x:c>
      <x:c r="J1576" s="33" t="str">
        <x:v>2026-08-20</x:v>
      </x:c>
      <x:c r="K1576" s="33" t="str">
        <x:v>Provision IDs preserved; legal force and parentage corrected.</x:v>
      </x:c>
    </x:row>
    <x:row r="1577">
      <x:c r="A1577" s="33" t="str">
        <x:v>EPROV019</x:v>
      </x:c>
      <x:c r="B1577" s="33" t="str">
        <x:v>Provision Master</x:v>
      </x:c>
      <x:c r="C1577" s="33" t="str">
        <x:v>Law ID=LAW001; Provision Category=Operational; Statutory Reference=; Remarks=</x:v>
      </x:c>
      <x:c r="D157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77" s="33" t="str">
        <x:v>CORRECT / RECLASSIFY</x:v>
      </x:c>
      <x:c r="F1577" s="33" t="str">
        <x:v>Correct technical citations, remove false direct duties and reclassify non-statutory/entity controls.</x:v>
      </x:c>
      <x:c r="G1577" s="33" t="str">
        <x:v>P-4 official-source validation</x:v>
      </x:c>
      <x:c r="H157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77" s="33" t="str">
        <x:v>P-4</x:v>
      </x:c>
      <x:c r="J1577" s="33" t="str">
        <x:v>2026-08-20</x:v>
      </x:c>
      <x:c r="K1577" s="33" t="str">
        <x:v>Provision IDs preserved; legal force and parentage corrected.</x:v>
      </x:c>
    </x:row>
    <x:row r="1578">
      <x:c r="A1578" s="33" t="str">
        <x:v>EPROV020</x:v>
      </x:c>
      <x:c r="B1578" s="33" t="str">
        <x:v>Provision Master</x:v>
      </x:c>
      <x:c r="C1578" s="33" t="str">
        <x:v>Law ID=LAW001; Provision Category=Operational; Statutory Reference=; Remarks=</x:v>
      </x:c>
      <x:c r="D157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78" s="33" t="str">
        <x:v>CORRECT / RECLASSIFY</x:v>
      </x:c>
      <x:c r="F1578" s="33" t="str">
        <x:v>Correct technical citations, remove false direct duties and reclassify non-statutory/entity controls.</x:v>
      </x:c>
      <x:c r="G1578" s="33" t="str">
        <x:v>P-4 official-source validation</x:v>
      </x:c>
      <x:c r="H157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78" s="33" t="str">
        <x:v>P-4</x:v>
      </x:c>
      <x:c r="J1578" s="33" t="str">
        <x:v>2026-08-20</x:v>
      </x:c>
      <x:c r="K1578" s="33" t="str">
        <x:v>Provision IDs preserved; legal force and parentage corrected.</x:v>
      </x:c>
    </x:row>
    <x:row r="1579">
      <x:c r="A1579" s="33" t="str">
        <x:v>EPROV021</x:v>
      </x:c>
      <x:c r="B1579" s="33" t="str">
        <x:v>Provision Master</x:v>
      </x:c>
      <x:c r="C1579" s="33" t="str">
        <x:v>Law ID=LAW001; Provision Category=Operational; Statutory Reference=; Remarks=</x:v>
      </x:c>
      <x:c r="D157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79" s="33" t="str">
        <x:v>CORRECT / RECLASSIFY</x:v>
      </x:c>
      <x:c r="F1579" s="33" t="str">
        <x:v>Correct technical citations, remove false direct duties and reclassify non-statutory/entity controls.</x:v>
      </x:c>
      <x:c r="G1579" s="33" t="str">
        <x:v>P-4 official-source validation</x:v>
      </x:c>
      <x:c r="H157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79" s="33" t="str">
        <x:v>P-4</x:v>
      </x:c>
      <x:c r="J1579" s="33" t="str">
        <x:v>2026-08-20</x:v>
      </x:c>
      <x:c r="K1579" s="33" t="str">
        <x:v>Provision IDs preserved; legal force and parentage corrected.</x:v>
      </x:c>
    </x:row>
    <x:row r="1580">
      <x:c r="A1580" s="33" t="str">
        <x:v>EPROV022</x:v>
      </x:c>
      <x:c r="B1580" s="33" t="str">
        <x:v>Provision Master</x:v>
      </x:c>
      <x:c r="C1580" s="33" t="str">
        <x:v>Law ID=LAW001; Provision Category=Operational; Statutory Reference=; Remarks=</x:v>
      </x:c>
      <x:c r="D158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80" s="33" t="str">
        <x:v>CORRECT / RECLASSIFY</x:v>
      </x:c>
      <x:c r="F1580" s="33" t="str">
        <x:v>Correct technical citations, remove false direct duties and reclassify non-statutory/entity controls.</x:v>
      </x:c>
      <x:c r="G1580" s="33" t="str">
        <x:v>P-4 official-source validation</x:v>
      </x:c>
      <x:c r="H158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80" s="33" t="str">
        <x:v>P-4</x:v>
      </x:c>
      <x:c r="J1580" s="33" t="str">
        <x:v>2026-08-20</x:v>
      </x:c>
      <x:c r="K1580" s="33" t="str">
        <x:v>Provision IDs preserved; legal force and parentage corrected.</x:v>
      </x:c>
    </x:row>
    <x:row r="1581">
      <x:c r="A1581" s="33" t="str">
        <x:v>EPROV023</x:v>
      </x:c>
      <x:c r="B1581" s="33" t="str">
        <x:v>Provision Master</x:v>
      </x:c>
      <x:c r="C1581" s="33" t="str">
        <x:v>Law ID=LAW001; Provision Category=Operational; Statutory Reference=; Remarks=</x:v>
      </x:c>
      <x:c r="D158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81" s="33" t="str">
        <x:v>CORRECT / RECLASSIFY</x:v>
      </x:c>
      <x:c r="F1581" s="33" t="str">
        <x:v>Correct technical citations, remove false direct duties and reclassify non-statutory/entity controls.</x:v>
      </x:c>
      <x:c r="G1581" s="33" t="str">
        <x:v>P-4 official-source validation</x:v>
      </x:c>
      <x:c r="H158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81" s="33" t="str">
        <x:v>P-4</x:v>
      </x:c>
      <x:c r="J1581" s="33" t="str">
        <x:v>2026-08-20</x:v>
      </x:c>
      <x:c r="K1581" s="33" t="str">
        <x:v>Provision IDs preserved; legal force and parentage corrected.</x:v>
      </x:c>
    </x:row>
    <x:row r="1582">
      <x:c r="A1582" s="33" t="str">
        <x:v>EPROV024</x:v>
      </x:c>
      <x:c r="B1582" s="33" t="str">
        <x:v>Provision Master</x:v>
      </x:c>
      <x:c r="C1582" s="33" t="str">
        <x:v>Law ID=LAW001; Provision Category=Operational; Statutory Reference=; Remarks=</x:v>
      </x:c>
      <x:c r="D158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82" s="33" t="str">
        <x:v>CORRECT / RECLASSIFY</x:v>
      </x:c>
      <x:c r="F1582" s="33" t="str">
        <x:v>Correct technical citations, remove false direct duties and reclassify non-statutory/entity controls.</x:v>
      </x:c>
      <x:c r="G1582" s="33" t="str">
        <x:v>P-4 official-source validation</x:v>
      </x:c>
      <x:c r="H158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82" s="33" t="str">
        <x:v>P-4</x:v>
      </x:c>
      <x:c r="J1582" s="33" t="str">
        <x:v>2026-08-20</x:v>
      </x:c>
      <x:c r="K1582" s="33" t="str">
        <x:v>Provision IDs preserved; legal force and parentage corrected.</x:v>
      </x:c>
    </x:row>
    <x:row r="1583">
      <x:c r="A1583" s="33" t="str">
        <x:v>EPROV025</x:v>
      </x:c>
      <x:c r="B1583" s="33" t="str">
        <x:v>Provision Master</x:v>
      </x:c>
      <x:c r="C1583" s="33" t="str">
        <x:v>Law ID=LAW001; Provision Category=Operational; Statutory Reference=; Remarks=</x:v>
      </x:c>
      <x:c r="D158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83" s="33" t="str">
        <x:v>CORRECT / RECLASSIFY</x:v>
      </x:c>
      <x:c r="F1583" s="33" t="str">
        <x:v>Correct technical citations, remove false direct duties and reclassify non-statutory/entity controls.</x:v>
      </x:c>
      <x:c r="G1583" s="33" t="str">
        <x:v>P-4 official-source validation</x:v>
      </x:c>
      <x:c r="H158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83" s="33" t="str">
        <x:v>P-4</x:v>
      </x:c>
      <x:c r="J1583" s="33" t="str">
        <x:v>2026-08-20</x:v>
      </x:c>
      <x:c r="K1583" s="33" t="str">
        <x:v>Provision IDs preserved; legal force and parentage corrected.</x:v>
      </x:c>
    </x:row>
    <x:row r="1584">
      <x:c r="A1584" s="33" t="str">
        <x:v>EPROV026</x:v>
      </x:c>
      <x:c r="B1584" s="33" t="str">
        <x:v>Provision Master</x:v>
      </x:c>
      <x:c r="C1584" s="33" t="str">
        <x:v>Law ID=LAW001; Provision Category=Operational; Statutory Reference=; Remarks=</x:v>
      </x:c>
      <x:c r="D158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84" s="33" t="str">
        <x:v>CORRECT / RECLASSIFY</x:v>
      </x:c>
      <x:c r="F1584" s="33" t="str">
        <x:v>Correct technical citations, remove false direct duties and reclassify non-statutory/entity controls.</x:v>
      </x:c>
      <x:c r="G1584" s="33" t="str">
        <x:v>P-4 official-source validation</x:v>
      </x:c>
      <x:c r="H158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84" s="33" t="str">
        <x:v>P-4</x:v>
      </x:c>
      <x:c r="J1584" s="33" t="str">
        <x:v>2026-08-20</x:v>
      </x:c>
      <x:c r="K1584" s="33" t="str">
        <x:v>Provision IDs preserved; legal force and parentage corrected.</x:v>
      </x:c>
    </x:row>
    <x:row r="1585">
      <x:c r="A1585" s="33" t="str">
        <x:v>EPROV027</x:v>
      </x:c>
      <x:c r="B1585" s="33" t="str">
        <x:v>Provision Master</x:v>
      </x:c>
      <x:c r="C1585" s="33" t="str">
        <x:v>Law ID=LAW001; Provision Category=Operational; Statutory Reference=; Remarks=</x:v>
      </x:c>
      <x:c r="D158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85" s="33" t="str">
        <x:v>CORRECT / RECLASSIFY</x:v>
      </x:c>
      <x:c r="F1585" s="33" t="str">
        <x:v>Correct technical citations, remove false direct duties and reclassify non-statutory/entity controls.</x:v>
      </x:c>
      <x:c r="G1585" s="33" t="str">
        <x:v>P-4 official-source validation</x:v>
      </x:c>
      <x:c r="H158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85" s="33" t="str">
        <x:v>P-4</x:v>
      </x:c>
      <x:c r="J1585" s="33" t="str">
        <x:v>2026-08-20</x:v>
      </x:c>
      <x:c r="K1585" s="33" t="str">
        <x:v>Provision IDs preserved; legal force and parentage corrected.</x:v>
      </x:c>
    </x:row>
    <x:row r="1586">
      <x:c r="A1586" s="33" t="str">
        <x:v>EPROV028</x:v>
      </x:c>
      <x:c r="B1586" s="33" t="str">
        <x:v>Provision Master</x:v>
      </x:c>
      <x:c r="C1586" s="33" t="str">
        <x:v>Law ID=LAW001; Provision Category=Operational; Statutory Reference=; Remarks=</x:v>
      </x:c>
      <x:c r="D158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86" s="33" t="str">
        <x:v>CORRECT / RECLASSIFY</x:v>
      </x:c>
      <x:c r="F1586" s="33" t="str">
        <x:v>Correct technical citations, remove false direct duties and reclassify non-statutory/entity controls.</x:v>
      </x:c>
      <x:c r="G1586" s="33" t="str">
        <x:v>P-4 official-source validation</x:v>
      </x:c>
      <x:c r="H158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86" s="33" t="str">
        <x:v>P-4</x:v>
      </x:c>
      <x:c r="J1586" s="33" t="str">
        <x:v>2026-08-20</x:v>
      </x:c>
      <x:c r="K1586" s="33" t="str">
        <x:v>Provision IDs preserved; legal force and parentage corrected.</x:v>
      </x:c>
    </x:row>
    <x:row r="1587">
      <x:c r="A1587" s="33" t="str">
        <x:v>EPROV029</x:v>
      </x:c>
      <x:c r="B1587" s="33" t="str">
        <x:v>Provision Master</x:v>
      </x:c>
      <x:c r="C1587" s="33" t="str">
        <x:v>Law ID=LAW001; Provision Category=Operational; Statutory Reference=; Remarks=</x:v>
      </x:c>
      <x:c r="D158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87" s="33" t="str">
        <x:v>CORRECT / RECLASSIFY</x:v>
      </x:c>
      <x:c r="F1587" s="33" t="str">
        <x:v>Correct technical citations, remove false direct duties and reclassify non-statutory/entity controls.</x:v>
      </x:c>
      <x:c r="G1587" s="33" t="str">
        <x:v>P-4 official-source validation</x:v>
      </x:c>
      <x:c r="H158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87" s="33" t="str">
        <x:v>P-4</x:v>
      </x:c>
      <x:c r="J1587" s="33" t="str">
        <x:v>2026-08-20</x:v>
      </x:c>
      <x:c r="K1587" s="33" t="str">
        <x:v>Provision IDs preserved; legal force and parentage corrected.</x:v>
      </x:c>
    </x:row>
    <x:row r="1588">
      <x:c r="A1588" s="33" t="str">
        <x:v>EPROV030</x:v>
      </x:c>
      <x:c r="B1588" s="33" t="str">
        <x:v>Provision Master</x:v>
      </x:c>
      <x:c r="C1588" s="33" t="str">
        <x:v>Law ID=LAW001; Provision Category=Operational; Statutory Reference=; Remarks=</x:v>
      </x:c>
      <x:c r="D158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88" s="33" t="str">
        <x:v>CORRECT / RECLASSIFY</x:v>
      </x:c>
      <x:c r="F1588" s="33" t="str">
        <x:v>Correct technical citations, remove false direct duties and reclassify non-statutory/entity controls.</x:v>
      </x:c>
      <x:c r="G1588" s="33" t="str">
        <x:v>P-4 official-source validation</x:v>
      </x:c>
      <x:c r="H158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88" s="33" t="str">
        <x:v>P-4</x:v>
      </x:c>
      <x:c r="J1588" s="33" t="str">
        <x:v>2026-08-20</x:v>
      </x:c>
      <x:c r="K1588" s="33" t="str">
        <x:v>Provision IDs preserved; legal force and parentage corrected.</x:v>
      </x:c>
    </x:row>
    <x:row r="1589">
      <x:c r="A1589" s="33" t="str">
        <x:v>EPROV031</x:v>
      </x:c>
      <x:c r="B1589" s="33" t="str">
        <x:v>Provision Master</x:v>
      </x:c>
      <x:c r="C1589" s="33" t="str">
        <x:v>Law ID=LAW001; Provision Category=Operational; Statutory Reference=; Remarks=</x:v>
      </x:c>
      <x:c r="D158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89" s="33" t="str">
        <x:v>CORRECT / RECLASSIFY</x:v>
      </x:c>
      <x:c r="F1589" s="33" t="str">
        <x:v>Correct technical citations, remove false direct duties and reclassify non-statutory/entity controls.</x:v>
      </x:c>
      <x:c r="G1589" s="33" t="str">
        <x:v>P-4 official-source validation</x:v>
      </x:c>
      <x:c r="H158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89" s="33" t="str">
        <x:v>P-4</x:v>
      </x:c>
      <x:c r="J1589" s="33" t="str">
        <x:v>2026-08-20</x:v>
      </x:c>
      <x:c r="K1589" s="33" t="str">
        <x:v>Provision IDs preserved; legal force and parentage corrected.</x:v>
      </x:c>
    </x:row>
    <x:row r="1590">
      <x:c r="A1590" s="33" t="str">
        <x:v>EPROV032</x:v>
      </x:c>
      <x:c r="B1590" s="33" t="str">
        <x:v>Provision Master</x:v>
      </x:c>
      <x:c r="C1590" s="33" t="str">
        <x:v>Law ID=LAW001; Provision Category=Operational; Statutory Reference=; Remarks=</x:v>
      </x:c>
      <x:c r="D159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90" s="33" t="str">
        <x:v>CORRECT / RECLASSIFY</x:v>
      </x:c>
      <x:c r="F1590" s="33" t="str">
        <x:v>Correct technical citations, remove false direct duties and reclassify non-statutory/entity controls.</x:v>
      </x:c>
      <x:c r="G1590" s="33" t="str">
        <x:v>P-4 official-source validation</x:v>
      </x:c>
      <x:c r="H159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90" s="33" t="str">
        <x:v>P-4</x:v>
      </x:c>
      <x:c r="J1590" s="33" t="str">
        <x:v>2026-08-20</x:v>
      </x:c>
      <x:c r="K1590" s="33" t="str">
        <x:v>Provision IDs preserved; legal force and parentage corrected.</x:v>
      </x:c>
    </x:row>
    <x:row r="1591">
      <x:c r="A1591" s="33" t="str">
        <x:v>EPROV033</x:v>
      </x:c>
      <x:c r="B1591" s="33" t="str">
        <x:v>Provision Master</x:v>
      </x:c>
      <x:c r="C1591" s="33" t="str">
        <x:v>Law ID=LAW001; Provision Category=Operational; Statutory Reference=; Remarks=</x:v>
      </x:c>
      <x:c r="D159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91" s="33" t="str">
        <x:v>CORRECT / RECLASSIFY</x:v>
      </x:c>
      <x:c r="F1591" s="33" t="str">
        <x:v>Correct technical citations, remove false direct duties and reclassify non-statutory/entity controls.</x:v>
      </x:c>
      <x:c r="G1591" s="33" t="str">
        <x:v>P-4 official-source validation</x:v>
      </x:c>
      <x:c r="H159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91" s="33" t="str">
        <x:v>P-4</x:v>
      </x:c>
      <x:c r="J1591" s="33" t="str">
        <x:v>2026-08-20</x:v>
      </x:c>
      <x:c r="K1591" s="33" t="str">
        <x:v>Provision IDs preserved; legal force and parentage corrected.</x:v>
      </x:c>
    </x:row>
    <x:row r="1592">
      <x:c r="A1592" s="33" t="str">
        <x:v>EPROV034</x:v>
      </x:c>
      <x:c r="B1592" s="33" t="str">
        <x:v>Provision Master</x:v>
      </x:c>
      <x:c r="C1592" s="33" t="str">
        <x:v>Law ID=LAW001; Provision Category=Operational; Statutory Reference=; Remarks=</x:v>
      </x:c>
      <x:c r="D159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92" s="33" t="str">
        <x:v>CORRECT / RECLASSIFY</x:v>
      </x:c>
      <x:c r="F1592" s="33" t="str">
        <x:v>Correct technical citations, remove false direct duties and reclassify non-statutory/entity controls.</x:v>
      </x:c>
      <x:c r="G1592" s="33" t="str">
        <x:v>P-4 official-source validation</x:v>
      </x:c>
      <x:c r="H159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92" s="33" t="str">
        <x:v>P-4</x:v>
      </x:c>
      <x:c r="J1592" s="33" t="str">
        <x:v>2026-08-20</x:v>
      </x:c>
      <x:c r="K1592" s="33" t="str">
        <x:v>Provision IDs preserved; legal force and parentage corrected.</x:v>
      </x:c>
    </x:row>
    <x:row r="1593">
      <x:c r="A1593" s="33" t="str">
        <x:v>EPROV035</x:v>
      </x:c>
      <x:c r="B1593" s="33" t="str">
        <x:v>Provision Master</x:v>
      </x:c>
      <x:c r="C1593" s="33" t="str">
        <x:v>Law ID=LAW001; Provision Category=Operational; Statutory Reference=; Remarks=</x:v>
      </x:c>
      <x:c r="D159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93" s="33" t="str">
        <x:v>CORRECT / RECLASSIFY</x:v>
      </x:c>
      <x:c r="F1593" s="33" t="str">
        <x:v>Correct technical citations, remove false direct duties and reclassify non-statutory/entity controls.</x:v>
      </x:c>
      <x:c r="G1593" s="33" t="str">
        <x:v>P-4 official-source validation</x:v>
      </x:c>
      <x:c r="H159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93" s="33" t="str">
        <x:v>P-4</x:v>
      </x:c>
      <x:c r="J1593" s="33" t="str">
        <x:v>2026-08-20</x:v>
      </x:c>
      <x:c r="K1593" s="33" t="str">
        <x:v>Provision IDs preserved; legal force and parentage corrected.</x:v>
      </x:c>
    </x:row>
    <x:row r="1594">
      <x:c r="A1594" s="33" t="str">
        <x:v>EPROV036</x:v>
      </x:c>
      <x:c r="B1594" s="33" t="str">
        <x:v>Provision Master</x:v>
      </x:c>
      <x:c r="C1594" s="33" t="str">
        <x:v>Law ID=LAW001; Provision Category=Operational; Statutory Reference=; Remarks=</x:v>
      </x:c>
      <x:c r="D159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94" s="33" t="str">
        <x:v>CORRECT / RECLASSIFY</x:v>
      </x:c>
      <x:c r="F1594" s="33" t="str">
        <x:v>Correct technical citations, remove false direct duties and reclassify non-statutory/entity controls.</x:v>
      </x:c>
      <x:c r="G1594" s="33" t="str">
        <x:v>P-4 official-source validation</x:v>
      </x:c>
      <x:c r="H159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94" s="33" t="str">
        <x:v>P-4</x:v>
      </x:c>
      <x:c r="J1594" s="33" t="str">
        <x:v>2026-08-20</x:v>
      </x:c>
      <x:c r="K1594" s="33" t="str">
        <x:v>Provision IDs preserved; legal force and parentage corrected.</x:v>
      </x:c>
    </x:row>
    <x:row r="1595">
      <x:c r="A1595" s="33" t="str">
        <x:v>EPROV037</x:v>
      </x:c>
      <x:c r="B1595" s="33" t="str">
        <x:v>Provision Master</x:v>
      </x:c>
      <x:c r="C1595" s="33" t="str">
        <x:v>Law ID=LAW001; Provision Category=Operational; Statutory Reference=; Remarks=</x:v>
      </x:c>
      <x:c r="D159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95" s="33" t="str">
        <x:v>CORRECT / RECLASSIFY</x:v>
      </x:c>
      <x:c r="F1595" s="33" t="str">
        <x:v>Correct technical citations, remove false direct duties and reclassify non-statutory/entity controls.</x:v>
      </x:c>
      <x:c r="G1595" s="33" t="str">
        <x:v>P-4 official-source validation</x:v>
      </x:c>
      <x:c r="H159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95" s="33" t="str">
        <x:v>P-4</x:v>
      </x:c>
      <x:c r="J1595" s="33" t="str">
        <x:v>2026-08-20</x:v>
      </x:c>
      <x:c r="K1595" s="33" t="str">
        <x:v>Provision IDs preserved; legal force and parentage corrected.</x:v>
      </x:c>
    </x:row>
    <x:row r="1596">
      <x:c r="A1596" s="33" t="str">
        <x:v>EPROV038</x:v>
      </x:c>
      <x:c r="B1596" s="33" t="str">
        <x:v>Provision Master</x:v>
      </x:c>
      <x:c r="C1596" s="33" t="str">
        <x:v>Law ID=LAW001; Provision Category=Operational; Statutory Reference=; Remarks=</x:v>
      </x:c>
      <x:c r="D159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96" s="33" t="str">
        <x:v>CORRECT / RECLASSIFY</x:v>
      </x:c>
      <x:c r="F1596" s="33" t="str">
        <x:v>Correct technical citations, remove false direct duties and reclassify non-statutory/entity controls.</x:v>
      </x:c>
      <x:c r="G1596" s="33" t="str">
        <x:v>P-4 official-source validation</x:v>
      </x:c>
      <x:c r="H159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96" s="33" t="str">
        <x:v>P-4</x:v>
      </x:c>
      <x:c r="J1596" s="33" t="str">
        <x:v>2026-08-20</x:v>
      </x:c>
      <x:c r="K1596" s="33" t="str">
        <x:v>Provision IDs preserved; legal force and parentage corrected.</x:v>
      </x:c>
    </x:row>
    <x:row r="1597">
      <x:c r="A1597" s="33" t="str">
        <x:v>EPROV039</x:v>
      </x:c>
      <x:c r="B1597" s="33" t="str">
        <x:v>Provision Master</x:v>
      </x:c>
      <x:c r="C1597" s="33" t="str">
        <x:v>Law ID=LAW001; Provision Category=Operational; Statutory Reference=; Remarks=</x:v>
      </x:c>
      <x:c r="D159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97" s="33" t="str">
        <x:v>CORRECT / RECLASSIFY</x:v>
      </x:c>
      <x:c r="F1597" s="33" t="str">
        <x:v>Correct technical citations, remove false direct duties and reclassify non-statutory/entity controls.</x:v>
      </x:c>
      <x:c r="G1597" s="33" t="str">
        <x:v>P-4 official-source validation</x:v>
      </x:c>
      <x:c r="H159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97" s="33" t="str">
        <x:v>P-4</x:v>
      </x:c>
      <x:c r="J1597" s="33" t="str">
        <x:v>2026-08-20</x:v>
      </x:c>
      <x:c r="K1597" s="33" t="str">
        <x:v>Provision IDs preserved; legal force and parentage corrected.</x:v>
      </x:c>
    </x:row>
    <x:row r="1598">
      <x:c r="A1598" s="33" t="str">
        <x:v>EPROV040</x:v>
      </x:c>
      <x:c r="B1598" s="33" t="str">
        <x:v>Provision Master</x:v>
      </x:c>
      <x:c r="C1598" s="33" t="str">
        <x:v>Law ID=LAW001; Provision Category=Operational; Statutory Reference=; Remarks=</x:v>
      </x:c>
      <x:c r="D159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98" s="33" t="str">
        <x:v>CORRECT / RECLASSIFY</x:v>
      </x:c>
      <x:c r="F1598" s="33" t="str">
        <x:v>Correct technical citations, remove false direct duties and reclassify non-statutory/entity controls.</x:v>
      </x:c>
      <x:c r="G1598" s="33" t="str">
        <x:v>P-4 official-source validation</x:v>
      </x:c>
      <x:c r="H159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98" s="33" t="str">
        <x:v>P-4</x:v>
      </x:c>
      <x:c r="J1598" s="33" t="str">
        <x:v>2026-08-20</x:v>
      </x:c>
      <x:c r="K1598" s="33" t="str">
        <x:v>Provision IDs preserved; legal force and parentage corrected.</x:v>
      </x:c>
    </x:row>
    <x:row r="1599">
      <x:c r="A1599" s="33" t="str">
        <x:v>EPROV041</x:v>
      </x:c>
      <x:c r="B1599" s="33" t="str">
        <x:v>Provision Master</x:v>
      </x:c>
      <x:c r="C1599" s="33" t="str">
        <x:v>Law ID=LAW001; Provision Category=Operational; Statutory Reference=; Remarks=</x:v>
      </x:c>
      <x:c r="D159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599" s="33" t="str">
        <x:v>CORRECT / RECLASSIFY</x:v>
      </x:c>
      <x:c r="F1599" s="33" t="str">
        <x:v>Correct technical citations, remove false direct duties and reclassify non-statutory/entity controls.</x:v>
      </x:c>
      <x:c r="G1599" s="33" t="str">
        <x:v>P-4 official-source validation</x:v>
      </x:c>
      <x:c r="H159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599" s="33" t="str">
        <x:v>P-4</x:v>
      </x:c>
      <x:c r="J1599" s="33" t="str">
        <x:v>2026-08-20</x:v>
      </x:c>
      <x:c r="K1599" s="33" t="str">
        <x:v>Provision IDs preserved; legal force and parentage corrected.</x:v>
      </x:c>
    </x:row>
    <x:row r="1600">
      <x:c r="A1600" s="33" t="str">
        <x:v>EPROV042</x:v>
      </x:c>
      <x:c r="B1600" s="33" t="str">
        <x:v>Provision Master</x:v>
      </x:c>
      <x:c r="C1600" s="33" t="str">
        <x:v>Law ID=LAW001; Provision Category=Operational; Statutory Reference=; Remarks=</x:v>
      </x:c>
      <x:c r="D160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00" s="33" t="str">
        <x:v>CORRECT / RECLASSIFY</x:v>
      </x:c>
      <x:c r="F1600" s="33" t="str">
        <x:v>Correct technical citations, remove false direct duties and reclassify non-statutory/entity controls.</x:v>
      </x:c>
      <x:c r="G1600" s="33" t="str">
        <x:v>P-4 official-source validation</x:v>
      </x:c>
      <x:c r="H160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00" s="33" t="str">
        <x:v>P-4</x:v>
      </x:c>
      <x:c r="J1600" s="33" t="str">
        <x:v>2026-08-20</x:v>
      </x:c>
      <x:c r="K1600" s="33" t="str">
        <x:v>Provision IDs preserved; legal force and parentage corrected.</x:v>
      </x:c>
    </x:row>
    <x:row r="1601">
      <x:c r="A1601" s="33" t="str">
        <x:v>EPROV043</x:v>
      </x:c>
      <x:c r="B1601" s="33" t="str">
        <x:v>Provision Master</x:v>
      </x:c>
      <x:c r="C1601" s="33" t="str">
        <x:v>Law ID=LAW001; Provision Category=Operational; Statutory Reference=; Remarks=</x:v>
      </x:c>
      <x:c r="D160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01" s="33" t="str">
        <x:v>CORRECT / RECLASSIFY</x:v>
      </x:c>
      <x:c r="F1601" s="33" t="str">
        <x:v>Correct technical citations, remove false direct duties and reclassify non-statutory/entity controls.</x:v>
      </x:c>
      <x:c r="G1601" s="33" t="str">
        <x:v>P-4 official-source validation</x:v>
      </x:c>
      <x:c r="H160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01" s="33" t="str">
        <x:v>P-4</x:v>
      </x:c>
      <x:c r="J1601" s="33" t="str">
        <x:v>2026-08-20</x:v>
      </x:c>
      <x:c r="K1601" s="33" t="str">
        <x:v>Provision IDs preserved; legal force and parentage corrected.</x:v>
      </x:c>
    </x:row>
    <x:row r="1602">
      <x:c r="A1602" s="33" t="str">
        <x:v>EPROV044</x:v>
      </x:c>
      <x:c r="B1602" s="33" t="str">
        <x:v>Provision Master</x:v>
      </x:c>
      <x:c r="C1602" s="33" t="str">
        <x:v>Law ID=LAW001; Provision Category=Operational; Statutory Reference=; Remarks=</x:v>
      </x:c>
      <x:c r="D160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02" s="33" t="str">
        <x:v>CORRECT / RECLASSIFY</x:v>
      </x:c>
      <x:c r="F1602" s="33" t="str">
        <x:v>Correct technical citations, remove false direct duties and reclassify non-statutory/entity controls.</x:v>
      </x:c>
      <x:c r="G1602" s="33" t="str">
        <x:v>P-4 official-source validation</x:v>
      </x:c>
      <x:c r="H160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02" s="33" t="str">
        <x:v>P-4</x:v>
      </x:c>
      <x:c r="J1602" s="33" t="str">
        <x:v>2026-08-20</x:v>
      </x:c>
      <x:c r="K1602" s="33" t="str">
        <x:v>Provision IDs preserved; legal force and parentage corrected.</x:v>
      </x:c>
    </x:row>
    <x:row r="1603">
      <x:c r="A1603" s="33" t="str">
        <x:v>EPROV045</x:v>
      </x:c>
      <x:c r="B1603" s="33" t="str">
        <x:v>Provision Master</x:v>
      </x:c>
      <x:c r="C1603" s="33" t="str">
        <x:v>Law ID=LAW001; Provision Category=Operational; Statutory Reference=; Remarks=</x:v>
      </x:c>
      <x:c r="D160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03" s="33" t="str">
        <x:v>CORRECT / RECLASSIFY</x:v>
      </x:c>
      <x:c r="F1603" s="33" t="str">
        <x:v>Correct technical citations, remove false direct duties and reclassify non-statutory/entity controls.</x:v>
      </x:c>
      <x:c r="G1603" s="33" t="str">
        <x:v>P-4 official-source validation</x:v>
      </x:c>
      <x:c r="H160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03" s="33" t="str">
        <x:v>P-4</x:v>
      </x:c>
      <x:c r="J1603" s="33" t="str">
        <x:v>2026-08-20</x:v>
      </x:c>
      <x:c r="K1603" s="33" t="str">
        <x:v>Provision IDs preserved; legal force and parentage corrected.</x:v>
      </x:c>
    </x:row>
    <x:row r="1604">
      <x:c r="A1604" s="33" t="str">
        <x:v>EPROV046</x:v>
      </x:c>
      <x:c r="B1604" s="33" t="str">
        <x:v>Provision Master</x:v>
      </x:c>
      <x:c r="C1604" s="33" t="str">
        <x:v>Law ID=LAW001; Provision Category=Operational; Statutory Reference=; Remarks=</x:v>
      </x:c>
      <x:c r="D160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04" s="33" t="str">
        <x:v>CORRECT / RECLASSIFY</x:v>
      </x:c>
      <x:c r="F1604" s="33" t="str">
        <x:v>Correct technical citations, remove false direct duties and reclassify non-statutory/entity controls.</x:v>
      </x:c>
      <x:c r="G1604" s="33" t="str">
        <x:v>P-4 official-source validation</x:v>
      </x:c>
      <x:c r="H160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04" s="33" t="str">
        <x:v>P-4</x:v>
      </x:c>
      <x:c r="J1604" s="33" t="str">
        <x:v>2026-08-20</x:v>
      </x:c>
      <x:c r="K1604" s="33" t="str">
        <x:v>Provision IDs preserved; legal force and parentage corrected.</x:v>
      </x:c>
    </x:row>
    <x:row r="1605">
      <x:c r="A1605" s="33" t="str">
        <x:v>EPROV047</x:v>
      </x:c>
      <x:c r="B1605" s="33" t="str">
        <x:v>Provision Master</x:v>
      </x:c>
      <x:c r="C1605" s="33" t="str">
        <x:v>Law ID=LAW001; Provision Category=Operational; Statutory Reference=; Remarks=</x:v>
      </x:c>
      <x:c r="D160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05" s="33" t="str">
        <x:v>CORRECT / RECLASSIFY</x:v>
      </x:c>
      <x:c r="F1605" s="33" t="str">
        <x:v>Correct technical citations, remove false direct duties and reclassify non-statutory/entity controls.</x:v>
      </x:c>
      <x:c r="G1605" s="33" t="str">
        <x:v>P-4 official-source validation</x:v>
      </x:c>
      <x:c r="H160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05" s="33" t="str">
        <x:v>P-4</x:v>
      </x:c>
      <x:c r="J1605" s="33" t="str">
        <x:v>2026-08-20</x:v>
      </x:c>
      <x:c r="K1605" s="33" t="str">
        <x:v>Provision IDs preserved; legal force and parentage corrected.</x:v>
      </x:c>
    </x:row>
    <x:row r="1606">
      <x:c r="A1606" s="33" t="str">
        <x:v>EPROV048</x:v>
      </x:c>
      <x:c r="B1606" s="33" t="str">
        <x:v>Provision Master</x:v>
      </x:c>
      <x:c r="C1606" s="33" t="str">
        <x:v>Law ID=LAW001; Provision Category=Operational; Statutory Reference=; Remarks=</x:v>
      </x:c>
      <x:c r="D160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06" s="33" t="str">
        <x:v>CORRECT / RECLASSIFY</x:v>
      </x:c>
      <x:c r="F1606" s="33" t="str">
        <x:v>Correct technical citations, remove false direct duties and reclassify non-statutory/entity controls.</x:v>
      </x:c>
      <x:c r="G1606" s="33" t="str">
        <x:v>P-4 official-source validation</x:v>
      </x:c>
      <x:c r="H160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06" s="33" t="str">
        <x:v>P-4</x:v>
      </x:c>
      <x:c r="J1606" s="33" t="str">
        <x:v>2026-08-20</x:v>
      </x:c>
      <x:c r="K1606" s="33" t="str">
        <x:v>Provision IDs preserved; legal force and parentage corrected.</x:v>
      </x:c>
    </x:row>
    <x:row r="1607">
      <x:c r="A1607" s="33" t="str">
        <x:v>EPROV049</x:v>
      </x:c>
      <x:c r="B1607" s="33" t="str">
        <x:v>Provision Master</x:v>
      </x:c>
      <x:c r="C1607" s="33" t="str">
        <x:v>Law ID=LAW001; Provision Category=Operational; Statutory Reference=; Remarks=</x:v>
      </x:c>
      <x:c r="D160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07" s="33" t="str">
        <x:v>CORRECT / RECLASSIFY</x:v>
      </x:c>
      <x:c r="F1607" s="33" t="str">
        <x:v>Correct technical citations, remove false direct duties and reclassify non-statutory/entity controls.</x:v>
      </x:c>
      <x:c r="G1607" s="33" t="str">
        <x:v>P-4 official-source validation</x:v>
      </x:c>
      <x:c r="H160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07" s="33" t="str">
        <x:v>P-4</x:v>
      </x:c>
      <x:c r="J1607" s="33" t="str">
        <x:v>2026-08-20</x:v>
      </x:c>
      <x:c r="K1607" s="33" t="str">
        <x:v>Provision IDs preserved; legal force and parentage corrected.</x:v>
      </x:c>
    </x:row>
    <x:row r="1608">
      <x:c r="A1608" s="33" t="str">
        <x:v>EPROV050</x:v>
      </x:c>
      <x:c r="B1608" s="33" t="str">
        <x:v>Provision Master</x:v>
      </x:c>
      <x:c r="C1608" s="33" t="str">
        <x:v>Law ID=LAW001; Provision Category=Operational; Statutory Reference=; Remarks=</x:v>
      </x:c>
      <x:c r="D160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08" s="33" t="str">
        <x:v>CORRECT / RECLASSIFY</x:v>
      </x:c>
      <x:c r="F1608" s="33" t="str">
        <x:v>Correct technical citations, remove false direct duties and reclassify non-statutory/entity controls.</x:v>
      </x:c>
      <x:c r="G1608" s="33" t="str">
        <x:v>P-4 official-source validation</x:v>
      </x:c>
      <x:c r="H160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08" s="33" t="str">
        <x:v>P-4</x:v>
      </x:c>
      <x:c r="J1608" s="33" t="str">
        <x:v>2026-08-20</x:v>
      </x:c>
      <x:c r="K1608" s="33" t="str">
        <x:v>Provision IDs preserved; legal force and parentage corrected.</x:v>
      </x:c>
    </x:row>
    <x:row r="1609">
      <x:c r="A1609" s="33" t="str">
        <x:v>IPROV001</x:v>
      </x:c>
      <x:c r="B1609" s="33" t="str">
        <x:v>Provision Master</x:v>
      </x:c>
      <x:c r="C1609" s="33" t="str">
        <x:v>Law ID=LAW001; Provision Category=Operational; Statutory Reference=; Remarks=</x:v>
      </x:c>
      <x:c r="D160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09" s="33" t="str">
        <x:v>CORRECT / RECLASSIFY</x:v>
      </x:c>
      <x:c r="F1609" s="33" t="str">
        <x:v>Correct technical citations, remove false direct duties and reclassify non-statutory/entity controls.</x:v>
      </x:c>
      <x:c r="G1609" s="33" t="str">
        <x:v>P-4 official-source validation</x:v>
      </x:c>
      <x:c r="H160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09" s="33" t="str">
        <x:v>P-4</x:v>
      </x:c>
      <x:c r="J1609" s="33" t="str">
        <x:v>2026-08-20</x:v>
      </x:c>
      <x:c r="K1609" s="33" t="str">
        <x:v>Provision IDs preserved; legal force and parentage corrected.</x:v>
      </x:c>
    </x:row>
    <x:row r="1610">
      <x:c r="A1610" s="33" t="str">
        <x:v>IPROV002</x:v>
      </x:c>
      <x:c r="B1610" s="33" t="str">
        <x:v>Provision Master</x:v>
      </x:c>
      <x:c r="C1610" s="33" t="str">
        <x:v>Law ID=LAW001; Provision Category=Operational; Statutory Reference=; Remarks=</x:v>
      </x:c>
      <x:c r="D161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10" s="33" t="str">
        <x:v>CORRECT / RECLASSIFY</x:v>
      </x:c>
      <x:c r="F1610" s="33" t="str">
        <x:v>Correct technical citations, remove false direct duties and reclassify non-statutory/entity controls.</x:v>
      </x:c>
      <x:c r="G1610" s="33" t="str">
        <x:v>P-4 official-source validation</x:v>
      </x:c>
      <x:c r="H161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10" s="33" t="str">
        <x:v>P-4</x:v>
      </x:c>
      <x:c r="J1610" s="33" t="str">
        <x:v>2026-08-20</x:v>
      </x:c>
      <x:c r="K1610" s="33" t="str">
        <x:v>Provision IDs preserved; legal force and parentage corrected.</x:v>
      </x:c>
    </x:row>
    <x:row r="1611">
      <x:c r="A1611" s="33" t="str">
        <x:v>IPROV003</x:v>
      </x:c>
      <x:c r="B1611" s="33" t="str">
        <x:v>Provision Master</x:v>
      </x:c>
      <x:c r="C1611" s="33" t="str">
        <x:v>Law ID=LAW001; Provision Category=Operational; Statutory Reference=; Remarks=</x:v>
      </x:c>
      <x:c r="D161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11" s="33" t="str">
        <x:v>CORRECT / RECLASSIFY</x:v>
      </x:c>
      <x:c r="F1611" s="33" t="str">
        <x:v>Correct technical citations, remove false direct duties and reclassify non-statutory/entity controls.</x:v>
      </x:c>
      <x:c r="G1611" s="33" t="str">
        <x:v>P-4 official-source validation</x:v>
      </x:c>
      <x:c r="H161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11" s="33" t="str">
        <x:v>P-4</x:v>
      </x:c>
      <x:c r="J1611" s="33" t="str">
        <x:v>2026-08-20</x:v>
      </x:c>
      <x:c r="K1611" s="33" t="str">
        <x:v>Provision IDs preserved; legal force and parentage corrected.</x:v>
      </x:c>
    </x:row>
    <x:row r="1612">
      <x:c r="A1612" s="33" t="str">
        <x:v>IPROV004</x:v>
      </x:c>
      <x:c r="B1612" s="33" t="str">
        <x:v>Provision Master</x:v>
      </x:c>
      <x:c r="C1612" s="33" t="str">
        <x:v>Law ID=LAW001; Provision Category=Operational; Statutory Reference=; Remarks=</x:v>
      </x:c>
      <x:c r="D161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12" s="33" t="str">
        <x:v>CORRECT / RECLASSIFY</x:v>
      </x:c>
      <x:c r="F1612" s="33" t="str">
        <x:v>Correct technical citations, remove false direct duties and reclassify non-statutory/entity controls.</x:v>
      </x:c>
      <x:c r="G1612" s="33" t="str">
        <x:v>P-4 official-source validation</x:v>
      </x:c>
      <x:c r="H161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12" s="33" t="str">
        <x:v>P-4</x:v>
      </x:c>
      <x:c r="J1612" s="33" t="str">
        <x:v>2026-08-20</x:v>
      </x:c>
      <x:c r="K1612" s="33" t="str">
        <x:v>Provision IDs preserved; legal force and parentage corrected.</x:v>
      </x:c>
    </x:row>
    <x:row r="1613">
      <x:c r="A1613" s="33" t="str">
        <x:v>IPROV005</x:v>
      </x:c>
      <x:c r="B1613" s="33" t="str">
        <x:v>Provision Master</x:v>
      </x:c>
      <x:c r="C1613" s="33" t="str">
        <x:v>Law ID=LAW001; Provision Category=Operational; Statutory Reference=; Remarks=</x:v>
      </x:c>
      <x:c r="D161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13" s="33" t="str">
        <x:v>CORRECT / RECLASSIFY</x:v>
      </x:c>
      <x:c r="F1613" s="33" t="str">
        <x:v>Correct technical citations, remove false direct duties and reclassify non-statutory/entity controls.</x:v>
      </x:c>
      <x:c r="G1613" s="33" t="str">
        <x:v>P-4 official-source validation</x:v>
      </x:c>
      <x:c r="H161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13" s="33" t="str">
        <x:v>P-4</x:v>
      </x:c>
      <x:c r="J1613" s="33" t="str">
        <x:v>2026-08-20</x:v>
      </x:c>
      <x:c r="K1613" s="33" t="str">
        <x:v>Provision IDs preserved; legal force and parentage corrected.</x:v>
      </x:c>
    </x:row>
    <x:row r="1614">
      <x:c r="A1614" s="33" t="str">
        <x:v>IPROV006</x:v>
      </x:c>
      <x:c r="B1614" s="33" t="str">
        <x:v>Provision Master</x:v>
      </x:c>
      <x:c r="C1614" s="33" t="str">
        <x:v>Law ID=LAW001; Provision Category=Operational; Statutory Reference=; Remarks=</x:v>
      </x:c>
      <x:c r="D161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14" s="33" t="str">
        <x:v>CORRECT / RECLASSIFY</x:v>
      </x:c>
      <x:c r="F1614" s="33" t="str">
        <x:v>Correct technical citations, remove false direct duties and reclassify non-statutory/entity controls.</x:v>
      </x:c>
      <x:c r="G1614" s="33" t="str">
        <x:v>P-4 official-source validation</x:v>
      </x:c>
      <x:c r="H161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14" s="33" t="str">
        <x:v>P-4</x:v>
      </x:c>
      <x:c r="J1614" s="33" t="str">
        <x:v>2026-08-20</x:v>
      </x:c>
      <x:c r="K1614" s="33" t="str">
        <x:v>Provision IDs preserved; legal force and parentage corrected.</x:v>
      </x:c>
    </x:row>
    <x:row r="1615">
      <x:c r="A1615" s="33" t="str">
        <x:v>IPROV007</x:v>
      </x:c>
      <x:c r="B1615" s="33" t="str">
        <x:v>Provision Master</x:v>
      </x:c>
      <x:c r="C1615" s="33" t="str">
        <x:v>Law ID=LAW001; Provision Category=Operational; Statutory Reference=; Remarks=</x:v>
      </x:c>
      <x:c r="D161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15" s="33" t="str">
        <x:v>CORRECT / RECLASSIFY</x:v>
      </x:c>
      <x:c r="F1615" s="33" t="str">
        <x:v>Correct technical citations, remove false direct duties and reclassify non-statutory/entity controls.</x:v>
      </x:c>
      <x:c r="G1615" s="33" t="str">
        <x:v>P-4 official-source validation</x:v>
      </x:c>
      <x:c r="H161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15" s="33" t="str">
        <x:v>P-4</x:v>
      </x:c>
      <x:c r="J1615" s="33" t="str">
        <x:v>2026-08-20</x:v>
      </x:c>
      <x:c r="K1615" s="33" t="str">
        <x:v>Provision IDs preserved; legal force and parentage corrected.</x:v>
      </x:c>
    </x:row>
    <x:row r="1616">
      <x:c r="A1616" s="33" t="str">
        <x:v>IPROV008</x:v>
      </x:c>
      <x:c r="B1616" s="33" t="str">
        <x:v>Provision Master</x:v>
      </x:c>
      <x:c r="C1616" s="33" t="str">
        <x:v>Law ID=LAW001; Provision Category=Operational; Statutory Reference=; Remarks=</x:v>
      </x:c>
      <x:c r="D161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16" s="33" t="str">
        <x:v>CORRECT / RECLASSIFY</x:v>
      </x:c>
      <x:c r="F1616" s="33" t="str">
        <x:v>Correct technical citations, remove false direct duties and reclassify non-statutory/entity controls.</x:v>
      </x:c>
      <x:c r="G1616" s="33" t="str">
        <x:v>P-4 official-source validation</x:v>
      </x:c>
      <x:c r="H161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16" s="33" t="str">
        <x:v>P-4</x:v>
      </x:c>
      <x:c r="J1616" s="33" t="str">
        <x:v>2026-08-20</x:v>
      </x:c>
      <x:c r="K1616" s="33" t="str">
        <x:v>Provision IDs preserved; legal force and parentage corrected.</x:v>
      </x:c>
    </x:row>
    <x:row r="1617">
      <x:c r="A1617" s="33" t="str">
        <x:v>IPROV009</x:v>
      </x:c>
      <x:c r="B1617" s="33" t="str">
        <x:v>Provision Master</x:v>
      </x:c>
      <x:c r="C1617" s="33" t="str">
        <x:v>Law ID=LAW001; Provision Category=Operational; Statutory Reference=; Remarks=</x:v>
      </x:c>
      <x:c r="D161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17" s="33" t="str">
        <x:v>CORRECT / RECLASSIFY</x:v>
      </x:c>
      <x:c r="F1617" s="33" t="str">
        <x:v>Correct technical citations, remove false direct duties and reclassify non-statutory/entity controls.</x:v>
      </x:c>
      <x:c r="G1617" s="33" t="str">
        <x:v>P-4 official-source validation</x:v>
      </x:c>
      <x:c r="H161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17" s="33" t="str">
        <x:v>P-4</x:v>
      </x:c>
      <x:c r="J1617" s="33" t="str">
        <x:v>2026-08-20</x:v>
      </x:c>
      <x:c r="K1617" s="33" t="str">
        <x:v>Provision IDs preserved; legal force and parentage corrected.</x:v>
      </x:c>
    </x:row>
    <x:row r="1618">
      <x:c r="A1618" s="33" t="str">
        <x:v>IPROV010</x:v>
      </x:c>
      <x:c r="B1618" s="33" t="str">
        <x:v>Provision Master</x:v>
      </x:c>
      <x:c r="C1618" s="33" t="str">
        <x:v>Law ID=LAW001; Provision Category=Operational; Statutory Reference=; Remarks=</x:v>
      </x:c>
      <x:c r="D161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18" s="33" t="str">
        <x:v>CORRECT / RECLASSIFY</x:v>
      </x:c>
      <x:c r="F1618" s="33" t="str">
        <x:v>Correct technical citations, remove false direct duties and reclassify non-statutory/entity controls.</x:v>
      </x:c>
      <x:c r="G1618" s="33" t="str">
        <x:v>P-4 official-source validation</x:v>
      </x:c>
      <x:c r="H161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18" s="33" t="str">
        <x:v>P-4</x:v>
      </x:c>
      <x:c r="J1618" s="33" t="str">
        <x:v>2026-08-20</x:v>
      </x:c>
      <x:c r="K1618" s="33" t="str">
        <x:v>Provision IDs preserved; legal force and parentage corrected.</x:v>
      </x:c>
    </x:row>
    <x:row r="1619">
      <x:c r="A1619" s="33" t="str">
        <x:v>IPROV011</x:v>
      </x:c>
      <x:c r="B1619" s="33" t="str">
        <x:v>Provision Master</x:v>
      </x:c>
      <x:c r="C1619" s="33" t="str">
        <x:v>Law ID=LAW001; Provision Category=Operational; Statutory Reference=; Remarks=</x:v>
      </x:c>
      <x:c r="D161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19" s="33" t="str">
        <x:v>CORRECT / RECLASSIFY</x:v>
      </x:c>
      <x:c r="F1619" s="33" t="str">
        <x:v>Correct technical citations, remove false direct duties and reclassify non-statutory/entity controls.</x:v>
      </x:c>
      <x:c r="G1619" s="33" t="str">
        <x:v>P-4 official-source validation</x:v>
      </x:c>
      <x:c r="H161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19" s="33" t="str">
        <x:v>P-4</x:v>
      </x:c>
      <x:c r="J1619" s="33" t="str">
        <x:v>2026-08-20</x:v>
      </x:c>
      <x:c r="K1619" s="33" t="str">
        <x:v>Provision IDs preserved; legal force and parentage corrected.</x:v>
      </x:c>
    </x:row>
    <x:row r="1620">
      <x:c r="A1620" s="33" t="str">
        <x:v>IPROV012</x:v>
      </x:c>
      <x:c r="B1620" s="33" t="str">
        <x:v>Provision Master</x:v>
      </x:c>
      <x:c r="C1620" s="33" t="str">
        <x:v>Law ID=LAW001; Provision Category=Operational; Statutory Reference=; Remarks=</x:v>
      </x:c>
      <x:c r="D162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20" s="33" t="str">
        <x:v>CORRECT / RECLASSIFY</x:v>
      </x:c>
      <x:c r="F1620" s="33" t="str">
        <x:v>Correct technical citations, remove false direct duties and reclassify non-statutory/entity controls.</x:v>
      </x:c>
      <x:c r="G1620" s="33" t="str">
        <x:v>P-4 official-source validation</x:v>
      </x:c>
      <x:c r="H162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20" s="33" t="str">
        <x:v>P-4</x:v>
      </x:c>
      <x:c r="J1620" s="33" t="str">
        <x:v>2026-08-20</x:v>
      </x:c>
      <x:c r="K1620" s="33" t="str">
        <x:v>Provision IDs preserved; legal force and parentage corrected.</x:v>
      </x:c>
    </x:row>
    <x:row r="1621">
      <x:c r="A1621" s="33" t="str">
        <x:v>IPROV013</x:v>
      </x:c>
      <x:c r="B1621" s="33" t="str">
        <x:v>Provision Master</x:v>
      </x:c>
      <x:c r="C1621" s="33" t="str">
        <x:v>Law ID=LAW001; Provision Category=Operational; Statutory Reference=; Remarks=</x:v>
      </x:c>
      <x:c r="D162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21" s="33" t="str">
        <x:v>CORRECT / RECLASSIFY</x:v>
      </x:c>
      <x:c r="F1621" s="33" t="str">
        <x:v>Correct technical citations, remove false direct duties and reclassify non-statutory/entity controls.</x:v>
      </x:c>
      <x:c r="G1621" s="33" t="str">
        <x:v>P-4 official-source validation</x:v>
      </x:c>
      <x:c r="H162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21" s="33" t="str">
        <x:v>P-4</x:v>
      </x:c>
      <x:c r="J1621" s="33" t="str">
        <x:v>2026-08-20</x:v>
      </x:c>
      <x:c r="K1621" s="33" t="str">
        <x:v>Provision IDs preserved; legal force and parentage corrected.</x:v>
      </x:c>
    </x:row>
    <x:row r="1622">
      <x:c r="A1622" s="33" t="str">
        <x:v>IPROV014</x:v>
      </x:c>
      <x:c r="B1622" s="33" t="str">
        <x:v>Provision Master</x:v>
      </x:c>
      <x:c r="C1622" s="33" t="str">
        <x:v>Law ID=LAW001; Provision Category=Operational; Statutory Reference=; Remarks=</x:v>
      </x:c>
      <x:c r="D162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22" s="33" t="str">
        <x:v>CORRECT / RECLASSIFY</x:v>
      </x:c>
      <x:c r="F1622" s="33" t="str">
        <x:v>Correct technical citations, remove false direct duties and reclassify non-statutory/entity controls.</x:v>
      </x:c>
      <x:c r="G1622" s="33" t="str">
        <x:v>P-4 official-source validation</x:v>
      </x:c>
      <x:c r="H162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22" s="33" t="str">
        <x:v>P-4</x:v>
      </x:c>
      <x:c r="J1622" s="33" t="str">
        <x:v>2026-08-20</x:v>
      </x:c>
      <x:c r="K1622" s="33" t="str">
        <x:v>Provision IDs preserved; legal force and parentage corrected.</x:v>
      </x:c>
    </x:row>
    <x:row r="1623">
      <x:c r="A1623" s="33" t="str">
        <x:v>IPROV015</x:v>
      </x:c>
      <x:c r="B1623" s="33" t="str">
        <x:v>Provision Master</x:v>
      </x:c>
      <x:c r="C1623" s="33" t="str">
        <x:v>Law ID=LAW001; Provision Category=Operational; Statutory Reference=; Remarks=</x:v>
      </x:c>
      <x:c r="D162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23" s="33" t="str">
        <x:v>CORRECT / RECLASSIFY</x:v>
      </x:c>
      <x:c r="F1623" s="33" t="str">
        <x:v>Correct technical citations, remove false direct duties and reclassify non-statutory/entity controls.</x:v>
      </x:c>
      <x:c r="G1623" s="33" t="str">
        <x:v>P-4 official-source validation</x:v>
      </x:c>
      <x:c r="H162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23" s="33" t="str">
        <x:v>P-4</x:v>
      </x:c>
      <x:c r="J1623" s="33" t="str">
        <x:v>2026-08-20</x:v>
      </x:c>
      <x:c r="K1623" s="33" t="str">
        <x:v>Provision IDs preserved; legal force and parentage corrected.</x:v>
      </x:c>
    </x:row>
    <x:row r="1624">
      <x:c r="A1624" s="33" t="str">
        <x:v>IPROV016</x:v>
      </x:c>
      <x:c r="B1624" s="33" t="str">
        <x:v>Provision Master</x:v>
      </x:c>
      <x:c r="C1624" s="33" t="str">
        <x:v>Law ID=LAW001; Provision Category=Operational; Statutory Reference=; Remarks=</x:v>
      </x:c>
      <x:c r="D162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24" s="33" t="str">
        <x:v>CORRECT / RECLASSIFY</x:v>
      </x:c>
      <x:c r="F1624" s="33" t="str">
        <x:v>Correct technical citations, remove false direct duties and reclassify non-statutory/entity controls.</x:v>
      </x:c>
      <x:c r="G1624" s="33" t="str">
        <x:v>P-4 official-source validation</x:v>
      </x:c>
      <x:c r="H162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24" s="33" t="str">
        <x:v>P-4</x:v>
      </x:c>
      <x:c r="J1624" s="33" t="str">
        <x:v>2026-08-20</x:v>
      </x:c>
      <x:c r="K1624" s="33" t="str">
        <x:v>Provision IDs preserved; legal force and parentage corrected.</x:v>
      </x:c>
    </x:row>
    <x:row r="1625">
      <x:c r="A1625" s="33" t="str">
        <x:v>IPROV017</x:v>
      </x:c>
      <x:c r="B1625" s="33" t="str">
        <x:v>Provision Master</x:v>
      </x:c>
      <x:c r="C1625" s="33" t="str">
        <x:v>Law ID=LAW001; Provision Category=Operational; Statutory Reference=; Remarks=</x:v>
      </x:c>
      <x:c r="D162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25" s="33" t="str">
        <x:v>CORRECT / RECLASSIFY</x:v>
      </x:c>
      <x:c r="F1625" s="33" t="str">
        <x:v>Correct technical citations, remove false direct duties and reclassify non-statutory/entity controls.</x:v>
      </x:c>
      <x:c r="G1625" s="33" t="str">
        <x:v>P-4 official-source validation</x:v>
      </x:c>
      <x:c r="H162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25" s="33" t="str">
        <x:v>P-4</x:v>
      </x:c>
      <x:c r="J1625" s="33" t="str">
        <x:v>2026-08-20</x:v>
      </x:c>
      <x:c r="K1625" s="33" t="str">
        <x:v>Provision IDs preserved; legal force and parentage corrected.</x:v>
      </x:c>
    </x:row>
    <x:row r="1626">
      <x:c r="A1626" s="33" t="str">
        <x:v>IPROV018</x:v>
      </x:c>
      <x:c r="B1626" s="33" t="str">
        <x:v>Provision Master</x:v>
      </x:c>
      <x:c r="C1626" s="33" t="str">
        <x:v>Law ID=LAW001; Provision Category=Operational; Statutory Reference=; Remarks=</x:v>
      </x:c>
      <x:c r="D162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26" s="33" t="str">
        <x:v>CORRECT / RECLASSIFY</x:v>
      </x:c>
      <x:c r="F1626" s="33" t="str">
        <x:v>Correct technical citations, remove false direct duties and reclassify non-statutory/entity controls.</x:v>
      </x:c>
      <x:c r="G1626" s="33" t="str">
        <x:v>P-4 official-source validation</x:v>
      </x:c>
      <x:c r="H162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26" s="33" t="str">
        <x:v>P-4</x:v>
      </x:c>
      <x:c r="J1626" s="33" t="str">
        <x:v>2026-08-20</x:v>
      </x:c>
      <x:c r="K1626" s="33" t="str">
        <x:v>Provision IDs preserved; legal force and parentage corrected.</x:v>
      </x:c>
    </x:row>
    <x:row r="1627">
      <x:c r="A1627" s="33" t="str">
        <x:v>IPROV019</x:v>
      </x:c>
      <x:c r="B1627" s="33" t="str">
        <x:v>Provision Master</x:v>
      </x:c>
      <x:c r="C1627" s="33" t="str">
        <x:v>Law ID=LAW001; Provision Category=Operational; Statutory Reference=; Remarks=</x:v>
      </x:c>
      <x:c r="D162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27" s="33" t="str">
        <x:v>CORRECT / RECLASSIFY</x:v>
      </x:c>
      <x:c r="F1627" s="33" t="str">
        <x:v>Correct technical citations, remove false direct duties and reclassify non-statutory/entity controls.</x:v>
      </x:c>
      <x:c r="G1627" s="33" t="str">
        <x:v>P-4 official-source validation</x:v>
      </x:c>
      <x:c r="H162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27" s="33" t="str">
        <x:v>P-4</x:v>
      </x:c>
      <x:c r="J1627" s="33" t="str">
        <x:v>2026-08-20</x:v>
      </x:c>
      <x:c r="K1627" s="33" t="str">
        <x:v>Provision IDs preserved; legal force and parentage corrected.</x:v>
      </x:c>
    </x:row>
    <x:row r="1628">
      <x:c r="A1628" s="33" t="str">
        <x:v>IPROV020</x:v>
      </x:c>
      <x:c r="B1628" s="33" t="str">
        <x:v>Provision Master</x:v>
      </x:c>
      <x:c r="C1628" s="33" t="str">
        <x:v>Law ID=LAW001; Provision Category=Operational; Statutory Reference=; Remarks=</x:v>
      </x:c>
      <x:c r="D162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28" s="33" t="str">
        <x:v>CORRECT / RECLASSIFY</x:v>
      </x:c>
      <x:c r="F1628" s="33" t="str">
        <x:v>Correct technical citations, remove false direct duties and reclassify non-statutory/entity controls.</x:v>
      </x:c>
      <x:c r="G1628" s="33" t="str">
        <x:v>P-4 official-source validation</x:v>
      </x:c>
      <x:c r="H162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28" s="33" t="str">
        <x:v>P-4</x:v>
      </x:c>
      <x:c r="J1628" s="33" t="str">
        <x:v>2026-08-20</x:v>
      </x:c>
      <x:c r="K1628" s="33" t="str">
        <x:v>Provision IDs preserved; legal force and parentage corrected.</x:v>
      </x:c>
    </x:row>
    <x:row r="1629">
      <x:c r="A1629" s="33" t="str">
        <x:v>SPROV001</x:v>
      </x:c>
      <x:c r="B1629" s="33" t="str">
        <x:v>Provision Master</x:v>
      </x:c>
      <x:c r="C1629" s="33" t="str">
        <x:v>Law ID=LAW001; Provision Category=Operational; Statutory Reference=; Remarks=</x:v>
      </x:c>
      <x:c r="D162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29" s="33" t="str">
        <x:v>CORRECT / RECLASSIFY</x:v>
      </x:c>
      <x:c r="F1629" s="33" t="str">
        <x:v>Correct technical citations, remove false direct duties and reclassify non-statutory/entity controls.</x:v>
      </x:c>
      <x:c r="G1629" s="33" t="str">
        <x:v>P-4 official-source validation</x:v>
      </x:c>
      <x:c r="H162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29" s="33" t="str">
        <x:v>P-4</x:v>
      </x:c>
      <x:c r="J1629" s="33" t="str">
        <x:v>2026-08-20</x:v>
      </x:c>
      <x:c r="K1629" s="33" t="str">
        <x:v>Provision IDs preserved; legal force and parentage corrected.</x:v>
      </x:c>
    </x:row>
    <x:row r="1630">
      <x:c r="A1630" s="33" t="str">
        <x:v>SPROV002</x:v>
      </x:c>
      <x:c r="B1630" s="33" t="str">
        <x:v>Provision Master</x:v>
      </x:c>
      <x:c r="C1630" s="33" t="str">
        <x:v>Law ID=LAW001; Provision Category=Operational; Statutory Reference=; Remarks=</x:v>
      </x:c>
      <x:c r="D163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30" s="33" t="str">
        <x:v>CORRECT / RECLASSIFY</x:v>
      </x:c>
      <x:c r="F1630" s="33" t="str">
        <x:v>Correct technical citations, remove false direct duties and reclassify non-statutory/entity controls.</x:v>
      </x:c>
      <x:c r="G1630" s="33" t="str">
        <x:v>P-4 official-source validation</x:v>
      </x:c>
      <x:c r="H163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30" s="33" t="str">
        <x:v>P-4</x:v>
      </x:c>
      <x:c r="J1630" s="33" t="str">
        <x:v>2026-08-20</x:v>
      </x:c>
      <x:c r="K1630" s="33" t="str">
        <x:v>Provision IDs preserved; legal force and parentage corrected.</x:v>
      </x:c>
    </x:row>
    <x:row r="1631">
      <x:c r="A1631" s="33" t="str">
        <x:v>SPROV003</x:v>
      </x:c>
      <x:c r="B1631" s="33" t="str">
        <x:v>Provision Master</x:v>
      </x:c>
      <x:c r="C1631" s="33" t="str">
        <x:v>Law ID=LAW001; Provision Category=Operational; Statutory Reference=; Remarks=</x:v>
      </x:c>
      <x:c r="D163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31" s="33" t="str">
        <x:v>CORRECT / RECLASSIFY</x:v>
      </x:c>
      <x:c r="F1631" s="33" t="str">
        <x:v>Correct technical citations, remove false direct duties and reclassify non-statutory/entity controls.</x:v>
      </x:c>
      <x:c r="G1631" s="33" t="str">
        <x:v>P-4 official-source validation</x:v>
      </x:c>
      <x:c r="H163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31" s="33" t="str">
        <x:v>P-4</x:v>
      </x:c>
      <x:c r="J1631" s="33" t="str">
        <x:v>2026-08-20</x:v>
      </x:c>
      <x:c r="K1631" s="33" t="str">
        <x:v>Provision IDs preserved; legal force and parentage corrected.</x:v>
      </x:c>
    </x:row>
    <x:row r="1632">
      <x:c r="A1632" s="33" t="str">
        <x:v>SPROV004</x:v>
      </x:c>
      <x:c r="B1632" s="33" t="str">
        <x:v>Provision Master</x:v>
      </x:c>
      <x:c r="C1632" s="33" t="str">
        <x:v>Law ID=LAW001; Provision Category=Operational; Statutory Reference=; Remarks=</x:v>
      </x:c>
      <x:c r="D163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32" s="33" t="str">
        <x:v>CORRECT / RECLASSIFY</x:v>
      </x:c>
      <x:c r="F1632" s="33" t="str">
        <x:v>Correct technical citations, remove false direct duties and reclassify non-statutory/entity controls.</x:v>
      </x:c>
      <x:c r="G1632" s="33" t="str">
        <x:v>P-4 official-source validation</x:v>
      </x:c>
      <x:c r="H163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32" s="33" t="str">
        <x:v>P-4</x:v>
      </x:c>
      <x:c r="J1632" s="33" t="str">
        <x:v>2026-08-20</x:v>
      </x:c>
      <x:c r="K1632" s="33" t="str">
        <x:v>Provision IDs preserved; legal force and parentage corrected.</x:v>
      </x:c>
    </x:row>
    <x:row r="1633">
      <x:c r="A1633" s="33" t="str">
        <x:v>SPROV005</x:v>
      </x:c>
      <x:c r="B1633" s="33" t="str">
        <x:v>Provision Master</x:v>
      </x:c>
      <x:c r="C1633" s="33" t="str">
        <x:v>Law ID=LAW001; Provision Category=Operational; Statutory Reference=; Remarks=</x:v>
      </x:c>
      <x:c r="D163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33" s="33" t="str">
        <x:v>CORRECT / RECLASSIFY</x:v>
      </x:c>
      <x:c r="F1633" s="33" t="str">
        <x:v>Correct technical citations, remove false direct duties and reclassify non-statutory/entity controls.</x:v>
      </x:c>
      <x:c r="G1633" s="33" t="str">
        <x:v>P-4 official-source validation</x:v>
      </x:c>
      <x:c r="H163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33" s="33" t="str">
        <x:v>P-4</x:v>
      </x:c>
      <x:c r="J1633" s="33" t="str">
        <x:v>2026-08-20</x:v>
      </x:c>
      <x:c r="K1633" s="33" t="str">
        <x:v>Provision IDs preserved; legal force and parentage corrected.</x:v>
      </x:c>
    </x:row>
    <x:row r="1634">
      <x:c r="A1634" s="33" t="str">
        <x:v>SPROV006</x:v>
      </x:c>
      <x:c r="B1634" s="33" t="str">
        <x:v>Provision Master</x:v>
      </x:c>
      <x:c r="C1634" s="33" t="str">
        <x:v>Law ID=LAW001; Provision Category=Operational; Statutory Reference=; Remarks=</x:v>
      </x:c>
      <x:c r="D163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34" s="33" t="str">
        <x:v>CORRECT / RECLASSIFY</x:v>
      </x:c>
      <x:c r="F1634" s="33" t="str">
        <x:v>Correct technical citations, remove false direct duties and reclassify non-statutory/entity controls.</x:v>
      </x:c>
      <x:c r="G1634" s="33" t="str">
        <x:v>P-4 official-source validation</x:v>
      </x:c>
      <x:c r="H163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34" s="33" t="str">
        <x:v>P-4</x:v>
      </x:c>
      <x:c r="J1634" s="33" t="str">
        <x:v>2026-08-20</x:v>
      </x:c>
      <x:c r="K1634" s="33" t="str">
        <x:v>Provision IDs preserved; legal force and parentage corrected.</x:v>
      </x:c>
    </x:row>
    <x:row r="1635">
      <x:c r="A1635" s="33" t="str">
        <x:v>SPROV007</x:v>
      </x:c>
      <x:c r="B1635" s="33" t="str">
        <x:v>Provision Master</x:v>
      </x:c>
      <x:c r="C1635" s="33" t="str">
        <x:v>Law ID=LAW001; Provision Category=Operational; Statutory Reference=; Remarks=</x:v>
      </x:c>
      <x:c r="D163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35" s="33" t="str">
        <x:v>CORRECT / RECLASSIFY</x:v>
      </x:c>
      <x:c r="F1635" s="33" t="str">
        <x:v>Correct technical citations, remove false direct duties and reclassify non-statutory/entity controls.</x:v>
      </x:c>
      <x:c r="G1635" s="33" t="str">
        <x:v>P-4 official-source validation</x:v>
      </x:c>
      <x:c r="H163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35" s="33" t="str">
        <x:v>P-4</x:v>
      </x:c>
      <x:c r="J1635" s="33" t="str">
        <x:v>2026-08-20</x:v>
      </x:c>
      <x:c r="K1635" s="33" t="str">
        <x:v>Provision IDs preserved; legal force and parentage corrected.</x:v>
      </x:c>
    </x:row>
    <x:row r="1636">
      <x:c r="A1636" s="33" t="str">
        <x:v>SPROV008</x:v>
      </x:c>
      <x:c r="B1636" s="33" t="str">
        <x:v>Provision Master</x:v>
      </x:c>
      <x:c r="C1636" s="33" t="str">
        <x:v>Law ID=LAW001; Provision Category=Operational; Statutory Reference=; Remarks=</x:v>
      </x:c>
      <x:c r="D163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36" s="33" t="str">
        <x:v>CORRECT / RECLASSIFY</x:v>
      </x:c>
      <x:c r="F1636" s="33" t="str">
        <x:v>Correct technical citations, remove false direct duties and reclassify non-statutory/entity controls.</x:v>
      </x:c>
      <x:c r="G1636" s="33" t="str">
        <x:v>P-4 official-source validation</x:v>
      </x:c>
      <x:c r="H163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36" s="33" t="str">
        <x:v>P-4</x:v>
      </x:c>
      <x:c r="J1636" s="33" t="str">
        <x:v>2026-08-20</x:v>
      </x:c>
      <x:c r="K1636" s="33" t="str">
        <x:v>Provision IDs preserved; legal force and parentage corrected.</x:v>
      </x:c>
    </x:row>
    <x:row r="1637">
      <x:c r="A1637" s="33" t="str">
        <x:v>SPROV009</x:v>
      </x:c>
      <x:c r="B1637" s="33" t="str">
        <x:v>Provision Master</x:v>
      </x:c>
      <x:c r="C1637" s="33" t="str">
        <x:v>Law ID=LAW001; Provision Category=Operational; Statutory Reference=; Remarks=</x:v>
      </x:c>
      <x:c r="D163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37" s="33" t="str">
        <x:v>CORRECT / RECLASSIFY</x:v>
      </x:c>
      <x:c r="F1637" s="33" t="str">
        <x:v>Correct technical citations, remove false direct duties and reclassify non-statutory/entity controls.</x:v>
      </x:c>
      <x:c r="G1637" s="33" t="str">
        <x:v>P-4 official-source validation</x:v>
      </x:c>
      <x:c r="H163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37" s="33" t="str">
        <x:v>P-4</x:v>
      </x:c>
      <x:c r="J1637" s="33" t="str">
        <x:v>2026-08-20</x:v>
      </x:c>
      <x:c r="K1637" s="33" t="str">
        <x:v>Provision IDs preserved; legal force and parentage corrected.</x:v>
      </x:c>
    </x:row>
    <x:row r="1638">
      <x:c r="A1638" s="33" t="str">
        <x:v>SPROV010</x:v>
      </x:c>
      <x:c r="B1638" s="33" t="str">
        <x:v>Provision Master</x:v>
      </x:c>
      <x:c r="C1638" s="33" t="str">
        <x:v>Law ID=LAW001; Provision Category=Operational; Statutory Reference=; Remarks=</x:v>
      </x:c>
      <x:c r="D163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38" s="33" t="str">
        <x:v>CORRECT / RECLASSIFY</x:v>
      </x:c>
      <x:c r="F1638" s="33" t="str">
        <x:v>Correct technical citations, remove false direct duties and reclassify non-statutory/entity controls.</x:v>
      </x:c>
      <x:c r="G1638" s="33" t="str">
        <x:v>P-4 official-source validation</x:v>
      </x:c>
      <x:c r="H163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38" s="33" t="str">
        <x:v>P-4</x:v>
      </x:c>
      <x:c r="J1638" s="33" t="str">
        <x:v>2026-08-20</x:v>
      </x:c>
      <x:c r="K1638" s="33" t="str">
        <x:v>Provision IDs preserved; legal force and parentage corrected.</x:v>
      </x:c>
    </x:row>
    <x:row r="1639">
      <x:c r="A1639" s="33" t="str">
        <x:v>SPROV011</x:v>
      </x:c>
      <x:c r="B1639" s="33" t="str">
        <x:v>Provision Master</x:v>
      </x:c>
      <x:c r="C1639" s="33" t="str">
        <x:v>Law ID=LAW001; Provision Category=Operational; Statutory Reference=; Remarks=</x:v>
      </x:c>
      <x:c r="D163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39" s="33" t="str">
        <x:v>CORRECT / RECLASSIFY</x:v>
      </x:c>
      <x:c r="F1639" s="33" t="str">
        <x:v>Correct technical citations, remove false direct duties and reclassify non-statutory/entity controls.</x:v>
      </x:c>
      <x:c r="G1639" s="33" t="str">
        <x:v>P-4 official-source validation</x:v>
      </x:c>
      <x:c r="H163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39" s="33" t="str">
        <x:v>P-4</x:v>
      </x:c>
      <x:c r="J1639" s="33" t="str">
        <x:v>2026-08-20</x:v>
      </x:c>
      <x:c r="K1639" s="33" t="str">
        <x:v>Provision IDs preserved; legal force and parentage corrected.</x:v>
      </x:c>
    </x:row>
    <x:row r="1640">
      <x:c r="A1640" s="33" t="str">
        <x:v>SPROV012</x:v>
      </x:c>
      <x:c r="B1640" s="33" t="str">
        <x:v>Provision Master</x:v>
      </x:c>
      <x:c r="C1640" s="33" t="str">
        <x:v>Law ID=LAW001; Provision Category=Operational; Statutory Reference=; Remarks=</x:v>
      </x:c>
      <x:c r="D164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40" s="33" t="str">
        <x:v>CORRECT / RECLASSIFY</x:v>
      </x:c>
      <x:c r="F1640" s="33" t="str">
        <x:v>Correct technical citations, remove false direct duties and reclassify non-statutory/entity controls.</x:v>
      </x:c>
      <x:c r="G1640" s="33" t="str">
        <x:v>P-4 official-source validation</x:v>
      </x:c>
      <x:c r="H164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40" s="33" t="str">
        <x:v>P-4</x:v>
      </x:c>
      <x:c r="J1640" s="33" t="str">
        <x:v>2026-08-20</x:v>
      </x:c>
      <x:c r="K1640" s="33" t="str">
        <x:v>Provision IDs preserved; legal force and parentage corrected.</x:v>
      </x:c>
    </x:row>
    <x:row r="1641">
      <x:c r="A1641" s="33" t="str">
        <x:v>SPROV013</x:v>
      </x:c>
      <x:c r="B1641" s="33" t="str">
        <x:v>Provision Master</x:v>
      </x:c>
      <x:c r="C1641" s="33" t="str">
        <x:v>Law ID=LAW001; Provision Category=Operational; Statutory Reference=; Remarks=</x:v>
      </x:c>
      <x:c r="D164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41" s="33" t="str">
        <x:v>CORRECT / RECLASSIFY</x:v>
      </x:c>
      <x:c r="F1641" s="33" t="str">
        <x:v>Correct technical citations, remove false direct duties and reclassify non-statutory/entity controls.</x:v>
      </x:c>
      <x:c r="G1641" s="33" t="str">
        <x:v>P-4 official-source validation</x:v>
      </x:c>
      <x:c r="H164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41" s="33" t="str">
        <x:v>P-4</x:v>
      </x:c>
      <x:c r="J1641" s="33" t="str">
        <x:v>2026-08-20</x:v>
      </x:c>
      <x:c r="K1641" s="33" t="str">
        <x:v>Provision IDs preserved; legal force and parentage corrected.</x:v>
      </x:c>
    </x:row>
    <x:row r="1642">
      <x:c r="A1642" s="33" t="str">
        <x:v>SPROV014</x:v>
      </x:c>
      <x:c r="B1642" s="33" t="str">
        <x:v>Provision Master</x:v>
      </x:c>
      <x:c r="C1642" s="33" t="str">
        <x:v>Law ID=LAW001; Provision Category=Operational; Statutory Reference=; Remarks=</x:v>
      </x:c>
      <x:c r="D164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42" s="33" t="str">
        <x:v>CORRECT / RECLASSIFY</x:v>
      </x:c>
      <x:c r="F1642" s="33" t="str">
        <x:v>Correct technical citations, remove false direct duties and reclassify non-statutory/entity controls.</x:v>
      </x:c>
      <x:c r="G1642" s="33" t="str">
        <x:v>P-4 official-source validation</x:v>
      </x:c>
      <x:c r="H164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42" s="33" t="str">
        <x:v>P-4</x:v>
      </x:c>
      <x:c r="J1642" s="33" t="str">
        <x:v>2026-08-20</x:v>
      </x:c>
      <x:c r="K1642" s="33" t="str">
        <x:v>Provision IDs preserved; legal force and parentage corrected.</x:v>
      </x:c>
    </x:row>
    <x:row r="1643">
      <x:c r="A1643" s="33" t="str">
        <x:v>SPROV015</x:v>
      </x:c>
      <x:c r="B1643" s="33" t="str">
        <x:v>Provision Master</x:v>
      </x:c>
      <x:c r="C1643" s="33" t="str">
        <x:v>Law ID=LAW001; Provision Category=Operational; Statutory Reference=; Remarks=</x:v>
      </x:c>
      <x:c r="D164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43" s="33" t="str">
        <x:v>CORRECT / RECLASSIFY</x:v>
      </x:c>
      <x:c r="F1643" s="33" t="str">
        <x:v>Correct technical citations, remove false direct duties and reclassify non-statutory/entity controls.</x:v>
      </x:c>
      <x:c r="G1643" s="33" t="str">
        <x:v>P-4 official-source validation</x:v>
      </x:c>
      <x:c r="H164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43" s="33" t="str">
        <x:v>P-4</x:v>
      </x:c>
      <x:c r="J1643" s="33" t="str">
        <x:v>2026-08-20</x:v>
      </x:c>
      <x:c r="K1643" s="33" t="str">
        <x:v>Provision IDs preserved; legal force and parentage corrected.</x:v>
      </x:c>
    </x:row>
    <x:row r="1644">
      <x:c r="A1644" s="33" t="str">
        <x:v>SPROV016</x:v>
      </x:c>
      <x:c r="B1644" s="33" t="str">
        <x:v>Provision Master</x:v>
      </x:c>
      <x:c r="C1644" s="33" t="str">
        <x:v>Law ID=LAW001; Provision Category=Operational; Statutory Reference=; Remarks=</x:v>
      </x:c>
      <x:c r="D164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44" s="33" t="str">
        <x:v>CORRECT / RECLASSIFY</x:v>
      </x:c>
      <x:c r="F1644" s="33" t="str">
        <x:v>Correct technical citations, remove false direct duties and reclassify non-statutory/entity controls.</x:v>
      </x:c>
      <x:c r="G1644" s="33" t="str">
        <x:v>P-4 official-source validation</x:v>
      </x:c>
      <x:c r="H164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44" s="33" t="str">
        <x:v>P-4</x:v>
      </x:c>
      <x:c r="J1644" s="33" t="str">
        <x:v>2026-08-20</x:v>
      </x:c>
      <x:c r="K1644" s="33" t="str">
        <x:v>Provision IDs preserved; legal force and parentage corrected.</x:v>
      </x:c>
    </x:row>
    <x:row r="1645">
      <x:c r="A1645" s="33" t="str">
        <x:v>SPROV017</x:v>
      </x:c>
      <x:c r="B1645" s="33" t="str">
        <x:v>Provision Master</x:v>
      </x:c>
      <x:c r="C1645" s="33" t="str">
        <x:v>Law ID=LAW001; Provision Category=Operational; Statutory Reference=; Remarks=</x:v>
      </x:c>
      <x:c r="D164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45" s="33" t="str">
        <x:v>CORRECT / RECLASSIFY</x:v>
      </x:c>
      <x:c r="F1645" s="33" t="str">
        <x:v>Correct technical citations, remove false direct duties and reclassify non-statutory/entity controls.</x:v>
      </x:c>
      <x:c r="G1645" s="33" t="str">
        <x:v>P-4 official-source validation</x:v>
      </x:c>
      <x:c r="H164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45" s="33" t="str">
        <x:v>P-4</x:v>
      </x:c>
      <x:c r="J1645" s="33" t="str">
        <x:v>2026-08-20</x:v>
      </x:c>
      <x:c r="K1645" s="33" t="str">
        <x:v>Provision IDs preserved; legal force and parentage corrected.</x:v>
      </x:c>
    </x:row>
    <x:row r="1646">
      <x:c r="A1646" s="33" t="str">
        <x:v>SPROV018</x:v>
      </x:c>
      <x:c r="B1646" s="33" t="str">
        <x:v>Provision Master</x:v>
      </x:c>
      <x:c r="C1646" s="33" t="str">
        <x:v>Law ID=LAW001; Provision Category=Operational; Statutory Reference=; Remarks=</x:v>
      </x:c>
      <x:c r="D164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46" s="33" t="str">
        <x:v>CORRECT / RECLASSIFY</x:v>
      </x:c>
      <x:c r="F1646" s="33" t="str">
        <x:v>Correct technical citations, remove false direct duties and reclassify non-statutory/entity controls.</x:v>
      </x:c>
      <x:c r="G1646" s="33" t="str">
        <x:v>P-4 official-source validation</x:v>
      </x:c>
      <x:c r="H164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46" s="33" t="str">
        <x:v>P-4</x:v>
      </x:c>
      <x:c r="J1646" s="33" t="str">
        <x:v>2026-08-20</x:v>
      </x:c>
      <x:c r="K1646" s="33" t="str">
        <x:v>Provision IDs preserved; legal force and parentage corrected.</x:v>
      </x:c>
    </x:row>
    <x:row r="1647">
      <x:c r="A1647" s="33" t="str">
        <x:v>SPROV019</x:v>
      </x:c>
      <x:c r="B1647" s="33" t="str">
        <x:v>Provision Master</x:v>
      </x:c>
      <x:c r="C1647" s="33" t="str">
        <x:v>Law ID=LAW001; Provision Category=Operational; Statutory Reference=; Remarks=</x:v>
      </x:c>
      <x:c r="D164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47" s="33" t="str">
        <x:v>CORRECT / RECLASSIFY</x:v>
      </x:c>
      <x:c r="F1647" s="33" t="str">
        <x:v>Correct technical citations, remove false direct duties and reclassify non-statutory/entity controls.</x:v>
      </x:c>
      <x:c r="G1647" s="33" t="str">
        <x:v>P-4 official-source validation</x:v>
      </x:c>
      <x:c r="H164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47" s="33" t="str">
        <x:v>P-4</x:v>
      </x:c>
      <x:c r="J1647" s="33" t="str">
        <x:v>2026-08-20</x:v>
      </x:c>
      <x:c r="K1647" s="33" t="str">
        <x:v>Provision IDs preserved; legal force and parentage corrected.</x:v>
      </x:c>
    </x:row>
    <x:row r="1648">
      <x:c r="A1648" s="33" t="str">
        <x:v>SPROV020</x:v>
      </x:c>
      <x:c r="B1648" s="33" t="str">
        <x:v>Provision Master</x:v>
      </x:c>
      <x:c r="C1648" s="33" t="str">
        <x:v>Law ID=LAW001; Provision Category=Operational; Statutory Reference=; Remarks=</x:v>
      </x:c>
      <x:c r="D164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48" s="33" t="str">
        <x:v>CORRECT / RECLASSIFY</x:v>
      </x:c>
      <x:c r="F1648" s="33" t="str">
        <x:v>Correct technical citations, remove false direct duties and reclassify non-statutory/entity controls.</x:v>
      </x:c>
      <x:c r="G1648" s="33" t="str">
        <x:v>P-4 official-source validation</x:v>
      </x:c>
      <x:c r="H164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48" s="33" t="str">
        <x:v>P-4</x:v>
      </x:c>
      <x:c r="J1648" s="33" t="str">
        <x:v>2026-08-20</x:v>
      </x:c>
      <x:c r="K1648" s="33" t="str">
        <x:v>Provision IDs preserved; legal force and parentage corrected.</x:v>
      </x:c>
    </x:row>
    <x:row r="1649">
      <x:c r="A1649" s="33" t="str">
        <x:v>SPROV021</x:v>
      </x:c>
      <x:c r="B1649" s="33" t="str">
        <x:v>Provision Master</x:v>
      </x:c>
      <x:c r="C1649" s="33" t="str">
        <x:v>Law ID=LAW001; Provision Category=Operational; Statutory Reference=; Remarks=</x:v>
      </x:c>
      <x:c r="D164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49" s="33" t="str">
        <x:v>CORRECT / RECLASSIFY</x:v>
      </x:c>
      <x:c r="F1649" s="33" t="str">
        <x:v>Correct technical citations, remove false direct duties and reclassify non-statutory/entity controls.</x:v>
      </x:c>
      <x:c r="G1649" s="33" t="str">
        <x:v>P-4 official-source validation</x:v>
      </x:c>
      <x:c r="H164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49" s="33" t="str">
        <x:v>P-4</x:v>
      </x:c>
      <x:c r="J1649" s="33" t="str">
        <x:v>2026-08-20</x:v>
      </x:c>
      <x:c r="K1649" s="33" t="str">
        <x:v>Provision IDs preserved; legal force and parentage corrected.</x:v>
      </x:c>
    </x:row>
    <x:row r="1650">
      <x:c r="A1650" s="33" t="str">
        <x:v>SPROV022</x:v>
      </x:c>
      <x:c r="B1650" s="33" t="str">
        <x:v>Provision Master</x:v>
      </x:c>
      <x:c r="C1650" s="33" t="str">
        <x:v>Law ID=LAW001; Provision Category=Operational; Statutory Reference=; Remarks=</x:v>
      </x:c>
      <x:c r="D165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50" s="33" t="str">
        <x:v>CORRECT / RECLASSIFY</x:v>
      </x:c>
      <x:c r="F1650" s="33" t="str">
        <x:v>Correct technical citations, remove false direct duties and reclassify non-statutory/entity controls.</x:v>
      </x:c>
      <x:c r="G1650" s="33" t="str">
        <x:v>P-4 official-source validation</x:v>
      </x:c>
      <x:c r="H165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50" s="33" t="str">
        <x:v>P-4</x:v>
      </x:c>
      <x:c r="J1650" s="33" t="str">
        <x:v>2026-08-20</x:v>
      </x:c>
      <x:c r="K1650" s="33" t="str">
        <x:v>Provision IDs preserved; legal force and parentage corrected.</x:v>
      </x:c>
    </x:row>
    <x:row r="1651">
      <x:c r="A1651" s="33" t="str">
        <x:v>SPROV023</x:v>
      </x:c>
      <x:c r="B1651" s="33" t="str">
        <x:v>Provision Master</x:v>
      </x:c>
      <x:c r="C1651" s="33" t="str">
        <x:v>Law ID=LAW001; Provision Category=Operational; Statutory Reference=; Remarks=</x:v>
      </x:c>
      <x:c r="D165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51" s="33" t="str">
        <x:v>CORRECT / RECLASSIFY</x:v>
      </x:c>
      <x:c r="F1651" s="33" t="str">
        <x:v>Correct technical citations, remove false direct duties and reclassify non-statutory/entity controls.</x:v>
      </x:c>
      <x:c r="G1651" s="33" t="str">
        <x:v>P-4 official-source validation</x:v>
      </x:c>
      <x:c r="H165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51" s="33" t="str">
        <x:v>P-4</x:v>
      </x:c>
      <x:c r="J1651" s="33" t="str">
        <x:v>2026-08-20</x:v>
      </x:c>
      <x:c r="K1651" s="33" t="str">
        <x:v>Provision IDs preserved; legal force and parentage corrected.</x:v>
      </x:c>
    </x:row>
    <x:row r="1652">
      <x:c r="A1652" s="33" t="str">
        <x:v>SPROV024</x:v>
      </x:c>
      <x:c r="B1652" s="33" t="str">
        <x:v>Provision Master</x:v>
      </x:c>
      <x:c r="C1652" s="33" t="str">
        <x:v>Law ID=LAW001; Provision Category=Operational; Statutory Reference=; Remarks=</x:v>
      </x:c>
      <x:c r="D165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52" s="33" t="str">
        <x:v>CORRECT / RECLASSIFY</x:v>
      </x:c>
      <x:c r="F1652" s="33" t="str">
        <x:v>Correct technical citations, remove false direct duties and reclassify non-statutory/entity controls.</x:v>
      </x:c>
      <x:c r="G1652" s="33" t="str">
        <x:v>P-4 official-source validation</x:v>
      </x:c>
      <x:c r="H165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52" s="33" t="str">
        <x:v>P-4</x:v>
      </x:c>
      <x:c r="J1652" s="33" t="str">
        <x:v>2026-08-20</x:v>
      </x:c>
      <x:c r="K1652" s="33" t="str">
        <x:v>Provision IDs preserved; legal force and parentage corrected.</x:v>
      </x:c>
    </x:row>
    <x:row r="1653">
      <x:c r="A1653" s="33" t="str">
        <x:v>SPROV025</x:v>
      </x:c>
      <x:c r="B1653" s="33" t="str">
        <x:v>Provision Master</x:v>
      </x:c>
      <x:c r="C1653" s="33" t="str">
        <x:v>Law ID=LAW001; Provision Category=Operational; Statutory Reference=; Remarks=</x:v>
      </x:c>
      <x:c r="D165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53" s="33" t="str">
        <x:v>CORRECT / RECLASSIFY</x:v>
      </x:c>
      <x:c r="F1653" s="33" t="str">
        <x:v>Correct technical citations, remove false direct duties and reclassify non-statutory/entity controls.</x:v>
      </x:c>
      <x:c r="G1653" s="33" t="str">
        <x:v>P-4 official-source validation</x:v>
      </x:c>
      <x:c r="H165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53" s="33" t="str">
        <x:v>P-4</x:v>
      </x:c>
      <x:c r="J1653" s="33" t="str">
        <x:v>2026-08-20</x:v>
      </x:c>
      <x:c r="K1653" s="33" t="str">
        <x:v>Provision IDs preserved; legal force and parentage corrected.</x:v>
      </x:c>
    </x:row>
    <x:row r="1654">
      <x:c r="A1654" s="33" t="str">
        <x:v>SPROV026</x:v>
      </x:c>
      <x:c r="B1654" s="33" t="str">
        <x:v>Provision Master</x:v>
      </x:c>
      <x:c r="C1654" s="33" t="str">
        <x:v>Law ID=LAW001; Provision Category=Operational; Statutory Reference=; Remarks=</x:v>
      </x:c>
      <x:c r="D165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54" s="33" t="str">
        <x:v>CORRECT / RECLASSIFY</x:v>
      </x:c>
      <x:c r="F1654" s="33" t="str">
        <x:v>Correct technical citations, remove false direct duties and reclassify non-statutory/entity controls.</x:v>
      </x:c>
      <x:c r="G1654" s="33" t="str">
        <x:v>P-4 official-source validation</x:v>
      </x:c>
      <x:c r="H165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54" s="33" t="str">
        <x:v>P-4</x:v>
      </x:c>
      <x:c r="J1654" s="33" t="str">
        <x:v>2026-08-20</x:v>
      </x:c>
      <x:c r="K1654" s="33" t="str">
        <x:v>Provision IDs preserved; legal force and parentage corrected.</x:v>
      </x:c>
    </x:row>
    <x:row r="1655">
      <x:c r="A1655" s="33" t="str">
        <x:v>SPROV027</x:v>
      </x:c>
      <x:c r="B1655" s="33" t="str">
        <x:v>Provision Master</x:v>
      </x:c>
      <x:c r="C1655" s="33" t="str">
        <x:v>Law ID=LAW001; Provision Category=Operational; Statutory Reference=; Remarks=</x:v>
      </x:c>
      <x:c r="D165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55" s="33" t="str">
        <x:v>CORRECT / RECLASSIFY</x:v>
      </x:c>
      <x:c r="F1655" s="33" t="str">
        <x:v>Correct technical citations, remove false direct duties and reclassify non-statutory/entity controls.</x:v>
      </x:c>
      <x:c r="G1655" s="33" t="str">
        <x:v>P-4 official-source validation</x:v>
      </x:c>
      <x:c r="H165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55" s="33" t="str">
        <x:v>P-4</x:v>
      </x:c>
      <x:c r="J1655" s="33" t="str">
        <x:v>2026-08-20</x:v>
      </x:c>
      <x:c r="K1655" s="33" t="str">
        <x:v>Provision IDs preserved; legal force and parentage corrected.</x:v>
      </x:c>
    </x:row>
    <x:row r="1656">
      <x:c r="A1656" s="33" t="str">
        <x:v>SPROV028</x:v>
      </x:c>
      <x:c r="B1656" s="33" t="str">
        <x:v>Provision Master</x:v>
      </x:c>
      <x:c r="C1656" s="33" t="str">
        <x:v>Law ID=LAW001; Provision Category=Operational; Statutory Reference=; Remarks=</x:v>
      </x:c>
      <x:c r="D165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56" s="33" t="str">
        <x:v>CORRECT / RECLASSIFY</x:v>
      </x:c>
      <x:c r="F1656" s="33" t="str">
        <x:v>Correct technical citations, remove false direct duties and reclassify non-statutory/entity controls.</x:v>
      </x:c>
      <x:c r="G1656" s="33" t="str">
        <x:v>P-4 official-source validation</x:v>
      </x:c>
      <x:c r="H165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56" s="33" t="str">
        <x:v>P-4</x:v>
      </x:c>
      <x:c r="J1656" s="33" t="str">
        <x:v>2026-08-20</x:v>
      </x:c>
      <x:c r="K1656" s="33" t="str">
        <x:v>Provision IDs preserved; legal force and parentage corrected.</x:v>
      </x:c>
    </x:row>
    <x:row r="1657">
      <x:c r="A1657" s="33" t="str">
        <x:v>SPROV029</x:v>
      </x:c>
      <x:c r="B1657" s="33" t="str">
        <x:v>Provision Master</x:v>
      </x:c>
      <x:c r="C1657" s="33" t="str">
        <x:v>Law ID=LAW001; Provision Category=Operational; Statutory Reference=; Remarks=</x:v>
      </x:c>
      <x:c r="D165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57" s="33" t="str">
        <x:v>CORRECT / RECLASSIFY</x:v>
      </x:c>
      <x:c r="F1657" s="33" t="str">
        <x:v>Correct technical citations, remove false direct duties and reclassify non-statutory/entity controls.</x:v>
      </x:c>
      <x:c r="G1657" s="33" t="str">
        <x:v>P-4 official-source validation</x:v>
      </x:c>
      <x:c r="H165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57" s="33" t="str">
        <x:v>P-4</x:v>
      </x:c>
      <x:c r="J1657" s="33" t="str">
        <x:v>2026-08-20</x:v>
      </x:c>
      <x:c r="K1657" s="33" t="str">
        <x:v>Provision IDs preserved; legal force and parentage corrected.</x:v>
      </x:c>
    </x:row>
    <x:row r="1658">
      <x:c r="A1658" s="33" t="str">
        <x:v>SPROV030</x:v>
      </x:c>
      <x:c r="B1658" s="33" t="str">
        <x:v>Provision Master</x:v>
      </x:c>
      <x:c r="C1658" s="33" t="str">
        <x:v>Law ID=LAW001; Provision Category=Operational; Statutory Reference=; Remarks=</x:v>
      </x:c>
      <x:c r="D165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58" s="33" t="str">
        <x:v>CORRECT / RECLASSIFY</x:v>
      </x:c>
      <x:c r="F1658" s="33" t="str">
        <x:v>Correct technical citations, remove false direct duties and reclassify non-statutory/entity controls.</x:v>
      </x:c>
      <x:c r="G1658" s="33" t="str">
        <x:v>P-4 official-source validation</x:v>
      </x:c>
      <x:c r="H165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58" s="33" t="str">
        <x:v>P-4</x:v>
      </x:c>
      <x:c r="J1658" s="33" t="str">
        <x:v>2026-08-20</x:v>
      </x:c>
      <x:c r="K1658" s="33" t="str">
        <x:v>Provision IDs preserved; legal force and parentage corrected.</x:v>
      </x:c>
    </x:row>
    <x:row r="1659">
      <x:c r="A1659" s="33" t="str">
        <x:v>HOMPROV001</x:v>
      </x:c>
      <x:c r="B1659" s="33" t="str">
        <x:v>Provision Master</x:v>
      </x:c>
      <x:c r="C1659" s="33" t="str">
        <x:v>Law ID=LAW001; Provision Category=Operational; Statutory Reference=; Remarks=</x:v>
      </x:c>
      <x:c r="D165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59" s="33" t="str">
        <x:v>CORRECT / RECLASSIFY</x:v>
      </x:c>
      <x:c r="F1659" s="33" t="str">
        <x:v>Correct technical citations, remove false direct duties and reclassify non-statutory/entity controls.</x:v>
      </x:c>
      <x:c r="G1659" s="33" t="str">
        <x:v>P-4 official-source validation</x:v>
      </x:c>
      <x:c r="H165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59" s="33" t="str">
        <x:v>P-4</x:v>
      </x:c>
      <x:c r="J1659" s="33" t="str">
        <x:v>2026-08-20</x:v>
      </x:c>
      <x:c r="K1659" s="33" t="str">
        <x:v>Provision IDs preserved; legal force and parentage corrected.</x:v>
      </x:c>
    </x:row>
    <x:row r="1660">
      <x:c r="A1660" s="33" t="str">
        <x:v>HOMPROV002</x:v>
      </x:c>
      <x:c r="B1660" s="33" t="str">
        <x:v>Provision Master</x:v>
      </x:c>
      <x:c r="C1660" s="33" t="str">
        <x:v>Law ID=LAW001; Provision Category=Operational; Statutory Reference=; Remarks=</x:v>
      </x:c>
      <x:c r="D166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60" s="33" t="str">
        <x:v>CORRECT / RECLASSIFY</x:v>
      </x:c>
      <x:c r="F1660" s="33" t="str">
        <x:v>Correct technical citations, remove false direct duties and reclassify non-statutory/entity controls.</x:v>
      </x:c>
      <x:c r="G1660" s="33" t="str">
        <x:v>P-4 official-source validation</x:v>
      </x:c>
      <x:c r="H166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60" s="33" t="str">
        <x:v>P-4</x:v>
      </x:c>
      <x:c r="J1660" s="33" t="str">
        <x:v>2026-08-20</x:v>
      </x:c>
      <x:c r="K1660" s="33" t="str">
        <x:v>Provision IDs preserved; legal force and parentage corrected.</x:v>
      </x:c>
    </x:row>
    <x:row r="1661">
      <x:c r="A1661" s="33" t="str">
        <x:v>HOMPROV003</x:v>
      </x:c>
      <x:c r="B1661" s="33" t="str">
        <x:v>Provision Master</x:v>
      </x:c>
      <x:c r="C1661" s="33" t="str">
        <x:v>Law ID=LAW001; Provision Category=Operational; Statutory Reference=; Remarks=</x:v>
      </x:c>
      <x:c r="D166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61" s="33" t="str">
        <x:v>CORRECT / RECLASSIFY</x:v>
      </x:c>
      <x:c r="F1661" s="33" t="str">
        <x:v>Correct technical citations, remove false direct duties and reclassify non-statutory/entity controls.</x:v>
      </x:c>
      <x:c r="G1661" s="33" t="str">
        <x:v>P-4 official-source validation</x:v>
      </x:c>
      <x:c r="H166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61" s="33" t="str">
        <x:v>P-4</x:v>
      </x:c>
      <x:c r="J1661" s="33" t="str">
        <x:v>2026-08-20</x:v>
      </x:c>
      <x:c r="K1661" s="33" t="str">
        <x:v>Provision IDs preserved; legal force and parentage corrected.</x:v>
      </x:c>
    </x:row>
    <x:row r="1662">
      <x:c r="A1662" s="33" t="str">
        <x:v>HOMPROV004</x:v>
      </x:c>
      <x:c r="B1662" s="33" t="str">
        <x:v>Provision Master</x:v>
      </x:c>
      <x:c r="C1662" s="33" t="str">
        <x:v>Law ID=LAW001; Provision Category=Operational; Statutory Reference=; Remarks=</x:v>
      </x:c>
      <x:c r="D166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62" s="33" t="str">
        <x:v>CORRECT / RECLASSIFY</x:v>
      </x:c>
      <x:c r="F1662" s="33" t="str">
        <x:v>Correct technical citations, remove false direct duties and reclassify non-statutory/entity controls.</x:v>
      </x:c>
      <x:c r="G1662" s="33" t="str">
        <x:v>P-4 official-source validation</x:v>
      </x:c>
      <x:c r="H166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62" s="33" t="str">
        <x:v>P-4</x:v>
      </x:c>
      <x:c r="J1662" s="33" t="str">
        <x:v>2026-08-20</x:v>
      </x:c>
      <x:c r="K1662" s="33" t="str">
        <x:v>Provision IDs preserved; legal force and parentage corrected.</x:v>
      </x:c>
    </x:row>
    <x:row r="1663">
      <x:c r="A1663" s="33" t="str">
        <x:v>HOMPROV005</x:v>
      </x:c>
      <x:c r="B1663" s="33" t="str">
        <x:v>Provision Master</x:v>
      </x:c>
      <x:c r="C1663" s="33" t="str">
        <x:v>Law ID=LAW001; Provision Category=Operational; Statutory Reference=; Remarks=</x:v>
      </x:c>
      <x:c r="D166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63" s="33" t="str">
        <x:v>CORRECT / RECLASSIFY</x:v>
      </x:c>
      <x:c r="F1663" s="33" t="str">
        <x:v>Correct technical citations, remove false direct duties and reclassify non-statutory/entity controls.</x:v>
      </x:c>
      <x:c r="G1663" s="33" t="str">
        <x:v>P-4 official-source validation</x:v>
      </x:c>
      <x:c r="H166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63" s="33" t="str">
        <x:v>P-4</x:v>
      </x:c>
      <x:c r="J1663" s="33" t="str">
        <x:v>2026-08-20</x:v>
      </x:c>
      <x:c r="K1663" s="33" t="str">
        <x:v>Provision IDs preserved; legal force and parentage corrected.</x:v>
      </x:c>
    </x:row>
    <x:row r="1664">
      <x:c r="A1664" s="33" t="str">
        <x:v>HOMPROV006</x:v>
      </x:c>
      <x:c r="B1664" s="33" t="str">
        <x:v>Provision Master</x:v>
      </x:c>
      <x:c r="C1664" s="33" t="str">
        <x:v>Law ID=LAW001; Provision Category=Operational; Statutory Reference=; Remarks=</x:v>
      </x:c>
      <x:c r="D166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64" s="33" t="str">
        <x:v>CORRECT / RECLASSIFY</x:v>
      </x:c>
      <x:c r="F1664" s="33" t="str">
        <x:v>Correct technical citations, remove false direct duties and reclassify non-statutory/entity controls.</x:v>
      </x:c>
      <x:c r="G1664" s="33" t="str">
        <x:v>P-4 official-source validation</x:v>
      </x:c>
      <x:c r="H166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64" s="33" t="str">
        <x:v>P-4</x:v>
      </x:c>
      <x:c r="J1664" s="33" t="str">
        <x:v>2026-08-20</x:v>
      </x:c>
      <x:c r="K1664" s="33" t="str">
        <x:v>Provision IDs preserved; legal force and parentage corrected.</x:v>
      </x:c>
    </x:row>
    <x:row r="1665">
      <x:c r="A1665" s="33" t="str">
        <x:v>HOMPROV007</x:v>
      </x:c>
      <x:c r="B1665" s="33" t="str">
        <x:v>Provision Master</x:v>
      </x:c>
      <x:c r="C1665" s="33" t="str">
        <x:v>Law ID=LAW001; Provision Category=Operational; Statutory Reference=; Remarks=</x:v>
      </x:c>
      <x:c r="D166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65" s="33" t="str">
        <x:v>CORRECT / RECLASSIFY</x:v>
      </x:c>
      <x:c r="F1665" s="33" t="str">
        <x:v>Correct technical citations, remove false direct duties and reclassify non-statutory/entity controls.</x:v>
      </x:c>
      <x:c r="G1665" s="33" t="str">
        <x:v>P-4 official-source validation</x:v>
      </x:c>
      <x:c r="H166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65" s="33" t="str">
        <x:v>P-4</x:v>
      </x:c>
      <x:c r="J1665" s="33" t="str">
        <x:v>2026-08-20</x:v>
      </x:c>
      <x:c r="K1665" s="33" t="str">
        <x:v>Provision IDs preserved; legal force and parentage corrected.</x:v>
      </x:c>
    </x:row>
    <x:row r="1666">
      <x:c r="A1666" s="33" t="str">
        <x:v>HOMPROV008</x:v>
      </x:c>
      <x:c r="B1666" s="33" t="str">
        <x:v>Provision Master</x:v>
      </x:c>
      <x:c r="C1666" s="33" t="str">
        <x:v>Law ID=LAW001; Provision Category=Operational; Statutory Reference=; Remarks=</x:v>
      </x:c>
      <x:c r="D166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66" s="33" t="str">
        <x:v>CORRECT / RECLASSIFY</x:v>
      </x:c>
      <x:c r="F1666" s="33" t="str">
        <x:v>Correct technical citations, remove false direct duties and reclassify non-statutory/entity controls.</x:v>
      </x:c>
      <x:c r="G1666" s="33" t="str">
        <x:v>P-4 official-source validation</x:v>
      </x:c>
      <x:c r="H166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66" s="33" t="str">
        <x:v>P-4</x:v>
      </x:c>
      <x:c r="J1666" s="33" t="str">
        <x:v>2026-08-20</x:v>
      </x:c>
      <x:c r="K1666" s="33" t="str">
        <x:v>Provision IDs preserved; legal force and parentage corrected.</x:v>
      </x:c>
    </x:row>
    <x:row r="1667">
      <x:c r="A1667" s="33" t="str">
        <x:v>HOMPROV009</x:v>
      </x:c>
      <x:c r="B1667" s="33" t="str">
        <x:v>Provision Master</x:v>
      </x:c>
      <x:c r="C1667" s="33" t="str">
        <x:v>Law ID=LAW001; Provision Category=Operational; Statutory Reference=; Remarks=</x:v>
      </x:c>
      <x:c r="D166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67" s="33" t="str">
        <x:v>CORRECT / RECLASSIFY</x:v>
      </x:c>
      <x:c r="F1667" s="33" t="str">
        <x:v>Correct technical citations, remove false direct duties and reclassify non-statutory/entity controls.</x:v>
      </x:c>
      <x:c r="G1667" s="33" t="str">
        <x:v>P-4 official-source validation</x:v>
      </x:c>
      <x:c r="H166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67" s="33" t="str">
        <x:v>P-4</x:v>
      </x:c>
      <x:c r="J1667" s="33" t="str">
        <x:v>2026-08-20</x:v>
      </x:c>
      <x:c r="K1667" s="33" t="str">
        <x:v>Provision IDs preserved; legal force and parentage corrected.</x:v>
      </x:c>
    </x:row>
    <x:row r="1668">
      <x:c r="A1668" s="33" t="str">
        <x:v>HOMPROV010</x:v>
      </x:c>
      <x:c r="B1668" s="33" t="str">
        <x:v>Provision Master</x:v>
      </x:c>
      <x:c r="C1668" s="33" t="str">
        <x:v>Law ID=LAW001; Provision Category=Operational; Statutory Reference=; Remarks=</x:v>
      </x:c>
      <x:c r="D166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68" s="33" t="str">
        <x:v>CORRECT / RECLASSIFY</x:v>
      </x:c>
      <x:c r="F1668" s="33" t="str">
        <x:v>Correct technical citations, remove false direct duties and reclassify non-statutory/entity controls.</x:v>
      </x:c>
      <x:c r="G1668" s="33" t="str">
        <x:v>P-4 official-source validation</x:v>
      </x:c>
      <x:c r="H166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68" s="33" t="str">
        <x:v>P-4</x:v>
      </x:c>
      <x:c r="J1668" s="33" t="str">
        <x:v>2026-08-20</x:v>
      </x:c>
      <x:c r="K1668" s="33" t="str">
        <x:v>Provision IDs preserved; legal force and parentage corrected.</x:v>
      </x:c>
    </x:row>
    <x:row r="1669">
      <x:c r="A1669" s="33" t="str">
        <x:v>HOMPROV011</x:v>
      </x:c>
      <x:c r="B1669" s="33" t="str">
        <x:v>Provision Master</x:v>
      </x:c>
      <x:c r="C1669" s="33" t="str">
        <x:v>Law ID=LAW001; Provision Category=Operational; Statutory Reference=; Remarks=</x:v>
      </x:c>
      <x:c r="D166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69" s="33" t="str">
        <x:v>CORRECT / RECLASSIFY</x:v>
      </x:c>
      <x:c r="F1669" s="33" t="str">
        <x:v>Correct technical citations, remove false direct duties and reclassify non-statutory/entity controls.</x:v>
      </x:c>
      <x:c r="G1669" s="33" t="str">
        <x:v>P-4 official-source validation</x:v>
      </x:c>
      <x:c r="H166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69" s="33" t="str">
        <x:v>P-4</x:v>
      </x:c>
      <x:c r="J1669" s="33" t="str">
        <x:v>2026-08-20</x:v>
      </x:c>
      <x:c r="K1669" s="33" t="str">
        <x:v>Provision IDs preserved; legal force and parentage corrected.</x:v>
      </x:c>
    </x:row>
    <x:row r="1670">
      <x:c r="A1670" s="33" t="str">
        <x:v>HOMPROV012</x:v>
      </x:c>
      <x:c r="B1670" s="33" t="str">
        <x:v>Provision Master</x:v>
      </x:c>
      <x:c r="C1670" s="33" t="str">
        <x:v>Law ID=LAW001; Provision Category=Operational; Statutory Reference=; Remarks=</x:v>
      </x:c>
      <x:c r="D167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70" s="33" t="str">
        <x:v>CORRECT / RECLASSIFY</x:v>
      </x:c>
      <x:c r="F1670" s="33" t="str">
        <x:v>Correct technical citations, remove false direct duties and reclassify non-statutory/entity controls.</x:v>
      </x:c>
      <x:c r="G1670" s="33" t="str">
        <x:v>P-4 official-source validation</x:v>
      </x:c>
      <x:c r="H167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70" s="33" t="str">
        <x:v>P-4</x:v>
      </x:c>
      <x:c r="J1670" s="33" t="str">
        <x:v>2026-08-20</x:v>
      </x:c>
      <x:c r="K1670" s="33" t="str">
        <x:v>Provision IDs preserved; legal force and parentage corrected.</x:v>
      </x:c>
    </x:row>
    <x:row r="1671">
      <x:c r="A1671" s="33" t="str">
        <x:v>HOMPROV013</x:v>
      </x:c>
      <x:c r="B1671" s="33" t="str">
        <x:v>Provision Master</x:v>
      </x:c>
      <x:c r="C1671" s="33" t="str">
        <x:v>Law ID=LAW001; Provision Category=Operational; Statutory Reference=; Remarks=</x:v>
      </x:c>
      <x:c r="D167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71" s="33" t="str">
        <x:v>CORRECT / RECLASSIFY</x:v>
      </x:c>
      <x:c r="F1671" s="33" t="str">
        <x:v>Correct technical citations, remove false direct duties and reclassify non-statutory/entity controls.</x:v>
      </x:c>
      <x:c r="G1671" s="33" t="str">
        <x:v>P-4 official-source validation</x:v>
      </x:c>
      <x:c r="H167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71" s="33" t="str">
        <x:v>P-4</x:v>
      </x:c>
      <x:c r="J1671" s="33" t="str">
        <x:v>2026-08-20</x:v>
      </x:c>
      <x:c r="K1671" s="33" t="str">
        <x:v>Provision IDs preserved; legal force and parentage corrected.</x:v>
      </x:c>
    </x:row>
    <x:row r="1672">
      <x:c r="A1672" s="33" t="str">
        <x:v>HOMPROV014</x:v>
      </x:c>
      <x:c r="B1672" s="33" t="str">
        <x:v>Provision Master</x:v>
      </x:c>
      <x:c r="C1672" s="33" t="str">
        <x:v>Law ID=LAW001; Provision Category=Operational; Statutory Reference=; Remarks=</x:v>
      </x:c>
      <x:c r="D167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72" s="33" t="str">
        <x:v>CORRECT / RECLASSIFY</x:v>
      </x:c>
      <x:c r="F1672" s="33" t="str">
        <x:v>Correct technical citations, remove false direct duties and reclassify non-statutory/entity controls.</x:v>
      </x:c>
      <x:c r="G1672" s="33" t="str">
        <x:v>P-4 official-source validation</x:v>
      </x:c>
      <x:c r="H167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72" s="33" t="str">
        <x:v>P-4</x:v>
      </x:c>
      <x:c r="J1672" s="33" t="str">
        <x:v>2026-08-20</x:v>
      </x:c>
      <x:c r="K1672" s="33" t="str">
        <x:v>Provision IDs preserved; legal force and parentage corrected.</x:v>
      </x:c>
    </x:row>
    <x:row r="1673">
      <x:c r="A1673" s="33" t="str">
        <x:v>HOMPROV015</x:v>
      </x:c>
      <x:c r="B1673" s="33" t="str">
        <x:v>Provision Master</x:v>
      </x:c>
      <x:c r="C1673" s="33" t="str">
        <x:v>Law ID=LAW001; Provision Category=Operational; Statutory Reference=; Remarks=</x:v>
      </x:c>
      <x:c r="D167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73" s="33" t="str">
        <x:v>CORRECT / RECLASSIFY</x:v>
      </x:c>
      <x:c r="F1673" s="33" t="str">
        <x:v>Correct technical citations, remove false direct duties and reclassify non-statutory/entity controls.</x:v>
      </x:c>
      <x:c r="G1673" s="33" t="str">
        <x:v>P-4 official-source validation</x:v>
      </x:c>
      <x:c r="H167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73" s="33" t="str">
        <x:v>P-4</x:v>
      </x:c>
      <x:c r="J1673" s="33" t="str">
        <x:v>2026-08-20</x:v>
      </x:c>
      <x:c r="K1673" s="33" t="str">
        <x:v>Provision IDs preserved; legal force and parentage corrected.</x:v>
      </x:c>
    </x:row>
    <x:row r="1674">
      <x:c r="A1674" s="33" t="str">
        <x:v>HOMPROV016</x:v>
      </x:c>
      <x:c r="B1674" s="33" t="str">
        <x:v>Provision Master</x:v>
      </x:c>
      <x:c r="C1674" s="33" t="str">
        <x:v>Law ID=LAW001; Provision Category=Operational; Statutory Reference=; Remarks=</x:v>
      </x:c>
      <x:c r="D167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74" s="33" t="str">
        <x:v>CORRECT / RECLASSIFY</x:v>
      </x:c>
      <x:c r="F1674" s="33" t="str">
        <x:v>Correct technical citations, remove false direct duties and reclassify non-statutory/entity controls.</x:v>
      </x:c>
      <x:c r="G1674" s="33" t="str">
        <x:v>P-4 official-source validation</x:v>
      </x:c>
      <x:c r="H167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74" s="33" t="str">
        <x:v>P-4</x:v>
      </x:c>
      <x:c r="J1674" s="33" t="str">
        <x:v>2026-08-20</x:v>
      </x:c>
      <x:c r="K1674" s="33" t="str">
        <x:v>Provision IDs preserved; legal force and parentage corrected.</x:v>
      </x:c>
    </x:row>
    <x:row r="1675">
      <x:c r="A1675" s="33" t="str">
        <x:v>HOMPROV017</x:v>
      </x:c>
      <x:c r="B1675" s="33" t="str">
        <x:v>Provision Master</x:v>
      </x:c>
      <x:c r="C1675" s="33" t="str">
        <x:v>Law ID=LAW001; Provision Category=Operational; Statutory Reference=; Remarks=</x:v>
      </x:c>
      <x:c r="D167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75" s="33" t="str">
        <x:v>CORRECT / RECLASSIFY</x:v>
      </x:c>
      <x:c r="F1675" s="33" t="str">
        <x:v>Correct technical citations, remove false direct duties and reclassify non-statutory/entity controls.</x:v>
      </x:c>
      <x:c r="G1675" s="33" t="str">
        <x:v>P-4 official-source validation</x:v>
      </x:c>
      <x:c r="H167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75" s="33" t="str">
        <x:v>P-4</x:v>
      </x:c>
      <x:c r="J1675" s="33" t="str">
        <x:v>2026-08-20</x:v>
      </x:c>
      <x:c r="K1675" s="33" t="str">
        <x:v>Provision IDs preserved; legal force and parentage corrected.</x:v>
      </x:c>
    </x:row>
    <x:row r="1676">
      <x:c r="A1676" s="33" t="str">
        <x:v>HOMPROV018</x:v>
      </x:c>
      <x:c r="B1676" s="33" t="str">
        <x:v>Provision Master</x:v>
      </x:c>
      <x:c r="C1676" s="33" t="str">
        <x:v>Law ID=LAW001; Provision Category=Operational; Statutory Reference=; Remarks=</x:v>
      </x:c>
      <x:c r="D167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76" s="33" t="str">
        <x:v>CORRECT / RECLASSIFY</x:v>
      </x:c>
      <x:c r="F1676" s="33" t="str">
        <x:v>Correct technical citations, remove false direct duties and reclassify non-statutory/entity controls.</x:v>
      </x:c>
      <x:c r="G1676" s="33" t="str">
        <x:v>P-4 official-source validation</x:v>
      </x:c>
      <x:c r="H167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76" s="33" t="str">
        <x:v>P-4</x:v>
      </x:c>
      <x:c r="J1676" s="33" t="str">
        <x:v>2026-08-20</x:v>
      </x:c>
      <x:c r="K1676" s="33" t="str">
        <x:v>Provision IDs preserved; legal force and parentage corrected.</x:v>
      </x:c>
    </x:row>
    <x:row r="1677">
      <x:c r="A1677" s="33" t="str">
        <x:v>HOMPROV019</x:v>
      </x:c>
      <x:c r="B1677" s="33" t="str">
        <x:v>Provision Master</x:v>
      </x:c>
      <x:c r="C1677" s="33" t="str">
        <x:v>Law ID=LAW001; Provision Category=Operational; Statutory Reference=; Remarks=</x:v>
      </x:c>
      <x:c r="D167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77" s="33" t="str">
        <x:v>CORRECT / RECLASSIFY</x:v>
      </x:c>
      <x:c r="F1677" s="33" t="str">
        <x:v>Correct technical citations, remove false direct duties and reclassify non-statutory/entity controls.</x:v>
      </x:c>
      <x:c r="G1677" s="33" t="str">
        <x:v>P-4 official-source validation</x:v>
      </x:c>
      <x:c r="H167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77" s="33" t="str">
        <x:v>P-4</x:v>
      </x:c>
      <x:c r="J1677" s="33" t="str">
        <x:v>2026-08-20</x:v>
      </x:c>
      <x:c r="K1677" s="33" t="str">
        <x:v>Provision IDs preserved; legal force and parentage corrected.</x:v>
      </x:c>
    </x:row>
    <x:row r="1678">
      <x:c r="A1678" s="33" t="str">
        <x:v>HOMPROV020</x:v>
      </x:c>
      <x:c r="B1678" s="33" t="str">
        <x:v>Provision Master</x:v>
      </x:c>
      <x:c r="C1678" s="33" t="str">
        <x:v>Law ID=LAW001; Provision Category=Operational; Statutory Reference=; Remarks=</x:v>
      </x:c>
      <x:c r="D167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78" s="33" t="str">
        <x:v>CORRECT / RECLASSIFY</x:v>
      </x:c>
      <x:c r="F1678" s="33" t="str">
        <x:v>Correct technical citations, remove false direct duties and reclassify non-statutory/entity controls.</x:v>
      </x:c>
      <x:c r="G1678" s="33" t="str">
        <x:v>P-4 official-source validation</x:v>
      </x:c>
      <x:c r="H167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78" s="33" t="str">
        <x:v>P-4</x:v>
      </x:c>
      <x:c r="J1678" s="33" t="str">
        <x:v>2026-08-20</x:v>
      </x:c>
      <x:c r="K1678" s="33" t="str">
        <x:v>Provision IDs preserved; legal force and parentage corrected.</x:v>
      </x:c>
    </x:row>
    <x:row r="1679">
      <x:c r="A1679" s="33" t="str">
        <x:v>APROV001</x:v>
      </x:c>
      <x:c r="B1679" s="33" t="str">
        <x:v>Provision Master</x:v>
      </x:c>
      <x:c r="C1679" s="33" t="str">
        <x:v>Law ID=LAW001; Provision Category=Operational; Statutory Reference=; Remarks=</x:v>
      </x:c>
      <x:c r="D167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79" s="33" t="str">
        <x:v>CORRECT / RECLASSIFY</x:v>
      </x:c>
      <x:c r="F1679" s="33" t="str">
        <x:v>Correct technical citations, remove false direct duties and reclassify non-statutory/entity controls.</x:v>
      </x:c>
      <x:c r="G1679" s="33" t="str">
        <x:v>P-4 official-source validation</x:v>
      </x:c>
      <x:c r="H167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79" s="33" t="str">
        <x:v>P-4</x:v>
      </x:c>
      <x:c r="J1679" s="33" t="str">
        <x:v>2026-08-20</x:v>
      </x:c>
      <x:c r="K1679" s="33" t="str">
        <x:v>Provision IDs preserved; legal force and parentage corrected.</x:v>
      </x:c>
    </x:row>
    <x:row r="1680">
      <x:c r="A1680" s="33" t="str">
        <x:v>APROV002</x:v>
      </x:c>
      <x:c r="B1680" s="33" t="str">
        <x:v>Provision Master</x:v>
      </x:c>
      <x:c r="C1680" s="33" t="str">
        <x:v>Law ID=LAW001; Provision Category=Operational; Statutory Reference=; Remarks=</x:v>
      </x:c>
      <x:c r="D168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80" s="33" t="str">
        <x:v>CORRECT / RECLASSIFY</x:v>
      </x:c>
      <x:c r="F1680" s="33" t="str">
        <x:v>Correct technical citations, remove false direct duties and reclassify non-statutory/entity controls.</x:v>
      </x:c>
      <x:c r="G1680" s="33" t="str">
        <x:v>P-4 official-source validation</x:v>
      </x:c>
      <x:c r="H168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80" s="33" t="str">
        <x:v>P-4</x:v>
      </x:c>
      <x:c r="J1680" s="33" t="str">
        <x:v>2026-08-20</x:v>
      </x:c>
      <x:c r="K1680" s="33" t="str">
        <x:v>Provision IDs preserved; legal force and parentage corrected.</x:v>
      </x:c>
    </x:row>
    <x:row r="1681">
      <x:c r="A1681" s="33" t="str">
        <x:v>APROV003</x:v>
      </x:c>
      <x:c r="B1681" s="33" t="str">
        <x:v>Provision Master</x:v>
      </x:c>
      <x:c r="C1681" s="33" t="str">
        <x:v>Law ID=LAW001; Provision Category=Operational; Statutory Reference=; Remarks=</x:v>
      </x:c>
      <x:c r="D168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81" s="33" t="str">
        <x:v>CORRECT / RECLASSIFY</x:v>
      </x:c>
      <x:c r="F1681" s="33" t="str">
        <x:v>Correct technical citations, remove false direct duties and reclassify non-statutory/entity controls.</x:v>
      </x:c>
      <x:c r="G1681" s="33" t="str">
        <x:v>P-4 official-source validation</x:v>
      </x:c>
      <x:c r="H168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81" s="33" t="str">
        <x:v>P-4</x:v>
      </x:c>
      <x:c r="J1681" s="33" t="str">
        <x:v>2026-08-20</x:v>
      </x:c>
      <x:c r="K1681" s="33" t="str">
        <x:v>Provision IDs preserved; legal force and parentage corrected.</x:v>
      </x:c>
    </x:row>
    <x:row r="1682">
      <x:c r="A1682" s="33" t="str">
        <x:v>APROV004</x:v>
      </x:c>
      <x:c r="B1682" s="33" t="str">
        <x:v>Provision Master</x:v>
      </x:c>
      <x:c r="C1682" s="33" t="str">
        <x:v>Law ID=LAW001; Provision Category=Operational; Statutory Reference=; Remarks=</x:v>
      </x:c>
      <x:c r="D168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82" s="33" t="str">
        <x:v>CORRECT / RECLASSIFY</x:v>
      </x:c>
      <x:c r="F1682" s="33" t="str">
        <x:v>Correct technical citations, remove false direct duties and reclassify non-statutory/entity controls.</x:v>
      </x:c>
      <x:c r="G1682" s="33" t="str">
        <x:v>P-4 official-source validation</x:v>
      </x:c>
      <x:c r="H168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82" s="33" t="str">
        <x:v>P-4</x:v>
      </x:c>
      <x:c r="J1682" s="33" t="str">
        <x:v>2026-08-20</x:v>
      </x:c>
      <x:c r="K1682" s="33" t="str">
        <x:v>Provision IDs preserved; legal force and parentage corrected.</x:v>
      </x:c>
    </x:row>
    <x:row r="1683">
      <x:c r="A1683" s="33" t="str">
        <x:v>APROV005</x:v>
      </x:c>
      <x:c r="B1683" s="33" t="str">
        <x:v>Provision Master</x:v>
      </x:c>
      <x:c r="C1683" s="33" t="str">
        <x:v>Law ID=LAW001; Provision Category=Operational; Statutory Reference=; Remarks=</x:v>
      </x:c>
      <x:c r="D168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83" s="33" t="str">
        <x:v>CORRECT / RECLASSIFY</x:v>
      </x:c>
      <x:c r="F1683" s="33" t="str">
        <x:v>Correct technical citations, remove false direct duties and reclassify non-statutory/entity controls.</x:v>
      </x:c>
      <x:c r="G1683" s="33" t="str">
        <x:v>P-4 official-source validation</x:v>
      </x:c>
      <x:c r="H168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83" s="33" t="str">
        <x:v>P-4</x:v>
      </x:c>
      <x:c r="J1683" s="33" t="str">
        <x:v>2026-08-20</x:v>
      </x:c>
      <x:c r="K1683" s="33" t="str">
        <x:v>Provision IDs preserved; legal force and parentage corrected.</x:v>
      </x:c>
    </x:row>
    <x:row r="1684">
      <x:c r="A1684" s="33" t="str">
        <x:v>APROV006</x:v>
      </x:c>
      <x:c r="B1684" s="33" t="str">
        <x:v>Provision Master</x:v>
      </x:c>
      <x:c r="C1684" s="33" t="str">
        <x:v>Law ID=LAW001; Provision Category=Operational; Statutory Reference=; Remarks=</x:v>
      </x:c>
      <x:c r="D168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84" s="33" t="str">
        <x:v>CORRECT / RECLASSIFY</x:v>
      </x:c>
      <x:c r="F1684" s="33" t="str">
        <x:v>Correct technical citations, remove false direct duties and reclassify non-statutory/entity controls.</x:v>
      </x:c>
      <x:c r="G1684" s="33" t="str">
        <x:v>P-4 official-source validation</x:v>
      </x:c>
      <x:c r="H168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84" s="33" t="str">
        <x:v>P-4</x:v>
      </x:c>
      <x:c r="J1684" s="33" t="str">
        <x:v>2026-08-20</x:v>
      </x:c>
      <x:c r="K1684" s="33" t="str">
        <x:v>Provision IDs preserved; legal force and parentage corrected.</x:v>
      </x:c>
    </x:row>
    <x:row r="1685">
      <x:c r="A1685" s="33" t="str">
        <x:v>APROV007</x:v>
      </x:c>
      <x:c r="B1685" s="33" t="str">
        <x:v>Provision Master</x:v>
      </x:c>
      <x:c r="C1685" s="33" t="str">
        <x:v>Law ID=LAW001; Provision Category=Operational; Statutory Reference=; Remarks=</x:v>
      </x:c>
      <x:c r="D168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85" s="33" t="str">
        <x:v>CORRECT / RECLASSIFY</x:v>
      </x:c>
      <x:c r="F1685" s="33" t="str">
        <x:v>Correct technical citations, remove false direct duties and reclassify non-statutory/entity controls.</x:v>
      </x:c>
      <x:c r="G1685" s="33" t="str">
        <x:v>P-4 official-source validation</x:v>
      </x:c>
      <x:c r="H168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85" s="33" t="str">
        <x:v>P-4</x:v>
      </x:c>
      <x:c r="J1685" s="33" t="str">
        <x:v>2026-08-20</x:v>
      </x:c>
      <x:c r="K1685" s="33" t="str">
        <x:v>Provision IDs preserved; legal force and parentage corrected.</x:v>
      </x:c>
    </x:row>
    <x:row r="1686">
      <x:c r="A1686" s="33" t="str">
        <x:v>APROV008</x:v>
      </x:c>
      <x:c r="B1686" s="33" t="str">
        <x:v>Provision Master</x:v>
      </x:c>
      <x:c r="C1686" s="33" t="str">
        <x:v>Law ID=LAW001; Provision Category=Operational; Statutory Reference=; Remarks=</x:v>
      </x:c>
      <x:c r="D168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86" s="33" t="str">
        <x:v>CORRECT / RECLASSIFY</x:v>
      </x:c>
      <x:c r="F1686" s="33" t="str">
        <x:v>Correct technical citations, remove false direct duties and reclassify non-statutory/entity controls.</x:v>
      </x:c>
      <x:c r="G1686" s="33" t="str">
        <x:v>P-4 official-source validation</x:v>
      </x:c>
      <x:c r="H168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86" s="33" t="str">
        <x:v>P-4</x:v>
      </x:c>
      <x:c r="J1686" s="33" t="str">
        <x:v>2026-08-20</x:v>
      </x:c>
      <x:c r="K1686" s="33" t="str">
        <x:v>Provision IDs preserved; legal force and parentage corrected.</x:v>
      </x:c>
    </x:row>
    <x:row r="1687">
      <x:c r="A1687" s="33" t="str">
        <x:v>APROV009</x:v>
      </x:c>
      <x:c r="B1687" s="33" t="str">
        <x:v>Provision Master</x:v>
      </x:c>
      <x:c r="C1687" s="33" t="str">
        <x:v>Law ID=LAW001; Provision Category=Operational; Statutory Reference=; Remarks=</x:v>
      </x:c>
      <x:c r="D168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87" s="33" t="str">
        <x:v>CORRECT / RECLASSIFY</x:v>
      </x:c>
      <x:c r="F1687" s="33" t="str">
        <x:v>Correct technical citations, remove false direct duties and reclassify non-statutory/entity controls.</x:v>
      </x:c>
      <x:c r="G1687" s="33" t="str">
        <x:v>P-4 official-source validation</x:v>
      </x:c>
      <x:c r="H168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87" s="33" t="str">
        <x:v>P-4</x:v>
      </x:c>
      <x:c r="J1687" s="33" t="str">
        <x:v>2026-08-20</x:v>
      </x:c>
      <x:c r="K1687" s="33" t="str">
        <x:v>Provision IDs preserved; legal force and parentage corrected.</x:v>
      </x:c>
    </x:row>
    <x:row r="1688">
      <x:c r="A1688" s="33" t="str">
        <x:v>APROV010</x:v>
      </x:c>
      <x:c r="B1688" s="33" t="str">
        <x:v>Provision Master</x:v>
      </x:c>
      <x:c r="C1688" s="33" t="str">
        <x:v>Law ID=LAW001; Provision Category=Operational; Statutory Reference=; Remarks=</x:v>
      </x:c>
      <x:c r="D168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88" s="33" t="str">
        <x:v>CORRECT / RECLASSIFY</x:v>
      </x:c>
      <x:c r="F1688" s="33" t="str">
        <x:v>Correct technical citations, remove false direct duties and reclassify non-statutory/entity controls.</x:v>
      </x:c>
      <x:c r="G1688" s="33" t="str">
        <x:v>P-4 official-source validation</x:v>
      </x:c>
      <x:c r="H168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88" s="33" t="str">
        <x:v>P-4</x:v>
      </x:c>
      <x:c r="J1688" s="33" t="str">
        <x:v>2026-08-20</x:v>
      </x:c>
      <x:c r="K1688" s="33" t="str">
        <x:v>Provision IDs preserved; legal force and parentage corrected.</x:v>
      </x:c>
    </x:row>
    <x:row r="1689">
      <x:c r="A1689" s="33" t="str">
        <x:v>APROV011</x:v>
      </x:c>
      <x:c r="B1689" s="33" t="str">
        <x:v>Provision Master</x:v>
      </x:c>
      <x:c r="C1689" s="33" t="str">
        <x:v>Law ID=LAW001; Provision Category=Operational; Statutory Reference=; Remarks=</x:v>
      </x:c>
      <x:c r="D1689"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89" s="33" t="str">
        <x:v>CORRECT / RECLASSIFY</x:v>
      </x:c>
      <x:c r="F1689" s="33" t="str">
        <x:v>Correct technical citations, remove false direct duties and reclassify non-statutory/entity controls.</x:v>
      </x:c>
      <x:c r="G1689" s="33" t="str">
        <x:v>P-4 official-source validation</x:v>
      </x:c>
      <x:c r="H168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89" s="33" t="str">
        <x:v>P-4</x:v>
      </x:c>
      <x:c r="J1689" s="33" t="str">
        <x:v>2026-08-20</x:v>
      </x:c>
      <x:c r="K1689" s="33" t="str">
        <x:v>Provision IDs preserved; legal force and parentage corrected.</x:v>
      </x:c>
    </x:row>
    <x:row r="1690">
      <x:c r="A1690" s="33" t="str">
        <x:v>APROV012</x:v>
      </x:c>
      <x:c r="B1690" s="33" t="str">
        <x:v>Provision Master</x:v>
      </x:c>
      <x:c r="C1690" s="33" t="str">
        <x:v>Law ID=LAW001; Provision Category=Operational; Statutory Reference=; Remarks=</x:v>
      </x:c>
      <x:c r="D1690"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90" s="33" t="str">
        <x:v>CORRECT / RECLASSIFY</x:v>
      </x:c>
      <x:c r="F1690" s="33" t="str">
        <x:v>Correct technical citations, remove false direct duties and reclassify non-statutory/entity controls.</x:v>
      </x:c>
      <x:c r="G1690" s="33" t="str">
        <x:v>P-4 official-source validation</x:v>
      </x:c>
      <x:c r="H169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90" s="33" t="str">
        <x:v>P-4</x:v>
      </x:c>
      <x:c r="J1690" s="33" t="str">
        <x:v>2026-08-20</x:v>
      </x:c>
      <x:c r="K1690" s="33" t="str">
        <x:v>Provision IDs preserved; legal force and parentage corrected.</x:v>
      </x:c>
    </x:row>
    <x:row r="1691">
      <x:c r="A1691" s="33" t="str">
        <x:v>APROV013</x:v>
      </x:c>
      <x:c r="B1691" s="33" t="str">
        <x:v>Provision Master</x:v>
      </x:c>
      <x:c r="C1691" s="33" t="str">
        <x:v>Law ID=LAW001; Provision Category=Operational; Statutory Reference=; Remarks=</x:v>
      </x:c>
      <x:c r="D1691"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91" s="33" t="str">
        <x:v>CORRECT / RECLASSIFY</x:v>
      </x:c>
      <x:c r="F1691" s="33" t="str">
        <x:v>Correct technical citations, remove false direct duties and reclassify non-statutory/entity controls.</x:v>
      </x:c>
      <x:c r="G1691" s="33" t="str">
        <x:v>P-4 official-source validation</x:v>
      </x:c>
      <x:c r="H169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91" s="33" t="str">
        <x:v>P-4</x:v>
      </x:c>
      <x:c r="J1691" s="33" t="str">
        <x:v>2026-08-20</x:v>
      </x:c>
      <x:c r="K1691" s="33" t="str">
        <x:v>Provision IDs preserved; legal force and parentage corrected.</x:v>
      </x:c>
    </x:row>
    <x:row r="1692">
      <x:c r="A1692" s="33" t="str">
        <x:v>APROV014</x:v>
      </x:c>
      <x:c r="B1692" s="33" t="str">
        <x:v>Provision Master</x:v>
      </x:c>
      <x:c r="C1692" s="33" t="str">
        <x:v>Law ID=LAW001; Provision Category=Operational; Statutory Reference=; Remarks=</x:v>
      </x:c>
      <x:c r="D1692"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92" s="33" t="str">
        <x:v>CORRECT / RECLASSIFY</x:v>
      </x:c>
      <x:c r="F1692" s="33" t="str">
        <x:v>Correct technical citations, remove false direct duties and reclassify non-statutory/entity controls.</x:v>
      </x:c>
      <x:c r="G1692" s="33" t="str">
        <x:v>P-4 official-source validation</x:v>
      </x:c>
      <x:c r="H169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92" s="33" t="str">
        <x:v>P-4</x:v>
      </x:c>
      <x:c r="J1692" s="33" t="str">
        <x:v>2026-08-20</x:v>
      </x:c>
      <x:c r="K1692" s="33" t="str">
        <x:v>Provision IDs preserved; legal force and parentage corrected.</x:v>
      </x:c>
    </x:row>
    <x:row r="1693">
      <x:c r="A1693" s="33" t="str">
        <x:v>APROV015</x:v>
      </x:c>
      <x:c r="B1693" s="33" t="str">
        <x:v>Provision Master</x:v>
      </x:c>
      <x:c r="C1693" s="33" t="str">
        <x:v>Law ID=LAW001; Provision Category=Operational; Statutory Reference=; Remarks=</x:v>
      </x:c>
      <x:c r="D1693"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93" s="33" t="str">
        <x:v>CORRECT / RECLASSIFY</x:v>
      </x:c>
      <x:c r="F1693" s="33" t="str">
        <x:v>Correct technical citations, remove false direct duties and reclassify non-statutory/entity controls.</x:v>
      </x:c>
      <x:c r="G1693" s="33" t="str">
        <x:v>P-4 official-source validation</x:v>
      </x:c>
      <x:c r="H169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93" s="33" t="str">
        <x:v>P-4</x:v>
      </x:c>
      <x:c r="J1693" s="33" t="str">
        <x:v>2026-08-20</x:v>
      </x:c>
      <x:c r="K1693" s="33" t="str">
        <x:v>Provision IDs preserved; legal force and parentage corrected.</x:v>
      </x:c>
    </x:row>
    <x:row r="1694">
      <x:c r="A1694" s="33" t="str">
        <x:v>APROV016</x:v>
      </x:c>
      <x:c r="B1694" s="33" t="str">
        <x:v>Provision Master</x:v>
      </x:c>
      <x:c r="C1694" s="33" t="str">
        <x:v>Law ID=LAW001; Provision Category=Operational; Statutory Reference=; Remarks=</x:v>
      </x:c>
      <x:c r="D1694"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94" s="33" t="str">
        <x:v>CORRECT / RECLASSIFY</x:v>
      </x:c>
      <x:c r="F1694" s="33" t="str">
        <x:v>Correct technical citations, remove false direct duties and reclassify non-statutory/entity controls.</x:v>
      </x:c>
      <x:c r="G1694" s="33" t="str">
        <x:v>P-4 official-source validation</x:v>
      </x:c>
      <x:c r="H169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94" s="33" t="str">
        <x:v>P-4</x:v>
      </x:c>
      <x:c r="J1694" s="33" t="str">
        <x:v>2026-08-20</x:v>
      </x:c>
      <x:c r="K1694" s="33" t="str">
        <x:v>Provision IDs preserved; legal force and parentage corrected.</x:v>
      </x:c>
    </x:row>
    <x:row r="1695">
      <x:c r="A1695" s="33" t="str">
        <x:v>APROV017</x:v>
      </x:c>
      <x:c r="B1695" s="33" t="str">
        <x:v>Provision Master</x:v>
      </x:c>
      <x:c r="C1695" s="33" t="str">
        <x:v>Law ID=LAW001; Provision Category=Operational; Statutory Reference=; Remarks=</x:v>
      </x:c>
      <x:c r="D1695"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95" s="33" t="str">
        <x:v>CORRECT / RECLASSIFY</x:v>
      </x:c>
      <x:c r="F1695" s="33" t="str">
        <x:v>Correct technical citations, remove false direct duties and reclassify non-statutory/entity controls.</x:v>
      </x:c>
      <x:c r="G1695" s="33" t="str">
        <x:v>P-4 official-source validation</x:v>
      </x:c>
      <x:c r="H169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95" s="33" t="str">
        <x:v>P-4</x:v>
      </x:c>
      <x:c r="J1695" s="33" t="str">
        <x:v>2026-08-20</x:v>
      </x:c>
      <x:c r="K1695" s="33" t="str">
        <x:v>Provision IDs preserved; legal force and parentage corrected.</x:v>
      </x:c>
    </x:row>
    <x:row r="1696">
      <x:c r="A1696" s="33" t="str">
        <x:v>APROV018</x:v>
      </x:c>
      <x:c r="B1696" s="33" t="str">
        <x:v>Provision Master</x:v>
      </x:c>
      <x:c r="C1696" s="33" t="str">
        <x:v>Law ID=LAW001; Provision Category=Operational; Statutory Reference=; Remarks=</x:v>
      </x:c>
      <x:c r="D1696"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96" s="33" t="str">
        <x:v>CORRECT / RECLASSIFY</x:v>
      </x:c>
      <x:c r="F1696" s="33" t="str">
        <x:v>Correct technical citations, remove false direct duties and reclassify non-statutory/entity controls.</x:v>
      </x:c>
      <x:c r="G1696" s="33" t="str">
        <x:v>P-4 official-source validation</x:v>
      </x:c>
      <x:c r="H169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96" s="33" t="str">
        <x:v>P-4</x:v>
      </x:c>
      <x:c r="J1696" s="33" t="str">
        <x:v>2026-08-20</x:v>
      </x:c>
      <x:c r="K1696" s="33" t="str">
        <x:v>Provision IDs preserved; legal force and parentage corrected.</x:v>
      </x:c>
    </x:row>
    <x:row r="1697">
      <x:c r="A1697" s="33" t="str">
        <x:v>APROV019</x:v>
      </x:c>
      <x:c r="B1697" s="33" t="str">
        <x:v>Provision Master</x:v>
      </x:c>
      <x:c r="C1697" s="33" t="str">
        <x:v>Law ID=LAW001; Provision Category=Operational; Statutory Reference=; Remarks=</x:v>
      </x:c>
      <x:c r="D1697"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97" s="33" t="str">
        <x:v>CORRECT / RECLASSIFY</x:v>
      </x:c>
      <x:c r="F1697" s="33" t="str">
        <x:v>Correct technical citations, remove false direct duties and reclassify non-statutory/entity controls.</x:v>
      </x:c>
      <x:c r="G1697" s="33" t="str">
        <x:v>P-4 official-source validation</x:v>
      </x:c>
      <x:c r="H169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97" s="33" t="str">
        <x:v>P-4</x:v>
      </x:c>
      <x:c r="J1697" s="33" t="str">
        <x:v>2026-08-20</x:v>
      </x:c>
      <x:c r="K1697" s="33" t="str">
        <x:v>Provision IDs preserved; legal force and parentage corrected.</x:v>
      </x:c>
    </x:row>
    <x:row r="1698">
      <x:c r="A1698" s="33" t="str">
        <x:v>APROV020</x:v>
      </x:c>
      <x:c r="B1698" s="33" t="str">
        <x:v>Provision Master</x:v>
      </x:c>
      <x:c r="C1698" s="33" t="str">
        <x:v>Law ID=LAW001; Provision Category=Operational; Statutory Reference=; Remarks=</x:v>
      </x:c>
      <x:c r="D1698" s="33" t="str">
        <x:v>Law ID=LAW099; Provision Category=Best Practice; Statutory Reference=Internal control — no independent statutory force; apply the separately mapped underlying law where applicable; Remarks=P-4 reparented to the canonical internal-control framework; approved sub-sector and Origin preserved.</x:v>
      </x:c>
      <x:c r="E1698" s="33" t="str">
        <x:v>CORRECT / RECLASSIFY</x:v>
      </x:c>
      <x:c r="F1698" s="33" t="str">
        <x:v>Correct technical citations, remove false direct duties and reclassify non-statutory/entity controls.</x:v>
      </x:c>
      <x:c r="G1698" s="33" t="str">
        <x:v>P-4 official-source validation</x:v>
      </x:c>
      <x:c r="H169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98" s="33" t="str">
        <x:v>P-4</x:v>
      </x:c>
      <x:c r="J1698" s="33" t="str">
        <x:v>2026-08-20</x:v>
      </x:c>
      <x:c r="K1698" s="33" t="str">
        <x:v>Provision IDs preserved; legal force and parentage corrected.</x:v>
      </x:c>
    </x:row>
    <x:row r="1699">
      <x:c r="A1699" s="33" t="str">
        <x:v>PROV120</x:v>
      </x:c>
      <x:c r="B1699" s="33" t="str">
        <x:v>Provision Master</x:v>
      </x:c>
      <x:c r="C1699" s="33" t="str">
        <x:v>Provision Category=Statutory; Remarks=</x:v>
      </x:c>
      <x:c r="D1699" s="33" t="str">
        <x:v>Provision Category=Best Practice; Remarks=P-4 reclassified as non-statutory guidance/internal implementation. Binding obligations remain under separately mapped law, licence or exact direction.</x:v>
      </x:c>
      <x:c r="E1699" s="33" t="str">
        <x:v>CORRECT / RECLASSIFY</x:v>
      </x:c>
      <x:c r="F1699" s="33" t="str">
        <x:v>Correct technical citations, remove false direct duties and reclassify non-statutory/entity controls.</x:v>
      </x:c>
      <x:c r="G1699" s="33" t="str">
        <x:v>P-4 official-source validation</x:v>
      </x:c>
      <x:c r="H169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699" s="33" t="str">
        <x:v>P-4</x:v>
      </x:c>
      <x:c r="J1699" s="33" t="str">
        <x:v>2026-08-20</x:v>
      </x:c>
      <x:c r="K1699" s="33" t="str">
        <x:v>Provision IDs preserved; legal force and parentage corrected.</x:v>
      </x:c>
    </x:row>
    <x:row r="1700">
      <x:c r="A1700" s="33" t="str">
        <x:v>PROV121</x:v>
      </x:c>
      <x:c r="B1700" s="33" t="str">
        <x:v>Provision Master</x:v>
      </x:c>
      <x:c r="C1700" s="33" t="str">
        <x:v>Provision Category=Statutory; Remarks=</x:v>
      </x:c>
      <x:c r="D1700" s="33" t="str">
        <x:v>Provision Category=Best Practice; Remarks=P-4 reclassified as non-statutory guidance/internal implementation. Binding obligations remain under separately mapped law, licence or exact direction.</x:v>
      </x:c>
      <x:c r="E1700" s="33" t="str">
        <x:v>CORRECT / RECLASSIFY</x:v>
      </x:c>
      <x:c r="F1700" s="33" t="str">
        <x:v>Correct technical citations, remove false direct duties and reclassify non-statutory/entity controls.</x:v>
      </x:c>
      <x:c r="G1700" s="33" t="str">
        <x:v>P-4 official-source validation</x:v>
      </x:c>
      <x:c r="H170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00" s="33" t="str">
        <x:v>P-4</x:v>
      </x:c>
      <x:c r="J1700" s="33" t="str">
        <x:v>2026-08-20</x:v>
      </x:c>
      <x:c r="K1700" s="33" t="str">
        <x:v>Provision IDs preserved; legal force and parentage corrected.</x:v>
      </x:c>
    </x:row>
    <x:row r="1701">
      <x:c r="A1701" s="33" t="str">
        <x:v>PROV122</x:v>
      </x:c>
      <x:c r="B1701" s="33" t="str">
        <x:v>Provision Master</x:v>
      </x:c>
      <x:c r="C1701" s="33" t="str">
        <x:v>Provision Category=Statutory; Remarks=</x:v>
      </x:c>
      <x:c r="D1701" s="33" t="str">
        <x:v>Provision Category=Best Practice; Remarks=P-4 reclassified as non-statutory guidance/internal implementation. Binding obligations remain under separately mapped law, licence or exact direction.</x:v>
      </x:c>
      <x:c r="E1701" s="33" t="str">
        <x:v>CORRECT / RECLASSIFY</x:v>
      </x:c>
      <x:c r="F1701" s="33" t="str">
        <x:v>Correct technical citations, remove false direct duties and reclassify non-statutory/entity controls.</x:v>
      </x:c>
      <x:c r="G1701" s="33" t="str">
        <x:v>P-4 official-source validation</x:v>
      </x:c>
      <x:c r="H170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01" s="33" t="str">
        <x:v>P-4</x:v>
      </x:c>
      <x:c r="J1701" s="33" t="str">
        <x:v>2026-08-20</x:v>
      </x:c>
      <x:c r="K1701" s="33" t="str">
        <x:v>Provision IDs preserved; legal force and parentage corrected.</x:v>
      </x:c>
    </x:row>
    <x:row r="1702">
      <x:c r="A1702" s="33" t="str">
        <x:v>PROV123</x:v>
      </x:c>
      <x:c r="B1702" s="33" t="str">
        <x:v>Provision Master</x:v>
      </x:c>
      <x:c r="C1702" s="33" t="str">
        <x:v>Provision Category=Statutory; Remarks=</x:v>
      </x:c>
      <x:c r="D1702" s="33" t="str">
        <x:v>Provision Category=Best Practice; Remarks=P-4 reclassified as non-statutory guidance/internal implementation. Binding obligations remain under separately mapped law, licence or exact direction.</x:v>
      </x:c>
      <x:c r="E1702" s="33" t="str">
        <x:v>CORRECT / RECLASSIFY</x:v>
      </x:c>
      <x:c r="F1702" s="33" t="str">
        <x:v>Correct technical citations, remove false direct duties and reclassify non-statutory/entity controls.</x:v>
      </x:c>
      <x:c r="G1702" s="33" t="str">
        <x:v>P-4 official-source validation</x:v>
      </x:c>
      <x:c r="H170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02" s="33" t="str">
        <x:v>P-4</x:v>
      </x:c>
      <x:c r="J1702" s="33" t="str">
        <x:v>2026-08-20</x:v>
      </x:c>
      <x:c r="K1702" s="33" t="str">
        <x:v>Provision IDs preserved; legal force and parentage corrected.</x:v>
      </x:c>
    </x:row>
    <x:row r="1703">
      <x:c r="A1703" s="33" t="str">
        <x:v>PROV124</x:v>
      </x:c>
      <x:c r="B1703" s="33" t="str">
        <x:v>Provision Master</x:v>
      </x:c>
      <x:c r="C1703" s="33" t="str">
        <x:v>Provision Category=Statutory; Remarks=</x:v>
      </x:c>
      <x:c r="D1703" s="33" t="str">
        <x:v>Provision Category=Best Practice; Remarks=P-4 reclassified as non-statutory guidance/internal implementation. Binding obligations remain under separately mapped law, licence or exact direction.</x:v>
      </x:c>
      <x:c r="E1703" s="33" t="str">
        <x:v>CORRECT / RECLASSIFY</x:v>
      </x:c>
      <x:c r="F1703" s="33" t="str">
        <x:v>Correct technical citations, remove false direct duties and reclassify non-statutory/entity controls.</x:v>
      </x:c>
      <x:c r="G1703" s="33" t="str">
        <x:v>P-4 official-source validation</x:v>
      </x:c>
      <x:c r="H170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03" s="33" t="str">
        <x:v>P-4</x:v>
      </x:c>
      <x:c r="J1703" s="33" t="str">
        <x:v>2026-08-20</x:v>
      </x:c>
      <x:c r="K1703" s="33" t="str">
        <x:v>Provision IDs preserved; legal force and parentage corrected.</x:v>
      </x:c>
    </x:row>
    <x:row r="1704">
      <x:c r="A1704" s="33" t="str">
        <x:v>PROV125</x:v>
      </x:c>
      <x:c r="B1704" s="33" t="str">
        <x:v>Provision Master</x:v>
      </x:c>
      <x:c r="C1704" s="33" t="str">
        <x:v>Provision Category=Statutory; Remarks=</x:v>
      </x:c>
      <x:c r="D1704" s="33" t="str">
        <x:v>Provision Category=Best Practice; Remarks=P-4 reclassified as non-statutory guidance/internal implementation. Binding obligations remain under separately mapped law, licence or exact direction.</x:v>
      </x:c>
      <x:c r="E1704" s="33" t="str">
        <x:v>CORRECT / RECLASSIFY</x:v>
      </x:c>
      <x:c r="F1704" s="33" t="str">
        <x:v>Correct technical citations, remove false direct duties and reclassify non-statutory/entity controls.</x:v>
      </x:c>
      <x:c r="G1704" s="33" t="str">
        <x:v>P-4 official-source validation</x:v>
      </x:c>
      <x:c r="H170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04" s="33" t="str">
        <x:v>P-4</x:v>
      </x:c>
      <x:c r="J1704" s="33" t="str">
        <x:v>2026-08-20</x:v>
      </x:c>
      <x:c r="K1704" s="33" t="str">
        <x:v>Provision IDs preserved; legal force and parentage corrected.</x:v>
      </x:c>
    </x:row>
    <x:row r="1705">
      <x:c r="A1705" s="33" t="str">
        <x:v>PROV126</x:v>
      </x:c>
      <x:c r="B1705" s="33" t="str">
        <x:v>Provision Master</x:v>
      </x:c>
      <x:c r="C1705" s="33" t="str">
        <x:v>Provision Category=Statutory; Remarks=</x:v>
      </x:c>
      <x:c r="D1705" s="33" t="str">
        <x:v>Provision Category=Best Practice; Remarks=P-4 reclassified as non-statutory guidance/internal implementation. Binding obligations remain under separately mapped law, licence or exact direction.</x:v>
      </x:c>
      <x:c r="E1705" s="33" t="str">
        <x:v>CORRECT / RECLASSIFY</x:v>
      </x:c>
      <x:c r="F1705" s="33" t="str">
        <x:v>Correct technical citations, remove false direct duties and reclassify non-statutory/entity controls.</x:v>
      </x:c>
      <x:c r="G1705" s="33" t="str">
        <x:v>P-4 official-source validation</x:v>
      </x:c>
      <x:c r="H170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05" s="33" t="str">
        <x:v>P-4</x:v>
      </x:c>
      <x:c r="J1705" s="33" t="str">
        <x:v>2026-08-20</x:v>
      </x:c>
      <x:c r="K1705" s="33" t="str">
        <x:v>Provision IDs preserved; legal force and parentage corrected.</x:v>
      </x:c>
    </x:row>
    <x:row r="1706">
      <x:c r="A1706" s="33" t="str">
        <x:v>PROV127</x:v>
      </x:c>
      <x:c r="B1706" s="33" t="str">
        <x:v>Provision Master</x:v>
      </x:c>
      <x:c r="C1706" s="33" t="str">
        <x:v>Provision Category=Statutory; Remarks=</x:v>
      </x:c>
      <x:c r="D1706" s="33" t="str">
        <x:v>Provision Category=Best Practice; Remarks=P-4 reclassified as non-statutory guidance/internal implementation. Binding obligations remain under separately mapped law, licence or exact direction.</x:v>
      </x:c>
      <x:c r="E1706" s="33" t="str">
        <x:v>CORRECT / RECLASSIFY</x:v>
      </x:c>
      <x:c r="F1706" s="33" t="str">
        <x:v>Correct technical citations, remove false direct duties and reclassify non-statutory/entity controls.</x:v>
      </x:c>
      <x:c r="G1706" s="33" t="str">
        <x:v>P-4 official-source validation</x:v>
      </x:c>
      <x:c r="H170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06" s="33" t="str">
        <x:v>P-4</x:v>
      </x:c>
      <x:c r="J1706" s="33" t="str">
        <x:v>2026-08-20</x:v>
      </x:c>
      <x:c r="K1706" s="33" t="str">
        <x:v>Provision IDs preserved; legal force and parentage corrected.</x:v>
      </x:c>
    </x:row>
    <x:row r="1707">
      <x:c r="A1707" s="33" t="str">
        <x:v>PROV128</x:v>
      </x:c>
      <x:c r="B1707" s="33" t="str">
        <x:v>Provision Master</x:v>
      </x:c>
      <x:c r="C1707" s="33" t="str">
        <x:v>Provision Category=Statutory; Remarks=</x:v>
      </x:c>
      <x:c r="D1707" s="33" t="str">
        <x:v>Provision Category=Best Practice; Remarks=P-4 reclassified as non-statutory guidance/internal implementation. Binding obligations remain under separately mapped law, licence or exact direction.</x:v>
      </x:c>
      <x:c r="E1707" s="33" t="str">
        <x:v>CORRECT / RECLASSIFY</x:v>
      </x:c>
      <x:c r="F1707" s="33" t="str">
        <x:v>Correct technical citations, remove false direct duties and reclassify non-statutory/entity controls.</x:v>
      </x:c>
      <x:c r="G1707" s="33" t="str">
        <x:v>P-4 official-source validation</x:v>
      </x:c>
      <x:c r="H170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07" s="33" t="str">
        <x:v>P-4</x:v>
      </x:c>
      <x:c r="J1707" s="33" t="str">
        <x:v>2026-08-20</x:v>
      </x:c>
      <x:c r="K1707" s="33" t="str">
        <x:v>Provision IDs preserved; legal force and parentage corrected.</x:v>
      </x:c>
    </x:row>
    <x:row r="1708">
      <x:c r="A1708" s="33" t="str">
        <x:v>PROV129</x:v>
      </x:c>
      <x:c r="B1708" s="33" t="str">
        <x:v>Provision Master</x:v>
      </x:c>
      <x:c r="C1708" s="33" t="str">
        <x:v>Provision Category=Statutory; Remarks=</x:v>
      </x:c>
      <x:c r="D1708" s="33" t="str">
        <x:v>Provision Category=Best Practice; Remarks=P-4 reclassified as non-statutory guidance/internal implementation. Binding obligations remain under separately mapped law, licence or exact direction.</x:v>
      </x:c>
      <x:c r="E1708" s="33" t="str">
        <x:v>CORRECT / RECLASSIFY</x:v>
      </x:c>
      <x:c r="F1708" s="33" t="str">
        <x:v>Correct technical citations, remove false direct duties and reclassify non-statutory/entity controls.</x:v>
      </x:c>
      <x:c r="G1708" s="33" t="str">
        <x:v>P-4 official-source validation</x:v>
      </x:c>
      <x:c r="H170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08" s="33" t="str">
        <x:v>P-4</x:v>
      </x:c>
      <x:c r="J1708" s="33" t="str">
        <x:v>2026-08-20</x:v>
      </x:c>
      <x:c r="K1708" s="33" t="str">
        <x:v>Provision IDs preserved; legal force and parentage corrected.</x:v>
      </x:c>
    </x:row>
    <x:row r="1709">
      <x:c r="A1709" s="33" t="str">
        <x:v>PROV130</x:v>
      </x:c>
      <x:c r="B1709" s="33" t="str">
        <x:v>Provision Master</x:v>
      </x:c>
      <x:c r="C1709" s="33" t="str">
        <x:v>Provision Category=Statutory; Remarks=</x:v>
      </x:c>
      <x:c r="D1709" s="33" t="str">
        <x:v>Provision Category=Best Practice; Remarks=P-4 reclassified as non-statutory guidance/internal implementation. Binding obligations remain under separately mapped law, licence or exact direction.</x:v>
      </x:c>
      <x:c r="E1709" s="33" t="str">
        <x:v>CORRECT / RECLASSIFY</x:v>
      </x:c>
      <x:c r="F1709" s="33" t="str">
        <x:v>Correct technical citations, remove false direct duties and reclassify non-statutory/entity controls.</x:v>
      </x:c>
      <x:c r="G1709" s="33" t="str">
        <x:v>P-4 official-source validation</x:v>
      </x:c>
      <x:c r="H170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09" s="33" t="str">
        <x:v>P-4</x:v>
      </x:c>
      <x:c r="J1709" s="33" t="str">
        <x:v>2026-08-20</x:v>
      </x:c>
      <x:c r="K1709" s="33" t="str">
        <x:v>Provision IDs preserved; legal force and parentage corrected.</x:v>
      </x:c>
    </x:row>
    <x:row r="1710">
      <x:c r="A1710" s="33" t="str">
        <x:v>PROV131</x:v>
      </x:c>
      <x:c r="B1710" s="33" t="str">
        <x:v>Provision Master</x:v>
      </x:c>
      <x:c r="C1710" s="33" t="str">
        <x:v>Provision Category=Statutory; Remarks=</x:v>
      </x:c>
      <x:c r="D1710" s="33" t="str">
        <x:v>Provision Category=Best Practice; Remarks=P-4 reclassified as non-statutory guidance/internal implementation. Binding obligations remain under separately mapped law, licence or exact direction.</x:v>
      </x:c>
      <x:c r="E1710" s="33" t="str">
        <x:v>CORRECT / RECLASSIFY</x:v>
      </x:c>
      <x:c r="F1710" s="33" t="str">
        <x:v>Correct technical citations, remove false direct duties and reclassify non-statutory/entity controls.</x:v>
      </x:c>
      <x:c r="G1710" s="33" t="str">
        <x:v>P-4 official-source validation</x:v>
      </x:c>
      <x:c r="H171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10" s="33" t="str">
        <x:v>P-4</x:v>
      </x:c>
      <x:c r="J1710" s="33" t="str">
        <x:v>2026-08-20</x:v>
      </x:c>
      <x:c r="K1710" s="33" t="str">
        <x:v>Provision IDs preserved; legal force and parentage corrected.</x:v>
      </x:c>
    </x:row>
    <x:row r="1711">
      <x:c r="A1711" s="33" t="str">
        <x:v>PROV132</x:v>
      </x:c>
      <x:c r="B1711" s="33" t="str">
        <x:v>Provision Master</x:v>
      </x:c>
      <x:c r="C1711" s="33" t="str">
        <x:v>Provision Category=Statutory; Remarks=</x:v>
      </x:c>
      <x:c r="D1711" s="33" t="str">
        <x:v>Provision Category=Best Practice; Remarks=P-4 reclassified as non-statutory guidance/internal implementation. Binding obligations remain under separately mapped law, licence or exact direction.</x:v>
      </x:c>
      <x:c r="E1711" s="33" t="str">
        <x:v>CORRECT / RECLASSIFY</x:v>
      </x:c>
      <x:c r="F1711" s="33" t="str">
        <x:v>Correct technical citations, remove false direct duties and reclassify non-statutory/entity controls.</x:v>
      </x:c>
      <x:c r="G1711" s="33" t="str">
        <x:v>P-4 official-source validation</x:v>
      </x:c>
      <x:c r="H171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11" s="33" t="str">
        <x:v>P-4</x:v>
      </x:c>
      <x:c r="J1711" s="33" t="str">
        <x:v>2026-08-20</x:v>
      </x:c>
      <x:c r="K1711" s="33" t="str">
        <x:v>Provision IDs preserved; legal force and parentage corrected.</x:v>
      </x:c>
    </x:row>
    <x:row r="1712">
      <x:c r="A1712" s="33" t="str">
        <x:v>PROV133</x:v>
      </x:c>
      <x:c r="B1712" s="33" t="str">
        <x:v>Provision Master</x:v>
      </x:c>
      <x:c r="C1712" s="33" t="str">
        <x:v>Provision Category=Statutory; Remarks=</x:v>
      </x:c>
      <x:c r="D1712" s="33" t="str">
        <x:v>Provision Category=Best Practice; Remarks=P-4 reclassified as non-statutory guidance/internal implementation. Binding obligations remain under separately mapped law, licence or exact direction.</x:v>
      </x:c>
      <x:c r="E1712" s="33" t="str">
        <x:v>CORRECT / RECLASSIFY</x:v>
      </x:c>
      <x:c r="F1712" s="33" t="str">
        <x:v>Correct technical citations, remove false direct duties and reclassify non-statutory/entity controls.</x:v>
      </x:c>
      <x:c r="G1712" s="33" t="str">
        <x:v>P-4 official-source validation</x:v>
      </x:c>
      <x:c r="H171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12" s="33" t="str">
        <x:v>P-4</x:v>
      </x:c>
      <x:c r="J1712" s="33" t="str">
        <x:v>2026-08-20</x:v>
      </x:c>
      <x:c r="K1712" s="33" t="str">
        <x:v>Provision IDs preserved; legal force and parentage corrected.</x:v>
      </x:c>
    </x:row>
    <x:row r="1713">
      <x:c r="A1713" s="33" t="str">
        <x:v>PROV134</x:v>
      </x:c>
      <x:c r="B1713" s="33" t="str">
        <x:v>Provision Master</x:v>
      </x:c>
      <x:c r="C1713" s="33" t="str">
        <x:v>Provision Category=Statutory; Remarks=</x:v>
      </x:c>
      <x:c r="D1713" s="33" t="str">
        <x:v>Provision Category=Best Practice; Remarks=P-4 reclassified as non-statutory guidance/internal implementation. Binding obligations remain under separately mapped law, licence or exact direction.</x:v>
      </x:c>
      <x:c r="E1713" s="33" t="str">
        <x:v>CORRECT / RECLASSIFY</x:v>
      </x:c>
      <x:c r="F1713" s="33" t="str">
        <x:v>Correct technical citations, remove false direct duties and reclassify non-statutory/entity controls.</x:v>
      </x:c>
      <x:c r="G1713" s="33" t="str">
        <x:v>P-4 official-source validation</x:v>
      </x:c>
      <x:c r="H171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13" s="33" t="str">
        <x:v>P-4</x:v>
      </x:c>
      <x:c r="J1713" s="33" t="str">
        <x:v>2026-08-20</x:v>
      </x:c>
      <x:c r="K1713" s="33" t="str">
        <x:v>Provision IDs preserved; legal force and parentage corrected.</x:v>
      </x:c>
    </x:row>
    <x:row r="1714">
      <x:c r="A1714" s="33" t="str">
        <x:v>PROV135</x:v>
      </x:c>
      <x:c r="B1714" s="33" t="str">
        <x:v>Provision Master</x:v>
      </x:c>
      <x:c r="C1714" s="33" t="str">
        <x:v>Provision Category=Statutory; Remarks=</x:v>
      </x:c>
      <x:c r="D1714" s="33" t="str">
        <x:v>Provision Category=Best Practice; Remarks=P-4 reclassified as non-statutory guidance/internal implementation. Binding obligations remain under separately mapped law, licence or exact direction.</x:v>
      </x:c>
      <x:c r="E1714" s="33" t="str">
        <x:v>CORRECT / RECLASSIFY</x:v>
      </x:c>
      <x:c r="F1714" s="33" t="str">
        <x:v>Correct technical citations, remove false direct duties and reclassify non-statutory/entity controls.</x:v>
      </x:c>
      <x:c r="G1714" s="33" t="str">
        <x:v>P-4 official-source validation</x:v>
      </x:c>
      <x:c r="H171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14" s="33" t="str">
        <x:v>P-4</x:v>
      </x:c>
      <x:c r="J1714" s="33" t="str">
        <x:v>2026-08-20</x:v>
      </x:c>
      <x:c r="K1714" s="33" t="str">
        <x:v>Provision IDs preserved; legal force and parentage corrected.</x:v>
      </x:c>
    </x:row>
    <x:row r="1715">
      <x:c r="A1715" s="33" t="str">
        <x:v>PROV136</x:v>
      </x:c>
      <x:c r="B1715" s="33" t="str">
        <x:v>Provision Master</x:v>
      </x:c>
      <x:c r="C1715" s="33" t="str">
        <x:v>Provision Category=Statutory; Remarks=</x:v>
      </x:c>
      <x:c r="D1715" s="33" t="str">
        <x:v>Provision Category=Best Practice; Remarks=P-4 reclassified as non-statutory guidance/internal implementation. Binding obligations remain under separately mapped law, licence or exact direction.</x:v>
      </x:c>
      <x:c r="E1715" s="33" t="str">
        <x:v>CORRECT / RECLASSIFY</x:v>
      </x:c>
      <x:c r="F1715" s="33" t="str">
        <x:v>Correct technical citations, remove false direct duties and reclassify non-statutory/entity controls.</x:v>
      </x:c>
      <x:c r="G1715" s="33" t="str">
        <x:v>P-4 official-source validation</x:v>
      </x:c>
      <x:c r="H171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15" s="33" t="str">
        <x:v>P-4</x:v>
      </x:c>
      <x:c r="J1715" s="33" t="str">
        <x:v>2026-08-20</x:v>
      </x:c>
      <x:c r="K1715" s="33" t="str">
        <x:v>Provision IDs preserved; legal force and parentage corrected.</x:v>
      </x:c>
    </x:row>
    <x:row r="1716">
      <x:c r="A1716" s="33" t="str">
        <x:v>PROV137</x:v>
      </x:c>
      <x:c r="B1716" s="33" t="str">
        <x:v>Provision Master</x:v>
      </x:c>
      <x:c r="C1716" s="33" t="str">
        <x:v>Provision Category=Statutory; Remarks=</x:v>
      </x:c>
      <x:c r="D1716" s="33" t="str">
        <x:v>Provision Category=Best Practice; Remarks=P-4 reclassified as non-statutory guidance/internal implementation. Binding obligations remain under separately mapped law, licence or exact direction.</x:v>
      </x:c>
      <x:c r="E1716" s="33" t="str">
        <x:v>CORRECT / RECLASSIFY</x:v>
      </x:c>
      <x:c r="F1716" s="33" t="str">
        <x:v>Correct technical citations, remove false direct duties and reclassify non-statutory/entity controls.</x:v>
      </x:c>
      <x:c r="G1716" s="33" t="str">
        <x:v>P-4 official-source validation</x:v>
      </x:c>
      <x:c r="H171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16" s="33" t="str">
        <x:v>P-4</x:v>
      </x:c>
      <x:c r="J1716" s="33" t="str">
        <x:v>2026-08-20</x:v>
      </x:c>
      <x:c r="K1716" s="33" t="str">
        <x:v>Provision IDs preserved; legal force and parentage corrected.</x:v>
      </x:c>
    </x:row>
    <x:row r="1717">
      <x:c r="A1717" s="33" t="str">
        <x:v>PROV138</x:v>
      </x:c>
      <x:c r="B1717" s="33" t="str">
        <x:v>Provision Master</x:v>
      </x:c>
      <x:c r="C1717" s="33" t="str">
        <x:v>Provision Category=Statutory; Remarks=</x:v>
      </x:c>
      <x:c r="D1717" s="33" t="str">
        <x:v>Provision Category=Best Practice; Remarks=P-4 reclassified as non-statutory guidance/internal implementation. Binding obligations remain under separately mapped law, licence or exact direction.</x:v>
      </x:c>
      <x:c r="E1717" s="33" t="str">
        <x:v>CORRECT / RECLASSIFY</x:v>
      </x:c>
      <x:c r="F1717" s="33" t="str">
        <x:v>Correct technical citations, remove false direct duties and reclassify non-statutory/entity controls.</x:v>
      </x:c>
      <x:c r="G1717" s="33" t="str">
        <x:v>P-4 official-source validation</x:v>
      </x:c>
      <x:c r="H171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17" s="33" t="str">
        <x:v>P-4</x:v>
      </x:c>
      <x:c r="J1717" s="33" t="str">
        <x:v>2026-08-20</x:v>
      </x:c>
      <x:c r="K1717" s="33" t="str">
        <x:v>Provision IDs preserved; legal force and parentage corrected.</x:v>
      </x:c>
    </x:row>
    <x:row r="1718">
      <x:c r="A1718" s="33" t="str">
        <x:v>PROV139</x:v>
      </x:c>
      <x:c r="B1718" s="33" t="str">
        <x:v>Provision Master</x:v>
      </x:c>
      <x:c r="C1718" s="33" t="str">
        <x:v>Provision Category=Statutory; Remarks=</x:v>
      </x:c>
      <x:c r="D1718" s="33" t="str">
        <x:v>Provision Category=Best Practice; Remarks=P-4 reclassified as non-statutory guidance/internal implementation. Binding obligations remain under separately mapped law, licence or exact direction.</x:v>
      </x:c>
      <x:c r="E1718" s="33" t="str">
        <x:v>CORRECT / RECLASSIFY</x:v>
      </x:c>
      <x:c r="F1718" s="33" t="str">
        <x:v>Correct technical citations, remove false direct duties and reclassify non-statutory/entity controls.</x:v>
      </x:c>
      <x:c r="G1718" s="33" t="str">
        <x:v>P-4 official-source validation</x:v>
      </x:c>
      <x:c r="H171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18" s="33" t="str">
        <x:v>P-4</x:v>
      </x:c>
      <x:c r="J1718" s="33" t="str">
        <x:v>2026-08-20</x:v>
      </x:c>
      <x:c r="K1718" s="33" t="str">
        <x:v>Provision IDs preserved; legal force and parentage corrected.</x:v>
      </x:c>
    </x:row>
    <x:row r="1719">
      <x:c r="A1719" s="33" t="str">
        <x:v>PROV140</x:v>
      </x:c>
      <x:c r="B1719" s="33" t="str">
        <x:v>Provision Master</x:v>
      </x:c>
      <x:c r="C1719" s="33" t="str">
        <x:v>Provision Category=Statutory; Remarks=</x:v>
      </x:c>
      <x:c r="D1719" s="33" t="str">
        <x:v>Provision Category=Best Practice; Remarks=P-4 reclassified as non-statutory guidance/internal implementation. Binding obligations remain under separately mapped law, licence or exact direction.</x:v>
      </x:c>
      <x:c r="E1719" s="33" t="str">
        <x:v>CORRECT / RECLASSIFY</x:v>
      </x:c>
      <x:c r="F1719" s="33" t="str">
        <x:v>Correct technical citations, remove false direct duties and reclassify non-statutory/entity controls.</x:v>
      </x:c>
      <x:c r="G1719" s="33" t="str">
        <x:v>P-4 official-source validation</x:v>
      </x:c>
      <x:c r="H171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19" s="33" t="str">
        <x:v>P-4</x:v>
      </x:c>
      <x:c r="J1719" s="33" t="str">
        <x:v>2026-08-20</x:v>
      </x:c>
      <x:c r="K1719" s="33" t="str">
        <x:v>Provision IDs preserved; legal force and parentage corrected.</x:v>
      </x:c>
    </x:row>
    <x:row r="1720">
      <x:c r="A1720" s="33" t="str">
        <x:v>PROV141</x:v>
      </x:c>
      <x:c r="B1720" s="33" t="str">
        <x:v>Provision Master</x:v>
      </x:c>
      <x:c r="C1720" s="33" t="str">
        <x:v>Provision Category=Statutory; Remarks=</x:v>
      </x:c>
      <x:c r="D1720" s="33" t="str">
        <x:v>Provision Category=Best Practice; Remarks=P-4 reclassified as non-statutory guidance/internal implementation. Binding obligations remain under separately mapped law, licence or exact direction.</x:v>
      </x:c>
      <x:c r="E1720" s="33" t="str">
        <x:v>CORRECT / RECLASSIFY</x:v>
      </x:c>
      <x:c r="F1720" s="33" t="str">
        <x:v>Correct technical citations, remove false direct duties and reclassify non-statutory/entity controls.</x:v>
      </x:c>
      <x:c r="G1720" s="33" t="str">
        <x:v>P-4 official-source validation</x:v>
      </x:c>
      <x:c r="H172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20" s="33" t="str">
        <x:v>P-4</x:v>
      </x:c>
      <x:c r="J1720" s="33" t="str">
        <x:v>2026-08-20</x:v>
      </x:c>
      <x:c r="K1720" s="33" t="str">
        <x:v>Provision IDs preserved; legal force and parentage corrected.</x:v>
      </x:c>
    </x:row>
    <x:row r="1721">
      <x:c r="A1721" s="33" t="str">
        <x:v>PROV142</x:v>
      </x:c>
      <x:c r="B1721" s="33" t="str">
        <x:v>Provision Master</x:v>
      </x:c>
      <x:c r="C1721" s="33" t="str">
        <x:v>Provision Category=Statutory; Remarks=</x:v>
      </x:c>
      <x:c r="D1721" s="33" t="str">
        <x:v>Provision Category=Best Practice; Remarks=P-4 reclassified as non-statutory guidance/internal implementation. Binding obligations remain under separately mapped law, licence or exact direction.</x:v>
      </x:c>
      <x:c r="E1721" s="33" t="str">
        <x:v>CORRECT / RECLASSIFY</x:v>
      </x:c>
      <x:c r="F1721" s="33" t="str">
        <x:v>Correct technical citations, remove false direct duties and reclassify non-statutory/entity controls.</x:v>
      </x:c>
      <x:c r="G1721" s="33" t="str">
        <x:v>P-4 official-source validation</x:v>
      </x:c>
      <x:c r="H172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21" s="33" t="str">
        <x:v>P-4</x:v>
      </x:c>
      <x:c r="J1721" s="33" t="str">
        <x:v>2026-08-20</x:v>
      </x:c>
      <x:c r="K1721" s="33" t="str">
        <x:v>Provision IDs preserved; legal force and parentage corrected.</x:v>
      </x:c>
    </x:row>
    <x:row r="1722">
      <x:c r="A1722" s="33" t="str">
        <x:v>PROV143</x:v>
      </x:c>
      <x:c r="B1722" s="33" t="str">
        <x:v>Provision Master</x:v>
      </x:c>
      <x:c r="C1722" s="33" t="str">
        <x:v>Provision Category=Statutory; Remarks=</x:v>
      </x:c>
      <x:c r="D1722" s="33" t="str">
        <x:v>Provision Category=Best Practice; Remarks=P-4 reclassified as non-statutory guidance/internal implementation. Binding obligations remain under separately mapped law, licence or exact direction.</x:v>
      </x:c>
      <x:c r="E1722" s="33" t="str">
        <x:v>CORRECT / RECLASSIFY</x:v>
      </x:c>
      <x:c r="F1722" s="33" t="str">
        <x:v>Correct technical citations, remove false direct duties and reclassify non-statutory/entity controls.</x:v>
      </x:c>
      <x:c r="G1722" s="33" t="str">
        <x:v>P-4 official-source validation</x:v>
      </x:c>
      <x:c r="H172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22" s="33" t="str">
        <x:v>P-4</x:v>
      </x:c>
      <x:c r="J1722" s="33" t="str">
        <x:v>2026-08-20</x:v>
      </x:c>
      <x:c r="K1722" s="33" t="str">
        <x:v>Provision IDs preserved; legal force and parentage corrected.</x:v>
      </x:c>
    </x:row>
    <x:row r="1723">
      <x:c r="A1723" s="33" t="str">
        <x:v>PROV144</x:v>
      </x:c>
      <x:c r="B1723" s="33" t="str">
        <x:v>Provision Master</x:v>
      </x:c>
      <x:c r="C1723" s="33" t="str">
        <x:v>Provision Category=Statutory; Remarks=</x:v>
      </x:c>
      <x:c r="D1723" s="33" t="str">
        <x:v>Provision Category=Best Practice; Remarks=P-4 reclassified as non-statutory guidance/internal implementation. Binding obligations remain under separately mapped law, licence or exact direction.</x:v>
      </x:c>
      <x:c r="E1723" s="33" t="str">
        <x:v>CORRECT / RECLASSIFY</x:v>
      </x:c>
      <x:c r="F1723" s="33" t="str">
        <x:v>Correct technical citations, remove false direct duties and reclassify non-statutory/entity controls.</x:v>
      </x:c>
      <x:c r="G1723" s="33" t="str">
        <x:v>P-4 official-source validation</x:v>
      </x:c>
      <x:c r="H172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23" s="33" t="str">
        <x:v>P-4</x:v>
      </x:c>
      <x:c r="J1723" s="33" t="str">
        <x:v>2026-08-20</x:v>
      </x:c>
      <x:c r="K1723" s="33" t="str">
        <x:v>Provision IDs preserved; legal force and parentage corrected.</x:v>
      </x:c>
    </x:row>
    <x:row r="1724">
      <x:c r="A1724" s="33" t="str">
        <x:v>PROV145</x:v>
      </x:c>
      <x:c r="B1724" s="33" t="str">
        <x:v>Provision Master</x:v>
      </x:c>
      <x:c r="C1724" s="33" t="str">
        <x:v>Provision Category=Statutory; Remarks=</x:v>
      </x:c>
      <x:c r="D1724" s="33" t="str">
        <x:v>Provision Category=Best Practice; Remarks=P-4 reclassified as non-statutory guidance/internal implementation. Binding obligations remain under separately mapped law, licence or exact direction.</x:v>
      </x:c>
      <x:c r="E1724" s="33" t="str">
        <x:v>CORRECT / RECLASSIFY</x:v>
      </x:c>
      <x:c r="F1724" s="33" t="str">
        <x:v>Correct technical citations, remove false direct duties and reclassify non-statutory/entity controls.</x:v>
      </x:c>
      <x:c r="G1724" s="33" t="str">
        <x:v>P-4 official-source validation</x:v>
      </x:c>
      <x:c r="H172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24" s="33" t="str">
        <x:v>P-4</x:v>
      </x:c>
      <x:c r="J1724" s="33" t="str">
        <x:v>2026-08-20</x:v>
      </x:c>
      <x:c r="K1724" s="33" t="str">
        <x:v>Provision IDs preserved; legal force and parentage corrected.</x:v>
      </x:c>
    </x:row>
    <x:row r="1725">
      <x:c r="A1725" s="33" t="str">
        <x:v>PROV215</x:v>
      </x:c>
      <x:c r="B1725" s="33" t="str">
        <x:v>Provision Master</x:v>
      </x:c>
      <x:c r="C1725" s="33" t="str">
        <x:v>Provision Category=Statutory; Remarks=</x:v>
      </x:c>
      <x:c r="D1725" s="33" t="str">
        <x:v>Provision Category=Best Practice; Remarks=P-4 reclassified as non-statutory guidance/internal implementation. Binding obligations remain under separately mapped law, licence or exact direction.</x:v>
      </x:c>
      <x:c r="E1725" s="33" t="str">
        <x:v>CORRECT / RECLASSIFY</x:v>
      </x:c>
      <x:c r="F1725" s="33" t="str">
        <x:v>Correct technical citations, remove false direct duties and reclassify non-statutory/entity controls.</x:v>
      </x:c>
      <x:c r="G1725" s="33" t="str">
        <x:v>P-4 official-source validation</x:v>
      </x:c>
      <x:c r="H172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25" s="33" t="str">
        <x:v>P-4</x:v>
      </x:c>
      <x:c r="J1725" s="33" t="str">
        <x:v>2026-08-20</x:v>
      </x:c>
      <x:c r="K1725" s="33" t="str">
        <x:v>Provision IDs preserved; legal force and parentage corrected.</x:v>
      </x:c>
    </x:row>
    <x:row r="1726">
      <x:c r="A1726" s="33" t="str">
        <x:v>PROV216</x:v>
      </x:c>
      <x:c r="B1726" s="33" t="str">
        <x:v>Provision Master</x:v>
      </x:c>
      <x:c r="C1726" s="33" t="str">
        <x:v>Provision Category=Statutory; Remarks=</x:v>
      </x:c>
      <x:c r="D1726" s="33" t="str">
        <x:v>Provision Category=Best Practice; Remarks=P-4 reclassified as non-statutory guidance/internal implementation. Binding obligations remain under separately mapped law, licence or exact direction.</x:v>
      </x:c>
      <x:c r="E1726" s="33" t="str">
        <x:v>CORRECT / RECLASSIFY</x:v>
      </x:c>
      <x:c r="F1726" s="33" t="str">
        <x:v>Correct technical citations, remove false direct duties and reclassify non-statutory/entity controls.</x:v>
      </x:c>
      <x:c r="G1726" s="33" t="str">
        <x:v>P-4 official-source validation</x:v>
      </x:c>
      <x:c r="H172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26" s="33" t="str">
        <x:v>P-4</x:v>
      </x:c>
      <x:c r="J1726" s="33" t="str">
        <x:v>2026-08-20</x:v>
      </x:c>
      <x:c r="K1726" s="33" t="str">
        <x:v>Provision IDs preserved; legal force and parentage corrected.</x:v>
      </x:c>
    </x:row>
    <x:row r="1727">
      <x:c r="A1727" s="33" t="str">
        <x:v>PROV217</x:v>
      </x:c>
      <x:c r="B1727" s="33" t="str">
        <x:v>Provision Master</x:v>
      </x:c>
      <x:c r="C1727" s="33" t="str">
        <x:v>Provision Category=Statutory; Remarks=</x:v>
      </x:c>
      <x:c r="D1727" s="33" t="str">
        <x:v>Provision Category=Best Practice; Remarks=P-4 reclassified as non-statutory guidance/internal implementation. Binding obligations remain under separately mapped law, licence or exact direction.</x:v>
      </x:c>
      <x:c r="E1727" s="33" t="str">
        <x:v>CORRECT / RECLASSIFY</x:v>
      </x:c>
      <x:c r="F1727" s="33" t="str">
        <x:v>Correct technical citations, remove false direct duties and reclassify non-statutory/entity controls.</x:v>
      </x:c>
      <x:c r="G1727" s="33" t="str">
        <x:v>P-4 official-source validation</x:v>
      </x:c>
      <x:c r="H172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27" s="33" t="str">
        <x:v>P-4</x:v>
      </x:c>
      <x:c r="J1727" s="33" t="str">
        <x:v>2026-08-20</x:v>
      </x:c>
      <x:c r="K1727" s="33" t="str">
        <x:v>Provision IDs preserved; legal force and parentage corrected.</x:v>
      </x:c>
    </x:row>
    <x:row r="1728">
      <x:c r="A1728" s="33" t="str">
        <x:v>PROV218</x:v>
      </x:c>
      <x:c r="B1728" s="33" t="str">
        <x:v>Provision Master</x:v>
      </x:c>
      <x:c r="C1728" s="33" t="str">
        <x:v>Provision Category=Statutory; Remarks=</x:v>
      </x:c>
      <x:c r="D1728" s="33" t="str">
        <x:v>Provision Category=Best Practice; Remarks=P-4 reclassified as non-statutory guidance/internal implementation. Binding obligations remain under separately mapped law, licence or exact direction.</x:v>
      </x:c>
      <x:c r="E1728" s="33" t="str">
        <x:v>CORRECT / RECLASSIFY</x:v>
      </x:c>
      <x:c r="F1728" s="33" t="str">
        <x:v>Correct technical citations, remove false direct duties and reclassify non-statutory/entity controls.</x:v>
      </x:c>
      <x:c r="G1728" s="33" t="str">
        <x:v>P-4 official-source validation</x:v>
      </x:c>
      <x:c r="H172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28" s="33" t="str">
        <x:v>P-4</x:v>
      </x:c>
      <x:c r="J1728" s="33" t="str">
        <x:v>2026-08-20</x:v>
      </x:c>
      <x:c r="K1728" s="33" t="str">
        <x:v>Provision IDs preserved; legal force and parentage corrected.</x:v>
      </x:c>
    </x:row>
    <x:row r="1729">
      <x:c r="A1729" s="33" t="str">
        <x:v>PROV219</x:v>
      </x:c>
      <x:c r="B1729" s="33" t="str">
        <x:v>Provision Master</x:v>
      </x:c>
      <x:c r="C1729" s="33" t="str">
        <x:v>Provision Category=Statutory; Remarks=</x:v>
      </x:c>
      <x:c r="D1729" s="33" t="str">
        <x:v>Provision Category=Best Practice; Remarks=P-4 reclassified as non-statutory guidance/internal implementation. Binding obligations remain under separately mapped law, licence or exact direction.</x:v>
      </x:c>
      <x:c r="E1729" s="33" t="str">
        <x:v>CORRECT / RECLASSIFY</x:v>
      </x:c>
      <x:c r="F1729" s="33" t="str">
        <x:v>Correct technical citations, remove false direct duties and reclassify non-statutory/entity controls.</x:v>
      </x:c>
      <x:c r="G1729" s="33" t="str">
        <x:v>P-4 official-source validation</x:v>
      </x:c>
      <x:c r="H172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29" s="33" t="str">
        <x:v>P-4</x:v>
      </x:c>
      <x:c r="J1729" s="33" t="str">
        <x:v>2026-08-20</x:v>
      </x:c>
      <x:c r="K1729" s="33" t="str">
        <x:v>Provision IDs preserved; legal force and parentage corrected.</x:v>
      </x:c>
    </x:row>
    <x:row r="1730">
      <x:c r="A1730" s="33" t="str">
        <x:v>PROV220</x:v>
      </x:c>
      <x:c r="B1730" s="33" t="str">
        <x:v>Provision Master</x:v>
      </x:c>
      <x:c r="C1730" s="33" t="str">
        <x:v>Provision Category=Statutory; Remarks=</x:v>
      </x:c>
      <x:c r="D1730" s="33" t="str">
        <x:v>Provision Category=Best Practice; Remarks=P-4 reclassified as non-statutory guidance/internal implementation. Binding obligations remain under separately mapped law, licence or exact direction.</x:v>
      </x:c>
      <x:c r="E1730" s="33" t="str">
        <x:v>CORRECT / RECLASSIFY</x:v>
      </x:c>
      <x:c r="F1730" s="33" t="str">
        <x:v>Correct technical citations, remove false direct duties and reclassify non-statutory/entity controls.</x:v>
      </x:c>
      <x:c r="G1730" s="33" t="str">
        <x:v>P-4 official-source validation</x:v>
      </x:c>
      <x:c r="H173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30" s="33" t="str">
        <x:v>P-4</x:v>
      </x:c>
      <x:c r="J1730" s="33" t="str">
        <x:v>2026-08-20</x:v>
      </x:c>
      <x:c r="K1730" s="33" t="str">
        <x:v>Provision IDs preserved; legal force and parentage corrected.</x:v>
      </x:c>
    </x:row>
    <x:row r="1731">
      <x:c r="A1731" s="33" t="str">
        <x:v>PROV221</x:v>
      </x:c>
      <x:c r="B1731" s="33" t="str">
        <x:v>Provision Master</x:v>
      </x:c>
      <x:c r="C1731" s="33" t="str">
        <x:v>Provision Category=Statutory; Remarks=</x:v>
      </x:c>
      <x:c r="D1731" s="33" t="str">
        <x:v>Provision Category=Best Practice; Remarks=P-4 reclassified as non-statutory guidance/internal implementation. Binding obligations remain under separately mapped law, licence or exact direction.</x:v>
      </x:c>
      <x:c r="E1731" s="33" t="str">
        <x:v>CORRECT / RECLASSIFY</x:v>
      </x:c>
      <x:c r="F1731" s="33" t="str">
        <x:v>Correct technical citations, remove false direct duties and reclassify non-statutory/entity controls.</x:v>
      </x:c>
      <x:c r="G1731" s="33" t="str">
        <x:v>P-4 official-source validation</x:v>
      </x:c>
      <x:c r="H173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31" s="33" t="str">
        <x:v>P-4</x:v>
      </x:c>
      <x:c r="J1731" s="33" t="str">
        <x:v>2026-08-20</x:v>
      </x:c>
      <x:c r="K1731" s="33" t="str">
        <x:v>Provision IDs preserved; legal force and parentage corrected.</x:v>
      </x:c>
    </x:row>
    <x:row r="1732">
      <x:c r="A1732" s="33" t="str">
        <x:v>PROV222</x:v>
      </x:c>
      <x:c r="B1732" s="33" t="str">
        <x:v>Provision Master</x:v>
      </x:c>
      <x:c r="C1732" s="33" t="str">
        <x:v>Provision Category=Statutory; Remarks=</x:v>
      </x:c>
      <x:c r="D1732" s="33" t="str">
        <x:v>Provision Category=Best Practice; Remarks=P-4 reclassified as non-statutory guidance/internal implementation. Binding obligations remain under separately mapped law, licence or exact direction.</x:v>
      </x:c>
      <x:c r="E1732" s="33" t="str">
        <x:v>CORRECT / RECLASSIFY</x:v>
      </x:c>
      <x:c r="F1732" s="33" t="str">
        <x:v>Correct technical citations, remove false direct duties and reclassify non-statutory/entity controls.</x:v>
      </x:c>
      <x:c r="G1732" s="33" t="str">
        <x:v>P-4 official-source validation</x:v>
      </x:c>
      <x:c r="H173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32" s="33" t="str">
        <x:v>P-4</x:v>
      </x:c>
      <x:c r="J1732" s="33" t="str">
        <x:v>2026-08-20</x:v>
      </x:c>
      <x:c r="K1732" s="33" t="str">
        <x:v>Provision IDs preserved; legal force and parentage corrected.</x:v>
      </x:c>
    </x:row>
    <x:row r="1733">
      <x:c r="A1733" s="33" t="str">
        <x:v>PROV223</x:v>
      </x:c>
      <x:c r="B1733" s="33" t="str">
        <x:v>Provision Master</x:v>
      </x:c>
      <x:c r="C1733" s="33" t="str">
        <x:v>Provision Category=Statutory; Remarks=</x:v>
      </x:c>
      <x:c r="D1733" s="33" t="str">
        <x:v>Provision Category=Best Practice; Remarks=P-4 reclassified as non-statutory guidance/internal implementation. Binding obligations remain under separately mapped law, licence or exact direction.</x:v>
      </x:c>
      <x:c r="E1733" s="33" t="str">
        <x:v>CORRECT / RECLASSIFY</x:v>
      </x:c>
      <x:c r="F1733" s="33" t="str">
        <x:v>Correct technical citations, remove false direct duties and reclassify non-statutory/entity controls.</x:v>
      </x:c>
      <x:c r="G1733" s="33" t="str">
        <x:v>P-4 official-source validation</x:v>
      </x:c>
      <x:c r="H173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33" s="33" t="str">
        <x:v>P-4</x:v>
      </x:c>
      <x:c r="J1733" s="33" t="str">
        <x:v>2026-08-20</x:v>
      </x:c>
      <x:c r="K1733" s="33" t="str">
        <x:v>Provision IDs preserved; legal force and parentage corrected.</x:v>
      </x:c>
    </x:row>
    <x:row r="1734">
      <x:c r="A1734" s="33" t="str">
        <x:v>PROV224</x:v>
      </x:c>
      <x:c r="B1734" s="33" t="str">
        <x:v>Provision Master</x:v>
      </x:c>
      <x:c r="C1734" s="33" t="str">
        <x:v>Provision Category=Statutory; Remarks=</x:v>
      </x:c>
      <x:c r="D1734" s="33" t="str">
        <x:v>Provision Category=Best Practice; Remarks=P-4 reclassified as non-statutory guidance/internal implementation. Binding obligations remain under separately mapped law, licence or exact direction.</x:v>
      </x:c>
      <x:c r="E1734" s="33" t="str">
        <x:v>CORRECT / RECLASSIFY</x:v>
      </x:c>
      <x:c r="F1734" s="33" t="str">
        <x:v>Correct technical citations, remove false direct duties and reclassify non-statutory/entity controls.</x:v>
      </x:c>
      <x:c r="G1734" s="33" t="str">
        <x:v>P-4 official-source validation</x:v>
      </x:c>
      <x:c r="H173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34" s="33" t="str">
        <x:v>P-4</x:v>
      </x:c>
      <x:c r="J1734" s="33" t="str">
        <x:v>2026-08-20</x:v>
      </x:c>
      <x:c r="K1734" s="33" t="str">
        <x:v>Provision IDs preserved; legal force and parentage corrected.</x:v>
      </x:c>
    </x:row>
    <x:row r="1735">
      <x:c r="A1735" s="33" t="str">
        <x:v>PROV225</x:v>
      </x:c>
      <x:c r="B1735" s="33" t="str">
        <x:v>Provision Master</x:v>
      </x:c>
      <x:c r="C1735" s="33" t="str">
        <x:v>Provision Category=Statutory; Remarks=</x:v>
      </x:c>
      <x:c r="D1735" s="33" t="str">
        <x:v>Provision Category=Best Practice; Remarks=P-4 reclassified as non-statutory guidance/internal implementation. Binding obligations remain under separately mapped law, licence or exact direction.</x:v>
      </x:c>
      <x:c r="E1735" s="33" t="str">
        <x:v>CORRECT / RECLASSIFY</x:v>
      </x:c>
      <x:c r="F1735" s="33" t="str">
        <x:v>Correct technical citations, remove false direct duties and reclassify non-statutory/entity controls.</x:v>
      </x:c>
      <x:c r="G1735" s="33" t="str">
        <x:v>P-4 official-source validation</x:v>
      </x:c>
      <x:c r="H173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35" s="33" t="str">
        <x:v>P-4</x:v>
      </x:c>
      <x:c r="J1735" s="33" t="str">
        <x:v>2026-08-20</x:v>
      </x:c>
      <x:c r="K1735" s="33" t="str">
        <x:v>Provision IDs preserved; legal force and parentage corrected.</x:v>
      </x:c>
    </x:row>
    <x:row r="1736">
      <x:c r="A1736" s="33" t="str">
        <x:v>PROV006</x:v>
      </x:c>
      <x:c r="B1736" s="33" t="str">
        <x:v>Provision Master</x:v>
      </x:c>
      <x:c r="C1736" s="33" t="str">
        <x:v>Active=Yes; Remarks=</x:v>
      </x:c>
      <x:c r="D1736" s="33" t="str">
        <x:v>Active=No; Remarks=P-4 QUARANTINED: penalty/enabling provision, duplicate internal control, generic State/event/source placeholder, or non-pharmacy-role requirement. Legacy ID retained for traceability.</x:v>
      </x:c>
      <x:c r="E1736" s="33" t="str">
        <x:v>CORRECT / RECLASSIFY</x:v>
      </x:c>
      <x:c r="F1736" s="33" t="str">
        <x:v>Correct technical citations, remove false direct duties and reclassify non-statutory/entity controls.</x:v>
      </x:c>
      <x:c r="G1736" s="33" t="str">
        <x:v>P-4 official-source validation</x:v>
      </x:c>
      <x:c r="H173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36" s="33" t="str">
        <x:v>P-4</x:v>
      </x:c>
      <x:c r="J1736" s="33" t="str">
        <x:v>2026-08-20</x:v>
      </x:c>
      <x:c r="K1736" s="33" t="str">
        <x:v>Provision IDs preserved; legal force and parentage corrected.</x:v>
      </x:c>
    </x:row>
    <x:row r="1737">
      <x:c r="A1737" s="33" t="str">
        <x:v>PROV007</x:v>
      </x:c>
      <x:c r="B1737" s="33" t="str">
        <x:v>Provision Master</x:v>
      </x:c>
      <x:c r="C1737" s="33" t="str">
        <x:v>Active=Yes; Remarks=</x:v>
      </x:c>
      <x:c r="D1737" s="33" t="str">
        <x:v>Active=No; Remarks=P-4 QUARANTINED: penalty/enabling provision, duplicate internal control, generic State/event/source placeholder, or non-pharmacy-role requirement. Legacy ID retained for traceability.</x:v>
      </x:c>
      <x:c r="E1737" s="33" t="str">
        <x:v>CORRECT / RECLASSIFY</x:v>
      </x:c>
      <x:c r="F1737" s="33" t="str">
        <x:v>Correct technical citations, remove false direct duties and reclassify non-statutory/entity controls.</x:v>
      </x:c>
      <x:c r="G1737" s="33" t="str">
        <x:v>P-4 official-source validation</x:v>
      </x:c>
      <x:c r="H173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37" s="33" t="str">
        <x:v>P-4</x:v>
      </x:c>
      <x:c r="J1737" s="33" t="str">
        <x:v>2026-08-20</x:v>
      </x:c>
      <x:c r="K1737" s="33" t="str">
        <x:v>Provision IDs preserved; legal force and parentage corrected.</x:v>
      </x:c>
    </x:row>
    <x:row r="1738">
      <x:c r="A1738" s="33" t="str">
        <x:v>PROV008</x:v>
      </x:c>
      <x:c r="B1738" s="33" t="str">
        <x:v>Provision Master</x:v>
      </x:c>
      <x:c r="C1738" s="33" t="str">
        <x:v>Active=Yes; Remarks=</x:v>
      </x:c>
      <x:c r="D1738" s="33" t="str">
        <x:v>Active=No; Remarks=P-4 QUARANTINED: penalty/enabling provision, duplicate internal control, generic State/event/source placeholder, or non-pharmacy-role requirement. Legacy ID retained for traceability.</x:v>
      </x:c>
      <x:c r="E1738" s="33" t="str">
        <x:v>CORRECT / RECLASSIFY</x:v>
      </x:c>
      <x:c r="F1738" s="33" t="str">
        <x:v>Correct technical citations, remove false direct duties and reclassify non-statutory/entity controls.</x:v>
      </x:c>
      <x:c r="G1738" s="33" t="str">
        <x:v>P-4 official-source validation</x:v>
      </x:c>
      <x:c r="H173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38" s="33" t="str">
        <x:v>P-4</x:v>
      </x:c>
      <x:c r="J1738" s="33" t="str">
        <x:v>2026-08-20</x:v>
      </x:c>
      <x:c r="K1738" s="33" t="str">
        <x:v>Provision IDs preserved; legal force and parentage corrected.</x:v>
      </x:c>
    </x:row>
    <x:row r="1739">
      <x:c r="A1739" s="33" t="str">
        <x:v>PROV009</x:v>
      </x:c>
      <x:c r="B1739" s="33" t="str">
        <x:v>Provision Master</x:v>
      </x:c>
      <x:c r="C1739" s="33" t="str">
        <x:v>Active=Yes; Remarks=</x:v>
      </x:c>
      <x:c r="D1739" s="33" t="str">
        <x:v>Active=No; Remarks=P-4 QUARANTINED: penalty/enabling provision, duplicate internal control, generic State/event/source placeholder, or non-pharmacy-role requirement. Legacy ID retained for traceability.</x:v>
      </x:c>
      <x:c r="E1739" s="33" t="str">
        <x:v>CORRECT / RECLASSIFY</x:v>
      </x:c>
      <x:c r="F1739" s="33" t="str">
        <x:v>Correct technical citations, remove false direct duties and reclassify non-statutory/entity controls.</x:v>
      </x:c>
      <x:c r="G1739" s="33" t="str">
        <x:v>P-4 official-source validation</x:v>
      </x:c>
      <x:c r="H173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39" s="33" t="str">
        <x:v>P-4</x:v>
      </x:c>
      <x:c r="J1739" s="33" t="str">
        <x:v>2026-08-20</x:v>
      </x:c>
      <x:c r="K1739" s="33" t="str">
        <x:v>Provision IDs preserved; legal force and parentage corrected.</x:v>
      </x:c>
    </x:row>
    <x:row r="1740">
      <x:c r="A1740" s="33" t="str">
        <x:v>PROV010</x:v>
      </x:c>
      <x:c r="B1740" s="33" t="str">
        <x:v>Provision Master</x:v>
      </x:c>
      <x:c r="C1740" s="33" t="str">
        <x:v>Active=Yes; Remarks=</x:v>
      </x:c>
      <x:c r="D1740" s="33" t="str">
        <x:v>Active=No; Remarks=P-4 QUARANTINED: penalty/enabling provision, duplicate internal control, generic State/event/source placeholder, or non-pharmacy-role requirement. Legacy ID retained for traceability.</x:v>
      </x:c>
      <x:c r="E1740" s="33" t="str">
        <x:v>CORRECT / RECLASSIFY</x:v>
      </x:c>
      <x:c r="F1740" s="33" t="str">
        <x:v>Correct technical citations, remove false direct duties and reclassify non-statutory/entity controls.</x:v>
      </x:c>
      <x:c r="G1740" s="33" t="str">
        <x:v>P-4 official-source validation</x:v>
      </x:c>
      <x:c r="H174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40" s="33" t="str">
        <x:v>P-4</x:v>
      </x:c>
      <x:c r="J1740" s="33" t="str">
        <x:v>2026-08-20</x:v>
      </x:c>
      <x:c r="K1740" s="33" t="str">
        <x:v>Provision IDs preserved; legal force and parentage corrected.</x:v>
      </x:c>
    </x:row>
    <x:row r="1741">
      <x:c r="A1741" s="33" t="str">
        <x:v>PROV037</x:v>
      </x:c>
      <x:c r="B1741" s="33" t="str">
        <x:v>Provision Master</x:v>
      </x:c>
      <x:c r="C1741" s="33" t="str">
        <x:v>Active=Yes; Remarks=</x:v>
      </x:c>
      <x:c r="D1741" s="33" t="str">
        <x:v>Active=No; Remarks=P-4 QUARANTINED: penalty/enabling provision, duplicate internal control, generic State/event/source placeholder, or non-pharmacy-role requirement. Legacy ID retained for traceability.</x:v>
      </x:c>
      <x:c r="E1741" s="33" t="str">
        <x:v>CORRECT / RECLASSIFY</x:v>
      </x:c>
      <x:c r="F1741" s="33" t="str">
        <x:v>Correct technical citations, remove false direct duties and reclassify non-statutory/entity controls.</x:v>
      </x:c>
      <x:c r="G1741" s="33" t="str">
        <x:v>P-4 official-source validation</x:v>
      </x:c>
      <x:c r="H174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41" s="33" t="str">
        <x:v>P-4</x:v>
      </x:c>
      <x:c r="J1741" s="33" t="str">
        <x:v>2026-08-20</x:v>
      </x:c>
      <x:c r="K1741" s="33" t="str">
        <x:v>Provision IDs preserved; legal force and parentage corrected.</x:v>
      </x:c>
    </x:row>
    <x:row r="1742">
      <x:c r="A1742" s="33" t="str">
        <x:v>PROV038</x:v>
      </x:c>
      <x:c r="B1742" s="33" t="str">
        <x:v>Provision Master</x:v>
      </x:c>
      <x:c r="C1742" s="33" t="str">
        <x:v>Active=Yes; Remarks=</x:v>
      </x:c>
      <x:c r="D1742" s="33" t="str">
        <x:v>Active=No; Remarks=P-4 QUARANTINED: penalty/enabling provision, duplicate internal control, generic State/event/source placeholder, or non-pharmacy-role requirement. Legacy ID retained for traceability.</x:v>
      </x:c>
      <x:c r="E1742" s="33" t="str">
        <x:v>CORRECT / RECLASSIFY</x:v>
      </x:c>
      <x:c r="F1742" s="33" t="str">
        <x:v>Correct technical citations, remove false direct duties and reclassify non-statutory/entity controls.</x:v>
      </x:c>
      <x:c r="G1742" s="33" t="str">
        <x:v>P-4 official-source validation</x:v>
      </x:c>
      <x:c r="H174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42" s="33" t="str">
        <x:v>P-4</x:v>
      </x:c>
      <x:c r="J1742" s="33" t="str">
        <x:v>2026-08-20</x:v>
      </x:c>
      <x:c r="K1742" s="33" t="str">
        <x:v>Provision IDs preserved; legal force and parentage corrected.</x:v>
      </x:c>
    </x:row>
    <x:row r="1743">
      <x:c r="A1743" s="33" t="str">
        <x:v>PROV039</x:v>
      </x:c>
      <x:c r="B1743" s="33" t="str">
        <x:v>Provision Master</x:v>
      </x:c>
      <x:c r="C1743" s="33" t="str">
        <x:v>Active=Yes; Remarks=</x:v>
      </x:c>
      <x:c r="D1743" s="33" t="str">
        <x:v>Active=No; Remarks=P-4 QUARANTINED: penalty/enabling provision, duplicate internal control, generic State/event/source placeholder, or non-pharmacy-role requirement. Legacy ID retained for traceability.</x:v>
      </x:c>
      <x:c r="E1743" s="33" t="str">
        <x:v>CORRECT / RECLASSIFY</x:v>
      </x:c>
      <x:c r="F1743" s="33" t="str">
        <x:v>Correct technical citations, remove false direct duties and reclassify non-statutory/entity controls.</x:v>
      </x:c>
      <x:c r="G1743" s="33" t="str">
        <x:v>P-4 official-source validation</x:v>
      </x:c>
      <x:c r="H174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43" s="33" t="str">
        <x:v>P-4</x:v>
      </x:c>
      <x:c r="J1743" s="33" t="str">
        <x:v>2026-08-20</x:v>
      </x:c>
      <x:c r="K1743" s="33" t="str">
        <x:v>Provision IDs preserved; legal force and parentage corrected.</x:v>
      </x:c>
    </x:row>
    <x:row r="1744">
      <x:c r="A1744" s="33" t="str">
        <x:v>PROV040</x:v>
      </x:c>
      <x:c r="B1744" s="33" t="str">
        <x:v>Provision Master</x:v>
      </x:c>
      <x:c r="C1744" s="33" t="str">
        <x:v>Active=Yes; Remarks=</x:v>
      </x:c>
      <x:c r="D1744" s="33" t="str">
        <x:v>Active=No; Remarks=P-4 QUARANTINED: penalty/enabling provision, duplicate internal control, generic State/event/source placeholder, or non-pharmacy-role requirement. Legacy ID retained for traceability.</x:v>
      </x:c>
      <x:c r="E1744" s="33" t="str">
        <x:v>CORRECT / RECLASSIFY</x:v>
      </x:c>
      <x:c r="F1744" s="33" t="str">
        <x:v>Correct technical citations, remove false direct duties and reclassify non-statutory/entity controls.</x:v>
      </x:c>
      <x:c r="G1744" s="33" t="str">
        <x:v>P-4 official-source validation</x:v>
      </x:c>
      <x:c r="H174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44" s="33" t="str">
        <x:v>P-4</x:v>
      </x:c>
      <x:c r="J1744" s="33" t="str">
        <x:v>2026-08-20</x:v>
      </x:c>
      <x:c r="K1744" s="33" t="str">
        <x:v>Provision IDs preserved; legal force and parentage corrected.</x:v>
      </x:c>
    </x:row>
    <x:row r="1745">
      <x:c r="A1745" s="33" t="str">
        <x:v>PROV146</x:v>
      </x:c>
      <x:c r="B1745" s="33" t="str">
        <x:v>Provision Master</x:v>
      </x:c>
      <x:c r="C1745" s="33" t="str">
        <x:v>Active=Yes; Remarks=</x:v>
      </x:c>
      <x:c r="D1745" s="33" t="str">
        <x:v>Active=No; Remarks=P-4 QUARANTINED: penalty/enabling provision, duplicate internal control, generic State/event/source placeholder, or non-pharmacy-role requirement. Legacy ID retained for traceability.</x:v>
      </x:c>
      <x:c r="E1745" s="33" t="str">
        <x:v>CORRECT / RECLASSIFY</x:v>
      </x:c>
      <x:c r="F1745" s="33" t="str">
        <x:v>Correct technical citations, remove false direct duties and reclassify non-statutory/entity controls.</x:v>
      </x:c>
      <x:c r="G1745" s="33" t="str">
        <x:v>P-4 official-source validation</x:v>
      </x:c>
      <x:c r="H174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45" s="33" t="str">
        <x:v>P-4</x:v>
      </x:c>
      <x:c r="J1745" s="33" t="str">
        <x:v>2026-08-20</x:v>
      </x:c>
      <x:c r="K1745" s="33" t="str">
        <x:v>Provision IDs preserved; legal force and parentage corrected.</x:v>
      </x:c>
    </x:row>
    <x:row r="1746">
      <x:c r="A1746" s="33" t="str">
        <x:v>PROV147</x:v>
      </x:c>
      <x:c r="B1746" s="33" t="str">
        <x:v>Provision Master</x:v>
      </x:c>
      <x:c r="C1746" s="33" t="str">
        <x:v>Active=Yes; Remarks=</x:v>
      </x:c>
      <x:c r="D1746" s="33" t="str">
        <x:v>Active=No; Remarks=P-4 QUARANTINED: penalty/enabling provision, duplicate internal control, generic State/event/source placeholder, or non-pharmacy-role requirement. Legacy ID retained for traceability.</x:v>
      </x:c>
      <x:c r="E1746" s="33" t="str">
        <x:v>CORRECT / RECLASSIFY</x:v>
      </x:c>
      <x:c r="F1746" s="33" t="str">
        <x:v>Correct technical citations, remove false direct duties and reclassify non-statutory/entity controls.</x:v>
      </x:c>
      <x:c r="G1746" s="33" t="str">
        <x:v>P-4 official-source validation</x:v>
      </x:c>
      <x:c r="H174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46" s="33" t="str">
        <x:v>P-4</x:v>
      </x:c>
      <x:c r="J1746" s="33" t="str">
        <x:v>2026-08-20</x:v>
      </x:c>
      <x:c r="K1746" s="33" t="str">
        <x:v>Provision IDs preserved; legal force and parentage corrected.</x:v>
      </x:c>
    </x:row>
    <x:row r="1747">
      <x:c r="A1747" s="33" t="str">
        <x:v>PROV148</x:v>
      </x:c>
      <x:c r="B1747" s="33" t="str">
        <x:v>Provision Master</x:v>
      </x:c>
      <x:c r="C1747" s="33" t="str">
        <x:v>Active=Yes; Remarks=</x:v>
      </x:c>
      <x:c r="D1747" s="33" t="str">
        <x:v>Active=No; Remarks=P-4 QUARANTINED: penalty/enabling provision, duplicate internal control, generic State/event/source placeholder, or non-pharmacy-role requirement. Legacy ID retained for traceability.</x:v>
      </x:c>
      <x:c r="E1747" s="33" t="str">
        <x:v>CORRECT / RECLASSIFY</x:v>
      </x:c>
      <x:c r="F1747" s="33" t="str">
        <x:v>Correct technical citations, remove false direct duties and reclassify non-statutory/entity controls.</x:v>
      </x:c>
      <x:c r="G1747" s="33" t="str">
        <x:v>P-4 official-source validation</x:v>
      </x:c>
      <x:c r="H174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47" s="33" t="str">
        <x:v>P-4</x:v>
      </x:c>
      <x:c r="J1747" s="33" t="str">
        <x:v>2026-08-20</x:v>
      </x:c>
      <x:c r="K1747" s="33" t="str">
        <x:v>Provision IDs preserved; legal force and parentage corrected.</x:v>
      </x:c>
    </x:row>
    <x:row r="1748">
      <x:c r="A1748" s="33" t="str">
        <x:v>PROV149</x:v>
      </x:c>
      <x:c r="B1748" s="33" t="str">
        <x:v>Provision Master</x:v>
      </x:c>
      <x:c r="C1748" s="33" t="str">
        <x:v>Active=Yes; Remarks=</x:v>
      </x:c>
      <x:c r="D1748" s="33" t="str">
        <x:v>Active=No; Remarks=P-4 QUARANTINED: penalty/enabling provision, duplicate internal control, generic State/event/source placeholder, or non-pharmacy-role requirement. Legacy ID retained for traceability.</x:v>
      </x:c>
      <x:c r="E1748" s="33" t="str">
        <x:v>CORRECT / RECLASSIFY</x:v>
      </x:c>
      <x:c r="F1748" s="33" t="str">
        <x:v>Correct technical citations, remove false direct duties and reclassify non-statutory/entity controls.</x:v>
      </x:c>
      <x:c r="G1748" s="33" t="str">
        <x:v>P-4 official-source validation</x:v>
      </x:c>
      <x:c r="H174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48" s="33" t="str">
        <x:v>P-4</x:v>
      </x:c>
      <x:c r="J1748" s="33" t="str">
        <x:v>2026-08-20</x:v>
      </x:c>
      <x:c r="K1748" s="33" t="str">
        <x:v>Provision IDs preserved; legal force and parentage corrected.</x:v>
      </x:c>
    </x:row>
    <x:row r="1749">
      <x:c r="A1749" s="33" t="str">
        <x:v>PROV150</x:v>
      </x:c>
      <x:c r="B1749" s="33" t="str">
        <x:v>Provision Master</x:v>
      </x:c>
      <x:c r="C1749" s="33" t="str">
        <x:v>Active=Yes; Remarks=</x:v>
      </x:c>
      <x:c r="D1749" s="33" t="str">
        <x:v>Active=No; Remarks=P-4 QUARANTINED: penalty/enabling provision, duplicate internal control, generic State/event/source placeholder, or non-pharmacy-role requirement. Legacy ID retained for traceability.</x:v>
      </x:c>
      <x:c r="E1749" s="33" t="str">
        <x:v>CORRECT / RECLASSIFY</x:v>
      </x:c>
      <x:c r="F1749" s="33" t="str">
        <x:v>Correct technical citations, remove false direct duties and reclassify non-statutory/entity controls.</x:v>
      </x:c>
      <x:c r="G1749" s="33" t="str">
        <x:v>P-4 official-source validation</x:v>
      </x:c>
      <x:c r="H174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49" s="33" t="str">
        <x:v>P-4</x:v>
      </x:c>
      <x:c r="J1749" s="33" t="str">
        <x:v>2026-08-20</x:v>
      </x:c>
      <x:c r="K1749" s="33" t="str">
        <x:v>Provision IDs preserved; legal force and parentage corrected.</x:v>
      </x:c>
    </x:row>
    <x:row r="1750">
      <x:c r="A1750" s="33" t="str">
        <x:v>PROV151</x:v>
      </x:c>
      <x:c r="B1750" s="33" t="str">
        <x:v>Provision Master</x:v>
      </x:c>
      <x:c r="C1750" s="33" t="str">
        <x:v>Active=Yes; Remarks=</x:v>
      </x:c>
      <x:c r="D1750" s="33" t="str">
        <x:v>Active=No; Remarks=P-4 QUARANTINED: penalty/enabling provision, duplicate internal control, generic State/event/source placeholder, or non-pharmacy-role requirement. Legacy ID retained for traceability.</x:v>
      </x:c>
      <x:c r="E1750" s="33" t="str">
        <x:v>CORRECT / RECLASSIFY</x:v>
      </x:c>
      <x:c r="F1750" s="33" t="str">
        <x:v>Correct technical citations, remove false direct duties and reclassify non-statutory/entity controls.</x:v>
      </x:c>
      <x:c r="G1750" s="33" t="str">
        <x:v>P-4 official-source validation</x:v>
      </x:c>
      <x:c r="H175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50" s="33" t="str">
        <x:v>P-4</x:v>
      </x:c>
      <x:c r="J1750" s="33" t="str">
        <x:v>2026-08-20</x:v>
      </x:c>
      <x:c r="K1750" s="33" t="str">
        <x:v>Provision IDs preserved; legal force and parentage corrected.</x:v>
      </x:c>
    </x:row>
    <x:row r="1751">
      <x:c r="A1751" s="33" t="str">
        <x:v>PROV152</x:v>
      </x:c>
      <x:c r="B1751" s="33" t="str">
        <x:v>Provision Master</x:v>
      </x:c>
      <x:c r="C1751" s="33" t="str">
        <x:v>Active=Yes; Remarks=</x:v>
      </x:c>
      <x:c r="D1751" s="33" t="str">
        <x:v>Active=No; Remarks=P-4 QUARANTINED: penalty/enabling provision, duplicate internal control, generic State/event/source placeholder, or non-pharmacy-role requirement. Legacy ID retained for traceability.</x:v>
      </x:c>
      <x:c r="E1751" s="33" t="str">
        <x:v>CORRECT / RECLASSIFY</x:v>
      </x:c>
      <x:c r="F1751" s="33" t="str">
        <x:v>Correct technical citations, remove false direct duties and reclassify non-statutory/entity controls.</x:v>
      </x:c>
      <x:c r="G1751" s="33" t="str">
        <x:v>P-4 official-source validation</x:v>
      </x:c>
      <x:c r="H175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51" s="33" t="str">
        <x:v>P-4</x:v>
      </x:c>
      <x:c r="J1751" s="33" t="str">
        <x:v>2026-08-20</x:v>
      </x:c>
      <x:c r="K1751" s="33" t="str">
        <x:v>Provision IDs preserved; legal force and parentage corrected.</x:v>
      </x:c>
    </x:row>
    <x:row r="1752">
      <x:c r="A1752" s="33" t="str">
        <x:v>PROV153</x:v>
      </x:c>
      <x:c r="B1752" s="33" t="str">
        <x:v>Provision Master</x:v>
      </x:c>
      <x:c r="C1752" s="33" t="str">
        <x:v>Active=Yes; Remarks=</x:v>
      </x:c>
      <x:c r="D1752" s="33" t="str">
        <x:v>Active=No; Remarks=P-4 QUARANTINED: penalty/enabling provision, duplicate internal control, generic State/event/source placeholder, or non-pharmacy-role requirement. Legacy ID retained for traceability.</x:v>
      </x:c>
      <x:c r="E1752" s="33" t="str">
        <x:v>CORRECT / RECLASSIFY</x:v>
      </x:c>
      <x:c r="F1752" s="33" t="str">
        <x:v>Correct technical citations, remove false direct duties and reclassify non-statutory/entity controls.</x:v>
      </x:c>
      <x:c r="G1752" s="33" t="str">
        <x:v>P-4 official-source validation</x:v>
      </x:c>
      <x:c r="H175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52" s="33" t="str">
        <x:v>P-4</x:v>
      </x:c>
      <x:c r="J1752" s="33" t="str">
        <x:v>2026-08-20</x:v>
      </x:c>
      <x:c r="K1752" s="33" t="str">
        <x:v>Provision IDs preserved; legal force and parentage corrected.</x:v>
      </x:c>
    </x:row>
    <x:row r="1753">
      <x:c r="A1753" s="33" t="str">
        <x:v>PROV154</x:v>
      </x:c>
      <x:c r="B1753" s="33" t="str">
        <x:v>Provision Master</x:v>
      </x:c>
      <x:c r="C1753" s="33" t="str">
        <x:v>Active=Yes; Remarks=</x:v>
      </x:c>
      <x:c r="D1753" s="33" t="str">
        <x:v>Active=No; Remarks=P-4 QUARANTINED: penalty/enabling provision, duplicate internal control, generic State/event/source placeholder, or non-pharmacy-role requirement. Legacy ID retained for traceability.</x:v>
      </x:c>
      <x:c r="E1753" s="33" t="str">
        <x:v>CORRECT / RECLASSIFY</x:v>
      </x:c>
      <x:c r="F1753" s="33" t="str">
        <x:v>Correct technical citations, remove false direct duties and reclassify non-statutory/entity controls.</x:v>
      </x:c>
      <x:c r="G1753" s="33" t="str">
        <x:v>P-4 official-source validation</x:v>
      </x:c>
      <x:c r="H175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53" s="33" t="str">
        <x:v>P-4</x:v>
      </x:c>
      <x:c r="J1753" s="33" t="str">
        <x:v>2026-08-20</x:v>
      </x:c>
      <x:c r="K1753" s="33" t="str">
        <x:v>Provision IDs preserved; legal force and parentage corrected.</x:v>
      </x:c>
    </x:row>
    <x:row r="1754">
      <x:c r="A1754" s="33" t="str">
        <x:v>PROV155</x:v>
      </x:c>
      <x:c r="B1754" s="33" t="str">
        <x:v>Provision Master</x:v>
      </x:c>
      <x:c r="C1754" s="33" t="str">
        <x:v>Active=Yes; Remarks=</x:v>
      </x:c>
      <x:c r="D1754" s="33" t="str">
        <x:v>Active=No; Remarks=P-4 QUARANTINED: penalty/enabling provision, duplicate internal control, generic State/event/source placeholder, or non-pharmacy-role requirement. Legacy ID retained for traceability.</x:v>
      </x:c>
      <x:c r="E1754" s="33" t="str">
        <x:v>CORRECT / RECLASSIFY</x:v>
      </x:c>
      <x:c r="F1754" s="33" t="str">
        <x:v>Correct technical citations, remove false direct duties and reclassify non-statutory/entity controls.</x:v>
      </x:c>
      <x:c r="G1754" s="33" t="str">
        <x:v>P-4 official-source validation</x:v>
      </x:c>
      <x:c r="H175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54" s="33" t="str">
        <x:v>P-4</x:v>
      </x:c>
      <x:c r="J1754" s="33" t="str">
        <x:v>2026-08-20</x:v>
      </x:c>
      <x:c r="K1754" s="33" t="str">
        <x:v>Provision IDs preserved; legal force and parentage corrected.</x:v>
      </x:c>
    </x:row>
    <x:row r="1755">
      <x:c r="A1755" s="33" t="str">
        <x:v>PROV156</x:v>
      </x:c>
      <x:c r="B1755" s="33" t="str">
        <x:v>Provision Master</x:v>
      </x:c>
      <x:c r="C1755" s="33" t="str">
        <x:v>Active=Yes; Remarks=</x:v>
      </x:c>
      <x:c r="D1755" s="33" t="str">
        <x:v>Active=No; Remarks=P-4 QUARANTINED: penalty/enabling provision, duplicate internal control, generic State/event/source placeholder, or non-pharmacy-role requirement. Legacy ID retained for traceability.</x:v>
      </x:c>
      <x:c r="E1755" s="33" t="str">
        <x:v>CORRECT / RECLASSIFY</x:v>
      </x:c>
      <x:c r="F1755" s="33" t="str">
        <x:v>Correct technical citations, remove false direct duties and reclassify non-statutory/entity controls.</x:v>
      </x:c>
      <x:c r="G1755" s="33" t="str">
        <x:v>P-4 official-source validation</x:v>
      </x:c>
      <x:c r="H175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55" s="33" t="str">
        <x:v>P-4</x:v>
      </x:c>
      <x:c r="J1755" s="33" t="str">
        <x:v>2026-08-20</x:v>
      </x:c>
      <x:c r="K1755" s="33" t="str">
        <x:v>Provision IDs preserved; legal force and parentage corrected.</x:v>
      </x:c>
    </x:row>
    <x:row r="1756">
      <x:c r="A1756" s="33" t="str">
        <x:v>PROV157</x:v>
      </x:c>
      <x:c r="B1756" s="33" t="str">
        <x:v>Provision Master</x:v>
      </x:c>
      <x:c r="C1756" s="33" t="str">
        <x:v>Active=Yes; Remarks=</x:v>
      </x:c>
      <x:c r="D1756" s="33" t="str">
        <x:v>Active=No; Remarks=P-4 QUARANTINED: penalty/enabling provision, duplicate internal control, generic State/event/source placeholder, or non-pharmacy-role requirement. Legacy ID retained for traceability.</x:v>
      </x:c>
      <x:c r="E1756" s="33" t="str">
        <x:v>CORRECT / RECLASSIFY</x:v>
      </x:c>
      <x:c r="F1756" s="33" t="str">
        <x:v>Correct technical citations, remove false direct duties and reclassify non-statutory/entity controls.</x:v>
      </x:c>
      <x:c r="G1756" s="33" t="str">
        <x:v>P-4 official-source validation</x:v>
      </x:c>
      <x:c r="H175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56" s="33" t="str">
        <x:v>P-4</x:v>
      </x:c>
      <x:c r="J1756" s="33" t="str">
        <x:v>2026-08-20</x:v>
      </x:c>
      <x:c r="K1756" s="33" t="str">
        <x:v>Provision IDs preserved; legal force and parentage corrected.</x:v>
      </x:c>
    </x:row>
    <x:row r="1757">
      <x:c r="A1757" s="33" t="str">
        <x:v>PROV158</x:v>
      </x:c>
      <x:c r="B1757" s="33" t="str">
        <x:v>Provision Master</x:v>
      </x:c>
      <x:c r="C1757" s="33" t="str">
        <x:v>Active=Yes; Remarks=</x:v>
      </x:c>
      <x:c r="D1757" s="33" t="str">
        <x:v>Active=No; Remarks=P-4 QUARANTINED: penalty/enabling provision, duplicate internal control, generic State/event/source placeholder, or non-pharmacy-role requirement. Legacy ID retained for traceability.</x:v>
      </x:c>
      <x:c r="E1757" s="33" t="str">
        <x:v>CORRECT / RECLASSIFY</x:v>
      </x:c>
      <x:c r="F1757" s="33" t="str">
        <x:v>Correct technical citations, remove false direct duties and reclassify non-statutory/entity controls.</x:v>
      </x:c>
      <x:c r="G1757" s="33" t="str">
        <x:v>P-4 official-source validation</x:v>
      </x:c>
      <x:c r="H175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57" s="33" t="str">
        <x:v>P-4</x:v>
      </x:c>
      <x:c r="J1757" s="33" t="str">
        <x:v>2026-08-20</x:v>
      </x:c>
      <x:c r="K1757" s="33" t="str">
        <x:v>Provision IDs preserved; legal force and parentage corrected.</x:v>
      </x:c>
    </x:row>
    <x:row r="1758">
      <x:c r="A1758" s="33" t="str">
        <x:v>PROV159</x:v>
      </x:c>
      <x:c r="B1758" s="33" t="str">
        <x:v>Provision Master</x:v>
      </x:c>
      <x:c r="C1758" s="33" t="str">
        <x:v>Active=Yes; Remarks=</x:v>
      </x:c>
      <x:c r="D1758" s="33" t="str">
        <x:v>Active=No; Remarks=P-4 QUARANTINED: penalty/enabling provision, duplicate internal control, generic State/event/source placeholder, or non-pharmacy-role requirement. Legacy ID retained for traceability.</x:v>
      </x:c>
      <x:c r="E1758" s="33" t="str">
        <x:v>CORRECT / RECLASSIFY</x:v>
      </x:c>
      <x:c r="F1758" s="33" t="str">
        <x:v>Correct technical citations, remove false direct duties and reclassify non-statutory/entity controls.</x:v>
      </x:c>
      <x:c r="G1758" s="33" t="str">
        <x:v>P-4 official-source validation</x:v>
      </x:c>
      <x:c r="H175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58" s="33" t="str">
        <x:v>P-4</x:v>
      </x:c>
      <x:c r="J1758" s="33" t="str">
        <x:v>2026-08-20</x:v>
      </x:c>
      <x:c r="K1758" s="33" t="str">
        <x:v>Provision IDs preserved; legal force and parentage corrected.</x:v>
      </x:c>
    </x:row>
    <x:row r="1759">
      <x:c r="A1759" s="33" t="str">
        <x:v>PROV160</x:v>
      </x:c>
      <x:c r="B1759" s="33" t="str">
        <x:v>Provision Master</x:v>
      </x:c>
      <x:c r="C1759" s="33" t="str">
        <x:v>Active=Yes; Remarks=</x:v>
      </x:c>
      <x:c r="D1759" s="33" t="str">
        <x:v>Active=No; Remarks=P-4 QUARANTINED: penalty/enabling provision, duplicate internal control, generic State/event/source placeholder, or non-pharmacy-role requirement. Legacy ID retained for traceability.</x:v>
      </x:c>
      <x:c r="E1759" s="33" t="str">
        <x:v>CORRECT / RECLASSIFY</x:v>
      </x:c>
      <x:c r="F1759" s="33" t="str">
        <x:v>Correct technical citations, remove false direct duties and reclassify non-statutory/entity controls.</x:v>
      </x:c>
      <x:c r="G1759" s="33" t="str">
        <x:v>P-4 official-source validation</x:v>
      </x:c>
      <x:c r="H175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59" s="33" t="str">
        <x:v>P-4</x:v>
      </x:c>
      <x:c r="J1759" s="33" t="str">
        <x:v>2026-08-20</x:v>
      </x:c>
      <x:c r="K1759" s="33" t="str">
        <x:v>Provision IDs preserved; legal force and parentage corrected.</x:v>
      </x:c>
    </x:row>
    <x:row r="1760">
      <x:c r="A1760" s="33" t="str">
        <x:v>PROV161</x:v>
      </x:c>
      <x:c r="B1760" s="33" t="str">
        <x:v>Provision Master</x:v>
      </x:c>
      <x:c r="C1760" s="33" t="str">
        <x:v>Active=Yes; Remarks=</x:v>
      </x:c>
      <x:c r="D1760" s="33" t="str">
        <x:v>Active=No; Remarks=P-4 QUARANTINED: penalty/enabling provision, duplicate internal control, generic State/event/source placeholder, or non-pharmacy-role requirement. Legacy ID retained for traceability.</x:v>
      </x:c>
      <x:c r="E1760" s="33" t="str">
        <x:v>CORRECT / RECLASSIFY</x:v>
      </x:c>
      <x:c r="F1760" s="33" t="str">
        <x:v>Correct technical citations, remove false direct duties and reclassify non-statutory/entity controls.</x:v>
      </x:c>
      <x:c r="G1760" s="33" t="str">
        <x:v>P-4 official-source validation</x:v>
      </x:c>
      <x:c r="H176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60" s="33" t="str">
        <x:v>P-4</x:v>
      </x:c>
      <x:c r="J1760" s="33" t="str">
        <x:v>2026-08-20</x:v>
      </x:c>
      <x:c r="K1760" s="33" t="str">
        <x:v>Provision IDs preserved; legal force and parentage corrected.</x:v>
      </x:c>
    </x:row>
    <x:row r="1761">
      <x:c r="A1761" s="33" t="str">
        <x:v>PROV170</x:v>
      </x:c>
      <x:c r="B1761" s="33" t="str">
        <x:v>Provision Master</x:v>
      </x:c>
      <x:c r="C1761" s="33" t="str">
        <x:v>Active=Yes; Remarks=</x:v>
      </x:c>
      <x:c r="D1761" s="33" t="str">
        <x:v>Active=No; Remarks=P-4 QUARANTINED: penalty/enabling provision, duplicate internal control, generic State/event/source placeholder, or non-pharmacy-role requirement. Legacy ID retained for traceability.</x:v>
      </x:c>
      <x:c r="E1761" s="33" t="str">
        <x:v>CORRECT / RECLASSIFY</x:v>
      </x:c>
      <x:c r="F1761" s="33" t="str">
        <x:v>Correct technical citations, remove false direct duties and reclassify non-statutory/entity controls.</x:v>
      </x:c>
      <x:c r="G1761" s="33" t="str">
        <x:v>P-4 official-source validation</x:v>
      </x:c>
      <x:c r="H176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61" s="33" t="str">
        <x:v>P-4</x:v>
      </x:c>
      <x:c r="J1761" s="33" t="str">
        <x:v>2026-08-20</x:v>
      </x:c>
      <x:c r="K1761" s="33" t="str">
        <x:v>Provision IDs preserved; legal force and parentage corrected.</x:v>
      </x:c>
    </x:row>
    <x:row r="1762">
      <x:c r="A1762" s="33" t="str">
        <x:v>PROV171</x:v>
      </x:c>
      <x:c r="B1762" s="33" t="str">
        <x:v>Provision Master</x:v>
      </x:c>
      <x:c r="C1762" s="33" t="str">
        <x:v>Active=Yes; Remarks=</x:v>
      </x:c>
      <x:c r="D1762" s="33" t="str">
        <x:v>Active=No; Remarks=P-4 QUARANTINED: penalty/enabling provision, duplicate internal control, generic State/event/source placeholder, or non-pharmacy-role requirement. Legacy ID retained for traceability.</x:v>
      </x:c>
      <x:c r="E1762" s="33" t="str">
        <x:v>CORRECT / RECLASSIFY</x:v>
      </x:c>
      <x:c r="F1762" s="33" t="str">
        <x:v>Correct technical citations, remove false direct duties and reclassify non-statutory/entity controls.</x:v>
      </x:c>
      <x:c r="G1762" s="33" t="str">
        <x:v>P-4 official-source validation</x:v>
      </x:c>
      <x:c r="H176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62" s="33" t="str">
        <x:v>P-4</x:v>
      </x:c>
      <x:c r="J1762" s="33" t="str">
        <x:v>2026-08-20</x:v>
      </x:c>
      <x:c r="K1762" s="33" t="str">
        <x:v>Provision IDs preserved; legal force and parentage corrected.</x:v>
      </x:c>
    </x:row>
    <x:row r="1763">
      <x:c r="A1763" s="33" t="str">
        <x:v>PROV172</x:v>
      </x:c>
      <x:c r="B1763" s="33" t="str">
        <x:v>Provision Master</x:v>
      </x:c>
      <x:c r="C1763" s="33" t="str">
        <x:v>Active=Yes; Remarks=</x:v>
      </x:c>
      <x:c r="D1763" s="33" t="str">
        <x:v>Active=No; Remarks=P-4 QUARANTINED: penalty/enabling provision, duplicate internal control, generic State/event/source placeholder, or non-pharmacy-role requirement. Legacy ID retained for traceability.</x:v>
      </x:c>
      <x:c r="E1763" s="33" t="str">
        <x:v>CORRECT / RECLASSIFY</x:v>
      </x:c>
      <x:c r="F1763" s="33" t="str">
        <x:v>Correct technical citations, remove false direct duties and reclassify non-statutory/entity controls.</x:v>
      </x:c>
      <x:c r="G1763" s="33" t="str">
        <x:v>P-4 official-source validation</x:v>
      </x:c>
      <x:c r="H176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63" s="33" t="str">
        <x:v>P-4</x:v>
      </x:c>
      <x:c r="J1763" s="33" t="str">
        <x:v>2026-08-20</x:v>
      </x:c>
      <x:c r="K1763" s="33" t="str">
        <x:v>Provision IDs preserved; legal force and parentage corrected.</x:v>
      </x:c>
    </x:row>
    <x:row r="1764">
      <x:c r="A1764" s="33" t="str">
        <x:v>PROV173</x:v>
      </x:c>
      <x:c r="B1764" s="33" t="str">
        <x:v>Provision Master</x:v>
      </x:c>
      <x:c r="C1764" s="33" t="str">
        <x:v>Active=Yes; Remarks=</x:v>
      </x:c>
      <x:c r="D1764" s="33" t="str">
        <x:v>Active=No; Remarks=P-4 QUARANTINED: penalty/enabling provision, duplicate internal control, generic State/event/source placeholder, or non-pharmacy-role requirement. Legacy ID retained for traceability.</x:v>
      </x:c>
      <x:c r="E1764" s="33" t="str">
        <x:v>CORRECT / RECLASSIFY</x:v>
      </x:c>
      <x:c r="F1764" s="33" t="str">
        <x:v>Correct technical citations, remove false direct duties and reclassify non-statutory/entity controls.</x:v>
      </x:c>
      <x:c r="G1764" s="33" t="str">
        <x:v>P-4 official-source validation</x:v>
      </x:c>
      <x:c r="H176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64" s="33" t="str">
        <x:v>P-4</x:v>
      </x:c>
      <x:c r="J1764" s="33" t="str">
        <x:v>2026-08-20</x:v>
      </x:c>
      <x:c r="K1764" s="33" t="str">
        <x:v>Provision IDs preserved; legal force and parentage corrected.</x:v>
      </x:c>
    </x:row>
    <x:row r="1765">
      <x:c r="A1765" s="33" t="str">
        <x:v>PROV174</x:v>
      </x:c>
      <x:c r="B1765" s="33" t="str">
        <x:v>Provision Master</x:v>
      </x:c>
      <x:c r="C1765" s="33" t="str">
        <x:v>Active=Yes; Remarks=</x:v>
      </x:c>
      <x:c r="D1765" s="33" t="str">
        <x:v>Active=No; Remarks=P-4 QUARANTINED: penalty/enabling provision, duplicate internal control, generic State/event/source placeholder, or non-pharmacy-role requirement. Legacy ID retained for traceability.</x:v>
      </x:c>
      <x:c r="E1765" s="33" t="str">
        <x:v>CORRECT / RECLASSIFY</x:v>
      </x:c>
      <x:c r="F1765" s="33" t="str">
        <x:v>Correct technical citations, remove false direct duties and reclassify non-statutory/entity controls.</x:v>
      </x:c>
      <x:c r="G1765" s="33" t="str">
        <x:v>P-4 official-source validation</x:v>
      </x:c>
      <x:c r="H176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65" s="33" t="str">
        <x:v>P-4</x:v>
      </x:c>
      <x:c r="J1765" s="33" t="str">
        <x:v>2026-08-20</x:v>
      </x:c>
      <x:c r="K1765" s="33" t="str">
        <x:v>Provision IDs preserved; legal force and parentage corrected.</x:v>
      </x:c>
    </x:row>
    <x:row r="1766">
      <x:c r="A1766" s="33" t="str">
        <x:v>PROV175</x:v>
      </x:c>
      <x:c r="B1766" s="33" t="str">
        <x:v>Provision Master</x:v>
      </x:c>
      <x:c r="C1766" s="33" t="str">
        <x:v>Active=Yes; Remarks=</x:v>
      </x:c>
      <x:c r="D1766" s="33" t="str">
        <x:v>Active=No; Remarks=P-4 QUARANTINED: penalty/enabling provision, duplicate internal control, generic State/event/source placeholder, or non-pharmacy-role requirement. Legacy ID retained for traceability.</x:v>
      </x:c>
      <x:c r="E1766" s="33" t="str">
        <x:v>CORRECT / RECLASSIFY</x:v>
      </x:c>
      <x:c r="F1766" s="33" t="str">
        <x:v>Correct technical citations, remove false direct duties and reclassify non-statutory/entity controls.</x:v>
      </x:c>
      <x:c r="G1766" s="33" t="str">
        <x:v>P-4 official-source validation</x:v>
      </x:c>
      <x:c r="H176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66" s="33" t="str">
        <x:v>P-4</x:v>
      </x:c>
      <x:c r="J1766" s="33" t="str">
        <x:v>2026-08-20</x:v>
      </x:c>
      <x:c r="K1766" s="33" t="str">
        <x:v>Provision IDs preserved; legal force and parentage corrected.</x:v>
      </x:c>
    </x:row>
    <x:row r="1767">
      <x:c r="A1767" s="33" t="str">
        <x:v>PROV201</x:v>
      </x:c>
      <x:c r="B1767" s="33" t="str">
        <x:v>Provision Master</x:v>
      </x:c>
      <x:c r="C1767" s="33" t="str">
        <x:v>Active=Yes; Remarks=</x:v>
      </x:c>
      <x:c r="D1767" s="33" t="str">
        <x:v>Active=No; Remarks=P-4 QUARANTINED: penalty/enabling provision, duplicate internal control, generic State/event/source placeholder, or non-pharmacy-role requirement. Legacy ID retained for traceability.</x:v>
      </x:c>
      <x:c r="E1767" s="33" t="str">
        <x:v>CORRECT / RECLASSIFY</x:v>
      </x:c>
      <x:c r="F1767" s="33" t="str">
        <x:v>Correct technical citations, remove false direct duties and reclassify non-statutory/entity controls.</x:v>
      </x:c>
      <x:c r="G1767" s="33" t="str">
        <x:v>P-4 official-source validation</x:v>
      </x:c>
      <x:c r="H176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67" s="33" t="str">
        <x:v>P-4</x:v>
      </x:c>
      <x:c r="J1767" s="33" t="str">
        <x:v>2026-08-20</x:v>
      </x:c>
      <x:c r="K1767" s="33" t="str">
        <x:v>Provision IDs preserved; legal force and parentage corrected.</x:v>
      </x:c>
    </x:row>
    <x:row r="1768">
      <x:c r="A1768" s="33" t="str">
        <x:v>PROV202</x:v>
      </x:c>
      <x:c r="B1768" s="33" t="str">
        <x:v>Provision Master</x:v>
      </x:c>
      <x:c r="C1768" s="33" t="str">
        <x:v>Active=Yes; Remarks=</x:v>
      </x:c>
      <x:c r="D1768" s="33" t="str">
        <x:v>Active=No; Remarks=P-4 QUARANTINED: penalty/enabling provision, duplicate internal control, generic State/event/source placeholder, or non-pharmacy-role requirement. Legacy ID retained for traceability.</x:v>
      </x:c>
      <x:c r="E1768" s="33" t="str">
        <x:v>CORRECT / RECLASSIFY</x:v>
      </x:c>
      <x:c r="F1768" s="33" t="str">
        <x:v>Correct technical citations, remove false direct duties and reclassify non-statutory/entity controls.</x:v>
      </x:c>
      <x:c r="G1768" s="33" t="str">
        <x:v>P-4 official-source validation</x:v>
      </x:c>
      <x:c r="H176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68" s="33" t="str">
        <x:v>P-4</x:v>
      </x:c>
      <x:c r="J1768" s="33" t="str">
        <x:v>2026-08-20</x:v>
      </x:c>
      <x:c r="K1768" s="33" t="str">
        <x:v>Provision IDs preserved; legal force and parentage corrected.</x:v>
      </x:c>
    </x:row>
    <x:row r="1769">
      <x:c r="A1769" s="33" t="str">
        <x:v>PROV203</x:v>
      </x:c>
      <x:c r="B1769" s="33" t="str">
        <x:v>Provision Master</x:v>
      </x:c>
      <x:c r="C1769" s="33" t="str">
        <x:v>Active=Yes; Remarks=</x:v>
      </x:c>
      <x:c r="D1769" s="33" t="str">
        <x:v>Active=No; Remarks=P-4 QUARANTINED: penalty/enabling provision, duplicate internal control, generic State/event/source placeholder, or non-pharmacy-role requirement. Legacy ID retained for traceability.</x:v>
      </x:c>
      <x:c r="E1769" s="33" t="str">
        <x:v>CORRECT / RECLASSIFY</x:v>
      </x:c>
      <x:c r="F1769" s="33" t="str">
        <x:v>Correct technical citations, remove false direct duties and reclassify non-statutory/entity controls.</x:v>
      </x:c>
      <x:c r="G1769" s="33" t="str">
        <x:v>P-4 official-source validation</x:v>
      </x:c>
      <x:c r="H176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69" s="33" t="str">
        <x:v>P-4</x:v>
      </x:c>
      <x:c r="J1769" s="33" t="str">
        <x:v>2026-08-20</x:v>
      </x:c>
      <x:c r="K1769" s="33" t="str">
        <x:v>Provision IDs preserved; legal force and parentage corrected.</x:v>
      </x:c>
    </x:row>
    <x:row r="1770">
      <x:c r="A1770" s="33" t="str">
        <x:v>PROV204</x:v>
      </x:c>
      <x:c r="B1770" s="33" t="str">
        <x:v>Provision Master</x:v>
      </x:c>
      <x:c r="C1770" s="33" t="str">
        <x:v>Active=Yes; Remarks=</x:v>
      </x:c>
      <x:c r="D1770" s="33" t="str">
        <x:v>Active=No; Remarks=P-4 QUARANTINED: penalty/enabling provision, duplicate internal control, generic State/event/source placeholder, or non-pharmacy-role requirement. Legacy ID retained for traceability.</x:v>
      </x:c>
      <x:c r="E1770" s="33" t="str">
        <x:v>CORRECT / RECLASSIFY</x:v>
      </x:c>
      <x:c r="F1770" s="33" t="str">
        <x:v>Correct technical citations, remove false direct duties and reclassify non-statutory/entity controls.</x:v>
      </x:c>
      <x:c r="G1770" s="33" t="str">
        <x:v>P-4 official-source validation</x:v>
      </x:c>
      <x:c r="H177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70" s="33" t="str">
        <x:v>P-4</x:v>
      </x:c>
      <x:c r="J1770" s="33" t="str">
        <x:v>2026-08-20</x:v>
      </x:c>
      <x:c r="K1770" s="33" t="str">
        <x:v>Provision IDs preserved; legal force and parentage corrected.</x:v>
      </x:c>
    </x:row>
    <x:row r="1771">
      <x:c r="A1771" s="33" t="str">
        <x:v>PROV205</x:v>
      </x:c>
      <x:c r="B1771" s="33" t="str">
        <x:v>Provision Master</x:v>
      </x:c>
      <x:c r="C1771" s="33" t="str">
        <x:v>Active=Yes; Remarks=</x:v>
      </x:c>
      <x:c r="D1771" s="33" t="str">
        <x:v>Active=No; Remarks=P-4 QUARANTINED: penalty/enabling provision, duplicate internal control, generic State/event/source placeholder, or non-pharmacy-role requirement. Legacy ID retained for traceability.</x:v>
      </x:c>
      <x:c r="E1771" s="33" t="str">
        <x:v>CORRECT / RECLASSIFY</x:v>
      </x:c>
      <x:c r="F1771" s="33" t="str">
        <x:v>Correct technical citations, remove false direct duties and reclassify non-statutory/entity controls.</x:v>
      </x:c>
      <x:c r="G1771" s="33" t="str">
        <x:v>P-4 official-source validation</x:v>
      </x:c>
      <x:c r="H177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71" s="33" t="str">
        <x:v>P-4</x:v>
      </x:c>
      <x:c r="J1771" s="33" t="str">
        <x:v>2026-08-20</x:v>
      </x:c>
      <x:c r="K1771" s="33" t="str">
        <x:v>Provision IDs preserved; legal force and parentage corrected.</x:v>
      </x:c>
    </x:row>
    <x:row r="1772">
      <x:c r="A1772" s="33" t="str">
        <x:v>PROV206</x:v>
      </x:c>
      <x:c r="B1772" s="33" t="str">
        <x:v>Provision Master</x:v>
      </x:c>
      <x:c r="C1772" s="33" t="str">
        <x:v>Active=Yes; Remarks=</x:v>
      </x:c>
      <x:c r="D1772" s="33" t="str">
        <x:v>Active=No; Remarks=P-4 QUARANTINED: penalty/enabling provision, duplicate internal control, generic State/event/source placeholder, or non-pharmacy-role requirement. Legacy ID retained for traceability.</x:v>
      </x:c>
      <x:c r="E1772" s="33" t="str">
        <x:v>CORRECT / RECLASSIFY</x:v>
      </x:c>
      <x:c r="F1772" s="33" t="str">
        <x:v>Correct technical citations, remove false direct duties and reclassify non-statutory/entity controls.</x:v>
      </x:c>
      <x:c r="G1772" s="33" t="str">
        <x:v>P-4 official-source validation</x:v>
      </x:c>
      <x:c r="H177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72" s="33" t="str">
        <x:v>P-4</x:v>
      </x:c>
      <x:c r="J1772" s="33" t="str">
        <x:v>2026-08-20</x:v>
      </x:c>
      <x:c r="K1772" s="33" t="str">
        <x:v>Provision IDs preserved; legal force and parentage corrected.</x:v>
      </x:c>
    </x:row>
    <x:row r="1773">
      <x:c r="A1773" s="33" t="str">
        <x:v>PROV207</x:v>
      </x:c>
      <x:c r="B1773" s="33" t="str">
        <x:v>Provision Master</x:v>
      </x:c>
      <x:c r="C1773" s="33" t="str">
        <x:v>Active=Yes; Remarks=</x:v>
      </x:c>
      <x:c r="D1773" s="33" t="str">
        <x:v>Active=No; Remarks=P-4 QUARANTINED: penalty/enabling provision, duplicate internal control, generic State/event/source placeholder, or non-pharmacy-role requirement. Legacy ID retained for traceability.</x:v>
      </x:c>
      <x:c r="E1773" s="33" t="str">
        <x:v>CORRECT / RECLASSIFY</x:v>
      </x:c>
      <x:c r="F1773" s="33" t="str">
        <x:v>Correct technical citations, remove false direct duties and reclassify non-statutory/entity controls.</x:v>
      </x:c>
      <x:c r="G1773" s="33" t="str">
        <x:v>P-4 official-source validation</x:v>
      </x:c>
      <x:c r="H177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73" s="33" t="str">
        <x:v>P-4</x:v>
      </x:c>
      <x:c r="J1773" s="33" t="str">
        <x:v>2026-08-20</x:v>
      </x:c>
      <x:c r="K1773" s="33" t="str">
        <x:v>Provision IDs preserved; legal force and parentage corrected.</x:v>
      </x:c>
    </x:row>
    <x:row r="1774">
      <x:c r="A1774" s="33" t="str">
        <x:v>PROV208</x:v>
      </x:c>
      <x:c r="B1774" s="33" t="str">
        <x:v>Provision Master</x:v>
      </x:c>
      <x:c r="C1774" s="33" t="str">
        <x:v>Active=Yes; Remarks=</x:v>
      </x:c>
      <x:c r="D1774" s="33" t="str">
        <x:v>Active=No; Remarks=P-4 QUARANTINED: penalty/enabling provision, duplicate internal control, generic State/event/source placeholder, or non-pharmacy-role requirement. Legacy ID retained for traceability.</x:v>
      </x:c>
      <x:c r="E1774" s="33" t="str">
        <x:v>CORRECT / RECLASSIFY</x:v>
      </x:c>
      <x:c r="F1774" s="33" t="str">
        <x:v>Correct technical citations, remove false direct duties and reclassify non-statutory/entity controls.</x:v>
      </x:c>
      <x:c r="G1774" s="33" t="str">
        <x:v>P-4 official-source validation</x:v>
      </x:c>
      <x:c r="H177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74" s="33" t="str">
        <x:v>P-4</x:v>
      </x:c>
      <x:c r="J1774" s="33" t="str">
        <x:v>2026-08-20</x:v>
      </x:c>
      <x:c r="K1774" s="33" t="str">
        <x:v>Provision IDs preserved; legal force and parentage corrected.</x:v>
      </x:c>
    </x:row>
    <x:row r="1775">
      <x:c r="A1775" s="33" t="str">
        <x:v>PROV209</x:v>
      </x:c>
      <x:c r="B1775" s="33" t="str">
        <x:v>Provision Master</x:v>
      </x:c>
      <x:c r="C1775" s="33" t="str">
        <x:v>Active=Yes; Remarks=</x:v>
      </x:c>
      <x:c r="D1775" s="33" t="str">
        <x:v>Active=No; Remarks=P-4 QUARANTINED: penalty/enabling provision, duplicate internal control, generic State/event/source placeholder, or non-pharmacy-role requirement. Legacy ID retained for traceability.</x:v>
      </x:c>
      <x:c r="E1775" s="33" t="str">
        <x:v>CORRECT / RECLASSIFY</x:v>
      </x:c>
      <x:c r="F1775" s="33" t="str">
        <x:v>Correct technical citations, remove false direct duties and reclassify non-statutory/entity controls.</x:v>
      </x:c>
      <x:c r="G1775" s="33" t="str">
        <x:v>P-4 official-source validation</x:v>
      </x:c>
      <x:c r="H177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75" s="33" t="str">
        <x:v>P-4</x:v>
      </x:c>
      <x:c r="J1775" s="33" t="str">
        <x:v>2026-08-20</x:v>
      </x:c>
      <x:c r="K1775" s="33" t="str">
        <x:v>Provision IDs preserved; legal force and parentage corrected.</x:v>
      </x:c>
    </x:row>
    <x:row r="1776">
      <x:c r="A1776" s="33" t="str">
        <x:v>PROV251</x:v>
      </x:c>
      <x:c r="B1776" s="33" t="str">
        <x:v>Provision Master</x:v>
      </x:c>
      <x:c r="C1776" s="33" t="str">
        <x:v>Active=Yes; Remarks=P-3 RECLASSIFIED: optional internal governance; not a statutory provision.</x:v>
      </x:c>
      <x:c r="D1776" s="33" t="str">
        <x:v>Active=No; Remarks=P-4 QUARANTINED: penalty/enabling provision, duplicate internal control, generic State/event/source placeholder, or non-pharmacy-role requirement. Legacy ID retained for traceability.</x:v>
      </x:c>
      <x:c r="E1776" s="33" t="str">
        <x:v>CORRECT / RECLASSIFY</x:v>
      </x:c>
      <x:c r="F1776" s="33" t="str">
        <x:v>Correct technical citations, remove false direct duties and reclassify non-statutory/entity controls.</x:v>
      </x:c>
      <x:c r="G1776" s="33" t="str">
        <x:v>P-4 official-source validation</x:v>
      </x:c>
      <x:c r="H177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76" s="33" t="str">
        <x:v>P-4</x:v>
      </x:c>
      <x:c r="J1776" s="33" t="str">
        <x:v>2026-08-20</x:v>
      </x:c>
      <x:c r="K1776" s="33" t="str">
        <x:v>Provision IDs preserved; legal force and parentage corrected.</x:v>
      </x:c>
    </x:row>
    <x:row r="1777">
      <x:c r="A1777" s="33" t="str">
        <x:v>PROV252</x:v>
      </x:c>
      <x:c r="B1777" s="33" t="str">
        <x:v>Provision Master</x:v>
      </x:c>
      <x:c r="C1777" s="33" t="str">
        <x:v>Active=Yes; Remarks=P-3 RECLASSIFIED: optional internal governance; not a statutory provision.</x:v>
      </x:c>
      <x:c r="D1777" s="33" t="str">
        <x:v>Active=No; Remarks=P-4 QUARANTINED: penalty/enabling provision, duplicate internal control, generic State/event/source placeholder, or non-pharmacy-role requirement. Legacy ID retained for traceability.</x:v>
      </x:c>
      <x:c r="E1777" s="33" t="str">
        <x:v>CORRECT / RECLASSIFY</x:v>
      </x:c>
      <x:c r="F1777" s="33" t="str">
        <x:v>Correct technical citations, remove false direct duties and reclassify non-statutory/entity controls.</x:v>
      </x:c>
      <x:c r="G1777" s="33" t="str">
        <x:v>P-4 official-source validation</x:v>
      </x:c>
      <x:c r="H177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77" s="33" t="str">
        <x:v>P-4</x:v>
      </x:c>
      <x:c r="J1777" s="33" t="str">
        <x:v>2026-08-20</x:v>
      </x:c>
      <x:c r="K1777" s="33" t="str">
        <x:v>Provision IDs preserved; legal force and parentage corrected.</x:v>
      </x:c>
    </x:row>
    <x:row r="1778">
      <x:c r="A1778" s="33" t="str">
        <x:v>PROV253</x:v>
      </x:c>
      <x:c r="B1778" s="33" t="str">
        <x:v>Provision Master</x:v>
      </x:c>
      <x:c r="C1778" s="33" t="str">
        <x:v>Active=Yes; Remarks=P-3 RECLASSIFIED: optional internal governance; not a statutory provision.</x:v>
      </x:c>
      <x:c r="D1778" s="33" t="str">
        <x:v>Active=No; Remarks=P-4 QUARANTINED: penalty/enabling provision, duplicate internal control, generic State/event/source placeholder, or non-pharmacy-role requirement. Legacy ID retained for traceability.</x:v>
      </x:c>
      <x:c r="E1778" s="33" t="str">
        <x:v>CORRECT / RECLASSIFY</x:v>
      </x:c>
      <x:c r="F1778" s="33" t="str">
        <x:v>Correct technical citations, remove false direct duties and reclassify non-statutory/entity controls.</x:v>
      </x:c>
      <x:c r="G1778" s="33" t="str">
        <x:v>P-4 official-source validation</x:v>
      </x:c>
      <x:c r="H177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78" s="33" t="str">
        <x:v>P-4</x:v>
      </x:c>
      <x:c r="J1778" s="33" t="str">
        <x:v>2026-08-20</x:v>
      </x:c>
      <x:c r="K1778" s="33" t="str">
        <x:v>Provision IDs preserved; legal force and parentage corrected.</x:v>
      </x:c>
    </x:row>
    <x:row r="1779">
      <x:c r="A1779" s="33" t="str">
        <x:v>PROV254</x:v>
      </x:c>
      <x:c r="B1779" s="33" t="str">
        <x:v>Provision Master</x:v>
      </x:c>
      <x:c r="C1779" s="33" t="str">
        <x:v>Active=Yes; Remarks=P-3 RECLASSIFIED: optional internal governance; not a statutory provision.</x:v>
      </x:c>
      <x:c r="D1779" s="33" t="str">
        <x:v>Active=No; Remarks=P-4 QUARANTINED: penalty/enabling provision, duplicate internal control, generic State/event/source placeholder, or non-pharmacy-role requirement. Legacy ID retained for traceability.</x:v>
      </x:c>
      <x:c r="E1779" s="33" t="str">
        <x:v>CORRECT / RECLASSIFY</x:v>
      </x:c>
      <x:c r="F1779" s="33" t="str">
        <x:v>Correct technical citations, remove false direct duties and reclassify non-statutory/entity controls.</x:v>
      </x:c>
      <x:c r="G1779" s="33" t="str">
        <x:v>P-4 official-source validation</x:v>
      </x:c>
      <x:c r="H177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79" s="33" t="str">
        <x:v>P-4</x:v>
      </x:c>
      <x:c r="J1779" s="33" t="str">
        <x:v>2026-08-20</x:v>
      </x:c>
      <x:c r="K1779" s="33" t="str">
        <x:v>Provision IDs preserved; legal force and parentage corrected.</x:v>
      </x:c>
    </x:row>
    <x:row r="1780">
      <x:c r="A1780" s="33" t="str">
        <x:v>PROV255</x:v>
      </x:c>
      <x:c r="B1780" s="33" t="str">
        <x:v>Provision Master</x:v>
      </x:c>
      <x:c r="C1780" s="33" t="str">
        <x:v>Active=Yes; Remarks=P-3 RECLASSIFIED: optional internal governance; not a statutory provision.</x:v>
      </x:c>
      <x:c r="D1780" s="33" t="str">
        <x:v>Active=No; Remarks=P-4 QUARANTINED: penalty/enabling provision, duplicate internal control, generic State/event/source placeholder, or non-pharmacy-role requirement. Legacy ID retained for traceability.</x:v>
      </x:c>
      <x:c r="E1780" s="33" t="str">
        <x:v>CORRECT / RECLASSIFY</x:v>
      </x:c>
      <x:c r="F1780" s="33" t="str">
        <x:v>Correct technical citations, remove false direct duties and reclassify non-statutory/entity controls.</x:v>
      </x:c>
      <x:c r="G1780" s="33" t="str">
        <x:v>P-4 official-source validation</x:v>
      </x:c>
      <x:c r="H178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80" s="33" t="str">
        <x:v>P-4</x:v>
      </x:c>
      <x:c r="J1780" s="33" t="str">
        <x:v>2026-08-20</x:v>
      </x:c>
      <x:c r="K1780" s="33" t="str">
        <x:v>Provision IDs preserved; legal force and parentage corrected.</x:v>
      </x:c>
    </x:row>
    <x:row r="1781">
      <x:c r="A1781" s="33" t="str">
        <x:v>PROV256</x:v>
      </x:c>
      <x:c r="B1781" s="33" t="str">
        <x:v>Provision Master</x:v>
      </x:c>
      <x:c r="C1781" s="33" t="str">
        <x:v>Active=Yes; Remarks=P-3 RECLASSIFIED: optional internal governance; not a statutory provision.</x:v>
      </x:c>
      <x:c r="D1781" s="33" t="str">
        <x:v>Active=No; Remarks=P-4 QUARANTINED: penalty/enabling provision, duplicate internal control, generic State/event/source placeholder, or non-pharmacy-role requirement. Legacy ID retained for traceability.</x:v>
      </x:c>
      <x:c r="E1781" s="33" t="str">
        <x:v>CORRECT / RECLASSIFY</x:v>
      </x:c>
      <x:c r="F1781" s="33" t="str">
        <x:v>Correct technical citations, remove false direct duties and reclassify non-statutory/entity controls.</x:v>
      </x:c>
      <x:c r="G1781" s="33" t="str">
        <x:v>P-4 official-source validation</x:v>
      </x:c>
      <x:c r="H178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81" s="33" t="str">
        <x:v>P-4</x:v>
      </x:c>
      <x:c r="J1781" s="33" t="str">
        <x:v>2026-08-20</x:v>
      </x:c>
      <x:c r="K1781" s="33" t="str">
        <x:v>Provision IDs preserved; legal force and parentage corrected.</x:v>
      </x:c>
    </x:row>
    <x:row r="1782">
      <x:c r="A1782" s="33" t="str">
        <x:v>PROV257</x:v>
      </x:c>
      <x:c r="B1782" s="33" t="str">
        <x:v>Provision Master</x:v>
      </x:c>
      <x:c r="C1782" s="33" t="str">
        <x:v>Active=Yes; Remarks=P-3 RECLASSIFIED: optional internal governance; not a statutory provision.</x:v>
      </x:c>
      <x:c r="D1782" s="33" t="str">
        <x:v>Active=No; Remarks=P-4 QUARANTINED: penalty/enabling provision, duplicate internal control, generic State/event/source placeholder, or non-pharmacy-role requirement. Legacy ID retained for traceability.</x:v>
      </x:c>
      <x:c r="E1782" s="33" t="str">
        <x:v>CORRECT / RECLASSIFY</x:v>
      </x:c>
      <x:c r="F1782" s="33" t="str">
        <x:v>Correct technical citations, remove false direct duties and reclassify non-statutory/entity controls.</x:v>
      </x:c>
      <x:c r="G1782" s="33" t="str">
        <x:v>P-4 official-source validation</x:v>
      </x:c>
      <x:c r="H178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82" s="33" t="str">
        <x:v>P-4</x:v>
      </x:c>
      <x:c r="J1782" s="33" t="str">
        <x:v>2026-08-20</x:v>
      </x:c>
      <x:c r="K1782" s="33" t="str">
        <x:v>Provision IDs preserved; legal force and parentage corrected.</x:v>
      </x:c>
    </x:row>
    <x:row r="1783">
      <x:c r="A1783" s="33" t="str">
        <x:v>PROV258</x:v>
      </x:c>
      <x:c r="B1783" s="33" t="str">
        <x:v>Provision Master</x:v>
      </x:c>
      <x:c r="C1783" s="33" t="str">
        <x:v>Active=Yes; Remarks=P-3 RECLASSIFIED: optional internal governance; not a statutory provision.</x:v>
      </x:c>
      <x:c r="D1783" s="33" t="str">
        <x:v>Active=No; Remarks=P-4 QUARANTINED: penalty/enabling provision, duplicate internal control, generic State/event/source placeholder, or non-pharmacy-role requirement. Legacy ID retained for traceability.</x:v>
      </x:c>
      <x:c r="E1783" s="33" t="str">
        <x:v>CORRECT / RECLASSIFY</x:v>
      </x:c>
      <x:c r="F1783" s="33" t="str">
        <x:v>Correct technical citations, remove false direct duties and reclassify non-statutory/entity controls.</x:v>
      </x:c>
      <x:c r="G1783" s="33" t="str">
        <x:v>P-4 official-source validation</x:v>
      </x:c>
      <x:c r="H178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83" s="33" t="str">
        <x:v>P-4</x:v>
      </x:c>
      <x:c r="J1783" s="33" t="str">
        <x:v>2026-08-20</x:v>
      </x:c>
      <x:c r="K1783" s="33" t="str">
        <x:v>Provision IDs preserved; legal force and parentage corrected.</x:v>
      </x:c>
    </x:row>
    <x:row r="1784">
      <x:c r="A1784" s="33" t="str">
        <x:v>PROV259</x:v>
      </x:c>
      <x:c r="B1784" s="33" t="str">
        <x:v>Provision Master</x:v>
      </x:c>
      <x:c r="C1784" s="33" t="str">
        <x:v>Active=Yes; Remarks=P-3 RECLASSIFIED: optional internal governance; not a statutory provision.</x:v>
      </x:c>
      <x:c r="D1784" s="33" t="str">
        <x:v>Active=No; Remarks=P-4 QUARANTINED: penalty/enabling provision, duplicate internal control, generic State/event/source placeholder, or non-pharmacy-role requirement. Legacy ID retained for traceability.</x:v>
      </x:c>
      <x:c r="E1784" s="33" t="str">
        <x:v>CORRECT / RECLASSIFY</x:v>
      </x:c>
      <x:c r="F1784" s="33" t="str">
        <x:v>Correct technical citations, remove false direct duties and reclassify non-statutory/entity controls.</x:v>
      </x:c>
      <x:c r="G1784" s="33" t="str">
        <x:v>P-4 official-source validation</x:v>
      </x:c>
      <x:c r="H178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84" s="33" t="str">
        <x:v>P-4</x:v>
      </x:c>
      <x:c r="J1784" s="33" t="str">
        <x:v>2026-08-20</x:v>
      </x:c>
      <x:c r="K1784" s="33" t="str">
        <x:v>Provision IDs preserved; legal force and parentage corrected.</x:v>
      </x:c>
    </x:row>
    <x:row r="1785">
      <x:c r="A1785" s="33" t="str">
        <x:v>PROV260</x:v>
      </x:c>
      <x:c r="B1785" s="33" t="str">
        <x:v>Provision Master</x:v>
      </x:c>
      <x:c r="C1785" s="33" t="str">
        <x:v>Active=Yes; Remarks=P-3 RECLASSIFIED: optional internal governance; not a statutory provision.</x:v>
      </x:c>
      <x:c r="D1785" s="33" t="str">
        <x:v>Active=No; Remarks=P-4 QUARANTINED: penalty/enabling provision, duplicate internal control, generic State/event/source placeholder, or non-pharmacy-role requirement. Legacy ID retained for traceability.</x:v>
      </x:c>
      <x:c r="E1785" s="33" t="str">
        <x:v>CORRECT / RECLASSIFY</x:v>
      </x:c>
      <x:c r="F1785" s="33" t="str">
        <x:v>Correct technical citations, remove false direct duties and reclassify non-statutory/entity controls.</x:v>
      </x:c>
      <x:c r="G1785" s="33" t="str">
        <x:v>P-4 official-source validation</x:v>
      </x:c>
      <x:c r="H178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85" s="33" t="str">
        <x:v>P-4</x:v>
      </x:c>
      <x:c r="J1785" s="33" t="str">
        <x:v>2026-08-20</x:v>
      </x:c>
      <x:c r="K1785" s="33" t="str">
        <x:v>Provision IDs preserved; legal force and parentage corrected.</x:v>
      </x:c>
    </x:row>
    <x:row r="1786">
      <x:c r="A1786" s="33" t="str">
        <x:v>PROV261</x:v>
      </x:c>
      <x:c r="B1786" s="33" t="str">
        <x:v>Provision Master</x:v>
      </x:c>
      <x:c r="C1786" s="33" t="str">
        <x:v>Active=Yes; Remarks=P-3 RECLASSIFIED: optional internal governance; not a statutory provision.</x:v>
      </x:c>
      <x:c r="D1786" s="33" t="str">
        <x:v>Active=No; Remarks=P-4 QUARANTINED: penalty/enabling provision, duplicate internal control, generic State/event/source placeholder, or non-pharmacy-role requirement. Legacy ID retained for traceability.</x:v>
      </x:c>
      <x:c r="E1786" s="33" t="str">
        <x:v>CORRECT / RECLASSIFY</x:v>
      </x:c>
      <x:c r="F1786" s="33" t="str">
        <x:v>Correct technical citations, remove false direct duties and reclassify non-statutory/entity controls.</x:v>
      </x:c>
      <x:c r="G1786" s="33" t="str">
        <x:v>P-4 official-source validation</x:v>
      </x:c>
      <x:c r="H178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86" s="33" t="str">
        <x:v>P-4</x:v>
      </x:c>
      <x:c r="J1786" s="33" t="str">
        <x:v>2026-08-20</x:v>
      </x:c>
      <x:c r="K1786" s="33" t="str">
        <x:v>Provision IDs preserved; legal force and parentage corrected.</x:v>
      </x:c>
    </x:row>
    <x:row r="1787">
      <x:c r="A1787" s="33" t="str">
        <x:v>PROV262</x:v>
      </x:c>
      <x:c r="B1787" s="33" t="str">
        <x:v>Provision Master</x:v>
      </x:c>
      <x:c r="C1787" s="33" t="str">
        <x:v>Active=Yes; Remarks=P-3 RECLASSIFIED: optional internal governance; not a statutory provision.</x:v>
      </x:c>
      <x:c r="D1787" s="33" t="str">
        <x:v>Active=No; Remarks=P-4 QUARANTINED: penalty/enabling provision, duplicate internal control, generic State/event/source placeholder, or non-pharmacy-role requirement. Legacy ID retained for traceability.</x:v>
      </x:c>
      <x:c r="E1787" s="33" t="str">
        <x:v>CORRECT / RECLASSIFY</x:v>
      </x:c>
      <x:c r="F1787" s="33" t="str">
        <x:v>Correct technical citations, remove false direct duties and reclassify non-statutory/entity controls.</x:v>
      </x:c>
      <x:c r="G1787" s="33" t="str">
        <x:v>P-4 official-source validation</x:v>
      </x:c>
      <x:c r="H178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87" s="33" t="str">
        <x:v>P-4</x:v>
      </x:c>
      <x:c r="J1787" s="33" t="str">
        <x:v>2026-08-20</x:v>
      </x:c>
      <x:c r="K1787" s="33" t="str">
        <x:v>Provision IDs preserved; legal force and parentage corrected.</x:v>
      </x:c>
    </x:row>
    <x:row r="1788">
      <x:c r="A1788" s="33" t="str">
        <x:v>PROV263</x:v>
      </x:c>
      <x:c r="B1788" s="33" t="str">
        <x:v>Provision Master</x:v>
      </x:c>
      <x:c r="C1788" s="33" t="str">
        <x:v>Active=Yes; Remarks=P-3 RECLASSIFIED: optional internal governance; not a statutory provision.</x:v>
      </x:c>
      <x:c r="D1788" s="33" t="str">
        <x:v>Active=No; Remarks=P-4 QUARANTINED: penalty/enabling provision, duplicate internal control, generic State/event/source placeholder, or non-pharmacy-role requirement. Legacy ID retained for traceability.</x:v>
      </x:c>
      <x:c r="E1788" s="33" t="str">
        <x:v>CORRECT / RECLASSIFY</x:v>
      </x:c>
      <x:c r="F1788" s="33" t="str">
        <x:v>Correct technical citations, remove false direct duties and reclassify non-statutory/entity controls.</x:v>
      </x:c>
      <x:c r="G1788" s="33" t="str">
        <x:v>P-4 official-source validation</x:v>
      </x:c>
      <x:c r="H178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88" s="33" t="str">
        <x:v>P-4</x:v>
      </x:c>
      <x:c r="J1788" s="33" t="str">
        <x:v>2026-08-20</x:v>
      </x:c>
      <x:c r="K1788" s="33" t="str">
        <x:v>Provision IDs preserved; legal force and parentage corrected.</x:v>
      </x:c>
    </x:row>
    <x:row r="1789">
      <x:c r="A1789" s="33" t="str">
        <x:v>PROV264</x:v>
      </x:c>
      <x:c r="B1789" s="33" t="str">
        <x:v>Provision Master</x:v>
      </x:c>
      <x:c r="C1789" s="33" t="str">
        <x:v>Active=Yes; Remarks=P-3 RECLASSIFIED: optional internal governance; not a statutory provision.</x:v>
      </x:c>
      <x:c r="D1789" s="33" t="str">
        <x:v>Active=No; Remarks=P-4 QUARANTINED: penalty/enabling provision, duplicate internal control, generic State/event/source placeholder, or non-pharmacy-role requirement. Legacy ID retained for traceability.</x:v>
      </x:c>
      <x:c r="E1789" s="33" t="str">
        <x:v>CORRECT / RECLASSIFY</x:v>
      </x:c>
      <x:c r="F1789" s="33" t="str">
        <x:v>Correct technical citations, remove false direct duties and reclassify non-statutory/entity controls.</x:v>
      </x:c>
      <x:c r="G1789" s="33" t="str">
        <x:v>P-4 official-source validation</x:v>
      </x:c>
      <x:c r="H178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89" s="33" t="str">
        <x:v>P-4</x:v>
      </x:c>
      <x:c r="J1789" s="33" t="str">
        <x:v>2026-08-20</x:v>
      </x:c>
      <x:c r="K1789" s="33" t="str">
        <x:v>Provision IDs preserved; legal force and parentage corrected.</x:v>
      </x:c>
    </x:row>
    <x:row r="1790">
      <x:c r="A1790" s="33" t="str">
        <x:v>PROV265</x:v>
      </x:c>
      <x:c r="B1790" s="33" t="str">
        <x:v>Provision Master</x:v>
      </x:c>
      <x:c r="C1790" s="33" t="str">
        <x:v>Active=Yes; Remarks=P-3 RECLASSIFIED: optional internal governance; not a statutory provision.</x:v>
      </x:c>
      <x:c r="D1790" s="33" t="str">
        <x:v>Active=No; Remarks=P-4 QUARANTINED: penalty/enabling provision, duplicate internal control, generic State/event/source placeholder, or non-pharmacy-role requirement. Legacy ID retained for traceability.</x:v>
      </x:c>
      <x:c r="E1790" s="33" t="str">
        <x:v>CORRECT / RECLASSIFY</x:v>
      </x:c>
      <x:c r="F1790" s="33" t="str">
        <x:v>Correct technical citations, remove false direct duties and reclassify non-statutory/entity controls.</x:v>
      </x:c>
      <x:c r="G1790" s="33" t="str">
        <x:v>P-4 official-source validation</x:v>
      </x:c>
      <x:c r="H179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90" s="33" t="str">
        <x:v>P-4</x:v>
      </x:c>
      <x:c r="J1790" s="33" t="str">
        <x:v>2026-08-20</x:v>
      </x:c>
      <x:c r="K1790" s="33" t="str">
        <x:v>Provision IDs preserved; legal force and parentage corrected.</x:v>
      </x:c>
    </x:row>
    <x:row r="1791">
      <x:c r="A1791" s="33" t="str">
        <x:v>PROV266</x:v>
      </x:c>
      <x:c r="B1791" s="33" t="str">
        <x:v>Provision Master</x:v>
      </x:c>
      <x:c r="C1791" s="33" t="str">
        <x:v>Active=Yes; Remarks=P-3 RECLASSIFIED: optional internal governance; not a statutory provision.</x:v>
      </x:c>
      <x:c r="D1791" s="33" t="str">
        <x:v>Active=No; Remarks=P-4 QUARANTINED: penalty/enabling provision, duplicate internal control, generic State/event/source placeholder, or non-pharmacy-role requirement. Legacy ID retained for traceability.</x:v>
      </x:c>
      <x:c r="E1791" s="33" t="str">
        <x:v>CORRECT / RECLASSIFY</x:v>
      </x:c>
      <x:c r="F1791" s="33" t="str">
        <x:v>Correct technical citations, remove false direct duties and reclassify non-statutory/entity controls.</x:v>
      </x:c>
      <x:c r="G1791" s="33" t="str">
        <x:v>P-4 official-source validation</x:v>
      </x:c>
      <x:c r="H179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91" s="33" t="str">
        <x:v>P-4</x:v>
      </x:c>
      <x:c r="J1791" s="33" t="str">
        <x:v>2026-08-20</x:v>
      </x:c>
      <x:c r="K1791" s="33" t="str">
        <x:v>Provision IDs preserved; legal force and parentage corrected.</x:v>
      </x:c>
    </x:row>
    <x:row r="1792">
      <x:c r="A1792" s="33" t="str">
        <x:v>PROV267</x:v>
      </x:c>
      <x:c r="B1792" s="33" t="str">
        <x:v>Provision Master</x:v>
      </x:c>
      <x:c r="C1792" s="33" t="str">
        <x:v>Active=Yes; Remarks=P-3 RECLASSIFIED: optional internal governance; not a statutory provision.</x:v>
      </x:c>
      <x:c r="D1792" s="33" t="str">
        <x:v>Active=No; Remarks=P-4 QUARANTINED: penalty/enabling provision, duplicate internal control, generic State/event/source placeholder, or non-pharmacy-role requirement. Legacy ID retained for traceability.</x:v>
      </x:c>
      <x:c r="E1792" s="33" t="str">
        <x:v>CORRECT / RECLASSIFY</x:v>
      </x:c>
      <x:c r="F1792" s="33" t="str">
        <x:v>Correct technical citations, remove false direct duties and reclassify non-statutory/entity controls.</x:v>
      </x:c>
      <x:c r="G1792" s="33" t="str">
        <x:v>P-4 official-source validation</x:v>
      </x:c>
      <x:c r="H179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92" s="33" t="str">
        <x:v>P-4</x:v>
      </x:c>
      <x:c r="J1792" s="33" t="str">
        <x:v>2026-08-20</x:v>
      </x:c>
      <x:c r="K1792" s="33" t="str">
        <x:v>Provision IDs preserved; legal force and parentage corrected.</x:v>
      </x:c>
    </x:row>
    <x:row r="1793">
      <x:c r="A1793" s="33" t="str">
        <x:v>PROV268</x:v>
      </x:c>
      <x:c r="B1793" s="33" t="str">
        <x:v>Provision Master</x:v>
      </x:c>
      <x:c r="C1793" s="33" t="str">
        <x:v>Active=Yes; Remarks=P-3 RECLASSIFIED: optional internal governance; not a statutory provision.</x:v>
      </x:c>
      <x:c r="D1793" s="33" t="str">
        <x:v>Active=No; Remarks=P-4 QUARANTINED: penalty/enabling provision, duplicate internal control, generic State/event/source placeholder, or non-pharmacy-role requirement. Legacy ID retained for traceability.</x:v>
      </x:c>
      <x:c r="E1793" s="33" t="str">
        <x:v>CORRECT / RECLASSIFY</x:v>
      </x:c>
      <x:c r="F1793" s="33" t="str">
        <x:v>Correct technical citations, remove false direct duties and reclassify non-statutory/entity controls.</x:v>
      </x:c>
      <x:c r="G1793" s="33" t="str">
        <x:v>P-4 official-source validation</x:v>
      </x:c>
      <x:c r="H179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93" s="33" t="str">
        <x:v>P-4</x:v>
      </x:c>
      <x:c r="J1793" s="33" t="str">
        <x:v>2026-08-20</x:v>
      </x:c>
      <x:c r="K1793" s="33" t="str">
        <x:v>Provision IDs preserved; legal force and parentage corrected.</x:v>
      </x:c>
    </x:row>
    <x:row r="1794">
      <x:c r="A1794" s="33" t="str">
        <x:v>PROV269</x:v>
      </x:c>
      <x:c r="B1794" s="33" t="str">
        <x:v>Provision Master</x:v>
      </x:c>
      <x:c r="C1794" s="33" t="str">
        <x:v>Active=Yes; Remarks=P-3 RECLASSIFIED: optional internal governance; not a statutory provision.</x:v>
      </x:c>
      <x:c r="D1794" s="33" t="str">
        <x:v>Active=No; Remarks=P-4 QUARANTINED: penalty/enabling provision, duplicate internal control, generic State/event/source placeholder, or non-pharmacy-role requirement. Legacy ID retained for traceability.</x:v>
      </x:c>
      <x:c r="E1794" s="33" t="str">
        <x:v>CORRECT / RECLASSIFY</x:v>
      </x:c>
      <x:c r="F1794" s="33" t="str">
        <x:v>Correct technical citations, remove false direct duties and reclassify non-statutory/entity controls.</x:v>
      </x:c>
      <x:c r="G1794" s="33" t="str">
        <x:v>P-4 official-source validation</x:v>
      </x:c>
      <x:c r="H179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94" s="33" t="str">
        <x:v>P-4</x:v>
      </x:c>
      <x:c r="J1794" s="33" t="str">
        <x:v>2026-08-20</x:v>
      </x:c>
      <x:c r="K1794" s="33" t="str">
        <x:v>Provision IDs preserved; legal force and parentage corrected.</x:v>
      </x:c>
    </x:row>
    <x:row r="1795">
      <x:c r="A1795" s="33" t="str">
        <x:v>PROV270</x:v>
      </x:c>
      <x:c r="B1795" s="33" t="str">
        <x:v>Provision Master</x:v>
      </x:c>
      <x:c r="C1795" s="33" t="str">
        <x:v>Active=Yes; Remarks=P-3 RECLASSIFIED: optional internal governance; not a statutory provision.</x:v>
      </x:c>
      <x:c r="D1795" s="33" t="str">
        <x:v>Active=No; Remarks=P-4 QUARANTINED: penalty/enabling provision, duplicate internal control, generic State/event/source placeholder, or non-pharmacy-role requirement. Legacy ID retained for traceability.</x:v>
      </x:c>
      <x:c r="E1795" s="33" t="str">
        <x:v>CORRECT / RECLASSIFY</x:v>
      </x:c>
      <x:c r="F1795" s="33" t="str">
        <x:v>Correct technical citations, remove false direct duties and reclassify non-statutory/entity controls.</x:v>
      </x:c>
      <x:c r="G1795" s="33" t="str">
        <x:v>P-4 official-source validation</x:v>
      </x:c>
      <x:c r="H179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95" s="33" t="str">
        <x:v>P-4</x:v>
      </x:c>
      <x:c r="J1795" s="33" t="str">
        <x:v>2026-08-20</x:v>
      </x:c>
      <x:c r="K1795" s="33" t="str">
        <x:v>Provision IDs preserved; legal force and parentage corrected.</x:v>
      </x:c>
    </x:row>
    <x:row r="1796">
      <x:c r="A1796" s="33" t="str">
        <x:v>PROV271</x:v>
      </x:c>
      <x:c r="B1796" s="33" t="str">
        <x:v>Provision Master</x:v>
      </x:c>
      <x:c r="C1796" s="33" t="str">
        <x:v>Active=Yes; Remarks=P-3 RECLASSIFIED: optional internal governance; not a statutory provision.</x:v>
      </x:c>
      <x:c r="D1796" s="33" t="str">
        <x:v>Active=No; Remarks=P-4 QUARANTINED: penalty/enabling provision, duplicate internal control, generic State/event/source placeholder, or non-pharmacy-role requirement. Legacy ID retained for traceability.</x:v>
      </x:c>
      <x:c r="E1796" s="33" t="str">
        <x:v>CORRECT / RECLASSIFY</x:v>
      </x:c>
      <x:c r="F1796" s="33" t="str">
        <x:v>Correct technical citations, remove false direct duties and reclassify non-statutory/entity controls.</x:v>
      </x:c>
      <x:c r="G1796" s="33" t="str">
        <x:v>P-4 official-source validation</x:v>
      </x:c>
      <x:c r="H179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96" s="33" t="str">
        <x:v>P-4</x:v>
      </x:c>
      <x:c r="J1796" s="33" t="str">
        <x:v>2026-08-20</x:v>
      </x:c>
      <x:c r="K1796" s="33" t="str">
        <x:v>Provision IDs preserved; legal force and parentage corrected.</x:v>
      </x:c>
    </x:row>
    <x:row r="1797">
      <x:c r="A1797" s="33" t="str">
        <x:v>PROV272</x:v>
      </x:c>
      <x:c r="B1797" s="33" t="str">
        <x:v>Provision Master</x:v>
      </x:c>
      <x:c r="C1797" s="33" t="str">
        <x:v>Active=Yes; Remarks=P-3 RECLASSIFIED: optional internal governance; not a statutory provision.</x:v>
      </x:c>
      <x:c r="D1797" s="33" t="str">
        <x:v>Active=No; Remarks=P-4 QUARANTINED: penalty/enabling provision, duplicate internal control, generic State/event/source placeholder, or non-pharmacy-role requirement. Legacy ID retained for traceability.</x:v>
      </x:c>
      <x:c r="E1797" s="33" t="str">
        <x:v>CORRECT / RECLASSIFY</x:v>
      </x:c>
      <x:c r="F1797" s="33" t="str">
        <x:v>Correct technical citations, remove false direct duties and reclassify non-statutory/entity controls.</x:v>
      </x:c>
      <x:c r="G1797" s="33" t="str">
        <x:v>P-4 official-source validation</x:v>
      </x:c>
      <x:c r="H179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97" s="33" t="str">
        <x:v>P-4</x:v>
      </x:c>
      <x:c r="J1797" s="33" t="str">
        <x:v>2026-08-20</x:v>
      </x:c>
      <x:c r="K1797" s="33" t="str">
        <x:v>Provision IDs preserved; legal force and parentage corrected.</x:v>
      </x:c>
    </x:row>
    <x:row r="1798">
      <x:c r="A1798" s="33" t="str">
        <x:v>PROV273</x:v>
      </x:c>
      <x:c r="B1798" s="33" t="str">
        <x:v>Provision Master</x:v>
      </x:c>
      <x:c r="C1798" s="33" t="str">
        <x:v>Active=Yes; Remarks=P-3 RECLASSIFIED: optional internal governance; not a statutory provision.</x:v>
      </x:c>
      <x:c r="D1798" s="33" t="str">
        <x:v>Active=No; Remarks=P-4 QUARANTINED: penalty/enabling provision, duplicate internal control, generic State/event/source placeholder, or non-pharmacy-role requirement. Legacy ID retained for traceability.</x:v>
      </x:c>
      <x:c r="E1798" s="33" t="str">
        <x:v>CORRECT / RECLASSIFY</x:v>
      </x:c>
      <x:c r="F1798" s="33" t="str">
        <x:v>Correct technical citations, remove false direct duties and reclassify non-statutory/entity controls.</x:v>
      </x:c>
      <x:c r="G1798" s="33" t="str">
        <x:v>P-4 official-source validation</x:v>
      </x:c>
      <x:c r="H179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98" s="33" t="str">
        <x:v>P-4</x:v>
      </x:c>
      <x:c r="J1798" s="33" t="str">
        <x:v>2026-08-20</x:v>
      </x:c>
      <x:c r="K1798" s="33" t="str">
        <x:v>Provision IDs preserved; legal force and parentage corrected.</x:v>
      </x:c>
    </x:row>
    <x:row r="1799">
      <x:c r="A1799" s="33" t="str">
        <x:v>PROV274</x:v>
      </x:c>
      <x:c r="B1799" s="33" t="str">
        <x:v>Provision Master</x:v>
      </x:c>
      <x:c r="C1799" s="33" t="str">
        <x:v>Active=Yes; Remarks=P-3 RECLASSIFIED: optional internal governance; not a statutory provision.</x:v>
      </x:c>
      <x:c r="D1799" s="33" t="str">
        <x:v>Active=No; Remarks=P-4 QUARANTINED: penalty/enabling provision, duplicate internal control, generic State/event/source placeholder, or non-pharmacy-role requirement. Legacy ID retained for traceability.</x:v>
      </x:c>
      <x:c r="E1799" s="33" t="str">
        <x:v>CORRECT / RECLASSIFY</x:v>
      </x:c>
      <x:c r="F1799" s="33" t="str">
        <x:v>Correct technical citations, remove false direct duties and reclassify non-statutory/entity controls.</x:v>
      </x:c>
      <x:c r="G1799" s="33" t="str">
        <x:v>P-4 official-source validation</x:v>
      </x:c>
      <x:c r="H179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799" s="33" t="str">
        <x:v>P-4</x:v>
      </x:c>
      <x:c r="J1799" s="33" t="str">
        <x:v>2026-08-20</x:v>
      </x:c>
      <x:c r="K1799" s="33" t="str">
        <x:v>Provision IDs preserved; legal force and parentage corrected.</x:v>
      </x:c>
    </x:row>
    <x:row r="1800">
      <x:c r="A1800" s="33" t="str">
        <x:v>PROV275</x:v>
      </x:c>
      <x:c r="B1800" s="33" t="str">
        <x:v>Provision Master</x:v>
      </x:c>
      <x:c r="C1800" s="33" t="str">
        <x:v>Active=Yes; Remarks=P-3 RECLASSIFIED: optional internal governance; not a statutory provision.</x:v>
      </x:c>
      <x:c r="D1800" s="33" t="str">
        <x:v>Active=No; Remarks=P-4 QUARANTINED: penalty/enabling provision, duplicate internal control, generic State/event/source placeholder, or non-pharmacy-role requirement. Legacy ID retained for traceability.</x:v>
      </x:c>
      <x:c r="E1800" s="33" t="str">
        <x:v>CORRECT / RECLASSIFY</x:v>
      </x:c>
      <x:c r="F1800" s="33" t="str">
        <x:v>Correct technical citations, remove false direct duties and reclassify non-statutory/entity controls.</x:v>
      </x:c>
      <x:c r="G1800" s="33" t="str">
        <x:v>P-4 official-source validation</x:v>
      </x:c>
      <x:c r="H180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00" s="33" t="str">
        <x:v>P-4</x:v>
      </x:c>
      <x:c r="J1800" s="33" t="str">
        <x:v>2026-08-20</x:v>
      </x:c>
      <x:c r="K1800" s="33" t="str">
        <x:v>Provision IDs preserved; legal force and parentage corrected.</x:v>
      </x:c>
    </x:row>
    <x:row r="1801">
      <x:c r="A1801" s="33" t="str">
        <x:v>COMP007</x:v>
      </x:c>
      <x:c r="B1801" s="33" t="str">
        <x:v>Compliance Requirement Master</x:v>
      </x:c>
      <x:c r="C1801" s="33" t="str">
        <x:v>Provision ID=PROV006; Compliance Requirement=Prevent sale or distribution of drugs in contravention of statutory provisions.; Remarks=Penal provision</x:v>
      </x:c>
      <x:c r="D1801" s="33" t="str">
        <x:v>Provision ID=PROV001; Compliance Requirement=Prevent sale, stock, exhibition, offer for sale or distribution of drugs in contravention of Section 18.; Remarks=P-4 reparented from penalty Section 27 to the substantive prohibition.</x:v>
      </x:c>
      <x:c r="E1801" s="33" t="str">
        <x:v>CORRECT / RECLASSIFY</x:v>
      </x:c>
      <x:c r="F1801" s="33" t="str">
        <x:v>Align requirements to corrected substantive provisions and applicability classifications.</x:v>
      </x:c>
      <x:c r="G1801" s="33" t="str">
        <x:v>P-4 official-source validation</x:v>
      </x:c>
      <x:c r="H180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01" s="33" t="str">
        <x:v>P-4</x:v>
      </x:c>
      <x:c r="J1801" s="33" t="str">
        <x:v>2026-08-20</x:v>
      </x:c>
      <x:c r="K1801" s="33" t="str">
        <x:v>Compliance IDs preserved; mandatory/conditional/optional status corrected.</x:v>
      </x:c>
    </x:row>
    <x:row r="1802">
      <x:c r="A1802" s="33" t="str">
        <x:v>COMP008</x:v>
      </x:c>
      <x:c r="B1802" s="33" t="str">
        <x:v>Compliance Requirement Master</x:v>
      </x:c>
      <x:c r="C1802" s="33" t="str">
        <x:v>Provision ID=PROV007; Compliance Requirement=Ensure cosmetics offered for sale comply with applicable legal requirements.; Remarks=Applicable only where cosmetics are sold</x:v>
      </x:c>
      <x:c r="D1802" s="33" t="str">
        <x:v>Provision ID=PROV106; Compliance Requirement=Ensure every cosmetic offered for sale or distribution complies with Rule 33 and the applicable origin, licensing, quality and labelling requirements.; Remarks=P-4 reparented from penalty Section 27A to Cosmetics Rules Rule 33.</x:v>
      </x:c>
      <x:c r="E1802" s="33" t="str">
        <x:v>CORRECT / RECLASSIFY</x:v>
      </x:c>
      <x:c r="F1802" s="33" t="str">
        <x:v>Align requirements to corrected substantive provisions and applicability classifications.</x:v>
      </x:c>
      <x:c r="G1802" s="33" t="str">
        <x:v>P-4 official-source validation</x:v>
      </x:c>
      <x:c r="H180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02" s="33" t="str">
        <x:v>P-4</x:v>
      </x:c>
      <x:c r="J1802" s="33" t="str">
        <x:v>2026-08-20</x:v>
      </x:c>
      <x:c r="K1802" s="33" t="str">
        <x:v>Compliance IDs preserved; mandatory/conditional/optional status corrected.</x:v>
      </x:c>
    </x:row>
    <x:row r="1803">
      <x:c r="A1803" s="33" t="str">
        <x:v>COMP009</x:v>
      </x:c>
      <x:c r="B1803" s="33" t="str">
        <x:v>Compliance Requirement Master</x:v>
      </x:c>
      <x:c r="C1803" s="33" t="str">
        <x:v>Provision ID=PROV008; Compliance Requirement=Furnish information required by the licensing authority whenever lawfully demanded.; Remarks=Regulatory reporting</x:v>
      </x:c>
      <x:c r="D1803" s="33" t="str">
        <x:v>Provision ID=PROV002; Compliance Requirement=Furnish manufacturer/source information lawfully required under Section 18A.; Remarks=P-4 reparented from penalty Section 28 to the substantive information duty.</x:v>
      </x:c>
      <x:c r="E1803" s="33" t="str">
        <x:v>CORRECT / RECLASSIFY</x:v>
      </x:c>
      <x:c r="F1803" s="33" t="str">
        <x:v>Align requirements to corrected substantive provisions and applicability classifications.</x:v>
      </x:c>
      <x:c r="G1803" s="33" t="str">
        <x:v>P-4 official-source validation</x:v>
      </x:c>
      <x:c r="H180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03" s="33" t="str">
        <x:v>P-4</x:v>
      </x:c>
      <x:c r="J1803" s="33" t="str">
        <x:v>2026-08-20</x:v>
      </x:c>
      <x:c r="K1803" s="33" t="str">
        <x:v>Compliance IDs preserved; mandatory/conditional/optional status corrected.</x:v>
      </x:c>
    </x:row>
    <x:row r="1804">
      <x:c r="A1804" s="33" t="str">
        <x:v>COMP010</x:v>
      </x:c>
      <x:c r="B1804" s="33" t="str">
        <x:v>Compliance Requirement Master</x:v>
      </x:c>
      <x:c r="C1804" s="33" t="str">
        <x:v>Provision ID=PROV009; Compliance Requirement=Ensure statutory documents are complete, accurate and available for verification.; Remarks=Documentation completeness</x:v>
      </x:c>
      <x:c r="D1804" s="33" t="str">
        <x:v>Provision ID=PROV003; Compliance Requirement=Maintain prescribed records and furnish information required under Section 18B.; Remarks=P-4 reparented from penalty Section 28A to the substantive record duty.</x:v>
      </x:c>
      <x:c r="E1804" s="33" t="str">
        <x:v>CORRECT / RECLASSIFY</x:v>
      </x:c>
      <x:c r="F1804" s="33" t="str">
        <x:v>Align requirements to corrected substantive provisions and applicability classifications.</x:v>
      </x:c>
      <x:c r="G1804" s="33" t="str">
        <x:v>P-4 official-source validation</x:v>
      </x:c>
      <x:c r="H180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04" s="33" t="str">
        <x:v>P-4</x:v>
      </x:c>
      <x:c r="J1804" s="33" t="str">
        <x:v>2026-08-20</x:v>
      </x:c>
      <x:c r="K1804" s="33" t="str">
        <x:v>Compliance IDs preserved; mandatory/conditional/optional status corrected.</x:v>
      </x:c>
    </x:row>
    <x:row r="1805">
      <x:c r="A1805" s="33" t="str">
        <x:v>COMP027</x:v>
      </x:c>
      <x:c r="B1805" s="33" t="str">
        <x:v>Compliance Requirement Master</x:v>
      </x:c>
      <x:c r="C1805" s="33" t="str">
        <x:v>Applicability=Mandatory; Compliance Requirement=Verify and maintain evidence of valid registration in the State Pharmacy Register for all practising pharmacists.; Remarks=Registration renewal monitoring</x:v>
      </x:c>
      <x:c r="D1805" s="33" t="str">
        <x:v>Applicability=Optional; Compliance Requirement=Verify and retain evidence of each practising pharmacist's current State Register entry as an internal control supporting the operative registration and dispensing duties.; Remarks=Best-practice employer verification; the pharmacist's statutory registration and Section 42 control remain mandatory.</x:v>
      </x:c>
      <x:c r="E1805" s="33" t="str">
        <x:v>CORRECT / RECLASSIFY</x:v>
      </x:c>
      <x:c r="F1805" s="33" t="str">
        <x:v>Align requirements to corrected substantive provisions and applicability classifications.</x:v>
      </x:c>
      <x:c r="G1805" s="33" t="str">
        <x:v>P-4 official-source validation</x:v>
      </x:c>
      <x:c r="H180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05" s="33" t="str">
        <x:v>P-4</x:v>
      </x:c>
      <x:c r="J1805" s="33" t="str">
        <x:v>2026-08-20</x:v>
      </x:c>
      <x:c r="K1805" s="33" t="str">
        <x:v>Compliance IDs preserved; mandatory/conditional/optional status corrected.</x:v>
      </x:c>
    </x:row>
    <x:row r="1806">
      <x:c r="A1806" s="33" t="str">
        <x:v>COMP031</x:v>
      </x:c>
      <x:c r="B1806" s="33" t="str">
        <x:v>Compliance Requirement Master</x:v>
      </x:c>
      <x:c r="C1806" s="33" t="str">
        <x:v>Compliance Requirement=Ensure scheduled formulations are not sold above the NPPA notified ceiling price.; Applicability=Conditional; Frequency=Continuous</x:v>
      </x:c>
      <x:c r="D1806" s="33" t="str">
        <x:v>Compliance Requirement=Display the current scheduled-formulation price list and supplementary list conspicuously at the premises.; Applicability=Conditional; Frequency=On notification / Continuous</x:v>
      </x:c>
      <x:c r="E1806" s="33" t="str">
        <x:v>CORRECT / RECLASSIFY</x:v>
      </x:c>
      <x:c r="F1806" s="33" t="str">
        <x:v>Align requirements to corrected substantive provisions and applicability classifications.</x:v>
      </x:c>
      <x:c r="G1806" s="33" t="str">
        <x:v>P-4 official-source validation</x:v>
      </x:c>
      <x:c r="H180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06" s="33" t="str">
        <x:v>P-4</x:v>
      </x:c>
      <x:c r="J1806" s="33" t="str">
        <x:v>2026-08-20</x:v>
      </x:c>
      <x:c r="K1806" s="33" t="str">
        <x:v>Compliance IDs preserved; mandatory/conditional/optional status corrected.</x:v>
      </x:c>
    </x:row>
    <x:row r="1807">
      <x:c r="A1807" s="33" t="str">
        <x:v>COMP032</x:v>
      </x:c>
      <x:c r="B1807" s="33" t="str">
        <x:v>Compliance Requirement Master</x:v>
      </x:c>
      <x:c r="C1807" s="33" t="str">
        <x:v>Compliance Requirement=Calculate retail prices in accordance with applicable pricing provisions.; Applicability=Conditional; Frequency=Continuous</x:v>
      </x:c>
      <x:c r="D1807" s="33" t="str">
        <x:v>Compliance Requirement=Display the current non-scheduled-formulation price list conspicuously at the premises.; Applicability=Conditional; Frequency=On revision / Continuous</x:v>
      </x:c>
      <x:c r="E1807" s="33" t="str">
        <x:v>CORRECT / RECLASSIFY</x:v>
      </x:c>
      <x:c r="F1807" s="33" t="str">
        <x:v>Align requirements to corrected substantive provisions and applicability classifications.</x:v>
      </x:c>
      <x:c r="G1807" s="33" t="str">
        <x:v>P-4 official-source validation</x:v>
      </x:c>
      <x:c r="H180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07" s="33" t="str">
        <x:v>P-4</x:v>
      </x:c>
      <x:c r="J1807" s="33" t="str">
        <x:v>2026-08-20</x:v>
      </x:c>
      <x:c r="K1807" s="33" t="str">
        <x:v>Compliance IDs preserved; mandatory/conditional/optional status corrected.</x:v>
      </x:c>
    </x:row>
    <x:row r="1808">
      <x:c r="A1808" s="33" t="str">
        <x:v>COMP033</x:v>
      </x:c>
      <x:c r="B1808" s="33" t="str">
        <x:v>Compliance Requirement Master</x:v>
      </x:c>
      <x:c r="C1808" s="33" t="str">
        <x:v>Compliance Requirement=Display the latest NPPA price list at the pharmacy wherever applicable.; Applicability=Conditional; Frequency=As Notified</x:v>
      </x:c>
      <x:c r="D1808" s="33" t="str">
        <x:v>Compliance Requirement=Do not sell a formulation above the lower of the current price-list price or label price, plus applicable local taxes.; Applicability=Mandatory; Frequency=Per transaction</x:v>
      </x:c>
      <x:c r="E1808" s="33" t="str">
        <x:v>CORRECT / RECLASSIFY</x:v>
      </x:c>
      <x:c r="F1808" s="33" t="str">
        <x:v>Align requirements to corrected substantive provisions and applicability classifications.</x:v>
      </x:c>
      <x:c r="G1808" s="33" t="str">
        <x:v>P-4 official-source validation</x:v>
      </x:c>
      <x:c r="H180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08" s="33" t="str">
        <x:v>P-4</x:v>
      </x:c>
      <x:c r="J1808" s="33" t="str">
        <x:v>2026-08-20</x:v>
      </x:c>
      <x:c r="K1808" s="33" t="str">
        <x:v>Compliance IDs preserved; mandatory/conditional/optional status corrected.</x:v>
      </x:c>
    </x:row>
    <x:row r="1809">
      <x:c r="A1809" s="33" t="str">
        <x:v>COMP034</x:v>
      </x:c>
      <x:c r="B1809" s="33" t="str">
        <x:v>Compliance Requirement Master</x:v>
      </x:c>
      <x:c r="C1809" s="33" t="str">
        <x:v>Compliance Requirement=Maintain records supporting drug price compliance and price revisions.; Applicability=Conditional; Frequency=Continuous</x:v>
      </x:c>
      <x:c r="D1809" s="33" t="str">
        <x:v>Compliance Requirement=When selling a split quantity, charge no more than the pro-rata price for that quantity.; Applicability=Conditional; Frequency=Per split-pack transaction</x:v>
      </x:c>
      <x:c r="E1809" s="33" t="str">
        <x:v>CORRECT / RECLASSIFY</x:v>
      </x:c>
      <x:c r="F1809" s="33" t="str">
        <x:v>Align requirements to corrected substantive provisions and applicability classifications.</x:v>
      </x:c>
      <x:c r="G1809" s="33" t="str">
        <x:v>P-4 official-source validation</x:v>
      </x:c>
      <x:c r="H180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09" s="33" t="str">
        <x:v>P-4</x:v>
      </x:c>
      <x:c r="J1809" s="33" t="str">
        <x:v>2026-08-20</x:v>
      </x:c>
      <x:c r="K1809" s="33" t="str">
        <x:v>Compliance IDs preserved; mandatory/conditional/optional status corrected.</x:v>
      </x:c>
    </x:row>
    <x:row r="1810">
      <x:c r="A1810" s="33" t="str">
        <x:v>COMP035</x:v>
      </x:c>
      <x:c r="B1810" s="33" t="str">
        <x:v>Compliance Requirement Master</x:v>
      </x:c>
      <x:c r="C1810" s="33" t="str">
        <x:v>Compliance Requirement=Submit information or returns required by NPPA within prescribed timelines.; Applicability=Conditional; Frequency=Event Based</x:v>
      </x:c>
      <x:c r="D1810" s="33" t="str">
        <x:v>Compliance Requirement=Do not withhold or refuse sale of a formulation that is available for sale to a customer.; Applicability=Mandatory; Frequency=Per transaction</x:v>
      </x:c>
      <x:c r="E1810" s="33" t="str">
        <x:v>CORRECT / RECLASSIFY</x:v>
      </x:c>
      <x:c r="F1810" s="33" t="str">
        <x:v>Align requirements to corrected substantive provisions and applicability classifications.</x:v>
      </x:c>
      <x:c r="G1810" s="33" t="str">
        <x:v>P-4 official-source validation</x:v>
      </x:c>
      <x:c r="H181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10" s="33" t="str">
        <x:v>P-4</x:v>
      </x:c>
      <x:c r="J1810" s="33" t="str">
        <x:v>2026-08-20</x:v>
      </x:c>
      <x:c r="K1810" s="33" t="str">
        <x:v>Compliance IDs preserved; mandatory/conditional/optional status corrected.</x:v>
      </x:c>
    </x:row>
    <x:row r="1811">
      <x:c r="A1811" s="33" t="str">
        <x:v>COMP041</x:v>
      </x:c>
      <x:c r="B1811" s="33" t="str">
        <x:v>Compliance Requirement Master</x:v>
      </x:c>
      <x:c r="C1811" s="33" t="str">
        <x:v>Compliance Requirement=Maintain valid authorization for possession and sale of Essential Narcotic Drugs, where applicable.; Applicability=Conditional</x:v>
      </x:c>
      <x:c r="D1811" s="33" t="str">
        <x:v>Compliance Requirement=Possess Essential Narcotic Drugs only under authorization permitted by Rule 52A.; Applicability=Conditional</x:v>
      </x:c>
      <x:c r="E1811" s="33" t="str">
        <x:v>CORRECT / RECLASSIFY</x:v>
      </x:c>
      <x:c r="F1811" s="33" t="str">
        <x:v>Align requirements to corrected substantive provisions and applicability classifications.</x:v>
      </x:c>
      <x:c r="G1811" s="33" t="str">
        <x:v>P-4 official-source validation</x:v>
      </x:c>
      <x:c r="H181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11" s="33" t="str">
        <x:v>P-4</x:v>
      </x:c>
      <x:c r="J1811" s="33" t="str">
        <x:v>2026-08-20</x:v>
      </x:c>
      <x:c r="K1811" s="33" t="str">
        <x:v>Compliance IDs preserved; mandatory/conditional/optional status corrected.</x:v>
      </x:c>
    </x:row>
    <x:row r="1812">
      <x:c r="A1812" s="33" t="str">
        <x:v>COMP042</x:v>
      </x:c>
      <x:c r="B1812" s="33" t="str">
        <x:v>Compliance Requirement Master</x:v>
      </x:c>
      <x:c r="C1812" s="33" t="str">
        <x:v>Compliance Requirement=Maintain statutory registers for Essential Narcotic Drugs accurately and completely.; Applicability=Conditional</x:v>
      </x:c>
      <x:c r="D1812" s="33" t="str">
        <x:v>Compliance Requirement=Maintain the applicable State licence as a dealer or chemist for possession and sale of Essential Narcotic Drugs and comply with its conditions.; Applicability=Conditional</x:v>
      </x:c>
      <x:c r="E1812" s="33" t="str">
        <x:v>CORRECT / RECLASSIFY</x:v>
      </x:c>
      <x:c r="F1812" s="33" t="str">
        <x:v>Align requirements to corrected substantive provisions and applicability classifications.</x:v>
      </x:c>
      <x:c r="G1812" s="33" t="str">
        <x:v>P-4 official-source validation</x:v>
      </x:c>
      <x:c r="H181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12" s="33" t="str">
        <x:v>P-4</x:v>
      </x:c>
      <x:c r="J1812" s="33" t="str">
        <x:v>2026-08-20</x:v>
      </x:c>
      <x:c r="K1812" s="33" t="str">
        <x:v>Compliance IDs preserved; mandatory/conditional/optional status corrected.</x:v>
      </x:c>
    </x:row>
    <x:row r="1813">
      <x:c r="A1813" s="33" t="str">
        <x:v>COMP043</x:v>
      </x:c>
      <x:c r="B1813" s="33" t="str">
        <x:v>Compliance Requirement Master</x:v>
      </x:c>
      <x:c r="C1813" s="33" t="str">
        <x:v>Compliance Requirement=Dispense Essential Narcotic Drugs only against legally valid prescriptions.; Applicability=Conditional; Frequency=Continuous</x:v>
      </x:c>
      <x:c r="D1813" s="33" t="str">
        <x:v>Compliance Requirement=Sell an Essential Narcotic Drug only against a legally valid prescription and in accordance with the Drugs Rules, 1945.; Applicability=Conditional; Frequency=Per transaction</x:v>
      </x:c>
      <x:c r="E1813" s="33" t="str">
        <x:v>CORRECT / RECLASSIFY</x:v>
      </x:c>
      <x:c r="F1813" s="33" t="str">
        <x:v>Align requirements to corrected substantive provisions and applicability classifications.</x:v>
      </x:c>
      <x:c r="G1813" s="33" t="str">
        <x:v>P-4 official-source validation</x:v>
      </x:c>
      <x:c r="H181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13" s="33" t="str">
        <x:v>P-4</x:v>
      </x:c>
      <x:c r="J1813" s="33" t="str">
        <x:v>2026-08-20</x:v>
      </x:c>
      <x:c r="K1813" s="33" t="str">
        <x:v>Compliance IDs preserved; mandatory/conditional/optional status corrected.</x:v>
      </x:c>
    </x:row>
    <x:row r="1814">
      <x:c r="A1814" s="33" t="str">
        <x:v>COMP044</x:v>
      </x:c>
      <x:c r="B1814" s="33" t="str">
        <x:v>Compliance Requirement Master</x:v>
      </x:c>
      <x:c r="C1814" s="33" t="str">
        <x:v>Compliance Requirement=Store narcotic medicines securely with restricted authorized access.; Applicability=Conditional</x:v>
      </x:c>
      <x:c r="D1814" s="33" t="str">
        <x:v>Compliance Requirement=Ensure each applicable Essential Narcotic Drug consignment has the prescribed Form 3C documentation and retain supporting documents for two years.; Applicability=Conditional</x:v>
      </x:c>
      <x:c r="E1814" s="33" t="str">
        <x:v>CORRECT / RECLASSIFY</x:v>
      </x:c>
      <x:c r="F1814" s="33" t="str">
        <x:v>Align requirements to corrected substantive provisions and applicability classifications.</x:v>
      </x:c>
      <x:c r="G1814" s="33" t="str">
        <x:v>P-4 official-source validation</x:v>
      </x:c>
      <x:c r="H181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14" s="33" t="str">
        <x:v>P-4</x:v>
      </x:c>
      <x:c r="J1814" s="33" t="str">
        <x:v>2026-08-20</x:v>
      </x:c>
      <x:c r="K1814" s="33" t="str">
        <x:v>Compliance IDs preserved; mandatory/conditional/optional status corrected.</x:v>
      </x:c>
    </x:row>
    <x:row r="1815">
      <x:c r="A1815" s="33" t="str">
        <x:v>COMP045</x:v>
      </x:c>
      <x:c r="B1815" s="33" t="str">
        <x:v>Compliance Requirement Master</x:v>
      </x:c>
      <x:c r="C1815" s="33" t="str">
        <x:v>Compliance Requirement=Dispose of expired or unusable narcotic medicines strictly in accordance with statutory procedures.; Applicability=Conditional; Frequency=Event Based</x:v>
      </x:c>
      <x:c r="D1815" s="33" t="str">
        <x:v>Compliance Requirement=Complete the prescribed declaration/documentation and account-book entries for transmission of Essential Narcotic Drugs by post, courier, rail or road.; Applicability=Conditional; Frequency=Per consignment</x:v>
      </x:c>
      <x:c r="E1815" s="33" t="str">
        <x:v>CORRECT / RECLASSIFY</x:v>
      </x:c>
      <x:c r="F1815" s="33" t="str">
        <x:v>Align requirements to corrected substantive provisions and applicability classifications.</x:v>
      </x:c>
      <x:c r="G1815" s="33" t="str">
        <x:v>P-4 official-source validation</x:v>
      </x:c>
      <x:c r="H181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15" s="33" t="str">
        <x:v>P-4</x:v>
      </x:c>
      <x:c r="J1815" s="33" t="str">
        <x:v>2026-08-20</x:v>
      </x:c>
      <x:c r="K1815" s="33" t="str">
        <x:v>Compliance IDs preserved; mandatory/conditional/optional status corrected.</x:v>
      </x:c>
    </x:row>
    <x:row r="1816">
      <x:c r="A1816" s="33" t="str">
        <x:v>COMP101</x:v>
      </x:c>
      <x:c r="B1816" s="33" t="str">
        <x:v>Compliance Requirement Master</x:v>
      </x:c>
      <x:c r="C1816" s="33" t="str">
        <x:v>Compliance Requirement=Obtain and maintain the required licence or authorization before stocking or selling notified medical devices.; Applicability=Conditional</x:v>
      </x:c>
      <x:c r="D1816" s="33" t="str">
        <x:v>Compliance Requirement=Hold the applicable Drugs Rules sale licence or, for an exclusive medical-device seller without that licence, obtain and maintain Form MD-42 registration.; Applicability=Conditional</x:v>
      </x:c>
      <x:c r="E1816" s="33" t="str">
        <x:v>CORRECT / RECLASSIFY</x:v>
      </x:c>
      <x:c r="F1816" s="33" t="str">
        <x:v>Align requirements to corrected substantive provisions and applicability classifications.</x:v>
      </x:c>
      <x:c r="G1816" s="33" t="str">
        <x:v>P-4 official-source validation</x:v>
      </x:c>
      <x:c r="H181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16" s="33" t="str">
        <x:v>P-4</x:v>
      </x:c>
      <x:c r="J1816" s="33" t="str">
        <x:v>2026-08-20</x:v>
      </x:c>
      <x:c r="K1816" s="33" t="str">
        <x:v>Compliance IDs preserved; mandatory/conditional/optional status corrected.</x:v>
      </x:c>
    </x:row>
    <x:row r="1817">
      <x:c r="A1817" s="33" t="str">
        <x:v>COMP102</x:v>
      </x:c>
      <x:c r="B1817" s="33" t="str">
        <x:v>Compliance Requirement Master</x:v>
      </x:c>
      <x:c r="C1817" s="33" t="str">
        <x:v>Compliance Requirement=Comply with all licence conditions applicable to the sale and distribution of medical devices.; Applicability=Conditional</x:v>
      </x:c>
      <x:c r="D1817" s="33" t="str">
        <x:v>Compliance Requirement=Display the medical-device registration where applicable, maintain adequate premises and specified storage, and procure devices only from authorized sources.; Applicability=Conditional</x:v>
      </x:c>
      <x:c r="E1817" s="33" t="str">
        <x:v>CORRECT / RECLASSIFY</x:v>
      </x:c>
      <x:c r="F1817" s="33" t="str">
        <x:v>Align requirements to corrected substantive provisions and applicability classifications.</x:v>
      </x:c>
      <x:c r="G1817" s="33" t="str">
        <x:v>P-4 official-source validation</x:v>
      </x:c>
      <x:c r="H181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17" s="33" t="str">
        <x:v>P-4</x:v>
      </x:c>
      <x:c r="J1817" s="33" t="str">
        <x:v>2026-08-20</x:v>
      </x:c>
      <x:c r="K1817" s="33" t="str">
        <x:v>Compliance IDs preserved; mandatory/conditional/optional status corrected.</x:v>
      </x:c>
    </x:row>
    <x:row r="1818">
      <x:c r="A1818" s="33" t="str">
        <x:v>COMP103</x:v>
      </x:c>
      <x:c r="B1818" s="33" t="str">
        <x:v>Compliance Requirement Master</x:v>
      </x:c>
      <x:c r="C1818" s="33" t="str">
        <x:v>Compliance Requirement=Maintain complete records relating to procurement, sale and distribution of medical devices.; Applicability=Conditional</x:v>
      </x:c>
      <x:c r="D1818" s="33" t="str">
        <x:v>Compliance Requirement=Maintain medical-device purchase and sale records, provide inspection access, retain records for two years, and maintain the prescribed inspection book.; Applicability=Conditional</x:v>
      </x:c>
      <x:c r="E1818" s="33" t="str">
        <x:v>CORRECT / RECLASSIFY</x:v>
      </x:c>
      <x:c r="F1818" s="33" t="str">
        <x:v>Align requirements to corrected substantive provisions and applicability classifications.</x:v>
      </x:c>
      <x:c r="G1818" s="33" t="str">
        <x:v>P-4 official-source validation</x:v>
      </x:c>
      <x:c r="H181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18" s="33" t="str">
        <x:v>P-4</x:v>
      </x:c>
      <x:c r="J1818" s="33" t="str">
        <x:v>2026-08-20</x:v>
      </x:c>
      <x:c r="K1818" s="33" t="str">
        <x:v>Compliance IDs preserved; mandatory/conditional/optional status corrected.</x:v>
      </x:c>
    </x:row>
    <x:row r="1819">
      <x:c r="A1819" s="33" t="str">
        <x:v>COMP104</x:v>
      </x:c>
      <x:c r="B1819" s="33" t="str">
        <x:v>Compliance Requirement Master</x:v>
      </x:c>
      <x:c r="C1819" s="33" t="str">
        <x:v>Compliance Requirement=Store medical devices under conditions specified by the manufacturer and applicable regulations.; Applicability=Conditional; Frequency=Continuous</x:v>
      </x:c>
      <x:c r="D1819" s="33" t="str">
        <x:v>Compliance Requirement=Pay the prescribed retention fee every five years to maintain perpetual validity of Form MD-42 registration.; Applicability=Conditional; Frequency=Every five years</x:v>
      </x:c>
      <x:c r="E1819" s="33" t="str">
        <x:v>CORRECT / RECLASSIFY</x:v>
      </x:c>
      <x:c r="F1819" s="33" t="str">
        <x:v>Align requirements to corrected substantive provisions and applicability classifications.</x:v>
      </x:c>
      <x:c r="G1819" s="33" t="str">
        <x:v>P-4 official-source validation</x:v>
      </x:c>
      <x:c r="H181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19" s="33" t="str">
        <x:v>P-4</x:v>
      </x:c>
      <x:c r="J1819" s="33" t="str">
        <x:v>2026-08-20</x:v>
      </x:c>
      <x:c r="K1819" s="33" t="str">
        <x:v>Compliance IDs preserved; mandatory/conditional/optional status corrected.</x:v>
      </x:c>
    </x:row>
    <x:row r="1820">
      <x:c r="A1820" s="33" t="str">
        <x:v>COMP105</x:v>
      </x:c>
      <x:c r="B1820" s="33" t="str">
        <x:v>Compliance Requirement Master</x:v>
      </x:c>
      <x:c r="C1820" s="33" t="str">
        <x:v>Compliance Requirement=Cooperate with post-market surveillance activities and report incidents where required.; Applicability=Conditional; Frequency=Event Based</x:v>
      </x:c>
      <x:c r="D1820" s="33" t="str">
        <x:v>Compliance Requirement=Where Rule 88 applies, document supply to a hospital or similar institution through the prescribed delivery-challan process.; Applicability=Conditional; Frequency=Per applicable supply</x:v>
      </x:c>
      <x:c r="E1820" s="33" t="str">
        <x:v>CORRECT / RECLASSIFY</x:v>
      </x:c>
      <x:c r="F1820" s="33" t="str">
        <x:v>Align requirements to corrected substantive provisions and applicability classifications.</x:v>
      </x:c>
      <x:c r="G1820" s="33" t="str">
        <x:v>P-4 official-source validation</x:v>
      </x:c>
      <x:c r="H182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20" s="33" t="str">
        <x:v>P-4</x:v>
      </x:c>
      <x:c r="J1820" s="33" t="str">
        <x:v>2026-08-20</x:v>
      </x:c>
      <x:c r="K1820" s="33" t="str">
        <x:v>Compliance IDs preserved; mandatory/conditional/optional status corrected.</x:v>
      </x:c>
    </x:row>
    <x:row r="1821">
      <x:c r="A1821" s="33" t="str">
        <x:v>COMP106</x:v>
      </x:c>
      <x:c r="B1821" s="33" t="str">
        <x:v>Compliance Requirement Master</x:v>
      </x:c>
      <x:c r="C1821" s="33" t="str">
        <x:v>Compliance Requirement=Obtain the necessary licence before stocking or selling cosmetics where required.; Applicability=Conditional</x:v>
      </x:c>
      <x:c r="D1821" s="33" t="str">
        <x:v>Compliance Requirement=Do not sell or distribute a cosmetic unless the Rule 33 origin, licensing, quality and labelling conditions are satisfied.; Applicability=Mandatory</x:v>
      </x:c>
      <x:c r="E1821" s="33" t="str">
        <x:v>CORRECT / RECLASSIFY</x:v>
      </x:c>
      <x:c r="F1821" s="33" t="str">
        <x:v>Align requirements to corrected substantive provisions and applicability classifications.</x:v>
      </x:c>
      <x:c r="G1821" s="33" t="str">
        <x:v>P-4 official-source validation</x:v>
      </x:c>
      <x:c r="H182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21" s="33" t="str">
        <x:v>P-4</x:v>
      </x:c>
      <x:c r="J1821" s="33" t="str">
        <x:v>2026-08-20</x:v>
      </x:c>
      <x:c r="K1821" s="33" t="str">
        <x:v>Compliance IDs preserved; mandatory/conditional/optional status corrected.</x:v>
      </x:c>
    </x:row>
    <x:row r="1822">
      <x:c r="A1822" s="33" t="str">
        <x:v>COMP107</x:v>
      </x:c>
      <x:c r="B1822" s="33" t="str">
        <x:v>Compliance Requirement Master</x:v>
      </x:c>
      <x:c r="C1822" s="33" t="str">
        <x:v>Compliance Requirement=Store cosmetics under suitable environmental conditions to preserve quality and safety.; Applicability=Conditional</x:v>
      </x:c>
      <x:c r="D1822" s="33" t="str">
        <x:v>Compliance Requirement=Verify that cosmetics offered for sale or distribution bear the particulars required by Rule 34.; Applicability=Mandatory</x:v>
      </x:c>
      <x:c r="E1822" s="33" t="str">
        <x:v>CORRECT / RECLASSIFY</x:v>
      </x:c>
      <x:c r="F1822" s="33" t="str">
        <x:v>Align requirements to corrected substantive provisions and applicability classifications.</x:v>
      </x:c>
      <x:c r="G1822" s="33" t="str">
        <x:v>P-4 official-source validation</x:v>
      </x:c>
      <x:c r="H182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22" s="33" t="str">
        <x:v>P-4</x:v>
      </x:c>
      <x:c r="J1822" s="33" t="str">
        <x:v>2026-08-20</x:v>
      </x:c>
      <x:c r="K1822" s="33" t="str">
        <x:v>Compliance IDs preserved; mandatory/conditional/optional status corrected.</x:v>
      </x:c>
    </x:row>
    <x:row r="1823">
      <x:c r="A1823" s="33" t="str">
        <x:v>COMP108</x:v>
      </x:c>
      <x:c r="B1823" s="33" t="str">
        <x:v>Compliance Requirement Master</x:v>
      </x:c>
      <x:c r="C1823" s="33" t="str">
        <x:v>Compliance Requirement=Ensure cosmetic products comply with all mandatory labelling requirements before sale.; Applicability=Conditional</x:v>
      </x:c>
      <x:c r="D1823" s="33" t="str">
        <x:v>Compliance Requirement=Do not alter, obliterate or deface mandatory cosmetic labelling.; Applicability=Mandatory</x:v>
      </x:c>
      <x:c r="E1823" s="33" t="str">
        <x:v>CORRECT / RECLASSIFY</x:v>
      </x:c>
      <x:c r="F1823" s="33" t="str">
        <x:v>Align requirements to corrected substantive provisions and applicability classifications.</x:v>
      </x:c>
      <x:c r="G1823" s="33" t="str">
        <x:v>P-4 official-source validation</x:v>
      </x:c>
      <x:c r="H182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23" s="33" t="str">
        <x:v>P-4</x:v>
      </x:c>
      <x:c r="J1823" s="33" t="str">
        <x:v>2026-08-20</x:v>
      </x:c>
      <x:c r="K1823" s="33" t="str">
        <x:v>Compliance IDs preserved; mandatory/conditional/optional status corrected.</x:v>
      </x:c>
    </x:row>
    <x:row r="1824">
      <x:c r="A1824" s="33" t="str">
        <x:v>COMP109</x:v>
      </x:c>
      <x:c r="B1824" s="33" t="str">
        <x:v>Compliance Requirement Master</x:v>
      </x:c>
      <x:c r="C1824" s="33" t="str">
        <x:v>Compliance Requirement=Maintain records relating to cosmetic products as prescribed.; Applicability=Conditional</x:v>
      </x:c>
      <x:c r="D1824" s="33" t="str">
        <x:v>Compliance Requirement=Do not sell or distribute a cosmetic bearing a false or misleading claim.; Applicability=Mandatory</x:v>
      </x:c>
      <x:c r="E1824" s="33" t="str">
        <x:v>CORRECT / RECLASSIFY</x:v>
      </x:c>
      <x:c r="F1824" s="33" t="str">
        <x:v>Align requirements to corrected substantive provisions and applicability classifications.</x:v>
      </x:c>
      <x:c r="G1824" s="33" t="str">
        <x:v>P-4 official-source validation</x:v>
      </x:c>
      <x:c r="H182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24" s="33" t="str">
        <x:v>P-4</x:v>
      </x:c>
      <x:c r="J1824" s="33" t="str">
        <x:v>2026-08-20</x:v>
      </x:c>
      <x:c r="K1824" s="33" t="str">
        <x:v>Compliance IDs preserved; mandatory/conditional/optional status corrected.</x:v>
      </x:c>
    </x:row>
    <x:row r="1825">
      <x:c r="A1825" s="33" t="str">
        <x:v>COMP110</x:v>
      </x:c>
      <x:c r="B1825" s="33" t="str">
        <x:v>Compliance Requirement Master</x:v>
      </x:c>
      <x:c r="C1825" s="33" t="str">
        <x:v>Compliance Requirement=Remove and recall unsafe cosmetic products immediately upon regulatory direction.; Applicability=Event Based; Frequency=Event Based</x:v>
      </x:c>
      <x:c r="D1825" s="33" t="str">
        <x:v>Compliance Requirement=Sell or distribute only cosmetics that comply with the standards, quality and safety requirements in Rule 39.; Applicability=Mandatory; Frequency=Continuous</x:v>
      </x:c>
      <x:c r="E1825" s="33" t="str">
        <x:v>CORRECT / RECLASSIFY</x:v>
      </x:c>
      <x:c r="F1825" s="33" t="str">
        <x:v>Align requirements to corrected substantive provisions and applicability classifications.</x:v>
      </x:c>
      <x:c r="G1825" s="33" t="str">
        <x:v>P-4 official-source validation</x:v>
      </x:c>
      <x:c r="H182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25" s="33" t="str">
        <x:v>P-4</x:v>
      </x:c>
      <x:c r="J1825" s="33" t="str">
        <x:v>2026-08-20</x:v>
      </x:c>
      <x:c r="K1825" s="33" t="str">
        <x:v>Compliance IDs preserved; mandatory/conditional/optional status corrected.</x:v>
      </x:c>
    </x:row>
    <x:row r="1826">
      <x:c r="A1826" s="33" t="str">
        <x:v>COMP167</x:v>
      </x:c>
      <x:c r="B1826" s="33" t="str">
        <x:v>Compliance Requirement Master</x:v>
      </x:c>
      <x:c r="C1826" s="33" t="str">
        <x:v>Compliance Requirement=Obtain registration under the Clinical Establishments Act before commencing operations where applicable.; Applicability=Conditional</x:v>
      </x:c>
      <x:c r="D1826" s="33" t="str">
        <x:v>Compliance Requirement=Obtain clinical-establishment registration before operation where the establishment role and jurisdiction trigger apply.; Applicability=Conditional</x:v>
      </x:c>
      <x:c r="E1826" s="33" t="str">
        <x:v>CORRECT / RECLASSIFY</x:v>
      </x:c>
      <x:c r="F1826" s="33" t="str">
        <x:v>Align requirements to corrected substantive provisions and applicability classifications.</x:v>
      </x:c>
      <x:c r="G1826" s="33" t="str">
        <x:v>P-4 official-source validation</x:v>
      </x:c>
      <x:c r="H182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26" s="33" t="str">
        <x:v>P-4</x:v>
      </x:c>
      <x:c r="J1826" s="33" t="str">
        <x:v>2026-08-20</x:v>
      </x:c>
      <x:c r="K1826" s="33" t="str">
        <x:v>Compliance IDs preserved; mandatory/conditional/optional status corrected.</x:v>
      </x:c>
    </x:row>
    <x:row r="1827">
      <x:c r="A1827" s="33" t="str">
        <x:v>COMP168</x:v>
      </x:c>
      <x:c r="B1827" s="33" t="str">
        <x:v>Compliance Requirement Master</x:v>
      </x:c>
      <x:c r="C1827" s="33" t="str">
        <x:v>Compliance Requirement=Maintain compliance with minimum standards prescribed for clinical establishments.; Applicability=Conditional</x:v>
      </x:c>
      <x:c r="D1827" s="33" t="str">
        <x:v>Compliance Requirement=Where the clinical-establishment overlay applies, maintain prescribed minimum standards, personnel, records/reporting and emergency-stabilization arrangements.; Applicability=Conditional</x:v>
      </x:c>
      <x:c r="E1827" s="33" t="str">
        <x:v>CORRECT / RECLASSIFY</x:v>
      </x:c>
      <x:c r="F1827" s="33" t="str">
        <x:v>Align requirements to corrected substantive provisions and applicability classifications.</x:v>
      </x:c>
      <x:c r="G1827" s="33" t="str">
        <x:v>P-4 official-source validation</x:v>
      </x:c>
      <x:c r="H182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27" s="33" t="str">
        <x:v>P-4</x:v>
      </x:c>
      <x:c r="J1827" s="33" t="str">
        <x:v>2026-08-20</x:v>
      </x:c>
      <x:c r="K1827" s="33" t="str">
        <x:v>Compliance IDs preserved; mandatory/conditional/optional status corrected.</x:v>
      </x:c>
    </x:row>
    <x:row r="1828">
      <x:c r="A1828" s="33" t="str">
        <x:v>COMP169</x:v>
      </x:c>
      <x:c r="B1828" s="33" t="str">
        <x:v>Compliance Requirement Master</x:v>
      </x:c>
      <x:c r="C1828" s="33" t="str">
        <x:v>Compliance Requirement=Maintain complete and accurate clinical records as prescribed under applicable law.; Applicability=Conditional</x:v>
      </x:c>
      <x:c r="D1828" s="33" t="str">
        <x:v>Compliance Requirement=Display the registration certificate and complete applicable renewal/continuation requirements for the clinical establishment.; Applicability=Conditional</x:v>
      </x:c>
      <x:c r="E1828" s="33" t="str">
        <x:v>CORRECT / RECLASSIFY</x:v>
      </x:c>
      <x:c r="F1828" s="33" t="str">
        <x:v>Align requirements to corrected substantive provisions and applicability classifications.</x:v>
      </x:c>
      <x:c r="G1828" s="33" t="str">
        <x:v>P-4 official-source validation</x:v>
      </x:c>
      <x:c r="H182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28" s="33" t="str">
        <x:v>P-4</x:v>
      </x:c>
      <x:c r="J1828" s="33" t="str">
        <x:v>2026-08-20</x:v>
      </x:c>
      <x:c r="K1828" s="33" t="str">
        <x:v>Compliance IDs preserved; mandatory/conditional/optional status corrected.</x:v>
      </x:c>
    </x:row>
    <x:row r="1829">
      <x:c r="A1829" s="33" t="str">
        <x:v>COMP120</x:v>
      </x:c>
      <x:c r="B1829" s="33" t="str">
        <x:v>Compliance Requirement Master</x:v>
      </x:c>
      <x:c r="C1829" s="33" t="str">
        <x:v>Applicability=Best Practice / Regulatory Expectation; Remarks=Professional practice</x:v>
      </x:c>
      <x:c r="D1829" s="33" t="str">
        <x:v>Applicability=Best Practice / Regulatory Expectation; Remarks=P-4 non-statutory guidance/internal implementation control; exact binding instrument remains separately mapped.</x:v>
      </x:c>
      <x:c r="E1829" s="33" t="str">
        <x:v>CORRECT / RECLASSIFY</x:v>
      </x:c>
      <x:c r="F1829" s="33" t="str">
        <x:v>Align requirements to corrected substantive provisions and applicability classifications.</x:v>
      </x:c>
      <x:c r="G1829" s="33" t="str">
        <x:v>P-4 official-source validation</x:v>
      </x:c>
      <x:c r="H182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29" s="33" t="str">
        <x:v>P-4</x:v>
      </x:c>
      <x:c r="J1829" s="33" t="str">
        <x:v>2026-08-20</x:v>
      </x:c>
      <x:c r="K1829" s="33" t="str">
        <x:v>Compliance IDs preserved; mandatory/conditional/optional status corrected.</x:v>
      </x:c>
    </x:row>
    <x:row r="1830">
      <x:c r="A1830" s="33" t="str">
        <x:v>COMP121</x:v>
      </x:c>
      <x:c r="B1830" s="33" t="str">
        <x:v>Compliance Requirement Master</x:v>
      </x:c>
      <x:c r="C1830" s="33" t="str">
        <x:v>Applicability=Best Practice / Regulatory Expectation; Remarks=Patient counselling</x:v>
      </x:c>
      <x:c r="D1830" s="33" t="str">
        <x:v>Applicability=Best Practice / Regulatory Expectation; Remarks=P-4 non-statutory guidance/internal implementation control; exact binding instrument remains separately mapped.</x:v>
      </x:c>
      <x:c r="E1830" s="33" t="str">
        <x:v>CORRECT / RECLASSIFY</x:v>
      </x:c>
      <x:c r="F1830" s="33" t="str">
        <x:v>Align requirements to corrected substantive provisions and applicability classifications.</x:v>
      </x:c>
      <x:c r="G1830" s="33" t="str">
        <x:v>P-4 official-source validation</x:v>
      </x:c>
      <x:c r="H183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30" s="33" t="str">
        <x:v>P-4</x:v>
      </x:c>
      <x:c r="J1830" s="33" t="str">
        <x:v>2026-08-20</x:v>
      </x:c>
      <x:c r="K1830" s="33" t="str">
        <x:v>Compliance IDs preserved; mandatory/conditional/optional status corrected.</x:v>
      </x:c>
    </x:row>
    <x:row r="1831">
      <x:c r="A1831" s="33" t="str">
        <x:v>COMP122</x:v>
      </x:c>
      <x:c r="B1831" s="33" t="str">
        <x:v>Compliance Requirement Master</x:v>
      </x:c>
      <x:c r="C1831" s="33" t="str">
        <x:v>Applicability=Best Practice / Regulatory Expectation; Remarks=Clinical review</x:v>
      </x:c>
      <x:c r="D1831" s="33" t="str">
        <x:v>Applicability=Best Practice / Regulatory Expectation; Remarks=P-4 non-statutory guidance/internal implementation control; exact binding instrument remains separately mapped.</x:v>
      </x:c>
      <x:c r="E1831" s="33" t="str">
        <x:v>CORRECT / RECLASSIFY</x:v>
      </x:c>
      <x:c r="F1831" s="33" t="str">
        <x:v>Align requirements to corrected substantive provisions and applicability classifications.</x:v>
      </x:c>
      <x:c r="G1831" s="33" t="str">
        <x:v>P-4 official-source validation</x:v>
      </x:c>
      <x:c r="H183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31" s="33" t="str">
        <x:v>P-4</x:v>
      </x:c>
      <x:c r="J1831" s="33" t="str">
        <x:v>2026-08-20</x:v>
      </x:c>
      <x:c r="K1831" s="33" t="str">
        <x:v>Compliance IDs preserved; mandatory/conditional/optional status corrected.</x:v>
      </x:c>
    </x:row>
    <x:row r="1832">
      <x:c r="A1832" s="33" t="str">
        <x:v>COMP123</x:v>
      </x:c>
      <x:c r="B1832" s="33" t="str">
        <x:v>Compliance Requirement Master</x:v>
      </x:c>
      <x:c r="C1832" s="33" t="str">
        <x:v>Applicability=Mandatory; Remarks=Authorized sourcing</x:v>
      </x:c>
      <x:c r="D1832" s="33" t="str">
        <x:v>Applicability=Best Practice / Regulatory Expectation; Remarks=P-4 non-statutory guidance/internal implementation control; exact binding instrument remains separately mapped.</x:v>
      </x:c>
      <x:c r="E1832" s="33" t="str">
        <x:v>CORRECT / RECLASSIFY</x:v>
      </x:c>
      <x:c r="F1832" s="33" t="str">
        <x:v>Align requirements to corrected substantive provisions and applicability classifications.</x:v>
      </x:c>
      <x:c r="G1832" s="33" t="str">
        <x:v>P-4 official-source validation</x:v>
      </x:c>
      <x:c r="H183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32" s="33" t="str">
        <x:v>P-4</x:v>
      </x:c>
      <x:c r="J1832" s="33" t="str">
        <x:v>2026-08-20</x:v>
      </x:c>
      <x:c r="K1832" s="33" t="str">
        <x:v>Compliance IDs preserved; mandatory/conditional/optional status corrected.</x:v>
      </x:c>
    </x:row>
    <x:row r="1833">
      <x:c r="A1833" s="33" t="str">
        <x:v>COMP124</x:v>
      </x:c>
      <x:c r="B1833" s="33" t="str">
        <x:v>Compliance Requirement Master</x:v>
      </x:c>
      <x:c r="C1833" s="33" t="str">
        <x:v>Applicability=Best Practice / Regulatory Expectation; Remarks=GDP compliance</x:v>
      </x:c>
      <x:c r="D1833" s="33" t="str">
        <x:v>Applicability=Best Practice / Regulatory Expectation; Remarks=P-4 non-statutory guidance/internal implementation control; exact binding instrument remains separately mapped.</x:v>
      </x:c>
      <x:c r="E1833" s="33" t="str">
        <x:v>CORRECT / RECLASSIFY</x:v>
      </x:c>
      <x:c r="F1833" s="33" t="str">
        <x:v>Align requirements to corrected substantive provisions and applicability classifications.</x:v>
      </x:c>
      <x:c r="G1833" s="33" t="str">
        <x:v>P-4 official-source validation</x:v>
      </x:c>
      <x:c r="H183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33" s="33" t="str">
        <x:v>P-4</x:v>
      </x:c>
      <x:c r="J1833" s="33" t="str">
        <x:v>2026-08-20</x:v>
      </x:c>
      <x:c r="K1833" s="33" t="str">
        <x:v>Compliance IDs preserved; mandatory/conditional/optional status corrected.</x:v>
      </x:c>
    </x:row>
    <x:row r="1834">
      <x:c r="A1834" s="33" t="str">
        <x:v>COMP125</x:v>
      </x:c>
      <x:c r="B1834" s="33" t="str">
        <x:v>Compliance Requirement Master</x:v>
      </x:c>
      <x:c r="C1834" s="33" t="str">
        <x:v>Applicability=Best Practice / Regulatory Expectation; Remarks=Distribution traceability</x:v>
      </x:c>
      <x:c r="D1834" s="33" t="str">
        <x:v>Applicability=Best Practice / Regulatory Expectation; Remarks=P-4 non-statutory guidance/internal implementation control; exact binding instrument remains separately mapped.</x:v>
      </x:c>
      <x:c r="E1834" s="33" t="str">
        <x:v>CORRECT / RECLASSIFY</x:v>
      </x:c>
      <x:c r="F1834" s="33" t="str">
        <x:v>Align requirements to corrected substantive provisions and applicability classifications.</x:v>
      </x:c>
      <x:c r="G1834" s="33" t="str">
        <x:v>P-4 official-source validation</x:v>
      </x:c>
      <x:c r="H183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34" s="33" t="str">
        <x:v>P-4</x:v>
      </x:c>
      <x:c r="J1834" s="33" t="str">
        <x:v>2026-08-20</x:v>
      </x:c>
      <x:c r="K1834" s="33" t="str">
        <x:v>Compliance IDs preserved; mandatory/conditional/optional status corrected.</x:v>
      </x:c>
    </x:row>
    <x:row r="1835">
      <x:c r="A1835" s="33" t="str">
        <x:v>COMP126</x:v>
      </x:c>
      <x:c r="B1835" s="33" t="str">
        <x:v>Compliance Requirement Master</x:v>
      </x:c>
      <x:c r="C1835" s="33" t="str">
        <x:v>Applicability=Mandatory; Remarks=Temperature log required</x:v>
      </x:c>
      <x:c r="D1835" s="33" t="str">
        <x:v>Applicability=Best Practice / Regulatory Expectation; Remarks=P-4 non-statutory guidance/internal implementation control; exact binding instrument remains separately mapped.</x:v>
      </x:c>
      <x:c r="E1835" s="33" t="str">
        <x:v>CORRECT / RECLASSIFY</x:v>
      </x:c>
      <x:c r="F1835" s="33" t="str">
        <x:v>Align requirements to corrected substantive provisions and applicability classifications.</x:v>
      </x:c>
      <x:c r="G1835" s="33" t="str">
        <x:v>P-4 official-source validation</x:v>
      </x:c>
      <x:c r="H183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35" s="33" t="str">
        <x:v>P-4</x:v>
      </x:c>
      <x:c r="J1835" s="33" t="str">
        <x:v>2026-08-20</x:v>
      </x:c>
      <x:c r="K1835" s="33" t="str">
        <x:v>Compliance IDs preserved; mandatory/conditional/optional status corrected.</x:v>
      </x:c>
    </x:row>
    <x:row r="1836">
      <x:c r="A1836" s="33" t="str">
        <x:v>COMP127</x:v>
      </x:c>
      <x:c r="B1836" s="33" t="str">
        <x:v>Compliance Requirement Master</x:v>
      </x:c>
      <x:c r="C1836" s="33" t="str">
        <x:v>Applicability=Conditional; Remarks=Humidity-controlled storage</x:v>
      </x:c>
      <x:c r="D1836" s="33" t="str">
        <x:v>Applicability=Best Practice / Regulatory Expectation; Remarks=P-4 non-statutory guidance/internal implementation control; exact binding instrument remains separately mapped.</x:v>
      </x:c>
      <x:c r="E1836" s="33" t="str">
        <x:v>CORRECT / RECLASSIFY</x:v>
      </x:c>
      <x:c r="F1836" s="33" t="str">
        <x:v>Align requirements to corrected substantive provisions and applicability classifications.</x:v>
      </x:c>
      <x:c r="G1836" s="33" t="str">
        <x:v>P-4 official-source validation</x:v>
      </x:c>
      <x:c r="H183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36" s="33" t="str">
        <x:v>P-4</x:v>
      </x:c>
      <x:c r="J1836" s="33" t="str">
        <x:v>2026-08-20</x:v>
      </x:c>
      <x:c r="K1836" s="33" t="str">
        <x:v>Compliance IDs preserved; mandatory/conditional/optional status corrected.</x:v>
      </x:c>
    </x:row>
    <x:row r="1837">
      <x:c r="A1837" s="33" t="str">
        <x:v>COMP128</x:v>
      </x:c>
      <x:c r="B1837" s="33" t="str">
        <x:v>Compliance Requirement Master</x:v>
      </x:c>
      <x:c r="C1837" s="33" t="str">
        <x:v>Applicability=Mandatory; Remarks=Inventory control</x:v>
      </x:c>
      <x:c r="D1837" s="33" t="str">
        <x:v>Applicability=Best Practice / Regulatory Expectation; Remarks=P-4 non-statutory guidance/internal implementation control; exact binding instrument remains separately mapped.</x:v>
      </x:c>
      <x:c r="E1837" s="33" t="str">
        <x:v>CORRECT / RECLASSIFY</x:v>
      </x:c>
      <x:c r="F1837" s="33" t="str">
        <x:v>Align requirements to corrected substantive provisions and applicability classifications.</x:v>
      </x:c>
      <x:c r="G1837" s="33" t="str">
        <x:v>P-4 official-source validation</x:v>
      </x:c>
      <x:c r="H183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37" s="33" t="str">
        <x:v>P-4</x:v>
      </x:c>
      <x:c r="J1837" s="33" t="str">
        <x:v>2026-08-20</x:v>
      </x:c>
      <x:c r="K1837" s="33" t="str">
        <x:v>Compliance IDs preserved; mandatory/conditional/optional status corrected.</x:v>
      </x:c>
    </x:row>
    <x:row r="1838">
      <x:c r="A1838" s="33" t="str">
        <x:v>COMP129</x:v>
      </x:c>
      <x:c r="B1838" s="33" t="str">
        <x:v>Compliance Requirement Master</x:v>
      </x:c>
      <x:c r="C1838" s="33" t="str">
        <x:v>Applicability=Mandatory; Remarks=Quarantine area required</x:v>
      </x:c>
      <x:c r="D1838" s="33" t="str">
        <x:v>Applicability=Best Practice / Regulatory Expectation; Remarks=P-4 non-statutory guidance/internal implementation control; exact binding instrument remains separately mapped.</x:v>
      </x:c>
      <x:c r="E1838" s="33" t="str">
        <x:v>CORRECT / RECLASSIFY</x:v>
      </x:c>
      <x:c r="F1838" s="33" t="str">
        <x:v>Align requirements to corrected substantive provisions and applicability classifications.</x:v>
      </x:c>
      <x:c r="G1838" s="33" t="str">
        <x:v>P-4 official-source validation</x:v>
      </x:c>
      <x:c r="H183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38" s="33" t="str">
        <x:v>P-4</x:v>
      </x:c>
      <x:c r="J1838" s="33" t="str">
        <x:v>2026-08-20</x:v>
      </x:c>
      <x:c r="K1838" s="33" t="str">
        <x:v>Compliance IDs preserved; mandatory/conditional/optional status corrected.</x:v>
      </x:c>
    </x:row>
    <x:row r="1839">
      <x:c r="A1839" s="33" t="str">
        <x:v>COMP130</x:v>
      </x:c>
      <x:c r="B1839" s="33" t="str">
        <x:v>Compliance Requirement Master</x:v>
      </x:c>
      <x:c r="C1839" s="33" t="str">
        <x:v>Applicability=Mandatory; Remarks=Storage sanitation</x:v>
      </x:c>
      <x:c r="D1839" s="33" t="str">
        <x:v>Applicability=Best Practice / Regulatory Expectation; Remarks=P-4 non-statutory guidance/internal implementation control; exact binding instrument remains separately mapped.</x:v>
      </x:c>
      <x:c r="E1839" s="33" t="str">
        <x:v>CORRECT / RECLASSIFY</x:v>
      </x:c>
      <x:c r="F1839" s="33" t="str">
        <x:v>Align requirements to corrected substantive provisions and applicability classifications.</x:v>
      </x:c>
      <x:c r="G1839" s="33" t="str">
        <x:v>P-4 official-source validation</x:v>
      </x:c>
      <x:c r="H183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39" s="33" t="str">
        <x:v>P-4</x:v>
      </x:c>
      <x:c r="J1839" s="33" t="str">
        <x:v>2026-08-20</x:v>
      </x:c>
      <x:c r="K1839" s="33" t="str">
        <x:v>Compliance IDs preserved; mandatory/conditional/optional status corrected.</x:v>
      </x:c>
    </x:row>
    <x:row r="1840">
      <x:c r="A1840" s="33" t="str">
        <x:v>COMP131</x:v>
      </x:c>
      <x:c r="B1840" s="33" t="str">
        <x:v>Compliance Requirement Master</x:v>
      </x:c>
      <x:c r="C1840" s="33" t="str">
        <x:v>Applicability=Event Based; Remarks=Recall initiation</x:v>
      </x:c>
      <x:c r="D1840" s="33" t="str">
        <x:v>Applicability=Best Practice / Regulatory Expectation; Remarks=P-4 non-statutory guidance/internal implementation control; exact binding instrument remains separately mapped.</x:v>
      </x:c>
      <x:c r="E1840" s="33" t="str">
        <x:v>CORRECT / RECLASSIFY</x:v>
      </x:c>
      <x:c r="F1840" s="33" t="str">
        <x:v>Align requirements to corrected substantive provisions and applicability classifications.</x:v>
      </x:c>
      <x:c r="G1840" s="33" t="str">
        <x:v>P-4 official-source validation</x:v>
      </x:c>
      <x:c r="H184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40" s="33" t="str">
        <x:v>P-4</x:v>
      </x:c>
      <x:c r="J1840" s="33" t="str">
        <x:v>2026-08-20</x:v>
      </x:c>
      <x:c r="K1840" s="33" t="str">
        <x:v>Compliance IDs preserved; mandatory/conditional/optional status corrected.</x:v>
      </x:c>
    </x:row>
    <x:row r="1841">
      <x:c r="A1841" s="33" t="str">
        <x:v>COMP132</x:v>
      </x:c>
      <x:c r="B1841" s="33" t="str">
        <x:v>Compliance Requirement Master</x:v>
      </x:c>
      <x:c r="C1841" s="33" t="str">
        <x:v>Applicability=Event Based; Remarks=Recall classification</x:v>
      </x:c>
      <x:c r="D1841" s="33" t="str">
        <x:v>Applicability=Best Practice / Regulatory Expectation; Remarks=P-4 non-statutory guidance/internal implementation control; exact binding instrument remains separately mapped.</x:v>
      </x:c>
      <x:c r="E1841" s="33" t="str">
        <x:v>CORRECT / RECLASSIFY</x:v>
      </x:c>
      <x:c r="F1841" s="33" t="str">
        <x:v>Align requirements to corrected substantive provisions and applicability classifications.</x:v>
      </x:c>
      <x:c r="G1841" s="33" t="str">
        <x:v>P-4 official-source validation</x:v>
      </x:c>
      <x:c r="H184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41" s="33" t="str">
        <x:v>P-4</x:v>
      </x:c>
      <x:c r="J1841" s="33" t="str">
        <x:v>2026-08-20</x:v>
      </x:c>
      <x:c r="K1841" s="33" t="str">
        <x:v>Compliance IDs preserved; mandatory/conditional/optional status corrected.</x:v>
      </x:c>
    </x:row>
    <x:row r="1842">
      <x:c r="A1842" s="33" t="str">
        <x:v>COMP133</x:v>
      </x:c>
      <x:c r="B1842" s="33" t="str">
        <x:v>Compliance Requirement Master</x:v>
      </x:c>
      <x:c r="C1842" s="33" t="str">
        <x:v>Applicability=Event Based; Remarks=Recall communication</x:v>
      </x:c>
      <x:c r="D1842" s="33" t="str">
        <x:v>Applicability=Best Practice / Regulatory Expectation; Remarks=P-4 non-statutory guidance/internal implementation control; exact binding instrument remains separately mapped.</x:v>
      </x:c>
      <x:c r="E1842" s="33" t="str">
        <x:v>CORRECT / RECLASSIFY</x:v>
      </x:c>
      <x:c r="F1842" s="33" t="str">
        <x:v>Align requirements to corrected substantive provisions and applicability classifications.</x:v>
      </x:c>
      <x:c r="G1842" s="33" t="str">
        <x:v>P-4 official-source validation</x:v>
      </x:c>
      <x:c r="H184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42" s="33" t="str">
        <x:v>P-4</x:v>
      </x:c>
      <x:c r="J1842" s="33" t="str">
        <x:v>2026-08-20</x:v>
      </x:c>
      <x:c r="K1842" s="33" t="str">
        <x:v>Compliance IDs preserved; mandatory/conditional/optional status corrected.</x:v>
      </x:c>
    </x:row>
    <x:row r="1843">
      <x:c r="A1843" s="33" t="str">
        <x:v>COMP134</x:v>
      </x:c>
      <x:c r="B1843" s="33" t="str">
        <x:v>Compliance Requirement Master</x:v>
      </x:c>
      <x:c r="C1843" s="33" t="str">
        <x:v>Applicability=Event Based; Remarks=Recall effectiveness</x:v>
      </x:c>
      <x:c r="D1843" s="33" t="str">
        <x:v>Applicability=Best Practice / Regulatory Expectation; Remarks=P-4 non-statutory guidance/internal implementation control; exact binding instrument remains separately mapped.</x:v>
      </x:c>
      <x:c r="E1843" s="33" t="str">
        <x:v>CORRECT / RECLASSIFY</x:v>
      </x:c>
      <x:c r="F1843" s="33" t="str">
        <x:v>Align requirements to corrected substantive provisions and applicability classifications.</x:v>
      </x:c>
      <x:c r="G1843" s="33" t="str">
        <x:v>P-4 official-source validation</x:v>
      </x:c>
      <x:c r="H184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43" s="33" t="str">
        <x:v>P-4</x:v>
      </x:c>
      <x:c r="J1843" s="33" t="str">
        <x:v>2026-08-20</x:v>
      </x:c>
      <x:c r="K1843" s="33" t="str">
        <x:v>Compliance IDs preserved; mandatory/conditional/optional status corrected.</x:v>
      </x:c>
    </x:row>
    <x:row r="1844">
      <x:c r="A1844" s="33" t="str">
        <x:v>COMP135</x:v>
      </x:c>
      <x:c r="B1844" s="33" t="str">
        <x:v>Compliance Requirement Master</x:v>
      </x:c>
      <x:c r="C1844" s="33" t="str">
        <x:v>Applicability=Event Based; Remarks=Recall records</x:v>
      </x:c>
      <x:c r="D1844" s="33" t="str">
        <x:v>Applicability=Best Practice / Regulatory Expectation; Remarks=P-4 non-statutory guidance/internal implementation control; exact binding instrument remains separately mapped.</x:v>
      </x:c>
      <x:c r="E1844" s="33" t="str">
        <x:v>CORRECT / RECLASSIFY</x:v>
      </x:c>
      <x:c r="F1844" s="33" t="str">
        <x:v>Align requirements to corrected substantive provisions and applicability classifications.</x:v>
      </x:c>
      <x:c r="G1844" s="33" t="str">
        <x:v>P-4 official-source validation</x:v>
      </x:c>
      <x:c r="H184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44" s="33" t="str">
        <x:v>P-4</x:v>
      </x:c>
      <x:c r="J1844" s="33" t="str">
        <x:v>2026-08-20</x:v>
      </x:c>
      <x:c r="K1844" s="33" t="str">
        <x:v>Compliance IDs preserved; mandatory/conditional/optional status corrected.</x:v>
      </x:c>
    </x:row>
    <x:row r="1845">
      <x:c r="A1845" s="33" t="str">
        <x:v>COMP136</x:v>
      </x:c>
      <x:c r="B1845" s="33" t="str">
        <x:v>Compliance Requirement Master</x:v>
      </x:c>
      <x:c r="C1845" s="33" t="str">
        <x:v>Applicability=Mandatory; Remarks=Complaint intake</x:v>
      </x:c>
      <x:c r="D1845" s="33" t="str">
        <x:v>Applicability=Best Practice / Regulatory Expectation; Remarks=P-4 non-statutory guidance/internal implementation control; exact binding instrument remains separately mapped.</x:v>
      </x:c>
      <x:c r="E1845" s="33" t="str">
        <x:v>CORRECT / RECLASSIFY</x:v>
      </x:c>
      <x:c r="F1845" s="33" t="str">
        <x:v>Align requirements to corrected substantive provisions and applicability classifications.</x:v>
      </x:c>
      <x:c r="G1845" s="33" t="str">
        <x:v>P-4 official-source validation</x:v>
      </x:c>
      <x:c r="H184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45" s="33" t="str">
        <x:v>P-4</x:v>
      </x:c>
      <x:c r="J1845" s="33" t="str">
        <x:v>2026-08-20</x:v>
      </x:c>
      <x:c r="K1845" s="33" t="str">
        <x:v>Compliance IDs preserved; mandatory/conditional/optional status corrected.</x:v>
      </x:c>
    </x:row>
    <x:row r="1846">
      <x:c r="A1846" s="33" t="str">
        <x:v>COMP137</x:v>
      </x:c>
      <x:c r="B1846" s="33" t="str">
        <x:v>Compliance Requirement Master</x:v>
      </x:c>
      <x:c r="C1846" s="33" t="str">
        <x:v>Applicability=Mandatory; Remarks=Complaint investigation</x:v>
      </x:c>
      <x:c r="D1846" s="33" t="str">
        <x:v>Applicability=Best Practice / Regulatory Expectation; Remarks=P-4 non-statutory guidance/internal implementation control; exact binding instrument remains separately mapped.</x:v>
      </x:c>
      <x:c r="E1846" s="33" t="str">
        <x:v>CORRECT / RECLASSIFY</x:v>
      </x:c>
      <x:c r="F1846" s="33" t="str">
        <x:v>Align requirements to corrected substantive provisions and applicability classifications.</x:v>
      </x:c>
      <x:c r="G1846" s="33" t="str">
        <x:v>P-4 official-source validation</x:v>
      </x:c>
      <x:c r="H184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46" s="33" t="str">
        <x:v>P-4</x:v>
      </x:c>
      <x:c r="J1846" s="33" t="str">
        <x:v>2026-08-20</x:v>
      </x:c>
      <x:c r="K1846" s="33" t="str">
        <x:v>Compliance IDs preserved; mandatory/conditional/optional status corrected.</x:v>
      </x:c>
    </x:row>
    <x:row r="1847">
      <x:c r="A1847" s="33" t="str">
        <x:v>COMP138</x:v>
      </x:c>
      <x:c r="B1847" s="33" t="str">
        <x:v>Compliance Requirement Master</x:v>
      </x:c>
      <x:c r="C1847" s="33" t="str">
        <x:v>Applicability=Mandatory; Remarks=Complaint documentation</x:v>
      </x:c>
      <x:c r="D1847" s="33" t="str">
        <x:v>Applicability=Best Practice / Regulatory Expectation; Remarks=P-4 non-statutory guidance/internal implementation control; exact binding instrument remains separately mapped.</x:v>
      </x:c>
      <x:c r="E1847" s="33" t="str">
        <x:v>CORRECT / RECLASSIFY</x:v>
      </x:c>
      <x:c r="F1847" s="33" t="str">
        <x:v>Align requirements to corrected substantive provisions and applicability classifications.</x:v>
      </x:c>
      <x:c r="G1847" s="33" t="str">
        <x:v>P-4 official-source validation</x:v>
      </x:c>
      <x:c r="H184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47" s="33" t="str">
        <x:v>P-4</x:v>
      </x:c>
      <x:c r="J1847" s="33" t="str">
        <x:v>2026-08-20</x:v>
      </x:c>
      <x:c r="K1847" s="33" t="str">
        <x:v>Compliance IDs preserved; mandatory/conditional/optional status corrected.</x:v>
      </x:c>
    </x:row>
    <x:row r="1848">
      <x:c r="A1848" s="33" t="str">
        <x:v>COMP139</x:v>
      </x:c>
      <x:c r="B1848" s="33" t="str">
        <x:v>Compliance Requirement Master</x:v>
      </x:c>
      <x:c r="C1848" s="33" t="str">
        <x:v>Applicability=Mandatory; Remarks=Complaint closure</x:v>
      </x:c>
      <x:c r="D1848" s="33" t="str">
        <x:v>Applicability=Best Practice / Regulatory Expectation; Remarks=P-4 non-statutory guidance/internal implementation control; exact binding instrument remains separately mapped.</x:v>
      </x:c>
      <x:c r="E1848" s="33" t="str">
        <x:v>CORRECT / RECLASSIFY</x:v>
      </x:c>
      <x:c r="F1848" s="33" t="str">
        <x:v>Align requirements to corrected substantive provisions and applicability classifications.</x:v>
      </x:c>
      <x:c r="G1848" s="33" t="str">
        <x:v>P-4 official-source validation</x:v>
      </x:c>
      <x:c r="H184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48" s="33" t="str">
        <x:v>P-4</x:v>
      </x:c>
      <x:c r="J1848" s="33" t="str">
        <x:v>2026-08-20</x:v>
      </x:c>
      <x:c r="K1848" s="33" t="str">
        <x:v>Compliance IDs preserved; mandatory/conditional/optional status corrected.</x:v>
      </x:c>
    </x:row>
    <x:row r="1849">
      <x:c r="A1849" s="33" t="str">
        <x:v>COMP140</x:v>
      </x:c>
      <x:c r="B1849" s="33" t="str">
        <x:v>Compliance Requirement Master</x:v>
      </x:c>
      <x:c r="C1849" s="33" t="str">
        <x:v>Applicability=Conditional; Remarks=ADR reporting</x:v>
      </x:c>
      <x:c r="D1849" s="33" t="str">
        <x:v>Applicability=Best Practice / Regulatory Expectation; Remarks=P-4 non-statutory guidance/internal implementation control; exact binding instrument remains separately mapped.</x:v>
      </x:c>
      <x:c r="E1849" s="33" t="str">
        <x:v>CORRECT / RECLASSIFY</x:v>
      </x:c>
      <x:c r="F1849" s="33" t="str">
        <x:v>Align requirements to corrected substantive provisions and applicability classifications.</x:v>
      </x:c>
      <x:c r="G1849" s="33" t="str">
        <x:v>P-4 official-source validation</x:v>
      </x:c>
      <x:c r="H184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49" s="33" t="str">
        <x:v>P-4</x:v>
      </x:c>
      <x:c r="J1849" s="33" t="str">
        <x:v>2026-08-20</x:v>
      </x:c>
      <x:c r="K1849" s="33" t="str">
        <x:v>Compliance IDs preserved; mandatory/conditional/optional status corrected.</x:v>
      </x:c>
    </x:row>
    <x:row r="1850">
      <x:c r="A1850" s="33" t="str">
        <x:v>COMP141</x:v>
      </x:c>
      <x:c r="B1850" s="33" t="str">
        <x:v>Compliance Requirement Master</x:v>
      </x:c>
      <x:c r="C1850" s="33" t="str">
        <x:v>Applicability=Conditional; Remarks=ADR documentation</x:v>
      </x:c>
      <x:c r="D1850" s="33" t="str">
        <x:v>Applicability=Best Practice / Regulatory Expectation; Remarks=P-4 non-statutory guidance/internal implementation control; exact binding instrument remains separately mapped.</x:v>
      </x:c>
      <x:c r="E1850" s="33" t="str">
        <x:v>CORRECT / RECLASSIFY</x:v>
      </x:c>
      <x:c r="F1850" s="33" t="str">
        <x:v>Align requirements to corrected substantive provisions and applicability classifications.</x:v>
      </x:c>
      <x:c r="G1850" s="33" t="str">
        <x:v>P-4 official-source validation</x:v>
      </x:c>
      <x:c r="H185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50" s="33" t="str">
        <x:v>P-4</x:v>
      </x:c>
      <x:c r="J1850" s="33" t="str">
        <x:v>2026-08-20</x:v>
      </x:c>
      <x:c r="K1850" s="33" t="str">
        <x:v>Compliance IDs preserved; mandatory/conditional/optional status corrected.</x:v>
      </x:c>
    </x:row>
    <x:row r="1851">
      <x:c r="A1851" s="33" t="str">
        <x:v>COMP142</x:v>
      </x:c>
      <x:c r="B1851" s="33" t="str">
        <x:v>Compliance Requirement Master</x:v>
      </x:c>
      <x:c r="C1851" s="33" t="str">
        <x:v>Applicability=Conditional; Remarks=Serious ADR escalation</x:v>
      </x:c>
      <x:c r="D1851" s="33" t="str">
        <x:v>Applicability=Best Practice / Regulatory Expectation; Remarks=P-4 non-statutory guidance/internal implementation control; exact binding instrument remains separately mapped.</x:v>
      </x:c>
      <x:c r="E1851" s="33" t="str">
        <x:v>CORRECT / RECLASSIFY</x:v>
      </x:c>
      <x:c r="F1851" s="33" t="str">
        <x:v>Align requirements to corrected substantive provisions and applicability classifications.</x:v>
      </x:c>
      <x:c r="G1851" s="33" t="str">
        <x:v>P-4 official-source validation</x:v>
      </x:c>
      <x:c r="H185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51" s="33" t="str">
        <x:v>P-4</x:v>
      </x:c>
      <x:c r="J1851" s="33" t="str">
        <x:v>2026-08-20</x:v>
      </x:c>
      <x:c r="K1851" s="33" t="str">
        <x:v>Compliance IDs preserved; mandatory/conditional/optional status corrected.</x:v>
      </x:c>
    </x:row>
    <x:row r="1852">
      <x:c r="A1852" s="33" t="str">
        <x:v>COMP143</x:v>
      </x:c>
      <x:c r="B1852" s="33" t="str">
        <x:v>Compliance Requirement Master</x:v>
      </x:c>
      <x:c r="C1852" s="33" t="str">
        <x:v>Applicability=Conditional; Remarks=Cold chain integrity</x:v>
      </x:c>
      <x:c r="D1852" s="33" t="str">
        <x:v>Applicability=Best Practice / Regulatory Expectation; Remarks=P-4 non-statutory guidance/internal implementation control; exact binding instrument remains separately mapped.</x:v>
      </x:c>
      <x:c r="E1852" s="33" t="str">
        <x:v>CORRECT / RECLASSIFY</x:v>
      </x:c>
      <x:c r="F1852" s="33" t="str">
        <x:v>Align requirements to corrected substantive provisions and applicability classifications.</x:v>
      </x:c>
      <x:c r="G1852" s="33" t="str">
        <x:v>P-4 official-source validation</x:v>
      </x:c>
      <x:c r="H185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52" s="33" t="str">
        <x:v>P-4</x:v>
      </x:c>
      <x:c r="J1852" s="33" t="str">
        <x:v>2026-08-20</x:v>
      </x:c>
      <x:c r="K1852" s="33" t="str">
        <x:v>Compliance IDs preserved; mandatory/conditional/optional status corrected.</x:v>
      </x:c>
    </x:row>
    <x:row r="1853">
      <x:c r="A1853" s="33" t="str">
        <x:v>COMP144</x:v>
      </x:c>
      <x:c r="B1853" s="33" t="str">
        <x:v>Compliance Requirement Master</x:v>
      </x:c>
      <x:c r="C1853" s="33" t="str">
        <x:v>Applicability=Conditional; Remarks=Temperature log</x:v>
      </x:c>
      <x:c r="D1853" s="33" t="str">
        <x:v>Applicability=Best Practice / Regulatory Expectation; Remarks=P-4 non-statutory guidance/internal implementation control; exact binding instrument remains separately mapped.</x:v>
      </x:c>
      <x:c r="E1853" s="33" t="str">
        <x:v>CORRECT / RECLASSIFY</x:v>
      </x:c>
      <x:c r="F1853" s="33" t="str">
        <x:v>Align requirements to corrected substantive provisions and applicability classifications.</x:v>
      </x:c>
      <x:c r="G1853" s="33" t="str">
        <x:v>P-4 official-source validation</x:v>
      </x:c>
      <x:c r="H185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53" s="33" t="str">
        <x:v>P-4</x:v>
      </x:c>
      <x:c r="J1853" s="33" t="str">
        <x:v>2026-08-20</x:v>
      </x:c>
      <x:c r="K1853" s="33" t="str">
        <x:v>Compliance IDs preserved; mandatory/conditional/optional status corrected.</x:v>
      </x:c>
    </x:row>
    <x:row r="1854">
      <x:c r="A1854" s="33" t="str">
        <x:v>COMP145</x:v>
      </x:c>
      <x:c r="B1854" s="33" t="str">
        <x:v>Compliance Requirement Master</x:v>
      </x:c>
      <x:c r="C1854" s="33" t="str">
        <x:v>Applicability=Conditional; Remarks=Equipment validation</x:v>
      </x:c>
      <x:c r="D1854" s="33" t="str">
        <x:v>Applicability=Best Practice / Regulatory Expectation; Remarks=P-4 non-statutory guidance/internal implementation control; exact binding instrument remains separately mapped.</x:v>
      </x:c>
      <x:c r="E1854" s="33" t="str">
        <x:v>CORRECT / RECLASSIFY</x:v>
      </x:c>
      <x:c r="F1854" s="33" t="str">
        <x:v>Align requirements to corrected substantive provisions and applicability classifications.</x:v>
      </x:c>
      <x:c r="G1854" s="33" t="str">
        <x:v>P-4 official-source validation</x:v>
      </x:c>
      <x:c r="H185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54" s="33" t="str">
        <x:v>P-4</x:v>
      </x:c>
      <x:c r="J1854" s="33" t="str">
        <x:v>2026-08-20</x:v>
      </x:c>
      <x:c r="K1854" s="33" t="str">
        <x:v>Compliance IDs preserved; mandatory/conditional/optional status corrected.</x:v>
      </x:c>
    </x:row>
    <x:row r="1855">
      <x:c r="A1855" s="33" t="str">
        <x:v>COMP215</x:v>
      </x:c>
      <x:c r="B1855" s="33" t="str">
        <x:v>Compliance Requirement Master</x:v>
      </x:c>
      <x:c r="C1855" s="33" t="str">
        <x:v>Applicability=Conditional; Remarks=Temperature mapping</x:v>
      </x:c>
      <x:c r="D1855" s="33" t="str">
        <x:v>Applicability=Best Practice / Regulatory Expectation; Remarks=P-4 non-statutory guidance/internal implementation control; exact binding instrument remains separately mapped.</x:v>
      </x:c>
      <x:c r="E1855" s="33" t="str">
        <x:v>CORRECT / RECLASSIFY</x:v>
      </x:c>
      <x:c r="F1855" s="33" t="str">
        <x:v>Align requirements to corrected substantive provisions and applicability classifications.</x:v>
      </x:c>
      <x:c r="G1855" s="33" t="str">
        <x:v>P-4 official-source validation</x:v>
      </x:c>
      <x:c r="H185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55" s="33" t="str">
        <x:v>P-4</x:v>
      </x:c>
      <x:c r="J1855" s="33" t="str">
        <x:v>2026-08-20</x:v>
      </x:c>
      <x:c r="K1855" s="33" t="str">
        <x:v>Compliance IDs preserved; mandatory/conditional/optional status corrected.</x:v>
      </x:c>
    </x:row>
    <x:row r="1856">
      <x:c r="A1856" s="33" t="str">
        <x:v>COMP216</x:v>
      </x:c>
      <x:c r="B1856" s="33" t="str">
        <x:v>Compliance Requirement Master</x:v>
      </x:c>
      <x:c r="C1856" s="33" t="str">
        <x:v>Applicability=Conditional; Remarks=Revalidation</x:v>
      </x:c>
      <x:c r="D1856" s="33" t="str">
        <x:v>Applicability=Best Practice / Regulatory Expectation; Remarks=P-4 non-statutory guidance/internal implementation control; exact binding instrument remains separately mapped.</x:v>
      </x:c>
      <x:c r="E1856" s="33" t="str">
        <x:v>CORRECT / RECLASSIFY</x:v>
      </x:c>
      <x:c r="F1856" s="33" t="str">
        <x:v>Align requirements to corrected substantive provisions and applicability classifications.</x:v>
      </x:c>
      <x:c r="G1856" s="33" t="str">
        <x:v>P-4 official-source validation</x:v>
      </x:c>
      <x:c r="H185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56" s="33" t="str">
        <x:v>P-4</x:v>
      </x:c>
      <x:c r="J1856" s="33" t="str">
        <x:v>2026-08-20</x:v>
      </x:c>
      <x:c r="K1856" s="33" t="str">
        <x:v>Compliance IDs preserved; mandatory/conditional/optional status corrected.</x:v>
      </x:c>
    </x:row>
    <x:row r="1857">
      <x:c r="A1857" s="33" t="str">
        <x:v>COMP217</x:v>
      </x:c>
      <x:c r="B1857" s="33" t="str">
        <x:v>Compliance Requirement Master</x:v>
      </x:c>
      <x:c r="C1857" s="33" t="str">
        <x:v>Applicability=Conditional; Remarks=Validation records</x:v>
      </x:c>
      <x:c r="D1857" s="33" t="str">
        <x:v>Applicability=Best Practice / Regulatory Expectation; Remarks=P-4 non-statutory guidance/internal implementation control; exact binding instrument remains separately mapped.</x:v>
      </x:c>
      <x:c r="E1857" s="33" t="str">
        <x:v>CORRECT / RECLASSIFY</x:v>
      </x:c>
      <x:c r="F1857" s="33" t="str">
        <x:v>Align requirements to corrected substantive provisions and applicability classifications.</x:v>
      </x:c>
      <x:c r="G1857" s="33" t="str">
        <x:v>P-4 official-source validation</x:v>
      </x:c>
      <x:c r="H185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57" s="33" t="str">
        <x:v>P-4</x:v>
      </x:c>
      <x:c r="J1857" s="33" t="str">
        <x:v>2026-08-20</x:v>
      </x:c>
      <x:c r="K1857" s="33" t="str">
        <x:v>Compliance IDs preserved; mandatory/conditional/optional status corrected.</x:v>
      </x:c>
    </x:row>
    <x:row r="1858">
      <x:c r="A1858" s="33" t="str">
        <x:v>COMP218</x:v>
      </x:c>
      <x:c r="B1858" s="33" t="str">
        <x:v>Compliance Requirement Master</x:v>
      </x:c>
      <x:c r="C1858" s="33" t="str">
        <x:v>Applicability=Mandatory; Remarks=Instrument calibration</x:v>
      </x:c>
      <x:c r="D1858" s="33" t="str">
        <x:v>Applicability=Best Practice / Regulatory Expectation; Remarks=P-4 non-statutory guidance/internal implementation control; exact binding instrument remains separately mapped.</x:v>
      </x:c>
      <x:c r="E1858" s="33" t="str">
        <x:v>CORRECT / RECLASSIFY</x:v>
      </x:c>
      <x:c r="F1858" s="33" t="str">
        <x:v>Align requirements to corrected substantive provisions and applicability classifications.</x:v>
      </x:c>
      <x:c r="G1858" s="33" t="str">
        <x:v>P-4 official-source validation</x:v>
      </x:c>
      <x:c r="H185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58" s="33" t="str">
        <x:v>P-4</x:v>
      </x:c>
      <x:c r="J1858" s="33" t="str">
        <x:v>2026-08-20</x:v>
      </x:c>
      <x:c r="K1858" s="33" t="str">
        <x:v>Compliance IDs preserved; mandatory/conditional/optional status corrected.</x:v>
      </x:c>
    </x:row>
    <x:row r="1859">
      <x:c r="A1859" s="33" t="str">
        <x:v>COMP219</x:v>
      </x:c>
      <x:c r="B1859" s="33" t="str">
        <x:v>Compliance Requirement Master</x:v>
      </x:c>
      <x:c r="C1859" s="33" t="str">
        <x:v>Applicability=Conditional; Remarks=Equipment qualification</x:v>
      </x:c>
      <x:c r="D1859" s="33" t="str">
        <x:v>Applicability=Best Practice / Regulatory Expectation; Remarks=P-4 non-statutory guidance/internal implementation control; exact binding instrument remains separately mapped.</x:v>
      </x:c>
      <x:c r="E1859" s="33" t="str">
        <x:v>CORRECT / RECLASSIFY</x:v>
      </x:c>
      <x:c r="F1859" s="33" t="str">
        <x:v>Align requirements to corrected substantive provisions and applicability classifications.</x:v>
      </x:c>
      <x:c r="G1859" s="33" t="str">
        <x:v>P-4 official-source validation</x:v>
      </x:c>
      <x:c r="H185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59" s="33" t="str">
        <x:v>P-4</x:v>
      </x:c>
      <x:c r="J1859" s="33" t="str">
        <x:v>2026-08-20</x:v>
      </x:c>
      <x:c r="K1859" s="33" t="str">
        <x:v>Compliance IDs preserved; mandatory/conditional/optional status corrected.</x:v>
      </x:c>
    </x:row>
    <x:row r="1860">
      <x:c r="A1860" s="33" t="str">
        <x:v>COMP220</x:v>
      </x:c>
      <x:c r="B1860" s="33" t="str">
        <x:v>Compliance Requirement Master</x:v>
      </x:c>
      <x:c r="C1860" s="33" t="str">
        <x:v>Applicability=Mandatory; Remarks=Preventive maintenance</x:v>
      </x:c>
      <x:c r="D1860" s="33" t="str">
        <x:v>Applicability=Best Practice / Regulatory Expectation; Remarks=P-4 non-statutory guidance/internal implementation control; exact binding instrument remains separately mapped.</x:v>
      </x:c>
      <x:c r="E1860" s="33" t="str">
        <x:v>CORRECT / RECLASSIFY</x:v>
      </x:c>
      <x:c r="F1860" s="33" t="str">
        <x:v>Align requirements to corrected substantive provisions and applicability classifications.</x:v>
      </x:c>
      <x:c r="G1860" s="33" t="str">
        <x:v>P-4 official-source validation</x:v>
      </x:c>
      <x:c r="H186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60" s="33" t="str">
        <x:v>P-4</x:v>
      </x:c>
      <x:c r="J1860" s="33" t="str">
        <x:v>2026-08-20</x:v>
      </x:c>
      <x:c r="K1860" s="33" t="str">
        <x:v>Compliance IDs preserved; mandatory/conditional/optional status corrected.</x:v>
      </x:c>
    </x:row>
    <x:row r="1861">
      <x:c r="A1861" s="33" t="str">
        <x:v>COMP221</x:v>
      </x:c>
      <x:c r="B1861" s="33" t="str">
        <x:v>Compliance Requirement Master</x:v>
      </x:c>
      <x:c r="C1861" s="33" t="str">
        <x:v>Applicability=Mandatory; Remarks=Calibration records</x:v>
      </x:c>
      <x:c r="D1861" s="33" t="str">
        <x:v>Applicability=Best Practice / Regulatory Expectation; Remarks=P-4 non-statutory guidance/internal implementation control; exact binding instrument remains separately mapped.</x:v>
      </x:c>
      <x:c r="E1861" s="33" t="str">
        <x:v>CORRECT / RECLASSIFY</x:v>
      </x:c>
      <x:c r="F1861" s="33" t="str">
        <x:v>Align requirements to corrected substantive provisions and applicability classifications.</x:v>
      </x:c>
      <x:c r="G1861" s="33" t="str">
        <x:v>P-4 official-source validation</x:v>
      </x:c>
      <x:c r="H186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61" s="33" t="str">
        <x:v>P-4</x:v>
      </x:c>
      <x:c r="J1861" s="33" t="str">
        <x:v>2026-08-20</x:v>
      </x:c>
      <x:c r="K1861" s="33" t="str">
        <x:v>Compliance IDs preserved; mandatory/conditional/optional status corrected.</x:v>
      </x:c>
    </x:row>
    <x:row r="1862">
      <x:c r="A1862" s="33" t="str">
        <x:v>COMP222</x:v>
      </x:c>
      <x:c r="B1862" s="33" t="str">
        <x:v>Compliance Requirement Master</x:v>
      </x:c>
      <x:c r="C1862" s="33" t="str">
        <x:v>Applicability=Mandatory; Remarks=Performance verification</x:v>
      </x:c>
      <x:c r="D1862" s="33" t="str">
        <x:v>Applicability=Best Practice / Regulatory Expectation; Remarks=P-4 non-statutory guidance/internal implementation control; exact binding instrument remains separately mapped.</x:v>
      </x:c>
      <x:c r="E1862" s="33" t="str">
        <x:v>CORRECT / RECLASSIFY</x:v>
      </x:c>
      <x:c r="F1862" s="33" t="str">
        <x:v>Align requirements to corrected substantive provisions and applicability classifications.</x:v>
      </x:c>
      <x:c r="G1862" s="33" t="str">
        <x:v>P-4 official-source validation</x:v>
      </x:c>
      <x:c r="H186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62" s="33" t="str">
        <x:v>P-4</x:v>
      </x:c>
      <x:c r="J1862" s="33" t="str">
        <x:v>2026-08-20</x:v>
      </x:c>
      <x:c r="K1862" s="33" t="str">
        <x:v>Compliance IDs preserved; mandatory/conditional/optional status corrected.</x:v>
      </x:c>
    </x:row>
    <x:row r="1863">
      <x:c r="A1863" s="33" t="str">
        <x:v>COMP223</x:v>
      </x:c>
      <x:c r="B1863" s="33" t="str">
        <x:v>Compliance Requirement Master</x:v>
      </x:c>
      <x:c r="C1863" s="33" t="str">
        <x:v>Applicability=Mandatory; Remarks=Equipment status control</x:v>
      </x:c>
      <x:c r="D1863" s="33" t="str">
        <x:v>Applicability=Best Practice / Regulatory Expectation; Remarks=P-4 non-statutory guidance/internal implementation control; exact binding instrument remains separately mapped.</x:v>
      </x:c>
      <x:c r="E1863" s="33" t="str">
        <x:v>CORRECT / RECLASSIFY</x:v>
      </x:c>
      <x:c r="F1863" s="33" t="str">
        <x:v>Align requirements to corrected substantive provisions and applicability classifications.</x:v>
      </x:c>
      <x:c r="G1863" s="33" t="str">
        <x:v>P-4 official-source validation</x:v>
      </x:c>
      <x:c r="H186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63" s="33" t="str">
        <x:v>P-4</x:v>
      </x:c>
      <x:c r="J1863" s="33" t="str">
        <x:v>2026-08-20</x:v>
      </x:c>
      <x:c r="K1863" s="33" t="str">
        <x:v>Compliance IDs preserved; mandatory/conditional/optional status corrected.</x:v>
      </x:c>
    </x:row>
    <x:row r="1864">
      <x:c r="A1864" s="33" t="str">
        <x:v>COMP224</x:v>
      </x:c>
      <x:c r="B1864" s="33" t="str">
        <x:v>Compliance Requirement Master</x:v>
      </x:c>
      <x:c r="C1864" s="33" t="str">
        <x:v>Applicability=Mandatory; Remarks=Calibration traceability</x:v>
      </x:c>
      <x:c r="D1864" s="33" t="str">
        <x:v>Applicability=Best Practice / Regulatory Expectation; Remarks=P-4 non-statutory guidance/internal implementation control; exact binding instrument remains separately mapped.</x:v>
      </x:c>
      <x:c r="E1864" s="33" t="str">
        <x:v>CORRECT / RECLASSIFY</x:v>
      </x:c>
      <x:c r="F1864" s="33" t="str">
        <x:v>Align requirements to corrected substantive provisions and applicability classifications.</x:v>
      </x:c>
      <x:c r="G1864" s="33" t="str">
        <x:v>P-4 official-source validation</x:v>
      </x:c>
      <x:c r="H186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64" s="33" t="str">
        <x:v>P-4</x:v>
      </x:c>
      <x:c r="J1864" s="33" t="str">
        <x:v>2026-08-20</x:v>
      </x:c>
      <x:c r="K1864" s="33" t="str">
        <x:v>Compliance IDs preserved; mandatory/conditional/optional status corrected.</x:v>
      </x:c>
    </x:row>
    <x:row r="1865">
      <x:c r="A1865" s="33" t="str">
        <x:v>COMP225</x:v>
      </x:c>
      <x:c r="B1865" s="33" t="str">
        <x:v>Compliance Requirement Master</x:v>
      </x:c>
      <x:c r="C1865" s="33" t="str">
        <x:v>Applicability=Mandatory; Remarks=Programme review</x:v>
      </x:c>
      <x:c r="D1865" s="33" t="str">
        <x:v>Applicability=Best Practice / Regulatory Expectation; Remarks=P-4 non-statutory guidance/internal implementation control; exact binding instrument remains separately mapped.</x:v>
      </x:c>
      <x:c r="E1865" s="33" t="str">
        <x:v>CORRECT / RECLASSIFY</x:v>
      </x:c>
      <x:c r="F1865" s="33" t="str">
        <x:v>Align requirements to corrected substantive provisions and applicability classifications.</x:v>
      </x:c>
      <x:c r="G1865" s="33" t="str">
        <x:v>P-4 official-source validation</x:v>
      </x:c>
      <x:c r="H186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65" s="33" t="str">
        <x:v>P-4</x:v>
      </x:c>
      <x:c r="J1865" s="33" t="str">
        <x:v>2026-08-20</x:v>
      </x:c>
      <x:c r="K1865" s="33" t="str">
        <x:v>Compliance IDs preserved; mandatory/conditional/optional status corrected.</x:v>
      </x:c>
    </x:row>
    <x:row r="1866">
      <x:c r="A1866" s="33" t="str">
        <x:v>RCOMP001</x:v>
      </x:c>
      <x:c r="B1866" s="33" t="str">
        <x:v>Compliance Requirement Master</x:v>
      </x:c>
      <x:c r="C1866" s="33" t="str">
        <x:v>Applicability=Mandatory; Remarks=Implementation Method: Standardized pre-dispatch verification checklist. | Evidence indicator retained in Evidence Master: Verified delivery checklist, prescription copy, dispatch log.</x:v>
      </x:c>
      <x:c r="D1866" s="33" t="str">
        <x:v>Applicability=Optional; Remarks=P-4 entity-specific internal control; no independent statutory force. Activate the exact underlying legal requirement separately.</x:v>
      </x:c>
      <x:c r="E1866" s="33" t="str">
        <x:v>CORRECT / RECLASSIFY</x:v>
      </x:c>
      <x:c r="F1866" s="33" t="str">
        <x:v>Align requirements to corrected substantive provisions and applicability classifications.</x:v>
      </x:c>
      <x:c r="G1866" s="33" t="str">
        <x:v>P-4 official-source validation</x:v>
      </x:c>
      <x:c r="H186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66" s="33" t="str">
        <x:v>P-4</x:v>
      </x:c>
      <x:c r="J1866" s="33" t="str">
        <x:v>2026-08-20</x:v>
      </x:c>
      <x:c r="K1866" s="33" t="str">
        <x:v>Compliance IDs preserved; mandatory/conditional/optional status corrected.</x:v>
      </x:c>
    </x:row>
    <x:row r="1867">
      <x:c r="A1867" s="33" t="str">
        <x:v>RCOMP002</x:v>
      </x:c>
      <x:c r="B1867" s="33" t="str">
        <x:v>Compliance Requirement Master</x:v>
      </x:c>
      <x:c r="C1867" s="33" t="str">
        <x:v>Applicability=Mandatory; Remarks=Implementation Method: Identity verification before handover. | Evidence indicator retained in Evidence Master: Collection register, customer acknowledgement.</x:v>
      </x:c>
      <x:c r="D1867" s="33" t="str">
        <x:v>Applicability=Optional; Remarks=P-4 entity-specific internal control; no independent statutory force. Activate the exact underlying legal requirement separately.</x:v>
      </x:c>
      <x:c r="E1867" s="33" t="str">
        <x:v>CORRECT / RECLASSIFY</x:v>
      </x:c>
      <x:c r="F1867" s="33" t="str">
        <x:v>Align requirements to corrected substantive provisions and applicability classifications.</x:v>
      </x:c>
      <x:c r="G1867" s="33" t="str">
        <x:v>P-4 official-source validation</x:v>
      </x:c>
      <x:c r="H186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67" s="33" t="str">
        <x:v>P-4</x:v>
      </x:c>
      <x:c r="J1867" s="33" t="str">
        <x:v>2026-08-20</x:v>
      </x:c>
      <x:c r="K1867" s="33" t="str">
        <x:v>Compliance IDs preserved; mandatory/conditional/optional status corrected.</x:v>
      </x:c>
    </x:row>
    <x:row r="1868">
      <x:c r="A1868" s="33" t="str">
        <x:v>RCOMP003</x:v>
      </x:c>
      <x:c r="B1868" s="33" t="str">
        <x:v>Compliance Requirement Master</x:v>
      </x:c>
      <x:c r="C1868" s="33" t="str">
        <x:v>Applicability=Mandatory; Remarks=Implementation Method: Daily merchandising inspection. | Evidence indicator retained in Evidence Master: Shelf inspection checklist.</x:v>
      </x:c>
      <x:c r="D1868" s="33" t="str">
        <x:v>Applicability=Optional; Remarks=P-4 entity-specific internal control; no independent statutory force. Activate the exact underlying legal requirement separately.</x:v>
      </x:c>
      <x:c r="E1868" s="33" t="str">
        <x:v>CORRECT / RECLASSIFY</x:v>
      </x:c>
      <x:c r="F1868" s="33" t="str">
        <x:v>Align requirements to corrected substantive provisions and applicability classifications.</x:v>
      </x:c>
      <x:c r="G1868" s="33" t="str">
        <x:v>P-4 official-source validation</x:v>
      </x:c>
      <x:c r="H186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68" s="33" t="str">
        <x:v>P-4</x:v>
      </x:c>
      <x:c r="J1868" s="33" t="str">
        <x:v>2026-08-20</x:v>
      </x:c>
      <x:c r="K1868" s="33" t="str">
        <x:v>Compliance IDs preserved; mandatory/conditional/optional status corrected.</x:v>
      </x:c>
    </x:row>
    <x:row r="1869">
      <x:c r="A1869" s="33" t="str">
        <x:v>RCOMP004</x:v>
      </x:c>
      <x:c r="B1869" s="33" t="str">
        <x:v>Compliance Requirement Master</x:v>
      </x:c>
      <x:c r="C1869" s="33" t="str">
        <x:v>Applicability=Mandatory; Remarks=Implementation Method: Visual verification during opening checks. | Evidence indicator retained in Evidence Master: Opening checklist, photographs.</x:v>
      </x:c>
      <x:c r="D1869" s="33" t="str">
        <x:v>Applicability=Optional; Remarks=P-4 entity-specific internal control; no independent statutory force. Activate the exact underlying legal requirement separately.</x:v>
      </x:c>
      <x:c r="E1869" s="33" t="str">
        <x:v>CORRECT / RECLASSIFY</x:v>
      </x:c>
      <x:c r="F1869" s="33" t="str">
        <x:v>Align requirements to corrected substantive provisions and applicability classifications.</x:v>
      </x:c>
      <x:c r="G1869" s="33" t="str">
        <x:v>P-4 official-source validation</x:v>
      </x:c>
      <x:c r="H186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69" s="33" t="str">
        <x:v>P-4</x:v>
      </x:c>
      <x:c r="J1869" s="33" t="str">
        <x:v>2026-08-20</x:v>
      </x:c>
      <x:c r="K1869" s="33" t="str">
        <x:v>Compliance IDs preserved; mandatory/conditional/optional status corrected.</x:v>
      </x:c>
    </x:row>
    <x:row r="1870">
      <x:c r="A1870" s="33" t="str">
        <x:v>RCOMP005</x:v>
      </x:c>
      <x:c r="B1870" s="33" t="str">
        <x:v>Compliance Requirement Master</x:v>
      </x:c>
      <x:c r="C1870" s="33" t="str">
        <x:v>Applicability=Mandatory; Remarks=Implementation Method: Billing verification procedure. | Evidence indicator retained in Evidence Master: Billing record, dispensing record.</x:v>
      </x:c>
      <x:c r="D1870" s="33" t="str">
        <x:v>Applicability=Optional; Remarks=P-4 entity-specific internal control; no independent statutory force. Activate the exact underlying legal requirement separately.</x:v>
      </x:c>
      <x:c r="E1870" s="33" t="str">
        <x:v>CORRECT / RECLASSIFY</x:v>
      </x:c>
      <x:c r="F1870" s="33" t="str">
        <x:v>Align requirements to corrected substantive provisions and applicability classifications.</x:v>
      </x:c>
      <x:c r="G1870" s="33" t="str">
        <x:v>P-4 official-source validation</x:v>
      </x:c>
      <x:c r="H187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70" s="33" t="str">
        <x:v>P-4</x:v>
      </x:c>
      <x:c r="J1870" s="33" t="str">
        <x:v>2026-08-20</x:v>
      </x:c>
      <x:c r="K1870" s="33" t="str">
        <x:v>Compliance IDs preserved; mandatory/conditional/optional status corrected.</x:v>
      </x:c>
    </x:row>
    <x:row r="1871">
      <x:c r="A1871" s="33" t="str">
        <x:v>RCOMP006</x:v>
      </x:c>
      <x:c r="B1871" s="33" t="str">
        <x:v>Compliance Requirement Master</x:v>
      </x:c>
      <x:c r="C1871" s="33" t="str">
        <x:v>Applicability=Mandatory; Remarks=Implementation Method: Reservation register maintenance. | Evidence indicator retained in Evidence Master: Reservation register, inventory records.</x:v>
      </x:c>
      <x:c r="D1871" s="33" t="str">
        <x:v>Applicability=Optional; Remarks=P-4 entity-specific internal control; no independent statutory force. Activate the exact underlying legal requirement separately.</x:v>
      </x:c>
      <x:c r="E1871" s="33" t="str">
        <x:v>CORRECT / RECLASSIFY</x:v>
      </x:c>
      <x:c r="F1871" s="33" t="str">
        <x:v>Align requirements to corrected substantive provisions and applicability classifications.</x:v>
      </x:c>
      <x:c r="G1871" s="33" t="str">
        <x:v>P-4 official-source validation</x:v>
      </x:c>
      <x:c r="H187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71" s="33" t="str">
        <x:v>P-4</x:v>
      </x:c>
      <x:c r="J1871" s="33" t="str">
        <x:v>2026-08-20</x:v>
      </x:c>
      <x:c r="K1871" s="33" t="str">
        <x:v>Compliance IDs preserved; mandatory/conditional/optional status corrected.</x:v>
      </x:c>
    </x:row>
    <x:row r="1872">
      <x:c r="A1872" s="33" t="str">
        <x:v>RCOMP007</x:v>
      </x:c>
      <x:c r="B1872" s="33" t="str">
        <x:v>Compliance Requirement Master</x:v>
      </x:c>
      <x:c r="C1872" s="33" t="str">
        <x:v>Applicability=Mandatory; Remarks=Implementation Method: Opening inspection checklist. | Evidence indicator retained in Evidence Master: Daily inspection checklist.</x:v>
      </x:c>
      <x:c r="D1872" s="33" t="str">
        <x:v>Applicability=Optional; Remarks=P-4 entity-specific internal control; no independent statutory force. Activate the exact underlying legal requirement separately.</x:v>
      </x:c>
      <x:c r="E1872" s="33" t="str">
        <x:v>CORRECT / RECLASSIFY</x:v>
      </x:c>
      <x:c r="F1872" s="33" t="str">
        <x:v>Align requirements to corrected substantive provisions and applicability classifications.</x:v>
      </x:c>
      <x:c r="G1872" s="33" t="str">
        <x:v>P-4 official-source validation</x:v>
      </x:c>
      <x:c r="H187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72" s="33" t="str">
        <x:v>P-4</x:v>
      </x:c>
      <x:c r="J1872" s="33" t="str">
        <x:v>2026-08-20</x:v>
      </x:c>
      <x:c r="K1872" s="33" t="str">
        <x:v>Compliance IDs preserved; mandatory/conditional/optional status corrected.</x:v>
      </x:c>
    </x:row>
    <x:row r="1873">
      <x:c r="A1873" s="33" t="str">
        <x:v>RCOMP008</x:v>
      </x:c>
      <x:c r="B1873" s="33" t="str">
        <x:v>Compliance Requirement Master</x:v>
      </x:c>
      <x:c r="C1873" s="33" t="str">
        <x:v>Applicability=Mandatory; Remarks=Implementation Method: Monthly display verification. | Evidence indicator retained in Evidence Master: Display verification checklist.</x:v>
      </x:c>
      <x:c r="D1873" s="33" t="str">
        <x:v>Applicability=Optional; Remarks=P-4 entity-specific internal control; no independent statutory force. Activate the exact underlying legal requirement separately.</x:v>
      </x:c>
      <x:c r="E1873" s="33" t="str">
        <x:v>CORRECT / RECLASSIFY</x:v>
      </x:c>
      <x:c r="F1873" s="33" t="str">
        <x:v>Align requirements to corrected substantive provisions and applicability classifications.</x:v>
      </x:c>
      <x:c r="G1873" s="33" t="str">
        <x:v>P-4 official-source validation</x:v>
      </x:c>
      <x:c r="H187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73" s="33" t="str">
        <x:v>P-4</x:v>
      </x:c>
      <x:c r="J1873" s="33" t="str">
        <x:v>2026-08-20</x:v>
      </x:c>
      <x:c r="K1873" s="33" t="str">
        <x:v>Compliance IDs preserved; mandatory/conditional/optional status corrected.</x:v>
      </x:c>
    </x:row>
    <x:row r="1874">
      <x:c r="A1874" s="33" t="str">
        <x:v>RCOMP009</x:v>
      </x:c>
      <x:c r="B1874" s="33" t="str">
        <x:v>Compliance Requirement Master</x:v>
      </x:c>
      <x:c r="C1874" s="33" t="str">
        <x:v>Applicability=Mandatory; Remarks=Implementation Method: Returned medicine SOP. | Evidence indicator retained in Evidence Master: Return register, disposal records.</x:v>
      </x:c>
      <x:c r="D1874" s="33" t="str">
        <x:v>Applicability=Optional; Remarks=P-4 entity-specific internal control; no independent statutory force. Activate the exact underlying legal requirement separately.</x:v>
      </x:c>
      <x:c r="E1874" s="33" t="str">
        <x:v>CORRECT / RECLASSIFY</x:v>
      </x:c>
      <x:c r="F1874" s="33" t="str">
        <x:v>Align requirements to corrected substantive provisions and applicability classifications.</x:v>
      </x:c>
      <x:c r="G1874" s="33" t="str">
        <x:v>P-4 official-source validation</x:v>
      </x:c>
      <x:c r="H187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74" s="33" t="str">
        <x:v>P-4</x:v>
      </x:c>
      <x:c r="J1874" s="33" t="str">
        <x:v>2026-08-20</x:v>
      </x:c>
      <x:c r="K1874" s="33" t="str">
        <x:v>Compliance IDs preserved; mandatory/conditional/optional status corrected.</x:v>
      </x:c>
    </x:row>
    <x:row r="1875">
      <x:c r="A1875" s="33" t="str">
        <x:v>RCOMP010</x:v>
      </x:c>
      <x:c r="B1875" s="33" t="str">
        <x:v>Compliance Requirement Master</x:v>
      </x:c>
      <x:c r="C1875" s="33" t="str">
        <x:v>Applicability=Mandatory; Remarks=Implementation Method: Standard counselling procedure. | Evidence indicator retained in Evidence Master: Counselling checklist, dispensing record.</x:v>
      </x:c>
      <x:c r="D1875" s="33" t="str">
        <x:v>Applicability=Optional; Remarks=P-4 entity-specific internal control; no independent statutory force. Activate the exact underlying legal requirement separately.</x:v>
      </x:c>
      <x:c r="E1875" s="33" t="str">
        <x:v>CORRECT / RECLASSIFY</x:v>
      </x:c>
      <x:c r="F1875" s="33" t="str">
        <x:v>Align requirements to corrected substantive provisions and applicability classifications.</x:v>
      </x:c>
      <x:c r="G1875" s="33" t="str">
        <x:v>P-4 official-source validation</x:v>
      </x:c>
      <x:c r="H187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75" s="33" t="str">
        <x:v>P-4</x:v>
      </x:c>
      <x:c r="J1875" s="33" t="str">
        <x:v>2026-08-20</x:v>
      </x:c>
      <x:c r="K1875" s="33" t="str">
        <x:v>Compliance IDs preserved; mandatory/conditional/optional status corrected.</x:v>
      </x:c>
    </x:row>
    <x:row r="1876">
      <x:c r="A1876" s="33" t="str">
        <x:v>RCOMP011</x:v>
      </x:c>
      <x:c r="B1876" s="33" t="str">
        <x:v>Compliance Requirement Master</x:v>
      </x:c>
      <x:c r="C1876" s="33" t="str">
        <x:v>Applicability=Mandatory; Remarks=Implementation Method: Standardized prescription validation checklist. | Evidence indicator retained in Evidence Master: Prescription validation checklist, verified prescription copy.</x:v>
      </x:c>
      <x:c r="D1876" s="33" t="str">
        <x:v>Applicability=Optional; Remarks=P-4 entity-specific internal control; no independent statutory force. Activate the exact underlying legal requirement separately.</x:v>
      </x:c>
      <x:c r="E1876" s="33" t="str">
        <x:v>CORRECT / RECLASSIFY</x:v>
      </x:c>
      <x:c r="F1876" s="33" t="str">
        <x:v>Align requirements to corrected substantive provisions and applicability classifications.</x:v>
      </x:c>
      <x:c r="G1876" s="33" t="str">
        <x:v>P-4 official-source validation</x:v>
      </x:c>
      <x:c r="H187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76" s="33" t="str">
        <x:v>P-4</x:v>
      </x:c>
      <x:c r="J1876" s="33" t="str">
        <x:v>2026-08-20</x:v>
      </x:c>
      <x:c r="K1876" s="33" t="str">
        <x:v>Compliance IDs preserved; mandatory/conditional/optional status corrected.</x:v>
      </x:c>
    </x:row>
    <x:row r="1877">
      <x:c r="A1877" s="33" t="str">
        <x:v>RCOMP012</x:v>
      </x:c>
      <x:c r="B1877" s="33" t="str">
        <x:v>Compliance Requirement Master</x:v>
      </x:c>
      <x:c r="C1877" s="33" t="str">
        <x:v>Applicability=Mandatory; Remarks=Implementation Method: Daily shift monitoring and attendance verification. | Evidence indicator retained in Evidence Master: Pharmacist attendance register, duty roster.</x:v>
      </x:c>
      <x:c r="D1877" s="33" t="str">
        <x:v>Applicability=Optional; Remarks=P-4 entity-specific internal control; no independent statutory force. Activate the exact underlying legal requirement separately.</x:v>
      </x:c>
      <x:c r="E1877" s="33" t="str">
        <x:v>CORRECT / RECLASSIFY</x:v>
      </x:c>
      <x:c r="F1877" s="33" t="str">
        <x:v>Align requirements to corrected substantive provisions and applicability classifications.</x:v>
      </x:c>
      <x:c r="G1877" s="33" t="str">
        <x:v>P-4 official-source validation</x:v>
      </x:c>
      <x:c r="H187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77" s="33" t="str">
        <x:v>P-4</x:v>
      </x:c>
      <x:c r="J1877" s="33" t="str">
        <x:v>2026-08-20</x:v>
      </x:c>
      <x:c r="K1877" s="33" t="str">
        <x:v>Compliance IDs preserved; mandatory/conditional/optional status corrected.</x:v>
      </x:c>
    </x:row>
    <x:row r="1878">
      <x:c r="A1878" s="33" t="str">
        <x:v>RCOMP013</x:v>
      </x:c>
      <x:c r="B1878" s="33" t="str">
        <x:v>Compliance Requirement Master</x:v>
      </x:c>
      <x:c r="C1878" s="33" t="str">
        <x:v>Applicability=Mandatory; Remarks=Implementation Method: Electronic document management procedures. | Evidence indicator retained in Evidence Master: Electronic archive logs, backup reports.</x:v>
      </x:c>
      <x:c r="D1878" s="33" t="str">
        <x:v>Applicability=Optional; Remarks=P-4 entity-specific internal control; no independent statutory force. Activate the exact underlying legal requirement separately.</x:v>
      </x:c>
      <x:c r="E1878" s="33" t="str">
        <x:v>CORRECT / RECLASSIFY</x:v>
      </x:c>
      <x:c r="F1878" s="33" t="str">
        <x:v>Align requirements to corrected substantive provisions and applicability classifications.</x:v>
      </x:c>
      <x:c r="G1878" s="33" t="str">
        <x:v>P-4 official-source validation</x:v>
      </x:c>
      <x:c r="H187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78" s="33" t="str">
        <x:v>P-4</x:v>
      </x:c>
      <x:c r="J1878" s="33" t="str">
        <x:v>2026-08-20</x:v>
      </x:c>
      <x:c r="K1878" s="33" t="str">
        <x:v>Compliance IDs preserved; mandatory/conditional/optional status corrected.</x:v>
      </x:c>
    </x:row>
    <x:row r="1879">
      <x:c r="A1879" s="33" t="str">
        <x:v>RCOMP014</x:v>
      </x:c>
      <x:c r="B1879" s="33" t="str">
        <x:v>Compliance Requirement Master</x:v>
      </x:c>
      <x:c r="C1879" s="33" t="str">
        <x:v>Applicability=Mandatory; Remarks=Implementation Method: Review temperature monitoring records before release. | Evidence indicator retained in Evidence Master: Temperature logs, pharmacist verification records.</x:v>
      </x:c>
      <x:c r="D1879" s="33" t="str">
        <x:v>Applicability=Optional; Remarks=P-4 entity-specific internal control; no independent statutory force. Activate the exact underlying legal requirement separately.</x:v>
      </x:c>
      <x:c r="E1879" s="33" t="str">
        <x:v>CORRECT / RECLASSIFY</x:v>
      </x:c>
      <x:c r="F1879" s="33" t="str">
        <x:v>Align requirements to corrected substantive provisions and applicability classifications.</x:v>
      </x:c>
      <x:c r="G1879" s="33" t="str">
        <x:v>P-4 official-source validation</x:v>
      </x:c>
      <x:c r="H187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79" s="33" t="str">
        <x:v>P-4</x:v>
      </x:c>
      <x:c r="J1879" s="33" t="str">
        <x:v>2026-08-20</x:v>
      </x:c>
      <x:c r="K1879" s="33" t="str">
        <x:v>Compliance IDs preserved; mandatory/conditional/optional status corrected.</x:v>
      </x:c>
    </x:row>
    <x:row r="1880">
      <x:c r="A1880" s="33" t="str">
        <x:v>RCOMP015</x:v>
      </x:c>
      <x:c r="B1880" s="33" t="str">
        <x:v>Compliance Requirement Master</x:v>
      </x:c>
      <x:c r="C1880" s="33" t="str">
        <x:v>Applicability=Mandatory; Remarks=Implementation Method: Integrated dispensing documentation. | Evidence indicator retained in Evidence Master: Dispensing records, batch tracking reports.</x:v>
      </x:c>
      <x:c r="D1880" s="33" t="str">
        <x:v>Applicability=Optional; Remarks=P-4 entity-specific internal control; no independent statutory force. Activate the exact underlying legal requirement separately.</x:v>
      </x:c>
      <x:c r="E1880" s="33" t="str">
        <x:v>CORRECT / RECLASSIFY</x:v>
      </x:c>
      <x:c r="F1880" s="33" t="str">
        <x:v>Align requirements to corrected substantive provisions and applicability classifications.</x:v>
      </x:c>
      <x:c r="G1880" s="33" t="str">
        <x:v>P-4 official-source validation</x:v>
      </x:c>
      <x:c r="H188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80" s="33" t="str">
        <x:v>P-4</x:v>
      </x:c>
      <x:c r="J1880" s="33" t="str">
        <x:v>2026-08-20</x:v>
      </x:c>
      <x:c r="K1880" s="33" t="str">
        <x:v>Compliance IDs preserved; mandatory/conditional/optional status corrected.</x:v>
      </x:c>
    </x:row>
    <x:row r="1881">
      <x:c r="A1881" s="33" t="str">
        <x:v>RCOMP016</x:v>
      </x:c>
      <x:c r="B1881" s="33" t="str">
        <x:v>Compliance Requirement Master</x:v>
      </x:c>
      <x:c r="C1881" s="33" t="str">
        <x:v>Applicability=Mandatory; Remarks=Implementation Method: Monthly compliance inspection. | Evidence indicator retained in Evidence Master: Display verification checklist, photographs.</x:v>
      </x:c>
      <x:c r="D1881" s="33" t="str">
        <x:v>Applicability=Optional; Remarks=P-4 entity-specific internal control; no independent statutory force. Activate the exact underlying legal requirement separately.</x:v>
      </x:c>
      <x:c r="E1881" s="33" t="str">
        <x:v>CORRECT / RECLASSIFY</x:v>
      </x:c>
      <x:c r="F1881" s="33" t="str">
        <x:v>Align requirements to corrected substantive provisions and applicability classifications.</x:v>
      </x:c>
      <x:c r="G1881" s="33" t="str">
        <x:v>P-4 official-source validation</x:v>
      </x:c>
      <x:c r="H188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81" s="33" t="str">
        <x:v>P-4</x:v>
      </x:c>
      <x:c r="J1881" s="33" t="str">
        <x:v>2026-08-20</x:v>
      </x:c>
      <x:c r="K1881" s="33" t="str">
        <x:v>Compliance IDs preserved; mandatory/conditional/optional status corrected.</x:v>
      </x:c>
    </x:row>
    <x:row r="1882">
      <x:c r="A1882" s="33" t="str">
        <x:v>RCOMP017</x:v>
      </x:c>
      <x:c r="B1882" s="33" t="str">
        <x:v>Compliance Requirement Master</x:v>
      </x:c>
      <x:c r="C1882" s="33" t="str">
        <x:v>Applicability=Mandatory; Remarks=Implementation Method: Controlled storage and periodic verification. | Evidence indicator retained in Evidence Master: High-risk medicine register, access log.</x:v>
      </x:c>
      <x:c r="D1882" s="33" t="str">
        <x:v>Applicability=Optional; Remarks=P-4 entity-specific internal control; no independent statutory force. Activate the exact underlying legal requirement separately.</x:v>
      </x:c>
      <x:c r="E1882" s="33" t="str">
        <x:v>CORRECT / RECLASSIFY</x:v>
      </x:c>
      <x:c r="F1882" s="33" t="str">
        <x:v>Align requirements to corrected substantive provisions and applicability classifications.</x:v>
      </x:c>
      <x:c r="G1882" s="33" t="str">
        <x:v>P-4 official-source validation</x:v>
      </x:c>
      <x:c r="H188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82" s="33" t="str">
        <x:v>P-4</x:v>
      </x:c>
      <x:c r="J1882" s="33" t="str">
        <x:v>2026-08-20</x:v>
      </x:c>
      <x:c r="K1882" s="33" t="str">
        <x:v>Compliance IDs preserved; mandatory/conditional/optional status corrected.</x:v>
      </x:c>
    </x:row>
    <x:row r="1883">
      <x:c r="A1883" s="33" t="str">
        <x:v>RCOMP018</x:v>
      </x:c>
      <x:c r="B1883" s="33" t="str">
        <x:v>Compliance Requirement Master</x:v>
      </x:c>
      <x:c r="C1883" s="33" t="str">
        <x:v>Applicability=Mandatory; Remarks=Implementation Method: Compliance review before publication. | Evidence indicator retained in Evidence Master: Approved promotional material, review records.</x:v>
      </x:c>
      <x:c r="D1883" s="33" t="str">
        <x:v>Applicability=Optional; Remarks=P-4 entity-specific internal control; no independent statutory force. Activate the exact underlying legal requirement separately.</x:v>
      </x:c>
      <x:c r="E1883" s="33" t="str">
        <x:v>CORRECT / RECLASSIFY</x:v>
      </x:c>
      <x:c r="F1883" s="33" t="str">
        <x:v>Align requirements to corrected substantive provisions and applicability classifications.</x:v>
      </x:c>
      <x:c r="G1883" s="33" t="str">
        <x:v>P-4 official-source validation</x:v>
      </x:c>
      <x:c r="H188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83" s="33" t="str">
        <x:v>P-4</x:v>
      </x:c>
      <x:c r="J1883" s="33" t="str">
        <x:v>2026-08-20</x:v>
      </x:c>
      <x:c r="K1883" s="33" t="str">
        <x:v>Compliance IDs preserved; mandatory/conditional/optional status corrected.</x:v>
      </x:c>
    </x:row>
    <x:row r="1884">
      <x:c r="A1884" s="33" t="str">
        <x:v>RCOMP019</x:v>
      </x:c>
      <x:c r="B1884" s="33" t="str">
        <x:v>Compliance Requirement Master</x:v>
      </x:c>
      <x:c r="C1884" s="33" t="str">
        <x:v>Applicability=Mandatory; Remarks=Implementation Method: Controlled stock reconciliation procedure. | Evidence indicator retained in Evidence Master: Reconciliation reports, investigation records.</x:v>
      </x:c>
      <x:c r="D1884" s="33" t="str">
        <x:v>Applicability=Optional; Remarks=P-4 entity-specific internal control; no independent statutory force. Activate the exact underlying legal requirement separately.</x:v>
      </x:c>
      <x:c r="E1884" s="33" t="str">
        <x:v>CORRECT / RECLASSIFY</x:v>
      </x:c>
      <x:c r="F1884" s="33" t="str">
        <x:v>Align requirements to corrected substantive provisions and applicability classifications.</x:v>
      </x:c>
      <x:c r="G1884" s="33" t="str">
        <x:v>P-4 official-source validation</x:v>
      </x:c>
      <x:c r="H188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84" s="33" t="str">
        <x:v>P-4</x:v>
      </x:c>
      <x:c r="J1884" s="33" t="str">
        <x:v>2026-08-20</x:v>
      </x:c>
      <x:c r="K1884" s="33" t="str">
        <x:v>Compliance IDs preserved; mandatory/conditional/optional status corrected.</x:v>
      </x:c>
    </x:row>
    <x:row r="1885">
      <x:c r="A1885" s="33" t="str">
        <x:v>RCOMP020</x:v>
      </x:c>
      <x:c r="B1885" s="33" t="str">
        <x:v>Compliance Requirement Master</x:v>
      </x:c>
      <x:c r="C1885" s="33" t="str">
        <x:v>Applicability=Mandatory; Remarks=Implementation Method: Information security controls and periodic access reviews. | Evidence indicator retained in Evidence Master: Access logs, user review reports, confidentiality agreements.</x:v>
      </x:c>
      <x:c r="D1885" s="33" t="str">
        <x:v>Applicability=Optional; Remarks=P-4 entity-specific internal control; no independent statutory force. Activate the exact underlying legal requirement separately.</x:v>
      </x:c>
      <x:c r="E1885" s="33" t="str">
        <x:v>CORRECT / RECLASSIFY</x:v>
      </x:c>
      <x:c r="F1885" s="33" t="str">
        <x:v>Align requirements to corrected substantive provisions and applicability classifications.</x:v>
      </x:c>
      <x:c r="G1885" s="33" t="str">
        <x:v>P-4 official-source validation</x:v>
      </x:c>
      <x:c r="H188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85" s="33" t="str">
        <x:v>P-4</x:v>
      </x:c>
      <x:c r="J1885" s="33" t="str">
        <x:v>2026-08-20</x:v>
      </x:c>
      <x:c r="K1885" s="33" t="str">
        <x:v>Compliance IDs preserved; mandatory/conditional/optional status corrected.</x:v>
      </x:c>
    </x:row>
    <x:row r="1886">
      <x:c r="A1886" s="33" t="str">
        <x:v>RCOMP021</x:v>
      </x:c>
      <x:c r="B1886" s="33" t="str">
        <x:v>Compliance Requirement Master</x:v>
      </x:c>
      <x:c r="C1886" s="33" t="str">
        <x:v>Applicability=Mandatory; Remarks=Implementation Method: LASA identification and dispensing verification procedure. | Evidence indicator retained in Evidence Master: LASA register, verification checklist, staff training records.</x:v>
      </x:c>
      <x:c r="D1886" s="33" t="str">
        <x:v>Applicability=Optional; Remarks=P-4 entity-specific internal control; no independent statutory force. Activate the exact underlying legal requirement separately.</x:v>
      </x:c>
      <x:c r="E1886" s="33" t="str">
        <x:v>CORRECT / RECLASSIFY</x:v>
      </x:c>
      <x:c r="F1886" s="33" t="str">
        <x:v>Align requirements to corrected substantive provisions and applicability classifications.</x:v>
      </x:c>
      <x:c r="G1886" s="33" t="str">
        <x:v>P-4 official-source validation</x:v>
      </x:c>
      <x:c r="H188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86" s="33" t="str">
        <x:v>P-4</x:v>
      </x:c>
      <x:c r="J1886" s="33" t="str">
        <x:v>2026-08-20</x:v>
      </x:c>
      <x:c r="K1886" s="33" t="str">
        <x:v>Compliance IDs preserved; mandatory/conditional/optional status corrected.</x:v>
      </x:c>
    </x:row>
    <x:row r="1887">
      <x:c r="A1887" s="33" t="str">
        <x:v>RCOMP022</x:v>
      </x:c>
      <x:c r="B1887" s="33" t="str">
        <x:v>Compliance Requirement Master</x:v>
      </x:c>
      <x:c r="C1887" s="33" t="str">
        <x:v>Applicability=Mandatory; Remarks=Implementation Method: Near-expiry monitoring procedure. | Evidence indicator retained in Evidence Master: Near-expiry reports, stock rotation records.</x:v>
      </x:c>
      <x:c r="D1887" s="33" t="str">
        <x:v>Applicability=Optional; Remarks=P-4 entity-specific internal control; no independent statutory force. Activate the exact underlying legal requirement separately.</x:v>
      </x:c>
      <x:c r="E1887" s="33" t="str">
        <x:v>CORRECT / RECLASSIFY</x:v>
      </x:c>
      <x:c r="F1887" s="33" t="str">
        <x:v>Align requirements to corrected substantive provisions and applicability classifications.</x:v>
      </x:c>
      <x:c r="G1887" s="33" t="str">
        <x:v>P-4 official-source validation</x:v>
      </x:c>
      <x:c r="H188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87" s="33" t="str">
        <x:v>P-4</x:v>
      </x:c>
      <x:c r="J1887" s="33" t="str">
        <x:v>2026-08-20</x:v>
      </x:c>
      <x:c r="K1887" s="33" t="str">
        <x:v>Compliance IDs preserved; mandatory/conditional/optional status corrected.</x:v>
      </x:c>
    </x:row>
    <x:row r="1888">
      <x:c r="A1888" s="33" t="str">
        <x:v>RCOMP023</x:v>
      </x:c>
      <x:c r="B1888" s="33" t="str">
        <x:v>Compliance Requirement Master</x:v>
      </x:c>
      <x:c r="C1888" s="33" t="str">
        <x:v>Applicability=Mandatory; Remarks=Implementation Method: Identity verification procedure. | Evidence indicator retained in Evidence Master: Identity verification records, dispensing log.</x:v>
      </x:c>
      <x:c r="D1888" s="33" t="str">
        <x:v>Applicability=Optional; Remarks=P-4 entity-specific internal control; no independent statutory force. Activate the exact underlying legal requirement separately.</x:v>
      </x:c>
      <x:c r="E1888" s="33" t="str">
        <x:v>CORRECT / RECLASSIFY</x:v>
      </x:c>
      <x:c r="F1888" s="33" t="str">
        <x:v>Align requirements to corrected substantive provisions and applicability classifications.</x:v>
      </x:c>
      <x:c r="G1888" s="33" t="str">
        <x:v>P-4 official-source validation</x:v>
      </x:c>
      <x:c r="H188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88" s="33" t="str">
        <x:v>P-4</x:v>
      </x:c>
      <x:c r="J1888" s="33" t="str">
        <x:v>2026-08-20</x:v>
      </x:c>
      <x:c r="K1888" s="33" t="str">
        <x:v>Compliance IDs preserved; mandatory/conditional/optional status corrected.</x:v>
      </x:c>
    </x:row>
    <x:row r="1889">
      <x:c r="A1889" s="33" t="str">
        <x:v>RCOMP024</x:v>
      </x:c>
      <x:c r="B1889" s="33" t="str">
        <x:v>Compliance Requirement Master</x:v>
      </x:c>
      <x:c r="C1889" s="33" t="str">
        <x:v>Applicability=Mandatory; Remarks=Implementation Method: Opening compliance checklist. | Evidence indicator retained in Evidence Master: Signed opening checklist.</x:v>
      </x:c>
      <x:c r="D1889" s="33" t="str">
        <x:v>Applicability=Optional; Remarks=P-4 entity-specific internal control; no independent statutory force. Activate the exact underlying legal requirement separately.</x:v>
      </x:c>
      <x:c r="E1889" s="33" t="str">
        <x:v>CORRECT / RECLASSIFY</x:v>
      </x:c>
      <x:c r="F1889" s="33" t="str">
        <x:v>Align requirements to corrected substantive provisions and applicability classifications.</x:v>
      </x:c>
      <x:c r="G1889" s="33" t="str">
        <x:v>P-4 official-source validation</x:v>
      </x:c>
      <x:c r="H188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89" s="33" t="str">
        <x:v>P-4</x:v>
      </x:c>
      <x:c r="J1889" s="33" t="str">
        <x:v>2026-08-20</x:v>
      </x:c>
      <x:c r="K1889" s="33" t="str">
        <x:v>Compliance IDs preserved; mandatory/conditional/optional status corrected.</x:v>
      </x:c>
    </x:row>
    <x:row r="1890">
      <x:c r="A1890" s="33" t="str">
        <x:v>RCOMP025</x:v>
      </x:c>
      <x:c r="B1890" s="33" t="str">
        <x:v>Compliance Requirement Master</x:v>
      </x:c>
      <x:c r="C1890" s="33" t="str">
        <x:v>Applicability=Mandatory; Remarks=Implementation Method: Batch traceability and customer linkage. | Evidence indicator retained in Evidence Master: Recall register, customer notification records.</x:v>
      </x:c>
      <x:c r="D1890" s="33" t="str">
        <x:v>Applicability=Optional; Remarks=P-4 entity-specific internal control; no independent statutory force. Activate the exact underlying legal requirement separately.</x:v>
      </x:c>
      <x:c r="E1890" s="33" t="str">
        <x:v>CORRECT / RECLASSIFY</x:v>
      </x:c>
      <x:c r="F1890" s="33" t="str">
        <x:v>Align requirements to corrected substantive provisions and applicability classifications.</x:v>
      </x:c>
      <x:c r="G1890" s="33" t="str">
        <x:v>P-4 official-source validation</x:v>
      </x:c>
      <x:c r="H189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90" s="33" t="str">
        <x:v>P-4</x:v>
      </x:c>
      <x:c r="J1890" s="33" t="str">
        <x:v>2026-08-20</x:v>
      </x:c>
      <x:c r="K1890" s="33" t="str">
        <x:v>Compliance IDs preserved; mandatory/conditional/optional status corrected.</x:v>
      </x:c>
    </x:row>
    <x:row r="1891">
      <x:c r="A1891" s="33" t="str">
        <x:v>RCOMP026</x:v>
      </x:c>
      <x:c r="B1891" s="33" t="str">
        <x:v>Compliance Requirement Master</x:v>
      </x:c>
      <x:c r="C1891" s="33" t="str">
        <x:v>Applicability=Mandatory; Remarks=Implementation Method: Audit trail management procedure. | Evidence indicator retained in Evidence Master: Audit logs, system configuration reports.</x:v>
      </x:c>
      <x:c r="D1891" s="33" t="str">
        <x:v>Applicability=Optional; Remarks=P-4 entity-specific internal control; no independent statutory force. Activate the exact underlying legal requirement separately.</x:v>
      </x:c>
      <x:c r="E1891" s="33" t="str">
        <x:v>CORRECT / RECLASSIFY</x:v>
      </x:c>
      <x:c r="F1891" s="33" t="str">
        <x:v>Align requirements to corrected substantive provisions and applicability classifications.</x:v>
      </x:c>
      <x:c r="G1891" s="33" t="str">
        <x:v>P-4 official-source validation</x:v>
      </x:c>
      <x:c r="H189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91" s="33" t="str">
        <x:v>P-4</x:v>
      </x:c>
      <x:c r="J1891" s="33" t="str">
        <x:v>2026-08-20</x:v>
      </x:c>
      <x:c r="K1891" s="33" t="str">
        <x:v>Compliance IDs preserved; mandatory/conditional/optional status corrected.</x:v>
      </x:c>
    </x:row>
    <x:row r="1892">
      <x:c r="A1892" s="33" t="str">
        <x:v>RCOMP027</x:v>
      </x:c>
      <x:c r="B1892" s="33" t="str">
        <x:v>Compliance Requirement Master</x:v>
      </x:c>
      <x:c r="C1892" s="33" t="str">
        <x:v>Applicability=Mandatory; Remarks=Implementation Method: Stock segregation procedure. | Evidence indicator retained in Evidence Master: Segregation register, storage inspection records.</x:v>
      </x:c>
      <x:c r="D1892" s="33" t="str">
        <x:v>Applicability=Optional; Remarks=P-4 entity-specific internal control; no independent statutory force. Activate the exact underlying legal requirement separately.</x:v>
      </x:c>
      <x:c r="E1892" s="33" t="str">
        <x:v>CORRECT / RECLASSIFY</x:v>
      </x:c>
      <x:c r="F1892" s="33" t="str">
        <x:v>Align requirements to corrected substantive provisions and applicability classifications.</x:v>
      </x:c>
      <x:c r="G1892" s="33" t="str">
        <x:v>P-4 official-source validation</x:v>
      </x:c>
      <x:c r="H189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92" s="33" t="str">
        <x:v>P-4</x:v>
      </x:c>
      <x:c r="J1892" s="33" t="str">
        <x:v>2026-08-20</x:v>
      </x:c>
      <x:c r="K1892" s="33" t="str">
        <x:v>Compliance IDs preserved; mandatory/conditional/optional status corrected.</x:v>
      </x:c>
    </x:row>
    <x:row r="1893">
      <x:c r="A1893" s="33" t="str">
        <x:v>RCOMP028</x:v>
      </x:c>
      <x:c r="B1893" s="33" t="str">
        <x:v>Compliance Requirement Master</x:v>
      </x:c>
      <x:c r="C1893" s="33" t="str">
        <x:v>Applicability=Mandatory; Remarks=Implementation Method: CCTV governance procedure. | Evidence indicator retained in Evidence Master: CCTV maintenance log, retention records.</x:v>
      </x:c>
      <x:c r="D1893" s="33" t="str">
        <x:v>Applicability=Optional; Remarks=P-4 entity-specific internal control; no independent statutory force. Activate the exact underlying legal requirement separately.</x:v>
      </x:c>
      <x:c r="E1893" s="33" t="str">
        <x:v>CORRECT / RECLASSIFY</x:v>
      </x:c>
      <x:c r="F1893" s="33" t="str">
        <x:v>Align requirements to corrected substantive provisions and applicability classifications.</x:v>
      </x:c>
      <x:c r="G1893" s="33" t="str">
        <x:v>P-4 official-source validation</x:v>
      </x:c>
      <x:c r="H189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93" s="33" t="str">
        <x:v>P-4</x:v>
      </x:c>
      <x:c r="J1893" s="33" t="str">
        <x:v>2026-08-20</x:v>
      </x:c>
      <x:c r="K1893" s="33" t="str">
        <x:v>Compliance IDs preserved; mandatory/conditional/optional status corrected.</x:v>
      </x:c>
    </x:row>
    <x:row r="1894">
      <x:c r="A1894" s="33" t="str">
        <x:v>RCOMP029</x:v>
      </x:c>
      <x:c r="B1894" s="33" t="str">
        <x:v>Compliance Requirement Master</x:v>
      </x:c>
      <x:c r="C1894" s="33" t="str">
        <x:v>Applicability=Mandatory; Remarks=Implementation Method: Clinical intervention documentation procedure. | Evidence indicator retained in Evidence Master: Intervention register, dispensing records.</x:v>
      </x:c>
      <x:c r="D1894" s="33" t="str">
        <x:v>Applicability=Optional; Remarks=P-4 entity-specific internal control; no independent statutory force. Activate the exact underlying legal requirement separately.</x:v>
      </x:c>
      <x:c r="E1894" s="33" t="str">
        <x:v>CORRECT / RECLASSIFY</x:v>
      </x:c>
      <x:c r="F1894" s="33" t="str">
        <x:v>Align requirements to corrected substantive provisions and applicability classifications.</x:v>
      </x:c>
      <x:c r="G1894" s="33" t="str">
        <x:v>P-4 official-source validation</x:v>
      </x:c>
      <x:c r="H189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94" s="33" t="str">
        <x:v>P-4</x:v>
      </x:c>
      <x:c r="J1894" s="33" t="str">
        <x:v>2026-08-20</x:v>
      </x:c>
      <x:c r="K1894" s="33" t="str">
        <x:v>Compliance IDs preserved; mandatory/conditional/optional status corrected.</x:v>
      </x:c>
    </x:row>
    <x:row r="1895">
      <x:c r="A1895" s="33" t="str">
        <x:v>RCOMP030</x:v>
      </x:c>
      <x:c r="B1895" s="33" t="str">
        <x:v>Compliance Requirement Master</x:v>
      </x:c>
      <x:c r="C1895" s="33" t="str">
        <x:v>Applicability=Mandatory; Remarks=Implementation Method: End-of-day closing checklist. | Evidence indicator retained in Evidence Master: Closing checklist, security log, backup confirmation.</x:v>
      </x:c>
      <x:c r="D1895" s="33" t="str">
        <x:v>Applicability=Optional; Remarks=P-4 entity-specific internal control; no independent statutory force. Activate the exact underlying legal requirement separately.</x:v>
      </x:c>
      <x:c r="E1895" s="33" t="str">
        <x:v>CORRECT / RECLASSIFY</x:v>
      </x:c>
      <x:c r="F1895" s="33" t="str">
        <x:v>Align requirements to corrected substantive provisions and applicability classifications.</x:v>
      </x:c>
      <x:c r="G1895" s="33" t="str">
        <x:v>P-4 official-source validation</x:v>
      </x:c>
      <x:c r="H189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95" s="33" t="str">
        <x:v>P-4</x:v>
      </x:c>
      <x:c r="J1895" s="33" t="str">
        <x:v>2026-08-20</x:v>
      </x:c>
      <x:c r="K1895" s="33" t="str">
        <x:v>Compliance IDs preserved; mandatory/conditional/optional status corrected.</x:v>
      </x:c>
    </x:row>
    <x:row r="1896">
      <x:c r="A1896" s="33" t="str">
        <x:v>RCOMP031</x:v>
      </x:c>
      <x:c r="B1896" s="33" t="str">
        <x:v>Compliance Requirement Master</x:v>
      </x:c>
      <x:c r="C1896" s="33" t="str">
        <x:v>Applicability=Mandatory; Remarks=Implementation Method: Restricted medicine dispensing SOP. | Evidence indicator retained in Evidence Master: Controlled medicine register, verified prescription, dispensing record.</x:v>
      </x:c>
      <x:c r="D1896" s="33" t="str">
        <x:v>Applicability=Optional; Remarks=P-4 entity-specific internal control; no independent statutory force. Activate the exact underlying legal requirement separately.</x:v>
      </x:c>
      <x:c r="E1896" s="33" t="str">
        <x:v>CORRECT / RECLASSIFY</x:v>
      </x:c>
      <x:c r="F1896" s="33" t="str">
        <x:v>Align requirements to corrected substantive provisions and applicability classifications.</x:v>
      </x:c>
      <x:c r="G1896" s="33" t="str">
        <x:v>P-4 official-source validation</x:v>
      </x:c>
      <x:c r="H189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96" s="33" t="str">
        <x:v>P-4</x:v>
      </x:c>
      <x:c r="J1896" s="33" t="str">
        <x:v>2026-08-20</x:v>
      </x:c>
      <x:c r="K1896" s="33" t="str">
        <x:v>Compliance IDs preserved; mandatory/conditional/optional status corrected.</x:v>
      </x:c>
    </x:row>
    <x:row r="1897">
      <x:c r="A1897" s="33" t="str">
        <x:v>RCOMP032</x:v>
      </x:c>
      <x:c r="B1897" s="33" t="str">
        <x:v>Compliance Requirement Master</x:v>
      </x:c>
      <x:c r="C1897" s="33" t="str">
        <x:v>Applicability=Mandatory; Remarks=Implementation Method: Queue prioritization procedure. | Evidence indicator retained in Evidence Master: Queue log, dispensing records, SOP.</x:v>
      </x:c>
      <x:c r="D1897" s="33" t="str">
        <x:v>Applicability=Optional; Remarks=P-4 entity-specific internal control; no independent statutory force. Activate the exact underlying legal requirement separately.</x:v>
      </x:c>
      <x:c r="E1897" s="33" t="str">
        <x:v>CORRECT / RECLASSIFY</x:v>
      </x:c>
      <x:c r="F1897" s="33" t="str">
        <x:v>Align requirements to corrected substantive provisions and applicability classifications.</x:v>
      </x:c>
      <x:c r="G1897" s="33" t="str">
        <x:v>P-4 official-source validation</x:v>
      </x:c>
      <x:c r="H189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97" s="33" t="str">
        <x:v>P-4</x:v>
      </x:c>
      <x:c r="J1897" s="33" t="str">
        <x:v>2026-08-20</x:v>
      </x:c>
      <x:c r="K1897" s="33" t="str">
        <x:v>Compliance IDs preserved; mandatory/conditional/optional status corrected.</x:v>
      </x:c>
    </x:row>
    <x:row r="1898">
      <x:c r="A1898" s="33" t="str">
        <x:v>RCOMP033</x:v>
      </x:c>
      <x:c r="B1898" s="33" t="str">
        <x:v>Compliance Requirement Master</x:v>
      </x:c>
      <x:c r="C1898" s="33" t="str">
        <x:v>Applicability=Mandatory; Remarks=Implementation Method: Digital communication policy. | Evidence indicator retained in Evidence Master: Consent records, notification logs.</x:v>
      </x:c>
      <x:c r="D1898" s="33" t="str">
        <x:v>Applicability=Optional; Remarks=P-4 entity-specific internal control; no independent statutory force. Activate the exact underlying legal requirement separately.</x:v>
      </x:c>
      <x:c r="E1898" s="33" t="str">
        <x:v>CORRECT / RECLASSIFY</x:v>
      </x:c>
      <x:c r="F1898" s="33" t="str">
        <x:v>Align requirements to corrected substantive provisions and applicability classifications.</x:v>
      </x:c>
      <x:c r="G1898" s="33" t="str">
        <x:v>P-4 official-source validation</x:v>
      </x:c>
      <x:c r="H189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98" s="33" t="str">
        <x:v>P-4</x:v>
      </x:c>
      <x:c r="J1898" s="33" t="str">
        <x:v>2026-08-20</x:v>
      </x:c>
      <x:c r="K1898" s="33" t="str">
        <x:v>Compliance IDs preserved; mandatory/conditional/optional status corrected.</x:v>
      </x:c>
    </x:row>
    <x:row r="1899">
      <x:c r="A1899" s="33" t="str">
        <x:v>RCOMP034</x:v>
      </x:c>
      <x:c r="B1899" s="33" t="str">
        <x:v>Compliance Requirement Master</x:v>
      </x:c>
      <x:c r="C1899" s="33" t="str">
        <x:v>Applicability=Mandatory; Remarks=Implementation Method: Generic substitution procedure. | Evidence indicator retained in Evidence Master: Generic substitution register, dispensing records.</x:v>
      </x:c>
      <x:c r="D1899" s="33" t="str">
        <x:v>Applicability=Optional; Remarks=P-4 entity-specific internal control; no independent statutory force. Activate the exact underlying legal requirement separately.</x:v>
      </x:c>
      <x:c r="E1899" s="33" t="str">
        <x:v>CORRECT / RECLASSIFY</x:v>
      </x:c>
      <x:c r="F1899" s="33" t="str">
        <x:v>Align requirements to corrected substantive provisions and applicability classifications.</x:v>
      </x:c>
      <x:c r="G1899" s="33" t="str">
        <x:v>P-4 official-source validation</x:v>
      </x:c>
      <x:c r="H189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899" s="33" t="str">
        <x:v>P-4</x:v>
      </x:c>
      <x:c r="J1899" s="33" t="str">
        <x:v>2026-08-20</x:v>
      </x:c>
      <x:c r="K1899" s="33" t="str">
        <x:v>Compliance IDs preserved; mandatory/conditional/optional status corrected.</x:v>
      </x:c>
    </x:row>
    <x:row r="1900">
      <x:c r="A1900" s="33" t="str">
        <x:v>RCOMP035</x:v>
      </x:c>
      <x:c r="B1900" s="33" t="str">
        <x:v>Compliance Requirement Master</x:v>
      </x:c>
      <x:c r="C1900" s="33" t="str">
        <x:v>Applicability=Mandatory; Remarks=Implementation Method: Cold-chain incident procedure. | Evidence indicator retained in Evidence Master: Temperature deviation report, corrective action records.</x:v>
      </x:c>
      <x:c r="D1900" s="33" t="str">
        <x:v>Applicability=Optional; Remarks=P-4 entity-specific internal control; no independent statutory force. Activate the exact underlying legal requirement separately.</x:v>
      </x:c>
      <x:c r="E1900" s="33" t="str">
        <x:v>CORRECT / RECLASSIFY</x:v>
      </x:c>
      <x:c r="F1900" s="33" t="str">
        <x:v>Align requirements to corrected substantive provisions and applicability classifications.</x:v>
      </x:c>
      <x:c r="G1900" s="33" t="str">
        <x:v>P-4 official-source validation</x:v>
      </x:c>
      <x:c r="H190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00" s="33" t="str">
        <x:v>P-4</x:v>
      </x:c>
      <x:c r="J1900" s="33" t="str">
        <x:v>2026-08-20</x:v>
      </x:c>
      <x:c r="K1900" s="33" t="str">
        <x:v>Compliance IDs preserved; mandatory/conditional/optional status corrected.</x:v>
      </x:c>
    </x:row>
    <x:row r="1901">
      <x:c r="A1901" s="33" t="str">
        <x:v>RCOMP036</x:v>
      </x:c>
      <x:c r="B1901" s="33" t="str">
        <x:v>Compliance Requirement Master</x:v>
      </x:c>
      <x:c r="C1901" s="33" t="str">
        <x:v>Applicability=Mandatory; Remarks=Implementation Method: Premises inspection checklist. | Evidence indicator retained in Evidence Master: Housekeeping checklist, inspection records.</x:v>
      </x:c>
      <x:c r="D1901" s="33" t="str">
        <x:v>Applicability=Optional; Remarks=P-4 entity-specific internal control; no independent statutory force. Activate the exact underlying legal requirement separately.</x:v>
      </x:c>
      <x:c r="E1901" s="33" t="str">
        <x:v>CORRECT / RECLASSIFY</x:v>
      </x:c>
      <x:c r="F1901" s="33" t="str">
        <x:v>Align requirements to corrected substantive provisions and applicability classifications.</x:v>
      </x:c>
      <x:c r="G1901" s="33" t="str">
        <x:v>P-4 official-source validation</x:v>
      </x:c>
      <x:c r="H190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01" s="33" t="str">
        <x:v>P-4</x:v>
      </x:c>
      <x:c r="J1901" s="33" t="str">
        <x:v>2026-08-20</x:v>
      </x:c>
      <x:c r="K1901" s="33" t="str">
        <x:v>Compliance IDs preserved; mandatory/conditional/optional status corrected.</x:v>
      </x:c>
    </x:row>
    <x:row r="1902">
      <x:c r="A1902" s="33" t="str">
        <x:v>RCOMP037</x:v>
      </x:c>
      <x:c r="B1902" s="33" t="str">
        <x:v>Compliance Requirement Master</x:v>
      </x:c>
      <x:c r="C1902" s="33" t="str">
        <x:v>Applicability=Mandatory; Remarks=Implementation Method: Verbal prescription SOP. | Evidence indicator retained in Evidence Master: Verbal prescription register, follow-up records.</x:v>
      </x:c>
      <x:c r="D1902" s="33" t="str">
        <x:v>Applicability=Optional; Remarks=P-4 entity-specific internal control; no independent statutory force. Activate the exact underlying legal requirement separately.</x:v>
      </x:c>
      <x:c r="E1902" s="33" t="str">
        <x:v>CORRECT / RECLASSIFY</x:v>
      </x:c>
      <x:c r="F1902" s="33" t="str">
        <x:v>Align requirements to corrected substantive provisions and applicability classifications.</x:v>
      </x:c>
      <x:c r="G1902" s="33" t="str">
        <x:v>P-4 official-source validation</x:v>
      </x:c>
      <x:c r="H190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02" s="33" t="str">
        <x:v>P-4</x:v>
      </x:c>
      <x:c r="J1902" s="33" t="str">
        <x:v>2026-08-20</x:v>
      </x:c>
      <x:c r="K1902" s="33" t="str">
        <x:v>Compliance IDs preserved; mandatory/conditional/optional status corrected.</x:v>
      </x:c>
    </x:row>
    <x:row r="1903">
      <x:c r="A1903" s="33" t="str">
        <x:v>RCOMP038</x:v>
      </x:c>
      <x:c r="B1903" s="33" t="str">
        <x:v>Compliance Requirement Master</x:v>
      </x:c>
      <x:c r="C1903" s="33" t="str">
        <x:v>Applicability=Mandatory; Remarks=Implementation Method: Access management procedure. | Evidence indicator retained in Evidence Master: User access register, review reports, access approvals.</x:v>
      </x:c>
      <x:c r="D1903" s="33" t="str">
        <x:v>Applicability=Optional; Remarks=P-4 entity-specific internal control; no independent statutory force. Activate the exact underlying legal requirement separately.</x:v>
      </x:c>
      <x:c r="E1903" s="33" t="str">
        <x:v>CORRECT / RECLASSIFY</x:v>
      </x:c>
      <x:c r="F1903" s="33" t="str">
        <x:v>Align requirements to corrected substantive provisions and applicability classifications.</x:v>
      </x:c>
      <x:c r="G1903" s="33" t="str">
        <x:v>P-4 official-source validation</x:v>
      </x:c>
      <x:c r="H190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03" s="33" t="str">
        <x:v>P-4</x:v>
      </x:c>
      <x:c r="J1903" s="33" t="str">
        <x:v>2026-08-20</x:v>
      </x:c>
      <x:c r="K1903" s="33" t="str">
        <x:v>Compliance IDs preserved; mandatory/conditional/optional status corrected.</x:v>
      </x:c>
    </x:row>
    <x:row r="1904">
      <x:c r="A1904" s="33" t="str">
        <x:v>RCOMP039</x:v>
      </x:c>
      <x:c r="B1904" s="33" t="str">
        <x:v>Compliance Requirement Master</x:v>
      </x:c>
      <x:c r="C1904" s="33" t="str">
        <x:v>Applicability=Mandatory; Remarks=Implementation Method: Customer feedback management procedure. | Evidence indicator retained in Evidence Master: Feedback register, CAPA records.</x:v>
      </x:c>
      <x:c r="D1904" s="33" t="str">
        <x:v>Applicability=Optional; Remarks=P-4 entity-specific internal control; no independent statutory force. Activate the exact underlying legal requirement separately.</x:v>
      </x:c>
      <x:c r="E1904" s="33" t="str">
        <x:v>CORRECT / RECLASSIFY</x:v>
      </x:c>
      <x:c r="F1904" s="33" t="str">
        <x:v>Align requirements to corrected substantive provisions and applicability classifications.</x:v>
      </x:c>
      <x:c r="G1904" s="33" t="str">
        <x:v>P-4 official-source validation</x:v>
      </x:c>
      <x:c r="H190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04" s="33" t="str">
        <x:v>P-4</x:v>
      </x:c>
      <x:c r="J1904" s="33" t="str">
        <x:v>2026-08-20</x:v>
      </x:c>
      <x:c r="K1904" s="33" t="str">
        <x:v>Compliance IDs preserved; mandatory/conditional/optional status corrected.</x:v>
      </x:c>
    </x:row>
    <x:row r="1905">
      <x:c r="A1905" s="33" t="str">
        <x:v>RCOMP040</x:v>
      </x:c>
      <x:c r="B1905" s="33" t="str">
        <x:v>Compliance Requirement Master</x:v>
      </x:c>
      <x:c r="C1905" s="33" t="str">
        <x:v>Applicability=Mandatory; Remarks=Implementation Method: Internal compliance self-assessment programme. | Evidence indicator retained in Evidence Master: Self-assessment report, CAPA tracker, management review records.</x:v>
      </x:c>
      <x:c r="D1905" s="33" t="str">
        <x:v>Applicability=Optional; Remarks=P-4 entity-specific internal control; no independent statutory force. Activate the exact underlying legal requirement separately.</x:v>
      </x:c>
      <x:c r="E1905" s="33" t="str">
        <x:v>CORRECT / RECLASSIFY</x:v>
      </x:c>
      <x:c r="F1905" s="33" t="str">
        <x:v>Align requirements to corrected substantive provisions and applicability classifications.</x:v>
      </x:c>
      <x:c r="G1905" s="33" t="str">
        <x:v>P-4 official-source validation</x:v>
      </x:c>
      <x:c r="H190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05" s="33" t="str">
        <x:v>P-4</x:v>
      </x:c>
      <x:c r="J1905" s="33" t="str">
        <x:v>2026-08-20</x:v>
      </x:c>
      <x:c r="K1905" s="33" t="str">
        <x:v>Compliance IDs preserved; mandatory/conditional/optional status corrected.</x:v>
      </x:c>
    </x:row>
    <x:row r="1906">
      <x:c r="A1906" s="33" t="str">
        <x:v>RCOMP041</x:v>
      </x:c>
      <x:c r="B1906" s="33" t="str">
        <x:v>Compliance Requirement Master</x:v>
      </x:c>
      <x:c r="C1906" s="33" t="str">
        <x:v>Applicability=Mandatory; Remarks=Implementation Method: Essential medicine inventory management procedure. | Evidence indicator retained in Evidence Master: Stock availability reports, reorder records, inventory register.</x:v>
      </x:c>
      <x:c r="D1906" s="33" t="str">
        <x:v>Applicability=Optional; Remarks=P-4 entity-specific internal control; no independent statutory force. Activate the exact underlying legal requirement separately.</x:v>
      </x:c>
      <x:c r="E1906" s="33" t="str">
        <x:v>CORRECT / RECLASSIFY</x:v>
      </x:c>
      <x:c r="F1906" s="33" t="str">
        <x:v>Align requirements to corrected substantive provisions and applicability classifications.</x:v>
      </x:c>
      <x:c r="G1906" s="33" t="str">
        <x:v>P-4 official-source validation</x:v>
      </x:c>
      <x:c r="H190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06" s="33" t="str">
        <x:v>P-4</x:v>
      </x:c>
      <x:c r="J1906" s="33" t="str">
        <x:v>2026-08-20</x:v>
      </x:c>
      <x:c r="K1906" s="33" t="str">
        <x:v>Compliance IDs preserved; mandatory/conditional/optional status corrected.</x:v>
      </x:c>
    </x:row>
    <x:row r="1907">
      <x:c r="A1907" s="33" t="str">
        <x:v>RCOMP042</x:v>
      </x:c>
      <x:c r="B1907" s="33" t="str">
        <x:v>Compliance Requirement Master</x:v>
      </x:c>
      <x:c r="C1907" s="33" t="str">
        <x:v>Applicability=Mandatory; Remarks=Implementation Method: Prescription cancellation procedure. | Evidence indicator retained in Evidence Master: Cancellation register, pharmacist approval records.</x:v>
      </x:c>
      <x:c r="D1907" s="33" t="str">
        <x:v>Applicability=Optional; Remarks=P-4 entity-specific internal control; no independent statutory force. Activate the exact underlying legal requirement separately.</x:v>
      </x:c>
      <x:c r="E1907" s="33" t="str">
        <x:v>CORRECT / RECLASSIFY</x:v>
      </x:c>
      <x:c r="F1907" s="33" t="str">
        <x:v>Align requirements to corrected substantive provisions and applicability classifications.</x:v>
      </x:c>
      <x:c r="G1907" s="33" t="str">
        <x:v>P-4 official-source validation</x:v>
      </x:c>
      <x:c r="H190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07" s="33" t="str">
        <x:v>P-4</x:v>
      </x:c>
      <x:c r="J1907" s="33" t="str">
        <x:v>2026-08-20</x:v>
      </x:c>
      <x:c r="K1907" s="33" t="str">
        <x:v>Compliance IDs preserved; mandatory/conditional/optional status corrected.</x:v>
      </x:c>
    </x:row>
    <x:row r="1908">
      <x:c r="A1908" s="33" t="str">
        <x:v>RCOMP043</x:v>
      </x:c>
      <x:c r="B1908" s="33" t="str">
        <x:v>Compliance Requirement Master</x:v>
      </x:c>
      <x:c r="C1908" s="33" t="str">
        <x:v>Applicability=Mandatory; Remarks=Implementation Method: Barcode dispensing verification procedure. | Evidence indicator retained in Evidence Master: Barcode scan logs, dispensing records.</x:v>
      </x:c>
      <x:c r="D1908" s="33" t="str">
        <x:v>Applicability=Optional; Remarks=P-4 entity-specific internal control; no independent statutory force. Activate the exact underlying legal requirement separately.</x:v>
      </x:c>
      <x:c r="E1908" s="33" t="str">
        <x:v>CORRECT / RECLASSIFY</x:v>
      </x:c>
      <x:c r="F1908" s="33" t="str">
        <x:v>Align requirements to corrected substantive provisions and applicability classifications.</x:v>
      </x:c>
      <x:c r="G1908" s="33" t="str">
        <x:v>P-4 official-source validation</x:v>
      </x:c>
      <x:c r="H190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08" s="33" t="str">
        <x:v>P-4</x:v>
      </x:c>
      <x:c r="J1908" s="33" t="str">
        <x:v>2026-08-20</x:v>
      </x:c>
      <x:c r="K1908" s="33" t="str">
        <x:v>Compliance IDs preserved; mandatory/conditional/optional status corrected.</x:v>
      </x:c>
    </x:row>
    <x:row r="1909">
      <x:c r="A1909" s="33" t="str">
        <x:v>RCOMP044</x:v>
      </x:c>
      <x:c r="B1909" s="33" t="str">
        <x:v>Compliance Requirement Master</x:v>
      </x:c>
      <x:c r="C1909" s="33" t="str">
        <x:v>Applicability=Mandatory; Remarks=Implementation Method: Damaged medicine handling procedure. | Evidence indicator retained in Evidence Master: Damaged stock register, disposal records, investigation report.</x:v>
      </x:c>
      <x:c r="D1909" s="33" t="str">
        <x:v>Applicability=Optional; Remarks=P-4 entity-specific internal control; no independent statutory force. Activate the exact underlying legal requirement separately.</x:v>
      </x:c>
      <x:c r="E1909" s="33" t="str">
        <x:v>CORRECT / RECLASSIFY</x:v>
      </x:c>
      <x:c r="F1909" s="33" t="str">
        <x:v>Align requirements to corrected substantive provisions and applicability classifications.</x:v>
      </x:c>
      <x:c r="G1909" s="33" t="str">
        <x:v>P-4 official-source validation</x:v>
      </x:c>
      <x:c r="H190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09" s="33" t="str">
        <x:v>P-4</x:v>
      </x:c>
      <x:c r="J1909" s="33" t="str">
        <x:v>2026-08-20</x:v>
      </x:c>
      <x:c r="K1909" s="33" t="str">
        <x:v>Compliance IDs preserved; mandatory/conditional/optional status corrected.</x:v>
      </x:c>
    </x:row>
    <x:row r="1910">
      <x:c r="A1910" s="33" t="str">
        <x:v>RCOMP045</x:v>
      </x:c>
      <x:c r="B1910" s="33" t="str">
        <x:v>Compliance Requirement Master</x:v>
      </x:c>
      <x:c r="C1910" s="33" t="str">
        <x:v>Applicability=Mandatory; Remarks=Implementation Method: Emergency preparedness programme. | Evidence indicator retained in Evidence Master: Emergency response plan, drill records, training register.</x:v>
      </x:c>
      <x:c r="D1910" s="33" t="str">
        <x:v>Applicability=Optional; Remarks=P-4 entity-specific internal control; no independent statutory force. Activate the exact underlying legal requirement separately.</x:v>
      </x:c>
      <x:c r="E1910" s="33" t="str">
        <x:v>CORRECT / RECLASSIFY</x:v>
      </x:c>
      <x:c r="F1910" s="33" t="str">
        <x:v>Align requirements to corrected substantive provisions and applicability classifications.</x:v>
      </x:c>
      <x:c r="G1910" s="33" t="str">
        <x:v>P-4 official-source validation</x:v>
      </x:c>
      <x:c r="H191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10" s="33" t="str">
        <x:v>P-4</x:v>
      </x:c>
      <x:c r="J1910" s="33" t="str">
        <x:v>2026-08-20</x:v>
      </x:c>
      <x:c r="K1910" s="33" t="str">
        <x:v>Compliance IDs preserved; mandatory/conditional/optional status corrected.</x:v>
      </x:c>
    </x:row>
    <x:row r="1911">
      <x:c r="A1911" s="33" t="str">
        <x:v>RCOMP046</x:v>
      </x:c>
      <x:c r="B1911" s="33" t="str">
        <x:v>Compliance Requirement Master</x:v>
      </x:c>
      <x:c r="C1911" s="33" t="str">
        <x:v>Applicability=Mandatory; Remarks=Implementation Method: Accessibility inspection programme. | Evidence indicator retained in Evidence Master: Accessibility inspection checklist, maintenance records.</x:v>
      </x:c>
      <x:c r="D1911" s="33" t="str">
        <x:v>Applicability=Optional; Remarks=P-4 entity-specific internal control; no independent statutory force. Activate the exact underlying legal requirement separately.</x:v>
      </x:c>
      <x:c r="E1911" s="33" t="str">
        <x:v>CORRECT / RECLASSIFY</x:v>
      </x:c>
      <x:c r="F1911" s="33" t="str">
        <x:v>Align requirements to corrected substantive provisions and applicability classifications.</x:v>
      </x:c>
      <x:c r="G1911" s="33" t="str">
        <x:v>P-4 official-source validation</x:v>
      </x:c>
      <x:c r="H191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11" s="33" t="str">
        <x:v>P-4</x:v>
      </x:c>
      <x:c r="J1911" s="33" t="str">
        <x:v>2026-08-20</x:v>
      </x:c>
      <x:c r="K1911" s="33" t="str">
        <x:v>Compliance IDs preserved; mandatory/conditional/optional status corrected.</x:v>
      </x:c>
    </x:row>
    <x:row r="1912">
      <x:c r="A1912" s="33" t="str">
        <x:v>RCOMP047</x:v>
      </x:c>
      <x:c r="B1912" s="33" t="str">
        <x:v>Compliance Requirement Master</x:v>
      </x:c>
      <x:c r="C1912" s="33" t="str">
        <x:v>Applicability=Mandatory; Remarks=Implementation Method: Medicine shortage management procedure. | Evidence indicator retained in Evidence Master: Shortage register, customer communication records.</x:v>
      </x:c>
      <x:c r="D1912" s="33" t="str">
        <x:v>Applicability=Optional; Remarks=P-4 entity-specific internal control; no independent statutory force. Activate the exact underlying legal requirement separately.</x:v>
      </x:c>
      <x:c r="E1912" s="33" t="str">
        <x:v>CORRECT / RECLASSIFY</x:v>
      </x:c>
      <x:c r="F1912" s="33" t="str">
        <x:v>Align requirements to corrected substantive provisions and applicability classifications.</x:v>
      </x:c>
      <x:c r="G1912" s="33" t="str">
        <x:v>P-4 official-source validation</x:v>
      </x:c>
      <x:c r="H191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12" s="33" t="str">
        <x:v>P-4</x:v>
      </x:c>
      <x:c r="J1912" s="33" t="str">
        <x:v>2026-08-20</x:v>
      </x:c>
      <x:c r="K1912" s="33" t="str">
        <x:v>Compliance IDs preserved; mandatory/conditional/optional status corrected.</x:v>
      </x:c>
    </x:row>
    <x:row r="1913">
      <x:c r="A1913" s="33" t="str">
        <x:v>RCOMP048</x:v>
      </x:c>
      <x:c r="B1913" s="33" t="str">
        <x:v>Compliance Requirement Master</x:v>
      </x:c>
      <x:c r="C1913" s="33" t="str">
        <x:v>Applicability=Mandatory; Remarks=Implementation Method: Backup and recovery procedure. | Evidence indicator retained in Evidence Master: Backup logs, restoration test reports.</x:v>
      </x:c>
      <x:c r="D1913" s="33" t="str">
        <x:v>Applicability=Optional; Remarks=P-4 entity-specific internal control; no independent statutory force. Activate the exact underlying legal requirement separately.</x:v>
      </x:c>
      <x:c r="E1913" s="33" t="str">
        <x:v>CORRECT / RECLASSIFY</x:v>
      </x:c>
      <x:c r="F1913" s="33" t="str">
        <x:v>Align requirements to corrected substantive provisions and applicability classifications.</x:v>
      </x:c>
      <x:c r="G1913" s="33" t="str">
        <x:v>P-4 official-source validation</x:v>
      </x:c>
      <x:c r="H191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13" s="33" t="str">
        <x:v>P-4</x:v>
      </x:c>
      <x:c r="J1913" s="33" t="str">
        <x:v>2026-08-20</x:v>
      </x:c>
      <x:c r="K1913" s="33" t="str">
        <x:v>Compliance IDs preserved; mandatory/conditional/optional status corrected.</x:v>
      </x:c>
    </x:row>
    <x:row r="1914">
      <x:c r="A1914" s="33" t="str">
        <x:v>RCOMP049</x:v>
      </x:c>
      <x:c r="B1914" s="33" t="str">
        <x:v>Compliance Requirement Master</x:v>
      </x:c>
      <x:c r="C1914" s="33" t="str">
        <x:v>Applicability=Mandatory; Remarks=Implementation Method: Public notice management procedure. | Evidence indicator retained in Evidence Master: Notice board inspection records, photographs.</x:v>
      </x:c>
      <x:c r="D1914" s="33" t="str">
        <x:v>Applicability=Optional; Remarks=P-4 entity-specific internal control; no independent statutory force. Activate the exact underlying legal requirement separately.</x:v>
      </x:c>
      <x:c r="E1914" s="33" t="str">
        <x:v>CORRECT / RECLASSIFY</x:v>
      </x:c>
      <x:c r="F1914" s="33" t="str">
        <x:v>Align requirements to corrected substantive provisions and applicability classifications.</x:v>
      </x:c>
      <x:c r="G1914" s="33" t="str">
        <x:v>P-4 official-source validation</x:v>
      </x:c>
      <x:c r="H191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14" s="33" t="str">
        <x:v>P-4</x:v>
      </x:c>
      <x:c r="J1914" s="33" t="str">
        <x:v>2026-08-20</x:v>
      </x:c>
      <x:c r="K1914" s="33" t="str">
        <x:v>Compliance IDs preserved; mandatory/conditional/optional status corrected.</x:v>
      </x:c>
    </x:row>
    <x:row r="1915">
      <x:c r="A1915" s="33" t="str">
        <x:v>RCOMP050</x:v>
      </x:c>
      <x:c r="B1915" s="33" t="str">
        <x:v>Compliance Requirement Master</x:v>
      </x:c>
      <x:c r="C1915" s="33" t="str">
        <x:v>Applicability=Mandatory; Remarks=Implementation Method: CAPA management procedure. | Evidence indicator retained in Evidence Master: CAPA register, investigation reports, effectiveness verification records.</x:v>
      </x:c>
      <x:c r="D1915" s="33" t="str">
        <x:v>Applicability=Optional; Remarks=P-4 entity-specific internal control; no independent statutory force. Activate the exact underlying legal requirement separately.</x:v>
      </x:c>
      <x:c r="E1915" s="33" t="str">
        <x:v>CORRECT / RECLASSIFY</x:v>
      </x:c>
      <x:c r="F1915" s="33" t="str">
        <x:v>Align requirements to corrected substantive provisions and applicability classifications.</x:v>
      </x:c>
      <x:c r="G1915" s="33" t="str">
        <x:v>P-4 official-source validation</x:v>
      </x:c>
      <x:c r="H191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15" s="33" t="str">
        <x:v>P-4</x:v>
      </x:c>
      <x:c r="J1915" s="33" t="str">
        <x:v>2026-08-20</x:v>
      </x:c>
      <x:c r="K1915" s="33" t="str">
        <x:v>Compliance IDs preserved; mandatory/conditional/optional status corrected.</x:v>
      </x:c>
    </x:row>
    <x:row r="1916">
      <x:c r="A1916" s="33" t="str">
        <x:v>RCOMP051</x:v>
      </x:c>
      <x:c r="B1916" s="33" t="str">
        <x:v>Compliance Requirement Master</x:v>
      </x:c>
      <x:c r="C1916" s="33" t="str">
        <x:v>Applicability=Mandatory; Remarks=Implementation Method: Counterfeit medicine SOP | Evidence indicator retained in Evidence Master: Counterfeit register, quarantine log</x:v>
      </x:c>
      <x:c r="D1916" s="33" t="str">
        <x:v>Applicability=Optional; Remarks=P-4 entity-specific internal control; no independent statutory force. Activate the exact underlying legal requirement separately.</x:v>
      </x:c>
      <x:c r="E1916" s="33" t="str">
        <x:v>CORRECT / RECLASSIFY</x:v>
      </x:c>
      <x:c r="F1916" s="33" t="str">
        <x:v>Align requirements to corrected substantive provisions and applicability classifications.</x:v>
      </x:c>
      <x:c r="G1916" s="33" t="str">
        <x:v>P-4 official-source validation</x:v>
      </x:c>
      <x:c r="H191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16" s="33" t="str">
        <x:v>P-4</x:v>
      </x:c>
      <x:c r="J1916" s="33" t="str">
        <x:v>2026-08-20</x:v>
      </x:c>
      <x:c r="K1916" s="33" t="str">
        <x:v>Compliance IDs preserved; mandatory/conditional/optional status corrected.</x:v>
      </x:c>
    </x:row>
    <x:row r="1917">
      <x:c r="A1917" s="33" t="str">
        <x:v>RCOMP052</x:v>
      </x:c>
      <x:c r="B1917" s="33" t="str">
        <x:v>Compliance Requirement Master</x:v>
      </x:c>
      <x:c r="C1917" s="33" t="str">
        <x:v>Applicability=Mandatory; Remarks=Implementation Method: Approved supplier programme | Evidence indicator retained in Evidence Master: Supplier approval records</x:v>
      </x:c>
      <x:c r="D1917" s="33" t="str">
        <x:v>Applicability=Optional; Remarks=P-4 entity-specific internal control; no independent statutory force. Activate the exact underlying legal requirement separately.</x:v>
      </x:c>
      <x:c r="E1917" s="33" t="str">
        <x:v>CORRECT / RECLASSIFY</x:v>
      </x:c>
      <x:c r="F1917" s="33" t="str">
        <x:v>Align requirements to corrected substantive provisions and applicability classifications.</x:v>
      </x:c>
      <x:c r="G1917" s="33" t="str">
        <x:v>P-4 official-source validation</x:v>
      </x:c>
      <x:c r="H191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17" s="33" t="str">
        <x:v>P-4</x:v>
      </x:c>
      <x:c r="J1917" s="33" t="str">
        <x:v>2026-08-20</x:v>
      </x:c>
      <x:c r="K1917" s="33" t="str">
        <x:v>Compliance IDs preserved; mandatory/conditional/optional status corrected.</x:v>
      </x:c>
    </x:row>
    <x:row r="1918">
      <x:c r="A1918" s="33" t="str">
        <x:v>RCOMP053</x:v>
      </x:c>
      <x:c r="B1918" s="33" t="str">
        <x:v>Compliance Requirement Master</x:v>
      </x:c>
      <x:c r="C1918" s="33" t="str">
        <x:v>Applicability=Mandatory; Remarks=Implementation Method: Digital record retention SOP | Evidence indicator retained in Evidence Master: Invoice archive, backup logs</x:v>
      </x:c>
      <x:c r="D1918" s="33" t="str">
        <x:v>Applicability=Optional; Remarks=P-4 entity-specific internal control; no independent statutory force. Activate the exact underlying legal requirement separately.</x:v>
      </x:c>
      <x:c r="E1918" s="33" t="str">
        <x:v>CORRECT / RECLASSIFY</x:v>
      </x:c>
      <x:c r="F1918" s="33" t="str">
        <x:v>Align requirements to corrected substantive provisions and applicability classifications.</x:v>
      </x:c>
      <x:c r="G1918" s="33" t="str">
        <x:v>P-4 official-source validation</x:v>
      </x:c>
      <x:c r="H191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18" s="33" t="str">
        <x:v>P-4</x:v>
      </x:c>
      <x:c r="J1918" s="33" t="str">
        <x:v>2026-08-20</x:v>
      </x:c>
      <x:c r="K1918" s="33" t="str">
        <x:v>Compliance IDs preserved; mandatory/conditional/optional status corrected.</x:v>
      </x:c>
    </x:row>
    <x:row r="1919">
      <x:c r="A1919" s="33" t="str">
        <x:v>RCOMP054</x:v>
      </x:c>
      <x:c r="B1919" s="33" t="str">
        <x:v>Compliance Requirement Master</x:v>
      </x:c>
      <x:c r="C1919" s="33" t="str">
        <x:v>Applicability=Mandatory; Remarks=Implementation Method: Recall SOP | Evidence indicator retained in Evidence Master: Recall log, stock quarantine record</x:v>
      </x:c>
      <x:c r="D1919" s="33" t="str">
        <x:v>Applicability=Optional; Remarks=P-4 entity-specific internal control; no independent statutory force. Activate the exact underlying legal requirement separately.</x:v>
      </x:c>
      <x:c r="E1919" s="33" t="str">
        <x:v>CORRECT / RECLASSIFY</x:v>
      </x:c>
      <x:c r="F1919" s="33" t="str">
        <x:v>Align requirements to corrected substantive provisions and applicability classifications.</x:v>
      </x:c>
      <x:c r="G1919" s="33" t="str">
        <x:v>P-4 official-source validation</x:v>
      </x:c>
      <x:c r="H191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19" s="33" t="str">
        <x:v>P-4</x:v>
      </x:c>
      <x:c r="J1919" s="33" t="str">
        <x:v>2026-08-20</x:v>
      </x:c>
      <x:c r="K1919" s="33" t="str">
        <x:v>Compliance IDs preserved; mandatory/conditional/optional status corrected.</x:v>
      </x:c>
    </x:row>
    <x:row r="1920">
      <x:c r="A1920" s="33" t="str">
        <x:v>RCOMP055</x:v>
      </x:c>
      <x:c r="B1920" s="33" t="str">
        <x:v>Compliance Requirement Master</x:v>
      </x:c>
      <x:c r="C1920" s="33" t="str">
        <x:v>Applicability=Mandatory; Remarks=Implementation Method: Power outage SOP | Evidence indicator retained in Evidence Master: Incident log, CAPA</x:v>
      </x:c>
      <x:c r="D1920" s="33" t="str">
        <x:v>Applicability=Optional; Remarks=P-4 entity-specific internal control; no independent statutory force. Activate the exact underlying legal requirement separately.</x:v>
      </x:c>
      <x:c r="E1920" s="33" t="str">
        <x:v>CORRECT / RECLASSIFY</x:v>
      </x:c>
      <x:c r="F1920" s="33" t="str">
        <x:v>Align requirements to corrected substantive provisions and applicability classifications.</x:v>
      </x:c>
      <x:c r="G1920" s="33" t="str">
        <x:v>P-4 official-source validation</x:v>
      </x:c>
      <x:c r="H192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20" s="33" t="str">
        <x:v>P-4</x:v>
      </x:c>
      <x:c r="J1920" s="33" t="str">
        <x:v>2026-08-20</x:v>
      </x:c>
      <x:c r="K1920" s="33" t="str">
        <x:v>Compliance IDs preserved; mandatory/conditional/optional status corrected.</x:v>
      </x:c>
    </x:row>
    <x:row r="1921">
      <x:c r="A1921" s="33" t="str">
        <x:v>RCOMP056</x:v>
      </x:c>
      <x:c r="B1921" s="33" t="str">
        <x:v>Compliance Requirement Master</x:v>
      </x:c>
      <x:c r="C1921" s="33" t="str">
        <x:v>Applicability=Mandatory; Remarks=Implementation Method: Community programme SOP | Evidence indicator retained in Evidence Master: Attendance register, programme report</x:v>
      </x:c>
      <x:c r="D1921" s="33" t="str">
        <x:v>Applicability=Optional; Remarks=P-4 entity-specific internal control; no independent statutory force. Activate the exact underlying legal requirement separately.</x:v>
      </x:c>
      <x:c r="E1921" s="33" t="str">
        <x:v>CORRECT / RECLASSIFY</x:v>
      </x:c>
      <x:c r="F1921" s="33" t="str">
        <x:v>Align requirements to corrected substantive provisions and applicability classifications.</x:v>
      </x:c>
      <x:c r="G1921" s="33" t="str">
        <x:v>P-4 official-source validation</x:v>
      </x:c>
      <x:c r="H192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21" s="33" t="str">
        <x:v>P-4</x:v>
      </x:c>
      <x:c r="J1921" s="33" t="str">
        <x:v>2026-08-20</x:v>
      </x:c>
      <x:c r="K1921" s="33" t="str">
        <x:v>Compliance IDs preserved; mandatory/conditional/optional status corrected.</x:v>
      </x:c>
    </x:row>
    <x:row r="1922">
      <x:c r="A1922" s="33" t="str">
        <x:v>RCOMP057</x:v>
      </x:c>
      <x:c r="B1922" s="33" t="str">
        <x:v>Compliance Requirement Master</x:v>
      </x:c>
      <x:c r="C1922" s="33" t="str">
        <x:v>Applicability=Mandatory; Remarks=Implementation Method: Inventory variance SOP | Evidence indicator retained in Evidence Master: Variance register</x:v>
      </x:c>
      <x:c r="D1922" s="33" t="str">
        <x:v>Applicability=Optional; Remarks=P-4 entity-specific internal control; no independent statutory force. Activate the exact underlying legal requirement separately.</x:v>
      </x:c>
      <x:c r="E1922" s="33" t="str">
        <x:v>CORRECT / RECLASSIFY</x:v>
      </x:c>
      <x:c r="F1922" s="33" t="str">
        <x:v>Align requirements to corrected substantive provisions and applicability classifications.</x:v>
      </x:c>
      <x:c r="G1922" s="33" t="str">
        <x:v>P-4 official-source validation</x:v>
      </x:c>
      <x:c r="H192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22" s="33" t="str">
        <x:v>P-4</x:v>
      </x:c>
      <x:c r="J1922" s="33" t="str">
        <x:v>2026-08-20</x:v>
      </x:c>
      <x:c r="K1922" s="33" t="str">
        <x:v>Compliance IDs preserved; mandatory/conditional/optional status corrected.</x:v>
      </x:c>
    </x:row>
    <x:row r="1923">
      <x:c r="A1923" s="33" t="str">
        <x:v>RCOMP058</x:v>
      </x:c>
      <x:c r="B1923" s="33" t="str">
        <x:v>Compliance Requirement Master</x:v>
      </x:c>
      <x:c r="C1923" s="33" t="str">
        <x:v>Applicability=Mandatory; Remarks=Implementation Method: Security configuration review | Evidence indicator retained in Evidence Master: System configuration report</x:v>
      </x:c>
      <x:c r="D1923" s="33" t="str">
        <x:v>Applicability=Optional; Remarks=P-4 entity-specific internal control; no independent statutory force. Activate the exact underlying legal requirement separately.</x:v>
      </x:c>
      <x:c r="E1923" s="33" t="str">
        <x:v>CORRECT / RECLASSIFY</x:v>
      </x:c>
      <x:c r="F1923" s="33" t="str">
        <x:v>Align requirements to corrected substantive provisions and applicability classifications.</x:v>
      </x:c>
      <x:c r="G1923" s="33" t="str">
        <x:v>P-4 official-source validation</x:v>
      </x:c>
      <x:c r="H192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23" s="33" t="str">
        <x:v>P-4</x:v>
      </x:c>
      <x:c r="J1923" s="33" t="str">
        <x:v>2026-08-20</x:v>
      </x:c>
      <x:c r="K1923" s="33" t="str">
        <x:v>Compliance IDs preserved; mandatory/conditional/optional status corrected.</x:v>
      </x:c>
    </x:row>
    <x:row r="1924">
      <x:c r="A1924" s="33" t="str">
        <x:v>RCOMP059</x:v>
      </x:c>
      <x:c r="B1924" s="33" t="str">
        <x:v>Compliance Requirement Master</x:v>
      </x:c>
      <x:c r="C1924" s="33" t="str">
        <x:v>Applicability=Mandatory; Remarks=Implementation Method: Counselling SOP | Evidence indicator retained in Evidence Master: Counselling record</x:v>
      </x:c>
      <x:c r="D1924" s="33" t="str">
        <x:v>Applicability=Optional; Remarks=P-4 entity-specific internal control; no independent statutory force. Activate the exact underlying legal requirement separately.</x:v>
      </x:c>
      <x:c r="E1924" s="33" t="str">
        <x:v>CORRECT / RECLASSIFY</x:v>
      </x:c>
      <x:c r="F1924" s="33" t="str">
        <x:v>Align requirements to corrected substantive provisions and applicability classifications.</x:v>
      </x:c>
      <x:c r="G1924" s="33" t="str">
        <x:v>P-4 official-source validation</x:v>
      </x:c>
      <x:c r="H192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24" s="33" t="str">
        <x:v>P-4</x:v>
      </x:c>
      <x:c r="J1924" s="33" t="str">
        <x:v>2026-08-20</x:v>
      </x:c>
      <x:c r="K1924" s="33" t="str">
        <x:v>Compliance IDs preserved; mandatory/conditional/optional status corrected.</x:v>
      </x:c>
    </x:row>
    <x:row r="1925">
      <x:c r="A1925" s="33" t="str">
        <x:v>RCOMP060</x:v>
      </x:c>
      <x:c r="B1925" s="33" t="str">
        <x:v>Compliance Requirement Master</x:v>
      </x:c>
      <x:c r="C1925" s="33" t="str">
        <x:v>Applicability=Mandatory; Remarks=Implementation Method: Inspection readiness programme | Evidence indicator retained in Evidence Master: Documentation checklist</x:v>
      </x:c>
      <x:c r="D1925" s="33" t="str">
        <x:v>Applicability=Optional; Remarks=P-4 entity-specific internal control; no independent statutory force. Activate the exact underlying legal requirement separately.</x:v>
      </x:c>
      <x:c r="E1925" s="33" t="str">
        <x:v>CORRECT / RECLASSIFY</x:v>
      </x:c>
      <x:c r="F1925" s="33" t="str">
        <x:v>Align requirements to corrected substantive provisions and applicability classifications.</x:v>
      </x:c>
      <x:c r="G1925" s="33" t="str">
        <x:v>P-4 official-source validation</x:v>
      </x:c>
      <x:c r="H192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25" s="33" t="str">
        <x:v>P-4</x:v>
      </x:c>
      <x:c r="J1925" s="33" t="str">
        <x:v>2026-08-20</x:v>
      </x:c>
      <x:c r="K1925" s="33" t="str">
        <x:v>Compliance IDs preserved; mandatory/conditional/optional status corrected.</x:v>
      </x:c>
    </x:row>
    <x:row r="1926">
      <x:c r="A1926" s="33" t="str">
        <x:v>RCOMP061</x:v>
      </x:c>
      <x:c r="B1926" s="33" t="str">
        <x:v>Compliance Requirement Master</x:v>
      </x:c>
      <x:c r="C1926" s="33" t="str">
        <x:v>Applicability=Mandatory; Remarks=Implementation Method: Disposal SOP | Evidence indicator retained in Evidence Master: Disposal certificates</x:v>
      </x:c>
      <x:c r="D1926" s="33" t="str">
        <x:v>Applicability=Optional; Remarks=P-4 entity-specific internal control; no independent statutory force. Activate the exact underlying legal requirement separately.</x:v>
      </x:c>
      <x:c r="E1926" s="33" t="str">
        <x:v>CORRECT / RECLASSIFY</x:v>
      </x:c>
      <x:c r="F1926" s="33" t="str">
        <x:v>Align requirements to corrected substantive provisions and applicability classifications.</x:v>
      </x:c>
      <x:c r="G1926" s="33" t="str">
        <x:v>P-4 official-source validation</x:v>
      </x:c>
      <x:c r="H192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26" s="33" t="str">
        <x:v>P-4</x:v>
      </x:c>
      <x:c r="J1926" s="33" t="str">
        <x:v>2026-08-20</x:v>
      </x:c>
      <x:c r="K1926" s="33" t="str">
        <x:v>Compliance IDs preserved; mandatory/conditional/optional status corrected.</x:v>
      </x:c>
    </x:row>
    <x:row r="1927">
      <x:c r="A1927" s="33" t="str">
        <x:v>RCOMP062</x:v>
      </x:c>
      <x:c r="B1927" s="33" t="str">
        <x:v>Compliance Requirement Master</x:v>
      </x:c>
      <x:c r="C1927" s="33" t="str">
        <x:v>Applicability=Mandatory; Remarks=Implementation Method: Competency assessment programme | Evidence indicator retained in Evidence Master: Assessment reports</x:v>
      </x:c>
      <x:c r="D1927" s="33" t="str">
        <x:v>Applicability=Optional; Remarks=P-4 entity-specific internal control; no independent statutory force. Activate the exact underlying legal requirement separately.</x:v>
      </x:c>
      <x:c r="E1927" s="33" t="str">
        <x:v>CORRECT / RECLASSIFY</x:v>
      </x:c>
      <x:c r="F1927" s="33" t="str">
        <x:v>Align requirements to corrected substantive provisions and applicability classifications.</x:v>
      </x:c>
      <x:c r="G1927" s="33" t="str">
        <x:v>P-4 official-source validation</x:v>
      </x:c>
      <x:c r="H192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27" s="33" t="str">
        <x:v>P-4</x:v>
      </x:c>
      <x:c r="J1927" s="33" t="str">
        <x:v>2026-08-20</x:v>
      </x:c>
      <x:c r="K1927" s="33" t="str">
        <x:v>Compliance IDs preserved; mandatory/conditional/optional status corrected.</x:v>
      </x:c>
    </x:row>
    <x:row r="1928">
      <x:c r="A1928" s="33" t="str">
        <x:v>RCOMP063</x:v>
      </x:c>
      <x:c r="B1928" s="33" t="str">
        <x:v>Compliance Requirement Master</x:v>
      </x:c>
      <x:c r="C1928" s="33" t="str">
        <x:v>Applicability=Mandatory; Remarks=Implementation Method: Consent management SOP | Evidence indicator retained in Evidence Master: Consent register</x:v>
      </x:c>
      <x:c r="D1928" s="33" t="str">
        <x:v>Applicability=Optional; Remarks=P-4 entity-specific internal control; no independent statutory force. Activate the exact underlying legal requirement separately.</x:v>
      </x:c>
      <x:c r="E1928" s="33" t="str">
        <x:v>CORRECT / RECLASSIFY</x:v>
      </x:c>
      <x:c r="F1928" s="33" t="str">
        <x:v>Align requirements to corrected substantive provisions and applicability classifications.</x:v>
      </x:c>
      <x:c r="G1928" s="33" t="str">
        <x:v>P-4 official-source validation</x:v>
      </x:c>
      <x:c r="H192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28" s="33" t="str">
        <x:v>P-4</x:v>
      </x:c>
      <x:c r="J1928" s="33" t="str">
        <x:v>2026-08-20</x:v>
      </x:c>
      <x:c r="K1928" s="33" t="str">
        <x:v>Compliance IDs preserved; mandatory/conditional/optional status corrected.</x:v>
      </x:c>
    </x:row>
    <x:row r="1929">
      <x:c r="A1929" s="33" t="str">
        <x:v>RCOMP064</x:v>
      </x:c>
      <x:c r="B1929" s="33" t="str">
        <x:v>Compliance Requirement Master</x:v>
      </x:c>
      <x:c r="C1929" s="33" t="str">
        <x:v>Applicability=Mandatory; Remarks=Implementation Method: Environmental monitoring SOP | Evidence indicator retained in Evidence Master: Environmental logs</x:v>
      </x:c>
      <x:c r="D1929" s="33" t="str">
        <x:v>Applicability=Optional; Remarks=P-4 entity-specific internal control; no independent statutory force. Activate the exact underlying legal requirement separately.</x:v>
      </x:c>
      <x:c r="E1929" s="33" t="str">
        <x:v>CORRECT / RECLASSIFY</x:v>
      </x:c>
      <x:c r="F1929" s="33" t="str">
        <x:v>Align requirements to corrected substantive provisions and applicability classifications.</x:v>
      </x:c>
      <x:c r="G1929" s="33" t="str">
        <x:v>P-4 official-source validation</x:v>
      </x:c>
      <x:c r="H192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29" s="33" t="str">
        <x:v>P-4</x:v>
      </x:c>
      <x:c r="J1929" s="33" t="str">
        <x:v>2026-08-20</x:v>
      </x:c>
      <x:c r="K1929" s="33" t="str">
        <x:v>Compliance IDs preserved; mandatory/conditional/optional status corrected.</x:v>
      </x:c>
    </x:row>
    <x:row r="1930">
      <x:c r="A1930" s="33" t="str">
        <x:v>RCOMP065</x:v>
      </x:c>
      <x:c r="B1930" s="33" t="str">
        <x:v>Compliance Requirement Master</x:v>
      </x:c>
      <x:c r="C1930" s="33" t="str">
        <x:v>Applicability=Mandatory; Remarks=Implementation Method: Controlled register reconciliation | Evidence indicator retained in Evidence Master: Reconciliation report</x:v>
      </x:c>
      <x:c r="D1930" s="33" t="str">
        <x:v>Applicability=Optional; Remarks=P-4 entity-specific internal control; no independent statutory force. Activate the exact underlying legal requirement separately.</x:v>
      </x:c>
      <x:c r="E1930" s="33" t="str">
        <x:v>CORRECT / RECLASSIFY</x:v>
      </x:c>
      <x:c r="F1930" s="33" t="str">
        <x:v>Align requirements to corrected substantive provisions and applicability classifications.</x:v>
      </x:c>
      <x:c r="G1930" s="33" t="str">
        <x:v>P-4 official-source validation</x:v>
      </x:c>
      <x:c r="H193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30" s="33" t="str">
        <x:v>P-4</x:v>
      </x:c>
      <x:c r="J1930" s="33" t="str">
        <x:v>2026-08-20</x:v>
      </x:c>
      <x:c r="K1930" s="33" t="str">
        <x:v>Compliance IDs preserved; mandatory/conditional/optional status corrected.</x:v>
      </x:c>
    </x:row>
    <x:row r="1931">
      <x:c r="A1931" s="33" t="str">
        <x:v>RCOMP066</x:v>
      </x:c>
      <x:c r="B1931" s="33" t="str">
        <x:v>Compliance Requirement Master</x:v>
      </x:c>
      <x:c r="C1931" s="33" t="str">
        <x:v>Applicability=Mandatory; Remarks=Implementation Method: Queue management SOP | Evidence indicator retained in Evidence Master: Queue reports</x:v>
      </x:c>
      <x:c r="D1931" s="33" t="str">
        <x:v>Applicability=Optional; Remarks=P-4 entity-specific internal control; no independent statutory force. Activate the exact underlying legal requirement separately.</x:v>
      </x:c>
      <x:c r="E1931" s="33" t="str">
        <x:v>CORRECT / RECLASSIFY</x:v>
      </x:c>
      <x:c r="F1931" s="33" t="str">
        <x:v>Align requirements to corrected substantive provisions and applicability classifications.</x:v>
      </x:c>
      <x:c r="G1931" s="33" t="str">
        <x:v>P-4 official-source validation</x:v>
      </x:c>
      <x:c r="H193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31" s="33" t="str">
        <x:v>P-4</x:v>
      </x:c>
      <x:c r="J1931" s="33" t="str">
        <x:v>2026-08-20</x:v>
      </x:c>
      <x:c r="K1931" s="33" t="str">
        <x:v>Compliance IDs preserved; mandatory/conditional/optional status corrected.</x:v>
      </x:c>
    </x:row>
    <x:row r="1932">
      <x:c r="A1932" s="33" t="str">
        <x:v>RCOMP067</x:v>
      </x:c>
      <x:c r="B1932" s="33" t="str">
        <x:v>Compliance Requirement Master</x:v>
      </x:c>
      <x:c r="C1932" s="33" t="str">
        <x:v>Applicability=Mandatory; Remarks=Implementation Method: Incident management SOP | Evidence indicator retained in Evidence Master: Incident register</x:v>
      </x:c>
      <x:c r="D1932" s="33" t="str">
        <x:v>Applicability=Optional; Remarks=P-4 entity-specific internal control; no independent statutory force. Activate the exact underlying legal requirement separately.</x:v>
      </x:c>
      <x:c r="E1932" s="33" t="str">
        <x:v>CORRECT / RECLASSIFY</x:v>
      </x:c>
      <x:c r="F1932" s="33" t="str">
        <x:v>Align requirements to corrected substantive provisions and applicability classifications.</x:v>
      </x:c>
      <x:c r="G1932" s="33" t="str">
        <x:v>P-4 official-source validation</x:v>
      </x:c>
      <x:c r="H193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32" s="33" t="str">
        <x:v>P-4</x:v>
      </x:c>
      <x:c r="J1932" s="33" t="str">
        <x:v>2026-08-20</x:v>
      </x:c>
      <x:c r="K1932" s="33" t="str">
        <x:v>Compliance IDs preserved; mandatory/conditional/optional status corrected.</x:v>
      </x:c>
    </x:row>
    <x:row r="1933">
      <x:c r="A1933" s="33" t="str">
        <x:v>RCOMP068</x:v>
      </x:c>
      <x:c r="B1933" s="33" t="str">
        <x:v>Compliance Requirement Master</x:v>
      </x:c>
      <x:c r="C1933" s="33" t="str">
        <x:v>Applicability=Mandatory; Remarks=Implementation Method: Mobile device security policy | Evidence indicator retained in Evidence Master: Device compliance report</x:v>
      </x:c>
      <x:c r="D1933" s="33" t="str">
        <x:v>Applicability=Optional; Remarks=P-4 entity-specific internal control; no independent statutory force. Activate the exact underlying legal requirement separately.</x:v>
      </x:c>
      <x:c r="E1933" s="33" t="str">
        <x:v>CORRECT / RECLASSIFY</x:v>
      </x:c>
      <x:c r="F1933" s="33" t="str">
        <x:v>Align requirements to corrected substantive provisions and applicability classifications.</x:v>
      </x:c>
      <x:c r="G1933" s="33" t="str">
        <x:v>P-4 official-source validation</x:v>
      </x:c>
      <x:c r="H193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33" s="33" t="str">
        <x:v>P-4</x:v>
      </x:c>
      <x:c r="J1933" s="33" t="str">
        <x:v>2026-08-20</x:v>
      </x:c>
      <x:c r="K1933" s="33" t="str">
        <x:v>Compliance IDs preserved; mandatory/conditional/optional status corrected.</x:v>
      </x:c>
    </x:row>
    <x:row r="1934">
      <x:c r="A1934" s="33" t="str">
        <x:v>RCOMP069</x:v>
      </x:c>
      <x:c r="B1934" s="33" t="str">
        <x:v>Compliance Requirement Master</x:v>
      </x:c>
      <x:c r="C1934" s="33" t="str">
        <x:v>Applicability=Mandatory; Remarks=Implementation Method: Complaint management SOP | Evidence indicator retained in Evidence Master: Complaint register</x:v>
      </x:c>
      <x:c r="D1934" s="33" t="str">
        <x:v>Applicability=Optional; Remarks=P-4 entity-specific internal control; no independent statutory force. Activate the exact underlying legal requirement separately.</x:v>
      </x:c>
      <x:c r="E1934" s="33" t="str">
        <x:v>CORRECT / RECLASSIFY</x:v>
      </x:c>
      <x:c r="F1934" s="33" t="str">
        <x:v>Align requirements to corrected substantive provisions and applicability classifications.</x:v>
      </x:c>
      <x:c r="G1934" s="33" t="str">
        <x:v>P-4 official-source validation</x:v>
      </x:c>
      <x:c r="H193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34" s="33" t="str">
        <x:v>P-4</x:v>
      </x:c>
      <x:c r="J1934" s="33" t="str">
        <x:v>2026-08-20</x:v>
      </x:c>
      <x:c r="K1934" s="33" t="str">
        <x:v>Compliance IDs preserved; mandatory/conditional/optional status corrected.</x:v>
      </x:c>
    </x:row>
    <x:row r="1935">
      <x:c r="A1935" s="33" t="str">
        <x:v>RCOMP070</x:v>
      </x:c>
      <x:c r="B1935" s="33" t="str">
        <x:v>Compliance Requirement Master</x:v>
      </x:c>
      <x:c r="C1935" s="33" t="str">
        <x:v>Applicability=Mandatory; Remarks=Implementation Method: Annual compliance review programme | Evidence indicator retained in Evidence Master: Annual compliance report</x:v>
      </x:c>
      <x:c r="D1935" s="33" t="str">
        <x:v>Applicability=Optional; Remarks=P-4 entity-specific internal control; no independent statutory force. Activate the exact underlying legal requirement separately.</x:v>
      </x:c>
      <x:c r="E1935" s="33" t="str">
        <x:v>CORRECT / RECLASSIFY</x:v>
      </x:c>
      <x:c r="F1935" s="33" t="str">
        <x:v>Align requirements to corrected substantive provisions and applicability classifications.</x:v>
      </x:c>
      <x:c r="G1935" s="33" t="str">
        <x:v>P-4 official-source validation</x:v>
      </x:c>
      <x:c r="H193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35" s="33" t="str">
        <x:v>P-4</x:v>
      </x:c>
      <x:c r="J1935" s="33" t="str">
        <x:v>2026-08-20</x:v>
      </x:c>
      <x:c r="K1935" s="33" t="str">
        <x:v>Compliance IDs preserved; mandatory/conditional/optional status corrected.</x:v>
      </x:c>
    </x:row>
    <x:row r="1936">
      <x:c r="A1936" s="33" t="str">
        <x:v>RCOMP071</x:v>
      </x:c>
      <x:c r="B1936" s="33" t="str">
        <x:v>Compliance Requirement Master</x:v>
      </x:c>
      <x:c r="C1936" s="33" t="str">
        <x:v>Applicability=Mandatory; Remarks=Implementation Method: Supplier compliance verification SOP | Evidence indicator retained in Evidence Master: Supplier licence register</x:v>
      </x:c>
      <x:c r="D1936" s="33" t="str">
        <x:v>Applicability=Optional; Remarks=P-4 entity-specific internal control; no independent statutory force. Activate the exact underlying legal requirement separately.</x:v>
      </x:c>
      <x:c r="E1936" s="33" t="str">
        <x:v>CORRECT / RECLASSIFY</x:v>
      </x:c>
      <x:c r="F1936" s="33" t="str">
        <x:v>Align requirements to corrected substantive provisions and applicability classifications.</x:v>
      </x:c>
      <x:c r="G1936" s="33" t="str">
        <x:v>P-4 official-source validation</x:v>
      </x:c>
      <x:c r="H193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36" s="33" t="str">
        <x:v>P-4</x:v>
      </x:c>
      <x:c r="J1936" s="33" t="str">
        <x:v>2026-08-20</x:v>
      </x:c>
      <x:c r="K1936" s="33" t="str">
        <x:v>Compliance IDs preserved; mandatory/conditional/optional status corrected.</x:v>
      </x:c>
    </x:row>
    <x:row r="1937">
      <x:c r="A1937" s="33" t="str">
        <x:v>RCOMP072</x:v>
      </x:c>
      <x:c r="B1937" s="33" t="str">
        <x:v>Compliance Requirement Master</x:v>
      </x:c>
      <x:c r="C1937" s="33" t="str">
        <x:v>Applicability=Mandatory; Remarks=Implementation Method: Prescription filing SOP | Evidence indicator retained in Evidence Master: Prescription archive register</x:v>
      </x:c>
      <x:c r="D1937" s="33" t="str">
        <x:v>Applicability=Optional; Remarks=P-4 entity-specific internal control; no independent statutory force. Activate the exact underlying legal requirement separately.</x:v>
      </x:c>
      <x:c r="E1937" s="33" t="str">
        <x:v>CORRECT / RECLASSIFY</x:v>
      </x:c>
      <x:c r="F1937" s="33" t="str">
        <x:v>Align requirements to corrected substantive provisions and applicability classifications.</x:v>
      </x:c>
      <x:c r="G1937" s="33" t="str">
        <x:v>P-4 official-source validation</x:v>
      </x:c>
      <x:c r="H193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37" s="33" t="str">
        <x:v>P-4</x:v>
      </x:c>
      <x:c r="J1937" s="33" t="str">
        <x:v>2026-08-20</x:v>
      </x:c>
      <x:c r="K1937" s="33" t="str">
        <x:v>Compliance IDs preserved; mandatory/conditional/optional status corrected.</x:v>
      </x:c>
    </x:row>
    <x:row r="1938">
      <x:c r="A1938" s="33" t="str">
        <x:v>RCOMP073</x:v>
      </x:c>
      <x:c r="B1938" s="33" t="str">
        <x:v>Compliance Requirement Master</x:v>
      </x:c>
      <x:c r="C1938" s="33" t="str">
        <x:v>Applicability=Mandatory; Remarks=Implementation Method: Electronic record integrity procedure | Evidence indicator retained in Evidence Master: Audit logs</x:v>
      </x:c>
      <x:c r="D1938" s="33" t="str">
        <x:v>Applicability=Optional; Remarks=P-4 entity-specific internal control; no independent statutory force. Activate the exact underlying legal requirement separately.</x:v>
      </x:c>
      <x:c r="E1938" s="33" t="str">
        <x:v>CORRECT / RECLASSIFY</x:v>
      </x:c>
      <x:c r="F1938" s="33" t="str">
        <x:v>Align requirements to corrected substantive provisions and applicability classifications.</x:v>
      </x:c>
      <x:c r="G1938" s="33" t="str">
        <x:v>P-4 official-source validation</x:v>
      </x:c>
      <x:c r="H193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38" s="33" t="str">
        <x:v>P-4</x:v>
      </x:c>
      <x:c r="J1938" s="33" t="str">
        <x:v>2026-08-20</x:v>
      </x:c>
      <x:c r="K1938" s="33" t="str">
        <x:v>Compliance IDs preserved; mandatory/conditional/optional status corrected.</x:v>
      </x:c>
    </x:row>
    <x:row r="1939">
      <x:c r="A1939" s="33" t="str">
        <x:v>RCOMP074</x:v>
      </x:c>
      <x:c r="B1939" s="33" t="str">
        <x:v>Compliance Requirement Master</x:v>
      </x:c>
      <x:c r="C1939" s="33" t="str">
        <x:v>Applicability=Mandatory; Remarks=Implementation Method: High-value inventory SOP | Evidence indicator retained in Evidence Master: Secure storage register</x:v>
      </x:c>
      <x:c r="D1939" s="33" t="str">
        <x:v>Applicability=Optional; Remarks=P-4 entity-specific internal control; no independent statutory force. Activate the exact underlying legal requirement separately.</x:v>
      </x:c>
      <x:c r="E1939" s="33" t="str">
        <x:v>CORRECT / RECLASSIFY</x:v>
      </x:c>
      <x:c r="F1939" s="33" t="str">
        <x:v>Align requirements to corrected substantive provisions and applicability classifications.</x:v>
      </x:c>
      <x:c r="G1939" s="33" t="str">
        <x:v>P-4 official-source validation</x:v>
      </x:c>
      <x:c r="H193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39" s="33" t="str">
        <x:v>P-4</x:v>
      </x:c>
      <x:c r="J1939" s="33" t="str">
        <x:v>2026-08-20</x:v>
      </x:c>
      <x:c r="K1939" s="33" t="str">
        <x:v>Compliance IDs preserved; mandatory/conditional/optional status corrected.</x:v>
      </x:c>
    </x:row>
    <x:row r="1940">
      <x:c r="A1940" s="33" t="str">
        <x:v>RCOMP075</x:v>
      </x:c>
      <x:c r="B1940" s="33" t="str">
        <x:v>Compliance Requirement Master</x:v>
      </x:c>
      <x:c r="C1940" s="33" t="str">
        <x:v>Applicability=Mandatory; Remarks=Implementation Method: Counselling documentation SOP | Evidence indicator retained in Evidence Master: Counselling records</x:v>
      </x:c>
      <x:c r="D1940" s="33" t="str">
        <x:v>Applicability=Optional; Remarks=P-4 entity-specific internal control; no independent statutory force. Activate the exact underlying legal requirement separately.</x:v>
      </x:c>
      <x:c r="E1940" s="33" t="str">
        <x:v>CORRECT / RECLASSIFY</x:v>
      </x:c>
      <x:c r="F1940" s="33" t="str">
        <x:v>Align requirements to corrected substantive provisions and applicability classifications.</x:v>
      </x:c>
      <x:c r="G1940" s="33" t="str">
        <x:v>P-4 official-source validation</x:v>
      </x:c>
      <x:c r="H194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40" s="33" t="str">
        <x:v>P-4</x:v>
      </x:c>
      <x:c r="J1940" s="33" t="str">
        <x:v>2026-08-20</x:v>
      </x:c>
      <x:c r="K1940" s="33" t="str">
        <x:v>Compliance IDs preserved; mandatory/conditional/optional status corrected.</x:v>
      </x:c>
    </x:row>
    <x:row r="1941">
      <x:c r="A1941" s="33" t="str">
        <x:v>RCOMP076</x:v>
      </x:c>
      <x:c r="B1941" s="33" t="str">
        <x:v>Compliance Requirement Master</x:v>
      </x:c>
      <x:c r="C1941" s="33" t="str">
        <x:v>Applicability=Mandatory; Remarks=Implementation Method: Health screening SOP | Evidence indicator retained in Evidence Master: Screening records, calibration certificates</x:v>
      </x:c>
      <x:c r="D1941" s="33" t="str">
        <x:v>Applicability=Optional; Remarks=P-4 entity-specific internal control; no independent statutory force. Activate the exact underlying legal requirement separately.</x:v>
      </x:c>
      <x:c r="E1941" s="33" t="str">
        <x:v>CORRECT / RECLASSIFY</x:v>
      </x:c>
      <x:c r="F1941" s="33" t="str">
        <x:v>Align requirements to corrected substantive provisions and applicability classifications.</x:v>
      </x:c>
      <x:c r="G1941" s="33" t="str">
        <x:v>P-4 official-source validation</x:v>
      </x:c>
      <x:c r="H194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41" s="33" t="str">
        <x:v>P-4</x:v>
      </x:c>
      <x:c r="J1941" s="33" t="str">
        <x:v>2026-08-20</x:v>
      </x:c>
      <x:c r="K1941" s="33" t="str">
        <x:v>Compliance IDs preserved; mandatory/conditional/optional status corrected.</x:v>
      </x:c>
    </x:row>
    <x:row r="1942">
      <x:c r="A1942" s="33" t="str">
        <x:v>RCOMP077</x:v>
      </x:c>
      <x:c r="B1942" s="33" t="str">
        <x:v>Compliance Requirement Master</x:v>
      </x:c>
      <x:c r="C1942" s="33" t="str">
        <x:v>Applicability=Mandatory; Remarks=Implementation Method: Customer recall notification procedure | Evidence indicator retained in Evidence Master: Recall communication log</x:v>
      </x:c>
      <x:c r="D1942" s="33" t="str">
        <x:v>Applicability=Optional; Remarks=P-4 entity-specific internal control; no independent statutory force. Activate the exact underlying legal requirement separately.</x:v>
      </x:c>
      <x:c r="E1942" s="33" t="str">
        <x:v>CORRECT / RECLASSIFY</x:v>
      </x:c>
      <x:c r="F1942" s="33" t="str">
        <x:v>Align requirements to corrected substantive provisions and applicability classifications.</x:v>
      </x:c>
      <x:c r="G1942" s="33" t="str">
        <x:v>P-4 official-source validation</x:v>
      </x:c>
      <x:c r="H194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42" s="33" t="str">
        <x:v>P-4</x:v>
      </x:c>
      <x:c r="J1942" s="33" t="str">
        <x:v>2026-08-20</x:v>
      </x:c>
      <x:c r="K1942" s="33" t="str">
        <x:v>Compliance IDs preserved; mandatory/conditional/optional status corrected.</x:v>
      </x:c>
    </x:row>
    <x:row r="1943">
      <x:c r="A1943" s="33" t="str">
        <x:v>RCOMP078</x:v>
      </x:c>
      <x:c r="B1943" s="33" t="str">
        <x:v>Compliance Requirement Master</x:v>
      </x:c>
      <x:c r="C1943" s="33" t="str">
        <x:v>Applicability=Mandatory; Remarks=Implementation Method: Cybersecurity programme | Evidence indicator retained in Evidence Master: Vulnerability reports</x:v>
      </x:c>
      <x:c r="D1943" s="33" t="str">
        <x:v>Applicability=Optional; Remarks=P-4 entity-specific internal control; no independent statutory force. Activate the exact underlying legal requirement separately.</x:v>
      </x:c>
      <x:c r="E1943" s="33" t="str">
        <x:v>CORRECT / RECLASSIFY</x:v>
      </x:c>
      <x:c r="F1943" s="33" t="str">
        <x:v>Align requirements to corrected substantive provisions and applicability classifications.</x:v>
      </x:c>
      <x:c r="G1943" s="33" t="str">
        <x:v>P-4 official-source validation</x:v>
      </x:c>
      <x:c r="H194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43" s="33" t="str">
        <x:v>P-4</x:v>
      </x:c>
      <x:c r="J1943" s="33" t="str">
        <x:v>2026-08-20</x:v>
      </x:c>
      <x:c r="K1943" s="33" t="str">
        <x:v>Compliance IDs preserved; mandatory/conditional/optional status corrected.</x:v>
      </x:c>
    </x:row>
    <x:row r="1944">
      <x:c r="A1944" s="33" t="str">
        <x:v>RCOMP079</x:v>
      </x:c>
      <x:c r="B1944" s="33" t="str">
        <x:v>Compliance Requirement Master</x:v>
      </x:c>
      <x:c r="C1944" s="33" t="str">
        <x:v>Applicability=Mandatory; Remarks=Implementation Method: Privacy protection SOP | Evidence indicator retained in Evidence Master: Privacy inspection checklist</x:v>
      </x:c>
      <x:c r="D1944" s="33" t="str">
        <x:v>Applicability=Optional; Remarks=P-4 entity-specific internal control; no independent statutory force. Activate the exact underlying legal requirement separately.</x:v>
      </x:c>
      <x:c r="E1944" s="33" t="str">
        <x:v>CORRECT / RECLASSIFY</x:v>
      </x:c>
      <x:c r="F1944" s="33" t="str">
        <x:v>Align requirements to corrected substantive provisions and applicability classifications.</x:v>
      </x:c>
      <x:c r="G1944" s="33" t="str">
        <x:v>P-4 official-source validation</x:v>
      </x:c>
      <x:c r="H194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44" s="33" t="str">
        <x:v>P-4</x:v>
      </x:c>
      <x:c r="J1944" s="33" t="str">
        <x:v>2026-08-20</x:v>
      </x:c>
      <x:c r="K1944" s="33" t="str">
        <x:v>Compliance IDs preserved; mandatory/conditional/optional status corrected.</x:v>
      </x:c>
    </x:row>
    <x:row r="1945">
      <x:c r="A1945" s="33" t="str">
        <x:v>RCOMP080</x:v>
      </x:c>
      <x:c r="B1945" s="33" t="str">
        <x:v>Compliance Requirement Master</x:v>
      </x:c>
      <x:c r="C1945" s="33" t="str">
        <x:v>Applicability=Mandatory; Remarks=Implementation Method: KPI monitoring programme | Evidence indicator retained in Evidence Master: KPI dashboard</x:v>
      </x:c>
      <x:c r="D1945" s="33" t="str">
        <x:v>Applicability=Optional; Remarks=P-4 entity-specific internal control; no independent statutory force. Activate the exact underlying legal requirement separately.</x:v>
      </x:c>
      <x:c r="E1945" s="33" t="str">
        <x:v>CORRECT / RECLASSIFY</x:v>
      </x:c>
      <x:c r="F1945" s="33" t="str">
        <x:v>Align requirements to corrected substantive provisions and applicability classifications.</x:v>
      </x:c>
      <x:c r="G1945" s="33" t="str">
        <x:v>P-4 official-source validation</x:v>
      </x:c>
      <x:c r="H194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45" s="33" t="str">
        <x:v>P-4</x:v>
      </x:c>
      <x:c r="J1945" s="33" t="str">
        <x:v>2026-08-20</x:v>
      </x:c>
      <x:c r="K1945" s="33" t="str">
        <x:v>Compliance IDs preserved; mandatory/conditional/optional status corrected.</x:v>
      </x:c>
    </x:row>
    <x:row r="1946">
      <x:c r="A1946" s="33" t="str">
        <x:v>RCOMP081</x:v>
      </x:c>
      <x:c r="B1946" s="33" t="str">
        <x:v>Compliance Requirement Master</x:v>
      </x:c>
      <x:c r="C1946" s="33" t="str">
        <x:v>Applicability=Mandatory; Remarks=Implementation Method: Goods receipt verification SOP | Evidence indicator retained in Evidence Master: Procurement documents</x:v>
      </x:c>
      <x:c r="D1946" s="33" t="str">
        <x:v>Applicability=Optional; Remarks=P-4 entity-specific internal control; no independent statutory force. Activate the exact underlying legal requirement separately.</x:v>
      </x:c>
      <x:c r="E1946" s="33" t="str">
        <x:v>CORRECT / RECLASSIFY</x:v>
      </x:c>
      <x:c r="F1946" s="33" t="str">
        <x:v>Align requirements to corrected substantive provisions and applicability classifications.</x:v>
      </x:c>
      <x:c r="G1946" s="33" t="str">
        <x:v>P-4 official-source validation</x:v>
      </x:c>
      <x:c r="H194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46" s="33" t="str">
        <x:v>P-4</x:v>
      </x:c>
      <x:c r="J1946" s="33" t="str">
        <x:v>2026-08-20</x:v>
      </x:c>
      <x:c r="K1946" s="33" t="str">
        <x:v>Compliance IDs preserved; mandatory/conditional/optional status corrected.</x:v>
      </x:c>
    </x:row>
    <x:row r="1947">
      <x:c r="A1947" s="33" t="str">
        <x:v>RCOMP082</x:v>
      </x:c>
      <x:c r="B1947" s="33" t="str">
        <x:v>Compliance Requirement Master</x:v>
      </x:c>
      <x:c r="C1947" s="33" t="str">
        <x:v>Applicability=Mandatory; Remarks=Implementation Method: Registration verification programme | Evidence indicator retained in Evidence Master: Registration verification records</x:v>
      </x:c>
      <x:c r="D1947" s="33" t="str">
        <x:v>Applicability=Optional; Remarks=P-4 entity-specific internal control; no independent statutory force. Activate the exact underlying legal requirement separately.</x:v>
      </x:c>
      <x:c r="E1947" s="33" t="str">
        <x:v>CORRECT / RECLASSIFY</x:v>
      </x:c>
      <x:c r="F1947" s="33" t="str">
        <x:v>Align requirements to corrected substantive provisions and applicability classifications.</x:v>
      </x:c>
      <x:c r="G1947" s="33" t="str">
        <x:v>P-4 official-source validation</x:v>
      </x:c>
      <x:c r="H194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47" s="33" t="str">
        <x:v>P-4</x:v>
      </x:c>
      <x:c r="J1947" s="33" t="str">
        <x:v>2026-08-20</x:v>
      </x:c>
      <x:c r="K1947" s="33" t="str">
        <x:v>Compliance IDs preserved; mandatory/conditional/optional status corrected.</x:v>
      </x:c>
    </x:row>
    <x:row r="1948">
      <x:c r="A1948" s="33" t="str">
        <x:v>RCOMP083</x:v>
      </x:c>
      <x:c r="B1948" s="33" t="str">
        <x:v>Compliance Requirement Master</x:v>
      </x:c>
      <x:c r="C1948" s="33" t="str">
        <x:v>Applicability=Mandatory; Remarks=Implementation Method: Electronic validation workflow | Evidence indicator retained in Evidence Master: Validation logs</x:v>
      </x:c>
      <x:c r="D1948" s="33" t="str">
        <x:v>Applicability=Optional; Remarks=P-4 entity-specific internal control; no independent statutory force. Activate the exact underlying legal requirement separately.</x:v>
      </x:c>
      <x:c r="E1948" s="33" t="str">
        <x:v>CORRECT / RECLASSIFY</x:v>
      </x:c>
      <x:c r="F1948" s="33" t="str">
        <x:v>Align requirements to corrected substantive provisions and applicability classifications.</x:v>
      </x:c>
      <x:c r="G1948" s="33" t="str">
        <x:v>P-4 official-source validation</x:v>
      </x:c>
      <x:c r="H194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48" s="33" t="str">
        <x:v>P-4</x:v>
      </x:c>
      <x:c r="J1948" s="33" t="str">
        <x:v>2026-08-20</x:v>
      </x:c>
      <x:c r="K1948" s="33" t="str">
        <x:v>Compliance IDs preserved; mandatory/conditional/optional status corrected.</x:v>
      </x:c>
    </x:row>
    <x:row r="1949">
      <x:c r="A1949" s="33" t="str">
        <x:v>RCOMP084</x:v>
      </x:c>
      <x:c r="B1949" s="33" t="str">
        <x:v>Compliance Requirement Master</x:v>
      </x:c>
      <x:c r="C1949" s="33" t="str">
        <x:v>Applicability=Mandatory; Remarks=Implementation Method: Allergy recording procedure | Evidence indicator retained in Evidence Master: Patient profile, allergy alerts</x:v>
      </x:c>
      <x:c r="D1949" s="33" t="str">
        <x:v>Applicability=Optional; Remarks=P-4 entity-specific internal control; no independent statutory force. Activate the exact underlying legal requirement separately.</x:v>
      </x:c>
      <x:c r="E1949" s="33" t="str">
        <x:v>CORRECT / RECLASSIFY</x:v>
      </x:c>
      <x:c r="F1949" s="33" t="str">
        <x:v>Align requirements to corrected substantive provisions and applicability classifications.</x:v>
      </x:c>
      <x:c r="G1949" s="33" t="str">
        <x:v>P-4 official-source validation</x:v>
      </x:c>
      <x:c r="H194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49" s="33" t="str">
        <x:v>P-4</x:v>
      </x:c>
      <x:c r="J1949" s="33" t="str">
        <x:v>2026-08-20</x:v>
      </x:c>
      <x:c r="K1949" s="33" t="str">
        <x:v>Compliance IDs preserved; mandatory/conditional/optional status corrected.</x:v>
      </x:c>
    </x:row>
    <x:row r="1950">
      <x:c r="A1950" s="33" t="str">
        <x:v>RCOMP085</x:v>
      </x:c>
      <x:c r="B1950" s="33" t="str">
        <x:v>Compliance Requirement Master</x:v>
      </x:c>
      <x:c r="C1950" s="33" t="str">
        <x:v>Applicability=Mandatory; Remarks=Implementation Method: Incoming goods inspection SOP | Evidence indicator retained in Evidence Master: Goods inspection report</x:v>
      </x:c>
      <x:c r="D1950" s="33" t="str">
        <x:v>Applicability=Optional; Remarks=P-4 entity-specific internal control; no independent statutory force. Activate the exact underlying legal requirement separately.</x:v>
      </x:c>
      <x:c r="E1950" s="33" t="str">
        <x:v>CORRECT / RECLASSIFY</x:v>
      </x:c>
      <x:c r="F1950" s="33" t="str">
        <x:v>Align requirements to corrected substantive provisions and applicability classifications.</x:v>
      </x:c>
      <x:c r="G1950" s="33" t="str">
        <x:v>P-4 official-source validation</x:v>
      </x:c>
      <x:c r="H195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50" s="33" t="str">
        <x:v>P-4</x:v>
      </x:c>
      <x:c r="J1950" s="33" t="str">
        <x:v>2026-08-20</x:v>
      </x:c>
      <x:c r="K1950" s="33" t="str">
        <x:v>Compliance IDs preserved; mandatory/conditional/optional status corrected.</x:v>
      </x:c>
    </x:row>
    <x:row r="1951">
      <x:c r="A1951" s="33" t="str">
        <x:v>RCOMP086</x:v>
      </x:c>
      <x:c r="B1951" s="33" t="str">
        <x:v>Compliance Requirement Master</x:v>
      </x:c>
      <x:c r="C1951" s="33" t="str">
        <x:v>Applicability=Mandatory; Remarks=Implementation Method: Delivery documentation SOP | Evidence indicator retained in Evidence Master: Delivery register</x:v>
      </x:c>
      <x:c r="D1951" s="33" t="str">
        <x:v>Applicability=Optional; Remarks=P-4 entity-specific internal control; no independent statutory force. Activate the exact underlying legal requirement separately.</x:v>
      </x:c>
      <x:c r="E1951" s="33" t="str">
        <x:v>CORRECT / RECLASSIFY</x:v>
      </x:c>
      <x:c r="F1951" s="33" t="str">
        <x:v>Align requirements to corrected substantive provisions and applicability classifications.</x:v>
      </x:c>
      <x:c r="G1951" s="33" t="str">
        <x:v>P-4 official-source validation</x:v>
      </x:c>
      <x:c r="H195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51" s="33" t="str">
        <x:v>P-4</x:v>
      </x:c>
      <x:c r="J1951" s="33" t="str">
        <x:v>2026-08-20</x:v>
      </x:c>
      <x:c r="K1951" s="33" t="str">
        <x:v>Compliance IDs preserved; mandatory/conditional/optional status corrected.</x:v>
      </x:c>
    </x:row>
    <x:row r="1952">
      <x:c r="A1952" s="33" t="str">
        <x:v>RCOMP087</x:v>
      </x:c>
      <x:c r="B1952" s="33" t="str">
        <x:v>Compliance Requirement Master</x:v>
      </x:c>
      <x:c r="C1952" s="33" t="str">
        <x:v>Applicability=Mandatory; Remarks=Implementation Method: Expiry monitoring SOP | Evidence indicator retained in Evidence Master: Expiry reports</x:v>
      </x:c>
      <x:c r="D1952" s="33" t="str">
        <x:v>Applicability=Optional; Remarks=P-4 entity-specific internal control; no independent statutory force. Activate the exact underlying legal requirement separately.</x:v>
      </x:c>
      <x:c r="E1952" s="33" t="str">
        <x:v>CORRECT / RECLASSIFY</x:v>
      </x:c>
      <x:c r="F1952" s="33" t="str">
        <x:v>Align requirements to corrected substantive provisions and applicability classifications.</x:v>
      </x:c>
      <x:c r="G1952" s="33" t="str">
        <x:v>P-4 official-source validation</x:v>
      </x:c>
      <x:c r="H195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52" s="33" t="str">
        <x:v>P-4</x:v>
      </x:c>
      <x:c r="J1952" s="33" t="str">
        <x:v>2026-08-20</x:v>
      </x:c>
      <x:c r="K1952" s="33" t="str">
        <x:v>Compliance IDs preserved; mandatory/conditional/optional status corrected.</x:v>
      </x:c>
    </x:row>
    <x:row r="1953">
      <x:c r="A1953" s="33" t="str">
        <x:v>RCOMP088</x:v>
      </x:c>
      <x:c r="B1953" s="33" t="str">
        <x:v>Compliance Requirement Master</x:v>
      </x:c>
      <x:c r="C1953" s="33" t="str">
        <x:v>Applicability=Mandatory; Remarks=Implementation Method: Role-based access management | Evidence indicator retained in Evidence Master: Access review reports</x:v>
      </x:c>
      <x:c r="D1953" s="33" t="str">
        <x:v>Applicability=Optional; Remarks=P-4 entity-specific internal control; no independent statutory force. Activate the exact underlying legal requirement separately.</x:v>
      </x:c>
      <x:c r="E1953" s="33" t="str">
        <x:v>CORRECT / RECLASSIFY</x:v>
      </x:c>
      <x:c r="F1953" s="33" t="str">
        <x:v>Align requirements to corrected substantive provisions and applicability classifications.</x:v>
      </x:c>
      <x:c r="G1953" s="33" t="str">
        <x:v>P-4 official-source validation</x:v>
      </x:c>
      <x:c r="H195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53" s="33" t="str">
        <x:v>P-4</x:v>
      </x:c>
      <x:c r="J1953" s="33" t="str">
        <x:v>2026-08-20</x:v>
      </x:c>
      <x:c r="K1953" s="33" t="str">
        <x:v>Compliance IDs preserved; mandatory/conditional/optional status corrected.</x:v>
      </x:c>
    </x:row>
    <x:row r="1954">
      <x:c r="A1954" s="33" t="str">
        <x:v>RCOMP089</x:v>
      </x:c>
      <x:c r="B1954" s="33" t="str">
        <x:v>Compliance Requirement Master</x:v>
      </x:c>
      <x:c r="C1954" s="33" t="str">
        <x:v>Applicability=Mandatory; Remarks=Implementation Method: Patient information SOP | Evidence indicator retained in Evidence Master: Patient leaflet inventory</x:v>
      </x:c>
      <x:c r="D1954" s="33" t="str">
        <x:v>Applicability=Optional; Remarks=P-4 entity-specific internal control; no independent statutory force. Activate the exact underlying legal requirement separately.</x:v>
      </x:c>
      <x:c r="E1954" s="33" t="str">
        <x:v>CORRECT / RECLASSIFY</x:v>
      </x:c>
      <x:c r="F1954" s="33" t="str">
        <x:v>Align requirements to corrected substantive provisions and applicability classifications.</x:v>
      </x:c>
      <x:c r="G1954" s="33" t="str">
        <x:v>P-4 official-source validation</x:v>
      </x:c>
      <x:c r="H195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54" s="33" t="str">
        <x:v>P-4</x:v>
      </x:c>
      <x:c r="J1954" s="33" t="str">
        <x:v>2026-08-20</x:v>
      </x:c>
      <x:c r="K1954" s="33" t="str">
        <x:v>Compliance IDs preserved; mandatory/conditional/optional status corrected.</x:v>
      </x:c>
    </x:row>
    <x:row r="1955">
      <x:c r="A1955" s="33" t="str">
        <x:v>RCOMP090</x:v>
      </x:c>
      <x:c r="B1955" s="33" t="str">
        <x:v>Compliance Requirement Master</x:v>
      </x:c>
      <x:c r="C1955" s="33" t="str">
        <x:v>Applicability=Mandatory; Remarks=Implementation Method: Compliance reporting framework | Evidence indicator retained in Evidence Master: Monthly compliance reports</x:v>
      </x:c>
      <x:c r="D1955" s="33" t="str">
        <x:v>Applicability=Optional; Remarks=P-4 entity-specific internal control; no independent statutory force. Activate the exact underlying legal requirement separately.</x:v>
      </x:c>
      <x:c r="E1955" s="33" t="str">
        <x:v>CORRECT / RECLASSIFY</x:v>
      </x:c>
      <x:c r="F1955" s="33" t="str">
        <x:v>Align requirements to corrected substantive provisions and applicability classifications.</x:v>
      </x:c>
      <x:c r="G1955" s="33" t="str">
        <x:v>P-4 official-source validation</x:v>
      </x:c>
      <x:c r="H195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55" s="33" t="str">
        <x:v>P-4</x:v>
      </x:c>
      <x:c r="J1955" s="33" t="str">
        <x:v>2026-08-20</x:v>
      </x:c>
      <x:c r="K1955" s="33" t="str">
        <x:v>Compliance IDs preserved; mandatory/conditional/optional status corrected.</x:v>
      </x:c>
    </x:row>
    <x:row r="1956">
      <x:c r="A1956" s="33" t="str">
        <x:v>RCOMP091</x:v>
      </x:c>
      <x:c r="B1956" s="33" t="str">
        <x:v>Compliance Requirement Master</x:v>
      </x:c>
      <x:c r="C1956" s="33" t="str">
        <x:v>Applicability=Mandatory; Remarks=Implementation Method: Reservation management SOP | Evidence indicator retained in Evidence Master: Reservation register, inventory records</x:v>
      </x:c>
      <x:c r="D1956" s="33" t="str">
        <x:v>Applicability=Optional; Remarks=P-4 entity-specific internal control; no independent statutory force. Activate the exact underlying legal requirement separately.</x:v>
      </x:c>
      <x:c r="E1956" s="33" t="str">
        <x:v>CORRECT / RECLASSIFY</x:v>
      </x:c>
      <x:c r="F1956" s="33" t="str">
        <x:v>Align requirements to corrected substantive provisions and applicability classifications.</x:v>
      </x:c>
      <x:c r="G1956" s="33" t="str">
        <x:v>P-4 official-source validation</x:v>
      </x:c>
      <x:c r="H195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56" s="33" t="str">
        <x:v>P-4</x:v>
      </x:c>
      <x:c r="J1956" s="33" t="str">
        <x:v>2026-08-20</x:v>
      </x:c>
      <x:c r="K1956" s="33" t="str">
        <x:v>Compliance IDs preserved; mandatory/conditional/optional status corrected.</x:v>
      </x:c>
    </x:row>
    <x:row r="1957">
      <x:c r="A1957" s="33" t="str">
        <x:v>RCOMP092</x:v>
      </x:c>
      <x:c r="B1957" s="33" t="str">
        <x:v>Compliance Requirement Master</x:v>
      </x:c>
      <x:c r="C1957" s="33" t="str">
        <x:v>Applicability=Mandatory; Remarks=Implementation Method: Prescription amendment procedure | Evidence indicator retained in Evidence Master: Amendment register, prescription records</x:v>
      </x:c>
      <x:c r="D1957" s="33" t="str">
        <x:v>Applicability=Optional; Remarks=P-4 entity-specific internal control; no independent statutory force. Activate the exact underlying legal requirement separately.</x:v>
      </x:c>
      <x:c r="E1957" s="33" t="str">
        <x:v>CORRECT / RECLASSIFY</x:v>
      </x:c>
      <x:c r="F1957" s="33" t="str">
        <x:v>Align requirements to corrected substantive provisions and applicability classifications.</x:v>
      </x:c>
      <x:c r="G1957" s="33" t="str">
        <x:v>P-4 official-source validation</x:v>
      </x:c>
      <x:c r="H195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57" s="33" t="str">
        <x:v>P-4</x:v>
      </x:c>
      <x:c r="J1957" s="33" t="str">
        <x:v>2026-08-20</x:v>
      </x:c>
      <x:c r="K1957" s="33" t="str">
        <x:v>Compliance IDs preserved; mandatory/conditional/optional status corrected.</x:v>
      </x:c>
    </x:row>
    <x:row r="1958">
      <x:c r="A1958" s="33" t="str">
        <x:v>RCOMP093</x:v>
      </x:c>
      <x:c r="B1958" s="33" t="str">
        <x:v>Compliance Requirement Master</x:v>
      </x:c>
      <x:c r="C1958" s="33" t="str">
        <x:v>Applicability=Mandatory; Remarks=Implementation Method: Electronic queue management SOP | Evidence indicator retained in Evidence Master: Queue logs, system reports</x:v>
      </x:c>
      <x:c r="D1958" s="33" t="str">
        <x:v>Applicability=Optional; Remarks=P-4 entity-specific internal control; no independent statutory force. Activate the exact underlying legal requirement separately.</x:v>
      </x:c>
      <x:c r="E1958" s="33" t="str">
        <x:v>CORRECT / RECLASSIFY</x:v>
      </x:c>
      <x:c r="F1958" s="33" t="str">
        <x:v>Align requirements to corrected substantive provisions and applicability classifications.</x:v>
      </x:c>
      <x:c r="G1958" s="33" t="str">
        <x:v>P-4 official-source validation</x:v>
      </x:c>
      <x:c r="H195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58" s="33" t="str">
        <x:v>P-4</x:v>
      </x:c>
      <x:c r="J1958" s="33" t="str">
        <x:v>2026-08-20</x:v>
      </x:c>
      <x:c r="K1958" s="33" t="str">
        <x:v>Compliance IDs preserved; mandatory/conditional/optional status corrected.</x:v>
      </x:c>
    </x:row>
    <x:row r="1959">
      <x:c r="A1959" s="33" t="str">
        <x:v>RCOMP094</x:v>
      </x:c>
      <x:c r="B1959" s="33" t="str">
        <x:v>Compliance Requirement Master</x:v>
      </x:c>
      <x:c r="C1959" s="33" t="str">
        <x:v>Applicability=Mandatory; Remarks=Implementation Method: Drug interaction review procedure | Evidence indicator retained in Evidence Master: Clinical intervention records</x:v>
      </x:c>
      <x:c r="D1959" s="33" t="str">
        <x:v>Applicability=Optional; Remarks=P-4 entity-specific internal control; no independent statutory force. Activate the exact underlying legal requirement separately.</x:v>
      </x:c>
      <x:c r="E1959" s="33" t="str">
        <x:v>CORRECT / RECLASSIFY</x:v>
      </x:c>
      <x:c r="F1959" s="33" t="str">
        <x:v>Align requirements to corrected substantive provisions and applicability classifications.</x:v>
      </x:c>
      <x:c r="G1959" s="33" t="str">
        <x:v>P-4 official-source validation</x:v>
      </x:c>
      <x:c r="H195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59" s="33" t="str">
        <x:v>P-4</x:v>
      </x:c>
      <x:c r="J1959" s="33" t="str">
        <x:v>2026-08-20</x:v>
      </x:c>
      <x:c r="K1959" s="33" t="str">
        <x:v>Compliance IDs preserved; mandatory/conditional/optional status corrected.</x:v>
      </x:c>
    </x:row>
    <x:row r="1960">
      <x:c r="A1960" s="33" t="str">
        <x:v>RCOMP095</x:v>
      </x:c>
      <x:c r="B1960" s="33" t="str">
        <x:v>Compliance Requirement Master</x:v>
      </x:c>
      <x:c r="C1960" s="33" t="str">
        <x:v>Applicability=Mandatory; Remarks=Implementation Method: Label verification checklist | Evidence indicator retained in Evidence Master: Verified dispensing records</x:v>
      </x:c>
      <x:c r="D1960" s="33" t="str">
        <x:v>Applicability=Optional; Remarks=P-4 entity-specific internal control; no independent statutory force. Activate the exact underlying legal requirement separately.</x:v>
      </x:c>
      <x:c r="E1960" s="33" t="str">
        <x:v>CORRECT / RECLASSIFY</x:v>
      </x:c>
      <x:c r="F1960" s="33" t="str">
        <x:v>Align requirements to corrected substantive provisions and applicability classifications.</x:v>
      </x:c>
      <x:c r="G1960" s="33" t="str">
        <x:v>P-4 official-source validation</x:v>
      </x:c>
      <x:c r="H196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60" s="33" t="str">
        <x:v>P-4</x:v>
      </x:c>
      <x:c r="J1960" s="33" t="str">
        <x:v>2026-08-20</x:v>
      </x:c>
      <x:c r="K1960" s="33" t="str">
        <x:v>Compliance IDs preserved; mandatory/conditional/optional status corrected.</x:v>
      </x:c>
    </x:row>
    <x:row r="1961">
      <x:c r="A1961" s="33" t="str">
        <x:v>RCOMP096</x:v>
      </x:c>
      <x:c r="B1961" s="33" t="str">
        <x:v>Compliance Requirement Master</x:v>
      </x:c>
      <x:c r="C1961" s="33" t="str">
        <x:v>Applicability=Mandatory; Remarks=Implementation Method: Restricted access SOP | Evidence indicator retained in Evidence Master: Store inspection records</x:v>
      </x:c>
      <x:c r="D1961" s="33" t="str">
        <x:v>Applicability=Optional; Remarks=P-4 entity-specific internal control; no independent statutory force. Activate the exact underlying legal requirement separately.</x:v>
      </x:c>
      <x:c r="E1961" s="33" t="str">
        <x:v>CORRECT / RECLASSIFY</x:v>
      </x:c>
      <x:c r="F1961" s="33" t="str">
        <x:v>Align requirements to corrected substantive provisions and applicability classifications.</x:v>
      </x:c>
      <x:c r="G1961" s="33" t="str">
        <x:v>P-4 official-source validation</x:v>
      </x:c>
      <x:c r="H196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61" s="33" t="str">
        <x:v>P-4</x:v>
      </x:c>
      <x:c r="J1961" s="33" t="str">
        <x:v>2026-08-20</x:v>
      </x:c>
      <x:c r="K1961" s="33" t="str">
        <x:v>Compliance IDs preserved; mandatory/conditional/optional status corrected.</x:v>
      </x:c>
    </x:row>
    <x:row r="1962">
      <x:c r="A1962" s="33" t="str">
        <x:v>RCOMP097</x:v>
      </x:c>
      <x:c r="B1962" s="33" t="str">
        <x:v>Compliance Requirement Master</x:v>
      </x:c>
      <x:c r="C1962" s="33" t="str">
        <x:v>Applicability=Mandatory; Remarks=Implementation Method: Dispensing incident management SOP | Evidence indicator retained in Evidence Master: Incident register, CAPA records</x:v>
      </x:c>
      <x:c r="D1962" s="33" t="str">
        <x:v>Applicability=Optional; Remarks=P-4 entity-specific internal control; no independent statutory force. Activate the exact underlying legal requirement separately.</x:v>
      </x:c>
      <x:c r="E1962" s="33" t="str">
        <x:v>CORRECT / RECLASSIFY</x:v>
      </x:c>
      <x:c r="F1962" s="33" t="str">
        <x:v>Align requirements to corrected substantive provisions and applicability classifications.</x:v>
      </x:c>
      <x:c r="G1962" s="33" t="str">
        <x:v>P-4 official-source validation</x:v>
      </x:c>
      <x:c r="H196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62" s="33" t="str">
        <x:v>P-4</x:v>
      </x:c>
      <x:c r="J1962" s="33" t="str">
        <x:v>2026-08-20</x:v>
      </x:c>
      <x:c r="K1962" s="33" t="str">
        <x:v>Compliance IDs preserved; mandatory/conditional/optional status corrected.</x:v>
      </x:c>
    </x:row>
    <x:row r="1963">
      <x:c r="A1963" s="33" t="str">
        <x:v>RCOMP098</x:v>
      </x:c>
      <x:c r="B1963" s="33" t="str">
        <x:v>Compliance Requirement Master</x:v>
      </x:c>
      <x:c r="C1963" s="33" t="str">
        <x:v>Applicability=Mandatory; Remarks=Implementation Method: System availability monitoring SOP | Evidence indicator retained in Evidence Master: System uptime reports, incident logs</x:v>
      </x:c>
      <x:c r="D1963" s="33" t="str">
        <x:v>Applicability=Optional; Remarks=P-4 entity-specific internal control; no independent statutory force. Activate the exact underlying legal requirement separately.</x:v>
      </x:c>
      <x:c r="E1963" s="33" t="str">
        <x:v>CORRECT / RECLASSIFY</x:v>
      </x:c>
      <x:c r="F1963" s="33" t="str">
        <x:v>Align requirements to corrected substantive provisions and applicability classifications.</x:v>
      </x:c>
      <x:c r="G1963" s="33" t="str">
        <x:v>P-4 official-source validation</x:v>
      </x:c>
      <x:c r="H196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63" s="33" t="str">
        <x:v>P-4</x:v>
      </x:c>
      <x:c r="J1963" s="33" t="str">
        <x:v>2026-08-20</x:v>
      </x:c>
      <x:c r="K1963" s="33" t="str">
        <x:v>Compliance IDs preserved; mandatory/conditional/optional status corrected.</x:v>
      </x:c>
    </x:row>
    <x:row r="1964">
      <x:c r="A1964" s="33" t="str">
        <x:v>RCOMP099</x:v>
      </x:c>
      <x:c r="B1964" s="33" t="str">
        <x:v>Compliance Requirement Master</x:v>
      </x:c>
      <x:c r="C1964" s="33" t="str">
        <x:v>Applicability=Mandatory; Remarks=Implementation Method: Display verification checklist | Evidence indicator retained in Evidence Master: Display verification records</x:v>
      </x:c>
      <x:c r="D1964" s="33" t="str">
        <x:v>Applicability=Optional; Remarks=P-4 entity-specific internal control; no independent statutory force. Activate the exact underlying legal requirement separately.</x:v>
      </x:c>
      <x:c r="E1964" s="33" t="str">
        <x:v>CORRECT / RECLASSIFY</x:v>
      </x:c>
      <x:c r="F1964" s="33" t="str">
        <x:v>Align requirements to corrected substantive provisions and applicability classifications.</x:v>
      </x:c>
      <x:c r="G1964" s="33" t="str">
        <x:v>P-4 official-source validation</x:v>
      </x:c>
      <x:c r="H196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64" s="33" t="str">
        <x:v>P-4</x:v>
      </x:c>
      <x:c r="J1964" s="33" t="str">
        <x:v>2026-08-20</x:v>
      </x:c>
      <x:c r="K1964" s="33" t="str">
        <x:v>Compliance IDs preserved; mandatory/conditional/optional status corrected.</x:v>
      </x:c>
    </x:row>
    <x:row r="1965">
      <x:c r="A1965" s="33" t="str">
        <x:v>RCOMP100</x:v>
      </x:c>
      <x:c r="B1965" s="33" t="str">
        <x:v>Compliance Requirement Master</x:v>
      </x:c>
      <x:c r="C1965" s="33" t="str">
        <x:v>Applicability=Mandatory; Remarks=Implementation Method: Compliance maturity assessment programme | Evidence indicator retained in Evidence Master: Assessment report, improvement plan</x:v>
      </x:c>
      <x:c r="D1965" s="33" t="str">
        <x:v>Applicability=Optional; Remarks=P-4 entity-specific internal control; no independent statutory force. Activate the exact underlying legal requirement separately.</x:v>
      </x:c>
      <x:c r="E1965" s="33" t="str">
        <x:v>CORRECT / RECLASSIFY</x:v>
      </x:c>
      <x:c r="F1965" s="33" t="str">
        <x:v>Align requirements to corrected substantive provisions and applicability classifications.</x:v>
      </x:c>
      <x:c r="G1965" s="33" t="str">
        <x:v>P-4 official-source validation</x:v>
      </x:c>
      <x:c r="H196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65" s="33" t="str">
        <x:v>P-4</x:v>
      </x:c>
      <x:c r="J1965" s="33" t="str">
        <x:v>2026-08-20</x:v>
      </x:c>
      <x:c r="K1965" s="33" t="str">
        <x:v>Compliance IDs preserved; mandatory/conditional/optional status corrected.</x:v>
      </x:c>
    </x:row>
    <x:row r="1966">
      <x:c r="A1966" s="33" t="str">
        <x:v>RCOMP101</x:v>
      </x:c>
      <x:c r="B1966" s="33" t="str">
        <x:v>Compliance Requirement Master</x:v>
      </x:c>
      <x:c r="C1966" s="33" t="str">
        <x:v>Applicability=Mandatory; Remarks=Implementation Method: Identity record management SOP | Evidence indicator retained in Evidence Master: Identity verification records</x:v>
      </x:c>
      <x:c r="D1966" s="33" t="str">
        <x:v>Applicability=Optional; Remarks=P-4 entity-specific internal control; no independent statutory force. Activate the exact underlying legal requirement separately.</x:v>
      </x:c>
      <x:c r="E1966" s="33" t="str">
        <x:v>CORRECT / RECLASSIFY</x:v>
      </x:c>
      <x:c r="F1966" s="33" t="str">
        <x:v>Align requirements to corrected substantive provisions and applicability classifications.</x:v>
      </x:c>
      <x:c r="G1966" s="33" t="str">
        <x:v>P-4 official-source validation</x:v>
      </x:c>
      <x:c r="H196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66" s="33" t="str">
        <x:v>P-4</x:v>
      </x:c>
      <x:c r="J1966" s="33" t="str">
        <x:v>2026-08-20</x:v>
      </x:c>
      <x:c r="K1966" s="33" t="str">
        <x:v>Compliance IDs preserved; mandatory/conditional/optional status corrected.</x:v>
      </x:c>
    </x:row>
    <x:row r="1967">
      <x:c r="A1967" s="33" t="str">
        <x:v>RCOMP102</x:v>
      </x:c>
      <x:c r="B1967" s="33" t="str">
        <x:v>Compliance Requirement Master</x:v>
      </x:c>
      <x:c r="C1967" s="33" t="str">
        <x:v>Applicability=Mandatory; Remarks=Implementation Method: Prescription revalidation SOP | Evidence indicator retained in Evidence Master: Revalidation records</x:v>
      </x:c>
      <x:c r="D1967" s="33" t="str">
        <x:v>Applicability=Optional; Remarks=P-4 entity-specific internal control; no independent statutory force. Activate the exact underlying legal requirement separately.</x:v>
      </x:c>
      <x:c r="E1967" s="33" t="str">
        <x:v>CORRECT / RECLASSIFY</x:v>
      </x:c>
      <x:c r="F1967" s="33" t="str">
        <x:v>Align requirements to corrected substantive provisions and applicability classifications.</x:v>
      </x:c>
      <x:c r="G1967" s="33" t="str">
        <x:v>P-4 official-source validation</x:v>
      </x:c>
      <x:c r="H196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67" s="33" t="str">
        <x:v>P-4</x:v>
      </x:c>
      <x:c r="J1967" s="33" t="str">
        <x:v>2026-08-20</x:v>
      </x:c>
      <x:c r="K1967" s="33" t="str">
        <x:v>Compliance IDs preserved; mandatory/conditional/optional status corrected.</x:v>
      </x:c>
    </x:row>
    <x:row r="1968">
      <x:c r="A1968" s="33" t="str">
        <x:v>RCOMP103</x:v>
      </x:c>
      <x:c r="B1968" s="33" t="str">
        <x:v>Compliance Requirement Master</x:v>
      </x:c>
      <x:c r="C1968" s="33" t="str">
        <x:v>Applicability=Mandatory; Remarks=Implementation Method: Digital approval management SOP | Evidence indicator retained in Evidence Master: Digital approval logs</x:v>
      </x:c>
      <x:c r="D1968" s="33" t="str">
        <x:v>Applicability=Optional; Remarks=P-4 entity-specific internal control; no independent statutory force. Activate the exact underlying legal requirement separately.</x:v>
      </x:c>
      <x:c r="E1968" s="33" t="str">
        <x:v>CORRECT / RECLASSIFY</x:v>
      </x:c>
      <x:c r="F1968" s="33" t="str">
        <x:v>Align requirements to corrected substantive provisions and applicability classifications.</x:v>
      </x:c>
      <x:c r="G1968" s="33" t="str">
        <x:v>P-4 official-source validation</x:v>
      </x:c>
      <x:c r="H196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68" s="33" t="str">
        <x:v>P-4</x:v>
      </x:c>
      <x:c r="J1968" s="33" t="str">
        <x:v>2026-08-20</x:v>
      </x:c>
      <x:c r="K1968" s="33" t="str">
        <x:v>Compliance IDs preserved; mandatory/conditional/optional status corrected.</x:v>
      </x:c>
    </x:row>
    <x:row r="1969">
      <x:c r="A1969" s="33" t="str">
        <x:v>RCOMP104</x:v>
      </x:c>
      <x:c r="B1969" s="33" t="str">
        <x:v>Compliance Requirement Master</x:v>
      </x:c>
      <x:c r="C1969" s="33" t="str">
        <x:v>Applicability=Mandatory; Remarks=Implementation Method: Returned medicine assessment SOP | Evidence indicator retained in Evidence Master: Return assessment records</x:v>
      </x:c>
      <x:c r="D1969" s="33" t="str">
        <x:v>Applicability=Optional; Remarks=P-4 entity-specific internal control; no independent statutory force. Activate the exact underlying legal requirement separately.</x:v>
      </x:c>
      <x:c r="E1969" s="33" t="str">
        <x:v>CORRECT / RECLASSIFY</x:v>
      </x:c>
      <x:c r="F1969" s="33" t="str">
        <x:v>Align requirements to corrected substantive provisions and applicability classifications.</x:v>
      </x:c>
      <x:c r="G1969" s="33" t="str">
        <x:v>P-4 official-source validation</x:v>
      </x:c>
      <x:c r="H196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69" s="33" t="str">
        <x:v>P-4</x:v>
      </x:c>
      <x:c r="J1969" s="33" t="str">
        <x:v>2026-08-20</x:v>
      </x:c>
      <x:c r="K1969" s="33" t="str">
        <x:v>Compliance IDs preserved; mandatory/conditional/optional status corrected.</x:v>
      </x:c>
    </x:row>
    <x:row r="1970">
      <x:c r="A1970" s="33" t="str">
        <x:v>RCOMP105</x:v>
      </x:c>
      <x:c r="B1970" s="33" t="str">
        <x:v>Compliance Requirement Master</x:v>
      </x:c>
      <x:c r="C1970" s="33" t="str">
        <x:v>Applicability=Mandatory; Remarks=Implementation Method: Mock recall programme | Evidence indicator retained in Evidence Master: Mock recall reports</x:v>
      </x:c>
      <x:c r="D1970" s="33" t="str">
        <x:v>Applicability=Optional; Remarks=P-4 entity-specific internal control; no independent statutory force. Activate the exact underlying legal requirement separately.</x:v>
      </x:c>
      <x:c r="E1970" s="33" t="str">
        <x:v>CORRECT / RECLASSIFY</x:v>
      </x:c>
      <x:c r="F1970" s="33" t="str">
        <x:v>Align requirements to corrected substantive provisions and applicability classifications.</x:v>
      </x:c>
      <x:c r="G1970" s="33" t="str">
        <x:v>P-4 official-source validation</x:v>
      </x:c>
      <x:c r="H197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70" s="33" t="str">
        <x:v>P-4</x:v>
      </x:c>
      <x:c r="J1970" s="33" t="str">
        <x:v>2026-08-20</x:v>
      </x:c>
      <x:c r="K1970" s="33" t="str">
        <x:v>Compliance IDs preserved; mandatory/conditional/optional status corrected.</x:v>
      </x:c>
    </x:row>
    <x:row r="1971">
      <x:c r="A1971" s="33" t="str">
        <x:v>RCOMP106</x:v>
      </x:c>
      <x:c r="B1971" s="33" t="str">
        <x:v>Compliance Requirement Master</x:v>
      </x:c>
      <x:c r="C1971" s="33" t="str">
        <x:v>Applicability=Mandatory; Remarks=Implementation Method: Reservation expiry management SOP | Evidence indicator retained in Evidence Master: Reservation expiry register</x:v>
      </x:c>
      <x:c r="D1971" s="33" t="str">
        <x:v>Applicability=Optional; Remarks=P-4 entity-specific internal control; no independent statutory force. Activate the exact underlying legal requirement separately.</x:v>
      </x:c>
      <x:c r="E1971" s="33" t="str">
        <x:v>CORRECT / RECLASSIFY</x:v>
      </x:c>
      <x:c r="F1971" s="33" t="str">
        <x:v>Align requirements to corrected substantive provisions and applicability classifications.</x:v>
      </x:c>
      <x:c r="G1971" s="33" t="str">
        <x:v>P-4 official-source validation</x:v>
      </x:c>
      <x:c r="H197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71" s="33" t="str">
        <x:v>P-4</x:v>
      </x:c>
      <x:c r="J1971" s="33" t="str">
        <x:v>2026-08-20</x:v>
      </x:c>
      <x:c r="K1971" s="33" t="str">
        <x:v>Compliance IDs preserved; mandatory/conditional/optional status corrected.</x:v>
      </x:c>
    </x:row>
    <x:row r="1972">
      <x:c r="A1972" s="33" t="str">
        <x:v>RCOMP107</x:v>
      </x:c>
      <x:c r="B1972" s="33" t="str">
        <x:v>Compliance Requirement Master</x:v>
      </x:c>
      <x:c r="C1972" s="33" t="str">
        <x:v>Applicability=Mandatory; Remarks=Implementation Method: Inventory adjustment SOP | Evidence indicator retained in Evidence Master: Adjustment register, approval records</x:v>
      </x:c>
      <x:c r="D1972" s="33" t="str">
        <x:v>Applicability=Optional; Remarks=P-4 entity-specific internal control; no independent statutory force. Activate the exact underlying legal requirement separately.</x:v>
      </x:c>
      <x:c r="E1972" s="33" t="str">
        <x:v>CORRECT / RECLASSIFY</x:v>
      </x:c>
      <x:c r="F1972" s="33" t="str">
        <x:v>Align requirements to corrected substantive provisions and applicability classifications.</x:v>
      </x:c>
      <x:c r="G1972" s="33" t="str">
        <x:v>P-4 official-source validation</x:v>
      </x:c>
      <x:c r="H197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72" s="33" t="str">
        <x:v>P-4</x:v>
      </x:c>
      <x:c r="J1972" s="33" t="str">
        <x:v>2026-08-20</x:v>
      </x:c>
      <x:c r="K1972" s="33" t="str">
        <x:v>Compliance IDs preserved; mandatory/conditional/optional status corrected.</x:v>
      </x:c>
    </x:row>
    <x:row r="1973">
      <x:c r="A1973" s="33" t="str">
        <x:v>RCOMP108</x:v>
      </x:c>
      <x:c r="B1973" s="33" t="str">
        <x:v>Compliance Requirement Master</x:v>
      </x:c>
      <x:c r="C1973" s="33" t="str">
        <x:v>Applicability=Mandatory; Remarks=Implementation Method: Change management SOP | Evidence indicator retained in Evidence Master: Change records, testing evidence</x:v>
      </x:c>
      <x:c r="D1973" s="33" t="str">
        <x:v>Applicability=Optional; Remarks=P-4 entity-specific internal control; no independent statutory force. Activate the exact underlying legal requirement separately.</x:v>
      </x:c>
      <x:c r="E1973" s="33" t="str">
        <x:v>CORRECT / RECLASSIFY</x:v>
      </x:c>
      <x:c r="F1973" s="33" t="str">
        <x:v>Align requirements to corrected substantive provisions and applicability classifications.</x:v>
      </x:c>
      <x:c r="G1973" s="33" t="str">
        <x:v>P-4 official-source validation</x:v>
      </x:c>
      <x:c r="H197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73" s="33" t="str">
        <x:v>P-4</x:v>
      </x:c>
      <x:c r="J1973" s="33" t="str">
        <x:v>2026-08-20</x:v>
      </x:c>
      <x:c r="K1973" s="33" t="str">
        <x:v>Compliance IDs preserved; mandatory/conditional/optional status corrected.</x:v>
      </x:c>
    </x:row>
    <x:row r="1974">
      <x:c r="A1974" s="33" t="str">
        <x:v>RCOMP109</x:v>
      </x:c>
      <x:c r="B1974" s="33" t="str">
        <x:v>Compliance Requirement Master</x:v>
      </x:c>
      <x:c r="C1974" s="33" t="str">
        <x:v>Applicability=Mandatory; Remarks=Implementation Method: Educational material review SOP | Evidence indicator retained in Evidence Master: Review register</x:v>
      </x:c>
      <x:c r="D1974" s="33" t="str">
        <x:v>Applicability=Optional; Remarks=P-4 entity-specific internal control; no independent statutory force. Activate the exact underlying legal requirement separately.</x:v>
      </x:c>
      <x:c r="E1974" s="33" t="str">
        <x:v>CORRECT / RECLASSIFY</x:v>
      </x:c>
      <x:c r="F1974" s="33" t="str">
        <x:v>Align requirements to corrected substantive provisions and applicability classifications.</x:v>
      </x:c>
      <x:c r="G1974" s="33" t="str">
        <x:v>P-4 official-source validation</x:v>
      </x:c>
      <x:c r="H197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74" s="33" t="str">
        <x:v>P-4</x:v>
      </x:c>
      <x:c r="J1974" s="33" t="str">
        <x:v>2026-08-20</x:v>
      </x:c>
      <x:c r="K1974" s="33" t="str">
        <x:v>Compliance IDs preserved; mandatory/conditional/optional status corrected.</x:v>
      </x:c>
    </x:row>
    <x:row r="1975">
      <x:c r="A1975" s="33" t="str">
        <x:v>RCOMP110</x:v>
      </x:c>
      <x:c r="B1975" s="33" t="str">
        <x:v>Compliance Requirement Master</x:v>
      </x:c>
      <x:c r="C1975" s="33" t="str">
        <x:v>Applicability=Mandatory; Remarks=Implementation Method: Management review procedure | Evidence indicator retained in Evidence Master: Management review minutes, action tracker</x:v>
      </x:c>
      <x:c r="D1975" s="33" t="str">
        <x:v>Applicability=Optional; Remarks=P-4 entity-specific internal control; no independent statutory force. Activate the exact underlying legal requirement separately.</x:v>
      </x:c>
      <x:c r="E1975" s="33" t="str">
        <x:v>CORRECT / RECLASSIFY</x:v>
      </x:c>
      <x:c r="F1975" s="33" t="str">
        <x:v>Align requirements to corrected substantive provisions and applicability classifications.</x:v>
      </x:c>
      <x:c r="G1975" s="33" t="str">
        <x:v>P-4 official-source validation</x:v>
      </x:c>
      <x:c r="H197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75" s="33" t="str">
        <x:v>P-4</x:v>
      </x:c>
      <x:c r="J1975" s="33" t="str">
        <x:v>2026-08-20</x:v>
      </x:c>
      <x:c r="K1975" s="33" t="str">
        <x:v>Compliance IDs preserved; mandatory/conditional/optional status corrected.</x:v>
      </x:c>
    </x:row>
    <x:row r="1976">
      <x:c r="A1976" s="33" t="str">
        <x:v>RCOMP111</x:v>
      </x:c>
      <x:c r="B1976" s="33" t="str">
        <x:v>Compliance Requirement Master</x:v>
      </x:c>
      <x:c r="C1976" s="33" t="str">
        <x:v>Applicability=Mandatory; Remarks=Implementation Method: Authorized representative verification SOP | Evidence indicator retained in Evidence Master: Authorization records, collection register</x:v>
      </x:c>
      <x:c r="D1976" s="33" t="str">
        <x:v>Applicability=Optional; Remarks=P-4 entity-specific internal control; no independent statutory force. Activate the exact underlying legal requirement separately.</x:v>
      </x:c>
      <x:c r="E1976" s="33" t="str">
        <x:v>CORRECT / RECLASSIFY</x:v>
      </x:c>
      <x:c r="F1976" s="33" t="str">
        <x:v>Align requirements to corrected substantive provisions and applicability classifications.</x:v>
      </x:c>
      <x:c r="G1976" s="33" t="str">
        <x:v>P-4 official-source validation</x:v>
      </x:c>
      <x:c r="H197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76" s="33" t="str">
        <x:v>P-4</x:v>
      </x:c>
      <x:c r="J1976" s="33" t="str">
        <x:v>2026-08-20</x:v>
      </x:c>
      <x:c r="K1976" s="33" t="str">
        <x:v>Compliance IDs preserved; mandatory/conditional/optional status corrected.</x:v>
      </x:c>
    </x:row>
    <x:row r="1977">
      <x:c r="A1977" s="33" t="str">
        <x:v>RCOMP112</x:v>
      </x:c>
      <x:c r="B1977" s="33" t="str">
        <x:v>Compliance Requirement Master</x:v>
      </x:c>
      <x:c r="C1977" s="33" t="str">
        <x:v>Applicability=Mandatory; Remarks=Implementation Method: Prescription clarification SOP | Evidence indicator retained in Evidence Master: Clarification register, prescription records</x:v>
      </x:c>
      <x:c r="D1977" s="33" t="str">
        <x:v>Applicability=Optional; Remarks=P-4 entity-specific internal control; no independent statutory force. Activate the exact underlying legal requirement separately.</x:v>
      </x:c>
      <x:c r="E1977" s="33" t="str">
        <x:v>CORRECT / RECLASSIFY</x:v>
      </x:c>
      <x:c r="F1977" s="33" t="str">
        <x:v>Align requirements to corrected substantive provisions and applicability classifications.</x:v>
      </x:c>
      <x:c r="G1977" s="33" t="str">
        <x:v>P-4 official-source validation</x:v>
      </x:c>
      <x:c r="H197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77" s="33" t="str">
        <x:v>P-4</x:v>
      </x:c>
      <x:c r="J1977" s="33" t="str">
        <x:v>2026-08-20</x:v>
      </x:c>
      <x:c r="K1977" s="33" t="str">
        <x:v>Compliance IDs preserved; mandatory/conditional/optional status corrected.</x:v>
      </x:c>
    </x:row>
    <x:row r="1978">
      <x:c r="A1978" s="33" t="str">
        <x:v>RCOMP113</x:v>
      </x:c>
      <x:c r="B1978" s="33" t="str">
        <x:v>Compliance Requirement Master</x:v>
      </x:c>
      <x:c r="C1978" s="33" t="str">
        <x:v>Applicability=Mandatory; Remarks=Implementation Method: Electronic archive management SOP | Evidence indicator retained in Evidence Master: Archive reports, restoration logs</x:v>
      </x:c>
      <x:c r="D1978" s="33" t="str">
        <x:v>Applicability=Optional; Remarks=P-4 entity-specific internal control; no independent statutory force. Activate the exact underlying legal requirement separately.</x:v>
      </x:c>
      <x:c r="E1978" s="33" t="str">
        <x:v>CORRECT / RECLASSIFY</x:v>
      </x:c>
      <x:c r="F1978" s="33" t="str">
        <x:v>Align requirements to corrected substantive provisions and applicability classifications.</x:v>
      </x:c>
      <x:c r="G1978" s="33" t="str">
        <x:v>P-4 official-source validation</x:v>
      </x:c>
      <x:c r="H197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78" s="33" t="str">
        <x:v>P-4</x:v>
      </x:c>
      <x:c r="J1978" s="33" t="str">
        <x:v>2026-08-20</x:v>
      </x:c>
      <x:c r="K1978" s="33" t="str">
        <x:v>Compliance IDs preserved; mandatory/conditional/optional status corrected.</x:v>
      </x:c>
    </x:row>
    <x:row r="1979">
      <x:c r="A1979" s="33" t="str">
        <x:v>RCOMP114</x:v>
      </x:c>
      <x:c r="B1979" s="33" t="str">
        <x:v>Compliance Requirement Master</x:v>
      </x:c>
      <x:c r="C1979" s="33" t="str">
        <x:v>Applicability=Mandatory; Remarks=Implementation Method: Shelf organization SOP | Evidence indicator retained in Evidence Master: Shelf inspection checklist</x:v>
      </x:c>
      <x:c r="D1979" s="33" t="str">
        <x:v>Applicability=Optional; Remarks=P-4 entity-specific internal control; no independent statutory force. Activate the exact underlying legal requirement separately.</x:v>
      </x:c>
      <x:c r="E1979" s="33" t="str">
        <x:v>CORRECT / RECLASSIFY</x:v>
      </x:c>
      <x:c r="F1979" s="33" t="str">
        <x:v>Align requirements to corrected substantive provisions and applicability classifications.</x:v>
      </x:c>
      <x:c r="G1979" s="33" t="str">
        <x:v>P-4 official-source validation</x:v>
      </x:c>
      <x:c r="H197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79" s="33" t="str">
        <x:v>P-4</x:v>
      </x:c>
      <x:c r="J1979" s="33" t="str">
        <x:v>2026-08-20</x:v>
      </x:c>
      <x:c r="K1979" s="33" t="str">
        <x:v>Compliance IDs preserved; mandatory/conditional/optional status corrected.</x:v>
      </x:c>
    </x:row>
    <x:row r="1980">
      <x:c r="A1980" s="33" t="str">
        <x:v>RCOMP115</x:v>
      </x:c>
      <x:c r="B1980" s="33" t="str">
        <x:v>Compliance Requirement Master</x:v>
      </x:c>
      <x:c r="C1980" s="33" t="str">
        <x:v>Applicability=Mandatory; Remarks=Implementation Method: Recall closure SOP | Evidence indicator retained in Evidence Master: Recall closure report</x:v>
      </x:c>
      <x:c r="D1980" s="33" t="str">
        <x:v>Applicability=Optional; Remarks=P-4 entity-specific internal control; no independent statutory force. Activate the exact underlying legal requirement separately.</x:v>
      </x:c>
      <x:c r="E1980" s="33" t="str">
        <x:v>CORRECT / RECLASSIFY</x:v>
      </x:c>
      <x:c r="F1980" s="33" t="str">
        <x:v>Align requirements to corrected substantive provisions and applicability classifications.</x:v>
      </x:c>
      <x:c r="G1980" s="33" t="str">
        <x:v>P-4 official-source validation</x:v>
      </x:c>
      <x:c r="H198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80" s="33" t="str">
        <x:v>P-4</x:v>
      </x:c>
      <x:c r="J1980" s="33" t="str">
        <x:v>2026-08-20</x:v>
      </x:c>
      <x:c r="K1980" s="33" t="str">
        <x:v>Compliance IDs preserved; mandatory/conditional/optional status corrected.</x:v>
      </x:c>
    </x:row>
    <x:row r="1981">
      <x:c r="A1981" s="33" t="str">
        <x:v>RCOMP116</x:v>
      </x:c>
      <x:c r="B1981" s="33" t="str">
        <x:v>Compliance Requirement Master</x:v>
      </x:c>
      <x:c r="C1981" s="33" t="str">
        <x:v>Applicability=Mandatory; Remarks=Implementation Method: Appointment management SOP | Evidence indicator retained in Evidence Master: Appointment register</x:v>
      </x:c>
      <x:c r="D1981" s="33" t="str">
        <x:v>Applicability=Optional; Remarks=P-4 entity-specific internal control; no independent statutory force. Activate the exact underlying legal requirement separately.</x:v>
      </x:c>
      <x:c r="E1981" s="33" t="str">
        <x:v>CORRECT / RECLASSIFY</x:v>
      </x:c>
      <x:c r="F1981" s="33" t="str">
        <x:v>Align requirements to corrected substantive provisions and applicability classifications.</x:v>
      </x:c>
      <x:c r="G1981" s="33" t="str">
        <x:v>P-4 official-source validation</x:v>
      </x:c>
      <x:c r="H198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81" s="33" t="str">
        <x:v>P-4</x:v>
      </x:c>
      <x:c r="J1981" s="33" t="str">
        <x:v>2026-08-20</x:v>
      </x:c>
      <x:c r="K1981" s="33" t="str">
        <x:v>Compliance IDs preserved; mandatory/conditional/optional status corrected.</x:v>
      </x:c>
    </x:row>
    <x:row r="1982">
      <x:c r="A1982" s="33" t="str">
        <x:v>RCOMP117</x:v>
      </x:c>
      <x:c r="B1982" s="33" t="str">
        <x:v>Compliance Requirement Master</x:v>
      </x:c>
      <x:c r="C1982" s="33" t="str">
        <x:v>Applicability=Mandatory; Remarks=Implementation Method: Inventory investigation SOP | Evidence indicator retained in Evidence Master: Investigation reports, CAPA</x:v>
      </x:c>
      <x:c r="D1982" s="33" t="str">
        <x:v>Applicability=Optional; Remarks=P-4 entity-specific internal control; no independent statutory force. Activate the exact underlying legal requirement separately.</x:v>
      </x:c>
      <x:c r="E1982" s="33" t="str">
        <x:v>CORRECT / RECLASSIFY</x:v>
      </x:c>
      <x:c r="F1982" s="33" t="str">
        <x:v>Align requirements to corrected substantive provisions and applicability classifications.</x:v>
      </x:c>
      <x:c r="G1982" s="33" t="str">
        <x:v>P-4 official-source validation</x:v>
      </x:c>
      <x:c r="H198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82" s="33" t="str">
        <x:v>P-4</x:v>
      </x:c>
      <x:c r="J1982" s="33" t="str">
        <x:v>2026-08-20</x:v>
      </x:c>
      <x:c r="K1982" s="33" t="str">
        <x:v>Compliance IDs preserved; mandatory/conditional/optional status corrected.</x:v>
      </x:c>
    </x:row>
    <x:row r="1983">
      <x:c r="A1983" s="33" t="str">
        <x:v>RCOMP118</x:v>
      </x:c>
      <x:c r="B1983" s="33" t="str">
        <x:v>Compliance Requirement Master</x:v>
      </x:c>
      <x:c r="C1983" s="33" t="str">
        <x:v>Applicability=Mandatory; Remarks=Implementation Method: Security monitoring SOP | Evidence indicator retained in Evidence Master: Security logs, incident reports</x:v>
      </x:c>
      <x:c r="D1983" s="33" t="str">
        <x:v>Applicability=Optional; Remarks=P-4 entity-specific internal control; no independent statutory force. Activate the exact underlying legal requirement separately.</x:v>
      </x:c>
      <x:c r="E1983" s="33" t="str">
        <x:v>CORRECT / RECLASSIFY</x:v>
      </x:c>
      <x:c r="F1983" s="33" t="str">
        <x:v>Align requirements to corrected substantive provisions and applicability classifications.</x:v>
      </x:c>
      <x:c r="G1983" s="33" t="str">
        <x:v>P-4 official-source validation</x:v>
      </x:c>
      <x:c r="H198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83" s="33" t="str">
        <x:v>P-4</x:v>
      </x:c>
      <x:c r="J1983" s="33" t="str">
        <x:v>2026-08-20</x:v>
      </x:c>
      <x:c r="K1983" s="33" t="str">
        <x:v>Compliance IDs preserved; mandatory/conditional/optional status corrected.</x:v>
      </x:c>
    </x:row>
    <x:row r="1984">
      <x:c r="A1984" s="33" t="str">
        <x:v>RCOMP119</x:v>
      </x:c>
      <x:c r="B1984" s="33" t="str">
        <x:v>Compliance Requirement Master</x:v>
      </x:c>
      <x:c r="C1984" s="33" t="str">
        <x:v>Applicability=Mandatory; Remarks=Implementation Method: Public health display SOP | Evidence indicator retained in Evidence Master: Display inspection checklist</x:v>
      </x:c>
      <x:c r="D1984" s="33" t="str">
        <x:v>Applicability=Optional; Remarks=P-4 entity-specific internal control; no independent statutory force. Activate the exact underlying legal requirement separately.</x:v>
      </x:c>
      <x:c r="E1984" s="33" t="str">
        <x:v>CORRECT / RECLASSIFY</x:v>
      </x:c>
      <x:c r="F1984" s="33" t="str">
        <x:v>Align requirements to corrected substantive provisions and applicability classifications.</x:v>
      </x:c>
      <x:c r="G1984" s="33" t="str">
        <x:v>P-4 official-source validation</x:v>
      </x:c>
      <x:c r="H198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84" s="33" t="str">
        <x:v>P-4</x:v>
      </x:c>
      <x:c r="J1984" s="33" t="str">
        <x:v>2026-08-20</x:v>
      </x:c>
      <x:c r="K1984" s="33" t="str">
        <x:v>Compliance IDs preserved; mandatory/conditional/optional status corrected.</x:v>
      </x:c>
    </x:row>
    <x:row r="1985">
      <x:c r="A1985" s="33" t="str">
        <x:v>RCOMP120</x:v>
      </x:c>
      <x:c r="B1985" s="33" t="str">
        <x:v>Compliance Requirement Master</x:v>
      </x:c>
      <x:c r="C1985" s="33" t="str">
        <x:v>Applicability=Mandatory; Remarks=Implementation Method: Compliance improvement programme SOP | Evidence indicator retained in Evidence Master: Improvement programme, progress reports</x:v>
      </x:c>
      <x:c r="D1985" s="33" t="str">
        <x:v>Applicability=Optional; Remarks=P-4 entity-specific internal control; no independent statutory force. Activate the exact underlying legal requirement separately.</x:v>
      </x:c>
      <x:c r="E1985" s="33" t="str">
        <x:v>CORRECT / RECLASSIFY</x:v>
      </x:c>
      <x:c r="F1985" s="33" t="str">
        <x:v>Align requirements to corrected substantive provisions and applicability classifications.</x:v>
      </x:c>
      <x:c r="G1985" s="33" t="str">
        <x:v>P-4 official-source validation</x:v>
      </x:c>
      <x:c r="H198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85" s="33" t="str">
        <x:v>P-4</x:v>
      </x:c>
      <x:c r="J1985" s="33" t="str">
        <x:v>2026-08-20</x:v>
      </x:c>
      <x:c r="K1985" s="33" t="str">
        <x:v>Compliance IDs preserved; mandatory/conditional/optional status corrected.</x:v>
      </x:c>
    </x:row>
    <x:row r="1986">
      <x:c r="A1986" s="33" t="str">
        <x:v>RCOMP121</x:v>
      </x:c>
      <x:c r="B1986" s="33" t="str">
        <x:v>Compliance Requirement Master</x:v>
      </x:c>
      <x:c r="C1986" s="33" t="str">
        <x:v>Applicability=Mandatory; Remarks=Implementation Method: Dual verification SOP | Evidence indicator retained in Evidence Master: Verification records</x:v>
      </x:c>
      <x:c r="D1986" s="33" t="str">
        <x:v>Applicability=Optional; Remarks=P-4 entity-specific internal control; no independent statutory force. Activate the exact underlying legal requirement separately.</x:v>
      </x:c>
      <x:c r="E1986" s="33" t="str">
        <x:v>CORRECT / RECLASSIFY</x:v>
      </x:c>
      <x:c r="F1986" s="33" t="str">
        <x:v>Align requirements to corrected substantive provisions and applicability classifications.</x:v>
      </x:c>
      <x:c r="G1986" s="33" t="str">
        <x:v>P-4 official-source validation</x:v>
      </x:c>
      <x:c r="H198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86" s="33" t="str">
        <x:v>P-4</x:v>
      </x:c>
      <x:c r="J1986" s="33" t="str">
        <x:v>2026-08-20</x:v>
      </x:c>
      <x:c r="K1986" s="33" t="str">
        <x:v>Compliance IDs preserved; mandatory/conditional/optional status corrected.</x:v>
      </x:c>
    </x:row>
    <x:row r="1987">
      <x:c r="A1987" s="33" t="str">
        <x:v>RCOMP122</x:v>
      </x:c>
      <x:c r="B1987" s="33" t="str">
        <x:v>Compliance Requirement Master</x:v>
      </x:c>
      <x:c r="C1987" s="33" t="str">
        <x:v>Applicability=Mandatory; Remarks=Implementation Method: Prescription completeness checklist | Evidence indicator retained in Evidence Master: Prescription validation records</x:v>
      </x:c>
      <x:c r="D1987" s="33" t="str">
        <x:v>Applicability=Optional; Remarks=P-4 entity-specific internal control; no independent statutory force. Activate the exact underlying legal requirement separately.</x:v>
      </x:c>
      <x:c r="E1987" s="33" t="str">
        <x:v>CORRECT / RECLASSIFY</x:v>
      </x:c>
      <x:c r="F1987" s="33" t="str">
        <x:v>Align requirements to corrected substantive provisions and applicability classifications.</x:v>
      </x:c>
      <x:c r="G1987" s="33" t="str">
        <x:v>P-4 official-source validation</x:v>
      </x:c>
      <x:c r="H198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87" s="33" t="str">
        <x:v>P-4</x:v>
      </x:c>
      <x:c r="J1987" s="33" t="str">
        <x:v>2026-08-20</x:v>
      </x:c>
      <x:c r="K1987" s="33" t="str">
        <x:v>Compliance IDs preserved; mandatory/conditional/optional status corrected.</x:v>
      </x:c>
    </x:row>
    <x:row r="1988">
      <x:c r="A1988" s="33" t="str">
        <x:v>RCOMP123</x:v>
      </x:c>
      <x:c r="B1988" s="33" t="str">
        <x:v>Compliance Requirement Master</x:v>
      </x:c>
      <x:c r="C1988" s="33" t="str">
        <x:v>Applicability=Mandatory; Remarks=Implementation Method: Log retention SOP | Evidence indicator retained in Evidence Master: System audit logs</x:v>
      </x:c>
      <x:c r="D1988" s="33" t="str">
        <x:v>Applicability=Optional; Remarks=P-4 entity-specific internal control; no independent statutory force. Activate the exact underlying legal requirement separately.</x:v>
      </x:c>
      <x:c r="E1988" s="33" t="str">
        <x:v>CORRECT / RECLASSIFY</x:v>
      </x:c>
      <x:c r="F1988" s="33" t="str">
        <x:v>Align requirements to corrected substantive provisions and applicability classifications.</x:v>
      </x:c>
      <x:c r="G1988" s="33" t="str">
        <x:v>P-4 official-source validation</x:v>
      </x:c>
      <x:c r="H198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88" s="33" t="str">
        <x:v>P-4</x:v>
      </x:c>
      <x:c r="J1988" s="33" t="str">
        <x:v>2026-08-20</x:v>
      </x:c>
      <x:c r="K1988" s="33" t="str">
        <x:v>Compliance IDs preserved; mandatory/conditional/optional status corrected.</x:v>
      </x:c>
    </x:row>
    <x:row r="1989">
      <x:c r="A1989" s="33" t="str">
        <x:v>RCOMP124</x:v>
      </x:c>
      <x:c r="B1989" s="33" t="str">
        <x:v>Compliance Requirement Master</x:v>
      </x:c>
      <x:c r="C1989" s="33" t="str">
        <x:v>Applicability=Mandatory; Remarks=Implementation Method: Product verification SOP | Evidence indicator retained in Evidence Master: Dispensing verification checklist</x:v>
      </x:c>
      <x:c r="D1989" s="33" t="str">
        <x:v>Applicability=Optional; Remarks=P-4 entity-specific internal control; no independent statutory force. Activate the exact underlying legal requirement separately.</x:v>
      </x:c>
      <x:c r="E1989" s="33" t="str">
        <x:v>CORRECT / RECLASSIFY</x:v>
      </x:c>
      <x:c r="F1989" s="33" t="str">
        <x:v>Align requirements to corrected substantive provisions and applicability classifications.</x:v>
      </x:c>
      <x:c r="G1989" s="33" t="str">
        <x:v>P-4 official-source validation</x:v>
      </x:c>
      <x:c r="H198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89" s="33" t="str">
        <x:v>P-4</x:v>
      </x:c>
      <x:c r="J1989" s="33" t="str">
        <x:v>2026-08-20</x:v>
      </x:c>
      <x:c r="K1989" s="33" t="str">
        <x:v>Compliance IDs preserved; mandatory/conditional/optional status corrected.</x:v>
      </x:c>
    </x:row>
    <x:row r="1990">
      <x:c r="A1990" s="33" t="str">
        <x:v>RCOMP125</x:v>
      </x:c>
      <x:c r="B1990" s="33" t="str">
        <x:v>Compliance Requirement Master</x:v>
      </x:c>
      <x:c r="C1990" s="33" t="str">
        <x:v>Applicability=Mandatory; Remarks=Implementation Method: Critical recall escalation SOP | Evidence indicator retained in Evidence Master: Escalation records, recall reports</x:v>
      </x:c>
      <x:c r="D1990" s="33" t="str">
        <x:v>Applicability=Optional; Remarks=P-4 entity-specific internal control; no independent statutory force. Activate the exact underlying legal requirement separately.</x:v>
      </x:c>
      <x:c r="E1990" s="33" t="str">
        <x:v>CORRECT / RECLASSIFY</x:v>
      </x:c>
      <x:c r="F1990" s="33" t="str">
        <x:v>Align requirements to corrected substantive provisions and applicability classifications.</x:v>
      </x:c>
      <x:c r="G1990" s="33" t="str">
        <x:v>P-4 official-source validation</x:v>
      </x:c>
      <x:c r="H199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90" s="33" t="str">
        <x:v>P-4</x:v>
      </x:c>
      <x:c r="J1990" s="33" t="str">
        <x:v>2026-08-20</x:v>
      </x:c>
      <x:c r="K1990" s="33" t="str">
        <x:v>Compliance IDs preserved; mandatory/conditional/optional status corrected.</x:v>
      </x:c>
    </x:row>
    <x:row r="1991">
      <x:c r="A1991" s="33" t="str">
        <x:v>RCOMP126</x:v>
      </x:c>
      <x:c r="B1991" s="33" t="str">
        <x:v>Compliance Requirement Master</x:v>
      </x:c>
      <x:c r="C1991" s="33" t="str">
        <x:v>Applicability=Mandatory; Remarks=Implementation Method: Online reservation validation SOP | Evidence indicator retained in Evidence Master: Reservation validation records</x:v>
      </x:c>
      <x:c r="D1991" s="33" t="str">
        <x:v>Applicability=Optional; Remarks=P-4 entity-specific internal control; no independent statutory force. Activate the exact underlying legal requirement separately.</x:v>
      </x:c>
      <x:c r="E1991" s="33" t="str">
        <x:v>CORRECT / RECLASSIFY</x:v>
      </x:c>
      <x:c r="F1991" s="33" t="str">
        <x:v>Align requirements to corrected substantive provisions and applicability classifications.</x:v>
      </x:c>
      <x:c r="G1991" s="33" t="str">
        <x:v>P-4 official-source validation</x:v>
      </x:c>
      <x:c r="H199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91" s="33" t="str">
        <x:v>P-4</x:v>
      </x:c>
      <x:c r="J1991" s="33" t="str">
        <x:v>2026-08-20</x:v>
      </x:c>
      <x:c r="K1991" s="33" t="str">
        <x:v>Compliance IDs preserved; mandatory/conditional/optional status corrected.</x:v>
      </x:c>
    </x:row>
    <x:row r="1992">
      <x:c r="A1992" s="33" t="str">
        <x:v>RCOMP127</x:v>
      </x:c>
      <x:c r="B1992" s="33" t="str">
        <x:v>Compliance Requirement Master</x:v>
      </x:c>
      <x:c r="C1992" s="33" t="str">
        <x:v>Applicability=Mandatory; Remarks=Implementation Method: Inventory approval SOP | Evidence indicator retained in Evidence Master: Approval records, investigation reports</x:v>
      </x:c>
      <x:c r="D1992" s="33" t="str">
        <x:v>Applicability=Optional; Remarks=P-4 entity-specific internal control; no independent statutory force. Activate the exact underlying legal requirement separately.</x:v>
      </x:c>
      <x:c r="E1992" s="33" t="str">
        <x:v>CORRECT / RECLASSIFY</x:v>
      </x:c>
      <x:c r="F1992" s="33" t="str">
        <x:v>Align requirements to corrected substantive provisions and applicability classifications.</x:v>
      </x:c>
      <x:c r="G1992" s="33" t="str">
        <x:v>P-4 official-source validation</x:v>
      </x:c>
      <x:c r="H199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92" s="33" t="str">
        <x:v>P-4</x:v>
      </x:c>
      <x:c r="J1992" s="33" t="str">
        <x:v>2026-08-20</x:v>
      </x:c>
      <x:c r="K1992" s="33" t="str">
        <x:v>Compliance IDs preserved; mandatory/conditional/optional status corrected.</x:v>
      </x:c>
    </x:row>
    <x:row r="1993">
      <x:c r="A1993" s="33" t="str">
        <x:v>RCOMP128</x:v>
      </x:c>
      <x:c r="B1993" s="33" t="str">
        <x:v>Compliance Requirement Master</x:v>
      </x:c>
      <x:c r="C1993" s="33" t="str">
        <x:v>Applicability=Mandatory; Remarks=Implementation Method: Backup restoration testing SOP | Evidence indicator retained in Evidence Master: Restoration test reports</x:v>
      </x:c>
      <x:c r="D1993" s="33" t="str">
        <x:v>Applicability=Optional; Remarks=P-4 entity-specific internal control; no independent statutory force. Activate the exact underlying legal requirement separately.</x:v>
      </x:c>
      <x:c r="E1993" s="33" t="str">
        <x:v>CORRECT / RECLASSIFY</x:v>
      </x:c>
      <x:c r="F1993" s="33" t="str">
        <x:v>Align requirements to corrected substantive provisions and applicability classifications.</x:v>
      </x:c>
      <x:c r="G1993" s="33" t="str">
        <x:v>P-4 official-source validation</x:v>
      </x:c>
      <x:c r="H199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93" s="33" t="str">
        <x:v>P-4</x:v>
      </x:c>
      <x:c r="J1993" s="33" t="str">
        <x:v>2026-08-20</x:v>
      </x:c>
      <x:c r="K1993" s="33" t="str">
        <x:v>Compliance IDs preserved; mandatory/conditional/optional status corrected.</x:v>
      </x:c>
    </x:row>
    <x:row r="1994">
      <x:c r="A1994" s="33" t="str">
        <x:v>RCOMP129</x:v>
      </x:c>
      <x:c r="B1994" s="33" t="str">
        <x:v>Compliance Requirement Master</x:v>
      </x:c>
      <x:c r="C1994" s="33" t="str">
        <x:v>Applicability=Mandatory; Remarks=Implementation Method: Community education review SOP | Evidence indicator retained in Evidence Master: Programme approval records</x:v>
      </x:c>
      <x:c r="D1994" s="33" t="str">
        <x:v>Applicability=Optional; Remarks=P-4 entity-specific internal control; no independent statutory force. Activate the exact underlying legal requirement separately.</x:v>
      </x:c>
      <x:c r="E1994" s="33" t="str">
        <x:v>CORRECT / RECLASSIFY</x:v>
      </x:c>
      <x:c r="F1994" s="33" t="str">
        <x:v>Align requirements to corrected substantive provisions and applicability classifications.</x:v>
      </x:c>
      <x:c r="G1994" s="33" t="str">
        <x:v>P-4 official-source validation</x:v>
      </x:c>
      <x:c r="H199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94" s="33" t="str">
        <x:v>P-4</x:v>
      </x:c>
      <x:c r="J1994" s="33" t="str">
        <x:v>2026-08-20</x:v>
      </x:c>
      <x:c r="K1994" s="33" t="str">
        <x:v>Compliance IDs preserved; mandatory/conditional/optional status corrected.</x:v>
      </x:c>
    </x:row>
    <x:row r="1995">
      <x:c r="A1995" s="33" t="str">
        <x:v>RCOMP130</x:v>
      </x:c>
      <x:c r="B1995" s="33" t="str">
        <x:v>Compliance Requirement Master</x:v>
      </x:c>
      <x:c r="C1995" s="33" t="str">
        <x:v>Applicability=Mandatory; Remarks=Implementation Method: Compliance risk management SOP | Evidence indicator retained in Evidence Master: Compliance risk register, review reports</x:v>
      </x:c>
      <x:c r="D1995" s="33" t="str">
        <x:v>Applicability=Optional; Remarks=P-4 entity-specific internal control; no independent statutory force. Activate the exact underlying legal requirement separately.</x:v>
      </x:c>
      <x:c r="E1995" s="33" t="str">
        <x:v>CORRECT / RECLASSIFY</x:v>
      </x:c>
      <x:c r="F1995" s="33" t="str">
        <x:v>Align requirements to corrected substantive provisions and applicability classifications.</x:v>
      </x:c>
      <x:c r="G1995" s="33" t="str">
        <x:v>P-4 official-source validation</x:v>
      </x:c>
      <x:c r="H199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95" s="33" t="str">
        <x:v>P-4</x:v>
      </x:c>
      <x:c r="J1995" s="33" t="str">
        <x:v>2026-08-20</x:v>
      </x:c>
      <x:c r="K1995" s="33" t="str">
        <x:v>Compliance IDs preserved; mandatory/conditional/optional status corrected.</x:v>
      </x:c>
    </x:row>
    <x:row r="1996">
      <x:c r="A1996" s="33" t="str">
        <x:v>RCOMP131</x:v>
      </x:c>
      <x:c r="B1996" s="33" t="str">
        <x:v>Compliance Requirement Master</x:v>
      </x:c>
      <x:c r="C1996" s="33" t="str">
        <x:v>Applicability=Mandatory; Remarks=Implementation Method: Final authorization SOP | Evidence indicator retained in Evidence Master: Pharmacist authorization record</x:v>
      </x:c>
      <x:c r="D1996" s="33" t="str">
        <x:v>Applicability=Optional; Remarks=P-4 entity-specific internal control; no independent statutory force. Activate the exact underlying legal requirement separately.</x:v>
      </x:c>
      <x:c r="E1996" s="33" t="str">
        <x:v>CORRECT / RECLASSIFY</x:v>
      </x:c>
      <x:c r="F1996" s="33" t="str">
        <x:v>Align requirements to corrected substantive provisions and applicability classifications.</x:v>
      </x:c>
      <x:c r="G1996" s="33" t="str">
        <x:v>P-4 official-source validation</x:v>
      </x:c>
      <x:c r="H199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96" s="33" t="str">
        <x:v>P-4</x:v>
      </x:c>
      <x:c r="J1996" s="33" t="str">
        <x:v>2026-08-20</x:v>
      </x:c>
      <x:c r="K1996" s="33" t="str">
        <x:v>Compliance IDs preserved; mandatory/conditional/optional status corrected.</x:v>
      </x:c>
    </x:row>
    <x:row r="1997">
      <x:c r="A1997" s="33" t="str">
        <x:v>RCOMP132</x:v>
      </x:c>
      <x:c r="B1997" s="33" t="str">
        <x:v>Compliance Requirement Master</x:v>
      </x:c>
      <x:c r="C1997" s="33" t="str">
        <x:v>Applicability=Mandatory; Remarks=Implementation Method: Prescription review SOP | Evidence indicator retained in Evidence Master: Review checklist</x:v>
      </x:c>
      <x:c r="D1997" s="33" t="str">
        <x:v>Applicability=Optional; Remarks=P-4 entity-specific internal control; no independent statutory force. Activate the exact underlying legal requirement separately.</x:v>
      </x:c>
      <x:c r="E1997" s="33" t="str">
        <x:v>CORRECT / RECLASSIFY</x:v>
      </x:c>
      <x:c r="F1997" s="33" t="str">
        <x:v>Align requirements to corrected substantive provisions and applicability classifications.</x:v>
      </x:c>
      <x:c r="G1997" s="33" t="str">
        <x:v>P-4 official-source validation</x:v>
      </x:c>
      <x:c r="H199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97" s="33" t="str">
        <x:v>P-4</x:v>
      </x:c>
      <x:c r="J1997" s="33" t="str">
        <x:v>2026-08-20</x:v>
      </x:c>
      <x:c r="K1997" s="33" t="str">
        <x:v>Compliance IDs preserved; mandatory/conditional/optional status corrected.</x:v>
      </x:c>
    </x:row>
    <x:row r="1998">
      <x:c r="A1998" s="33" t="str">
        <x:v>RCOMP133</x:v>
      </x:c>
      <x:c r="B1998" s="33" t="str">
        <x:v>Compliance Requirement Master</x:v>
      </x:c>
      <x:c r="C1998" s="33" t="str">
        <x:v>Applicability=Mandatory; Remarks=Implementation Method: Data synchronization monitoring SOP | Evidence indicator retained in Evidence Master: Synchronization reports</x:v>
      </x:c>
      <x:c r="D1998" s="33" t="str">
        <x:v>Applicability=Optional; Remarks=P-4 entity-specific internal control; no independent statutory force. Activate the exact underlying legal requirement separately.</x:v>
      </x:c>
      <x:c r="E1998" s="33" t="str">
        <x:v>CORRECT / RECLASSIFY</x:v>
      </x:c>
      <x:c r="F1998" s="33" t="str">
        <x:v>Align requirements to corrected substantive provisions and applicability classifications.</x:v>
      </x:c>
      <x:c r="G1998" s="33" t="str">
        <x:v>P-4 official-source validation</x:v>
      </x:c>
      <x:c r="H199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98" s="33" t="str">
        <x:v>P-4</x:v>
      </x:c>
      <x:c r="J1998" s="33" t="str">
        <x:v>2026-08-20</x:v>
      </x:c>
      <x:c r="K1998" s="33" t="str">
        <x:v>Compliance IDs preserved; mandatory/conditional/optional status corrected.</x:v>
      </x:c>
    </x:row>
    <x:row r="1999">
      <x:c r="A1999" s="33" t="str">
        <x:v>RCOMP134</x:v>
      </x:c>
      <x:c r="B1999" s="33" t="str">
        <x:v>Compliance Requirement Master</x:v>
      </x:c>
      <x:c r="C1999" s="33" t="str">
        <x:v>Applicability=Mandatory; Remarks=Implementation Method: Independent verification SOP | Evidence indicator retained in Evidence Master: Verification checklist</x:v>
      </x:c>
      <x:c r="D1999" s="33" t="str">
        <x:v>Applicability=Optional; Remarks=P-4 entity-specific internal control; no independent statutory force. Activate the exact underlying legal requirement separately.</x:v>
      </x:c>
      <x:c r="E1999" s="33" t="str">
        <x:v>CORRECT / RECLASSIFY</x:v>
      </x:c>
      <x:c r="F1999" s="33" t="str">
        <x:v>Align requirements to corrected substantive provisions and applicability classifications.</x:v>
      </x:c>
      <x:c r="G1999" s="33" t="str">
        <x:v>P-4 official-source validation</x:v>
      </x:c>
      <x:c r="H199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1999" s="33" t="str">
        <x:v>P-4</x:v>
      </x:c>
      <x:c r="J1999" s="33" t="str">
        <x:v>2026-08-20</x:v>
      </x:c>
      <x:c r="K1999" s="33" t="str">
        <x:v>Compliance IDs preserved; mandatory/conditional/optional status corrected.</x:v>
      </x:c>
    </x:row>
    <x:row r="2000">
      <x:c r="A2000" s="33" t="str">
        <x:v>RCOMP135</x:v>
      </x:c>
      <x:c r="B2000" s="33" t="str">
        <x:v>Compliance Requirement Master</x:v>
      </x:c>
      <x:c r="C2000" s="33" t="str">
        <x:v>Applicability=Mandatory; Remarks=Implementation Method: Safety alert response SOP | Evidence indicator retained in Evidence Master: Safety alert register</x:v>
      </x:c>
      <x:c r="D2000" s="33" t="str">
        <x:v>Applicability=Optional; Remarks=P-4 entity-specific internal control; no independent statutory force. Activate the exact underlying legal requirement separately.</x:v>
      </x:c>
      <x:c r="E2000" s="33" t="str">
        <x:v>CORRECT / RECLASSIFY</x:v>
      </x:c>
      <x:c r="F2000" s="33" t="str">
        <x:v>Align requirements to corrected substantive provisions and applicability classifications.</x:v>
      </x:c>
      <x:c r="G2000" s="33" t="str">
        <x:v>P-4 official-source validation</x:v>
      </x:c>
      <x:c r="H200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00" s="33" t="str">
        <x:v>P-4</x:v>
      </x:c>
      <x:c r="J2000" s="33" t="str">
        <x:v>2026-08-20</x:v>
      </x:c>
      <x:c r="K2000" s="33" t="str">
        <x:v>Compliance IDs preserved; mandatory/conditional/optional status corrected.</x:v>
      </x:c>
    </x:row>
    <x:row r="2001">
      <x:c r="A2001" s="33" t="str">
        <x:v>RCOMP136</x:v>
      </x:c>
      <x:c r="B2001" s="33" t="str">
        <x:v>Compliance Requirement Master</x:v>
      </x:c>
      <x:c r="C2001" s="33" t="str">
        <x:v>Applicability=Mandatory; Remarks=Implementation Method: Token management SOP | Evidence indicator retained in Evidence Master: Token system logs</x:v>
      </x:c>
      <x:c r="D2001" s="33" t="str">
        <x:v>Applicability=Optional; Remarks=P-4 entity-specific internal control; no independent statutory force. Activate the exact underlying legal requirement separately.</x:v>
      </x:c>
      <x:c r="E2001" s="33" t="str">
        <x:v>CORRECT / RECLASSIFY</x:v>
      </x:c>
      <x:c r="F2001" s="33" t="str">
        <x:v>Align requirements to corrected substantive provisions and applicability classifications.</x:v>
      </x:c>
      <x:c r="G2001" s="33" t="str">
        <x:v>P-4 official-source validation</x:v>
      </x:c>
      <x:c r="H200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01" s="33" t="str">
        <x:v>P-4</x:v>
      </x:c>
      <x:c r="J2001" s="33" t="str">
        <x:v>2026-08-20</x:v>
      </x:c>
      <x:c r="K2001" s="33" t="str">
        <x:v>Compliance IDs preserved; mandatory/conditional/optional status corrected.</x:v>
      </x:c>
    </x:row>
    <x:row r="2002">
      <x:c r="A2002" s="33" t="str">
        <x:v>RCOMP137</x:v>
      </x:c>
      <x:c r="B2002" s="33" t="str">
        <x:v>Compliance Requirement Master</x:v>
      </x:c>
      <x:c r="C2002" s="33" t="str">
        <x:v>Applicability=Mandatory; Remarks=Implementation Method: Inventory trend analysis SOP | Evidence indicator retained in Evidence Master: Trend analysis reports</x:v>
      </x:c>
      <x:c r="D2002" s="33" t="str">
        <x:v>Applicability=Optional; Remarks=P-4 entity-specific internal control; no independent statutory force. Activate the exact underlying legal requirement separately.</x:v>
      </x:c>
      <x:c r="E2002" s="33" t="str">
        <x:v>CORRECT / RECLASSIFY</x:v>
      </x:c>
      <x:c r="F2002" s="33" t="str">
        <x:v>Align requirements to corrected substantive provisions and applicability classifications.</x:v>
      </x:c>
      <x:c r="G2002" s="33" t="str">
        <x:v>P-4 official-source validation</x:v>
      </x:c>
      <x:c r="H200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02" s="33" t="str">
        <x:v>P-4</x:v>
      </x:c>
      <x:c r="J2002" s="33" t="str">
        <x:v>2026-08-20</x:v>
      </x:c>
      <x:c r="K2002" s="33" t="str">
        <x:v>Compliance IDs preserved; mandatory/conditional/optional status corrected.</x:v>
      </x:c>
    </x:row>
    <x:row r="2003">
      <x:c r="A2003" s="33" t="str">
        <x:v>RCOMP138</x:v>
      </x:c>
      <x:c r="B2003" s="33" t="str">
        <x:v>Compliance Requirement Master</x:v>
      </x:c>
      <x:c r="C2003" s="33" t="str">
        <x:v>Applicability=Mandatory; Remarks=Implementation Method: Cyber incident response SOP | Evidence indicator retained in Evidence Master: Cyber incident reports</x:v>
      </x:c>
      <x:c r="D2003" s="33" t="str">
        <x:v>Applicability=Optional; Remarks=P-4 entity-specific internal control; no independent statutory force. Activate the exact underlying legal requirement separately.</x:v>
      </x:c>
      <x:c r="E2003" s="33" t="str">
        <x:v>CORRECT / RECLASSIFY</x:v>
      </x:c>
      <x:c r="F2003" s="33" t="str">
        <x:v>Align requirements to corrected substantive provisions and applicability classifications.</x:v>
      </x:c>
      <x:c r="G2003" s="33" t="str">
        <x:v>P-4 official-source validation</x:v>
      </x:c>
      <x:c r="H200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03" s="33" t="str">
        <x:v>P-4</x:v>
      </x:c>
      <x:c r="J2003" s="33" t="str">
        <x:v>2026-08-20</x:v>
      </x:c>
      <x:c r="K2003" s="33" t="str">
        <x:v>Compliance IDs preserved; mandatory/conditional/optional status corrected.</x:v>
      </x:c>
    </x:row>
    <x:row r="2004">
      <x:c r="A2004" s="33" t="str">
        <x:v>RCOMP139</x:v>
      </x:c>
      <x:c r="B2004" s="33" t="str">
        <x:v>Compliance Requirement Master</x:v>
      </x:c>
      <x:c r="C2004" s="33" t="str">
        <x:v>Applicability=Mandatory; Remarks=Implementation Method: Customer notification SOP | Evidence indicator retained in Evidence Master: Notification register</x:v>
      </x:c>
      <x:c r="D2004" s="33" t="str">
        <x:v>Applicability=Optional; Remarks=P-4 entity-specific internal control; no independent statutory force. Activate the exact underlying legal requirement separately.</x:v>
      </x:c>
      <x:c r="E2004" s="33" t="str">
        <x:v>CORRECT / RECLASSIFY</x:v>
      </x:c>
      <x:c r="F2004" s="33" t="str">
        <x:v>Align requirements to corrected substantive provisions and applicability classifications.</x:v>
      </x:c>
      <x:c r="G2004" s="33" t="str">
        <x:v>P-4 official-source validation</x:v>
      </x:c>
      <x:c r="H200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04" s="33" t="str">
        <x:v>P-4</x:v>
      </x:c>
      <x:c r="J2004" s="33" t="str">
        <x:v>2026-08-20</x:v>
      </x:c>
      <x:c r="K2004" s="33" t="str">
        <x:v>Compliance IDs preserved; mandatory/conditional/optional status corrected.</x:v>
      </x:c>
    </x:row>
    <x:row r="2005">
      <x:c r="A2005" s="33" t="str">
        <x:v>RCOMP140</x:v>
      </x:c>
      <x:c r="B2005" s="33" t="str">
        <x:v>Compliance Requirement Master</x:v>
      </x:c>
      <x:c r="C2005" s="33" t="str">
        <x:v>Applicability=Mandatory; Remarks=Implementation Method: Compliance dashboard SOP | Evidence indicator retained in Evidence Master: Dashboard reports</x:v>
      </x:c>
      <x:c r="D2005" s="33" t="str">
        <x:v>Applicability=Optional; Remarks=P-4 entity-specific internal control; no independent statutory force. Activate the exact underlying legal requirement separately.</x:v>
      </x:c>
      <x:c r="E2005" s="33" t="str">
        <x:v>CORRECT / RECLASSIFY</x:v>
      </x:c>
      <x:c r="F2005" s="33" t="str">
        <x:v>Align requirements to corrected substantive provisions and applicability classifications.</x:v>
      </x:c>
      <x:c r="G2005" s="33" t="str">
        <x:v>P-4 official-source validation</x:v>
      </x:c>
      <x:c r="H200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05" s="33" t="str">
        <x:v>P-4</x:v>
      </x:c>
      <x:c r="J2005" s="33" t="str">
        <x:v>2026-08-20</x:v>
      </x:c>
      <x:c r="K2005" s="33" t="str">
        <x:v>Compliance IDs preserved; mandatory/conditional/optional status corrected.</x:v>
      </x:c>
    </x:row>
    <x:row r="2006">
      <x:c r="A2006" s="33" t="str">
        <x:v>RCOMP141</x:v>
      </x:c>
      <x:c r="B2006" s="33" t="str">
        <x:v>Compliance Requirement Master</x:v>
      </x:c>
      <x:c r="C2006" s="33" t="str">
        <x:v>Applicability=Mandatory; Remarks=Implementation Method: Controlled stock verification SOP | Evidence indicator retained in Evidence Master: Controlled stock verification register</x:v>
      </x:c>
      <x:c r="D2006" s="33" t="str">
        <x:v>Applicability=Optional; Remarks=P-4 entity-specific internal control; no independent statutory force. Activate the exact underlying legal requirement separately.</x:v>
      </x:c>
      <x:c r="E2006" s="33" t="str">
        <x:v>CORRECT / RECLASSIFY</x:v>
      </x:c>
      <x:c r="F2006" s="33" t="str">
        <x:v>Align requirements to corrected substantive provisions and applicability classifications.</x:v>
      </x:c>
      <x:c r="G2006" s="33" t="str">
        <x:v>P-4 official-source validation</x:v>
      </x:c>
      <x:c r="H200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06" s="33" t="str">
        <x:v>P-4</x:v>
      </x:c>
      <x:c r="J2006" s="33" t="str">
        <x:v>2026-08-20</x:v>
      </x:c>
      <x:c r="K2006" s="33" t="str">
        <x:v>Compliance IDs preserved; mandatory/conditional/optional status corrected.</x:v>
      </x:c>
    </x:row>
    <x:row r="2007">
      <x:c r="A2007" s="33" t="str">
        <x:v>RCOMP142</x:v>
      </x:c>
      <x:c r="B2007" s="33" t="str">
        <x:v>Compliance Requirement Master</x:v>
      </x:c>
      <x:c r="C2007" s="33" t="str">
        <x:v>Applicability=Mandatory; Remarks=Implementation Method: Prescription expiry monitoring SOP | Evidence indicator retained in Evidence Master: Alert reports</x:v>
      </x:c>
      <x:c r="D2007" s="33" t="str">
        <x:v>Applicability=Optional; Remarks=P-4 entity-specific internal control; no independent statutory force. Activate the exact underlying legal requirement separately.</x:v>
      </x:c>
      <x:c r="E2007" s="33" t="str">
        <x:v>CORRECT / RECLASSIFY</x:v>
      </x:c>
      <x:c r="F2007" s="33" t="str">
        <x:v>Align requirements to corrected substantive provisions and applicability classifications.</x:v>
      </x:c>
      <x:c r="G2007" s="33" t="str">
        <x:v>P-4 official-source validation</x:v>
      </x:c>
      <x:c r="H200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07" s="33" t="str">
        <x:v>P-4</x:v>
      </x:c>
      <x:c r="J2007" s="33" t="str">
        <x:v>2026-08-20</x:v>
      </x:c>
      <x:c r="K2007" s="33" t="str">
        <x:v>Compliance IDs preserved; mandatory/conditional/optional status corrected.</x:v>
      </x:c>
    </x:row>
    <x:row r="2008">
      <x:c r="A2008" s="33" t="str">
        <x:v>RCOMP143</x:v>
      </x:c>
      <x:c r="B2008" s="33" t="str">
        <x:v>Compliance Requirement Master</x:v>
      </x:c>
      <x:c r="C2008" s="33" t="str">
        <x:v>Applicability=Mandatory; Remarks=Implementation Method: API governance SOP | Evidence indicator retained in Evidence Master: API inventory, security assessment</x:v>
      </x:c>
      <x:c r="D2008" s="33" t="str">
        <x:v>Applicability=Optional; Remarks=P-4 entity-specific internal control; no independent statutory force. Activate the exact underlying legal requirement separately.</x:v>
      </x:c>
      <x:c r="E2008" s="33" t="str">
        <x:v>CORRECT / RECLASSIFY</x:v>
      </x:c>
      <x:c r="F2008" s="33" t="str">
        <x:v>Align requirements to corrected substantive provisions and applicability classifications.</x:v>
      </x:c>
      <x:c r="G2008" s="33" t="str">
        <x:v>P-4 official-source validation</x:v>
      </x:c>
      <x:c r="H200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08" s="33" t="str">
        <x:v>P-4</x:v>
      </x:c>
      <x:c r="J2008" s="33" t="str">
        <x:v>2026-08-20</x:v>
      </x:c>
      <x:c r="K2008" s="33" t="str">
        <x:v>Compliance IDs preserved; mandatory/conditional/optional status corrected.</x:v>
      </x:c>
    </x:row>
    <x:row r="2009">
      <x:c r="A2009" s="33" t="str">
        <x:v>RCOMP144</x:v>
      </x:c>
      <x:c r="B2009" s="33" t="str">
        <x:v>Compliance Requirement Master</x:v>
      </x:c>
      <x:c r="C2009" s="33" t="str">
        <x:v>Applicability=Mandatory; Remarks=Implementation Method: Dual verification SOP | Evidence indicator retained in Evidence Master: Dual verification records</x:v>
      </x:c>
      <x:c r="D2009" s="33" t="str">
        <x:v>Applicability=Optional; Remarks=P-4 entity-specific internal control; no independent statutory force. Activate the exact underlying legal requirement separately.</x:v>
      </x:c>
      <x:c r="E2009" s="33" t="str">
        <x:v>CORRECT / RECLASSIFY</x:v>
      </x:c>
      <x:c r="F2009" s="33" t="str">
        <x:v>Align requirements to corrected substantive provisions and applicability classifications.</x:v>
      </x:c>
      <x:c r="G2009" s="33" t="str">
        <x:v>P-4 official-source validation</x:v>
      </x:c>
      <x:c r="H200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09" s="33" t="str">
        <x:v>P-4</x:v>
      </x:c>
      <x:c r="J2009" s="33" t="str">
        <x:v>2026-08-20</x:v>
      </x:c>
      <x:c r="K2009" s="33" t="str">
        <x:v>Compliance IDs preserved; mandatory/conditional/optional status corrected.</x:v>
      </x:c>
    </x:row>
    <x:row r="2010">
      <x:c r="A2010" s="33" t="str">
        <x:v>RCOMP145</x:v>
      </x:c>
      <x:c r="B2010" s="33" t="str">
        <x:v>Compliance Requirement Master</x:v>
      </x:c>
      <x:c r="C2010" s="33" t="str">
        <x:v>Applicability=Mandatory; Remarks=Implementation Method: Regulatory communication SOP | Evidence indicator retained in Evidence Master: Communication register</x:v>
      </x:c>
      <x:c r="D2010" s="33" t="str">
        <x:v>Applicability=Optional; Remarks=P-4 entity-specific internal control; no independent statutory force. Activate the exact underlying legal requirement separately.</x:v>
      </x:c>
      <x:c r="E2010" s="33" t="str">
        <x:v>CORRECT / RECLASSIFY</x:v>
      </x:c>
      <x:c r="F2010" s="33" t="str">
        <x:v>Align requirements to corrected substantive provisions and applicability classifications.</x:v>
      </x:c>
      <x:c r="G2010" s="33" t="str">
        <x:v>P-4 official-source validation</x:v>
      </x:c>
      <x:c r="H201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10" s="33" t="str">
        <x:v>P-4</x:v>
      </x:c>
      <x:c r="J2010" s="33" t="str">
        <x:v>2026-08-20</x:v>
      </x:c>
      <x:c r="K2010" s="33" t="str">
        <x:v>Compliance IDs preserved; mandatory/conditional/optional status corrected.</x:v>
      </x:c>
    </x:row>
    <x:row r="2011">
      <x:c r="A2011" s="33" t="str">
        <x:v>RCOMP146</x:v>
      </x:c>
      <x:c r="B2011" s="33" t="str">
        <x:v>Compliance Requirement Master</x:v>
      </x:c>
      <x:c r="C2011" s="33" t="str">
        <x:v>Applicability=Mandatory; Remarks=Implementation Method: Digital payment reconciliation SOP | Evidence indicator retained in Evidence Master: Reconciliation report</x:v>
      </x:c>
      <x:c r="D2011" s="33" t="str">
        <x:v>Applicability=Optional; Remarks=P-4 entity-specific internal control; no independent statutory force. Activate the exact underlying legal requirement separately.</x:v>
      </x:c>
      <x:c r="E2011" s="33" t="str">
        <x:v>CORRECT / RECLASSIFY</x:v>
      </x:c>
      <x:c r="F2011" s="33" t="str">
        <x:v>Align requirements to corrected substantive provisions and applicability classifications.</x:v>
      </x:c>
      <x:c r="G2011" s="33" t="str">
        <x:v>P-4 official-source validation</x:v>
      </x:c>
      <x:c r="H201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11" s="33" t="str">
        <x:v>P-4</x:v>
      </x:c>
      <x:c r="J2011" s="33" t="str">
        <x:v>2026-08-20</x:v>
      </x:c>
      <x:c r="K2011" s="33" t="str">
        <x:v>Compliance IDs preserved; mandatory/conditional/optional status corrected.</x:v>
      </x:c>
    </x:row>
    <x:row r="2012">
      <x:c r="A2012" s="33" t="str">
        <x:v>RCOMP147</x:v>
      </x:c>
      <x:c r="B2012" s="33" t="str">
        <x:v>Compliance Requirement Master</x:v>
      </x:c>
      <x:c r="C2012" s="33" t="str">
        <x:v>Applicability=Mandatory; Remarks=Implementation Method: Inventory escalation SOP | Evidence indicator retained in Evidence Master: Escalation register</x:v>
      </x:c>
      <x:c r="D2012" s="33" t="str">
        <x:v>Applicability=Optional; Remarks=P-4 entity-specific internal control; no independent statutory force. Activate the exact underlying legal requirement separately.</x:v>
      </x:c>
      <x:c r="E2012" s="33" t="str">
        <x:v>CORRECT / RECLASSIFY</x:v>
      </x:c>
      <x:c r="F2012" s="33" t="str">
        <x:v>Align requirements to corrected substantive provisions and applicability classifications.</x:v>
      </x:c>
      <x:c r="G2012" s="33" t="str">
        <x:v>P-4 official-source validation</x:v>
      </x:c>
      <x:c r="H201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12" s="33" t="str">
        <x:v>P-4</x:v>
      </x:c>
      <x:c r="J2012" s="33" t="str">
        <x:v>2026-08-20</x:v>
      </x:c>
      <x:c r="K2012" s="33" t="str">
        <x:v>Compliance IDs preserved; mandatory/conditional/optional status corrected.</x:v>
      </x:c>
    </x:row>
    <x:row r="2013">
      <x:c r="A2013" s="33" t="str">
        <x:v>RCOMP148</x:v>
      </x:c>
      <x:c r="B2013" s="33" t="str">
        <x:v>Compliance Requirement Master</x:v>
      </x:c>
      <x:c r="C2013" s="33" t="str">
        <x:v>Applicability=Mandatory; Remarks=Implementation Method: Privileged access monitoring SOP | Evidence indicator retained in Evidence Master: Privileged access reports</x:v>
      </x:c>
      <x:c r="D2013" s="33" t="str">
        <x:v>Applicability=Optional; Remarks=P-4 entity-specific internal control; no independent statutory force. Activate the exact underlying legal requirement separately.</x:v>
      </x:c>
      <x:c r="E2013" s="33" t="str">
        <x:v>CORRECT / RECLASSIFY</x:v>
      </x:c>
      <x:c r="F2013" s="33" t="str">
        <x:v>Align requirements to corrected substantive provisions and applicability classifications.</x:v>
      </x:c>
      <x:c r="G2013" s="33" t="str">
        <x:v>P-4 official-source validation</x:v>
      </x:c>
      <x:c r="H201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13" s="33" t="str">
        <x:v>P-4</x:v>
      </x:c>
      <x:c r="J2013" s="33" t="str">
        <x:v>2026-08-20</x:v>
      </x:c>
      <x:c r="K2013" s="33" t="str">
        <x:v>Compliance IDs preserved; mandatory/conditional/optional status corrected.</x:v>
      </x:c>
    </x:row>
    <x:row r="2014">
      <x:c r="A2014" s="33" t="str">
        <x:v>RCOMP149</x:v>
      </x:c>
      <x:c r="B2014" s="33" t="str">
        <x:v>Compliance Requirement Master</x:v>
      </x:c>
      <x:c r="C2014" s="33" t="str">
        <x:v>Applicability=Mandatory; Remarks=Implementation Method: Public awareness display SOP | Evidence indicator retained in Evidence Master: Display inspection records</x:v>
      </x:c>
      <x:c r="D2014" s="33" t="str">
        <x:v>Applicability=Optional; Remarks=P-4 entity-specific internal control; no independent statutory force. Activate the exact underlying legal requirement separately.</x:v>
      </x:c>
      <x:c r="E2014" s="33" t="str">
        <x:v>CORRECT / RECLASSIFY</x:v>
      </x:c>
      <x:c r="F2014" s="33" t="str">
        <x:v>Align requirements to corrected substantive provisions and applicability classifications.</x:v>
      </x:c>
      <x:c r="G2014" s="33" t="str">
        <x:v>P-4 official-source validation</x:v>
      </x:c>
      <x:c r="H201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14" s="33" t="str">
        <x:v>P-4</x:v>
      </x:c>
      <x:c r="J2014" s="33" t="str">
        <x:v>2026-08-20</x:v>
      </x:c>
      <x:c r="K2014" s="33" t="str">
        <x:v>Compliance IDs preserved; mandatory/conditional/optional status corrected.</x:v>
      </x:c>
    </x:row>
    <x:row r="2015">
      <x:c r="A2015" s="33" t="str">
        <x:v>RCOMP150</x:v>
      </x:c>
      <x:c r="B2015" s="33" t="str">
        <x:v>Compliance Requirement Master</x:v>
      </x:c>
      <x:c r="C2015" s="33" t="str">
        <x:v>Applicability=Mandatory; Remarks=Implementation Method: Regulatory assurance programme SOP | Evidence indicator retained in Evidence Master: Assurance programme documentation</x:v>
      </x:c>
      <x:c r="D2015" s="33" t="str">
        <x:v>Applicability=Optional; Remarks=P-4 entity-specific internal control; no independent statutory force. Activate the exact underlying legal requirement separately.</x:v>
      </x:c>
      <x:c r="E2015" s="33" t="str">
        <x:v>CORRECT / RECLASSIFY</x:v>
      </x:c>
      <x:c r="F2015" s="33" t="str">
        <x:v>Align requirements to corrected substantive provisions and applicability classifications.</x:v>
      </x:c>
      <x:c r="G2015" s="33" t="str">
        <x:v>P-4 official-source validation</x:v>
      </x:c>
      <x:c r="H201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15" s="33" t="str">
        <x:v>P-4</x:v>
      </x:c>
      <x:c r="J2015" s="33" t="str">
        <x:v>2026-08-20</x:v>
      </x:c>
      <x:c r="K2015" s="33" t="str">
        <x:v>Compliance IDs preserved; mandatory/conditional/optional status corrected.</x:v>
      </x:c>
    </x:row>
    <x:row r="2016">
      <x:c r="A2016" s="33" t="str">
        <x:v>RCOMP151</x:v>
      </x:c>
      <x:c r="B2016" s="33" t="str">
        <x:v>Compliance Requirement Master</x:v>
      </x:c>
      <x:c r="C2016" s="33" t="str">
        <x:v>Applicability=Mandatory; Remarks=Implementation Method: Controlled Prescription Register SOP | Evidence indicator retained in Evidence Master: Daily register review, pharmacist sign-off</x:v>
      </x:c>
      <x:c r="D2016" s="33" t="str">
        <x:v>Applicability=Optional; Remarks=P-4 entity-specific internal control; no independent statutory force. Activate the exact underlying legal requirement separately.</x:v>
      </x:c>
      <x:c r="E2016" s="33" t="str">
        <x:v>CORRECT / RECLASSIFY</x:v>
      </x:c>
      <x:c r="F2016" s="33" t="str">
        <x:v>Align requirements to corrected substantive provisions and applicability classifications.</x:v>
      </x:c>
      <x:c r="G2016" s="33" t="str">
        <x:v>P-4 official-source validation</x:v>
      </x:c>
      <x:c r="H201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16" s="33" t="str">
        <x:v>P-4</x:v>
      </x:c>
      <x:c r="J2016" s="33" t="str">
        <x:v>2026-08-20</x:v>
      </x:c>
      <x:c r="K2016" s="33" t="str">
        <x:v>Compliance IDs preserved; mandatory/conditional/optional status corrected.</x:v>
      </x:c>
    </x:row>
    <x:row r="2017">
      <x:c r="A2017" s="33" t="str">
        <x:v>RCOMP152</x:v>
      </x:c>
      <x:c r="B2017" s="33" t="str">
        <x:v>Compliance Requirement Master</x:v>
      </x:c>
      <x:c r="C2017" s="33" t="str">
        <x:v>Applicability=Mandatory; Remarks=Implementation Method: Duplicate dispensing verification SOP | Evidence indicator retained in Evidence Master: Dispensing verification log</x:v>
      </x:c>
      <x:c r="D2017" s="33" t="str">
        <x:v>Applicability=Optional; Remarks=P-4 entity-specific internal control; no independent statutory force. Activate the exact underlying legal requirement separately.</x:v>
      </x:c>
      <x:c r="E2017" s="33" t="str">
        <x:v>CORRECT / RECLASSIFY</x:v>
      </x:c>
      <x:c r="F2017" s="33" t="str">
        <x:v>Align requirements to corrected substantive provisions and applicability classifications.</x:v>
      </x:c>
      <x:c r="G2017" s="33" t="str">
        <x:v>P-4 official-source validation</x:v>
      </x:c>
      <x:c r="H201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17" s="33" t="str">
        <x:v>P-4</x:v>
      </x:c>
      <x:c r="J2017" s="33" t="str">
        <x:v>2026-08-20</x:v>
      </x:c>
      <x:c r="K2017" s="33" t="str">
        <x:v>Compliance IDs preserved; mandatory/conditional/optional status corrected.</x:v>
      </x:c>
    </x:row>
    <x:row r="2018">
      <x:c r="A2018" s="33" t="str">
        <x:v>RCOMP153</x:v>
      </x:c>
      <x:c r="B2018" s="33" t="str">
        <x:v>Compliance Requirement Master</x:v>
      </x:c>
      <x:c r="C2018" s="33" t="str">
        <x:v>Applicability=Mandatory; Remarks=Implementation Method: Workflow audit trail SOP | Evidence indicator retained in Evidence Master: Electronic audit logs</x:v>
      </x:c>
      <x:c r="D2018" s="33" t="str">
        <x:v>Applicability=Optional; Remarks=P-4 entity-specific internal control; no independent statutory force. Activate the exact underlying legal requirement separately.</x:v>
      </x:c>
      <x:c r="E2018" s="33" t="str">
        <x:v>CORRECT / RECLASSIFY</x:v>
      </x:c>
      <x:c r="F2018" s="33" t="str">
        <x:v>Align requirements to corrected substantive provisions and applicability classifications.</x:v>
      </x:c>
      <x:c r="G2018" s="33" t="str">
        <x:v>P-4 official-source validation</x:v>
      </x:c>
      <x:c r="H201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18" s="33" t="str">
        <x:v>P-4</x:v>
      </x:c>
      <x:c r="J2018" s="33" t="str">
        <x:v>2026-08-20</x:v>
      </x:c>
      <x:c r="K2018" s="33" t="str">
        <x:v>Compliance IDs preserved; mandatory/conditional/optional status corrected.</x:v>
      </x:c>
    </x:row>
    <x:row r="2019">
      <x:c r="A2019" s="33" t="str">
        <x:v>RCOMP154</x:v>
      </x:c>
      <x:c r="B2019" s="33" t="str">
        <x:v>Compliance Requirement Master</x:v>
      </x:c>
      <x:c r="C2019" s="33" t="str">
        <x:v>Applicability=Mandatory; Remarks=Implementation Method: Quantity verification SOP | Evidence indicator retained in Evidence Master: Quantity verification checklist</x:v>
      </x:c>
      <x:c r="D2019" s="33" t="str">
        <x:v>Applicability=Optional; Remarks=P-4 entity-specific internal control; no independent statutory force. Activate the exact underlying legal requirement separately.</x:v>
      </x:c>
      <x:c r="E2019" s="33" t="str">
        <x:v>CORRECT / RECLASSIFY</x:v>
      </x:c>
      <x:c r="F2019" s="33" t="str">
        <x:v>Align requirements to corrected substantive provisions and applicability classifications.</x:v>
      </x:c>
      <x:c r="G2019" s="33" t="str">
        <x:v>P-4 official-source validation</x:v>
      </x:c>
      <x:c r="H201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19" s="33" t="str">
        <x:v>P-4</x:v>
      </x:c>
      <x:c r="J2019" s="33" t="str">
        <x:v>2026-08-20</x:v>
      </x:c>
      <x:c r="K2019" s="33" t="str">
        <x:v>Compliance IDs preserved; mandatory/conditional/optional status corrected.</x:v>
      </x:c>
    </x:row>
    <x:row r="2020">
      <x:c r="A2020" s="33" t="str">
        <x:v>RCOMP155</x:v>
      </x:c>
      <x:c r="B2020" s="33" t="str">
        <x:v>Compliance Requirement Master</x:v>
      </x:c>
      <x:c r="C2020" s="33" t="str">
        <x:v>Applicability=Mandatory; Remarks=Implementation Method: Regulatory inspection SOP | Evidence indicator retained in Evidence Master: Inspection file, CAPA tracker</x:v>
      </x:c>
      <x:c r="D2020" s="33" t="str">
        <x:v>Applicability=Optional; Remarks=P-4 entity-specific internal control; no independent statutory force. Activate the exact underlying legal requirement separately.</x:v>
      </x:c>
      <x:c r="E2020" s="33" t="str">
        <x:v>CORRECT / RECLASSIFY</x:v>
      </x:c>
      <x:c r="F2020" s="33" t="str">
        <x:v>Align requirements to corrected substantive provisions and applicability classifications.</x:v>
      </x:c>
      <x:c r="G2020" s="33" t="str">
        <x:v>P-4 official-source validation</x:v>
      </x:c>
      <x:c r="H202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20" s="33" t="str">
        <x:v>P-4</x:v>
      </x:c>
      <x:c r="J2020" s="33" t="str">
        <x:v>2026-08-20</x:v>
      </x:c>
      <x:c r="K2020" s="33" t="str">
        <x:v>Compliance IDs preserved; mandatory/conditional/optional status corrected.</x:v>
      </x:c>
    </x:row>
    <x:row r="2021">
      <x:c r="A2021" s="33" t="str">
        <x:v>RCOMP156</x:v>
      </x:c>
      <x:c r="B2021" s="33" t="str">
        <x:v>Compliance Requirement Master</x:v>
      </x:c>
      <x:c r="C2021" s="33" t="str">
        <x:v>Applicability=Mandatory; Remarks=Implementation Method: Self-service kiosk governance SOP | Evidence indicator retained in Evidence Master: Kiosk transaction logs</x:v>
      </x:c>
      <x:c r="D2021" s="33" t="str">
        <x:v>Applicability=Optional; Remarks=P-4 entity-specific internal control; no independent statutory force. Activate the exact underlying legal requirement separately.</x:v>
      </x:c>
      <x:c r="E2021" s="33" t="str">
        <x:v>CORRECT / RECLASSIFY</x:v>
      </x:c>
      <x:c r="F2021" s="33" t="str">
        <x:v>Align requirements to corrected substantive provisions and applicability classifications.</x:v>
      </x:c>
      <x:c r="G2021" s="33" t="str">
        <x:v>P-4 official-source validation</x:v>
      </x:c>
      <x:c r="H202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21" s="33" t="str">
        <x:v>P-4</x:v>
      </x:c>
      <x:c r="J2021" s="33" t="str">
        <x:v>2026-08-20</x:v>
      </x:c>
      <x:c r="K2021" s="33" t="str">
        <x:v>Compliance IDs preserved; mandatory/conditional/optional status corrected.</x:v>
      </x:c>
    </x:row>
    <x:row r="2022">
      <x:c r="A2022" s="33" t="str">
        <x:v>RCOMP157</x:v>
      </x:c>
      <x:c r="B2022" s="33" t="str">
        <x:v>Compliance Requirement Master</x:v>
      </x:c>
      <x:c r="C2022" s="33" t="str">
        <x:v>Applicability=Mandatory; Remarks=Implementation Method: Inventory RCA SOP | Evidence indicator retained in Evidence Master: RCA report, CAPA records</x:v>
      </x:c>
      <x:c r="D2022" s="33" t="str">
        <x:v>Applicability=Optional; Remarks=P-4 entity-specific internal control; no independent statutory force. Activate the exact underlying legal requirement separately.</x:v>
      </x:c>
      <x:c r="E2022" s="33" t="str">
        <x:v>CORRECT / RECLASSIFY</x:v>
      </x:c>
      <x:c r="F2022" s="33" t="str">
        <x:v>Align requirements to corrected substantive provisions and applicability classifications.</x:v>
      </x:c>
      <x:c r="G2022" s="33" t="str">
        <x:v>P-4 official-source validation</x:v>
      </x:c>
      <x:c r="H202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22" s="33" t="str">
        <x:v>P-4</x:v>
      </x:c>
      <x:c r="J2022" s="33" t="str">
        <x:v>2026-08-20</x:v>
      </x:c>
      <x:c r="K2022" s="33" t="str">
        <x:v>Compliance IDs preserved; mandatory/conditional/optional status corrected.</x:v>
      </x:c>
    </x:row>
    <x:row r="2023">
      <x:c r="A2023" s="33" t="str">
        <x:v>RCOMP158</x:v>
      </x:c>
      <x:c r="B2023" s="33" t="str">
        <x:v>Compliance Requirement Master</x:v>
      </x:c>
      <x:c r="C2023" s="33" t="str">
        <x:v>Applicability=Mandatory; Remarks=Implementation Method: Disaster recovery testing SOP | Evidence indicator retained in Evidence Master: Recovery test report</x:v>
      </x:c>
      <x:c r="D2023" s="33" t="str">
        <x:v>Applicability=Optional; Remarks=P-4 entity-specific internal control; no independent statutory force. Activate the exact underlying legal requirement separately.</x:v>
      </x:c>
      <x:c r="E2023" s="33" t="str">
        <x:v>CORRECT / RECLASSIFY</x:v>
      </x:c>
      <x:c r="F2023" s="33" t="str">
        <x:v>Align requirements to corrected substantive provisions and applicability classifications.</x:v>
      </x:c>
      <x:c r="G2023" s="33" t="str">
        <x:v>P-4 official-source validation</x:v>
      </x:c>
      <x:c r="H202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23" s="33" t="str">
        <x:v>P-4</x:v>
      </x:c>
      <x:c r="J2023" s="33" t="str">
        <x:v>2026-08-20</x:v>
      </x:c>
      <x:c r="K2023" s="33" t="str">
        <x:v>Compliance IDs preserved; mandatory/conditional/optional status corrected.</x:v>
      </x:c>
    </x:row>
    <x:row r="2024">
      <x:c r="A2024" s="33" t="str">
        <x:v>RCOMP159</x:v>
      </x:c>
      <x:c r="B2024" s="33" t="str">
        <x:v>Compliance Requirement Master</x:v>
      </x:c>
      <x:c r="C2024" s="33" t="str">
        <x:v>Applicability=Mandatory; Remarks=Implementation Method: Community outreach SOP | Evidence indicator retained in Evidence Master: Programme report, attendance register</x:v>
      </x:c>
      <x:c r="D2024" s="33" t="str">
        <x:v>Applicability=Optional; Remarks=P-4 entity-specific internal control; no independent statutory force. Activate the exact underlying legal requirement separately.</x:v>
      </x:c>
      <x:c r="E2024" s="33" t="str">
        <x:v>CORRECT / RECLASSIFY</x:v>
      </x:c>
      <x:c r="F2024" s="33" t="str">
        <x:v>Align requirements to corrected substantive provisions and applicability classifications.</x:v>
      </x:c>
      <x:c r="G2024" s="33" t="str">
        <x:v>P-4 official-source validation</x:v>
      </x:c>
      <x:c r="H202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24" s="33" t="str">
        <x:v>P-4</x:v>
      </x:c>
      <x:c r="J2024" s="33" t="str">
        <x:v>2026-08-20</x:v>
      </x:c>
      <x:c r="K2024" s="33" t="str">
        <x:v>Compliance IDs preserved; mandatory/conditional/optional status corrected.</x:v>
      </x:c>
    </x:row>
    <x:row r="2025">
      <x:c r="A2025" s="33" t="str">
        <x:v>RCOMP160</x:v>
      </x:c>
      <x:c r="B2025" s="33" t="str">
        <x:v>Compliance Requirement Master</x:v>
      </x:c>
      <x:c r="C2025" s="33" t="str">
        <x:v>Applicability=Mandatory; Remarks=Implementation Method: Enterprise compliance monitoring SOP | Evidence indicator retained in Evidence Master: KPI dashboard, compliance reports</x:v>
      </x:c>
      <x:c r="D2025" s="33" t="str">
        <x:v>Applicability=Optional; Remarks=P-4 entity-specific internal control; no independent statutory force. Activate the exact underlying legal requirement separately.</x:v>
      </x:c>
      <x:c r="E2025" s="33" t="str">
        <x:v>CORRECT / RECLASSIFY</x:v>
      </x:c>
      <x:c r="F2025" s="33" t="str">
        <x:v>Align requirements to corrected substantive provisions and applicability classifications.</x:v>
      </x:c>
      <x:c r="G2025" s="33" t="str">
        <x:v>P-4 official-source validation</x:v>
      </x:c>
      <x:c r="H202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25" s="33" t="str">
        <x:v>P-4</x:v>
      </x:c>
      <x:c r="J2025" s="33" t="str">
        <x:v>2026-08-20</x:v>
      </x:c>
      <x:c r="K2025" s="33" t="str">
        <x:v>Compliance IDs preserved; mandatory/conditional/optional status corrected.</x:v>
      </x:c>
    </x:row>
    <x:row r="2026">
      <x:c r="A2026" s="33" t="str">
        <x:v>RCOMP161</x:v>
      </x:c>
      <x:c r="B2026" s="33" t="str">
        <x:v>Compliance Requirement Master</x:v>
      </x:c>
      <x:c r="C2026" s="33" t="str">
        <x:v>Applicability=Mandatory; Remarks=Implementation Method: Prescription fraud management SOP | Evidence indicator retained in Evidence Master: Fraud investigation report</x:v>
      </x:c>
      <x:c r="D2026" s="33" t="str">
        <x:v>Applicability=Optional; Remarks=P-4 entity-specific internal control; no independent statutory force. Activate the exact underlying legal requirement separately.</x:v>
      </x:c>
      <x:c r="E2026" s="33" t="str">
        <x:v>CORRECT / RECLASSIFY</x:v>
      </x:c>
      <x:c r="F2026" s="33" t="str">
        <x:v>Align requirements to corrected substantive provisions and applicability classifications.</x:v>
      </x:c>
      <x:c r="G2026" s="33" t="str">
        <x:v>P-4 official-source validation</x:v>
      </x:c>
      <x:c r="H202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26" s="33" t="str">
        <x:v>P-4</x:v>
      </x:c>
      <x:c r="J2026" s="33" t="str">
        <x:v>2026-08-20</x:v>
      </x:c>
      <x:c r="K2026" s="33" t="str">
        <x:v>Compliance IDs preserved; mandatory/conditional/optional status corrected.</x:v>
      </x:c>
    </x:row>
    <x:row r="2027">
      <x:c r="A2027" s="33" t="str">
        <x:v>RCOMP162</x:v>
      </x:c>
      <x:c r="B2027" s="33" t="str">
        <x:v>Compliance Requirement Master</x:v>
      </x:c>
      <x:c r="C2027" s="33" t="str">
        <x:v>Applicability=Mandatory; Remarks=Implementation Method: Shift handover SOP | Evidence indicator retained in Evidence Master: Shift handover register</x:v>
      </x:c>
      <x:c r="D2027" s="33" t="str">
        <x:v>Applicability=Optional; Remarks=P-4 entity-specific internal control; no independent statutory force. Activate the exact underlying legal requirement separately.</x:v>
      </x:c>
      <x:c r="E2027" s="33" t="str">
        <x:v>CORRECT / RECLASSIFY</x:v>
      </x:c>
      <x:c r="F2027" s="33" t="str">
        <x:v>Align requirements to corrected substantive provisions and applicability classifications.</x:v>
      </x:c>
      <x:c r="G2027" s="33" t="str">
        <x:v>P-4 official-source validation</x:v>
      </x:c>
      <x:c r="H202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27" s="33" t="str">
        <x:v>P-4</x:v>
      </x:c>
      <x:c r="J2027" s="33" t="str">
        <x:v>2026-08-20</x:v>
      </x:c>
      <x:c r="K2027" s="33" t="str">
        <x:v>Compliance IDs preserved; mandatory/conditional/optional status corrected.</x:v>
      </x:c>
    </x:row>
    <x:row r="2028">
      <x:c r="A2028" s="33" t="str">
        <x:v>RCOMP163</x:v>
      </x:c>
      <x:c r="B2028" s="33" t="str">
        <x:v>Compliance Requirement Master</x:v>
      </x:c>
      <x:c r="C2028" s="33" t="str">
        <x:v>Applicability=Mandatory; Remarks=Implementation Method: Cloud governance SOP | Evidence indicator retained in Evidence Master: Cloud compliance assessment</x:v>
      </x:c>
      <x:c r="D2028" s="33" t="str">
        <x:v>Applicability=Optional; Remarks=P-4 entity-specific internal control; no independent statutory force. Activate the exact underlying legal requirement separately.</x:v>
      </x:c>
      <x:c r="E2028" s="33" t="str">
        <x:v>CORRECT / RECLASSIFY</x:v>
      </x:c>
      <x:c r="F2028" s="33" t="str">
        <x:v>Align requirements to corrected substantive provisions and applicability classifications.</x:v>
      </x:c>
      <x:c r="G2028" s="33" t="str">
        <x:v>P-4 official-source validation</x:v>
      </x:c>
      <x:c r="H202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28" s="33" t="str">
        <x:v>P-4</x:v>
      </x:c>
      <x:c r="J2028" s="33" t="str">
        <x:v>2026-08-20</x:v>
      </x:c>
      <x:c r="K2028" s="33" t="str">
        <x:v>Compliance IDs preserved; mandatory/conditional/optional status corrected.</x:v>
      </x:c>
    </x:row>
    <x:row r="2029">
      <x:c r="A2029" s="33" t="str">
        <x:v>RCOMP164</x:v>
      </x:c>
      <x:c r="B2029" s="33" t="str">
        <x:v>Compliance Requirement Master</x:v>
      </x:c>
      <x:c r="C2029" s="33" t="str">
        <x:v>Applicability=Mandatory; Remarks=Implementation Method: Packaging verification SOP | Evidence indicator retained in Evidence Master: Packaging verification checklist</x:v>
      </x:c>
      <x:c r="D2029" s="33" t="str">
        <x:v>Applicability=Optional; Remarks=P-4 entity-specific internal control; no independent statutory force. Activate the exact underlying legal requirement separately.</x:v>
      </x:c>
      <x:c r="E2029" s="33" t="str">
        <x:v>CORRECT / RECLASSIFY</x:v>
      </x:c>
      <x:c r="F2029" s="33" t="str">
        <x:v>Align requirements to corrected substantive provisions and applicability classifications.</x:v>
      </x:c>
      <x:c r="G2029" s="33" t="str">
        <x:v>P-4 official-source validation</x:v>
      </x:c>
      <x:c r="H202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29" s="33" t="str">
        <x:v>P-4</x:v>
      </x:c>
      <x:c r="J2029" s="33" t="str">
        <x:v>2026-08-20</x:v>
      </x:c>
      <x:c r="K2029" s="33" t="str">
        <x:v>Compliance IDs preserved; mandatory/conditional/optional status corrected.</x:v>
      </x:c>
    </x:row>
    <x:row r="2030">
      <x:c r="A2030" s="33" t="str">
        <x:v>RCOMP165</x:v>
      </x:c>
      <x:c r="B2030" s="33" t="str">
        <x:v>Compliance Requirement Master</x:v>
      </x:c>
      <x:c r="C2030" s="33" t="str">
        <x:v>Applicability=Mandatory; Remarks=Implementation Method: Observation management SOP | Evidence indicator retained in Evidence Master: Observation tracker</x:v>
      </x:c>
      <x:c r="D2030" s="33" t="str">
        <x:v>Applicability=Optional; Remarks=P-4 entity-specific internal control; no independent statutory force. Activate the exact underlying legal requirement separately.</x:v>
      </x:c>
      <x:c r="E2030" s="33" t="str">
        <x:v>CORRECT / RECLASSIFY</x:v>
      </x:c>
      <x:c r="F2030" s="33" t="str">
        <x:v>Align requirements to corrected substantive provisions and applicability classifications.</x:v>
      </x:c>
      <x:c r="G2030" s="33" t="str">
        <x:v>P-4 official-source validation</x:v>
      </x:c>
      <x:c r="H203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30" s="33" t="str">
        <x:v>P-4</x:v>
      </x:c>
      <x:c r="J2030" s="33" t="str">
        <x:v>2026-08-20</x:v>
      </x:c>
      <x:c r="K2030" s="33" t="str">
        <x:v>Compliance IDs preserved; mandatory/conditional/optional status corrected.</x:v>
      </x:c>
    </x:row>
    <x:row r="2031">
      <x:c r="A2031" s="33" t="str">
        <x:v>RCOMP166</x:v>
      </x:c>
      <x:c r="B2031" s="33" t="str">
        <x:v>Compliance Requirement Master</x:v>
      </x:c>
      <x:c r="C2031" s="33" t="str">
        <x:v>Applicability=Mandatory; Remarks=Implementation Method: Customer profile management SOP | Evidence indicator retained in Evidence Master: Customer profile review report</x:v>
      </x:c>
      <x:c r="D2031" s="33" t="str">
        <x:v>Applicability=Optional; Remarks=P-4 entity-specific internal control; no independent statutory force. Activate the exact underlying legal requirement separately.</x:v>
      </x:c>
      <x:c r="E2031" s="33" t="str">
        <x:v>CORRECT / RECLASSIFY</x:v>
      </x:c>
      <x:c r="F2031" s="33" t="str">
        <x:v>Align requirements to corrected substantive provisions and applicability classifications.</x:v>
      </x:c>
      <x:c r="G2031" s="33" t="str">
        <x:v>P-4 official-source validation</x:v>
      </x:c>
      <x:c r="H203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31" s="33" t="str">
        <x:v>P-4</x:v>
      </x:c>
      <x:c r="J2031" s="33" t="str">
        <x:v>2026-08-20</x:v>
      </x:c>
      <x:c r="K2031" s="33" t="str">
        <x:v>Compliance IDs preserved; mandatory/conditional/optional status corrected.</x:v>
      </x:c>
    </x:row>
    <x:row r="2032">
      <x:c r="A2032" s="33" t="str">
        <x:v>RCOMP167</x:v>
      </x:c>
      <x:c r="B2032" s="33" t="str">
        <x:v>Compliance Requirement Master</x:v>
      </x:c>
      <x:c r="C2032" s="33" t="str">
        <x:v>Applicability=Mandatory; Remarks=Implementation Method: Inventory KPI monitoring SOP | Evidence indicator retained in Evidence Master: KPI reports</x:v>
      </x:c>
      <x:c r="D2032" s="33" t="str">
        <x:v>Applicability=Optional; Remarks=P-4 entity-specific internal control; no independent statutory force. Activate the exact underlying legal requirement separately.</x:v>
      </x:c>
      <x:c r="E2032" s="33" t="str">
        <x:v>CORRECT / RECLASSIFY</x:v>
      </x:c>
      <x:c r="F2032" s="33" t="str">
        <x:v>Align requirements to corrected substantive provisions and applicability classifications.</x:v>
      </x:c>
      <x:c r="G2032" s="33" t="str">
        <x:v>P-4 official-source validation</x:v>
      </x:c>
      <x:c r="H203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32" s="33" t="str">
        <x:v>P-4</x:v>
      </x:c>
      <x:c r="J2032" s="33" t="str">
        <x:v>2026-08-20</x:v>
      </x:c>
      <x:c r="K2032" s="33" t="str">
        <x:v>Compliance IDs preserved; mandatory/conditional/optional status corrected.</x:v>
      </x:c>
    </x:row>
    <x:row r="2033">
      <x:c r="A2033" s="33" t="str">
        <x:v>RCOMP168</x:v>
      </x:c>
      <x:c r="B2033" s="33" t="str">
        <x:v>Compliance Requirement Master</x:v>
      </x:c>
      <x:c r="C2033" s="33" t="str">
        <x:v>Applicability=Mandatory; Remarks=Implementation Method: Patch management SOP | Evidence indicator retained in Evidence Master: Patch deployment reports</x:v>
      </x:c>
      <x:c r="D2033" s="33" t="str">
        <x:v>Applicability=Optional; Remarks=P-4 entity-specific internal control; no independent statutory force. Activate the exact underlying legal requirement separately.</x:v>
      </x:c>
      <x:c r="E2033" s="33" t="str">
        <x:v>CORRECT / RECLASSIFY</x:v>
      </x:c>
      <x:c r="F2033" s="33" t="str">
        <x:v>Align requirements to corrected substantive provisions and applicability classifications.</x:v>
      </x:c>
      <x:c r="G2033" s="33" t="str">
        <x:v>P-4 official-source validation</x:v>
      </x:c>
      <x:c r="H203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33" s="33" t="str">
        <x:v>P-4</x:v>
      </x:c>
      <x:c r="J2033" s="33" t="str">
        <x:v>2026-08-20</x:v>
      </x:c>
      <x:c r="K2033" s="33" t="str">
        <x:v>Compliance IDs preserved; mandatory/conditional/optional status corrected.</x:v>
      </x:c>
    </x:row>
    <x:row r="2034">
      <x:c r="A2034" s="33" t="str">
        <x:v>RCOMP169</x:v>
      </x:c>
      <x:c r="B2034" s="33" t="str">
        <x:v>Compliance Requirement Master</x:v>
      </x:c>
      <x:c r="C2034" s="33" t="str">
        <x:v>Applicability=Mandatory; Remarks=Implementation Method: Government programme SOP | Evidence indicator retained in Evidence Master: Campaign reports</x:v>
      </x:c>
      <x:c r="D2034" s="33" t="str">
        <x:v>Applicability=Optional; Remarks=P-4 entity-specific internal control; no independent statutory force. Activate the exact underlying legal requirement separately.</x:v>
      </x:c>
      <x:c r="E2034" s="33" t="str">
        <x:v>CORRECT / RECLASSIFY</x:v>
      </x:c>
      <x:c r="F2034" s="33" t="str">
        <x:v>Align requirements to corrected substantive provisions and applicability classifications.</x:v>
      </x:c>
      <x:c r="G2034" s="33" t="str">
        <x:v>P-4 official-source validation</x:v>
      </x:c>
      <x:c r="H203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34" s="33" t="str">
        <x:v>P-4</x:v>
      </x:c>
      <x:c r="J2034" s="33" t="str">
        <x:v>2026-08-20</x:v>
      </x:c>
      <x:c r="K2034" s="33" t="str">
        <x:v>Compliance IDs preserved; mandatory/conditional/optional status corrected.</x:v>
      </x:c>
    </x:row>
    <x:row r="2035">
      <x:c r="A2035" s="33" t="str">
        <x:v>RCOMP170</x:v>
      </x:c>
      <x:c r="B2035" s="33" t="str">
        <x:v>Compliance Requirement Master</x:v>
      </x:c>
      <x:c r="C2035" s="33" t="str">
        <x:v>Applicability=Mandatory; Remarks=Implementation Method: Compliance governance framework SOP | Evidence indicator retained in Evidence Master: Governance framework, review minutes</x:v>
      </x:c>
      <x:c r="D2035" s="33" t="str">
        <x:v>Applicability=Optional; Remarks=P-4 entity-specific internal control; no independent statutory force. Activate the exact underlying legal requirement separately.</x:v>
      </x:c>
      <x:c r="E2035" s="33" t="str">
        <x:v>CORRECT / RECLASSIFY</x:v>
      </x:c>
      <x:c r="F2035" s="33" t="str">
        <x:v>Align requirements to corrected substantive provisions and applicability classifications.</x:v>
      </x:c>
      <x:c r="G2035" s="33" t="str">
        <x:v>P-4 official-source validation</x:v>
      </x:c>
      <x:c r="H203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35" s="33" t="str">
        <x:v>P-4</x:v>
      </x:c>
      <x:c r="J2035" s="33" t="str">
        <x:v>2026-08-20</x:v>
      </x:c>
      <x:c r="K2035" s="33" t="str">
        <x:v>Compliance IDs preserved; mandatory/conditional/optional status corrected.</x:v>
      </x:c>
    </x:row>
    <x:row r="2036">
      <x:c r="A2036" s="33" t="str">
        <x:v>RCOMP171</x:v>
      </x:c>
      <x:c r="B2036" s="33" t="str">
        <x:v>Compliance Requirement Master</x:v>
      </x:c>
      <x:c r="C2036" s="33" t="str">
        <x:v>Applicability=Mandatory; Remarks=Implementation Method: Prescription exception management SOP | Evidence indicator retained in Evidence Master: Exception register, review log</x:v>
      </x:c>
      <x:c r="D2036" s="33" t="str">
        <x:v>Applicability=Optional; Remarks=P-4 entity-specific internal control; no independent statutory force. Activate the exact underlying legal requirement separately.</x:v>
      </x:c>
      <x:c r="E2036" s="33" t="str">
        <x:v>CORRECT / RECLASSIFY</x:v>
      </x:c>
      <x:c r="F2036" s="33" t="str">
        <x:v>Align requirements to corrected substantive provisions and applicability classifications.</x:v>
      </x:c>
      <x:c r="G2036" s="33" t="str">
        <x:v>P-4 official-source validation</x:v>
      </x:c>
      <x:c r="H203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36" s="33" t="str">
        <x:v>P-4</x:v>
      </x:c>
      <x:c r="J2036" s="33" t="str">
        <x:v>2026-08-20</x:v>
      </x:c>
      <x:c r="K2036" s="33" t="str">
        <x:v>Compliance IDs preserved; mandatory/conditional/optional status corrected.</x:v>
      </x:c>
    </x:row>
    <x:row r="2037">
      <x:c r="A2037" s="33" t="str">
        <x:v>RCOMP172</x:v>
      </x:c>
      <x:c r="B2037" s="33" t="str">
        <x:v>Compliance Requirement Master</x:v>
      </x:c>
      <x:c r="C2037" s="33" t="str">
        <x:v>Applicability=Mandatory; Remarks=Implementation Method: Alternate pharmacist coverage SOP | Evidence indicator retained in Evidence Master: Duty roster, coverage records</x:v>
      </x:c>
      <x:c r="D2037" s="33" t="str">
        <x:v>Applicability=Optional; Remarks=P-4 entity-specific internal control; no independent statutory force. Activate the exact underlying legal requirement separately.</x:v>
      </x:c>
      <x:c r="E2037" s="33" t="str">
        <x:v>CORRECT / RECLASSIFY</x:v>
      </x:c>
      <x:c r="F2037" s="33" t="str">
        <x:v>Align requirements to corrected substantive provisions and applicability classifications.</x:v>
      </x:c>
      <x:c r="G2037" s="33" t="str">
        <x:v>P-4 official-source validation</x:v>
      </x:c>
      <x:c r="H203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37" s="33" t="str">
        <x:v>P-4</x:v>
      </x:c>
      <x:c r="J2037" s="33" t="str">
        <x:v>2026-08-20</x:v>
      </x:c>
      <x:c r="K2037" s="33" t="str">
        <x:v>Compliance IDs preserved; mandatory/conditional/optional status corrected.</x:v>
      </x:c>
    </x:row>
    <x:row r="2038">
      <x:c r="A2038" s="33" t="str">
        <x:v>RCOMP173</x:v>
      </x:c>
      <x:c r="B2038" s="33" t="str">
        <x:v>Compliance Requirement Master</x:v>
      </x:c>
      <x:c r="C2038" s="33" t="str">
        <x:v>Applicability=Mandatory; Remarks=Implementation Method: Communication audit log SOP | Evidence indicator retained in Evidence Master: Communication audit logs</x:v>
      </x:c>
      <x:c r="D2038" s="33" t="str">
        <x:v>Applicability=Optional; Remarks=P-4 entity-specific internal control; no independent statutory force. Activate the exact underlying legal requirement separately.</x:v>
      </x:c>
      <x:c r="E2038" s="33" t="str">
        <x:v>CORRECT / RECLASSIFY</x:v>
      </x:c>
      <x:c r="F2038" s="33" t="str">
        <x:v>Align requirements to corrected substantive provisions and applicability classifications.</x:v>
      </x:c>
      <x:c r="G2038" s="33" t="str">
        <x:v>P-4 official-source validation</x:v>
      </x:c>
      <x:c r="H203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38" s="33" t="str">
        <x:v>P-4</x:v>
      </x:c>
      <x:c r="J2038" s="33" t="str">
        <x:v>2026-08-20</x:v>
      </x:c>
      <x:c r="K2038" s="33" t="str">
        <x:v>Compliance IDs preserved; mandatory/conditional/optional status corrected.</x:v>
      </x:c>
    </x:row>
    <x:row r="2039">
      <x:c r="A2039" s="33" t="str">
        <x:v>RCOMP174</x:v>
      </x:c>
      <x:c r="B2039" s="33" t="str">
        <x:v>Compliance Requirement Master</x:v>
      </x:c>
      <x:c r="C2039" s="33" t="str">
        <x:v>Applicability=Mandatory; Remarks=Implementation Method: Refrigerated storage management SOP | Evidence indicator retained in Evidence Master: Refrigerator access log, maintenance records</x:v>
      </x:c>
      <x:c r="D2039" s="33" t="str">
        <x:v>Applicability=Optional; Remarks=P-4 entity-specific internal control; no independent statutory force. Activate the exact underlying legal requirement separately.</x:v>
      </x:c>
      <x:c r="E2039" s="33" t="str">
        <x:v>CORRECT / RECLASSIFY</x:v>
      </x:c>
      <x:c r="F2039" s="33" t="str">
        <x:v>Align requirements to corrected substantive provisions and applicability classifications.</x:v>
      </x:c>
      <x:c r="G2039" s="33" t="str">
        <x:v>P-4 official-source validation</x:v>
      </x:c>
      <x:c r="H203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39" s="33" t="str">
        <x:v>P-4</x:v>
      </x:c>
      <x:c r="J2039" s="33" t="str">
        <x:v>2026-08-20</x:v>
      </x:c>
      <x:c r="K2039" s="33" t="str">
        <x:v>Compliance IDs preserved; mandatory/conditional/optional status corrected.</x:v>
      </x:c>
    </x:row>
    <x:row r="2040">
      <x:c r="A2040" s="33" t="str">
        <x:v>RCOMP175</x:v>
      </x:c>
      <x:c r="B2040" s="33" t="str">
        <x:v>Compliance Requirement Master</x:v>
      </x:c>
      <x:c r="C2040" s="33" t="str">
        <x:v>Applicability=Mandatory; Remarks=Implementation Method: Emergency contact management SOP | Evidence indicator retained in Evidence Master: Emergency contact register</x:v>
      </x:c>
      <x:c r="D2040" s="33" t="str">
        <x:v>Applicability=Optional; Remarks=P-4 entity-specific internal control; no independent statutory force. Activate the exact underlying legal requirement separately.</x:v>
      </x:c>
      <x:c r="E2040" s="33" t="str">
        <x:v>CORRECT / RECLASSIFY</x:v>
      </x:c>
      <x:c r="F2040" s="33" t="str">
        <x:v>Align requirements to corrected substantive provisions and applicability classifications.</x:v>
      </x:c>
      <x:c r="G2040" s="33" t="str">
        <x:v>P-4 official-source validation</x:v>
      </x:c>
      <x:c r="H204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40" s="33" t="str">
        <x:v>P-4</x:v>
      </x:c>
      <x:c r="J2040" s="33" t="str">
        <x:v>2026-08-20</x:v>
      </x:c>
      <x:c r="K2040" s="33" t="str">
        <x:v>Compliance IDs preserved; mandatory/conditional/optional status corrected.</x:v>
      </x:c>
    </x:row>
    <x:row r="2041">
      <x:c r="A2041" s="33" t="str">
        <x:v>RCOMP176</x:v>
      </x:c>
      <x:c r="B2041" s="33" t="str">
        <x:v>Compliance Requirement Master</x:v>
      </x:c>
      <x:c r="C2041" s="33" t="str">
        <x:v>Applicability=Mandatory; Remarks=Implementation Method: Appointment tracking SOP | Evidence indicator retained in Evidence Master: Appointment reports</x:v>
      </x:c>
      <x:c r="D2041" s="33" t="str">
        <x:v>Applicability=Optional; Remarks=P-4 entity-specific internal control; no independent statutory force. Activate the exact underlying legal requirement separately.</x:v>
      </x:c>
      <x:c r="E2041" s="33" t="str">
        <x:v>CORRECT / RECLASSIFY</x:v>
      </x:c>
      <x:c r="F2041" s="33" t="str">
        <x:v>Align requirements to corrected substantive provisions and applicability classifications.</x:v>
      </x:c>
      <x:c r="G2041" s="33" t="str">
        <x:v>P-4 official-source validation</x:v>
      </x:c>
      <x:c r="H204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41" s="33" t="str">
        <x:v>P-4</x:v>
      </x:c>
      <x:c r="J2041" s="33" t="str">
        <x:v>2026-08-20</x:v>
      </x:c>
      <x:c r="K2041" s="33" t="str">
        <x:v>Compliance IDs preserved; mandatory/conditional/optional status corrected.</x:v>
      </x:c>
    </x:row>
    <x:row r="2042">
      <x:c r="A2042" s="33" t="str">
        <x:v>RCOMP177</x:v>
      </x:c>
      <x:c r="B2042" s="33" t="str">
        <x:v>Compliance Requirement Master</x:v>
      </x:c>
      <x:c r="C2042" s="33" t="str">
        <x:v>Applicability=Mandatory; Remarks=Implementation Method: Inventory audit SOP | Evidence indicator retained in Evidence Master: Inventory audit reports</x:v>
      </x:c>
      <x:c r="D2042" s="33" t="str">
        <x:v>Applicability=Optional; Remarks=P-4 entity-specific internal control; no independent statutory force. Activate the exact underlying legal requirement separately.</x:v>
      </x:c>
      <x:c r="E2042" s="33" t="str">
        <x:v>CORRECT / RECLASSIFY</x:v>
      </x:c>
      <x:c r="F2042" s="33" t="str">
        <x:v>Align requirements to corrected substantive provisions and applicability classifications.</x:v>
      </x:c>
      <x:c r="G2042" s="33" t="str">
        <x:v>P-4 official-source validation</x:v>
      </x:c>
      <x:c r="H204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42" s="33" t="str">
        <x:v>P-4</x:v>
      </x:c>
      <x:c r="J2042" s="33" t="str">
        <x:v>2026-08-20</x:v>
      </x:c>
      <x:c r="K2042" s="33" t="str">
        <x:v>Compliance IDs preserved; mandatory/conditional/optional status corrected.</x:v>
      </x:c>
    </x:row>
    <x:row r="2043">
      <x:c r="A2043" s="33" t="str">
        <x:v>RCOMP178</x:v>
      </x:c>
      <x:c r="B2043" s="33" t="str">
        <x:v>Compliance Requirement Master</x:v>
      </x:c>
      <x:c r="C2043" s="33" t="str">
        <x:v>Applicability=Mandatory; Remarks=Implementation Method: Configuration management SOP | Evidence indicator retained in Evidence Master: Configuration register</x:v>
      </x:c>
      <x:c r="D2043" s="33" t="str">
        <x:v>Applicability=Optional; Remarks=P-4 entity-specific internal control; no independent statutory force. Activate the exact underlying legal requirement separately.</x:v>
      </x:c>
      <x:c r="E2043" s="33" t="str">
        <x:v>CORRECT / RECLASSIFY</x:v>
      </x:c>
      <x:c r="F2043" s="33" t="str">
        <x:v>Align requirements to corrected substantive provisions and applicability classifications.</x:v>
      </x:c>
      <x:c r="G2043" s="33" t="str">
        <x:v>P-4 official-source validation</x:v>
      </x:c>
      <x:c r="H204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43" s="33" t="str">
        <x:v>P-4</x:v>
      </x:c>
      <x:c r="J2043" s="33" t="str">
        <x:v>2026-08-20</x:v>
      </x:c>
      <x:c r="K2043" s="33" t="str">
        <x:v>Compliance IDs preserved; mandatory/conditional/optional status corrected.</x:v>
      </x:c>
    </x:row>
    <x:row r="2044">
      <x:c r="A2044" s="33" t="str">
        <x:v>RCOMP179</x:v>
      </x:c>
      <x:c r="B2044" s="33" t="str">
        <x:v>Compliance Requirement Master</x:v>
      </x:c>
      <x:c r="C2044" s="33" t="str">
        <x:v>Applicability=Mandatory; Remarks=Implementation Method: Educational material review SOP | Evidence indicator retained in Evidence Master: Educational material inventory</x:v>
      </x:c>
      <x:c r="D2044" s="33" t="str">
        <x:v>Applicability=Optional; Remarks=P-4 entity-specific internal control; no independent statutory force. Activate the exact underlying legal requirement separately.</x:v>
      </x:c>
      <x:c r="E2044" s="33" t="str">
        <x:v>CORRECT / RECLASSIFY</x:v>
      </x:c>
      <x:c r="F2044" s="33" t="str">
        <x:v>Align requirements to corrected substantive provisions and applicability classifications.</x:v>
      </x:c>
      <x:c r="G2044" s="33" t="str">
        <x:v>P-4 official-source validation</x:v>
      </x:c>
      <x:c r="H204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44" s="33" t="str">
        <x:v>P-4</x:v>
      </x:c>
      <x:c r="J2044" s="33" t="str">
        <x:v>2026-08-20</x:v>
      </x:c>
      <x:c r="K2044" s="33" t="str">
        <x:v>Compliance IDs preserved; mandatory/conditional/optional status corrected.</x:v>
      </x:c>
    </x:row>
    <x:row r="2045">
      <x:c r="A2045" s="33" t="str">
        <x:v>RCOMP180</x:v>
      </x:c>
      <x:c r="B2045" s="33" t="str">
        <x:v>Compliance Requirement Master</x:v>
      </x:c>
      <x:c r="C2045" s="33" t="str">
        <x:v>Applicability=Mandatory; Remarks=Implementation Method: Executive compliance review SOP | Evidence indicator retained in Evidence Master: Meeting minutes, action tracker</x:v>
      </x:c>
      <x:c r="D2045" s="33" t="str">
        <x:v>Applicability=Optional; Remarks=P-4 entity-specific internal control; no independent statutory force. Activate the exact underlying legal requirement separately.</x:v>
      </x:c>
      <x:c r="E2045" s="33" t="str">
        <x:v>CORRECT / RECLASSIFY</x:v>
      </x:c>
      <x:c r="F2045" s="33" t="str">
        <x:v>Align requirements to corrected substantive provisions and applicability classifications.</x:v>
      </x:c>
      <x:c r="G2045" s="33" t="str">
        <x:v>P-4 official-source validation</x:v>
      </x:c>
      <x:c r="H204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45" s="33" t="str">
        <x:v>P-4</x:v>
      </x:c>
      <x:c r="J2045" s="33" t="str">
        <x:v>2026-08-20</x:v>
      </x:c>
      <x:c r="K2045" s="33" t="str">
        <x:v>Compliance IDs preserved; mandatory/conditional/optional status corrected.</x:v>
      </x:c>
    </x:row>
    <x:row r="2046">
      <x:c r="A2046" s="33" t="str">
        <x:v>RCOMP181</x:v>
      </x:c>
      <x:c r="B2046" s="33" t="str">
        <x:v>Compliance Requirement Master</x:v>
      </x:c>
      <x:c r="C2046" s="33" t="str">
        <x:v>Applicability=Mandatory; Remarks=Implementation Method: Turnaround monitoring SOP | Evidence indicator retained in Evidence Master: KPI reports</x:v>
      </x:c>
      <x:c r="D2046" s="33" t="str">
        <x:v>Applicability=Optional; Remarks=P-4 entity-specific internal control; no independent statutory force. Activate the exact underlying legal requirement separately.</x:v>
      </x:c>
      <x:c r="E2046" s="33" t="str">
        <x:v>CORRECT / RECLASSIFY</x:v>
      </x:c>
      <x:c r="F2046" s="33" t="str">
        <x:v>Align requirements to corrected substantive provisions and applicability classifications.</x:v>
      </x:c>
      <x:c r="G2046" s="33" t="str">
        <x:v>P-4 official-source validation</x:v>
      </x:c>
      <x:c r="H204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46" s="33" t="str">
        <x:v>P-4</x:v>
      </x:c>
      <x:c r="J2046" s="33" t="str">
        <x:v>2026-08-20</x:v>
      </x:c>
      <x:c r="K2046" s="33" t="str">
        <x:v>Compliance IDs preserved; mandatory/conditional/optional status corrected.</x:v>
      </x:c>
    </x:row>
    <x:row r="2047">
      <x:c r="A2047" s="33" t="str">
        <x:v>RCOMP182</x:v>
      </x:c>
      <x:c r="B2047" s="33" t="str">
        <x:v>Compliance Requirement Master</x:v>
      </x:c>
      <x:c r="C2047" s="33" t="str">
        <x:v>Applicability=Mandatory; Remarks=Implementation Method: Delegation control SOP | Evidence indicator retained in Evidence Master: Delegation matrix</x:v>
      </x:c>
      <x:c r="D2047" s="33" t="str">
        <x:v>Applicability=Optional; Remarks=P-4 entity-specific internal control; no independent statutory force. Activate the exact underlying legal requirement separately.</x:v>
      </x:c>
      <x:c r="E2047" s="33" t="str">
        <x:v>CORRECT / RECLASSIFY</x:v>
      </x:c>
      <x:c r="F2047" s="33" t="str">
        <x:v>Align requirements to corrected substantive provisions and applicability classifications.</x:v>
      </x:c>
      <x:c r="G2047" s="33" t="str">
        <x:v>P-4 official-source validation</x:v>
      </x:c>
      <x:c r="H204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47" s="33" t="str">
        <x:v>P-4</x:v>
      </x:c>
      <x:c r="J2047" s="33" t="str">
        <x:v>2026-08-20</x:v>
      </x:c>
      <x:c r="K2047" s="33" t="str">
        <x:v>Compliance IDs preserved; mandatory/conditional/optional status corrected.</x:v>
      </x:c>
    </x:row>
    <x:row r="2048">
      <x:c r="A2048" s="33" t="str">
        <x:v>RCOMP183</x:v>
      </x:c>
      <x:c r="B2048" s="33" t="str">
        <x:v>Compliance Requirement Master</x:v>
      </x:c>
      <x:c r="C2048" s="33" t="str">
        <x:v>Applicability=Mandatory; Remarks=Implementation Method: Interface monitoring SOP | Evidence indicator retained in Evidence Master: Interface monitoring reports</x:v>
      </x:c>
      <x:c r="D2048" s="33" t="str">
        <x:v>Applicability=Optional; Remarks=P-4 entity-specific internal control; no independent statutory force. Activate the exact underlying legal requirement separately.</x:v>
      </x:c>
      <x:c r="E2048" s="33" t="str">
        <x:v>CORRECT / RECLASSIFY</x:v>
      </x:c>
      <x:c r="F2048" s="33" t="str">
        <x:v>Align requirements to corrected substantive provisions and applicability classifications.</x:v>
      </x:c>
      <x:c r="G2048" s="33" t="str">
        <x:v>P-4 official-source validation</x:v>
      </x:c>
      <x:c r="H204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48" s="33" t="str">
        <x:v>P-4</x:v>
      </x:c>
      <x:c r="J2048" s="33" t="str">
        <x:v>2026-08-20</x:v>
      </x:c>
      <x:c r="K2048" s="33" t="str">
        <x:v>Compliance IDs preserved; mandatory/conditional/optional status corrected.</x:v>
      </x:c>
    </x:row>
    <x:row r="2049">
      <x:c r="A2049" s="33" t="str">
        <x:v>RCOMP184</x:v>
      </x:c>
      <x:c r="B2049" s="33" t="str">
        <x:v>Compliance Requirement Master</x:v>
      </x:c>
      <x:c r="C2049" s="33" t="str">
        <x:v>Applicability=Mandatory; Remarks=Implementation Method: Documentation verification SOP | Evidence indicator retained in Evidence Master: Dispensing verification checklist</x:v>
      </x:c>
      <x:c r="D2049" s="33" t="str">
        <x:v>Applicability=Optional; Remarks=P-4 entity-specific internal control; no independent statutory force. Activate the exact underlying legal requirement separately.</x:v>
      </x:c>
      <x:c r="E2049" s="33" t="str">
        <x:v>CORRECT / RECLASSIFY</x:v>
      </x:c>
      <x:c r="F2049" s="33" t="str">
        <x:v>Align requirements to corrected substantive provisions and applicability classifications.</x:v>
      </x:c>
      <x:c r="G2049" s="33" t="str">
        <x:v>P-4 official-source validation</x:v>
      </x:c>
      <x:c r="H204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49" s="33" t="str">
        <x:v>P-4</x:v>
      </x:c>
      <x:c r="J2049" s="33" t="str">
        <x:v>2026-08-20</x:v>
      </x:c>
      <x:c r="K2049" s="33" t="str">
        <x:v>Compliance IDs preserved; mandatory/conditional/optional status corrected.</x:v>
      </x:c>
    </x:row>
    <x:row r="2050">
      <x:c r="A2050" s="33" t="str">
        <x:v>RCOMP185</x:v>
      </x:c>
      <x:c r="B2050" s="33" t="str">
        <x:v>Compliance Requirement Master</x:v>
      </x:c>
      <x:c r="C2050" s="33" t="str">
        <x:v>Applicability=Mandatory; Remarks=Implementation Method: Regulatory communication SOP | Evidence indicator retained in Evidence Master: Regulatory communication register</x:v>
      </x:c>
      <x:c r="D2050" s="33" t="str">
        <x:v>Applicability=Optional; Remarks=P-4 entity-specific internal control; no independent statutory force. Activate the exact underlying legal requirement separately.</x:v>
      </x:c>
      <x:c r="E2050" s="33" t="str">
        <x:v>CORRECT / RECLASSIFY</x:v>
      </x:c>
      <x:c r="F2050" s="33" t="str">
        <x:v>Align requirements to corrected substantive provisions and applicability classifications.</x:v>
      </x:c>
      <x:c r="G2050" s="33" t="str">
        <x:v>P-4 official-source validation</x:v>
      </x:c>
      <x:c r="H205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50" s="33" t="str">
        <x:v>P-4</x:v>
      </x:c>
      <x:c r="J2050" s="33" t="str">
        <x:v>2026-08-20</x:v>
      </x:c>
      <x:c r="K2050" s="33" t="str">
        <x:v>Compliance IDs preserved; mandatory/conditional/optional status corrected.</x:v>
      </x:c>
    </x:row>
    <x:row r="2051">
      <x:c r="A2051" s="33" t="str">
        <x:v>RCOMP186</x:v>
      </x:c>
      <x:c r="B2051" s="33" t="str">
        <x:v>Compliance Requirement Master</x:v>
      </x:c>
      <x:c r="C2051" s="33" t="str">
        <x:v>Applicability=Mandatory; Remarks=Implementation Method: Electronic proof-of-delivery SOP | Evidence indicator retained in Evidence Master: Electronic delivery confirmation</x:v>
      </x:c>
      <x:c r="D2051" s="33" t="str">
        <x:v>Applicability=Optional; Remarks=P-4 entity-specific internal control; no independent statutory force. Activate the exact underlying legal requirement separately.</x:v>
      </x:c>
      <x:c r="E2051" s="33" t="str">
        <x:v>CORRECT / RECLASSIFY</x:v>
      </x:c>
      <x:c r="F2051" s="33" t="str">
        <x:v>Align requirements to corrected substantive provisions and applicability classifications.</x:v>
      </x:c>
      <x:c r="G2051" s="33" t="str">
        <x:v>P-4 official-source validation</x:v>
      </x:c>
      <x:c r="H205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51" s="33" t="str">
        <x:v>P-4</x:v>
      </x:c>
      <x:c r="J2051" s="33" t="str">
        <x:v>2026-08-20</x:v>
      </x:c>
      <x:c r="K2051" s="33" t="str">
        <x:v>Compliance IDs preserved; mandatory/conditional/optional status corrected.</x:v>
      </x:c>
    </x:row>
    <x:row r="2052">
      <x:c r="A2052" s="33" t="str">
        <x:v>RCOMP187</x:v>
      </x:c>
      <x:c r="B2052" s="33" t="str">
        <x:v>Compliance Requirement Master</x:v>
      </x:c>
      <x:c r="C2052" s="33" t="str">
        <x:v>Applicability=Mandatory; Remarks=Implementation Method: Inventory performance review SOP | Evidence indicator retained in Evidence Master: Inventory analytics report</x:v>
      </x:c>
      <x:c r="D2052" s="33" t="str">
        <x:v>Applicability=Optional; Remarks=P-4 entity-specific internal control; no independent statutory force. Activate the exact underlying legal requirement separately.</x:v>
      </x:c>
      <x:c r="E2052" s="33" t="str">
        <x:v>CORRECT / RECLASSIFY</x:v>
      </x:c>
      <x:c r="F2052" s="33" t="str">
        <x:v>Align requirements to corrected substantive provisions and applicability classifications.</x:v>
      </x:c>
      <x:c r="G2052" s="33" t="str">
        <x:v>P-4 official-source validation</x:v>
      </x:c>
      <x:c r="H205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52" s="33" t="str">
        <x:v>P-4</x:v>
      </x:c>
      <x:c r="J2052" s="33" t="str">
        <x:v>2026-08-20</x:v>
      </x:c>
      <x:c r="K2052" s="33" t="str">
        <x:v>Compliance IDs preserved; mandatory/conditional/optional status corrected.</x:v>
      </x:c>
    </x:row>
    <x:row r="2053">
      <x:c r="A2053" s="33" t="str">
        <x:v>RCOMP188</x:v>
      </x:c>
      <x:c r="B2053" s="33" t="str">
        <x:v>Compliance Requirement Master</x:v>
      </x:c>
      <x:c r="C2053" s="33" t="str">
        <x:v>Applicability=Mandatory; Remarks=Implementation Method: System health monitoring SOP | Evidence indicator retained in Evidence Master: Performance monitoring reports</x:v>
      </x:c>
      <x:c r="D2053" s="33" t="str">
        <x:v>Applicability=Optional; Remarks=P-4 entity-specific internal control; no independent statutory force. Activate the exact underlying legal requirement separately.</x:v>
      </x:c>
      <x:c r="E2053" s="33" t="str">
        <x:v>CORRECT / RECLASSIFY</x:v>
      </x:c>
      <x:c r="F2053" s="33" t="str">
        <x:v>Align requirements to corrected substantive provisions and applicability classifications.</x:v>
      </x:c>
      <x:c r="G2053" s="33" t="str">
        <x:v>P-4 official-source validation</x:v>
      </x:c>
      <x:c r="H205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53" s="33" t="str">
        <x:v>P-4</x:v>
      </x:c>
      <x:c r="J2053" s="33" t="str">
        <x:v>2026-08-20</x:v>
      </x:c>
      <x:c r="K2053" s="33" t="str">
        <x:v>Compliance IDs preserved; mandatory/conditional/optional status corrected.</x:v>
      </x:c>
    </x:row>
    <x:row r="2054">
      <x:c r="A2054" s="33" t="str">
        <x:v>RCOMP189</x:v>
      </x:c>
      <x:c r="B2054" s="33" t="str">
        <x:v>Compliance Requirement Master</x:v>
      </x:c>
      <x:c r="C2054" s="33" t="str">
        <x:v>Applicability=Mandatory; Remarks=Implementation Method: Public health collaboration SOP | Evidence indicator retained in Evidence Master: Collaboration file</x:v>
      </x:c>
      <x:c r="D2054" s="33" t="str">
        <x:v>Applicability=Optional; Remarks=P-4 entity-specific internal control; no independent statutory force. Activate the exact underlying legal requirement separately.</x:v>
      </x:c>
      <x:c r="E2054" s="33" t="str">
        <x:v>CORRECT / RECLASSIFY</x:v>
      </x:c>
      <x:c r="F2054" s="33" t="str">
        <x:v>Align requirements to corrected substantive provisions and applicability classifications.</x:v>
      </x:c>
      <x:c r="G2054" s="33" t="str">
        <x:v>P-4 official-source validation</x:v>
      </x:c>
      <x:c r="H205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54" s="33" t="str">
        <x:v>P-4</x:v>
      </x:c>
      <x:c r="J2054" s="33" t="str">
        <x:v>2026-08-20</x:v>
      </x:c>
      <x:c r="K2054" s="33" t="str">
        <x:v>Compliance IDs preserved; mandatory/conditional/optional status corrected.</x:v>
      </x:c>
    </x:row>
    <x:row r="2055">
      <x:c r="A2055" s="33" t="str">
        <x:v>RCOMP190</x:v>
      </x:c>
      <x:c r="B2055" s="33" t="str">
        <x:v>Compliance Requirement Master</x:v>
      </x:c>
      <x:c r="C2055" s="33" t="str">
        <x:v>Applicability=Mandatory; Remarks=Implementation Method: Compliance reporting SOP | Evidence indicator retained in Evidence Master: Compliance reports, management review records</x:v>
      </x:c>
      <x:c r="D2055" s="33" t="str">
        <x:v>Applicability=Optional; Remarks=P-4 entity-specific internal control; no independent statutory force. Activate the exact underlying legal requirement separately.</x:v>
      </x:c>
      <x:c r="E2055" s="33" t="str">
        <x:v>CORRECT / RECLASSIFY</x:v>
      </x:c>
      <x:c r="F2055" s="33" t="str">
        <x:v>Align requirements to corrected substantive provisions and applicability classifications.</x:v>
      </x:c>
      <x:c r="G2055" s="33" t="str">
        <x:v>P-4 official-source validation</x:v>
      </x:c>
      <x:c r="H205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55" s="33" t="str">
        <x:v>P-4</x:v>
      </x:c>
      <x:c r="J2055" s="33" t="str">
        <x:v>2026-08-20</x:v>
      </x:c>
      <x:c r="K2055" s="33" t="str">
        <x:v>Compliance IDs preserved; mandatory/conditional/optional status corrected.</x:v>
      </x:c>
    </x:row>
    <x:row r="2056">
      <x:c r="A2056" s="33" t="str">
        <x:v>RCOMP191</x:v>
      </x:c>
      <x:c r="B2056" s="33" t="str">
        <x:v>Compliance Requirement Master</x:v>
      </x:c>
      <x:c r="C2056" s="33" t="str">
        <x:v>Applicability=Mandatory; Remarks=Implementation Method: Prescription reconciliation SOP | Evidence indicator retained in Evidence Master: Reconciliation checklist, dispensing records</x:v>
      </x:c>
      <x:c r="D2056" s="33" t="str">
        <x:v>Applicability=Optional; Remarks=P-4 entity-specific internal control; no independent statutory force. Activate the exact underlying legal requirement separately.</x:v>
      </x:c>
      <x:c r="E2056" s="33" t="str">
        <x:v>CORRECT / RECLASSIFY</x:v>
      </x:c>
      <x:c r="F2056" s="33" t="str">
        <x:v>Align requirements to corrected substantive provisions and applicability classifications.</x:v>
      </x:c>
      <x:c r="G2056" s="33" t="str">
        <x:v>P-4 official-source validation</x:v>
      </x:c>
      <x:c r="H205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56" s="33" t="str">
        <x:v>P-4</x:v>
      </x:c>
      <x:c r="J2056" s="33" t="str">
        <x:v>2026-08-20</x:v>
      </x:c>
      <x:c r="K2056" s="33" t="str">
        <x:v>Compliance IDs preserved; mandatory/conditional/optional status corrected.</x:v>
      </x:c>
    </x:row>
    <x:row r="2057">
      <x:c r="A2057" s="33" t="str">
        <x:v>RCOMP192</x:v>
      </x:c>
      <x:c r="B2057" s="33" t="str">
        <x:v>Compliance Requirement Master</x:v>
      </x:c>
      <x:c r="C2057" s="33" t="str">
        <x:v>Applicability=Mandatory; Remarks=Implementation Method: Workforce monitoring SOP | Evidence indicator retained in Evidence Master: Workload reports, staffing records</x:v>
      </x:c>
      <x:c r="D2057" s="33" t="str">
        <x:v>Applicability=Optional; Remarks=P-4 entity-specific internal control; no independent statutory force. Activate the exact underlying legal requirement separately.</x:v>
      </x:c>
      <x:c r="E2057" s="33" t="str">
        <x:v>CORRECT / RECLASSIFY</x:v>
      </x:c>
      <x:c r="F2057" s="33" t="str">
        <x:v>Align requirements to corrected substantive provisions and applicability classifications.</x:v>
      </x:c>
      <x:c r="G2057" s="33" t="str">
        <x:v>P-4 official-source validation</x:v>
      </x:c>
      <x:c r="H205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57" s="33" t="str">
        <x:v>P-4</x:v>
      </x:c>
      <x:c r="J2057" s="33" t="str">
        <x:v>2026-08-20</x:v>
      </x:c>
      <x:c r="K2057" s="33" t="str">
        <x:v>Compliance IDs preserved; mandatory/conditional/optional status corrected.</x:v>
      </x:c>
    </x:row>
    <x:row r="2058">
      <x:c r="A2058" s="33" t="str">
        <x:v>RCOMP193</x:v>
      </x:c>
      <x:c r="B2058" s="33" t="str">
        <x:v>Compliance Requirement Master</x:v>
      </x:c>
      <x:c r="C2058" s="33" t="str">
        <x:v>Applicability=Mandatory; Remarks=Implementation Method: Disaster recovery management SOP | Evidence indicator retained in Evidence Master: Disaster recovery test reports</x:v>
      </x:c>
      <x:c r="D2058" s="33" t="str">
        <x:v>Applicability=Optional; Remarks=P-4 entity-specific internal control; no independent statutory force. Activate the exact underlying legal requirement separately.</x:v>
      </x:c>
      <x:c r="E2058" s="33" t="str">
        <x:v>CORRECT / RECLASSIFY</x:v>
      </x:c>
      <x:c r="F2058" s="33" t="str">
        <x:v>Align requirements to corrected substantive provisions and applicability classifications.</x:v>
      </x:c>
      <x:c r="G2058" s="33" t="str">
        <x:v>P-4 official-source validation</x:v>
      </x:c>
      <x:c r="H205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58" s="33" t="str">
        <x:v>P-4</x:v>
      </x:c>
      <x:c r="J2058" s="33" t="str">
        <x:v>2026-08-20</x:v>
      </x:c>
      <x:c r="K2058" s="33" t="str">
        <x:v>Compliance IDs preserved; mandatory/conditional/optional status corrected.</x:v>
      </x:c>
    </x:row>
    <x:row r="2059">
      <x:c r="A2059" s="33" t="str">
        <x:v>RCOMP194</x:v>
      </x:c>
      <x:c r="B2059" s="33" t="str">
        <x:v>Compliance Requirement Master</x:v>
      </x:c>
      <x:c r="C2059" s="33" t="str">
        <x:v>Applicability=Mandatory; Remarks=Implementation Method: Medicine acknowledgement SOP | Evidence indicator retained in Evidence Master: Acknowledgement records</x:v>
      </x:c>
      <x:c r="D2059" s="33" t="str">
        <x:v>Applicability=Optional; Remarks=P-4 entity-specific internal control; no independent statutory force. Activate the exact underlying legal requirement separately.</x:v>
      </x:c>
      <x:c r="E2059" s="33" t="str">
        <x:v>CORRECT / RECLASSIFY</x:v>
      </x:c>
      <x:c r="F2059" s="33" t="str">
        <x:v>Align requirements to corrected substantive provisions and applicability classifications.</x:v>
      </x:c>
      <x:c r="G2059" s="33" t="str">
        <x:v>P-4 official-source validation</x:v>
      </x:c>
      <x:c r="H205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59" s="33" t="str">
        <x:v>P-4</x:v>
      </x:c>
      <x:c r="J2059" s="33" t="str">
        <x:v>2026-08-20</x:v>
      </x:c>
      <x:c r="K2059" s="33" t="str">
        <x:v>Compliance IDs preserved; mandatory/conditional/optional status corrected.</x:v>
      </x:c>
    </x:row>
    <x:row r="2060">
      <x:c r="A2060" s="33" t="str">
        <x:v>RCOMP195</x:v>
      </x:c>
      <x:c r="B2060" s="33" t="str">
        <x:v>Compliance Requirement Master</x:v>
      </x:c>
      <x:c r="C2060" s="33" t="str">
        <x:v>Applicability=Mandatory; Remarks=Implementation Method: Statutory reporting SOP | Evidence indicator retained in Evidence Master: Submission records, statutory reports</x:v>
      </x:c>
      <x:c r="D2060" s="33" t="str">
        <x:v>Applicability=Optional; Remarks=P-4 entity-specific internal control; no independent statutory force. Activate the exact underlying legal requirement separately.</x:v>
      </x:c>
      <x:c r="E2060" s="33" t="str">
        <x:v>CORRECT / RECLASSIFY</x:v>
      </x:c>
      <x:c r="F2060" s="33" t="str">
        <x:v>Align requirements to corrected substantive provisions and applicability classifications.</x:v>
      </x:c>
      <x:c r="G2060" s="33" t="str">
        <x:v>P-4 official-source validation</x:v>
      </x:c>
      <x:c r="H206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60" s="33" t="str">
        <x:v>P-4</x:v>
      </x:c>
      <x:c r="J2060" s="33" t="str">
        <x:v>2026-08-20</x:v>
      </x:c>
      <x:c r="K2060" s="33" t="str">
        <x:v>Compliance IDs preserved; mandatory/conditional/optional status corrected.</x:v>
      </x:c>
    </x:row>
    <x:row r="2061">
      <x:c r="A2061" s="33" t="str">
        <x:v>RCOMP196</x:v>
      </x:c>
      <x:c r="B2061" s="33" t="str">
        <x:v>Compliance Requirement Master</x:v>
      </x:c>
      <x:c r="C2061" s="33" t="str">
        <x:v>Applicability=Mandatory; Remarks=Implementation Method: Customer communication preference SOP | Evidence indicator retained in Evidence Master: Customer preference records</x:v>
      </x:c>
      <x:c r="D2061" s="33" t="str">
        <x:v>Applicability=Optional; Remarks=P-4 entity-specific internal control; no independent statutory force. Activate the exact underlying legal requirement separately.</x:v>
      </x:c>
      <x:c r="E2061" s="33" t="str">
        <x:v>CORRECT / RECLASSIFY</x:v>
      </x:c>
      <x:c r="F2061" s="33" t="str">
        <x:v>Align requirements to corrected substantive provisions and applicability classifications.</x:v>
      </x:c>
      <x:c r="G2061" s="33" t="str">
        <x:v>P-4 official-source validation</x:v>
      </x:c>
      <x:c r="H206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61" s="33" t="str">
        <x:v>P-4</x:v>
      </x:c>
      <x:c r="J2061" s="33" t="str">
        <x:v>2026-08-20</x:v>
      </x:c>
      <x:c r="K2061" s="33" t="str">
        <x:v>Compliance IDs preserved; mandatory/conditional/optional status corrected.</x:v>
      </x:c>
    </x:row>
    <x:row r="2062">
      <x:c r="A2062" s="33" t="str">
        <x:v>RCOMP197</x:v>
      </x:c>
      <x:c r="B2062" s="33" t="str">
        <x:v>Compliance Requirement Master</x:v>
      </x:c>
      <x:c r="C2062" s="33" t="str">
        <x:v>Applicability=Mandatory; Remarks=Implementation Method: Demand forecasting SOP | Evidence indicator retained in Evidence Master: Forecast reports</x:v>
      </x:c>
      <x:c r="D2062" s="33" t="str">
        <x:v>Applicability=Optional; Remarks=P-4 entity-specific internal control; no independent statutory force. Activate the exact underlying legal requirement separately.</x:v>
      </x:c>
      <x:c r="E2062" s="33" t="str">
        <x:v>CORRECT / RECLASSIFY</x:v>
      </x:c>
      <x:c r="F2062" s="33" t="str">
        <x:v>Align requirements to corrected substantive provisions and applicability classifications.</x:v>
      </x:c>
      <x:c r="G2062" s="33" t="str">
        <x:v>P-4 official-source validation</x:v>
      </x:c>
      <x:c r="H206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62" s="33" t="str">
        <x:v>P-4</x:v>
      </x:c>
      <x:c r="J2062" s="33" t="str">
        <x:v>2026-08-20</x:v>
      </x:c>
      <x:c r="K2062" s="33" t="str">
        <x:v>Compliance IDs preserved; mandatory/conditional/optional status corrected.</x:v>
      </x:c>
    </x:row>
    <x:row r="2063">
      <x:c r="A2063" s="33" t="str">
        <x:v>RCOMP198</x:v>
      </x:c>
      <x:c r="B2063" s="33" t="str">
        <x:v>Compliance Requirement Master</x:v>
      </x:c>
      <x:c r="C2063" s="33" t="str">
        <x:v>Applicability=Mandatory; Remarks=Implementation Method: Database maintenance SOP | Evidence indicator retained in Evidence Master: Maintenance logs</x:v>
      </x:c>
      <x:c r="D2063" s="33" t="str">
        <x:v>Applicability=Optional; Remarks=P-4 entity-specific internal control; no independent statutory force. Activate the exact underlying legal requirement separately.</x:v>
      </x:c>
      <x:c r="E2063" s="33" t="str">
        <x:v>CORRECT / RECLASSIFY</x:v>
      </x:c>
      <x:c r="F2063" s="33" t="str">
        <x:v>Align requirements to corrected substantive provisions and applicability classifications.</x:v>
      </x:c>
      <x:c r="G2063" s="33" t="str">
        <x:v>P-4 official-source validation</x:v>
      </x:c>
      <x:c r="H206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63" s="33" t="str">
        <x:v>P-4</x:v>
      </x:c>
      <x:c r="J2063" s="33" t="str">
        <x:v>2026-08-20</x:v>
      </x:c>
      <x:c r="K2063" s="33" t="str">
        <x:v>Compliance IDs preserved; mandatory/conditional/optional status corrected.</x:v>
      </x:c>
    </x:row>
    <x:row r="2064">
      <x:c r="A2064" s="33" t="str">
        <x:v>RCOMP199</x:v>
      </x:c>
      <x:c r="B2064" s="33" t="str">
        <x:v>Compliance Requirement Master</x:v>
      </x:c>
      <x:c r="C2064" s="33" t="str">
        <x:v>Applicability=Mandatory; Remarks=Implementation Method: Public health evaluation SOP | Evidence indicator retained in Evidence Master: Evaluation reports</x:v>
      </x:c>
      <x:c r="D2064" s="33" t="str">
        <x:v>Applicability=Optional; Remarks=P-4 entity-specific internal control; no independent statutory force. Activate the exact underlying legal requirement separately.</x:v>
      </x:c>
      <x:c r="E2064" s="33" t="str">
        <x:v>CORRECT / RECLASSIFY</x:v>
      </x:c>
      <x:c r="F2064" s="33" t="str">
        <x:v>Align requirements to corrected substantive provisions and applicability classifications.</x:v>
      </x:c>
      <x:c r="G2064" s="33" t="str">
        <x:v>P-4 official-source validation</x:v>
      </x:c>
      <x:c r="H206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64" s="33" t="str">
        <x:v>P-4</x:v>
      </x:c>
      <x:c r="J2064" s="33" t="str">
        <x:v>2026-08-20</x:v>
      </x:c>
      <x:c r="K2064" s="33" t="str">
        <x:v>Compliance IDs preserved; mandatory/conditional/optional status corrected.</x:v>
      </x:c>
    </x:row>
    <x:row r="2065">
      <x:c r="A2065" s="33" t="str">
        <x:v>RCOMP200</x:v>
      </x:c>
      <x:c r="B2065" s="33" t="str">
        <x:v>Compliance Requirement Master</x:v>
      </x:c>
      <x:c r="C2065" s="33" t="str">
        <x:v>Applicability=Mandatory; Remarks=Implementation Method: Regulatory strategy management SOP | Evidence indicator retained in Evidence Master: Compliance strategy document</x:v>
      </x:c>
      <x:c r="D2065" s="33" t="str">
        <x:v>Applicability=Optional; Remarks=P-4 entity-specific internal control; no independent statutory force. Activate the exact underlying legal requirement separately.</x:v>
      </x:c>
      <x:c r="E2065" s="33" t="str">
        <x:v>CORRECT / RECLASSIFY</x:v>
      </x:c>
      <x:c r="F2065" s="33" t="str">
        <x:v>Align requirements to corrected substantive provisions and applicability classifications.</x:v>
      </x:c>
      <x:c r="G2065" s="33" t="str">
        <x:v>P-4 official-source validation</x:v>
      </x:c>
      <x:c r="H206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65" s="33" t="str">
        <x:v>P-4</x:v>
      </x:c>
      <x:c r="J2065" s="33" t="str">
        <x:v>2026-08-20</x:v>
      </x:c>
      <x:c r="K2065" s="33" t="str">
        <x:v>Compliance IDs preserved; mandatory/conditional/optional status corrected.</x:v>
      </x:c>
    </x:row>
    <x:row r="2066">
      <x:c r="A2066" s="33" t="str">
        <x:v>RCOMP201</x:v>
      </x:c>
      <x:c r="B2066" s="33" t="str">
        <x:v>Compliance Requirement Master</x:v>
      </x:c>
      <x:c r="C2066" s="33" t="str">
        <x:v>Applicability=Mandatory; Remarks=Implementation Method: Peak-hour operations SOP | Evidence indicator retained in Evidence Master: Peak-hour KPI reports</x:v>
      </x:c>
      <x:c r="D2066" s="33" t="str">
        <x:v>Applicability=Optional; Remarks=P-4 entity-specific internal control; no independent statutory force. Activate the exact underlying legal requirement separately.</x:v>
      </x:c>
      <x:c r="E2066" s="33" t="str">
        <x:v>CORRECT / RECLASSIFY</x:v>
      </x:c>
      <x:c r="F2066" s="33" t="str">
        <x:v>Align requirements to corrected substantive provisions and applicability classifications.</x:v>
      </x:c>
      <x:c r="G2066" s="33" t="str">
        <x:v>P-4 official-source validation</x:v>
      </x:c>
      <x:c r="H206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66" s="33" t="str">
        <x:v>P-4</x:v>
      </x:c>
      <x:c r="J2066" s="33" t="str">
        <x:v>2026-08-20</x:v>
      </x:c>
      <x:c r="K2066" s="33" t="str">
        <x:v>Compliance IDs preserved; mandatory/conditional/optional status corrected.</x:v>
      </x:c>
    </x:row>
    <x:row r="2067">
      <x:c r="A2067" s="33" t="str">
        <x:v>RCOMP202</x:v>
      </x:c>
      <x:c r="B2067" s="33" t="str">
        <x:v>Compliance Requirement Master</x:v>
      </x:c>
      <x:c r="C2067" s="33" t="str">
        <x:v>Applicability=Mandatory; Remarks=Implementation Method: Authorization matrix SOP | Evidence indicator retained in Evidence Master: Authorization matrix</x:v>
      </x:c>
      <x:c r="D2067" s="33" t="str">
        <x:v>Applicability=Optional; Remarks=P-4 entity-specific internal control; no independent statutory force. Activate the exact underlying legal requirement separately.</x:v>
      </x:c>
      <x:c r="E2067" s="33" t="str">
        <x:v>CORRECT / RECLASSIFY</x:v>
      </x:c>
      <x:c r="F2067" s="33" t="str">
        <x:v>Align requirements to corrected substantive provisions and applicability classifications.</x:v>
      </x:c>
      <x:c r="G2067" s="33" t="str">
        <x:v>P-4 official-source validation</x:v>
      </x:c>
      <x:c r="H206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67" s="33" t="str">
        <x:v>P-4</x:v>
      </x:c>
      <x:c r="J2067" s="33" t="str">
        <x:v>2026-08-20</x:v>
      </x:c>
      <x:c r="K2067" s="33" t="str">
        <x:v>Compliance IDs preserved; mandatory/conditional/optional status corrected.</x:v>
      </x:c>
    </x:row>
    <x:row r="2068">
      <x:c r="A2068" s="33" t="str">
        <x:v>RCOMP203</x:v>
      </x:c>
      <x:c r="B2068" s="33" t="str">
        <x:v>Compliance Requirement Master</x:v>
      </x:c>
      <x:c r="C2068" s="33" t="str">
        <x:v>Applicability=Mandatory; Remarks=Implementation Method: API security SOP | Evidence indicator retained in Evidence Master: API security assessment</x:v>
      </x:c>
      <x:c r="D2068" s="33" t="str">
        <x:v>Applicability=Optional; Remarks=P-4 entity-specific internal control; no independent statutory force. Activate the exact underlying legal requirement separately.</x:v>
      </x:c>
      <x:c r="E2068" s="33" t="str">
        <x:v>CORRECT / RECLASSIFY</x:v>
      </x:c>
      <x:c r="F2068" s="33" t="str">
        <x:v>Align requirements to corrected substantive provisions and applicability classifications.</x:v>
      </x:c>
      <x:c r="G2068" s="33" t="str">
        <x:v>P-4 official-source validation</x:v>
      </x:c>
      <x:c r="H206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68" s="33" t="str">
        <x:v>P-4</x:v>
      </x:c>
      <x:c r="J2068" s="33" t="str">
        <x:v>2026-08-20</x:v>
      </x:c>
      <x:c r="K2068" s="33" t="str">
        <x:v>Compliance IDs preserved; mandatory/conditional/optional status corrected.</x:v>
      </x:c>
    </x:row>
    <x:row r="2069">
      <x:c r="A2069" s="33" t="str">
        <x:v>RCOMP204</x:v>
      </x:c>
      <x:c r="B2069" s="33" t="str">
        <x:v>Compliance Requirement Master</x:v>
      </x:c>
      <x:c r="C2069" s="33" t="str">
        <x:v>Applicability=Mandatory; Remarks=Implementation Method: Documentation audit SOP | Evidence indicator retained in Evidence Master: Audit reports</x:v>
      </x:c>
      <x:c r="D2069" s="33" t="str">
        <x:v>Applicability=Optional; Remarks=P-4 entity-specific internal control; no independent statutory force. Activate the exact underlying legal requirement separately.</x:v>
      </x:c>
      <x:c r="E2069" s="33" t="str">
        <x:v>CORRECT / RECLASSIFY</x:v>
      </x:c>
      <x:c r="F2069" s="33" t="str">
        <x:v>Align requirements to corrected substantive provisions and applicability classifications.</x:v>
      </x:c>
      <x:c r="G2069" s="33" t="str">
        <x:v>P-4 official-source validation</x:v>
      </x:c>
      <x:c r="H206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69" s="33" t="str">
        <x:v>P-4</x:v>
      </x:c>
      <x:c r="J2069" s="33" t="str">
        <x:v>2026-08-20</x:v>
      </x:c>
      <x:c r="K2069" s="33" t="str">
        <x:v>Compliance IDs preserved; mandatory/conditional/optional status corrected.</x:v>
      </x:c>
    </x:row>
    <x:row r="2070">
      <x:c r="A2070" s="33" t="str">
        <x:v>RCOMP205</x:v>
      </x:c>
      <x:c r="B2070" s="33" t="str">
        <x:v>Compliance Requirement Master</x:v>
      </x:c>
      <x:c r="C2070" s="33" t="str">
        <x:v>Applicability=Mandatory; Remarks=Implementation Method: Regulatory action tracking SOP | Evidence indicator retained in Evidence Master: Action tracker</x:v>
      </x:c>
      <x:c r="D2070" s="33" t="str">
        <x:v>Applicability=Optional; Remarks=P-4 entity-specific internal control; no independent statutory force. Activate the exact underlying legal requirement separately.</x:v>
      </x:c>
      <x:c r="E2070" s="33" t="str">
        <x:v>CORRECT / RECLASSIFY</x:v>
      </x:c>
      <x:c r="F2070" s="33" t="str">
        <x:v>Align requirements to corrected substantive provisions and applicability classifications.</x:v>
      </x:c>
      <x:c r="G2070" s="33" t="str">
        <x:v>P-4 official-source validation</x:v>
      </x:c>
      <x:c r="H207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70" s="33" t="str">
        <x:v>P-4</x:v>
      </x:c>
      <x:c r="J2070" s="33" t="str">
        <x:v>2026-08-20</x:v>
      </x:c>
      <x:c r="K2070" s="33" t="str">
        <x:v>Compliance IDs preserved; mandatory/conditional/optional status corrected.</x:v>
      </x:c>
    </x:row>
    <x:row r="2071">
      <x:c r="A2071" s="33" t="str">
        <x:v>RCOMP206</x:v>
      </x:c>
      <x:c r="B2071" s="33" t="str">
        <x:v>Compliance Requirement Master</x:v>
      </x:c>
      <x:c r="C2071" s="33" t="str">
        <x:v>Applicability=Mandatory; Remarks=Implementation Method: Mobile application governance SOP | Evidence indicator retained in Evidence Master: Mobile application security reports</x:v>
      </x:c>
      <x:c r="D2071" s="33" t="str">
        <x:v>Applicability=Optional; Remarks=P-4 entity-specific internal control; no independent statutory force. Activate the exact underlying legal requirement separately.</x:v>
      </x:c>
      <x:c r="E2071" s="33" t="str">
        <x:v>CORRECT / RECLASSIFY</x:v>
      </x:c>
      <x:c r="F2071" s="33" t="str">
        <x:v>Align requirements to corrected substantive provisions and applicability classifications.</x:v>
      </x:c>
      <x:c r="G2071" s="33" t="str">
        <x:v>P-4 official-source validation</x:v>
      </x:c>
      <x:c r="H207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71" s="33" t="str">
        <x:v>P-4</x:v>
      </x:c>
      <x:c r="J2071" s="33" t="str">
        <x:v>2026-08-20</x:v>
      </x:c>
      <x:c r="K2071" s="33" t="str">
        <x:v>Compliance IDs preserved; mandatory/conditional/optional status corrected.</x:v>
      </x:c>
    </x:row>
    <x:row r="2072">
      <x:c r="A2072" s="33" t="str">
        <x:v>RCOMP207</x:v>
      </x:c>
      <x:c r="B2072" s="33" t="str">
        <x:v>Compliance Requirement Master</x:v>
      </x:c>
      <x:c r="C2072" s="33" t="str">
        <x:v>Applicability=Mandatory; Remarks=Implementation Method: Inventory analytics SOP | Evidence indicator retained in Evidence Master: Analytics reports</x:v>
      </x:c>
      <x:c r="D2072" s="33" t="str">
        <x:v>Applicability=Optional; Remarks=P-4 entity-specific internal control; no independent statutory force. Activate the exact underlying legal requirement separately.</x:v>
      </x:c>
      <x:c r="E2072" s="33" t="str">
        <x:v>CORRECT / RECLASSIFY</x:v>
      </x:c>
      <x:c r="F2072" s="33" t="str">
        <x:v>Align requirements to corrected substantive provisions and applicability classifications.</x:v>
      </x:c>
      <x:c r="G2072" s="33" t="str">
        <x:v>P-4 official-source validation</x:v>
      </x:c>
      <x:c r="H207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72" s="33" t="str">
        <x:v>P-4</x:v>
      </x:c>
      <x:c r="J2072" s="33" t="str">
        <x:v>2026-08-20</x:v>
      </x:c>
      <x:c r="K2072" s="33" t="str">
        <x:v>Compliance IDs preserved; mandatory/conditional/optional status corrected.</x:v>
      </x:c>
    </x:row>
    <x:row r="2073">
      <x:c r="A2073" s="33" t="str">
        <x:v>RCOMP208</x:v>
      </x:c>
      <x:c r="B2073" s="33" t="str">
        <x:v>Compliance Requirement Master</x:v>
      </x:c>
      <x:c r="C2073" s="33" t="str">
        <x:v>Applicability=Mandatory; Remarks=Implementation Method: Infrastructure monitoring SOP | Evidence indicator retained in Evidence Master: Infrastructure monitoring reports</x:v>
      </x:c>
      <x:c r="D2073" s="33" t="str">
        <x:v>Applicability=Optional; Remarks=P-4 entity-specific internal control; no independent statutory force. Activate the exact underlying legal requirement separately.</x:v>
      </x:c>
      <x:c r="E2073" s="33" t="str">
        <x:v>CORRECT / RECLASSIFY</x:v>
      </x:c>
      <x:c r="F2073" s="33" t="str">
        <x:v>Align requirements to corrected substantive provisions and applicability classifications.</x:v>
      </x:c>
      <x:c r="G2073" s="33" t="str">
        <x:v>P-4 official-source validation</x:v>
      </x:c>
      <x:c r="H207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73" s="33" t="str">
        <x:v>P-4</x:v>
      </x:c>
      <x:c r="J2073" s="33" t="str">
        <x:v>2026-08-20</x:v>
      </x:c>
      <x:c r="K2073" s="33" t="str">
        <x:v>Compliance IDs preserved; mandatory/conditional/optional status corrected.</x:v>
      </x:c>
    </x:row>
    <x:row r="2074">
      <x:c r="A2074" s="33" t="str">
        <x:v>RCOMP209</x:v>
      </x:c>
      <x:c r="B2074" s="33" t="str">
        <x:v>Compliance Requirement Master</x:v>
      </x:c>
      <x:c r="C2074" s="33" t="str">
        <x:v>Applicability=Mandatory; Remarks=Implementation Method: Healthcare partnership SOP | Evidence indicator retained in Evidence Master: Partnership agreements</x:v>
      </x:c>
      <x:c r="D2074" s="33" t="str">
        <x:v>Applicability=Optional; Remarks=P-4 entity-specific internal control; no independent statutory force. Activate the exact underlying legal requirement separately.</x:v>
      </x:c>
      <x:c r="E2074" s="33" t="str">
        <x:v>CORRECT / RECLASSIFY</x:v>
      </x:c>
      <x:c r="F2074" s="33" t="str">
        <x:v>Align requirements to corrected substantive provisions and applicability classifications.</x:v>
      </x:c>
      <x:c r="G2074" s="33" t="str">
        <x:v>P-4 official-source validation</x:v>
      </x:c>
      <x:c r="H207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74" s="33" t="str">
        <x:v>P-4</x:v>
      </x:c>
      <x:c r="J2074" s="33" t="str">
        <x:v>2026-08-20</x:v>
      </x:c>
      <x:c r="K2074" s="33" t="str">
        <x:v>Compliance IDs preserved; mandatory/conditional/optional status corrected.</x:v>
      </x:c>
    </x:row>
    <x:row r="2075">
      <x:c r="A2075" s="33" t="str">
        <x:v>RCOMP210</x:v>
      </x:c>
      <x:c r="B2075" s="33" t="str">
        <x:v>Compliance Requirement Master</x:v>
      </x:c>
      <x:c r="C2075" s="33" t="str">
        <x:v>Applicability=Mandatory; Remarks=Implementation Method: Compliance programme review SOP | Evidence indicator retained in Evidence Master: Programme review report</x:v>
      </x:c>
      <x:c r="D2075" s="33" t="str">
        <x:v>Applicability=Optional; Remarks=P-4 entity-specific internal control; no independent statutory force. Activate the exact underlying legal requirement separately.</x:v>
      </x:c>
      <x:c r="E2075" s="33" t="str">
        <x:v>CORRECT / RECLASSIFY</x:v>
      </x:c>
      <x:c r="F2075" s="33" t="str">
        <x:v>Align requirements to corrected substantive provisions and applicability classifications.</x:v>
      </x:c>
      <x:c r="G2075" s="33" t="str">
        <x:v>P-4 official-source validation</x:v>
      </x:c>
      <x:c r="H207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75" s="33" t="str">
        <x:v>P-4</x:v>
      </x:c>
      <x:c r="J2075" s="33" t="str">
        <x:v>2026-08-20</x:v>
      </x:c>
      <x:c r="K2075" s="33" t="str">
        <x:v>Compliance IDs preserved; mandatory/conditional/optional status corrected.</x:v>
      </x:c>
    </x:row>
    <x:row r="2076">
      <x:c r="A2076" s="33" t="str">
        <x:v>RCOMP211</x:v>
      </x:c>
      <x:c r="B2076" s="33" t="str">
        <x:v>Compliance Requirement Master</x:v>
      </x:c>
      <x:c r="C2076" s="33" t="str">
        <x:v>Applicability=Mandatory; Remarks=Implementation Method: Business continuity testing SOP | Evidence indicator retained in Evidence Master: Test report, CAPA records</x:v>
      </x:c>
      <x:c r="D2076" s="33" t="str">
        <x:v>Applicability=Optional; Remarks=P-4 entity-specific internal control; no independent statutory force. Activate the exact underlying legal requirement separately.</x:v>
      </x:c>
      <x:c r="E2076" s="33" t="str">
        <x:v>CORRECT / RECLASSIFY</x:v>
      </x:c>
      <x:c r="F2076" s="33" t="str">
        <x:v>Align requirements to corrected substantive provisions and applicability classifications.</x:v>
      </x:c>
      <x:c r="G2076" s="33" t="str">
        <x:v>P-4 official-source validation</x:v>
      </x:c>
      <x:c r="H207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76" s="33" t="str">
        <x:v>P-4</x:v>
      </x:c>
      <x:c r="J2076" s="33" t="str">
        <x:v>2026-08-20</x:v>
      </x:c>
      <x:c r="K2076" s="33" t="str">
        <x:v>Compliance IDs preserved; mandatory/conditional/optional status corrected.</x:v>
      </x:c>
    </x:row>
    <x:row r="2077">
      <x:c r="A2077" s="33" t="str">
        <x:v>RCOMP212</x:v>
      </x:c>
      <x:c r="B2077" s="33" t="str">
        <x:v>Compliance Requirement Master</x:v>
      </x:c>
      <x:c r="C2077" s="33" t="str">
        <x:v>Applicability=Mandatory; Remarks=Implementation Method: Cross-training programme SOP | Evidence indicator retained in Evidence Master: Training records, competency assessments</x:v>
      </x:c>
      <x:c r="D2077" s="33" t="str">
        <x:v>Applicability=Optional; Remarks=P-4 entity-specific internal control; no independent statutory force. Activate the exact underlying legal requirement separately.</x:v>
      </x:c>
      <x:c r="E2077" s="33" t="str">
        <x:v>CORRECT / RECLASSIFY</x:v>
      </x:c>
      <x:c r="F2077" s="33" t="str">
        <x:v>Align requirements to corrected substantive provisions and applicability classifications.</x:v>
      </x:c>
      <x:c r="G2077" s="33" t="str">
        <x:v>P-4 official-source validation</x:v>
      </x:c>
      <x:c r="H207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77" s="33" t="str">
        <x:v>P-4</x:v>
      </x:c>
      <x:c r="J2077" s="33" t="str">
        <x:v>2026-08-20</x:v>
      </x:c>
      <x:c r="K2077" s="33" t="str">
        <x:v>Compliance IDs preserved; mandatory/conditional/optional status corrected.</x:v>
      </x:c>
    </x:row>
    <x:row r="2078">
      <x:c r="A2078" s="33" t="str">
        <x:v>RCOMP213</x:v>
      </x:c>
      <x:c r="B2078" s="33" t="str">
        <x:v>Compliance Requirement Master</x:v>
      </x:c>
      <x:c r="C2078" s="33" t="str">
        <x:v>Applicability=Mandatory; Remarks=Implementation Method: Customer portal security SOP | Evidence indicator retained in Evidence Master: Portal security logs</x:v>
      </x:c>
      <x:c r="D2078" s="33" t="str">
        <x:v>Applicability=Optional; Remarks=P-4 entity-specific internal control; no independent statutory force. Activate the exact underlying legal requirement separately.</x:v>
      </x:c>
      <x:c r="E2078" s="33" t="str">
        <x:v>CORRECT / RECLASSIFY</x:v>
      </x:c>
      <x:c r="F2078" s="33" t="str">
        <x:v>Align requirements to corrected substantive provisions and applicability classifications.</x:v>
      </x:c>
      <x:c r="G2078" s="33" t="str">
        <x:v>P-4 official-source validation</x:v>
      </x:c>
      <x:c r="H207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78" s="33" t="str">
        <x:v>P-4</x:v>
      </x:c>
      <x:c r="J2078" s="33" t="str">
        <x:v>2026-08-20</x:v>
      </x:c>
      <x:c r="K2078" s="33" t="str">
        <x:v>Compliance IDs preserved; mandatory/conditional/optional status corrected.</x:v>
      </x:c>
    </x:row>
    <x:row r="2079">
      <x:c r="A2079" s="33" t="str">
        <x:v>RCOMP214</x:v>
      </x:c>
      <x:c r="B2079" s="33" t="str">
        <x:v>Compliance Requirement Master</x:v>
      </x:c>
      <x:c r="C2079" s="33" t="str">
        <x:v>Applicability=Mandatory; Remarks=Implementation Method: Dispensing quality assessment SOP | Evidence indicator retained in Evidence Master: Quality assessment reports</x:v>
      </x:c>
      <x:c r="D2079" s="33" t="str">
        <x:v>Applicability=Optional; Remarks=P-4 entity-specific internal control; no independent statutory force. Activate the exact underlying legal requirement separately.</x:v>
      </x:c>
      <x:c r="E2079" s="33" t="str">
        <x:v>CORRECT / RECLASSIFY</x:v>
      </x:c>
      <x:c r="F2079" s="33" t="str">
        <x:v>Align requirements to corrected substantive provisions and applicability classifications.</x:v>
      </x:c>
      <x:c r="G2079" s="33" t="str">
        <x:v>P-4 official-source validation</x:v>
      </x:c>
      <x:c r="H207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79" s="33" t="str">
        <x:v>P-4</x:v>
      </x:c>
      <x:c r="J2079" s="33" t="str">
        <x:v>2026-08-20</x:v>
      </x:c>
      <x:c r="K2079" s="33" t="str">
        <x:v>Compliance IDs preserved; mandatory/conditional/optional status corrected.</x:v>
      </x:c>
    </x:row>
    <x:row r="2080">
      <x:c r="A2080" s="33" t="str">
        <x:v>RCOMP215</x:v>
      </x:c>
      <x:c r="B2080" s="33" t="str">
        <x:v>Compliance Requirement Master</x:v>
      </x:c>
      <x:c r="C2080" s="33" t="str">
        <x:v>Applicability=Mandatory; Remarks=Implementation Method: Compliance escalation SOP | Evidence indicator retained in Evidence Master: Escalation register</x:v>
      </x:c>
      <x:c r="D2080" s="33" t="str">
        <x:v>Applicability=Optional; Remarks=P-4 entity-specific internal control; no independent statutory force. Activate the exact underlying legal requirement separately.</x:v>
      </x:c>
      <x:c r="E2080" s="33" t="str">
        <x:v>CORRECT / RECLASSIFY</x:v>
      </x:c>
      <x:c r="F2080" s="33" t="str">
        <x:v>Align requirements to corrected substantive provisions and applicability classifications.</x:v>
      </x:c>
      <x:c r="G2080" s="33" t="str">
        <x:v>P-4 official-source validation</x:v>
      </x:c>
      <x:c r="H208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80" s="33" t="str">
        <x:v>P-4</x:v>
      </x:c>
      <x:c r="J2080" s="33" t="str">
        <x:v>2026-08-20</x:v>
      </x:c>
      <x:c r="K2080" s="33" t="str">
        <x:v>Compliance IDs preserved; mandatory/conditional/optional status corrected.</x:v>
      </x:c>
    </x:row>
    <x:row r="2081">
      <x:c r="A2081" s="33" t="str">
        <x:v>RCOMP216</x:v>
      </x:c>
      <x:c r="B2081" s="33" t="str">
        <x:v>Compliance Requirement Master</x:v>
      </x:c>
      <x:c r="C2081" s="33" t="str">
        <x:v>Applicability=Mandatory; Remarks=Implementation Method: Online order validation SOP | Evidence indicator retained in Evidence Master: Order validation records</x:v>
      </x:c>
      <x:c r="D2081" s="33" t="str">
        <x:v>Applicability=Optional; Remarks=P-4 entity-specific internal control; no independent statutory force. Activate the exact underlying legal requirement separately.</x:v>
      </x:c>
      <x:c r="E2081" s="33" t="str">
        <x:v>CORRECT / RECLASSIFY</x:v>
      </x:c>
      <x:c r="F2081" s="33" t="str">
        <x:v>Align requirements to corrected substantive provisions and applicability classifications.</x:v>
      </x:c>
      <x:c r="G2081" s="33" t="str">
        <x:v>P-4 official-source validation</x:v>
      </x:c>
      <x:c r="H208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81" s="33" t="str">
        <x:v>P-4</x:v>
      </x:c>
      <x:c r="J2081" s="33" t="str">
        <x:v>2026-08-20</x:v>
      </x:c>
      <x:c r="K2081" s="33" t="str">
        <x:v>Compliance IDs preserved; mandatory/conditional/optional status corrected.</x:v>
      </x:c>
    </x:row>
    <x:row r="2082">
      <x:c r="A2082" s="33" t="str">
        <x:v>RCOMP217</x:v>
      </x:c>
      <x:c r="B2082" s="33" t="str">
        <x:v>Compliance Requirement Master</x:v>
      </x:c>
      <x:c r="C2082" s="33" t="str">
        <x:v>Applicability=Mandatory; Remarks=Implementation Method: Inventory benchmarking SOP | Evidence indicator retained in Evidence Master: KPI benchmark reports</x:v>
      </x:c>
      <x:c r="D2082" s="33" t="str">
        <x:v>Applicability=Optional; Remarks=P-4 entity-specific internal control; no independent statutory force. Activate the exact underlying legal requirement separately.</x:v>
      </x:c>
      <x:c r="E2082" s="33" t="str">
        <x:v>CORRECT / RECLASSIFY</x:v>
      </x:c>
      <x:c r="F2082" s="33" t="str">
        <x:v>Align requirements to corrected substantive provisions and applicability classifications.</x:v>
      </x:c>
      <x:c r="G2082" s="33" t="str">
        <x:v>P-4 official-source validation</x:v>
      </x:c>
      <x:c r="H208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82" s="33" t="str">
        <x:v>P-4</x:v>
      </x:c>
      <x:c r="J2082" s="33" t="str">
        <x:v>2026-08-20</x:v>
      </x:c>
      <x:c r="K2082" s="33" t="str">
        <x:v>Compliance IDs preserved; mandatory/conditional/optional status corrected.</x:v>
      </x:c>
    </x:row>
    <x:row r="2083">
      <x:c r="A2083" s="33" t="str">
        <x:v>RCOMP218</x:v>
      </x:c>
      <x:c r="B2083" s="33" t="str">
        <x:v>Compliance Requirement Master</x:v>
      </x:c>
      <x:c r="C2083" s="33" t="str">
        <x:v>Applicability=Mandatory; Remarks=Implementation Method: Endpoint security SOP | Evidence indicator retained in Evidence Master: Endpoint compliance reports</x:v>
      </x:c>
      <x:c r="D2083" s="33" t="str">
        <x:v>Applicability=Optional; Remarks=P-4 entity-specific internal control; no independent statutory force. Activate the exact underlying legal requirement separately.</x:v>
      </x:c>
      <x:c r="E2083" s="33" t="str">
        <x:v>CORRECT / RECLASSIFY</x:v>
      </x:c>
      <x:c r="F2083" s="33" t="str">
        <x:v>Align requirements to corrected substantive provisions and applicability classifications.</x:v>
      </x:c>
      <x:c r="G2083" s="33" t="str">
        <x:v>P-4 official-source validation</x:v>
      </x:c>
      <x:c r="H208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83" s="33" t="str">
        <x:v>P-4</x:v>
      </x:c>
      <x:c r="J2083" s="33" t="str">
        <x:v>2026-08-20</x:v>
      </x:c>
      <x:c r="K2083" s="33" t="str">
        <x:v>Compliance IDs preserved; mandatory/conditional/optional status corrected.</x:v>
      </x:c>
    </x:row>
    <x:row r="2084">
      <x:c r="A2084" s="33" t="str">
        <x:v>RCOMP219</x:v>
      </x:c>
      <x:c r="B2084" s="33" t="str">
        <x:v>Compliance Requirement Master</x:v>
      </x:c>
      <x:c r="C2084" s="33" t="str">
        <x:v>Applicability=Mandatory; Remarks=Implementation Method: Community wellness SOP | Evidence indicator retained in Evidence Master: Programme reports</x:v>
      </x:c>
      <x:c r="D2084" s="33" t="str">
        <x:v>Applicability=Optional; Remarks=P-4 entity-specific internal control; no independent statutory force. Activate the exact underlying legal requirement separately.</x:v>
      </x:c>
      <x:c r="E2084" s="33" t="str">
        <x:v>CORRECT / RECLASSIFY</x:v>
      </x:c>
      <x:c r="F2084" s="33" t="str">
        <x:v>Align requirements to corrected substantive provisions and applicability classifications.</x:v>
      </x:c>
      <x:c r="G2084" s="33" t="str">
        <x:v>P-4 official-source validation</x:v>
      </x:c>
      <x:c r="H208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84" s="33" t="str">
        <x:v>P-4</x:v>
      </x:c>
      <x:c r="J2084" s="33" t="str">
        <x:v>2026-08-20</x:v>
      </x:c>
      <x:c r="K2084" s="33" t="str">
        <x:v>Compliance IDs preserved; mandatory/conditional/optional status corrected.</x:v>
      </x:c>
    </x:row>
    <x:row r="2085">
      <x:c r="A2085" s="33" t="str">
        <x:v>RCOMP220</x:v>
      </x:c>
      <x:c r="B2085" s="33" t="str">
        <x:v>Compliance Requirement Master</x:v>
      </x:c>
      <x:c r="C2085" s="33" t="str">
        <x:v>Applicability=Mandatory; Remarks=Implementation Method: Compliance effectiveness assessment SOP | Evidence indicator retained in Evidence Master: Effectiveness assessment report</x:v>
      </x:c>
      <x:c r="D2085" s="33" t="str">
        <x:v>Applicability=Optional; Remarks=P-4 entity-specific internal control; no independent statutory force. Activate the exact underlying legal requirement separately.</x:v>
      </x:c>
      <x:c r="E2085" s="33" t="str">
        <x:v>CORRECT / RECLASSIFY</x:v>
      </x:c>
      <x:c r="F2085" s="33" t="str">
        <x:v>Align requirements to corrected substantive provisions and applicability classifications.</x:v>
      </x:c>
      <x:c r="G2085" s="33" t="str">
        <x:v>P-4 official-source validation</x:v>
      </x:c>
      <x:c r="H208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85" s="33" t="str">
        <x:v>P-4</x:v>
      </x:c>
      <x:c r="J2085" s="33" t="str">
        <x:v>2026-08-20</x:v>
      </x:c>
      <x:c r="K2085" s="33" t="str">
        <x:v>Compliance IDs preserved; mandatory/conditional/optional status corrected.</x:v>
      </x:c>
    </x:row>
    <x:row r="2086">
      <x:c r="A2086" s="33" t="str">
        <x:v>RCOMP221</x:v>
      </x:c>
      <x:c r="B2086" s="33" t="str">
        <x:v>Compliance Requirement Master</x:v>
      </x:c>
      <x:c r="C2086" s="33" t="str">
        <x:v>Applicability=Mandatory; Remarks=Implementation Method: Seasonal inventory planning SOP | Evidence indicator retained in Evidence Master: Seasonal demand forecast</x:v>
      </x:c>
      <x:c r="D2086" s="33" t="str">
        <x:v>Applicability=Optional; Remarks=P-4 entity-specific internal control; no independent statutory force. Activate the exact underlying legal requirement separately.</x:v>
      </x:c>
      <x:c r="E2086" s="33" t="str">
        <x:v>CORRECT / RECLASSIFY</x:v>
      </x:c>
      <x:c r="F2086" s="33" t="str">
        <x:v>Align requirements to corrected substantive provisions and applicability classifications.</x:v>
      </x:c>
      <x:c r="G2086" s="33" t="str">
        <x:v>P-4 official-source validation</x:v>
      </x:c>
      <x:c r="H208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86" s="33" t="str">
        <x:v>P-4</x:v>
      </x:c>
      <x:c r="J2086" s="33" t="str">
        <x:v>2026-08-20</x:v>
      </x:c>
      <x:c r="K2086" s="33" t="str">
        <x:v>Compliance IDs preserved; mandatory/conditional/optional status corrected.</x:v>
      </x:c>
    </x:row>
    <x:row r="2087">
      <x:c r="A2087" s="33" t="str">
        <x:v>RCOMP222</x:v>
      </x:c>
      <x:c r="B2087" s="33" t="str">
        <x:v>Compliance Requirement Master</x:v>
      </x:c>
      <x:c r="C2087" s="33" t="str">
        <x:v>Applicability=Mandatory; Remarks=Implementation Method: Temporary staff onboarding SOP | Evidence indicator retained in Evidence Master: Orientation checklist, competency records</x:v>
      </x:c>
      <x:c r="D2087" s="33" t="str">
        <x:v>Applicability=Optional; Remarks=P-4 entity-specific internal control; no independent statutory force. Activate the exact underlying legal requirement separately.</x:v>
      </x:c>
      <x:c r="E2087" s="33" t="str">
        <x:v>CORRECT / RECLASSIFY</x:v>
      </x:c>
      <x:c r="F2087" s="33" t="str">
        <x:v>Align requirements to corrected substantive provisions and applicability classifications.</x:v>
      </x:c>
      <x:c r="G2087" s="33" t="str">
        <x:v>P-4 official-source validation</x:v>
      </x:c>
      <x:c r="H208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87" s="33" t="str">
        <x:v>P-4</x:v>
      </x:c>
      <x:c r="J2087" s="33" t="str">
        <x:v>2026-08-20</x:v>
      </x:c>
      <x:c r="K2087" s="33" t="str">
        <x:v>Compliance IDs preserved; mandatory/conditional/optional status corrected.</x:v>
      </x:c>
    </x:row>
    <x:row r="2088">
      <x:c r="A2088" s="33" t="str">
        <x:v>RCOMP223</x:v>
      </x:c>
      <x:c r="B2088" s="33" t="str">
        <x:v>Compliance Requirement Master</x:v>
      </x:c>
      <x:c r="C2088" s="33" t="str">
        <x:v>Applicability=Mandatory; Remarks=Implementation Method: Consent withdrawal SOP | Evidence indicator retained in Evidence Master: Consent withdrawal register</x:v>
      </x:c>
      <x:c r="D2088" s="33" t="str">
        <x:v>Applicability=Optional; Remarks=P-4 entity-specific internal control; no independent statutory force. Activate the exact underlying legal requirement separately.</x:v>
      </x:c>
      <x:c r="E2088" s="33" t="str">
        <x:v>CORRECT / RECLASSIFY</x:v>
      </x:c>
      <x:c r="F2088" s="33" t="str">
        <x:v>Align requirements to corrected substantive provisions and applicability classifications.</x:v>
      </x:c>
      <x:c r="G2088" s="33" t="str">
        <x:v>P-4 official-source validation</x:v>
      </x:c>
      <x:c r="H208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88" s="33" t="str">
        <x:v>P-4</x:v>
      </x:c>
      <x:c r="J2088" s="33" t="str">
        <x:v>2026-08-20</x:v>
      </x:c>
      <x:c r="K2088" s="33" t="str">
        <x:v>Compliance IDs preserved; mandatory/conditional/optional status corrected.</x:v>
      </x:c>
    </x:row>
    <x:row r="2089">
      <x:c r="A2089" s="33" t="str">
        <x:v>RCOMP224</x:v>
      </x:c>
      <x:c r="B2089" s="33" t="str">
        <x:v>Compliance Requirement Master</x:v>
      </x:c>
      <x:c r="C2089" s="33" t="str">
        <x:v>Applicability=Mandatory; Remarks=Implementation Method: Dispensing accuracy audit SOP | Evidence indicator retained in Evidence Master: Audit reports</x:v>
      </x:c>
      <x:c r="D2089" s="33" t="str">
        <x:v>Applicability=Optional; Remarks=P-4 entity-specific internal control; no independent statutory force. Activate the exact underlying legal requirement separately.</x:v>
      </x:c>
      <x:c r="E2089" s="33" t="str">
        <x:v>CORRECT / RECLASSIFY</x:v>
      </x:c>
      <x:c r="F2089" s="33" t="str">
        <x:v>Align requirements to corrected substantive provisions and applicability classifications.</x:v>
      </x:c>
      <x:c r="G2089" s="33" t="str">
        <x:v>P-4 official-source validation</x:v>
      </x:c>
      <x:c r="H208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89" s="33" t="str">
        <x:v>P-4</x:v>
      </x:c>
      <x:c r="J2089" s="33" t="str">
        <x:v>2026-08-20</x:v>
      </x:c>
      <x:c r="K2089" s="33" t="str">
        <x:v>Compliance IDs preserved; mandatory/conditional/optional status corrected.</x:v>
      </x:c>
    </x:row>
    <x:row r="2090">
      <x:c r="A2090" s="33" t="str">
        <x:v>RCOMP225</x:v>
      </x:c>
      <x:c r="B2090" s="33" t="str">
        <x:v>Compliance Requirement Master</x:v>
      </x:c>
      <x:c r="C2090" s="33" t="str">
        <x:v>Applicability=Mandatory; Remarks=Implementation Method: Regulatory change management SOP | Evidence indicator retained in Evidence Master: Regulatory change register</x:v>
      </x:c>
      <x:c r="D2090" s="33" t="str">
        <x:v>Applicability=Optional; Remarks=P-4 entity-specific internal control; no independent statutory force. Activate the exact underlying legal requirement separately.</x:v>
      </x:c>
      <x:c r="E2090" s="33" t="str">
        <x:v>CORRECT / RECLASSIFY</x:v>
      </x:c>
      <x:c r="F2090" s="33" t="str">
        <x:v>Align requirements to corrected substantive provisions and applicability classifications.</x:v>
      </x:c>
      <x:c r="G2090" s="33" t="str">
        <x:v>P-4 official-source validation</x:v>
      </x:c>
      <x:c r="H209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90" s="33" t="str">
        <x:v>P-4</x:v>
      </x:c>
      <x:c r="J2090" s="33" t="str">
        <x:v>2026-08-20</x:v>
      </x:c>
      <x:c r="K2090" s="33" t="str">
        <x:v>Compliance IDs preserved; mandatory/conditional/optional status corrected.</x:v>
      </x:c>
    </x:row>
    <x:row r="2091">
      <x:c r="A2091" s="33" t="str">
        <x:v>RCOMP226</x:v>
      </x:c>
      <x:c r="B2091" s="33" t="str">
        <x:v>Compliance Requirement Master</x:v>
      </x:c>
      <x:c r="C2091" s="33" t="str">
        <x:v>Applicability=Mandatory; Remarks=Implementation Method: Omnichannel order governance SOP | Evidence indicator retained in Evidence Master: Omnichannel transaction records</x:v>
      </x:c>
      <x:c r="D2091" s="33" t="str">
        <x:v>Applicability=Optional; Remarks=P-4 entity-specific internal control; no independent statutory force. Activate the exact underlying legal requirement separately.</x:v>
      </x:c>
      <x:c r="E2091" s="33" t="str">
        <x:v>CORRECT / RECLASSIFY</x:v>
      </x:c>
      <x:c r="F2091" s="33" t="str">
        <x:v>Align requirements to corrected substantive provisions and applicability classifications.</x:v>
      </x:c>
      <x:c r="G2091" s="33" t="str">
        <x:v>P-4 official-source validation</x:v>
      </x:c>
      <x:c r="H209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91" s="33" t="str">
        <x:v>P-4</x:v>
      </x:c>
      <x:c r="J2091" s="33" t="str">
        <x:v>2026-08-20</x:v>
      </x:c>
      <x:c r="K2091" s="33" t="str">
        <x:v>Compliance IDs preserved; mandatory/conditional/optional status corrected.</x:v>
      </x:c>
    </x:row>
    <x:row r="2092">
      <x:c r="A2092" s="33" t="str">
        <x:v>RCOMP227</x:v>
      </x:c>
      <x:c r="B2092" s="33" t="str">
        <x:v>Compliance Requirement Master</x:v>
      </x:c>
      <x:c r="C2092" s="33" t="str">
        <x:v>Applicability=Mandatory; Remarks=Implementation Method: Inventory committee SOP | Evidence indicator retained in Evidence Master: Committee minutes</x:v>
      </x:c>
      <x:c r="D2092" s="33" t="str">
        <x:v>Applicability=Optional; Remarks=P-4 entity-specific internal control; no independent statutory force. Activate the exact underlying legal requirement separately.</x:v>
      </x:c>
      <x:c r="E2092" s="33" t="str">
        <x:v>CORRECT / RECLASSIFY</x:v>
      </x:c>
      <x:c r="F2092" s="33" t="str">
        <x:v>Align requirements to corrected substantive provisions and applicability classifications.</x:v>
      </x:c>
      <x:c r="G2092" s="33" t="str">
        <x:v>P-4 official-source validation</x:v>
      </x:c>
      <x:c r="H209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92" s="33" t="str">
        <x:v>P-4</x:v>
      </x:c>
      <x:c r="J2092" s="33" t="str">
        <x:v>2026-08-20</x:v>
      </x:c>
      <x:c r="K2092" s="33" t="str">
        <x:v>Compliance IDs preserved; mandatory/conditional/optional status corrected.</x:v>
      </x:c>
    </x:row>
    <x:row r="2093">
      <x:c r="A2093" s="33" t="str">
        <x:v>RCOMP228</x:v>
      </x:c>
      <x:c r="B2093" s="33" t="str">
        <x:v>Compliance Requirement Master</x:v>
      </x:c>
      <x:c r="C2093" s="33" t="str">
        <x:v>Applicability=Mandatory; Remarks=Implementation Method: Cyber resilience SOP | Evidence indicator retained in Evidence Master: Cyber resilience reports</x:v>
      </x:c>
      <x:c r="D2093" s="33" t="str">
        <x:v>Applicability=Optional; Remarks=P-4 entity-specific internal control; no independent statutory force. Activate the exact underlying legal requirement separately.</x:v>
      </x:c>
      <x:c r="E2093" s="33" t="str">
        <x:v>CORRECT / RECLASSIFY</x:v>
      </x:c>
      <x:c r="F2093" s="33" t="str">
        <x:v>Align requirements to corrected substantive provisions and applicability classifications.</x:v>
      </x:c>
      <x:c r="G2093" s="33" t="str">
        <x:v>P-4 official-source validation</x:v>
      </x:c>
      <x:c r="H209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93" s="33" t="str">
        <x:v>P-4</x:v>
      </x:c>
      <x:c r="J2093" s="33" t="str">
        <x:v>2026-08-20</x:v>
      </x:c>
      <x:c r="K2093" s="33" t="str">
        <x:v>Compliance IDs preserved; mandatory/conditional/optional status corrected.</x:v>
      </x:c>
    </x:row>
    <x:row r="2094">
      <x:c r="A2094" s="33" t="str">
        <x:v>RCOMP229</x:v>
      </x:c>
      <x:c r="B2094" s="33" t="str">
        <x:v>Compliance Requirement Master</x:v>
      </x:c>
      <x:c r="C2094" s="33" t="str">
        <x:v>Applicability=Mandatory; Remarks=Implementation Method: Community programme reporting SOP | Evidence indicator retained in Evidence Master: Programme completion report</x:v>
      </x:c>
      <x:c r="D2094" s="33" t="str">
        <x:v>Applicability=Optional; Remarks=P-4 entity-specific internal control; no independent statutory force. Activate the exact underlying legal requirement separately.</x:v>
      </x:c>
      <x:c r="E2094" s="33" t="str">
        <x:v>CORRECT / RECLASSIFY</x:v>
      </x:c>
      <x:c r="F2094" s="33" t="str">
        <x:v>Align requirements to corrected substantive provisions and applicability classifications.</x:v>
      </x:c>
      <x:c r="G2094" s="33" t="str">
        <x:v>P-4 official-source validation</x:v>
      </x:c>
      <x:c r="H209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94" s="33" t="str">
        <x:v>P-4</x:v>
      </x:c>
      <x:c r="J2094" s="33" t="str">
        <x:v>2026-08-20</x:v>
      </x:c>
      <x:c r="K2094" s="33" t="str">
        <x:v>Compliance IDs preserved; mandatory/conditional/optional status corrected.</x:v>
      </x:c>
    </x:row>
    <x:row r="2095">
      <x:c r="A2095" s="33" t="str">
        <x:v>RCOMP230</x:v>
      </x:c>
      <x:c r="B2095" s="33" t="str">
        <x:v>Compliance Requirement Master</x:v>
      </x:c>
      <x:c r="C2095" s="33" t="str">
        <x:v>Applicability=Mandatory; Remarks=Implementation Method: Integrated governance review SOP | Evidence indicator retained in Evidence Master: Governance review minutes, action tracker</x:v>
      </x:c>
      <x:c r="D2095" s="33" t="str">
        <x:v>Applicability=Optional; Remarks=P-4 entity-specific internal control; no independent statutory force. Activate the exact underlying legal requirement separately.</x:v>
      </x:c>
      <x:c r="E2095" s="33" t="str">
        <x:v>CORRECT / RECLASSIFY</x:v>
      </x:c>
      <x:c r="F2095" s="33" t="str">
        <x:v>Align requirements to corrected substantive provisions and applicability classifications.</x:v>
      </x:c>
      <x:c r="G2095" s="33" t="str">
        <x:v>P-4 official-source validation</x:v>
      </x:c>
      <x:c r="H209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95" s="33" t="str">
        <x:v>P-4</x:v>
      </x:c>
      <x:c r="J2095" s="33" t="str">
        <x:v>2026-08-20</x:v>
      </x:c>
      <x:c r="K2095" s="33" t="str">
        <x:v>Compliance IDs preserved; mandatory/conditional/optional status corrected.</x:v>
      </x:c>
    </x:row>
    <x:row r="2096">
      <x:c r="A2096" s="33" t="str">
        <x:v>RCOMP231</x:v>
      </x:c>
      <x:c r="B2096" s="33" t="str">
        <x:v>Compliance Requirement Master</x:v>
      </x:c>
      <x:c r="C2096" s="33" t="str">
        <x:v>Applicability=Mandatory; Remarks=Implementation Method: Business continuity exercise SOP | Evidence indicator retained in Evidence Master: Exercise reports, CAPA records</x:v>
      </x:c>
      <x:c r="D2096" s="33" t="str">
        <x:v>Applicability=Optional; Remarks=P-4 entity-specific internal control; no independent statutory force. Activate the exact underlying legal requirement separately.</x:v>
      </x:c>
      <x:c r="E2096" s="33" t="str">
        <x:v>CORRECT / RECLASSIFY</x:v>
      </x:c>
      <x:c r="F2096" s="33" t="str">
        <x:v>Align requirements to corrected substantive provisions and applicability classifications.</x:v>
      </x:c>
      <x:c r="G2096" s="33" t="str">
        <x:v>P-4 official-source validation</x:v>
      </x:c>
      <x:c r="H209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96" s="33" t="str">
        <x:v>P-4</x:v>
      </x:c>
      <x:c r="J2096" s="33" t="str">
        <x:v>2026-08-20</x:v>
      </x:c>
      <x:c r="K2096" s="33" t="str">
        <x:v>Compliance IDs preserved; mandatory/conditional/optional status corrected.</x:v>
      </x:c>
    </x:row>
    <x:row r="2097">
      <x:c r="A2097" s="33" t="str">
        <x:v>RCOMP232</x:v>
      </x:c>
      <x:c r="B2097" s="33" t="str">
        <x:v>Compliance Requirement Master</x:v>
      </x:c>
      <x:c r="C2097" s="33" t="str">
        <x:v>Applicability=Mandatory; Remarks=Implementation Method: Compliance declaration SOP | Evidence indicator retained in Evidence Master: Signed declarations, compliance register</x:v>
      </x:c>
      <x:c r="D2097" s="33" t="str">
        <x:v>Applicability=Optional; Remarks=P-4 entity-specific internal control; no independent statutory force. Activate the exact underlying legal requirement separately.</x:v>
      </x:c>
      <x:c r="E2097" s="33" t="str">
        <x:v>CORRECT / RECLASSIFY</x:v>
      </x:c>
      <x:c r="F2097" s="33" t="str">
        <x:v>Align requirements to corrected substantive provisions and applicability classifications.</x:v>
      </x:c>
      <x:c r="G2097" s="33" t="str">
        <x:v>P-4 official-source validation</x:v>
      </x:c>
      <x:c r="H209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97" s="33" t="str">
        <x:v>P-4</x:v>
      </x:c>
      <x:c r="J2097" s="33" t="str">
        <x:v>2026-08-20</x:v>
      </x:c>
      <x:c r="K2097" s="33" t="str">
        <x:v>Compliance IDs preserved; mandatory/conditional/optional status corrected.</x:v>
      </x:c>
    </x:row>
    <x:row r="2098">
      <x:c r="A2098" s="33" t="str">
        <x:v>RCOMP233</x:v>
      </x:c>
      <x:c r="B2098" s="33" t="str">
        <x:v>Compliance Requirement Master</x:v>
      </x:c>
      <x:c r="C2098" s="33" t="str">
        <x:v>Applicability=Mandatory; Remarks=Implementation Method: Electronic evidence preservation SOP | Evidence indicator retained in Evidence Master: Immutable audit logs, retention reports</x:v>
      </x:c>
      <x:c r="D2098" s="33" t="str">
        <x:v>Applicability=Optional; Remarks=P-4 entity-specific internal control; no independent statutory force. Activate the exact underlying legal requirement separately.</x:v>
      </x:c>
      <x:c r="E2098" s="33" t="str">
        <x:v>CORRECT / RECLASSIFY</x:v>
      </x:c>
      <x:c r="F2098" s="33" t="str">
        <x:v>Align requirements to corrected substantive provisions and applicability classifications.</x:v>
      </x:c>
      <x:c r="G2098" s="33" t="str">
        <x:v>P-4 official-source validation</x:v>
      </x:c>
      <x:c r="H209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98" s="33" t="str">
        <x:v>P-4</x:v>
      </x:c>
      <x:c r="J2098" s="33" t="str">
        <x:v>2026-08-20</x:v>
      </x:c>
      <x:c r="K2098" s="33" t="str">
        <x:v>Compliance IDs preserved; mandatory/conditional/optional status corrected.</x:v>
      </x:c>
    </x:row>
    <x:row r="2099">
      <x:c r="A2099" s="33" t="str">
        <x:v>RCOMP234</x:v>
      </x:c>
      <x:c r="B2099" s="33" t="str">
        <x:v>Compliance Requirement Master</x:v>
      </x:c>
      <x:c r="C2099" s="33" t="str">
        <x:v>Applicability=Mandatory; Remarks=Implementation Method: Internal inspection SOP | Evidence indicator retained in Evidence Master: Inspection reports, CAPA tracker</x:v>
      </x:c>
      <x:c r="D2099" s="33" t="str">
        <x:v>Applicability=Optional; Remarks=P-4 entity-specific internal control; no independent statutory force. Activate the exact underlying legal requirement separately.</x:v>
      </x:c>
      <x:c r="E2099" s="33" t="str">
        <x:v>CORRECT / RECLASSIFY</x:v>
      </x:c>
      <x:c r="F2099" s="33" t="str">
        <x:v>Align requirements to corrected substantive provisions and applicability classifications.</x:v>
      </x:c>
      <x:c r="G2099" s="33" t="str">
        <x:v>P-4 official-source validation</x:v>
      </x:c>
      <x:c r="H209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099" s="33" t="str">
        <x:v>P-4</x:v>
      </x:c>
      <x:c r="J2099" s="33" t="str">
        <x:v>2026-08-20</x:v>
      </x:c>
      <x:c r="K2099" s="33" t="str">
        <x:v>Compliance IDs preserved; mandatory/conditional/optional status corrected.</x:v>
      </x:c>
    </x:row>
    <x:row r="2100">
      <x:c r="A2100" s="33" t="str">
        <x:v>RCOMP235</x:v>
      </x:c>
      <x:c r="B2100" s="33" t="str">
        <x:v>Compliance Requirement Master</x:v>
      </x:c>
      <x:c r="C2100" s="33" t="str">
        <x:v>Applicability=Mandatory; Remarks=Implementation Method: Regulatory escalation SOP | Evidence indicator retained in Evidence Master: Escalation register, management approvals</x:v>
      </x:c>
      <x:c r="D2100" s="33" t="str">
        <x:v>Applicability=Optional; Remarks=P-4 entity-specific internal control; no independent statutory force. Activate the exact underlying legal requirement separately.</x:v>
      </x:c>
      <x:c r="E2100" s="33" t="str">
        <x:v>CORRECT / RECLASSIFY</x:v>
      </x:c>
      <x:c r="F2100" s="33" t="str">
        <x:v>Align requirements to corrected substantive provisions and applicability classifications.</x:v>
      </x:c>
      <x:c r="G2100" s="33" t="str">
        <x:v>P-4 official-source validation</x:v>
      </x:c>
      <x:c r="H210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00" s="33" t="str">
        <x:v>P-4</x:v>
      </x:c>
      <x:c r="J2100" s="33" t="str">
        <x:v>2026-08-20</x:v>
      </x:c>
      <x:c r="K2100" s="33" t="str">
        <x:v>Compliance IDs preserved; mandatory/conditional/optional status corrected.</x:v>
      </x:c>
    </x:row>
    <x:row r="2101">
      <x:c r="A2101" s="33" t="str">
        <x:v>RCOMP236</x:v>
      </x:c>
      <x:c r="B2101" s="33" t="str">
        <x:v>Compliance Requirement Master</x:v>
      </x:c>
      <x:c r="C2101" s="33" t="str">
        <x:v>Applicability=Mandatory; Remarks=Implementation Method: Unified customer service SOP | Evidence indicator retained in Evidence Master: Service quality reports, complaint register</x:v>
      </x:c>
      <x:c r="D2101" s="33" t="str">
        <x:v>Applicability=Optional; Remarks=P-4 entity-specific internal control; no independent statutory force. Activate the exact underlying legal requirement separately.</x:v>
      </x:c>
      <x:c r="E2101" s="33" t="str">
        <x:v>CORRECT / RECLASSIFY</x:v>
      </x:c>
      <x:c r="F2101" s="33" t="str">
        <x:v>Align requirements to corrected substantive provisions and applicability classifications.</x:v>
      </x:c>
      <x:c r="G2101" s="33" t="str">
        <x:v>P-4 official-source validation</x:v>
      </x:c>
      <x:c r="H210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01" s="33" t="str">
        <x:v>P-4</x:v>
      </x:c>
      <x:c r="J2101" s="33" t="str">
        <x:v>2026-08-20</x:v>
      </x:c>
      <x:c r="K2101" s="33" t="str">
        <x:v>Compliance IDs preserved; mandatory/conditional/optional status corrected.</x:v>
      </x:c>
    </x:row>
    <x:row r="2102">
      <x:c r="A2102" s="33" t="str">
        <x:v>RCOMP237</x:v>
      </x:c>
      <x:c r="B2102" s="33" t="str">
        <x:v>Compliance Requirement Master</x:v>
      </x:c>
      <x:c r="C2102" s="33" t="str">
        <x:v>Applicability=Mandatory; Remarks=Implementation Method: Inventory governance assessment SOP | Evidence indicator retained in Evidence Master: Assessment report, committee minutes</x:v>
      </x:c>
      <x:c r="D2102" s="33" t="str">
        <x:v>Applicability=Optional; Remarks=P-4 entity-specific internal control; no independent statutory force. Activate the exact underlying legal requirement separately.</x:v>
      </x:c>
      <x:c r="E2102" s="33" t="str">
        <x:v>CORRECT / RECLASSIFY</x:v>
      </x:c>
      <x:c r="F2102" s="33" t="str">
        <x:v>Align requirements to corrected substantive provisions and applicability classifications.</x:v>
      </x:c>
      <x:c r="G2102" s="33" t="str">
        <x:v>P-4 official-source validation</x:v>
      </x:c>
      <x:c r="H210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02" s="33" t="str">
        <x:v>P-4</x:v>
      </x:c>
      <x:c r="J2102" s="33" t="str">
        <x:v>2026-08-20</x:v>
      </x:c>
      <x:c r="K2102" s="33" t="str">
        <x:v>Compliance IDs preserved; mandatory/conditional/optional status corrected.</x:v>
      </x:c>
    </x:row>
    <x:row r="2103">
      <x:c r="A2103" s="33" t="str">
        <x:v>RCOMP238</x:v>
      </x:c>
      <x:c r="B2103" s="33" t="str">
        <x:v>Compliance Requirement Master</x:v>
      </x:c>
      <x:c r="C2103" s="33" t="str">
        <x:v>Applicability=Mandatory; Remarks=Implementation Method: Information security governance SOP | Evidence indicator retained in Evidence Master: Governance review minutes, risk assessment</x:v>
      </x:c>
      <x:c r="D2103" s="33" t="str">
        <x:v>Applicability=Optional; Remarks=P-4 entity-specific internal control; no independent statutory force. Activate the exact underlying legal requirement separately.</x:v>
      </x:c>
      <x:c r="E2103" s="33" t="str">
        <x:v>CORRECT / RECLASSIFY</x:v>
      </x:c>
      <x:c r="F2103" s="33" t="str">
        <x:v>Align requirements to corrected substantive provisions and applicability classifications.</x:v>
      </x:c>
      <x:c r="G2103" s="33" t="str">
        <x:v>P-4 official-source validation</x:v>
      </x:c>
      <x:c r="H210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03" s="33" t="str">
        <x:v>P-4</x:v>
      </x:c>
      <x:c r="J2103" s="33" t="str">
        <x:v>2026-08-20</x:v>
      </x:c>
      <x:c r="K2103" s="33" t="str">
        <x:v>Compliance IDs preserved; mandatory/conditional/optional status corrected.</x:v>
      </x:c>
    </x:row>
    <x:row r="2104">
      <x:c r="A2104" s="33" t="str">
        <x:v>RCOMP239</x:v>
      </x:c>
      <x:c r="B2104" s="33" t="str">
        <x:v>Compliance Requirement Master</x:v>
      </x:c>
      <x:c r="C2104" s="33" t="str">
        <x:v>Applicability=Mandatory; Remarks=Implementation Method: Community impact assessment SOP | Evidence indicator retained in Evidence Master: Impact assessment report</x:v>
      </x:c>
      <x:c r="D2104" s="33" t="str">
        <x:v>Applicability=Optional; Remarks=P-4 entity-specific internal control; no independent statutory force. Activate the exact underlying legal requirement separately.</x:v>
      </x:c>
      <x:c r="E2104" s="33" t="str">
        <x:v>CORRECT / RECLASSIFY</x:v>
      </x:c>
      <x:c r="F2104" s="33" t="str">
        <x:v>Align requirements to corrected substantive provisions and applicability classifications.</x:v>
      </x:c>
      <x:c r="G2104" s="33" t="str">
        <x:v>P-4 official-source validation</x:v>
      </x:c>
      <x:c r="H210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04" s="33" t="str">
        <x:v>P-4</x:v>
      </x:c>
      <x:c r="J2104" s="33" t="str">
        <x:v>2026-08-20</x:v>
      </x:c>
      <x:c r="K2104" s="33" t="str">
        <x:v>Compliance IDs preserved; mandatory/conditional/optional status corrected.</x:v>
      </x:c>
    </x:row>
    <x:row r="2105">
      <x:c r="A2105" s="33" t="str">
        <x:v>RCOMP240</x:v>
      </x:c>
      <x:c r="B2105" s="33" t="str">
        <x:v>Compliance Requirement Master</x:v>
      </x:c>
      <x:c r="C2105" s="33" t="str">
        <x:v>Applicability=Mandatory; Remarks=Implementation Method: Regulatory Excellence Framework SOP | Evidence indicator retained in Evidence Master: Regulatory Excellence Framework, annual review report, management approval</x:v>
      </x:c>
      <x:c r="D2105" s="33" t="str">
        <x:v>Applicability=Optional; Remarks=P-4 entity-specific internal control; no independent statutory force. Activate the exact underlying legal requirement separately.</x:v>
      </x:c>
      <x:c r="E2105" s="33" t="str">
        <x:v>CORRECT / RECLASSIFY</x:v>
      </x:c>
      <x:c r="F2105" s="33" t="str">
        <x:v>Align requirements to corrected substantive provisions and applicability classifications.</x:v>
      </x:c>
      <x:c r="G2105" s="33" t="str">
        <x:v>P-4 official-source validation</x:v>
      </x:c>
      <x:c r="H210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05" s="33" t="str">
        <x:v>P-4</x:v>
      </x:c>
      <x:c r="J2105" s="33" t="str">
        <x:v>2026-08-20</x:v>
      </x:c>
      <x:c r="K2105" s="33" t="str">
        <x:v>Compliance IDs preserved; mandatory/conditional/optional status corrected.</x:v>
      </x:c>
    </x:row>
    <x:row r="2106">
      <x:c r="A2106" s="33" t="str">
        <x:v>WCOMP001</x:v>
      </x:c>
      <x:c r="B2106" s="33" t="str">
        <x:v>Compliance Requirement Master</x:v>
      </x:c>
      <x:c r="C2106" s="33" t="str">
        <x:v>Applicability=Mandatory; Remarks=Implementation Method: Physical segregation with documented inspections. | Evidence indicator retained in Evidence Master: Warehouse zoning map, inspection records.</x:v>
      </x:c>
      <x:c r="D2106" s="33" t="str">
        <x:v>Applicability=Optional; Remarks=P-4 entity-specific internal control; no independent statutory force. Activate the exact underlying legal requirement separately.</x:v>
      </x:c>
      <x:c r="E2106" s="33" t="str">
        <x:v>CORRECT / RECLASSIFY</x:v>
      </x:c>
      <x:c r="F2106" s="33" t="str">
        <x:v>Align requirements to corrected substantive provisions and applicability classifications.</x:v>
      </x:c>
      <x:c r="G2106" s="33" t="str">
        <x:v>P-4 official-source validation</x:v>
      </x:c>
      <x:c r="H210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06" s="33" t="str">
        <x:v>P-4</x:v>
      </x:c>
      <x:c r="J2106" s="33" t="str">
        <x:v>2026-08-20</x:v>
      </x:c>
      <x:c r="K2106" s="33" t="str">
        <x:v>Compliance IDs preserved; mandatory/conditional/optional status corrected.</x:v>
      </x:c>
    </x:row>
    <x:row r="2107">
      <x:c r="A2107" s="33" t="str">
        <x:v>WCOMP002</x:v>
      </x:c>
      <x:c r="B2107" s="33" t="str">
        <x:v>Compliance Requirement Master</x:v>
      </x:c>
      <x:c r="C2107" s="33" t="str">
        <x:v>Applicability=Mandatory; Remarks=Implementation Method: Pre-dispatch verification and approval. | Evidence indicator retained in Evidence Master: Dispatch authorization records.</x:v>
      </x:c>
      <x:c r="D2107" s="33" t="str">
        <x:v>Applicability=Optional; Remarks=P-4 entity-specific internal control; no independent statutory force. Activate the exact underlying legal requirement separately.</x:v>
      </x:c>
      <x:c r="E2107" s="33" t="str">
        <x:v>CORRECT / RECLASSIFY</x:v>
      </x:c>
      <x:c r="F2107" s="33" t="str">
        <x:v>Align requirements to corrected substantive provisions and applicability classifications.</x:v>
      </x:c>
      <x:c r="G2107" s="33" t="str">
        <x:v>P-4 official-source validation</x:v>
      </x:c>
      <x:c r="H210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07" s="33" t="str">
        <x:v>P-4</x:v>
      </x:c>
      <x:c r="J2107" s="33" t="str">
        <x:v>2026-08-20</x:v>
      </x:c>
      <x:c r="K2107" s="33" t="str">
        <x:v>Compliance IDs preserved; mandatory/conditional/optional status corrected.</x:v>
      </x:c>
    </x:row>
    <x:row r="2108">
      <x:c r="A2108" s="33" t="str">
        <x:v>WCOMP003</x:v>
      </x:c>
      <x:c r="B2108" s="33" t="str">
        <x:v>Compliance Requirement Master</x:v>
      </x:c>
      <x:c r="C2108" s="33" t="str">
        <x:v>Applicability=Mandatory; Remarks=Implementation Method: Licence validation and record maintenance. | Evidence indicator retained in Evidence Master: Customer licence verification records.</x:v>
      </x:c>
      <x:c r="D2108" s="33" t="str">
        <x:v>Applicability=Optional; Remarks=P-4 entity-specific internal control; no independent statutory force. Activate the exact underlying legal requirement separately.</x:v>
      </x:c>
      <x:c r="E2108" s="33" t="str">
        <x:v>CORRECT / RECLASSIFY</x:v>
      </x:c>
      <x:c r="F2108" s="33" t="str">
        <x:v>Align requirements to corrected substantive provisions and applicability classifications.</x:v>
      </x:c>
      <x:c r="G2108" s="33" t="str">
        <x:v>P-4 official-source validation</x:v>
      </x:c>
      <x:c r="H210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08" s="33" t="str">
        <x:v>P-4</x:v>
      </x:c>
      <x:c r="J2108" s="33" t="str">
        <x:v>2026-08-20</x:v>
      </x:c>
      <x:c r="K2108" s="33" t="str">
        <x:v>Compliance IDs preserved; mandatory/conditional/optional status corrected.</x:v>
      </x:c>
    </x:row>
    <x:row r="2109">
      <x:c r="A2109" s="33" t="str">
        <x:v>WCOMP004</x:v>
      </x:c>
      <x:c r="B2109" s="33" t="str">
        <x:v>Compliance Requirement Master</x:v>
      </x:c>
      <x:c r="C2109" s="33" t="str">
        <x:v>Applicability=Mandatory; Remarks=Implementation Method: ERP batch tracking. | Evidence indicator retained in Evidence Master: Batch traceability reports.</x:v>
      </x:c>
      <x:c r="D2109" s="33" t="str">
        <x:v>Applicability=Optional; Remarks=P-4 entity-specific internal control; no independent statutory force. Activate the exact underlying legal requirement separately.</x:v>
      </x:c>
      <x:c r="E2109" s="33" t="str">
        <x:v>CORRECT / RECLASSIFY</x:v>
      </x:c>
      <x:c r="F2109" s="33" t="str">
        <x:v>Align requirements to corrected substantive provisions and applicability classifications.</x:v>
      </x:c>
      <x:c r="G2109" s="33" t="str">
        <x:v>P-4 official-source validation</x:v>
      </x:c>
      <x:c r="H210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09" s="33" t="str">
        <x:v>P-4</x:v>
      </x:c>
      <x:c r="J2109" s="33" t="str">
        <x:v>2026-08-20</x:v>
      </x:c>
      <x:c r="K2109" s="33" t="str">
        <x:v>Compliance IDs preserved; mandatory/conditional/optional status corrected.</x:v>
      </x:c>
    </x:row>
    <x:row r="2110">
      <x:c r="A2110" s="33" t="str">
        <x:v>WCOMP005</x:v>
      </x:c>
      <x:c r="B2110" s="33" t="str">
        <x:v>Compliance Requirement Master</x:v>
      </x:c>
      <x:c r="C2110" s="33" t="str">
        <x:v>Applicability=Mandatory; Remarks=Implementation Method: FEFO inventory control. | Evidence indicator retained in Evidence Master: FEFO issue reports.</x:v>
      </x:c>
      <x:c r="D2110" s="33" t="str">
        <x:v>Applicability=Optional; Remarks=P-4 entity-specific internal control; no independent statutory force. Activate the exact underlying legal requirement separately.</x:v>
      </x:c>
      <x:c r="E2110" s="33" t="str">
        <x:v>CORRECT / RECLASSIFY</x:v>
      </x:c>
      <x:c r="F2110" s="33" t="str">
        <x:v>Align requirements to corrected substantive provisions and applicability classifications.</x:v>
      </x:c>
      <x:c r="G2110" s="33" t="str">
        <x:v>P-4 official-source validation</x:v>
      </x:c>
      <x:c r="H211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10" s="33" t="str">
        <x:v>P-4</x:v>
      </x:c>
      <x:c r="J2110" s="33" t="str">
        <x:v>2026-08-20</x:v>
      </x:c>
      <x:c r="K2110" s="33" t="str">
        <x:v>Compliance IDs preserved; mandatory/conditional/optional status corrected.</x:v>
      </x:c>
    </x:row>
    <x:row r="2111">
      <x:c r="A2111" s="33" t="str">
        <x:v>WCOMP006</x:v>
      </x:c>
      <x:c r="B2111" s="33" t="str">
        <x:v>Compliance Requirement Master</x:v>
      </x:c>
      <x:c r="C2111" s="33" t="str">
        <x:v>Applicability=Mandatory; Remarks=Implementation Method: Temperature mapping study. | Evidence indicator retained in Evidence Master: Temperature mapping report.</x:v>
      </x:c>
      <x:c r="D2111" s="33" t="str">
        <x:v>Applicability=Optional; Remarks=P-4 entity-specific internal control; no independent statutory force. Activate the exact underlying legal requirement separately.</x:v>
      </x:c>
      <x:c r="E2111" s="33" t="str">
        <x:v>CORRECT / RECLASSIFY</x:v>
      </x:c>
      <x:c r="F2111" s="33" t="str">
        <x:v>Align requirements to corrected substantive provisions and applicability classifications.</x:v>
      </x:c>
      <x:c r="G2111" s="33" t="str">
        <x:v>P-4 official-source validation</x:v>
      </x:c>
      <x:c r="H211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11" s="33" t="str">
        <x:v>P-4</x:v>
      </x:c>
      <x:c r="J2111" s="33" t="str">
        <x:v>2026-08-20</x:v>
      </x:c>
      <x:c r="K2111" s="33" t="str">
        <x:v>Compliance IDs preserved; mandatory/conditional/optional status corrected.</x:v>
      </x:c>
    </x:row>
    <x:row r="2112">
      <x:c r="A2112" s="33" t="str">
        <x:v>WCOMP007</x:v>
      </x:c>
      <x:c r="B2112" s="33" t="str">
        <x:v>Compliance Requirement Master</x:v>
      </x:c>
      <x:c r="C2112" s="33" t="str">
        <x:v>Applicability=Mandatory; Remarks=Implementation Method: Continuous monitoring. | Evidence indicator retained in Evidence Master: Temperature logs and excursion reports.</x:v>
      </x:c>
      <x:c r="D2112" s="33" t="str">
        <x:v>Applicability=Optional; Remarks=P-4 entity-specific internal control; no independent statutory force. Activate the exact underlying legal requirement separately.</x:v>
      </x:c>
      <x:c r="E2112" s="33" t="str">
        <x:v>CORRECT / RECLASSIFY</x:v>
      </x:c>
      <x:c r="F2112" s="33" t="str">
        <x:v>Align requirements to corrected substantive provisions and applicability classifications.</x:v>
      </x:c>
      <x:c r="G2112" s="33" t="str">
        <x:v>P-4 official-source validation</x:v>
      </x:c>
      <x:c r="H211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12" s="33" t="str">
        <x:v>P-4</x:v>
      </x:c>
      <x:c r="J2112" s="33" t="str">
        <x:v>2026-08-20</x:v>
      </x:c>
      <x:c r="K2112" s="33" t="str">
        <x:v>Compliance IDs preserved; mandatory/conditional/optional status corrected.</x:v>
      </x:c>
    </x:row>
    <x:row r="2113">
      <x:c r="A2113" s="33" t="str">
        <x:v>WCOMP008</x:v>
      </x:c>
      <x:c r="B2113" s="33" t="str">
        <x:v>Compliance Requirement Master</x:v>
      </x:c>
      <x:c r="C2113" s="33" t="str">
        <x:v>Applicability=Mandatory; Remarks=Implementation Method: Vehicle qualification programme. | Evidence indicator retained in Evidence Master: Vehicle qualification records.</x:v>
      </x:c>
      <x:c r="D2113" s="33" t="str">
        <x:v>Applicability=Optional; Remarks=P-4 entity-specific internal control; no independent statutory force. Activate the exact underlying legal requirement separately.</x:v>
      </x:c>
      <x:c r="E2113" s="33" t="str">
        <x:v>CORRECT / RECLASSIFY</x:v>
      </x:c>
      <x:c r="F2113" s="33" t="str">
        <x:v>Align requirements to corrected substantive provisions and applicability classifications.</x:v>
      </x:c>
      <x:c r="G2113" s="33" t="str">
        <x:v>P-4 official-source validation</x:v>
      </x:c>
      <x:c r="H211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13" s="33" t="str">
        <x:v>P-4</x:v>
      </x:c>
      <x:c r="J2113" s="33" t="str">
        <x:v>2026-08-20</x:v>
      </x:c>
      <x:c r="K2113" s="33" t="str">
        <x:v>Compliance IDs preserved; mandatory/conditional/optional status corrected.</x:v>
      </x:c>
    </x:row>
    <x:row r="2114">
      <x:c r="A2114" s="33" t="str">
        <x:v>WCOMP009</x:v>
      </x:c>
      <x:c r="B2114" s="33" t="str">
        <x:v>Compliance Requirement Master</x:v>
      </x:c>
      <x:c r="C2114" s="33" t="str">
        <x:v>Applicability=Mandatory; Remarks=Implementation Method: Standard delivery documentation. | Evidence indicator retained in Evidence Master: Delivery challans and dispatch records.</x:v>
      </x:c>
      <x:c r="D2114" s="33" t="str">
        <x:v>Applicability=Optional; Remarks=P-4 entity-specific internal control; no independent statutory force. Activate the exact underlying legal requirement separately.</x:v>
      </x:c>
      <x:c r="E2114" s="33" t="str">
        <x:v>CORRECT / RECLASSIFY</x:v>
      </x:c>
      <x:c r="F2114" s="33" t="str">
        <x:v>Align requirements to corrected substantive provisions and applicability classifications.</x:v>
      </x:c>
      <x:c r="G2114" s="33" t="str">
        <x:v>P-4 official-source validation</x:v>
      </x:c>
      <x:c r="H211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14" s="33" t="str">
        <x:v>P-4</x:v>
      </x:c>
      <x:c r="J2114" s="33" t="str">
        <x:v>2026-08-20</x:v>
      </x:c>
      <x:c r="K2114" s="33" t="str">
        <x:v>Compliance IDs preserved; mandatory/conditional/optional status corrected.</x:v>
      </x:c>
    </x:row>
    <x:row r="2115">
      <x:c r="A2115" s="33" t="str">
        <x:v>WCOMP010</x:v>
      </x:c>
      <x:c r="B2115" s="33" t="str">
        <x:v>Compliance Requirement Master</x:v>
      </x:c>
      <x:c r="C2115" s="33" t="str">
        <x:v>Applicability=Mandatory; Remarks=Implementation Method: Return inspection SOP. | Evidence indicator retained in Evidence Master: Return assessment records.</x:v>
      </x:c>
      <x:c r="D2115" s="33" t="str">
        <x:v>Applicability=Optional; Remarks=P-4 entity-specific internal control; no independent statutory force. Activate the exact underlying legal requirement separately.</x:v>
      </x:c>
      <x:c r="E2115" s="33" t="str">
        <x:v>CORRECT / RECLASSIFY</x:v>
      </x:c>
      <x:c r="F2115" s="33" t="str">
        <x:v>Align requirements to corrected substantive provisions and applicability classifications.</x:v>
      </x:c>
      <x:c r="G2115" s="33" t="str">
        <x:v>P-4 official-source validation</x:v>
      </x:c>
      <x:c r="H211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15" s="33" t="str">
        <x:v>P-4</x:v>
      </x:c>
      <x:c r="J2115" s="33" t="str">
        <x:v>2026-08-20</x:v>
      </x:c>
      <x:c r="K2115" s="33" t="str">
        <x:v>Compliance IDs preserved; mandatory/conditional/optional status corrected.</x:v>
      </x:c>
    </x:row>
    <x:row r="2116">
      <x:c r="A2116" s="33" t="str">
        <x:v>WCOMP011</x:v>
      </x:c>
      <x:c r="B2116" s="33" t="str">
        <x:v>Compliance Requirement Master</x:v>
      </x:c>
      <x:c r="C2116" s="33" t="str">
        <x:v>Applicability=Mandatory; Remarks=Implementation Method: Recall SOP and mock recall. | Evidence indicator retained in Evidence Master: Recall reports and mock recall records.</x:v>
      </x:c>
      <x:c r="D2116" s="33" t="str">
        <x:v>Applicability=Optional; Remarks=P-4 entity-specific internal control; no independent statutory force. Activate the exact underlying legal requirement separately.</x:v>
      </x:c>
      <x:c r="E2116" s="33" t="str">
        <x:v>CORRECT / RECLASSIFY</x:v>
      </x:c>
      <x:c r="F2116" s="33" t="str">
        <x:v>Align requirements to corrected substantive provisions and applicability classifications.</x:v>
      </x:c>
      <x:c r="G2116" s="33" t="str">
        <x:v>P-4 official-source validation</x:v>
      </x:c>
      <x:c r="H211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16" s="33" t="str">
        <x:v>P-4</x:v>
      </x:c>
      <x:c r="J2116" s="33" t="str">
        <x:v>2026-08-20</x:v>
      </x:c>
      <x:c r="K2116" s="33" t="str">
        <x:v>Compliance IDs preserved; mandatory/conditional/optional status corrected.</x:v>
      </x:c>
    </x:row>
    <x:row r="2117">
      <x:c r="A2117" s="33" t="str">
        <x:v>WCOMP012</x:v>
      </x:c>
      <x:c r="B2117" s="33" t="str">
        <x:v>Compliance Requirement Master</x:v>
      </x:c>
      <x:c r="C2117" s="33" t="str">
        <x:v>Applicability=Mandatory; Remarks=Implementation Method: Approved supplier programme. | Evidence indicator retained in Evidence Master: Approved supplier register.</x:v>
      </x:c>
      <x:c r="D2117" s="33" t="str">
        <x:v>Applicability=Optional; Remarks=P-4 entity-specific internal control; no independent statutory force. Activate the exact underlying legal requirement separately.</x:v>
      </x:c>
      <x:c r="E2117" s="33" t="str">
        <x:v>CORRECT / RECLASSIFY</x:v>
      </x:c>
      <x:c r="F2117" s="33" t="str">
        <x:v>Align requirements to corrected substantive provisions and applicability classifications.</x:v>
      </x:c>
      <x:c r="G2117" s="33" t="str">
        <x:v>P-4 official-source validation</x:v>
      </x:c>
      <x:c r="H211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17" s="33" t="str">
        <x:v>P-4</x:v>
      </x:c>
      <x:c r="J2117" s="33" t="str">
        <x:v>2026-08-20</x:v>
      </x:c>
      <x:c r="K2117" s="33" t="str">
        <x:v>Compliance IDs preserved; mandatory/conditional/optional status corrected.</x:v>
      </x:c>
    </x:row>
    <x:row r="2118">
      <x:c r="A2118" s="33" t="str">
        <x:v>WCOMP013</x:v>
      </x:c>
      <x:c r="B2118" s="33" t="str">
        <x:v>Compliance Requirement Master</x:v>
      </x:c>
      <x:c r="C2118" s="33" t="str">
        <x:v>Applicability=Mandatory; Remarks=Implementation Method: Complaint investigation and CAPA. | Evidence indicator retained in Evidence Master: Complaint register and CAPA reports.</x:v>
      </x:c>
      <x:c r="D2118" s="33" t="str">
        <x:v>Applicability=Optional; Remarks=P-4 entity-specific internal control; no independent statutory force. Activate the exact underlying legal requirement separately.</x:v>
      </x:c>
      <x:c r="E2118" s="33" t="str">
        <x:v>CORRECT / RECLASSIFY</x:v>
      </x:c>
      <x:c r="F2118" s="33" t="str">
        <x:v>Align requirements to corrected substantive provisions and applicability classifications.</x:v>
      </x:c>
      <x:c r="G2118" s="33" t="str">
        <x:v>P-4 official-source validation</x:v>
      </x:c>
      <x:c r="H211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18" s="33" t="str">
        <x:v>P-4</x:v>
      </x:c>
      <x:c r="J2118" s="33" t="str">
        <x:v>2026-08-20</x:v>
      </x:c>
      <x:c r="K2118" s="33" t="str">
        <x:v>Compliance IDs preserved; mandatory/conditional/optional status corrected.</x:v>
      </x:c>
    </x:row>
    <x:row r="2119">
      <x:c r="A2119" s="33" t="str">
        <x:v>WCOMP014</x:v>
      </x:c>
      <x:c r="B2119" s="33" t="str">
        <x:v>Compliance Requirement Master</x:v>
      </x:c>
      <x:c r="C2119" s="33" t="str">
        <x:v>Applicability=Mandatory; Remarks=Implementation Method: Formal risk assessment process. | Evidence indicator retained in Evidence Master: Risk assessment reports.</x:v>
      </x:c>
      <x:c r="D2119" s="33" t="str">
        <x:v>Applicability=Optional; Remarks=P-4 entity-specific internal control; no independent statutory force. Activate the exact underlying legal requirement separately.</x:v>
      </x:c>
      <x:c r="E2119" s="33" t="str">
        <x:v>CORRECT / RECLASSIFY</x:v>
      </x:c>
      <x:c r="F2119" s="33" t="str">
        <x:v>Align requirements to corrected substantive provisions and applicability classifications.</x:v>
      </x:c>
      <x:c r="G2119" s="33" t="str">
        <x:v>P-4 official-source validation</x:v>
      </x:c>
      <x:c r="H211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19" s="33" t="str">
        <x:v>P-4</x:v>
      </x:c>
      <x:c r="J2119" s="33" t="str">
        <x:v>2026-08-20</x:v>
      </x:c>
      <x:c r="K2119" s="33" t="str">
        <x:v>Compliance IDs preserved; mandatory/conditional/optional status corrected.</x:v>
      </x:c>
    </x:row>
    <x:row r="2120">
      <x:c r="A2120" s="33" t="str">
        <x:v>WCOMP015</x:v>
      </x:c>
      <x:c r="B2120" s="33" t="str">
        <x:v>Compliance Requirement Master</x:v>
      </x:c>
      <x:c r="C2120" s="33" t="str">
        <x:v>Applicability=Mandatory; Remarks=Implementation Method: Access control and surveillance. | Evidence indicator retained in Evidence Master: CCTV logs and access records.</x:v>
      </x:c>
      <x:c r="D2120" s="33" t="str">
        <x:v>Applicability=Optional; Remarks=P-4 entity-specific internal control; no independent statutory force. Activate the exact underlying legal requirement separately.</x:v>
      </x:c>
      <x:c r="E2120" s="33" t="str">
        <x:v>CORRECT / RECLASSIFY</x:v>
      </x:c>
      <x:c r="F2120" s="33" t="str">
        <x:v>Align requirements to corrected substantive provisions and applicability classifications.</x:v>
      </x:c>
      <x:c r="G2120" s="33" t="str">
        <x:v>P-4 official-source validation</x:v>
      </x:c>
      <x:c r="H212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20" s="33" t="str">
        <x:v>P-4</x:v>
      </x:c>
      <x:c r="J2120" s="33" t="str">
        <x:v>2026-08-20</x:v>
      </x:c>
      <x:c r="K2120" s="33" t="str">
        <x:v>Compliance IDs preserved; mandatory/conditional/optional status corrected.</x:v>
      </x:c>
    </x:row>
    <x:row r="2121">
      <x:c r="A2121" s="33" t="str">
        <x:v>WCOMP016</x:v>
      </x:c>
      <x:c r="B2121" s="33" t="str">
        <x:v>Compliance Requirement Master</x:v>
      </x:c>
      <x:c r="C2121" s="33" t="str">
        <x:v>Applicability=Mandatory; Remarks=Implementation Method: Scheduled pest control verification. | Evidence indicator retained in Evidence Master: Pest control reports.</x:v>
      </x:c>
      <x:c r="D2121" s="33" t="str">
        <x:v>Applicability=Optional; Remarks=P-4 entity-specific internal control; no independent statutory force. Activate the exact underlying legal requirement separately.</x:v>
      </x:c>
      <x:c r="E2121" s="33" t="str">
        <x:v>CORRECT / RECLASSIFY</x:v>
      </x:c>
      <x:c r="F2121" s="33" t="str">
        <x:v>Align requirements to corrected substantive provisions and applicability classifications.</x:v>
      </x:c>
      <x:c r="G2121" s="33" t="str">
        <x:v>P-4 official-source validation</x:v>
      </x:c>
      <x:c r="H212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21" s="33" t="str">
        <x:v>P-4</x:v>
      </x:c>
      <x:c r="J2121" s="33" t="str">
        <x:v>2026-08-20</x:v>
      </x:c>
      <x:c r="K2121" s="33" t="str">
        <x:v>Compliance IDs preserved; mandatory/conditional/optional status corrected.</x:v>
      </x:c>
    </x:row>
    <x:row r="2122">
      <x:c r="A2122" s="33" t="str">
        <x:v>WCOMP017</x:v>
      </x:c>
      <x:c r="B2122" s="33" t="str">
        <x:v>Compliance Requirement Master</x:v>
      </x:c>
      <x:c r="C2122" s="33" t="str">
        <x:v>Applicability=Mandatory; Remarks=Implementation Method: Cleaning validation programme. | Evidence indicator retained in Evidence Master: Cleaning validation records.</x:v>
      </x:c>
      <x:c r="D2122" s="33" t="str">
        <x:v>Applicability=Optional; Remarks=P-4 entity-specific internal control; no independent statutory force. Activate the exact underlying legal requirement separately.</x:v>
      </x:c>
      <x:c r="E2122" s="33" t="str">
        <x:v>CORRECT / RECLASSIFY</x:v>
      </x:c>
      <x:c r="F2122" s="33" t="str">
        <x:v>Align requirements to corrected substantive provisions and applicability classifications.</x:v>
      </x:c>
      <x:c r="G2122" s="33" t="str">
        <x:v>P-4 official-source validation</x:v>
      </x:c>
      <x:c r="H212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22" s="33" t="str">
        <x:v>P-4</x:v>
      </x:c>
      <x:c r="J2122" s="33" t="str">
        <x:v>2026-08-20</x:v>
      </x:c>
      <x:c r="K2122" s="33" t="str">
        <x:v>Compliance IDs preserved; mandatory/conditional/optional status corrected.</x:v>
      </x:c>
    </x:row>
    <x:row r="2123">
      <x:c r="A2123" s="33" t="str">
        <x:v>WCOMP018</x:v>
      </x:c>
      <x:c r="B2123" s="33" t="str">
        <x:v>Compliance Requirement Master</x:v>
      </x:c>
      <x:c r="C2123" s="33" t="str">
        <x:v>Applicability=Mandatory; Remarks=Implementation Method: Physical stock verification. | Evidence indicator retained in Evidence Master: Stock reconciliation reports.</x:v>
      </x:c>
      <x:c r="D2123" s="33" t="str">
        <x:v>Applicability=Optional; Remarks=P-4 entity-specific internal control; no independent statutory force. Activate the exact underlying legal requirement separately.</x:v>
      </x:c>
      <x:c r="E2123" s="33" t="str">
        <x:v>CORRECT / RECLASSIFY</x:v>
      </x:c>
      <x:c r="F2123" s="33" t="str">
        <x:v>Align requirements to corrected substantive provisions and applicability classifications.</x:v>
      </x:c>
      <x:c r="G2123" s="33" t="str">
        <x:v>P-4 official-source validation</x:v>
      </x:c>
      <x:c r="H212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23" s="33" t="str">
        <x:v>P-4</x:v>
      </x:c>
      <x:c r="J2123" s="33" t="str">
        <x:v>2026-08-20</x:v>
      </x:c>
      <x:c r="K2123" s="33" t="str">
        <x:v>Compliance IDs preserved; mandatory/conditional/optional status corrected.</x:v>
      </x:c>
    </x:row>
    <x:row r="2124">
      <x:c r="A2124" s="33" t="str">
        <x:v>WCOMP019</x:v>
      </x:c>
      <x:c r="B2124" s="33" t="str">
        <x:v>Compliance Requirement Master</x:v>
      </x:c>
      <x:c r="C2124" s="33" t="str">
        <x:v>Applicability=Mandatory; Remarks=Implementation Method: Structured GDP training programme. | Evidence indicator retained in Evidence Master: Training records and competency assessments.</x:v>
      </x:c>
      <x:c r="D2124" s="33" t="str">
        <x:v>Applicability=Optional; Remarks=P-4 entity-specific internal control; no independent statutory force. Activate the exact underlying legal requirement separately.</x:v>
      </x:c>
      <x:c r="E2124" s="33" t="str">
        <x:v>CORRECT / RECLASSIFY</x:v>
      </x:c>
      <x:c r="F2124" s="33" t="str">
        <x:v>Align requirements to corrected substantive provisions and applicability classifications.</x:v>
      </x:c>
      <x:c r="G2124" s="33" t="str">
        <x:v>P-4 official-source validation</x:v>
      </x:c>
      <x:c r="H212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24" s="33" t="str">
        <x:v>P-4</x:v>
      </x:c>
      <x:c r="J2124" s="33" t="str">
        <x:v>2026-08-20</x:v>
      </x:c>
      <x:c r="K2124" s="33" t="str">
        <x:v>Compliance IDs preserved; mandatory/conditional/optional status corrected.</x:v>
      </x:c>
    </x:row>
    <x:row r="2125">
      <x:c r="A2125" s="33" t="str">
        <x:v>WCOMP020</x:v>
      </x:c>
      <x:c r="B2125" s="33" t="str">
        <x:v>Compliance Requirement Master</x:v>
      </x:c>
      <x:c r="C2125" s="33" t="str">
        <x:v>Applicability=Mandatory; Remarks=Implementation Method: Management review meetings. | Evidence indicator retained in Evidence Master: Management review minutes and action tracker.</x:v>
      </x:c>
      <x:c r="D2125" s="33" t="str">
        <x:v>Applicability=Optional; Remarks=P-4 entity-specific internal control; no independent statutory force. Activate the exact underlying legal requirement separately.</x:v>
      </x:c>
      <x:c r="E2125" s="33" t="str">
        <x:v>CORRECT / RECLASSIFY</x:v>
      </x:c>
      <x:c r="F2125" s="33" t="str">
        <x:v>Align requirements to corrected substantive provisions and applicability classifications.</x:v>
      </x:c>
      <x:c r="G2125" s="33" t="str">
        <x:v>P-4 official-source validation</x:v>
      </x:c>
      <x:c r="H212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25" s="33" t="str">
        <x:v>P-4</x:v>
      </x:c>
      <x:c r="J2125" s="33" t="str">
        <x:v>2026-08-20</x:v>
      </x:c>
      <x:c r="K2125" s="33" t="str">
        <x:v>Compliance IDs preserved; mandatory/conditional/optional status corrected.</x:v>
      </x:c>
    </x:row>
    <x:row r="2126">
      <x:c r="A2126" s="33" t="str">
        <x:v>HOSCOMP001</x:v>
      </x:c>
      <x:c r="B2126" s="33" t="str">
        <x:v>Compliance Requirement Master</x:v>
      </x:c>
      <x:c r="C2126" s="33" t="str">
        <x:v>Applicability=Mandatory; Remarks=Implementation Method: Prescription review and pharmacist verification. | Evidence indicator retained in Evidence Master: Verified medication order records.</x:v>
      </x:c>
      <x:c r="D2126" s="33" t="str">
        <x:v>Applicability=Optional; Remarks=P-4 entity-specific internal control; no independent statutory force. Activate the exact underlying legal requirement separately.</x:v>
      </x:c>
      <x:c r="E2126" s="33" t="str">
        <x:v>CORRECT / RECLASSIFY</x:v>
      </x:c>
      <x:c r="F2126" s="33" t="str">
        <x:v>Align requirements to corrected substantive provisions and applicability classifications.</x:v>
      </x:c>
      <x:c r="G2126" s="33" t="str">
        <x:v>P-4 official-source validation</x:v>
      </x:c>
      <x:c r="H212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26" s="33" t="str">
        <x:v>P-4</x:v>
      </x:c>
      <x:c r="J2126" s="33" t="str">
        <x:v>2026-08-20</x:v>
      </x:c>
      <x:c r="K2126" s="33" t="str">
        <x:v>Compliance IDs preserved; mandatory/conditional/optional status corrected.</x:v>
      </x:c>
    </x:row>
    <x:row r="2127">
      <x:c r="A2127" s="33" t="str">
        <x:v>HOSCOMP002</x:v>
      </x:c>
      <x:c r="B2127" s="33" t="str">
        <x:v>Compliance Requirement Master</x:v>
      </x:c>
      <x:c r="C2127" s="33" t="str">
        <x:v>Applicability=Mandatory; Remarks=Implementation Method: Stock issue and reconciliation process. | Evidence indicator retained in Evidence Master: Ward stock registers.</x:v>
      </x:c>
      <x:c r="D2127" s="33" t="str">
        <x:v>Applicability=Optional; Remarks=P-4 entity-specific internal control; no independent statutory force. Activate the exact underlying legal requirement separately.</x:v>
      </x:c>
      <x:c r="E2127" s="33" t="str">
        <x:v>CORRECT / RECLASSIFY</x:v>
      </x:c>
      <x:c r="F2127" s="33" t="str">
        <x:v>Align requirements to corrected substantive provisions and applicability classifications.</x:v>
      </x:c>
      <x:c r="G2127" s="33" t="str">
        <x:v>P-4 official-source validation</x:v>
      </x:c>
      <x:c r="H212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27" s="33" t="str">
        <x:v>P-4</x:v>
      </x:c>
      <x:c r="J2127" s="33" t="str">
        <x:v>2026-08-20</x:v>
      </x:c>
      <x:c r="K2127" s="33" t="str">
        <x:v>Compliance IDs preserved; mandatory/conditional/optional status corrected.</x:v>
      </x:c>
    </x:row>
    <x:row r="2128">
      <x:c r="A2128" s="33" t="str">
        <x:v>HOSCOMP003</x:v>
      </x:c>
      <x:c r="B2128" s="33" t="str">
        <x:v>Compliance Requirement Master</x:v>
      </x:c>
      <x:c r="C2128" s="33" t="str">
        <x:v>Applicability=Mandatory; Remarks=Implementation Method: Patient-specific dispensing workflow. | Evidence indicator retained in Evidence Master: Patient dispensing records.</x:v>
      </x:c>
      <x:c r="D2128" s="33" t="str">
        <x:v>Applicability=Optional; Remarks=P-4 entity-specific internal control; no independent statutory force. Activate the exact underlying legal requirement separately.</x:v>
      </x:c>
      <x:c r="E2128" s="33" t="str">
        <x:v>CORRECT / RECLASSIFY</x:v>
      </x:c>
      <x:c r="F2128" s="33" t="str">
        <x:v>Align requirements to corrected substantive provisions and applicability classifications.</x:v>
      </x:c>
      <x:c r="G2128" s="33" t="str">
        <x:v>P-4 official-source validation</x:v>
      </x:c>
      <x:c r="H212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28" s="33" t="str">
        <x:v>P-4</x:v>
      </x:c>
      <x:c r="J2128" s="33" t="str">
        <x:v>2026-08-20</x:v>
      </x:c>
      <x:c r="K2128" s="33" t="str">
        <x:v>Compliance IDs preserved; mandatory/conditional/optional status corrected.</x:v>
      </x:c>
    </x:row>
    <x:row r="2129">
      <x:c r="A2129" s="33" t="str">
        <x:v>HOSCOMP004</x:v>
      </x:c>
      <x:c r="B2129" s="33" t="str">
        <x:v>Compliance Requirement Master</x:v>
      </x:c>
      <x:c r="C2129" s="33" t="str">
        <x:v>Applicability=Mandatory; Remarks=Implementation Method: Crash cart inspection programme. | Evidence indicator retained in Evidence Master: Crash cart inspection logs.</x:v>
      </x:c>
      <x:c r="D2129" s="33" t="str">
        <x:v>Applicability=Optional; Remarks=P-4 entity-specific internal control; no independent statutory force. Activate the exact underlying legal requirement separately.</x:v>
      </x:c>
      <x:c r="E2129" s="33" t="str">
        <x:v>CORRECT / RECLASSIFY</x:v>
      </x:c>
      <x:c r="F2129" s="33" t="str">
        <x:v>Align requirements to corrected substantive provisions and applicability classifications.</x:v>
      </x:c>
      <x:c r="G2129" s="33" t="str">
        <x:v>P-4 official-source validation</x:v>
      </x:c>
      <x:c r="H212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29" s="33" t="str">
        <x:v>P-4</x:v>
      </x:c>
      <x:c r="J2129" s="33" t="str">
        <x:v>2026-08-20</x:v>
      </x:c>
      <x:c r="K2129" s="33" t="str">
        <x:v>Compliance IDs preserved; mandatory/conditional/optional status corrected.</x:v>
      </x:c>
    </x:row>
    <x:row r="2130">
      <x:c r="A2130" s="33" t="str">
        <x:v>HOSCOMP005</x:v>
      </x:c>
      <x:c r="B2130" s="33" t="str">
        <x:v>Compliance Requirement Master</x:v>
      </x:c>
      <x:c r="C2130" s="33" t="str">
        <x:v>Applicability=Mandatory; Remarks=Implementation Method: High-alert medicine control programme. | Evidence indicator retained in Evidence Master: High-alert medicine register.</x:v>
      </x:c>
      <x:c r="D2130" s="33" t="str">
        <x:v>Applicability=Optional; Remarks=P-4 entity-specific internal control; no independent statutory force. Activate the exact underlying legal requirement separately.</x:v>
      </x:c>
      <x:c r="E2130" s="33" t="str">
        <x:v>CORRECT / RECLASSIFY</x:v>
      </x:c>
      <x:c r="F2130" s="33" t="str">
        <x:v>Align requirements to corrected substantive provisions and applicability classifications.</x:v>
      </x:c>
      <x:c r="G2130" s="33" t="str">
        <x:v>P-4 official-source validation</x:v>
      </x:c>
      <x:c r="H213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30" s="33" t="str">
        <x:v>P-4</x:v>
      </x:c>
      <x:c r="J2130" s="33" t="str">
        <x:v>2026-08-20</x:v>
      </x:c>
      <x:c r="K2130" s="33" t="str">
        <x:v>Compliance IDs preserved; mandatory/conditional/optional status corrected.</x:v>
      </x:c>
    </x:row>
    <x:row r="2131">
      <x:c r="A2131" s="33" t="str">
        <x:v>HOSCOMP006</x:v>
      </x:c>
      <x:c r="B2131" s="33" t="str">
        <x:v>Compliance Requirement Master</x:v>
      </x:c>
      <x:c r="C2131" s="33" t="str">
        <x:v>Applicability=Mandatory; Remarks=Implementation Method: Controlled drug documentation. | Evidence indicator retained in Evidence Master: Narcotic issue register.</x:v>
      </x:c>
      <x:c r="D2131" s="33" t="str">
        <x:v>Applicability=Optional; Remarks=P-4 entity-specific internal control; no independent statutory force. Activate the exact underlying legal requirement separately.</x:v>
      </x:c>
      <x:c r="E2131" s="33" t="str">
        <x:v>CORRECT / RECLASSIFY</x:v>
      </x:c>
      <x:c r="F2131" s="33" t="str">
        <x:v>Align requirements to corrected substantive provisions and applicability classifications.</x:v>
      </x:c>
      <x:c r="G2131" s="33" t="str">
        <x:v>P-4 official-source validation</x:v>
      </x:c>
      <x:c r="H213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31" s="33" t="str">
        <x:v>P-4</x:v>
      </x:c>
      <x:c r="J2131" s="33" t="str">
        <x:v>2026-08-20</x:v>
      </x:c>
      <x:c r="K2131" s="33" t="str">
        <x:v>Compliance IDs preserved; mandatory/conditional/optional status corrected.</x:v>
      </x:c>
    </x:row>
    <x:row r="2132">
      <x:c r="A2132" s="33" t="str">
        <x:v>HOSCOMP007</x:v>
      </x:c>
      <x:c r="B2132" s="33" t="str">
        <x:v>Compliance Requirement Master</x:v>
      </x:c>
      <x:c r="C2132" s="33" t="str">
        <x:v>Applicability=Mandatory; Remarks=Implementation Method: MAR reconciliation. | Evidence indicator retained in Evidence Master: MAR reconciliation reports.</x:v>
      </x:c>
      <x:c r="D2132" s="33" t="str">
        <x:v>Applicability=Optional; Remarks=P-4 entity-specific internal control; no independent statutory force. Activate the exact underlying legal requirement separately.</x:v>
      </x:c>
      <x:c r="E2132" s="33" t="str">
        <x:v>CORRECT / RECLASSIFY</x:v>
      </x:c>
      <x:c r="F2132" s="33" t="str">
        <x:v>Align requirements to corrected substantive provisions and applicability classifications.</x:v>
      </x:c>
      <x:c r="G2132" s="33" t="str">
        <x:v>P-4 official-source validation</x:v>
      </x:c>
      <x:c r="H213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32" s="33" t="str">
        <x:v>P-4</x:v>
      </x:c>
      <x:c r="J2132" s="33" t="str">
        <x:v>2026-08-20</x:v>
      </x:c>
      <x:c r="K2132" s="33" t="str">
        <x:v>Compliance IDs preserved; mandatory/conditional/optional status corrected.</x:v>
      </x:c>
    </x:row>
    <x:row r="2133">
      <x:c r="A2133" s="33" t="str">
        <x:v>HOSCOMP008</x:v>
      </x:c>
      <x:c r="B2133" s="33" t="str">
        <x:v>Compliance Requirement Master</x:v>
      </x:c>
      <x:c r="C2133" s="33" t="str">
        <x:v>Applicability=Mandatory; Remarks=Implementation Method: Incident reporting and CAPA. | Evidence indicator retained in Evidence Master: Medication error register.</x:v>
      </x:c>
      <x:c r="D2133" s="33" t="str">
        <x:v>Applicability=Optional; Remarks=P-4 entity-specific internal control; no independent statutory force. Activate the exact underlying legal requirement separately.</x:v>
      </x:c>
      <x:c r="E2133" s="33" t="str">
        <x:v>CORRECT / RECLASSIFY</x:v>
      </x:c>
      <x:c r="F2133" s="33" t="str">
        <x:v>Align requirements to corrected substantive provisions and applicability classifications.</x:v>
      </x:c>
      <x:c r="G2133" s="33" t="str">
        <x:v>P-4 official-source validation</x:v>
      </x:c>
      <x:c r="H213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33" s="33" t="str">
        <x:v>P-4</x:v>
      </x:c>
      <x:c r="J2133" s="33" t="str">
        <x:v>2026-08-20</x:v>
      </x:c>
      <x:c r="K2133" s="33" t="str">
        <x:v>Compliance IDs preserved; mandatory/conditional/optional status corrected.</x:v>
      </x:c>
    </x:row>
    <x:row r="2134">
      <x:c r="A2134" s="33" t="str">
        <x:v>HOSCOMP009</x:v>
      </x:c>
      <x:c r="B2134" s="33" t="str">
        <x:v>Compliance Requirement Master</x:v>
      </x:c>
      <x:c r="C2134" s="33" t="str">
        <x:v>Applicability=Mandatory; Remarks=Implementation Method: LASA management procedure. | Evidence indicator retained in Evidence Master: LASA register.</x:v>
      </x:c>
      <x:c r="D2134" s="33" t="str">
        <x:v>Applicability=Optional; Remarks=P-4 entity-specific internal control; no independent statutory force. Activate the exact underlying legal requirement separately.</x:v>
      </x:c>
      <x:c r="E2134" s="33" t="str">
        <x:v>CORRECT / RECLASSIFY</x:v>
      </x:c>
      <x:c r="F2134" s="33" t="str">
        <x:v>Align requirements to corrected substantive provisions and applicability classifications.</x:v>
      </x:c>
      <x:c r="G2134" s="33" t="str">
        <x:v>P-4 official-source validation</x:v>
      </x:c>
      <x:c r="H213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34" s="33" t="str">
        <x:v>P-4</x:v>
      </x:c>
      <x:c r="J2134" s="33" t="str">
        <x:v>2026-08-20</x:v>
      </x:c>
      <x:c r="K2134" s="33" t="str">
        <x:v>Compliance IDs preserved; mandatory/conditional/optional status corrected.</x:v>
      </x:c>
    </x:row>
    <x:row r="2135">
      <x:c r="A2135" s="33" t="str">
        <x:v>HOSCOMP010</x:v>
      </x:c>
      <x:c r="B2135" s="33" t="str">
        <x:v>Compliance Requirement Master</x:v>
      </x:c>
      <x:c r="C2135" s="33" t="str">
        <x:v>Applicability=Mandatory; Remarks=Implementation Method: ADR reporting procedure. | Evidence indicator retained in Evidence Master: ADR reports.</x:v>
      </x:c>
      <x:c r="D2135" s="33" t="str">
        <x:v>Applicability=Optional; Remarks=P-4 entity-specific internal control; no independent statutory force. Activate the exact underlying legal requirement separately.</x:v>
      </x:c>
      <x:c r="E2135" s="33" t="str">
        <x:v>CORRECT / RECLASSIFY</x:v>
      </x:c>
      <x:c r="F2135" s="33" t="str">
        <x:v>Align requirements to corrected substantive provisions and applicability classifications.</x:v>
      </x:c>
      <x:c r="G2135" s="33" t="str">
        <x:v>P-4 official-source validation</x:v>
      </x:c>
      <x:c r="H213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35" s="33" t="str">
        <x:v>P-4</x:v>
      </x:c>
      <x:c r="J2135" s="33" t="str">
        <x:v>2026-08-20</x:v>
      </x:c>
      <x:c r="K2135" s="33" t="str">
        <x:v>Compliance IDs preserved; mandatory/conditional/optional status corrected.</x:v>
      </x:c>
    </x:row>
    <x:row r="2136">
      <x:c r="A2136" s="33" t="str">
        <x:v>HOSCOMP011</x:v>
      </x:c>
      <x:c r="B2136" s="33" t="str">
        <x:v>Compliance Requirement Master</x:v>
      </x:c>
      <x:c r="C2136" s="33" t="str">
        <x:v>Applicability=Mandatory; Remarks=Implementation Method: Antibiotic stewardship review. | Evidence indicator retained in Evidence Master: Stewardship review records.</x:v>
      </x:c>
      <x:c r="D2136" s="33" t="str">
        <x:v>Applicability=Optional; Remarks=P-4 entity-specific internal control; no independent statutory force. Activate the exact underlying legal requirement separately.</x:v>
      </x:c>
      <x:c r="E2136" s="33" t="str">
        <x:v>CORRECT / RECLASSIFY</x:v>
      </x:c>
      <x:c r="F2136" s="33" t="str">
        <x:v>Align requirements to corrected substantive provisions and applicability classifications.</x:v>
      </x:c>
      <x:c r="G2136" s="33" t="str">
        <x:v>P-4 official-source validation</x:v>
      </x:c>
      <x:c r="H213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36" s="33" t="str">
        <x:v>P-4</x:v>
      </x:c>
      <x:c r="J2136" s="33" t="str">
        <x:v>2026-08-20</x:v>
      </x:c>
      <x:c r="K2136" s="33" t="str">
        <x:v>Compliance IDs preserved; mandatory/conditional/optional status corrected.</x:v>
      </x:c>
    </x:row>
    <x:row r="2137">
      <x:c r="A2137" s="33" t="str">
        <x:v>HOSCOMP012</x:v>
      </x:c>
      <x:c r="B2137" s="33" t="str">
        <x:v>Compliance Requirement Master</x:v>
      </x:c>
      <x:c r="C2137" s="33" t="str">
        <x:v>Applicability=Mandatory; Remarks=Implementation Method: Intervention documentation. | Evidence indicator retained in Evidence Master: Intervention log.</x:v>
      </x:c>
      <x:c r="D2137" s="33" t="str">
        <x:v>Applicability=Optional; Remarks=P-4 entity-specific internal control; no independent statutory force. Activate the exact underlying legal requirement separately.</x:v>
      </x:c>
      <x:c r="E2137" s="33" t="str">
        <x:v>CORRECT / RECLASSIFY</x:v>
      </x:c>
      <x:c r="F2137" s="33" t="str">
        <x:v>Align requirements to corrected substantive provisions and applicability classifications.</x:v>
      </x:c>
      <x:c r="G2137" s="33" t="str">
        <x:v>P-4 official-source validation</x:v>
      </x:c>
      <x:c r="H213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37" s="33" t="str">
        <x:v>P-4</x:v>
      </x:c>
      <x:c r="J2137" s="33" t="str">
        <x:v>2026-08-20</x:v>
      </x:c>
      <x:c r="K2137" s="33" t="str">
        <x:v>Compliance IDs preserved; mandatory/conditional/optional status corrected.</x:v>
      </x:c>
    </x:row>
    <x:row r="2138">
      <x:c r="A2138" s="33" t="str">
        <x:v>HOSCOMP013</x:v>
      </x:c>
      <x:c r="B2138" s="33" t="str">
        <x:v>Compliance Requirement Master</x:v>
      </x:c>
      <x:c r="C2138" s="33" t="str">
        <x:v>Applicability=Mandatory; Remarks=Implementation Method: Return inspection procedure. | Evidence indicator retained in Evidence Master: Medicine return records.</x:v>
      </x:c>
      <x:c r="D2138" s="33" t="str">
        <x:v>Applicability=Optional; Remarks=P-4 entity-specific internal control; no independent statutory force. Activate the exact underlying legal requirement separately.</x:v>
      </x:c>
      <x:c r="E2138" s="33" t="str">
        <x:v>CORRECT / RECLASSIFY</x:v>
      </x:c>
      <x:c r="F2138" s="33" t="str">
        <x:v>Align requirements to corrected substantive provisions and applicability classifications.</x:v>
      </x:c>
      <x:c r="G2138" s="33" t="str">
        <x:v>P-4 official-source validation</x:v>
      </x:c>
      <x:c r="H213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38" s="33" t="str">
        <x:v>P-4</x:v>
      </x:c>
      <x:c r="J2138" s="33" t="str">
        <x:v>2026-08-20</x:v>
      </x:c>
      <x:c r="K2138" s="33" t="str">
        <x:v>Compliance IDs preserved; mandatory/conditional/optional status corrected.</x:v>
      </x:c>
    </x:row>
    <x:row r="2139">
      <x:c r="A2139" s="33" t="str">
        <x:v>HOSCOMP014</x:v>
      </x:c>
      <x:c r="B2139" s="33" t="str">
        <x:v>Compliance Requirement Master</x:v>
      </x:c>
      <x:c r="C2139" s="33" t="str">
        <x:v>Applicability=Mandatory; Remarks=Implementation Method: Transfer authorization process. | Evidence indicator retained in Evidence Master: Transfer register.</x:v>
      </x:c>
      <x:c r="D2139" s="33" t="str">
        <x:v>Applicability=Optional; Remarks=P-4 entity-specific internal control; no independent statutory force. Activate the exact underlying legal requirement separately.</x:v>
      </x:c>
      <x:c r="E2139" s="33" t="str">
        <x:v>CORRECT / RECLASSIFY</x:v>
      </x:c>
      <x:c r="F2139" s="33" t="str">
        <x:v>Align requirements to corrected substantive provisions and applicability classifications.</x:v>
      </x:c>
      <x:c r="G2139" s="33" t="str">
        <x:v>P-4 official-source validation</x:v>
      </x:c>
      <x:c r="H213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39" s="33" t="str">
        <x:v>P-4</x:v>
      </x:c>
      <x:c r="J2139" s="33" t="str">
        <x:v>2026-08-20</x:v>
      </x:c>
      <x:c r="K2139" s="33" t="str">
        <x:v>Compliance IDs preserved; mandatory/conditional/optional status corrected.</x:v>
      </x:c>
    </x:row>
    <x:row r="2140">
      <x:c r="A2140" s="33" t="str">
        <x:v>HOSCOMP015</x:v>
      </x:c>
      <x:c r="B2140" s="33" t="str">
        <x:v>Compliance Requirement Master</x:v>
      </x:c>
      <x:c r="C2140" s="33" t="str">
        <x:v>Applicability=Mandatory; Remarks=Implementation Method: Automated temperature monitoring. | Evidence indicator retained in Evidence Master: Temperature logs.</x:v>
      </x:c>
      <x:c r="D2140" s="33" t="str">
        <x:v>Applicability=Optional; Remarks=P-4 entity-specific internal control; no independent statutory force. Activate the exact underlying legal requirement separately.</x:v>
      </x:c>
      <x:c r="E2140" s="33" t="str">
        <x:v>CORRECT / RECLASSIFY</x:v>
      </x:c>
      <x:c r="F2140" s="33" t="str">
        <x:v>Align requirements to corrected substantive provisions and applicability classifications.</x:v>
      </x:c>
      <x:c r="G2140" s="33" t="str">
        <x:v>P-4 official-source validation</x:v>
      </x:c>
      <x:c r="H214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40" s="33" t="str">
        <x:v>P-4</x:v>
      </x:c>
      <x:c r="J2140" s="33" t="str">
        <x:v>2026-08-20</x:v>
      </x:c>
      <x:c r="K2140" s="33" t="str">
        <x:v>Compliance IDs preserved; mandatory/conditional/optional status corrected.</x:v>
      </x:c>
    </x:row>
    <x:row r="2141">
      <x:c r="A2141" s="33" t="str">
        <x:v>HOSCOMP016</x:v>
      </x:c>
      <x:c r="B2141" s="33" t="str">
        <x:v>Compliance Requirement Master</x:v>
      </x:c>
      <x:c r="C2141" s="33" t="str">
        <x:v>Applicability=Mandatory; Remarks=Implementation Method: Physical stock audit. | Evidence indicator retained in Evidence Master: Floor stock audit reports.</x:v>
      </x:c>
      <x:c r="D2141" s="33" t="str">
        <x:v>Applicability=Optional; Remarks=P-4 entity-specific internal control; no independent statutory force. Activate the exact underlying legal requirement separately.</x:v>
      </x:c>
      <x:c r="E2141" s="33" t="str">
        <x:v>CORRECT / RECLASSIFY</x:v>
      </x:c>
      <x:c r="F2141" s="33" t="str">
        <x:v>Align requirements to corrected substantive provisions and applicability classifications.</x:v>
      </x:c>
      <x:c r="G2141" s="33" t="str">
        <x:v>P-4 official-source validation</x:v>
      </x:c>
      <x:c r="H214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41" s="33" t="str">
        <x:v>P-4</x:v>
      </x:c>
      <x:c r="J2141" s="33" t="str">
        <x:v>2026-08-20</x:v>
      </x:c>
      <x:c r="K2141" s="33" t="str">
        <x:v>Compliance IDs preserved; mandatory/conditional/optional status corrected.</x:v>
      </x:c>
    </x:row>
    <x:row r="2142">
      <x:c r="A2142" s="33" t="str">
        <x:v>HOSCOMP017</x:v>
      </x:c>
      <x:c r="B2142" s="33" t="str">
        <x:v>Compliance Requirement Master</x:v>
      </x:c>
      <x:c r="C2142" s="33" t="str">
        <x:v>Applicability=Mandatory; Remarks=Implementation Method: Daily emergency stock verification. | Evidence indicator retained in Evidence Master: Emergency stock checklist.</x:v>
      </x:c>
      <x:c r="D2142" s="33" t="str">
        <x:v>Applicability=Optional; Remarks=P-4 entity-specific internal control; no independent statutory force. Activate the exact underlying legal requirement separately.</x:v>
      </x:c>
      <x:c r="E2142" s="33" t="str">
        <x:v>CORRECT / RECLASSIFY</x:v>
      </x:c>
      <x:c r="F2142" s="33" t="str">
        <x:v>Align requirements to corrected substantive provisions and applicability classifications.</x:v>
      </x:c>
      <x:c r="G2142" s="33" t="str">
        <x:v>P-4 official-source validation</x:v>
      </x:c>
      <x:c r="H214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42" s="33" t="str">
        <x:v>P-4</x:v>
      </x:c>
      <x:c r="J2142" s="33" t="str">
        <x:v>2026-08-20</x:v>
      </x:c>
      <x:c r="K2142" s="33" t="str">
        <x:v>Compliance IDs preserved; mandatory/conditional/optional status corrected.</x:v>
      </x:c>
    </x:row>
    <x:row r="2143">
      <x:c r="A2143" s="33" t="str">
        <x:v>HOSCOMP018</x:v>
      </x:c>
      <x:c r="B2143" s="33" t="str">
        <x:v>Compliance Requirement Master</x:v>
      </x:c>
      <x:c r="C2143" s="33" t="str">
        <x:v>Applicability=Mandatory; Remarks=Implementation Method: Medication reconciliation workflow. | Evidence indicator retained in Evidence Master: Reconciliation records.</x:v>
      </x:c>
      <x:c r="D2143" s="33" t="str">
        <x:v>Applicability=Optional; Remarks=P-4 entity-specific internal control; no independent statutory force. Activate the exact underlying legal requirement separately.</x:v>
      </x:c>
      <x:c r="E2143" s="33" t="str">
        <x:v>CORRECT / RECLASSIFY</x:v>
      </x:c>
      <x:c r="F2143" s="33" t="str">
        <x:v>Align requirements to corrected substantive provisions and applicability classifications.</x:v>
      </x:c>
      <x:c r="G2143" s="33" t="str">
        <x:v>P-4 official-source validation</x:v>
      </x:c>
      <x:c r="H214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43" s="33" t="str">
        <x:v>P-4</x:v>
      </x:c>
      <x:c r="J2143" s="33" t="str">
        <x:v>2026-08-20</x:v>
      </x:c>
      <x:c r="K2143" s="33" t="str">
        <x:v>Compliance IDs preserved; mandatory/conditional/optional status corrected.</x:v>
      </x:c>
    </x:row>
    <x:row r="2144">
      <x:c r="A2144" s="33" t="str">
        <x:v>HOSCOMP019</x:v>
      </x:c>
      <x:c r="B2144" s="33" t="str">
        <x:v>Compliance Requirement Master</x:v>
      </x:c>
      <x:c r="C2144" s="33" t="str">
        <x:v>Applicability=Mandatory; Remarks=Implementation Method: Accountability log management. | Evidence indicator retained in Evidence Master: Investigational drug accountability logs.</x:v>
      </x:c>
      <x:c r="D2144" s="33" t="str">
        <x:v>Applicability=Optional; Remarks=P-4 entity-specific internal control; no independent statutory force. Activate the exact underlying legal requirement separately.</x:v>
      </x:c>
      <x:c r="E2144" s="33" t="str">
        <x:v>CORRECT / RECLASSIFY</x:v>
      </x:c>
      <x:c r="F2144" s="33" t="str">
        <x:v>Align requirements to corrected substantive provisions and applicability classifications.</x:v>
      </x:c>
      <x:c r="G2144" s="33" t="str">
        <x:v>P-4 official-source validation</x:v>
      </x:c>
      <x:c r="H214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44" s="33" t="str">
        <x:v>P-4</x:v>
      </x:c>
      <x:c r="J2144" s="33" t="str">
        <x:v>2026-08-20</x:v>
      </x:c>
      <x:c r="K2144" s="33" t="str">
        <x:v>Compliance IDs preserved; mandatory/conditional/optional status corrected.</x:v>
      </x:c>
    </x:row>
    <x:row r="2145">
      <x:c r="A2145" s="33" t="str">
        <x:v>HOSCOMP020</x:v>
      </x:c>
      <x:c r="B2145" s="33" t="str">
        <x:v>Compliance Requirement Master</x:v>
      </x:c>
      <x:c r="C2145" s="33" t="str">
        <x:v>Applicability=Mandatory; Remarks=Implementation Method: Storage inspection programme. | Evidence indicator retained in Evidence Master: Storage inspection reports.</x:v>
      </x:c>
      <x:c r="D2145" s="33" t="str">
        <x:v>Applicability=Optional; Remarks=P-4 entity-specific internal control; no independent statutory force. Activate the exact underlying legal requirement separately.</x:v>
      </x:c>
      <x:c r="E2145" s="33" t="str">
        <x:v>CORRECT / RECLASSIFY</x:v>
      </x:c>
      <x:c r="F2145" s="33" t="str">
        <x:v>Align requirements to corrected substantive provisions and applicability classifications.</x:v>
      </x:c>
      <x:c r="G2145" s="33" t="str">
        <x:v>P-4 official-source validation</x:v>
      </x:c>
      <x:c r="H214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45" s="33" t="str">
        <x:v>P-4</x:v>
      </x:c>
      <x:c r="J2145" s="33" t="str">
        <x:v>2026-08-20</x:v>
      </x:c>
      <x:c r="K2145" s="33" t="str">
        <x:v>Compliance IDs preserved; mandatory/conditional/optional status corrected.</x:v>
      </x:c>
    </x:row>
    <x:row r="2146">
      <x:c r="A2146" s="33" t="str">
        <x:v>HOSCOMP021</x:v>
      </x:c>
      <x:c r="B2146" s="33" t="str">
        <x:v>Compliance Requirement Master</x:v>
      </x:c>
      <x:c r="C2146" s="33" t="str">
        <x:v>Applicability=Mandatory; Remarks=Implementation Method: Antimicrobial prescription review. | Evidence indicator retained in Evidence Master: Stewardship review records.</x:v>
      </x:c>
      <x:c r="D2146" s="33" t="str">
        <x:v>Applicability=Optional; Remarks=P-4 entity-specific internal control; no independent statutory force. Activate the exact underlying legal requirement separately.</x:v>
      </x:c>
      <x:c r="E2146" s="33" t="str">
        <x:v>CORRECT / RECLASSIFY</x:v>
      </x:c>
      <x:c r="F2146" s="33" t="str">
        <x:v>Align requirements to corrected substantive provisions and applicability classifications.</x:v>
      </x:c>
      <x:c r="G2146" s="33" t="str">
        <x:v>P-4 official-source validation</x:v>
      </x:c>
      <x:c r="H214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46" s="33" t="str">
        <x:v>P-4</x:v>
      </x:c>
      <x:c r="J2146" s="33" t="str">
        <x:v>2026-08-20</x:v>
      </x:c>
      <x:c r="K2146" s="33" t="str">
        <x:v>Compliance IDs preserved; mandatory/conditional/optional status corrected.</x:v>
      </x:c>
    </x:row>
    <x:row r="2147">
      <x:c r="A2147" s="33" t="str">
        <x:v>HOSCOMP022</x:v>
      </x:c>
      <x:c r="B2147" s="33" t="str">
        <x:v>Compliance Requirement Master</x:v>
      </x:c>
      <x:c r="C2147" s="33" t="str">
        <x:v>Applicability=Mandatory; Remarks=Implementation Method: Patient-owned medicine verification. | Evidence indicator retained in Evidence Master: Patient-owned medicine verification form.</x:v>
      </x:c>
      <x:c r="D2147" s="33" t="str">
        <x:v>Applicability=Optional; Remarks=P-4 entity-specific internal control; no independent statutory force. Activate the exact underlying legal requirement separately.</x:v>
      </x:c>
      <x:c r="E2147" s="33" t="str">
        <x:v>CORRECT / RECLASSIFY</x:v>
      </x:c>
      <x:c r="F2147" s="33" t="str">
        <x:v>Align requirements to corrected substantive provisions and applicability classifications.</x:v>
      </x:c>
      <x:c r="G2147" s="33" t="str">
        <x:v>P-4 official-source validation</x:v>
      </x:c>
      <x:c r="H214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47" s="33" t="str">
        <x:v>P-4</x:v>
      </x:c>
      <x:c r="J2147" s="33" t="str">
        <x:v>2026-08-20</x:v>
      </x:c>
      <x:c r="K2147" s="33" t="str">
        <x:v>Compliance IDs preserved; mandatory/conditional/optional status corrected.</x:v>
      </x:c>
    </x:row>
    <x:row r="2148">
      <x:c r="A2148" s="33" t="str">
        <x:v>HOSCOMP023</x:v>
      </x:c>
      <x:c r="B2148" s="33" t="str">
        <x:v>Compliance Requirement Master</x:v>
      </x:c>
      <x:c r="C2148" s="33" t="str">
        <x:v>Applicability=Mandatory; Remarks=Implementation Method: Dedicated storage and access control. | Evidence indicator retained in Evidence Master: IMP storage logs.</x:v>
      </x:c>
      <x:c r="D2148" s="33" t="str">
        <x:v>Applicability=Optional; Remarks=P-4 entity-specific internal control; no independent statutory force. Activate the exact underlying legal requirement separately.</x:v>
      </x:c>
      <x:c r="E2148" s="33" t="str">
        <x:v>CORRECT / RECLASSIFY</x:v>
      </x:c>
      <x:c r="F2148" s="33" t="str">
        <x:v>Align requirements to corrected substantive provisions and applicability classifications.</x:v>
      </x:c>
      <x:c r="G2148" s="33" t="str">
        <x:v>P-4 official-source validation</x:v>
      </x:c>
      <x:c r="H214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48" s="33" t="str">
        <x:v>P-4</x:v>
      </x:c>
      <x:c r="J2148" s="33" t="str">
        <x:v>2026-08-20</x:v>
      </x:c>
      <x:c r="K2148" s="33" t="str">
        <x:v>Compliance IDs preserved; mandatory/conditional/optional status corrected.</x:v>
      </x:c>
    </x:row>
    <x:row r="2149">
      <x:c r="A2149" s="33" t="str">
        <x:v>HOSCOMP024</x:v>
      </x:c>
      <x:c r="B2149" s="33" t="str">
        <x:v>Compliance Requirement Master</x:v>
      </x:c>
      <x:c r="C2149" s="33" t="str">
        <x:v>Applicability=Mandatory; Remarks=Implementation Method: Accountability log maintenance. | Evidence indicator retained in Evidence Master: Drug accountability logs.</x:v>
      </x:c>
      <x:c r="D2149" s="33" t="str">
        <x:v>Applicability=Optional; Remarks=P-4 entity-specific internal control; no independent statutory force. Activate the exact underlying legal requirement separately.</x:v>
      </x:c>
      <x:c r="E2149" s="33" t="str">
        <x:v>CORRECT / RECLASSIFY</x:v>
      </x:c>
      <x:c r="F2149" s="33" t="str">
        <x:v>Align requirements to corrected substantive provisions and applicability classifications.</x:v>
      </x:c>
      <x:c r="G2149" s="33" t="str">
        <x:v>P-4 official-source validation</x:v>
      </x:c>
      <x:c r="H214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49" s="33" t="str">
        <x:v>P-4</x:v>
      </x:c>
      <x:c r="J2149" s="33" t="str">
        <x:v>2026-08-20</x:v>
      </x:c>
      <x:c r="K2149" s="33" t="str">
        <x:v>Compliance IDs preserved; mandatory/conditional/optional status corrected.</x:v>
      </x:c>
    </x:row>
    <x:row r="2150">
      <x:c r="A2150" s="33" t="str">
        <x:v>HOSCOMP025</x:v>
      </x:c>
      <x:c r="B2150" s="33" t="str">
        <x:v>Compliance Requirement Master</x:v>
      </x:c>
      <x:c r="C2150" s="33" t="str">
        <x:v>Applicability=Mandatory; Remarks=Implementation Method: Temperature monitoring and issue controls. | Evidence indicator retained in Evidence Master: Blood product storage and issue records.</x:v>
      </x:c>
      <x:c r="D2150" s="33" t="str">
        <x:v>Applicability=Optional; Remarks=P-4 entity-specific internal control; no independent statutory force. Activate the exact underlying legal requirement separately.</x:v>
      </x:c>
      <x:c r="E2150" s="33" t="str">
        <x:v>CORRECT / RECLASSIFY</x:v>
      </x:c>
      <x:c r="F2150" s="33" t="str">
        <x:v>Align requirements to corrected substantive provisions and applicability classifications.</x:v>
      </x:c>
      <x:c r="G2150" s="33" t="str">
        <x:v>P-4 official-source validation</x:v>
      </x:c>
      <x:c r="H215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50" s="33" t="str">
        <x:v>P-4</x:v>
      </x:c>
      <x:c r="J2150" s="33" t="str">
        <x:v>2026-08-20</x:v>
      </x:c>
      <x:c r="K2150" s="33" t="str">
        <x:v>Compliance IDs preserved; mandatory/conditional/optional status corrected.</x:v>
      </x:c>
    </x:row>
    <x:row r="2151">
      <x:c r="A2151" s="33" t="str">
        <x:v>HOSCOMP026</x:v>
      </x:c>
      <x:c r="B2151" s="33" t="str">
        <x:v>Compliance Requirement Master</x:v>
      </x:c>
      <x:c r="C2151" s="33" t="str">
        <x:v>Applicability=Mandatory; Remarks=Implementation Method: Cold-chain monitoring and excursion handling. | Evidence indicator retained in Evidence Master: Vaccine temperature logs and excursion reports.</x:v>
      </x:c>
      <x:c r="D2151" s="33" t="str">
        <x:v>Applicability=Optional; Remarks=P-4 entity-specific internal control; no independent statutory force. Activate the exact underlying legal requirement separately.</x:v>
      </x:c>
      <x:c r="E2151" s="33" t="str">
        <x:v>CORRECT / RECLASSIFY</x:v>
      </x:c>
      <x:c r="F2151" s="33" t="str">
        <x:v>Align requirements to corrected substantive provisions and applicability classifications.</x:v>
      </x:c>
      <x:c r="G2151" s="33" t="str">
        <x:v>P-4 official-source validation</x:v>
      </x:c>
      <x:c r="H215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51" s="33" t="str">
        <x:v>P-4</x:v>
      </x:c>
      <x:c r="J2151" s="33" t="str">
        <x:v>2026-08-20</x:v>
      </x:c>
      <x:c r="K2151" s="33" t="str">
        <x:v>Compliance IDs preserved; mandatory/conditional/optional status corrected.</x:v>
      </x:c>
    </x:row>
    <x:row r="2152">
      <x:c r="A2152" s="33" t="str">
        <x:v>HOSCOMP027</x:v>
      </x:c>
      <x:c r="B2152" s="33" t="str">
        <x:v>Compliance Requirement Master</x:v>
      </x:c>
      <x:c r="C2152" s="33" t="str">
        <x:v>Applicability=Mandatory; Remarks=Implementation Method: SOP-based governance review. | Evidence indicator retained in Evidence Master: Satellite pharmacy audit records.</x:v>
      </x:c>
      <x:c r="D2152" s="33" t="str">
        <x:v>Applicability=Optional; Remarks=P-4 entity-specific internal control; no independent statutory force. Activate the exact underlying legal requirement separately.</x:v>
      </x:c>
      <x:c r="E2152" s="33" t="str">
        <x:v>CORRECT / RECLASSIFY</x:v>
      </x:c>
      <x:c r="F2152" s="33" t="str">
        <x:v>Align requirements to corrected substantive provisions and applicability classifications.</x:v>
      </x:c>
      <x:c r="G2152" s="33" t="str">
        <x:v>P-4 official-source validation</x:v>
      </x:c>
      <x:c r="H215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52" s="33" t="str">
        <x:v>P-4</x:v>
      </x:c>
      <x:c r="J2152" s="33" t="str">
        <x:v>2026-08-20</x:v>
      </x:c>
      <x:c r="K2152" s="33" t="str">
        <x:v>Compliance IDs preserved; mandatory/conditional/optional status corrected.</x:v>
      </x:c>
    </x:row>
    <x:row r="2153">
      <x:c r="A2153" s="33" t="str">
        <x:v>HOSCOMP028</x:v>
      </x:c>
      <x:c r="B2153" s="33" t="str">
        <x:v>Compliance Requirement Master</x:v>
      </x:c>
      <x:c r="C2153" s="33" t="str">
        <x:v>Applicability=Mandatory; Remarks=Implementation Method: Access control and reconciliation. | Evidence indicator retained in Evidence Master: ADC access logs and reconciliation reports.</x:v>
      </x:c>
      <x:c r="D2153" s="33" t="str">
        <x:v>Applicability=Optional; Remarks=P-4 entity-specific internal control; no independent statutory force. Activate the exact underlying legal requirement separately.</x:v>
      </x:c>
      <x:c r="E2153" s="33" t="str">
        <x:v>CORRECT / RECLASSIFY</x:v>
      </x:c>
      <x:c r="F2153" s="33" t="str">
        <x:v>Align requirements to corrected substantive provisions and applicability classifications.</x:v>
      </x:c>
      <x:c r="G2153" s="33" t="str">
        <x:v>P-4 official-source validation</x:v>
      </x:c>
      <x:c r="H215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53" s="33" t="str">
        <x:v>P-4</x:v>
      </x:c>
      <x:c r="J2153" s="33" t="str">
        <x:v>2026-08-20</x:v>
      </x:c>
      <x:c r="K2153" s="33" t="str">
        <x:v>Compliance IDs preserved; mandatory/conditional/optional status corrected.</x:v>
      </x:c>
    </x:row>
    <x:row r="2154">
      <x:c r="A2154" s="33" t="str">
        <x:v>HOSCOMP029</x:v>
      </x:c>
      <x:c r="B2154" s="33" t="str">
        <x:v>Compliance Requirement Master</x:v>
      </x:c>
      <x:c r="C2154" s="33" t="str">
        <x:v>Applicability=Mandatory; Remarks=Implementation Method: Medication safety monitoring. | Evidence indicator retained in Evidence Master: Medication safety dashboard and incident register.</x:v>
      </x:c>
      <x:c r="D2154" s="33" t="str">
        <x:v>Applicability=Optional; Remarks=P-4 entity-specific internal control; no independent statutory force. Activate the exact underlying legal requirement separately.</x:v>
      </x:c>
      <x:c r="E2154" s="33" t="str">
        <x:v>CORRECT / RECLASSIFY</x:v>
      </x:c>
      <x:c r="F2154" s="33" t="str">
        <x:v>Align requirements to corrected substantive provisions and applicability classifications.</x:v>
      </x:c>
      <x:c r="G2154" s="33" t="str">
        <x:v>P-4 official-source validation</x:v>
      </x:c>
      <x:c r="H215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54" s="33" t="str">
        <x:v>P-4</x:v>
      </x:c>
      <x:c r="J2154" s="33" t="str">
        <x:v>2026-08-20</x:v>
      </x:c>
      <x:c r="K2154" s="33" t="str">
        <x:v>Compliance IDs preserved; mandatory/conditional/optional status corrected.</x:v>
      </x:c>
    </x:row>
    <x:row r="2155">
      <x:c r="A2155" s="33" t="str">
        <x:v>HOSCOMP030</x:v>
      </x:c>
      <x:c r="B2155" s="33" t="str">
        <x:v>Compliance Requirement Master</x:v>
      </x:c>
      <x:c r="C2155" s="33" t="str">
        <x:v>Applicability=Mandatory; Remarks=Implementation Method: Formulary review process. | Evidence indicator retained in Evidence Master: Formulary committee minutes.</x:v>
      </x:c>
      <x:c r="D2155" s="33" t="str">
        <x:v>Applicability=Optional; Remarks=P-4 entity-specific internal control; no independent statutory force. Activate the exact underlying legal requirement separately.</x:v>
      </x:c>
      <x:c r="E2155" s="33" t="str">
        <x:v>CORRECT / RECLASSIFY</x:v>
      </x:c>
      <x:c r="F2155" s="33" t="str">
        <x:v>Align requirements to corrected substantive provisions and applicability classifications.</x:v>
      </x:c>
      <x:c r="G2155" s="33" t="str">
        <x:v>P-4 official-source validation</x:v>
      </x:c>
      <x:c r="H215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55" s="33" t="str">
        <x:v>P-4</x:v>
      </x:c>
      <x:c r="J2155" s="33" t="str">
        <x:v>2026-08-20</x:v>
      </x:c>
      <x:c r="K2155" s="33" t="str">
        <x:v>Compliance IDs preserved; mandatory/conditional/optional status corrected.</x:v>
      </x:c>
    </x:row>
    <x:row r="2156">
      <x:c r="A2156" s="33" t="str">
        <x:v>HOSCOMP031</x:v>
      </x:c>
      <x:c r="B2156" s="33" t="str">
        <x:v>Compliance Requirement Master</x:v>
      </x:c>
      <x:c r="C2156" s="33" t="str">
        <x:v>Applicability=Mandatory; Remarks=Implementation Method: Shortage monitoring and substitution control. | Evidence indicator retained in Evidence Master: Drug shortage tracker.</x:v>
      </x:c>
      <x:c r="D2156" s="33" t="str">
        <x:v>Applicability=Optional; Remarks=P-4 entity-specific internal control; no independent statutory force. Activate the exact underlying legal requirement separately.</x:v>
      </x:c>
      <x:c r="E2156" s="33" t="str">
        <x:v>CORRECT / RECLASSIFY</x:v>
      </x:c>
      <x:c r="F2156" s="33" t="str">
        <x:v>Align requirements to corrected substantive provisions and applicability classifications.</x:v>
      </x:c>
      <x:c r="G2156" s="33" t="str">
        <x:v>P-4 official-source validation</x:v>
      </x:c>
      <x:c r="H215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56" s="33" t="str">
        <x:v>P-4</x:v>
      </x:c>
      <x:c r="J2156" s="33" t="str">
        <x:v>2026-08-20</x:v>
      </x:c>
      <x:c r="K2156" s="33" t="str">
        <x:v>Compliance IDs preserved; mandatory/conditional/optional status corrected.</x:v>
      </x:c>
    </x:row>
    <x:row r="2157">
      <x:c r="A2157" s="33" t="str">
        <x:v>HOSCOMP032</x:v>
      </x:c>
      <x:c r="B2157" s="33" t="str">
        <x:v>Compliance Requirement Master</x:v>
      </x:c>
      <x:c r="C2157" s="33" t="str">
        <x:v>Applicability=Mandatory; Remarks=Implementation Method: Emergency stock review. | Evidence indicator retained in Evidence Master: Emergency preparedness inventory records.</x:v>
      </x:c>
      <x:c r="D2157" s="33" t="str">
        <x:v>Applicability=Optional; Remarks=P-4 entity-specific internal control; no independent statutory force. Activate the exact underlying legal requirement separately.</x:v>
      </x:c>
      <x:c r="E2157" s="33" t="str">
        <x:v>CORRECT / RECLASSIFY</x:v>
      </x:c>
      <x:c r="F2157" s="33" t="str">
        <x:v>Align requirements to corrected substantive provisions and applicability classifications.</x:v>
      </x:c>
      <x:c r="G2157" s="33" t="str">
        <x:v>P-4 official-source validation</x:v>
      </x:c>
      <x:c r="H215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57" s="33" t="str">
        <x:v>P-4</x:v>
      </x:c>
      <x:c r="J2157" s="33" t="str">
        <x:v>2026-08-20</x:v>
      </x:c>
      <x:c r="K2157" s="33" t="str">
        <x:v>Compliance IDs preserved; mandatory/conditional/optional status corrected.</x:v>
      </x:c>
    </x:row>
    <x:row r="2158">
      <x:c r="A2158" s="33" t="str">
        <x:v>HOSCOMP033</x:v>
      </x:c>
      <x:c r="B2158" s="33" t="str">
        <x:v>Compliance Requirement Master</x:v>
      </x:c>
      <x:c r="C2158" s="33" t="str">
        <x:v>Applicability=Mandatory; Remarks=Implementation Method: Vendor performance review. | Evidence indicator retained in Evidence Master: Vendor agreement and performance reports.</x:v>
      </x:c>
      <x:c r="D2158" s="33" t="str">
        <x:v>Applicability=Optional; Remarks=P-4 entity-specific internal control; no independent statutory force. Activate the exact underlying legal requirement separately.</x:v>
      </x:c>
      <x:c r="E2158" s="33" t="str">
        <x:v>CORRECT / RECLASSIFY</x:v>
      </x:c>
      <x:c r="F2158" s="33" t="str">
        <x:v>Align requirements to corrected substantive provisions and applicability classifications.</x:v>
      </x:c>
      <x:c r="G2158" s="33" t="str">
        <x:v>P-4 official-source validation</x:v>
      </x:c>
      <x:c r="H215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58" s="33" t="str">
        <x:v>P-4</x:v>
      </x:c>
      <x:c r="J2158" s="33" t="str">
        <x:v>2026-08-20</x:v>
      </x:c>
      <x:c r="K2158" s="33" t="str">
        <x:v>Compliance IDs preserved; mandatory/conditional/optional status corrected.</x:v>
      </x:c>
    </x:row>
    <x:row r="2159">
      <x:c r="A2159" s="33" t="str">
        <x:v>HOSCOMP034</x:v>
      </x:c>
      <x:c r="B2159" s="33" t="str">
        <x:v>Compliance Requirement Master</x:v>
      </x:c>
      <x:c r="C2159" s="33" t="str">
        <x:v>Applicability=Mandatory; Remarks=Implementation Method: Telepharmacy documentation review. | Evidence indicator retained in Evidence Master: Telepharmacy service records.</x:v>
      </x:c>
      <x:c r="D2159" s="33" t="str">
        <x:v>Applicability=Optional; Remarks=P-4 entity-specific internal control; no independent statutory force. Activate the exact underlying legal requirement separately.</x:v>
      </x:c>
      <x:c r="E2159" s="33" t="str">
        <x:v>CORRECT / RECLASSIFY</x:v>
      </x:c>
      <x:c r="F2159" s="33" t="str">
        <x:v>Align requirements to corrected substantive provisions and applicability classifications.</x:v>
      </x:c>
      <x:c r="G2159" s="33" t="str">
        <x:v>P-4 official-source validation</x:v>
      </x:c>
      <x:c r="H215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59" s="33" t="str">
        <x:v>P-4</x:v>
      </x:c>
      <x:c r="J2159" s="33" t="str">
        <x:v>2026-08-20</x:v>
      </x:c>
      <x:c r="K2159" s="33" t="str">
        <x:v>Compliance IDs preserved; mandatory/conditional/optional status corrected.</x:v>
      </x:c>
    </x:row>
    <x:row r="2160">
      <x:c r="A2160" s="33" t="str">
        <x:v>HOSCOMP035</x:v>
      </x:c>
      <x:c r="B2160" s="33" t="str">
        <x:v>Compliance Requirement Master</x:v>
      </x:c>
      <x:c r="C2160" s="33" t="str">
        <x:v>Applicability=Mandatory; Remarks=Implementation Method: Hazardous medicine SOP compliance. | Evidence indicator retained in Evidence Master: Hazardous medicine handling records.</x:v>
      </x:c>
      <x:c r="D2160" s="33" t="str">
        <x:v>Applicability=Optional; Remarks=P-4 entity-specific internal control; no independent statutory force. Activate the exact underlying legal requirement separately.</x:v>
      </x:c>
      <x:c r="E2160" s="33" t="str">
        <x:v>CORRECT / RECLASSIFY</x:v>
      </x:c>
      <x:c r="F2160" s="33" t="str">
        <x:v>Align requirements to corrected substantive provisions and applicability classifications.</x:v>
      </x:c>
      <x:c r="G2160" s="33" t="str">
        <x:v>P-4 official-source validation</x:v>
      </x:c>
      <x:c r="H216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60" s="33" t="str">
        <x:v>P-4</x:v>
      </x:c>
      <x:c r="J2160" s="33" t="str">
        <x:v>2026-08-20</x:v>
      </x:c>
      <x:c r="K2160" s="33" t="str">
        <x:v>Compliance IDs preserved; mandatory/conditional/optional status corrected.</x:v>
      </x:c>
    </x:row>
    <x:row r="2161">
      <x:c r="A2161" s="33" t="str">
        <x:v>HOSCOMP036</x:v>
      </x:c>
      <x:c r="B2161" s="33" t="str">
        <x:v>Compliance Requirement Master</x:v>
      </x:c>
      <x:c r="C2161" s="33" t="str">
        <x:v>Applicability=Mandatory; Remarks=Implementation Method: Credentialing review. | Evidence indicator retained in Evidence Master: Credentialing and competency files.</x:v>
      </x:c>
      <x:c r="D2161" s="33" t="str">
        <x:v>Applicability=Optional; Remarks=P-4 entity-specific internal control; no independent statutory force. Activate the exact underlying legal requirement separately.</x:v>
      </x:c>
      <x:c r="E2161" s="33" t="str">
        <x:v>CORRECT / RECLASSIFY</x:v>
      </x:c>
      <x:c r="F2161" s="33" t="str">
        <x:v>Align requirements to corrected substantive provisions and applicability classifications.</x:v>
      </x:c>
      <x:c r="G2161" s="33" t="str">
        <x:v>P-4 official-source validation</x:v>
      </x:c>
      <x:c r="H216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61" s="33" t="str">
        <x:v>P-4</x:v>
      </x:c>
      <x:c r="J2161" s="33" t="str">
        <x:v>2026-08-20</x:v>
      </x:c>
      <x:c r="K2161" s="33" t="str">
        <x:v>Compliance IDs preserved; mandatory/conditional/optional status corrected.</x:v>
      </x:c>
    </x:row>
    <x:row r="2162">
      <x:c r="A2162" s="33" t="str">
        <x:v>HOSCOMP037</x:v>
      </x:c>
      <x:c r="B2162" s="33" t="str">
        <x:v>Compliance Requirement Master</x:v>
      </x:c>
      <x:c r="C2162" s="33" t="str">
        <x:v>Applicability=Mandatory; Remarks=Implementation Method: KPI dashboard review. | Evidence indicator retained in Evidence Master: Pharmacy KPI dashboard.</x:v>
      </x:c>
      <x:c r="D2162" s="33" t="str">
        <x:v>Applicability=Optional; Remarks=P-4 entity-specific internal control; no independent statutory force. Activate the exact underlying legal requirement separately.</x:v>
      </x:c>
      <x:c r="E2162" s="33" t="str">
        <x:v>CORRECT / RECLASSIFY</x:v>
      </x:c>
      <x:c r="F2162" s="33" t="str">
        <x:v>Align requirements to corrected substantive provisions and applicability classifications.</x:v>
      </x:c>
      <x:c r="G2162" s="33" t="str">
        <x:v>P-4 official-source validation</x:v>
      </x:c>
      <x:c r="H216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62" s="33" t="str">
        <x:v>P-4</x:v>
      </x:c>
      <x:c r="J2162" s="33" t="str">
        <x:v>2026-08-20</x:v>
      </x:c>
      <x:c r="K2162" s="33" t="str">
        <x:v>Compliance IDs preserved; mandatory/conditional/optional status corrected.</x:v>
      </x:c>
    </x:row>
    <x:row r="2163">
      <x:c r="A2163" s="33" t="str">
        <x:v>HOSCOMP038</x:v>
      </x:c>
      <x:c r="B2163" s="33" t="str">
        <x:v>Compliance Requirement Master</x:v>
      </x:c>
      <x:c r="C2163" s="33" t="str">
        <x:v>Applicability=Mandatory; Remarks=Implementation Method: Committee review and action tracking. | Evidence indicator retained in Evidence Master: Governance meeting minutes.</x:v>
      </x:c>
      <x:c r="D2163" s="33" t="str">
        <x:v>Applicability=Optional; Remarks=P-4 entity-specific internal control; no independent statutory force. Activate the exact underlying legal requirement separately.</x:v>
      </x:c>
      <x:c r="E2163" s="33" t="str">
        <x:v>CORRECT / RECLASSIFY</x:v>
      </x:c>
      <x:c r="F2163" s="33" t="str">
        <x:v>Align requirements to corrected substantive provisions and applicability classifications.</x:v>
      </x:c>
      <x:c r="G2163" s="33" t="str">
        <x:v>P-4 official-source validation</x:v>
      </x:c>
      <x:c r="H216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63" s="33" t="str">
        <x:v>P-4</x:v>
      </x:c>
      <x:c r="J2163" s="33" t="str">
        <x:v>2026-08-20</x:v>
      </x:c>
      <x:c r="K2163" s="33" t="str">
        <x:v>Compliance IDs preserved; mandatory/conditional/optional status corrected.</x:v>
      </x:c>
    </x:row>
    <x:row r="2164">
      <x:c r="A2164" s="33" t="str">
        <x:v>HOSCOMP039</x:v>
      </x:c>
      <x:c r="B2164" s="33" t="str">
        <x:v>Compliance Requirement Master</x:v>
      </x:c>
      <x:c r="C2164" s="33" t="str">
        <x:v>Applicability=Mandatory; Remarks=Implementation Method: Safety indicator monitoring. | Evidence indicator retained in Evidence Master: Medication safety indicator reports.</x:v>
      </x:c>
      <x:c r="D2164" s="33" t="str">
        <x:v>Applicability=Optional; Remarks=P-4 entity-specific internal control; no independent statutory force. Activate the exact underlying legal requirement separately.</x:v>
      </x:c>
      <x:c r="E2164" s="33" t="str">
        <x:v>CORRECT / RECLASSIFY</x:v>
      </x:c>
      <x:c r="F2164" s="33" t="str">
        <x:v>Align requirements to corrected substantive provisions and applicability classifications.</x:v>
      </x:c>
      <x:c r="G2164" s="33" t="str">
        <x:v>P-4 official-source validation</x:v>
      </x:c>
      <x:c r="H216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64" s="33" t="str">
        <x:v>P-4</x:v>
      </x:c>
      <x:c r="J2164" s="33" t="str">
        <x:v>2026-08-20</x:v>
      </x:c>
      <x:c r="K2164" s="33" t="str">
        <x:v>Compliance IDs preserved; mandatory/conditional/optional status corrected.</x:v>
      </x:c>
    </x:row>
    <x:row r="2165">
      <x:c r="A2165" s="33" t="str">
        <x:v>HOSCOMP040</x:v>
      </x:c>
      <x:c r="B2165" s="33" t="str">
        <x:v>Compliance Requirement Master</x:v>
      </x:c>
      <x:c r="C2165" s="33" t="str">
        <x:v>Applicability=Mandatory; Remarks=Implementation Method: QMS document control and management review. | Evidence indicator retained in Evidence Master: QMS manual, SOPs and review minutes.</x:v>
      </x:c>
      <x:c r="D2165" s="33" t="str">
        <x:v>Applicability=Optional; Remarks=P-4 entity-specific internal control; no independent statutory force. Activate the exact underlying legal requirement separately.</x:v>
      </x:c>
      <x:c r="E2165" s="33" t="str">
        <x:v>CORRECT / RECLASSIFY</x:v>
      </x:c>
      <x:c r="F2165" s="33" t="str">
        <x:v>Align requirements to corrected substantive provisions and applicability classifications.</x:v>
      </x:c>
      <x:c r="G2165" s="33" t="str">
        <x:v>P-4 official-source validation</x:v>
      </x:c>
      <x:c r="H216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65" s="33" t="str">
        <x:v>P-4</x:v>
      </x:c>
      <x:c r="J2165" s="33" t="str">
        <x:v>2026-08-20</x:v>
      </x:c>
      <x:c r="K2165" s="33" t="str">
        <x:v>Compliance IDs preserved; mandatory/conditional/optional status corrected.</x:v>
      </x:c>
    </x:row>
    <x:row r="2166">
      <x:c r="A2166" s="33" t="str">
        <x:v>CCOMP001</x:v>
      </x:c>
      <x:c r="B2166" s="33" t="str">
        <x:v>Compliance Requirement Master</x:v>
      </x:c>
      <x:c r="C2166" s="33" t="str">
        <x:v>Applicability=Mandatory; Remarks=Implementation Method: Central document management and periodic SOP review. | Evidence indicator retained in Evidence Master: Approved SOP repository and revision history.</x:v>
      </x:c>
      <x:c r="D2166" s="33" t="str">
        <x:v>Applicability=Optional; Remarks=P-4 entity-specific internal control; no independent statutory force. Activate the exact underlying legal requirement separately.</x:v>
      </x:c>
      <x:c r="E2166" s="33" t="str">
        <x:v>CORRECT / RECLASSIFY</x:v>
      </x:c>
      <x:c r="F2166" s="33" t="str">
        <x:v>Align requirements to corrected substantive provisions and applicability classifications.</x:v>
      </x:c>
      <x:c r="G2166" s="33" t="str">
        <x:v>P-4 official-source validation</x:v>
      </x:c>
      <x:c r="H216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66" s="33" t="str">
        <x:v>P-4</x:v>
      </x:c>
      <x:c r="J2166" s="33" t="str">
        <x:v>2026-08-20</x:v>
      </x:c>
      <x:c r="K2166" s="33" t="str">
        <x:v>Compliance IDs preserved; mandatory/conditional/optional status corrected.</x:v>
      </x:c>
    </x:row>
    <x:row r="2167">
      <x:c r="A2167" s="33" t="str">
        <x:v>CCOMP002</x:v>
      </x:c>
      <x:c r="B2167" s="33" t="str">
        <x:v>Compliance Requirement Master</x:v>
      </x:c>
      <x:c r="C2167" s="33" t="str">
        <x:v>Applicability=Mandatory; Remarks=Implementation Method: Central licence compliance tracker. | Evidence indicator retained in Evidence Master: Licence register and renewal records.</x:v>
      </x:c>
      <x:c r="D2167" s="33" t="str">
        <x:v>Applicability=Optional; Remarks=P-4 entity-specific internal control; no independent statutory force. Activate the exact underlying legal requirement separately.</x:v>
      </x:c>
      <x:c r="E2167" s="33" t="str">
        <x:v>CORRECT / RECLASSIFY</x:v>
      </x:c>
      <x:c r="F2167" s="33" t="str">
        <x:v>Align requirements to corrected substantive provisions and applicability classifications.</x:v>
      </x:c>
      <x:c r="G2167" s="33" t="str">
        <x:v>P-4 official-source validation</x:v>
      </x:c>
      <x:c r="H216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67" s="33" t="str">
        <x:v>P-4</x:v>
      </x:c>
      <x:c r="J2167" s="33" t="str">
        <x:v>2026-08-20</x:v>
      </x:c>
      <x:c r="K2167" s="33" t="str">
        <x:v>Compliance IDs preserved; mandatory/conditional/optional status corrected.</x:v>
      </x:c>
    </x:row>
    <x:row r="2168">
      <x:c r="A2168" s="33" t="str">
        <x:v>CCOMP003</x:v>
      </x:c>
      <x:c r="B2168" s="33" t="str">
        <x:v>Compliance Requirement Master</x:v>
      </x:c>
      <x:c r="C2168" s="33" t="str">
        <x:v>Applicability=Mandatory; Remarks=Implementation Method: Approved supplier programme and purchase approval workflow. | Evidence indicator retained in Evidence Master: Approved supplier register and purchase approvals.</x:v>
      </x:c>
      <x:c r="D2168" s="33" t="str">
        <x:v>Applicability=Optional; Remarks=P-4 entity-specific internal control; no independent statutory force. Activate the exact underlying legal requirement separately.</x:v>
      </x:c>
      <x:c r="E2168" s="33" t="str">
        <x:v>CORRECT / RECLASSIFY</x:v>
      </x:c>
      <x:c r="F2168" s="33" t="str">
        <x:v>Align requirements to corrected substantive provisions and applicability classifications.</x:v>
      </x:c>
      <x:c r="G2168" s="33" t="str">
        <x:v>P-4 official-source validation</x:v>
      </x:c>
      <x:c r="H216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68" s="33" t="str">
        <x:v>P-4</x:v>
      </x:c>
      <x:c r="J2168" s="33" t="str">
        <x:v>2026-08-20</x:v>
      </x:c>
      <x:c r="K2168" s="33" t="str">
        <x:v>Compliance IDs preserved; mandatory/conditional/optional status corrected.</x:v>
      </x:c>
    </x:row>
    <x:row r="2169">
      <x:c r="A2169" s="33" t="str">
        <x:v>CCOMP004</x:v>
      </x:c>
      <x:c r="B2169" s="33" t="str">
        <x:v>Compliance Requirement Master</x:v>
      </x:c>
      <x:c r="C2169" s="33" t="str">
        <x:v>Applicability=Mandatory; Remarks=Implementation Method: Enterprise inventory management system. | Evidence indicator retained in Evidence Master: Inventory reports and reconciliation records.</x:v>
      </x:c>
      <x:c r="D2169" s="33" t="str">
        <x:v>Applicability=Optional; Remarks=P-4 entity-specific internal control; no independent statutory force. Activate the exact underlying legal requirement separately.</x:v>
      </x:c>
      <x:c r="E2169" s="33" t="str">
        <x:v>CORRECT / RECLASSIFY</x:v>
      </x:c>
      <x:c r="F2169" s="33" t="str">
        <x:v>Align requirements to corrected substantive provisions and applicability classifications.</x:v>
      </x:c>
      <x:c r="G2169" s="33" t="str">
        <x:v>P-4 official-source validation</x:v>
      </x:c>
      <x:c r="H216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69" s="33" t="str">
        <x:v>P-4</x:v>
      </x:c>
      <x:c r="J2169" s="33" t="str">
        <x:v>2026-08-20</x:v>
      </x:c>
      <x:c r="K2169" s="33" t="str">
        <x:v>Compliance IDs preserved; mandatory/conditional/optional status corrected.</x:v>
      </x:c>
    </x:row>
    <x:row r="2170">
      <x:c r="A2170" s="33" t="str">
        <x:v>CCOMP005</x:v>
      </x:c>
      <x:c r="B2170" s="33" t="str">
        <x:v>Compliance Requirement Master</x:v>
      </x:c>
      <x:c r="C2170" s="33" t="str">
        <x:v>Applicability=Mandatory; Remarks=Implementation Method: Transfer approval and reconciliation process. | Evidence indicator retained in Evidence Master: Inter-branch transfer records.</x:v>
      </x:c>
      <x:c r="D2170" s="33" t="str">
        <x:v>Applicability=Optional; Remarks=P-4 entity-specific internal control; no independent statutory force. Activate the exact underlying legal requirement separately.</x:v>
      </x:c>
      <x:c r="E2170" s="33" t="str">
        <x:v>CORRECT / RECLASSIFY</x:v>
      </x:c>
      <x:c r="F2170" s="33" t="str">
        <x:v>Align requirements to corrected substantive provisions and applicability classifications.</x:v>
      </x:c>
      <x:c r="G2170" s="33" t="str">
        <x:v>P-4 official-source validation</x:v>
      </x:c>
      <x:c r="H217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70" s="33" t="str">
        <x:v>P-4</x:v>
      </x:c>
      <x:c r="J2170" s="33" t="str">
        <x:v>2026-08-20</x:v>
      </x:c>
      <x:c r="K2170" s="33" t="str">
        <x:v>Compliance IDs preserved; mandatory/conditional/optional status corrected.</x:v>
      </x:c>
    </x:row>
    <x:row r="2171">
      <x:c r="A2171" s="33" t="str">
        <x:v>CCOMP006</x:v>
      </x:c>
      <x:c r="B2171" s="33" t="str">
        <x:v>Compliance Requirement Master</x:v>
      </x:c>
      <x:c r="C2171" s="33" t="str">
        <x:v>Applicability=Mandatory; Remarks=Implementation Method: Central recall management procedure. | Evidence indicator retained in Evidence Master: Recall execution reports.</x:v>
      </x:c>
      <x:c r="D2171" s="33" t="str">
        <x:v>Applicability=Optional; Remarks=P-4 entity-specific internal control; no independent statutory force. Activate the exact underlying legal requirement separately.</x:v>
      </x:c>
      <x:c r="E2171" s="33" t="str">
        <x:v>CORRECT / RECLASSIFY</x:v>
      </x:c>
      <x:c r="F2171" s="33" t="str">
        <x:v>Align requirements to corrected substantive provisions and applicability classifications.</x:v>
      </x:c>
      <x:c r="G2171" s="33" t="str">
        <x:v>P-4 official-source validation</x:v>
      </x:c>
      <x:c r="H217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71" s="33" t="str">
        <x:v>P-4</x:v>
      </x:c>
      <x:c r="J2171" s="33" t="str">
        <x:v>2026-08-20</x:v>
      </x:c>
      <x:c r="K2171" s="33" t="str">
        <x:v>Compliance IDs preserved; mandatory/conditional/optional status corrected.</x:v>
      </x:c>
    </x:row>
    <x:row r="2172">
      <x:c r="A2172" s="33" t="str">
        <x:v>CCOMP007</x:v>
      </x:c>
      <x:c r="B2172" s="33" t="str">
        <x:v>Compliance Requirement Master</x:v>
      </x:c>
      <x:c r="C2172" s="33" t="str">
        <x:v>Applicability=Mandatory; Remarks=Implementation Method: Complaint management system with CAPA linkage. | Evidence indicator retained in Evidence Master: Complaint register and investigation reports.</x:v>
      </x:c>
      <x:c r="D2172" s="33" t="str">
        <x:v>Applicability=Optional; Remarks=P-4 entity-specific internal control; no independent statutory force. Activate the exact underlying legal requirement separately.</x:v>
      </x:c>
      <x:c r="E2172" s="33" t="str">
        <x:v>CORRECT / RECLASSIFY</x:v>
      </x:c>
      <x:c r="F2172" s="33" t="str">
        <x:v>Align requirements to corrected substantive provisions and applicability classifications.</x:v>
      </x:c>
      <x:c r="G2172" s="33" t="str">
        <x:v>P-4 official-source validation</x:v>
      </x:c>
      <x:c r="H217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72" s="33" t="str">
        <x:v>P-4</x:v>
      </x:c>
      <x:c r="J2172" s="33" t="str">
        <x:v>2026-08-20</x:v>
      </x:c>
      <x:c r="K2172" s="33" t="str">
        <x:v>Compliance IDs preserved; mandatory/conditional/optional status corrected.</x:v>
      </x:c>
    </x:row>
    <x:row r="2173">
      <x:c r="A2173" s="33" t="str">
        <x:v>CCOMP008</x:v>
      </x:c>
      <x:c r="B2173" s="33" t="str">
        <x:v>Compliance Requirement Master</x:v>
      </x:c>
      <x:c r="C2173" s="33" t="str">
        <x:v>Applicability=Mandatory; Remarks=Implementation Method: CAPA monitoring and escalation process. | Evidence indicator retained in Evidence Master: CAPA tracker and closure reports.</x:v>
      </x:c>
      <x:c r="D2173" s="33" t="str">
        <x:v>Applicability=Optional; Remarks=P-4 entity-specific internal control; no independent statutory force. Activate the exact underlying legal requirement separately.</x:v>
      </x:c>
      <x:c r="E2173" s="33" t="str">
        <x:v>CORRECT / RECLASSIFY</x:v>
      </x:c>
      <x:c r="F2173" s="33" t="str">
        <x:v>Align requirements to corrected substantive provisions and applicability classifications.</x:v>
      </x:c>
      <x:c r="G2173" s="33" t="str">
        <x:v>P-4 official-source validation</x:v>
      </x:c>
      <x:c r="H217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73" s="33" t="str">
        <x:v>P-4</x:v>
      </x:c>
      <x:c r="J2173" s="33" t="str">
        <x:v>2026-08-20</x:v>
      </x:c>
      <x:c r="K2173" s="33" t="str">
        <x:v>Compliance IDs preserved; mandatory/conditional/optional status corrected.</x:v>
      </x:c>
    </x:row>
    <x:row r="2174">
      <x:c r="A2174" s="33" t="str">
        <x:v>CCOMP009</x:v>
      </x:c>
      <x:c r="B2174" s="33" t="str">
        <x:v>Compliance Requirement Master</x:v>
      </x:c>
      <x:c r="C2174" s="33" t="str">
        <x:v>Applicability=Mandatory; Remarks=Implementation Method: Risk-based internal audit programme. | Evidence indicator retained in Evidence Master: Branch audit reports.</x:v>
      </x:c>
      <x:c r="D2174" s="33" t="str">
        <x:v>Applicability=Optional; Remarks=P-4 entity-specific internal control; no independent statutory force. Activate the exact underlying legal requirement separately.</x:v>
      </x:c>
      <x:c r="E2174" s="33" t="str">
        <x:v>CORRECT / RECLASSIFY</x:v>
      </x:c>
      <x:c r="F2174" s="33" t="str">
        <x:v>Align requirements to corrected substantive provisions and applicability classifications.</x:v>
      </x:c>
      <x:c r="G2174" s="33" t="str">
        <x:v>P-4 official-source validation</x:v>
      </x:c>
      <x:c r="H217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74" s="33" t="str">
        <x:v>P-4</x:v>
      </x:c>
      <x:c r="J2174" s="33" t="str">
        <x:v>2026-08-20</x:v>
      </x:c>
      <x:c r="K2174" s="33" t="str">
        <x:v>Compliance IDs preserved; mandatory/conditional/optional status corrected.</x:v>
      </x:c>
    </x:row>
    <x:row r="2175">
      <x:c r="A2175" s="33" t="str">
        <x:v>CCOMP010</x:v>
      </x:c>
      <x:c r="B2175" s="33" t="str">
        <x:v>Compliance Requirement Master</x:v>
      </x:c>
      <x:c r="C2175" s="33" t="str">
        <x:v>Applicability=Mandatory; Remarks=Implementation Method: Enterprise learning management programme. | Evidence indicator retained in Evidence Master: Training records and competency assessments.</x:v>
      </x:c>
      <x:c r="D2175" s="33" t="str">
        <x:v>Applicability=Optional; Remarks=P-4 entity-specific internal control; no independent statutory force. Activate the exact underlying legal requirement separately.</x:v>
      </x:c>
      <x:c r="E2175" s="33" t="str">
        <x:v>CORRECT / RECLASSIFY</x:v>
      </x:c>
      <x:c r="F2175" s="33" t="str">
        <x:v>Align requirements to corrected substantive provisions and applicability classifications.</x:v>
      </x:c>
      <x:c r="G2175" s="33" t="str">
        <x:v>P-4 official-source validation</x:v>
      </x:c>
      <x:c r="H217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75" s="33" t="str">
        <x:v>P-4</x:v>
      </x:c>
      <x:c r="J2175" s="33" t="str">
        <x:v>2026-08-20</x:v>
      </x:c>
      <x:c r="K2175" s="33" t="str">
        <x:v>Compliance IDs preserved; mandatory/conditional/optional status corrected.</x:v>
      </x:c>
    </x:row>
    <x:row r="2176">
      <x:c r="A2176" s="33" t="str">
        <x:v>CCOMP011</x:v>
      </x:c>
      <x:c r="B2176" s="33" t="str">
        <x:v>Compliance Requirement Master</x:v>
      </x:c>
      <x:c r="C2176" s="33" t="str">
        <x:v>Applicability=Mandatory; Remarks=Implementation Method: KPI dashboard monitoring. | Evidence indicator retained in Evidence Master: KPI reports and dashboards.</x:v>
      </x:c>
      <x:c r="D2176" s="33" t="str">
        <x:v>Applicability=Optional; Remarks=P-4 entity-specific internal control; no independent statutory force. Activate the exact underlying legal requirement separately.</x:v>
      </x:c>
      <x:c r="E2176" s="33" t="str">
        <x:v>CORRECT / RECLASSIFY</x:v>
      </x:c>
      <x:c r="F2176" s="33" t="str">
        <x:v>Align requirements to corrected substantive provisions and applicability classifications.</x:v>
      </x:c>
      <x:c r="G2176" s="33" t="str">
        <x:v>P-4 official-source validation</x:v>
      </x:c>
      <x:c r="H217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76" s="33" t="str">
        <x:v>P-4</x:v>
      </x:c>
      <x:c r="J2176" s="33" t="str">
        <x:v>2026-08-20</x:v>
      </x:c>
      <x:c r="K2176" s="33" t="str">
        <x:v>Compliance IDs preserved; mandatory/conditional/optional status corrected.</x:v>
      </x:c>
    </x:row>
    <x:row r="2177">
      <x:c r="A2177" s="33" t="str">
        <x:v>CCOMP012</x:v>
      </x:c>
      <x:c r="B2177" s="33" t="str">
        <x:v>Compliance Requirement Master</x:v>
      </x:c>
      <x:c r="C2177" s="33" t="str">
        <x:v>Applicability=Mandatory; Remarks=Implementation Method: Compliance monitoring system. | Evidence indicator retained in Evidence Master: Compliance dashboard reports.</x:v>
      </x:c>
      <x:c r="D2177" s="33" t="str">
        <x:v>Applicability=Optional; Remarks=P-4 entity-specific internal control; no independent statutory force. Activate the exact underlying legal requirement separately.</x:v>
      </x:c>
      <x:c r="E2177" s="33" t="str">
        <x:v>CORRECT / RECLASSIFY</x:v>
      </x:c>
      <x:c r="F2177" s="33" t="str">
        <x:v>Align requirements to corrected substantive provisions and applicability classifications.</x:v>
      </x:c>
      <x:c r="G2177" s="33" t="str">
        <x:v>P-4 official-source validation</x:v>
      </x:c>
      <x:c r="H217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77" s="33" t="str">
        <x:v>P-4</x:v>
      </x:c>
      <x:c r="J2177" s="33" t="str">
        <x:v>2026-08-20</x:v>
      </x:c>
      <x:c r="K2177" s="33" t="str">
        <x:v>Compliance IDs preserved; mandatory/conditional/optional status corrected.</x:v>
      </x:c>
    </x:row>
    <x:row r="2178">
      <x:c r="A2178" s="33" t="str">
        <x:v>CCOMP013</x:v>
      </x:c>
      <x:c r="B2178" s="33" t="str">
        <x:v>Compliance Requirement Master</x:v>
      </x:c>
      <x:c r="C2178" s="33" t="str">
        <x:v>Applicability=Mandatory; Remarks=Implementation Method: Document management system. | Evidence indicator retained in Evidence Master: Controlled document register.</x:v>
      </x:c>
      <x:c r="D2178" s="33" t="str">
        <x:v>Applicability=Optional; Remarks=P-4 entity-specific internal control; no independent statutory force. Activate the exact underlying legal requirement separately.</x:v>
      </x:c>
      <x:c r="E2178" s="33" t="str">
        <x:v>CORRECT / RECLASSIFY</x:v>
      </x:c>
      <x:c r="F2178" s="33" t="str">
        <x:v>Align requirements to corrected substantive provisions and applicability classifications.</x:v>
      </x:c>
      <x:c r="G2178" s="33" t="str">
        <x:v>P-4 official-source validation</x:v>
      </x:c>
      <x:c r="H217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78" s="33" t="str">
        <x:v>P-4</x:v>
      </x:c>
      <x:c r="J2178" s="33" t="str">
        <x:v>2026-08-20</x:v>
      </x:c>
      <x:c r="K2178" s="33" t="str">
        <x:v>Compliance IDs preserved; mandatory/conditional/optional status corrected.</x:v>
      </x:c>
    </x:row>
    <x:row r="2179">
      <x:c r="A2179" s="33" t="str">
        <x:v>CCOMP014</x:v>
      </x:c>
      <x:c r="B2179" s="33" t="str">
        <x:v>Compliance Requirement Master</x:v>
      </x:c>
      <x:c r="C2179" s="33" t="str">
        <x:v>Applicability=Mandatory; Remarks=Implementation Method: Central temperature monitoring system. | Evidence indicator retained in Evidence Master: Temperature logs and deviation reports.</x:v>
      </x:c>
      <x:c r="D2179" s="33" t="str">
        <x:v>Applicability=Optional; Remarks=P-4 entity-specific internal control; no independent statutory force. Activate the exact underlying legal requirement separately.</x:v>
      </x:c>
      <x:c r="E2179" s="33" t="str">
        <x:v>CORRECT / RECLASSIFY</x:v>
      </x:c>
      <x:c r="F2179" s="33" t="str">
        <x:v>Align requirements to corrected substantive provisions and applicability classifications.</x:v>
      </x:c>
      <x:c r="G2179" s="33" t="str">
        <x:v>P-4 official-source validation</x:v>
      </x:c>
      <x:c r="H217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79" s="33" t="str">
        <x:v>P-4</x:v>
      </x:c>
      <x:c r="J2179" s="33" t="str">
        <x:v>2026-08-20</x:v>
      </x:c>
      <x:c r="K2179" s="33" t="str">
        <x:v>Compliance IDs preserved; mandatory/conditional/optional status corrected.</x:v>
      </x:c>
    </x:row>
    <x:row r="2180">
      <x:c r="A2180" s="33" t="str">
        <x:v>CCOMP015</x:v>
      </x:c>
      <x:c r="B2180" s="33" t="str">
        <x:v>Compliance Requirement Master</x:v>
      </x:c>
      <x:c r="C2180" s="33" t="str">
        <x:v>Applicability=Mandatory; Remarks=Implementation Method: Supplier evaluation programme. | Evidence indicator retained in Evidence Master: Supplier evaluation reports.</x:v>
      </x:c>
      <x:c r="D2180" s="33" t="str">
        <x:v>Applicability=Optional; Remarks=P-4 entity-specific internal control; no independent statutory force. Activate the exact underlying legal requirement separately.</x:v>
      </x:c>
      <x:c r="E2180" s="33" t="str">
        <x:v>CORRECT / RECLASSIFY</x:v>
      </x:c>
      <x:c r="F2180" s="33" t="str">
        <x:v>Align requirements to corrected substantive provisions and applicability classifications.</x:v>
      </x:c>
      <x:c r="G2180" s="33" t="str">
        <x:v>P-4 official-source validation</x:v>
      </x:c>
      <x:c r="H218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80" s="33" t="str">
        <x:v>P-4</x:v>
      </x:c>
      <x:c r="J2180" s="33" t="str">
        <x:v>2026-08-20</x:v>
      </x:c>
      <x:c r="K2180" s="33" t="str">
        <x:v>Compliance IDs preserved; mandatory/conditional/optional status corrected.</x:v>
      </x:c>
    </x:row>
    <x:row r="2181">
      <x:c r="A2181" s="33" t="str">
        <x:v>CCOMP016</x:v>
      </x:c>
      <x:c r="B2181" s="33" t="str">
        <x:v>Compliance Requirement Master</x:v>
      </x:c>
      <x:c r="C2181" s="33" t="str">
        <x:v>Applicability=Mandatory; Remarks=Implementation Method: Enterprise risk management process. | Evidence indicator retained in Evidence Master: Risk register and mitigation tracker.</x:v>
      </x:c>
      <x:c r="D2181" s="33" t="str">
        <x:v>Applicability=Optional; Remarks=P-4 entity-specific internal control; no independent statutory force. Activate the exact underlying legal requirement separately.</x:v>
      </x:c>
      <x:c r="E2181" s="33" t="str">
        <x:v>CORRECT / RECLASSIFY</x:v>
      </x:c>
      <x:c r="F2181" s="33" t="str">
        <x:v>Align requirements to corrected substantive provisions and applicability classifications.</x:v>
      </x:c>
      <x:c r="G2181" s="33" t="str">
        <x:v>P-4 official-source validation</x:v>
      </x:c>
      <x:c r="H218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81" s="33" t="str">
        <x:v>P-4</x:v>
      </x:c>
      <x:c r="J2181" s="33" t="str">
        <x:v>2026-08-20</x:v>
      </x:c>
      <x:c r="K2181" s="33" t="str">
        <x:v>Compliance IDs preserved; mandatory/conditional/optional status corrected.</x:v>
      </x:c>
    </x:row>
    <x:row r="2182">
      <x:c r="A2182" s="33" t="str">
        <x:v>CCOMP017</x:v>
      </x:c>
      <x:c r="B2182" s="33" t="str">
        <x:v>Compliance Requirement Master</x:v>
      </x:c>
      <x:c r="C2182" s="33" t="str">
        <x:v>Applicability=Mandatory; Remarks=Implementation Method: Franchise audit programme. | Evidence indicator retained in Evidence Master: Franchise audit reports.</x:v>
      </x:c>
      <x:c r="D2182" s="33" t="str">
        <x:v>Applicability=Optional; Remarks=P-4 entity-specific internal control; no independent statutory force. Activate the exact underlying legal requirement separately.</x:v>
      </x:c>
      <x:c r="E2182" s="33" t="str">
        <x:v>CORRECT / RECLASSIFY</x:v>
      </x:c>
      <x:c r="F2182" s="33" t="str">
        <x:v>Align requirements to corrected substantive provisions and applicability classifications.</x:v>
      </x:c>
      <x:c r="G2182" s="33" t="str">
        <x:v>P-4 official-source validation</x:v>
      </x:c>
      <x:c r="H218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82" s="33" t="str">
        <x:v>P-4</x:v>
      </x:c>
      <x:c r="J2182" s="33" t="str">
        <x:v>2026-08-20</x:v>
      </x:c>
      <x:c r="K2182" s="33" t="str">
        <x:v>Compliance IDs preserved; mandatory/conditional/optional status corrected.</x:v>
      </x:c>
    </x:row>
    <x:row r="2183">
      <x:c r="A2183" s="33" t="str">
        <x:v>CCOMP018</x:v>
      </x:c>
      <x:c r="B2183" s="33" t="str">
        <x:v>Compliance Requirement Master</x:v>
      </x:c>
      <x:c r="C2183" s="33" t="str">
        <x:v>Applicability=Mandatory; Remarks=Implementation Method: Business continuity testing programme. | Evidence indicator retained in Evidence Master: Business continuity test reports.</x:v>
      </x:c>
      <x:c r="D2183" s="33" t="str">
        <x:v>Applicability=Optional; Remarks=P-4 entity-specific internal control; no independent statutory force. Activate the exact underlying legal requirement separately.</x:v>
      </x:c>
      <x:c r="E2183" s="33" t="str">
        <x:v>CORRECT / RECLASSIFY</x:v>
      </x:c>
      <x:c r="F2183" s="33" t="str">
        <x:v>Align requirements to corrected substantive provisions and applicability classifications.</x:v>
      </x:c>
      <x:c r="G2183" s="33" t="str">
        <x:v>P-4 official-source validation</x:v>
      </x:c>
      <x:c r="H218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83" s="33" t="str">
        <x:v>P-4</x:v>
      </x:c>
      <x:c r="J2183" s="33" t="str">
        <x:v>2026-08-20</x:v>
      </x:c>
      <x:c r="K2183" s="33" t="str">
        <x:v>Compliance IDs preserved; mandatory/conditional/optional status corrected.</x:v>
      </x:c>
    </x:row>
    <x:row r="2184">
      <x:c r="A2184" s="33" t="str">
        <x:v>CCOMP019</x:v>
      </x:c>
      <x:c r="B2184" s="33" t="str">
        <x:v>Compliance Requirement Master</x:v>
      </x:c>
      <x:c r="C2184" s="33" t="str">
        <x:v>Applicability=Mandatory; Remarks=Implementation Method: Central compliance calendar and reporting workflow. | Evidence indicator retained in Evidence Master: Regulatory submission records.</x:v>
      </x:c>
      <x:c r="D2184" s="33" t="str">
        <x:v>Applicability=Optional; Remarks=P-4 entity-specific internal control; no independent statutory force. Activate the exact underlying legal requirement separately.</x:v>
      </x:c>
      <x:c r="E2184" s="33" t="str">
        <x:v>CORRECT / RECLASSIFY</x:v>
      </x:c>
      <x:c r="F2184" s="33" t="str">
        <x:v>Align requirements to corrected substantive provisions and applicability classifications.</x:v>
      </x:c>
      <x:c r="G2184" s="33" t="str">
        <x:v>P-4 official-source validation</x:v>
      </x:c>
      <x:c r="H218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84" s="33" t="str">
        <x:v>P-4</x:v>
      </x:c>
      <x:c r="J2184" s="33" t="str">
        <x:v>2026-08-20</x:v>
      </x:c>
      <x:c r="K2184" s="33" t="str">
        <x:v>Compliance IDs preserved; mandatory/conditional/optional status corrected.</x:v>
      </x:c>
    </x:row>
    <x:row r="2185">
      <x:c r="A2185" s="33" t="str">
        <x:v>CCOMP020</x:v>
      </x:c>
      <x:c r="B2185" s="33" t="str">
        <x:v>Compliance Requirement Master</x:v>
      </x:c>
      <x:c r="C2185" s="33" t="str">
        <x:v>Applicability=Mandatory; Remarks=Implementation Method: Management review meetings. | Evidence indicator retained in Evidence Master: Management review minutes and action tracker.</x:v>
      </x:c>
      <x:c r="D2185" s="33" t="str">
        <x:v>Applicability=Optional; Remarks=P-4 entity-specific internal control; no independent statutory force. Activate the exact underlying legal requirement separately.</x:v>
      </x:c>
      <x:c r="E2185" s="33" t="str">
        <x:v>CORRECT / RECLASSIFY</x:v>
      </x:c>
      <x:c r="F2185" s="33" t="str">
        <x:v>Align requirements to corrected substantive provisions and applicability classifications.</x:v>
      </x:c>
      <x:c r="G2185" s="33" t="str">
        <x:v>P-4 official-source validation</x:v>
      </x:c>
      <x:c r="H218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85" s="33" t="str">
        <x:v>P-4</x:v>
      </x:c>
      <x:c r="J2185" s="33" t="str">
        <x:v>2026-08-20</x:v>
      </x:c>
      <x:c r="K2185" s="33" t="str">
        <x:v>Compliance IDs preserved; mandatory/conditional/optional status corrected.</x:v>
      </x:c>
    </x:row>
    <x:row r="2186">
      <x:c r="A2186" s="33" t="str">
        <x:v>ECOMP001</x:v>
      </x:c>
      <x:c r="B2186" s="33" t="str">
        <x:v>Compliance Requirement Master</x:v>
      </x:c>
      <x:c r="C2186" s="33" t="str">
        <x:v>Applicability=Mandatory; Remarks=Implementation Method: Electronic prescription validation workflow. | Evidence indicator retained in Evidence Master: Validated prescription records.</x:v>
      </x:c>
      <x:c r="D2186" s="33" t="str">
        <x:v>Applicability=Optional; Remarks=P-4 entity-specific internal control; no independent statutory force. Activate the exact underlying legal requirement separately.</x:v>
      </x:c>
      <x:c r="E2186" s="33" t="str">
        <x:v>CORRECT / RECLASSIFY</x:v>
      </x:c>
      <x:c r="F2186" s="33" t="str">
        <x:v>Align requirements to corrected substantive provisions and applicability classifications.</x:v>
      </x:c>
      <x:c r="G2186" s="33" t="str">
        <x:v>P-4 official-source validation</x:v>
      </x:c>
      <x:c r="H218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86" s="33" t="str">
        <x:v>P-4</x:v>
      </x:c>
      <x:c r="J2186" s="33" t="str">
        <x:v>2026-08-20</x:v>
      </x:c>
      <x:c r="K2186" s="33" t="str">
        <x:v>Compliance IDs preserved; mandatory/conditional/optional status corrected.</x:v>
      </x:c>
    </x:row>
    <x:row r="2187">
      <x:c r="A2187" s="33" t="str">
        <x:v>ECOMP002</x:v>
      </x:c>
      <x:c r="B2187" s="33" t="str">
        <x:v>Compliance Requirement Master</x:v>
      </x:c>
      <x:c r="C2187" s="33" t="str">
        <x:v>Applicability=Mandatory; Remarks=Implementation Method: Digital KYC verification process. | Evidence indicator retained in Evidence Master: Customer identity verification records.</x:v>
      </x:c>
      <x:c r="D2187" s="33" t="str">
        <x:v>Applicability=Optional; Remarks=P-4 entity-specific internal control; no independent statutory force. Activate the exact underlying legal requirement separately.</x:v>
      </x:c>
      <x:c r="E2187" s="33" t="str">
        <x:v>CORRECT / RECLASSIFY</x:v>
      </x:c>
      <x:c r="F2187" s="33" t="str">
        <x:v>Align requirements to corrected substantive provisions and applicability classifications.</x:v>
      </x:c>
      <x:c r="G2187" s="33" t="str">
        <x:v>P-4 official-source validation</x:v>
      </x:c>
      <x:c r="H218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87" s="33" t="str">
        <x:v>P-4</x:v>
      </x:c>
      <x:c r="J2187" s="33" t="str">
        <x:v>2026-08-20</x:v>
      </x:c>
      <x:c r="K2187" s="33" t="str">
        <x:v>Compliance IDs preserved; mandatory/conditional/optional status corrected.</x:v>
      </x:c>
    </x:row>
    <x:row r="2188">
      <x:c r="A2188" s="33" t="str">
        <x:v>ECOMP003</x:v>
      </x:c>
      <x:c r="B2188" s="33" t="str">
        <x:v>Compliance Requirement Master</x:v>
      </x:c>
      <x:c r="C2188" s="33" t="str">
        <x:v>Applicability=Mandatory; Remarks=Implementation Method: Electronic approval workflow. | Evidence indicator retained in Evidence Master: Pharmacist approval log.</x:v>
      </x:c>
      <x:c r="D2188" s="33" t="str">
        <x:v>Applicability=Optional; Remarks=P-4 entity-specific internal control; no independent statutory force. Activate the exact underlying legal requirement separately.</x:v>
      </x:c>
      <x:c r="E2188" s="33" t="str">
        <x:v>CORRECT / RECLASSIFY</x:v>
      </x:c>
      <x:c r="F2188" s="33" t="str">
        <x:v>Align requirements to corrected substantive provisions and applicability classifications.</x:v>
      </x:c>
      <x:c r="G2188" s="33" t="str">
        <x:v>P-4 official-source validation</x:v>
      </x:c>
      <x:c r="H218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88" s="33" t="str">
        <x:v>P-4</x:v>
      </x:c>
      <x:c r="J2188" s="33" t="str">
        <x:v>2026-08-20</x:v>
      </x:c>
      <x:c r="K2188" s="33" t="str">
        <x:v>Compliance IDs preserved; mandatory/conditional/optional status corrected.</x:v>
      </x:c>
    </x:row>
    <x:row r="2189">
      <x:c r="A2189" s="33" t="str">
        <x:v>ECOMP004</x:v>
      </x:c>
      <x:c r="B2189" s="33" t="str">
        <x:v>Compliance Requirement Master</x:v>
      </x:c>
      <x:c r="C2189" s="33" t="str">
        <x:v>Applicability=Mandatory; Remarks=Implementation Method: Consultation linkage verification. | Evidence indicator retained in Evidence Master: Teleconsultation reference records.</x:v>
      </x:c>
      <x:c r="D2189" s="33" t="str">
        <x:v>Applicability=Optional; Remarks=P-4 entity-specific internal control; no independent statutory force. Activate the exact underlying legal requirement separately.</x:v>
      </x:c>
      <x:c r="E2189" s="33" t="str">
        <x:v>CORRECT / RECLASSIFY</x:v>
      </x:c>
      <x:c r="F2189" s="33" t="str">
        <x:v>Align requirements to corrected substantive provisions and applicability classifications.</x:v>
      </x:c>
      <x:c r="G2189" s="33" t="str">
        <x:v>P-4 official-source validation</x:v>
      </x:c>
      <x:c r="H218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89" s="33" t="str">
        <x:v>P-4</x:v>
      </x:c>
      <x:c r="J2189" s="33" t="str">
        <x:v>2026-08-20</x:v>
      </x:c>
      <x:c r="K2189" s="33" t="str">
        <x:v>Compliance IDs preserved; mandatory/conditional/optional status corrected.</x:v>
      </x:c>
    </x:row>
    <x:row r="2190">
      <x:c r="A2190" s="33" t="str">
        <x:v>ECOMP005</x:v>
      </x:c>
      <x:c r="B2190" s="33" t="str">
        <x:v>Compliance Requirement Master</x:v>
      </x:c>
      <x:c r="C2190" s="33" t="str">
        <x:v>Applicability=Mandatory; Remarks=Implementation Method: Electronic consent management system. | Evidence indicator retained in Evidence Master: Consent logs and acknowledgements.</x:v>
      </x:c>
      <x:c r="D2190" s="33" t="str">
        <x:v>Applicability=Optional; Remarks=P-4 entity-specific internal control; no independent statutory force. Activate the exact underlying legal requirement separately.</x:v>
      </x:c>
      <x:c r="E2190" s="33" t="str">
        <x:v>CORRECT / RECLASSIFY</x:v>
      </x:c>
      <x:c r="F2190" s="33" t="str">
        <x:v>Align requirements to corrected substantive provisions and applicability classifications.</x:v>
      </x:c>
      <x:c r="G2190" s="33" t="str">
        <x:v>P-4 official-source validation</x:v>
      </x:c>
      <x:c r="H219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90" s="33" t="str">
        <x:v>P-4</x:v>
      </x:c>
      <x:c r="J2190" s="33" t="str">
        <x:v>2026-08-20</x:v>
      </x:c>
      <x:c r="K2190" s="33" t="str">
        <x:v>Compliance IDs preserved; mandatory/conditional/optional status corrected.</x:v>
      </x:c>
    </x:row>
    <x:row r="2191">
      <x:c r="A2191" s="33" t="str">
        <x:v>ECOMP006</x:v>
      </x:c>
      <x:c r="B2191" s="33" t="str">
        <x:v>Compliance Requirement Master</x:v>
      </x:c>
      <x:c r="C2191" s="33" t="str">
        <x:v>Applicability=Mandatory; Remarks=Implementation Method: Secure digital archival process. | Evidence indicator retained in Evidence Master: Electronic archive and backup records.</x:v>
      </x:c>
      <x:c r="D2191" s="33" t="str">
        <x:v>Applicability=Optional; Remarks=P-4 entity-specific internal control; no independent statutory force. Activate the exact underlying legal requirement separately.</x:v>
      </x:c>
      <x:c r="E2191" s="33" t="str">
        <x:v>CORRECT / RECLASSIFY</x:v>
      </x:c>
      <x:c r="F2191" s="33" t="str">
        <x:v>Align requirements to corrected substantive provisions and applicability classifications.</x:v>
      </x:c>
      <x:c r="G2191" s="33" t="str">
        <x:v>P-4 official-source validation</x:v>
      </x:c>
      <x:c r="H219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91" s="33" t="str">
        <x:v>P-4</x:v>
      </x:c>
      <x:c r="J2191" s="33" t="str">
        <x:v>2026-08-20</x:v>
      </x:c>
      <x:c r="K2191" s="33" t="str">
        <x:v>Compliance IDs preserved; mandatory/conditional/optional status corrected.</x:v>
      </x:c>
    </x:row>
    <x:row r="2192">
      <x:c r="A2192" s="33" t="str">
        <x:v>ECOMP007</x:v>
      </x:c>
      <x:c r="B2192" s="33" t="str">
        <x:v>Compliance Requirement Master</x:v>
      </x:c>
      <x:c r="C2192" s="33" t="str">
        <x:v>Applicability=Mandatory; Remarks=Implementation Method: Automated order validation engine. | Evidence indicator retained in Evidence Master: Order validation reports.</x:v>
      </x:c>
      <x:c r="D2192" s="33" t="str">
        <x:v>Applicability=Optional; Remarks=P-4 entity-specific internal control; no independent statutory force. Activate the exact underlying legal requirement separately.</x:v>
      </x:c>
      <x:c r="E2192" s="33" t="str">
        <x:v>CORRECT / RECLASSIFY</x:v>
      </x:c>
      <x:c r="F2192" s="33" t="str">
        <x:v>Align requirements to corrected substantive provisions and applicability classifications.</x:v>
      </x:c>
      <x:c r="G2192" s="33" t="str">
        <x:v>P-4 official-source validation</x:v>
      </x:c>
      <x:c r="H219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92" s="33" t="str">
        <x:v>P-4</x:v>
      </x:c>
      <x:c r="J2192" s="33" t="str">
        <x:v>2026-08-20</x:v>
      </x:c>
      <x:c r="K2192" s="33" t="str">
        <x:v>Compliance IDs preserved; mandatory/conditional/optional status corrected.</x:v>
      </x:c>
    </x:row>
    <x:row r="2193">
      <x:c r="A2193" s="33" t="str">
        <x:v>ECOMP008</x:v>
      </x:c>
      <x:c r="B2193" s="33" t="str">
        <x:v>Compliance Requirement Master</x:v>
      </x:c>
      <x:c r="C2193" s="33" t="str">
        <x:v>Applicability=Mandatory; Remarks=Implementation Method: PCI-compliant payment processing. | Evidence indicator retained in Evidence Master: Payment transaction logs.</x:v>
      </x:c>
      <x:c r="D2193" s="33" t="str">
        <x:v>Applicability=Optional; Remarks=P-4 entity-specific internal control; no independent statutory force. Activate the exact underlying legal requirement separately.</x:v>
      </x:c>
      <x:c r="E2193" s="33" t="str">
        <x:v>CORRECT / RECLASSIFY</x:v>
      </x:c>
      <x:c r="F2193" s="33" t="str">
        <x:v>Align requirements to corrected substantive provisions and applicability classifications.</x:v>
      </x:c>
      <x:c r="G2193" s="33" t="str">
        <x:v>P-4 official-source validation</x:v>
      </x:c>
      <x:c r="H219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93" s="33" t="str">
        <x:v>P-4</x:v>
      </x:c>
      <x:c r="J2193" s="33" t="str">
        <x:v>2026-08-20</x:v>
      </x:c>
      <x:c r="K2193" s="33" t="str">
        <x:v>Compliance IDs preserved; mandatory/conditional/optional status corrected.</x:v>
      </x:c>
    </x:row>
    <x:row r="2194">
      <x:c r="A2194" s="33" t="str">
        <x:v>ECOMP009</x:v>
      </x:c>
      <x:c r="B2194" s="33" t="str">
        <x:v>Compliance Requirement Master</x:v>
      </x:c>
      <x:c r="C2194" s="33" t="str">
        <x:v>Applicability=Mandatory; Remarks=Implementation Method: Security monitoring and incident response. | Evidence indicator retained in Evidence Master: Security monitoring reports.</x:v>
      </x:c>
      <x:c r="D2194" s="33" t="str">
        <x:v>Applicability=Optional; Remarks=P-4 entity-specific internal control; no independent statutory force. Activate the exact underlying legal requirement separately.</x:v>
      </x:c>
      <x:c r="E2194" s="33" t="str">
        <x:v>CORRECT / RECLASSIFY</x:v>
      </x:c>
      <x:c r="F2194" s="33" t="str">
        <x:v>Align requirements to corrected substantive provisions and applicability classifications.</x:v>
      </x:c>
      <x:c r="G2194" s="33" t="str">
        <x:v>P-4 official-source validation</x:v>
      </x:c>
      <x:c r="H219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94" s="33" t="str">
        <x:v>P-4</x:v>
      </x:c>
      <x:c r="J2194" s="33" t="str">
        <x:v>2026-08-20</x:v>
      </x:c>
      <x:c r="K2194" s="33" t="str">
        <x:v>Compliance IDs preserved; mandatory/conditional/optional status corrected.</x:v>
      </x:c>
    </x:row>
    <x:row r="2195">
      <x:c r="A2195" s="33" t="str">
        <x:v>ECOMP010</x:v>
      </x:c>
      <x:c r="B2195" s="33" t="str">
        <x:v>Compliance Requirement Master</x:v>
      </x:c>
      <x:c r="C2195" s="33" t="str">
        <x:v>Applicability=Mandatory; Remarks=Implementation Method: Encryption and key management controls. | Evidence indicator retained in Evidence Master: Encryption configuration records.</x:v>
      </x:c>
      <x:c r="D2195" s="33" t="str">
        <x:v>Applicability=Optional; Remarks=P-4 entity-specific internal control; no independent statutory force. Activate the exact underlying legal requirement separately.</x:v>
      </x:c>
      <x:c r="E2195" s="33" t="str">
        <x:v>CORRECT / RECLASSIFY</x:v>
      </x:c>
      <x:c r="F2195" s="33" t="str">
        <x:v>Align requirements to corrected substantive provisions and applicability classifications.</x:v>
      </x:c>
      <x:c r="G2195" s="33" t="str">
        <x:v>P-4 official-source validation</x:v>
      </x:c>
      <x:c r="H219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95" s="33" t="str">
        <x:v>P-4</x:v>
      </x:c>
      <x:c r="J2195" s="33" t="str">
        <x:v>2026-08-20</x:v>
      </x:c>
      <x:c r="K2195" s="33" t="str">
        <x:v>Compliance IDs preserved; mandatory/conditional/optional status corrected.</x:v>
      </x:c>
    </x:row>
    <x:row r="2196">
      <x:c r="A2196" s="33" t="str">
        <x:v>ECOMP011</x:v>
      </x:c>
      <x:c r="B2196" s="33" t="str">
        <x:v>Compliance Requirement Master</x:v>
      </x:c>
      <x:c r="C2196" s="33" t="str">
        <x:v>Applicability=Mandatory; Remarks=Implementation Method: Privacy notice review process. | Evidence indicator retained in Evidence Master: Privacy notice versions and acknowledgements.</x:v>
      </x:c>
      <x:c r="D2196" s="33" t="str">
        <x:v>Applicability=Optional; Remarks=P-4 entity-specific internal control; no independent statutory force. Activate the exact underlying legal requirement separately.</x:v>
      </x:c>
      <x:c r="E2196" s="33" t="str">
        <x:v>CORRECT / RECLASSIFY</x:v>
      </x:c>
      <x:c r="F2196" s="33" t="str">
        <x:v>Align requirements to corrected substantive provisions and applicability classifications.</x:v>
      </x:c>
      <x:c r="G2196" s="33" t="str">
        <x:v>P-4 official-source validation</x:v>
      </x:c>
      <x:c r="H219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96" s="33" t="str">
        <x:v>P-4</x:v>
      </x:c>
      <x:c r="J2196" s="33" t="str">
        <x:v>2026-08-20</x:v>
      </x:c>
      <x:c r="K2196" s="33" t="str">
        <x:v>Compliance IDs preserved; mandatory/conditional/optional status corrected.</x:v>
      </x:c>
    </x:row>
    <x:row r="2197">
      <x:c r="A2197" s="33" t="str">
        <x:v>ECOMP012</x:v>
      </x:c>
      <x:c r="B2197" s="33" t="str">
        <x:v>Compliance Requirement Master</x:v>
      </x:c>
      <x:c r="C2197" s="33" t="str">
        <x:v>Applicability=Mandatory; Remarks=Implementation Method: Centralized audit logging solution. | Evidence indicator retained in Evidence Master: Audit log repository.</x:v>
      </x:c>
      <x:c r="D2197" s="33" t="str">
        <x:v>Applicability=Optional; Remarks=P-4 entity-specific internal control; no independent statutory force. Activate the exact underlying legal requirement separately.</x:v>
      </x:c>
      <x:c r="E2197" s="33" t="str">
        <x:v>CORRECT / RECLASSIFY</x:v>
      </x:c>
      <x:c r="F2197" s="33" t="str">
        <x:v>Align requirements to corrected substantive provisions and applicability classifications.</x:v>
      </x:c>
      <x:c r="G2197" s="33" t="str">
        <x:v>P-4 official-source validation</x:v>
      </x:c>
      <x:c r="H219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97" s="33" t="str">
        <x:v>P-4</x:v>
      </x:c>
      <x:c r="J2197" s="33" t="str">
        <x:v>2026-08-20</x:v>
      </x:c>
      <x:c r="K2197" s="33" t="str">
        <x:v>Compliance IDs preserved; mandatory/conditional/optional status corrected.</x:v>
      </x:c>
    </x:row>
    <x:row r="2198">
      <x:c r="A2198" s="33" t="str">
        <x:v>ECOMP013</x:v>
      </x:c>
      <x:c r="B2198" s="33" t="str">
        <x:v>Compliance Requirement Master</x:v>
      </x:c>
      <x:c r="C2198" s="33" t="str">
        <x:v>Applicability=Mandatory; Remarks=Implementation Method: Courier qualification programme. | Evidence indicator retained in Evidence Master: Approved courier register and evaluations.</x:v>
      </x:c>
      <x:c r="D2198" s="33" t="str">
        <x:v>Applicability=Optional; Remarks=P-4 entity-specific internal control; no independent statutory force. Activate the exact underlying legal requirement separately.</x:v>
      </x:c>
      <x:c r="E2198" s="33" t="str">
        <x:v>CORRECT / RECLASSIFY</x:v>
      </x:c>
      <x:c r="F2198" s="33" t="str">
        <x:v>Align requirements to corrected substantive provisions and applicability classifications.</x:v>
      </x:c>
      <x:c r="G2198" s="33" t="str">
        <x:v>P-4 official-source validation</x:v>
      </x:c>
      <x:c r="H219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98" s="33" t="str">
        <x:v>P-4</x:v>
      </x:c>
      <x:c r="J2198" s="33" t="str">
        <x:v>2026-08-20</x:v>
      </x:c>
      <x:c r="K2198" s="33" t="str">
        <x:v>Compliance IDs preserved; mandatory/conditional/optional status corrected.</x:v>
      </x:c>
    </x:row>
    <x:row r="2199">
      <x:c r="A2199" s="33" t="str">
        <x:v>ECOMP014</x:v>
      </x:c>
      <x:c r="B2199" s="33" t="str">
        <x:v>Compliance Requirement Master</x:v>
      </x:c>
      <x:c r="C2199" s="33" t="str">
        <x:v>Applicability=Mandatory; Remarks=Implementation Method: Shipment tracking system. | Evidence indicator retained in Evidence Master: Delivery tracking reports.</x:v>
      </x:c>
      <x:c r="D2199" s="33" t="str">
        <x:v>Applicability=Optional; Remarks=P-4 entity-specific internal control; no independent statutory force. Activate the exact underlying legal requirement separately.</x:v>
      </x:c>
      <x:c r="E2199" s="33" t="str">
        <x:v>CORRECT / RECLASSIFY</x:v>
      </x:c>
      <x:c r="F2199" s="33" t="str">
        <x:v>Align requirements to corrected substantive provisions and applicability classifications.</x:v>
      </x:c>
      <x:c r="G2199" s="33" t="str">
        <x:v>P-4 official-source validation</x:v>
      </x:c>
      <x:c r="H219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199" s="33" t="str">
        <x:v>P-4</x:v>
      </x:c>
      <x:c r="J2199" s="33" t="str">
        <x:v>2026-08-20</x:v>
      </x:c>
      <x:c r="K2199" s="33" t="str">
        <x:v>Compliance IDs preserved; mandatory/conditional/optional status corrected.</x:v>
      </x:c>
    </x:row>
    <x:row r="2200">
      <x:c r="A2200" s="33" t="str">
        <x:v>ECOMP015</x:v>
      </x:c>
      <x:c r="B2200" s="33" t="str">
        <x:v>Compliance Requirement Master</x:v>
      </x:c>
      <x:c r="C2200" s="33" t="str">
        <x:v>Applicability=Mandatory; Remarks=Implementation Method: Temperature monitoring devices and alerts. | Evidence indicator retained in Evidence Master: Temperature monitoring reports.</x:v>
      </x:c>
      <x:c r="D2200" s="33" t="str">
        <x:v>Applicability=Optional; Remarks=P-4 entity-specific internal control; no independent statutory force. Activate the exact underlying legal requirement separately.</x:v>
      </x:c>
      <x:c r="E2200" s="33" t="str">
        <x:v>CORRECT / RECLASSIFY</x:v>
      </x:c>
      <x:c r="F2200" s="33" t="str">
        <x:v>Align requirements to corrected substantive provisions and applicability classifications.</x:v>
      </x:c>
      <x:c r="G2200" s="33" t="str">
        <x:v>P-4 official-source validation</x:v>
      </x:c>
      <x:c r="H220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00" s="33" t="str">
        <x:v>P-4</x:v>
      </x:c>
      <x:c r="J2200" s="33" t="str">
        <x:v>2026-08-20</x:v>
      </x:c>
      <x:c r="K2200" s="33" t="str">
        <x:v>Compliance IDs preserved; mandatory/conditional/optional status corrected.</x:v>
      </x:c>
    </x:row>
    <x:row r="2201">
      <x:c r="A2201" s="33" t="str">
        <x:v>ECOMP016</x:v>
      </x:c>
      <x:c r="B2201" s="33" t="str">
        <x:v>Compliance Requirement Master</x:v>
      </x:c>
      <x:c r="C2201" s="33" t="str">
        <x:v>Applicability=Mandatory; Remarks=Implementation Method: Complaint management workflow. | Evidence indicator retained in Evidence Master: Complaint records and resolutions.</x:v>
      </x:c>
      <x:c r="D2201" s="33" t="str">
        <x:v>Applicability=Optional; Remarks=P-4 entity-specific internal control; no independent statutory force. Activate the exact underlying legal requirement separately.</x:v>
      </x:c>
      <x:c r="E2201" s="33" t="str">
        <x:v>CORRECT / RECLASSIFY</x:v>
      </x:c>
      <x:c r="F2201" s="33" t="str">
        <x:v>Align requirements to corrected substantive provisions and applicability classifications.</x:v>
      </x:c>
      <x:c r="G2201" s="33" t="str">
        <x:v>P-4 official-source validation</x:v>
      </x:c>
      <x:c r="H220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01" s="33" t="str">
        <x:v>P-4</x:v>
      </x:c>
      <x:c r="J2201" s="33" t="str">
        <x:v>2026-08-20</x:v>
      </x:c>
      <x:c r="K2201" s="33" t="str">
        <x:v>Compliance IDs preserved; mandatory/conditional/optional status corrected.</x:v>
      </x:c>
    </x:row>
    <x:row r="2202">
      <x:c r="A2202" s="33" t="str">
        <x:v>ECOMP017</x:v>
      </x:c>
      <x:c r="B2202" s="33" t="str">
        <x:v>Compliance Requirement Master</x:v>
      </x:c>
      <x:c r="C2202" s="33" t="str">
        <x:v>Applicability=Mandatory; Remarks=Implementation Method: Fraud detection workflow. | Evidence indicator retained in Evidence Master: Fraud screening records.</x:v>
      </x:c>
      <x:c r="D2202" s="33" t="str">
        <x:v>Applicability=Optional; Remarks=P-4 entity-specific internal control; no independent statutory force. Activate the exact underlying legal requirement separately.</x:v>
      </x:c>
      <x:c r="E2202" s="33" t="str">
        <x:v>CORRECT / RECLASSIFY</x:v>
      </x:c>
      <x:c r="F2202" s="33" t="str">
        <x:v>Align requirements to corrected substantive provisions and applicability classifications.</x:v>
      </x:c>
      <x:c r="G2202" s="33" t="str">
        <x:v>P-4 official-source validation</x:v>
      </x:c>
      <x:c r="H220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02" s="33" t="str">
        <x:v>P-4</x:v>
      </x:c>
      <x:c r="J2202" s="33" t="str">
        <x:v>2026-08-20</x:v>
      </x:c>
      <x:c r="K2202" s="33" t="str">
        <x:v>Compliance IDs preserved; mandatory/conditional/optional status corrected.</x:v>
      </x:c>
    </x:row>
    <x:row r="2203">
      <x:c r="A2203" s="33" t="str">
        <x:v>ECOMP018</x:v>
      </x:c>
      <x:c r="B2203" s="33" t="str">
        <x:v>Compliance Requirement Master</x:v>
      </x:c>
      <x:c r="C2203" s="33" t="str">
        <x:v>Applicability=Mandatory; Remarks=Implementation Method: Fraud monitoring system. | Evidence indicator retained in Evidence Master: Fraud monitoring reports.</x:v>
      </x:c>
      <x:c r="D2203" s="33" t="str">
        <x:v>Applicability=Optional; Remarks=P-4 entity-specific internal control; no independent statutory force. Activate the exact underlying legal requirement separately.</x:v>
      </x:c>
      <x:c r="E2203" s="33" t="str">
        <x:v>CORRECT / RECLASSIFY</x:v>
      </x:c>
      <x:c r="F2203" s="33" t="str">
        <x:v>Align requirements to corrected substantive provisions and applicability classifications.</x:v>
      </x:c>
      <x:c r="G2203" s="33" t="str">
        <x:v>P-4 official-source validation</x:v>
      </x:c>
      <x:c r="H220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03" s="33" t="str">
        <x:v>P-4</x:v>
      </x:c>
      <x:c r="J2203" s="33" t="str">
        <x:v>2026-08-20</x:v>
      </x:c>
      <x:c r="K2203" s="33" t="str">
        <x:v>Compliance IDs preserved; mandatory/conditional/optional status corrected.</x:v>
      </x:c>
    </x:row>
    <x:row r="2204">
      <x:c r="A2204" s="33" t="str">
        <x:v>ECOMP019</x:v>
      </x:c>
      <x:c r="B2204" s="33" t="str">
        <x:v>Compliance Requirement Master</x:v>
      </x:c>
      <x:c r="C2204" s="33" t="str">
        <x:v>Applicability=Mandatory; Remarks=Implementation Method: Consultation reference validation. | Evidence indicator retained in Evidence Master: Consultation linkage reports.</x:v>
      </x:c>
      <x:c r="D2204" s="33" t="str">
        <x:v>Applicability=Optional; Remarks=P-4 entity-specific internal control; no independent statutory force. Activate the exact underlying legal requirement separately.</x:v>
      </x:c>
      <x:c r="E2204" s="33" t="str">
        <x:v>CORRECT / RECLASSIFY</x:v>
      </x:c>
      <x:c r="F2204" s="33" t="str">
        <x:v>Align requirements to corrected substantive provisions and applicability classifications.</x:v>
      </x:c>
      <x:c r="G2204" s="33" t="str">
        <x:v>P-4 official-source validation</x:v>
      </x:c>
      <x:c r="H220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04" s="33" t="str">
        <x:v>P-4</x:v>
      </x:c>
      <x:c r="J2204" s="33" t="str">
        <x:v>2026-08-20</x:v>
      </x:c>
      <x:c r="K2204" s="33" t="str">
        <x:v>Compliance IDs preserved; mandatory/conditional/optional status corrected.</x:v>
      </x:c>
    </x:row>
    <x:row r="2205">
      <x:c r="A2205" s="33" t="str">
        <x:v>ECOMP020</x:v>
      </x:c>
      <x:c r="B2205" s="33" t="str">
        <x:v>Compliance Requirement Master</x:v>
      </x:c>
      <x:c r="C2205" s="33" t="str">
        <x:v>Applicability=Mandatory; Remarks=Implementation Method: Governance committee review. | Evidence indicator retained in Evidence Master: Governance meeting minutes and action tracker.</x:v>
      </x:c>
      <x:c r="D2205" s="33" t="str">
        <x:v>Applicability=Optional; Remarks=P-4 entity-specific internal control; no independent statutory force. Activate the exact underlying legal requirement separately.</x:v>
      </x:c>
      <x:c r="E2205" s="33" t="str">
        <x:v>CORRECT / RECLASSIFY</x:v>
      </x:c>
      <x:c r="F2205" s="33" t="str">
        <x:v>Align requirements to corrected substantive provisions and applicability classifications.</x:v>
      </x:c>
      <x:c r="G2205" s="33" t="str">
        <x:v>P-4 official-source validation</x:v>
      </x:c>
      <x:c r="H220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05" s="33" t="str">
        <x:v>P-4</x:v>
      </x:c>
      <x:c r="J2205" s="33" t="str">
        <x:v>2026-08-20</x:v>
      </x:c>
      <x:c r="K2205" s="33" t="str">
        <x:v>Compliance IDs preserved; mandatory/conditional/optional status corrected.</x:v>
      </x:c>
    </x:row>
    <x:row r="2206">
      <x:c r="A2206" s="33" t="str">
        <x:v>ECOMP021</x:v>
      </x:c>
      <x:c r="B2206" s="33" t="str">
        <x:v>Compliance Requirement Master</x:v>
      </x:c>
      <x:c r="C2206" s="33" t="str">
        <x:v>Applicability=Mandatory; Remarks=Implementation Method: MFA enforcement and periodic access review. | Evidence indicator retained in Evidence Master: MFA logs and access review reports.</x:v>
      </x:c>
      <x:c r="D2206" s="33" t="str">
        <x:v>Applicability=Optional; Remarks=P-4 entity-specific internal control; no independent statutory force. Activate the exact underlying legal requirement separately.</x:v>
      </x:c>
      <x:c r="E2206" s="33" t="str">
        <x:v>CORRECT / RECLASSIFY</x:v>
      </x:c>
      <x:c r="F2206" s="33" t="str">
        <x:v>Align requirements to corrected substantive provisions and applicability classifications.</x:v>
      </x:c>
      <x:c r="G2206" s="33" t="str">
        <x:v>P-4 official-source validation</x:v>
      </x:c>
      <x:c r="H220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06" s="33" t="str">
        <x:v>P-4</x:v>
      </x:c>
      <x:c r="J2206" s="33" t="str">
        <x:v>2026-08-20</x:v>
      </x:c>
      <x:c r="K2206" s="33" t="str">
        <x:v>Compliance IDs preserved; mandatory/conditional/optional status corrected.</x:v>
      </x:c>
    </x:row>
    <x:row r="2207">
      <x:c r="A2207" s="33" t="str">
        <x:v>ECOMP022</x:v>
      </x:c>
      <x:c r="B2207" s="33" t="str">
        <x:v>Compliance Requirement Master</x:v>
      </x:c>
      <x:c r="C2207" s="33" t="str">
        <x:v>Applicability=Mandatory; Remarks=Implementation Method: RBAC provisioning and access recertification. | Evidence indicator retained in Evidence Master: Access matrix and review records.</x:v>
      </x:c>
      <x:c r="D2207" s="33" t="str">
        <x:v>Applicability=Optional; Remarks=P-4 entity-specific internal control; no independent statutory force. Activate the exact underlying legal requirement separately.</x:v>
      </x:c>
      <x:c r="E2207" s="33" t="str">
        <x:v>CORRECT / RECLASSIFY</x:v>
      </x:c>
      <x:c r="F2207" s="33" t="str">
        <x:v>Align requirements to corrected substantive provisions and applicability classifications.</x:v>
      </x:c>
      <x:c r="G2207" s="33" t="str">
        <x:v>P-4 official-source validation</x:v>
      </x:c>
      <x:c r="H220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07" s="33" t="str">
        <x:v>P-4</x:v>
      </x:c>
      <x:c r="J2207" s="33" t="str">
        <x:v>2026-08-20</x:v>
      </x:c>
      <x:c r="K2207" s="33" t="str">
        <x:v>Compliance IDs preserved; mandatory/conditional/optional status corrected.</x:v>
      </x:c>
    </x:row>
    <x:row r="2208">
      <x:c r="A2208" s="33" t="str">
        <x:v>ECOMP023</x:v>
      </x:c>
      <x:c r="B2208" s="33" t="str">
        <x:v>Compliance Requirement Master</x:v>
      </x:c>
      <x:c r="C2208" s="33" t="str">
        <x:v>Applicability=Mandatory; Remarks=Implementation Method: Encryption controls and key management. | Evidence indicator retained in Evidence Master: Encryption configuration reports.</x:v>
      </x:c>
      <x:c r="D2208" s="33" t="str">
        <x:v>Applicability=Optional; Remarks=P-4 entity-specific internal control; no independent statutory force. Activate the exact underlying legal requirement separately.</x:v>
      </x:c>
      <x:c r="E2208" s="33" t="str">
        <x:v>CORRECT / RECLASSIFY</x:v>
      </x:c>
      <x:c r="F2208" s="33" t="str">
        <x:v>Align requirements to corrected substantive provisions and applicability classifications.</x:v>
      </x:c>
      <x:c r="G2208" s="33" t="str">
        <x:v>P-4 official-source validation</x:v>
      </x:c>
      <x:c r="H220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08" s="33" t="str">
        <x:v>P-4</x:v>
      </x:c>
      <x:c r="J2208" s="33" t="str">
        <x:v>2026-08-20</x:v>
      </x:c>
      <x:c r="K2208" s="33" t="str">
        <x:v>Compliance IDs preserved; mandatory/conditional/optional status corrected.</x:v>
      </x:c>
    </x:row>
    <x:row r="2209">
      <x:c r="A2209" s="33" t="str">
        <x:v>ECOMP024</x:v>
      </x:c>
      <x:c r="B2209" s="33" t="str">
        <x:v>Compliance Requirement Master</x:v>
      </x:c>
      <x:c r="C2209" s="33" t="str">
        <x:v>Applicability=Mandatory; Remarks=Implementation Method: Backup monitoring and DR testing. | Evidence indicator retained in Evidence Master: Backup logs and DR test reports.</x:v>
      </x:c>
      <x:c r="D2209" s="33" t="str">
        <x:v>Applicability=Optional; Remarks=P-4 entity-specific internal control; no independent statutory force. Activate the exact underlying legal requirement separately.</x:v>
      </x:c>
      <x:c r="E2209" s="33" t="str">
        <x:v>CORRECT / RECLASSIFY</x:v>
      </x:c>
      <x:c r="F2209" s="33" t="str">
        <x:v>Align requirements to corrected substantive provisions and applicability classifications.</x:v>
      </x:c>
      <x:c r="G2209" s="33" t="str">
        <x:v>P-4 official-source validation</x:v>
      </x:c>
      <x:c r="H220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09" s="33" t="str">
        <x:v>P-4</x:v>
      </x:c>
      <x:c r="J2209" s="33" t="str">
        <x:v>2026-08-20</x:v>
      </x:c>
      <x:c r="K2209" s="33" t="str">
        <x:v>Compliance IDs preserved; mandatory/conditional/optional status corrected.</x:v>
      </x:c>
    </x:row>
    <x:row r="2210">
      <x:c r="A2210" s="33" t="str">
        <x:v>ECOMP025</x:v>
      </x:c>
      <x:c r="B2210" s="33" t="str">
        <x:v>Compliance Requirement Master</x:v>
      </x:c>
      <x:c r="C2210" s="33" t="str">
        <x:v>Applicability=Mandatory; Remarks=Implementation Method: Incident response procedure. | Evidence indicator retained in Evidence Master: Incident reports and closure records.</x:v>
      </x:c>
      <x:c r="D2210" s="33" t="str">
        <x:v>Applicability=Optional; Remarks=P-4 entity-specific internal control; no independent statutory force. Activate the exact underlying legal requirement separately.</x:v>
      </x:c>
      <x:c r="E2210" s="33" t="str">
        <x:v>CORRECT / RECLASSIFY</x:v>
      </x:c>
      <x:c r="F2210" s="33" t="str">
        <x:v>Align requirements to corrected substantive provisions and applicability classifications.</x:v>
      </x:c>
      <x:c r="G2210" s="33" t="str">
        <x:v>P-4 official-source validation</x:v>
      </x:c>
      <x:c r="H221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10" s="33" t="str">
        <x:v>P-4</x:v>
      </x:c>
      <x:c r="J2210" s="33" t="str">
        <x:v>2026-08-20</x:v>
      </x:c>
      <x:c r="K2210" s="33" t="str">
        <x:v>Compliance IDs preserved; mandatory/conditional/optional status corrected.</x:v>
      </x:c>
    </x:row>
    <x:row r="2211">
      <x:c r="A2211" s="33" t="str">
        <x:v>ECOMP026</x:v>
      </x:c>
      <x:c r="B2211" s="33" t="str">
        <x:v>Compliance Requirement Master</x:v>
      </x:c>
      <x:c r="C2211" s="33" t="str">
        <x:v>Applicability=Mandatory; Remarks=Implementation Method: Retention schedule monitoring. | Evidence indicator retained in Evidence Master: Data retention reports.</x:v>
      </x:c>
      <x:c r="D2211" s="33" t="str">
        <x:v>Applicability=Optional; Remarks=P-4 entity-specific internal control; no independent statutory force. Activate the exact underlying legal requirement separately.</x:v>
      </x:c>
      <x:c r="E2211" s="33" t="str">
        <x:v>CORRECT / RECLASSIFY</x:v>
      </x:c>
      <x:c r="F2211" s="33" t="str">
        <x:v>Align requirements to corrected substantive provisions and applicability classifications.</x:v>
      </x:c>
      <x:c r="G2211" s="33" t="str">
        <x:v>P-4 official-source validation</x:v>
      </x:c>
      <x:c r="H221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11" s="33" t="str">
        <x:v>P-4</x:v>
      </x:c>
      <x:c r="J2211" s="33" t="str">
        <x:v>2026-08-20</x:v>
      </x:c>
      <x:c r="K2211" s="33" t="str">
        <x:v>Compliance IDs preserved; mandatory/conditional/optional status corrected.</x:v>
      </x:c>
    </x:row>
    <x:row r="2212">
      <x:c r="A2212" s="33" t="str">
        <x:v>ECOMP027</x:v>
      </x:c>
      <x:c r="B2212" s="33" t="str">
        <x:v>Compliance Requirement Master</x:v>
      </x:c>
      <x:c r="C2212" s="33" t="str">
        <x:v>Applicability=Mandatory; Remarks=Implementation Method: Secure deletion workflow. | Evidence indicator retained in Evidence Master: Data deletion logs.</x:v>
      </x:c>
      <x:c r="D2212" s="33" t="str">
        <x:v>Applicability=Optional; Remarks=P-4 entity-specific internal control; no independent statutory force. Activate the exact underlying legal requirement separately.</x:v>
      </x:c>
      <x:c r="E2212" s="33" t="str">
        <x:v>CORRECT / RECLASSIFY</x:v>
      </x:c>
      <x:c r="F2212" s="33" t="str">
        <x:v>Align requirements to corrected substantive provisions and applicability classifications.</x:v>
      </x:c>
      <x:c r="G2212" s="33" t="str">
        <x:v>P-4 official-source validation</x:v>
      </x:c>
      <x:c r="H221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12" s="33" t="str">
        <x:v>P-4</x:v>
      </x:c>
      <x:c r="J2212" s="33" t="str">
        <x:v>2026-08-20</x:v>
      </x:c>
      <x:c r="K2212" s="33" t="str">
        <x:v>Compliance IDs preserved; mandatory/conditional/optional status corrected.</x:v>
      </x:c>
    </x:row>
    <x:row r="2213">
      <x:c r="A2213" s="33" t="str">
        <x:v>ECOMP028</x:v>
      </x:c>
      <x:c r="B2213" s="33" t="str">
        <x:v>Compliance Requirement Master</x:v>
      </x:c>
      <x:c r="C2213" s="33" t="str">
        <x:v>Applicability=Mandatory; Remarks=Implementation Method: Vendor due diligence programme. | Evidence indicator retained in Evidence Master: Vendor assessment reports.</x:v>
      </x:c>
      <x:c r="D2213" s="33" t="str">
        <x:v>Applicability=Optional; Remarks=P-4 entity-specific internal control; no independent statutory force. Activate the exact underlying legal requirement separately.</x:v>
      </x:c>
      <x:c r="E2213" s="33" t="str">
        <x:v>CORRECT / RECLASSIFY</x:v>
      </x:c>
      <x:c r="F2213" s="33" t="str">
        <x:v>Align requirements to corrected substantive provisions and applicability classifications.</x:v>
      </x:c>
      <x:c r="G2213" s="33" t="str">
        <x:v>P-4 official-source validation</x:v>
      </x:c>
      <x:c r="H221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13" s="33" t="str">
        <x:v>P-4</x:v>
      </x:c>
      <x:c r="J2213" s="33" t="str">
        <x:v>2026-08-20</x:v>
      </x:c>
      <x:c r="K2213" s="33" t="str">
        <x:v>Compliance IDs preserved; mandatory/conditional/optional status corrected.</x:v>
      </x:c>
    </x:row>
    <x:row r="2214">
      <x:c r="A2214" s="33" t="str">
        <x:v>ECOMP029</x:v>
      </x:c>
      <x:c r="B2214" s="33" t="str">
        <x:v>Compliance Requirement Master</x:v>
      </x:c>
      <x:c r="C2214" s="33" t="str">
        <x:v>Applicability=Mandatory; Remarks=Implementation Method: API security controls. | Evidence indicator retained in Evidence Master: API security logs.</x:v>
      </x:c>
      <x:c r="D2214" s="33" t="str">
        <x:v>Applicability=Optional; Remarks=P-4 entity-specific internal control; no independent statutory force. Activate the exact underlying legal requirement separately.</x:v>
      </x:c>
      <x:c r="E2214" s="33" t="str">
        <x:v>CORRECT / RECLASSIFY</x:v>
      </x:c>
      <x:c r="F2214" s="33" t="str">
        <x:v>Align requirements to corrected substantive provisions and applicability classifications.</x:v>
      </x:c>
      <x:c r="G2214" s="33" t="str">
        <x:v>P-4 official-source validation</x:v>
      </x:c>
      <x:c r="H221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14" s="33" t="str">
        <x:v>P-4</x:v>
      </x:c>
      <x:c r="J2214" s="33" t="str">
        <x:v>2026-08-20</x:v>
      </x:c>
      <x:c r="K2214" s="33" t="str">
        <x:v>Compliance IDs preserved; mandatory/conditional/optional status corrected.</x:v>
      </x:c>
    </x:row>
    <x:row r="2215">
      <x:c r="A2215" s="33" t="str">
        <x:v>ECOMP030</x:v>
      </x:c>
      <x:c r="B2215" s="33" t="str">
        <x:v>Compliance Requirement Master</x:v>
      </x:c>
      <x:c r="C2215" s="33" t="str">
        <x:v>Applicability=Mandatory; Remarks=Implementation Method: Secure SDLC and DevSecOps controls. | Evidence indicator retained in Evidence Master: Security testing reports.</x:v>
      </x:c>
      <x:c r="D2215" s="33" t="str">
        <x:v>Applicability=Optional; Remarks=P-4 entity-specific internal control; no independent statutory force. Activate the exact underlying legal requirement separately.</x:v>
      </x:c>
      <x:c r="E2215" s="33" t="str">
        <x:v>CORRECT / RECLASSIFY</x:v>
      </x:c>
      <x:c r="F2215" s="33" t="str">
        <x:v>Align requirements to corrected substantive provisions and applicability classifications.</x:v>
      </x:c>
      <x:c r="G2215" s="33" t="str">
        <x:v>P-4 official-source validation</x:v>
      </x:c>
      <x:c r="H221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15" s="33" t="str">
        <x:v>P-4</x:v>
      </x:c>
      <x:c r="J2215" s="33" t="str">
        <x:v>2026-08-20</x:v>
      </x:c>
      <x:c r="K2215" s="33" t="str">
        <x:v>Compliance IDs preserved; mandatory/conditional/optional status corrected.</x:v>
      </x:c>
    </x:row>
    <x:row r="2216">
      <x:c r="A2216" s="33" t="str">
        <x:v>ECOMP031</x:v>
      </x:c>
      <x:c r="B2216" s="33" t="str">
        <x:v>Compliance Requirement Master</x:v>
      </x:c>
      <x:c r="C2216" s="33" t="str">
        <x:v>Applicability=Mandatory; Remarks=Implementation Method: VAPT programme. | Evidence indicator retained in Evidence Master: VAPT reports and remediation tracker.</x:v>
      </x:c>
      <x:c r="D2216" s="33" t="str">
        <x:v>Applicability=Optional; Remarks=P-4 entity-specific internal control; no independent statutory force. Activate the exact underlying legal requirement separately.</x:v>
      </x:c>
      <x:c r="E2216" s="33" t="str">
        <x:v>CORRECT / RECLASSIFY</x:v>
      </x:c>
      <x:c r="F2216" s="33" t="str">
        <x:v>Align requirements to corrected substantive provisions and applicability classifications.</x:v>
      </x:c>
      <x:c r="G2216" s="33" t="str">
        <x:v>P-4 official-source validation</x:v>
      </x:c>
      <x:c r="H221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16" s="33" t="str">
        <x:v>P-4</x:v>
      </x:c>
      <x:c r="J2216" s="33" t="str">
        <x:v>2026-08-20</x:v>
      </x:c>
      <x:c r="K2216" s="33" t="str">
        <x:v>Compliance IDs preserved; mandatory/conditional/optional status corrected.</x:v>
      </x:c>
    </x:row>
    <x:row r="2217">
      <x:c r="A2217" s="33" t="str">
        <x:v>ECOMP032</x:v>
      </x:c>
      <x:c r="B2217" s="33" t="str">
        <x:v>Compliance Requirement Master</x:v>
      </x:c>
      <x:c r="C2217" s="33" t="str">
        <x:v>Applicability=Mandatory; Remarks=Implementation Method: SIEM monitoring and alert handling. | Evidence indicator retained in Evidence Master: Security event monitoring reports.</x:v>
      </x:c>
      <x:c r="D2217" s="33" t="str">
        <x:v>Applicability=Optional; Remarks=P-4 entity-specific internal control; no independent statutory force. Activate the exact underlying legal requirement separately.</x:v>
      </x:c>
      <x:c r="E2217" s="33" t="str">
        <x:v>CORRECT / RECLASSIFY</x:v>
      </x:c>
      <x:c r="F2217" s="33" t="str">
        <x:v>Align requirements to corrected substantive provisions and applicability classifications.</x:v>
      </x:c>
      <x:c r="G2217" s="33" t="str">
        <x:v>P-4 official-source validation</x:v>
      </x:c>
      <x:c r="H221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17" s="33" t="str">
        <x:v>P-4</x:v>
      </x:c>
      <x:c r="J2217" s="33" t="str">
        <x:v>2026-08-20</x:v>
      </x:c>
      <x:c r="K2217" s="33" t="str">
        <x:v>Compliance IDs preserved; mandatory/conditional/optional status corrected.</x:v>
      </x:c>
    </x:row>
    <x:row r="2218">
      <x:c r="A2218" s="33" t="str">
        <x:v>ECOMP033</x:v>
      </x:c>
      <x:c r="B2218" s="33" t="str">
        <x:v>Compliance Requirement Master</x:v>
      </x:c>
      <x:c r="C2218" s="33" t="str">
        <x:v>Applicability=Mandatory; Remarks=Implementation Method: Automated duplicate detection. | Evidence indicator retained in Evidence Master: Duplicate order reports.</x:v>
      </x:c>
      <x:c r="D2218" s="33" t="str">
        <x:v>Applicability=Optional; Remarks=P-4 entity-specific internal control; no independent statutory force. Activate the exact underlying legal requirement separately.</x:v>
      </x:c>
      <x:c r="E2218" s="33" t="str">
        <x:v>CORRECT / RECLASSIFY</x:v>
      </x:c>
      <x:c r="F2218" s="33" t="str">
        <x:v>Align requirements to corrected substantive provisions and applicability classifications.</x:v>
      </x:c>
      <x:c r="G2218" s="33" t="str">
        <x:v>P-4 official-source validation</x:v>
      </x:c>
      <x:c r="H221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18" s="33" t="str">
        <x:v>P-4</x:v>
      </x:c>
      <x:c r="J2218" s="33" t="str">
        <x:v>2026-08-20</x:v>
      </x:c>
      <x:c r="K2218" s="33" t="str">
        <x:v>Compliance IDs preserved; mandatory/conditional/optional status corrected.</x:v>
      </x:c>
    </x:row>
    <x:row r="2219">
      <x:c r="A2219" s="33" t="str">
        <x:v>ECOMP034</x:v>
      </x:c>
      <x:c r="B2219" s="33" t="str">
        <x:v>Compliance Requirement Master</x:v>
      </x:c>
      <x:c r="C2219" s="33" t="str">
        <x:v>Applicability=Mandatory; Remarks=Implementation Method: Controlled medicine validation. | Evidence indicator retained in Evidence Master: Controlled medicine approval records.</x:v>
      </x:c>
      <x:c r="D2219" s="33" t="str">
        <x:v>Applicability=Optional; Remarks=P-4 entity-specific internal control; no independent statutory force. Activate the exact underlying legal requirement separately.</x:v>
      </x:c>
      <x:c r="E2219" s="33" t="str">
        <x:v>CORRECT / RECLASSIFY</x:v>
      </x:c>
      <x:c r="F2219" s="33" t="str">
        <x:v>Align requirements to corrected substantive provisions and applicability classifications.</x:v>
      </x:c>
      <x:c r="G2219" s="33" t="str">
        <x:v>P-4 official-source validation</x:v>
      </x:c>
      <x:c r="H221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19" s="33" t="str">
        <x:v>P-4</x:v>
      </x:c>
      <x:c r="J2219" s="33" t="str">
        <x:v>2026-08-20</x:v>
      </x:c>
      <x:c r="K2219" s="33" t="str">
        <x:v>Compliance IDs preserved; mandatory/conditional/optional status corrected.</x:v>
      </x:c>
    </x:row>
    <x:row r="2220">
      <x:c r="A2220" s="33" t="str">
        <x:v>ECOMP035</x:v>
      </x:c>
      <x:c r="B2220" s="33" t="str">
        <x:v>Compliance Requirement Master</x:v>
      </x:c>
      <x:c r="C2220" s="33" t="str">
        <x:v>Applicability=Mandatory; Remarks=Implementation Method: Refund approval workflow. | Evidence indicator retained in Evidence Master: Refund transaction records.</x:v>
      </x:c>
      <x:c r="D2220" s="33" t="str">
        <x:v>Applicability=Optional; Remarks=P-4 entity-specific internal control; no independent statutory force. Activate the exact underlying legal requirement separately.</x:v>
      </x:c>
      <x:c r="E2220" s="33" t="str">
        <x:v>CORRECT / RECLASSIFY</x:v>
      </x:c>
      <x:c r="F2220" s="33" t="str">
        <x:v>Align requirements to corrected substantive provisions and applicability classifications.</x:v>
      </x:c>
      <x:c r="G2220" s="33" t="str">
        <x:v>P-4 official-source validation</x:v>
      </x:c>
      <x:c r="H222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20" s="33" t="str">
        <x:v>P-4</x:v>
      </x:c>
      <x:c r="J2220" s="33" t="str">
        <x:v>2026-08-20</x:v>
      </x:c>
      <x:c r="K2220" s="33" t="str">
        <x:v>Compliance IDs preserved; mandatory/conditional/optional status corrected.</x:v>
      </x:c>
    </x:row>
    <x:row r="2221">
      <x:c r="A2221" s="33" t="str">
        <x:v>ECOMP036</x:v>
      </x:c>
      <x:c r="B2221" s="33" t="str">
        <x:v>Compliance Requirement Master</x:v>
      </x:c>
      <x:c r="C2221" s="33" t="str">
        <x:v>Applicability=Mandatory; Remarks=Implementation Method: Automated notification system. | Evidence indicator retained in Evidence Master: Notification logs.</x:v>
      </x:c>
      <x:c r="D2221" s="33" t="str">
        <x:v>Applicability=Optional; Remarks=P-4 entity-specific internal control; no independent statutory force. Activate the exact underlying legal requirement separately.</x:v>
      </x:c>
      <x:c r="E2221" s="33" t="str">
        <x:v>CORRECT / RECLASSIFY</x:v>
      </x:c>
      <x:c r="F2221" s="33" t="str">
        <x:v>Align requirements to corrected substantive provisions and applicability classifications.</x:v>
      </x:c>
      <x:c r="G2221" s="33" t="str">
        <x:v>P-4 official-source validation</x:v>
      </x:c>
      <x:c r="H222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21" s="33" t="str">
        <x:v>P-4</x:v>
      </x:c>
      <x:c r="J2221" s="33" t="str">
        <x:v>2026-08-20</x:v>
      </x:c>
      <x:c r="K2221" s="33" t="str">
        <x:v>Compliance IDs preserved; mandatory/conditional/optional status corrected.</x:v>
      </x:c>
    </x:row>
    <x:row r="2222">
      <x:c r="A2222" s="33" t="str">
        <x:v>ECOMP037</x:v>
      </x:c>
      <x:c r="B2222" s="33" t="str">
        <x:v>Compliance Requirement Master</x:v>
      </x:c>
      <x:c r="C2222" s="33" t="str">
        <x:v>Applicability=Mandatory; Remarks=Implementation Method: Digital signature and integrity validation. | Evidence indicator retained in Evidence Master: Digital signature verification records.</x:v>
      </x:c>
      <x:c r="D2222" s="33" t="str">
        <x:v>Applicability=Optional; Remarks=P-4 entity-specific internal control; no independent statutory force. Activate the exact underlying legal requirement separately.</x:v>
      </x:c>
      <x:c r="E2222" s="33" t="str">
        <x:v>CORRECT / RECLASSIFY</x:v>
      </x:c>
      <x:c r="F2222" s="33" t="str">
        <x:v>Align requirements to corrected substantive provisions and applicability classifications.</x:v>
      </x:c>
      <x:c r="G2222" s="33" t="str">
        <x:v>P-4 official-source validation</x:v>
      </x:c>
      <x:c r="H222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22" s="33" t="str">
        <x:v>P-4</x:v>
      </x:c>
      <x:c r="J2222" s="33" t="str">
        <x:v>2026-08-20</x:v>
      </x:c>
      <x:c r="K2222" s="33" t="str">
        <x:v>Compliance IDs preserved; mandatory/conditional/optional status corrected.</x:v>
      </x:c>
    </x:row>
    <x:row r="2223">
      <x:c r="A2223" s="33" t="str">
        <x:v>ECOMP038</x:v>
      </x:c>
      <x:c r="B2223" s="33" t="str">
        <x:v>Compliance Requirement Master</x:v>
      </x:c>
      <x:c r="C2223" s="33" t="str">
        <x:v>Applicability=Mandatory; Remarks=Implementation Method: Compliance dashboard review. | Evidence indicator retained in Evidence Master: Compliance analytics reports.</x:v>
      </x:c>
      <x:c r="D2223" s="33" t="str">
        <x:v>Applicability=Optional; Remarks=P-4 entity-specific internal control; no independent statutory force. Activate the exact underlying legal requirement separately.</x:v>
      </x:c>
      <x:c r="E2223" s="33" t="str">
        <x:v>CORRECT / RECLASSIFY</x:v>
      </x:c>
      <x:c r="F2223" s="33" t="str">
        <x:v>Align requirements to corrected substantive provisions and applicability classifications.</x:v>
      </x:c>
      <x:c r="G2223" s="33" t="str">
        <x:v>P-4 official-source validation</x:v>
      </x:c>
      <x:c r="H222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23" s="33" t="str">
        <x:v>P-4</x:v>
      </x:c>
      <x:c r="J2223" s="33" t="str">
        <x:v>2026-08-20</x:v>
      </x:c>
      <x:c r="K2223" s="33" t="str">
        <x:v>Compliance IDs preserved; mandatory/conditional/optional status corrected.</x:v>
      </x:c>
    </x:row>
    <x:row r="2224">
      <x:c r="A2224" s="33" t="str">
        <x:v>ECOMP039</x:v>
      </x:c>
      <x:c r="B2224" s="33" t="str">
        <x:v>Compliance Requirement Master</x:v>
      </x:c>
      <x:c r="C2224" s="33" t="str">
        <x:v>Applicability=Mandatory; Remarks=Implementation Method: Availability monitoring. | Evidence indicator retained in Evidence Master: Uptime reports and SLA dashboards.</x:v>
      </x:c>
      <x:c r="D2224" s="33" t="str">
        <x:v>Applicability=Optional; Remarks=P-4 entity-specific internal control; no independent statutory force. Activate the exact underlying legal requirement separately.</x:v>
      </x:c>
      <x:c r="E2224" s="33" t="str">
        <x:v>CORRECT / RECLASSIFY</x:v>
      </x:c>
      <x:c r="F2224" s="33" t="str">
        <x:v>Align requirements to corrected substantive provisions and applicability classifications.</x:v>
      </x:c>
      <x:c r="G2224" s="33" t="str">
        <x:v>P-4 official-source validation</x:v>
      </x:c>
      <x:c r="H222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24" s="33" t="str">
        <x:v>P-4</x:v>
      </x:c>
      <x:c r="J2224" s="33" t="str">
        <x:v>2026-08-20</x:v>
      </x:c>
      <x:c r="K2224" s="33" t="str">
        <x:v>Compliance IDs preserved; mandatory/conditional/optional status corrected.</x:v>
      </x:c>
    </x:row>
    <x:row r="2225">
      <x:c r="A2225" s="33" t="str">
        <x:v>ECOMP040</x:v>
      </x:c>
      <x:c r="B2225" s="33" t="str">
        <x:v>Compliance Requirement Master</x:v>
      </x:c>
      <x:c r="C2225" s="33" t="str">
        <x:v>Applicability=Mandatory; Remarks=Implementation Method: Governance review meetings. | Evidence indicator retained in Evidence Master: Governance committee minutes and action tracker.</x:v>
      </x:c>
      <x:c r="D2225" s="33" t="str">
        <x:v>Applicability=Optional; Remarks=P-4 entity-specific internal control; no independent statutory force. Activate the exact underlying legal requirement separately.</x:v>
      </x:c>
      <x:c r="E2225" s="33" t="str">
        <x:v>CORRECT / RECLASSIFY</x:v>
      </x:c>
      <x:c r="F2225" s="33" t="str">
        <x:v>Align requirements to corrected substantive provisions and applicability classifications.</x:v>
      </x:c>
      <x:c r="G2225" s="33" t="str">
        <x:v>P-4 official-source validation</x:v>
      </x:c>
      <x:c r="H222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25" s="33" t="str">
        <x:v>P-4</x:v>
      </x:c>
      <x:c r="J2225" s="33" t="str">
        <x:v>2026-08-20</x:v>
      </x:c>
      <x:c r="K2225" s="33" t="str">
        <x:v>Compliance IDs preserved; mandatory/conditional/optional status corrected.</x:v>
      </x:c>
    </x:row>
    <x:row r="2226">
      <x:c r="A2226" s="33" t="str">
        <x:v>ECOMP041</x:v>
      </x:c>
      <x:c r="B2226" s="33" t="str">
        <x:v>Compliance Requirement Master</x:v>
      </x:c>
      <x:c r="C2226" s="33" t="str">
        <x:v>Applicability=Mandatory; Remarks=Implementation Method: Digital grievance management workflow. | Evidence indicator retained in Evidence Master: Grievance register, response logs and closure records.</x:v>
      </x:c>
      <x:c r="D2226" s="33" t="str">
        <x:v>Applicability=Optional; Remarks=P-4 entity-specific internal control; no independent statutory force. Activate the exact underlying legal requirement separately.</x:v>
      </x:c>
      <x:c r="E2226" s="33" t="str">
        <x:v>CORRECT / RECLASSIFY</x:v>
      </x:c>
      <x:c r="F2226" s="33" t="str">
        <x:v>Align requirements to corrected substantive provisions and applicability classifications.</x:v>
      </x:c>
      <x:c r="G2226" s="33" t="str">
        <x:v>P-4 official-source validation</x:v>
      </x:c>
      <x:c r="H222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26" s="33" t="str">
        <x:v>P-4</x:v>
      </x:c>
      <x:c r="J2226" s="33" t="str">
        <x:v>2026-08-20</x:v>
      </x:c>
      <x:c r="K2226" s="33" t="str">
        <x:v>Compliance IDs preserved; mandatory/conditional/optional status corrected.</x:v>
      </x:c>
    </x:row>
    <x:row r="2227">
      <x:c r="A2227" s="33" t="str">
        <x:v>ECOMP042</x:v>
      </x:c>
      <x:c r="B2227" s="33" t="str">
        <x:v>Compliance Requirement Master</x:v>
      </x:c>
      <x:c r="C2227" s="33" t="str">
        <x:v>Applicability=Mandatory; Remarks=Implementation Method: Seller due diligence programme. | Evidence indicator retained in Evidence Master: Seller verification records and review reports.</x:v>
      </x:c>
      <x:c r="D2227" s="33" t="str">
        <x:v>Applicability=Optional; Remarks=P-4 entity-specific internal control; no independent statutory force. Activate the exact underlying legal requirement separately.</x:v>
      </x:c>
      <x:c r="E2227" s="33" t="str">
        <x:v>CORRECT / RECLASSIFY</x:v>
      </x:c>
      <x:c r="F2227" s="33" t="str">
        <x:v>Align requirements to corrected substantive provisions and applicability classifications.</x:v>
      </x:c>
      <x:c r="G2227" s="33" t="str">
        <x:v>P-4 official-source validation</x:v>
      </x:c>
      <x:c r="H222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27" s="33" t="str">
        <x:v>P-4</x:v>
      </x:c>
      <x:c r="J2227" s="33" t="str">
        <x:v>2026-08-20</x:v>
      </x:c>
      <x:c r="K2227" s="33" t="str">
        <x:v>Compliance IDs preserved; mandatory/conditional/optional status corrected.</x:v>
      </x:c>
    </x:row>
    <x:row r="2228">
      <x:c r="A2228" s="33" t="str">
        <x:v>ECOMP043</x:v>
      </x:c>
      <x:c r="B2228" s="33" t="str">
        <x:v>Compliance Requirement Master</x:v>
      </x:c>
      <x:c r="C2228" s="33" t="str">
        <x:v>Applicability=Mandatory; Remarks=Implementation Method: Advertisement approval workflow. | Evidence indicator retained in Evidence Master: Advertisement approval records.</x:v>
      </x:c>
      <x:c r="D2228" s="33" t="str">
        <x:v>Applicability=Optional; Remarks=P-4 entity-specific internal control; no independent statutory force. Activate the exact underlying legal requirement separately.</x:v>
      </x:c>
      <x:c r="E2228" s="33" t="str">
        <x:v>CORRECT / RECLASSIFY</x:v>
      </x:c>
      <x:c r="F2228" s="33" t="str">
        <x:v>Align requirements to corrected substantive provisions and applicability classifications.</x:v>
      </x:c>
      <x:c r="G2228" s="33" t="str">
        <x:v>P-4 official-source validation</x:v>
      </x:c>
      <x:c r="H222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28" s="33" t="str">
        <x:v>P-4</x:v>
      </x:c>
      <x:c r="J2228" s="33" t="str">
        <x:v>2026-08-20</x:v>
      </x:c>
      <x:c r="K2228" s="33" t="str">
        <x:v>Compliance IDs preserved; mandatory/conditional/optional status corrected.</x:v>
      </x:c>
    </x:row>
    <x:row r="2229">
      <x:c r="A2229" s="33" t="str">
        <x:v>ECOMP044</x:v>
      </x:c>
      <x:c r="B2229" s="33" t="str">
        <x:v>Compliance Requirement Master</x:v>
      </x:c>
      <x:c r="C2229" s="33" t="str">
        <x:v>Applicability=Mandatory; Remarks=Implementation Method: Algorithm governance review. | Evidence indicator retained in Evidence Master: Algorithm review reports.</x:v>
      </x:c>
      <x:c r="D2229" s="33" t="str">
        <x:v>Applicability=Optional; Remarks=P-4 entity-specific internal control; no independent statutory force. Activate the exact underlying legal requirement separately.</x:v>
      </x:c>
      <x:c r="E2229" s="33" t="str">
        <x:v>CORRECT / RECLASSIFY</x:v>
      </x:c>
      <x:c r="F2229" s="33" t="str">
        <x:v>Align requirements to corrected substantive provisions and applicability classifications.</x:v>
      </x:c>
      <x:c r="G2229" s="33" t="str">
        <x:v>P-4 official-source validation</x:v>
      </x:c>
      <x:c r="H222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29" s="33" t="str">
        <x:v>P-4</x:v>
      </x:c>
      <x:c r="J2229" s="33" t="str">
        <x:v>2026-08-20</x:v>
      </x:c>
      <x:c r="K2229" s="33" t="str">
        <x:v>Compliance IDs preserved; mandatory/conditional/optional status corrected.</x:v>
      </x:c>
    </x:row>
    <x:row r="2230">
      <x:c r="A2230" s="33" t="str">
        <x:v>ECOMP045</x:v>
      </x:c>
      <x:c r="B2230" s="33" t="str">
        <x:v>Compliance Requirement Master</x:v>
      </x:c>
      <x:c r="C2230" s="33" t="str">
        <x:v>Applicability=Mandatory; Remarks=Implementation Method: Cancellation workflow with approval controls. | Evidence indicator retained in Evidence Master: Cancellation register and audit logs.</x:v>
      </x:c>
      <x:c r="D2230" s="33" t="str">
        <x:v>Applicability=Optional; Remarks=P-4 entity-specific internal control; no independent statutory force. Activate the exact underlying legal requirement separately.</x:v>
      </x:c>
      <x:c r="E2230" s="33" t="str">
        <x:v>CORRECT / RECLASSIFY</x:v>
      </x:c>
      <x:c r="F2230" s="33" t="str">
        <x:v>Align requirements to corrected substantive provisions and applicability classifications.</x:v>
      </x:c>
      <x:c r="G2230" s="33" t="str">
        <x:v>P-4 official-source validation</x:v>
      </x:c>
      <x:c r="H223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30" s="33" t="str">
        <x:v>P-4</x:v>
      </x:c>
      <x:c r="J2230" s="33" t="str">
        <x:v>2026-08-20</x:v>
      </x:c>
      <x:c r="K2230" s="33" t="str">
        <x:v>Compliance IDs preserved; mandatory/conditional/optional status corrected.</x:v>
      </x:c>
    </x:row>
    <x:row r="2231">
      <x:c r="A2231" s="33" t="str">
        <x:v>ECOMP046</x:v>
      </x:c>
      <x:c r="B2231" s="33" t="str">
        <x:v>Compliance Requirement Master</x:v>
      </x:c>
      <x:c r="C2231" s="33" t="str">
        <x:v>Applicability=Mandatory; Remarks=Implementation Method: Controlled returns workflow. | Evidence indicator retained in Evidence Master: Return inspection records and disposition reports.</x:v>
      </x:c>
      <x:c r="D2231" s="33" t="str">
        <x:v>Applicability=Optional; Remarks=P-4 entity-specific internal control; no independent statutory force. Activate the exact underlying legal requirement separately.</x:v>
      </x:c>
      <x:c r="E2231" s="33" t="str">
        <x:v>CORRECT / RECLASSIFY</x:v>
      </x:c>
      <x:c r="F2231" s="33" t="str">
        <x:v>Align requirements to corrected substantive provisions and applicability classifications.</x:v>
      </x:c>
      <x:c r="G2231" s="33" t="str">
        <x:v>P-4 official-source validation</x:v>
      </x:c>
      <x:c r="H223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31" s="33" t="str">
        <x:v>P-4</x:v>
      </x:c>
      <x:c r="J2231" s="33" t="str">
        <x:v>2026-08-20</x:v>
      </x:c>
      <x:c r="K2231" s="33" t="str">
        <x:v>Compliance IDs preserved; mandatory/conditional/optional status corrected.</x:v>
      </x:c>
    </x:row>
    <x:row r="2232">
      <x:c r="A2232" s="33" t="str">
        <x:v>ECOMP047</x:v>
      </x:c>
      <x:c r="B2232" s="33" t="str">
        <x:v>Compliance Requirement Master</x:v>
      </x:c>
      <x:c r="C2232" s="33" t="str">
        <x:v>Applicability=Mandatory; Remarks=Implementation Method: Failed delivery management process. | Evidence indicator retained in Evidence Master: Failed delivery reports and re-dispatch records.</x:v>
      </x:c>
      <x:c r="D2232" s="33" t="str">
        <x:v>Applicability=Optional; Remarks=P-4 entity-specific internal control; no independent statutory force. Activate the exact underlying legal requirement separately.</x:v>
      </x:c>
      <x:c r="E2232" s="33" t="str">
        <x:v>CORRECT / RECLASSIFY</x:v>
      </x:c>
      <x:c r="F2232" s="33" t="str">
        <x:v>Align requirements to corrected substantive provisions and applicability classifications.</x:v>
      </x:c>
      <x:c r="G2232" s="33" t="str">
        <x:v>P-4 official-source validation</x:v>
      </x:c>
      <x:c r="H223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32" s="33" t="str">
        <x:v>P-4</x:v>
      </x:c>
      <x:c r="J2232" s="33" t="str">
        <x:v>2026-08-20</x:v>
      </x:c>
      <x:c r="K2232" s="33" t="str">
        <x:v>Compliance IDs preserved; mandatory/conditional/optional status corrected.</x:v>
      </x:c>
    </x:row>
    <x:row r="2233">
      <x:c r="A2233" s="33" t="str">
        <x:v>ECOMP048</x:v>
      </x:c>
      <x:c r="B2233" s="33" t="str">
        <x:v>Compliance Requirement Master</x:v>
      </x:c>
      <x:c r="C2233" s="33" t="str">
        <x:v>Applicability=Mandatory; Remarks=Implementation Method: Content governance and approval process. | Evidence indicator retained in Evidence Master: Product content review reports.</x:v>
      </x:c>
      <x:c r="D2233" s="33" t="str">
        <x:v>Applicability=Optional; Remarks=P-4 entity-specific internal control; no independent statutory force. Activate the exact underlying legal requirement separately.</x:v>
      </x:c>
      <x:c r="E2233" s="33" t="str">
        <x:v>CORRECT / RECLASSIFY</x:v>
      </x:c>
      <x:c r="F2233" s="33" t="str">
        <x:v>Align requirements to corrected substantive provisions and applicability classifications.</x:v>
      </x:c>
      <x:c r="G2233" s="33" t="str">
        <x:v>P-4 official-source validation</x:v>
      </x:c>
      <x:c r="H223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33" s="33" t="str">
        <x:v>P-4</x:v>
      </x:c>
      <x:c r="J2233" s="33" t="str">
        <x:v>2026-08-20</x:v>
      </x:c>
      <x:c r="K2233" s="33" t="str">
        <x:v>Compliance IDs preserved; mandatory/conditional/optional status corrected.</x:v>
      </x:c>
    </x:row>
    <x:row r="2234">
      <x:c r="A2234" s="33" t="str">
        <x:v>ECOMP049</x:v>
      </x:c>
      <x:c r="B2234" s="33" t="str">
        <x:v>Compliance Requirement Master</x:v>
      </x:c>
      <x:c r="C2234" s="33" t="str">
        <x:v>Applicability=Mandatory; Remarks=Implementation Method: Centralized audit trail management. | Evidence indicator retained in Evidence Master: Audit trail repository and integrity reports.</x:v>
      </x:c>
      <x:c r="D2234" s="33" t="str">
        <x:v>Applicability=Optional; Remarks=P-4 entity-specific internal control; no independent statutory force. Activate the exact underlying legal requirement separately.</x:v>
      </x:c>
      <x:c r="E2234" s="33" t="str">
        <x:v>CORRECT / RECLASSIFY</x:v>
      </x:c>
      <x:c r="F2234" s="33" t="str">
        <x:v>Align requirements to corrected substantive provisions and applicability classifications.</x:v>
      </x:c>
      <x:c r="G2234" s="33" t="str">
        <x:v>P-4 official-source validation</x:v>
      </x:c>
      <x:c r="H223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34" s="33" t="str">
        <x:v>P-4</x:v>
      </x:c>
      <x:c r="J2234" s="33" t="str">
        <x:v>2026-08-20</x:v>
      </x:c>
      <x:c r="K2234" s="33" t="str">
        <x:v>Compliance IDs preserved; mandatory/conditional/optional status corrected.</x:v>
      </x:c>
    </x:row>
    <x:row r="2235">
      <x:c r="A2235" s="33" t="str">
        <x:v>ECOMP050</x:v>
      </x:c>
      <x:c r="B2235" s="33" t="str">
        <x:v>Compliance Requirement Master</x:v>
      </x:c>
      <x:c r="C2235" s="33" t="str">
        <x:v>Applicability=Mandatory; Remarks=Implementation Method: Executive governance review meetings. | Evidence indicator retained in Evidence Master: Executive review minutes, action tracker and compliance dashboard.</x:v>
      </x:c>
      <x:c r="D2235" s="33" t="str">
        <x:v>Applicability=Optional; Remarks=P-4 entity-specific internal control; no independent statutory force. Activate the exact underlying legal requirement separately.</x:v>
      </x:c>
      <x:c r="E2235" s="33" t="str">
        <x:v>CORRECT / RECLASSIFY</x:v>
      </x:c>
      <x:c r="F2235" s="33" t="str">
        <x:v>Align requirements to corrected substantive provisions and applicability classifications.</x:v>
      </x:c>
      <x:c r="G2235" s="33" t="str">
        <x:v>P-4 official-source validation</x:v>
      </x:c>
      <x:c r="H223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35" s="33" t="str">
        <x:v>P-4</x:v>
      </x:c>
      <x:c r="J2235" s="33" t="str">
        <x:v>2026-08-20</x:v>
      </x:c>
      <x:c r="K2235" s="33" t="str">
        <x:v>Compliance IDs preserved; mandatory/conditional/optional status corrected.</x:v>
      </x:c>
    </x:row>
    <x:row r="2236">
      <x:c r="A2236" s="33" t="str">
        <x:v>ICOMP001</x:v>
      </x:c>
      <x:c r="B2236" s="33" t="str">
        <x:v>Compliance Requirement Master</x:v>
      </x:c>
      <x:c r="C2236" s="33" t="str">
        <x:v>Applicability=Mandatory; Remarks=Implementation Method: Institutional authorization verification. | Evidence indicator retained in Evidence Master: Approved institutional authorization register.</x:v>
      </x:c>
      <x:c r="D2236" s="33" t="str">
        <x:v>Applicability=Optional; Remarks=P-4 entity-specific internal control; no independent statutory force. Activate the exact underlying legal requirement separately.</x:v>
      </x:c>
      <x:c r="E2236" s="33" t="str">
        <x:v>CORRECT / RECLASSIFY</x:v>
      </x:c>
      <x:c r="F2236" s="33" t="str">
        <x:v>Align requirements to corrected substantive provisions and applicability classifications.</x:v>
      </x:c>
      <x:c r="G2236" s="33" t="str">
        <x:v>P-4 official-source validation</x:v>
      </x:c>
      <x:c r="H223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36" s="33" t="str">
        <x:v>P-4</x:v>
      </x:c>
      <x:c r="J2236" s="33" t="str">
        <x:v>2026-08-20</x:v>
      </x:c>
      <x:c r="K2236" s="33" t="str">
        <x:v>Compliance IDs preserved; mandatory/conditional/optional status corrected.</x:v>
      </x:c>
    </x:row>
    <x:row r="2237">
      <x:c r="A2237" s="33" t="str">
        <x:v>ICOMP002</x:v>
      </x:c>
      <x:c r="B2237" s="33" t="str">
        <x:v>Compliance Requirement Master</x:v>
      </x:c>
      <x:c r="C2237" s="33" t="str">
        <x:v>Applicability=Mandatory; Remarks=Implementation Method: Electronic/manual requisition approval workflow. | Evidence indicator retained in Evidence Master: Approved requisition records.</x:v>
      </x:c>
      <x:c r="D2237" s="33" t="str">
        <x:v>Applicability=Optional; Remarks=P-4 entity-specific internal control; no independent statutory force. Activate the exact underlying legal requirement separately.</x:v>
      </x:c>
      <x:c r="E2237" s="33" t="str">
        <x:v>CORRECT / RECLASSIFY</x:v>
      </x:c>
      <x:c r="F2237" s="33" t="str">
        <x:v>Align requirements to corrected substantive provisions and applicability classifications.</x:v>
      </x:c>
      <x:c r="G2237" s="33" t="str">
        <x:v>P-4 official-source validation</x:v>
      </x:c>
      <x:c r="H223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37" s="33" t="str">
        <x:v>P-4</x:v>
      </x:c>
      <x:c r="J2237" s="33" t="str">
        <x:v>2026-08-20</x:v>
      </x:c>
      <x:c r="K2237" s="33" t="str">
        <x:v>Compliance IDs preserved; mandatory/conditional/optional status corrected.</x:v>
      </x:c>
    </x:row>
    <x:row r="2238">
      <x:c r="A2238" s="33" t="str">
        <x:v>ICOMP003</x:v>
      </x:c>
      <x:c r="B2238" s="33" t="str">
        <x:v>Compliance Requirement Master</x:v>
      </x:c>
      <x:c r="C2238" s="33" t="str">
        <x:v>Applicability=Mandatory; Remarks=Implementation Method: Department-wise issue tracking. | Evidence indicator retained in Evidence Master: Department issue register and batch records.</x:v>
      </x:c>
      <x:c r="D2238" s="33" t="str">
        <x:v>Applicability=Optional; Remarks=P-4 entity-specific internal control; no independent statutory force. Activate the exact underlying legal requirement separately.</x:v>
      </x:c>
      <x:c r="E2238" s="33" t="str">
        <x:v>CORRECT / RECLASSIFY</x:v>
      </x:c>
      <x:c r="F2238" s="33" t="str">
        <x:v>Align requirements to corrected substantive provisions and applicability classifications.</x:v>
      </x:c>
      <x:c r="G2238" s="33" t="str">
        <x:v>P-4 official-source validation</x:v>
      </x:c>
      <x:c r="H223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38" s="33" t="str">
        <x:v>P-4</x:v>
      </x:c>
      <x:c r="J2238" s="33" t="str">
        <x:v>2026-08-20</x:v>
      </x:c>
      <x:c r="K2238" s="33" t="str">
        <x:v>Compliance IDs preserved; mandatory/conditional/optional status corrected.</x:v>
      </x:c>
    </x:row>
    <x:row r="2239">
      <x:c r="A2239" s="33" t="str">
        <x:v>ICOMP004</x:v>
      </x:c>
      <x:c r="B2239" s="33" t="str">
        <x:v>Compliance Requirement Master</x:v>
      </x:c>
      <x:c r="C2239" s="33" t="str">
        <x:v>Applicability=Mandatory; Remarks=Implementation Method: Physical and system reconciliation. | Evidence indicator retained in Evidence Master: Reconciliation reports.</x:v>
      </x:c>
      <x:c r="D2239" s="33" t="str">
        <x:v>Applicability=Optional; Remarks=P-4 entity-specific internal control; no independent statutory force. Activate the exact underlying legal requirement separately.</x:v>
      </x:c>
      <x:c r="E2239" s="33" t="str">
        <x:v>CORRECT / RECLASSIFY</x:v>
      </x:c>
      <x:c r="F2239" s="33" t="str">
        <x:v>Align requirements to corrected substantive provisions and applicability classifications.</x:v>
      </x:c>
      <x:c r="G2239" s="33" t="str">
        <x:v>P-4 official-source validation</x:v>
      </x:c>
      <x:c r="H223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39" s="33" t="str">
        <x:v>P-4</x:v>
      </x:c>
      <x:c r="J2239" s="33" t="str">
        <x:v>2026-08-20</x:v>
      </x:c>
      <x:c r="K2239" s="33" t="str">
        <x:v>Compliance IDs preserved; mandatory/conditional/optional status corrected.</x:v>
      </x:c>
    </x:row>
    <x:row r="2240">
      <x:c r="A2240" s="33" t="str">
        <x:v>ICOMP005</x:v>
      </x:c>
      <x:c r="B2240" s="33" t="str">
        <x:v>Compliance Requirement Master</x:v>
      </x:c>
      <x:c r="C2240" s="33" t="str">
        <x:v>Applicability=Mandatory; Remarks=Implementation Method: Return inspection procedure. | Evidence indicator retained in Evidence Master: Return inspection records.</x:v>
      </x:c>
      <x:c r="D2240" s="33" t="str">
        <x:v>Applicability=Optional; Remarks=P-4 entity-specific internal control; no independent statutory force. Activate the exact underlying legal requirement separately.</x:v>
      </x:c>
      <x:c r="E2240" s="33" t="str">
        <x:v>CORRECT / RECLASSIFY</x:v>
      </x:c>
      <x:c r="F2240" s="33" t="str">
        <x:v>Align requirements to corrected substantive provisions and applicability classifications.</x:v>
      </x:c>
      <x:c r="G2240" s="33" t="str">
        <x:v>P-4 official-source validation</x:v>
      </x:c>
      <x:c r="H224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40" s="33" t="str">
        <x:v>P-4</x:v>
      </x:c>
      <x:c r="J2240" s="33" t="str">
        <x:v>2026-08-20</x:v>
      </x:c>
      <x:c r="K2240" s="33" t="str">
        <x:v>Compliance IDs preserved; mandatory/conditional/optional status corrected.</x:v>
      </x:c>
    </x:row>
    <x:row r="2241">
      <x:c r="A2241" s="33" t="str">
        <x:v>ICOMP006</x:v>
      </x:c>
      <x:c r="B2241" s="33" t="str">
        <x:v>Compliance Requirement Master</x:v>
      </x:c>
      <x:c r="C2241" s="33" t="str">
        <x:v>Applicability=Mandatory; Remarks=Implementation Method: Emergency stock verification. | Evidence indicator retained in Evidence Master: Emergency stock checklist.</x:v>
      </x:c>
      <x:c r="D2241" s="33" t="str">
        <x:v>Applicability=Optional; Remarks=P-4 entity-specific internal control; no independent statutory force. Activate the exact underlying legal requirement separately.</x:v>
      </x:c>
      <x:c r="E2241" s="33" t="str">
        <x:v>CORRECT / RECLASSIFY</x:v>
      </x:c>
      <x:c r="F2241" s="33" t="str">
        <x:v>Align requirements to corrected substantive provisions and applicability classifications.</x:v>
      </x:c>
      <x:c r="G2241" s="33" t="str">
        <x:v>P-4 official-source validation</x:v>
      </x:c>
      <x:c r="H224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41" s="33" t="str">
        <x:v>P-4</x:v>
      </x:c>
      <x:c r="J2241" s="33" t="str">
        <x:v>2026-08-20</x:v>
      </x:c>
      <x:c r="K2241" s="33" t="str">
        <x:v>Compliance IDs preserved; mandatory/conditional/optional status corrected.</x:v>
      </x:c>
    </x:row>
    <x:row r="2242">
      <x:c r="A2242" s="33" t="str">
        <x:v>ICOMP007</x:v>
      </x:c>
      <x:c r="B2242" s="33" t="str">
        <x:v>Compliance Requirement Master</x:v>
      </x:c>
      <x:c r="C2242" s="33" t="str">
        <x:v>Applicability=Mandatory; Remarks=Implementation Method: Controlled medicine reconciliation process. | Evidence indicator retained in Evidence Master: Controlled medicine register.</x:v>
      </x:c>
      <x:c r="D2242" s="33" t="str">
        <x:v>Applicability=Optional; Remarks=P-4 entity-specific internal control; no independent statutory force. Activate the exact underlying legal requirement separately.</x:v>
      </x:c>
      <x:c r="E2242" s="33" t="str">
        <x:v>CORRECT / RECLASSIFY</x:v>
      </x:c>
      <x:c r="F2242" s="33" t="str">
        <x:v>Align requirements to corrected substantive provisions and applicability classifications.</x:v>
      </x:c>
      <x:c r="G2242" s="33" t="str">
        <x:v>P-4 official-source validation</x:v>
      </x:c>
      <x:c r="H224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42" s="33" t="str">
        <x:v>P-4</x:v>
      </x:c>
      <x:c r="J2242" s="33" t="str">
        <x:v>2026-08-20</x:v>
      </x:c>
      <x:c r="K2242" s="33" t="str">
        <x:v>Compliance IDs preserved; mandatory/conditional/optional status corrected.</x:v>
      </x:c>
    </x:row>
    <x:row r="2243">
      <x:c r="A2243" s="33" t="str">
        <x:v>ICOMP008</x:v>
      </x:c>
      <x:c r="B2243" s="33" t="str">
        <x:v>Compliance Requirement Master</x:v>
      </x:c>
      <x:c r="C2243" s="33" t="str">
        <x:v>Applicability=Mandatory; Remarks=Implementation Method: Contract governance process. | Evidence indicator retained in Evidence Master: Executed agreements and review records.</x:v>
      </x:c>
      <x:c r="D2243" s="33" t="str">
        <x:v>Applicability=Optional; Remarks=P-4 entity-specific internal control; no independent statutory force. Activate the exact underlying legal requirement separately.</x:v>
      </x:c>
      <x:c r="E2243" s="33" t="str">
        <x:v>CORRECT / RECLASSIFY</x:v>
      </x:c>
      <x:c r="F2243" s="33" t="str">
        <x:v>Align requirements to corrected substantive provisions and applicability classifications.</x:v>
      </x:c>
      <x:c r="G2243" s="33" t="str">
        <x:v>P-4 official-source validation</x:v>
      </x:c>
      <x:c r="H224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43" s="33" t="str">
        <x:v>P-4</x:v>
      </x:c>
      <x:c r="J2243" s="33" t="str">
        <x:v>2026-08-20</x:v>
      </x:c>
      <x:c r="K2243" s="33" t="str">
        <x:v>Compliance IDs preserved; mandatory/conditional/optional status corrected.</x:v>
      </x:c>
    </x:row>
    <x:row r="2244">
      <x:c r="A2244" s="33" t="str">
        <x:v>ICOMP009</x:v>
      </x:c>
      <x:c r="B2244" s="33" t="str">
        <x:v>Compliance Requirement Master</x:v>
      </x:c>
      <x:c r="C2244" s="33" t="str">
        <x:v>Applicability=Mandatory; Remarks=Implementation Method: Compliance checklist and review programme. | Evidence indicator retained in Evidence Master: Compliance review reports.</x:v>
      </x:c>
      <x:c r="D2244" s="33" t="str">
        <x:v>Applicability=Optional; Remarks=P-4 entity-specific internal control; no independent statutory force. Activate the exact underlying legal requirement separately.</x:v>
      </x:c>
      <x:c r="E2244" s="33" t="str">
        <x:v>CORRECT / RECLASSIFY</x:v>
      </x:c>
      <x:c r="F2244" s="33" t="str">
        <x:v>Align requirements to corrected substantive provisions and applicability classifications.</x:v>
      </x:c>
      <x:c r="G2244" s="33" t="str">
        <x:v>P-4 official-source validation</x:v>
      </x:c>
      <x:c r="H224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44" s="33" t="str">
        <x:v>P-4</x:v>
      </x:c>
      <x:c r="J2244" s="33" t="str">
        <x:v>2026-08-20</x:v>
      </x:c>
      <x:c r="K2244" s="33" t="str">
        <x:v>Compliance IDs preserved; mandatory/conditional/optional status corrected.</x:v>
      </x:c>
    </x:row>
    <x:row r="2245">
      <x:c r="A2245" s="33" t="str">
        <x:v>ICOMP010</x:v>
      </x:c>
      <x:c r="B2245" s="33" t="str">
        <x:v>Compliance Requirement Master</x:v>
      </x:c>
      <x:c r="C2245" s="33" t="str">
        <x:v>Applicability=Mandatory; Remarks=Implementation Method: Governance review meetings. | Evidence indicator retained in Evidence Master: Governance meeting minutes.</x:v>
      </x:c>
      <x:c r="D2245" s="33" t="str">
        <x:v>Applicability=Optional; Remarks=P-4 entity-specific internal control; no independent statutory force. Activate the exact underlying legal requirement separately.</x:v>
      </x:c>
      <x:c r="E2245" s="33" t="str">
        <x:v>CORRECT / RECLASSIFY</x:v>
      </x:c>
      <x:c r="F2245" s="33" t="str">
        <x:v>Align requirements to corrected substantive provisions and applicability classifications.</x:v>
      </x:c>
      <x:c r="G2245" s="33" t="str">
        <x:v>P-4 official-source validation</x:v>
      </x:c>
      <x:c r="H224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45" s="33" t="str">
        <x:v>P-4</x:v>
      </x:c>
      <x:c r="J2245" s="33" t="str">
        <x:v>2026-08-20</x:v>
      </x:c>
      <x:c r="K2245" s="33" t="str">
        <x:v>Compliance IDs preserved; mandatory/conditional/optional status corrected.</x:v>
      </x:c>
    </x:row>
    <x:row r="2246">
      <x:c r="A2246" s="33" t="str">
        <x:v>ICOMP011</x:v>
      </x:c>
      <x:c r="B2246" s="33" t="str">
        <x:v>Compliance Requirement Master</x:v>
      </x:c>
      <x:c r="C2246" s="33" t="str">
        <x:v>Applicability=Mandatory; Remarks=Implementation Method: Recall management procedure. | Evidence indicator retained in Evidence Master: Recall execution reports.</x:v>
      </x:c>
      <x:c r="D2246" s="33" t="str">
        <x:v>Applicability=Optional; Remarks=P-4 entity-specific internal control; no independent statutory force. Activate the exact underlying legal requirement separately.</x:v>
      </x:c>
      <x:c r="E2246" s="33" t="str">
        <x:v>CORRECT / RECLASSIFY</x:v>
      </x:c>
      <x:c r="F2246" s="33" t="str">
        <x:v>Align requirements to corrected substantive provisions and applicability classifications.</x:v>
      </x:c>
      <x:c r="G2246" s="33" t="str">
        <x:v>P-4 official-source validation</x:v>
      </x:c>
      <x:c r="H224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46" s="33" t="str">
        <x:v>P-4</x:v>
      </x:c>
      <x:c r="J2246" s="33" t="str">
        <x:v>2026-08-20</x:v>
      </x:c>
      <x:c r="K2246" s="33" t="str">
        <x:v>Compliance IDs preserved; mandatory/conditional/optional status corrected.</x:v>
      </x:c>
    </x:row>
    <x:row r="2247">
      <x:c r="A2247" s="33" t="str">
        <x:v>ICOMP012</x:v>
      </x:c>
      <x:c r="B2247" s="33" t="str">
        <x:v>Compliance Requirement Master</x:v>
      </x:c>
      <x:c r="C2247" s="33" t="str">
        <x:v>Applicability=Mandatory; Remarks=Implementation Method: Formulary verification process. | Evidence indicator retained in Evidence Master: Formulary compliance records.</x:v>
      </x:c>
      <x:c r="D2247" s="33" t="str">
        <x:v>Applicability=Optional; Remarks=P-4 entity-specific internal control; no independent statutory force. Activate the exact underlying legal requirement separately.</x:v>
      </x:c>
      <x:c r="E2247" s="33" t="str">
        <x:v>CORRECT / RECLASSIFY</x:v>
      </x:c>
      <x:c r="F2247" s="33" t="str">
        <x:v>Align requirements to corrected substantive provisions and applicability classifications.</x:v>
      </x:c>
      <x:c r="G2247" s="33" t="str">
        <x:v>P-4 official-source validation</x:v>
      </x:c>
      <x:c r="H224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47" s="33" t="str">
        <x:v>P-4</x:v>
      </x:c>
      <x:c r="J2247" s="33" t="str">
        <x:v>2026-08-20</x:v>
      </x:c>
      <x:c r="K2247" s="33" t="str">
        <x:v>Compliance IDs preserved; mandatory/conditional/optional status corrected.</x:v>
      </x:c>
    </x:row>
    <x:row r="2248">
      <x:c r="A2248" s="33" t="str">
        <x:v>ICOMP013</x:v>
      </x:c>
      <x:c r="B2248" s="33" t="str">
        <x:v>Compliance Requirement Master</x:v>
      </x:c>
      <x:c r="C2248" s="33" t="str">
        <x:v>Applicability=Mandatory; Remarks=Implementation Method: Transfer authorization workflow. | Evidence indicator retained in Evidence Master: Transfer register.</x:v>
      </x:c>
      <x:c r="D2248" s="33" t="str">
        <x:v>Applicability=Optional; Remarks=P-4 entity-specific internal control; no independent statutory force. Activate the exact underlying legal requirement separately.</x:v>
      </x:c>
      <x:c r="E2248" s="33" t="str">
        <x:v>CORRECT / RECLASSIFY</x:v>
      </x:c>
      <x:c r="F2248" s="33" t="str">
        <x:v>Align requirements to corrected substantive provisions and applicability classifications.</x:v>
      </x:c>
      <x:c r="G2248" s="33" t="str">
        <x:v>P-4 official-source validation</x:v>
      </x:c>
      <x:c r="H224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48" s="33" t="str">
        <x:v>P-4</x:v>
      </x:c>
      <x:c r="J2248" s="33" t="str">
        <x:v>2026-08-20</x:v>
      </x:c>
      <x:c r="K2248" s="33" t="str">
        <x:v>Compliance IDs preserved; mandatory/conditional/optional status corrected.</x:v>
      </x:c>
    </x:row>
    <x:row r="2249">
      <x:c r="A2249" s="33" t="str">
        <x:v>ICOMP014</x:v>
      </x:c>
      <x:c r="B2249" s="33" t="str">
        <x:v>Compliance Requirement Master</x:v>
      </x:c>
      <x:c r="C2249" s="33" t="str">
        <x:v>Applicability=Mandatory; Remarks=Implementation Method: Near-expiry monitoring programme. | Evidence indicator retained in Evidence Master: Near-expiry tracking reports.</x:v>
      </x:c>
      <x:c r="D2249" s="33" t="str">
        <x:v>Applicability=Optional; Remarks=P-4 entity-specific internal control; no independent statutory force. Activate the exact underlying legal requirement separately.</x:v>
      </x:c>
      <x:c r="E2249" s="33" t="str">
        <x:v>CORRECT / RECLASSIFY</x:v>
      </x:c>
      <x:c r="F2249" s="33" t="str">
        <x:v>Align requirements to corrected substantive provisions and applicability classifications.</x:v>
      </x:c>
      <x:c r="G2249" s="33" t="str">
        <x:v>P-4 official-source validation</x:v>
      </x:c>
      <x:c r="H224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49" s="33" t="str">
        <x:v>P-4</x:v>
      </x:c>
      <x:c r="J2249" s="33" t="str">
        <x:v>2026-08-20</x:v>
      </x:c>
      <x:c r="K2249" s="33" t="str">
        <x:v>Compliance IDs preserved; mandatory/conditional/optional status corrected.</x:v>
      </x:c>
    </x:row>
    <x:row r="2250">
      <x:c r="A2250" s="33" t="str">
        <x:v>ICOMP015</x:v>
      </x:c>
      <x:c r="B2250" s="33" t="str">
        <x:v>Compliance Requirement Master</x:v>
      </x:c>
      <x:c r="C2250" s="33" t="str">
        <x:v>Applicability=Mandatory; Remarks=Implementation Method: Vendor evaluation programme. | Evidence indicator retained in Evidence Master: Vendor evaluation reports.</x:v>
      </x:c>
      <x:c r="D2250" s="33" t="str">
        <x:v>Applicability=Optional; Remarks=P-4 entity-specific internal control; no independent statutory force. Activate the exact underlying legal requirement separately.</x:v>
      </x:c>
      <x:c r="E2250" s="33" t="str">
        <x:v>CORRECT / RECLASSIFY</x:v>
      </x:c>
      <x:c r="F2250" s="33" t="str">
        <x:v>Align requirements to corrected substantive provisions and applicability classifications.</x:v>
      </x:c>
      <x:c r="G2250" s="33" t="str">
        <x:v>P-4 official-source validation</x:v>
      </x:c>
      <x:c r="H225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50" s="33" t="str">
        <x:v>P-4</x:v>
      </x:c>
      <x:c r="J2250" s="33" t="str">
        <x:v>2026-08-20</x:v>
      </x:c>
      <x:c r="K2250" s="33" t="str">
        <x:v>Compliance IDs preserved; mandatory/conditional/optional status corrected.</x:v>
      </x:c>
    </x:row>
    <x:row r="2251">
      <x:c r="A2251" s="33" t="str">
        <x:v>ICOMP016</x:v>
      </x:c>
      <x:c r="B2251" s="33" t="str">
        <x:v>Compliance Requirement Master</x:v>
      </x:c>
      <x:c r="C2251" s="33" t="str">
        <x:v>Applicability=Mandatory; Remarks=Implementation Method: Emergency preparedness drills. | Evidence indicator retained in Evidence Master: Emergency drill reports.</x:v>
      </x:c>
      <x:c r="D2251" s="33" t="str">
        <x:v>Applicability=Optional; Remarks=P-4 entity-specific internal control; no independent statutory force. Activate the exact underlying legal requirement separately.</x:v>
      </x:c>
      <x:c r="E2251" s="33" t="str">
        <x:v>CORRECT / RECLASSIFY</x:v>
      </x:c>
      <x:c r="F2251" s="33" t="str">
        <x:v>Align requirements to corrected substantive provisions and applicability classifications.</x:v>
      </x:c>
      <x:c r="G2251" s="33" t="str">
        <x:v>P-4 official-source validation</x:v>
      </x:c>
      <x:c r="H225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51" s="33" t="str">
        <x:v>P-4</x:v>
      </x:c>
      <x:c r="J2251" s="33" t="str">
        <x:v>2026-08-20</x:v>
      </x:c>
      <x:c r="K2251" s="33" t="str">
        <x:v>Compliance IDs preserved; mandatory/conditional/optional status corrected.</x:v>
      </x:c>
    </x:row>
    <x:row r="2252">
      <x:c r="A2252" s="33" t="str">
        <x:v>ICOMP017</x:v>
      </x:c>
      <x:c r="B2252" s="33" t="str">
        <x:v>Compliance Requirement Master</x:v>
      </x:c>
      <x:c r="C2252" s="33" t="str">
        <x:v>Applicability=Mandatory; Remarks=Implementation Method: Compliance reporting framework. | Evidence indicator retained in Evidence Master: Compliance reports.</x:v>
      </x:c>
      <x:c r="D2252" s="33" t="str">
        <x:v>Applicability=Optional; Remarks=P-4 entity-specific internal control; no independent statutory force. Activate the exact underlying legal requirement separately.</x:v>
      </x:c>
      <x:c r="E2252" s="33" t="str">
        <x:v>CORRECT / RECLASSIFY</x:v>
      </x:c>
      <x:c r="F2252" s="33" t="str">
        <x:v>Align requirements to corrected substantive provisions and applicability classifications.</x:v>
      </x:c>
      <x:c r="G2252" s="33" t="str">
        <x:v>P-4 official-source validation</x:v>
      </x:c>
      <x:c r="H225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52" s="33" t="str">
        <x:v>P-4</x:v>
      </x:c>
      <x:c r="J2252" s="33" t="str">
        <x:v>2026-08-20</x:v>
      </x:c>
      <x:c r="K2252" s="33" t="str">
        <x:v>Compliance IDs preserved; mandatory/conditional/optional status corrected.</x:v>
      </x:c>
    </x:row>
    <x:row r="2253">
      <x:c r="A2253" s="33" t="str">
        <x:v>ICOMP018</x:v>
      </x:c>
      <x:c r="B2253" s="33" t="str">
        <x:v>Compliance Requirement Master</x:v>
      </x:c>
      <x:c r="C2253" s="33" t="str">
        <x:v>Applicability=Mandatory; Remarks=Implementation Method: Competency assessment programme. | Evidence indicator retained in Evidence Master: Competency matrix and training records.</x:v>
      </x:c>
      <x:c r="D2253" s="33" t="str">
        <x:v>Applicability=Optional; Remarks=P-4 entity-specific internal control; no independent statutory force. Activate the exact underlying legal requirement separately.</x:v>
      </x:c>
      <x:c r="E2253" s="33" t="str">
        <x:v>CORRECT / RECLASSIFY</x:v>
      </x:c>
      <x:c r="F2253" s="33" t="str">
        <x:v>Align requirements to corrected substantive provisions and applicability classifications.</x:v>
      </x:c>
      <x:c r="G2253" s="33" t="str">
        <x:v>P-4 official-source validation</x:v>
      </x:c>
      <x:c r="H225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53" s="33" t="str">
        <x:v>P-4</x:v>
      </x:c>
      <x:c r="J2253" s="33" t="str">
        <x:v>2026-08-20</x:v>
      </x:c>
      <x:c r="K2253" s="33" t="str">
        <x:v>Compliance IDs preserved; mandatory/conditional/optional status corrected.</x:v>
      </x:c>
    </x:row>
    <x:row r="2254">
      <x:c r="A2254" s="33" t="str">
        <x:v>ICOMP019</x:v>
      </x:c>
      <x:c r="B2254" s="33" t="str">
        <x:v>Compliance Requirement Master</x:v>
      </x:c>
      <x:c r="C2254" s="33" t="str">
        <x:v>Applicability=Mandatory; Remarks=Implementation Method: Internal QA review programme. | Evidence indicator retained in Evidence Master: QA review reports and CAPA records.</x:v>
      </x:c>
      <x:c r="D2254" s="33" t="str">
        <x:v>Applicability=Optional; Remarks=P-4 entity-specific internal control; no independent statutory force. Activate the exact underlying legal requirement separately.</x:v>
      </x:c>
      <x:c r="E2254" s="33" t="str">
        <x:v>CORRECT / RECLASSIFY</x:v>
      </x:c>
      <x:c r="F2254" s="33" t="str">
        <x:v>Align requirements to corrected substantive provisions and applicability classifications.</x:v>
      </x:c>
      <x:c r="G2254" s="33" t="str">
        <x:v>P-4 official-source validation</x:v>
      </x:c>
      <x:c r="H225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54" s="33" t="str">
        <x:v>P-4</x:v>
      </x:c>
      <x:c r="J2254" s="33" t="str">
        <x:v>2026-08-20</x:v>
      </x:c>
      <x:c r="K2254" s="33" t="str">
        <x:v>Compliance IDs preserved; mandatory/conditional/optional status corrected.</x:v>
      </x:c>
    </x:row>
    <x:row r="2255">
      <x:c r="A2255" s="33" t="str">
        <x:v>ICOMP020</x:v>
      </x:c>
      <x:c r="B2255" s="33" t="str">
        <x:v>Compliance Requirement Master</x:v>
      </x:c>
      <x:c r="C2255" s="33" t="str">
        <x:v>Applicability=Mandatory; Remarks=Implementation Method: Compliance maturity assessment methodology. | Evidence indicator retained in Evidence Master: Maturity assessment report and improvement plan.</x:v>
      </x:c>
      <x:c r="D2255" s="33" t="str">
        <x:v>Applicability=Optional; Remarks=P-4 entity-specific internal control; no independent statutory force. Activate the exact underlying legal requirement separately.</x:v>
      </x:c>
      <x:c r="E2255" s="33" t="str">
        <x:v>CORRECT / RECLASSIFY</x:v>
      </x:c>
      <x:c r="F2255" s="33" t="str">
        <x:v>Align requirements to corrected substantive provisions and applicability classifications.</x:v>
      </x:c>
      <x:c r="G2255" s="33" t="str">
        <x:v>P-4 official-source validation</x:v>
      </x:c>
      <x:c r="H225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55" s="33" t="str">
        <x:v>P-4</x:v>
      </x:c>
      <x:c r="J2255" s="33" t="str">
        <x:v>2026-08-20</x:v>
      </x:c>
      <x:c r="K2255" s="33" t="str">
        <x:v>Compliance IDs preserved; mandatory/conditional/optional status corrected.</x:v>
      </x:c>
    </x:row>
    <x:row r="2256">
      <x:c r="A2256" s="33" t="str">
        <x:v>SCOMP001</x:v>
      </x:c>
      <x:c r="B2256" s="33" t="str">
        <x:v>Compliance Requirement Master</x:v>
      </x:c>
      <x:c r="C2256" s="33" t="str">
        <x:v>Applicability=Mandatory; Remarks=Implementation Method: SOP compliance and PPE verification. | Evidence indicator retained in Evidence Master: Hazardous medicine handling logs and training records.</x:v>
      </x:c>
      <x:c r="D2256" s="33" t="str">
        <x:v>Applicability=Optional; Remarks=P-4 entity-specific internal control; no independent statutory force. Activate the exact underlying legal requirement separately.</x:v>
      </x:c>
      <x:c r="E2256" s="33" t="str">
        <x:v>CORRECT / RECLASSIFY</x:v>
      </x:c>
      <x:c r="F2256" s="33" t="str">
        <x:v>Align requirements to corrected substantive provisions and applicability classifications.</x:v>
      </x:c>
      <x:c r="G2256" s="33" t="str">
        <x:v>P-4 official-source validation</x:v>
      </x:c>
      <x:c r="H225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56" s="33" t="str">
        <x:v>P-4</x:v>
      </x:c>
      <x:c r="J2256" s="33" t="str">
        <x:v>2026-08-20</x:v>
      </x:c>
      <x:c r="K2256" s="33" t="str">
        <x:v>Compliance IDs preserved; mandatory/conditional/optional status corrected.</x:v>
      </x:c>
    </x:row>
    <x:row r="2257">
      <x:c r="A2257" s="33" t="str">
        <x:v>SCOMP002</x:v>
      </x:c>
      <x:c r="B2257" s="33" t="str">
        <x:v>Compliance Requirement Master</x:v>
      </x:c>
      <x:c r="C2257" s="33" t="str">
        <x:v>Applicability=Mandatory; Remarks=Implementation Method: Hazardous storage inspections. | Evidence indicator retained in Evidence Master: Hazardous storage inspection reports.</x:v>
      </x:c>
      <x:c r="D2257" s="33" t="str">
        <x:v>Applicability=Optional; Remarks=P-4 entity-specific internal control; no independent statutory force. Activate the exact underlying legal requirement separately.</x:v>
      </x:c>
      <x:c r="E2257" s="33" t="str">
        <x:v>CORRECT / RECLASSIFY</x:v>
      </x:c>
      <x:c r="F2257" s="33" t="str">
        <x:v>Align requirements to corrected substantive provisions and applicability classifications.</x:v>
      </x:c>
      <x:c r="G2257" s="33" t="str">
        <x:v>P-4 official-source validation</x:v>
      </x:c>
      <x:c r="H225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57" s="33" t="str">
        <x:v>P-4</x:v>
      </x:c>
      <x:c r="J2257" s="33" t="str">
        <x:v>2026-08-20</x:v>
      </x:c>
      <x:c r="K2257" s="33" t="str">
        <x:v>Compliance IDs preserved; mandatory/conditional/optional status corrected.</x:v>
      </x:c>
    </x:row>
    <x:row r="2258">
      <x:c r="A2258" s="33" t="str">
        <x:v>SCOMP003</x:v>
      </x:c>
      <x:c r="B2258" s="33" t="str">
        <x:v>Compliance Requirement Master</x:v>
      </x:c>
      <x:c r="C2258" s="33" t="str">
        <x:v>Applicability=Mandatory; Remarks=Implementation Method: Qualification protocol and monitoring review. | Evidence indicator retained in Evidence Master: Cold-chain qualification reports.</x:v>
      </x:c>
      <x:c r="D2258" s="33" t="str">
        <x:v>Applicability=Optional; Remarks=P-4 entity-specific internal control; no independent statutory force. Activate the exact underlying legal requirement separately.</x:v>
      </x:c>
      <x:c r="E2258" s="33" t="str">
        <x:v>CORRECT / RECLASSIFY</x:v>
      </x:c>
      <x:c r="F2258" s="33" t="str">
        <x:v>Align requirements to corrected substantive provisions and applicability classifications.</x:v>
      </x:c>
      <x:c r="G2258" s="33" t="str">
        <x:v>P-4 official-source validation</x:v>
      </x:c>
      <x:c r="H225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58" s="33" t="str">
        <x:v>P-4</x:v>
      </x:c>
      <x:c r="J2258" s="33" t="str">
        <x:v>2026-08-20</x:v>
      </x:c>
      <x:c r="K2258" s="33" t="str">
        <x:v>Compliance IDs preserved; mandatory/conditional/optional status corrected.</x:v>
      </x:c>
    </x:row>
    <x:row r="2259">
      <x:c r="A2259" s="33" t="str">
        <x:v>SCOMP004</x:v>
      </x:c>
      <x:c r="B2259" s="33" t="str">
        <x:v>Compliance Requirement Master</x:v>
      </x:c>
      <x:c r="C2259" s="33" t="str">
        <x:v>Applicability=Mandatory; Remarks=Implementation Method: Independent inventory reconciliation. | Evidence indicator retained in Evidence Master: Controlled medicine reconciliation reports.</x:v>
      </x:c>
      <x:c r="D2259" s="33" t="str">
        <x:v>Applicability=Optional; Remarks=P-4 entity-specific internal control; no independent statutory force. Activate the exact underlying legal requirement separately.</x:v>
      </x:c>
      <x:c r="E2259" s="33" t="str">
        <x:v>CORRECT / RECLASSIFY</x:v>
      </x:c>
      <x:c r="F2259" s="33" t="str">
        <x:v>Align requirements to corrected substantive provisions and applicability classifications.</x:v>
      </x:c>
      <x:c r="G2259" s="33" t="str">
        <x:v>P-4 official-source validation</x:v>
      </x:c>
      <x:c r="H225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59" s="33" t="str">
        <x:v>P-4</x:v>
      </x:c>
      <x:c r="J2259" s="33" t="str">
        <x:v>2026-08-20</x:v>
      </x:c>
      <x:c r="K2259" s="33" t="str">
        <x:v>Compliance IDs preserved; mandatory/conditional/optional status corrected.</x:v>
      </x:c>
    </x:row>
    <x:row r="2260">
      <x:c r="A2260" s="33" t="str">
        <x:v>SCOMP005</x:v>
      </x:c>
      <x:c r="B2260" s="33" t="str">
        <x:v>Compliance Requirement Master</x:v>
      </x:c>
      <x:c r="C2260" s="33" t="str">
        <x:v>Applicability=Mandatory; Remarks=Implementation Method: Dual verification procedure. | Evidence indicator retained in Evidence Master: Independent verification records.</x:v>
      </x:c>
      <x:c r="D2260" s="33" t="str">
        <x:v>Applicability=Optional; Remarks=P-4 entity-specific internal control; no independent statutory force. Activate the exact underlying legal requirement separately.</x:v>
      </x:c>
      <x:c r="E2260" s="33" t="str">
        <x:v>CORRECT / RECLASSIFY</x:v>
      </x:c>
      <x:c r="F2260" s="33" t="str">
        <x:v>Align requirements to corrected substantive provisions and applicability classifications.</x:v>
      </x:c>
      <x:c r="G2260" s="33" t="str">
        <x:v>P-4 official-source validation</x:v>
      </x:c>
      <x:c r="H226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60" s="33" t="str">
        <x:v>P-4</x:v>
      </x:c>
      <x:c r="J2260" s="33" t="str">
        <x:v>2026-08-20</x:v>
      </x:c>
      <x:c r="K2260" s="33" t="str">
        <x:v>Compliance IDs preserved; mandatory/conditional/optional status corrected.</x:v>
      </x:c>
    </x:row>
    <x:row r="2261">
      <x:c r="A2261" s="33" t="str">
        <x:v>SCOMP006</x:v>
      </x:c>
      <x:c r="B2261" s="33" t="str">
        <x:v>Compliance Requirement Master</x:v>
      </x:c>
      <x:c r="C2261" s="33" t="str">
        <x:v>Applicability=Mandatory; Remarks=Implementation Method: Excursion investigation protocol. | Evidence indicator retained in Evidence Master: Temperature excursion investigation reports.</x:v>
      </x:c>
      <x:c r="D2261" s="33" t="str">
        <x:v>Applicability=Optional; Remarks=P-4 entity-specific internal control; no independent statutory force. Activate the exact underlying legal requirement separately.</x:v>
      </x:c>
      <x:c r="E2261" s="33" t="str">
        <x:v>CORRECT / RECLASSIFY</x:v>
      </x:c>
      <x:c r="F2261" s="33" t="str">
        <x:v>Align requirements to corrected substantive provisions and applicability classifications.</x:v>
      </x:c>
      <x:c r="G2261" s="33" t="str">
        <x:v>P-4 official-source validation</x:v>
      </x:c>
      <x:c r="H226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61" s="33" t="str">
        <x:v>P-4</x:v>
      </x:c>
      <x:c r="J2261" s="33" t="str">
        <x:v>2026-08-20</x:v>
      </x:c>
      <x:c r="K2261" s="33" t="str">
        <x:v>Compliance IDs preserved; mandatory/conditional/optional status corrected.</x:v>
      </x:c>
    </x:row>
    <x:row r="2262">
      <x:c r="A2262" s="33" t="str">
        <x:v>SCOMP007</x:v>
      </x:c>
      <x:c r="B2262" s="33" t="str">
        <x:v>Compliance Requirement Master</x:v>
      </x:c>
      <x:c r="C2262" s="33" t="str">
        <x:v>Applicability=Mandatory; Remarks=Implementation Method: Batch traceability monitoring. | Evidence indicator retained in Evidence Master: Batch traceability records.</x:v>
      </x:c>
      <x:c r="D2262" s="33" t="str">
        <x:v>Applicability=Optional; Remarks=P-4 entity-specific internal control; no independent statutory force. Activate the exact underlying legal requirement separately.</x:v>
      </x:c>
      <x:c r="E2262" s="33" t="str">
        <x:v>CORRECT / RECLASSIFY</x:v>
      </x:c>
      <x:c r="F2262" s="33" t="str">
        <x:v>Align requirements to corrected substantive provisions and applicability classifications.</x:v>
      </x:c>
      <x:c r="G2262" s="33" t="str">
        <x:v>P-4 official-source validation</x:v>
      </x:c>
      <x:c r="H226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62" s="33" t="str">
        <x:v>P-4</x:v>
      </x:c>
      <x:c r="J2262" s="33" t="str">
        <x:v>2026-08-20</x:v>
      </x:c>
      <x:c r="K2262" s="33" t="str">
        <x:v>Compliance IDs preserved; mandatory/conditional/optional status corrected.</x:v>
      </x:c>
    </x:row>
    <x:row r="2263">
      <x:c r="A2263" s="33" t="str">
        <x:v>SCOMP008</x:v>
      </x:c>
      <x:c r="B2263" s="33" t="str">
        <x:v>Compliance Requirement Master</x:v>
      </x:c>
      <x:c r="C2263" s="33" t="str">
        <x:v>Applicability=Mandatory; Remarks=Implementation Method: Accountability register management. | Evidence indicator retained in Evidence Master: Investigational medicine accountability logs.</x:v>
      </x:c>
      <x:c r="D2263" s="33" t="str">
        <x:v>Applicability=Optional; Remarks=P-4 entity-specific internal control; no independent statutory force. Activate the exact underlying legal requirement separately.</x:v>
      </x:c>
      <x:c r="E2263" s="33" t="str">
        <x:v>CORRECT / RECLASSIFY</x:v>
      </x:c>
      <x:c r="F2263" s="33" t="str">
        <x:v>Align requirements to corrected substantive provisions and applicability classifications.</x:v>
      </x:c>
      <x:c r="G2263" s="33" t="str">
        <x:v>P-4 official-source validation</x:v>
      </x:c>
      <x:c r="H226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63" s="33" t="str">
        <x:v>P-4</x:v>
      </x:c>
      <x:c r="J2263" s="33" t="str">
        <x:v>2026-08-20</x:v>
      </x:c>
      <x:c r="K2263" s="33" t="str">
        <x:v>Compliance IDs preserved; mandatory/conditional/optional status corrected.</x:v>
      </x:c>
    </x:row>
    <x:row r="2264">
      <x:c r="A2264" s="33" t="str">
        <x:v>SCOMP009</x:v>
      </x:c>
      <x:c r="B2264" s="33" t="str">
        <x:v>Compliance Requirement Master</x:v>
      </x:c>
      <x:c r="C2264" s="33" t="str">
        <x:v>Applicability=Mandatory; Remarks=Implementation Method: Waste segregation and disposal verification. | Evidence indicator retained in Evidence Master: Hazardous waste disposal manifests.</x:v>
      </x:c>
      <x:c r="D2264" s="33" t="str">
        <x:v>Applicability=Optional; Remarks=P-4 entity-specific internal control; no independent statutory force. Activate the exact underlying legal requirement separately.</x:v>
      </x:c>
      <x:c r="E2264" s="33" t="str">
        <x:v>CORRECT / RECLASSIFY</x:v>
      </x:c>
      <x:c r="F2264" s="33" t="str">
        <x:v>Align requirements to corrected substantive provisions and applicability classifications.</x:v>
      </x:c>
      <x:c r="G2264" s="33" t="str">
        <x:v>P-4 official-source validation</x:v>
      </x:c>
      <x:c r="H226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64" s="33" t="str">
        <x:v>P-4</x:v>
      </x:c>
      <x:c r="J2264" s="33" t="str">
        <x:v>2026-08-20</x:v>
      </x:c>
      <x:c r="K2264" s="33" t="str">
        <x:v>Compliance IDs preserved; mandatory/conditional/optional status corrected.</x:v>
      </x:c>
    </x:row>
    <x:row r="2265">
      <x:c r="A2265" s="33" t="str">
        <x:v>SCOMP010</x:v>
      </x:c>
      <x:c r="B2265" s="33" t="str">
        <x:v>Compliance Requirement Master</x:v>
      </x:c>
      <x:c r="C2265" s="33" t="str">
        <x:v>Applicability=Mandatory; Remarks=Implementation Method: Competency assessment programme. | Evidence indicator retained in Evidence Master: Competency assessment records.</x:v>
      </x:c>
      <x:c r="D2265" s="33" t="str">
        <x:v>Applicability=Optional; Remarks=P-4 entity-specific internal control; no independent statutory force. Activate the exact underlying legal requirement separately.</x:v>
      </x:c>
      <x:c r="E2265" s="33" t="str">
        <x:v>CORRECT / RECLASSIFY</x:v>
      </x:c>
      <x:c r="F2265" s="33" t="str">
        <x:v>Align requirements to corrected substantive provisions and applicability classifications.</x:v>
      </x:c>
      <x:c r="G2265" s="33" t="str">
        <x:v>P-4 official-source validation</x:v>
      </x:c>
      <x:c r="H226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65" s="33" t="str">
        <x:v>P-4</x:v>
      </x:c>
      <x:c r="J2265" s="33" t="str">
        <x:v>2026-08-20</x:v>
      </x:c>
      <x:c r="K2265" s="33" t="str">
        <x:v>Compliance IDs preserved; mandatory/conditional/optional status corrected.</x:v>
      </x:c>
    </x:row>
    <x:row r="2266">
      <x:c r="A2266" s="33" t="str">
        <x:v>SCOMP011</x:v>
      </x:c>
      <x:c r="B2266" s="33" t="str">
        <x:v>Compliance Requirement Master</x:v>
      </x:c>
      <x:c r="C2266" s="33" t="str">
        <x:v>Applicability=Mandatory; Remarks=Implementation Method: Radiation safety verification. | Evidence indicator retained in Evidence Master: Radiation safety logs.</x:v>
      </x:c>
      <x:c r="D2266" s="33" t="str">
        <x:v>Applicability=Optional; Remarks=P-4 entity-specific internal control; no independent statutory force. Activate the exact underlying legal requirement separately.</x:v>
      </x:c>
      <x:c r="E2266" s="33" t="str">
        <x:v>CORRECT / RECLASSIFY</x:v>
      </x:c>
      <x:c r="F2266" s="33" t="str">
        <x:v>Align requirements to corrected substantive provisions and applicability classifications.</x:v>
      </x:c>
      <x:c r="G2266" s="33" t="str">
        <x:v>P-4 official-source validation</x:v>
      </x:c>
      <x:c r="H226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66" s="33" t="str">
        <x:v>P-4</x:v>
      </x:c>
      <x:c r="J2266" s="33" t="str">
        <x:v>2026-08-20</x:v>
      </x:c>
      <x:c r="K2266" s="33" t="str">
        <x:v>Compliance IDs preserved; mandatory/conditional/optional status corrected.</x:v>
      </x:c>
    </x:row>
    <x:row r="2267">
      <x:c r="A2267" s="33" t="str">
        <x:v>SCOMP012</x:v>
      </x:c>
      <x:c r="B2267" s="33" t="str">
        <x:v>Compliance Requirement Master</x:v>
      </x:c>
      <x:c r="C2267" s="33" t="str">
        <x:v>Applicability=Mandatory; Remarks=Implementation Method: Surprise stock verification. | Evidence indicator retained in Evidence Master: Physical verification reports.</x:v>
      </x:c>
      <x:c r="D2267" s="33" t="str">
        <x:v>Applicability=Optional; Remarks=P-4 entity-specific internal control; no independent statutory force. Activate the exact underlying legal requirement separately.</x:v>
      </x:c>
      <x:c r="E2267" s="33" t="str">
        <x:v>CORRECT / RECLASSIFY</x:v>
      </x:c>
      <x:c r="F2267" s="33" t="str">
        <x:v>Align requirements to corrected substantive provisions and applicability classifications.</x:v>
      </x:c>
      <x:c r="G2267" s="33" t="str">
        <x:v>P-4 official-source validation</x:v>
      </x:c>
      <x:c r="H226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67" s="33" t="str">
        <x:v>P-4</x:v>
      </x:c>
      <x:c r="J2267" s="33" t="str">
        <x:v>2026-08-20</x:v>
      </x:c>
      <x:c r="K2267" s="33" t="str">
        <x:v>Compliance IDs preserved; mandatory/conditional/optional status corrected.</x:v>
      </x:c>
    </x:row>
    <x:row r="2268">
      <x:c r="A2268" s="33" t="str">
        <x:v>SCOMP013</x:v>
      </x:c>
      <x:c r="B2268" s="33" t="str">
        <x:v>Compliance Requirement Master</x:v>
      </x:c>
      <x:c r="C2268" s="33" t="str">
        <x:v>Applicability=Mandatory; Remarks=Implementation Method: High-value inventory monitoring. | Evidence indicator retained in Evidence Master: High-value inventory reports.</x:v>
      </x:c>
      <x:c r="D2268" s="33" t="str">
        <x:v>Applicability=Optional; Remarks=P-4 entity-specific internal control; no independent statutory force. Activate the exact underlying legal requirement separately.</x:v>
      </x:c>
      <x:c r="E2268" s="33" t="str">
        <x:v>CORRECT / RECLASSIFY</x:v>
      </x:c>
      <x:c r="F2268" s="33" t="str">
        <x:v>Align requirements to corrected substantive provisions and applicability classifications.</x:v>
      </x:c>
      <x:c r="G2268" s="33" t="str">
        <x:v>P-4 official-source validation</x:v>
      </x:c>
      <x:c r="H226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68" s="33" t="str">
        <x:v>P-4</x:v>
      </x:c>
      <x:c r="J2268" s="33" t="str">
        <x:v>2026-08-20</x:v>
      </x:c>
      <x:c r="K2268" s="33" t="str">
        <x:v>Compliance IDs preserved; mandatory/conditional/optional status corrected.</x:v>
      </x:c>
    </x:row>
    <x:row r="2269">
      <x:c r="A2269" s="33" t="str">
        <x:v>SCOMP014</x:v>
      </x:c>
      <x:c r="B2269" s="33" t="str">
        <x:v>Compliance Requirement Master</x:v>
      </x:c>
      <x:c r="C2269" s="33" t="str">
        <x:v>Applicability=Mandatory; Remarks=Implementation Method: CAPA and risk assessment process. | Evidence indicator retained in Evidence Master: Excursion investigation records.</x:v>
      </x:c>
      <x:c r="D2269" s="33" t="str">
        <x:v>Applicability=Optional; Remarks=P-4 entity-specific internal control; no independent statutory force. Activate the exact underlying legal requirement separately.</x:v>
      </x:c>
      <x:c r="E2269" s="33" t="str">
        <x:v>CORRECT / RECLASSIFY</x:v>
      </x:c>
      <x:c r="F2269" s="33" t="str">
        <x:v>Align requirements to corrected substantive provisions and applicability classifications.</x:v>
      </x:c>
      <x:c r="G2269" s="33" t="str">
        <x:v>P-4 official-source validation</x:v>
      </x:c>
      <x:c r="H226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69" s="33" t="str">
        <x:v>P-4</x:v>
      </x:c>
      <x:c r="J2269" s="33" t="str">
        <x:v>2026-08-20</x:v>
      </x:c>
      <x:c r="K2269" s="33" t="str">
        <x:v>Compliance IDs preserved; mandatory/conditional/optional status corrected.</x:v>
      </x:c>
    </x:row>
    <x:row r="2270">
      <x:c r="A2270" s="33" t="str">
        <x:v>SCOMP015</x:v>
      </x:c>
      <x:c r="B2270" s="33" t="str">
        <x:v>Compliance Requirement Master</x:v>
      </x:c>
      <x:c r="C2270" s="33" t="str">
        <x:v>Applicability=Mandatory; Remarks=Implementation Method: Adverse event reporting programme. | Evidence indicator retained in Evidence Master: Adverse event reports.</x:v>
      </x:c>
      <x:c r="D2270" s="33" t="str">
        <x:v>Applicability=Optional; Remarks=P-4 entity-specific internal control; no independent statutory force. Activate the exact underlying legal requirement separately.</x:v>
      </x:c>
      <x:c r="E2270" s="33" t="str">
        <x:v>CORRECT / RECLASSIFY</x:v>
      </x:c>
      <x:c r="F2270" s="33" t="str">
        <x:v>Align requirements to corrected substantive provisions and applicability classifications.</x:v>
      </x:c>
      <x:c r="G2270" s="33" t="str">
        <x:v>P-4 official-source validation</x:v>
      </x:c>
      <x:c r="H227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70" s="33" t="str">
        <x:v>P-4</x:v>
      </x:c>
      <x:c r="J2270" s="33" t="str">
        <x:v>2026-08-20</x:v>
      </x:c>
      <x:c r="K2270" s="33" t="str">
        <x:v>Compliance IDs preserved; mandatory/conditional/optional status corrected.</x:v>
      </x:c>
    </x:row>
    <x:row r="2271">
      <x:c r="A2271" s="33" t="str">
        <x:v>SCOMP016</x:v>
      </x:c>
      <x:c r="B2271" s="33" t="str">
        <x:v>Compliance Requirement Master</x:v>
      </x:c>
      <x:c r="C2271" s="33" t="str">
        <x:v>Applicability=Mandatory; Remarks=Implementation Method: Safety communication review. | Evidence indicator retained in Evidence Master: Manufacturer safety notices and action records.</x:v>
      </x:c>
      <x:c r="D2271" s="33" t="str">
        <x:v>Applicability=Optional; Remarks=P-4 entity-specific internal control; no independent statutory force. Activate the exact underlying legal requirement separately.</x:v>
      </x:c>
      <x:c r="E2271" s="33" t="str">
        <x:v>CORRECT / RECLASSIFY</x:v>
      </x:c>
      <x:c r="F2271" s="33" t="str">
        <x:v>Align requirements to corrected substantive provisions and applicability classifications.</x:v>
      </x:c>
      <x:c r="G2271" s="33" t="str">
        <x:v>P-4 official-source validation</x:v>
      </x:c>
      <x:c r="H227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71" s="33" t="str">
        <x:v>P-4</x:v>
      </x:c>
      <x:c r="J2271" s="33" t="str">
        <x:v>2026-08-20</x:v>
      </x:c>
      <x:c r="K2271" s="33" t="str">
        <x:v>Compliance IDs preserved; mandatory/conditional/optional status corrected.</x:v>
      </x:c>
    </x:row>
    <x:row r="2272">
      <x:c r="A2272" s="33" t="str">
        <x:v>SCOMP017</x:v>
      </x:c>
      <x:c r="B2272" s="33" t="str">
        <x:v>Compliance Requirement Master</x:v>
      </x:c>
      <x:c r="C2272" s="33" t="str">
        <x:v>Applicability=Mandatory; Remarks=Implementation Method: Documentation review programme. | Evidence indicator retained in Evidence Master: Specialty medicine documentation.</x:v>
      </x:c>
      <x:c r="D2272" s="33" t="str">
        <x:v>Applicability=Optional; Remarks=P-4 entity-specific internal control; no independent statutory force. Activate the exact underlying legal requirement separately.</x:v>
      </x:c>
      <x:c r="E2272" s="33" t="str">
        <x:v>CORRECT / RECLASSIFY</x:v>
      </x:c>
      <x:c r="F2272" s="33" t="str">
        <x:v>Align requirements to corrected substantive provisions and applicability classifications.</x:v>
      </x:c>
      <x:c r="G2272" s="33" t="str">
        <x:v>P-4 official-source validation</x:v>
      </x:c>
      <x:c r="H227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72" s="33" t="str">
        <x:v>P-4</x:v>
      </x:c>
      <x:c r="J2272" s="33" t="str">
        <x:v>2026-08-20</x:v>
      </x:c>
      <x:c r="K2272" s="33" t="str">
        <x:v>Compliance IDs preserved; mandatory/conditional/optional status corrected.</x:v>
      </x:c>
    </x:row>
    <x:row r="2273">
      <x:c r="A2273" s="33" t="str">
        <x:v>SCOMP018</x:v>
      </x:c>
      <x:c r="B2273" s="33" t="str">
        <x:v>Compliance Requirement Master</x:v>
      </x:c>
      <x:c r="C2273" s="33" t="str">
        <x:v>Applicability=Mandatory; Remarks=Implementation Method: Patient counselling workflow. | Evidence indicator retained in Evidence Master: Patient counselling records.</x:v>
      </x:c>
      <x:c r="D2273" s="33" t="str">
        <x:v>Applicability=Optional; Remarks=P-4 entity-specific internal control; no independent statutory force. Activate the exact underlying legal requirement separately.</x:v>
      </x:c>
      <x:c r="E2273" s="33" t="str">
        <x:v>CORRECT / RECLASSIFY</x:v>
      </x:c>
      <x:c r="F2273" s="33" t="str">
        <x:v>Align requirements to corrected substantive provisions and applicability classifications.</x:v>
      </x:c>
      <x:c r="G2273" s="33" t="str">
        <x:v>P-4 official-source validation</x:v>
      </x:c>
      <x:c r="H227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73" s="33" t="str">
        <x:v>P-4</x:v>
      </x:c>
      <x:c r="J2273" s="33" t="str">
        <x:v>2026-08-20</x:v>
      </x:c>
      <x:c r="K2273" s="33" t="str">
        <x:v>Compliance IDs preserved; mandatory/conditional/optional status corrected.</x:v>
      </x:c>
    </x:row>
    <x:row r="2274">
      <x:c r="A2274" s="33" t="str">
        <x:v>SCOMP019</x:v>
      </x:c>
      <x:c r="B2274" s="33" t="str">
        <x:v>Compliance Requirement Master</x:v>
      </x:c>
      <x:c r="C2274" s="33" t="str">
        <x:v>Applicability=Mandatory; Remarks=Implementation Method: Recall execution procedure. | Evidence indicator retained in Evidence Master: Recall execution reports.</x:v>
      </x:c>
      <x:c r="D2274" s="33" t="str">
        <x:v>Applicability=Optional; Remarks=P-4 entity-specific internal control; no independent statutory force. Activate the exact underlying legal requirement separately.</x:v>
      </x:c>
      <x:c r="E2274" s="33" t="str">
        <x:v>CORRECT / RECLASSIFY</x:v>
      </x:c>
      <x:c r="F2274" s="33" t="str">
        <x:v>Align requirements to corrected substantive provisions and applicability classifications.</x:v>
      </x:c>
      <x:c r="G2274" s="33" t="str">
        <x:v>P-4 official-source validation</x:v>
      </x:c>
      <x:c r="H227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74" s="33" t="str">
        <x:v>P-4</x:v>
      </x:c>
      <x:c r="J2274" s="33" t="str">
        <x:v>2026-08-20</x:v>
      </x:c>
      <x:c r="K2274" s="33" t="str">
        <x:v>Compliance IDs preserved; mandatory/conditional/optional status corrected.</x:v>
      </x:c>
    </x:row>
    <x:row r="2275">
      <x:c r="A2275" s="33" t="str">
        <x:v>SCOMP020</x:v>
      </x:c>
      <x:c r="B2275" s="33" t="str">
        <x:v>Compliance Requirement Master</x:v>
      </x:c>
      <x:c r="C2275" s="33" t="str">
        <x:v>Applicability=Mandatory; Remarks=Implementation Method: QA review programme. | Evidence indicator retained in Evidence Master: QA review reports and CAPA records.</x:v>
      </x:c>
      <x:c r="D2275" s="33" t="str">
        <x:v>Applicability=Optional; Remarks=P-4 entity-specific internal control; no independent statutory force. Activate the exact underlying legal requirement separately.</x:v>
      </x:c>
      <x:c r="E2275" s="33" t="str">
        <x:v>CORRECT / RECLASSIFY</x:v>
      </x:c>
      <x:c r="F2275" s="33" t="str">
        <x:v>Align requirements to corrected substantive provisions and applicability classifications.</x:v>
      </x:c>
      <x:c r="G2275" s="33" t="str">
        <x:v>P-4 official-source validation</x:v>
      </x:c>
      <x:c r="H227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75" s="33" t="str">
        <x:v>P-4</x:v>
      </x:c>
      <x:c r="J2275" s="33" t="str">
        <x:v>2026-08-20</x:v>
      </x:c>
      <x:c r="K2275" s="33" t="str">
        <x:v>Compliance IDs preserved; mandatory/conditional/optional status corrected.</x:v>
      </x:c>
    </x:row>
    <x:row r="2276">
      <x:c r="A2276" s="33" t="str">
        <x:v>SCOMP021</x:v>
      </x:c>
      <x:c r="B2276" s="33" t="str">
        <x:v>Compliance Requirement Master</x:v>
      </x:c>
      <x:c r="C2276" s="33" t="str">
        <x:v>Applicability=Mandatory; Remarks=Implementation Method: Compassionate-use approval workflow. | Evidence indicator retained in Evidence Master: Compassionate-use approvals and dispensing records.</x:v>
      </x:c>
      <x:c r="D2276" s="33" t="str">
        <x:v>Applicability=Optional; Remarks=P-4 entity-specific internal control; no independent statutory force. Activate the exact underlying legal requirement separately.</x:v>
      </x:c>
      <x:c r="E2276" s="33" t="str">
        <x:v>CORRECT / RECLASSIFY</x:v>
      </x:c>
      <x:c r="F2276" s="33" t="str">
        <x:v>Align requirements to corrected substantive provisions and applicability classifications.</x:v>
      </x:c>
      <x:c r="G2276" s="33" t="str">
        <x:v>P-4 official-source validation</x:v>
      </x:c>
      <x:c r="H227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76" s="33" t="str">
        <x:v>P-4</x:v>
      </x:c>
      <x:c r="J2276" s="33" t="str">
        <x:v>2026-08-20</x:v>
      </x:c>
      <x:c r="K2276" s="33" t="str">
        <x:v>Compliance IDs preserved; mandatory/conditional/optional status corrected.</x:v>
      </x:c>
    </x:row>
    <x:row r="2277">
      <x:c r="A2277" s="33" t="str">
        <x:v>SCOMP022</x:v>
      </x:c>
      <x:c r="B2277" s="33" t="str">
        <x:v>Compliance Requirement Master</x:v>
      </x:c>
      <x:c r="C2277" s="33" t="str">
        <x:v>Applicability=Mandatory; Remarks=Implementation Method: Shortage allocation procedure. | Evidence indicator retained in Evidence Master: Allocation register and approval records.</x:v>
      </x:c>
      <x:c r="D2277" s="33" t="str">
        <x:v>Applicability=Optional; Remarks=P-4 entity-specific internal control; no independent statutory force. Activate the exact underlying legal requirement separately.</x:v>
      </x:c>
      <x:c r="E2277" s="33" t="str">
        <x:v>CORRECT / RECLASSIFY</x:v>
      </x:c>
      <x:c r="F2277" s="33" t="str">
        <x:v>Align requirements to corrected substantive provisions and applicability classifications.</x:v>
      </x:c>
      <x:c r="G2277" s="33" t="str">
        <x:v>P-4 official-source validation</x:v>
      </x:c>
      <x:c r="H227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77" s="33" t="str">
        <x:v>P-4</x:v>
      </x:c>
      <x:c r="J2277" s="33" t="str">
        <x:v>2026-08-20</x:v>
      </x:c>
      <x:c r="K2277" s="33" t="str">
        <x:v>Compliance IDs preserved; mandatory/conditional/optional status corrected.</x:v>
      </x:c>
    </x:row>
    <x:row r="2278">
      <x:c r="A2278" s="33" t="str">
        <x:v>SCOMP023</x:v>
      </x:c>
      <x:c r="B2278" s="33" t="str">
        <x:v>Compliance Requirement Master</x:v>
      </x:c>
      <x:c r="C2278" s="33" t="str">
        <x:v>Applicability=Mandatory; Remarks=Implementation Method: Multidisciplinary review documentation. | Evidence indicator retained in Evidence Master: MDT meeting records and approvals.</x:v>
      </x:c>
      <x:c r="D2278" s="33" t="str">
        <x:v>Applicability=Optional; Remarks=P-4 entity-specific internal control; no independent statutory force. Activate the exact underlying legal requirement separately.</x:v>
      </x:c>
      <x:c r="E2278" s="33" t="str">
        <x:v>CORRECT / RECLASSIFY</x:v>
      </x:c>
      <x:c r="F2278" s="33" t="str">
        <x:v>Align requirements to corrected substantive provisions and applicability classifications.</x:v>
      </x:c>
      <x:c r="G2278" s="33" t="str">
        <x:v>P-4 official-source validation</x:v>
      </x:c>
      <x:c r="H227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78" s="33" t="str">
        <x:v>P-4</x:v>
      </x:c>
      <x:c r="J2278" s="33" t="str">
        <x:v>2026-08-20</x:v>
      </x:c>
      <x:c r="K2278" s="33" t="str">
        <x:v>Compliance IDs preserved; mandatory/conditional/optional status corrected.</x:v>
      </x:c>
    </x:row>
    <x:row r="2279">
      <x:c r="A2279" s="33" t="str">
        <x:v>SCOMP024</x:v>
      </x:c>
      <x:c r="B2279" s="33" t="str">
        <x:v>Compliance Requirement Master</x:v>
      </x:c>
      <x:c r="C2279" s="33" t="str">
        <x:v>Applicability=Mandatory; Remarks=Implementation Method: Programme governance review. | Evidence indicator retained in Evidence Master: Programme enrolment and review records.</x:v>
      </x:c>
      <x:c r="D2279" s="33" t="str">
        <x:v>Applicability=Optional; Remarks=P-4 entity-specific internal control; no independent statutory force. Activate the exact underlying legal requirement separately.</x:v>
      </x:c>
      <x:c r="E2279" s="33" t="str">
        <x:v>CORRECT / RECLASSIFY</x:v>
      </x:c>
      <x:c r="F2279" s="33" t="str">
        <x:v>Align requirements to corrected substantive provisions and applicability classifications.</x:v>
      </x:c>
      <x:c r="G2279" s="33" t="str">
        <x:v>P-4 official-source validation</x:v>
      </x:c>
      <x:c r="H227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79" s="33" t="str">
        <x:v>P-4</x:v>
      </x:c>
      <x:c r="J2279" s="33" t="str">
        <x:v>2026-08-20</x:v>
      </x:c>
      <x:c r="K2279" s="33" t="str">
        <x:v>Compliance IDs preserved; mandatory/conditional/optional status corrected.</x:v>
      </x:c>
    </x:row>
    <x:row r="2280">
      <x:c r="A2280" s="33" t="str">
        <x:v>SCOMP025</x:v>
      </x:c>
      <x:c r="B2280" s="33" t="str">
        <x:v>Compliance Requirement Master</x:v>
      </x:c>
      <x:c r="C2280" s="33" t="str">
        <x:v>Applicability=Mandatory; Remarks=Implementation Method: Authorization verification workflow. | Evidence indicator retained in Evidence Master: Authorization approvals and dispensing records.</x:v>
      </x:c>
      <x:c r="D2280" s="33" t="str">
        <x:v>Applicability=Optional; Remarks=P-4 entity-specific internal control; no independent statutory force. Activate the exact underlying legal requirement separately.</x:v>
      </x:c>
      <x:c r="E2280" s="33" t="str">
        <x:v>CORRECT / RECLASSIFY</x:v>
      </x:c>
      <x:c r="F2280" s="33" t="str">
        <x:v>Align requirements to corrected substantive provisions and applicability classifications.</x:v>
      </x:c>
      <x:c r="G2280" s="33" t="str">
        <x:v>P-4 official-source validation</x:v>
      </x:c>
      <x:c r="H228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80" s="33" t="str">
        <x:v>P-4</x:v>
      </x:c>
      <x:c r="J2280" s="33" t="str">
        <x:v>2026-08-20</x:v>
      </x:c>
      <x:c r="K2280" s="33" t="str">
        <x:v>Compliance IDs preserved; mandatory/conditional/optional status corrected.</x:v>
      </x:c>
    </x:row>
    <x:row r="2281">
      <x:c r="A2281" s="33" t="str">
        <x:v>SCOMP026</x:v>
      </x:c>
      <x:c r="B2281" s="33" t="str">
        <x:v>Compliance Requirement Master</x:v>
      </x:c>
      <x:c r="C2281" s="33" t="str">
        <x:v>Applicability=Mandatory; Remarks=Implementation Method: High-value inventory monitoring programme. | Evidence indicator retained in Evidence Master: Inventory verification reports.</x:v>
      </x:c>
      <x:c r="D2281" s="33" t="str">
        <x:v>Applicability=Optional; Remarks=P-4 entity-specific internal control; no independent statutory force. Activate the exact underlying legal requirement separately.</x:v>
      </x:c>
      <x:c r="E2281" s="33" t="str">
        <x:v>CORRECT / RECLASSIFY</x:v>
      </x:c>
      <x:c r="F2281" s="33" t="str">
        <x:v>Align requirements to corrected substantive provisions and applicability classifications.</x:v>
      </x:c>
      <x:c r="G2281" s="33" t="str">
        <x:v>P-4 official-source validation</x:v>
      </x:c>
      <x:c r="H228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81" s="33" t="str">
        <x:v>P-4</x:v>
      </x:c>
      <x:c r="J2281" s="33" t="str">
        <x:v>2026-08-20</x:v>
      </x:c>
      <x:c r="K2281" s="33" t="str">
        <x:v>Compliance IDs preserved; mandatory/conditional/optional status corrected.</x:v>
      </x:c>
    </x:row>
    <x:row r="2282">
      <x:c r="A2282" s="33" t="str">
        <x:v>SCOMP027</x:v>
      </x:c>
      <x:c r="B2282" s="33" t="str">
        <x:v>Compliance Requirement Master</x:v>
      </x:c>
      <x:c r="C2282" s="33" t="str">
        <x:v>Applicability=Mandatory; Remarks=Implementation Method: KPI dashboard review. | Evidence indicator retained in Evidence Master: KPI reports and management dashboards.</x:v>
      </x:c>
      <x:c r="D2282" s="33" t="str">
        <x:v>Applicability=Optional; Remarks=P-4 entity-specific internal control; no independent statutory force. Activate the exact underlying legal requirement separately.</x:v>
      </x:c>
      <x:c r="E2282" s="33" t="str">
        <x:v>CORRECT / RECLASSIFY</x:v>
      </x:c>
      <x:c r="F2282" s="33" t="str">
        <x:v>Align requirements to corrected substantive provisions and applicability classifications.</x:v>
      </x:c>
      <x:c r="G2282" s="33" t="str">
        <x:v>P-4 official-source validation</x:v>
      </x:c>
      <x:c r="H228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82" s="33" t="str">
        <x:v>P-4</x:v>
      </x:c>
      <x:c r="J2282" s="33" t="str">
        <x:v>2026-08-20</x:v>
      </x:c>
      <x:c r="K2282" s="33" t="str">
        <x:v>Compliance IDs preserved; mandatory/conditional/optional status corrected.</x:v>
      </x:c>
    </x:row>
    <x:row r="2283">
      <x:c r="A2283" s="33" t="str">
        <x:v>SCOMP028</x:v>
      </x:c>
      <x:c r="B2283" s="33" t="str">
        <x:v>Compliance Requirement Master</x:v>
      </x:c>
      <x:c r="C2283" s="33" t="str">
        <x:v>Applicability=Mandatory; Remarks=Implementation Method: Governance review meetings. | Evidence indicator retained in Evidence Master: Governance committee minutes and action tracker.</x:v>
      </x:c>
      <x:c r="D2283" s="33" t="str">
        <x:v>Applicability=Optional; Remarks=P-4 entity-specific internal control; no independent statutory force. Activate the exact underlying legal requirement separately.</x:v>
      </x:c>
      <x:c r="E2283" s="33" t="str">
        <x:v>CORRECT / RECLASSIFY</x:v>
      </x:c>
      <x:c r="F2283" s="33" t="str">
        <x:v>Align requirements to corrected substantive provisions and applicability classifications.</x:v>
      </x:c>
      <x:c r="G2283" s="33" t="str">
        <x:v>P-4 official-source validation</x:v>
      </x:c>
      <x:c r="H228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83" s="33" t="str">
        <x:v>P-4</x:v>
      </x:c>
      <x:c r="J2283" s="33" t="str">
        <x:v>2026-08-20</x:v>
      </x:c>
      <x:c r="K2283" s="33" t="str">
        <x:v>Compliance IDs preserved; mandatory/conditional/optional status corrected.</x:v>
      </x:c>
    </x:row>
    <x:row r="2284">
      <x:c r="A2284" s="33" t="str">
        <x:v>SCOMP029</x:v>
      </x:c>
      <x:c r="B2284" s="33" t="str">
        <x:v>Compliance Requirement Master</x:v>
      </x:c>
      <x:c r="C2284" s="33" t="str">
        <x:v>Applicability=Mandatory; Remarks=Implementation Method: CAPA management process. | Evidence indicator retained in Evidence Master: CAPA register and effectiveness review.</x:v>
      </x:c>
      <x:c r="D2284" s="33" t="str">
        <x:v>Applicability=Optional; Remarks=P-4 entity-specific internal control; no independent statutory force. Activate the exact underlying legal requirement separately.</x:v>
      </x:c>
      <x:c r="E2284" s="33" t="str">
        <x:v>CORRECT / RECLASSIFY</x:v>
      </x:c>
      <x:c r="F2284" s="33" t="str">
        <x:v>Align requirements to corrected substantive provisions and applicability classifications.</x:v>
      </x:c>
      <x:c r="G2284" s="33" t="str">
        <x:v>P-4 official-source validation</x:v>
      </x:c>
      <x:c r="H228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84" s="33" t="str">
        <x:v>P-4</x:v>
      </x:c>
      <x:c r="J2284" s="33" t="str">
        <x:v>2026-08-20</x:v>
      </x:c>
      <x:c r="K2284" s="33" t="str">
        <x:v>Compliance IDs preserved; mandatory/conditional/optional status corrected.</x:v>
      </x:c>
    </x:row>
    <x:row r="2285">
      <x:c r="A2285" s="33" t="str">
        <x:v>SCOMP030</x:v>
      </x:c>
      <x:c r="B2285" s="33" t="str">
        <x:v>Compliance Requirement Master</x:v>
      </x:c>
      <x:c r="C2285" s="33" t="str">
        <x:v>Applicability=Mandatory; Remarks=Implementation Method: Compliance maturity assessment methodology. | Evidence indicator retained in Evidence Master: Maturity assessment report and implementation roadmap.</x:v>
      </x:c>
      <x:c r="D2285" s="33" t="str">
        <x:v>Applicability=Optional; Remarks=P-4 entity-specific internal control; no independent statutory force. Activate the exact underlying legal requirement separately.</x:v>
      </x:c>
      <x:c r="E2285" s="33" t="str">
        <x:v>CORRECT / RECLASSIFY</x:v>
      </x:c>
      <x:c r="F2285" s="33" t="str">
        <x:v>Align requirements to corrected substantive provisions and applicability classifications.</x:v>
      </x:c>
      <x:c r="G2285" s="33" t="str">
        <x:v>P-4 official-source validation</x:v>
      </x:c>
      <x:c r="H228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85" s="33" t="str">
        <x:v>P-4</x:v>
      </x:c>
      <x:c r="J2285" s="33" t="str">
        <x:v>2026-08-20</x:v>
      </x:c>
      <x:c r="K2285" s="33" t="str">
        <x:v>Compliance IDs preserved; mandatory/conditional/optional status corrected.</x:v>
      </x:c>
    </x:row>
    <x:row r="2286">
      <x:c r="A2286" s="33" t="str">
        <x:v>HOMCOMP001</x:v>
      </x:c>
      <x:c r="B2286" s="33" t="str">
        <x:v>Compliance Requirement Master</x:v>
      </x:c>
      <x:c r="C2286" s="33" t="str">
        <x:v>Applicability=Mandatory; Remarks=Implementation Method: Product classification verification. | Evidence indicator retained in Evidence Master: Product classification register.</x:v>
      </x:c>
      <x:c r="D2286" s="33" t="str">
        <x:v>Applicability=Optional; Remarks=P-4 entity-specific internal control; no independent statutory force. Activate the exact underlying legal requirement separately.</x:v>
      </x:c>
      <x:c r="E2286" s="33" t="str">
        <x:v>CORRECT / RECLASSIFY</x:v>
      </x:c>
      <x:c r="F2286" s="33" t="str">
        <x:v>Align requirements to corrected substantive provisions and applicability classifications.</x:v>
      </x:c>
      <x:c r="G2286" s="33" t="str">
        <x:v>P-4 official-source validation</x:v>
      </x:c>
      <x:c r="H228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86" s="33" t="str">
        <x:v>P-4</x:v>
      </x:c>
      <x:c r="J2286" s="33" t="str">
        <x:v>2026-08-20</x:v>
      </x:c>
      <x:c r="K2286" s="33" t="str">
        <x:v>Compliance IDs preserved; mandatory/conditional/optional status corrected.</x:v>
      </x:c>
    </x:row>
    <x:row r="2287">
      <x:c r="A2287" s="33" t="str">
        <x:v>HOMCOMP002</x:v>
      </x:c>
      <x:c r="B2287" s="33" t="str">
        <x:v>Compliance Requirement Master</x:v>
      </x:c>
      <x:c r="C2287" s="33" t="str">
        <x:v>Applicability=Mandatory; Remarks=Implementation Method: Storage inspection and environmental monitoring. | Evidence indicator retained in Evidence Master: Storage logs and inventory register.</x:v>
      </x:c>
      <x:c r="D2287" s="33" t="str">
        <x:v>Applicability=Optional; Remarks=P-4 entity-specific internal control; no independent statutory force. Activate the exact underlying legal requirement separately.</x:v>
      </x:c>
      <x:c r="E2287" s="33" t="str">
        <x:v>CORRECT / RECLASSIFY</x:v>
      </x:c>
      <x:c r="F2287" s="33" t="str">
        <x:v>Align requirements to corrected substantive provisions and applicability classifications.</x:v>
      </x:c>
      <x:c r="G2287" s="33" t="str">
        <x:v>P-4 official-source validation</x:v>
      </x:c>
      <x:c r="H228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87" s="33" t="str">
        <x:v>P-4</x:v>
      </x:c>
      <x:c r="J2287" s="33" t="str">
        <x:v>2026-08-20</x:v>
      </x:c>
      <x:c r="K2287" s="33" t="str">
        <x:v>Compliance IDs preserved; mandatory/conditional/optional status corrected.</x:v>
      </x:c>
    </x:row>
    <x:row r="2288">
      <x:c r="A2288" s="33" t="str">
        <x:v>HOMCOMP003</x:v>
      </x:c>
      <x:c r="B2288" s="33" t="str">
        <x:v>Compliance Requirement Master</x:v>
      </x:c>
      <x:c r="C2288" s="33" t="str">
        <x:v>Applicability=Mandatory; Remarks=Implementation Method: Potency verification procedure. | Evidence indicator retained in Evidence Master: Potency segregation records.</x:v>
      </x:c>
      <x:c r="D2288" s="33" t="str">
        <x:v>Applicability=Optional; Remarks=P-4 entity-specific internal control; no independent statutory force. Activate the exact underlying legal requirement separately.</x:v>
      </x:c>
      <x:c r="E2288" s="33" t="str">
        <x:v>CORRECT / RECLASSIFY</x:v>
      </x:c>
      <x:c r="F2288" s="33" t="str">
        <x:v>Align requirements to corrected substantive provisions and applicability classifications.</x:v>
      </x:c>
      <x:c r="G2288" s="33" t="str">
        <x:v>P-4 official-source validation</x:v>
      </x:c>
      <x:c r="H228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88" s="33" t="str">
        <x:v>P-4</x:v>
      </x:c>
      <x:c r="J2288" s="33" t="str">
        <x:v>2026-08-20</x:v>
      </x:c>
      <x:c r="K2288" s="33" t="str">
        <x:v>Compliance IDs preserved; mandatory/conditional/optional status corrected.</x:v>
      </x:c>
    </x:row>
    <x:row r="2289">
      <x:c r="A2289" s="33" t="str">
        <x:v>HOMCOMP004</x:v>
      </x:c>
      <x:c r="B2289" s="33" t="str">
        <x:v>Compliance Requirement Master</x:v>
      </x:c>
      <x:c r="C2289" s="33" t="str">
        <x:v>Applicability=Mandatory; Remarks=Implementation Method: SOP compliance verification. | Evidence indicator retained in Evidence Master: Preparation records and batch logs.</x:v>
      </x:c>
      <x:c r="D2289" s="33" t="str">
        <x:v>Applicability=Optional; Remarks=P-4 entity-specific internal control; no independent statutory force. Activate the exact underlying legal requirement separately.</x:v>
      </x:c>
      <x:c r="E2289" s="33" t="str">
        <x:v>CORRECT / RECLASSIFY</x:v>
      </x:c>
      <x:c r="F2289" s="33" t="str">
        <x:v>Align requirements to corrected substantive provisions and applicability classifications.</x:v>
      </x:c>
      <x:c r="G2289" s="33" t="str">
        <x:v>P-4 official-source validation</x:v>
      </x:c>
      <x:c r="H228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89" s="33" t="str">
        <x:v>P-4</x:v>
      </x:c>
      <x:c r="J2289" s="33" t="str">
        <x:v>2026-08-20</x:v>
      </x:c>
      <x:c r="K2289" s="33" t="str">
        <x:v>Compliance IDs preserved; mandatory/conditional/optional status corrected.</x:v>
      </x:c>
    </x:row>
    <x:row r="2290">
      <x:c r="A2290" s="33" t="str">
        <x:v>HOMCOMP005</x:v>
      </x:c>
      <x:c r="B2290" s="33" t="str">
        <x:v>Compliance Requirement Master</x:v>
      </x:c>
      <x:c r="C2290" s="33" t="str">
        <x:v>Applicability=Mandatory; Remarks=Implementation Method: Dispensing record verification. | Evidence indicator retained in Evidence Master: Dispensing register.</x:v>
      </x:c>
      <x:c r="D2290" s="33" t="str">
        <x:v>Applicability=Optional; Remarks=P-4 entity-specific internal control; no independent statutory force. Activate the exact underlying legal requirement separately.</x:v>
      </x:c>
      <x:c r="E2290" s="33" t="str">
        <x:v>CORRECT / RECLASSIFY</x:v>
      </x:c>
      <x:c r="F2290" s="33" t="str">
        <x:v>Align requirements to corrected substantive provisions and applicability classifications.</x:v>
      </x:c>
      <x:c r="G2290" s="33" t="str">
        <x:v>P-4 official-source validation</x:v>
      </x:c>
      <x:c r="H229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90" s="33" t="str">
        <x:v>P-4</x:v>
      </x:c>
      <x:c r="J2290" s="33" t="str">
        <x:v>2026-08-20</x:v>
      </x:c>
      <x:c r="K2290" s="33" t="str">
        <x:v>Compliance IDs preserved; mandatory/conditional/optional status corrected.</x:v>
      </x:c>
    </x:row>
    <x:row r="2291">
      <x:c r="A2291" s="33" t="str">
        <x:v>HOMCOMP006</x:v>
      </x:c>
      <x:c r="B2291" s="33" t="str">
        <x:v>Compliance Requirement Master</x:v>
      </x:c>
      <x:c r="C2291" s="33" t="str">
        <x:v>Applicability=Mandatory; Remarks=Implementation Method: Independent label verification. | Evidence indicator retained in Evidence Master: Label verification checklist.</x:v>
      </x:c>
      <x:c r="D2291" s="33" t="str">
        <x:v>Applicability=Optional; Remarks=P-4 entity-specific internal control; no independent statutory force. Activate the exact underlying legal requirement separately.</x:v>
      </x:c>
      <x:c r="E2291" s="33" t="str">
        <x:v>CORRECT / RECLASSIFY</x:v>
      </x:c>
      <x:c r="F2291" s="33" t="str">
        <x:v>Align requirements to corrected substantive provisions and applicability classifications.</x:v>
      </x:c>
      <x:c r="G2291" s="33" t="str">
        <x:v>P-4 official-source validation</x:v>
      </x:c>
      <x:c r="H229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91" s="33" t="str">
        <x:v>P-4</x:v>
      </x:c>
      <x:c r="J2291" s="33" t="str">
        <x:v>2026-08-20</x:v>
      </x:c>
      <x:c r="K2291" s="33" t="str">
        <x:v>Compliance IDs preserved; mandatory/conditional/optional status corrected.</x:v>
      </x:c>
    </x:row>
    <x:row r="2292">
      <x:c r="A2292" s="33" t="str">
        <x:v>HOMCOMP007</x:v>
      </x:c>
      <x:c r="B2292" s="33" t="str">
        <x:v>Compliance Requirement Master</x:v>
      </x:c>
      <x:c r="C2292" s="33" t="str">
        <x:v>Applicability=Mandatory; Remarks=Implementation Method: FEFO stock rotation review. | Evidence indicator retained in Evidence Master: Stock rotation reports.</x:v>
      </x:c>
      <x:c r="D2292" s="33" t="str">
        <x:v>Applicability=Optional; Remarks=P-4 entity-specific internal control; no independent statutory force. Activate the exact underlying legal requirement separately.</x:v>
      </x:c>
      <x:c r="E2292" s="33" t="str">
        <x:v>CORRECT / RECLASSIFY</x:v>
      </x:c>
      <x:c r="F2292" s="33" t="str">
        <x:v>Align requirements to corrected substantive provisions and applicability classifications.</x:v>
      </x:c>
      <x:c r="G2292" s="33" t="str">
        <x:v>P-4 official-source validation</x:v>
      </x:c>
      <x:c r="H229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92" s="33" t="str">
        <x:v>P-4</x:v>
      </x:c>
      <x:c r="J2292" s="33" t="str">
        <x:v>2026-08-20</x:v>
      </x:c>
      <x:c r="K2292" s="33" t="str">
        <x:v>Compliance IDs preserved; mandatory/conditional/optional status corrected.</x:v>
      </x:c>
    </x:row>
    <x:row r="2293">
      <x:c r="A2293" s="33" t="str">
        <x:v>HOMCOMP008</x:v>
      </x:c>
      <x:c r="B2293" s="33" t="str">
        <x:v>Compliance Requirement Master</x:v>
      </x:c>
      <x:c r="C2293" s="33" t="str">
        <x:v>Applicability=Mandatory; Remarks=Implementation Method: Expiry monitoring programme. | Evidence indicator retained in Evidence Master: Expiry monitoring reports.</x:v>
      </x:c>
      <x:c r="D2293" s="33" t="str">
        <x:v>Applicability=Optional; Remarks=P-4 entity-specific internal control; no independent statutory force. Activate the exact underlying legal requirement separately.</x:v>
      </x:c>
      <x:c r="E2293" s="33" t="str">
        <x:v>CORRECT / RECLASSIFY</x:v>
      </x:c>
      <x:c r="F2293" s="33" t="str">
        <x:v>Align requirements to corrected substantive provisions and applicability classifications.</x:v>
      </x:c>
      <x:c r="G2293" s="33" t="str">
        <x:v>P-4 official-source validation</x:v>
      </x:c>
      <x:c r="H229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93" s="33" t="str">
        <x:v>P-4</x:v>
      </x:c>
      <x:c r="J2293" s="33" t="str">
        <x:v>2026-08-20</x:v>
      </x:c>
      <x:c r="K2293" s="33" t="str">
        <x:v>Compliance IDs preserved; mandatory/conditional/optional status corrected.</x:v>
      </x:c>
    </x:row>
    <x:row r="2294">
      <x:c r="A2294" s="33" t="str">
        <x:v>HOMCOMP009</x:v>
      </x:c>
      <x:c r="B2294" s="33" t="str">
        <x:v>Compliance Requirement Master</x:v>
      </x:c>
      <x:c r="C2294" s="33" t="str">
        <x:v>Applicability=Mandatory; Remarks=Implementation Method: Contamination prevention programme. | Evidence indicator retained in Evidence Master: Cleaning and contamination control records.</x:v>
      </x:c>
      <x:c r="D2294" s="33" t="str">
        <x:v>Applicability=Optional; Remarks=P-4 entity-specific internal control; no independent statutory force. Activate the exact underlying legal requirement separately.</x:v>
      </x:c>
      <x:c r="E2294" s="33" t="str">
        <x:v>CORRECT / RECLASSIFY</x:v>
      </x:c>
      <x:c r="F2294" s="33" t="str">
        <x:v>Align requirements to corrected substantive provisions and applicability classifications.</x:v>
      </x:c>
      <x:c r="G2294" s="33" t="str">
        <x:v>P-4 official-source validation</x:v>
      </x:c>
      <x:c r="H229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94" s="33" t="str">
        <x:v>P-4</x:v>
      </x:c>
      <x:c r="J2294" s="33" t="str">
        <x:v>2026-08-20</x:v>
      </x:c>
      <x:c r="K2294" s="33" t="str">
        <x:v>Compliance IDs preserved; mandatory/conditional/optional status corrected.</x:v>
      </x:c>
    </x:row>
    <x:row r="2295">
      <x:c r="A2295" s="33" t="str">
        <x:v>HOMCOMP010</x:v>
      </x:c>
      <x:c r="B2295" s="33" t="str">
        <x:v>Compliance Requirement Master</x:v>
      </x:c>
      <x:c r="C2295" s="33" t="str">
        <x:v>Applicability=Mandatory; Remarks=Implementation Method: Environmental monitoring programme. | Evidence indicator retained in Evidence Master: Environmental monitoring logs.</x:v>
      </x:c>
      <x:c r="D2295" s="33" t="str">
        <x:v>Applicability=Optional; Remarks=P-4 entity-specific internal control; no independent statutory force. Activate the exact underlying legal requirement separately.</x:v>
      </x:c>
      <x:c r="E2295" s="33" t="str">
        <x:v>CORRECT / RECLASSIFY</x:v>
      </x:c>
      <x:c r="F2295" s="33" t="str">
        <x:v>Align requirements to corrected substantive provisions and applicability classifications.</x:v>
      </x:c>
      <x:c r="G2295" s="33" t="str">
        <x:v>P-4 official-source validation</x:v>
      </x:c>
      <x:c r="H229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95" s="33" t="str">
        <x:v>P-4</x:v>
      </x:c>
      <x:c r="J2295" s="33" t="str">
        <x:v>2026-08-20</x:v>
      </x:c>
      <x:c r="K2295" s="33" t="str">
        <x:v>Compliance IDs preserved; mandatory/conditional/optional status corrected.</x:v>
      </x:c>
    </x:row>
    <x:row r="2296">
      <x:c r="A2296" s="33" t="str">
        <x:v>HOMCOMP011</x:v>
      </x:c>
      <x:c r="B2296" s="33" t="str">
        <x:v>Compliance Requirement Master</x:v>
      </x:c>
      <x:c r="C2296" s="33" t="str">
        <x:v>Applicability=Mandatory; Remarks=Implementation Method: Batch traceability verification. | Evidence indicator retained in Evidence Master: Batch movement register.</x:v>
      </x:c>
      <x:c r="D2296" s="33" t="str">
        <x:v>Applicability=Optional; Remarks=P-4 entity-specific internal control; no independent statutory force. Activate the exact underlying legal requirement separately.</x:v>
      </x:c>
      <x:c r="E2296" s="33" t="str">
        <x:v>CORRECT / RECLASSIFY</x:v>
      </x:c>
      <x:c r="F2296" s="33" t="str">
        <x:v>Align requirements to corrected substantive provisions and applicability classifications.</x:v>
      </x:c>
      <x:c r="G2296" s="33" t="str">
        <x:v>P-4 official-source validation</x:v>
      </x:c>
      <x:c r="H229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96" s="33" t="str">
        <x:v>P-4</x:v>
      </x:c>
      <x:c r="J2296" s="33" t="str">
        <x:v>2026-08-20</x:v>
      </x:c>
      <x:c r="K2296" s="33" t="str">
        <x:v>Compliance IDs preserved; mandatory/conditional/optional status corrected.</x:v>
      </x:c>
    </x:row>
    <x:row r="2297">
      <x:c r="A2297" s="33" t="str">
        <x:v>HOMCOMP012</x:v>
      </x:c>
      <x:c r="B2297" s="33" t="str">
        <x:v>Compliance Requirement Master</x:v>
      </x:c>
      <x:c r="C2297" s="33" t="str">
        <x:v>Applicability=Mandatory; Remarks=Implementation Method: Patient counselling protocol. | Evidence indicator retained in Evidence Master: Patient counselling records.</x:v>
      </x:c>
      <x:c r="D2297" s="33" t="str">
        <x:v>Applicability=Optional; Remarks=P-4 entity-specific internal control; no independent statutory force. Activate the exact underlying legal requirement separately.</x:v>
      </x:c>
      <x:c r="E2297" s="33" t="str">
        <x:v>CORRECT / RECLASSIFY</x:v>
      </x:c>
      <x:c r="F2297" s="33" t="str">
        <x:v>Align requirements to corrected substantive provisions and applicability classifications.</x:v>
      </x:c>
      <x:c r="G2297" s="33" t="str">
        <x:v>P-4 official-source validation</x:v>
      </x:c>
      <x:c r="H229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97" s="33" t="str">
        <x:v>P-4</x:v>
      </x:c>
      <x:c r="J2297" s="33" t="str">
        <x:v>2026-08-20</x:v>
      </x:c>
      <x:c r="K2297" s="33" t="str">
        <x:v>Compliance IDs preserved; mandatory/conditional/optional status corrected.</x:v>
      </x:c>
    </x:row>
    <x:row r="2298">
      <x:c r="A2298" s="33" t="str">
        <x:v>HOMCOMP013</x:v>
      </x:c>
      <x:c r="B2298" s="33" t="str">
        <x:v>Compliance Requirement Master</x:v>
      </x:c>
      <x:c r="C2298" s="33" t="str">
        <x:v>Applicability=Mandatory; Remarks=Implementation Method: Documentation review. | Evidence indicator retained in Evidence Master: Dispensing documentation records.</x:v>
      </x:c>
      <x:c r="D2298" s="33" t="str">
        <x:v>Applicability=Optional; Remarks=P-4 entity-specific internal control; no independent statutory force. Activate the exact underlying legal requirement separately.</x:v>
      </x:c>
      <x:c r="E2298" s="33" t="str">
        <x:v>CORRECT / RECLASSIFY</x:v>
      </x:c>
      <x:c r="F2298" s="33" t="str">
        <x:v>Align requirements to corrected substantive provisions and applicability classifications.</x:v>
      </x:c>
      <x:c r="G2298" s="33" t="str">
        <x:v>P-4 official-source validation</x:v>
      </x:c>
      <x:c r="H229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98" s="33" t="str">
        <x:v>P-4</x:v>
      </x:c>
      <x:c r="J2298" s="33" t="str">
        <x:v>2026-08-20</x:v>
      </x:c>
      <x:c r="K2298" s="33" t="str">
        <x:v>Compliance IDs preserved; mandatory/conditional/optional status corrected.</x:v>
      </x:c>
    </x:row>
    <x:row r="2299">
      <x:c r="A2299" s="33" t="str">
        <x:v>HOMCOMP014</x:v>
      </x:c>
      <x:c r="B2299" s="33" t="str">
        <x:v>Compliance Requirement Master</x:v>
      </x:c>
      <x:c r="C2299" s="33" t="str">
        <x:v>Applicability=Mandatory; Remarks=Implementation Method: Complaint investigation workflow. | Evidence indicator retained in Evidence Master: Complaint investigation reports.</x:v>
      </x:c>
      <x:c r="D2299" s="33" t="str">
        <x:v>Applicability=Optional; Remarks=P-4 entity-specific internal control; no independent statutory force. Activate the exact underlying legal requirement separately.</x:v>
      </x:c>
      <x:c r="E2299" s="33" t="str">
        <x:v>CORRECT / RECLASSIFY</x:v>
      </x:c>
      <x:c r="F2299" s="33" t="str">
        <x:v>Align requirements to corrected substantive provisions and applicability classifications.</x:v>
      </x:c>
      <x:c r="G2299" s="33" t="str">
        <x:v>P-4 official-source validation</x:v>
      </x:c>
      <x:c r="H229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299" s="33" t="str">
        <x:v>P-4</x:v>
      </x:c>
      <x:c r="J2299" s="33" t="str">
        <x:v>2026-08-20</x:v>
      </x:c>
      <x:c r="K2299" s="33" t="str">
        <x:v>Compliance IDs preserved; mandatory/conditional/optional status corrected.</x:v>
      </x:c>
    </x:row>
    <x:row r="2300">
      <x:c r="A2300" s="33" t="str">
        <x:v>HOMCOMP015</x:v>
      </x:c>
      <x:c r="B2300" s="33" t="str">
        <x:v>Compliance Requirement Master</x:v>
      </x:c>
      <x:c r="C2300" s="33" t="str">
        <x:v>Applicability=Mandatory; Remarks=Implementation Method: Recall management programme. | Evidence indicator retained in Evidence Master: Recall execution records.</x:v>
      </x:c>
      <x:c r="D2300" s="33" t="str">
        <x:v>Applicability=Optional; Remarks=P-4 entity-specific internal control; no independent statutory force. Activate the exact underlying legal requirement separately.</x:v>
      </x:c>
      <x:c r="E2300" s="33" t="str">
        <x:v>CORRECT / RECLASSIFY</x:v>
      </x:c>
      <x:c r="F2300" s="33" t="str">
        <x:v>Align requirements to corrected substantive provisions and applicability classifications.</x:v>
      </x:c>
      <x:c r="G2300" s="33" t="str">
        <x:v>P-4 official-source validation</x:v>
      </x:c>
      <x:c r="H230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00" s="33" t="str">
        <x:v>P-4</x:v>
      </x:c>
      <x:c r="J2300" s="33" t="str">
        <x:v>2026-08-20</x:v>
      </x:c>
      <x:c r="K2300" s="33" t="str">
        <x:v>Compliance IDs preserved; mandatory/conditional/optional status corrected.</x:v>
      </x:c>
    </x:row>
    <x:row r="2301">
      <x:c r="A2301" s="33" t="str">
        <x:v>HOMCOMP016</x:v>
      </x:c>
      <x:c r="B2301" s="33" t="str">
        <x:v>Compliance Requirement Master</x:v>
      </x:c>
      <x:c r="C2301" s="33" t="str">
        <x:v>Applicability=Mandatory; Remarks=Implementation Method: Supplier qualification programme. | Evidence indicator retained in Evidence Master: Supplier qualification records.</x:v>
      </x:c>
      <x:c r="D2301" s="33" t="str">
        <x:v>Applicability=Optional; Remarks=P-4 entity-specific internal control; no independent statutory force. Activate the exact underlying legal requirement separately.</x:v>
      </x:c>
      <x:c r="E2301" s="33" t="str">
        <x:v>CORRECT / RECLASSIFY</x:v>
      </x:c>
      <x:c r="F2301" s="33" t="str">
        <x:v>Align requirements to corrected substantive provisions and applicability classifications.</x:v>
      </x:c>
      <x:c r="G2301" s="33" t="str">
        <x:v>P-4 official-source validation</x:v>
      </x:c>
      <x:c r="H230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01" s="33" t="str">
        <x:v>P-4</x:v>
      </x:c>
      <x:c r="J2301" s="33" t="str">
        <x:v>2026-08-20</x:v>
      </x:c>
      <x:c r="K2301" s="33" t="str">
        <x:v>Compliance IDs preserved; mandatory/conditional/optional status corrected.</x:v>
      </x:c>
    </x:row>
    <x:row r="2302">
      <x:c r="A2302" s="33" t="str">
        <x:v>HOMCOMP017</x:v>
      </x:c>
      <x:c r="B2302" s="33" t="str">
        <x:v>Compliance Requirement Master</x:v>
      </x:c>
      <x:c r="C2302" s="33" t="str">
        <x:v>Applicability=Mandatory; Remarks=Implementation Method: Competency assessment programme. | Evidence indicator retained in Evidence Master: Competency matrix and training records.</x:v>
      </x:c>
      <x:c r="D2302" s="33" t="str">
        <x:v>Applicability=Optional; Remarks=P-4 entity-specific internal control; no independent statutory force. Activate the exact underlying legal requirement separately.</x:v>
      </x:c>
      <x:c r="E2302" s="33" t="str">
        <x:v>CORRECT / RECLASSIFY</x:v>
      </x:c>
      <x:c r="F2302" s="33" t="str">
        <x:v>Align requirements to corrected substantive provisions and applicability classifications.</x:v>
      </x:c>
      <x:c r="G2302" s="33" t="str">
        <x:v>P-4 official-source validation</x:v>
      </x:c>
      <x:c r="H230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02" s="33" t="str">
        <x:v>P-4</x:v>
      </x:c>
      <x:c r="J2302" s="33" t="str">
        <x:v>2026-08-20</x:v>
      </x:c>
      <x:c r="K2302" s="33" t="str">
        <x:v>Compliance IDs preserved; mandatory/conditional/optional status corrected.</x:v>
      </x:c>
    </x:row>
    <x:row r="2303">
      <x:c r="A2303" s="33" t="str">
        <x:v>HOMCOMP018</x:v>
      </x:c>
      <x:c r="B2303" s="33" t="str">
        <x:v>Compliance Requirement Master</x:v>
      </x:c>
      <x:c r="C2303" s="33" t="str">
        <x:v>Applicability=Mandatory; Remarks=Implementation Method: QA review programme. | Evidence indicator retained in Evidence Master: QA reports and CAPA records.</x:v>
      </x:c>
      <x:c r="D2303" s="33" t="str">
        <x:v>Applicability=Optional; Remarks=P-4 entity-specific internal control; no independent statutory force. Activate the exact underlying legal requirement separately.</x:v>
      </x:c>
      <x:c r="E2303" s="33" t="str">
        <x:v>CORRECT / RECLASSIFY</x:v>
      </x:c>
      <x:c r="F2303" s="33" t="str">
        <x:v>Align requirements to corrected substantive provisions and applicability classifications.</x:v>
      </x:c>
      <x:c r="G2303" s="33" t="str">
        <x:v>P-4 official-source validation</x:v>
      </x:c>
      <x:c r="H230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03" s="33" t="str">
        <x:v>P-4</x:v>
      </x:c>
      <x:c r="J2303" s="33" t="str">
        <x:v>2026-08-20</x:v>
      </x:c>
      <x:c r="K2303" s="33" t="str">
        <x:v>Compliance IDs preserved; mandatory/conditional/optional status corrected.</x:v>
      </x:c>
    </x:row>
    <x:row r="2304">
      <x:c r="A2304" s="33" t="str">
        <x:v>HOMCOMP019</x:v>
      </x:c>
      <x:c r="B2304" s="33" t="str">
        <x:v>Compliance Requirement Master</x:v>
      </x:c>
      <x:c r="C2304" s="33" t="str">
        <x:v>Applicability=Mandatory; Remarks=Implementation Method: Compliance monitoring programme. | Evidence indicator retained in Evidence Master: Compliance review reports.</x:v>
      </x:c>
      <x:c r="D2304" s="33" t="str">
        <x:v>Applicability=Optional; Remarks=P-4 entity-specific internal control; no independent statutory force. Activate the exact underlying legal requirement separately.</x:v>
      </x:c>
      <x:c r="E2304" s="33" t="str">
        <x:v>CORRECT / RECLASSIFY</x:v>
      </x:c>
      <x:c r="F2304" s="33" t="str">
        <x:v>Align requirements to corrected substantive provisions and applicability classifications.</x:v>
      </x:c>
      <x:c r="G2304" s="33" t="str">
        <x:v>P-4 official-source validation</x:v>
      </x:c>
      <x:c r="H230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04" s="33" t="str">
        <x:v>P-4</x:v>
      </x:c>
      <x:c r="J2304" s="33" t="str">
        <x:v>2026-08-20</x:v>
      </x:c>
      <x:c r="K2304" s="33" t="str">
        <x:v>Compliance IDs preserved; mandatory/conditional/optional status corrected.</x:v>
      </x:c>
    </x:row>
    <x:row r="2305">
      <x:c r="A2305" s="33" t="str">
        <x:v>HOMCOMP020</x:v>
      </x:c>
      <x:c r="B2305" s="33" t="str">
        <x:v>Compliance Requirement Master</x:v>
      </x:c>
      <x:c r="C2305" s="33" t="str">
        <x:v>Applicability=Mandatory; Remarks=Implementation Method: Governance review methodology. | Evidence indicator retained in Evidence Master: Governance review reports and maturity assessment.</x:v>
      </x:c>
      <x:c r="D2305" s="33" t="str">
        <x:v>Applicability=Optional; Remarks=P-4 entity-specific internal control; no independent statutory force. Activate the exact underlying legal requirement separately.</x:v>
      </x:c>
      <x:c r="E2305" s="33" t="str">
        <x:v>CORRECT / RECLASSIFY</x:v>
      </x:c>
      <x:c r="F2305" s="33" t="str">
        <x:v>Align requirements to corrected substantive provisions and applicability classifications.</x:v>
      </x:c>
      <x:c r="G2305" s="33" t="str">
        <x:v>P-4 official-source validation</x:v>
      </x:c>
      <x:c r="H230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05" s="33" t="str">
        <x:v>P-4</x:v>
      </x:c>
      <x:c r="J2305" s="33" t="str">
        <x:v>2026-08-20</x:v>
      </x:c>
      <x:c r="K2305" s="33" t="str">
        <x:v>Compliance IDs preserved; mandatory/conditional/optional status corrected.</x:v>
      </x:c>
    </x:row>
    <x:row r="2306">
      <x:c r="A2306" s="33" t="str">
        <x:v>ACOMP001</x:v>
      </x:c>
      <x:c r="B2306" s="33" t="str">
        <x:v>Compliance Requirement Master</x:v>
      </x:c>
      <x:c r="C2306" s="33" t="str">
        <x:v>Applicability=Mandatory; Remarks=Implementation Method: Product classification verification. | Evidence indicator retained in Evidence Master: AYUSH medicine classification register.</x:v>
      </x:c>
      <x:c r="D2306" s="33" t="str">
        <x:v>Applicability=Optional; Remarks=P-4 entity-specific internal control; no independent statutory force. Activate the exact underlying legal requirement separately.</x:v>
      </x:c>
      <x:c r="E2306" s="33" t="str">
        <x:v>CORRECT / RECLASSIFY</x:v>
      </x:c>
      <x:c r="F2306" s="33" t="str">
        <x:v>Align requirements to corrected substantive provisions and applicability classifications.</x:v>
      </x:c>
      <x:c r="G2306" s="33" t="str">
        <x:v>P-4 official-source validation</x:v>
      </x:c>
      <x:c r="H230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06" s="33" t="str">
        <x:v>P-4</x:v>
      </x:c>
      <x:c r="J2306" s="33" t="str">
        <x:v>2026-08-20</x:v>
      </x:c>
      <x:c r="K2306" s="33" t="str">
        <x:v>Compliance IDs preserved; mandatory/conditional/optional status corrected.</x:v>
      </x:c>
    </x:row>
    <x:row r="2307">
      <x:c r="A2307" s="33" t="str">
        <x:v>ACOMP002</x:v>
      </x:c>
      <x:c r="B2307" s="33" t="str">
        <x:v>Compliance Requirement Master</x:v>
      </x:c>
      <x:c r="C2307" s="33" t="str">
        <x:v>Applicability=Mandatory; Remarks=Implementation Method: Supplier licence verification. | Evidence indicator retained in Evidence Master: Manufacturer licences and supplier verification records.</x:v>
      </x:c>
      <x:c r="D2307" s="33" t="str">
        <x:v>Applicability=Optional; Remarks=P-4 entity-specific internal control; no independent statutory force. Activate the exact underlying legal requirement separately.</x:v>
      </x:c>
      <x:c r="E2307" s="33" t="str">
        <x:v>CORRECT / RECLASSIFY</x:v>
      </x:c>
      <x:c r="F2307" s="33" t="str">
        <x:v>Align requirements to corrected substantive provisions and applicability classifications.</x:v>
      </x:c>
      <x:c r="G2307" s="33" t="str">
        <x:v>P-4 official-source validation</x:v>
      </x:c>
      <x:c r="H230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07" s="33" t="str">
        <x:v>P-4</x:v>
      </x:c>
      <x:c r="J2307" s="33" t="str">
        <x:v>2026-08-20</x:v>
      </x:c>
      <x:c r="K2307" s="33" t="str">
        <x:v>Compliance IDs preserved; mandatory/conditional/optional status corrected.</x:v>
      </x:c>
    </x:row>
    <x:row r="2308">
      <x:c r="A2308" s="33" t="str">
        <x:v>ACOMP003</x:v>
      </x:c>
      <x:c r="B2308" s="33" t="str">
        <x:v>Compliance Requirement Master</x:v>
      </x:c>
      <x:c r="C2308" s="33" t="str">
        <x:v>Applicability=Mandatory; Remarks=Implementation Method: Batch and traceability monitoring. | Evidence indicator retained in Evidence Master: Raw material and batch traceability register.</x:v>
      </x:c>
      <x:c r="D2308" s="33" t="str">
        <x:v>Applicability=Optional; Remarks=P-4 entity-specific internal control; no independent statutory force. Activate the exact underlying legal requirement separately.</x:v>
      </x:c>
      <x:c r="E2308" s="33" t="str">
        <x:v>CORRECT / RECLASSIFY</x:v>
      </x:c>
      <x:c r="F2308" s="33" t="str">
        <x:v>Align requirements to corrected substantive provisions and applicability classifications.</x:v>
      </x:c>
      <x:c r="G2308" s="33" t="str">
        <x:v>P-4 official-source validation</x:v>
      </x:c>
      <x:c r="H230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08" s="33" t="str">
        <x:v>P-4</x:v>
      </x:c>
      <x:c r="J2308" s="33" t="str">
        <x:v>2026-08-20</x:v>
      </x:c>
      <x:c r="K2308" s="33" t="str">
        <x:v>Compliance IDs preserved; mandatory/conditional/optional status corrected.</x:v>
      </x:c>
    </x:row>
    <x:row r="2309">
      <x:c r="A2309" s="33" t="str">
        <x:v>ACOMP004</x:v>
      </x:c>
      <x:c r="B2309" s="33" t="str">
        <x:v>Compliance Requirement Master</x:v>
      </x:c>
      <x:c r="C2309" s="33" t="str">
        <x:v>Applicability=Mandatory; Remarks=Implementation Method: Storage inspection and environmental monitoring. | Evidence indicator retained in Evidence Master: Storage inspection reports and monitoring logs.</x:v>
      </x:c>
      <x:c r="D2309" s="33" t="str">
        <x:v>Applicability=Optional; Remarks=P-4 entity-specific internal control; no independent statutory force. Activate the exact underlying legal requirement separately.</x:v>
      </x:c>
      <x:c r="E2309" s="33" t="str">
        <x:v>CORRECT / RECLASSIFY</x:v>
      </x:c>
      <x:c r="F2309" s="33" t="str">
        <x:v>Align requirements to corrected substantive provisions and applicability classifications.</x:v>
      </x:c>
      <x:c r="G2309" s="33" t="str">
        <x:v>P-4 official-source validation</x:v>
      </x:c>
      <x:c r="H230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09" s="33" t="str">
        <x:v>P-4</x:v>
      </x:c>
      <x:c r="J2309" s="33" t="str">
        <x:v>2026-08-20</x:v>
      </x:c>
      <x:c r="K2309" s="33" t="str">
        <x:v>Compliance IDs preserved; mandatory/conditional/optional status corrected.</x:v>
      </x:c>
    </x:row>
    <x:row r="2310">
      <x:c r="A2310" s="33" t="str">
        <x:v>ACOMP005</x:v>
      </x:c>
      <x:c r="B2310" s="33" t="str">
        <x:v>Compliance Requirement Master</x:v>
      </x:c>
      <x:c r="C2310" s="33" t="str">
        <x:v>Applicability=Mandatory; Remarks=Implementation Method: Independent label verification. | Evidence indicator retained in Evidence Master: Label verification checklist.</x:v>
      </x:c>
      <x:c r="D2310" s="33" t="str">
        <x:v>Applicability=Optional; Remarks=P-4 entity-specific internal control; no independent statutory force. Activate the exact underlying legal requirement separately.</x:v>
      </x:c>
      <x:c r="E2310" s="33" t="str">
        <x:v>CORRECT / RECLASSIFY</x:v>
      </x:c>
      <x:c r="F2310" s="33" t="str">
        <x:v>Align requirements to corrected substantive provisions and applicability classifications.</x:v>
      </x:c>
      <x:c r="G2310" s="33" t="str">
        <x:v>P-4 official-source validation</x:v>
      </x:c>
      <x:c r="H231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10" s="33" t="str">
        <x:v>P-4</x:v>
      </x:c>
      <x:c r="J2310" s="33" t="str">
        <x:v>2026-08-20</x:v>
      </x:c>
      <x:c r="K2310" s="33" t="str">
        <x:v>Compliance IDs preserved; mandatory/conditional/optional status corrected.</x:v>
      </x:c>
    </x:row>
    <x:row r="2311">
      <x:c r="A2311" s="33" t="str">
        <x:v>ACOMP006</x:v>
      </x:c>
      <x:c r="B2311" s="33" t="str">
        <x:v>Compliance Requirement Master</x:v>
      </x:c>
      <x:c r="C2311" s="33" t="str">
        <x:v>Applicability=Mandatory; Remarks=Implementation Method: SOP compliance verification. | Evidence indicator retained in Evidence Master: Traditional dispensing records.</x:v>
      </x:c>
      <x:c r="D2311" s="33" t="str">
        <x:v>Applicability=Optional; Remarks=P-4 entity-specific internal control; no independent statutory force. Activate the exact underlying legal requirement separately.</x:v>
      </x:c>
      <x:c r="E2311" s="33" t="str">
        <x:v>CORRECT / RECLASSIFY</x:v>
      </x:c>
      <x:c r="F2311" s="33" t="str">
        <x:v>Align requirements to corrected substantive provisions and applicability classifications.</x:v>
      </x:c>
      <x:c r="G2311" s="33" t="str">
        <x:v>P-4 official-source validation</x:v>
      </x:c>
      <x:c r="H231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11" s="33" t="str">
        <x:v>P-4</x:v>
      </x:c>
      <x:c r="J2311" s="33" t="str">
        <x:v>2026-08-20</x:v>
      </x:c>
      <x:c r="K2311" s="33" t="str">
        <x:v>Compliance IDs preserved; mandatory/conditional/optional status corrected.</x:v>
      </x:c>
    </x:row>
    <x:row r="2312">
      <x:c r="A2312" s="33" t="str">
        <x:v>ACOMP007</x:v>
      </x:c>
      <x:c r="B2312" s="33" t="str">
        <x:v>Compliance Requirement Master</x:v>
      </x:c>
      <x:c r="C2312" s="33" t="str">
        <x:v>Applicability=Mandatory; Remarks=Implementation Method: Patient counselling protocol. | Evidence indicator retained in Evidence Master: Patient counselling records.</x:v>
      </x:c>
      <x:c r="D2312" s="33" t="str">
        <x:v>Applicability=Optional; Remarks=P-4 entity-specific internal control; no independent statutory force. Activate the exact underlying legal requirement separately.</x:v>
      </x:c>
      <x:c r="E2312" s="33" t="str">
        <x:v>CORRECT / RECLASSIFY</x:v>
      </x:c>
      <x:c r="F2312" s="33" t="str">
        <x:v>Align requirements to corrected substantive provisions and applicability classifications.</x:v>
      </x:c>
      <x:c r="G2312" s="33" t="str">
        <x:v>P-4 official-source validation</x:v>
      </x:c>
      <x:c r="H231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12" s="33" t="str">
        <x:v>P-4</x:v>
      </x:c>
      <x:c r="J2312" s="33" t="str">
        <x:v>2026-08-20</x:v>
      </x:c>
      <x:c r="K2312" s="33" t="str">
        <x:v>Compliance IDs preserved; mandatory/conditional/optional status corrected.</x:v>
      </x:c>
    </x:row>
    <x:row r="2313">
      <x:c r="A2313" s="33" t="str">
        <x:v>ACOMP008</x:v>
      </x:c>
      <x:c r="B2313" s="33" t="str">
        <x:v>Compliance Requirement Master</x:v>
      </x:c>
      <x:c r="C2313" s="33" t="str">
        <x:v>Applicability=Mandatory; Remarks=Implementation Method: Documentation review programme. | Evidence indicator retained in Evidence Master: Formulation reference records.</x:v>
      </x:c>
      <x:c r="D2313" s="33" t="str">
        <x:v>Applicability=Optional; Remarks=P-4 entity-specific internal control; no independent statutory force. Activate the exact underlying legal requirement separately.</x:v>
      </x:c>
      <x:c r="E2313" s="33" t="str">
        <x:v>CORRECT / RECLASSIFY</x:v>
      </x:c>
      <x:c r="F2313" s="33" t="str">
        <x:v>Align requirements to corrected substantive provisions and applicability classifications.</x:v>
      </x:c>
      <x:c r="G2313" s="33" t="str">
        <x:v>P-4 official-source validation</x:v>
      </x:c>
      <x:c r="H231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13" s="33" t="str">
        <x:v>P-4</x:v>
      </x:c>
      <x:c r="J2313" s="33" t="str">
        <x:v>2026-08-20</x:v>
      </x:c>
      <x:c r="K2313" s="33" t="str">
        <x:v>Compliance IDs preserved; mandatory/conditional/optional status corrected.</x:v>
      </x:c>
    </x:row>
    <x:row r="2314">
      <x:c r="A2314" s="33" t="str">
        <x:v>ACOMP009</x:v>
      </x:c>
      <x:c r="B2314" s="33" t="str">
        <x:v>Compliance Requirement Master</x:v>
      </x:c>
      <x:c r="C2314" s="33" t="str">
        <x:v>Applicability=Mandatory; Remarks=Implementation Method: QA review programme. | Evidence indicator retained in Evidence Master: QA reports and CAPA records.</x:v>
      </x:c>
      <x:c r="D2314" s="33" t="str">
        <x:v>Applicability=Optional; Remarks=P-4 entity-specific internal control; no independent statutory force. Activate the exact underlying legal requirement separately.</x:v>
      </x:c>
      <x:c r="E2314" s="33" t="str">
        <x:v>CORRECT / RECLASSIFY</x:v>
      </x:c>
      <x:c r="F2314" s="33" t="str">
        <x:v>Align requirements to corrected substantive provisions and applicability classifications.</x:v>
      </x:c>
      <x:c r="G2314" s="33" t="str">
        <x:v>P-4 official-source validation</x:v>
      </x:c>
      <x:c r="H231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14" s="33" t="str">
        <x:v>P-4</x:v>
      </x:c>
      <x:c r="J2314" s="33" t="str">
        <x:v>2026-08-20</x:v>
      </x:c>
      <x:c r="K2314" s="33" t="str">
        <x:v>Compliance IDs preserved; mandatory/conditional/optional status corrected.</x:v>
      </x:c>
    </x:row>
    <x:row r="2315">
      <x:c r="A2315" s="33" t="str">
        <x:v>ACOMP010</x:v>
      </x:c>
      <x:c r="B2315" s="33" t="str">
        <x:v>Compliance Requirement Master</x:v>
      </x:c>
      <x:c r="C2315" s="33" t="str">
        <x:v>Applicability=Mandatory; Remarks=Implementation Method: Regulatory update monitoring. | Evidence indicator retained in Evidence Master: Regulatory update tracker.</x:v>
      </x:c>
      <x:c r="D2315" s="33" t="str">
        <x:v>Applicability=Optional; Remarks=P-4 entity-specific internal control; no independent statutory force. Activate the exact underlying legal requirement separately.</x:v>
      </x:c>
      <x:c r="E2315" s="33" t="str">
        <x:v>CORRECT / RECLASSIFY</x:v>
      </x:c>
      <x:c r="F2315" s="33" t="str">
        <x:v>Align requirements to corrected substantive provisions and applicability classifications.</x:v>
      </x:c>
      <x:c r="G2315" s="33" t="str">
        <x:v>P-4 official-source validation</x:v>
      </x:c>
      <x:c r="H231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15" s="33" t="str">
        <x:v>P-4</x:v>
      </x:c>
      <x:c r="J2315" s="33" t="str">
        <x:v>2026-08-20</x:v>
      </x:c>
      <x:c r="K2315" s="33" t="str">
        <x:v>Compliance IDs preserved; mandatory/conditional/optional status corrected.</x:v>
      </x:c>
    </x:row>
    <x:row r="2316">
      <x:c r="A2316" s="33" t="str">
        <x:v>ACOMP011</x:v>
      </x:c>
      <x:c r="B2316" s="33" t="str">
        <x:v>Compliance Requirement Master</x:v>
      </x:c>
      <x:c r="C2316" s="33" t="str">
        <x:v>Applicability=Mandatory; Remarks=Implementation Method: Recall management programme. | Evidence indicator retained in Evidence Master: Recall register and effectiveness reports.</x:v>
      </x:c>
      <x:c r="D2316" s="33" t="str">
        <x:v>Applicability=Optional; Remarks=P-4 entity-specific internal control; no independent statutory force. Activate the exact underlying legal requirement separately.</x:v>
      </x:c>
      <x:c r="E2316" s="33" t="str">
        <x:v>CORRECT / RECLASSIFY</x:v>
      </x:c>
      <x:c r="F2316" s="33" t="str">
        <x:v>Align requirements to corrected substantive provisions and applicability classifications.</x:v>
      </x:c>
      <x:c r="G2316" s="33" t="str">
        <x:v>P-4 official-source validation</x:v>
      </x:c>
      <x:c r="H231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16" s="33" t="str">
        <x:v>P-4</x:v>
      </x:c>
      <x:c r="J2316" s="33" t="str">
        <x:v>2026-08-20</x:v>
      </x:c>
      <x:c r="K2316" s="33" t="str">
        <x:v>Compliance IDs preserved; mandatory/conditional/optional status corrected.</x:v>
      </x:c>
    </x:row>
    <x:row r="2317">
      <x:c r="A2317" s="33" t="str">
        <x:v>ACOMP012</x:v>
      </x:c>
      <x:c r="B2317" s="33" t="str">
        <x:v>Compliance Requirement Master</x:v>
      </x:c>
      <x:c r="C2317" s="33" t="str">
        <x:v>Applicability=Mandatory; Remarks=Implementation Method: Expiry monitoring programme. | Evidence indicator retained in Evidence Master: Expiry monitoring reports and segregation records.</x:v>
      </x:c>
      <x:c r="D2317" s="33" t="str">
        <x:v>Applicability=Optional; Remarks=P-4 entity-specific internal control; no independent statutory force. Activate the exact underlying legal requirement separately.</x:v>
      </x:c>
      <x:c r="E2317" s="33" t="str">
        <x:v>CORRECT / RECLASSIFY</x:v>
      </x:c>
      <x:c r="F2317" s="33" t="str">
        <x:v>Align requirements to corrected substantive provisions and applicability classifications.</x:v>
      </x:c>
      <x:c r="G2317" s="33" t="str">
        <x:v>P-4 official-source validation</x:v>
      </x:c>
      <x:c r="H231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17" s="33" t="str">
        <x:v>P-4</x:v>
      </x:c>
      <x:c r="J2317" s="33" t="str">
        <x:v>2026-08-20</x:v>
      </x:c>
      <x:c r="K2317" s="33" t="str">
        <x:v>Compliance IDs preserved; mandatory/conditional/optional status corrected.</x:v>
      </x:c>
    </x:row>
    <x:row r="2318">
      <x:c r="A2318" s="33" t="str">
        <x:v>ACOMP013</x:v>
      </x:c>
      <x:c r="B2318" s="33" t="str">
        <x:v>Compliance Requirement Master</x:v>
      </x:c>
      <x:c r="C2318" s="33" t="str">
        <x:v>Applicability=Mandatory; Remarks=Implementation Method: Prescription verification procedure. | Evidence indicator retained in Evidence Master: Prescription verification records.</x:v>
      </x:c>
      <x:c r="D2318" s="33" t="str">
        <x:v>Applicability=Optional; Remarks=P-4 entity-specific internal control; no independent statutory force. Activate the exact underlying legal requirement separately.</x:v>
      </x:c>
      <x:c r="E2318" s="33" t="str">
        <x:v>CORRECT / RECLASSIFY</x:v>
      </x:c>
      <x:c r="F2318" s="33" t="str">
        <x:v>Align requirements to corrected substantive provisions and applicability classifications.</x:v>
      </x:c>
      <x:c r="G2318" s="33" t="str">
        <x:v>P-4 official-source validation</x:v>
      </x:c>
      <x:c r="H231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18" s="33" t="str">
        <x:v>P-4</x:v>
      </x:c>
      <x:c r="J2318" s="33" t="str">
        <x:v>2026-08-20</x:v>
      </x:c>
      <x:c r="K2318" s="33" t="str">
        <x:v>Compliance IDs preserved; mandatory/conditional/optional status corrected.</x:v>
      </x:c>
    </x:row>
    <x:row r="2319">
      <x:c r="A2319" s="33" t="str">
        <x:v>ACOMP014</x:v>
      </x:c>
      <x:c r="B2319" s="33" t="str">
        <x:v>Compliance Requirement Master</x:v>
      </x:c>
      <x:c r="C2319" s="33" t="str">
        <x:v>Applicability=Mandatory; Remarks=Implementation Method: Documentation completeness review. | Evidence indicator retained in Evidence Master: AYUSH dispensing records.</x:v>
      </x:c>
      <x:c r="D2319" s="33" t="str">
        <x:v>Applicability=Optional; Remarks=P-4 entity-specific internal control; no independent statutory force. Activate the exact underlying legal requirement separately.</x:v>
      </x:c>
      <x:c r="E2319" s="33" t="str">
        <x:v>CORRECT / RECLASSIFY</x:v>
      </x:c>
      <x:c r="F2319" s="33" t="str">
        <x:v>Align requirements to corrected substantive provisions and applicability classifications.</x:v>
      </x:c>
      <x:c r="G2319" s="33" t="str">
        <x:v>P-4 official-source validation</x:v>
      </x:c>
      <x:c r="H231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19" s="33" t="str">
        <x:v>P-4</x:v>
      </x:c>
      <x:c r="J2319" s="33" t="str">
        <x:v>2026-08-20</x:v>
      </x:c>
      <x:c r="K2319" s="33" t="str">
        <x:v>Compliance IDs preserved; mandatory/conditional/optional status corrected.</x:v>
      </x:c>
    </x:row>
    <x:row r="2320">
      <x:c r="A2320" s="33" t="str">
        <x:v>ACOMP015</x:v>
      </x:c>
      <x:c r="B2320" s="33" t="str">
        <x:v>Compliance Requirement Master</x:v>
      </x:c>
      <x:c r="C2320" s="33" t="str">
        <x:v>Applicability=Mandatory; Remarks=Implementation Method: Competency assessment programme. | Evidence indicator retained in Evidence Master: Competency matrix and training records.</x:v>
      </x:c>
      <x:c r="D2320" s="33" t="str">
        <x:v>Applicability=Optional; Remarks=P-4 entity-specific internal control; no independent statutory force. Activate the exact underlying legal requirement separately.</x:v>
      </x:c>
      <x:c r="E2320" s="33" t="str">
        <x:v>CORRECT / RECLASSIFY</x:v>
      </x:c>
      <x:c r="F2320" s="33" t="str">
        <x:v>Align requirements to corrected substantive provisions and applicability classifications.</x:v>
      </x:c>
      <x:c r="G2320" s="33" t="str">
        <x:v>P-4 official-source validation</x:v>
      </x:c>
      <x:c r="H232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20" s="33" t="str">
        <x:v>P-4</x:v>
      </x:c>
      <x:c r="J2320" s="33" t="str">
        <x:v>2026-08-20</x:v>
      </x:c>
      <x:c r="K2320" s="33" t="str">
        <x:v>Compliance IDs preserved; mandatory/conditional/optional status corrected.</x:v>
      </x:c>
    </x:row>
    <x:row r="2321">
      <x:c r="A2321" s="33" t="str">
        <x:v>ACOMP016</x:v>
      </x:c>
      <x:c r="B2321" s="33" t="str">
        <x:v>Compliance Requirement Master</x:v>
      </x:c>
      <x:c r="C2321" s="33" t="str">
        <x:v>Applicability=Mandatory; Remarks=Implementation Method: Supplier performance review. | Evidence indicator retained in Evidence Master: Supplier evaluation reports.</x:v>
      </x:c>
      <x:c r="D2321" s="33" t="str">
        <x:v>Applicability=Optional; Remarks=P-4 entity-specific internal control; no independent statutory force. Activate the exact underlying legal requirement separately.</x:v>
      </x:c>
      <x:c r="E2321" s="33" t="str">
        <x:v>CORRECT / RECLASSIFY</x:v>
      </x:c>
      <x:c r="F2321" s="33" t="str">
        <x:v>Align requirements to corrected substantive provisions and applicability classifications.</x:v>
      </x:c>
      <x:c r="G2321" s="33" t="str">
        <x:v>P-4 official-source validation</x:v>
      </x:c>
      <x:c r="H232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21" s="33" t="str">
        <x:v>P-4</x:v>
      </x:c>
      <x:c r="J2321" s="33" t="str">
        <x:v>2026-08-20</x:v>
      </x:c>
      <x:c r="K2321" s="33" t="str">
        <x:v>Compliance IDs preserved; mandatory/conditional/optional status corrected.</x:v>
      </x:c>
    </x:row>
    <x:row r="2322">
      <x:c r="A2322" s="33" t="str">
        <x:v>ACOMP017</x:v>
      </x:c>
      <x:c r="B2322" s="33" t="str">
        <x:v>Compliance Requirement Master</x:v>
      </x:c>
      <x:c r="C2322" s="33" t="str">
        <x:v>Applicability=Mandatory; Remarks=Implementation Method: Compliance reporting programme. | Evidence indicator retained in Evidence Master: Compliance reports and management review records.</x:v>
      </x:c>
      <x:c r="D2322" s="33" t="str">
        <x:v>Applicability=Optional; Remarks=P-4 entity-specific internal control; no independent statutory force. Activate the exact underlying legal requirement separately.</x:v>
      </x:c>
      <x:c r="E2322" s="33" t="str">
        <x:v>CORRECT / RECLASSIFY</x:v>
      </x:c>
      <x:c r="F2322" s="33" t="str">
        <x:v>Align requirements to corrected substantive provisions and applicability classifications.</x:v>
      </x:c>
      <x:c r="G2322" s="33" t="str">
        <x:v>P-4 official-source validation</x:v>
      </x:c>
      <x:c r="H232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22" s="33" t="str">
        <x:v>P-4</x:v>
      </x:c>
      <x:c r="J2322" s="33" t="str">
        <x:v>2026-08-20</x:v>
      </x:c>
      <x:c r="K2322" s="33" t="str">
        <x:v>Compliance IDs preserved; mandatory/conditional/optional status corrected.</x:v>
      </x:c>
    </x:row>
    <x:row r="2323">
      <x:c r="A2323" s="33" t="str">
        <x:v>ACOMP018</x:v>
      </x:c>
      <x:c r="B2323" s="33" t="str">
        <x:v>Compliance Requirement Master</x:v>
      </x:c>
      <x:c r="C2323" s="33" t="str">
        <x:v>Applicability=Mandatory; Remarks=Implementation Method: CAPA management process. | Evidence indicator retained in Evidence Master: CAPA register and effectiveness review.</x:v>
      </x:c>
      <x:c r="D2323" s="33" t="str">
        <x:v>Applicability=Optional; Remarks=P-4 entity-specific internal control; no independent statutory force. Activate the exact underlying legal requirement separately.</x:v>
      </x:c>
      <x:c r="E2323" s="33" t="str">
        <x:v>CORRECT / RECLASSIFY</x:v>
      </x:c>
      <x:c r="F2323" s="33" t="str">
        <x:v>Align requirements to corrected substantive provisions and applicability classifications.</x:v>
      </x:c>
      <x:c r="G2323" s="33" t="str">
        <x:v>P-4 official-source validation</x:v>
      </x:c>
      <x:c r="H232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23" s="33" t="str">
        <x:v>P-4</x:v>
      </x:c>
      <x:c r="J2323" s="33" t="str">
        <x:v>2026-08-20</x:v>
      </x:c>
      <x:c r="K2323" s="33" t="str">
        <x:v>Compliance IDs preserved; mandatory/conditional/optional status corrected.</x:v>
      </x:c>
    </x:row>
    <x:row r="2324">
      <x:c r="A2324" s="33" t="str">
        <x:v>ACOMP019</x:v>
      </x:c>
      <x:c r="B2324" s="33" t="str">
        <x:v>Compliance Requirement Master</x:v>
      </x:c>
      <x:c r="C2324" s="33" t="str">
        <x:v>Applicability=Mandatory; Remarks=Implementation Method: Internal quality review programme. | Evidence indicator retained in Evidence Master: Internal review reports.</x:v>
      </x:c>
      <x:c r="D2324" s="33" t="str">
        <x:v>Applicability=Optional; Remarks=P-4 entity-specific internal control; no independent statutory force. Activate the exact underlying legal requirement separately.</x:v>
      </x:c>
      <x:c r="E2324" s="33" t="str">
        <x:v>CORRECT / RECLASSIFY</x:v>
      </x:c>
      <x:c r="F2324" s="33" t="str">
        <x:v>Align requirements to corrected substantive provisions and applicability classifications.</x:v>
      </x:c>
      <x:c r="G2324" s="33" t="str">
        <x:v>P-4 official-source validation</x:v>
      </x:c>
      <x:c r="H232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24" s="33" t="str">
        <x:v>P-4</x:v>
      </x:c>
      <x:c r="J2324" s="33" t="str">
        <x:v>2026-08-20</x:v>
      </x:c>
      <x:c r="K2324" s="33" t="str">
        <x:v>Compliance IDs preserved; mandatory/conditional/optional status corrected.</x:v>
      </x:c>
    </x:row>
    <x:row r="2325">
      <x:c r="A2325" s="33" t="str">
        <x:v>ACOMP020</x:v>
      </x:c>
      <x:c r="B2325" s="33" t="str">
        <x:v>Compliance Requirement Master</x:v>
      </x:c>
      <x:c r="C2325" s="33" t="str">
        <x:v>Applicability=Mandatory; Remarks=Implementation Method: Governance assessment methodology. | Evidence indicator retained in Evidence Master: Governance review reports and maturity assessment.</x:v>
      </x:c>
      <x:c r="D2325" s="33" t="str">
        <x:v>Applicability=Optional; Remarks=P-4 entity-specific internal control; no independent statutory force. Activate the exact underlying legal requirement separately.</x:v>
      </x:c>
      <x:c r="E2325" s="33" t="str">
        <x:v>CORRECT / RECLASSIFY</x:v>
      </x:c>
      <x:c r="F2325" s="33" t="str">
        <x:v>Align requirements to corrected substantive provisions and applicability classifications.</x:v>
      </x:c>
      <x:c r="G2325" s="33" t="str">
        <x:v>P-4 official-source validation</x:v>
      </x:c>
      <x:c r="H232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25" s="33" t="str">
        <x:v>P-4</x:v>
      </x:c>
      <x:c r="J2325" s="33" t="str">
        <x:v>2026-08-20</x:v>
      </x:c>
      <x:c r="K2325" s="33" t="str">
        <x:v>Compliance IDs preserved; mandatory/conditional/optional status corrected.</x:v>
      </x:c>
    </x:row>
    <x:row r="2326">
      <x:c r="A2326" s="33" t="str">
        <x:v>COMP037</x:v>
      </x:c>
      <x:c r="B2326" s="33" t="str">
        <x:v>Compliance Requirement Master</x:v>
      </x:c>
      <x:c r="C2326" s="33" t="str">
        <x:v>Active=Yes; Remarks=Controlled substances</x:v>
      </x:c>
      <x:c r="D2326" s="33" t="str">
        <x:v>Active=No; Remarks=P-4 QUARANTINED with inactive parent provision; legacy ID retained.</x:v>
      </x:c>
      <x:c r="E2326" s="33" t="str">
        <x:v>CORRECT / RECLASSIFY</x:v>
      </x:c>
      <x:c r="F2326" s="33" t="str">
        <x:v>Align requirements to corrected substantive provisions and applicability classifications.</x:v>
      </x:c>
      <x:c r="G2326" s="33" t="str">
        <x:v>P-4 official-source validation</x:v>
      </x:c>
      <x:c r="H232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26" s="33" t="str">
        <x:v>P-4</x:v>
      </x:c>
      <x:c r="J2326" s="33" t="str">
        <x:v>2026-08-20</x:v>
      </x:c>
      <x:c r="K2326" s="33" t="str">
        <x:v>Compliance IDs preserved; mandatory/conditional/optional status corrected.</x:v>
      </x:c>
    </x:row>
    <x:row r="2327">
      <x:c r="A2327" s="33" t="str">
        <x:v>COMP038</x:v>
      </x:c>
      <x:c r="B2327" s="33" t="str">
        <x:v>Compliance Requirement Master</x:v>
      </x:c>
      <x:c r="C2327" s="33" t="str">
        <x:v>Active=Yes; Remarks=State NDPS controls</x:v>
      </x:c>
      <x:c r="D2327" s="33" t="str">
        <x:v>Active=No; Remarks=P-4 QUARANTINED with inactive parent provision; legacy ID retained.</x:v>
      </x:c>
      <x:c r="E2327" s="33" t="str">
        <x:v>CORRECT / RECLASSIFY</x:v>
      </x:c>
      <x:c r="F2327" s="33" t="str">
        <x:v>Align requirements to corrected substantive provisions and applicability classifications.</x:v>
      </x:c>
      <x:c r="G2327" s="33" t="str">
        <x:v>P-4 official-source validation</x:v>
      </x:c>
      <x:c r="H232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27" s="33" t="str">
        <x:v>P-4</x:v>
      </x:c>
      <x:c r="J2327" s="33" t="str">
        <x:v>2026-08-20</x:v>
      </x:c>
      <x:c r="K2327" s="33" t="str">
        <x:v>Compliance IDs preserved; mandatory/conditional/optional status corrected.</x:v>
      </x:c>
    </x:row>
    <x:row r="2328">
      <x:c r="A2328" s="33" t="str">
        <x:v>COMP039</x:v>
      </x:c>
      <x:c r="B2328" s="33" t="str">
        <x:v>Compliance Requirement Master</x:v>
      </x:c>
      <x:c r="C2328" s="33" t="str">
        <x:v>Active=Yes; Remarks=Secure custody</x:v>
      </x:c>
      <x:c r="D2328" s="33" t="str">
        <x:v>Active=No; Remarks=P-4 QUARANTINED with inactive parent provision; legacy ID retained.</x:v>
      </x:c>
      <x:c r="E2328" s="33" t="str">
        <x:v>CORRECT / RECLASSIFY</x:v>
      </x:c>
      <x:c r="F2328" s="33" t="str">
        <x:v>Align requirements to corrected substantive provisions and applicability classifications.</x:v>
      </x:c>
      <x:c r="G2328" s="33" t="str">
        <x:v>P-4 official-source validation</x:v>
      </x:c>
      <x:c r="H232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28" s="33" t="str">
        <x:v>P-4</x:v>
      </x:c>
      <x:c r="J2328" s="33" t="str">
        <x:v>2026-08-20</x:v>
      </x:c>
      <x:c r="K2328" s="33" t="str">
        <x:v>Compliance IDs preserved; mandatory/conditional/optional status corrected.</x:v>
      </x:c>
    </x:row>
    <x:row r="2329">
      <x:c r="A2329" s="33" t="str">
        <x:v>COMP040</x:v>
      </x:c>
      <x:c r="B2329" s="33" t="str">
        <x:v>Compliance Requirement Master</x:v>
      </x:c>
      <x:c r="C2329" s="33" t="str">
        <x:v>Active=Yes; Remarks=Concurrent legal applicability</x:v>
      </x:c>
      <x:c r="D2329" s="33" t="str">
        <x:v>Active=No; Remarks=P-4 QUARANTINED with inactive parent provision; legacy ID retained.</x:v>
      </x:c>
      <x:c r="E2329" s="33" t="str">
        <x:v>CORRECT / RECLASSIFY</x:v>
      </x:c>
      <x:c r="F2329" s="33" t="str">
        <x:v>Align requirements to corrected substantive provisions and applicability classifications.</x:v>
      </x:c>
      <x:c r="G2329" s="33" t="str">
        <x:v>P-4 official-source validation</x:v>
      </x:c>
      <x:c r="H232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29" s="33" t="str">
        <x:v>P-4</x:v>
      </x:c>
      <x:c r="J2329" s="33" t="str">
        <x:v>2026-08-20</x:v>
      </x:c>
      <x:c r="K2329" s="33" t="str">
        <x:v>Compliance IDs preserved; mandatory/conditional/optional status corrected.</x:v>
      </x:c>
    </x:row>
    <x:row r="2330">
      <x:c r="A2330" s="33" t="str">
        <x:v>COMP146</x:v>
      </x:c>
      <x:c r="B2330" s="33" t="str">
        <x:v>Compliance Requirement Master</x:v>
      </x:c>
      <x:c r="C2330" s="33" t="str">
        <x:v>Active=Yes; Remarks=Import authorization</x:v>
      </x:c>
      <x:c r="D2330" s="33" t="str">
        <x:v>Active=No; Remarks=P-4 QUARANTINED with inactive parent provision; legacy ID retained.</x:v>
      </x:c>
      <x:c r="E2330" s="33" t="str">
        <x:v>CORRECT / RECLASSIFY</x:v>
      </x:c>
      <x:c r="F2330" s="33" t="str">
        <x:v>Align requirements to corrected substantive provisions and applicability classifications.</x:v>
      </x:c>
      <x:c r="G2330" s="33" t="str">
        <x:v>P-4 official-source validation</x:v>
      </x:c>
      <x:c r="H233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30" s="33" t="str">
        <x:v>P-4</x:v>
      </x:c>
      <x:c r="J2330" s="33" t="str">
        <x:v>2026-08-20</x:v>
      </x:c>
      <x:c r="K2330" s="33" t="str">
        <x:v>Compliance IDs preserved; mandatory/conditional/optional status corrected.</x:v>
      </x:c>
    </x:row>
    <x:row r="2331">
      <x:c r="A2331" s="33" t="str">
        <x:v>COMP147</x:v>
      </x:c>
      <x:c r="B2331" s="33" t="str">
        <x:v>Compliance Requirement Master</x:v>
      </x:c>
      <x:c r="C2331" s="33" t="str">
        <x:v>Active=Yes; Remarks=Import records</x:v>
      </x:c>
      <x:c r="D2331" s="33" t="str">
        <x:v>Active=No; Remarks=P-4 QUARANTINED with inactive parent provision; legacy ID retained.</x:v>
      </x:c>
      <x:c r="E2331" s="33" t="str">
        <x:v>CORRECT / RECLASSIFY</x:v>
      </x:c>
      <x:c r="F2331" s="33" t="str">
        <x:v>Align requirements to corrected substantive provisions and applicability classifications.</x:v>
      </x:c>
      <x:c r="G2331" s="33" t="str">
        <x:v>P-4 official-source validation</x:v>
      </x:c>
      <x:c r="H233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31" s="33" t="str">
        <x:v>P-4</x:v>
      </x:c>
      <x:c r="J2331" s="33" t="str">
        <x:v>2026-08-20</x:v>
      </x:c>
      <x:c r="K2331" s="33" t="str">
        <x:v>Compliance IDs preserved; mandatory/conditional/optional status corrected.</x:v>
      </x:c>
    </x:row>
    <x:row r="2332">
      <x:c r="A2332" s="33" t="str">
        <x:v>COMP148</x:v>
      </x:c>
      <x:c r="B2332" s="33" t="str">
        <x:v>Compliance Requirement Master</x:v>
      </x:c>
      <x:c r="C2332" s="33" t="str">
        <x:v>Active=Yes; Remarks=Export certification</x:v>
      </x:c>
      <x:c r="D2332" s="33" t="str">
        <x:v>Active=No; Remarks=P-4 QUARANTINED with inactive parent provision; legacy ID retained.</x:v>
      </x:c>
      <x:c r="E2332" s="33" t="str">
        <x:v>CORRECT / RECLASSIFY</x:v>
      </x:c>
      <x:c r="F2332" s="33" t="str">
        <x:v>Align requirements to corrected substantive provisions and applicability classifications.</x:v>
      </x:c>
      <x:c r="G2332" s="33" t="str">
        <x:v>P-4 official-source validation</x:v>
      </x:c>
      <x:c r="H233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32" s="33" t="str">
        <x:v>P-4</x:v>
      </x:c>
      <x:c r="J2332" s="33" t="str">
        <x:v>2026-08-20</x:v>
      </x:c>
      <x:c r="K2332" s="33" t="str">
        <x:v>Compliance IDs preserved; mandatory/conditional/optional status corrected.</x:v>
      </x:c>
    </x:row>
    <x:row r="2333">
      <x:c r="A2333" s="33" t="str">
        <x:v>COMP149</x:v>
      </x:c>
      <x:c r="B2333" s="33" t="str">
        <x:v>Compliance Requirement Master</x:v>
      </x:c>
      <x:c r="C2333" s="33" t="str">
        <x:v>Active=Yes; Remarks=Export documentation</x:v>
      </x:c>
      <x:c r="D2333" s="33" t="str">
        <x:v>Active=No; Remarks=P-4 QUARANTINED with inactive parent provision; legacy ID retained.</x:v>
      </x:c>
      <x:c r="E2333" s="33" t="str">
        <x:v>CORRECT / RECLASSIFY</x:v>
      </x:c>
      <x:c r="F2333" s="33" t="str">
        <x:v>Align requirements to corrected substantive provisions and applicability classifications.</x:v>
      </x:c>
      <x:c r="G2333" s="33" t="str">
        <x:v>P-4 official-source validation</x:v>
      </x:c>
      <x:c r="H233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33" s="33" t="str">
        <x:v>P-4</x:v>
      </x:c>
      <x:c r="J2333" s="33" t="str">
        <x:v>2026-08-20</x:v>
      </x:c>
      <x:c r="K2333" s="33" t="str">
        <x:v>Compliance IDs preserved; mandatory/conditional/optional status corrected.</x:v>
      </x:c>
    </x:row>
    <x:row r="2334">
      <x:c r="A2334" s="33" t="str">
        <x:v>COMP150</x:v>
      </x:c>
      <x:c r="B2334" s="33" t="str">
        <x:v>Compliance Requirement Master</x:v>
      </x:c>
      <x:c r="C2334" s="33" t="str">
        <x:v>Active=Yes; Remarks=Export traceability</x:v>
      </x:c>
      <x:c r="D2334" s="33" t="str">
        <x:v>Active=No; Remarks=P-4 QUARANTINED with inactive parent provision; legacy ID retained.</x:v>
      </x:c>
      <x:c r="E2334" s="33" t="str">
        <x:v>CORRECT / RECLASSIFY</x:v>
      </x:c>
      <x:c r="F2334" s="33" t="str">
        <x:v>Align requirements to corrected substantive provisions and applicability classifications.</x:v>
      </x:c>
      <x:c r="G2334" s="33" t="str">
        <x:v>P-4 official-source validation</x:v>
      </x:c>
      <x:c r="H233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34" s="33" t="str">
        <x:v>P-4</x:v>
      </x:c>
      <x:c r="J2334" s="33" t="str">
        <x:v>2026-08-20</x:v>
      </x:c>
      <x:c r="K2334" s="33" t="str">
        <x:v>Compliance IDs preserved; mandatory/conditional/optional status corrected.</x:v>
      </x:c>
    </x:row>
    <x:row r="2335">
      <x:c r="A2335" s="33" t="str">
        <x:v>COMP151</x:v>
      </x:c>
      <x:c r="B2335" s="33" t="str">
        <x:v>Compliance Requirement Master</x:v>
      </x:c>
      <x:c r="C2335" s="33" t="str">
        <x:v>Active=Yes; Remarks=State-specific licensing</x:v>
      </x:c>
      <x:c r="D2335" s="33" t="str">
        <x:v>Active=No; Remarks=P-4 QUARANTINED with inactive parent provision; legacy ID retained.</x:v>
      </x:c>
      <x:c r="E2335" s="33" t="str">
        <x:v>CORRECT / RECLASSIFY</x:v>
      </x:c>
      <x:c r="F2335" s="33" t="str">
        <x:v>Align requirements to corrected substantive provisions and applicability classifications.</x:v>
      </x:c>
      <x:c r="G2335" s="33" t="str">
        <x:v>P-4 official-source validation</x:v>
      </x:c>
      <x:c r="H233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35" s="33" t="str">
        <x:v>P-4</x:v>
      </x:c>
      <x:c r="J2335" s="33" t="str">
        <x:v>2026-08-20</x:v>
      </x:c>
      <x:c r="K2335" s="33" t="str">
        <x:v>Compliance IDs preserved; mandatory/conditional/optional status corrected.</x:v>
      </x:c>
    </x:row>
    <x:row r="2336">
      <x:c r="A2336" s="33" t="str">
        <x:v>COMP152</x:v>
      </x:c>
      <x:c r="B2336" s="33" t="str">
        <x:v>Compliance Requirement Master</x:v>
      </x:c>
      <x:c r="C2336" s="33" t="str">
        <x:v>Active=Yes; Remarks=Licence renewal</x:v>
      </x:c>
      <x:c r="D2336" s="33" t="str">
        <x:v>Active=No; Remarks=P-4 QUARANTINED with inactive parent provision; legacy ID retained.</x:v>
      </x:c>
      <x:c r="E2336" s="33" t="str">
        <x:v>CORRECT / RECLASSIFY</x:v>
      </x:c>
      <x:c r="F2336" s="33" t="str">
        <x:v>Align requirements to corrected substantive provisions and applicability classifications.</x:v>
      </x:c>
      <x:c r="G2336" s="33" t="str">
        <x:v>P-4 official-source validation</x:v>
      </x:c>
      <x:c r="H233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36" s="33" t="str">
        <x:v>P-4</x:v>
      </x:c>
      <x:c r="J2336" s="33" t="str">
        <x:v>2026-08-20</x:v>
      </x:c>
      <x:c r="K2336" s="33" t="str">
        <x:v>Compliance IDs preserved; mandatory/conditional/optional status corrected.</x:v>
      </x:c>
    </x:row>
    <x:row r="2337">
      <x:c r="A2337" s="33" t="str">
        <x:v>COMP153</x:v>
      </x:c>
      <x:c r="B2337" s="33" t="str">
        <x:v>Compliance Requirement Master</x:v>
      </x:c>
      <x:c r="C2337" s="33" t="str">
        <x:v>Active=Yes; Remarks=Licence amendment</x:v>
      </x:c>
      <x:c r="D2337" s="33" t="str">
        <x:v>Active=No; Remarks=P-4 QUARANTINED with inactive parent provision; legacy ID retained.</x:v>
      </x:c>
      <x:c r="E2337" s="33" t="str">
        <x:v>CORRECT / RECLASSIFY</x:v>
      </x:c>
      <x:c r="F2337" s="33" t="str">
        <x:v>Align requirements to corrected substantive provisions and applicability classifications.</x:v>
      </x:c>
      <x:c r="G2337" s="33" t="str">
        <x:v>P-4 official-source validation</x:v>
      </x:c>
      <x:c r="H233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37" s="33" t="str">
        <x:v>P-4</x:v>
      </x:c>
      <x:c r="J2337" s="33" t="str">
        <x:v>2026-08-20</x:v>
      </x:c>
      <x:c r="K2337" s="33" t="str">
        <x:v>Compliance IDs preserved; mandatory/conditional/optional status corrected.</x:v>
      </x:c>
    </x:row>
    <x:row r="2338">
      <x:c r="A2338" s="33" t="str">
        <x:v>COMP154</x:v>
      </x:c>
      <x:c r="B2338" s="33" t="str">
        <x:v>Compliance Requirement Master</x:v>
      </x:c>
      <x:c r="C2338" s="33" t="str">
        <x:v>Active=Yes; Remarks=Change management</x:v>
      </x:c>
      <x:c r="D2338" s="33" t="str">
        <x:v>Active=No; Remarks=P-4 QUARANTINED with inactive parent provision; legacy ID retained.</x:v>
      </x:c>
      <x:c r="E2338" s="33" t="str">
        <x:v>CORRECT / RECLASSIFY</x:v>
      </x:c>
      <x:c r="F2338" s="33" t="str">
        <x:v>Align requirements to corrected substantive provisions and applicability classifications.</x:v>
      </x:c>
      <x:c r="G2338" s="33" t="str">
        <x:v>P-4 official-source validation</x:v>
      </x:c>
      <x:c r="H233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38" s="33" t="str">
        <x:v>P-4</x:v>
      </x:c>
      <x:c r="J2338" s="33" t="str">
        <x:v>2026-08-20</x:v>
      </x:c>
      <x:c r="K2338" s="33" t="str">
        <x:v>Compliance IDs preserved; mandatory/conditional/optional status corrected.</x:v>
      </x:c>
    </x:row>
    <x:row r="2339">
      <x:c r="A2339" s="33" t="str">
        <x:v>COMP155</x:v>
      </x:c>
      <x:c r="B2339" s="33" t="str">
        <x:v>Compliance Requirement Master</x:v>
      </x:c>
      <x:c r="C2339" s="33" t="str">
        <x:v>Active=Yes; Remarks=Pre-licensing inspection</x:v>
      </x:c>
      <x:c r="D2339" s="33" t="str">
        <x:v>Active=No; Remarks=P-4 QUARANTINED with inactive parent provision; legacy ID retained.</x:v>
      </x:c>
      <x:c r="E2339" s="33" t="str">
        <x:v>CORRECT / RECLASSIFY</x:v>
      </x:c>
      <x:c r="F2339" s="33" t="str">
        <x:v>Align requirements to corrected substantive provisions and applicability classifications.</x:v>
      </x:c>
      <x:c r="G2339" s="33" t="str">
        <x:v>P-4 official-source validation</x:v>
      </x:c>
      <x:c r="H233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39" s="33" t="str">
        <x:v>P-4</x:v>
      </x:c>
      <x:c r="J2339" s="33" t="str">
        <x:v>2026-08-20</x:v>
      </x:c>
      <x:c r="K2339" s="33" t="str">
        <x:v>Compliance IDs preserved; mandatory/conditional/optional status corrected.</x:v>
      </x:c>
    </x:row>
    <x:row r="2340">
      <x:c r="A2340" s="33" t="str">
        <x:v>COMP156</x:v>
      </x:c>
      <x:c r="B2340" s="33" t="str">
        <x:v>Compliance Requirement Master</x:v>
      </x:c>
      <x:c r="C2340" s="33" t="str">
        <x:v>Active=Yes; Remarks=State circular compliance</x:v>
      </x:c>
      <x:c r="D2340" s="33" t="str">
        <x:v>Active=No; Remarks=P-4 QUARANTINED with inactive parent provision; legacy ID retained.</x:v>
      </x:c>
      <x:c r="E2340" s="33" t="str">
        <x:v>CORRECT / RECLASSIFY</x:v>
      </x:c>
      <x:c r="F2340" s="33" t="str">
        <x:v>Align requirements to corrected substantive provisions and applicability classifications.</x:v>
      </x:c>
      <x:c r="G2340" s="33" t="str">
        <x:v>P-4 official-source validation</x:v>
      </x:c>
      <x:c r="H234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40" s="33" t="str">
        <x:v>P-4</x:v>
      </x:c>
      <x:c r="J2340" s="33" t="str">
        <x:v>2026-08-20</x:v>
      </x:c>
      <x:c r="K2340" s="33" t="str">
        <x:v>Compliance IDs preserved; mandatory/conditional/optional status corrected.</x:v>
      </x:c>
    </x:row>
    <x:row r="2341">
      <x:c r="A2341" s="33" t="str">
        <x:v>COMP157</x:v>
      </x:c>
      <x:c r="B2341" s="33" t="str">
        <x:v>Compliance Requirement Master</x:v>
      </x:c>
      <x:c r="C2341" s="33" t="str">
        <x:v>Active=Yes; Remarks=Regulatory directions</x:v>
      </x:c>
      <x:c r="D2341" s="33" t="str">
        <x:v>Active=No; Remarks=P-4 QUARANTINED with inactive parent provision; legacy ID retained.</x:v>
      </x:c>
      <x:c r="E2341" s="33" t="str">
        <x:v>CORRECT / RECLASSIFY</x:v>
      </x:c>
      <x:c r="F2341" s="33" t="str">
        <x:v>Align requirements to corrected substantive provisions and applicability classifications.</x:v>
      </x:c>
      <x:c r="G2341" s="33" t="str">
        <x:v>P-4 official-source validation</x:v>
      </x:c>
      <x:c r="H234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41" s="33" t="str">
        <x:v>P-4</x:v>
      </x:c>
      <x:c r="J2341" s="33" t="str">
        <x:v>2026-08-20</x:v>
      </x:c>
      <x:c r="K2341" s="33" t="str">
        <x:v>Compliance IDs preserved; mandatory/conditional/optional status corrected.</x:v>
      </x:c>
    </x:row>
    <x:row r="2342">
      <x:c r="A2342" s="33" t="str">
        <x:v>COMP158</x:v>
      </x:c>
      <x:c r="B2342" s="33" t="str">
        <x:v>Compliance Requirement Master</x:v>
      </x:c>
      <x:c r="C2342" s="33" t="str">
        <x:v>Active=Yes; Remarks=Regulatory reporting</x:v>
      </x:c>
      <x:c r="D2342" s="33" t="str">
        <x:v>Active=No; Remarks=P-4 QUARANTINED with inactive parent provision; legacy ID retained.</x:v>
      </x:c>
      <x:c r="E2342" s="33" t="str">
        <x:v>CORRECT / RECLASSIFY</x:v>
      </x:c>
      <x:c r="F2342" s="33" t="str">
        <x:v>Align requirements to corrected substantive provisions and applicability classifications.</x:v>
      </x:c>
      <x:c r="G2342" s="33" t="str">
        <x:v>P-4 official-source validation</x:v>
      </x:c>
      <x:c r="H234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42" s="33" t="str">
        <x:v>P-4</x:v>
      </x:c>
      <x:c r="J2342" s="33" t="str">
        <x:v>2026-08-20</x:v>
      </x:c>
      <x:c r="K2342" s="33" t="str">
        <x:v>Compliance IDs preserved; mandatory/conditional/optional status corrected.</x:v>
      </x:c>
    </x:row>
    <x:row r="2343">
      <x:c r="A2343" s="33" t="str">
        <x:v>COMP159</x:v>
      </x:c>
      <x:c r="B2343" s="33" t="str">
        <x:v>Compliance Requirement Master</x:v>
      </x:c>
      <x:c r="C2343" s="33" t="str">
        <x:v>Active=Yes; Remarks=Registration verification</x:v>
      </x:c>
      <x:c r="D2343" s="33" t="str">
        <x:v>Active=No; Remarks=P-4 QUARANTINED with inactive parent provision; legacy ID retained.</x:v>
      </x:c>
      <x:c r="E2343" s="33" t="str">
        <x:v>CORRECT / RECLASSIFY</x:v>
      </x:c>
      <x:c r="F2343" s="33" t="str">
        <x:v>Align requirements to corrected substantive provisions and applicability classifications.</x:v>
      </x:c>
      <x:c r="G2343" s="33" t="str">
        <x:v>P-4 official-source validation</x:v>
      </x:c>
      <x:c r="H234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43" s="33" t="str">
        <x:v>P-4</x:v>
      </x:c>
      <x:c r="J2343" s="33" t="str">
        <x:v>2026-08-20</x:v>
      </x:c>
      <x:c r="K2343" s="33" t="str">
        <x:v>Compliance IDs preserved; mandatory/conditional/optional status corrected.</x:v>
      </x:c>
    </x:row>
    <x:row r="2344">
      <x:c r="A2344" s="33" t="str">
        <x:v>COMP160</x:v>
      </x:c>
      <x:c r="B2344" s="33" t="str">
        <x:v>Compliance Requirement Master</x:v>
      </x:c>
      <x:c r="C2344" s="33" t="str">
        <x:v>Active=Yes; Remarks=Renewal tracking</x:v>
      </x:c>
      <x:c r="D2344" s="33" t="str">
        <x:v>Active=No; Remarks=P-4 QUARANTINED with inactive parent provision; legacy ID retained.</x:v>
      </x:c>
      <x:c r="E2344" s="33" t="str">
        <x:v>CORRECT / RECLASSIFY</x:v>
      </x:c>
      <x:c r="F2344" s="33" t="str">
        <x:v>Align requirements to corrected substantive provisions and applicability classifications.</x:v>
      </x:c>
      <x:c r="G2344" s="33" t="str">
        <x:v>P-4 official-source validation</x:v>
      </x:c>
      <x:c r="H234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44" s="33" t="str">
        <x:v>P-4</x:v>
      </x:c>
      <x:c r="J2344" s="33" t="str">
        <x:v>2026-08-20</x:v>
      </x:c>
      <x:c r="K2344" s="33" t="str">
        <x:v>Compliance IDs preserved; mandatory/conditional/optional status corrected.</x:v>
      </x:c>
    </x:row>
    <x:row r="2345">
      <x:c r="A2345" s="33" t="str">
        <x:v>COMP161</x:v>
      </x:c>
      <x:c r="B2345" s="33" t="str">
        <x:v>Compliance Requirement Master</x:v>
      </x:c>
      <x:c r="C2345" s="33" t="str">
        <x:v>Active=Yes; Remarks=Professional ethics</x:v>
      </x:c>
      <x:c r="D2345" s="33" t="str">
        <x:v>Active=No; Remarks=P-4 QUARANTINED with inactive parent provision; legacy ID retained.</x:v>
      </x:c>
      <x:c r="E2345" s="33" t="str">
        <x:v>CORRECT / RECLASSIFY</x:v>
      </x:c>
      <x:c r="F2345" s="33" t="str">
        <x:v>Align requirements to corrected substantive provisions and applicability classifications.</x:v>
      </x:c>
      <x:c r="G2345" s="33" t="str">
        <x:v>P-4 official-source validation</x:v>
      </x:c>
      <x:c r="H234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45" s="33" t="str">
        <x:v>P-4</x:v>
      </x:c>
      <x:c r="J2345" s="33" t="str">
        <x:v>2026-08-20</x:v>
      </x:c>
      <x:c r="K2345" s="33" t="str">
        <x:v>Compliance IDs preserved; mandatory/conditional/optional status corrected.</x:v>
      </x:c>
    </x:row>
    <x:row r="2346">
      <x:c r="A2346" s="33" t="str">
        <x:v>COMP170</x:v>
      </x:c>
      <x:c r="B2346" s="33" t="str">
        <x:v>Compliance Requirement Master</x:v>
      </x:c>
      <x:c r="C2346" s="33" t="str">
        <x:v>Active=Yes; Remarks=State-specific compliance</x:v>
      </x:c>
      <x:c r="D2346" s="33" t="str">
        <x:v>Active=No; Remarks=P-4 QUARANTINED with inactive parent provision; legacy ID retained.</x:v>
      </x:c>
      <x:c r="E2346" s="33" t="str">
        <x:v>CORRECT / RECLASSIFY</x:v>
      </x:c>
      <x:c r="F2346" s="33" t="str">
        <x:v>Align requirements to corrected substantive provisions and applicability classifications.</x:v>
      </x:c>
      <x:c r="G2346" s="33" t="str">
        <x:v>P-4 official-source validation</x:v>
      </x:c>
      <x:c r="H234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46" s="33" t="str">
        <x:v>P-4</x:v>
      </x:c>
      <x:c r="J2346" s="33" t="str">
        <x:v>2026-08-20</x:v>
      </x:c>
      <x:c r="K2346" s="33" t="str">
        <x:v>Compliance IDs preserved; mandatory/conditional/optional status corrected.</x:v>
      </x:c>
    </x:row>
    <x:row r="2347">
      <x:c r="A2347" s="33" t="str">
        <x:v>COMP171</x:v>
      </x:c>
      <x:c r="B2347" s="33" t="str">
        <x:v>Compliance Requirement Master</x:v>
      </x:c>
      <x:c r="C2347" s="33" t="str">
        <x:v>Active=Yes; Remarks=Display requirement</x:v>
      </x:c>
      <x:c r="D2347" s="33" t="str">
        <x:v>Active=No; Remarks=P-4 QUARANTINED with inactive parent provision; legacy ID retained.</x:v>
      </x:c>
      <x:c r="E2347" s="33" t="str">
        <x:v>CORRECT / RECLASSIFY</x:v>
      </x:c>
      <x:c r="F2347" s="33" t="str">
        <x:v>Align requirements to corrected substantive provisions and applicability classifications.</x:v>
      </x:c>
      <x:c r="G2347" s="33" t="str">
        <x:v>P-4 official-source validation</x:v>
      </x:c>
      <x:c r="H234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47" s="33" t="str">
        <x:v>P-4</x:v>
      </x:c>
      <x:c r="J2347" s="33" t="str">
        <x:v>2026-08-20</x:v>
      </x:c>
      <x:c r="K2347" s="33" t="str">
        <x:v>Compliance IDs preserved; mandatory/conditional/optional status corrected.</x:v>
      </x:c>
    </x:row>
    <x:row r="2348">
      <x:c r="A2348" s="33" t="str">
        <x:v>COMP172</x:v>
      </x:c>
      <x:c r="B2348" s="33" t="str">
        <x:v>Compliance Requirement Master</x:v>
      </x:c>
      <x:c r="C2348" s="33" t="str">
        <x:v>Active=Yes; Remarks=Record retention</x:v>
      </x:c>
      <x:c r="D2348" s="33" t="str">
        <x:v>Active=No; Remarks=P-4 QUARANTINED with inactive parent provision; legacy ID retained.</x:v>
      </x:c>
      <x:c r="E2348" s="33" t="str">
        <x:v>CORRECT / RECLASSIFY</x:v>
      </x:c>
      <x:c r="F2348" s="33" t="str">
        <x:v>Align requirements to corrected substantive provisions and applicability classifications.</x:v>
      </x:c>
      <x:c r="G2348" s="33" t="str">
        <x:v>P-4 official-source validation</x:v>
      </x:c>
      <x:c r="H234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48" s="33" t="str">
        <x:v>P-4</x:v>
      </x:c>
      <x:c r="J2348" s="33" t="str">
        <x:v>2026-08-20</x:v>
      </x:c>
      <x:c r="K2348" s="33" t="str">
        <x:v>Compliance IDs preserved; mandatory/conditional/optional status corrected.</x:v>
      </x:c>
    </x:row>
    <x:row r="2349">
      <x:c r="A2349" s="33" t="str">
        <x:v>COMP173</x:v>
      </x:c>
      <x:c r="B2349" s="33" t="str">
        <x:v>Compliance Requirement Master</x:v>
      </x:c>
      <x:c r="C2349" s="33" t="str">
        <x:v>Active=Yes; Remarks=Inspection readiness</x:v>
      </x:c>
      <x:c r="D2349" s="33" t="str">
        <x:v>Active=No; Remarks=P-4 QUARANTINED with inactive parent provision; legacy ID retained.</x:v>
      </x:c>
      <x:c r="E2349" s="33" t="str">
        <x:v>CORRECT / RECLASSIFY</x:v>
      </x:c>
      <x:c r="F2349" s="33" t="str">
        <x:v>Align requirements to corrected substantive provisions and applicability classifications.</x:v>
      </x:c>
      <x:c r="G2349" s="33" t="str">
        <x:v>P-4 official-source validation</x:v>
      </x:c>
      <x:c r="H234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49" s="33" t="str">
        <x:v>P-4</x:v>
      </x:c>
      <x:c r="J2349" s="33" t="str">
        <x:v>2026-08-20</x:v>
      </x:c>
      <x:c r="K2349" s="33" t="str">
        <x:v>Compliance IDs preserved; mandatory/conditional/optional status corrected.</x:v>
      </x:c>
    </x:row>
    <x:row r="2350">
      <x:c r="A2350" s="33" t="str">
        <x:v>COMP174</x:v>
      </x:c>
      <x:c r="B2350" s="33" t="str">
        <x:v>Compliance Requirement Master</x:v>
      </x:c>
      <x:c r="C2350" s="33" t="str">
        <x:v>Active=Yes; Remarks=Registration renewal</x:v>
      </x:c>
      <x:c r="D2350" s="33" t="str">
        <x:v>Active=No; Remarks=P-4 QUARANTINED with inactive parent provision; legacy ID retained.</x:v>
      </x:c>
      <x:c r="E2350" s="33" t="str">
        <x:v>CORRECT / RECLASSIFY</x:v>
      </x:c>
      <x:c r="F2350" s="33" t="str">
        <x:v>Align requirements to corrected substantive provisions and applicability classifications.</x:v>
      </x:c>
      <x:c r="G2350" s="33" t="str">
        <x:v>P-4 official-source validation</x:v>
      </x:c>
      <x:c r="H235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50" s="33" t="str">
        <x:v>P-4</x:v>
      </x:c>
      <x:c r="J2350" s="33" t="str">
        <x:v>2026-08-20</x:v>
      </x:c>
      <x:c r="K2350" s="33" t="str">
        <x:v>Compliance IDs preserved; mandatory/conditional/optional status corrected.</x:v>
      </x:c>
    </x:row>
    <x:row r="2351">
      <x:c r="A2351" s="33" t="str">
        <x:v>COMP175</x:v>
      </x:c>
      <x:c r="B2351" s="33" t="str">
        <x:v>Compliance Requirement Master</x:v>
      </x:c>
      <x:c r="C2351" s="33" t="str">
        <x:v>Active=Yes; Remarks=Change notification</x:v>
      </x:c>
      <x:c r="D2351" s="33" t="str">
        <x:v>Active=No; Remarks=P-4 QUARANTINED with inactive parent provision; legacy ID retained.</x:v>
      </x:c>
      <x:c r="E2351" s="33" t="str">
        <x:v>CORRECT / RECLASSIFY</x:v>
      </x:c>
      <x:c r="F2351" s="33" t="str">
        <x:v>Align requirements to corrected substantive provisions and applicability classifications.</x:v>
      </x:c>
      <x:c r="G2351" s="33" t="str">
        <x:v>P-4 official-source validation</x:v>
      </x:c>
      <x:c r="H2351"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51" s="33" t="str">
        <x:v>P-4</x:v>
      </x:c>
      <x:c r="J2351" s="33" t="str">
        <x:v>2026-08-20</x:v>
      </x:c>
      <x:c r="K2351" s="33" t="str">
        <x:v>Compliance IDs preserved; mandatory/conditional/optional status corrected.</x:v>
      </x:c>
    </x:row>
    <x:row r="2352">
      <x:c r="A2352" s="33" t="str">
        <x:v>COMP201</x:v>
      </x:c>
      <x:c r="B2352" s="33" t="str">
        <x:v>Compliance Requirement Master</x:v>
      </x:c>
      <x:c r="C2352" s="33" t="str">
        <x:v>Active=Yes; Remarks=Disaster response</x:v>
      </x:c>
      <x:c r="D2352" s="33" t="str">
        <x:v>Active=No; Remarks=P-4 QUARANTINED with inactive parent provision; legacy ID retained.</x:v>
      </x:c>
      <x:c r="E2352" s="33" t="str">
        <x:v>CORRECT / RECLASSIFY</x:v>
      </x:c>
      <x:c r="F2352" s="33" t="str">
        <x:v>Align requirements to corrected substantive provisions and applicability classifications.</x:v>
      </x:c>
      <x:c r="G2352" s="33" t="str">
        <x:v>P-4 official-source validation</x:v>
      </x:c>
      <x:c r="H2352"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52" s="33" t="str">
        <x:v>P-4</x:v>
      </x:c>
      <x:c r="J2352" s="33" t="str">
        <x:v>2026-08-20</x:v>
      </x:c>
      <x:c r="K2352" s="33" t="str">
        <x:v>Compliance IDs preserved; mandatory/conditional/optional status corrected.</x:v>
      </x:c>
    </x:row>
    <x:row r="2353">
      <x:c r="A2353" s="33" t="str">
        <x:v>COMP202</x:v>
      </x:c>
      <x:c r="B2353" s="33" t="str">
        <x:v>Compliance Requirement Master</x:v>
      </x:c>
      <x:c r="C2353" s="33" t="str">
        <x:v>Active=Yes; Remarks=State emergency compliance</x:v>
      </x:c>
      <x:c r="D2353" s="33" t="str">
        <x:v>Active=No; Remarks=P-4 QUARANTINED with inactive parent provision; legacy ID retained.</x:v>
      </x:c>
      <x:c r="E2353" s="33" t="str">
        <x:v>CORRECT / RECLASSIFY</x:v>
      </x:c>
      <x:c r="F2353" s="33" t="str">
        <x:v>Align requirements to corrected substantive provisions and applicability classifications.</x:v>
      </x:c>
      <x:c r="G2353" s="33" t="str">
        <x:v>P-4 official-source validation</x:v>
      </x:c>
      <x:c r="H2353"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53" s="33" t="str">
        <x:v>P-4</x:v>
      </x:c>
      <x:c r="J2353" s="33" t="str">
        <x:v>2026-08-20</x:v>
      </x:c>
      <x:c r="K2353" s="33" t="str">
        <x:v>Compliance IDs preserved; mandatory/conditional/optional status corrected.</x:v>
      </x:c>
    </x:row>
    <x:row r="2354">
      <x:c r="A2354" s="33" t="str">
        <x:v>COMP203</x:v>
      </x:c>
      <x:c r="B2354" s="33" t="str">
        <x:v>Compliance Requirement Master</x:v>
      </x:c>
      <x:c r="C2354" s="33" t="str">
        <x:v>Active=Yes; Remarks=District authority compliance</x:v>
      </x:c>
      <x:c r="D2354" s="33" t="str">
        <x:v>Active=No; Remarks=P-4 QUARANTINED with inactive parent provision; legacy ID retained.</x:v>
      </x:c>
      <x:c r="E2354" s="33" t="str">
        <x:v>CORRECT / RECLASSIFY</x:v>
      </x:c>
      <x:c r="F2354" s="33" t="str">
        <x:v>Align requirements to corrected substantive provisions and applicability classifications.</x:v>
      </x:c>
      <x:c r="G2354" s="33" t="str">
        <x:v>P-4 official-source validation</x:v>
      </x:c>
      <x:c r="H2354"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54" s="33" t="str">
        <x:v>P-4</x:v>
      </x:c>
      <x:c r="J2354" s="33" t="str">
        <x:v>2026-08-20</x:v>
      </x:c>
      <x:c r="K2354" s="33" t="str">
        <x:v>Compliance IDs preserved; mandatory/conditional/optional status corrected.</x:v>
      </x:c>
    </x:row>
    <x:row r="2355">
      <x:c r="A2355" s="33" t="str">
        <x:v>COMP204</x:v>
      </x:c>
      <x:c r="B2355" s="33" t="str">
        <x:v>Compliance Requirement Master</x:v>
      </x:c>
      <x:c r="C2355" s="33" t="str">
        <x:v>Active=Yes; Remarks=Public health emergency</x:v>
      </x:c>
      <x:c r="D2355" s="33" t="str">
        <x:v>Active=No; Remarks=P-4 QUARANTINED with inactive parent provision; legacy ID retained.</x:v>
      </x:c>
      <x:c r="E2355" s="33" t="str">
        <x:v>CORRECT / RECLASSIFY</x:v>
      </x:c>
      <x:c r="F2355" s="33" t="str">
        <x:v>Align requirements to corrected substantive provisions and applicability classifications.</x:v>
      </x:c>
      <x:c r="G2355" s="33" t="str">
        <x:v>P-4 official-source validation</x:v>
      </x:c>
      <x:c r="H2355"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55" s="33" t="str">
        <x:v>P-4</x:v>
      </x:c>
      <x:c r="J2355" s="33" t="str">
        <x:v>2026-08-20</x:v>
      </x:c>
      <x:c r="K2355" s="33" t="str">
        <x:v>Compliance IDs preserved; mandatory/conditional/optional status corrected.</x:v>
      </x:c>
    </x:row>
    <x:row r="2356">
      <x:c r="A2356" s="33" t="str">
        <x:v>COMP205</x:v>
      </x:c>
      <x:c r="B2356" s="33" t="str">
        <x:v>Compliance Requirement Master</x:v>
      </x:c>
      <x:c r="C2356" s="33" t="str">
        <x:v>Active=Yes; Remarks=Epidemic response</x:v>
      </x:c>
      <x:c r="D2356" s="33" t="str">
        <x:v>Active=No; Remarks=P-4 QUARANTINED with inactive parent provision; legacy ID retained.</x:v>
      </x:c>
      <x:c r="E2356" s="33" t="str">
        <x:v>CORRECT / RECLASSIFY</x:v>
      </x:c>
      <x:c r="F2356" s="33" t="str">
        <x:v>Align requirements to corrected substantive provisions and applicability classifications.</x:v>
      </x:c>
      <x:c r="G2356" s="33" t="str">
        <x:v>P-4 official-source validation</x:v>
      </x:c>
      <x:c r="H2356"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56" s="33" t="str">
        <x:v>P-4</x:v>
      </x:c>
      <x:c r="J2356" s="33" t="str">
        <x:v>2026-08-20</x:v>
      </x:c>
      <x:c r="K2356" s="33" t="str">
        <x:v>Compliance IDs preserved; mandatory/conditional/optional status corrected.</x:v>
      </x:c>
    </x:row>
    <x:row r="2357">
      <x:c r="A2357" s="33" t="str">
        <x:v>COMP206</x:v>
      </x:c>
      <x:c r="B2357" s="33" t="str">
        <x:v>Compliance Requirement Master</x:v>
      </x:c>
      <x:c r="C2357" s="33" t="str">
        <x:v>Active=Yes; Remarks=Policy compliance</x:v>
      </x:c>
      <x:c r="D2357" s="33" t="str">
        <x:v>Active=No; Remarks=P-4 QUARANTINED with inactive parent provision; legacy ID retained.</x:v>
      </x:c>
      <x:c r="E2357" s="33" t="str">
        <x:v>CORRECT / RECLASSIFY</x:v>
      </x:c>
      <x:c r="F2357" s="33" t="str">
        <x:v>Align requirements to corrected substantive provisions and applicability classifications.</x:v>
      </x:c>
      <x:c r="G2357" s="33" t="str">
        <x:v>P-4 official-source validation</x:v>
      </x:c>
      <x:c r="H2357"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57" s="33" t="str">
        <x:v>P-4</x:v>
      </x:c>
      <x:c r="J2357" s="33" t="str">
        <x:v>2026-08-20</x:v>
      </x:c>
      <x:c r="K2357" s="33" t="str">
        <x:v>Compliance IDs preserved; mandatory/conditional/optional status corrected.</x:v>
      </x:c>
    </x:row>
    <x:row r="2358">
      <x:c r="A2358" s="33" t="str">
        <x:v>COMP207</x:v>
      </x:c>
      <x:c r="B2358" s="33" t="str">
        <x:v>Compliance Requirement Master</x:v>
      </x:c>
      <x:c r="C2358" s="33" t="str">
        <x:v>Active=Yes; Remarks=Essential medicines</x:v>
      </x:c>
      <x:c r="D2358" s="33" t="str">
        <x:v>Active=No; Remarks=P-4 QUARANTINED with inactive parent provision; legacy ID retained.</x:v>
      </x:c>
      <x:c r="E2358" s="33" t="str">
        <x:v>CORRECT / RECLASSIFY</x:v>
      </x:c>
      <x:c r="F2358" s="33" t="str">
        <x:v>Align requirements to corrected substantive provisions and applicability classifications.</x:v>
      </x:c>
      <x:c r="G2358" s="33" t="str">
        <x:v>P-4 official-source validation</x:v>
      </x:c>
      <x:c r="H2358"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58" s="33" t="str">
        <x:v>P-4</x:v>
      </x:c>
      <x:c r="J2358" s="33" t="str">
        <x:v>2026-08-20</x:v>
      </x:c>
      <x:c r="K2358" s="33" t="str">
        <x:v>Compliance IDs preserved; mandatory/conditional/optional status corrected.</x:v>
      </x:c>
    </x:row>
    <x:row r="2359">
      <x:c r="A2359" s="33" t="str">
        <x:v>COMP208</x:v>
      </x:c>
      <x:c r="B2359" s="33" t="str">
        <x:v>Compliance Requirement Master</x:v>
      </x:c>
      <x:c r="C2359" s="33" t="str">
        <x:v>Active=Yes; Remarks=Price compliance</x:v>
      </x:c>
      <x:c r="D2359" s="33" t="str">
        <x:v>Active=No; Remarks=P-4 QUARANTINED with inactive parent provision; legacy ID retained.</x:v>
      </x:c>
      <x:c r="E2359" s="33" t="str">
        <x:v>CORRECT / RECLASSIFY</x:v>
      </x:c>
      <x:c r="F2359" s="33" t="str">
        <x:v>Align requirements to corrected substantive provisions and applicability classifications.</x:v>
      </x:c>
      <x:c r="G2359" s="33" t="str">
        <x:v>P-4 official-source validation</x:v>
      </x:c>
      <x:c r="H2359"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59" s="33" t="str">
        <x:v>P-4</x:v>
      </x:c>
      <x:c r="J2359" s="33" t="str">
        <x:v>2026-08-20</x:v>
      </x:c>
      <x:c r="K2359" s="33" t="str">
        <x:v>Compliance IDs preserved; mandatory/conditional/optional status corrected.</x:v>
      </x:c>
    </x:row>
    <x:row r="2360">
      <x:c r="A2360" s="33" t="str">
        <x:v>COMP209</x:v>
      </x:c>
      <x:c r="B2360" s="33" t="str">
        <x:v>Compliance Requirement Master</x:v>
      </x:c>
      <x:c r="C2360" s="33" t="str">
        <x:v>Active=Yes; Remarks=Price display</x:v>
      </x:c>
      <x:c r="D2360" s="33" t="str">
        <x:v>Active=No; Remarks=P-4 QUARANTINED with inactive parent provision; legacy ID retained.</x:v>
      </x:c>
      <x:c r="E2360" s="33" t="str">
        <x:v>CORRECT / RECLASSIFY</x:v>
      </x:c>
      <x:c r="F2360" s="33" t="str">
        <x:v>Align requirements to corrected substantive provisions and applicability classifications.</x:v>
      </x:c>
      <x:c r="G2360" s="33" t="str">
        <x:v>P-4 official-source validation</x:v>
      </x:c>
      <x:c r="H2360" s="33" t="str">
        <x:v>https://www.indiacode.nic.in/handle/123456789/1364?col=123456789%2F1362&amp;view_type=search; https://www.nppaindia.nic.in/proactivedisclosure; https://www.indiacode.nic.in/handle/123456789/1791; https://cdsco.gov.in/opencms/opencms/en/Acts-and-rules/Medical-Devices-Rules/; https://cdsco.gov.in/opencms/opencms/en/Acts-and-rules/Cosmetics-Rules/; https://www.indiacode.nic.in/handle/123456789/2048</x:v>
      </x:c>
      <x:c r="I2360" s="33" t="str">
        <x:v>P-4</x:v>
      </x:c>
      <x:c r="J2360" s="33" t="str">
        <x:v>2026-08-20</x:v>
      </x:c>
      <x:c r="K2360" s="33" t="str">
        <x:v>Compliance IDs preserved; mandatory/conditional/optional status corrected.</x:v>
      </x:c>
    </x:row>
    <x:row r="2361">
      <x:c r="A2361" s="33" t="str">
        <x:v>AUD075</x:v>
      </x:c>
      <x:c r="B2361" s="33" t="str">
        <x:v>Audit Procedure Master</x:v>
      </x:c>
      <x:c r="C2361" s="33" t="str">
        <x:v>Active=Yes; Remarks=Samples should not enter commercial inventory unless permitted.</x:v>
      </x:c>
      <x:c r="D2361" s="33" t="str">
        <x:v>Active=No; Remarks=P-4 QUARANTINED with inactive parent compliance; legacy ID retained.</x:v>
      </x:c>
      <x:c r="E2361" s="33" t="str">
        <x:v>CORRECT / RECLASSIFY</x:v>
      </x:c>
      <x:c r="F2361" s="33" t="str">
        <x:v>Quarantine inactive descendants and normalize the legacy audit band to its current parent compliance.</x:v>
      </x:c>
      <x:c r="G2361" s="33" t="str">
        <x:v>P-4 execution-chain reconciliation</x:v>
      </x:c>
      <x:c r="H2361" s="33" t="str">
        <x:v>P-4</x:v>
      </x:c>
      <x:c r="I2361" s="33" t="str">
        <x:v>P-4</x:v>
      </x:c>
      <x:c r="J2361" s="33" t="str">
        <x:v>2026-08-20</x:v>
      </x:c>
      <x:c r="K2361" s="33" t="str">
        <x:v>Audit IDs preserved; active tests now address their parent requirements.</x:v>
      </x:c>
    </x:row>
    <x:row r="2362">
      <x:c r="A2362" s="33" t="str">
        <x:v>AUD076</x:v>
      </x:c>
      <x:c r="B2362" s="33" t="str">
        <x:v>Audit Procedure Master</x:v>
      </x:c>
      <x:c r="C2362" s="33" t="str">
        <x:v>Active=Yes; Remarks=Maintain traceability.</x:v>
      </x:c>
      <x:c r="D2362" s="33" t="str">
        <x:v>Active=No; Remarks=P-4 QUARANTINED with inactive parent compliance; legacy ID retained.</x:v>
      </x:c>
      <x:c r="E2362" s="33" t="str">
        <x:v>CORRECT / RECLASSIFY</x:v>
      </x:c>
      <x:c r="F2362" s="33" t="str">
        <x:v>Quarantine inactive descendants and normalize the legacy audit band to its current parent compliance.</x:v>
      </x:c>
      <x:c r="G2362" s="33" t="str">
        <x:v>P-4 execution-chain reconciliation</x:v>
      </x:c>
      <x:c r="H2362" s="33" t="str">
        <x:v>P-4</x:v>
      </x:c>
      <x:c r="I2362" s="33" t="str">
        <x:v>P-4</x:v>
      </x:c>
      <x:c r="J2362" s="33" t="str">
        <x:v>2026-08-20</x:v>
      </x:c>
      <x:c r="K2362" s="33" t="str">
        <x:v>Audit IDs preserved; active tests now address their parent requirements.</x:v>
      </x:c>
    </x:row>
    <x:row r="2363">
      <x:c r="A2363" s="33" t="str">
        <x:v>AUD077</x:v>
      </x:c>
      <x:c r="B2363" s="33" t="str">
        <x:v>Audit Procedure Master</x:v>
      </x:c>
      <x:c r="C2363" s="33" t="str">
        <x:v>Active=Yes; Remarks=Prevent inadvertent distribution.</x:v>
      </x:c>
      <x:c r="D2363" s="33" t="str">
        <x:v>Active=No; Remarks=P-4 QUARANTINED with inactive parent compliance; legacy ID retained.</x:v>
      </x:c>
      <x:c r="E2363" s="33" t="str">
        <x:v>CORRECT / RECLASSIFY</x:v>
      </x:c>
      <x:c r="F2363" s="33" t="str">
        <x:v>Quarantine inactive descendants and normalize the legacy audit band to its current parent compliance.</x:v>
      </x:c>
      <x:c r="G2363" s="33" t="str">
        <x:v>P-4 execution-chain reconciliation</x:v>
      </x:c>
      <x:c r="H2363" s="33" t="str">
        <x:v>P-4</x:v>
      </x:c>
      <x:c r="I2363" s="33" t="str">
        <x:v>P-4</x:v>
      </x:c>
      <x:c r="J2363" s="33" t="str">
        <x:v>2026-08-20</x:v>
      </x:c>
      <x:c r="K2363" s="33" t="str">
        <x:v>Audit IDs preserved; active tests now address their parent requirements.</x:v>
      </x:c>
    </x:row>
    <x:row r="2364">
      <x:c r="A2364" s="33" t="str">
        <x:v>AUD078</x:v>
      </x:c>
      <x:c r="B2364" s="33" t="str">
        <x:v>Audit Procedure Master</x:v>
      </x:c>
      <x:c r="C2364" s="33" t="str">
        <x:v>Active=Yes; Remarks=Verify timely implementation.</x:v>
      </x:c>
      <x:c r="D2364" s="33" t="str">
        <x:v>Active=No; Remarks=P-4 QUARANTINED with inactive parent compliance; legacy ID retained.</x:v>
      </x:c>
      <x:c r="E2364" s="33" t="str">
        <x:v>CORRECT / RECLASSIFY</x:v>
      </x:c>
      <x:c r="F2364" s="33" t="str">
        <x:v>Quarantine inactive descendants and normalize the legacy audit band to its current parent compliance.</x:v>
      </x:c>
      <x:c r="G2364" s="33" t="str">
        <x:v>P-4 execution-chain reconciliation</x:v>
      </x:c>
      <x:c r="H2364" s="33" t="str">
        <x:v>P-4</x:v>
      </x:c>
      <x:c r="I2364" s="33" t="str">
        <x:v>P-4</x:v>
      </x:c>
      <x:c r="J2364" s="33" t="str">
        <x:v>2026-08-20</x:v>
      </x:c>
      <x:c r="K2364" s="33" t="str">
        <x:v>Audit IDs preserved; active tests now address their parent requirements.</x:v>
      </x:c>
    </x:row>
    <x:row r="2365">
      <x:c r="A2365" s="33" t="str">
        <x:v>AUD079</x:v>
      </x:c>
      <x:c r="B2365" s="33" t="str">
        <x:v>Audit Procedure Master</x:v>
      </x:c>
      <x:c r="C2365" s="33" t="str">
        <x:v>Active=Yes; Remarks=Records should remain retrievable.</x:v>
      </x:c>
      <x:c r="D2365" s="33" t="str">
        <x:v>Active=No; Remarks=P-4 QUARANTINED with inactive parent compliance; legacy ID retained.</x:v>
      </x:c>
      <x:c r="E2365" s="33" t="str">
        <x:v>CORRECT / RECLASSIFY</x:v>
      </x:c>
      <x:c r="F2365" s="33" t="str">
        <x:v>Quarantine inactive descendants and normalize the legacy audit band to its current parent compliance.</x:v>
      </x:c>
      <x:c r="G2365" s="33" t="str">
        <x:v>P-4 execution-chain reconciliation</x:v>
      </x:c>
      <x:c r="H2365" s="33" t="str">
        <x:v>P-4</x:v>
      </x:c>
      <x:c r="I2365" s="33" t="str">
        <x:v>P-4</x:v>
      </x:c>
      <x:c r="J2365" s="33" t="str">
        <x:v>2026-08-20</x:v>
      </x:c>
      <x:c r="K2365" s="33" t="str">
        <x:v>Audit IDs preserved; active tests now address their parent requirements.</x:v>
      </x:c>
    </x:row>
    <x:row r="2366">
      <x:c r="A2366" s="33" t="str">
        <x:v>AUD080</x:v>
      </x:c>
      <x:c r="B2366" s="33" t="str">
        <x:v>Audit Procedure Master</x:v>
      </x:c>
      <x:c r="C2366" s="33" t="str">
        <x:v>Active=Yes; Remarks=Missing records should be reported.</x:v>
      </x:c>
      <x:c r="D2366" s="33" t="str">
        <x:v>Active=No; Remarks=P-4 QUARANTINED with inactive parent compliance; legacy ID retained.</x:v>
      </x:c>
      <x:c r="E2366" s="33" t="str">
        <x:v>CORRECT / RECLASSIFY</x:v>
      </x:c>
      <x:c r="F2366" s="33" t="str">
        <x:v>Quarantine inactive descendants and normalize the legacy audit band to its current parent compliance.</x:v>
      </x:c>
      <x:c r="G2366" s="33" t="str">
        <x:v>P-4 execution-chain reconciliation</x:v>
      </x:c>
      <x:c r="H2366" s="33" t="str">
        <x:v>P-4</x:v>
      </x:c>
      <x:c r="I2366" s="33" t="str">
        <x:v>P-4</x:v>
      </x:c>
      <x:c r="J2366" s="33" t="str">
        <x:v>2026-08-20</x:v>
      </x:c>
      <x:c r="K2366" s="33" t="str">
        <x:v>Audit IDs preserved; active tests now address their parent requirements.</x:v>
      </x:c>
    </x:row>
    <x:row r="2367">
      <x:c r="A2367" s="33" t="str">
        <x:v>AUD081</x:v>
      </x:c>
      <x:c r="B2367" s="33" t="str">
        <x:v>Audit Procedure Master</x:v>
      </x:c>
      <x:c r="C2367" s="33" t="str">
        <x:v>Active=Yes; Remarks=Access controls should be implemented.</x:v>
      </x:c>
      <x:c r="D2367" s="33" t="str">
        <x:v>Active=No; Remarks=P-4 QUARANTINED with inactive parent compliance; legacy ID retained.</x:v>
      </x:c>
      <x:c r="E2367" s="33" t="str">
        <x:v>CORRECT / RECLASSIFY</x:v>
      </x:c>
      <x:c r="F2367" s="33" t="str">
        <x:v>Quarantine inactive descendants and normalize the legacy audit band to its current parent compliance.</x:v>
      </x:c>
      <x:c r="G2367" s="33" t="str">
        <x:v>P-4 execution-chain reconciliation</x:v>
      </x:c>
      <x:c r="H2367" s="33" t="str">
        <x:v>P-4</x:v>
      </x:c>
      <x:c r="I2367" s="33" t="str">
        <x:v>P-4</x:v>
      </x:c>
      <x:c r="J2367" s="33" t="str">
        <x:v>2026-08-20</x:v>
      </x:c>
      <x:c r="K2367" s="33" t="str">
        <x:v>Audit IDs preserved; active tests now address their parent requirements.</x:v>
      </x:c>
    </x:row>
    <x:row r="2368">
      <x:c r="A2368" s="33" t="str">
        <x:v>AUD082</x:v>
      </x:c>
      <x:c r="B2368" s="33" t="str">
        <x:v>Audit Procedure Master</x:v>
      </x:c>
      <x:c r="C2368" s="33" t="str">
        <x:v>Active=Yes; Remarks=Investigate unauthorized changes.</x:v>
      </x:c>
      <x:c r="D2368" s="33" t="str">
        <x:v>Active=No; Remarks=P-4 QUARANTINED with inactive parent compliance; legacy ID retained.</x:v>
      </x:c>
      <x:c r="E2368" s="33" t="str">
        <x:v>CORRECT / RECLASSIFY</x:v>
      </x:c>
      <x:c r="F2368" s="33" t="str">
        <x:v>Quarantine inactive descendants and normalize the legacy audit band to its current parent compliance.</x:v>
      </x:c>
      <x:c r="G2368" s="33" t="str">
        <x:v>P-4 execution-chain reconciliation</x:v>
      </x:c>
      <x:c r="H2368" s="33" t="str">
        <x:v>P-4</x:v>
      </x:c>
      <x:c r="I2368" s="33" t="str">
        <x:v>P-4</x:v>
      </x:c>
      <x:c r="J2368" s="33" t="str">
        <x:v>2026-08-20</x:v>
      </x:c>
      <x:c r="K2368" s="33" t="str">
        <x:v>Audit IDs preserved; active tests now address their parent requirements.</x:v>
      </x:c>
    </x:row>
    <x:row r="2369">
      <x:c r="A2369" s="33" t="str">
        <x:v>AUD302</x:v>
      </x:c>
      <x:c r="B2369" s="33" t="str">
        <x:v>Audit Procedure Master</x:v>
      </x:c>
      <x:c r="C2369" s="33" t="str">
        <x:v>Active=Yes; Remarks=Audit logs should be enabled.</x:v>
      </x:c>
      <x:c r="D2369" s="33" t="str">
        <x:v>Active=No; Remarks=P-4 QUARANTINED with inactive parent compliance; legacy ID retained.</x:v>
      </x:c>
      <x:c r="E2369" s="33" t="str">
        <x:v>CORRECT / RECLASSIFY</x:v>
      </x:c>
      <x:c r="F2369" s="33" t="str">
        <x:v>Quarantine inactive descendants and normalize the legacy audit band to its current parent compliance.</x:v>
      </x:c>
      <x:c r="G2369" s="33" t="str">
        <x:v>P-4 execution-chain reconciliation</x:v>
      </x:c>
      <x:c r="H2369" s="33" t="str">
        <x:v>P-4</x:v>
      </x:c>
      <x:c r="I2369" s="33" t="str">
        <x:v>P-4</x:v>
      </x:c>
      <x:c r="J2369" s="33" t="str">
        <x:v>2026-08-20</x:v>
      </x:c>
      <x:c r="K2369" s="33" t="str">
        <x:v>Audit IDs preserved; active tests now address their parent requirements.</x:v>
      </x:c>
    </x:row>
    <x:row r="2370">
      <x:c r="A2370" s="33" t="str">
        <x:v>AUD303</x:v>
      </x:c>
      <x:c r="B2370" s="33" t="str">
        <x:v>Audit Procedure Master</x:v>
      </x:c>
      <x:c r="C2370" s="33" t="str">
        <x:v>Active=Yes; Remarks=Investigate unusual activity.</x:v>
      </x:c>
      <x:c r="D2370" s="33" t="str">
        <x:v>Active=No; Remarks=P-4 QUARANTINED with inactive parent compliance; legacy ID retained.</x:v>
      </x:c>
      <x:c r="E2370" s="33" t="str">
        <x:v>CORRECT / RECLASSIFY</x:v>
      </x:c>
      <x:c r="F2370" s="33" t="str">
        <x:v>Quarantine inactive descendants and normalize the legacy audit band to its current parent compliance.</x:v>
      </x:c>
      <x:c r="G2370" s="33" t="str">
        <x:v>P-4 execution-chain reconciliation</x:v>
      </x:c>
      <x:c r="H2370" s="33" t="str">
        <x:v>P-4</x:v>
      </x:c>
      <x:c r="I2370" s="33" t="str">
        <x:v>P-4</x:v>
      </x:c>
      <x:c r="J2370" s="33" t="str">
        <x:v>2026-08-20</x:v>
      </x:c>
      <x:c r="K2370" s="33" t="str">
        <x:v>Audit IDs preserved; active tests now address their parent requirements.</x:v>
      </x:c>
    </x:row>
    <x:row r="2371">
      <x:c r="A2371" s="33" t="str">
        <x:v>AUD304</x:v>
      </x:c>
      <x:c r="B2371" s="33" t="str">
        <x:v>Audit Procedure Master</x:v>
      </x:c>
      <x:c r="C2371" s="33" t="str">
        <x:v>Active=Yes; Remarks=Include regulatory compliance testing.</x:v>
      </x:c>
      <x:c r="D2371" s="33" t="str">
        <x:v>Active=No; Remarks=P-4 QUARANTINED with inactive parent compliance; legacy ID retained.</x:v>
      </x:c>
      <x:c r="E2371" s="33" t="str">
        <x:v>CORRECT / RECLASSIFY</x:v>
      </x:c>
      <x:c r="F2371" s="33" t="str">
        <x:v>Quarantine inactive descendants and normalize the legacy audit band to its current parent compliance.</x:v>
      </x:c>
      <x:c r="G2371" s="33" t="str">
        <x:v>P-4 execution-chain reconciliation</x:v>
      </x:c>
      <x:c r="H2371" s="33" t="str">
        <x:v>P-4</x:v>
      </x:c>
      <x:c r="I2371" s="33" t="str">
        <x:v>P-4</x:v>
      </x:c>
      <x:c r="J2371" s="33" t="str">
        <x:v>2026-08-20</x:v>
      </x:c>
      <x:c r="K2371" s="33" t="str">
        <x:v>Audit IDs preserved; active tests now address their parent requirements.</x:v>
      </x:c>
    </x:row>
    <x:row r="2372">
      <x:c r="A2372" s="33" t="str">
        <x:v>AUD305</x:v>
      </x:c>
      <x:c r="B2372" s="33" t="str">
        <x:v>Audit Procedure Master</x:v>
      </x:c>
      <x:c r="C2372" s="33" t="str">
        <x:v>Active=Yes; Remarks=Verify timely closure.</x:v>
      </x:c>
      <x:c r="D2372" s="33" t="str">
        <x:v>Active=No; Remarks=P-4 QUARANTINED with inactive parent compliance; legacy ID retained.</x:v>
      </x:c>
      <x:c r="E2372" s="33" t="str">
        <x:v>CORRECT / RECLASSIFY</x:v>
      </x:c>
      <x:c r="F2372" s="33" t="str">
        <x:v>Quarantine inactive descendants and normalize the legacy audit band to its current parent compliance.</x:v>
      </x:c>
      <x:c r="G2372" s="33" t="str">
        <x:v>P-4 execution-chain reconciliation</x:v>
      </x:c>
      <x:c r="H2372" s="33" t="str">
        <x:v>P-4</x:v>
      </x:c>
      <x:c r="I2372" s="33" t="str">
        <x:v>P-4</x:v>
      </x:c>
      <x:c r="J2372" s="33" t="str">
        <x:v>2026-08-20</x:v>
      </x:c>
      <x:c r="K2372" s="33" t="str">
        <x:v>Audit IDs preserved; active tests now address their parent requirements.</x:v>
      </x:c>
    </x:row>
    <x:row r="2373">
      <x:c r="A2373" s="33" t="str">
        <x:v>AUD306</x:v>
      </x:c>
      <x:c r="B2373" s="33" t="str">
        <x:v>Audit Procedure Master</x:v>
      </x:c>
      <x:c r="C2373" s="33" t="str">
        <x:v>Active=Yes; Remarks=Track corrective action status.</x:v>
      </x:c>
      <x:c r="D2373" s="33" t="str">
        <x:v>Active=No; Remarks=P-4 QUARANTINED with inactive parent compliance; legacy ID retained.</x:v>
      </x:c>
      <x:c r="E2373" s="33" t="str">
        <x:v>CORRECT / RECLASSIFY</x:v>
      </x:c>
      <x:c r="F2373" s="33" t="str">
        <x:v>Quarantine inactive descendants and normalize the legacy audit band to its current parent compliance.</x:v>
      </x:c>
      <x:c r="G2373" s="33" t="str">
        <x:v>P-4 execution-chain reconciliation</x:v>
      </x:c>
      <x:c r="H2373" s="33" t="str">
        <x:v>P-4</x:v>
      </x:c>
      <x:c r="I2373" s="33" t="str">
        <x:v>P-4</x:v>
      </x:c>
      <x:c r="J2373" s="33" t="str">
        <x:v>2026-08-20</x:v>
      </x:c>
      <x:c r="K2373" s="33" t="str">
        <x:v>Audit IDs preserved; active tests now address their parent requirements.</x:v>
      </x:c>
    </x:row>
    <x:row r="2374">
      <x:c r="A2374" s="33" t="str">
        <x:v>AUD307</x:v>
      </x:c>
      <x:c r="B2374" s="33" t="str">
        <x:v>Audit Procedure Master</x:v>
      </x:c>
      <x:c r="C2374" s="33" t="str">
        <x:v>Active=Yes; Remarks=Supporting evidence should be retained.</x:v>
      </x:c>
      <x:c r="D2374" s="33" t="str">
        <x:v>Active=No; Remarks=P-4 QUARANTINED with inactive parent compliance; legacy ID retained.</x:v>
      </x:c>
      <x:c r="E2374" s="33" t="str">
        <x:v>CORRECT / RECLASSIFY</x:v>
      </x:c>
      <x:c r="F2374" s="33" t="str">
        <x:v>Quarantine inactive descendants and normalize the legacy audit band to its current parent compliance.</x:v>
      </x:c>
      <x:c r="G2374" s="33" t="str">
        <x:v>P-4 execution-chain reconciliation</x:v>
      </x:c>
      <x:c r="H2374" s="33" t="str">
        <x:v>P-4</x:v>
      </x:c>
      <x:c r="I2374" s="33" t="str">
        <x:v>P-4</x:v>
      </x:c>
      <x:c r="J2374" s="33" t="str">
        <x:v>2026-08-20</x:v>
      </x:c>
      <x:c r="K2374" s="33" t="str">
        <x:v>Audit IDs preserved; active tests now address their parent requirements.</x:v>
      </x:c>
    </x:row>
    <x:row r="2375">
      <x:c r="A2375" s="33" t="str">
        <x:v>AUD308</x:v>
      </x:c>
      <x:c r="B2375" s="33" t="str">
        <x:v>Audit Procedure Master</x:v>
      </x:c>
      <x:c r="C2375" s="33" t="str">
        <x:v>Active=Yes; Remarks=Include KPI review.</x:v>
      </x:c>
      <x:c r="D2375" s="33" t="str">
        <x:v>Active=No; Remarks=P-4 QUARANTINED with inactive parent compliance; legacy ID retained.</x:v>
      </x:c>
      <x:c r="E2375" s="33" t="str">
        <x:v>CORRECT / RECLASSIFY</x:v>
      </x:c>
      <x:c r="F2375" s="33" t="str">
        <x:v>Quarantine inactive descendants and normalize the legacy audit band to its current parent compliance.</x:v>
      </x:c>
      <x:c r="G2375" s="33" t="str">
        <x:v>P-4 execution-chain reconciliation</x:v>
      </x:c>
      <x:c r="H2375" s="33" t="str">
        <x:v>P-4</x:v>
      </x:c>
      <x:c r="I2375" s="33" t="str">
        <x:v>P-4</x:v>
      </x:c>
      <x:c r="J2375" s="33" t="str">
        <x:v>2026-08-20</x:v>
      </x:c>
      <x:c r="K2375" s="33" t="str">
        <x:v>Audit IDs preserved; active tests now address their parent requirements.</x:v>
      </x:c>
    </x:row>
    <x:row r="2376">
      <x:c r="A2376" s="33" t="str">
        <x:v>AUD309</x:v>
      </x:c>
      <x:c r="B2376" s="33" t="str">
        <x:v>Audit Procedure Master</x:v>
      </x:c>
      <x:c r="C2376" s="33" t="str">
        <x:v>Active=Yes; Remarks=Verify implementation status.</x:v>
      </x:c>
      <x:c r="D2376" s="33" t="str">
        <x:v>Active=No; Remarks=P-4 QUARANTINED with inactive parent compliance; legacy ID retained.</x:v>
      </x:c>
      <x:c r="E2376" s="33" t="str">
        <x:v>CORRECT / RECLASSIFY</x:v>
      </x:c>
      <x:c r="F2376" s="33" t="str">
        <x:v>Quarantine inactive descendants and normalize the legacy audit band to its current parent compliance.</x:v>
      </x:c>
      <x:c r="G2376" s="33" t="str">
        <x:v>P-4 execution-chain reconciliation</x:v>
      </x:c>
      <x:c r="H2376" s="33" t="str">
        <x:v>P-4</x:v>
      </x:c>
      <x:c r="I2376" s="33" t="str">
        <x:v>P-4</x:v>
      </x:c>
      <x:c r="J2376" s="33" t="str">
        <x:v>2026-08-20</x:v>
      </x:c>
      <x:c r="K2376" s="33" t="str">
        <x:v>Audit IDs preserved; active tests now address their parent requirements.</x:v>
      </x:c>
    </x:row>
    <x:row r="2377">
      <x:c r="A2377" s="33" t="str">
        <x:v>AUD310</x:v>
      </x:c>
      <x:c r="B2377" s="33" t="str">
        <x:v>Audit Procedure Master</x:v>
      </x:c>
      <x:c r="C2377" s="33" t="str">
        <x:v>Active=Yes; Remarks=Perform end-to-end process review.</x:v>
      </x:c>
      <x:c r="D2377" s="33" t="str">
        <x:v>Active=No; Remarks=P-4 QUARANTINED with inactive parent compliance; legacy ID retained.</x:v>
      </x:c>
      <x:c r="E2377" s="33" t="str">
        <x:v>CORRECT / RECLASSIFY</x:v>
      </x:c>
      <x:c r="F2377" s="33" t="str">
        <x:v>Quarantine inactive descendants and normalize the legacy audit band to its current parent compliance.</x:v>
      </x:c>
      <x:c r="G2377" s="33" t="str">
        <x:v>P-4 execution-chain reconciliation</x:v>
      </x:c>
      <x:c r="H2377" s="33" t="str">
        <x:v>P-4</x:v>
      </x:c>
      <x:c r="I2377" s="33" t="str">
        <x:v>P-4</x:v>
      </x:c>
      <x:c r="J2377" s="33" t="str">
        <x:v>2026-08-20</x:v>
      </x:c>
      <x:c r="K2377" s="33" t="str">
        <x:v>Audit IDs preserved; active tests now address their parent requirements.</x:v>
      </x:c>
    </x:row>
    <x:row r="2378">
      <x:c r="A2378" s="33" t="str">
        <x:v>AUD311</x:v>
      </x:c>
      <x:c r="B2378" s="33" t="str">
        <x:v>Audit Procedure Master</x:v>
      </x:c>
      <x:c r="C2378" s="33" t="str">
        <x:v>Active=Yes; Remarks=Select representative cases.</x:v>
      </x:c>
      <x:c r="D2378" s="33" t="str">
        <x:v>Active=No; Remarks=P-4 QUARANTINED with inactive parent compliance; legacy ID retained.</x:v>
      </x:c>
      <x:c r="E2378" s="33" t="str">
        <x:v>CORRECT / RECLASSIFY</x:v>
      </x:c>
      <x:c r="F2378" s="33" t="str">
        <x:v>Quarantine inactive descendants and normalize the legacy audit band to its current parent compliance.</x:v>
      </x:c>
      <x:c r="G2378" s="33" t="str">
        <x:v>P-4 execution-chain reconciliation</x:v>
      </x:c>
      <x:c r="H2378" s="33" t="str">
        <x:v>P-4</x:v>
      </x:c>
      <x:c r="I2378" s="33" t="str">
        <x:v>P-4</x:v>
      </x:c>
      <x:c r="J2378" s="33" t="str">
        <x:v>2026-08-20</x:v>
      </x:c>
      <x:c r="K2378" s="33" t="str">
        <x:v>Audit IDs preserved; active tests now address their parent requirements.</x:v>
      </x:c>
    </x:row>
    <x:row r="2379">
      <x:c r="A2379" s="33" t="str">
        <x:v>AUD312</x:v>
      </x:c>
      <x:c r="B2379" s="33" t="str">
        <x:v>Audit Procedure Master</x:v>
      </x:c>
      <x:c r="C2379" s="33" t="str">
        <x:v>Active=Yes; Remarks=Identify control gaps.</x:v>
      </x:c>
      <x:c r="D2379" s="33" t="str">
        <x:v>Active=No; Remarks=P-4 QUARANTINED with inactive parent compliance; legacy ID retained.</x:v>
      </x:c>
      <x:c r="E2379" s="33" t="str">
        <x:v>CORRECT / RECLASSIFY</x:v>
      </x:c>
      <x:c r="F2379" s="33" t="str">
        <x:v>Quarantine inactive descendants and normalize the legacy audit band to its current parent compliance.</x:v>
      </x:c>
      <x:c r="G2379" s="33" t="str">
        <x:v>P-4 execution-chain reconciliation</x:v>
      </x:c>
      <x:c r="H2379" s="33" t="str">
        <x:v>P-4</x:v>
      </x:c>
      <x:c r="I2379" s="33" t="str">
        <x:v>P-4</x:v>
      </x:c>
      <x:c r="J2379" s="33" t="str">
        <x:v>2026-08-20</x:v>
      </x:c>
      <x:c r="K2379" s="33" t="str">
        <x:v>Audit IDs preserved; active tests now address their parent requirements.</x:v>
      </x:c>
    </x:row>
    <x:row r="2380">
      <x:c r="A2380" s="33" t="str">
        <x:v>AUD313</x:v>
      </x:c>
      <x:c r="B2380" s="33" t="str">
        <x:v>Audit Procedure Master</x:v>
      </x:c>
      <x:c r="C2380" s="33" t="str">
        <x:v>Active=Yes; Remarks=Document audit conclusions and recommendations.</x:v>
      </x:c>
      <x:c r="D2380" s="33" t="str">
        <x:v>Active=No; Remarks=P-4 QUARANTINED with inactive parent compliance; legacy ID retained.</x:v>
      </x:c>
      <x:c r="E2380" s="33" t="str">
        <x:v>CORRECT / RECLASSIFY</x:v>
      </x:c>
      <x:c r="F2380" s="33" t="str">
        <x:v>Quarantine inactive descendants and normalize the legacy audit band to its current parent compliance.</x:v>
      </x:c>
      <x:c r="G2380" s="33" t="str">
        <x:v>P-4 execution-chain reconciliation</x:v>
      </x:c>
      <x:c r="H2380" s="33" t="str">
        <x:v>P-4</x:v>
      </x:c>
      <x:c r="I2380" s="33" t="str">
        <x:v>P-4</x:v>
      </x:c>
      <x:c r="J2380" s="33" t="str">
        <x:v>2026-08-20</x:v>
      </x:c>
      <x:c r="K2380" s="33" t="str">
        <x:v>Audit IDs preserved; active tests now address their parent requirements.</x:v>
      </x:c>
    </x:row>
    <x:row r="2381">
      <x:c r="A2381" s="33" t="str">
        <x:v>AUD314</x:v>
      </x:c>
      <x:c r="B2381" s="33" t="str">
        <x:v>Audit Procedure Master</x:v>
      </x:c>
      <x:c r="C2381" s="33" t="str">
        <x:v>Active=Yes; Remarks=Segregation should comply with applicable biomedical waste rules.</x:v>
      </x:c>
      <x:c r="D2381" s="33" t="str">
        <x:v>Active=No; Remarks=P-4 QUARANTINED with inactive parent compliance; legacy ID retained.</x:v>
      </x:c>
      <x:c r="E2381" s="33" t="str">
        <x:v>CORRECT / RECLASSIFY</x:v>
      </x:c>
      <x:c r="F2381" s="33" t="str">
        <x:v>Quarantine inactive descendants and normalize the legacy audit band to its current parent compliance.</x:v>
      </x:c>
      <x:c r="G2381" s="33" t="str">
        <x:v>P-4 execution-chain reconciliation</x:v>
      </x:c>
      <x:c r="H2381" s="33" t="str">
        <x:v>P-4</x:v>
      </x:c>
      <x:c r="I2381" s="33" t="str">
        <x:v>P-4</x:v>
      </x:c>
      <x:c r="J2381" s="33" t="str">
        <x:v>2026-08-20</x:v>
      </x:c>
      <x:c r="K2381" s="33" t="str">
        <x:v>Audit IDs preserved; active tests now address their parent requirements.</x:v>
      </x:c>
    </x:row>
    <x:row r="2382">
      <x:c r="A2382" s="33" t="str">
        <x:v>AUD315</x:v>
      </x:c>
      <x:c r="B2382" s="33" t="str">
        <x:v>Audit Procedure Master</x:v>
      </x:c>
      <x:c r="C2382" s="33" t="str">
        <x:v>Active=Yes; Remarks=Document deviations immediately.</x:v>
      </x:c>
      <x:c r="D2382" s="33" t="str">
        <x:v>Active=No; Remarks=P-4 QUARANTINED with inactive parent compliance; legacy ID retained.</x:v>
      </x:c>
      <x:c r="E2382" s="33" t="str">
        <x:v>CORRECT / RECLASSIFY</x:v>
      </x:c>
      <x:c r="F2382" s="33" t="str">
        <x:v>Quarantine inactive descendants and normalize the legacy audit band to its current parent compliance.</x:v>
      </x:c>
      <x:c r="G2382" s="33" t="str">
        <x:v>P-4 execution-chain reconciliation</x:v>
      </x:c>
      <x:c r="H2382" s="33" t="str">
        <x:v>P-4</x:v>
      </x:c>
      <x:c r="I2382" s="33" t="str">
        <x:v>P-4</x:v>
      </x:c>
      <x:c r="J2382" s="33" t="str">
        <x:v>2026-08-20</x:v>
      </x:c>
      <x:c r="K2382" s="33" t="str">
        <x:v>Audit IDs preserved; active tests now address their parent requirements.</x:v>
      </x:c>
    </x:row>
    <x:row r="2383">
      <x:c r="A2383" s="33" t="str">
        <x:v>AUD316</x:v>
      </x:c>
      <x:c r="B2383" s="33" t="str">
        <x:v>Audit Procedure Master</x:v>
      </x:c>
      <x:c r="C2383" s="33" t="str">
        <x:v>Active=Yes; Remarks=Disposal records should be maintained.</x:v>
      </x:c>
      <x:c r="D2383" s="33" t="str">
        <x:v>Active=No; Remarks=P-4 QUARANTINED with inactive parent compliance; legacy ID retained.</x:v>
      </x:c>
      <x:c r="E2383" s="33" t="str">
        <x:v>CORRECT / RECLASSIFY</x:v>
      </x:c>
      <x:c r="F2383" s="33" t="str">
        <x:v>Quarantine inactive descendants and normalize the legacy audit band to its current parent compliance.</x:v>
      </x:c>
      <x:c r="G2383" s="33" t="str">
        <x:v>P-4 execution-chain reconciliation</x:v>
      </x:c>
      <x:c r="H2383" s="33" t="str">
        <x:v>P-4</x:v>
      </x:c>
      <x:c r="I2383" s="33" t="str">
        <x:v>P-4</x:v>
      </x:c>
      <x:c r="J2383" s="33" t="str">
        <x:v>2026-08-20</x:v>
      </x:c>
      <x:c r="K2383" s="33" t="str">
        <x:v>Audit IDs preserved; active tests now address their parent requirements.</x:v>
      </x:c>
    </x:row>
    <x:row r="2384">
      <x:c r="A2384" s="33" t="str">
        <x:v>AUD317</x:v>
      </x:c>
      <x:c r="B2384" s="33" t="str">
        <x:v>Audit Procedure Master</x:v>
      </x:c>
      <x:c r="C2384" s="33" t="str">
        <x:v>Active=Yes; Remarks=Certificates should be complete and authenticated.</x:v>
      </x:c>
      <x:c r="D2384" s="33" t="str">
        <x:v>Active=No; Remarks=P-4 QUARANTINED with inactive parent compliance; legacy ID retained.</x:v>
      </x:c>
      <x:c r="E2384" s="33" t="str">
        <x:v>CORRECT / RECLASSIFY</x:v>
      </x:c>
      <x:c r="F2384" s="33" t="str">
        <x:v>Quarantine inactive descendants and normalize the legacy audit band to its current parent compliance.</x:v>
      </x:c>
      <x:c r="G2384" s="33" t="str">
        <x:v>P-4 execution-chain reconciliation</x:v>
      </x:c>
      <x:c r="H2384" s="33" t="str">
        <x:v>P-4</x:v>
      </x:c>
      <x:c r="I2384" s="33" t="str">
        <x:v>P-4</x:v>
      </x:c>
      <x:c r="J2384" s="33" t="str">
        <x:v>2026-08-20</x:v>
      </x:c>
      <x:c r="K2384" s="33" t="str">
        <x:v>Audit IDs preserved; active tests now address their parent requirements.</x:v>
      </x:c>
    </x:row>
    <x:row r="2385">
      <x:c r="A2385" s="33" t="str">
        <x:v>AUD318</x:v>
      </x:c>
      <x:c r="B2385" s="33" t="str">
        <x:v>Audit Procedure Master</x:v>
      </x:c>
      <x:c r="C2385" s="33" t="str">
        <x:v>Active=Yes; Remarks=Prevent mixing with general waste.</x:v>
      </x:c>
      <x:c r="D2385" s="33" t="str">
        <x:v>Active=No; Remarks=P-4 QUARANTINED with inactive parent compliance; legacy ID retained.</x:v>
      </x:c>
      <x:c r="E2385" s="33" t="str">
        <x:v>CORRECT / RECLASSIFY</x:v>
      </x:c>
      <x:c r="F2385" s="33" t="str">
        <x:v>Quarantine inactive descendants and normalize the legacy audit band to its current parent compliance.</x:v>
      </x:c>
      <x:c r="G2385" s="33" t="str">
        <x:v>P-4 execution-chain reconciliation</x:v>
      </x:c>
      <x:c r="H2385" s="33" t="str">
        <x:v>P-4</x:v>
      </x:c>
      <x:c r="I2385" s="33" t="str">
        <x:v>P-4</x:v>
      </x:c>
      <x:c r="J2385" s="33" t="str">
        <x:v>2026-08-20</x:v>
      </x:c>
      <x:c r="K2385" s="33" t="str">
        <x:v>Audit IDs preserved; active tests now address their parent requirements.</x:v>
      </x:c>
    </x:row>
    <x:row r="2386">
      <x:c r="A2386" s="33" t="str">
        <x:v>AUD319</x:v>
      </x:c>
      <x:c r="B2386" s="33" t="str">
        <x:v>Audit Procedure Master</x:v>
      </x:c>
      <x:c r="C2386" s="33" t="str">
        <x:v>Active=Yes; Remarks=Labels should remain legible.</x:v>
      </x:c>
      <x:c r="D2386" s="33" t="str">
        <x:v>Active=No; Remarks=P-4 QUARANTINED with inactive parent compliance; legacy ID retained.</x:v>
      </x:c>
      <x:c r="E2386" s="33" t="str">
        <x:v>CORRECT / RECLASSIFY</x:v>
      </x:c>
      <x:c r="F2386" s="33" t="str">
        <x:v>Quarantine inactive descendants and normalize the legacy audit band to its current parent compliance.</x:v>
      </x:c>
      <x:c r="G2386" s="33" t="str">
        <x:v>P-4 execution-chain reconciliation</x:v>
      </x:c>
      <x:c r="H2386" s="33" t="str">
        <x:v>P-4</x:v>
      </x:c>
      <x:c r="I2386" s="33" t="str">
        <x:v>P-4</x:v>
      </x:c>
      <x:c r="J2386" s="33" t="str">
        <x:v>2026-08-20</x:v>
      </x:c>
      <x:c r="K2386" s="33" t="str">
        <x:v>Audit IDs preserved; active tests now address their parent requirements.</x:v>
      </x:c>
    </x:row>
    <x:row r="2387">
      <x:c r="A2387" s="33" t="str">
        <x:v>AUD320</x:v>
      </x:c>
      <x:c r="B2387" s="33" t="str">
        <x:v>Audit Procedure Master</x:v>
      </x:c>
      <x:c r="C2387" s="33" t="str">
        <x:v>Active=Yes; Remarks=Agency authorization should be valid.</x:v>
      </x:c>
      <x:c r="D2387" s="33" t="str">
        <x:v>Active=No; Remarks=P-4 QUARANTINED with inactive parent compliance; legacy ID retained.</x:v>
      </x:c>
      <x:c r="E2387" s="33" t="str">
        <x:v>CORRECT / RECLASSIFY</x:v>
      </x:c>
      <x:c r="F2387" s="33" t="str">
        <x:v>Quarantine inactive descendants and normalize the legacy audit band to its current parent compliance.</x:v>
      </x:c>
      <x:c r="G2387" s="33" t="str">
        <x:v>P-4 execution-chain reconciliation</x:v>
      </x:c>
      <x:c r="H2387" s="33" t="str">
        <x:v>P-4</x:v>
      </x:c>
      <x:c r="I2387" s="33" t="str">
        <x:v>P-4</x:v>
      </x:c>
      <x:c r="J2387" s="33" t="str">
        <x:v>2026-08-20</x:v>
      </x:c>
      <x:c r="K2387" s="33" t="str">
        <x:v>Audit IDs preserved; active tests now address their parent requirements.</x:v>
      </x:c>
    </x:row>
    <x:row r="2388">
      <x:c r="A2388" s="33" t="str">
        <x:v>AUD321</x:v>
      </x:c>
      <x:c r="B2388" s="33" t="str">
        <x:v>Audit Procedure Master</x:v>
      </x:c>
      <x:c r="C2388" s="33" t="str">
        <x:v>Active=Yes; Remarks=Verify continuity of authorization.</x:v>
      </x:c>
      <x:c r="D2388" s="33" t="str">
        <x:v>Active=No; Remarks=P-4 QUARANTINED with inactive parent compliance; legacy ID retained.</x:v>
      </x:c>
      <x:c r="E2388" s="33" t="str">
        <x:v>CORRECT / RECLASSIFY</x:v>
      </x:c>
      <x:c r="F2388" s="33" t="str">
        <x:v>Quarantine inactive descendants and normalize the legacy audit band to its current parent compliance.</x:v>
      </x:c>
      <x:c r="G2388" s="33" t="str">
        <x:v>P-4 execution-chain reconciliation</x:v>
      </x:c>
      <x:c r="H2388" s="33" t="str">
        <x:v>P-4</x:v>
      </x:c>
      <x:c r="I2388" s="33" t="str">
        <x:v>P-4</x:v>
      </x:c>
      <x:c r="J2388" s="33" t="str">
        <x:v>2026-08-20</x:v>
      </x:c>
      <x:c r="K2388" s="33" t="str">
        <x:v>Audit IDs preserved; active tests now address their parent requirements.</x:v>
      </x:c>
    </x:row>
    <x:row r="2389">
      <x:c r="A2389" s="33" t="str">
        <x:v>AUD322</x:v>
      </x:c>
      <x:c r="B2389" s="33" t="str">
        <x:v>Audit Procedure Master</x:v>
      </x:c>
      <x:c r="C2389" s="33" t="str">
        <x:v>Active=Yes; Remarks=Records should include dates and quantities.</x:v>
      </x:c>
      <x:c r="D2389" s="33" t="str">
        <x:v>Active=No; Remarks=P-4 QUARANTINED with inactive parent compliance; legacy ID retained.</x:v>
      </x:c>
      <x:c r="E2389" s="33" t="str">
        <x:v>CORRECT / RECLASSIFY</x:v>
      </x:c>
      <x:c r="F2389" s="33" t="str">
        <x:v>Quarantine inactive descendants and normalize the legacy audit band to its current parent compliance.</x:v>
      </x:c>
      <x:c r="G2389" s="33" t="str">
        <x:v>P-4 execution-chain reconciliation</x:v>
      </x:c>
      <x:c r="H2389" s="33" t="str">
        <x:v>P-4</x:v>
      </x:c>
      <x:c r="I2389" s="33" t="str">
        <x:v>P-4</x:v>
      </x:c>
      <x:c r="J2389" s="33" t="str">
        <x:v>2026-08-20</x:v>
      </x:c>
      <x:c r="K2389" s="33" t="str">
        <x:v>Audit IDs preserved; active tests now address their parent requirements.</x:v>
      </x:c>
    </x:row>
    <x:row r="2390">
      <x:c r="A2390" s="33" t="str">
        <x:v>AUD323</x:v>
      </x:c>
      <x:c r="B2390" s="33" t="str">
        <x:v>Audit Procedure Master</x:v>
      </x:c>
      <x:c r="C2390" s="33" t="str">
        <x:v>Active=Yes; Remarks=Investigate unexplained variances.</x:v>
      </x:c>
      <x:c r="D2390" s="33" t="str">
        <x:v>Active=No; Remarks=P-4 QUARANTINED with inactive parent compliance; legacy ID retained.</x:v>
      </x:c>
      <x:c r="E2390" s="33" t="str">
        <x:v>CORRECT / RECLASSIFY</x:v>
      </x:c>
      <x:c r="F2390" s="33" t="str">
        <x:v>Quarantine inactive descendants and normalize the legacy audit band to its current parent compliance.</x:v>
      </x:c>
      <x:c r="G2390" s="33" t="str">
        <x:v>P-4 execution-chain reconciliation</x:v>
      </x:c>
      <x:c r="H2390" s="33" t="str">
        <x:v>P-4</x:v>
      </x:c>
      <x:c r="I2390" s="33" t="str">
        <x:v>P-4</x:v>
      </x:c>
      <x:c r="J2390" s="33" t="str">
        <x:v>2026-08-20</x:v>
      </x:c>
      <x:c r="K2390" s="33" t="str">
        <x:v>Audit IDs preserved; active tests now address their parent requirements.</x:v>
      </x:c>
    </x:row>
    <x:row r="2391">
      <x:c r="A2391" s="33" t="str">
        <x:v>AUD324</x:v>
      </x:c>
      <x:c r="B2391" s="33" t="str">
        <x:v>Audit Procedure Master</x:v>
      </x:c>
      <x:c r="C2391" s="33" t="str">
        <x:v>Active=Yes; Remarks=Unauthorized access should be prevented.</x:v>
      </x:c>
      <x:c r="D2391" s="33" t="str">
        <x:v>Active=No; Remarks=P-4 QUARANTINED with inactive parent compliance; legacy ID retained.</x:v>
      </x:c>
      <x:c r="E2391" s="33" t="str">
        <x:v>CORRECT / RECLASSIFY</x:v>
      </x:c>
      <x:c r="F2391" s="33" t="str">
        <x:v>Quarantine inactive descendants and normalize the legacy audit band to its current parent compliance.</x:v>
      </x:c>
      <x:c r="G2391" s="33" t="str">
        <x:v>P-4 execution-chain reconciliation</x:v>
      </x:c>
      <x:c r="H2391" s="33" t="str">
        <x:v>P-4</x:v>
      </x:c>
      <x:c r="I2391" s="33" t="str">
        <x:v>P-4</x:v>
      </x:c>
      <x:c r="J2391" s="33" t="str">
        <x:v>2026-08-20</x:v>
      </x:c>
      <x:c r="K2391" s="33" t="str">
        <x:v>Audit IDs preserved; active tests now address their parent requirements.</x:v>
      </x:c>
    </x:row>
    <x:row r="2392">
      <x:c r="A2392" s="33" t="str">
        <x:v>AUD325</x:v>
      </x:c>
      <x:c r="B2392" s="33" t="str">
        <x:v>Audit Procedure Master</x:v>
      </x:c>
      <x:c r="C2392" s="33" t="str">
        <x:v>Active=Yes; Remarks=Hygiene standards should be maintained.</x:v>
      </x:c>
      <x:c r="D2392" s="33" t="str">
        <x:v>Active=No; Remarks=P-4 QUARANTINED with inactive parent compliance; legacy ID retained.</x:v>
      </x:c>
      <x:c r="E2392" s="33" t="str">
        <x:v>CORRECT / RECLASSIFY</x:v>
      </x:c>
      <x:c r="F2392" s="33" t="str">
        <x:v>Quarantine inactive descendants and normalize the legacy audit band to its current parent compliance.</x:v>
      </x:c>
      <x:c r="G2392" s="33" t="str">
        <x:v>P-4 execution-chain reconciliation</x:v>
      </x:c>
      <x:c r="H2392" s="33" t="str">
        <x:v>P-4</x:v>
      </x:c>
      <x:c r="I2392" s="33" t="str">
        <x:v>P-4</x:v>
      </x:c>
      <x:c r="J2392" s="33" t="str">
        <x:v>2026-08-20</x:v>
      </x:c>
      <x:c r="K2392" s="33" t="str">
        <x:v>Audit IDs preserved; active tests now address their parent requirements.</x:v>
      </x:c>
    </x:row>
    <x:row r="2393">
      <x:c r="A2393" s="33" t="str">
        <x:v>AUD326</x:v>
      </x:c>
      <x:c r="B2393" s="33" t="str">
        <x:v>Audit Procedure Master</x:v>
      </x:c>
      <x:c r="C2393" s="33" t="str">
        <x:v>Active=Yes; Remarks=Labels should identify waste category.</x:v>
      </x:c>
      <x:c r="D2393" s="33" t="str">
        <x:v>Active=No; Remarks=P-4 QUARANTINED with inactive parent compliance; legacy ID retained.</x:v>
      </x:c>
      <x:c r="E2393" s="33" t="str">
        <x:v>CORRECT / RECLASSIFY</x:v>
      </x:c>
      <x:c r="F2393" s="33" t="str">
        <x:v>Quarantine inactive descendants and normalize the legacy audit band to its current parent compliance.</x:v>
      </x:c>
      <x:c r="G2393" s="33" t="str">
        <x:v>P-4 execution-chain reconciliation</x:v>
      </x:c>
      <x:c r="H2393" s="33" t="str">
        <x:v>P-4</x:v>
      </x:c>
      <x:c r="I2393" s="33" t="str">
        <x:v>P-4</x:v>
      </x:c>
      <x:c r="J2393" s="33" t="str">
        <x:v>2026-08-20</x:v>
      </x:c>
      <x:c r="K2393" s="33" t="str">
        <x:v>Audit IDs preserved; active tests now address their parent requirements.</x:v>
      </x:c>
    </x:row>
    <x:row r="2394">
      <x:c r="A2394" s="33" t="str">
        <x:v>AUD327</x:v>
      </x:c>
      <x:c r="B2394" s="33" t="str">
        <x:v>Audit Procedure Master</x:v>
      </x:c>
      <x:c r="C2394" s="33" t="str">
        <x:v>Active=Yes; Remarks=Damaged containers should be replaced promptly.</x:v>
      </x:c>
      <x:c r="D2394" s="33" t="str">
        <x:v>Active=No; Remarks=P-4 QUARANTINED with inactive parent compliance; legacy ID retained.</x:v>
      </x:c>
      <x:c r="E2394" s="33" t="str">
        <x:v>CORRECT / RECLASSIFY</x:v>
      </x:c>
      <x:c r="F2394" s="33" t="str">
        <x:v>Quarantine inactive descendants and normalize the legacy audit band to its current parent compliance.</x:v>
      </x:c>
      <x:c r="G2394" s="33" t="str">
        <x:v>P-4 execution-chain reconciliation</x:v>
      </x:c>
      <x:c r="H2394" s="33" t="str">
        <x:v>P-4</x:v>
      </x:c>
      <x:c r="I2394" s="33" t="str">
        <x:v>P-4</x:v>
      </x:c>
      <x:c r="J2394" s="33" t="str">
        <x:v>2026-08-20</x:v>
      </x:c>
      <x:c r="K2394" s="33" t="str">
        <x:v>Audit IDs preserved; active tests now address their parent requirements.</x:v>
      </x:c>
    </x:row>
    <x:row r="2395">
      <x:c r="A2395" s="33" t="str">
        <x:v>AUD328</x:v>
      </x:c>
      <x:c r="B2395" s="33" t="str">
        <x:v>Audit Procedure Master</x:v>
      </x:c>
      <x:c r="C2395" s="33" t="str">
        <x:v>Active=Yes; Remarks=Applicable where controlled drugs are destroyed.</x:v>
      </x:c>
      <x:c r="D2395" s="33" t="str">
        <x:v>Active=No; Remarks=P-4 QUARANTINED with inactive parent compliance; legacy ID retained.</x:v>
      </x:c>
      <x:c r="E2395" s="33" t="str">
        <x:v>CORRECT / RECLASSIFY</x:v>
      </x:c>
      <x:c r="F2395" s="33" t="str">
        <x:v>Quarantine inactive descendants and normalize the legacy audit band to its current parent compliance.</x:v>
      </x:c>
      <x:c r="G2395" s="33" t="str">
        <x:v>P-4 execution-chain reconciliation</x:v>
      </x:c>
      <x:c r="H2395" s="33" t="str">
        <x:v>P-4</x:v>
      </x:c>
      <x:c r="I2395" s="33" t="str">
        <x:v>P-4</x:v>
      </x:c>
      <x:c r="J2395" s="33" t="str">
        <x:v>2026-08-20</x:v>
      </x:c>
      <x:c r="K2395" s="33" t="str">
        <x:v>Audit IDs preserved; active tests now address their parent requirements.</x:v>
      </x:c>
    </x:row>
    <x:row r="2396">
      <x:c r="A2396" s="33" t="str">
        <x:v>AUD329</x:v>
      </x:c>
      <x:c r="B2396" s="33" t="str">
        <x:v>Audit Procedure Master</x:v>
      </x:c>
      <x:c r="C2396" s="33" t="str">
        <x:v>Active=Yes; Remarks=Witness requirements should be satisfied.</x:v>
      </x:c>
      <x:c r="D2396" s="33" t="str">
        <x:v>Active=No; Remarks=P-4 QUARANTINED with inactive parent compliance; legacy ID retained.</x:v>
      </x:c>
      <x:c r="E2396" s="33" t="str">
        <x:v>CORRECT / RECLASSIFY</x:v>
      </x:c>
      <x:c r="F2396" s="33" t="str">
        <x:v>Quarantine inactive descendants and normalize the legacy audit band to its current parent compliance.</x:v>
      </x:c>
      <x:c r="G2396" s="33" t="str">
        <x:v>P-4 execution-chain reconciliation</x:v>
      </x:c>
      <x:c r="H2396" s="33" t="str">
        <x:v>P-4</x:v>
      </x:c>
      <x:c r="I2396" s="33" t="str">
        <x:v>P-4</x:v>
      </x:c>
      <x:c r="J2396" s="33" t="str">
        <x:v>2026-08-20</x:v>
      </x:c>
      <x:c r="K2396" s="33" t="str">
        <x:v>Audit IDs preserved; active tests now address their parent requirements.</x:v>
      </x:c>
    </x:row>
    <x:row r="2397">
      <x:c r="A2397" s="33" t="str">
        <x:v>AUD330</x:v>
      </x:c>
      <x:c r="B2397" s="33" t="str">
        <x:v>Audit Procedure Master</x:v>
      </x:c>
      <x:c r="C2397" s="33" t="str">
        <x:v>Active=Yes; Remarks=Training records should be current.</x:v>
      </x:c>
      <x:c r="D2397" s="33" t="str">
        <x:v>Active=No; Remarks=P-4 QUARANTINED with inactive parent compliance; legacy ID retained.</x:v>
      </x:c>
      <x:c r="E2397" s="33" t="str">
        <x:v>CORRECT / RECLASSIFY</x:v>
      </x:c>
      <x:c r="F2397" s="33" t="str">
        <x:v>Quarantine inactive descendants and normalize the legacy audit band to its current parent compliance.</x:v>
      </x:c>
      <x:c r="G2397" s="33" t="str">
        <x:v>P-4 execution-chain reconciliation</x:v>
      </x:c>
      <x:c r="H2397" s="33" t="str">
        <x:v>P-4</x:v>
      </x:c>
      <x:c r="I2397" s="33" t="str">
        <x:v>P-4</x:v>
      </x:c>
      <x:c r="J2397" s="33" t="str">
        <x:v>2026-08-20</x:v>
      </x:c>
      <x:c r="K2397" s="33" t="str">
        <x:v>Audit IDs preserved; active tests now address their parent requirements.</x:v>
      </x:c>
    </x:row>
    <x:row r="2398">
      <x:c r="A2398" s="33" t="str">
        <x:v>AUD331</x:v>
      </x:c>
      <x:c r="B2398" s="33" t="str">
        <x:v>Audit Procedure Master</x:v>
      </x:c>
      <x:c r="C2398" s="33" t="str">
        <x:v>Active=Yes; Remarks=Assess practical awareness.</x:v>
      </x:c>
      <x:c r="D2398" s="33" t="str">
        <x:v>Active=No; Remarks=P-4 QUARANTINED with inactive parent compliance; legacy ID retained.</x:v>
      </x:c>
      <x:c r="E2398" s="33" t="str">
        <x:v>CORRECT / RECLASSIFY</x:v>
      </x:c>
      <x:c r="F2398" s="33" t="str">
        <x:v>Quarantine inactive descendants and normalize the legacy audit band to its current parent compliance.</x:v>
      </x:c>
      <x:c r="G2398" s="33" t="str">
        <x:v>P-4 execution-chain reconciliation</x:v>
      </x:c>
      <x:c r="H2398" s="33" t="str">
        <x:v>P-4</x:v>
      </x:c>
      <x:c r="I2398" s="33" t="str">
        <x:v>P-4</x:v>
      </x:c>
      <x:c r="J2398" s="33" t="str">
        <x:v>2026-08-20</x:v>
      </x:c>
      <x:c r="K2398" s="33" t="str">
        <x:v>Audit IDs preserved; active tests now address their parent requirements.</x:v>
      </x:c>
    </x:row>
    <x:row r="2399">
      <x:c r="A2399" s="33" t="str">
        <x:v>AUD332</x:v>
      </x:c>
      <x:c r="B2399" s="33" t="str">
        <x:v>Audit Procedure Master</x:v>
      </x:c>
      <x:c r="C2399" s="33" t="str">
        <x:v>Active=Yes; Remarks=Spill kits should be readily accessible.</x:v>
      </x:c>
      <x:c r="D2399" s="33" t="str">
        <x:v>Active=No; Remarks=P-4 QUARANTINED with inactive parent compliance; legacy ID retained.</x:v>
      </x:c>
      <x:c r="E2399" s="33" t="str">
        <x:v>CORRECT / RECLASSIFY</x:v>
      </x:c>
      <x:c r="F2399" s="33" t="str">
        <x:v>Quarantine inactive descendants and normalize the legacy audit band to its current parent compliance.</x:v>
      </x:c>
      <x:c r="G2399" s="33" t="str">
        <x:v>P-4 execution-chain reconciliation</x:v>
      </x:c>
      <x:c r="H2399" s="33" t="str">
        <x:v>P-4</x:v>
      </x:c>
      <x:c r="I2399" s="33" t="str">
        <x:v>P-4</x:v>
      </x:c>
      <x:c r="J2399" s="33" t="str">
        <x:v>2026-08-20</x:v>
      </x:c>
      <x:c r="K2399" s="33" t="str">
        <x:v>Audit IDs preserved; active tests now address their parent requirements.</x:v>
      </x:c>
    </x:row>
    <x:row r="2400">
      <x:c r="A2400" s="33" t="str">
        <x:v>AUD333</x:v>
      </x:c>
      <x:c r="B2400" s="33" t="str">
        <x:v>Audit Procedure Master</x:v>
      </x:c>
      <x:c r="C2400" s="33" t="str">
        <x:v>Active=Yes; Remarks=Confirm staff readiness.</x:v>
      </x:c>
      <x:c r="D2400" s="33" t="str">
        <x:v>Active=No; Remarks=P-4 QUARANTINED with inactive parent compliance; legacy ID retained.</x:v>
      </x:c>
      <x:c r="E2400" s="33" t="str">
        <x:v>CORRECT / RECLASSIFY</x:v>
      </x:c>
      <x:c r="F2400" s="33" t="str">
        <x:v>Quarantine inactive descendants and normalize the legacy audit band to its current parent compliance.</x:v>
      </x:c>
      <x:c r="G2400" s="33" t="str">
        <x:v>P-4 execution-chain reconciliation</x:v>
      </x:c>
      <x:c r="H2400" s="33" t="str">
        <x:v>P-4</x:v>
      </x:c>
      <x:c r="I2400" s="33" t="str">
        <x:v>P-4</x:v>
      </x:c>
      <x:c r="J2400" s="33" t="str">
        <x:v>2026-08-20</x:v>
      </x:c>
      <x:c r="K2400" s="33" t="str">
        <x:v>Audit IDs preserved; active tests now address their parent requirements.</x:v>
      </x:c>
    </x:row>
    <x:row r="2401">
      <x:c r="A2401" s="33" t="str">
        <x:v>AUD334</x:v>
      </x:c>
      <x:c r="B2401" s="33" t="str">
        <x:v>Audit Procedure Master</x:v>
      </x:c>
      <x:c r="C2401" s="33" t="str">
        <x:v>Active=Yes; Remarks=CAPA should be initiated where necessary.</x:v>
      </x:c>
      <x:c r="D2401" s="33" t="str">
        <x:v>Active=No; Remarks=P-4 QUARANTINED with inactive parent compliance; legacy ID retained.</x:v>
      </x:c>
      <x:c r="E2401" s="33" t="str">
        <x:v>CORRECT / RECLASSIFY</x:v>
      </x:c>
      <x:c r="F2401" s="33" t="str">
        <x:v>Quarantine inactive descendants and normalize the legacy audit band to its current parent compliance.</x:v>
      </x:c>
      <x:c r="G2401" s="33" t="str">
        <x:v>P-4 execution-chain reconciliation</x:v>
      </x:c>
      <x:c r="H2401" s="33" t="str">
        <x:v>P-4</x:v>
      </x:c>
      <x:c r="I2401" s="33" t="str">
        <x:v>P-4</x:v>
      </x:c>
      <x:c r="J2401" s="33" t="str">
        <x:v>2026-08-20</x:v>
      </x:c>
      <x:c r="K2401" s="33" t="str">
        <x:v>Audit IDs preserved; active tests now address their parent requirements.</x:v>
      </x:c>
    </x:row>
    <x:row r="2402">
      <x:c r="A2402" s="33" t="str">
        <x:v>AUD335</x:v>
      </x:c>
      <x:c r="B2402" s="33" t="str">
        <x:v>Audit Procedure Master</x:v>
      </x:c>
      <x:c r="C2402" s="33" t="str">
        <x:v>Active=Yes; Remarks=Verify corrective action closure.</x:v>
      </x:c>
      <x:c r="D2402" s="33" t="str">
        <x:v>Active=No; Remarks=P-4 QUARANTINED with inactive parent compliance; legacy ID retained.</x:v>
      </x:c>
      <x:c r="E2402" s="33" t="str">
        <x:v>CORRECT / RECLASSIFY</x:v>
      </x:c>
      <x:c r="F2402" s="33" t="str">
        <x:v>Quarantine inactive descendants and normalize the legacy audit band to its current parent compliance.</x:v>
      </x:c>
      <x:c r="G2402" s="33" t="str">
        <x:v>P-4 execution-chain reconciliation</x:v>
      </x:c>
      <x:c r="H2402" s="33" t="str">
        <x:v>P-4</x:v>
      </x:c>
      <x:c r="I2402" s="33" t="str">
        <x:v>P-4</x:v>
      </x:c>
      <x:c r="J2402" s="33" t="str">
        <x:v>2026-08-20</x:v>
      </x:c>
      <x:c r="K2402" s="33" t="str">
        <x:v>Audit IDs preserved; active tests now address their parent requirements.</x:v>
      </x:c>
    </x:row>
    <x:row r="2403">
      <x:c r="A2403" s="33" t="str">
        <x:v>AUD352</x:v>
      </x:c>
      <x:c r="B2403" s="33" t="str">
        <x:v>Audit Procedure Master</x:v>
      </x:c>
      <x:c r="C2403" s="33" t="str">
        <x:v>Active=Yes; Remarks=Emergency response procedures should be approved.</x:v>
      </x:c>
      <x:c r="D2403" s="33" t="str">
        <x:v>Active=No; Remarks=P-4 QUARANTINED with inactive parent compliance; legacy ID retained.</x:v>
      </x:c>
      <x:c r="E2403" s="33" t="str">
        <x:v>CORRECT / RECLASSIFY</x:v>
      </x:c>
      <x:c r="F2403" s="33" t="str">
        <x:v>Quarantine inactive descendants and normalize the legacy audit band to its current parent compliance.</x:v>
      </x:c>
      <x:c r="G2403" s="33" t="str">
        <x:v>P-4 execution-chain reconciliation</x:v>
      </x:c>
      <x:c r="H2403" s="33" t="str">
        <x:v>P-4</x:v>
      </x:c>
      <x:c r="I2403" s="33" t="str">
        <x:v>P-4</x:v>
      </x:c>
      <x:c r="J2403" s="33" t="str">
        <x:v>2026-08-20</x:v>
      </x:c>
      <x:c r="K2403" s="33" t="str">
        <x:v>Audit IDs preserved; active tests now address their parent requirements.</x:v>
      </x:c>
    </x:row>
    <x:row r="2404">
      <x:c r="A2404" s="33" t="str">
        <x:v>AUD353</x:v>
      </x:c>
      <x:c r="B2404" s="33" t="str">
        <x:v>Audit Procedure Master</x:v>
      </x:c>
      <x:c r="C2404" s="33" t="str">
        <x:v>Active=Yes; Remarks=Verify emergency equipment availability.</x:v>
      </x:c>
      <x:c r="D2404" s="33" t="str">
        <x:v>Active=No; Remarks=P-4 QUARANTINED with inactive parent compliance; legacy ID retained.</x:v>
      </x:c>
      <x:c r="E2404" s="33" t="str">
        <x:v>CORRECT / RECLASSIFY</x:v>
      </x:c>
      <x:c r="F2404" s="33" t="str">
        <x:v>Quarantine inactive descendants and normalize the legacy audit band to its current parent compliance.</x:v>
      </x:c>
      <x:c r="G2404" s="33" t="str">
        <x:v>P-4 execution-chain reconciliation</x:v>
      </x:c>
      <x:c r="H2404" s="33" t="str">
        <x:v>P-4</x:v>
      </x:c>
      <x:c r="I2404" s="33" t="str">
        <x:v>P-4</x:v>
      </x:c>
      <x:c r="J2404" s="33" t="str">
        <x:v>2026-08-20</x:v>
      </x:c>
      <x:c r="K2404" s="33" t="str">
        <x:v>Audit IDs preserved; active tests now address their parent requirements.</x:v>
      </x:c>
    </x:row>
    <x:row r="2405">
      <x:c r="A2405" s="33" t="str">
        <x:v>AUD354</x:v>
      </x:c>
      <x:c r="B2405" s="33" t="str">
        <x:v>Audit Procedure Master</x:v>
      </x:c>
      <x:c r="C2405" s="33" t="str">
        <x:v>Active=Yes; Remarks=KPI review should be documented.</x:v>
      </x:c>
      <x:c r="D2405" s="33" t="str">
        <x:v>Active=No; Remarks=P-4 QUARANTINED with inactive parent compliance; legacy ID retained.</x:v>
      </x:c>
      <x:c r="E2405" s="33" t="str">
        <x:v>CORRECT / RECLASSIFY</x:v>
      </x:c>
      <x:c r="F2405" s="33" t="str">
        <x:v>Quarantine inactive descendants and normalize the legacy audit band to its current parent compliance.</x:v>
      </x:c>
      <x:c r="G2405" s="33" t="str">
        <x:v>P-4 execution-chain reconciliation</x:v>
      </x:c>
      <x:c r="H2405" s="33" t="str">
        <x:v>P-4</x:v>
      </x:c>
      <x:c r="I2405" s="33" t="str">
        <x:v>P-4</x:v>
      </x:c>
      <x:c r="J2405" s="33" t="str">
        <x:v>2026-08-20</x:v>
      </x:c>
      <x:c r="K2405" s="33" t="str">
        <x:v>Audit IDs preserved; active tests now address their parent requirements.</x:v>
      </x:c>
    </x:row>
    <x:row r="2406">
      <x:c r="A2406" s="33" t="str">
        <x:v>AUD355</x:v>
      </x:c>
      <x:c r="B2406" s="33" t="str">
        <x:v>Audit Procedure Master</x:v>
      </x:c>
      <x:c r="C2406" s="33" t="str">
        <x:v>Active=Yes; Remarks=Follow-up actions should be tracked.</x:v>
      </x:c>
      <x:c r="D2406" s="33" t="str">
        <x:v>Active=No; Remarks=P-4 QUARANTINED with inactive parent compliance; legacy ID retained.</x:v>
      </x:c>
      <x:c r="E2406" s="33" t="str">
        <x:v>CORRECT / RECLASSIFY</x:v>
      </x:c>
      <x:c r="F2406" s="33" t="str">
        <x:v>Quarantine inactive descendants and normalize the legacy audit band to its current parent compliance.</x:v>
      </x:c>
      <x:c r="G2406" s="33" t="str">
        <x:v>P-4 execution-chain reconciliation</x:v>
      </x:c>
      <x:c r="H2406" s="33" t="str">
        <x:v>P-4</x:v>
      </x:c>
      <x:c r="I2406" s="33" t="str">
        <x:v>P-4</x:v>
      </x:c>
      <x:c r="J2406" s="33" t="str">
        <x:v>2026-08-20</x:v>
      </x:c>
      <x:c r="K2406" s="33" t="str">
        <x:v>Audit IDs preserved; active tests now address their parent requirements.</x:v>
      </x:c>
    </x:row>
    <x:row r="2407">
      <x:c r="A2407" s="33" t="str">
        <x:v>AUD356</x:v>
      </x:c>
      <x:c r="B2407" s="33" t="str">
        <x:v>Audit Procedure Master</x:v>
      </x:c>
      <x:c r="C2407" s="33" t="str">
        <x:v>Active=Yes; Remarks=Audit trails should be enabled.</x:v>
      </x:c>
      <x:c r="D2407" s="33" t="str">
        <x:v>Active=No; Remarks=P-4 QUARANTINED with inactive parent compliance; legacy ID retained.</x:v>
      </x:c>
      <x:c r="E2407" s="33" t="str">
        <x:v>CORRECT / RECLASSIFY</x:v>
      </x:c>
      <x:c r="F2407" s="33" t="str">
        <x:v>Quarantine inactive descendants and normalize the legacy audit band to its current parent compliance.</x:v>
      </x:c>
      <x:c r="G2407" s="33" t="str">
        <x:v>P-4 execution-chain reconciliation</x:v>
      </x:c>
      <x:c r="H2407" s="33" t="str">
        <x:v>P-4</x:v>
      </x:c>
      <x:c r="I2407" s="33" t="str">
        <x:v>P-4</x:v>
      </x:c>
      <x:c r="J2407" s="33" t="str">
        <x:v>2026-08-20</x:v>
      </x:c>
      <x:c r="K2407" s="33" t="str">
        <x:v>Audit IDs preserved; active tests now address their parent requirements.</x:v>
      </x:c>
    </x:row>
    <x:row r="2408">
      <x:c r="A2408" s="33" t="str">
        <x:v>AUD357</x:v>
      </x:c>
      <x:c r="B2408" s="33" t="str">
        <x:v>Audit Procedure Master</x:v>
      </x:c>
      <x:c r="C2408" s="33" t="str">
        <x:v>Active=Yes; Remarks=Investigate unauthorized changes.</x:v>
      </x:c>
      <x:c r="D2408" s="33" t="str">
        <x:v>Active=No; Remarks=P-4 QUARANTINED with inactive parent compliance; legacy ID retained.</x:v>
      </x:c>
      <x:c r="E2408" s="33" t="str">
        <x:v>CORRECT / RECLASSIFY</x:v>
      </x:c>
      <x:c r="F2408" s="33" t="str">
        <x:v>Quarantine inactive descendants and normalize the legacy audit band to its current parent compliance.</x:v>
      </x:c>
      <x:c r="G2408" s="33" t="str">
        <x:v>P-4 execution-chain reconciliation</x:v>
      </x:c>
      <x:c r="H2408" s="33" t="str">
        <x:v>P-4</x:v>
      </x:c>
      <x:c r="I2408" s="33" t="str">
        <x:v>P-4</x:v>
      </x:c>
      <x:c r="J2408" s="33" t="str">
        <x:v>2026-08-20</x:v>
      </x:c>
      <x:c r="K2408" s="33" t="str">
        <x:v>Audit IDs preserved; active tests now address their parent requirements.</x:v>
      </x:c>
    </x:row>
    <x:row r="2409">
      <x:c r="A2409" s="33" t="str">
        <x:v>AUD358</x:v>
      </x:c>
      <x:c r="B2409" s="33" t="str">
        <x:v>Audit Procedure Master</x:v>
      </x:c>
      <x:c r="C2409" s="33" t="str">
        <x:v>Active=Yes; Remarks=Audit coverage should be comprehensive.</x:v>
      </x:c>
      <x:c r="D2409" s="33" t="str">
        <x:v>Active=No; Remarks=P-4 QUARANTINED with inactive parent compliance; legacy ID retained.</x:v>
      </x:c>
      <x:c r="E2409" s="33" t="str">
        <x:v>CORRECT / RECLASSIFY</x:v>
      </x:c>
      <x:c r="F2409" s="33" t="str">
        <x:v>Quarantine inactive descendants and normalize the legacy audit band to its current parent compliance.</x:v>
      </x:c>
      <x:c r="G2409" s="33" t="str">
        <x:v>P-4 execution-chain reconciliation</x:v>
      </x:c>
      <x:c r="H2409" s="33" t="str">
        <x:v>P-4</x:v>
      </x:c>
      <x:c r="I2409" s="33" t="str">
        <x:v>P-4</x:v>
      </x:c>
      <x:c r="J2409" s="33" t="str">
        <x:v>2026-08-20</x:v>
      </x:c>
      <x:c r="K2409" s="33" t="str">
        <x:v>Audit IDs preserved; active tests now address their parent requirements.</x:v>
      </x:c>
    </x:row>
    <x:row r="2410">
      <x:c r="A2410" s="33" t="str">
        <x:v>AUD359</x:v>
      </x:c>
      <x:c r="B2410" s="33" t="str">
        <x:v>Audit Procedure Master</x:v>
      </x:c>
      <x:c r="C2410" s="33" t="str">
        <x:v>Active=Yes; Remarks=Verify timely closure.</x:v>
      </x:c>
      <x:c r="D2410" s="33" t="str">
        <x:v>Active=No; Remarks=P-4 QUARANTINED with inactive parent compliance; legacy ID retained.</x:v>
      </x:c>
      <x:c r="E2410" s="33" t="str">
        <x:v>CORRECT / RECLASSIFY</x:v>
      </x:c>
      <x:c r="F2410" s="33" t="str">
        <x:v>Quarantine inactive descendants and normalize the legacy audit band to its current parent compliance.</x:v>
      </x:c>
      <x:c r="G2410" s="33" t="str">
        <x:v>P-4 execution-chain reconciliation</x:v>
      </x:c>
      <x:c r="H2410" s="33" t="str">
        <x:v>P-4</x:v>
      </x:c>
      <x:c r="I2410" s="33" t="str">
        <x:v>P-4</x:v>
      </x:c>
      <x:c r="J2410" s="33" t="str">
        <x:v>2026-08-20</x:v>
      </x:c>
      <x:c r="K2410" s="33" t="str">
        <x:v>Audit IDs preserved; active tests now address their parent requirements.</x:v>
      </x:c>
    </x:row>
    <x:row r="2411">
      <x:c r="A2411" s="33" t="str">
        <x:v>AUD360</x:v>
      </x:c>
      <x:c r="B2411" s="33" t="str">
        <x:v>Audit Procedure Master</x:v>
      </x:c>
      <x:c r="C2411" s="33" t="str">
        <x:v>Active=Yes; Remarks=Monitor CAPA implementation.</x:v>
      </x:c>
      <x:c r="D2411" s="33" t="str">
        <x:v>Active=No; Remarks=P-4 QUARANTINED with inactive parent compliance; legacy ID retained.</x:v>
      </x:c>
      <x:c r="E2411" s="33" t="str">
        <x:v>CORRECT / RECLASSIFY</x:v>
      </x:c>
      <x:c r="F2411" s="33" t="str">
        <x:v>Quarantine inactive descendants and normalize the legacy audit band to its current parent compliance.</x:v>
      </x:c>
      <x:c r="G2411" s="33" t="str">
        <x:v>P-4 execution-chain reconciliation</x:v>
      </x:c>
      <x:c r="H2411" s="33" t="str">
        <x:v>P-4</x:v>
      </x:c>
      <x:c r="I2411" s="33" t="str">
        <x:v>P-4</x:v>
      </x:c>
      <x:c r="J2411" s="33" t="str">
        <x:v>2026-08-20</x:v>
      </x:c>
      <x:c r="K2411" s="33" t="str">
        <x:v>Audit IDs preserved; active tests now address their parent requirements.</x:v>
      </x:c>
    </x:row>
    <x:row r="2412">
      <x:c r="A2412" s="33" t="str">
        <x:v>AUD361</x:v>
      </x:c>
      <x:c r="B2412" s="33" t="str">
        <x:v>Audit Procedure Master</x:v>
      </x:c>
      <x:c r="C2412" s="33" t="str">
        <x:v>Active=Yes; Remarks=Evidence should be complete.</x:v>
      </x:c>
      <x:c r="D2412" s="33" t="str">
        <x:v>Active=No; Remarks=P-4 QUARANTINED with inactive parent compliance; legacy ID retained.</x:v>
      </x:c>
      <x:c r="E2412" s="33" t="str">
        <x:v>CORRECT / RECLASSIFY</x:v>
      </x:c>
      <x:c r="F2412" s="33" t="str">
        <x:v>Quarantine inactive descendants and normalize the legacy audit band to its current parent compliance.</x:v>
      </x:c>
      <x:c r="G2412" s="33" t="str">
        <x:v>P-4 execution-chain reconciliation</x:v>
      </x:c>
      <x:c r="H2412" s="33" t="str">
        <x:v>P-4</x:v>
      </x:c>
      <x:c r="I2412" s="33" t="str">
        <x:v>P-4</x:v>
      </x:c>
      <x:c r="J2412" s="33" t="str">
        <x:v>2026-08-20</x:v>
      </x:c>
      <x:c r="K2412" s="33" t="str">
        <x:v>Audit IDs preserved; active tests now address their parent requirements.</x:v>
      </x:c>
    </x:row>
    <x:row r="2413">
      <x:c r="A2413" s="33" t="str">
        <x:v>AUD362</x:v>
      </x:c>
      <x:c r="B2413" s="33" t="str">
        <x:v>Audit Procedure Master</x:v>
      </x:c>
      <x:c r="C2413" s="33" t="str">
        <x:v>Active=Yes; Remarks=Perform end-to-end review.</x:v>
      </x:c>
      <x:c r="D2413" s="33" t="str">
        <x:v>Active=No; Remarks=P-4 QUARANTINED with inactive parent compliance; legacy ID retained.</x:v>
      </x:c>
      <x:c r="E2413" s="33" t="str">
        <x:v>CORRECT / RECLASSIFY</x:v>
      </x:c>
      <x:c r="F2413" s="33" t="str">
        <x:v>Quarantine inactive descendants and normalize the legacy audit band to its current parent compliance.</x:v>
      </x:c>
      <x:c r="G2413" s="33" t="str">
        <x:v>P-4 execution-chain reconciliation</x:v>
      </x:c>
      <x:c r="H2413" s="33" t="str">
        <x:v>P-4</x:v>
      </x:c>
      <x:c r="I2413" s="33" t="str">
        <x:v>P-4</x:v>
      </x:c>
      <x:c r="J2413" s="33" t="str">
        <x:v>2026-08-20</x:v>
      </x:c>
      <x:c r="K2413" s="33" t="str">
        <x:v>Audit IDs preserved; active tests now address their parent requirements.</x:v>
      </x:c>
    </x:row>
    <x:row r="2414">
      <x:c r="A2414" s="33" t="str">
        <x:v>AUD363</x:v>
      </x:c>
      <x:c r="B2414" s="33" t="str">
        <x:v>Audit Procedure Master</x:v>
      </x:c>
      <x:c r="C2414" s="33" t="str">
        <x:v>Active=Yes; Remarks=Cover multiple waste categories.</x:v>
      </x:c>
      <x:c r="D2414" s="33" t="str">
        <x:v>Active=No; Remarks=P-4 QUARANTINED with inactive parent compliance; legacy ID retained.</x:v>
      </x:c>
      <x:c r="E2414" s="33" t="str">
        <x:v>CORRECT / RECLASSIFY</x:v>
      </x:c>
      <x:c r="F2414" s="33" t="str">
        <x:v>Quarantine inactive descendants and normalize the legacy audit band to its current parent compliance.</x:v>
      </x:c>
      <x:c r="G2414" s="33" t="str">
        <x:v>P-4 execution-chain reconciliation</x:v>
      </x:c>
      <x:c r="H2414" s="33" t="str">
        <x:v>P-4</x:v>
      </x:c>
      <x:c r="I2414" s="33" t="str">
        <x:v>P-4</x:v>
      </x:c>
      <x:c r="J2414" s="33" t="str">
        <x:v>2026-08-20</x:v>
      </x:c>
      <x:c r="K2414" s="33" t="str">
        <x:v>Audit IDs preserved; active tests now address their parent requirements.</x:v>
      </x:c>
    </x:row>
    <x:row r="2415">
      <x:c r="A2415" s="33" t="str">
        <x:v>AUD364</x:v>
      </x:c>
      <x:c r="B2415" s="33" t="str">
        <x:v>Audit Procedure Master</x:v>
      </x:c>
      <x:c r="C2415" s="33" t="str">
        <x:v>Active=Yes; Remarks=Identify compliance gaps.</x:v>
      </x:c>
      <x:c r="D2415" s="33" t="str">
        <x:v>Active=No; Remarks=P-4 QUARANTINED with inactive parent compliance; legacy ID retained.</x:v>
      </x:c>
      <x:c r="E2415" s="33" t="str">
        <x:v>CORRECT / RECLASSIFY</x:v>
      </x:c>
      <x:c r="F2415" s="33" t="str">
        <x:v>Quarantine inactive descendants and normalize the legacy audit band to its current parent compliance.</x:v>
      </x:c>
      <x:c r="G2415" s="33" t="str">
        <x:v>P-4 execution-chain reconciliation</x:v>
      </x:c>
      <x:c r="H2415" s="33" t="str">
        <x:v>P-4</x:v>
      </x:c>
      <x:c r="I2415" s="33" t="str">
        <x:v>P-4</x:v>
      </x:c>
      <x:c r="J2415" s="33" t="str">
        <x:v>2026-08-20</x:v>
      </x:c>
      <x:c r="K2415" s="33" t="str">
        <x:v>Audit IDs preserved; active tests now address their parent requirements.</x:v>
      </x:c>
    </x:row>
    <x:row r="2416">
      <x:c r="A2416" s="33" t="str">
        <x:v>AUD365</x:v>
      </x:c>
      <x:c r="B2416" s="33" t="str">
        <x:v>Audit Procedure Master</x:v>
      </x:c>
      <x:c r="C2416" s="33" t="str">
        <x:v>Active=Yes; Remarks=Document audit conclusions and recommendations.</x:v>
      </x:c>
      <x:c r="D2416" s="33" t="str">
        <x:v>Active=No; Remarks=P-4 QUARANTINED with inactive parent compliance; legacy ID retained.</x:v>
      </x:c>
      <x:c r="E2416" s="33" t="str">
        <x:v>CORRECT / RECLASSIFY</x:v>
      </x:c>
      <x:c r="F2416" s="33" t="str">
        <x:v>Quarantine inactive descendants and normalize the legacy audit band to its current parent compliance.</x:v>
      </x:c>
      <x:c r="G2416" s="33" t="str">
        <x:v>P-4 execution-chain reconciliation</x:v>
      </x:c>
      <x:c r="H2416" s="33" t="str">
        <x:v>P-4</x:v>
      </x:c>
      <x:c r="I2416" s="33" t="str">
        <x:v>P-4</x:v>
      </x:c>
      <x:c r="J2416" s="33" t="str">
        <x:v>2026-08-20</x:v>
      </x:c>
      <x:c r="K2416" s="33" t="str">
        <x:v>Audit IDs preserved; active tests now address their parent requirements.</x:v>
      </x:c>
    </x:row>
    <x:row r="2417">
      <x:c r="A2417" s="33" t="str">
        <x:v>AUD418</x:v>
      </x:c>
      <x:c r="B2417" s="33" t="str">
        <x:v>Audit Procedure Master</x:v>
      </x:c>
      <x:c r="C2417" s="33" t="str">
        <x:v>Active=Yes; Remarks=Approval signatures and effective dates should be available.</x:v>
      </x:c>
      <x:c r="D2417" s="33" t="str">
        <x:v>Active=No; Remarks=P-4 QUARANTINED with inactive parent compliance; legacy ID retained.</x:v>
      </x:c>
      <x:c r="E2417" s="33" t="str">
        <x:v>CORRECT / RECLASSIFY</x:v>
      </x:c>
      <x:c r="F2417" s="33" t="str">
        <x:v>Quarantine inactive descendants and normalize the legacy audit band to its current parent compliance.</x:v>
      </x:c>
      <x:c r="G2417" s="33" t="str">
        <x:v>P-4 execution-chain reconciliation</x:v>
      </x:c>
      <x:c r="H2417" s="33" t="str">
        <x:v>P-4</x:v>
      </x:c>
      <x:c r="I2417" s="33" t="str">
        <x:v>P-4</x:v>
      </x:c>
      <x:c r="J2417" s="33" t="str">
        <x:v>2026-08-20</x:v>
      </x:c>
      <x:c r="K2417" s="33" t="str">
        <x:v>Audit IDs preserved; active tests now address their parent requirements.</x:v>
      </x:c>
    </x:row>
    <x:row r="2418">
      <x:c r="A2418" s="33" t="str">
        <x:v>AUD419</x:v>
      </x:c>
      <x:c r="B2418" s="33" t="str">
        <x:v>Audit Procedure Master</x:v>
      </x:c>
      <x:c r="C2418" s="33" t="str">
        <x:v>Active=Yes; Remarks=Obsolete versions should be withdrawn.</x:v>
      </x:c>
      <x:c r="D2418" s="33" t="str">
        <x:v>Active=No; Remarks=P-4 QUARANTINED with inactive parent compliance; legacy ID retained.</x:v>
      </x:c>
      <x:c r="E2418" s="33" t="str">
        <x:v>CORRECT / RECLASSIFY</x:v>
      </x:c>
      <x:c r="F2418" s="33" t="str">
        <x:v>Quarantine inactive descendants and normalize the legacy audit band to its current parent compliance.</x:v>
      </x:c>
      <x:c r="G2418" s="33" t="str">
        <x:v>P-4 execution-chain reconciliation</x:v>
      </x:c>
      <x:c r="H2418" s="33" t="str">
        <x:v>P-4</x:v>
      </x:c>
      <x:c r="I2418" s="33" t="str">
        <x:v>P-4</x:v>
      </x:c>
      <x:c r="J2418" s="33" t="str">
        <x:v>2026-08-20</x:v>
      </x:c>
      <x:c r="K2418" s="33" t="str">
        <x:v>Audit IDs preserved; active tests now address their parent requirements.</x:v>
      </x:c>
    </x:row>
    <x:row r="2419">
      <x:c r="A2419" s="33" t="str">
        <x:v>AUD420</x:v>
      </x:c>
      <x:c r="B2419" s="33" t="str">
        <x:v>Audit Procedure Master</x:v>
      </x:c>
      <x:c r="C2419" s="33" t="str">
        <x:v>Active=Yes; Remarks=Review frequency should comply with document control policy.</x:v>
      </x:c>
      <x:c r="D2419" s="33" t="str">
        <x:v>Active=No; Remarks=P-4 QUARANTINED with inactive parent compliance; legacy ID retained.</x:v>
      </x:c>
      <x:c r="E2419" s="33" t="str">
        <x:v>CORRECT / RECLASSIFY</x:v>
      </x:c>
      <x:c r="F2419" s="33" t="str">
        <x:v>Quarantine inactive descendants and normalize the legacy audit band to its current parent compliance.</x:v>
      </x:c>
      <x:c r="G2419" s="33" t="str">
        <x:v>P-4 execution-chain reconciliation</x:v>
      </x:c>
      <x:c r="H2419" s="33" t="str">
        <x:v>P-4</x:v>
      </x:c>
      <x:c r="I2419" s="33" t="str">
        <x:v>P-4</x:v>
      </x:c>
      <x:c r="J2419" s="33" t="str">
        <x:v>2026-08-20</x:v>
      </x:c>
      <x:c r="K2419" s="33" t="str">
        <x:v>Audit IDs preserved; active tests now address their parent requirements.</x:v>
      </x:c>
    </x:row>
    <x:row r="2420">
      <x:c r="A2420" s="33" t="str">
        <x:v>AUD421</x:v>
      </x:c>
      <x:c r="B2420" s="33" t="str">
        <x:v>Audit Procedure Master</x:v>
      </x:c>
      <x:c r="C2420" s="33" t="str">
        <x:v>Active=Yes; Remarks=Delayed reviews should be justified.</x:v>
      </x:c>
      <x:c r="D2420" s="33" t="str">
        <x:v>Active=No; Remarks=P-4 QUARANTINED with inactive parent compliance; legacy ID retained.</x:v>
      </x:c>
      <x:c r="E2420" s="33" t="str">
        <x:v>CORRECT / RECLASSIFY</x:v>
      </x:c>
      <x:c r="F2420" s="33" t="str">
        <x:v>Quarantine inactive descendants and normalize the legacy audit band to its current parent compliance.</x:v>
      </x:c>
      <x:c r="G2420" s="33" t="str">
        <x:v>P-4 execution-chain reconciliation</x:v>
      </x:c>
      <x:c r="H2420" s="33" t="str">
        <x:v>P-4</x:v>
      </x:c>
      <x:c r="I2420" s="33" t="str">
        <x:v>P-4</x:v>
      </x:c>
      <x:c r="J2420" s="33" t="str">
        <x:v>2026-08-20</x:v>
      </x:c>
      <x:c r="K2420" s="33" t="str">
        <x:v>Audit IDs preserved; active tests now address their parent requirements.</x:v>
      </x:c>
    </x:row>
    <x:row r="2421">
      <x:c r="A2421" s="33" t="str">
        <x:v>AUD422</x:v>
      </x:c>
      <x:c r="B2421" s="33" t="str">
        <x:v>Audit Procedure Master</x:v>
      </x:c>
      <x:c r="C2421" s="33" t="str">
        <x:v>Active=Yes; Remarks=Obsolete copies should not be accessible.</x:v>
      </x:c>
      <x:c r="D2421" s="33" t="str">
        <x:v>Active=No; Remarks=P-4 QUARANTINED with inactive parent compliance; legacy ID retained.</x:v>
      </x:c>
      <x:c r="E2421" s="33" t="str">
        <x:v>CORRECT / RECLASSIFY</x:v>
      </x:c>
      <x:c r="F2421" s="33" t="str">
        <x:v>Quarantine inactive descendants and normalize the legacy audit band to its current parent compliance.</x:v>
      </x:c>
      <x:c r="G2421" s="33" t="str">
        <x:v>P-4 execution-chain reconciliation</x:v>
      </x:c>
      <x:c r="H2421" s="33" t="str">
        <x:v>P-4</x:v>
      </x:c>
      <x:c r="I2421" s="33" t="str">
        <x:v>P-4</x:v>
      </x:c>
      <x:c r="J2421" s="33" t="str">
        <x:v>2026-08-20</x:v>
      </x:c>
      <x:c r="K2421" s="33" t="str">
        <x:v>Audit IDs preserved; active tests now address their parent requirements.</x:v>
      </x:c>
    </x:row>
    <x:row r="2422">
      <x:c r="A2422" s="33" t="str">
        <x:v>AUD423</x:v>
      </x:c>
      <x:c r="B2422" s="33" t="str">
        <x:v>Audit Procedure Master</x:v>
      </x:c>
      <x:c r="C2422" s="33" t="str">
        <x:v>Active=Yes; Remarks=Revision numbers should match controlled copies.</x:v>
      </x:c>
      <x:c r="D2422" s="33" t="str">
        <x:v>Active=No; Remarks=P-4 QUARANTINED with inactive parent compliance; legacy ID retained.</x:v>
      </x:c>
      <x:c r="E2422" s="33" t="str">
        <x:v>CORRECT / RECLASSIFY</x:v>
      </x:c>
      <x:c r="F2422" s="33" t="str">
        <x:v>Quarantine inactive descendants and normalize the legacy audit band to its current parent compliance.</x:v>
      </x:c>
      <x:c r="G2422" s="33" t="str">
        <x:v>P-4 execution-chain reconciliation</x:v>
      </x:c>
      <x:c r="H2422" s="33" t="str">
        <x:v>P-4</x:v>
      </x:c>
      <x:c r="I2422" s="33" t="str">
        <x:v>P-4</x:v>
      </x:c>
      <x:c r="J2422" s="33" t="str">
        <x:v>2026-08-20</x:v>
      </x:c>
      <x:c r="K2422" s="33" t="str">
        <x:v>Audit IDs preserved; active tests now address their parent requirements.</x:v>
      </x:c>
    </x:row>
    <x:row r="2423">
      <x:c r="A2423" s="33" t="str">
        <x:v>AUD424</x:v>
      </x:c>
      <x:c r="B2423" s="33" t="str">
        <x:v>Audit Procedure Master</x:v>
      </x:c>
      <x:c r="C2423" s="33" t="str">
        <x:v>Active=Yes; Remarks=Prevent unintended use.</x:v>
      </x:c>
      <x:c r="D2423" s="33" t="str">
        <x:v>Active=No; Remarks=P-4 QUARANTINED with inactive parent compliance; legacy ID retained.</x:v>
      </x:c>
      <x:c r="E2423" s="33" t="str">
        <x:v>CORRECT / RECLASSIFY</x:v>
      </x:c>
      <x:c r="F2423" s="33" t="str">
        <x:v>Quarantine inactive descendants and normalize the legacy audit band to its current parent compliance.</x:v>
      </x:c>
      <x:c r="G2423" s="33" t="str">
        <x:v>P-4 execution-chain reconciliation</x:v>
      </x:c>
      <x:c r="H2423" s="33" t="str">
        <x:v>P-4</x:v>
      </x:c>
      <x:c r="I2423" s="33" t="str">
        <x:v>P-4</x:v>
      </x:c>
      <x:c r="J2423" s="33" t="str">
        <x:v>2026-08-20</x:v>
      </x:c>
      <x:c r="K2423" s="33" t="str">
        <x:v>Audit IDs preserved; active tests now address their parent requirements.</x:v>
      </x:c>
    </x:row>
    <x:row r="2424">
      <x:c r="A2424" s="33" t="str">
        <x:v>AUD425</x:v>
      </x:c>
      <x:c r="B2424" s="33" t="str">
        <x:v>Audit Procedure Master</x:v>
      </x:c>
      <x:c r="C2424" s="33" t="str">
        <x:v>Active=Yes; Remarks=Archive controls should be documented.</x:v>
      </x:c>
      <x:c r="D2424" s="33" t="str">
        <x:v>Active=No; Remarks=P-4 QUARANTINED with inactive parent compliance; legacy ID retained.</x:v>
      </x:c>
      <x:c r="E2424" s="33" t="str">
        <x:v>CORRECT / RECLASSIFY</x:v>
      </x:c>
      <x:c r="F2424" s="33" t="str">
        <x:v>Quarantine inactive descendants and normalize the legacy audit band to its current parent compliance.</x:v>
      </x:c>
      <x:c r="G2424" s="33" t="str">
        <x:v>P-4 execution-chain reconciliation</x:v>
      </x:c>
      <x:c r="H2424" s="33" t="str">
        <x:v>P-4</x:v>
      </x:c>
      <x:c r="I2424" s="33" t="str">
        <x:v>P-4</x:v>
      </x:c>
      <x:c r="J2424" s="33" t="str">
        <x:v>2026-08-20</x:v>
      </x:c>
      <x:c r="K2424" s="33" t="str">
        <x:v>Audit IDs preserved; active tests now address their parent requirements.</x:v>
      </x:c>
    </x:row>
    <x:row r="2425">
      <x:c r="A2425" s="33" t="str">
        <x:v>AUD426</x:v>
      </x:c>
      <x:c r="B2425" s="33" t="str">
        <x:v>Audit Procedure Master</x:v>
      </x:c>
      <x:c r="C2425" s="33" t="str">
        <x:v>Active=Yes; Remarks=Training evidence should be available.</x:v>
      </x:c>
      <x:c r="D2425" s="33" t="str">
        <x:v>Active=No; Remarks=P-4 QUARANTINED with inactive parent compliance; legacy ID retained.</x:v>
      </x:c>
      <x:c r="E2425" s="33" t="str">
        <x:v>CORRECT / RECLASSIFY</x:v>
      </x:c>
      <x:c r="F2425" s="33" t="str">
        <x:v>Quarantine inactive descendants and normalize the legacy audit band to its current parent compliance.</x:v>
      </x:c>
      <x:c r="G2425" s="33" t="str">
        <x:v>P-4 execution-chain reconciliation</x:v>
      </x:c>
      <x:c r="H2425" s="33" t="str">
        <x:v>P-4</x:v>
      </x:c>
      <x:c r="I2425" s="33" t="str">
        <x:v>P-4</x:v>
      </x:c>
      <x:c r="J2425" s="33" t="str">
        <x:v>2026-08-20</x:v>
      </x:c>
      <x:c r="K2425" s="33" t="str">
        <x:v>Audit IDs preserved; active tests now address their parent requirements.</x:v>
      </x:c>
    </x:row>
    <x:row r="2426">
      <x:c r="A2426" s="33" t="str">
        <x:v>AUD427</x:v>
      </x:c>
      <x:c r="B2426" s="33" t="str">
        <x:v>Audit Procedure Master</x:v>
      </x:c>
      <x:c r="C2426" s="33" t="str">
        <x:v>Active=Yes; Remarks=Staff should confirm understanding.</x:v>
      </x:c>
      <x:c r="D2426" s="33" t="str">
        <x:v>Active=No; Remarks=P-4 QUARANTINED with inactive parent compliance; legacy ID retained.</x:v>
      </x:c>
      <x:c r="E2426" s="33" t="str">
        <x:v>CORRECT / RECLASSIFY</x:v>
      </x:c>
      <x:c r="F2426" s="33" t="str">
        <x:v>Quarantine inactive descendants and normalize the legacy audit band to its current parent compliance.</x:v>
      </x:c>
      <x:c r="G2426" s="33" t="str">
        <x:v>P-4 execution-chain reconciliation</x:v>
      </x:c>
      <x:c r="H2426" s="33" t="str">
        <x:v>P-4</x:v>
      </x:c>
      <x:c r="I2426" s="33" t="str">
        <x:v>P-4</x:v>
      </x:c>
      <x:c r="J2426" s="33" t="str">
        <x:v>2026-08-20</x:v>
      </x:c>
      <x:c r="K2426" s="33" t="str">
        <x:v>Audit IDs preserved; active tests now address their parent requirements.</x:v>
      </x:c>
    </x:row>
    <x:row r="2427">
      <x:c r="A2427" s="33" t="str">
        <x:v>AUD428</x:v>
      </x:c>
      <x:c r="B2427" s="33" t="str">
        <x:v>Audit Procedure Master</x:v>
      </x:c>
      <x:c r="C2427" s="33" t="str">
        <x:v>Active=Yes; Remarks=Version control should be consistent.</x:v>
      </x:c>
      <x:c r="D2427" s="33" t="str">
        <x:v>Active=No; Remarks=P-4 QUARANTINED with inactive parent compliance; legacy ID retained.</x:v>
      </x:c>
      <x:c r="E2427" s="33" t="str">
        <x:v>CORRECT / RECLASSIFY</x:v>
      </x:c>
      <x:c r="F2427" s="33" t="str">
        <x:v>Quarantine inactive descendants and normalize the legacy audit band to its current parent compliance.</x:v>
      </x:c>
      <x:c r="G2427" s="33" t="str">
        <x:v>P-4 execution-chain reconciliation</x:v>
      </x:c>
      <x:c r="H2427" s="33" t="str">
        <x:v>P-4</x:v>
      </x:c>
      <x:c r="I2427" s="33" t="str">
        <x:v>P-4</x:v>
      </x:c>
      <x:c r="J2427" s="33" t="str">
        <x:v>2026-08-20</x:v>
      </x:c>
      <x:c r="K2427" s="33" t="str">
        <x:v>Audit IDs preserved; active tests now address their parent requirements.</x:v>
      </x:c>
    </x:row>
    <x:row r="2428">
      <x:c r="A2428" s="33" t="str">
        <x:v>AUD429</x:v>
      </x:c>
      <x:c r="B2428" s="33" t="str">
        <x:v>Audit Procedure Master</x:v>
      </x:c>
      <x:c r="C2428" s="33" t="str">
        <x:v>Active=Yes; Remarks=Resolve inconsistencies promptly.</x:v>
      </x:c>
      <x:c r="D2428" s="33" t="str">
        <x:v>Active=No; Remarks=P-4 QUARANTINED with inactive parent compliance; legacy ID retained.</x:v>
      </x:c>
      <x:c r="E2428" s="33" t="str">
        <x:v>CORRECT / RECLASSIFY</x:v>
      </x:c>
      <x:c r="F2428" s="33" t="str">
        <x:v>Quarantine inactive descendants and normalize the legacy audit band to its current parent compliance.</x:v>
      </x:c>
      <x:c r="G2428" s="33" t="str">
        <x:v>P-4 execution-chain reconciliation</x:v>
      </x:c>
      <x:c r="H2428" s="33" t="str">
        <x:v>P-4</x:v>
      </x:c>
      <x:c r="I2428" s="33" t="str">
        <x:v>P-4</x:v>
      </x:c>
      <x:c r="J2428" s="33" t="str">
        <x:v>2026-08-20</x:v>
      </x:c>
      <x:c r="K2428" s="33" t="str">
        <x:v>Audit IDs preserved; active tests now address their parent requirements.</x:v>
      </x:c>
    </x:row>
    <x:row r="2429">
      <x:c r="A2429" s="33" t="str">
        <x:v>AUD430</x:v>
      </x:c>
      <x:c r="B2429" s="33" t="str">
        <x:v>Audit Procedure Master</x:v>
      </x:c>
      <x:c r="C2429" s="33" t="str">
        <x:v>Active=Yes; Remarks=Include all active SOPs.</x:v>
      </x:c>
      <x:c r="D2429" s="33" t="str">
        <x:v>Active=No; Remarks=P-4 QUARANTINED with inactive parent compliance; legacy ID retained.</x:v>
      </x:c>
      <x:c r="E2429" s="33" t="str">
        <x:v>CORRECT / RECLASSIFY</x:v>
      </x:c>
      <x:c r="F2429" s="33" t="str">
        <x:v>Quarantine inactive descendants and normalize the legacy audit band to its current parent compliance.</x:v>
      </x:c>
      <x:c r="G2429" s="33" t="str">
        <x:v>P-4 execution-chain reconciliation</x:v>
      </x:c>
      <x:c r="H2429" s="33" t="str">
        <x:v>P-4</x:v>
      </x:c>
      <x:c r="I2429" s="33" t="str">
        <x:v>P-4</x:v>
      </x:c>
      <x:c r="J2429" s="33" t="str">
        <x:v>2026-08-20</x:v>
      </x:c>
      <x:c r="K2429" s="33" t="str">
        <x:v>Audit IDs preserved; active tests now address their parent requirements.</x:v>
      </x:c>
    </x:row>
    <x:row r="2430">
      <x:c r="A2430" s="33" t="str">
        <x:v>AUD431</x:v>
      </x:c>
      <x:c r="B2430" s="33" t="str">
        <x:v>Audit Procedure Master</x:v>
      </x:c>
      <x:c r="C2430" s="33" t="str">
        <x:v>Active=Yes; Remarks=Investigate missing documents.</x:v>
      </x:c>
      <x:c r="D2430" s="33" t="str">
        <x:v>Active=No; Remarks=P-4 QUARANTINED with inactive parent compliance; legacy ID retained.</x:v>
      </x:c>
      <x:c r="E2430" s="33" t="str">
        <x:v>CORRECT / RECLASSIFY</x:v>
      </x:c>
      <x:c r="F2430" s="33" t="str">
        <x:v>Quarantine inactive descendants and normalize the legacy audit band to its current parent compliance.</x:v>
      </x:c>
      <x:c r="G2430" s="33" t="str">
        <x:v>P-4 execution-chain reconciliation</x:v>
      </x:c>
      <x:c r="H2430" s="33" t="str">
        <x:v>P-4</x:v>
      </x:c>
      <x:c r="I2430" s="33" t="str">
        <x:v>P-4</x:v>
      </x:c>
      <x:c r="J2430" s="33" t="str">
        <x:v>2026-08-20</x:v>
      </x:c>
      <x:c r="K2430" s="33" t="str">
        <x:v>Audit IDs preserved; active tests now address their parent requirements.</x:v>
      </x:c>
    </x:row>
    <x:row r="2431">
      <x:c r="A2431" s="33" t="str">
        <x:v>AUD432</x:v>
      </x:c>
      <x:c r="B2431" s="33" t="str">
        <x:v>Audit Procedure Master</x:v>
      </x:c>
      <x:c r="C2431" s="33" t="str">
        <x:v>Active=Yes; Remarks=Electronic controls should be effective.</x:v>
      </x:c>
      <x:c r="D2431" s="33" t="str">
        <x:v>Active=No; Remarks=P-4 QUARANTINED with inactive parent compliance; legacy ID retained.</x:v>
      </x:c>
      <x:c r="E2431" s="33" t="str">
        <x:v>CORRECT / RECLASSIFY</x:v>
      </x:c>
      <x:c r="F2431" s="33" t="str">
        <x:v>Quarantine inactive descendants and normalize the legacy audit band to its current parent compliance.</x:v>
      </x:c>
      <x:c r="G2431" s="33" t="str">
        <x:v>P-4 execution-chain reconciliation</x:v>
      </x:c>
      <x:c r="H2431" s="33" t="str">
        <x:v>P-4</x:v>
      </x:c>
      <x:c r="I2431" s="33" t="str">
        <x:v>P-4</x:v>
      </x:c>
      <x:c r="J2431" s="33" t="str">
        <x:v>2026-08-20</x:v>
      </x:c>
      <x:c r="K2431" s="33" t="str">
        <x:v>Audit IDs preserved; active tests now address their parent requirements.</x:v>
      </x:c>
    </x:row>
    <x:row r="2432">
      <x:c r="A2432" s="33" t="str">
        <x:v>AUD433</x:v>
      </x:c>
      <x:c r="B2432" s="33" t="str">
        <x:v>Audit Procedure Master</x:v>
      </x:c>
      <x:c r="C2432" s="33" t="str">
        <x:v>Active=Yes; Remarks=Investigate unauthorized access.</x:v>
      </x:c>
      <x:c r="D2432" s="33" t="str">
        <x:v>Active=No; Remarks=P-4 QUARANTINED with inactive parent compliance; legacy ID retained.</x:v>
      </x:c>
      <x:c r="E2432" s="33" t="str">
        <x:v>CORRECT / RECLASSIFY</x:v>
      </x:c>
      <x:c r="F2432" s="33" t="str">
        <x:v>Quarantine inactive descendants and normalize the legacy audit band to its current parent compliance.</x:v>
      </x:c>
      <x:c r="G2432" s="33" t="str">
        <x:v>P-4 execution-chain reconciliation</x:v>
      </x:c>
      <x:c r="H2432" s="33" t="str">
        <x:v>P-4</x:v>
      </x:c>
      <x:c r="I2432" s="33" t="str">
        <x:v>P-4</x:v>
      </x:c>
      <x:c r="J2432" s="33" t="str">
        <x:v>2026-08-20</x:v>
      </x:c>
      <x:c r="K2432" s="33" t="str">
        <x:v>Audit IDs preserved; active tests now address their parent requirements.</x:v>
      </x:c>
    </x:row>
    <x:row r="2433">
      <x:c r="A2433" s="33" t="str">
        <x:v>AUD434</x:v>
      </x:c>
      <x:c r="B2433" s="33" t="str">
        <x:v>Audit Procedure Master</x:v>
      </x:c>
      <x:c r="C2433" s="33" t="str">
        <x:v>Active=Yes; Remarks=Corrections should follow approved procedures.</x:v>
      </x:c>
      <x:c r="D2433" s="33" t="str">
        <x:v>Active=No; Remarks=P-4 QUARANTINED with inactive parent compliance; legacy ID retained.</x:v>
      </x:c>
      <x:c r="E2433" s="33" t="str">
        <x:v>CORRECT / RECLASSIFY</x:v>
      </x:c>
      <x:c r="F2433" s="33" t="str">
        <x:v>Quarantine inactive descendants and normalize the legacy audit band to its current parent compliance.</x:v>
      </x:c>
      <x:c r="G2433" s="33" t="str">
        <x:v>P-4 execution-chain reconciliation</x:v>
      </x:c>
      <x:c r="H2433" s="33" t="str">
        <x:v>P-4</x:v>
      </x:c>
      <x:c r="I2433" s="33" t="str">
        <x:v>P-4</x:v>
      </x:c>
      <x:c r="J2433" s="33" t="str">
        <x:v>2026-08-20</x:v>
      </x:c>
      <x:c r="K2433" s="33" t="str">
        <x:v>Audit IDs preserved; active tests now address their parent requirements.</x:v>
      </x:c>
    </x:row>
    <x:row r="2434">
      <x:c r="A2434" s="33" t="str">
        <x:v>AUD435</x:v>
      </x:c>
      <x:c r="B2434" s="33" t="str">
        <x:v>Audit Procedure Master</x:v>
      </x:c>
      <x:c r="C2434" s="33" t="str">
        <x:v>Active=Yes; Remarks=Sample multiple record types.</x:v>
      </x:c>
      <x:c r="D2434" s="33" t="str">
        <x:v>Active=No; Remarks=P-4 QUARANTINED with inactive parent compliance; legacy ID retained.</x:v>
      </x:c>
      <x:c r="E2434" s="33" t="str">
        <x:v>CORRECT / RECLASSIFY</x:v>
      </x:c>
      <x:c r="F2434" s="33" t="str">
        <x:v>Quarantine inactive descendants and normalize the legacy audit band to its current parent compliance.</x:v>
      </x:c>
      <x:c r="G2434" s="33" t="str">
        <x:v>P-4 execution-chain reconciliation</x:v>
      </x:c>
      <x:c r="H2434" s="33" t="str">
        <x:v>P-4</x:v>
      </x:c>
      <x:c r="I2434" s="33" t="str">
        <x:v>P-4</x:v>
      </x:c>
      <x:c r="J2434" s="33" t="str">
        <x:v>2026-08-20</x:v>
      </x:c>
      <x:c r="K2434" s="33" t="str">
        <x:v>Audit IDs preserved; active tests now address their parent requirements.</x:v>
      </x:c>
    </x:row>
    <x:row r="2435">
      <x:c r="A2435" s="33" t="str">
        <x:v>AUD168</x:v>
      </x:c>
      <x:c r="B2435" s="33" t="str">
        <x:v>Audit Procedure Master</x:v>
      </x:c>
      <x:c r="C2435" s="33" t="str">
        <x:v>Audit Procedure=Verify that Schedule H1 medicines are recorded in the prescribed register.; Audit Method=Record Verification; Risk Focus=Recordkeeping; Remarks=Register entries should be complete.</x:v>
      </x:c>
      <x:c r="D2435" s="33" t="str">
        <x:v>Audit Procedure=Select a sample of relevant transactions or events and interview the responsible person to confirm that design consumer-facing sale and service practices to avoid unfair trade practices and respect the statutory consumer-rights baseline.; Audit Method=Sampling and Interview; Risk Focus=CA062; Remarks=P-4 normalized to current parent compliance; legacy Audit ID preserved.</x:v>
      </x:c>
      <x:c r="E2435" s="33" t="str">
        <x:v>CORRECT / RECLASSIFY</x:v>
      </x:c>
      <x:c r="F2435" s="33" t="str">
        <x:v>Quarantine inactive descendants and normalize the legacy audit band to its current parent compliance.</x:v>
      </x:c>
      <x:c r="G2435" s="33" t="str">
        <x:v>P-4 execution-chain reconciliation</x:v>
      </x:c>
      <x:c r="H2435" s="33" t="str">
        <x:v>P-4</x:v>
      </x:c>
      <x:c r="I2435" s="33" t="str">
        <x:v>P-4</x:v>
      </x:c>
      <x:c r="J2435" s="33" t="str">
        <x:v>2026-08-20</x:v>
      </x:c>
      <x:c r="K2435" s="33" t="str">
        <x:v>Audit IDs preserved; active tests now address their parent requirements.</x:v>
      </x:c>
    </x:row>
    <x:row r="2436">
      <x:c r="A2436" s="33" t="str">
        <x:v>AUD169</x:v>
      </x:c>
      <x:c r="B2436" s="33" t="str">
        <x:v>Audit Procedure Master</x:v>
      </x:c>
      <x:c r="C2436" s="33" t="str">
        <x:v>Audit Procedure=Cross-check Schedule H1 register entries with prescriptions and stock records.; Audit Method=Reconciliation; Risk Focus=Prescription Controls; Remarks=Ensure end-to-end traceability.</x:v>
      </x:c>
      <x:c r="D2436" s="33" t="str">
        <x:v>Audit Procedure=Review the applicable licence, order, register, SOP and a sample of records to verify that design consumer-facing sale and service practices to avoid unfair trade practices and respect the statutory consumer-rights baseline.; Audit Method=Document Review and Sampling; Risk Focus=CA062; Remarks=P-4 normalized to current parent compliance; legacy Audit ID preserved.</x:v>
      </x:c>
      <x:c r="E2436" s="33" t="str">
        <x:v>CORRECT / RECLASSIFY</x:v>
      </x:c>
      <x:c r="F2436" s="33" t="str">
        <x:v>Quarantine inactive descendants and normalize the legacy audit band to its current parent compliance.</x:v>
      </x:c>
      <x:c r="G2436" s="33" t="str">
        <x:v>P-4 execution-chain reconciliation</x:v>
      </x:c>
      <x:c r="H2436" s="33" t="str">
        <x:v>P-4</x:v>
      </x:c>
      <x:c r="I2436" s="33" t="str">
        <x:v>P-4</x:v>
      </x:c>
      <x:c r="J2436" s="33" t="str">
        <x:v>2026-08-20</x:v>
      </x:c>
      <x:c r="K2436" s="33" t="str">
        <x:v>Audit IDs preserved; active tests now address their parent requirements.</x:v>
      </x:c>
    </x:row>
    <x:row r="2437">
      <x:c r="A2437" s="33" t="str">
        <x:v>AUD170</x:v>
      </x:c>
      <x:c r="B2437" s="33" t="str">
        <x:v>Audit Procedure Master</x:v>
      </x:c>
      <x:c r="C2437" s="33" t="str">
        <x:v>Audit Procedure=Verify that Schedule X drugs are stored, dispensed and recorded in accordance with statutory requirements.; Audit Method=Record Verification; Risk Focus=Controlled Drugs; Remarks=Applicable only where Schedule X drugs are stocked.</x:v>
      </x:c>
      <x:c r="D2437" s="33" t="str">
        <x:v>Audit Procedure=Select a sample of relevant transactions or events and interview the responsible person to confirm that respond to a lawful CCPA investigation and implement an applicable recall, reimbursement, discontinuance or modification order.; Audit Method=Sampling and Interview; Risk Focus=CA062; Remarks=P-4 normalized to current parent compliance; legacy Audit ID preserved.</x:v>
      </x:c>
      <x:c r="E2437" s="33" t="str">
        <x:v>CORRECT / RECLASSIFY</x:v>
      </x:c>
      <x:c r="F2437" s="33" t="str">
        <x:v>Quarantine inactive descendants and normalize the legacy audit band to its current parent compliance.</x:v>
      </x:c>
      <x:c r="G2437" s="33" t="str">
        <x:v>P-4 execution-chain reconciliation</x:v>
      </x:c>
      <x:c r="H2437" s="33" t="str">
        <x:v>P-4</x:v>
      </x:c>
      <x:c r="I2437" s="33" t="str">
        <x:v>P-4</x:v>
      </x:c>
      <x:c r="J2437" s="33" t="str">
        <x:v>2026-08-20</x:v>
      </x:c>
      <x:c r="K2437" s="33" t="str">
        <x:v>Audit IDs preserved; active tests now address their parent requirements.</x:v>
      </x:c>
    </x:row>
    <x:row r="2438">
      <x:c r="A2438" s="33" t="str">
        <x:v>AUD171</x:v>
      </x:c>
      <x:c r="B2438" s="33" t="str">
        <x:v>Audit Procedure Master</x:v>
      </x:c>
      <x:c r="C2438" s="33" t="str">
        <x:v>Audit Procedure=Inspect Schedule X register for completeness and statutory compliance.; Audit Method=Physical Inspection; Risk Focus=Controlled Drugs; Remarks=Verify signatures and mandatory particulars.</x:v>
      </x:c>
      <x:c r="D2438" s="33" t="str">
        <x:v>Audit Procedure=Review the applicable licence, order, register, SOP and a sample of records to verify that respond to a lawful CCPA investigation and implement an applicable recall, reimbursement, discontinuance or modification order.; Audit Method=Document Review and Sampling; Risk Focus=CA062; Remarks=P-4 normalized to current parent compliance; legacy Audit ID preserved.</x:v>
      </x:c>
      <x:c r="E2438" s="33" t="str">
        <x:v>CORRECT / RECLASSIFY</x:v>
      </x:c>
      <x:c r="F2438" s="33" t="str">
        <x:v>Quarantine inactive descendants and normalize the legacy audit band to its current parent compliance.</x:v>
      </x:c>
      <x:c r="G2438" s="33" t="str">
        <x:v>P-4 execution-chain reconciliation</x:v>
      </x:c>
      <x:c r="H2438" s="33" t="str">
        <x:v>P-4</x:v>
      </x:c>
      <x:c r="I2438" s="33" t="str">
        <x:v>P-4</x:v>
      </x:c>
      <x:c r="J2438" s="33" t="str">
        <x:v>2026-08-20</x:v>
      </x:c>
      <x:c r="K2438" s="33" t="str">
        <x:v>Audit IDs preserved; active tests now address their parent requirements.</x:v>
      </x:c>
    </x:row>
    <x:row r="2439">
      <x:c r="A2439" s="33" t="str">
        <x:v>AUD172</x:v>
      </x:c>
      <x:c r="B2439" s="33" t="str">
        <x:v>Audit Procedure Master</x:v>
      </x:c>
      <x:c r="C2439" s="33" t="str">
        <x:v>Audit Procedure=Verify that controlled drugs are issued only by authorized personnel.; Audit Method=Observation; Risk Focus=Personnel Competency; Remarks=Access should be restricted.</x:v>
      </x:c>
      <x:c r="D2439" s="33" t="str">
        <x:v>Audit Procedure=Select a sample of relevant transactions or events and interview the responsible person to confirm that do not engage in a practice falling within section 2(47), including false representations, deceptive price claims or refusal to issue a bill where required.; Audit Method=Sampling and Interview; Risk Focus=CA062; Remarks=P-4 normalized to current parent compliance; legacy Audit ID preserved.</x:v>
      </x:c>
      <x:c r="E2439" s="33" t="str">
        <x:v>CORRECT / RECLASSIFY</x:v>
      </x:c>
      <x:c r="F2439" s="33" t="str">
        <x:v>Quarantine inactive descendants and normalize the legacy audit band to its current parent compliance.</x:v>
      </x:c>
      <x:c r="G2439" s="33" t="str">
        <x:v>P-4 execution-chain reconciliation</x:v>
      </x:c>
      <x:c r="H2439" s="33" t="str">
        <x:v>P-4</x:v>
      </x:c>
      <x:c r="I2439" s="33" t="str">
        <x:v>P-4</x:v>
      </x:c>
      <x:c r="J2439" s="33" t="str">
        <x:v>2026-08-20</x:v>
      </x:c>
      <x:c r="K2439" s="33" t="str">
        <x:v>Audit IDs preserved; active tests now address their parent requirements.</x:v>
      </x:c>
    </x:row>
    <x:row r="2440">
      <x:c r="A2440" s="33" t="str">
        <x:v>AUD173</x:v>
      </x:c>
      <x:c r="B2440" s="33" t="str">
        <x:v>Audit Procedure Master</x:v>
      </x:c>
      <x:c r="C2440" s="33" t="str">
        <x:v>Audit Procedure=Review authorization records for dispensing controlled substances.; Audit Method=Record Verification; Risk Focus=Recordkeeping; Remarks=Verify current authorization status.</x:v>
      </x:c>
      <x:c r="D2440" s="33" t="str">
        <x:v>Audit Procedure=Review the applicable licence, order, register, SOP and a sample of records to verify that do not engage in a practice falling within section 2(47), including false representations, deceptive price claims or refusal to issue a bill where required.; Audit Method=Document Review and Sampling; Risk Focus=CA062; Remarks=P-4 normalized to current parent compliance; legacy Audit ID preserved.</x:v>
      </x:c>
      <x:c r="E2440" s="33" t="str">
        <x:v>CORRECT / RECLASSIFY</x:v>
      </x:c>
      <x:c r="F2440" s="33" t="str">
        <x:v>Quarantine inactive descendants and normalize the legacy audit band to its current parent compliance.</x:v>
      </x:c>
      <x:c r="G2440" s="33" t="str">
        <x:v>P-4 execution-chain reconciliation</x:v>
      </x:c>
      <x:c r="H2440" s="33" t="str">
        <x:v>P-4</x:v>
      </x:c>
      <x:c r="I2440" s="33" t="str">
        <x:v>P-4</x:v>
      </x:c>
      <x:c r="J2440" s="33" t="str">
        <x:v>2026-08-20</x:v>
      </x:c>
      <x:c r="K2440" s="33" t="str">
        <x:v>Audit IDs preserved; active tests now address their parent requirements.</x:v>
      </x:c>
    </x:row>
    <x:row r="2441">
      <x:c r="A2441" s="33" t="str">
        <x:v>AUD174</x:v>
      </x:c>
      <x:c r="B2441" s="33" t="str">
        <x:v>Audit Procedure Master</x:v>
      </x:c>
      <x:c r="C2441" s="33" t="str">
        <x:v>Audit Procedure=Verify that patient counselling is provided wherever required during dispensing.; Audit Method=Observation; Risk Focus=General Compliance; Remarks=Especially for high-risk medicines.</x:v>
      </x:c>
      <x:c r="D2441" s="33" t="str">
        <x:v>Audit Procedure=Select a sample of relevant transactions or events and interview the responsible person to confirm that do not cause a false or misleading advertisement and comply with any CCPA discontinuance/modification direction.; Audit Method=Sampling and Interview; Risk Focus=CA064; Remarks=P-4 normalized to current parent compliance; legacy Audit ID preserved.</x:v>
      </x:c>
      <x:c r="E2441" s="33" t="str">
        <x:v>CORRECT / RECLASSIFY</x:v>
      </x:c>
      <x:c r="F2441" s="33" t="str">
        <x:v>Quarantine inactive descendants and normalize the legacy audit band to its current parent compliance.</x:v>
      </x:c>
      <x:c r="G2441" s="33" t="str">
        <x:v>P-4 execution-chain reconciliation</x:v>
      </x:c>
      <x:c r="H2441" s="33" t="str">
        <x:v>P-4</x:v>
      </x:c>
      <x:c r="I2441" s="33" t="str">
        <x:v>P-4</x:v>
      </x:c>
      <x:c r="J2441" s="33" t="str">
        <x:v>2026-08-20</x:v>
      </x:c>
      <x:c r="K2441" s="33" t="str">
        <x:v>Audit IDs preserved; active tests now address their parent requirements.</x:v>
      </x:c>
    </x:row>
    <x:row r="2442">
      <x:c r="A2442" s="33" t="str">
        <x:v>AUD175</x:v>
      </x:c>
      <x:c r="B2442" s="33" t="str">
        <x:v>Audit Procedure Master</x:v>
      </x:c>
      <x:c r="C2442" s="33" t="str">
        <x:v>Audit Procedure=Interview pharmacists regarding counselling practices.; Audit Method=Interview; Risk Focus=Personnel Competency; Remarks=Assess consistency with SOPs.</x:v>
      </x:c>
      <x:c r="D2442" s="33" t="str">
        <x:v>Audit Procedure=Review the applicable licence, order, register, SOP and a sample of records to verify that do not cause a false or misleading advertisement and comply with any CCPA discontinuance/modification direction.; Audit Method=Document Review and Sampling; Risk Focus=CA064; Remarks=P-4 normalized to current parent compliance; legacy Audit ID preserved.</x:v>
      </x:c>
      <x:c r="E2442" s="33" t="str">
        <x:v>CORRECT / RECLASSIFY</x:v>
      </x:c>
      <x:c r="F2442" s="33" t="str">
        <x:v>Quarantine inactive descendants and normalize the legacy audit band to its current parent compliance.</x:v>
      </x:c>
      <x:c r="G2442" s="33" t="str">
        <x:v>P-4 execution-chain reconciliation</x:v>
      </x:c>
      <x:c r="H2442" s="33" t="str">
        <x:v>P-4</x:v>
      </x:c>
      <x:c r="I2442" s="33" t="str">
        <x:v>P-4</x:v>
      </x:c>
      <x:c r="J2442" s="33" t="str">
        <x:v>2026-08-20</x:v>
      </x:c>
      <x:c r="K2442" s="33" t="str">
        <x:v>Audit IDs preserved; active tests now address their parent requirements.</x:v>
      </x:c>
    </x:row>
    <x:row r="2443">
      <x:c r="A2443" s="33" t="str">
        <x:v>AUD176</x:v>
      </x:c>
      <x:c r="B2443" s="33" t="str">
        <x:v>Audit Procedure Master</x:v>
      </x:c>
      <x:c r="C2443" s="33" t="str">
        <x:v>Audit Procedure=Verify that medicines are labelled with all mandatory dispensing information.; Audit Method=Physical Inspection; Risk Focus=General Compliance; Remarks=Include patient instructions where applicable.</x:v>
      </x:c>
      <x:c r="D2443" s="33" t="str">
        <x:v>Audit Procedure=Select a sample of relevant transactions or events and interview the responsible person to confirm that if operating in an e-commerce role, display required identity/seller information, appoint the prescribed grievance/nodal contact and operate the complaint mechanism under Rules 4-5.; Audit Method=Sampling and Interview; Risk Focus=CA065; Remarks=P-4 normalized to current parent compliance; legacy Audit ID preserved.</x:v>
      </x:c>
      <x:c r="E2443" s="33" t="str">
        <x:v>CORRECT / RECLASSIFY</x:v>
      </x:c>
      <x:c r="F2443" s="33" t="str">
        <x:v>Quarantine inactive descendants and normalize the legacy audit band to its current parent compliance.</x:v>
      </x:c>
      <x:c r="G2443" s="33" t="str">
        <x:v>P-4 execution-chain reconciliation</x:v>
      </x:c>
      <x:c r="H2443" s="33" t="str">
        <x:v>P-4</x:v>
      </x:c>
      <x:c r="I2443" s="33" t="str">
        <x:v>P-4</x:v>
      </x:c>
      <x:c r="J2443" s="33" t="str">
        <x:v>2026-08-20</x:v>
      </x:c>
      <x:c r="K2443" s="33" t="str">
        <x:v>Audit IDs preserved; active tests now address their parent requirements.</x:v>
      </x:c>
    </x:row>
    <x:row r="2444">
      <x:c r="A2444" s="33" t="str">
        <x:v>AUD177</x:v>
      </x:c>
      <x:c r="B2444" s="33" t="str">
        <x:v>Audit Procedure Master</x:v>
      </x:c>
      <x:c r="C2444" s="33" t="str">
        <x:v>Audit Procedure=Inspect sample dispensed medicines for labelling accuracy.; Audit Method=Sampling; Risk Focus=General Compliance; Remarks=Verify completeness of labels.</x:v>
      </x:c>
      <x:c r="D2444" s="33" t="str">
        <x:v>Audit Procedure=Review the applicable licence, order, register, SOP and a sample of records to verify that if operating in an e-commerce role, display required identity/seller information, appoint the prescribed grievance/nodal contact and operate the complaint mechanism under Rules 4-5.; Audit Method=Document Review and Sampling; Risk Focus=CA065; Remarks=P-4 normalized to current parent compliance; legacy Audit ID preserved.</x:v>
      </x:c>
      <x:c r="E2444" s="33" t="str">
        <x:v>CORRECT / RECLASSIFY</x:v>
      </x:c>
      <x:c r="F2444" s="33" t="str">
        <x:v>Quarantine inactive descendants and normalize the legacy audit band to its current parent compliance.</x:v>
      </x:c>
      <x:c r="G2444" s="33" t="str">
        <x:v>P-4 execution-chain reconciliation</x:v>
      </x:c>
      <x:c r="H2444" s="33" t="str">
        <x:v>P-4</x:v>
      </x:c>
      <x:c r="I2444" s="33" t="str">
        <x:v>P-4</x:v>
      </x:c>
      <x:c r="J2444" s="33" t="str">
        <x:v>2026-08-20</x:v>
      </x:c>
      <x:c r="K2444" s="33" t="str">
        <x:v>Audit IDs preserved; active tests now address their parent requirements.</x:v>
      </x:c>
    </x:row>
    <x:row r="2445">
      <x:c r="A2445" s="33" t="str">
        <x:v>AUD178</x:v>
      </x:c>
      <x:c r="B2445" s="33" t="str">
        <x:v>Audit Procedure Master</x:v>
      </x:c>
      <x:c r="C2445" s="33" t="str">
        <x:v>Audit Procedure=Verify that partial dispensing of prescriptions is documented where permitted.; Audit Method=Record Verification; Risk Focus=Prescription Controls; Remarks=Maintain full traceability.</x:v>
      </x:c>
      <x:c r="D2445" s="33" t="str">
        <x:v>Audit Procedure=Select a sample of relevant transactions or events and interview the responsible person to confirm that where a regulated weighing/measuring instrument is used, obtain verification/stamping and keep it valid before transactional use.; Audit Method=Sampling and Interview; Risk Focus=CA066; Remarks=P-4 normalized to current parent compliance; legacy Audit ID preserved.</x:v>
      </x:c>
      <x:c r="E2445" s="33" t="str">
        <x:v>CORRECT / RECLASSIFY</x:v>
      </x:c>
      <x:c r="F2445" s="33" t="str">
        <x:v>Quarantine inactive descendants and normalize the legacy audit band to its current parent compliance.</x:v>
      </x:c>
      <x:c r="G2445" s="33" t="str">
        <x:v>P-4 execution-chain reconciliation</x:v>
      </x:c>
      <x:c r="H2445" s="33" t="str">
        <x:v>P-4</x:v>
      </x:c>
      <x:c r="I2445" s="33" t="str">
        <x:v>P-4</x:v>
      </x:c>
      <x:c r="J2445" s="33" t="str">
        <x:v>2026-08-20</x:v>
      </x:c>
      <x:c r="K2445" s="33" t="str">
        <x:v>Audit IDs preserved; active tests now address their parent requirements.</x:v>
      </x:c>
    </x:row>
    <x:row r="2446">
      <x:c r="A2446" s="33" t="str">
        <x:v>AUD179</x:v>
      </x:c>
      <x:c r="B2446" s="33" t="str">
        <x:v>Audit Procedure Master</x:v>
      </x:c>
      <x:c r="C2446" s="33" t="str">
        <x:v>Audit Procedure=Review supporting records for balance quantities supplied.; Audit Method=Record Verification; Risk Focus=Recordkeeping; Remarks=Applicable where partial supply is allowed.</x:v>
      </x:c>
      <x:c r="D2446" s="33" t="str">
        <x:v>Audit Procedure=Review the applicable licence, order, register, SOP and a sample of records to verify that where a regulated weighing/measuring instrument is used, obtain verification/stamping and keep it valid before transactional use.; Audit Method=Document Review and Sampling; Risk Focus=CA066; Remarks=P-4 normalized to current parent compliance; legacy Audit ID preserved.</x:v>
      </x:c>
      <x:c r="E2446" s="33" t="str">
        <x:v>CORRECT / RECLASSIFY</x:v>
      </x:c>
      <x:c r="F2446" s="33" t="str">
        <x:v>Quarantine inactive descendants and normalize the legacy audit band to its current parent compliance.</x:v>
      </x:c>
      <x:c r="G2446" s="33" t="str">
        <x:v>P-4 execution-chain reconciliation</x:v>
      </x:c>
      <x:c r="H2446" s="33" t="str">
        <x:v>P-4</x:v>
      </x:c>
      <x:c r="I2446" s="33" t="str">
        <x:v>P-4</x:v>
      </x:c>
      <x:c r="J2446" s="33" t="str">
        <x:v>2026-08-20</x:v>
      </x:c>
      <x:c r="K2446" s="33" t="str">
        <x:v>Audit IDs preserved; active tests now address their parent requirements.</x:v>
      </x:c>
    </x:row>
    <x:row r="2447">
      <x:c r="A2447" s="33" t="str">
        <x:v>AUD180</x:v>
      </x:c>
      <x:c r="B2447" s="33" t="str">
        <x:v>Audit Procedure Master</x:v>
      </x:c>
      <x:c r="C2447" s="33" t="str">
        <x:v>Audit Procedure=Verify that substitution of prescribed medicines follows legal and organizational requirements.; Audit Method=Document Review; Risk Focus=General Compliance; Remarks=Unauthorized substitution should not occur.</x:v>
      </x:c>
      <x:c r="D2447" s="33" t="str">
        <x:v>Audit Procedure=Select a sample of relevant transactions or events and interview the responsible person to confirm that do not use a non-standard or required-but-unverified weight/measure; retain the verification certificate/stamp evidence.; Audit Method=Sampling and Interview; Risk Focus=CA068; Remarks=P-4 normalized to current parent compliance; legacy Audit ID preserved.</x:v>
      </x:c>
      <x:c r="E2447" s="33" t="str">
        <x:v>CORRECT / RECLASSIFY</x:v>
      </x:c>
      <x:c r="F2447" s="33" t="str">
        <x:v>Quarantine inactive descendants and normalize the legacy audit band to its current parent compliance.</x:v>
      </x:c>
      <x:c r="G2447" s="33" t="str">
        <x:v>P-4 execution-chain reconciliation</x:v>
      </x:c>
      <x:c r="H2447" s="33" t="str">
        <x:v>P-4</x:v>
      </x:c>
      <x:c r="I2447" s="33" t="str">
        <x:v>P-4</x:v>
      </x:c>
      <x:c r="J2447" s="33" t="str">
        <x:v>2026-08-20</x:v>
      </x:c>
      <x:c r="K2447" s="33" t="str">
        <x:v>Audit IDs preserved; active tests now address their parent requirements.</x:v>
      </x:c>
    </x:row>
    <x:row r="2448">
      <x:c r="A2448" s="33" t="str">
        <x:v>AUD181</x:v>
      </x:c>
      <x:c r="B2448" s="33" t="str">
        <x:v>Audit Procedure Master</x:v>
      </x:c>
      <x:c r="C2448" s="33" t="str">
        <x:v>Audit Procedure=Review documented approvals for substituted medicines.; Audit Method=Record Verification; Risk Focus=Recordkeeping; Remarks=Verify supporting justification.</x:v>
      </x:c>
      <x:c r="D2448" s="33" t="str">
        <x:v>Audit Procedure=Review the applicable licence, order, register, SOP and a sample of records to verify that do not use a non-standard or required-but-unverified weight/measure; retain the verification certificate/stamp evidence.; Audit Method=Document Review and Sampling; Risk Focus=CA068; Remarks=P-4 normalized to current parent compliance; legacy Audit ID preserved.</x:v>
      </x:c>
      <x:c r="E2448" s="33" t="str">
        <x:v>CORRECT / RECLASSIFY</x:v>
      </x:c>
      <x:c r="F2448" s="33" t="str">
        <x:v>Quarantine inactive descendants and normalize the legacy audit band to its current parent compliance.</x:v>
      </x:c>
      <x:c r="G2448" s="33" t="str">
        <x:v>P-4 execution-chain reconciliation</x:v>
      </x:c>
      <x:c r="H2448" s="33" t="str">
        <x:v>P-4</x:v>
      </x:c>
      <x:c r="I2448" s="33" t="str">
        <x:v>P-4</x:v>
      </x:c>
      <x:c r="J2448" s="33" t="str">
        <x:v>2026-08-20</x:v>
      </x:c>
      <x:c r="K2448" s="33" t="str">
        <x:v>Audit IDs preserved; active tests now address their parent requirements.</x:v>
      </x:c>
    </x:row>
    <x:row r="2449">
      <x:c r="A2449" s="33" t="str">
        <x:v>AUD182</x:v>
      </x:c>
      <x:c r="B2449" s="33" t="str">
        <x:v>Audit Procedure Master</x:v>
      </x:c>
      <x:c r="C2449" s="33" t="str">
        <x:v>Audit Procedure=Verify that dispensing errors are documented, investigated and corrected.; Audit Method=Record Verification; Risk Focus=Recordkeeping; Remarks=Incident reporting should be maintained.</x:v>
      </x:c>
      <x:c r="D2449" s="33" t="str">
        <x:v>Audit Procedure=Select a sample of relevant transactions or events and interview the responsible person to confirm that permit lawful legal-metrology inspection and produce the covered instrument and records when required by an authorised officer.; Audit Method=Sampling and Interview; Risk Focus=CA066; Remarks=P-4 normalized to current parent compliance; legacy Audit ID preserved.</x:v>
      </x:c>
      <x:c r="E2449" s="33" t="str">
        <x:v>CORRECT / RECLASSIFY</x:v>
      </x:c>
      <x:c r="F2449" s="33" t="str">
        <x:v>Quarantine inactive descendants and normalize the legacy audit band to its current parent compliance.</x:v>
      </x:c>
      <x:c r="G2449" s="33" t="str">
        <x:v>P-4 execution-chain reconciliation</x:v>
      </x:c>
      <x:c r="H2449" s="33" t="str">
        <x:v>P-4</x:v>
      </x:c>
      <x:c r="I2449" s="33" t="str">
        <x:v>P-4</x:v>
      </x:c>
      <x:c r="J2449" s="33" t="str">
        <x:v>2026-08-20</x:v>
      </x:c>
      <x:c r="K2449" s="33" t="str">
        <x:v>Audit IDs preserved; active tests now address their parent requirements.</x:v>
      </x:c>
    </x:row>
    <x:row r="2450">
      <x:c r="A2450" s="33" t="str">
        <x:v>AUD183</x:v>
      </x:c>
      <x:c r="B2450" s="33" t="str">
        <x:v>Audit Procedure Master</x:v>
      </x:c>
      <x:c r="C2450" s="33" t="str">
        <x:v>Audit Procedure=Review CAPA records relating to dispensing errors.; Audit Method=Record Verification; Risk Focus=Recordkeeping; Remarks=Confirm effectiveness of corrective actions.</x:v>
      </x:c>
      <x:c r="D2450" s="33" t="str">
        <x:v>Audit Procedure=Review the applicable licence, order, register, SOP and a sample of records to verify that permit lawful legal-metrology inspection and produce the covered instrument and records when required by an authorised officer.; Audit Method=Document Review and Sampling; Risk Focus=CA066; Remarks=P-4 normalized to current parent compliance; legacy Audit ID preserved.</x:v>
      </x:c>
      <x:c r="E2450" s="33" t="str">
        <x:v>CORRECT / RECLASSIFY</x:v>
      </x:c>
      <x:c r="F2450" s="33" t="str">
        <x:v>Quarantine inactive descendants and normalize the legacy audit band to its current parent compliance.</x:v>
      </x:c>
      <x:c r="G2450" s="33" t="str">
        <x:v>P-4 execution-chain reconciliation</x:v>
      </x:c>
      <x:c r="H2450" s="33" t="str">
        <x:v>P-4</x:v>
      </x:c>
      <x:c r="I2450" s="33" t="str">
        <x:v>P-4</x:v>
      </x:c>
      <x:c r="J2450" s="33" t="str">
        <x:v>2026-08-20</x:v>
      </x:c>
      <x:c r="K2450" s="33" t="str">
        <x:v>Audit IDs preserved; active tests now address their parent requirements.</x:v>
      </x:c>
    </x:row>
    <x:row r="2451">
      <x:c r="A2451" s="33" t="str">
        <x:v>AUD184</x:v>
      </x:c>
      <x:c r="B2451" s="33" t="str">
        <x:v>Audit Procedure Master</x:v>
      </x:c>
      <x:c r="C2451" s="33" t="str">
        <x:v>Audit Procedure=Verify that returned medicines are handled according to approved procedures.; Audit Method=Physical Inspection; Risk Focus=Inventory Controls; Remarks=Assess suitability for re-entry into inventory where permitted.</x:v>
      </x:c>
      <x:c r="D2451" s="33" t="str">
        <x:v>Audit Procedure=Select a sample of relevant transactions or events and interview the responsible person to confirm that do not sell, distribute, deliver, display or store for sale a pre-packaged commodity unless the package complies with the Act and Rules.; Audit Method=Sampling and Interview; Risk Focus=CA067; Remarks=P-4 normalized to current parent compliance; legacy Audit ID preserved.</x:v>
      </x:c>
      <x:c r="E2451" s="33" t="str">
        <x:v>CORRECT / RECLASSIFY</x:v>
      </x:c>
      <x:c r="F2451" s="33" t="str">
        <x:v>Quarantine inactive descendants and normalize the legacy audit band to its current parent compliance.</x:v>
      </x:c>
      <x:c r="G2451" s="33" t="str">
        <x:v>P-4 execution-chain reconciliation</x:v>
      </x:c>
      <x:c r="H2451" s="33" t="str">
        <x:v>P-4</x:v>
      </x:c>
      <x:c r="I2451" s="33" t="str">
        <x:v>P-4</x:v>
      </x:c>
      <x:c r="J2451" s="33" t="str">
        <x:v>2026-08-20</x:v>
      </x:c>
      <x:c r="K2451" s="33" t="str">
        <x:v>Audit IDs preserved; active tests now address their parent requirements.</x:v>
      </x:c>
    </x:row>
    <x:row r="2452">
      <x:c r="A2452" s="33" t="str">
        <x:v>AUD185</x:v>
      </x:c>
      <x:c r="B2452" s="33" t="str">
        <x:v>Audit Procedure Master</x:v>
      </x:c>
      <x:c r="C2452" s="33" t="str">
        <x:v>Audit Procedure=Review returned medicine registers and disposal records.; Audit Method=Record Verification; Risk Focus=Inventory Controls; Remarks=Ensure complete documentation.</x:v>
      </x:c>
      <x:c r="D2452" s="33" t="str">
        <x:v>Audit Procedure=Review the applicable licence, order, register, SOP and a sample of records to verify that do not sell, distribute, deliver, display or store for sale a pre-packaged commodity unless the package complies with the Act and Rules.; Audit Method=Document Review and Sampling; Risk Focus=CA067; Remarks=P-4 normalized to current parent compliance; legacy Audit ID preserved.</x:v>
      </x:c>
      <x:c r="E2452" s="33" t="str">
        <x:v>CORRECT / RECLASSIFY</x:v>
      </x:c>
      <x:c r="F2452" s="33" t="str">
        <x:v>Quarantine inactive descendants and normalize the legacy audit band to its current parent compliance.</x:v>
      </x:c>
      <x:c r="G2452" s="33" t="str">
        <x:v>P-4 execution-chain reconciliation</x:v>
      </x:c>
      <x:c r="H2452" s="33" t="str">
        <x:v>P-4</x:v>
      </x:c>
      <x:c r="I2452" s="33" t="str">
        <x:v>P-4</x:v>
      </x:c>
      <x:c r="J2452" s="33" t="str">
        <x:v>2026-08-20</x:v>
      </x:c>
      <x:c r="K2452" s="33" t="str">
        <x:v>Audit IDs preserved; active tests now address their parent requirements.</x:v>
      </x:c>
    </x:row>
    <x:row r="2453">
      <x:c r="A2453" s="33" t="str">
        <x:v>AUD186</x:v>
      </x:c>
      <x:c r="B2453" s="33" t="str">
        <x:v>Audit Procedure Master</x:v>
      </x:c>
      <x:c r="C2453" s="33" t="str">
        <x:v>Audit Procedure=Verify that expired prescriptions are not used for dispensing where validity periods apply.; Audit Method=Document Review; Risk Focus=Prescription Controls; Remarks=Sample prescription verification.</x:v>
      </x:c>
      <x:c r="D2453" s="33" t="str">
        <x:v>Audit Procedure=Select a sample of relevant transactions or events and interview the responsible person to confirm that do not sell an applicable packaged commodity above its declared retail sale price.; Audit Method=Sampling and Interview; Risk Focus=CA067; Remarks=P-4 normalized to current parent compliance; legacy Audit ID preserved.</x:v>
      </x:c>
      <x:c r="E2453" s="33" t="str">
        <x:v>CORRECT / RECLASSIFY</x:v>
      </x:c>
      <x:c r="F2453" s="33" t="str">
        <x:v>Quarantine inactive descendants and normalize the legacy audit band to its current parent compliance.</x:v>
      </x:c>
      <x:c r="G2453" s="33" t="str">
        <x:v>P-4 execution-chain reconciliation</x:v>
      </x:c>
      <x:c r="H2453" s="33" t="str">
        <x:v>P-4</x:v>
      </x:c>
      <x:c r="I2453" s="33" t="str">
        <x:v>P-4</x:v>
      </x:c>
      <x:c r="J2453" s="33" t="str">
        <x:v>2026-08-20</x:v>
      </x:c>
      <x:c r="K2453" s="33" t="str">
        <x:v>Audit IDs preserved; active tests now address their parent requirements.</x:v>
      </x:c>
    </x:row>
    <x:row r="2454">
      <x:c r="A2454" s="33" t="str">
        <x:v>AUD187</x:v>
      </x:c>
      <x:c r="B2454" s="33" t="str">
        <x:v>Audit Procedure Master</x:v>
      </x:c>
      <x:c r="C2454" s="33" t="str">
        <x:v>Audit Procedure=Inspect dispensing records for compliance with prescription validity requirements.; Audit Method=Physical Inspection; Risk Focus=Prescription Controls; Remarks=Identify exceptions.</x:v>
      </x:c>
      <x:c r="D2454" s="33" t="str">
        <x:v>Audit Procedure=Review the applicable licence, order, register, SOP and a sample of records to verify that do not sell an applicable packaged commodity above its declared retail sale price.; Audit Method=Document Review and Sampling; Risk Focus=CA067; Remarks=P-4 normalized to current parent compliance; legacy Audit ID preserved.</x:v>
      </x:c>
      <x:c r="E2454" s="33" t="str">
        <x:v>CORRECT / RECLASSIFY</x:v>
      </x:c>
      <x:c r="F2454" s="33" t="str">
        <x:v>Quarantine inactive descendants and normalize the legacy audit band to its current parent compliance.</x:v>
      </x:c>
      <x:c r="G2454" s="33" t="str">
        <x:v>P-4 execution-chain reconciliation</x:v>
      </x:c>
      <x:c r="H2454" s="33" t="str">
        <x:v>P-4</x:v>
      </x:c>
      <x:c r="I2454" s="33" t="str">
        <x:v>P-4</x:v>
      </x:c>
      <x:c r="J2454" s="33" t="str">
        <x:v>2026-08-20</x:v>
      </x:c>
      <x:c r="K2454" s="33" t="str">
        <x:v>Audit IDs preserved; active tests now address their parent requirements.</x:v>
      </x:c>
    </x:row>
    <x:row r="2455">
      <x:c r="A2455" s="33" t="str">
        <x:v>AUD188</x:v>
      </x:c>
      <x:c r="B2455" s="33" t="str">
        <x:v>Audit Procedure Master</x:v>
      </x:c>
      <x:c r="C2455" s="33" t="str">
        <x:v>Audit Procedure=Verify that dispensing software validates prescription and patient information where applicable.; Audit Method=System Verification; Risk Focus=Prescription Controls; Remarks=Check configured validation controls.</x:v>
      </x:c>
      <x:c r="D2455" s="33" t="str">
        <x:v>Audit Procedure=Select a sample of relevant transactions or events and interview the responsible person to confirm that for e-commerce sale of applicable pre-packaged commodities, display the prescribed Rule 6 declarations on the digital/electronic network.; Audit Method=Sampling and Interview; Risk Focus=CA031; Remarks=P-4 normalized to current parent compliance; legacy Audit ID preserved.</x:v>
      </x:c>
      <x:c r="E2455" s="33" t="str">
        <x:v>CORRECT / RECLASSIFY</x:v>
      </x:c>
      <x:c r="F2455" s="33" t="str">
        <x:v>Quarantine inactive descendants and normalize the legacy audit band to its current parent compliance.</x:v>
      </x:c>
      <x:c r="G2455" s="33" t="str">
        <x:v>P-4 execution-chain reconciliation</x:v>
      </x:c>
      <x:c r="H2455" s="33" t="str">
        <x:v>P-4</x:v>
      </x:c>
      <x:c r="I2455" s="33" t="str">
        <x:v>P-4</x:v>
      </x:c>
      <x:c r="J2455" s="33" t="str">
        <x:v>2026-08-20</x:v>
      </x:c>
      <x:c r="K2455" s="33" t="str">
        <x:v>Audit IDs preserved; active tests now address their parent requirements.</x:v>
      </x:c>
    </x:row>
    <x:row r="2456">
      <x:c r="A2456" s="33" t="str">
        <x:v>AUD189</x:v>
      </x:c>
      <x:c r="B2456" s="33" t="str">
        <x:v>Audit Procedure Master</x:v>
      </x:c>
      <x:c r="C2456" s="33" t="str">
        <x:v>Audit Procedure=Review system audit logs for dispensing transactions.; Audit Method=System Verification; Risk Focus=Digital Controls; Remarks=Investigate unauthorized overrides.</x:v>
      </x:c>
      <x:c r="D2456" s="33" t="str">
        <x:v>Audit Procedure=Review the applicable licence, order, register, SOP and a sample of records to verify that for e-commerce sale of applicable pre-packaged commodities, display the prescribed Rule 6 declarations on the digital/electronic network.; Audit Method=Document Review and Sampling; Risk Focus=CA031; Remarks=P-4 normalized to current parent compliance; legacy Audit ID preserved.</x:v>
      </x:c>
      <x:c r="E2456" s="33" t="str">
        <x:v>CORRECT / RECLASSIFY</x:v>
      </x:c>
      <x:c r="F2456" s="33" t="str">
        <x:v>Quarantine inactive descendants and normalize the legacy audit band to its current parent compliance.</x:v>
      </x:c>
      <x:c r="G2456" s="33" t="str">
        <x:v>P-4 execution-chain reconciliation</x:v>
      </x:c>
      <x:c r="H2456" s="33" t="str">
        <x:v>P-4</x:v>
      </x:c>
      <x:c r="I2456" s="33" t="str">
        <x:v>P-4</x:v>
      </x:c>
      <x:c r="J2456" s="33" t="str">
        <x:v>2026-08-20</x:v>
      </x:c>
      <x:c r="K2456" s="33" t="str">
        <x:v>Audit IDs preserved; active tests now address their parent requirements.</x:v>
      </x:c>
    </x:row>
    <x:row r="2457">
      <x:c r="A2457" s="33" t="str">
        <x:v>AUD190</x:v>
      </x:c>
      <x:c r="B2457" s="33" t="str">
        <x:v>Audit Procedure Master</x:v>
      </x:c>
      <x:c r="C2457" s="33" t="str">
        <x:v>Audit Procedure=Verify that dispensing records are complete, accurate and readily retrievable.; Audit Method=Record Verification; Risk Focus=Recordkeeping; Remarks=Records should support regulatory inspections.</x:v>
      </x:c>
      <x:c r="D2457" s="33" t="str">
        <x:v>Audit Procedure=Select a sample of relevant transactions or events and interview the responsible person to confirm that if handling SPDI, publish the prescribed privacy policy and operate a documented reasonable-security programme/standard with periodic review.; Audit Method=Sampling and Interview; Risk Focus=CA071; Remarks=P-4 normalized to current parent compliance; legacy Audit ID preserved.</x:v>
      </x:c>
      <x:c r="E2457" s="33" t="str">
        <x:v>CORRECT / RECLASSIFY</x:v>
      </x:c>
      <x:c r="F2457" s="33" t="str">
        <x:v>Quarantine inactive descendants and normalize the legacy audit band to its current parent compliance.</x:v>
      </x:c>
      <x:c r="G2457" s="33" t="str">
        <x:v>P-4 execution-chain reconciliation</x:v>
      </x:c>
      <x:c r="H2457" s="33" t="str">
        <x:v>P-4</x:v>
      </x:c>
      <x:c r="I2457" s="33" t="str">
        <x:v>P-4</x:v>
      </x:c>
      <x:c r="J2457" s="33" t="str">
        <x:v>2026-08-20</x:v>
      </x:c>
      <x:c r="K2457" s="33" t="str">
        <x:v>Audit IDs preserved; active tests now address their parent requirements.</x:v>
      </x:c>
    </x:row>
    <x:row r="2458">
      <x:c r="A2458" s="33" t="str">
        <x:v>AUD191</x:v>
      </x:c>
      <x:c r="B2458" s="33" t="str">
        <x:v>Audit Procedure Master</x:v>
      </x:c>
      <x:c r="C2458" s="33" t="str">
        <x:v>Audit Procedure=Reconcile dispensing records with inventory movement.; Audit Method=Reconciliation; Risk Focus=Inventory Controls; Remarks=Resolve mismatches promptly.</x:v>
      </x:c>
      <x:c r="D2458" s="33" t="str">
        <x:v>Audit Procedure=Review the applicable licence, order, register, SOP and a sample of records to verify that if handling SPDI, publish the prescribed privacy policy and operate a documented reasonable-security programme/standard with periodic review.; Audit Method=Document Review and Sampling; Risk Focus=CA071; Remarks=P-4 normalized to current parent compliance; legacy Audit ID preserved.</x:v>
      </x:c>
      <x:c r="E2458" s="33" t="str">
        <x:v>CORRECT / RECLASSIFY</x:v>
      </x:c>
      <x:c r="F2458" s="33" t="str">
        <x:v>Quarantine inactive descendants and normalize the legacy audit band to its current parent compliance.</x:v>
      </x:c>
      <x:c r="G2458" s="33" t="str">
        <x:v>P-4 execution-chain reconciliation</x:v>
      </x:c>
      <x:c r="H2458" s="33" t="str">
        <x:v>P-4</x:v>
      </x:c>
      <x:c r="I2458" s="33" t="str">
        <x:v>P-4</x:v>
      </x:c>
      <x:c r="J2458" s="33" t="str">
        <x:v>2026-08-20</x:v>
      </x:c>
      <x:c r="K2458" s="33" t="str">
        <x:v>Audit IDs preserved; active tests now address their parent requirements.</x:v>
      </x:c>
    </x:row>
    <x:row r="2459">
      <x:c r="A2459" s="33" t="str">
        <x:v>AUD192</x:v>
      </x:c>
      <x:c r="B2459" s="33" t="str">
        <x:v>Audit Procedure Master</x:v>
      </x:c>
      <x:c r="C2459" s="33" t="str">
        <x:v>Audit Procedure=Verify that confidential patient information is protected during dispensing.; Audit Method=Observation; Risk Focus=General Compliance; Remarks=Maintain privacy and confidentiality.</x:v>
      </x:c>
      <x:c r="D2459" s="33" t="str">
        <x:v>Audit Procedure=Select a sample of relevant transactions or events and interview the responsible person to confirm that for SPDI, obtain consent, give required collection information, limit purpose/retention and provide review/correction mechanisms.; Audit Method=Sampling and Interview; Risk Focus=CA072; Remarks=P-4 normalized to current parent compliance; legacy Audit ID preserved.</x:v>
      </x:c>
      <x:c r="E2459" s="33" t="str">
        <x:v>CORRECT / RECLASSIFY</x:v>
      </x:c>
      <x:c r="F2459" s="33" t="str">
        <x:v>Quarantine inactive descendants and normalize the legacy audit band to its current parent compliance.</x:v>
      </x:c>
      <x:c r="G2459" s="33" t="str">
        <x:v>P-4 execution-chain reconciliation</x:v>
      </x:c>
      <x:c r="H2459" s="33" t="str">
        <x:v>P-4</x:v>
      </x:c>
      <x:c r="I2459" s="33" t="str">
        <x:v>P-4</x:v>
      </x:c>
      <x:c r="J2459" s="33" t="str">
        <x:v>2026-08-20</x:v>
      </x:c>
      <x:c r="K2459" s="33" t="str">
        <x:v>Audit IDs preserved; active tests now address their parent requirements.</x:v>
      </x:c>
    </x:row>
    <x:row r="2460">
      <x:c r="A2460" s="33" t="str">
        <x:v>AUD193</x:v>
      </x:c>
      <x:c r="B2460" s="33" t="str">
        <x:v>Audit Procedure Master</x:v>
      </x:c>
      <x:c r="C2460" s="33" t="str">
        <x:v>Audit Procedure=Review access controls for patient records.; Audit Method=System Verification; Risk Focus=Recordkeeping; Remarks=Authorized access only.</x:v>
      </x:c>
      <x:c r="D2460" s="33" t="str">
        <x:v>Audit Procedure=Review the applicable licence, order, register, SOP and a sample of records to verify that for SPDI, obtain consent, give required collection information, limit purpose/retention and provide review/correction mechanisms.; Audit Method=Document Review and Sampling; Risk Focus=CA072; Remarks=P-4 normalized to current parent compliance; legacy Audit ID preserved.</x:v>
      </x:c>
      <x:c r="E2460" s="33" t="str">
        <x:v>CORRECT / RECLASSIFY</x:v>
      </x:c>
      <x:c r="F2460" s="33" t="str">
        <x:v>Quarantine inactive descendants and normalize the legacy audit band to its current parent compliance.</x:v>
      </x:c>
      <x:c r="G2460" s="33" t="str">
        <x:v>P-4 execution-chain reconciliation</x:v>
      </x:c>
      <x:c r="H2460" s="33" t="str">
        <x:v>P-4</x:v>
      </x:c>
      <x:c r="I2460" s="33" t="str">
        <x:v>P-4</x:v>
      </x:c>
      <x:c r="J2460" s="33" t="str">
        <x:v>2026-08-20</x:v>
      </x:c>
      <x:c r="K2460" s="33" t="str">
        <x:v>Audit IDs preserved; active tests now address their parent requirements.</x:v>
      </x:c>
    </x:row>
    <x:row r="2461">
      <x:c r="A2461" s="33" t="str">
        <x:v>AUD194</x:v>
      </x:c>
      <x:c r="B2461" s="33" t="str">
        <x:v>Audit Procedure Master</x:v>
      </x:c>
      <x:c r="C2461" s="33" t="str">
        <x:v>Audit Procedure=Verify that pharmacy staff follow approved dispensing SOPs.; Audit Method=Document Review; Risk Focus=Personnel Competency; Remarks=Observe actual dispensing workflow.</x:v>
      </x:c>
      <x:c r="D2461" s="33" t="str">
        <x:v>Audit Procedure=Select a sample of relevant transactions or events and interview the responsible person to confirm that do not disclose SPDI without prior permission unless a Rule 6 exception applies; prevent unlawful contractual disclosure.; Audit Method=Sampling and Interview; Risk Focus=CA071; Remarks=P-4 normalized to current parent compliance; legacy Audit ID preserved.</x:v>
      </x:c>
      <x:c r="E2461" s="33" t="str">
        <x:v>CORRECT / RECLASSIFY</x:v>
      </x:c>
      <x:c r="F2461" s="33" t="str">
        <x:v>Quarantine inactive descendants and normalize the legacy audit band to its current parent compliance.</x:v>
      </x:c>
      <x:c r="G2461" s="33" t="str">
        <x:v>P-4 execution-chain reconciliation</x:v>
      </x:c>
      <x:c r="H2461" s="33" t="str">
        <x:v>P-4</x:v>
      </x:c>
      <x:c r="I2461" s="33" t="str">
        <x:v>P-4</x:v>
      </x:c>
      <x:c r="J2461" s="33" t="str">
        <x:v>2026-08-20</x:v>
      </x:c>
      <x:c r="K2461" s="33" t="str">
        <x:v>Audit IDs preserved; active tests now address their parent requirements.</x:v>
      </x:c>
    </x:row>
    <x:row r="2462">
      <x:c r="A2462" s="33" t="str">
        <x:v>AUD195</x:v>
      </x:c>
      <x:c r="B2462" s="33" t="str">
        <x:v>Audit Procedure Master</x:v>
      </x:c>
      <x:c r="C2462" s="33" t="str">
        <x:v>Audit Procedure=Review evidence of periodic SOP training.; Audit Method=Document Review; Risk Focus=SOP &amp; Training; Remarks=Staff should acknowledge training.</x:v>
      </x:c>
      <x:c r="D2462" s="33" t="str">
        <x:v>Audit Procedure=Review the applicable licence, order, register, SOP and a sample of records to verify that do not disclose SPDI without prior permission unless a Rule 6 exception applies; prevent unlawful contractual disclosure.; Audit Method=Document Review and Sampling; Risk Focus=CA071; Remarks=P-4 normalized to current parent compliance; legacy Audit ID preserved.</x:v>
      </x:c>
      <x:c r="E2462" s="33" t="str">
        <x:v>CORRECT / RECLASSIFY</x:v>
      </x:c>
      <x:c r="F2462" s="33" t="str">
        <x:v>Quarantine inactive descendants and normalize the legacy audit band to its current parent compliance.</x:v>
      </x:c>
      <x:c r="G2462" s="33" t="str">
        <x:v>P-4 execution-chain reconciliation</x:v>
      </x:c>
      <x:c r="H2462" s="33" t="str">
        <x:v>P-4</x:v>
      </x:c>
      <x:c r="I2462" s="33" t="str">
        <x:v>P-4</x:v>
      </x:c>
      <x:c r="J2462" s="33" t="str">
        <x:v>2026-08-20</x:v>
      </x:c>
      <x:c r="K2462" s="33" t="str">
        <x:v>Audit IDs preserved; active tests now address their parent requirements.</x:v>
      </x:c>
    </x:row>
    <x:row r="2463">
      <x:c r="A2463" s="33" t="str">
        <x:v>AUD196</x:v>
      </x:c>
      <x:c r="B2463" s="33" t="str">
        <x:v>Audit Procedure Master</x:v>
      </x:c>
      <x:c r="C2463" s="33" t="str">
        <x:v>Audit Procedure=Verify that dispensing counters maintain appropriate hygiene standards.; Audit Method=Physical Inspection; Risk Focus=General Compliance; Remarks=Cleanliness should be consistently maintained.</x:v>
      </x:c>
      <x:c r="D2463" s="33" t="str">
        <x:v>Audit Procedure=Select a sample of relevant transactions or events and interview the responsible person to confirm that apply intermediary due diligence only if the platform legally qualifies as an intermediary under current IT law.; Audit Method=Sampling and Interview; Risk Focus=CA069; Remarks=P-4 normalized to current parent compliance; legacy Audit ID preserved.</x:v>
      </x:c>
      <x:c r="E2463" s="33" t="str">
        <x:v>CORRECT / RECLASSIFY</x:v>
      </x:c>
      <x:c r="F2463" s="33" t="str">
        <x:v>Quarantine inactive descendants and normalize the legacy audit band to its current parent compliance.</x:v>
      </x:c>
      <x:c r="G2463" s="33" t="str">
        <x:v>P-4 execution-chain reconciliation</x:v>
      </x:c>
      <x:c r="H2463" s="33" t="str">
        <x:v>P-4</x:v>
      </x:c>
      <x:c r="I2463" s="33" t="str">
        <x:v>P-4</x:v>
      </x:c>
      <x:c r="J2463" s="33" t="str">
        <x:v>2026-08-20</x:v>
      </x:c>
      <x:c r="K2463" s="33" t="str">
        <x:v>Audit IDs preserved; active tests now address their parent requirements.</x:v>
      </x:c>
    </x:row>
    <x:row r="2464">
      <x:c r="A2464" s="33" t="str">
        <x:v>AUD197</x:v>
      </x:c>
      <x:c r="B2464" s="33" t="str">
        <x:v>Audit Procedure Master</x:v>
      </x:c>
      <x:c r="C2464" s="33" t="str">
        <x:v>Audit Procedure=Observe housekeeping practices at dispensing areas.; Audit Method=Observation; Risk Focus=General Compliance; Remarks=Record deficiencies.</x:v>
      </x:c>
      <x:c r="D2464" s="33" t="str">
        <x:v>Audit Procedure=Review the applicable licence, order, register, SOP and a sample of records to verify that apply intermediary due diligence only if the platform legally qualifies as an intermediary under current IT law.; Audit Method=Document Review and Sampling; Risk Focus=CA069; Remarks=P-4 normalized to current parent compliance; legacy Audit ID preserved.</x:v>
      </x:c>
      <x:c r="E2464" s="33" t="str">
        <x:v>CORRECT / RECLASSIFY</x:v>
      </x:c>
      <x:c r="F2464" s="33" t="str">
        <x:v>Quarantine inactive descendants and normalize the legacy audit band to its current parent compliance.</x:v>
      </x:c>
      <x:c r="G2464" s="33" t="str">
        <x:v>P-4 execution-chain reconciliation</x:v>
      </x:c>
      <x:c r="H2464" s="33" t="str">
        <x:v>P-4</x:v>
      </x:c>
      <x:c r="I2464" s="33" t="str">
        <x:v>P-4</x:v>
      </x:c>
      <x:c r="J2464" s="33" t="str">
        <x:v>2026-08-20</x:v>
      </x:c>
      <x:c r="K2464" s="33" t="str">
        <x:v>Audit IDs preserved; active tests now address their parent requirements.</x:v>
      </x:c>
    </x:row>
    <x:row r="2465">
      <x:c r="A2465" s="33" t="str">
        <x:v>AUD210</x:v>
      </x:c>
      <x:c r="B2465" s="33" t="str">
        <x:v>Audit Procedure Master</x:v>
      </x:c>
      <x:c r="C2465" s="33" t="str">
        <x:v>Audit Procedure=Verify that over-the-counter (OTC) medicines are sold only in accordance with applicable regulatory requirements.; Audit Method=Physical Inspection; Risk Focus=General Compliance; Remarks=Review representative OTC products.</x:v>
      </x:c>
      <x:c r="D2465" s="33" t="str">
        <x:v>Audit Procedure=Select a sample of relevant transactions or events and interview the responsible person to confirm that hold the applicable Drugs Rules sale licence or, for an exclusive medical-device seller without that licence, obtain and maintain Form MD-42 registration.; Audit Method=Sampling and Interview; Risk Focus=CA009; Remarks=P-4 normalized to current parent compliance; legacy Audit ID preserved.</x:v>
      </x:c>
      <x:c r="E2465" s="33" t="str">
        <x:v>CORRECT / RECLASSIFY</x:v>
      </x:c>
      <x:c r="F2465" s="33" t="str">
        <x:v>Quarantine inactive descendants and normalize the legacy audit band to its current parent compliance.</x:v>
      </x:c>
      <x:c r="G2465" s="33" t="str">
        <x:v>P-4 execution-chain reconciliation</x:v>
      </x:c>
      <x:c r="H2465" s="33" t="str">
        <x:v>P-4</x:v>
      </x:c>
      <x:c r="I2465" s="33" t="str">
        <x:v>P-4</x:v>
      </x:c>
      <x:c r="J2465" s="33" t="str">
        <x:v>2026-08-20</x:v>
      </x:c>
      <x:c r="K2465" s="33" t="str">
        <x:v>Audit IDs preserved; active tests now address their parent requirements.</x:v>
      </x:c>
    </x:row>
    <x:row r="2466">
      <x:c r="A2466" s="33" t="str">
        <x:v>AUD211</x:v>
      </x:c>
      <x:c r="B2466" s="33" t="str">
        <x:v>Audit Procedure Master</x:v>
      </x:c>
      <x:c r="C2466" s="33" t="str">
        <x:v>Audit Procedure=Review OTC sales transactions for compliance with internal procedures.; Audit Method=Record Verification; Risk Focus=SOP &amp; Training; Remarks=Sample sales records.</x:v>
      </x:c>
      <x:c r="D2466" s="33" t="str">
        <x:v>Audit Procedure=Review the applicable licence, order, register, SOP and a sample of records to verify that hold the applicable Drugs Rules sale licence or, for an exclusive medical-device seller without that licence, obtain and maintain Form MD-42 registration.; Audit Method=Document Review and Sampling; Risk Focus=CA009; Remarks=P-4 normalized to current parent compliance; legacy Audit ID preserved.</x:v>
      </x:c>
      <x:c r="E2466" s="33" t="str">
        <x:v>CORRECT / RECLASSIFY</x:v>
      </x:c>
      <x:c r="F2466" s="33" t="str">
        <x:v>Quarantine inactive descendants and normalize the legacy audit band to its current parent compliance.</x:v>
      </x:c>
      <x:c r="G2466" s="33" t="str">
        <x:v>P-4 execution-chain reconciliation</x:v>
      </x:c>
      <x:c r="H2466" s="33" t="str">
        <x:v>P-4</x:v>
      </x:c>
      <x:c r="I2466" s="33" t="str">
        <x:v>P-4</x:v>
      </x:c>
      <x:c r="J2466" s="33" t="str">
        <x:v>2026-08-20</x:v>
      </x:c>
      <x:c r="K2466" s="33" t="str">
        <x:v>Audit IDs preserved; active tests now address their parent requirements.</x:v>
      </x:c>
    </x:row>
    <x:row r="2467">
      <x:c r="A2467" s="33" t="str">
        <x:v>AUD212</x:v>
      </x:c>
      <x:c r="B2467" s="33" t="str">
        <x:v>Audit Procedure Master</x:v>
      </x:c>
      <x:c r="C2467" s="33" t="str">
        <x:v>Audit Procedure=Verify that medicines prohibited for OTC sale are not supplied without a valid prescription.; Audit Method=Document Review; Risk Focus=Prescription Controls; Remarks=Include Schedule H, H1 and X medicines where applicable.</x:v>
      </x:c>
      <x:c r="D2467" s="33" t="str">
        <x:v>Audit Procedure=Select a sample of relevant transactions or events and interview the responsible person to confirm that display the medical-device registration where applicable, maintain adequate premises and specified storage, and procure devices only from authorized sources.; Audit Method=Sampling and Interview; Risk Focus=CA009; Remarks=P-4 normalized to current parent compliance; legacy Audit ID preserved.</x:v>
      </x:c>
      <x:c r="E2467" s="33" t="str">
        <x:v>CORRECT / RECLASSIFY</x:v>
      </x:c>
      <x:c r="F2467" s="33" t="str">
        <x:v>Quarantine inactive descendants and normalize the legacy audit band to its current parent compliance.</x:v>
      </x:c>
      <x:c r="G2467" s="33" t="str">
        <x:v>P-4 execution-chain reconciliation</x:v>
      </x:c>
      <x:c r="H2467" s="33" t="str">
        <x:v>P-4</x:v>
      </x:c>
      <x:c r="I2467" s="33" t="str">
        <x:v>P-4</x:v>
      </x:c>
      <x:c r="J2467" s="33" t="str">
        <x:v>2026-08-20</x:v>
      </x:c>
      <x:c r="K2467" s="33" t="str">
        <x:v>Audit IDs preserved; active tests now address their parent requirements.</x:v>
      </x:c>
    </x:row>
    <x:row r="2468">
      <x:c r="A2468" s="33" t="str">
        <x:v>AUD213</x:v>
      </x:c>
      <x:c r="B2468" s="33" t="str">
        <x:v>Audit Procedure Master</x:v>
      </x:c>
      <x:c r="C2468" s="33" t="str">
        <x:v>Audit Procedure=Reconcile OTC sales records with product classification.; Audit Method=Reconciliation; Risk Focus=Recordkeeping; Remarks=Investigate exceptions.</x:v>
      </x:c>
      <x:c r="D2468" s="33" t="str">
        <x:v>Audit Procedure=Review the applicable licence, order, register, SOP and a sample of records to verify that display the medical-device registration where applicable, maintain adequate premises and specified storage, and procure devices only from authorized sources.; Audit Method=Document Review and Sampling; Risk Focus=CA009; Remarks=P-4 normalized to current parent compliance; legacy Audit ID preserved.</x:v>
      </x:c>
      <x:c r="E2468" s="33" t="str">
        <x:v>CORRECT / RECLASSIFY</x:v>
      </x:c>
      <x:c r="F2468" s="33" t="str">
        <x:v>Quarantine inactive descendants and normalize the legacy audit band to its current parent compliance.</x:v>
      </x:c>
      <x:c r="G2468" s="33" t="str">
        <x:v>P-4 execution-chain reconciliation</x:v>
      </x:c>
      <x:c r="H2468" s="33" t="str">
        <x:v>P-4</x:v>
      </x:c>
      <x:c r="I2468" s="33" t="str">
        <x:v>P-4</x:v>
      </x:c>
      <x:c r="J2468" s="33" t="str">
        <x:v>2026-08-20</x:v>
      </x:c>
      <x:c r="K2468" s="33" t="str">
        <x:v>Audit IDs preserved; active tests now address their parent requirements.</x:v>
      </x:c>
    </x:row>
    <x:row r="2469">
      <x:c r="A2469" s="33" t="str">
        <x:v>AUD214</x:v>
      </x:c>
      <x:c r="B2469" s="33" t="str">
        <x:v>Audit Procedure Master</x:v>
      </x:c>
      <x:c r="C2469" s="33" t="str">
        <x:v>Audit Procedure=Verify that pharmacists provide appropriate usage instructions for OTC medicines.; Audit Method=Observation; Risk Focus=Personnel Competency; Remarks=Review customer interaction samples.</x:v>
      </x:c>
      <x:c r="D2469" s="33" t="str">
        <x:v>Audit Procedure=Select a sample of relevant transactions or events and interview the responsible person to confirm that maintain medical-device purchase and sale records, provide inspection access, retain records for two years, and maintain the prescribed inspection book.; Audit Method=Sampling and Interview; Risk Focus=CA019; Remarks=P-4 normalized to current parent compliance; legacy Audit ID preserved.</x:v>
      </x:c>
      <x:c r="E2469" s="33" t="str">
        <x:v>CORRECT / RECLASSIFY</x:v>
      </x:c>
      <x:c r="F2469" s="33" t="str">
        <x:v>Quarantine inactive descendants and normalize the legacy audit band to its current parent compliance.</x:v>
      </x:c>
      <x:c r="G2469" s="33" t="str">
        <x:v>P-4 execution-chain reconciliation</x:v>
      </x:c>
      <x:c r="H2469" s="33" t="str">
        <x:v>P-4</x:v>
      </x:c>
      <x:c r="I2469" s="33" t="str">
        <x:v>P-4</x:v>
      </x:c>
      <x:c r="J2469" s="33" t="str">
        <x:v>2026-08-20</x:v>
      </x:c>
      <x:c r="K2469" s="33" t="str">
        <x:v>Audit IDs preserved; active tests now address their parent requirements.</x:v>
      </x:c>
    </x:row>
    <x:row r="2470">
      <x:c r="A2470" s="33" t="str">
        <x:v>AUD215</x:v>
      </x:c>
      <x:c r="B2470" s="33" t="str">
        <x:v>Audit Procedure Master</x:v>
      </x:c>
      <x:c r="C2470" s="33" t="str">
        <x:v>Audit Procedure=Interview pharmacists regarding OTC counselling procedures.; Audit Method=Interview; Risk Focus=Personnel Competency; Remarks=Verify awareness of counselling requirements.</x:v>
      </x:c>
      <x:c r="D2470" s="33" t="str">
        <x:v>Audit Procedure=Review the applicable licence, order, register, SOP and a sample of records to verify that maintain medical-device purchase and sale records, provide inspection access, retain records for two years, and maintain the prescribed inspection book.; Audit Method=Document Review and Sampling; Risk Focus=CA019; Remarks=P-4 normalized to current parent compliance; legacy Audit ID preserved.</x:v>
      </x:c>
      <x:c r="E2470" s="33" t="str">
        <x:v>CORRECT / RECLASSIFY</x:v>
      </x:c>
      <x:c r="F2470" s="33" t="str">
        <x:v>Quarantine inactive descendants and normalize the legacy audit band to its current parent compliance.</x:v>
      </x:c>
      <x:c r="G2470" s="33" t="str">
        <x:v>P-4 execution-chain reconciliation</x:v>
      </x:c>
      <x:c r="H2470" s="33" t="str">
        <x:v>P-4</x:v>
      </x:c>
      <x:c r="I2470" s="33" t="str">
        <x:v>P-4</x:v>
      </x:c>
      <x:c r="J2470" s="33" t="str">
        <x:v>2026-08-20</x:v>
      </x:c>
      <x:c r="K2470" s="33" t="str">
        <x:v>Audit IDs preserved; active tests now address their parent requirements.</x:v>
      </x:c>
    </x:row>
    <x:row r="2471">
      <x:c r="A2471" s="33" t="str">
        <x:v>AUD216</x:v>
      </x:c>
      <x:c r="B2471" s="33" t="str">
        <x:v>Audit Procedure Master</x:v>
      </x:c>
      <x:c r="C2471" s="33" t="str">
        <x:v>Audit Procedure=Verify that self-medication advice provided by pharmacy staff complies with approved guidelines.; Audit Method=Observation; Risk Focus=Personnel Competency; Remarks=Advice should remain within professional scope.</x:v>
      </x:c>
      <x:c r="D2471" s="33" t="str">
        <x:v>Audit Procedure=Select a sample of relevant transactions or events and interview the responsible person to confirm that pay the prescribed retention fee every five years to maintain perpetual validity of Form MD-42 registration.; Audit Method=Sampling and Interview; Risk Focus=CA007; Remarks=P-4 normalized to current parent compliance; legacy Audit ID preserved.</x:v>
      </x:c>
      <x:c r="E2471" s="33" t="str">
        <x:v>CORRECT / RECLASSIFY</x:v>
      </x:c>
      <x:c r="F2471" s="33" t="str">
        <x:v>Quarantine inactive descendants and normalize the legacy audit band to its current parent compliance.</x:v>
      </x:c>
      <x:c r="G2471" s="33" t="str">
        <x:v>P-4 execution-chain reconciliation</x:v>
      </x:c>
      <x:c r="H2471" s="33" t="str">
        <x:v>P-4</x:v>
      </x:c>
      <x:c r="I2471" s="33" t="str">
        <x:v>P-4</x:v>
      </x:c>
      <x:c r="J2471" s="33" t="str">
        <x:v>2026-08-20</x:v>
      </x:c>
      <x:c r="K2471" s="33" t="str">
        <x:v>Audit IDs preserved; active tests now address their parent requirements.</x:v>
      </x:c>
    </x:row>
    <x:row r="2472">
      <x:c r="A2472" s="33" t="str">
        <x:v>AUD217</x:v>
      </x:c>
      <x:c r="B2472" s="33" t="str">
        <x:v>Audit Procedure Master</x:v>
      </x:c>
      <x:c r="C2472" s="33" t="str">
        <x:v>Audit Procedure=Review SOPs governing OTC recommendations.; Audit Method=Document Review; Risk Focus=SOP &amp; Training; Remarks=Ensure current version is implemented.</x:v>
      </x:c>
      <x:c r="D2472" s="33" t="str">
        <x:v>Audit Procedure=Review the applicable licence, order, register, SOP and a sample of records to verify that pay the prescribed retention fee every five years to maintain perpetual validity of Form MD-42 registration.; Audit Method=Document Review and Sampling; Risk Focus=CA007; Remarks=P-4 normalized to current parent compliance; legacy Audit ID preserved.</x:v>
      </x:c>
      <x:c r="E2472" s="33" t="str">
        <x:v>CORRECT / RECLASSIFY</x:v>
      </x:c>
      <x:c r="F2472" s="33" t="str">
        <x:v>Quarantine inactive descendants and normalize the legacy audit band to its current parent compliance.</x:v>
      </x:c>
      <x:c r="G2472" s="33" t="str">
        <x:v>P-4 execution-chain reconciliation</x:v>
      </x:c>
      <x:c r="H2472" s="33" t="str">
        <x:v>P-4</x:v>
      </x:c>
      <x:c r="I2472" s="33" t="str">
        <x:v>P-4</x:v>
      </x:c>
      <x:c r="J2472" s="33" t="str">
        <x:v>2026-08-20</x:v>
      </x:c>
      <x:c r="K2472" s="33" t="str">
        <x:v>Audit IDs preserved; active tests now address their parent requirements.</x:v>
      </x:c>
    </x:row>
    <x:row r="2473">
      <x:c r="A2473" s="33" t="str">
        <x:v>AUD218</x:v>
      </x:c>
      <x:c r="B2473" s="33" t="str">
        <x:v>Audit Procedure Master</x:v>
      </x:c>
      <x:c r="C2473" s="33" t="str">
        <x:v>Audit Procedure=Verify that medicines nearing expiry are not sold to customers unless permitted by policy.; Audit Method=Physical Inspection; Risk Focus=Inventory Controls; Remarks=Check shelf stock.</x:v>
      </x:c>
      <x:c r="D2473" s="33" t="str">
        <x:v>Audit Procedure=Select a sample of relevant transactions or events and interview the responsible person to confirm that where Rule 88 applies, document supply to a hospital or similar institution through the prescribed delivery-challan process.; Audit Method=Sampling and Interview; Risk Focus=CA022; Remarks=P-4 normalized to current parent compliance; legacy Audit ID preserved.</x:v>
      </x:c>
      <x:c r="E2473" s="33" t="str">
        <x:v>CORRECT / RECLASSIFY</x:v>
      </x:c>
      <x:c r="F2473" s="33" t="str">
        <x:v>Quarantine inactive descendants and normalize the legacy audit band to its current parent compliance.</x:v>
      </x:c>
      <x:c r="G2473" s="33" t="str">
        <x:v>P-4 execution-chain reconciliation</x:v>
      </x:c>
      <x:c r="H2473" s="33" t="str">
        <x:v>P-4</x:v>
      </x:c>
      <x:c r="I2473" s="33" t="str">
        <x:v>P-4</x:v>
      </x:c>
      <x:c r="J2473" s="33" t="str">
        <x:v>2026-08-20</x:v>
      </x:c>
      <x:c r="K2473" s="33" t="str">
        <x:v>Audit IDs preserved; active tests now address their parent requirements.</x:v>
      </x:c>
    </x:row>
    <x:row r="2474">
      <x:c r="A2474" s="33" t="str">
        <x:v>AUD219</x:v>
      </x:c>
      <x:c r="B2474" s="33" t="str">
        <x:v>Audit Procedure Master</x:v>
      </x:c>
      <x:c r="C2474" s="33" t="str">
        <x:v>Audit Procedure=Review near-expiry monitoring reports and sales controls.; Audit Method=Record Verification; Risk Focus=Inventory Controls; Remarks=Follow FEFO principles.</x:v>
      </x:c>
      <x:c r="D2474" s="33" t="str">
        <x:v>Audit Procedure=Review the applicable licence, order, register, SOP and a sample of records to verify that where Rule 88 applies, document supply to a hospital or similar institution through the prescribed delivery-challan process.; Audit Method=Document Review and Sampling; Risk Focus=CA022; Remarks=P-4 normalized to current parent compliance; legacy Audit ID preserved.</x:v>
      </x:c>
      <x:c r="E2474" s="33" t="str">
        <x:v>CORRECT / RECLASSIFY</x:v>
      </x:c>
      <x:c r="F2474" s="33" t="str">
        <x:v>Quarantine inactive descendants and normalize the legacy audit band to its current parent compliance.</x:v>
      </x:c>
      <x:c r="G2474" s="33" t="str">
        <x:v>P-4 execution-chain reconciliation</x:v>
      </x:c>
      <x:c r="H2474" s="33" t="str">
        <x:v>P-4</x:v>
      </x:c>
      <x:c r="I2474" s="33" t="str">
        <x:v>P-4</x:v>
      </x:c>
      <x:c r="J2474" s="33" t="str">
        <x:v>2026-08-20</x:v>
      </x:c>
      <x:c r="K2474" s="33" t="str">
        <x:v>Audit IDs preserved; active tests now address their parent requirements.</x:v>
      </x:c>
    </x:row>
    <x:row r="2475">
      <x:c r="A2475" s="33" t="str">
        <x:v>AUD220</x:v>
      </x:c>
      <x:c r="B2475" s="33" t="str">
        <x:v>Audit Procedure Master</x:v>
      </x:c>
      <x:c r="C2475" s="33" t="str">
        <x:v>Audit Procedure=Verify that expired medicines are not available for sale.; Audit Method=Physical Inspection; Risk Focus=Inventory Controls; Remarks=Immediate segregation required.</x:v>
      </x:c>
      <x:c r="D2475" s="33" t="str">
        <x:v>Audit Procedure=Select a sample of relevant transactions or events and interview the responsible person to confirm that do not sell or distribute a cosmetic unless the Rule 33 origin, licensing, quality and labelling conditions are satisfied.; Audit Method=Sampling and Interview; Risk Focus=CA016; Remarks=P-4 normalized to current parent compliance; legacy Audit ID preserved.</x:v>
      </x:c>
      <x:c r="E2475" s="33" t="str">
        <x:v>CORRECT / RECLASSIFY</x:v>
      </x:c>
      <x:c r="F2475" s="33" t="str">
        <x:v>Quarantine inactive descendants and normalize the legacy audit band to its current parent compliance.</x:v>
      </x:c>
      <x:c r="G2475" s="33" t="str">
        <x:v>P-4 execution-chain reconciliation</x:v>
      </x:c>
      <x:c r="H2475" s="33" t="str">
        <x:v>P-4</x:v>
      </x:c>
      <x:c r="I2475" s="33" t="str">
        <x:v>P-4</x:v>
      </x:c>
      <x:c r="J2475" s="33" t="str">
        <x:v>2026-08-20</x:v>
      </x:c>
      <x:c r="K2475" s="33" t="str">
        <x:v>Audit IDs preserved; active tests now address their parent requirements.</x:v>
      </x:c>
    </x:row>
    <x:row r="2476">
      <x:c r="A2476" s="33" t="str">
        <x:v>AUD221</x:v>
      </x:c>
      <x:c r="B2476" s="33" t="str">
        <x:v>Audit Procedure Master</x:v>
      </x:c>
      <x:c r="C2476" s="33" t="str">
        <x:v>Audit Procedure=Conduct sample inspection of shelves for expired products.; Audit Method=Sampling; Risk Focus=Inventory Controls; Remarks=Document exceptions.</x:v>
      </x:c>
      <x:c r="D2476" s="33" t="str">
        <x:v>Audit Procedure=Review the applicable licence, order, register, SOP and a sample of records to verify that do not sell or distribute a cosmetic unless the Rule 33 origin, licensing, quality and labelling conditions are satisfied.; Audit Method=Document Review and Sampling; Risk Focus=CA016; Remarks=P-4 normalized to current parent compliance; legacy Audit ID preserved.</x:v>
      </x:c>
      <x:c r="E2476" s="33" t="str">
        <x:v>CORRECT / RECLASSIFY</x:v>
      </x:c>
      <x:c r="F2476" s="33" t="str">
        <x:v>Quarantine inactive descendants and normalize the legacy audit band to its current parent compliance.</x:v>
      </x:c>
      <x:c r="G2476" s="33" t="str">
        <x:v>P-4 execution-chain reconciliation</x:v>
      </x:c>
      <x:c r="H2476" s="33" t="str">
        <x:v>P-4</x:v>
      </x:c>
      <x:c r="I2476" s="33" t="str">
        <x:v>P-4</x:v>
      </x:c>
      <x:c r="J2476" s="33" t="str">
        <x:v>2026-08-20</x:v>
      </x:c>
      <x:c r="K2476" s="33" t="str">
        <x:v>Audit IDs preserved; active tests now address their parent requirements.</x:v>
      </x:c>
    </x:row>
    <x:row r="2477">
      <x:c r="A2477" s="33" t="str">
        <x:v>AUD222</x:v>
      </x:c>
      <x:c r="B2477" s="33" t="str">
        <x:v>Audit Procedure Master</x:v>
      </x:c>
      <x:c r="C2477" s="33" t="str">
        <x:v>Audit Procedure=Verify that damaged medicines are not dispensed or sold.; Audit Method=Physical Inspection; Risk Focus=General Compliance; Remarks=Inspect shelves and storage areas.</x:v>
      </x:c>
      <x:c r="D2477" s="33" t="str">
        <x:v>Audit Procedure=Select a sample of relevant transactions or events and interview the responsible person to confirm that verify that cosmetics offered for sale or distribution bear the particulars required by Rule 34.; Audit Method=Sampling and Interview; Risk Focus=CA007; Remarks=P-4 normalized to current parent compliance; legacy Audit ID preserved.</x:v>
      </x:c>
      <x:c r="E2477" s="33" t="str">
        <x:v>CORRECT / RECLASSIFY</x:v>
      </x:c>
      <x:c r="F2477" s="33" t="str">
        <x:v>Quarantine inactive descendants and normalize the legacy audit band to its current parent compliance.</x:v>
      </x:c>
      <x:c r="G2477" s="33" t="str">
        <x:v>P-4 execution-chain reconciliation</x:v>
      </x:c>
      <x:c r="H2477" s="33" t="str">
        <x:v>P-4</x:v>
      </x:c>
      <x:c r="I2477" s="33" t="str">
        <x:v>P-4</x:v>
      </x:c>
      <x:c r="J2477" s="33" t="str">
        <x:v>2026-08-20</x:v>
      </x:c>
      <x:c r="K2477" s="33" t="str">
        <x:v>Audit IDs preserved; active tests now address their parent requirements.</x:v>
      </x:c>
    </x:row>
    <x:row r="2478">
      <x:c r="A2478" s="33" t="str">
        <x:v>AUD223</x:v>
      </x:c>
      <x:c r="B2478" s="33" t="str">
        <x:v>Audit Procedure Master</x:v>
      </x:c>
      <x:c r="C2478" s="33" t="str">
        <x:v>Audit Procedure=Review damaged stock records and disposal documentation.; Audit Method=Record Verification; Risk Focus=Inventory Controls; Remarks=Maintain traceability.</x:v>
      </x:c>
      <x:c r="D2478" s="33" t="str">
        <x:v>Audit Procedure=Review the applicable licence, order, register, SOP and a sample of records to verify that verify that cosmetics offered for sale or distribution bear the particulars required by Rule 34.; Audit Method=Document Review and Sampling; Risk Focus=CA007; Remarks=P-4 normalized to current parent compliance; legacy Audit ID preserved.</x:v>
      </x:c>
      <x:c r="E2478" s="33" t="str">
        <x:v>CORRECT / RECLASSIFY</x:v>
      </x:c>
      <x:c r="F2478" s="33" t="str">
        <x:v>Quarantine inactive descendants and normalize the legacy audit band to its current parent compliance.</x:v>
      </x:c>
      <x:c r="G2478" s="33" t="str">
        <x:v>P-4 execution-chain reconciliation</x:v>
      </x:c>
      <x:c r="H2478" s="33" t="str">
        <x:v>P-4</x:v>
      </x:c>
      <x:c r="I2478" s="33" t="str">
        <x:v>P-4</x:v>
      </x:c>
      <x:c r="J2478" s="33" t="str">
        <x:v>2026-08-20</x:v>
      </x:c>
      <x:c r="K2478" s="33" t="str">
        <x:v>Audit IDs preserved; active tests now address their parent requirements.</x:v>
      </x:c>
    </x:row>
    <x:row r="2479">
      <x:c r="A2479" s="33" t="str">
        <x:v>AUD224</x:v>
      </x:c>
      <x:c r="B2479" s="33" t="str">
        <x:v>Audit Procedure Master</x:v>
      </x:c>
      <x:c r="C2479" s="33" t="str">
        <x:v>Audit Procedure=Verify that medicine returns from customers are managed according to approved procedures.; Audit Method=Document Review; Risk Focus=Inventory Controls; Remarks=Assess eligibility for acceptance.</x:v>
      </x:c>
      <x:c r="D2479" s="33" t="str">
        <x:v>Audit Procedure=Select a sample of relevant transactions or events and interview the responsible person to confirm that do not alter, obliterate or deface mandatory cosmetic labelling.; Audit Method=Sampling and Interview; Risk Focus=CA067; Remarks=P-4 normalized to current parent compliance; legacy Audit ID preserved.</x:v>
      </x:c>
      <x:c r="E2479" s="33" t="str">
        <x:v>CORRECT / RECLASSIFY</x:v>
      </x:c>
      <x:c r="F2479" s="33" t="str">
        <x:v>Quarantine inactive descendants and normalize the legacy audit band to its current parent compliance.</x:v>
      </x:c>
      <x:c r="G2479" s="33" t="str">
        <x:v>P-4 execution-chain reconciliation</x:v>
      </x:c>
      <x:c r="H2479" s="33" t="str">
        <x:v>P-4</x:v>
      </x:c>
      <x:c r="I2479" s="33" t="str">
        <x:v>P-4</x:v>
      </x:c>
      <x:c r="J2479" s="33" t="str">
        <x:v>2026-08-20</x:v>
      </x:c>
      <x:c r="K2479" s="33" t="str">
        <x:v>Audit IDs preserved; active tests now address their parent requirements.</x:v>
      </x:c>
    </x:row>
    <x:row r="2480">
      <x:c r="A2480" s="33" t="str">
        <x:v>AUD225</x:v>
      </x:c>
      <x:c r="B2480" s="33" t="str">
        <x:v>Audit Procedure Master</x:v>
      </x:c>
      <x:c r="C2480" s="33" t="str">
        <x:v>Audit Procedure=Review returned medicine register and supporting approvals.; Audit Method=Record Verification; Risk Focus=Inventory Controls; Remarks=Ensure complete documentation.</x:v>
      </x:c>
      <x:c r="D2480" s="33" t="str">
        <x:v>Audit Procedure=Review the applicable licence, order, register, SOP and a sample of records to verify that do not alter, obliterate or deface mandatory cosmetic labelling.; Audit Method=Document Review and Sampling; Risk Focus=CA067; Remarks=P-4 normalized to current parent compliance; legacy Audit ID preserved.</x:v>
      </x:c>
      <x:c r="E2480" s="33" t="str">
        <x:v>CORRECT / RECLASSIFY</x:v>
      </x:c>
      <x:c r="F2480" s="33" t="str">
        <x:v>Quarantine inactive descendants and normalize the legacy audit band to its current parent compliance.</x:v>
      </x:c>
      <x:c r="G2480" s="33" t="str">
        <x:v>P-4 execution-chain reconciliation</x:v>
      </x:c>
      <x:c r="H2480" s="33" t="str">
        <x:v>P-4</x:v>
      </x:c>
      <x:c r="I2480" s="33" t="str">
        <x:v>P-4</x:v>
      </x:c>
      <x:c r="J2480" s="33" t="str">
        <x:v>2026-08-20</x:v>
      </x:c>
      <x:c r="K2480" s="33" t="str">
        <x:v>Audit IDs preserved; active tests now address their parent requirements.</x:v>
      </x:c>
    </x:row>
    <x:row r="2481">
      <x:c r="A2481" s="33" t="str">
        <x:v>AUD226</x:v>
      </x:c>
      <x:c r="B2481" s="33" t="str">
        <x:v>Audit Procedure Master</x:v>
      </x:c>
      <x:c r="C2481" s="33" t="str">
        <x:v>Audit Procedure=Verify that customer invoices contain mandatory information where required.; Audit Method=Document Review; Risk Focus=Billing Controls; Remarks=Invoice format should comply with regulations.</x:v>
      </x:c>
      <x:c r="D2481" s="33" t="str">
        <x:v>Audit Procedure=Select a sample of relevant transactions or events and interview the responsible person to confirm that do not sell or distribute a cosmetic bearing a false or misleading claim.; Audit Method=Sampling and Interview; Risk Focus=CA019; Remarks=P-4 normalized to current parent compliance; legacy Audit ID preserved.</x:v>
      </x:c>
      <x:c r="E2481" s="33" t="str">
        <x:v>CORRECT / RECLASSIFY</x:v>
      </x:c>
      <x:c r="F2481" s="33" t="str">
        <x:v>Quarantine inactive descendants and normalize the legacy audit band to its current parent compliance.</x:v>
      </x:c>
      <x:c r="G2481" s="33" t="str">
        <x:v>P-4 execution-chain reconciliation</x:v>
      </x:c>
      <x:c r="H2481" s="33" t="str">
        <x:v>P-4</x:v>
      </x:c>
      <x:c r="I2481" s="33" t="str">
        <x:v>P-4</x:v>
      </x:c>
      <x:c r="J2481" s="33" t="str">
        <x:v>2026-08-20</x:v>
      </x:c>
      <x:c r="K2481" s="33" t="str">
        <x:v>Audit IDs preserved; active tests now address their parent requirements.</x:v>
      </x:c>
    </x:row>
    <x:row r="2482">
      <x:c r="A2482" s="33" t="str">
        <x:v>AUD227</x:v>
      </x:c>
      <x:c r="B2482" s="33" t="str">
        <x:v>Audit Procedure Master</x:v>
      </x:c>
      <x:c r="C2482" s="33" t="str">
        <x:v>Audit Procedure=Reconcile invoice records with dispensing records.; Audit Method=Reconciliation; Risk Focus=Billing Controls; Remarks=Investigate discrepancies.</x:v>
      </x:c>
      <x:c r="D2482" s="33" t="str">
        <x:v>Audit Procedure=Review the applicable licence, order, register, SOP and a sample of records to verify that do not sell or distribute a cosmetic bearing a false or misleading claim.; Audit Method=Document Review and Sampling; Risk Focus=CA019; Remarks=P-4 normalized to current parent compliance; legacy Audit ID preserved.</x:v>
      </x:c>
      <x:c r="E2482" s="33" t="str">
        <x:v>CORRECT / RECLASSIFY</x:v>
      </x:c>
      <x:c r="F2482" s="33" t="str">
        <x:v>Quarantine inactive descendants and normalize the legacy audit band to its current parent compliance.</x:v>
      </x:c>
      <x:c r="G2482" s="33" t="str">
        <x:v>P-4 execution-chain reconciliation</x:v>
      </x:c>
      <x:c r="H2482" s="33" t="str">
        <x:v>P-4</x:v>
      </x:c>
      <x:c r="I2482" s="33" t="str">
        <x:v>P-4</x:v>
      </x:c>
      <x:c r="J2482" s="33" t="str">
        <x:v>2026-08-20</x:v>
      </x:c>
      <x:c r="K2482" s="33" t="str">
        <x:v>Audit IDs preserved; active tests now address their parent requirements.</x:v>
      </x:c>
    </x:row>
    <x:row r="2483">
      <x:c r="A2483" s="33" t="str">
        <x:v>AUD228</x:v>
      </x:c>
      <x:c r="B2483" s="33" t="str">
        <x:v>Audit Procedure Master</x:v>
      </x:c>
      <x:c r="C2483" s="33" t="str">
        <x:v>Audit Procedure=Verify that electronic billing systems accurately record medicine sales.; Audit Method=System Verification; Risk Focus=Billing Controls; Remarks=Audit trail should be enabled.</x:v>
      </x:c>
      <x:c r="D2483" s="33" t="str">
        <x:v>Audit Procedure=Select a sample of relevant transactions or events and interview the responsible person to confirm that sell or distribute only cosmetics that comply with the standards, quality and safety requirements in Rule 39.; Audit Method=Sampling and Interview; Risk Focus=CA022; Remarks=P-4 normalized to current parent compliance; legacy Audit ID preserved.</x:v>
      </x:c>
      <x:c r="E2483" s="33" t="str">
        <x:v>CORRECT / RECLASSIFY</x:v>
      </x:c>
      <x:c r="F2483" s="33" t="str">
        <x:v>Quarantine inactive descendants and normalize the legacy audit band to its current parent compliance.</x:v>
      </x:c>
      <x:c r="G2483" s="33" t="str">
        <x:v>P-4 execution-chain reconciliation</x:v>
      </x:c>
      <x:c r="H2483" s="33" t="str">
        <x:v>P-4</x:v>
      </x:c>
      <x:c r="I2483" s="33" t="str">
        <x:v>P-4</x:v>
      </x:c>
      <x:c r="J2483" s="33" t="str">
        <x:v>2026-08-20</x:v>
      </x:c>
      <x:c r="K2483" s="33" t="str">
        <x:v>Audit IDs preserved; active tests now address their parent requirements.</x:v>
      </x:c>
    </x:row>
    <x:row r="2484">
      <x:c r="A2484" s="33" t="str">
        <x:v>AUD229</x:v>
      </x:c>
      <x:c r="B2484" s="33" t="str">
        <x:v>Audit Procedure Master</x:v>
      </x:c>
      <x:c r="C2484" s="33" t="str">
        <x:v>Audit Procedure=Review system logs for unauthorized billing modifications.; Audit Method=System Verification; Risk Focus=Billing Controls; Remarks=Investigate exceptions.</x:v>
      </x:c>
      <x:c r="D2484" s="33" t="str">
        <x:v>Audit Procedure=Review the applicable licence, order, register, SOP and a sample of records to verify that sell or distribute only cosmetics that comply with the standards, quality and safety requirements in Rule 39.; Audit Method=Document Review and Sampling; Risk Focus=CA022; Remarks=P-4 normalized to current parent compliance; legacy Audit ID preserved.</x:v>
      </x:c>
      <x:c r="E2484" s="33" t="str">
        <x:v>CORRECT / RECLASSIFY</x:v>
      </x:c>
      <x:c r="F2484" s="33" t="str">
        <x:v>Quarantine inactive descendants and normalize the legacy audit band to its current parent compliance.</x:v>
      </x:c>
      <x:c r="G2484" s="33" t="str">
        <x:v>P-4 execution-chain reconciliation</x:v>
      </x:c>
      <x:c r="H2484" s="33" t="str">
        <x:v>P-4</x:v>
      </x:c>
      <x:c r="I2484" s="33" t="str">
        <x:v>P-4</x:v>
      </x:c>
      <x:c r="J2484" s="33" t="str">
        <x:v>2026-08-20</x:v>
      </x:c>
      <x:c r="K2484" s="33" t="str">
        <x:v>Audit IDs preserved; active tests now address their parent requirements.</x:v>
      </x:c>
    </x:row>
    <x:row r="2485">
      <x:c r="A2485" s="33" t="str">
        <x:v>AUD248</x:v>
      </x:c>
      <x:c r="B2485" s="33" t="str">
        <x:v>Audit Procedure Master</x:v>
      </x:c>
      <x:c r="C2485" s="33" t="str">
        <x:v>Audit Procedure=Verify that customer identity requirements are followed where legally required.; Audit Method=Document Review; Risk Focus=Consumer Protection; Remarks=Applicable to specified medicines only.</x:v>
      </x:c>
      <x:c r="D2485" s="33" t="str">
        <x:v>Audit Procedure=Select a sample of relevant transactions or events and interview the responsible person to confirm that deliver pharmacy services in accordance with Good Pharmacy Practice principles.; Audit Method=Sampling and Interview; Risk Focus=CA021; Remarks=P-4 normalized to current parent compliance; legacy Audit ID preserved.</x:v>
      </x:c>
      <x:c r="E2485" s="33" t="str">
        <x:v>CORRECT / RECLASSIFY</x:v>
      </x:c>
      <x:c r="F2485" s="33" t="str">
        <x:v>Quarantine inactive descendants and normalize the legacy audit band to its current parent compliance.</x:v>
      </x:c>
      <x:c r="G2485" s="33" t="str">
        <x:v>P-4 execution-chain reconciliation</x:v>
      </x:c>
      <x:c r="H2485" s="33" t="str">
        <x:v>P-4</x:v>
      </x:c>
      <x:c r="I2485" s="33" t="str">
        <x:v>P-4</x:v>
      </x:c>
      <x:c r="J2485" s="33" t="str">
        <x:v>2026-08-20</x:v>
      </x:c>
      <x:c r="K2485" s="33" t="str">
        <x:v>Audit IDs preserved; active tests now address their parent requirements.</x:v>
      </x:c>
    </x:row>
    <x:row r="2486">
      <x:c r="A2486" s="33" t="str">
        <x:v>AUD249</x:v>
      </x:c>
      <x:c r="B2486" s="33" t="str">
        <x:v>Audit Procedure Master</x:v>
      </x:c>
      <x:c r="C2486" s="33" t="str">
        <x:v>Audit Procedure=Inspect supporting identity records retained for regulated sales.; Audit Method=Physical Inspection; Risk Focus=Recordkeeping; Remarks=Protect customer confidentiality.</x:v>
      </x:c>
      <x:c r="D2486" s="33" t="str">
        <x:v>Audit Procedure=Review the applicable licence, order, register, SOP and a sample of records to verify that deliver pharmacy services in accordance with Good Pharmacy Practice principles.; Audit Method=Document Review and Sampling; Risk Focus=CA021; Remarks=P-4 normalized to current parent compliance; legacy Audit ID preserved.</x:v>
      </x:c>
      <x:c r="E2486" s="33" t="str">
        <x:v>CORRECT / RECLASSIFY</x:v>
      </x:c>
      <x:c r="F2486" s="33" t="str">
        <x:v>Quarantine inactive descendants and normalize the legacy audit band to its current parent compliance.</x:v>
      </x:c>
      <x:c r="G2486" s="33" t="str">
        <x:v>P-4 execution-chain reconciliation</x:v>
      </x:c>
      <x:c r="H2486" s="33" t="str">
        <x:v>P-4</x:v>
      </x:c>
      <x:c r="I2486" s="33" t="str">
        <x:v>P-4</x:v>
      </x:c>
      <x:c r="J2486" s="33" t="str">
        <x:v>2026-08-20</x:v>
      </x:c>
      <x:c r="K2486" s="33" t="str">
        <x:v>Audit IDs preserved; active tests now address their parent requirements.</x:v>
      </x:c>
    </x:row>
    <x:row r="2487">
      <x:c r="A2487" s="33" t="str">
        <x:v>AUD250</x:v>
      </x:c>
      <x:c r="B2487" s="33" t="str">
        <x:v>Audit Procedure Master</x:v>
      </x:c>
      <x:c r="C2487" s="33" t="str">
        <x:v>Audit Procedure=Verify that pharmacy staff comply with approved medicine sales SOPs.; Audit Method=Document Review; Risk Focus=Personnel Competency; Remarks=Observe actual sales process.</x:v>
      </x:c>
      <x:c r="D2487" s="33" t="str">
        <x:v>Audit Procedure=Select a sample of relevant transactions or events and interview the responsible person to confirm that provide appropriate counselling to patients regarding medicine use, dosage and precautions.; Audit Method=Sampling and Interview; Risk Focus=CA021; Remarks=P-4 normalized to current parent compliance; legacy Audit ID preserved.</x:v>
      </x:c>
      <x:c r="E2487" s="33" t="str">
        <x:v>CORRECT / RECLASSIFY</x:v>
      </x:c>
      <x:c r="F2487" s="33" t="str">
        <x:v>Quarantine inactive descendants and normalize the legacy audit band to its current parent compliance.</x:v>
      </x:c>
      <x:c r="G2487" s="33" t="str">
        <x:v>P-4 execution-chain reconciliation</x:v>
      </x:c>
      <x:c r="H2487" s="33" t="str">
        <x:v>P-4</x:v>
      </x:c>
      <x:c r="I2487" s="33" t="str">
        <x:v>P-4</x:v>
      </x:c>
      <x:c r="J2487" s="33" t="str">
        <x:v>2026-08-20</x:v>
      </x:c>
      <x:c r="K2487" s="33" t="str">
        <x:v>Audit IDs preserved; active tests now address their parent requirements.</x:v>
      </x:c>
    </x:row>
    <x:row r="2488">
      <x:c r="A2488" s="33" t="str">
        <x:v>AUD251</x:v>
      </x:c>
      <x:c r="B2488" s="33" t="str">
        <x:v>Audit Procedure Master</x:v>
      </x:c>
      <x:c r="C2488" s="33" t="str">
        <x:v>Audit Procedure=Interview staff regarding medicine sales procedures.; Audit Method=Interview; Risk Focus=Personnel Competency; Remarks=Assess understanding of regulatory requirements.</x:v>
      </x:c>
      <x:c r="D2488" s="33" t="str">
        <x:v>Audit Procedure=Review the applicable licence, order, register, SOP and a sample of records to verify that provide appropriate counselling to patients regarding medicine use, dosage and precautions.; Audit Method=Document Review and Sampling; Risk Focus=CA021; Remarks=P-4 normalized to current parent compliance; legacy Audit ID preserved.</x:v>
      </x:c>
      <x:c r="E2488" s="33" t="str">
        <x:v>CORRECT / RECLASSIFY</x:v>
      </x:c>
      <x:c r="F2488" s="33" t="str">
        <x:v>Quarantine inactive descendants and normalize the legacy audit band to its current parent compliance.</x:v>
      </x:c>
      <x:c r="G2488" s="33" t="str">
        <x:v>P-4 execution-chain reconciliation</x:v>
      </x:c>
      <x:c r="H2488" s="33" t="str">
        <x:v>P-4</x:v>
      </x:c>
      <x:c r="I2488" s="33" t="str">
        <x:v>P-4</x:v>
      </x:c>
      <x:c r="J2488" s="33" t="str">
        <x:v>2026-08-20</x:v>
      </x:c>
      <x:c r="K2488" s="33" t="str">
        <x:v>Audit IDs preserved; active tests now address their parent requirements.</x:v>
      </x:c>
    </x:row>
    <x:row r="2489">
      <x:c r="A2489" s="33" t="str">
        <x:v>AUD252</x:v>
      </x:c>
      <x:c r="B2489" s="33" t="str">
        <x:v>Audit Procedure Master</x:v>
      </x:c>
      <x:c r="C2489" s="33" t="str">
        <x:v>Audit Procedure=Verify that sales records are retained for the prescribed statutory period.; Audit Method=Record Verification; Risk Focus=Recordkeeping; Remarks=Records should be retrievable.</x:v>
      </x:c>
      <x:c r="D2489" s="33" t="str">
        <x:v>Audit Procedure=Select a sample of relevant transactions or events and interview the responsible person to confirm that review each prescription for completeness, legality and appropriateness before dispensing.; Audit Method=Sampling and Interview; Risk Focus=CA021; Remarks=P-4 normalized to current parent compliance; legacy Audit ID preserved.</x:v>
      </x:c>
      <x:c r="E2489" s="33" t="str">
        <x:v>CORRECT / RECLASSIFY</x:v>
      </x:c>
      <x:c r="F2489" s="33" t="str">
        <x:v>Quarantine inactive descendants and normalize the legacy audit band to its current parent compliance.</x:v>
      </x:c>
      <x:c r="G2489" s="33" t="str">
        <x:v>P-4 execution-chain reconciliation</x:v>
      </x:c>
      <x:c r="H2489" s="33" t="str">
        <x:v>P-4</x:v>
      </x:c>
      <x:c r="I2489" s="33" t="str">
        <x:v>P-4</x:v>
      </x:c>
      <x:c r="J2489" s="33" t="str">
        <x:v>2026-08-20</x:v>
      </x:c>
      <x:c r="K2489" s="33" t="str">
        <x:v>Audit IDs preserved; active tests now address their parent requirements.</x:v>
      </x:c>
    </x:row>
    <x:row r="2490">
      <x:c r="A2490" s="33" t="str">
        <x:v>AUD253</x:v>
      </x:c>
      <x:c r="B2490" s="33" t="str">
        <x:v>Audit Procedure Master</x:v>
      </x:c>
      <x:c r="C2490" s="33" t="str">
        <x:v>Audit Procedure=Inspect archived sales records for completeness.; Audit Method=Physical Inspection; Risk Focus=Recordkeeping; Remarks=Verify preservation controls.</x:v>
      </x:c>
      <x:c r="D2490" s="33" t="str">
        <x:v>Audit Procedure=Review the applicable licence, order, register, SOP and a sample of records to verify that review each prescription for completeness, legality and appropriateness before dispensing.; Audit Method=Document Review and Sampling; Risk Focus=CA021; Remarks=P-4 normalized to current parent compliance; legacy Audit ID preserved.</x:v>
      </x:c>
      <x:c r="E2490" s="33" t="str">
        <x:v>CORRECT / RECLASSIFY</x:v>
      </x:c>
      <x:c r="F2490" s="33" t="str">
        <x:v>Quarantine inactive descendants and normalize the legacy audit band to its current parent compliance.</x:v>
      </x:c>
      <x:c r="G2490" s="33" t="str">
        <x:v>P-4 execution-chain reconciliation</x:v>
      </x:c>
      <x:c r="H2490" s="33" t="str">
        <x:v>P-4</x:v>
      </x:c>
      <x:c r="I2490" s="33" t="str">
        <x:v>P-4</x:v>
      </x:c>
      <x:c r="J2490" s="33" t="str">
        <x:v>2026-08-20</x:v>
      </x:c>
      <x:c r="K2490" s="33" t="str">
        <x:v>Audit IDs preserved; active tests now address their parent requirements.</x:v>
      </x:c>
    </x:row>
    <x:row r="2491">
      <x:c r="A2491" s="33" t="str">
        <x:v>AUD254</x:v>
      </x:c>
      <x:c r="B2491" s="33" t="str">
        <x:v>Audit Procedure Master</x:v>
      </x:c>
      <x:c r="C2491" s="33" t="str">
        <x:v>Audit Procedure=Verify that internal audits periodically review medicine sales compliance.; Audit Method=Document Review; Risk Focus=General Compliance; Remarks=Audit scope should include sales controls.</x:v>
      </x:c>
      <x:c r="D2491" s="33" t="str">
        <x:v>Audit Procedure=Select a sample of relevant transactions or events and interview the responsible person to confirm that procure medicines only from licensed and authorized suppliers.; Audit Method=Sampling and Interview; Risk Focus=CA011; Remarks=P-4 normalized to current parent compliance; legacy Audit ID preserved.</x:v>
      </x:c>
      <x:c r="E2491" s="33" t="str">
        <x:v>CORRECT / RECLASSIFY</x:v>
      </x:c>
      <x:c r="F2491" s="33" t="str">
        <x:v>Quarantine inactive descendants and normalize the legacy audit band to its current parent compliance.</x:v>
      </x:c>
      <x:c r="G2491" s="33" t="str">
        <x:v>P-4 execution-chain reconciliation</x:v>
      </x:c>
      <x:c r="H2491" s="33" t="str">
        <x:v>P-4</x:v>
      </x:c>
      <x:c r="I2491" s="33" t="str">
        <x:v>P-4</x:v>
      </x:c>
      <x:c r="J2491" s="33" t="str">
        <x:v>2026-08-20</x:v>
      </x:c>
      <x:c r="K2491" s="33" t="str">
        <x:v>Audit IDs preserved; active tests now address their parent requirements.</x:v>
      </x:c>
    </x:row>
    <x:row r="2492">
      <x:c r="A2492" s="33" t="str">
        <x:v>AUD255</x:v>
      </x:c>
      <x:c r="B2492" s="33" t="str">
        <x:v>Audit Procedure Master</x:v>
      </x:c>
      <x:c r="C2492" s="33" t="str">
        <x:v>Audit Procedure=Review corrective actions arising from sales audit observations.; Audit Method=Observation; Risk Focus=General Compliance; Remarks=Confirm effective implementation.</x:v>
      </x:c>
      <x:c r="D2492" s="33" t="str">
        <x:v>Audit Procedure=Review the applicable licence, order, register, SOP and a sample of records to verify that procure medicines only from licensed and authorized suppliers.; Audit Method=Document Review and Sampling; Risk Focus=CA011; Remarks=P-4 normalized to current parent compliance; legacy Audit ID preserved.</x:v>
      </x:c>
      <x:c r="E2492" s="33" t="str">
        <x:v>CORRECT / RECLASSIFY</x:v>
      </x:c>
      <x:c r="F2492" s="33" t="str">
        <x:v>Quarantine inactive descendants and normalize the legacy audit band to its current parent compliance.</x:v>
      </x:c>
      <x:c r="G2492" s="33" t="str">
        <x:v>P-4 execution-chain reconciliation</x:v>
      </x:c>
      <x:c r="H2492" s="33" t="str">
        <x:v>P-4</x:v>
      </x:c>
      <x:c r="I2492" s="33" t="str">
        <x:v>P-4</x:v>
      </x:c>
      <x:c r="J2492" s="33" t="str">
        <x:v>2026-08-20</x:v>
      </x:c>
      <x:c r="K2492" s="33" t="str">
        <x:v>Audit IDs preserved; active tests now address their parent requirements.</x:v>
      </x:c>
    </x:row>
    <x:row r="2493">
      <x:c r="A2493" s="33" t="str">
        <x:v>AUD256</x:v>
      </x:c>
      <x:c r="B2493" s="33" t="str">
        <x:v>Audit Procedure Master</x:v>
      </x:c>
      <x:c r="C2493" s="33" t="str">
        <x:v>Audit Procedure=Verify that regulatory inspection observations relating to medicine sales are addressed promptly.; Audit Method=Physical Inspection; Risk Focus=Inspection &amp; Display Controls; Remarks=Track closure of observations.</x:v>
      </x:c>
      <x:c r="D2493" s="33" t="str">
        <x:v>Audit Procedure=Select a sample of relevant transactions or events and interview the responsible person to confirm that maintain suitable transportation and distribution conditions to preserve product quality.; Audit Method=Sampling and Interview; Risk Focus=CA012; Remarks=P-4 normalized to current parent compliance; legacy Audit ID preserved.</x:v>
      </x:c>
      <x:c r="E2493" s="33" t="str">
        <x:v>CORRECT / RECLASSIFY</x:v>
      </x:c>
      <x:c r="F2493" s="33" t="str">
        <x:v>Quarantine inactive descendants and normalize the legacy audit band to its current parent compliance.</x:v>
      </x:c>
      <x:c r="G2493" s="33" t="str">
        <x:v>P-4 execution-chain reconciliation</x:v>
      </x:c>
      <x:c r="H2493" s="33" t="str">
        <x:v>P-4</x:v>
      </x:c>
      <x:c r="I2493" s="33" t="str">
        <x:v>P-4</x:v>
      </x:c>
      <x:c r="J2493" s="33" t="str">
        <x:v>2026-08-20</x:v>
      </x:c>
      <x:c r="K2493" s="33" t="str">
        <x:v>Audit IDs preserved; active tests now address their parent requirements.</x:v>
      </x:c>
    </x:row>
    <x:row r="2494">
      <x:c r="A2494" s="33" t="str">
        <x:v>AUD257</x:v>
      </x:c>
      <x:c r="B2494" s="33" t="str">
        <x:v>Audit Procedure Master</x:v>
      </x:c>
      <x:c r="C2494" s="33" t="str">
        <x:v>Audit Procedure=Review evidence supporting closure of inspection findings.; Audit Method=Physical Inspection; Risk Focus=Inspection &amp; Display Controls; Remarks=Maintain supporting documentation.</x:v>
      </x:c>
      <x:c r="D2494" s="33" t="str">
        <x:v>Audit Procedure=Review the applicable licence, order, register, SOP and a sample of records to verify that maintain suitable transportation and distribution conditions to preserve product quality.; Audit Method=Document Review and Sampling; Risk Focus=CA012; Remarks=P-4 normalized to current parent compliance; legacy Audit ID preserved.</x:v>
      </x:c>
      <x:c r="E2494" s="33" t="str">
        <x:v>CORRECT / RECLASSIFY</x:v>
      </x:c>
      <x:c r="F2494" s="33" t="str">
        <x:v>Quarantine inactive descendants and normalize the legacy audit band to its current parent compliance.</x:v>
      </x:c>
      <x:c r="G2494" s="33" t="str">
        <x:v>P-4 execution-chain reconciliation</x:v>
      </x:c>
      <x:c r="H2494" s="33" t="str">
        <x:v>P-4</x:v>
      </x:c>
      <x:c r="I2494" s="33" t="str">
        <x:v>P-4</x:v>
      </x:c>
      <x:c r="J2494" s="33" t="str">
        <x:v>2026-08-20</x:v>
      </x:c>
      <x:c r="K2494" s="33" t="str">
        <x:v>Audit IDs preserved; active tests now address their parent requirements.</x:v>
      </x:c>
    </x:row>
    <x:row r="2495">
      <x:c r="A2495" s="33" t="str">
        <x:v>AUD258</x:v>
      </x:c>
      <x:c r="B2495" s="33" t="str">
        <x:v>Audit Procedure Master</x:v>
      </x:c>
      <x:c r="C2495" s="33" t="str">
        <x:v>Audit Procedure=Verify that overall medicine sales operations comply with applicable legal requirements and approved procedures.; Audit Method=Document Review; Risk Focus=SOP &amp; Training; Remarks=End-to-end sales process review.</x:v>
      </x:c>
      <x:c r="D2495" s="33" t="str">
        <x:v>Audit Procedure=Select a sample of relevant transactions or events and interview the responsible person to confirm that maintain complete and traceable distribution records for all pharmaceutical products.; Audit Method=Sampling and Interview; Risk Focus=CA019; Remarks=P-4 normalized to current parent compliance; legacy Audit ID preserved.</x:v>
      </x:c>
      <x:c r="E2495" s="33" t="str">
        <x:v>CORRECT / RECLASSIFY</x:v>
      </x:c>
      <x:c r="F2495" s="33" t="str">
        <x:v>Quarantine inactive descendants and normalize the legacy audit band to its current parent compliance.</x:v>
      </x:c>
      <x:c r="G2495" s="33" t="str">
        <x:v>P-4 execution-chain reconciliation</x:v>
      </x:c>
      <x:c r="H2495" s="33" t="str">
        <x:v>P-4</x:v>
      </x:c>
      <x:c r="I2495" s="33" t="str">
        <x:v>P-4</x:v>
      </x:c>
      <x:c r="J2495" s="33" t="str">
        <x:v>2026-08-20</x:v>
      </x:c>
      <x:c r="K2495" s="33" t="str">
        <x:v>Audit IDs preserved; active tests now address their parent requirements.</x:v>
      </x:c>
    </x:row>
    <x:row r="2496">
      <x:c r="A2496" s="33" t="str">
        <x:v>AUD259</x:v>
      </x:c>
      <x:c r="B2496" s="33" t="str">
        <x:v>Audit Procedure Master</x:v>
      </x:c>
      <x:c r="C2496" s="33" t="str">
        <x:v>Audit Procedure=Conduct sample testing of medicine sales transactions for regulatory compliance.; Audit Method=Sampling; Risk Focus=General Compliance; Remarks=Include prescription and OTC medicines.</x:v>
      </x:c>
      <x:c r="D2496" s="33" t="str">
        <x:v>Audit Procedure=Review the applicable licence, order, register, SOP and a sample of records to verify that maintain complete and traceable distribution records for all pharmaceutical products.; Audit Method=Document Review and Sampling; Risk Focus=CA019; Remarks=P-4 normalized to current parent compliance; legacy Audit ID preserved.</x:v>
      </x:c>
      <x:c r="E2496" s="33" t="str">
        <x:v>CORRECT / RECLASSIFY</x:v>
      </x:c>
      <x:c r="F2496" s="33" t="str">
        <x:v>Quarantine inactive descendants and normalize the legacy audit band to its current parent compliance.</x:v>
      </x:c>
      <x:c r="G2496" s="33" t="str">
        <x:v>P-4 execution-chain reconciliation</x:v>
      </x:c>
      <x:c r="H2496" s="33" t="str">
        <x:v>P-4</x:v>
      </x:c>
      <x:c r="I2496" s="33" t="str">
        <x:v>P-4</x:v>
      </x:c>
      <x:c r="J2496" s="33" t="str">
        <x:v>2026-08-20</x:v>
      </x:c>
      <x:c r="K2496" s="33" t="str">
        <x:v>Audit IDs preserved; active tests now address their parent requirements.</x:v>
      </x:c>
    </x:row>
    <x:row r="2497">
      <x:c r="A2497" s="33" t="str">
        <x:v>AUD260</x:v>
      </x:c>
      <x:c r="B2497" s="33" t="str">
        <x:v>Audit Procedure Master</x:v>
      </x:c>
      <x:c r="C2497" s="33" t="str">
        <x:v>Audit Procedure=Reconcile sales controls with applicable statutory requirements.; Audit Method=Reconciliation; Risk Focus=General Compliance; Remarks=Document control gaps.</x:v>
      </x:c>
      <x:c r="D2497" s="33" t="str">
        <x:v>Audit Procedure=Select a sample of relevant transactions or events and interview the responsible person to confirm that maintain complete and traceable distribution records for all pharmaceutical products.; Audit Method=Sampling and Interview; Risk Focus=CA019; Remarks=P-4 normalized to current parent compliance; legacy Audit ID preserved.</x:v>
      </x:c>
      <x:c r="E2497" s="33" t="str">
        <x:v>CORRECT / RECLASSIFY</x:v>
      </x:c>
      <x:c r="F2497" s="33" t="str">
        <x:v>Quarantine inactive descendants and normalize the legacy audit band to its current parent compliance.</x:v>
      </x:c>
      <x:c r="G2497" s="33" t="str">
        <x:v>P-4 execution-chain reconciliation</x:v>
      </x:c>
      <x:c r="H2497" s="33" t="str">
        <x:v>P-4</x:v>
      </x:c>
      <x:c r="I2497" s="33" t="str">
        <x:v>P-4</x:v>
      </x:c>
      <x:c r="J2497" s="33" t="str">
        <x:v>2026-08-20</x:v>
      </x:c>
      <x:c r="K2497" s="33" t="str">
        <x:v>Audit IDs preserved; active tests now address their parent requirements.</x:v>
      </x:c>
    </x:row>
    <x:row r="2498">
      <x:c r="A2498" s="33" t="str">
        <x:v>AUD261</x:v>
      </x:c>
      <x:c r="B2498" s="33" t="str">
        <x:v>Audit Procedure Master</x:v>
      </x:c>
      <x:c r="C2498" s="33" t="str">
        <x:v>Audit Procedure=Validate effectiveness of medicine sales controls through independent audit procedures.; Audit Method=Document Review; Risk Focus=SOP &amp; Training; Remarks=Record audit conclusions and recommendations.</x:v>
      </x:c>
      <x:c r="D2498" s="33" t="str">
        <x:v>Audit Procedure=Review the applicable licence, order, register, SOP and a sample of records to verify that maintain complete and traceable distribution records for all pharmaceutical products.; Audit Method=Document Review and Sampling; Risk Focus=CA019; Remarks=P-4 normalized to current parent compliance; legacy Audit ID preserved.</x:v>
      </x:c>
      <x:c r="E2498" s="33" t="str">
        <x:v>CORRECT / RECLASSIFY</x:v>
      </x:c>
      <x:c r="F2498" s="33" t="str">
        <x:v>Quarantine inactive descendants and normalize the legacy audit band to its current parent compliance.</x:v>
      </x:c>
      <x:c r="G2498" s="33" t="str">
        <x:v>P-4 execution-chain reconciliation</x:v>
      </x:c>
      <x:c r="H2498" s="33" t="str">
        <x:v>P-4</x:v>
      </x:c>
      <x:c r="I2498" s="33" t="str">
        <x:v>P-4</x:v>
      </x:c>
      <x:c r="J2498" s="33" t="str">
        <x:v>2026-08-20</x:v>
      </x:c>
      <x:c r="K2498" s="33" t="str">
        <x:v>Audit IDs preserved; active tests now address their parent requirements.</x:v>
      </x:c>
    </x:row>
    <x:row r="2499">
      <x:c r="A2499" s="33" t="str">
        <x:v>AUD262</x:v>
      </x:c>
      <x:c r="B2499" s="33" t="str">
        <x:v>Audit Procedure Master</x:v>
      </x:c>
      <x:c r="C2499" s="33" t="str">
        <x:v>Audit Procedure=Verify that suspected counterfeit medicines are immediately identified and isolated from saleable stock.; Audit Method=Physical Inspection; Risk Focus=Inventory Controls; Remarks=Prevent accidental dispensing.</x:v>
      </x:c>
      <x:c r="D2499" s="33" t="str">
        <x:v>Audit Procedure=Select a sample of relevant transactions or events and interview the responsible person to confirm that continuously monitor and record storage temperature for all temperature-sensitive medicines.; Audit Method=Sampling and Interview; Risk Focus=CA007; Remarks=P-4 normalized to current parent compliance; legacy Audit ID preserved.</x:v>
      </x:c>
      <x:c r="E2499" s="33" t="str">
        <x:v>CORRECT / RECLASSIFY</x:v>
      </x:c>
      <x:c r="F2499" s="33" t="str">
        <x:v>Quarantine inactive descendants and normalize the legacy audit band to its current parent compliance.</x:v>
      </x:c>
      <x:c r="G2499" s="33" t="str">
        <x:v>P-4 execution-chain reconciliation</x:v>
      </x:c>
      <x:c r="H2499" s="33" t="str">
        <x:v>P-4</x:v>
      </x:c>
      <x:c r="I2499" s="33" t="str">
        <x:v>P-4</x:v>
      </x:c>
      <x:c r="J2499" s="33" t="str">
        <x:v>2026-08-20</x:v>
      </x:c>
      <x:c r="K2499" s="33" t="str">
        <x:v>Audit IDs preserved; active tests now address their parent requirements.</x:v>
      </x:c>
    </x:row>
    <x:row r="2500">
      <x:c r="A2500" s="33" t="str">
        <x:v>AUD263</x:v>
      </x:c>
      <x:c r="B2500" s="33" t="str">
        <x:v>Audit Procedure Master</x:v>
      </x:c>
      <x:c r="C2500" s="33" t="str">
        <x:v>Audit Procedure=Review records of suspected counterfeit medicines and actions taken.; Audit Method=Record Verification; Risk Focus=Recordkeeping; Remarks=Maintain complete traceability.</x:v>
      </x:c>
      <x:c r="D2500" s="33" t="str">
        <x:v>Audit Procedure=Review the applicable licence, order, register, SOP and a sample of records to verify that continuously monitor and record storage temperature for all temperature-sensitive medicines.; Audit Method=Document Review and Sampling; Risk Focus=CA007; Remarks=P-4 normalized to current parent compliance; legacy Audit ID preserved.</x:v>
      </x:c>
      <x:c r="E2500" s="33" t="str">
        <x:v>CORRECT / RECLASSIFY</x:v>
      </x:c>
      <x:c r="F2500" s="33" t="str">
        <x:v>Quarantine inactive descendants and normalize the legacy audit band to its current parent compliance.</x:v>
      </x:c>
      <x:c r="G2500" s="33" t="str">
        <x:v>P-4 execution-chain reconciliation</x:v>
      </x:c>
      <x:c r="H2500" s="33" t="str">
        <x:v>P-4</x:v>
      </x:c>
      <x:c r="I2500" s="33" t="str">
        <x:v>P-4</x:v>
      </x:c>
      <x:c r="J2500" s="33" t="str">
        <x:v>2026-08-20</x:v>
      </x:c>
      <x:c r="K2500" s="33" t="str">
        <x:v>Audit IDs preserved; active tests now address their parent requirements.</x:v>
      </x:c>
    </x:row>
    <x:row r="2501">
      <x:c r="A2501" s="33" t="str">
        <x:v>AUD264</x:v>
      </x:c>
      <x:c r="B2501" s="33" t="str">
        <x:v>Audit Procedure Master</x:v>
      </x:c>
      <x:c r="C2501" s="33" t="str">
        <x:v>Audit Procedure=Verify that counterfeit medicine incidents are reported to the competent regulatory authority within prescribed timelines.; Audit Method=Document Review; Risk Focus=General Compliance; Remarks=Retain acknowledgement of submission.</x:v>
      </x:c>
      <x:c r="D2501" s="33" t="str">
        <x:v>Audit Procedure=Select a sample of relevant transactions or events and interview the responsible person to confirm that monitor and maintain humidity within prescribed limits where applicable.; Audit Method=Sampling and Interview; Risk Focus=CA007; Remarks=P-4 normalized to current parent compliance; legacy Audit ID preserved.</x:v>
      </x:c>
      <x:c r="E2501" s="33" t="str">
        <x:v>CORRECT / RECLASSIFY</x:v>
      </x:c>
      <x:c r="F2501" s="33" t="str">
        <x:v>Quarantine inactive descendants and normalize the legacy audit band to its current parent compliance.</x:v>
      </x:c>
      <x:c r="G2501" s="33" t="str">
        <x:v>P-4 execution-chain reconciliation</x:v>
      </x:c>
      <x:c r="H2501" s="33" t="str">
        <x:v>P-4</x:v>
      </x:c>
      <x:c r="I2501" s="33" t="str">
        <x:v>P-4</x:v>
      </x:c>
      <x:c r="J2501" s="33" t="str">
        <x:v>2026-08-20</x:v>
      </x:c>
      <x:c r="K2501" s="33" t="str">
        <x:v>Audit IDs preserved; active tests now address their parent requirements.</x:v>
      </x:c>
    </x:row>
    <x:row r="2502">
      <x:c r="A2502" s="33" t="str">
        <x:v>AUD265</x:v>
      </x:c>
      <x:c r="B2502" s="33" t="str">
        <x:v>Audit Procedure Master</x:v>
      </x:c>
      <x:c r="C2502" s="33" t="str">
        <x:v>Audit Procedure=Examine correspondence with regulatory authorities relating to counterfeit medicines.; Audit Method=Record Verification; Risk Focus=General Compliance; Remarks=Verify completeness of documentation.</x:v>
      </x:c>
      <x:c r="D2502" s="33" t="str">
        <x:v>Audit Procedure=Review the applicable licence, order, register, SOP and a sample of records to verify that monitor and maintain humidity within prescribed limits where applicable.; Audit Method=Document Review and Sampling; Risk Focus=CA007; Remarks=P-4 normalized to current parent compliance; legacy Audit ID preserved.</x:v>
      </x:c>
      <x:c r="E2502" s="33" t="str">
        <x:v>CORRECT / RECLASSIFY</x:v>
      </x:c>
      <x:c r="F2502" s="33" t="str">
        <x:v>Quarantine inactive descendants and normalize the legacy audit band to its current parent compliance.</x:v>
      </x:c>
      <x:c r="G2502" s="33" t="str">
        <x:v>P-4 execution-chain reconciliation</x:v>
      </x:c>
      <x:c r="H2502" s="33" t="str">
        <x:v>P-4</x:v>
      </x:c>
      <x:c r="I2502" s="33" t="str">
        <x:v>P-4</x:v>
      </x:c>
      <x:c r="J2502" s="33" t="str">
        <x:v>2026-08-20</x:v>
      </x:c>
      <x:c r="K2502" s="33" t="str">
        <x:v>Audit IDs preserved; active tests now address their parent requirements.</x:v>
      </x:c>
    </x:row>
    <x:row r="2503">
      <x:c r="A2503" s="33" t="str">
        <x:v>AUD266</x:v>
      </x:c>
      <x:c r="B2503" s="33" t="str">
        <x:v>Audit Procedure Master</x:v>
      </x:c>
      <x:c r="C2503" s="33" t="str">
        <x:v>Audit Procedure=Verify that recalled medicines are identified promptly upon receipt of recall communication.; Audit Method=Document Review; Risk Focus=Inventory Controls; Remarks=Applicable to all recall classes.</x:v>
      </x:c>
      <x:c r="D2503" s="33" t="str">
        <x:v>Audit Procedure=Select a sample of relevant transactions or events and interview the responsible person to confirm that follow the FEFO (First Expiry First Out) inventory management system for stock issuance.; Audit Method=Sampling and Interview; Risk Focus=CA012; Remarks=P-4 normalized to current parent compliance; legacy Audit ID preserved.</x:v>
      </x:c>
      <x:c r="E2503" s="33" t="str">
        <x:v>CORRECT / RECLASSIFY</x:v>
      </x:c>
      <x:c r="F2503" s="33" t="str">
        <x:v>Quarantine inactive descendants and normalize the legacy audit band to its current parent compliance.</x:v>
      </x:c>
      <x:c r="G2503" s="33" t="str">
        <x:v>P-4 execution-chain reconciliation</x:v>
      </x:c>
      <x:c r="H2503" s="33" t="str">
        <x:v>P-4</x:v>
      </x:c>
      <x:c r="I2503" s="33" t="str">
        <x:v>P-4</x:v>
      </x:c>
      <x:c r="J2503" s="33" t="str">
        <x:v>2026-08-20</x:v>
      </x:c>
      <x:c r="K2503" s="33" t="str">
        <x:v>Audit IDs preserved; active tests now address their parent requirements.</x:v>
      </x:c>
    </x:row>
    <x:row r="2504">
      <x:c r="A2504" s="33" t="str">
        <x:v>AUD267</x:v>
      </x:c>
      <x:c r="B2504" s="33" t="str">
        <x:v>Audit Procedure Master</x:v>
      </x:c>
      <x:c r="C2504" s="33" t="str">
        <x:v>Audit Procedure=Review recall notifications and internal communication records.; Audit Method=Record Verification; Risk Focus=Inventory Controls; Remarks=Ensure timely dissemination.</x:v>
      </x:c>
      <x:c r="D2504" s="33" t="str">
        <x:v>Audit Procedure=Review the applicable licence, order, register, SOP and a sample of records to verify that follow the FEFO (First Expiry First Out) inventory management system for stock issuance.; Audit Method=Document Review and Sampling; Risk Focus=CA012; Remarks=P-4 normalized to current parent compliance; legacy Audit ID preserved.</x:v>
      </x:c>
      <x:c r="E2504" s="33" t="str">
        <x:v>CORRECT / RECLASSIFY</x:v>
      </x:c>
      <x:c r="F2504" s="33" t="str">
        <x:v>Quarantine inactive descendants and normalize the legacy audit band to its current parent compliance.</x:v>
      </x:c>
      <x:c r="G2504" s="33" t="str">
        <x:v>P-4 execution-chain reconciliation</x:v>
      </x:c>
      <x:c r="H2504" s="33" t="str">
        <x:v>P-4</x:v>
      </x:c>
      <x:c r="I2504" s="33" t="str">
        <x:v>P-4</x:v>
      </x:c>
      <x:c r="J2504" s="33" t="str">
        <x:v>2026-08-20</x:v>
      </x:c>
      <x:c r="K2504" s="33" t="str">
        <x:v>Audit IDs preserved; active tests now address their parent requirements.</x:v>
      </x:c>
    </x:row>
    <x:row r="2505">
      <x:c r="A2505" s="33" t="str">
        <x:v>AUD268</x:v>
      </x:c>
      <x:c r="B2505" s="33" t="str">
        <x:v>Audit Procedure Master</x:v>
      </x:c>
      <x:c r="C2505" s="33" t="str">
        <x:v>Audit Procedure=Verify that recalled medicines are immediately removed from saleable inventory.; Audit Method=Physical Inspection; Risk Focus=Inventory Controls; Remarks=Prevent further distribution.</x:v>
      </x:c>
      <x:c r="D2505" s="33" t="str">
        <x:v>Audit Procedure=Select a sample of relevant transactions or events and interview the responsible person to confirm that segregate expired, damaged, recalled and rejected medicines from saleable inventory immediately.; Audit Method=Sampling and Interview; Risk Focus=CA013; Remarks=P-4 normalized to current parent compliance; legacy Audit ID preserved.</x:v>
      </x:c>
      <x:c r="E2505" s="33" t="str">
        <x:v>CORRECT / RECLASSIFY</x:v>
      </x:c>
      <x:c r="F2505" s="33" t="str">
        <x:v>Quarantine inactive descendants and normalize the legacy audit band to its current parent compliance.</x:v>
      </x:c>
      <x:c r="G2505" s="33" t="str">
        <x:v>P-4 execution-chain reconciliation</x:v>
      </x:c>
      <x:c r="H2505" s="33" t="str">
        <x:v>P-4</x:v>
      </x:c>
      <x:c r="I2505" s="33" t="str">
        <x:v>P-4</x:v>
      </x:c>
      <x:c r="J2505" s="33" t="str">
        <x:v>2026-08-20</x:v>
      </x:c>
      <x:c r="K2505" s="33" t="str">
        <x:v>Audit IDs preserved; active tests now address their parent requirements.</x:v>
      </x:c>
    </x:row>
    <x:row r="2506">
      <x:c r="A2506" s="33" t="str">
        <x:v>AUD269</x:v>
      </x:c>
      <x:c r="B2506" s="33" t="str">
        <x:v>Audit Procedure Master</x:v>
      </x:c>
      <x:c r="C2506" s="33" t="str">
        <x:v>Audit Procedure=Conduct sample verification of shelves and storage areas for recalled medicines.; Audit Method=Sampling; Risk Focus=Storage Controls; Remarks=Confirm complete withdrawal.</x:v>
      </x:c>
      <x:c r="D2506" s="33" t="str">
        <x:v>Audit Procedure=Review the applicable licence, order, register, SOP and a sample of records to verify that segregate expired, damaged, recalled and rejected medicines from saleable inventory immediately.; Audit Method=Document Review and Sampling; Risk Focus=CA013; Remarks=P-4 normalized to current parent compliance; legacy Audit ID preserved.</x:v>
      </x:c>
      <x:c r="E2506" s="33" t="str">
        <x:v>CORRECT / RECLASSIFY</x:v>
      </x:c>
      <x:c r="F2506" s="33" t="str">
        <x:v>Quarantine inactive descendants and normalize the legacy audit band to its current parent compliance.</x:v>
      </x:c>
      <x:c r="G2506" s="33" t="str">
        <x:v>P-4 execution-chain reconciliation</x:v>
      </x:c>
      <x:c r="H2506" s="33" t="str">
        <x:v>P-4</x:v>
      </x:c>
      <x:c r="I2506" s="33" t="str">
        <x:v>P-4</x:v>
      </x:c>
      <x:c r="J2506" s="33" t="str">
        <x:v>2026-08-20</x:v>
      </x:c>
      <x:c r="K2506" s="33" t="str">
        <x:v>Audit IDs preserved; active tests now address their parent requirements.</x:v>
      </x:c>
    </x:row>
    <x:row r="2507">
      <x:c r="A2507" s="33" t="str">
        <x:v>AUD270</x:v>
      </x:c>
      <x:c r="B2507" s="33" t="str">
        <x:v>Audit Procedure Master</x:v>
      </x:c>
      <x:c r="C2507" s="33" t="str">
        <x:v>Audit Procedure=Verify that recalled medicines are segregated in designated quarantine areas.; Audit Method=Physical Inspection; Risk Focus=Inventory Controls; Remarks=Clearly identify recalled stock.</x:v>
      </x:c>
      <x:c r="D2507" s="33" t="str">
        <x:v>Audit Procedure=Select a sample of relevant transactions or events and interview the responsible person to confirm that maintain storage areas in a clean, hygienic and pest-free condition.; Audit Method=Sampling and Interview; Risk Focus=CA007; Remarks=P-4 normalized to current parent compliance; legacy Audit ID preserved.</x:v>
      </x:c>
      <x:c r="E2507" s="33" t="str">
        <x:v>CORRECT / RECLASSIFY</x:v>
      </x:c>
      <x:c r="F2507" s="33" t="str">
        <x:v>Quarantine inactive descendants and normalize the legacy audit band to its current parent compliance.</x:v>
      </x:c>
      <x:c r="G2507" s="33" t="str">
        <x:v>P-4 execution-chain reconciliation</x:v>
      </x:c>
      <x:c r="H2507" s="33" t="str">
        <x:v>P-4</x:v>
      </x:c>
      <x:c r="I2507" s="33" t="str">
        <x:v>P-4</x:v>
      </x:c>
      <x:c r="J2507" s="33" t="str">
        <x:v>2026-08-20</x:v>
      </x:c>
      <x:c r="K2507" s="33" t="str">
        <x:v>Audit IDs preserved; active tests now address their parent requirements.</x:v>
      </x:c>
    </x:row>
    <x:row r="2508">
      <x:c r="A2508" s="33" t="str">
        <x:v>AUD271</x:v>
      </x:c>
      <x:c r="B2508" s="33" t="str">
        <x:v>Audit Procedure Master</x:v>
      </x:c>
      <x:c r="C2508" s="33" t="str">
        <x:v>Audit Procedure=Review quarantine records for recalled products.; Audit Method=Record Verification; Risk Focus=Inventory Controls; Remarks=Ensure traceability.</x:v>
      </x:c>
      <x:c r="D2508" s="33" t="str">
        <x:v>Audit Procedure=Review the applicable licence, order, register, SOP and a sample of records to verify that maintain storage areas in a clean, hygienic and pest-free condition.; Audit Method=Document Review and Sampling; Risk Focus=CA007; Remarks=P-4 normalized to current parent compliance; legacy Audit ID preserved.</x:v>
      </x:c>
      <x:c r="E2508" s="33" t="str">
        <x:v>CORRECT / RECLASSIFY</x:v>
      </x:c>
      <x:c r="F2508" s="33" t="str">
        <x:v>Quarantine inactive descendants and normalize the legacy audit band to its current parent compliance.</x:v>
      </x:c>
      <x:c r="G2508" s="33" t="str">
        <x:v>P-4 execution-chain reconciliation</x:v>
      </x:c>
      <x:c r="H2508" s="33" t="str">
        <x:v>P-4</x:v>
      </x:c>
      <x:c r="I2508" s="33" t="str">
        <x:v>P-4</x:v>
      </x:c>
      <x:c r="J2508" s="33" t="str">
        <x:v>2026-08-20</x:v>
      </x:c>
      <x:c r="K2508" s="33" t="str">
        <x:v>Audit IDs preserved; active tests now address their parent requirements.</x:v>
      </x:c>
    </x:row>
    <x:row r="2509">
      <x:c r="A2509" s="33" t="str">
        <x:v>AUD272</x:v>
      </x:c>
      <x:c r="B2509" s="33" t="str">
        <x:v>Audit Procedure Master</x:v>
      </x:c>
      <x:c r="C2509" s="33" t="str">
        <x:v>Audit Procedure=Verify that customers are informed of recalls where regulatory requirements apply.; Audit Method=Document Review; Risk Focus=Inventory Controls; Remarks=Maintain communication records.</x:v>
      </x:c>
      <x:c r="D2509" s="33" t="str">
        <x:v>Audit Procedure=Select a sample of relevant transactions or events and interview the responsible person to confirm that initiate product recall immediately upon receipt of recall notice or identification of defective products.; Audit Method=Sampling and Interview; Risk Focus=CA022; Remarks=P-4 normalized to current parent compliance; legacy Audit ID preserved.</x:v>
      </x:c>
      <x:c r="E2509" s="33" t="str">
        <x:v>CORRECT / RECLASSIFY</x:v>
      </x:c>
      <x:c r="F2509" s="33" t="str">
        <x:v>Quarantine inactive descendants and normalize the legacy audit band to its current parent compliance.</x:v>
      </x:c>
      <x:c r="G2509" s="33" t="str">
        <x:v>P-4 execution-chain reconciliation</x:v>
      </x:c>
      <x:c r="H2509" s="33" t="str">
        <x:v>P-4</x:v>
      </x:c>
      <x:c r="I2509" s="33" t="str">
        <x:v>P-4</x:v>
      </x:c>
      <x:c r="J2509" s="33" t="str">
        <x:v>2026-08-20</x:v>
      </x:c>
      <x:c r="K2509" s="33" t="str">
        <x:v>Audit IDs preserved; active tests now address their parent requirements.</x:v>
      </x:c>
    </x:row>
    <x:row r="2510">
      <x:c r="A2510" s="33" t="str">
        <x:v>AUD273</x:v>
      </x:c>
      <x:c r="B2510" s="33" t="str">
        <x:v>Audit Procedure Master</x:v>
      </x:c>
      <x:c r="C2510" s="33" t="str">
        <x:v>Audit Procedure=Review customer notification logs and supporting evidence.; Audit Method=Record Verification; Risk Focus=Consumer Protection; Remarks=Verify timeliness.</x:v>
      </x:c>
      <x:c r="D2510" s="33" t="str">
        <x:v>Audit Procedure=Review the applicable licence, order, register, SOP and a sample of records to verify that initiate product recall immediately upon receipt of recall notice or identification of defective products.; Audit Method=Document Review and Sampling; Risk Focus=CA022; Remarks=P-4 normalized to current parent compliance; legacy Audit ID preserved.</x:v>
      </x:c>
      <x:c r="E2510" s="33" t="str">
        <x:v>CORRECT / RECLASSIFY</x:v>
      </x:c>
      <x:c r="F2510" s="33" t="str">
        <x:v>Quarantine inactive descendants and normalize the legacy audit band to its current parent compliance.</x:v>
      </x:c>
      <x:c r="G2510" s="33" t="str">
        <x:v>P-4 execution-chain reconciliation</x:v>
      </x:c>
      <x:c r="H2510" s="33" t="str">
        <x:v>P-4</x:v>
      </x:c>
      <x:c r="I2510" s="33" t="str">
        <x:v>P-4</x:v>
      </x:c>
      <x:c r="J2510" s="33" t="str">
        <x:v>2026-08-20</x:v>
      </x:c>
      <x:c r="K2510" s="33" t="str">
        <x:v>Audit IDs preserved; active tests now address their parent requirements.</x:v>
      </x:c>
    </x:row>
    <x:row r="2511">
      <x:c r="A2511" s="33" t="str">
        <x:v>AUD274</x:v>
      </x:c>
      <x:c r="B2511" s="33" t="str">
        <x:v>Audit Procedure Master</x:v>
      </x:c>
      <x:c r="C2511" s="33" t="str">
        <x:v>Audit Procedure=Verify that suppliers are notified regarding recalled products where required.; Audit Method=Document Review; Risk Focus=Inventory Controls; Remarks=Maintain supplier correspondence.</x:v>
      </x:c>
      <x:c r="D2511" s="33" t="str">
        <x:v>Audit Procedure=Select a sample of relevant transactions or events and interview the responsible person to confirm that classify recalled products according to the applicable recall category and risk level.; Audit Method=Sampling and Interview; Risk Focus=CA022; Remarks=P-4 normalized to current parent compliance; legacy Audit ID preserved.</x:v>
      </x:c>
      <x:c r="E2511" s="33" t="str">
        <x:v>CORRECT / RECLASSIFY</x:v>
      </x:c>
      <x:c r="F2511" s="33" t="str">
        <x:v>Quarantine inactive descendants and normalize the legacy audit band to its current parent compliance.</x:v>
      </x:c>
      <x:c r="G2511" s="33" t="str">
        <x:v>P-4 execution-chain reconciliation</x:v>
      </x:c>
      <x:c r="H2511" s="33" t="str">
        <x:v>P-4</x:v>
      </x:c>
      <x:c r="I2511" s="33" t="str">
        <x:v>P-4</x:v>
      </x:c>
      <x:c r="J2511" s="33" t="str">
        <x:v>2026-08-20</x:v>
      </x:c>
      <x:c r="K2511" s="33" t="str">
        <x:v>Audit IDs preserved; active tests now address their parent requirements.</x:v>
      </x:c>
    </x:row>
    <x:row r="2512">
      <x:c r="A2512" s="33" t="str">
        <x:v>AUD275</x:v>
      </x:c>
      <x:c r="B2512" s="33" t="str">
        <x:v>Audit Procedure Master</x:v>
      </x:c>
      <x:c r="C2512" s="33" t="str">
        <x:v>Audit Procedure=Examine acknowledgement received from suppliers.; Audit Method=Record Verification; Risk Focus=Procurement Controls; Remarks=Verify response status.</x:v>
      </x:c>
      <x:c r="D2512" s="33" t="str">
        <x:v>Audit Procedure=Review the applicable licence, order, register, SOP and a sample of records to verify that classify recalled products according to the applicable recall category and risk level.; Audit Method=Document Review and Sampling; Risk Focus=CA022; Remarks=P-4 normalized to current parent compliance; legacy Audit ID preserved.</x:v>
      </x:c>
      <x:c r="E2512" s="33" t="str">
        <x:v>CORRECT / RECLASSIFY</x:v>
      </x:c>
      <x:c r="F2512" s="33" t="str">
        <x:v>Quarantine inactive descendants and normalize the legacy audit band to its current parent compliance.</x:v>
      </x:c>
      <x:c r="G2512" s="33" t="str">
        <x:v>P-4 execution-chain reconciliation</x:v>
      </x:c>
      <x:c r="H2512" s="33" t="str">
        <x:v>P-4</x:v>
      </x:c>
      <x:c r="I2512" s="33" t="str">
        <x:v>P-4</x:v>
      </x:c>
      <x:c r="J2512" s="33" t="str">
        <x:v>2026-08-20</x:v>
      </x:c>
      <x:c r="K2512" s="33" t="str">
        <x:v>Audit IDs preserved; active tests now address their parent requirements.</x:v>
      </x:c>
    </x:row>
    <x:row r="2513">
      <x:c r="A2513" s="33" t="str">
        <x:v>AUD276</x:v>
      </x:c>
      <x:c r="B2513" s="33" t="str">
        <x:v>Audit Procedure Master</x:v>
      </x:c>
      <x:c r="C2513" s="33" t="str">
        <x:v>Audit Procedure=Verify that recall effectiveness checks are conducted and documented.; Audit Method=Document Review; Risk Focus=Inventory Controls; Remarks=Confirm recall completion.</x:v>
      </x:c>
      <x:c r="D2513" s="33" t="str">
        <x:v>Audit Procedure=Select a sample of relevant transactions or events and interview the responsible person to confirm that notify customers, distributors and regulatory authorities as required during product recall.; Audit Method=Sampling and Interview; Risk Focus=CA022; Remarks=P-4 normalized to current parent compliance; legacy Audit ID preserved.</x:v>
      </x:c>
      <x:c r="E2513" s="33" t="str">
        <x:v>CORRECT / RECLASSIFY</x:v>
      </x:c>
      <x:c r="F2513" s="33" t="str">
        <x:v>Quarantine inactive descendants and normalize the legacy audit band to its current parent compliance.</x:v>
      </x:c>
      <x:c r="G2513" s="33" t="str">
        <x:v>P-4 execution-chain reconciliation</x:v>
      </x:c>
      <x:c r="H2513" s="33" t="str">
        <x:v>P-4</x:v>
      </x:c>
      <x:c r="I2513" s="33" t="str">
        <x:v>P-4</x:v>
      </x:c>
      <x:c r="J2513" s="33" t="str">
        <x:v>2026-08-20</x:v>
      </x:c>
      <x:c r="K2513" s="33" t="str">
        <x:v>Audit IDs preserved; active tests now address their parent requirements.</x:v>
      </x:c>
    </x:row>
    <x:row r="2514">
      <x:c r="A2514" s="33" t="str">
        <x:v>AUD277</x:v>
      </x:c>
      <x:c r="B2514" s="33" t="str">
        <x:v>Audit Procedure Master</x:v>
      </x:c>
      <x:c r="C2514" s="33" t="str">
        <x:v>Audit Procedure=Reconcile recalled quantities with inventory and sales records.; Audit Method=Reconciliation; Risk Focus=Inventory Controls; Remarks=Investigate discrepancies.</x:v>
      </x:c>
      <x:c r="D2514" s="33" t="str">
        <x:v>Audit Procedure=Review the applicable licence, order, register, SOP and a sample of records to verify that notify customers, distributors and regulatory authorities as required during product recall.; Audit Method=Document Review and Sampling; Risk Focus=CA022; Remarks=P-4 normalized to current parent compliance; legacy Audit ID preserved.</x:v>
      </x:c>
      <x:c r="E2514" s="33" t="str">
        <x:v>CORRECT / RECLASSIFY</x:v>
      </x:c>
      <x:c r="F2514" s="33" t="str">
        <x:v>Quarantine inactive descendants and normalize the legacy audit band to its current parent compliance.</x:v>
      </x:c>
      <x:c r="G2514" s="33" t="str">
        <x:v>P-4 execution-chain reconciliation</x:v>
      </x:c>
      <x:c r="H2514" s="33" t="str">
        <x:v>P-4</x:v>
      </x:c>
      <x:c r="I2514" s="33" t="str">
        <x:v>P-4</x:v>
      </x:c>
      <x:c r="J2514" s="33" t="str">
        <x:v>2026-08-20</x:v>
      </x:c>
      <x:c r="K2514" s="33" t="str">
        <x:v>Audit IDs preserved; active tests now address their parent requirements.</x:v>
      </x:c>
    </x:row>
    <x:row r="2515">
      <x:c r="A2515" s="33" t="str">
        <x:v>AUD278</x:v>
      </x:c>
      <x:c r="B2515" s="33" t="str">
        <x:v>Audit Procedure Master</x:v>
      </x:c>
      <x:c r="C2515" s="33" t="str">
        <x:v>Audit Procedure=Verify that recalled medicines are disposed of only after obtaining required authorization.; Audit Method=Document Review; Risk Focus=Inventory Controls; Remarks=Disposal should follow applicable regulations.</x:v>
      </x:c>
      <x:c r="D2515" s="33" t="str">
        <x:v>Audit Procedure=Select a sample of relevant transactions or events and interview the responsible person to confirm that verify the effectiveness of product recall by reconciling quantities distributed and recovered.; Audit Method=Sampling and Interview; Risk Focus=CA022; Remarks=P-4 normalized to current parent compliance; legacy Audit ID preserved.</x:v>
      </x:c>
      <x:c r="E2515" s="33" t="str">
        <x:v>CORRECT / RECLASSIFY</x:v>
      </x:c>
      <x:c r="F2515" s="33" t="str">
        <x:v>Quarantine inactive descendants and normalize the legacy audit band to its current parent compliance.</x:v>
      </x:c>
      <x:c r="G2515" s="33" t="str">
        <x:v>P-4 execution-chain reconciliation</x:v>
      </x:c>
      <x:c r="H2515" s="33" t="str">
        <x:v>P-4</x:v>
      </x:c>
      <x:c r="I2515" s="33" t="str">
        <x:v>P-4</x:v>
      </x:c>
      <x:c r="J2515" s="33" t="str">
        <x:v>2026-08-20</x:v>
      </x:c>
      <x:c r="K2515" s="33" t="str">
        <x:v>Audit IDs preserved; active tests now address their parent requirements.</x:v>
      </x:c>
    </x:row>
    <x:row r="2516">
      <x:c r="A2516" s="33" t="str">
        <x:v>AUD279</x:v>
      </x:c>
      <x:c r="B2516" s="33" t="str">
        <x:v>Audit Procedure Master</x:v>
      </x:c>
      <x:c r="C2516" s="33" t="str">
        <x:v>Audit Procedure=Review disposal certificates and supporting records.; Audit Method=Record Verification; Risk Focus=Disposal Controls; Remarks=Maintain permanent records.</x:v>
      </x:c>
      <x:c r="D2516" s="33" t="str">
        <x:v>Audit Procedure=Review the applicable licence, order, register, SOP and a sample of records to verify that verify the effectiveness of product recall by reconciling quantities distributed and recovered.; Audit Method=Document Review and Sampling; Risk Focus=CA022; Remarks=P-4 normalized to current parent compliance; legacy Audit ID preserved.</x:v>
      </x:c>
      <x:c r="E2516" s="33" t="str">
        <x:v>CORRECT / RECLASSIFY</x:v>
      </x:c>
      <x:c r="F2516" s="33" t="str">
        <x:v>Quarantine inactive descendants and normalize the legacy audit band to its current parent compliance.</x:v>
      </x:c>
      <x:c r="G2516" s="33" t="str">
        <x:v>P-4 execution-chain reconciliation</x:v>
      </x:c>
      <x:c r="H2516" s="33" t="str">
        <x:v>P-4</x:v>
      </x:c>
      <x:c r="I2516" s="33" t="str">
        <x:v>P-4</x:v>
      </x:c>
      <x:c r="J2516" s="33" t="str">
        <x:v>2026-08-20</x:v>
      </x:c>
      <x:c r="K2516" s="33" t="str">
        <x:v>Audit IDs preserved; active tests now address their parent requirements.</x:v>
      </x:c>
    </x:row>
    <x:row r="2517">
      <x:c r="A2517" s="33" t="str">
        <x:v>AUD280</x:v>
      </x:c>
      <x:c r="B2517" s="33" t="str">
        <x:v>Audit Procedure Master</x:v>
      </x:c>
      <x:c r="C2517" s="33" t="str">
        <x:v>Audit Procedure=Verify that recall registers are maintained accurately and completely.; Audit Method=Record Verification; Risk Focus=Inventory Controls; Remarks=Register should include all recall activities.</x:v>
      </x:c>
      <x:c r="D2517" s="33" t="str">
        <x:v>Audit Procedure=Select a sample of relevant transactions or events and interview the responsible person to confirm that maintain complete documentation supporting recall closure and regulatory reporting.; Audit Method=Sampling and Interview; Risk Focus=CA022; Remarks=P-4 normalized to current parent compliance; legacy Audit ID preserved.</x:v>
      </x:c>
      <x:c r="E2517" s="33" t="str">
        <x:v>CORRECT / RECLASSIFY</x:v>
      </x:c>
      <x:c r="F2517" s="33" t="str">
        <x:v>Quarantine inactive descendants and normalize the legacy audit band to its current parent compliance.</x:v>
      </x:c>
      <x:c r="G2517" s="33" t="str">
        <x:v>P-4 execution-chain reconciliation</x:v>
      </x:c>
      <x:c r="H2517" s="33" t="str">
        <x:v>P-4</x:v>
      </x:c>
      <x:c r="I2517" s="33" t="str">
        <x:v>P-4</x:v>
      </x:c>
      <x:c r="J2517" s="33" t="str">
        <x:v>2026-08-20</x:v>
      </x:c>
      <x:c r="K2517" s="33" t="str">
        <x:v>Audit IDs preserved; active tests now address their parent requirements.</x:v>
      </x:c>
    </x:row>
    <x:row r="2518">
      <x:c r="A2518" s="33" t="str">
        <x:v>AUD281</x:v>
      </x:c>
      <x:c r="B2518" s="33" t="str">
        <x:v>Audit Procedure Master</x:v>
      </x:c>
      <x:c r="C2518" s="33" t="str">
        <x:v>Audit Procedure=Inspect recall register for completeness and statutory particulars.; Audit Method=Physical Inspection; Risk Focus=Inventory Controls; Remarks=Missing entries should be investigated.</x:v>
      </x:c>
      <x:c r="D2518" s="33" t="str">
        <x:v>Audit Procedure=Review the applicable licence, order, register, SOP and a sample of records to verify that maintain complete documentation supporting recall closure and regulatory reporting.; Audit Method=Document Review and Sampling; Risk Focus=CA022; Remarks=P-4 normalized to current parent compliance; legacy Audit ID preserved.</x:v>
      </x:c>
      <x:c r="E2518" s="33" t="str">
        <x:v>CORRECT / RECLASSIFY</x:v>
      </x:c>
      <x:c r="F2518" s="33" t="str">
        <x:v>Quarantine inactive descendants and normalize the legacy audit band to its current parent compliance.</x:v>
      </x:c>
      <x:c r="G2518" s="33" t="str">
        <x:v>P-4 execution-chain reconciliation</x:v>
      </x:c>
      <x:c r="H2518" s="33" t="str">
        <x:v>P-4</x:v>
      </x:c>
      <x:c r="I2518" s="33" t="str">
        <x:v>P-4</x:v>
      </x:c>
      <x:c r="J2518" s="33" t="str">
        <x:v>2026-08-20</x:v>
      </x:c>
      <x:c r="K2518" s="33" t="str">
        <x:v>Audit IDs preserved; active tests now address their parent requirements.</x:v>
      </x:c>
    </x:row>
    <x:row r="2519">
      <x:c r="A2519" s="33" t="str">
        <x:v>AUD282</x:v>
      </x:c>
      <x:c r="B2519" s="33" t="str">
        <x:v>Audit Procedure Master</x:v>
      </x:c>
      <x:c r="C2519" s="33" t="str">
        <x:v>Audit Procedure=Verify that staff receive timely communication regarding recall actions.; Audit Method=Interview; Risk Focus=Personnel Competency; Remarks=Confirm awareness of recall procedures.</x:v>
      </x:c>
      <x:c r="D2519" s="33" t="str">
        <x:v>Audit Procedure=Select a sample of relevant transactions or events and interview the responsible person to confirm that establish a documented process for receiving product complaints from customers.; Audit Method=Sampling and Interview; Risk Focus=CA023; Remarks=P-4 normalized to current parent compliance; legacy Audit ID preserved.</x:v>
      </x:c>
      <x:c r="E2519" s="33" t="str">
        <x:v>CORRECT / RECLASSIFY</x:v>
      </x:c>
      <x:c r="F2519" s="33" t="str">
        <x:v>Quarantine inactive descendants and normalize the legacy audit band to its current parent compliance.</x:v>
      </x:c>
      <x:c r="G2519" s="33" t="str">
        <x:v>P-4 execution-chain reconciliation</x:v>
      </x:c>
      <x:c r="H2519" s="33" t="str">
        <x:v>P-4</x:v>
      </x:c>
      <x:c r="I2519" s="33" t="str">
        <x:v>P-4</x:v>
      </x:c>
      <x:c r="J2519" s="33" t="str">
        <x:v>2026-08-20</x:v>
      </x:c>
      <x:c r="K2519" s="33" t="str">
        <x:v>Audit IDs preserved; active tests now address their parent requirements.</x:v>
      </x:c>
    </x:row>
    <x:row r="2520">
      <x:c r="A2520" s="33" t="str">
        <x:v>AUD283</x:v>
      </x:c>
      <x:c r="B2520" s="33" t="str">
        <x:v>Audit Procedure Master</x:v>
      </x:c>
      <x:c r="C2520" s="33" t="str">
        <x:v>Audit Procedure=Review internal recall communication records.; Audit Method=Record Verification; Risk Focus=Inventory Controls; Remarks=Include all affected departments.</x:v>
      </x:c>
      <x:c r="D2520" s="33" t="str">
        <x:v>Audit Procedure=Review the applicable licence, order, register, SOP and a sample of records to verify that establish a documented process for receiving product complaints from customers.; Audit Method=Document Review and Sampling; Risk Focus=CA023; Remarks=P-4 normalized to current parent compliance; legacy Audit ID preserved.</x:v>
      </x:c>
      <x:c r="E2520" s="33" t="str">
        <x:v>CORRECT / RECLASSIFY</x:v>
      </x:c>
      <x:c r="F2520" s="33" t="str">
        <x:v>Quarantine inactive descendants and normalize the legacy audit band to its current parent compliance.</x:v>
      </x:c>
      <x:c r="G2520" s="33" t="str">
        <x:v>P-4 execution-chain reconciliation</x:v>
      </x:c>
      <x:c r="H2520" s="33" t="str">
        <x:v>P-4</x:v>
      </x:c>
      <x:c r="I2520" s="33" t="str">
        <x:v>P-4</x:v>
      </x:c>
      <x:c r="J2520" s="33" t="str">
        <x:v>2026-08-20</x:v>
      </x:c>
      <x:c r="K2520" s="33" t="str">
        <x:v>Audit IDs preserved; active tests now address their parent requirements.</x:v>
      </x:c>
    </x:row>
    <x:row r="2521">
      <x:c r="A2521" s="33" t="str">
        <x:v>AUD284</x:v>
      </x:c>
      <x:c r="B2521" s="33" t="str">
        <x:v>Audit Procedure Master</x:v>
      </x:c>
      <x:c r="C2521" s="33" t="str">
        <x:v>Audit Procedure=Verify that mock recall exercises are conducted periodically where required by internal policy.; Audit Method=Document Review; Risk Focus=Inventory Controls; Remarks=Evaluate recall readiness.</x:v>
      </x:c>
      <x:c r="D2521" s="33" t="str">
        <x:v>Audit Procedure=Select a sample of relevant transactions or events and interview the responsible person to confirm that investigate every product complaint and document findings appropriately.; Audit Method=Sampling and Interview; Risk Focus=CA023; Remarks=P-4 normalized to current parent compliance; legacy Audit ID preserved.</x:v>
      </x:c>
      <x:c r="E2521" s="33" t="str">
        <x:v>CORRECT / RECLASSIFY</x:v>
      </x:c>
      <x:c r="F2521" s="33" t="str">
        <x:v>Quarantine inactive descendants and normalize the legacy audit band to its current parent compliance.</x:v>
      </x:c>
      <x:c r="G2521" s="33" t="str">
        <x:v>P-4 execution-chain reconciliation</x:v>
      </x:c>
      <x:c r="H2521" s="33" t="str">
        <x:v>P-4</x:v>
      </x:c>
      <x:c r="I2521" s="33" t="str">
        <x:v>P-4</x:v>
      </x:c>
      <x:c r="J2521" s="33" t="str">
        <x:v>2026-08-20</x:v>
      </x:c>
      <x:c r="K2521" s="33" t="str">
        <x:v>Audit IDs preserved; active tests now address their parent requirements.</x:v>
      </x:c>
    </x:row>
    <x:row r="2522">
      <x:c r="A2522" s="33" t="str">
        <x:v>AUD285</x:v>
      </x:c>
      <x:c r="B2522" s="33" t="str">
        <x:v>Audit Procedure Master</x:v>
      </x:c>
      <x:c r="C2522" s="33" t="str">
        <x:v>Audit Procedure=Review mock recall reports and improvement actions.; Audit Method=Document Review; Risk Focus=Inventory Controls; Remarks=Verify closure of identified gaps.</x:v>
      </x:c>
      <x:c r="D2522" s="33" t="str">
        <x:v>Audit Procedure=Review the applicable licence, order, register, SOP and a sample of records to verify that investigate every product complaint and document findings appropriately.; Audit Method=Document Review and Sampling; Risk Focus=CA023; Remarks=P-4 normalized to current parent compliance; legacy Audit ID preserved.</x:v>
      </x:c>
      <x:c r="E2522" s="33" t="str">
        <x:v>CORRECT / RECLASSIFY</x:v>
      </x:c>
      <x:c r="F2522" s="33" t="str">
        <x:v>Quarantine inactive descendants and normalize the legacy audit band to its current parent compliance.</x:v>
      </x:c>
      <x:c r="G2522" s="33" t="str">
        <x:v>P-4 execution-chain reconciliation</x:v>
      </x:c>
      <x:c r="H2522" s="33" t="str">
        <x:v>P-4</x:v>
      </x:c>
      <x:c r="I2522" s="33" t="str">
        <x:v>P-4</x:v>
      </x:c>
      <x:c r="J2522" s="33" t="str">
        <x:v>2026-08-20</x:v>
      </x:c>
      <x:c r="K2522" s="33" t="str">
        <x:v>Audit IDs preserved; active tests now address their parent requirements.</x:v>
      </x:c>
    </x:row>
    <x:row r="2523">
      <x:c r="A2523" s="33" t="str">
        <x:v>AUD286</x:v>
      </x:c>
      <x:c r="B2523" s="33" t="str">
        <x:v>Audit Procedure Master</x:v>
      </x:c>
      <x:c r="C2523" s="33" t="str">
        <x:v>Audit Procedure=Verify that adverse drug reaction (ADR) complaints received at the pharmacy are documented.; Audit Method=Record Verification; Risk Focus=Consumer Protection; Remarks=Maintain pharmacovigilance records.</x:v>
      </x:c>
      <x:c r="D2523" s="33" t="str">
        <x:v>Audit Procedure=Select a sample of relevant transactions or events and interview the responsible person to confirm that maintain a complaint register and supporting investigation records.; Audit Method=Sampling and Interview; Risk Focus=CA023; Remarks=P-4 normalized to current parent compliance; legacy Audit ID preserved.</x:v>
      </x:c>
      <x:c r="E2523" s="33" t="str">
        <x:v>CORRECT / RECLASSIFY</x:v>
      </x:c>
      <x:c r="F2523" s="33" t="str">
        <x:v>Quarantine inactive descendants and normalize the legacy audit band to its current parent compliance.</x:v>
      </x:c>
      <x:c r="G2523" s="33" t="str">
        <x:v>P-4 execution-chain reconciliation</x:v>
      </x:c>
      <x:c r="H2523" s="33" t="str">
        <x:v>P-4</x:v>
      </x:c>
      <x:c r="I2523" s="33" t="str">
        <x:v>P-4</x:v>
      </x:c>
      <x:c r="J2523" s="33" t="str">
        <x:v>2026-08-20</x:v>
      </x:c>
      <x:c r="K2523" s="33" t="str">
        <x:v>Audit IDs preserved; active tests now address their parent requirements.</x:v>
      </x:c>
    </x:row>
    <x:row r="2524">
      <x:c r="A2524" s="33" t="str">
        <x:v>AUD287</x:v>
      </x:c>
      <x:c r="B2524" s="33" t="str">
        <x:v>Audit Procedure Master</x:v>
      </x:c>
      <x:c r="C2524" s="33" t="str">
        <x:v>Audit Procedure=Review ADR reporting register for completeness.; Audit Method=Record Verification; Risk Focus=Recordkeeping; Remarks=Verify supporting documentation.</x:v>
      </x:c>
      <x:c r="D2524" s="33" t="str">
        <x:v>Audit Procedure=Review the applicable licence, order, register, SOP and a sample of records to verify that maintain a complaint register and supporting investigation records.; Audit Method=Document Review and Sampling; Risk Focus=CA023; Remarks=P-4 normalized to current parent compliance; legacy Audit ID preserved.</x:v>
      </x:c>
      <x:c r="E2524" s="33" t="str">
        <x:v>CORRECT / RECLASSIFY</x:v>
      </x:c>
      <x:c r="F2524" s="33" t="str">
        <x:v>Quarantine inactive descendants and normalize the legacy audit band to its current parent compliance.</x:v>
      </x:c>
      <x:c r="G2524" s="33" t="str">
        <x:v>P-4 execution-chain reconciliation</x:v>
      </x:c>
      <x:c r="H2524" s="33" t="str">
        <x:v>P-4</x:v>
      </x:c>
      <x:c r="I2524" s="33" t="str">
        <x:v>P-4</x:v>
      </x:c>
      <x:c r="J2524" s="33" t="str">
        <x:v>2026-08-20</x:v>
      </x:c>
      <x:c r="K2524" s="33" t="str">
        <x:v>Audit IDs preserved; active tests now address their parent requirements.</x:v>
      </x:c>
    </x:row>
    <x:row r="2525">
      <x:c r="A2525" s="33" t="str">
        <x:v>AUD288</x:v>
      </x:c>
      <x:c r="B2525" s="33" t="str">
        <x:v>Audit Procedure Master</x:v>
      </x:c>
      <x:c r="C2525" s="33" t="str">
        <x:v>Audit Procedure=Verify that reportable ADRs are communicated to the appropriate authority or pharmacovigilance program.; Audit Method=Document Review; Risk Focus=General Compliance; Remarks=Retain submission acknowledgements.</x:v>
      </x:c>
      <x:c r="D2525" s="33" t="str">
        <x:v>Audit Procedure=Select a sample of relevant transactions or events and interview the responsible person to confirm that close product complaints only after investigation, corrective action and documentation are completed.; Audit Method=Sampling and Interview; Risk Focus=CA023; Remarks=P-4 normalized to current parent compliance; legacy Audit ID preserved.</x:v>
      </x:c>
      <x:c r="E2525" s="33" t="str">
        <x:v>CORRECT / RECLASSIFY</x:v>
      </x:c>
      <x:c r="F2525" s="33" t="str">
        <x:v>Quarantine inactive descendants and normalize the legacy audit band to its current parent compliance.</x:v>
      </x:c>
      <x:c r="G2525" s="33" t="str">
        <x:v>P-4 execution-chain reconciliation</x:v>
      </x:c>
      <x:c r="H2525" s="33" t="str">
        <x:v>P-4</x:v>
      </x:c>
      <x:c r="I2525" s="33" t="str">
        <x:v>P-4</x:v>
      </x:c>
      <x:c r="J2525" s="33" t="str">
        <x:v>2026-08-20</x:v>
      </x:c>
      <x:c r="K2525" s="33" t="str">
        <x:v>Audit IDs preserved; active tests now address their parent requirements.</x:v>
      </x:c>
    </x:row>
    <x:row r="2526">
      <x:c r="A2526" s="33" t="str">
        <x:v>AUD289</x:v>
      </x:c>
      <x:c r="B2526" s="33" t="str">
        <x:v>Audit Procedure Master</x:v>
      </x:c>
      <x:c r="C2526" s="33" t="str">
        <x:v>Audit Procedure=Examine ADR submission records for timeliness.; Audit Method=Record Verification; Risk Focus=Recordkeeping; Remarks=Verify reporting deadlines.</x:v>
      </x:c>
      <x:c r="D2526" s="33" t="str">
        <x:v>Audit Procedure=Review the applicable licence, order, register, SOP and a sample of records to verify that close product complaints only after investigation, corrective action and documentation are completed.; Audit Method=Document Review and Sampling; Risk Focus=CA023; Remarks=P-4 normalized to current parent compliance; legacy Audit ID preserved.</x:v>
      </x:c>
      <x:c r="E2526" s="33" t="str">
        <x:v>CORRECT / RECLASSIFY</x:v>
      </x:c>
      <x:c r="F2526" s="33" t="str">
        <x:v>Quarantine inactive descendants and normalize the legacy audit band to its current parent compliance.</x:v>
      </x:c>
      <x:c r="G2526" s="33" t="str">
        <x:v>P-4 execution-chain reconciliation</x:v>
      </x:c>
      <x:c r="H2526" s="33" t="str">
        <x:v>P-4</x:v>
      </x:c>
      <x:c r="I2526" s="33" t="str">
        <x:v>P-4</x:v>
      </x:c>
      <x:c r="J2526" s="33" t="str">
        <x:v>2026-08-20</x:v>
      </x:c>
      <x:c r="K2526" s="33" t="str">
        <x:v>Audit IDs preserved; active tests now address their parent requirements.</x:v>
      </x:c>
    </x:row>
    <x:row r="2527">
      <x:c r="A2527" s="33" t="str">
        <x:v>AUD290</x:v>
      </x:c>
      <x:c r="B2527" s="33" t="str">
        <x:v>Audit Procedure Master</x:v>
      </x:c>
      <x:c r="C2527" s="33" t="str">
        <x:v>Audit Procedure=Verify that product quality complaints are investigated promptly.; Audit Method=Document Review; Risk Focus=Consumer Protection; Remarks=Investigation should identify root cause.</x:v>
      </x:c>
      <x:c r="D2527" s="33" t="str">
        <x:v>Audit Procedure=Select a sample of relevant transactions or events and interview the responsible person to confirm that report suspected adverse drug reactions to the Pharmacovigilance Programme of India whenever required.; Audit Method=Sampling and Interview; Risk Focus=CA024; Remarks=P-4 normalized to current parent compliance; legacy Audit ID preserved.</x:v>
      </x:c>
      <x:c r="E2527" s="33" t="str">
        <x:v>CORRECT / RECLASSIFY</x:v>
      </x:c>
      <x:c r="F2527" s="33" t="str">
        <x:v>Quarantine inactive descendants and normalize the legacy audit band to its current parent compliance.</x:v>
      </x:c>
      <x:c r="G2527" s="33" t="str">
        <x:v>P-4 execution-chain reconciliation</x:v>
      </x:c>
      <x:c r="H2527" s="33" t="str">
        <x:v>P-4</x:v>
      </x:c>
      <x:c r="I2527" s="33" t="str">
        <x:v>P-4</x:v>
      </x:c>
      <x:c r="J2527" s="33" t="str">
        <x:v>2026-08-20</x:v>
      </x:c>
      <x:c r="K2527" s="33" t="str">
        <x:v>Audit IDs preserved; active tests now address their parent requirements.</x:v>
      </x:c>
    </x:row>
    <x:row r="2528">
      <x:c r="A2528" s="33" t="str">
        <x:v>AUD291</x:v>
      </x:c>
      <x:c r="B2528" s="33" t="str">
        <x:v>Audit Procedure Master</x:v>
      </x:c>
      <x:c r="C2528" s="33" t="str">
        <x:v>Audit Procedure=Review complaint investigation reports and CAPA records.; Audit Method=Record Verification; Risk Focus=Consumer Protection; Remarks=Confirm implementation of corrective actions.</x:v>
      </x:c>
      <x:c r="D2528" s="33" t="str">
        <x:v>Audit Procedure=Review the applicable licence, order, register, SOP and a sample of records to verify that report suspected adverse drug reactions to the Pharmacovigilance Programme of India whenever required.; Audit Method=Document Review and Sampling; Risk Focus=CA024; Remarks=P-4 normalized to current parent compliance; legacy Audit ID preserved.</x:v>
      </x:c>
      <x:c r="E2528" s="33" t="str">
        <x:v>CORRECT / RECLASSIFY</x:v>
      </x:c>
      <x:c r="F2528" s="33" t="str">
        <x:v>Quarantine inactive descendants and normalize the legacy audit band to its current parent compliance.</x:v>
      </x:c>
      <x:c r="G2528" s="33" t="str">
        <x:v>P-4 execution-chain reconciliation</x:v>
      </x:c>
      <x:c r="H2528" s="33" t="str">
        <x:v>P-4</x:v>
      </x:c>
      <x:c r="I2528" s="33" t="str">
        <x:v>P-4</x:v>
      </x:c>
      <x:c r="J2528" s="33" t="str">
        <x:v>2026-08-20</x:v>
      </x:c>
      <x:c r="K2528" s="33" t="str">
        <x:v>Audit IDs preserved; active tests now address their parent requirements.</x:v>
      </x:c>
    </x:row>
    <x:row r="2529">
      <x:c r="A2529" s="33" t="str">
        <x:v>AUD292</x:v>
      </x:c>
      <x:c r="B2529" s="33" t="str">
        <x:v>Audit Procedure Master</x:v>
      </x:c>
      <x:c r="C2529" s="33" t="str">
        <x:v>Audit Procedure=Verify that complaint registers are maintained and updated.; Audit Method=Record Verification; Risk Focus=Consumer Protection; Remarks=All complaints should be logged.</x:v>
      </x:c>
      <x:c r="D2529" s="33" t="str">
        <x:v>Audit Procedure=Select a sample of relevant transactions or events and interview the responsible person to confirm that maintain complete documentation for every reported adverse drug reaction.; Audit Method=Sampling and Interview; Risk Focus=CA024; Remarks=P-4 normalized to current parent compliance; legacy Audit ID preserved.</x:v>
      </x:c>
      <x:c r="E2529" s="33" t="str">
        <x:v>CORRECT / RECLASSIFY</x:v>
      </x:c>
      <x:c r="F2529" s="33" t="str">
        <x:v>Quarantine inactive descendants and normalize the legacy audit band to its current parent compliance.</x:v>
      </x:c>
      <x:c r="G2529" s="33" t="str">
        <x:v>P-4 execution-chain reconciliation</x:v>
      </x:c>
      <x:c r="H2529" s="33" t="str">
        <x:v>P-4</x:v>
      </x:c>
      <x:c r="I2529" s="33" t="str">
        <x:v>P-4</x:v>
      </x:c>
      <x:c r="J2529" s="33" t="str">
        <x:v>2026-08-20</x:v>
      </x:c>
      <x:c r="K2529" s="33" t="str">
        <x:v>Audit IDs preserved; active tests now address their parent requirements.</x:v>
      </x:c>
    </x:row>
    <x:row r="2530">
      <x:c r="A2530" s="33" t="str">
        <x:v>AUD293</x:v>
      </x:c>
      <x:c r="B2530" s="33" t="str">
        <x:v>Audit Procedure Master</x:v>
      </x:c>
      <x:c r="C2530" s="33" t="str">
        <x:v>Audit Procedure=Inspect complaint records for completeness and closure status.; Audit Method=Physical Inspection; Risk Focus=Consumer Protection; Remarks=Outstanding complaints should be tracked.</x:v>
      </x:c>
      <x:c r="D2530" s="33" t="str">
        <x:v>Audit Procedure=Review the applicable licence, order, register, SOP and a sample of records to verify that maintain complete documentation for every reported adverse drug reaction.; Audit Method=Document Review and Sampling; Risk Focus=CA024; Remarks=P-4 normalized to current parent compliance; legacy Audit ID preserved.</x:v>
      </x:c>
      <x:c r="E2530" s="33" t="str">
        <x:v>CORRECT / RECLASSIFY</x:v>
      </x:c>
      <x:c r="F2530" s="33" t="str">
        <x:v>Quarantine inactive descendants and normalize the legacy audit band to its current parent compliance.</x:v>
      </x:c>
      <x:c r="G2530" s="33" t="str">
        <x:v>P-4 execution-chain reconciliation</x:v>
      </x:c>
      <x:c r="H2530" s="33" t="str">
        <x:v>P-4</x:v>
      </x:c>
      <x:c r="I2530" s="33" t="str">
        <x:v>P-4</x:v>
      </x:c>
      <x:c r="J2530" s="33" t="str">
        <x:v>2026-08-20</x:v>
      </x:c>
      <x:c r="K2530" s="33" t="str">
        <x:v>Audit IDs preserved; active tests now address their parent requirements.</x:v>
      </x:c>
    </x:row>
    <x:row r="2531">
      <x:c r="A2531" s="33" t="str">
        <x:v>AUD294</x:v>
      </x:c>
      <x:c r="B2531" s="33" t="str">
        <x:v>Audit Procedure Master</x:v>
      </x:c>
      <x:c r="C2531" s="33" t="str">
        <x:v>Audit Procedure=Verify that complaint trends are periodically analysed by management.; Audit Method=Document Review; Risk Focus=Consumer Protection; Remarks=Trend analysis should identify recurring issues.</x:v>
      </x:c>
      <x:c r="D2531" s="33" t="str">
        <x:v>Audit Procedure=Select a sample of relevant transactions or events and interview the responsible person to confirm that escalate serious adverse drug reactions to the appropriate authority without delay.; Audit Method=Sampling and Interview; Risk Focus=CA024; Remarks=P-4 normalized to current parent compliance; legacy Audit ID preserved.</x:v>
      </x:c>
      <x:c r="E2531" s="33" t="str">
        <x:v>CORRECT / RECLASSIFY</x:v>
      </x:c>
      <x:c r="F2531" s="33" t="str">
        <x:v>Quarantine inactive descendants and normalize the legacy audit band to its current parent compliance.</x:v>
      </x:c>
      <x:c r="G2531" s="33" t="str">
        <x:v>P-4 execution-chain reconciliation</x:v>
      </x:c>
      <x:c r="H2531" s="33" t="str">
        <x:v>P-4</x:v>
      </x:c>
      <x:c r="I2531" s="33" t="str">
        <x:v>P-4</x:v>
      </x:c>
      <x:c r="J2531" s="33" t="str">
        <x:v>2026-08-20</x:v>
      </x:c>
      <x:c r="K2531" s="33" t="str">
        <x:v>Audit IDs preserved; active tests now address their parent requirements.</x:v>
      </x:c>
    </x:row>
    <x:row r="2532">
      <x:c r="A2532" s="33" t="str">
        <x:v>AUD295</x:v>
      </x:c>
      <x:c r="B2532" s="33" t="str">
        <x:v>Audit Procedure Master</x:v>
      </x:c>
      <x:c r="C2532" s="33" t="str">
        <x:v>Audit Procedure=Review management review minutes covering complaint analysis.; Audit Method=Record Verification; Risk Focus=Consumer Protection; Remarks=Verify follow-up actions.</x:v>
      </x:c>
      <x:c r="D2532" s="33" t="str">
        <x:v>Audit Procedure=Review the applicable licence, order, register, SOP and a sample of records to verify that escalate serious adverse drug reactions to the appropriate authority without delay.; Audit Method=Document Review and Sampling; Risk Focus=CA024; Remarks=P-4 normalized to current parent compliance; legacy Audit ID preserved.</x:v>
      </x:c>
      <x:c r="E2532" s="33" t="str">
        <x:v>CORRECT / RECLASSIFY</x:v>
      </x:c>
      <x:c r="F2532" s="33" t="str">
        <x:v>Quarantine inactive descendants and normalize the legacy audit band to its current parent compliance.</x:v>
      </x:c>
      <x:c r="G2532" s="33" t="str">
        <x:v>P-4 execution-chain reconciliation</x:v>
      </x:c>
      <x:c r="H2532" s="33" t="str">
        <x:v>P-4</x:v>
      </x:c>
      <x:c r="I2532" s="33" t="str">
        <x:v>P-4</x:v>
      </x:c>
      <x:c r="J2532" s="33" t="str">
        <x:v>2026-08-20</x:v>
      </x:c>
      <x:c r="K2532" s="33" t="str">
        <x:v>Audit IDs preserved; active tests now address their parent requirements.</x:v>
      </x:c>
    </x:row>
    <x:row r="2533">
      <x:c r="A2533" s="33" t="str">
        <x:v>AUD296</x:v>
      </x:c>
      <x:c r="B2533" s="33" t="str">
        <x:v>Audit Procedure Master</x:v>
      </x:c>
      <x:c r="C2533" s="33" t="str">
        <x:v>Audit Procedure=Verify that investigations of product complaints include batch traceability.; Audit Method=Document Review; Risk Focus=Inventory Controls; Remarks=Confirm ability to trace affected batches.</x:v>
      </x:c>
      <x:c r="D2533" s="33" t="str">
        <x:v>Audit Procedure=Select a sample of relevant transactions or events and interview the responsible person to confirm that maintain vaccines and biological products within the prescribed cold chain temperature range.; Audit Method=Sampling and Interview; Risk Focus=CA008; Remarks=P-4 normalized to current parent compliance; legacy Audit ID preserved.</x:v>
      </x:c>
      <x:c r="E2533" s="33" t="str">
        <x:v>CORRECT / RECLASSIFY</x:v>
      </x:c>
      <x:c r="F2533" s="33" t="str">
        <x:v>Quarantine inactive descendants and normalize the legacy audit band to its current parent compliance.</x:v>
      </x:c>
      <x:c r="G2533" s="33" t="str">
        <x:v>P-4 execution-chain reconciliation</x:v>
      </x:c>
      <x:c r="H2533" s="33" t="str">
        <x:v>P-4</x:v>
      </x:c>
      <x:c r="I2533" s="33" t="str">
        <x:v>P-4</x:v>
      </x:c>
      <x:c r="J2533" s="33" t="str">
        <x:v>2026-08-20</x:v>
      </x:c>
      <x:c r="K2533" s="33" t="str">
        <x:v>Audit IDs preserved; active tests now address their parent requirements.</x:v>
      </x:c>
    </x:row>
    <x:row r="2534">
      <x:c r="A2534" s="33" t="str">
        <x:v>AUD297</x:v>
      </x:c>
      <x:c r="B2534" s="33" t="str">
        <x:v>Audit Procedure Master</x:v>
      </x:c>
      <x:c r="C2534" s="33" t="str">
        <x:v>Audit Procedure=Reconcile complaint batches with inventory and supplier records.; Audit Method=Reconciliation; Risk Focus=Inventory Controls; Remarks=Investigate inconsistencies.</x:v>
      </x:c>
      <x:c r="D2534" s="33" t="str">
        <x:v>Audit Procedure=Review the applicable licence, order, register, SOP and a sample of records to verify that maintain vaccines and biological products within the prescribed cold chain temperature range.; Audit Method=Document Review and Sampling; Risk Focus=CA008; Remarks=P-4 normalized to current parent compliance; legacy Audit ID preserved.</x:v>
      </x:c>
      <x:c r="E2534" s="33" t="str">
        <x:v>CORRECT / RECLASSIFY</x:v>
      </x:c>
      <x:c r="F2534" s="33" t="str">
        <x:v>Quarantine inactive descendants and normalize the legacy audit band to its current parent compliance.</x:v>
      </x:c>
      <x:c r="G2534" s="33" t="str">
        <x:v>P-4 execution-chain reconciliation</x:v>
      </x:c>
      <x:c r="H2534" s="33" t="str">
        <x:v>P-4</x:v>
      </x:c>
      <x:c r="I2534" s="33" t="str">
        <x:v>P-4</x:v>
      </x:c>
      <x:c r="J2534" s="33" t="str">
        <x:v>2026-08-20</x:v>
      </x:c>
      <x:c r="K2534" s="33" t="str">
        <x:v>Audit IDs preserved; active tests now address their parent requirements.</x:v>
      </x:c>
    </x:row>
    <x:row r="2535">
      <x:c r="A2535" s="33" t="str">
        <x:v>AUD298</x:v>
      </x:c>
      <x:c r="B2535" s="33" t="str">
        <x:v>Audit Procedure Master</x:v>
      </x:c>
      <x:c r="C2535" s="33" t="str">
        <x:v>Audit Procedure=Verify that complaint records are retained for the prescribed statutory period.; Audit Method=Record Verification; Risk Focus=Consumer Protection; Remarks=Records should remain retrievable.</x:v>
      </x:c>
      <x:c r="D2535" s="33" t="str">
        <x:v>Audit Procedure=Select a sample of relevant transactions or events and interview the responsible person to confirm that record refrigerator temperatures at the prescribed frequency and retain logs for inspection.; Audit Method=Sampling and Interview; Risk Focus=CA008; Remarks=P-4 normalized to current parent compliance; legacy Audit ID preserved.</x:v>
      </x:c>
      <x:c r="E2535" s="33" t="str">
        <x:v>CORRECT / RECLASSIFY</x:v>
      </x:c>
      <x:c r="F2535" s="33" t="str">
        <x:v>Quarantine inactive descendants and normalize the legacy audit band to its current parent compliance.</x:v>
      </x:c>
      <x:c r="G2535" s="33" t="str">
        <x:v>P-4 execution-chain reconciliation</x:v>
      </x:c>
      <x:c r="H2535" s="33" t="str">
        <x:v>P-4</x:v>
      </x:c>
      <x:c r="I2535" s="33" t="str">
        <x:v>P-4</x:v>
      </x:c>
      <x:c r="J2535" s="33" t="str">
        <x:v>2026-08-20</x:v>
      </x:c>
      <x:c r="K2535" s="33" t="str">
        <x:v>Audit IDs preserved; active tests now address their parent requirements.</x:v>
      </x:c>
    </x:row>
    <x:row r="2536">
      <x:c r="A2536" s="33" t="str">
        <x:v>AUD299</x:v>
      </x:c>
      <x:c r="B2536" s="33" t="str">
        <x:v>Audit Procedure Master</x:v>
      </x:c>
      <x:c r="C2536" s="33" t="str">
        <x:v>Audit Procedure=Inspect archived complaint files for completeness.; Audit Method=Physical Inspection; Risk Focus=Consumer Protection; Remarks=Verify preservation controls.</x:v>
      </x:c>
      <x:c r="D2536" s="33" t="str">
        <x:v>Audit Procedure=Review the applicable licence, order, register, SOP and a sample of records to verify that record refrigerator temperatures at the prescribed frequency and retain logs for inspection.; Audit Method=Document Review and Sampling; Risk Focus=CA008; Remarks=P-4 normalized to current parent compliance; legacy Audit ID preserved.</x:v>
      </x:c>
      <x:c r="E2536" s="33" t="str">
        <x:v>CORRECT / RECLASSIFY</x:v>
      </x:c>
      <x:c r="F2536" s="33" t="str">
        <x:v>Quarantine inactive descendants and normalize the legacy audit band to its current parent compliance.</x:v>
      </x:c>
      <x:c r="G2536" s="33" t="str">
        <x:v>P-4 execution-chain reconciliation</x:v>
      </x:c>
      <x:c r="H2536" s="33" t="str">
        <x:v>P-4</x:v>
      </x:c>
      <x:c r="I2536" s="33" t="str">
        <x:v>P-4</x:v>
      </x:c>
      <x:c r="J2536" s="33" t="str">
        <x:v>2026-08-20</x:v>
      </x:c>
      <x:c r="K2536" s="33" t="str">
        <x:v>Audit IDs preserved; active tests now address their parent requirements.</x:v>
      </x:c>
    </x:row>
    <x:row r="2537">
      <x:c r="A2537" s="33" t="str">
        <x:v>AUD300</x:v>
      </x:c>
      <x:c r="B2537" s="33" t="str">
        <x:v>Audit Procedure Master</x:v>
      </x:c>
      <x:c r="C2537" s="33" t="str">
        <x:v>Audit Procedure=Verify that staff are trained on recall and complaint handling procedures.; Audit Method=Document Review; Risk Focus=Personnel Competency; Remarks=Training should cover regulatory obligations.</x:v>
      </x:c>
      <x:c r="D2537" s="33" t="str">
        <x:v>Audit Procedure=Select a sample of relevant transactions or events and interview the responsible person to confirm that validate and periodically qualify cold chain equipment before operational use.; Audit Method=Sampling and Interview; Risk Focus=CA009; Remarks=P-4 normalized to current parent compliance; legacy Audit ID preserved.</x:v>
      </x:c>
      <x:c r="E2537" s="33" t="str">
        <x:v>CORRECT / RECLASSIFY</x:v>
      </x:c>
      <x:c r="F2537" s="33" t="str">
        <x:v>Quarantine inactive descendants and normalize the legacy audit band to its current parent compliance.</x:v>
      </x:c>
      <x:c r="G2537" s="33" t="str">
        <x:v>P-4 execution-chain reconciliation</x:v>
      </x:c>
      <x:c r="H2537" s="33" t="str">
        <x:v>P-4</x:v>
      </x:c>
      <x:c r="I2537" s="33" t="str">
        <x:v>P-4</x:v>
      </x:c>
      <x:c r="J2537" s="33" t="str">
        <x:v>2026-08-20</x:v>
      </x:c>
      <x:c r="K2537" s="33" t="str">
        <x:v>Audit IDs preserved; active tests now address their parent requirements.</x:v>
      </x:c>
    </x:row>
    <x:row r="2538">
      <x:c r="A2538" s="33" t="str">
        <x:v>AUD301</x:v>
      </x:c>
      <x:c r="B2538" s="33" t="str">
        <x:v>Audit Procedure Master</x:v>
      </x:c>
      <x:c r="C2538" s="33" t="str">
        <x:v>Audit Procedure=Interview employees regarding recall response responsibilities.; Audit Method=Interview; Risk Focus=Inventory Controls; Remarks=Assess practical awareness.</x:v>
      </x:c>
      <x:c r="D2538" s="33" t="str">
        <x:v>Audit Procedure=Review the applicable licence, order, register, SOP and a sample of records to verify that validate and periodically qualify cold chain equipment before operational use.; Audit Method=Document Review and Sampling; Risk Focus=CA009; Remarks=P-4 normalized to current parent compliance; legacy Audit ID preserved.</x:v>
      </x:c>
      <x:c r="E2538" s="33" t="str">
        <x:v>CORRECT / RECLASSIFY</x:v>
      </x:c>
      <x:c r="F2538" s="33" t="str">
        <x:v>Quarantine inactive descendants and normalize the legacy audit band to its current parent compliance.</x:v>
      </x:c>
      <x:c r="G2538" s="33" t="str">
        <x:v>P-4 execution-chain reconciliation</x:v>
      </x:c>
      <x:c r="H2538" s="33" t="str">
        <x:v>P-4</x:v>
      </x:c>
      <x:c r="I2538" s="33" t="str">
        <x:v>P-4</x:v>
      </x:c>
      <x:c r="J2538" s="33" t="str">
        <x:v>2026-08-20</x:v>
      </x:c>
      <x:c r="K2538" s="33" t="str">
        <x:v>Audit IDs preserved; active tests now address their parent requirements.</x:v>
      </x:c>
    </x:row>
    <x:row r="2539">
      <x:c r="A2539" s="33" t="str">
        <x:v>AUD336</x:v>
      </x:c>
      <x:c r="B2539" s="33" t="str">
        <x:v>Audit Procedure Master</x:v>
      </x:c>
      <x:c r="C2539" s="33" t="str">
        <x:v>Audit Procedure=Verify that environmental permits relating to waste disposal are maintained where applicable.; Audit Method=Document Review; Risk Focus=Disposal Controls; Remarks=Applicable based on operational requirements.</x:v>
      </x:c>
      <x:c r="D2539" s="33" t="str">
        <x:v>Audit Procedure=Select a sample of relevant transactions or events and interview the responsible person to confirm that deliver pharmacy services in accordance with Pharmacy Practice Regulations.; Audit Method=Sampling and Interview; Risk Focus=CA021; Remarks=P-4 normalized to current parent compliance; legacy Audit ID preserved.</x:v>
      </x:c>
      <x:c r="E2539" s="33" t="str">
        <x:v>CORRECT / RECLASSIFY</x:v>
      </x:c>
      <x:c r="F2539" s="33" t="str">
        <x:v>Quarantine inactive descendants and normalize the legacy audit band to its current parent compliance.</x:v>
      </x:c>
      <x:c r="G2539" s="33" t="str">
        <x:v>P-4 execution-chain reconciliation</x:v>
      </x:c>
      <x:c r="H2539" s="33" t="str">
        <x:v>P-4</x:v>
      </x:c>
      <x:c r="I2539" s="33" t="str">
        <x:v>P-4</x:v>
      </x:c>
      <x:c r="J2539" s="33" t="str">
        <x:v>2026-08-20</x:v>
      </x:c>
      <x:c r="K2539" s="33" t="str">
        <x:v>Audit IDs preserved; active tests now address their parent requirements.</x:v>
      </x:c>
    </x:row>
    <x:row r="2540">
      <x:c r="A2540" s="33" t="str">
        <x:v>AUD337</x:v>
      </x:c>
      <x:c r="B2540" s="33" t="str">
        <x:v>Audit Procedure Master</x:v>
      </x:c>
      <x:c r="C2540" s="33" t="str">
        <x:v>Audit Procedure=Review validity of environmental approvals and authorizations.; Audit Method=Record Verification; Risk Focus=General Compliance; Remarks=Renewals should be timely.</x:v>
      </x:c>
      <x:c r="D2540" s="33" t="str">
        <x:v>Audit Procedure=Review the applicable licence, order, register, SOP and a sample of records to verify that deliver pharmacy services in accordance with Pharmacy Practice Regulations.; Audit Method=Document Review and Sampling; Risk Focus=CA021; Remarks=P-4 normalized to current parent compliance; legacy Audit ID preserved.</x:v>
      </x:c>
      <x:c r="E2540" s="33" t="str">
        <x:v>CORRECT / RECLASSIFY</x:v>
      </x:c>
      <x:c r="F2540" s="33" t="str">
        <x:v>Quarantine inactive descendants and normalize the legacy audit band to its current parent compliance.</x:v>
      </x:c>
      <x:c r="G2540" s="33" t="str">
        <x:v>P-4 execution-chain reconciliation</x:v>
      </x:c>
      <x:c r="H2540" s="33" t="str">
        <x:v>P-4</x:v>
      </x:c>
      <x:c r="I2540" s="33" t="str">
        <x:v>P-4</x:v>
      </x:c>
      <x:c r="J2540" s="33" t="str">
        <x:v>2026-08-20</x:v>
      </x:c>
      <x:c r="K2540" s="33" t="str">
        <x:v>Audit IDs preserved; active tests now address their parent requirements.</x:v>
      </x:c>
    </x:row>
    <x:row r="2541">
      <x:c r="A2541" s="33" t="str">
        <x:v>AUD338</x:v>
      </x:c>
      <x:c r="B2541" s="33" t="str">
        <x:v>Audit Procedure Master</x:v>
      </x:c>
      <x:c r="C2541" s="33" t="str">
        <x:v>Audit Procedure=Verify that waste disposal vendors are periodically evaluated for regulatory compliance.; Audit Method=Document Review; Risk Focus=Disposal Controls; Remarks=Vendor assessments should be documented.</x:v>
      </x:c>
      <x:c r="D2541" s="33" t="str">
        <x:v>Audit Procedure=Select a sample of relevant transactions or events and interview the responsible person to confirm that review prescriptions for legality, completeness and clinical appropriateness before dispensing medicines.; Audit Method=Sampling and Interview; Risk Focus=CA015; Remarks=P-4 normalized to current parent compliance; legacy Audit ID preserved.</x:v>
      </x:c>
      <x:c r="E2541" s="33" t="str">
        <x:v>CORRECT / RECLASSIFY</x:v>
      </x:c>
      <x:c r="F2541" s="33" t="str">
        <x:v>Quarantine inactive descendants and normalize the legacy audit band to its current parent compliance.</x:v>
      </x:c>
      <x:c r="G2541" s="33" t="str">
        <x:v>P-4 execution-chain reconciliation</x:v>
      </x:c>
      <x:c r="H2541" s="33" t="str">
        <x:v>P-4</x:v>
      </x:c>
      <x:c r="I2541" s="33" t="str">
        <x:v>P-4</x:v>
      </x:c>
      <x:c r="J2541" s="33" t="str">
        <x:v>2026-08-20</x:v>
      </x:c>
      <x:c r="K2541" s="33" t="str">
        <x:v>Audit IDs preserved; active tests now address their parent requirements.</x:v>
      </x:c>
    </x:row>
    <x:row r="2542">
      <x:c r="A2542" s="33" t="str">
        <x:v>AUD339</x:v>
      </x:c>
      <x:c r="B2542" s="33" t="str">
        <x:v>Audit Procedure Master</x:v>
      </x:c>
      <x:c r="C2542" s="33" t="str">
        <x:v>Audit Procedure=Review vendor evaluation reports and approval records.; Audit Method=Record Verification; Risk Focus=Procurement Controls; Remarks=Verify continued eligibility.</x:v>
      </x:c>
      <x:c r="D2542" s="33" t="str">
        <x:v>Audit Procedure=Review the applicable licence, order, register, SOP and a sample of records to verify that review prescriptions for legality, completeness and clinical appropriateness before dispensing medicines.; Audit Method=Document Review and Sampling; Risk Focus=CA015; Remarks=P-4 normalized to current parent compliance; legacy Audit ID preserved.</x:v>
      </x:c>
      <x:c r="E2542" s="33" t="str">
        <x:v>CORRECT / RECLASSIFY</x:v>
      </x:c>
      <x:c r="F2542" s="33" t="str">
        <x:v>Quarantine inactive descendants and normalize the legacy audit band to its current parent compliance.</x:v>
      </x:c>
      <x:c r="G2542" s="33" t="str">
        <x:v>P-4 execution-chain reconciliation</x:v>
      </x:c>
      <x:c r="H2542" s="33" t="str">
        <x:v>P-4</x:v>
      </x:c>
      <x:c r="I2542" s="33" t="str">
        <x:v>P-4</x:v>
      </x:c>
      <x:c r="J2542" s="33" t="str">
        <x:v>2026-08-20</x:v>
      </x:c>
      <x:c r="K2542" s="33" t="str">
        <x:v>Audit IDs preserved; active tests now address their parent requirements.</x:v>
      </x:c>
    </x:row>
    <x:row r="2543">
      <x:c r="A2543" s="33" t="str">
        <x:v>AUD340</x:v>
      </x:c>
      <x:c r="B2543" s="33" t="str">
        <x:v>Audit Procedure Master</x:v>
      </x:c>
      <x:c r="C2543" s="33" t="str">
        <x:v>Audit Procedure=Verify that waste disposal records are retained for the statutory period.; Audit Method=Record Verification; Risk Focus=Disposal Controls; Remarks=Records should remain retrievable.</x:v>
      </x:c>
      <x:c r="D2543" s="33" t="str">
        <x:v>Audit Procedure=Select a sample of relevant transactions or events and interview the responsible person to confirm that provide appropriate patient counselling regarding dosage, storage, administration and precautions.; Audit Method=Sampling and Interview; Risk Focus=CA021; Remarks=P-4 normalized to current parent compliance; legacy Audit ID preserved.</x:v>
      </x:c>
      <x:c r="E2543" s="33" t="str">
        <x:v>CORRECT / RECLASSIFY</x:v>
      </x:c>
      <x:c r="F2543" s="33" t="str">
        <x:v>Quarantine inactive descendants and normalize the legacy audit band to its current parent compliance.</x:v>
      </x:c>
      <x:c r="G2543" s="33" t="str">
        <x:v>P-4 execution-chain reconciliation</x:v>
      </x:c>
      <x:c r="H2543" s="33" t="str">
        <x:v>P-4</x:v>
      </x:c>
      <x:c r="I2543" s="33" t="str">
        <x:v>P-4</x:v>
      </x:c>
      <x:c r="J2543" s="33" t="str">
        <x:v>2026-08-20</x:v>
      </x:c>
      <x:c r="K2543" s="33" t="str">
        <x:v>Audit IDs preserved; active tests now address their parent requirements.</x:v>
      </x:c>
    </x:row>
    <x:row r="2544">
      <x:c r="A2544" s="33" t="str">
        <x:v>AUD341</x:v>
      </x:c>
      <x:c r="B2544" s="33" t="str">
        <x:v>Audit Procedure Master</x:v>
      </x:c>
      <x:c r="C2544" s="33" t="str">
        <x:v>Audit Procedure=Inspect archived waste disposal documentation.; Audit Method=Physical Inspection; Risk Focus=Disposal Controls; Remarks=Preservation controls should be adequate.</x:v>
      </x:c>
      <x:c r="D2544" s="33" t="str">
        <x:v>Audit Procedure=Review the applicable licence, order, register, SOP and a sample of records to verify that provide appropriate patient counselling regarding dosage, storage, administration and precautions.; Audit Method=Document Review and Sampling; Risk Focus=CA021; Remarks=P-4 normalized to current parent compliance; legacy Audit ID preserved.</x:v>
      </x:c>
      <x:c r="E2544" s="33" t="str">
        <x:v>CORRECT / RECLASSIFY</x:v>
      </x:c>
      <x:c r="F2544" s="33" t="str">
        <x:v>Quarantine inactive descendants and normalize the legacy audit band to its current parent compliance.</x:v>
      </x:c>
      <x:c r="G2544" s="33" t="str">
        <x:v>P-4 execution-chain reconciliation</x:v>
      </x:c>
      <x:c r="H2544" s="33" t="str">
        <x:v>P-4</x:v>
      </x:c>
      <x:c r="I2544" s="33" t="str">
        <x:v>P-4</x:v>
      </x:c>
      <x:c r="J2544" s="33" t="str">
        <x:v>2026-08-20</x:v>
      </x:c>
      <x:c r="K2544" s="33" t="str">
        <x:v>Audit IDs preserved; active tests now address their parent requirements.</x:v>
      </x:c>
    </x:row>
    <x:row r="2545">
      <x:c r="A2545" s="33" t="str">
        <x:v>AUD342</x:v>
      </x:c>
      <x:c r="B2545" s="33" t="str">
        <x:v>Audit Procedure Master</x:v>
      </x:c>
      <x:c r="C2545" s="33" t="str">
        <x:v>Audit Procedure=Verify that internal inspections include pharmaceutical waste management controls.; Audit Method=Physical Inspection; Risk Focus=Inspection &amp; Display Controls; Remarks=Inspection scope should cover waste handling.</x:v>
      </x:c>
      <x:c r="D2545" s="33" t="str">
        <x:v>Audit Procedure=Select a sample of relevant transactions or events and interview the responsible person to confirm that maintain confidentiality of patient records and prescription information.; Audit Method=Sampling and Interview; Risk Focus=CA071; Remarks=P-4 normalized to current parent compliance; legacy Audit ID preserved.</x:v>
      </x:c>
      <x:c r="E2545" s="33" t="str">
        <x:v>CORRECT / RECLASSIFY</x:v>
      </x:c>
      <x:c r="F2545" s="33" t="str">
        <x:v>Quarantine inactive descendants and normalize the legacy audit band to its current parent compliance.</x:v>
      </x:c>
      <x:c r="G2545" s="33" t="str">
        <x:v>P-4 execution-chain reconciliation</x:v>
      </x:c>
      <x:c r="H2545" s="33" t="str">
        <x:v>P-4</x:v>
      </x:c>
      <x:c r="I2545" s="33" t="str">
        <x:v>P-4</x:v>
      </x:c>
      <x:c r="J2545" s="33" t="str">
        <x:v>2026-08-20</x:v>
      </x:c>
      <x:c r="K2545" s="33" t="str">
        <x:v>Audit IDs preserved; active tests now address their parent requirements.</x:v>
      </x:c>
    </x:row>
    <x:row r="2546">
      <x:c r="A2546" s="33" t="str">
        <x:v>AUD343</x:v>
      </x:c>
      <x:c r="B2546" s="33" t="str">
        <x:v>Audit Procedure Master</x:v>
      </x:c>
      <x:c r="C2546" s="33" t="str">
        <x:v>Audit Procedure=Review closure status of waste management inspection findings.; Audit Method=Physical Inspection; Risk Focus=Inspection &amp; Display Controls; Remarks=CAPA should be completed.</x:v>
      </x:c>
      <x:c r="D2546" s="33" t="str">
        <x:v>Audit Procedure=Review the applicable licence, order, register, SOP and a sample of records to verify that maintain confidentiality of patient records and prescription information.; Audit Method=Document Review and Sampling; Risk Focus=CA071; Remarks=P-4 normalized to current parent compliance; legacy Audit ID preserved.</x:v>
      </x:c>
      <x:c r="E2546" s="33" t="str">
        <x:v>CORRECT / RECLASSIFY</x:v>
      </x:c>
      <x:c r="F2546" s="33" t="str">
        <x:v>Quarantine inactive descendants and normalize the legacy audit band to its current parent compliance.</x:v>
      </x:c>
      <x:c r="G2546" s="33" t="str">
        <x:v>P-4 execution-chain reconciliation</x:v>
      </x:c>
      <x:c r="H2546" s="33" t="str">
        <x:v>P-4</x:v>
      </x:c>
      <x:c r="I2546" s="33" t="str">
        <x:v>P-4</x:v>
      </x:c>
      <x:c r="J2546" s="33" t="str">
        <x:v>2026-08-20</x:v>
      </x:c>
      <x:c r="K2546" s="33" t="str">
        <x:v>Audit IDs preserved; active tests now address their parent requirements.</x:v>
      </x:c>
    </x:row>
    <x:row r="2547">
      <x:c r="A2547" s="33" t="str">
        <x:v>AUD344</x:v>
      </x:c>
      <x:c r="B2547" s="33" t="str">
        <x:v>Audit Procedure Master</x:v>
      </x:c>
      <x:c r="C2547" s="33" t="str">
        <x:v>Audit Procedure=Verify that waste management SOPs are available and implemented.; Audit Method=Document Review; Risk Focus=Disposal Controls; Remarks=Observe actual practices.</x:v>
      </x:c>
      <x:c r="D2547" s="33" t="str">
        <x:v>Audit Procedure=Select a sample of relevant transactions or events and interview the responsible person to confirm that participate in professional development programmes to maintain competency.; Audit Method=Sampling and Interview; Risk Focus=CA049; Remarks=P-4 normalized to current parent compliance; legacy Audit ID preserved.</x:v>
      </x:c>
      <x:c r="E2547" s="33" t="str">
        <x:v>CORRECT / RECLASSIFY</x:v>
      </x:c>
      <x:c r="F2547" s="33" t="str">
        <x:v>Quarantine inactive descendants and normalize the legacy audit band to its current parent compliance.</x:v>
      </x:c>
      <x:c r="G2547" s="33" t="str">
        <x:v>P-4 execution-chain reconciliation</x:v>
      </x:c>
      <x:c r="H2547" s="33" t="str">
        <x:v>P-4</x:v>
      </x:c>
      <x:c r="I2547" s="33" t="str">
        <x:v>P-4</x:v>
      </x:c>
      <x:c r="J2547" s="33" t="str">
        <x:v>2026-08-20</x:v>
      </x:c>
      <x:c r="K2547" s="33" t="str">
        <x:v>Audit IDs preserved; active tests now address their parent requirements.</x:v>
      </x:c>
    </x:row>
    <x:row r="2548">
      <x:c r="A2548" s="33" t="str">
        <x:v>AUD345</x:v>
      </x:c>
      <x:c r="B2548" s="33" t="str">
        <x:v>Audit Procedure Master</x:v>
      </x:c>
      <x:c r="C2548" s="33" t="str">
        <x:v>Audit Procedure=Interview staff regarding waste management procedures.; Audit Method=Interview; Risk Focus=Personnel Competency; Remarks=Verify understanding of SOPs.</x:v>
      </x:c>
      <x:c r="D2548" s="33" t="str">
        <x:v>Audit Procedure=Review the applicable licence, order, register, SOP and a sample of records to verify that participate in professional development programmes to maintain competency.; Audit Method=Document Review and Sampling; Risk Focus=CA049; Remarks=P-4 normalized to current parent compliance; legacy Audit ID preserved.</x:v>
      </x:c>
      <x:c r="E2548" s="33" t="str">
        <x:v>CORRECT / RECLASSIFY</x:v>
      </x:c>
      <x:c r="F2548" s="33" t="str">
        <x:v>Quarantine inactive descendants and normalize the legacy audit band to its current parent compliance.</x:v>
      </x:c>
      <x:c r="G2548" s="33" t="str">
        <x:v>P-4 execution-chain reconciliation</x:v>
      </x:c>
      <x:c r="H2548" s="33" t="str">
        <x:v>P-4</x:v>
      </x:c>
      <x:c r="I2548" s="33" t="str">
        <x:v>P-4</x:v>
      </x:c>
      <x:c r="J2548" s="33" t="str">
        <x:v>2026-08-20</x:v>
      </x:c>
      <x:c r="K2548" s="33" t="str">
        <x:v>Audit IDs preserved; active tests now address their parent requirements.</x:v>
      </x:c>
    </x:row>
    <x:row r="2549">
      <x:c r="A2549" s="33" t="str">
        <x:v>AUD346</x:v>
      </x:c>
      <x:c r="B2549" s="33" t="str">
        <x:v>Audit Procedure Master</x:v>
      </x:c>
      <x:c r="C2549" s="33" t="str">
        <x:v>Audit Procedure=Verify that personal protective equipment (PPE) is used while handling pharmaceutical waste.; Audit Method=Observation; Risk Focus=Disposal Controls; Remarks=PPE should be appropriate to the task.</x:v>
      </x:c>
      <x:c r="D2549" s="33" t="str">
        <x:v>Audit Procedure=Select a sample of relevant transactions or events and interview the responsible person to confirm that obtain clinical-establishment registration before operation where the establishment role and jurisdiction trigger apply.; Audit Method=Sampling and Interview; Risk Focus=CA056; Remarks=P-4 normalized to current parent compliance; legacy Audit ID preserved.</x:v>
      </x:c>
      <x:c r="E2549" s="33" t="str">
        <x:v>CORRECT / RECLASSIFY</x:v>
      </x:c>
      <x:c r="F2549" s="33" t="str">
        <x:v>Quarantine inactive descendants and normalize the legacy audit band to its current parent compliance.</x:v>
      </x:c>
      <x:c r="G2549" s="33" t="str">
        <x:v>P-4 execution-chain reconciliation</x:v>
      </x:c>
      <x:c r="H2549" s="33" t="str">
        <x:v>P-4</x:v>
      </x:c>
      <x:c r="I2549" s="33" t="str">
        <x:v>P-4</x:v>
      </x:c>
      <x:c r="J2549" s="33" t="str">
        <x:v>2026-08-20</x:v>
      </x:c>
      <x:c r="K2549" s="33" t="str">
        <x:v>Audit IDs preserved; active tests now address their parent requirements.</x:v>
      </x:c>
    </x:row>
    <x:row r="2550">
      <x:c r="A2550" s="33" t="str">
        <x:v>AUD347</x:v>
      </x:c>
      <x:c r="B2550" s="33" t="str">
        <x:v>Audit Procedure Master</x:v>
      </x:c>
      <x:c r="C2550" s="33" t="str">
        <x:v>Audit Procedure=Inspect PPE availability and condition.; Audit Method=Physical Inspection; Risk Focus=General Compliance; Remarks=Replace damaged PPE promptly.</x:v>
      </x:c>
      <x:c r="D2550" s="33" t="str">
        <x:v>Audit Procedure=Review the applicable licence, order, register, SOP and a sample of records to verify that obtain clinical-establishment registration before operation where the establishment role and jurisdiction trigger apply.; Audit Method=Document Review and Sampling; Risk Focus=CA056; Remarks=P-4 normalized to current parent compliance; legacy Audit ID preserved.</x:v>
      </x:c>
      <x:c r="E2550" s="33" t="str">
        <x:v>CORRECT / RECLASSIFY</x:v>
      </x:c>
      <x:c r="F2550" s="33" t="str">
        <x:v>Quarantine inactive descendants and normalize the legacy audit band to its current parent compliance.</x:v>
      </x:c>
      <x:c r="G2550" s="33" t="str">
        <x:v>P-4 execution-chain reconciliation</x:v>
      </x:c>
      <x:c r="H2550" s="33" t="str">
        <x:v>P-4</x:v>
      </x:c>
      <x:c r="I2550" s="33" t="str">
        <x:v>P-4</x:v>
      </x:c>
      <x:c r="J2550" s="33" t="str">
        <x:v>2026-08-20</x:v>
      </x:c>
      <x:c r="K2550" s="33" t="str">
        <x:v>Audit IDs preserved; active tests now address their parent requirements.</x:v>
      </x:c>
    </x:row>
    <x:row r="2551">
      <x:c r="A2551" s="33" t="str">
        <x:v>AUD348</x:v>
      </x:c>
      <x:c r="B2551" s="33" t="str">
        <x:v>Audit Procedure Master</x:v>
      </x:c>
      <x:c r="C2551" s="33" t="str">
        <x:v>Audit Procedure=Verify that waste collection schedules are followed.; Audit Method=Record Verification; Risk Focus=Disposal Controls; Remarks=Delays should be investigated.</x:v>
      </x:c>
      <x:c r="D2551" s="33" t="str">
        <x:v>Audit Procedure=Select a sample of relevant transactions or events and interview the responsible person to confirm that where the clinical-establishment overlay applies, maintain prescribed minimum standards, personnel, records/reporting and emergency-stabilization arrangements.; Audit Method=Sampling and Interview; Risk Focus=CA056; Remarks=P-4 normalized to current parent compliance; legacy Audit ID preserved.</x:v>
      </x:c>
      <x:c r="E2551" s="33" t="str">
        <x:v>CORRECT / RECLASSIFY</x:v>
      </x:c>
      <x:c r="F2551" s="33" t="str">
        <x:v>Quarantine inactive descendants and normalize the legacy audit band to its current parent compliance.</x:v>
      </x:c>
      <x:c r="G2551" s="33" t="str">
        <x:v>P-4 execution-chain reconciliation</x:v>
      </x:c>
      <x:c r="H2551" s="33" t="str">
        <x:v>P-4</x:v>
      </x:c>
      <x:c r="I2551" s="33" t="str">
        <x:v>P-4</x:v>
      </x:c>
      <x:c r="J2551" s="33" t="str">
        <x:v>2026-08-20</x:v>
      </x:c>
      <x:c r="K2551" s="33" t="str">
        <x:v>Audit IDs preserved; active tests now address their parent requirements.</x:v>
      </x:c>
    </x:row>
    <x:row r="2552">
      <x:c r="A2552" s="33" t="str">
        <x:v>AUD349</x:v>
      </x:c>
      <x:c r="B2552" s="33" t="str">
        <x:v>Audit Procedure Master</x:v>
      </x:c>
      <x:c r="C2552" s="33" t="str">
        <x:v>Audit Procedure=Reconcile waste collection records with disposal logs.; Audit Method=Reconciliation; Risk Focus=Disposal Controls; Remarks=Verify completeness.</x:v>
      </x:c>
      <x:c r="D2552" s="33" t="str">
        <x:v>Audit Procedure=Review the applicable licence, order, register, SOP and a sample of records to verify that where the clinical-establishment overlay applies, maintain prescribed minimum standards, personnel, records/reporting and emergency-stabilization arrangements.; Audit Method=Document Review and Sampling; Risk Focus=CA056; Remarks=P-4 normalized to current parent compliance; legacy Audit ID preserved.</x:v>
      </x:c>
      <x:c r="E2552" s="33" t="str">
        <x:v>CORRECT / RECLASSIFY</x:v>
      </x:c>
      <x:c r="F2552" s="33" t="str">
        <x:v>Quarantine inactive descendants and normalize the legacy audit band to its current parent compliance.</x:v>
      </x:c>
      <x:c r="G2552" s="33" t="str">
        <x:v>P-4 execution-chain reconciliation</x:v>
      </x:c>
      <x:c r="H2552" s="33" t="str">
        <x:v>P-4</x:v>
      </x:c>
      <x:c r="I2552" s="33" t="str">
        <x:v>P-4</x:v>
      </x:c>
      <x:c r="J2552" s="33" t="str">
        <x:v>2026-08-20</x:v>
      </x:c>
      <x:c r="K2552" s="33" t="str">
        <x:v>Audit IDs preserved; active tests now address their parent requirements.</x:v>
      </x:c>
    </x:row>
    <x:row r="2553">
      <x:c r="A2553" s="33" t="str">
        <x:v>AUD350</x:v>
      </x:c>
      <x:c r="B2553" s="33" t="str">
        <x:v>Audit Procedure Master</x:v>
      </x:c>
      <x:c r="C2553" s="33" t="str">
        <x:v>Audit Procedure=Verify that regulatory inspections relating to waste management are documented.; Audit Method=Physical Inspection; Risk Focus=Inspection &amp; Display Controls; Remarks=Inspection reports should be retained.</x:v>
      </x:c>
      <x:c r="D2553" s="33" t="str">
        <x:v>Audit Procedure=Select a sample of relevant transactions or events and interview the responsible person to confirm that display the registration certificate and complete applicable renewal/continuation requirements for the clinical establishment.; Audit Method=Sampling and Interview; Risk Focus=CA020; Remarks=P-4 normalized to current parent compliance; legacy Audit ID preserved.</x:v>
      </x:c>
      <x:c r="E2553" s="33" t="str">
        <x:v>CORRECT / RECLASSIFY</x:v>
      </x:c>
      <x:c r="F2553" s="33" t="str">
        <x:v>Quarantine inactive descendants and normalize the legacy audit band to its current parent compliance.</x:v>
      </x:c>
      <x:c r="G2553" s="33" t="str">
        <x:v>P-4 execution-chain reconciliation</x:v>
      </x:c>
      <x:c r="H2553" s="33" t="str">
        <x:v>P-4</x:v>
      </x:c>
      <x:c r="I2553" s="33" t="str">
        <x:v>P-4</x:v>
      </x:c>
      <x:c r="J2553" s="33" t="str">
        <x:v>2026-08-20</x:v>
      </x:c>
      <x:c r="K2553" s="33" t="str">
        <x:v>Audit IDs preserved; active tests now address their parent requirements.</x:v>
      </x:c>
    </x:row>
    <x:row r="2554">
      <x:c r="A2554" s="33" t="str">
        <x:v>AUD351</x:v>
      </x:c>
      <x:c r="B2554" s="33" t="str">
        <x:v>Audit Procedure Master</x:v>
      </x:c>
      <x:c r="C2554" s="33" t="str">
        <x:v>Audit Procedure=Review compliance status of waste management inspection observations.; Audit Method=Physical Inspection; Risk Focus=Inspection &amp; Display Controls; Remarks=Track corrective actions.</x:v>
      </x:c>
      <x:c r="D2554" s="33" t="str">
        <x:v>Audit Procedure=Review the applicable licence, order, register, SOP and a sample of records to verify that display the registration certificate and complete applicable renewal/continuation requirements for the clinical establishment.; Audit Method=Document Review and Sampling; Risk Focus=CA020; Remarks=P-4 normalized to current parent compliance; legacy Audit ID preserved.</x:v>
      </x:c>
      <x:c r="E2554" s="33" t="str">
        <x:v>CORRECT / RECLASSIFY</x:v>
      </x:c>
      <x:c r="F2554" s="33" t="str">
        <x:v>Quarantine inactive descendants and normalize the legacy audit band to its current parent compliance.</x:v>
      </x:c>
      <x:c r="G2554" s="33" t="str">
        <x:v>P-4 execution-chain reconciliation</x:v>
      </x:c>
      <x:c r="H2554" s="33" t="str">
        <x:v>P-4</x:v>
      </x:c>
      <x:c r="I2554" s="33" t="str">
        <x:v>P-4</x:v>
      </x:c>
      <x:c r="J2554" s="33" t="str">
        <x:v>2026-08-20</x:v>
      </x:c>
      <x:c r="K2554" s="33" t="str">
        <x:v>Audit IDs preserved; active tests now address their parent requirements.</x:v>
      </x:c>
    </x:row>
    <x:row r="2555">
      <x:c r="A2555" s="33" t="str">
        <x:v>AUD398</x:v>
      </x:c>
      <x:c r="B2555" s="33" t="str">
        <x:v>Audit Procedure Master</x:v>
      </x:c>
      <x:c r="C2555" s="33" t="str">
        <x:v>Audit Procedure=Verify that personnel records are retained for the prescribed retention period.; Audit Method=Record Verification; Risk Focus=Personnel Competency; Remarks=Records should remain retrievable.</x:v>
      </x:c>
      <x:c r="D2555" s="33" t="str">
        <x:v>Audit Procedure=Select a sample of relevant transactions or events and interview the responsible person to confirm that before release, substantiate all objective claims and ensure the advertisement is truthful and not misleading by implication, omission, exaggeration or ambiguity.; Audit Method=Sampling and Interview; Risk Focus=CA064; Remarks=P-4 normalized to current parent compliance; legacy Audit ID preserved.</x:v>
      </x:c>
      <x:c r="E2555" s="33" t="str">
        <x:v>CORRECT / RECLASSIFY</x:v>
      </x:c>
      <x:c r="F2555" s="33" t="str">
        <x:v>Quarantine inactive descendants and normalize the legacy audit band to its current parent compliance.</x:v>
      </x:c>
      <x:c r="G2555" s="33" t="str">
        <x:v>P-4 execution-chain reconciliation</x:v>
      </x:c>
      <x:c r="H2555" s="33" t="str">
        <x:v>P-4</x:v>
      </x:c>
      <x:c r="I2555" s="33" t="str">
        <x:v>P-4</x:v>
      </x:c>
      <x:c r="J2555" s="33" t="str">
        <x:v>2026-08-20</x:v>
      </x:c>
      <x:c r="K2555" s="33" t="str">
        <x:v>Audit IDs preserved; active tests now address their parent requirements.</x:v>
      </x:c>
    </x:row>
    <x:row r="2556">
      <x:c r="A2556" s="33" t="str">
        <x:v>AUD399</x:v>
      </x:c>
      <x:c r="B2556" s="33" t="str">
        <x:v>Audit Procedure Master</x:v>
      </x:c>
      <x:c r="C2556" s="33" t="str">
        <x:v>Audit Procedure=Inspect archived personnel records for completeness.; Audit Method=Physical Inspection; Risk Focus=Personnel Competency; Remarks=Verify preservation controls.</x:v>
      </x:c>
      <x:c r="D2556" s="33" t="str">
        <x:v>Audit Procedure=Review the applicable licence, order, register, SOP and a sample of records to verify that before release, substantiate all objective claims and ensure the advertisement is truthful and not misleading by implication, omission, exaggeration or ambiguity.; Audit Method=Document Review and Sampling; Risk Focus=CA064; Remarks=P-4 normalized to current parent compliance; legacy Audit ID preserved.</x:v>
      </x:c>
      <x:c r="E2556" s="33" t="str">
        <x:v>CORRECT / RECLASSIFY</x:v>
      </x:c>
      <x:c r="F2556" s="33" t="str">
        <x:v>Quarantine inactive descendants and normalize the legacy audit band to its current parent compliance.</x:v>
      </x:c>
      <x:c r="G2556" s="33" t="str">
        <x:v>P-4 execution-chain reconciliation</x:v>
      </x:c>
      <x:c r="H2556" s="33" t="str">
        <x:v>P-4</x:v>
      </x:c>
      <x:c r="I2556" s="33" t="str">
        <x:v>P-4</x:v>
      </x:c>
      <x:c r="J2556" s="33" t="str">
        <x:v>2026-08-20</x:v>
      </x:c>
      <x:c r="K2556" s="33" t="str">
        <x:v>Audit IDs preserved; active tests now address their parent requirements.</x:v>
      </x:c>
    </x:row>
    <x:row r="2557">
      <x:c r="A2557" s="33" t="str">
        <x:v>AUD400</x:v>
      </x:c>
      <x:c r="B2557" s="33" t="str">
        <x:v>Audit Procedure Master</x:v>
      </x:c>
      <x:c r="C2557" s="33" t="str">
        <x:v>Audit Procedure=Verify that employee confidentiality obligations are documented and acknowledged.; Audit Method=Document Review; Risk Focus=Recordkeeping; Remarks=Signed confidentiality agreements should be available.</x:v>
      </x:c>
      <x:c r="D2557" s="33" t="str">
        <x:v>Audit Procedure=Select a sample of relevant transactions or events and interview the responsible person to confirm that use only clear, prominent disclaimers that do not conceal material information or contradict the main claim.; Audit Method=Sampling and Interview; Risk Focus=CA064; Remarks=P-4 normalized to current parent compliance; legacy Audit ID preserved.</x:v>
      </x:c>
      <x:c r="E2557" s="33" t="str">
        <x:v>CORRECT / RECLASSIFY</x:v>
      </x:c>
      <x:c r="F2557" s="33" t="str">
        <x:v>Quarantine inactive descendants and normalize the legacy audit band to its current parent compliance.</x:v>
      </x:c>
      <x:c r="G2557" s="33" t="str">
        <x:v>P-4 execution-chain reconciliation</x:v>
      </x:c>
      <x:c r="H2557" s="33" t="str">
        <x:v>P-4</x:v>
      </x:c>
      <x:c r="I2557" s="33" t="str">
        <x:v>P-4</x:v>
      </x:c>
      <x:c r="J2557" s="33" t="str">
        <x:v>2026-08-20</x:v>
      </x:c>
      <x:c r="K2557" s="33" t="str">
        <x:v>Audit IDs preserved; active tests now address their parent requirements.</x:v>
      </x:c>
    </x:row>
    <x:row r="2558">
      <x:c r="A2558" s="33" t="str">
        <x:v>AUD401</x:v>
      </x:c>
      <x:c r="B2558" s="33" t="str">
        <x:v>Audit Procedure Master</x:v>
      </x:c>
      <x:c r="C2558" s="33" t="str">
        <x:v>Audit Procedure=Review confidentiality agreement records.; Audit Method=Record Verification; Risk Focus=Recordkeeping; Remarks=Agreements should be current.</x:v>
      </x:c>
      <x:c r="D2558" s="33" t="str">
        <x:v>Audit Procedure=Review the applicable licence, order, register, SOP and a sample of records to verify that use only clear, prominent disclaimers that do not conceal material information or contradict the main claim.; Audit Method=Document Review and Sampling; Risk Focus=CA064; Remarks=P-4 normalized to current parent compliance; legacy Audit ID preserved.</x:v>
      </x:c>
      <x:c r="E2558" s="33" t="str">
        <x:v>CORRECT / RECLASSIFY</x:v>
      </x:c>
      <x:c r="F2558" s="33" t="str">
        <x:v>Quarantine inactive descendants and normalize the legacy audit band to its current parent compliance.</x:v>
      </x:c>
      <x:c r="G2558" s="33" t="str">
        <x:v>P-4 execution-chain reconciliation</x:v>
      </x:c>
      <x:c r="H2558" s="33" t="str">
        <x:v>P-4</x:v>
      </x:c>
      <x:c r="I2558" s="33" t="str">
        <x:v>P-4</x:v>
      </x:c>
      <x:c r="J2558" s="33" t="str">
        <x:v>2026-08-20</x:v>
      </x:c>
      <x:c r="K2558" s="33" t="str">
        <x:v>Audit IDs preserved; active tests now address their parent requirements.</x:v>
      </x:c>
    </x:row>
    <x:row r="2559">
      <x:c r="A2559" s="33" t="str">
        <x:v>AUD402</x:v>
      </x:c>
      <x:c r="B2559" s="33" t="str">
        <x:v>Audit Procedure Master</x:v>
      </x:c>
      <x:c r="C2559" s="33" t="str">
        <x:v>Audit Procedure=Verify that employee performance evaluations include regulatory compliance responsibilities.; Audit Method=Document Review; Risk Focus=General Compliance; Remarks=Compliance objectives should be measurable.</x:v>
      </x:c>
      <x:c r="D2559" s="33" t="str">
        <x:v>Audit Procedure=Select a sample of relevant transactions or events and interview the responsible person to confirm that do not advertise a product/service prohibited by law and document endorsement due diligence where an endorsement is used.; Audit Method=Sampling and Interview; Risk Focus=CA064; Remarks=P-4 normalized to current parent compliance; legacy Audit ID preserved.</x:v>
      </x:c>
      <x:c r="E2559" s="33" t="str">
        <x:v>CORRECT / RECLASSIFY</x:v>
      </x:c>
      <x:c r="F2559" s="33" t="str">
        <x:v>Quarantine inactive descendants and normalize the legacy audit band to its current parent compliance.</x:v>
      </x:c>
      <x:c r="G2559" s="33" t="str">
        <x:v>P-4 execution-chain reconciliation</x:v>
      </x:c>
      <x:c r="H2559" s="33" t="str">
        <x:v>P-4</x:v>
      </x:c>
      <x:c r="I2559" s="33" t="str">
        <x:v>P-4</x:v>
      </x:c>
      <x:c r="J2559" s="33" t="str">
        <x:v>2026-08-20</x:v>
      </x:c>
      <x:c r="K2559" s="33" t="str">
        <x:v>Audit IDs preserved; active tests now address their parent requirements.</x:v>
      </x:c>
    </x:row>
    <x:row r="2560">
      <x:c r="A2560" s="33" t="str">
        <x:v>AUD403</x:v>
      </x:c>
      <x:c r="B2560" s="33" t="str">
        <x:v>Audit Procedure Master</x:v>
      </x:c>
      <x:c r="C2560" s="33" t="str">
        <x:v>Audit Procedure=Review completed performance evaluation records.; Audit Method=Record Verification; Risk Focus=Recordkeeping; Remarks=Verify supervisory approval.</x:v>
      </x:c>
      <x:c r="D2560" s="33" t="str">
        <x:v>Audit Procedure=Review the applicable licence, order, register, SOP and a sample of records to verify that do not advertise a product/service prohibited by law and document endorsement due diligence where an endorsement is used.; Audit Method=Document Review and Sampling; Risk Focus=CA064; Remarks=P-4 normalized to current parent compliance; legacy Audit ID preserved.</x:v>
      </x:c>
      <x:c r="E2560" s="33" t="str">
        <x:v>CORRECT / RECLASSIFY</x:v>
      </x:c>
      <x:c r="F2560" s="33" t="str">
        <x:v>Quarantine inactive descendants and normalize the legacy audit band to its current parent compliance.</x:v>
      </x:c>
      <x:c r="G2560" s="33" t="str">
        <x:v>P-4 execution-chain reconciliation</x:v>
      </x:c>
      <x:c r="H2560" s="33" t="str">
        <x:v>P-4</x:v>
      </x:c>
      <x:c r="I2560" s="33" t="str">
        <x:v>P-4</x:v>
      </x:c>
      <x:c r="J2560" s="33" t="str">
        <x:v>2026-08-20</x:v>
      </x:c>
      <x:c r="K2560" s="33" t="str">
        <x:v>Audit IDs preserved; active tests now address their parent requirements.</x:v>
      </x:c>
    </x:row>
    <x:row r="2561">
      <x:c r="A2561" s="33" t="str">
        <x:v>AUD404</x:v>
      </x:c>
      <x:c r="B2561" s="33" t="str">
        <x:v>Audit Procedure Master</x:v>
      </x:c>
      <x:c r="C2561" s="33" t="str">
        <x:v>Audit Procedure=Verify that internal inspections include personnel compliance controls.; Audit Method=Physical Inspection; Risk Focus=Personnel Competency; Remarks=Inspection scope should include HR compliance.</x:v>
      </x:c>
      <x:c r="D2561" s="33" t="str">
        <x:v>Audit Procedure=Select a sample of relevant transactions or events and interview the responsible person to confirm that do not advertise a drug for the section 3/Schedule prohibited purposes, diseases or conditions.; Audit Method=Sampling and Interview; Risk Focus=CA064; Remarks=P-4 normalized to current parent compliance; legacy Audit ID preserved.</x:v>
      </x:c>
      <x:c r="E2561" s="33" t="str">
        <x:v>CORRECT / RECLASSIFY</x:v>
      </x:c>
      <x:c r="F2561" s="33" t="str">
        <x:v>Quarantine inactive descendants and normalize the legacy audit band to its current parent compliance.</x:v>
      </x:c>
      <x:c r="G2561" s="33" t="str">
        <x:v>P-4 execution-chain reconciliation</x:v>
      </x:c>
      <x:c r="H2561" s="33" t="str">
        <x:v>P-4</x:v>
      </x:c>
      <x:c r="I2561" s="33" t="str">
        <x:v>P-4</x:v>
      </x:c>
      <x:c r="J2561" s="33" t="str">
        <x:v>2026-08-20</x:v>
      </x:c>
      <x:c r="K2561" s="33" t="str">
        <x:v>Audit IDs preserved; active tests now address their parent requirements.</x:v>
      </x:c>
    </x:row>
    <x:row r="2562">
      <x:c r="A2562" s="33" t="str">
        <x:v>AUD405</x:v>
      </x:c>
      <x:c r="B2562" s="33" t="str">
        <x:v>Audit Procedure Master</x:v>
      </x:c>
      <x:c r="C2562" s="33" t="str">
        <x:v>Audit Procedure=Review corrective actions arising from personnel inspections.; Audit Method=Physical Inspection; Risk Focus=Personnel Competency; Remarks=Confirm timely closure.</x:v>
      </x:c>
      <x:c r="D2562" s="33" t="str">
        <x:v>Audit Procedure=Review the applicable licence, order, register, SOP and a sample of records to verify that do not advertise a drug for the section 3/Schedule prohibited purposes, diseases or conditions.; Audit Method=Document Review and Sampling; Risk Focus=CA064; Remarks=P-4 normalized to current parent compliance; legacy Audit ID preserved.</x:v>
      </x:c>
      <x:c r="E2562" s="33" t="str">
        <x:v>CORRECT / RECLASSIFY</x:v>
      </x:c>
      <x:c r="F2562" s="33" t="str">
        <x:v>Quarantine inactive descendants and normalize the legacy audit band to its current parent compliance.</x:v>
      </x:c>
      <x:c r="G2562" s="33" t="str">
        <x:v>P-4 execution-chain reconciliation</x:v>
      </x:c>
      <x:c r="H2562" s="33" t="str">
        <x:v>P-4</x:v>
      </x:c>
      <x:c r="I2562" s="33" t="str">
        <x:v>P-4</x:v>
      </x:c>
      <x:c r="J2562" s="33" t="str">
        <x:v>2026-08-20</x:v>
      </x:c>
      <x:c r="K2562" s="33" t="str">
        <x:v>Audit IDs preserved; active tests now address their parent requirements.</x:v>
      </x:c>
    </x:row>
    <x:row r="2563">
      <x:c r="A2563" s="33" t="str">
        <x:v>AUD406</x:v>
      </x:c>
      <x:c r="B2563" s="33" t="str">
        <x:v>Audit Procedure Master</x:v>
      </x:c>
      <x:c r="C2563" s="33" t="str">
        <x:v>Audit Procedure=Verify that regulatory inspection observations relating to personnel management are addressed.; Audit Method=Physical Inspection; Risk Focus=Personnel Competency; Remarks=Track CAPA implementation.</x:v>
      </x:c>
      <x:c r="D2563" s="33" t="str">
        <x:v>Audit Procedure=Select a sample of relevant transactions or events and interview the responsible person to confirm that do not issue a drug advertisement that gives a false impression, makes a false claim or is otherwise materially false/misleading.; Audit Method=Sampling and Interview; Risk Focus=CA064; Remarks=P-4 normalized to current parent compliance; legacy Audit ID preserved.</x:v>
      </x:c>
      <x:c r="E2563" s="33" t="str">
        <x:v>CORRECT / RECLASSIFY</x:v>
      </x:c>
      <x:c r="F2563" s="33" t="str">
        <x:v>Quarantine inactive descendants and normalize the legacy audit band to its current parent compliance.</x:v>
      </x:c>
      <x:c r="G2563" s="33" t="str">
        <x:v>P-4 execution-chain reconciliation</x:v>
      </x:c>
      <x:c r="H2563" s="33" t="str">
        <x:v>P-4</x:v>
      </x:c>
      <x:c r="I2563" s="33" t="str">
        <x:v>P-4</x:v>
      </x:c>
      <x:c r="J2563" s="33" t="str">
        <x:v>2026-08-20</x:v>
      </x:c>
      <x:c r="K2563" s="33" t="str">
        <x:v>Audit IDs preserved; active tests now address their parent requirements.</x:v>
      </x:c>
    </x:row>
    <x:row r="2564">
      <x:c r="A2564" s="33" t="str">
        <x:v>AUD407</x:v>
      </x:c>
      <x:c r="B2564" s="33" t="str">
        <x:v>Audit Procedure Master</x:v>
      </x:c>
      <x:c r="C2564" s="33" t="str">
        <x:v>Audit Procedure=Review documentary evidence supporting closure of personnel-related observations.; Audit Method=Observation; Risk Focus=Personnel Competency; Remarks=Evidence should be retained.</x:v>
      </x:c>
      <x:c r="D2564" s="33" t="str">
        <x:v>Audit Procedure=Review the applicable licence, order, register, SOP and a sample of records to verify that do not issue a drug advertisement that gives a false impression, makes a false claim or is otherwise materially false/misleading.; Audit Method=Document Review and Sampling; Risk Focus=CA064; Remarks=P-4 normalized to current parent compliance; legacy Audit ID preserved.</x:v>
      </x:c>
      <x:c r="E2564" s="33" t="str">
        <x:v>CORRECT / RECLASSIFY</x:v>
      </x:c>
      <x:c r="F2564" s="33" t="str">
        <x:v>Quarantine inactive descendants and normalize the legacy audit band to its current parent compliance.</x:v>
      </x:c>
      <x:c r="G2564" s="33" t="str">
        <x:v>P-4 execution-chain reconciliation</x:v>
      </x:c>
      <x:c r="H2564" s="33" t="str">
        <x:v>P-4</x:v>
      </x:c>
      <x:c r="I2564" s="33" t="str">
        <x:v>P-4</x:v>
      </x:c>
      <x:c r="J2564" s="33" t="str">
        <x:v>2026-08-20</x:v>
      </x:c>
      <x:c r="K2564" s="33" t="str">
        <x:v>Audit IDs preserved; active tests now address their parent requirements.</x:v>
      </x:c>
    </x:row>
    <x:row r="2565">
      <x:c r="A2565" s="33" t="str">
        <x:v>AUD440</x:v>
      </x:c>
      <x:c r="B2565" s="33" t="str">
        <x:v>Audit Procedure Master</x:v>
      </x:c>
      <x:c r="C2565" s="33" t="str">
        <x:v>Audit Procedure=Verify that electronic records are backed up according to the approved backup schedule.; Audit Method=System Verification; Risk Focus=Recordkeeping; Remarks=Backup restoration should be periodically tested.</x:v>
      </x:c>
      <x:c r="D2565" s="33" t="str">
        <x:v>Audit Procedure=Select a sample of relevant transactions or events and interview the responsible person to confirm that if the OSHWC Code applies, maintain the covered workplace-safety/health controls, provide required information/instruction and meet notified standards.; Audit Method=Sampling and Interview; Risk Focus=CA044; Remarks=P-4 normalized to current parent compliance; legacy Audit ID preserved.</x:v>
      </x:c>
      <x:c r="E2565" s="33" t="str">
        <x:v>CORRECT / RECLASSIFY</x:v>
      </x:c>
      <x:c r="F2565" s="33" t="str">
        <x:v>Quarantine inactive descendants and normalize the legacy audit band to its current parent compliance.</x:v>
      </x:c>
      <x:c r="G2565" s="33" t="str">
        <x:v>P-4 execution-chain reconciliation</x:v>
      </x:c>
      <x:c r="H2565" s="33" t="str">
        <x:v>P-4</x:v>
      </x:c>
      <x:c r="I2565" s="33" t="str">
        <x:v>P-4</x:v>
      </x:c>
      <x:c r="J2565" s="33" t="str">
        <x:v>2026-08-20</x:v>
      </x:c>
      <x:c r="K2565" s="33" t="str">
        <x:v>Audit IDs preserved; active tests now address their parent requirements.</x:v>
      </x:c>
    </x:row>
    <x:row r="2566">
      <x:c r="A2566" s="33" t="str">
        <x:v>AUD441</x:v>
      </x:c>
      <x:c r="B2566" s="33" t="str">
        <x:v>Audit Procedure Master</x:v>
      </x:c>
      <x:c r="C2566" s="33" t="str">
        <x:v>Audit Procedure=Review backup logs and restoration test reports.; Audit Method=Record Verification; Risk Focus=Recordkeeping; Remarks=Verify successful completion.</x:v>
      </x:c>
      <x:c r="D2566" s="33" t="str">
        <x:v>Audit Procedure=Review the applicable licence, order, register, SOP and a sample of records to verify that if the OSHWC Code applies, maintain the covered workplace-safety/health controls, provide required information/instruction and meet notified standards.; Audit Method=Document Review and Sampling; Risk Focus=CA044; Remarks=P-4 normalized to current parent compliance; legacy Audit ID preserved.</x:v>
      </x:c>
      <x:c r="E2566" s="33" t="str">
        <x:v>CORRECT / RECLASSIFY</x:v>
      </x:c>
      <x:c r="F2566" s="33" t="str">
        <x:v>Quarantine inactive descendants and normalize the legacy audit band to its current parent compliance.</x:v>
      </x:c>
      <x:c r="G2566" s="33" t="str">
        <x:v>P-4 execution-chain reconciliation</x:v>
      </x:c>
      <x:c r="H2566" s="33" t="str">
        <x:v>P-4</x:v>
      </x:c>
      <x:c r="I2566" s="33" t="str">
        <x:v>P-4</x:v>
      </x:c>
      <x:c r="J2566" s="33" t="str">
        <x:v>2026-08-20</x:v>
      </x:c>
      <x:c r="K2566" s="33" t="str">
        <x:v>Audit IDs preserved; active tests now address their parent requirements.</x:v>
      </x:c>
    </x:row>
    <x:row r="2567">
      <x:c r="A2567" s="33" t="str">
        <x:v>AUD442</x:v>
      </x:c>
      <x:c r="B2567" s="33" t="str">
        <x:v>Audit Procedure Master</x:v>
      </x:c>
      <x:c r="C2567" s="33" t="str">
        <x:v>Audit Procedure=Verify that document retention periods comply with statutory and organizational requirements.; Audit Method=Document Review; Risk Focus=Recordkeeping; Remarks=Retention schedule should be approved.</x:v>
      </x:c>
      <x:c r="D2567" s="33" t="str">
        <x:v>Audit Procedure=Select a sample of relevant transactions or events and interview the responsible person to confirm that if covered, implement the applicable welfare, working-time and employee information/appointment-letter controls under the Code and 2026 Rules.; Audit Method=Sampling and Interview; Risk Focus=CA044; Remarks=P-4 normalized to current parent compliance; legacy Audit ID preserved.</x:v>
      </x:c>
      <x:c r="E2567" s="33" t="str">
        <x:v>CORRECT / RECLASSIFY</x:v>
      </x:c>
      <x:c r="F2567" s="33" t="str">
        <x:v>Quarantine inactive descendants and normalize the legacy audit band to its current parent compliance.</x:v>
      </x:c>
      <x:c r="G2567" s="33" t="str">
        <x:v>P-4 execution-chain reconciliation</x:v>
      </x:c>
      <x:c r="H2567" s="33" t="str">
        <x:v>P-4</x:v>
      </x:c>
      <x:c r="I2567" s="33" t="str">
        <x:v>P-4</x:v>
      </x:c>
      <x:c r="J2567" s="33" t="str">
        <x:v>2026-08-20</x:v>
      </x:c>
      <x:c r="K2567" s="33" t="str">
        <x:v>Audit IDs preserved; active tests now address their parent requirements.</x:v>
      </x:c>
    </x:row>
    <x:row r="2568">
      <x:c r="A2568" s="33" t="str">
        <x:v>AUD443</x:v>
      </x:c>
      <x:c r="B2568" s="33" t="str">
        <x:v>Audit Procedure Master</x:v>
      </x:c>
      <x:c r="C2568" s="33" t="str">
        <x:v>Audit Procedure=Inspect archived records for compliance with retention requirements.; Audit Method=Physical Inspection; Risk Focus=Recordkeeping; Remarks=Records should remain retrievable.</x:v>
      </x:c>
      <x:c r="D2568" s="33" t="str">
        <x:v>Audit Procedure=Review the applicable licence, order, register, SOP and a sample of records to verify that if covered, implement the applicable welfare, working-time and employee information/appointment-letter controls under the Code and 2026 Rules.; Audit Method=Document Review and Sampling; Risk Focus=CA044; Remarks=P-4 normalized to current parent compliance; legacy Audit ID preserved.</x:v>
      </x:c>
      <x:c r="E2568" s="33" t="str">
        <x:v>CORRECT / RECLASSIFY</x:v>
      </x:c>
      <x:c r="F2568" s="33" t="str">
        <x:v>Quarantine inactive descendants and normalize the legacy audit band to its current parent compliance.</x:v>
      </x:c>
      <x:c r="G2568" s="33" t="str">
        <x:v>P-4 execution-chain reconciliation</x:v>
      </x:c>
      <x:c r="H2568" s="33" t="str">
        <x:v>P-4</x:v>
      </x:c>
      <x:c r="I2568" s="33" t="str">
        <x:v>P-4</x:v>
      </x:c>
      <x:c r="J2568" s="33" t="str">
        <x:v>2026-08-20</x:v>
      </x:c>
      <x:c r="K2568" s="33" t="str">
        <x:v>Audit IDs preserved; active tests now address their parent requirements.</x:v>
      </x:c>
    </x:row>
    <x:row r="2569">
      <x:c r="A2569" s="33" t="str">
        <x:v>AUD444</x:v>
      </x:c>
      <x:c r="B2569" s="33" t="str">
        <x:v>Audit Procedure Master</x:v>
      </x:c>
      <x:c r="C2569" s="33" t="str">
        <x:v>Audit Procedure=Verify that confidential records are securely stored and protected from unauthorized access.; Audit Method=Physical Inspection; Risk Focus=Recordkeeping; Remarks=Apply physical and electronic security controls.</x:v>
      </x:c>
      <x:c r="D2569" s="33" t="str">
        <x:v>Audit Procedure=Select a sample of relevant transactions or events and interview the responsible person to confirm that report and record only the occupational accidents/dangerous occurrences prescribed for the covered establishment within the statutory timeline.; Audit Method=Sampling and Interview; Risk Focus=CA044; Remarks=P-4 normalized to current parent compliance; legacy Audit ID preserved.</x:v>
      </x:c>
      <x:c r="E2569" s="33" t="str">
        <x:v>CORRECT / RECLASSIFY</x:v>
      </x:c>
      <x:c r="F2569" s="33" t="str">
        <x:v>Quarantine inactive descendants and normalize the legacy audit band to its current parent compliance.</x:v>
      </x:c>
      <x:c r="G2569" s="33" t="str">
        <x:v>P-4 execution-chain reconciliation</x:v>
      </x:c>
      <x:c r="H2569" s="33" t="str">
        <x:v>P-4</x:v>
      </x:c>
      <x:c r="I2569" s="33" t="str">
        <x:v>P-4</x:v>
      </x:c>
      <x:c r="J2569" s="33" t="str">
        <x:v>2026-08-20</x:v>
      </x:c>
      <x:c r="K2569" s="33" t="str">
        <x:v>Audit IDs preserved; active tests now address their parent requirements.</x:v>
      </x:c>
    </x:row>
    <x:row r="2570">
      <x:c r="A2570" s="33" t="str">
        <x:v>AUD445</x:v>
      </x:c>
      <x:c r="B2570" s="33" t="str">
        <x:v>Audit Procedure Master</x:v>
      </x:c>
      <x:c r="C2570" s="33" t="str">
        <x:v>Audit Procedure=Review access authorization records for confidential documents.; Audit Method=Record Verification; Risk Focus=Recordkeeping; Remarks=Access should be role-based.</x:v>
      </x:c>
      <x:c r="D2570" s="33" t="str">
        <x:v>Audit Procedure=Review the applicable licence, order, register, SOP and a sample of records to verify that report and record only the occupational accidents/dangerous occurrences prescribed for the covered establishment within the statutory timeline.; Audit Method=Document Review and Sampling; Risk Focus=CA044; Remarks=P-4 normalized to current parent compliance; legacy Audit ID preserved.</x:v>
      </x:c>
      <x:c r="E2570" s="33" t="str">
        <x:v>CORRECT / RECLASSIFY</x:v>
      </x:c>
      <x:c r="F2570" s="33" t="str">
        <x:v>Quarantine inactive descendants and normalize the legacy audit band to its current parent compliance.</x:v>
      </x:c>
      <x:c r="G2570" s="33" t="str">
        <x:v>P-4 execution-chain reconciliation</x:v>
      </x:c>
      <x:c r="H2570" s="33" t="str">
        <x:v>P-4</x:v>
      </x:c>
      <x:c r="I2570" s="33" t="str">
        <x:v>P-4</x:v>
      </x:c>
      <x:c r="J2570" s="33" t="str">
        <x:v>2026-08-20</x:v>
      </x:c>
      <x:c r="K2570" s="33" t="str">
        <x:v>Audit IDs preserved; active tests now address their parent requirements.</x:v>
      </x:c>
    </x:row>
    <x:row r="2571">
      <x:c r="A2571" s="33" t="str">
        <x:v>AUD446</x:v>
      </x:c>
      <x:c r="B2571" s="33" t="str">
        <x:v>Audit Procedure Master</x:v>
      </x:c>
      <x:c r="C2571" s="33" t="str">
        <x:v>Audit Procedure=Verify that destroyed records are disposed of only after expiry of the approved retention period.; Audit Method=Record Verification; Risk Focus=Inventory Controls; Remarks=Disposal authorization should be documented.</x:v>
      </x:c>
      <x:c r="D2571" s="33" t="str">
        <x:v>Audit Procedure=Select a sample of relevant transactions or events and interview the responsible person to confirm that perform temperature mapping of storage areas before commissioning and after major modifications.; Audit Method=Sampling and Interview; Risk Focus=CA008; Remarks=P-4 normalized to current parent compliance; legacy Audit ID preserved.</x:v>
      </x:c>
      <x:c r="E2571" s="33" t="str">
        <x:v>CORRECT / RECLASSIFY</x:v>
      </x:c>
      <x:c r="F2571" s="33" t="str">
        <x:v>Quarantine inactive descendants and normalize the legacy audit band to its current parent compliance.</x:v>
      </x:c>
      <x:c r="G2571" s="33" t="str">
        <x:v>P-4 execution-chain reconciliation</x:v>
      </x:c>
      <x:c r="H2571" s="33" t="str">
        <x:v>P-4</x:v>
      </x:c>
      <x:c r="I2571" s="33" t="str">
        <x:v>P-4</x:v>
      </x:c>
      <x:c r="J2571" s="33" t="str">
        <x:v>2026-08-20</x:v>
      </x:c>
      <x:c r="K2571" s="33" t="str">
        <x:v>Audit IDs preserved; active tests now address their parent requirements.</x:v>
      </x:c>
    </x:row>
    <x:row r="2572">
      <x:c r="A2572" s="33" t="str">
        <x:v>AUD447</x:v>
      </x:c>
      <x:c r="B2572" s="33" t="str">
        <x:v>Audit Procedure Master</x:v>
      </x:c>
      <x:c r="C2572" s="33" t="str">
        <x:v>Audit Procedure=Review record destruction certificates and approvals.; Audit Method=Record Verification; Risk Focus=Recordkeeping; Remarks=Maintain destruction logs.</x:v>
      </x:c>
      <x:c r="D2572" s="33" t="str">
        <x:v>Audit Procedure=Review the applicable licence, order, register, SOP and a sample of records to verify that perform temperature mapping of storage areas before commissioning and after major modifications.; Audit Method=Document Review and Sampling; Risk Focus=CA008; Remarks=P-4 normalized to current parent compliance; legacy Audit ID preserved.</x:v>
      </x:c>
      <x:c r="E2572" s="33" t="str">
        <x:v>CORRECT / RECLASSIFY</x:v>
      </x:c>
      <x:c r="F2572" s="33" t="str">
        <x:v>Quarantine inactive descendants and normalize the legacy audit band to its current parent compliance.</x:v>
      </x:c>
      <x:c r="G2572" s="33" t="str">
        <x:v>P-4 execution-chain reconciliation</x:v>
      </x:c>
      <x:c r="H2572" s="33" t="str">
        <x:v>P-4</x:v>
      </x:c>
      <x:c r="I2572" s="33" t="str">
        <x:v>P-4</x:v>
      </x:c>
      <x:c r="J2572" s="33" t="str">
        <x:v>2026-08-20</x:v>
      </x:c>
      <x:c r="K2572" s="33" t="str">
        <x:v>Audit IDs preserved; active tests now address their parent requirements.</x:v>
      </x:c>
    </x:row>
    <x:row r="2573">
      <x:c r="A2573" s="33" t="str">
        <x:v>AUD448</x:v>
      </x:c>
      <x:c r="B2573" s="33" t="str">
        <x:v>Audit Procedure Master</x:v>
      </x:c>
      <x:c r="C2573" s="33" t="str">
        <x:v>Audit Procedure=Verify that document issuance and retrieval are controlled through approved procedures.; Audit Method=Document Review; Risk Focus=SOP &amp; Training; Remarks=Assess end-to-end document control process.</x:v>
      </x:c>
      <x:c r="D2573" s="33" t="str">
        <x:v>Audit Procedure=Select a sample of relevant transactions or events and interview the responsible person to confirm that revalidate temperature mapping periodically and after significant changes to storage conditions.; Audit Method=Sampling and Interview; Risk Focus=CA008; Remarks=P-4 normalized to current parent compliance; legacy Audit ID preserved.</x:v>
      </x:c>
      <x:c r="E2573" s="33" t="str">
        <x:v>CORRECT / RECLASSIFY</x:v>
      </x:c>
      <x:c r="F2573" s="33" t="str">
        <x:v>Quarantine inactive descendants and normalize the legacy audit band to its current parent compliance.</x:v>
      </x:c>
      <x:c r="G2573" s="33" t="str">
        <x:v>P-4 execution-chain reconciliation</x:v>
      </x:c>
      <x:c r="H2573" s="33" t="str">
        <x:v>P-4</x:v>
      </x:c>
      <x:c r="I2573" s="33" t="str">
        <x:v>P-4</x:v>
      </x:c>
      <x:c r="J2573" s="33" t="str">
        <x:v>2026-08-20</x:v>
      </x:c>
      <x:c r="K2573" s="33" t="str">
        <x:v>Audit IDs preserved; active tests now address their parent requirements.</x:v>
      </x:c>
    </x:row>
    <x:row r="2574">
      <x:c r="A2574" s="33" t="str">
        <x:v>AUD449</x:v>
      </x:c>
      <x:c r="B2574" s="33" t="str">
        <x:v>Audit Procedure Master</x:v>
      </x:c>
      <x:c r="C2574" s="33" t="str">
        <x:v>Audit Procedure=Review document issue and return registers.; Audit Method=Record Verification; Risk Focus=Inventory Controls; Remarks=Verify completeness.</x:v>
      </x:c>
      <x:c r="D2574" s="33" t="str">
        <x:v>Audit Procedure=Review the applicable licence, order, register, SOP and a sample of records to verify that revalidate temperature mapping periodically and after significant changes to storage conditions.; Audit Method=Document Review and Sampling; Risk Focus=CA008; Remarks=P-4 normalized to current parent compliance; legacy Audit ID preserved.</x:v>
      </x:c>
      <x:c r="E2574" s="33" t="str">
        <x:v>CORRECT / RECLASSIFY</x:v>
      </x:c>
      <x:c r="F2574" s="33" t="str">
        <x:v>Quarantine inactive descendants and normalize the legacy audit band to its current parent compliance.</x:v>
      </x:c>
      <x:c r="G2574" s="33" t="str">
        <x:v>P-4 execution-chain reconciliation</x:v>
      </x:c>
      <x:c r="H2574" s="33" t="str">
        <x:v>P-4</x:v>
      </x:c>
      <x:c r="I2574" s="33" t="str">
        <x:v>P-4</x:v>
      </x:c>
      <x:c r="J2574" s="33" t="str">
        <x:v>2026-08-20</x:v>
      </x:c>
      <x:c r="K2574" s="33" t="str">
        <x:v>Audit IDs preserved; active tests now address their parent requirements.</x:v>
      </x:c>
    </x:row>
    <x:row r="2575">
      <x:c r="A2575" s="33" t="str">
        <x:v>AUD450</x:v>
      </x:c>
      <x:c r="B2575" s="33" t="str">
        <x:v>Audit Procedure Master</x:v>
      </x:c>
      <x:c r="C2575" s="33" t="str">
        <x:v>Audit Procedure=Verify that internal audits periodically assess document control effectiveness.; Audit Method=Document Review; Risk Focus=Recordkeeping; Remarks=Audit plan should include document management.</x:v>
      </x:c>
      <x:c r="D2575" s="33" t="str">
        <x:v>Audit Procedure=Select a sample of relevant transactions or events and interview the responsible person to confirm that maintain temperature mapping reports, protocols and validation records.; Audit Method=Sampling and Interview; Risk Focus=CA020; Remarks=P-4 normalized to current parent compliance; legacy Audit ID preserved.</x:v>
      </x:c>
      <x:c r="E2575" s="33" t="str">
        <x:v>CORRECT / RECLASSIFY</x:v>
      </x:c>
      <x:c r="F2575" s="33" t="str">
        <x:v>Quarantine inactive descendants and normalize the legacy audit band to its current parent compliance.</x:v>
      </x:c>
      <x:c r="G2575" s="33" t="str">
        <x:v>P-4 execution-chain reconciliation</x:v>
      </x:c>
      <x:c r="H2575" s="33" t="str">
        <x:v>P-4</x:v>
      </x:c>
      <x:c r="I2575" s="33" t="str">
        <x:v>P-4</x:v>
      </x:c>
      <x:c r="J2575" s="33" t="str">
        <x:v>2026-08-20</x:v>
      </x:c>
      <x:c r="K2575" s="33" t="str">
        <x:v>Audit IDs preserved; active tests now address their parent requirements.</x:v>
      </x:c>
    </x:row>
    <x:row r="2576">
      <x:c r="A2576" s="33" t="str">
        <x:v>AUD451</x:v>
      </x:c>
      <x:c r="B2576" s="33" t="str">
        <x:v>Audit Procedure Master</x:v>
      </x:c>
      <x:c r="C2576" s="33" t="str">
        <x:v>Audit Procedure=Review corrective actions arising from document control audits.; Audit Method=Record Verification; Risk Focus=Recordkeeping; Remarks=Verify timely implementation.</x:v>
      </x:c>
      <x:c r="D2576" s="33" t="str">
        <x:v>Audit Procedure=Review the applicable licence, order, register, SOP and a sample of records to verify that maintain temperature mapping reports, protocols and validation records.; Audit Method=Document Review and Sampling; Risk Focus=CA020; Remarks=P-4 normalized to current parent compliance; legacy Audit ID preserved.</x:v>
      </x:c>
      <x:c r="E2576" s="33" t="str">
        <x:v>CORRECT / RECLASSIFY</x:v>
      </x:c>
      <x:c r="F2576" s="33" t="str">
        <x:v>Quarantine inactive descendants and normalize the legacy audit band to its current parent compliance.</x:v>
      </x:c>
      <x:c r="G2576" s="33" t="str">
        <x:v>P-4 execution-chain reconciliation</x:v>
      </x:c>
      <x:c r="H2576" s="33" t="str">
        <x:v>P-4</x:v>
      </x:c>
      <x:c r="I2576" s="33" t="str">
        <x:v>P-4</x:v>
      </x:c>
      <x:c r="J2576" s="33" t="str">
        <x:v>2026-08-20</x:v>
      </x:c>
      <x:c r="K2576" s="33" t="str">
        <x:v>Audit IDs preserved; active tests now address their parent requirements.</x:v>
      </x:c>
    </x:row>
    <x:row r="2577">
      <x:c r="A2577" s="33" t="str">
        <x:v>AUD452</x:v>
      </x:c>
      <x:c r="B2577" s="33" t="str">
        <x:v>Audit Procedure Master</x:v>
      </x:c>
      <x:c r="C2577" s="33" t="str">
        <x:v>Audit Procedure=Verify that document-related deviations are documented and investigated.; Audit Method=Record Verification; Risk Focus=Recordkeeping; Remarks=Root cause analysis should be performed.</x:v>
      </x:c>
      <x:c r="D2577" s="33" t="str">
        <x:v>Audit Procedure=Select a sample of relevant transactions or events and interview the responsible person to confirm that calibrate all critical measuring instruments at approved intervals.; Audit Method=Sampling and Interview; Risk Focus=CA009; Remarks=P-4 normalized to current parent compliance; legacy Audit ID preserved.</x:v>
      </x:c>
      <x:c r="E2577" s="33" t="str">
        <x:v>CORRECT / RECLASSIFY</x:v>
      </x:c>
      <x:c r="F2577" s="33" t="str">
        <x:v>Quarantine inactive descendants and normalize the legacy audit band to its current parent compliance.</x:v>
      </x:c>
      <x:c r="G2577" s="33" t="str">
        <x:v>P-4 execution-chain reconciliation</x:v>
      </x:c>
      <x:c r="H2577" s="33" t="str">
        <x:v>P-4</x:v>
      </x:c>
      <x:c r="I2577" s="33" t="str">
        <x:v>P-4</x:v>
      </x:c>
      <x:c r="J2577" s="33" t="str">
        <x:v>2026-08-20</x:v>
      </x:c>
      <x:c r="K2577" s="33" t="str">
        <x:v>Audit IDs preserved; active tests now address their parent requirements.</x:v>
      </x:c>
    </x:row>
    <x:row r="2578">
      <x:c r="A2578" s="33" t="str">
        <x:v>AUD453</x:v>
      </x:c>
      <x:c r="B2578" s="33" t="str">
        <x:v>Audit Procedure Master</x:v>
      </x:c>
      <x:c r="C2578" s="33" t="str">
        <x:v>Audit Procedure=Review CAPA records relating to documentation deviations.; Audit Method=Record Verification; Risk Focus=Recordkeeping; Remarks=Verify effectiveness.</x:v>
      </x:c>
      <x:c r="D2578" s="33" t="str">
        <x:v>Audit Procedure=Review the applicable licence, order, register, SOP and a sample of records to verify that calibrate all critical measuring instruments at approved intervals.; Audit Method=Document Review and Sampling; Risk Focus=CA009; Remarks=P-4 normalized to current parent compliance; legacy Audit ID preserved.</x:v>
      </x:c>
      <x:c r="E2578" s="33" t="str">
        <x:v>CORRECT / RECLASSIFY</x:v>
      </x:c>
      <x:c r="F2578" s="33" t="str">
        <x:v>Quarantine inactive descendants and normalize the legacy audit band to its current parent compliance.</x:v>
      </x:c>
      <x:c r="G2578" s="33" t="str">
        <x:v>P-4 execution-chain reconciliation</x:v>
      </x:c>
      <x:c r="H2578" s="33" t="str">
        <x:v>P-4</x:v>
      </x:c>
      <x:c r="I2578" s="33" t="str">
        <x:v>P-4</x:v>
      </x:c>
      <x:c r="J2578" s="33" t="str">
        <x:v>2026-08-20</x:v>
      </x:c>
      <x:c r="K2578" s="33" t="str">
        <x:v>Audit IDs preserved; active tests now address their parent requirements.</x:v>
      </x:c>
    </x:row>
    <x:row r="2579">
      <x:c r="A2579" s="33" t="str">
        <x:v>AUD454</x:v>
      </x:c>
      <x:c r="B2579" s="33" t="str">
        <x:v>Audit Procedure Master</x:v>
      </x:c>
      <x:c r="C2579" s="33" t="str">
        <x:v>Audit Procedure=Verify that management periodically reviews document control performance indicators.; Audit Method=Document Review; Risk Focus=Recordkeeping; Remarks=KPI reports should be available.</x:v>
      </x:c>
      <x:c r="D2579" s="33" t="str">
        <x:v>Audit Procedure=Select a sample of relevant transactions or events and interview the responsible person to confirm that qualify equipment before operational use and after major repairs where required.; Audit Method=Sampling and Interview; Risk Focus=CA009; Remarks=P-4 normalized to current parent compliance; legacy Audit ID preserved.</x:v>
      </x:c>
      <x:c r="E2579" s="33" t="str">
        <x:v>CORRECT / RECLASSIFY</x:v>
      </x:c>
      <x:c r="F2579" s="33" t="str">
        <x:v>Quarantine inactive descendants and normalize the legacy audit band to its current parent compliance.</x:v>
      </x:c>
      <x:c r="G2579" s="33" t="str">
        <x:v>P-4 execution-chain reconciliation</x:v>
      </x:c>
      <x:c r="H2579" s="33" t="str">
        <x:v>P-4</x:v>
      </x:c>
      <x:c r="I2579" s="33" t="str">
        <x:v>P-4</x:v>
      </x:c>
      <x:c r="J2579" s="33" t="str">
        <x:v>2026-08-20</x:v>
      </x:c>
      <x:c r="K2579" s="33" t="str">
        <x:v>Audit IDs preserved; active tests now address their parent requirements.</x:v>
      </x:c>
    </x:row>
    <x:row r="2580">
      <x:c r="A2580" s="33" t="str">
        <x:v>AUD455</x:v>
      </x:c>
      <x:c r="B2580" s="33" t="str">
        <x:v>Audit Procedure Master</x:v>
      </x:c>
      <x:c r="C2580" s="33" t="str">
        <x:v>Audit Procedure=Review management review minutes relating to documentation controls.; Audit Method=Record Verification; Risk Focus=Recordkeeping; Remarks=Track action items.</x:v>
      </x:c>
      <x:c r="D2580" s="33" t="str">
        <x:v>Audit Procedure=Review the applicable licence, order, register, SOP and a sample of records to verify that qualify equipment before operational use and after major repairs where required.; Audit Method=Document Review and Sampling; Risk Focus=CA009; Remarks=P-4 normalized to current parent compliance; legacy Audit ID preserved.</x:v>
      </x:c>
      <x:c r="E2580" s="33" t="str">
        <x:v>CORRECT / RECLASSIFY</x:v>
      </x:c>
      <x:c r="F2580" s="33" t="str">
        <x:v>Quarantine inactive descendants and normalize the legacy audit band to its current parent compliance.</x:v>
      </x:c>
      <x:c r="G2580" s="33" t="str">
        <x:v>P-4 execution-chain reconciliation</x:v>
      </x:c>
      <x:c r="H2580" s="33" t="str">
        <x:v>P-4</x:v>
      </x:c>
      <x:c r="I2580" s="33" t="str">
        <x:v>P-4</x:v>
      </x:c>
      <x:c r="J2580" s="33" t="str">
        <x:v>2026-08-20</x:v>
      </x:c>
      <x:c r="K2580" s="33" t="str">
        <x:v>Audit IDs preserved; active tests now address their parent requirements.</x:v>
      </x:c>
    </x:row>
    <x:row r="2581">
      <x:c r="A2581" s="33" t="str">
        <x:v>AUD456</x:v>
      </x:c>
      <x:c r="B2581" s="33" t="str">
        <x:v>Audit Procedure Master</x:v>
      </x:c>
      <x:c r="C2581" s="33" t="str">
        <x:v>Audit Procedure=Verify that employees receive periodic training on Good Documentation Practices (GDP).; Audit Method=Document Review; Risk Focus=SOP &amp; Training; Remarks=Training attendance should be documented.</x:v>
      </x:c>
      <x:c r="D2581" s="33" t="str">
        <x:v>Audit Procedure=Select a sample of relevant transactions or events and interview the responsible person to confirm that implement a documented preventive maintenance programme for critical equipment.; Audit Method=Sampling and Interview; Risk Focus=CA009; Remarks=P-4 normalized to current parent compliance; legacy Audit ID preserved.</x:v>
      </x:c>
      <x:c r="E2581" s="33" t="str">
        <x:v>CORRECT / RECLASSIFY</x:v>
      </x:c>
      <x:c r="F2581" s="33" t="str">
        <x:v>Quarantine inactive descendants and normalize the legacy audit band to its current parent compliance.</x:v>
      </x:c>
      <x:c r="G2581" s="33" t="str">
        <x:v>P-4 execution-chain reconciliation</x:v>
      </x:c>
      <x:c r="H2581" s="33" t="str">
        <x:v>P-4</x:v>
      </x:c>
      <x:c r="I2581" s="33" t="str">
        <x:v>P-4</x:v>
      </x:c>
      <x:c r="J2581" s="33" t="str">
        <x:v>2026-08-20</x:v>
      </x:c>
      <x:c r="K2581" s="33" t="str">
        <x:v>Audit IDs preserved; active tests now address their parent requirements.</x:v>
      </x:c>
    </x:row>
    <x:row r="2582">
      <x:c r="A2582" s="33" t="str">
        <x:v>AUD457</x:v>
      </x:c>
      <x:c r="B2582" s="33" t="str">
        <x:v>Audit Procedure Master</x:v>
      </x:c>
      <x:c r="C2582" s="33" t="str">
        <x:v>Audit Procedure=Interview employees regarding GDP requirements.; Audit Method=Interview; Risk Focus=General Compliance; Remarks=Assess practical understanding.</x:v>
      </x:c>
      <x:c r="D2582" s="33" t="str">
        <x:v>Audit Procedure=Review the applicable licence, order, register, SOP and a sample of records to verify that implement a documented preventive maintenance programme for critical equipment.; Audit Method=Document Review and Sampling; Risk Focus=CA009; Remarks=P-4 normalized to current parent compliance; legacy Audit ID preserved.</x:v>
      </x:c>
      <x:c r="E2582" s="33" t="str">
        <x:v>CORRECT / RECLASSIFY</x:v>
      </x:c>
      <x:c r="F2582" s="33" t="str">
        <x:v>Quarantine inactive descendants and normalize the legacy audit band to its current parent compliance.</x:v>
      </x:c>
      <x:c r="G2582" s="33" t="str">
        <x:v>P-4 execution-chain reconciliation</x:v>
      </x:c>
      <x:c r="H2582" s="33" t="str">
        <x:v>P-4</x:v>
      </x:c>
      <x:c r="I2582" s="33" t="str">
        <x:v>P-4</x:v>
      </x:c>
      <x:c r="J2582" s="33" t="str">
        <x:v>2026-08-20</x:v>
      </x:c>
      <x:c r="K2582" s="33" t="str">
        <x:v>Audit IDs preserved; active tests now address their parent requirements.</x:v>
      </x:c>
    </x:row>
    <x:row r="2583">
      <x:c r="A2583" s="33" t="str">
        <x:v>AUD458</x:v>
      </x:c>
      <x:c r="B2583" s="33" t="str">
        <x:v>Audit Procedure Master</x:v>
      </x:c>
      <x:c r="C2583" s="33" t="str">
        <x:v>Audit Procedure=Verify that regulatory inspection observations relating to documentation are addressed promptly.; Audit Method=Physical Inspection; Risk Focus=Inspection &amp; Display Controls; Remarks=CAPA should be monitored.</x:v>
      </x:c>
      <x:c r="D2583" s="33" t="str">
        <x:v>Audit Procedure=Select a sample of relevant transactions or events and interview the responsible person to confirm that maintain calibration certificates and calibration history for all critical instruments.; Audit Method=Sampling and Interview; Risk Focus=CA020; Remarks=P-4 normalized to current parent compliance; legacy Audit ID preserved.</x:v>
      </x:c>
      <x:c r="E2583" s="33" t="str">
        <x:v>CORRECT / RECLASSIFY</x:v>
      </x:c>
      <x:c r="F2583" s="33" t="str">
        <x:v>Quarantine inactive descendants and normalize the legacy audit band to its current parent compliance.</x:v>
      </x:c>
      <x:c r="G2583" s="33" t="str">
        <x:v>P-4 execution-chain reconciliation</x:v>
      </x:c>
      <x:c r="H2583" s="33" t="str">
        <x:v>P-4</x:v>
      </x:c>
      <x:c r="I2583" s="33" t="str">
        <x:v>P-4</x:v>
      </x:c>
      <x:c r="J2583" s="33" t="str">
        <x:v>2026-08-20</x:v>
      </x:c>
      <x:c r="K2583" s="33" t="str">
        <x:v>Audit IDs preserved; active tests now address their parent requirements.</x:v>
      </x:c>
    </x:row>
    <x:row r="2584">
      <x:c r="A2584" s="33" t="str">
        <x:v>AUD459</x:v>
      </x:c>
      <x:c r="B2584" s="33" t="str">
        <x:v>Audit Procedure Master</x:v>
      </x:c>
      <x:c r="C2584" s="33" t="str">
        <x:v>Audit Procedure=Review evidence supporting closure of documentation-related inspection observations.; Audit Method=Physical Inspection; Risk Focus=Inspection &amp; Display Controls; Remarks=Supporting evidence should be retained.</x:v>
      </x:c>
      <x:c r="D2584" s="33" t="str">
        <x:v>Audit Procedure=Review the applicable licence, order, register, SOP and a sample of records to verify that maintain calibration certificates and calibration history for all critical instruments.; Audit Method=Document Review and Sampling; Risk Focus=CA020; Remarks=P-4 normalized to current parent compliance; legacy Audit ID preserved.</x:v>
      </x:c>
      <x:c r="E2584" s="33" t="str">
        <x:v>CORRECT / RECLASSIFY</x:v>
      </x:c>
      <x:c r="F2584" s="33" t="str">
        <x:v>Quarantine inactive descendants and normalize the legacy audit band to its current parent compliance.</x:v>
      </x:c>
      <x:c r="G2584" s="33" t="str">
        <x:v>P-4 execution-chain reconciliation</x:v>
      </x:c>
      <x:c r="H2584" s="33" t="str">
        <x:v>P-4</x:v>
      </x:c>
      <x:c r="I2584" s="33" t="str">
        <x:v>P-4</x:v>
      </x:c>
      <x:c r="J2584" s="33" t="str">
        <x:v>2026-08-20</x:v>
      </x:c>
      <x:c r="K2584" s="33" t="str">
        <x:v>Audit IDs preserved; active tests now address their parent requirements.</x:v>
      </x:c>
    </x:row>
    <x:row r="2585">
      <x:c r="A2585" s="33" t="str">
        <x:v>AUD460</x:v>
      </x:c>
      <x:c r="B2585" s="33" t="str">
        <x:v>Audit Procedure Master</x:v>
      </x:c>
      <x:c r="C2585" s="33" t="str">
        <x:v>Audit Procedure=Verify that document management software functions in accordance with approved validation requirements where applicable.; Audit Method=System Verification; Risk Focus=Recordkeeping; Remarks=Validate system controls.</x:v>
      </x:c>
      <x:c r="D2585" s="33" t="str">
        <x:v>Audit Procedure=Select a sample of relevant transactions or events and interview the responsible person to confirm that verify equipment performance following maintenance or calibration activities.; Audit Method=Sampling and Interview; Risk Focus=CA009; Remarks=P-4 normalized to current parent compliance; legacy Audit ID preserved.</x:v>
      </x:c>
      <x:c r="E2585" s="33" t="str">
        <x:v>CORRECT / RECLASSIFY</x:v>
      </x:c>
      <x:c r="F2585" s="33" t="str">
        <x:v>Quarantine inactive descendants and normalize the legacy audit band to its current parent compliance.</x:v>
      </x:c>
      <x:c r="G2585" s="33" t="str">
        <x:v>P-4 execution-chain reconciliation</x:v>
      </x:c>
      <x:c r="H2585" s="33" t="str">
        <x:v>P-4</x:v>
      </x:c>
      <x:c r="I2585" s="33" t="str">
        <x:v>P-4</x:v>
      </x:c>
      <x:c r="J2585" s="33" t="str">
        <x:v>2026-08-20</x:v>
      </x:c>
      <x:c r="K2585" s="33" t="str">
        <x:v>Audit IDs preserved; active tests now address their parent requirements.</x:v>
      </x:c>
    </x:row>
    <x:row r="2586">
      <x:c r="A2586" s="33" t="str">
        <x:v>AUD461</x:v>
      </x:c>
      <x:c r="B2586" s="33" t="str">
        <x:v>Audit Procedure Master</x:v>
      </x:c>
      <x:c r="C2586" s="33" t="str">
        <x:v>Audit Procedure=Review system validation reports and change control records.; Audit Method=System Verification; Risk Focus=Digital Controls; Remarks=Verify continued validated status.</x:v>
      </x:c>
      <x:c r="D2586" s="33" t="str">
        <x:v>Audit Procedure=Review the applicable licence, order, register, SOP and a sample of records to verify that verify equipment performance following maintenance or calibration activities.; Audit Method=Document Review and Sampling; Risk Focus=CA009; Remarks=P-4 normalized to current parent compliance; legacy Audit ID preserved.</x:v>
      </x:c>
      <x:c r="E2586" s="33" t="str">
        <x:v>CORRECT / RECLASSIFY</x:v>
      </x:c>
      <x:c r="F2586" s="33" t="str">
        <x:v>Quarantine inactive descendants and normalize the legacy audit band to its current parent compliance.</x:v>
      </x:c>
      <x:c r="G2586" s="33" t="str">
        <x:v>P-4 execution-chain reconciliation</x:v>
      </x:c>
      <x:c r="H2586" s="33" t="str">
        <x:v>P-4</x:v>
      </x:c>
      <x:c r="I2586" s="33" t="str">
        <x:v>P-4</x:v>
      </x:c>
      <x:c r="J2586" s="33" t="str">
        <x:v>2026-08-20</x:v>
      </x:c>
      <x:c r="K2586" s="33" t="str">
        <x:v>Audit IDs preserved; active tests now address their parent requirements.</x:v>
      </x:c>
    </x:row>
    <x:row r="2587">
      <x:c r="A2587" s="33" t="str">
        <x:v>AUD462</x:v>
      </x:c>
      <x:c r="B2587" s="33" t="str">
        <x:v>Audit Procedure Master</x:v>
      </x:c>
      <x:c r="C2587" s="33" t="str">
        <x:v>Audit Procedure=Verify that periodic self-inspections include documentation and record management controls.; Audit Method=Physical Inspection; Risk Focus=Inspection &amp; Display Controls; Remarks=Include GDP compliance.</x:v>
      </x:c>
      <x:c r="D2587" s="33" t="str">
        <x:v>Audit Procedure=Select a sample of relevant transactions or events and interview the responsible person to confirm that clearly identify and segregate equipment that is overdue for calibration or found to be defective.; Audit Method=Sampling and Interview; Risk Focus=CA009; Remarks=P-4 normalized to current parent compliance; legacy Audit ID preserved.</x:v>
      </x:c>
      <x:c r="E2587" s="33" t="str">
        <x:v>CORRECT / RECLASSIFY</x:v>
      </x:c>
      <x:c r="F2587" s="33" t="str">
        <x:v>Quarantine inactive descendants and normalize the legacy audit band to its current parent compliance.</x:v>
      </x:c>
      <x:c r="G2587" s="33" t="str">
        <x:v>P-4 execution-chain reconciliation</x:v>
      </x:c>
      <x:c r="H2587" s="33" t="str">
        <x:v>P-4</x:v>
      </x:c>
      <x:c r="I2587" s="33" t="str">
        <x:v>P-4</x:v>
      </x:c>
      <x:c r="J2587" s="33" t="str">
        <x:v>2026-08-20</x:v>
      </x:c>
      <x:c r="K2587" s="33" t="str">
        <x:v>Audit IDs preserved; active tests now address their parent requirements.</x:v>
      </x:c>
    </x:row>
    <x:row r="2588">
      <x:c r="A2588" s="33" t="str">
        <x:v>AUD463</x:v>
      </x:c>
      <x:c r="B2588" s="33" t="str">
        <x:v>Audit Procedure Master</x:v>
      </x:c>
      <x:c r="C2588" s="33" t="str">
        <x:v>Audit Procedure=Review implementation status of self-inspection recommendations.; Audit Method=Physical Inspection; Risk Focus=Inspection &amp; Display Controls; Remarks=Verify closure.</x:v>
      </x:c>
      <x:c r="D2588" s="33" t="str">
        <x:v>Audit Procedure=Review the applicable licence, order, register, SOP and a sample of records to verify that clearly identify and segregate equipment that is overdue for calibration or found to be defective.; Audit Method=Document Review and Sampling; Risk Focus=CA009; Remarks=P-4 normalized to current parent compliance; legacy Audit ID preserved.</x:v>
      </x:c>
      <x:c r="E2588" s="33" t="str">
        <x:v>CORRECT / RECLASSIFY</x:v>
      </x:c>
      <x:c r="F2588" s="33" t="str">
        <x:v>Quarantine inactive descendants and normalize the legacy audit band to its current parent compliance.</x:v>
      </x:c>
      <x:c r="G2588" s="33" t="str">
        <x:v>P-4 execution-chain reconciliation</x:v>
      </x:c>
      <x:c r="H2588" s="33" t="str">
        <x:v>P-4</x:v>
      </x:c>
      <x:c r="I2588" s="33" t="str">
        <x:v>P-4</x:v>
      </x:c>
      <x:c r="J2588" s="33" t="str">
        <x:v>2026-08-20</x:v>
      </x:c>
      <x:c r="K2588" s="33" t="str">
        <x:v>Audit IDs preserved; active tests now address their parent requirements.</x:v>
      </x:c>
    </x:row>
    <x:row r="2589">
      <x:c r="A2589" s="33" t="str">
        <x:v>AUD464</x:v>
      </x:c>
      <x:c r="B2589" s="33" t="str">
        <x:v>Audit Procedure Master</x:v>
      </x:c>
      <x:c r="C2589" s="33" t="str">
        <x:v>Audit Procedure=Verify that document and record management complies with applicable legal and organizational requirements.; Audit Method=Record Verification; Risk Focus=Recordkeeping; Remarks=Perform end-to-end review.</x:v>
      </x:c>
      <x:c r="D2589" s="33" t="str">
        <x:v>Audit Procedure=Select a sample of relevant transactions or events and interview the responsible person to confirm that ensure calibration is traceable to nationally or internationally recognized standards.; Audit Method=Sampling and Interview; Risk Focus=CA009; Remarks=P-4 normalized to current parent compliance; legacy Audit ID preserved.</x:v>
      </x:c>
      <x:c r="E2589" s="33" t="str">
        <x:v>CORRECT / RECLASSIFY</x:v>
      </x:c>
      <x:c r="F2589" s="33" t="str">
        <x:v>Quarantine inactive descendants and normalize the legacy audit band to its current parent compliance.</x:v>
      </x:c>
      <x:c r="G2589" s="33" t="str">
        <x:v>P-4 execution-chain reconciliation</x:v>
      </x:c>
      <x:c r="H2589" s="33" t="str">
        <x:v>P-4</x:v>
      </x:c>
      <x:c r="I2589" s="33" t="str">
        <x:v>P-4</x:v>
      </x:c>
      <x:c r="J2589" s="33" t="str">
        <x:v>2026-08-20</x:v>
      </x:c>
      <x:c r="K2589" s="33" t="str">
        <x:v>Audit IDs preserved; active tests now address their parent requirements.</x:v>
      </x:c>
    </x:row>
    <x:row r="2590">
      <x:c r="A2590" s="33" t="str">
        <x:v>AUD465</x:v>
      </x:c>
      <x:c r="B2590" s="33" t="str">
        <x:v>Audit Procedure Master</x:v>
      </x:c>
      <x:c r="C2590" s="33" t="str">
        <x:v>Audit Procedure=Conduct sample testing of controlled documents for regulatory compliance.; Audit Method=Sampling; Risk Focus=Recordkeeping; Remarks=Cover multiple document types.</x:v>
      </x:c>
      <x:c r="D2590" s="33" t="str">
        <x:v>Audit Procedure=Review the applicable licence, order, register, SOP and a sample of records to verify that ensure calibration is traceable to nationally or internationally recognized standards.; Audit Method=Document Review and Sampling; Risk Focus=CA009; Remarks=P-4 normalized to current parent compliance; legacy Audit ID preserved.</x:v>
      </x:c>
      <x:c r="E2590" s="33" t="str">
        <x:v>CORRECT / RECLASSIFY</x:v>
      </x:c>
      <x:c r="F2590" s="33" t="str">
        <x:v>Quarantine inactive descendants and normalize the legacy audit band to its current parent compliance.</x:v>
      </x:c>
      <x:c r="G2590" s="33" t="str">
        <x:v>P-4 execution-chain reconciliation</x:v>
      </x:c>
      <x:c r="H2590" s="33" t="str">
        <x:v>P-4</x:v>
      </x:c>
      <x:c r="I2590" s="33" t="str">
        <x:v>P-4</x:v>
      </x:c>
      <x:c r="J2590" s="33" t="str">
        <x:v>2026-08-20</x:v>
      </x:c>
      <x:c r="K2590" s="33" t="str">
        <x:v>Audit IDs preserved; active tests now address their parent requirements.</x:v>
      </x:c>
    </x:row>
    <x:row r="2591">
      <x:c r="A2591" s="33" t="str">
        <x:v>AUD466</x:v>
      </x:c>
      <x:c r="B2591" s="33" t="str">
        <x:v>Audit Procedure Master</x:v>
      </x:c>
      <x:c r="C2591" s="33" t="str">
        <x:v>Audit Procedure=Reconcile document control practices with approved SOPs.; Audit Method=Reconciliation; Risk Focus=SOP &amp; Training; Remarks=Identify compliance gaps.</x:v>
      </x:c>
      <x:c r="D2591" s="33" t="str">
        <x:v>Audit Procedure=Select a sample of relevant transactions or events and interview the responsible person to confirm that ensure calibration is traceable to nationally or internationally recognized standards.; Audit Method=Sampling and Interview; Risk Focus=CA009; Remarks=P-4 normalized to current parent compliance; legacy Audit ID preserved.</x:v>
      </x:c>
      <x:c r="E2591" s="33" t="str">
        <x:v>CORRECT / RECLASSIFY</x:v>
      </x:c>
      <x:c r="F2591" s="33" t="str">
        <x:v>Quarantine inactive descendants and normalize the legacy audit band to its current parent compliance.</x:v>
      </x:c>
      <x:c r="G2591" s="33" t="str">
        <x:v>P-4 execution-chain reconciliation</x:v>
      </x:c>
      <x:c r="H2591" s="33" t="str">
        <x:v>P-4</x:v>
      </x:c>
      <x:c r="I2591" s="33" t="str">
        <x:v>P-4</x:v>
      </x:c>
      <x:c r="J2591" s="33" t="str">
        <x:v>2026-08-20</x:v>
      </x:c>
      <x:c r="K2591" s="33" t="str">
        <x:v>Audit IDs preserved; active tests now address their parent requirements.</x:v>
      </x:c>
    </x:row>
    <x:row r="2592">
      <x:c r="A2592" s="33" t="str">
        <x:v>AUD467</x:v>
      </x:c>
      <x:c r="B2592" s="33" t="str">
        <x:v>Audit Procedure Master</x:v>
      </x:c>
      <x:c r="C2592" s="33" t="str">
        <x:v>Audit Procedure=Verify that the document management framework is periodically evaluated for effectiveness.; Audit Method=Document Review; Risk Focus=Recordkeeping; Remarks=Management review should be documented.</x:v>
      </x:c>
      <x:c r="D2592" s="33" t="str">
        <x:v>Audit Procedure=Review the applicable licence, order, register, SOP and a sample of records to verify that periodically review the effectiveness of the calibration and maintenance programme.; Audit Method=Document Review and Sampling; Risk Focus=CA083; Remarks=P-4 normalized to current parent compliance; legacy Audit ID preserved.</x:v>
      </x:c>
      <x:c r="E2592" s="33" t="str">
        <x:v>CORRECT / RECLASSIFY</x:v>
      </x:c>
      <x:c r="F2592" s="33" t="str">
        <x:v>Quarantine inactive descendants and normalize the legacy audit band to its current parent compliance.</x:v>
      </x:c>
      <x:c r="G2592" s="33" t="str">
        <x:v>P-4 execution-chain reconciliation</x:v>
      </x:c>
      <x:c r="H2592" s="33" t="str">
        <x:v>P-4</x:v>
      </x:c>
      <x:c r="I2592" s="33" t="str">
        <x:v>P-4</x:v>
      </x:c>
      <x:c r="J2592" s="33" t="str">
        <x:v>2026-08-20</x:v>
      </x:c>
      <x:c r="K2592" s="33" t="str">
        <x:v>Audit IDs preserved; active tests now address their parent requirements.</x:v>
      </x:c>
    </x:row>
    <x:row r="2593">
      <x:c r="A2593" s="33" t="str">
        <x:v>AUD468</x:v>
      </x:c>
      <x:c r="B2593" s="33" t="str">
        <x:v>Audit Procedure Master</x:v>
      </x:c>
      <x:c r="C2593" s="33" t="str">
        <x:v>Audit Procedure=Review documented improvement actions arising from document management reviews.; Audit Method=Record Verification; Risk Focus=Recordkeeping; Remarks=Verify implementation.</x:v>
      </x:c>
      <x:c r="D2593" s="33" t="str">
        <x:v>Audit Procedure=Select a sample of relevant transactions or events and interview the responsible person to confirm that periodically review the effectiveness of the calibration and maintenance programme.; Audit Method=Sampling and Interview; Risk Focus=CA083; Remarks=P-4 normalized to current parent compliance; legacy Audit ID preserved.</x:v>
      </x:c>
      <x:c r="E2593" s="33" t="str">
        <x:v>CORRECT / RECLASSIFY</x:v>
      </x:c>
      <x:c r="F2593" s="33" t="str">
        <x:v>Quarantine inactive descendants and normalize the legacy audit band to its current parent compliance.</x:v>
      </x:c>
      <x:c r="G2593" s="33" t="str">
        <x:v>P-4 execution-chain reconciliation</x:v>
      </x:c>
      <x:c r="H2593" s="33" t="str">
        <x:v>P-4</x:v>
      </x:c>
      <x:c r="I2593" s="33" t="str">
        <x:v>P-4</x:v>
      </x:c>
      <x:c r="J2593" s="33" t="str">
        <x:v>2026-08-20</x:v>
      </x:c>
      <x:c r="K2593" s="33" t="str">
        <x:v>Audit IDs preserved; active tests now address their parent requirements.</x:v>
      </x:c>
    </x:row>
    <x:row r="2594">
      <x:c r="A2594" s="33" t="str">
        <x:v>AUD469</x:v>
      </x:c>
      <x:c r="B2594" s="33" t="str">
        <x:v>Audit Procedure Master</x:v>
      </x:c>
      <x:c r="C2594" s="33" t="str">
        <x:v>Audit Procedure=Validate effectiveness of document management controls through independent audit testing.; Audit Method=Sampling; Risk Focus=Recordkeeping; Remarks=Document audit conclusions and recommendations.</x:v>
      </x:c>
      <x:c r="D2594" s="33" t="str">
        <x:v>Audit Procedure=Review the applicable licence, order, register, SOP and a sample of records to verify that periodically review the effectiveness of the calibration and maintenance programme.; Audit Method=Document Review and Sampling; Risk Focus=CA083; Remarks=P-4 normalized to current parent compliance; legacy Audit ID preserved.</x:v>
      </x:c>
      <x:c r="E2594" s="33" t="str">
        <x:v>CORRECT / RECLASSIFY</x:v>
      </x:c>
      <x:c r="F2594" s="33" t="str">
        <x:v>Quarantine inactive descendants and normalize the legacy audit band to its current parent compliance.</x:v>
      </x:c>
      <x:c r="G2594" s="33" t="str">
        <x:v>P-4 execution-chain reconciliation</x:v>
      </x:c>
      <x:c r="H2594" s="33" t="str">
        <x:v>P-4</x:v>
      </x:c>
      <x:c r="I2594" s="33" t="str">
        <x:v>P-4</x:v>
      </x:c>
      <x:c r="J2594" s="33" t="str">
        <x:v>2026-08-20</x:v>
      </x:c>
      <x:c r="K2594" s="33" t="str">
        <x:v>Audit IDs preserved; active tests now address their parent requirements.</x:v>
      </x:c>
    </x:row>
    <x:row r="2595">
      <x:c r="A2595" s="33" t="str">
        <x:v>AUD470</x:v>
      </x:c>
      <x:c r="B2595" s="33" t="str">
        <x:v>Audit Procedure Master</x:v>
      </x:c>
      <x:c r="C2595" s="33" t="str">
        <x:v>Audit Procedure=Verify that periodic internal compliance audits are conducted in accordance with the approved annual audit plan.; Audit Method=Document Review; Risk Focus=General Compliance; Remarks=Audit plan should be approved by management.</x:v>
      </x:c>
      <x:c r="D2595" s="33" t="str">
        <x:v>Audit Procedure=Select a sample of relevant transactions or events and interview the responsible person to confirm that synchronise ICT system clocks to NIC/NPL traceable NTP servers or another accurate time source traceable to them.; Audit Method=Sampling and Interview; Risk Focus=CA072; Remarks=P-4 normalized to current parent compliance; legacy Audit ID preserved.</x:v>
      </x:c>
      <x:c r="E2595" s="33" t="str">
        <x:v>CORRECT / RECLASSIFY</x:v>
      </x:c>
      <x:c r="F2595" s="33" t="str">
        <x:v>Quarantine inactive descendants and normalize the legacy audit band to its current parent compliance.</x:v>
      </x:c>
      <x:c r="G2595" s="33" t="str">
        <x:v>P-4 execution-chain reconciliation</x:v>
      </x:c>
      <x:c r="H2595" s="33" t="str">
        <x:v>P-4</x:v>
      </x:c>
      <x:c r="I2595" s="33" t="str">
        <x:v>P-4</x:v>
      </x:c>
      <x:c r="J2595" s="33" t="str">
        <x:v>2026-08-20</x:v>
      </x:c>
      <x:c r="K2595" s="33" t="str">
        <x:v>Audit IDs preserved; active tests now address their parent requirements.</x:v>
      </x:c>
    </x:row>
    <x:row r="2596">
      <x:c r="A2596" s="33" t="str">
        <x:v>AUD471</x:v>
      </x:c>
      <x:c r="B2596" s="33" t="str">
        <x:v>Audit Procedure Master</x:v>
      </x:c>
      <x:c r="C2596" s="33" t="str">
        <x:v>Audit Procedure=Review internal audit schedules and completed audit reports.; Audit Method=Record Verification; Risk Focus=General Compliance; Remarks=Verify completion against plan.</x:v>
      </x:c>
      <x:c r="D2596" s="33" t="str">
        <x:v>Audit Procedure=Review the applicable licence, order, register, SOP and a sample of records to verify that synchronise ICT system clocks to NIC/NPL traceable NTP servers or another accurate time source traceable to them.; Audit Method=Document Review and Sampling; Risk Focus=CA072; Remarks=P-4 normalized to current parent compliance; legacy Audit ID preserved.</x:v>
      </x:c>
      <x:c r="E2596" s="33" t="str">
        <x:v>CORRECT / RECLASSIFY</x:v>
      </x:c>
      <x:c r="F2596" s="33" t="str">
        <x:v>Quarantine inactive descendants and normalize the legacy audit band to its current parent compliance.</x:v>
      </x:c>
      <x:c r="G2596" s="33" t="str">
        <x:v>P-4 execution-chain reconciliation</x:v>
      </x:c>
      <x:c r="H2596" s="33" t="str">
        <x:v>P-4</x:v>
      </x:c>
      <x:c r="I2596" s="33" t="str">
        <x:v>P-4</x:v>
      </x:c>
      <x:c r="J2596" s="33" t="str">
        <x:v>2026-08-20</x:v>
      </x:c>
      <x:c r="K2596" s="33" t="str">
        <x:v>Audit IDs preserved; active tests now address their parent requirements.</x:v>
      </x:c>
    </x:row>
    <x:row r="2597">
      <x:c r="A2597" s="33" t="str">
        <x:v>AUD472</x:v>
      </x:c>
      <x:c r="B2597" s="33" t="str">
        <x:v>Audit Procedure Master</x:v>
      </x:c>
      <x:c r="C2597" s="33" t="str">
        <x:v>Audit Procedure=Verify that audit scope adequately covers all applicable pharmacy regulatory requirements.; Audit Method=Document Review; Risk Focus=General Compliance; Remarks=Scope should include all compliance areas.</x:v>
      </x:c>
      <x:c r="D2597" s="33" t="str">
        <x:v>Audit Procedure=Select a sample of relevant transactions or events and interview the responsible person to confirm that report any specified Annexure I cyber incident to CERT-In within six hours of noticing it or being informed.; Audit Method=Sampling and Interview; Risk Focus=CA072; Remarks=P-4 normalized to current parent compliance; legacy Audit ID preserved.</x:v>
      </x:c>
      <x:c r="E2597" s="33" t="str">
        <x:v>CORRECT / RECLASSIFY</x:v>
      </x:c>
      <x:c r="F2597" s="33" t="str">
        <x:v>Quarantine inactive descendants and normalize the legacy audit band to its current parent compliance.</x:v>
      </x:c>
      <x:c r="G2597" s="33" t="str">
        <x:v>P-4 execution-chain reconciliation</x:v>
      </x:c>
      <x:c r="H2597" s="33" t="str">
        <x:v>P-4</x:v>
      </x:c>
      <x:c r="I2597" s="33" t="str">
        <x:v>P-4</x:v>
      </x:c>
      <x:c r="J2597" s="33" t="str">
        <x:v>2026-08-20</x:v>
      </x:c>
      <x:c r="K2597" s="33" t="str">
        <x:v>Audit IDs preserved; active tests now address their parent requirements.</x:v>
      </x:c>
    </x:row>
    <x:row r="2598">
      <x:c r="A2598" s="33" t="str">
        <x:v>AUD473</x:v>
      </x:c>
      <x:c r="B2598" s="33" t="str">
        <x:v>Audit Procedure Master</x:v>
      </x:c>
      <x:c r="C2598" s="33" t="str">
        <x:v>Audit Procedure=Cross-check audit coverage against the Pharmacy Compliance Requirement Master.; Audit Method=Reconciliation; Risk Focus=General Compliance; Remarks=No compliance area should be omitted.</x:v>
      </x:c>
      <x:c r="D2598" s="33" t="str">
        <x:v>Audit Procedure=Review the applicable licence, order, register, SOP and a sample of records to verify that report any specified Annexure I cyber incident to CERT-In within six hours of noticing it or being informed.; Audit Method=Document Review and Sampling; Risk Focus=CA072; Remarks=P-4 normalized to current parent compliance; legacy Audit ID preserved.</x:v>
      </x:c>
      <x:c r="E2598" s="33" t="str">
        <x:v>CORRECT / RECLASSIFY</x:v>
      </x:c>
      <x:c r="F2598" s="33" t="str">
        <x:v>Quarantine inactive descendants and normalize the legacy audit band to its current parent compliance.</x:v>
      </x:c>
      <x:c r="G2598" s="33" t="str">
        <x:v>P-4 execution-chain reconciliation</x:v>
      </x:c>
      <x:c r="H2598" s="33" t="str">
        <x:v>P-4</x:v>
      </x:c>
      <x:c r="I2598" s="33" t="str">
        <x:v>P-4</x:v>
      </x:c>
      <x:c r="J2598" s="33" t="str">
        <x:v>2026-08-20</x:v>
      </x:c>
      <x:c r="K2598" s="33" t="str">
        <x:v>Audit IDs preserved; active tests now address their parent requirements.</x:v>
      </x:c>
    </x:row>
    <x:row r="2599">
      <x:c r="A2599" s="33" t="str">
        <x:v>AUD474</x:v>
      </x:c>
      <x:c r="B2599" s="33" t="str">
        <x:v>Audit Procedure Master</x:v>
      </x:c>
      <x:c r="C2599" s="33" t="str">
        <x:v>Audit Procedure=Verify that internal auditors maintain independence from audited operational activities.; Audit Method=Document Review; Risk Focus=General Compliance; Remarks=Independence should be documented.</x:v>
      </x:c>
      <x:c r="D2599" s="33" t="str">
        <x:v>Audit Procedure=Select a sample of relevant transactions or events and interview the responsible person to confirm that enable ICT logs, retain them securely for a rolling 180 days within Indian jurisdiction and provide them to CERT-In when lawfully required.; Audit Method=Sampling and Interview; Risk Focus=CA072; Remarks=P-4 normalized to current parent compliance; legacy Audit ID preserved.</x:v>
      </x:c>
      <x:c r="E2599" s="33" t="str">
        <x:v>CORRECT / RECLASSIFY</x:v>
      </x:c>
      <x:c r="F2599" s="33" t="str">
        <x:v>Quarantine inactive descendants and normalize the legacy audit band to its current parent compliance.</x:v>
      </x:c>
      <x:c r="G2599" s="33" t="str">
        <x:v>P-4 execution-chain reconciliation</x:v>
      </x:c>
      <x:c r="H2599" s="33" t="str">
        <x:v>P-4</x:v>
      </x:c>
      <x:c r="I2599" s="33" t="str">
        <x:v>P-4</x:v>
      </x:c>
      <x:c r="J2599" s="33" t="str">
        <x:v>2026-08-20</x:v>
      </x:c>
      <x:c r="K2599" s="33" t="str">
        <x:v>Audit IDs preserved; active tests now address their parent requirements.</x:v>
      </x:c>
    </x:row>
    <x:row r="2600">
      <x:c r="A2600" s="33" t="str">
        <x:v>AUD475</x:v>
      </x:c>
      <x:c r="B2600" s="33" t="str">
        <x:v>Audit Procedure Master</x:v>
      </x:c>
      <x:c r="C2600" s="33" t="str">
        <x:v>Audit Procedure=Review auditor assignment records for potential conflicts of interest.; Audit Method=Record Verification; Risk Focus=Recordkeeping; Remarks=Resolve conflicts before audit execution.</x:v>
      </x:c>
      <x:c r="D2600" s="33" t="str">
        <x:v>Audit Procedure=Review the applicable licence, order, register, SOP and a sample of records to verify that enable ICT logs, retain them securely for a rolling 180 days within Indian jurisdiction and provide them to CERT-In when lawfully required.; Audit Method=Document Review and Sampling; Risk Focus=CA072; Remarks=P-4 normalized to current parent compliance; legacy Audit ID preserved.</x:v>
      </x:c>
      <x:c r="E2600" s="33" t="str">
        <x:v>CORRECT / RECLASSIFY</x:v>
      </x:c>
      <x:c r="F2600" s="33" t="str">
        <x:v>Quarantine inactive descendants and normalize the legacy audit band to its current parent compliance.</x:v>
      </x:c>
      <x:c r="G2600" s="33" t="str">
        <x:v>P-4 execution-chain reconciliation</x:v>
      </x:c>
      <x:c r="H2600" s="33" t="str">
        <x:v>P-4</x:v>
      </x:c>
      <x:c r="I2600" s="33" t="str">
        <x:v>P-4</x:v>
      </x:c>
      <x:c r="J2600" s="33" t="str">
        <x:v>2026-08-20</x:v>
      </x:c>
      <x:c r="K2600" s="33" t="str">
        <x:v>Audit IDs preserved; active tests now address their parent requirements.</x:v>
      </x:c>
    </x:row>
    <x:row r="2601">
      <x:c r="A2601" s="33" t="str">
        <x:v>AUD476</x:v>
      </x:c>
      <x:c r="B2601" s="33" t="str">
        <x:v>Audit Procedure Master</x:v>
      </x:c>
      <x:c r="C2601" s="33" t="str">
        <x:v>Audit Procedure=Verify that audit working papers adequately support audit conclusions.; Audit Method=Document Review; Risk Focus=General Compliance; Remarks=Working papers should be complete and traceable.</x:v>
      </x:c>
      <x:c r="D2601" s="33" t="str">
        <x:v>Audit Procedure=Select a sample of relevant transactions or events and interview the responsible person to confirm that designate, communicate and keep current the prescribed CERT-In point-of-contact details.; Audit Method=Sampling and Interview; Risk Focus=CA072; Remarks=P-4 normalized to current parent compliance; legacy Audit ID preserved.</x:v>
      </x:c>
      <x:c r="E2601" s="33" t="str">
        <x:v>CORRECT / RECLASSIFY</x:v>
      </x:c>
      <x:c r="F2601" s="33" t="str">
        <x:v>Quarantine inactive descendants and normalize the legacy audit band to its current parent compliance.</x:v>
      </x:c>
      <x:c r="G2601" s="33" t="str">
        <x:v>P-4 execution-chain reconciliation</x:v>
      </x:c>
      <x:c r="H2601" s="33" t="str">
        <x:v>P-4</x:v>
      </x:c>
      <x:c r="I2601" s="33" t="str">
        <x:v>P-4</x:v>
      </x:c>
      <x:c r="J2601" s="33" t="str">
        <x:v>2026-08-20</x:v>
      </x:c>
      <x:c r="K2601" s="33" t="str">
        <x:v>Audit IDs preserved; active tests now address their parent requirements.</x:v>
      </x:c>
    </x:row>
    <x:row r="2602">
      <x:c r="A2602" s="33" t="str">
        <x:v>AUD477</x:v>
      </x:c>
      <x:c r="B2602" s="33" t="str">
        <x:v>Audit Procedure Master</x:v>
      </x:c>
      <x:c r="C2602" s="33" t="str">
        <x:v>Audit Procedure=Inspect audit evidence retained in working paper files.; Audit Method=Physical Inspection; Risk Focus=General Compliance; Remarks=Evidence should support each audit observation.</x:v>
      </x:c>
      <x:c r="D2602" s="33" t="str">
        <x:v>Audit Procedure=Review the applicable licence, order, register, SOP and a sample of records to verify that designate, communicate and keep current the prescribed CERT-In point-of-contact details.; Audit Method=Document Review and Sampling; Risk Focus=CA072; Remarks=P-4 normalized to current parent compliance; legacy Audit ID preserved.</x:v>
      </x:c>
      <x:c r="E2602" s="33" t="str">
        <x:v>CORRECT / RECLASSIFY</x:v>
      </x:c>
      <x:c r="F2602" s="33" t="str">
        <x:v>Quarantine inactive descendants and normalize the legacy audit band to its current parent compliance.</x:v>
      </x:c>
      <x:c r="G2602" s="33" t="str">
        <x:v>P-4 execution-chain reconciliation</x:v>
      </x:c>
      <x:c r="H2602" s="33" t="str">
        <x:v>P-4</x:v>
      </x:c>
      <x:c r="I2602" s="33" t="str">
        <x:v>P-4</x:v>
      </x:c>
      <x:c r="J2602" s="33" t="str">
        <x:v>2026-08-20</x:v>
      </x:c>
      <x:c r="K2602" s="33" t="str">
        <x:v>Audit IDs preserved; active tests now address their parent requirements.</x:v>
      </x:c>
    </x:row>
    <x:row r="2603">
      <x:c r="A2603" s="33" t="str">
        <x:v>AUD490</x:v>
      </x:c>
      <x:c r="B2603" s="33" t="str">
        <x:v>Audit Procedure Master</x:v>
      </x:c>
      <x:c r="C2603" s="33" t="str">
        <x:v>Audit Procedure=Verify that management periodically reviews internal audit performance and significant findings.; Audit Method=Document Review; Risk Focus=General Compliance; Remarks=Review minutes should be available.</x:v>
      </x:c>
      <x:c r="D2603" s="33" t="str">
        <x:v>Audit Procedure=Select a sample of relevant transactions or events and interview the responsible person to confirm that maintain pharmacy premises, records and operations in a state of inspection readiness at all times.; Audit Method=Sampling and Interview; Risk Focus=CA077; Remarks=P-4 normalized to current parent compliance; legacy Audit ID preserved.</x:v>
      </x:c>
      <x:c r="E2603" s="33" t="str">
        <x:v>CORRECT / RECLASSIFY</x:v>
      </x:c>
      <x:c r="F2603" s="33" t="str">
        <x:v>Quarantine inactive descendants and normalize the legacy audit band to its current parent compliance.</x:v>
      </x:c>
      <x:c r="G2603" s="33" t="str">
        <x:v>P-4 execution-chain reconciliation</x:v>
      </x:c>
      <x:c r="H2603" s="33" t="str">
        <x:v>P-4</x:v>
      </x:c>
      <x:c r="I2603" s="33" t="str">
        <x:v>P-4</x:v>
      </x:c>
      <x:c r="J2603" s="33" t="str">
        <x:v>2026-08-20</x:v>
      </x:c>
      <x:c r="K2603" s="33" t="str">
        <x:v>Audit IDs preserved; active tests now address their parent requirements.</x:v>
      </x:c>
    </x:row>
    <x:row r="2604">
      <x:c r="A2604" s="33" t="str">
        <x:v>AUD491</x:v>
      </x:c>
      <x:c r="B2604" s="33" t="str">
        <x:v>Audit Procedure Master</x:v>
      </x:c>
      <x:c r="C2604" s="33" t="str">
        <x:v>Audit Procedure=Examine management review action items relating to audit observations.; Audit Method=Observation; Risk Focus=General Compliance; Remarks=Follow-up actions should be monitored.</x:v>
      </x:c>
      <x:c r="D2604" s="33" t="str">
        <x:v>Audit Procedure=Review the applicable licence, order, register, SOP and a sample of records to verify that maintain pharmacy premises, records and operations in a state of inspection readiness at all times.; Audit Method=Document Review and Sampling; Risk Focus=CA077; Remarks=P-4 normalized to current parent compliance; legacy Audit ID preserved.</x:v>
      </x:c>
      <x:c r="E2604" s="33" t="str">
        <x:v>CORRECT / RECLASSIFY</x:v>
      </x:c>
      <x:c r="F2604" s="33" t="str">
        <x:v>Quarantine inactive descendants and normalize the legacy audit band to its current parent compliance.</x:v>
      </x:c>
      <x:c r="G2604" s="33" t="str">
        <x:v>P-4 execution-chain reconciliation</x:v>
      </x:c>
      <x:c r="H2604" s="33" t="str">
        <x:v>P-4</x:v>
      </x:c>
      <x:c r="I2604" s="33" t="str">
        <x:v>P-4</x:v>
      </x:c>
      <x:c r="J2604" s="33" t="str">
        <x:v>2026-08-20</x:v>
      </x:c>
      <x:c r="K2604" s="33" t="str">
        <x:v>Audit IDs preserved; active tests now address their parent requirements.</x:v>
      </x:c>
    </x:row>
    <x:row r="2605">
      <x:c r="A2605" s="33" t="str">
        <x:v>AUD492</x:v>
      </x:c>
      <x:c r="B2605" s="33" t="str">
        <x:v>Audit Procedure Master</x:v>
      </x:c>
      <x:c r="C2605" s="33" t="str">
        <x:v>Audit Procedure=Verify that key regulatory compliance indicators are periodically monitored and reported.; Audit Method=Document Review; Risk Focus=General Compliance; Remarks=KPI definitions should be approved.</x:v>
      </x:c>
      <x:c r="D2605" s="33" t="str">
        <x:v>Audit Procedure=Select a sample of relevant transactions or events and interview the responsible person to confirm that ensure statutory licences, approvals and registers are readily available for inspection.; Audit Method=Sampling and Interview; Risk Focus=CA019; Remarks=P-4 normalized to current parent compliance; legacy Audit ID preserved.</x:v>
      </x:c>
      <x:c r="E2605" s="33" t="str">
        <x:v>CORRECT / RECLASSIFY</x:v>
      </x:c>
      <x:c r="F2605" s="33" t="str">
        <x:v>Quarantine inactive descendants and normalize the legacy audit band to its current parent compliance.</x:v>
      </x:c>
      <x:c r="G2605" s="33" t="str">
        <x:v>P-4 execution-chain reconciliation</x:v>
      </x:c>
      <x:c r="H2605" s="33" t="str">
        <x:v>P-4</x:v>
      </x:c>
      <x:c r="I2605" s="33" t="str">
        <x:v>P-4</x:v>
      </x:c>
      <x:c r="J2605" s="33" t="str">
        <x:v>2026-08-20</x:v>
      </x:c>
      <x:c r="K2605" s="33" t="str">
        <x:v>Audit IDs preserved; active tests now address their parent requirements.</x:v>
      </x:c>
    </x:row>
    <x:row r="2606">
      <x:c r="A2606" s="33" t="str">
        <x:v>AUD493</x:v>
      </x:c>
      <x:c r="B2606" s="33" t="str">
        <x:v>Audit Procedure Master</x:v>
      </x:c>
      <x:c r="C2606" s="33" t="str">
        <x:v>Audit Procedure=Review compliance dashboard reports for completeness and accuracy.; Audit Method=Record Verification; Risk Focus=General Compliance; Remarks=Investigate adverse trends.</x:v>
      </x:c>
      <x:c r="D2606" s="33" t="str">
        <x:v>Audit Procedure=Review the applicable licence, order, register, SOP and a sample of records to verify that ensure statutory licences, approvals and registers are readily available for inspection.; Audit Method=Document Review and Sampling; Risk Focus=CA019; Remarks=P-4 normalized to current parent compliance; legacy Audit ID preserved.</x:v>
      </x:c>
      <x:c r="E2606" s="33" t="str">
        <x:v>CORRECT / RECLASSIFY</x:v>
      </x:c>
      <x:c r="F2606" s="33" t="str">
        <x:v>Quarantine inactive descendants and normalize the legacy audit band to its current parent compliance.</x:v>
      </x:c>
      <x:c r="G2606" s="33" t="str">
        <x:v>P-4 execution-chain reconciliation</x:v>
      </x:c>
      <x:c r="H2606" s="33" t="str">
        <x:v>P-4</x:v>
      </x:c>
      <x:c r="I2606" s="33" t="str">
        <x:v>P-4</x:v>
      </x:c>
      <x:c r="J2606" s="33" t="str">
        <x:v>2026-08-20</x:v>
      </x:c>
      <x:c r="K2606" s="33" t="str">
        <x:v>Audit IDs preserved; active tests now address their parent requirements.</x:v>
      </x:c>
    </x:row>
    <x:row r="2607">
      <x:c r="A2607" s="33" t="str">
        <x:v>AUD494</x:v>
      </x:c>
      <x:c r="B2607" s="33" t="str">
        <x:v>Audit Procedure Master</x:v>
      </x:c>
      <x:c r="C2607" s="33" t="str">
        <x:v>Audit Procedure=Verify that significant regulatory changes are incorporated into audit programs.; Audit Method=Document Review; Risk Focus=General Compliance; Remarks=Audit programs should remain current.</x:v>
      </x:c>
      <x:c r="D2607" s="33" t="str">
        <x:v>Audit Procedure=Select a sample of relevant transactions or events and interview the responsible person to confirm that maintain approved Standard Operating Procedures (SOPs) for all critical pharmacy processes.; Audit Method=Sampling and Interview; Risk Focus=CA096; Remarks=P-4 normalized to current parent compliance; legacy Audit ID preserved.</x:v>
      </x:c>
      <x:c r="E2607" s="33" t="str">
        <x:v>CORRECT / RECLASSIFY</x:v>
      </x:c>
      <x:c r="F2607" s="33" t="str">
        <x:v>Quarantine inactive descendants and normalize the legacy audit band to its current parent compliance.</x:v>
      </x:c>
      <x:c r="G2607" s="33" t="str">
        <x:v>P-4 execution-chain reconciliation</x:v>
      </x:c>
      <x:c r="H2607" s="33" t="str">
        <x:v>P-4</x:v>
      </x:c>
      <x:c r="I2607" s="33" t="str">
        <x:v>P-4</x:v>
      </x:c>
      <x:c r="J2607" s="33" t="str">
        <x:v>2026-08-20</x:v>
      </x:c>
      <x:c r="K2607" s="33" t="str">
        <x:v>Audit IDs preserved; active tests now address their parent requirements.</x:v>
      </x:c>
    </x:row>
    <x:row r="2608">
      <x:c r="A2608" s="33" t="str">
        <x:v>AUD495</x:v>
      </x:c>
      <x:c r="B2608" s="33" t="str">
        <x:v>Audit Procedure Master</x:v>
      </x:c>
      <x:c r="C2608" s="33" t="str">
        <x:v>Audit Procedure=Review evidence of audit program revisions following regulatory updates.; Audit Method=Record Verification; Risk Focus=General Compliance; Remarks=Document change approvals.</x:v>
      </x:c>
      <x:c r="D2608" s="33" t="str">
        <x:v>Audit Procedure=Review the applicable licence, order, register, SOP and a sample of records to verify that maintain approved Standard Operating Procedures (SOPs) for all critical pharmacy processes.; Audit Method=Document Review and Sampling; Risk Focus=CA096; Remarks=P-4 normalized to current parent compliance; legacy Audit ID preserved.</x:v>
      </x:c>
      <x:c r="E2608" s="33" t="str">
        <x:v>CORRECT / RECLASSIFY</x:v>
      </x:c>
      <x:c r="F2608" s="33" t="str">
        <x:v>Quarantine inactive descendants and normalize the legacy audit band to its current parent compliance.</x:v>
      </x:c>
      <x:c r="G2608" s="33" t="str">
        <x:v>P-4 execution-chain reconciliation</x:v>
      </x:c>
      <x:c r="H2608" s="33" t="str">
        <x:v>P-4</x:v>
      </x:c>
      <x:c r="I2608" s="33" t="str">
        <x:v>P-4</x:v>
      </x:c>
      <x:c r="J2608" s="33" t="str">
        <x:v>2026-08-20</x:v>
      </x:c>
      <x:c r="K2608" s="33" t="str">
        <x:v>Audit IDs preserved; active tests now address their parent requirements.</x:v>
      </x:c>
    </x:row>
    <x:row r="2609">
      <x:c r="A2609" s="33" t="str">
        <x:v>AUD496</x:v>
      </x:c>
      <x:c r="B2609" s="33" t="str">
        <x:v>Audit Procedure Master</x:v>
      </x:c>
      <x:c r="C2609" s="33" t="str">
        <x:v>Audit Procedure=Verify that audit programs are reviewed and approved before use.; Audit Method=Document Review; Risk Focus=General Compliance; Remarks=Approval records should be maintained.</x:v>
      </x:c>
      <x:c r="D2609" s="33" t="str">
        <x:v>Audit Procedure=Select a sample of relevant transactions or events and interview the responsible person to confirm that review and respond to inspection observations within timelines prescribed by the authority.; Audit Method=Sampling and Interview; Risk Focus=CA097; Remarks=P-4 normalized to current parent compliance; legacy Audit ID preserved.</x:v>
      </x:c>
      <x:c r="E2609" s="33" t="str">
        <x:v>CORRECT / RECLASSIFY</x:v>
      </x:c>
      <x:c r="F2609" s="33" t="str">
        <x:v>Quarantine inactive descendants and normalize the legacy audit band to its current parent compliance.</x:v>
      </x:c>
      <x:c r="G2609" s="33" t="str">
        <x:v>P-4 execution-chain reconciliation</x:v>
      </x:c>
      <x:c r="H2609" s="33" t="str">
        <x:v>P-4</x:v>
      </x:c>
      <x:c r="I2609" s="33" t="str">
        <x:v>P-4</x:v>
      </x:c>
      <x:c r="J2609" s="33" t="str">
        <x:v>2026-08-20</x:v>
      </x:c>
      <x:c r="K2609" s="33" t="str">
        <x:v>Audit IDs preserved; active tests now address their parent requirements.</x:v>
      </x:c>
    </x:row>
    <x:row r="2610">
      <x:c r="A2610" s="33" t="str">
        <x:v>AUD497</x:v>
      </x:c>
      <x:c r="B2610" s="33" t="str">
        <x:v>Audit Procedure Master</x:v>
      </x:c>
      <x:c r="C2610" s="33" t="str">
        <x:v>Audit Procedure=Inspect version history of audit programs.; Audit Method=Physical Inspection; Risk Focus=General Compliance; Remarks=Ensure only current versions are used.</x:v>
      </x:c>
      <x:c r="D2610" s="33" t="str">
        <x:v>Audit Procedure=Review the applicable licence, order, register, SOP and a sample of records to verify that review and respond to inspection observations within timelines prescribed by the authority.; Audit Method=Document Review and Sampling; Risk Focus=CA097; Remarks=P-4 normalized to current parent compliance; legacy Audit ID preserved.</x:v>
      </x:c>
      <x:c r="E2610" s="33" t="str">
        <x:v>CORRECT / RECLASSIFY</x:v>
      </x:c>
      <x:c r="F2610" s="33" t="str">
        <x:v>Quarantine inactive descendants and normalize the legacy audit band to its current parent compliance.</x:v>
      </x:c>
      <x:c r="G2610" s="33" t="str">
        <x:v>P-4 execution-chain reconciliation</x:v>
      </x:c>
      <x:c r="H2610" s="33" t="str">
        <x:v>P-4</x:v>
      </x:c>
      <x:c r="I2610" s="33" t="str">
        <x:v>P-4</x:v>
      </x:c>
      <x:c r="J2610" s="33" t="str">
        <x:v>2026-08-20</x:v>
      </x:c>
      <x:c r="K2610" s="33" t="str">
        <x:v>Audit IDs preserved; active tests now address their parent requirements.</x:v>
      </x:c>
    </x:row>
    <x:row r="2611">
      <x:c r="A2611" s="33" t="str">
        <x:v>AUD498</x:v>
      </x:c>
      <x:c r="B2611" s="33" t="str">
        <x:v>Audit Procedure Master</x:v>
      </x:c>
      <x:c r="C2611" s="33" t="str">
        <x:v>Audit Procedure=Verify that audit evidence is retained for the approved retention period.; Audit Method=Record Verification; Risk Focus=General Compliance; Remarks=Working papers should remain retrievable.</x:v>
      </x:c>
      <x:c r="D2611" s="33" t="str">
        <x:v>Audit Procedure=Select a sample of relevant transactions or events and interview the responsible person to confirm that implement corrective and preventive actions (CAPA) for all regulatory inspection observations.; Audit Method=Sampling and Interview; Risk Focus=CA098; Remarks=P-4 normalized to current parent compliance; legacy Audit ID preserved.</x:v>
      </x:c>
      <x:c r="E2611" s="33" t="str">
        <x:v>CORRECT / RECLASSIFY</x:v>
      </x:c>
      <x:c r="F2611" s="33" t="str">
        <x:v>Quarantine inactive descendants and normalize the legacy audit band to its current parent compliance.</x:v>
      </x:c>
      <x:c r="G2611" s="33" t="str">
        <x:v>P-4 execution-chain reconciliation</x:v>
      </x:c>
      <x:c r="H2611" s="33" t="str">
        <x:v>P-4</x:v>
      </x:c>
      <x:c r="I2611" s="33" t="str">
        <x:v>P-4</x:v>
      </x:c>
      <x:c r="J2611" s="33" t="str">
        <x:v>2026-08-20</x:v>
      </x:c>
      <x:c r="K2611" s="33" t="str">
        <x:v>Audit IDs preserved; active tests now address their parent requirements.</x:v>
      </x:c>
    </x:row>
    <x:row r="2612">
      <x:c r="A2612" s="33" t="str">
        <x:v>AUD499</x:v>
      </x:c>
      <x:c r="B2612" s="33" t="str">
        <x:v>Audit Procedure Master</x:v>
      </x:c>
      <x:c r="C2612" s="33" t="str">
        <x:v>Audit Procedure=Review archival controls for audit documentation.; Audit Method=Document Review; Risk Focus=Recordkeeping; Remarks=Verify preservation arrangements.</x:v>
      </x:c>
      <x:c r="D2612" s="33" t="str">
        <x:v>Audit Procedure=Review the applicable licence, order, register, SOP and a sample of records to verify that implement corrective and preventive actions (CAPA) for all regulatory inspection observations.; Audit Method=Document Review and Sampling; Risk Focus=CA098; Remarks=P-4 normalized to current parent compliance; legacy Audit ID preserved.</x:v>
      </x:c>
      <x:c r="E2612" s="33" t="str">
        <x:v>CORRECT / RECLASSIFY</x:v>
      </x:c>
      <x:c r="F2612" s="33" t="str">
        <x:v>Quarantine inactive descendants and normalize the legacy audit band to its current parent compliance.</x:v>
      </x:c>
      <x:c r="G2612" s="33" t="str">
        <x:v>P-4 execution-chain reconciliation</x:v>
      </x:c>
      <x:c r="H2612" s="33" t="str">
        <x:v>P-4</x:v>
      </x:c>
      <x:c r="I2612" s="33" t="str">
        <x:v>P-4</x:v>
      </x:c>
      <x:c r="J2612" s="33" t="str">
        <x:v>2026-08-20</x:v>
      </x:c>
      <x:c r="K2612" s="33" t="str">
        <x:v>Audit IDs preserved; active tests now address their parent requirements.</x:v>
      </x:c>
    </x:row>
    <x:row r="2613">
      <x:c r="A2613" s="33" t="str">
        <x:v>AUD500</x:v>
      </x:c>
      <x:c r="B2613" s="33" t="str">
        <x:v>Audit Procedure Master</x:v>
      </x:c>
      <x:c r="C2613" s="33" t="str">
        <x:v>Audit Procedure=Verify that electronic audit records are protected against unauthorized access and modification.; Audit Method=System Verification; Risk Focus=Recordkeeping; Remarks=Audit trail functionality should be enabled.</x:v>
      </x:c>
      <x:c r="D2613" s="33" t="str">
        <x:v>Audit Procedure=Select a sample of relevant transactions or events and interview the responsible person to confirm that conduct periodic internal compliance reviews covering all applicable pharmacy regulations.; Audit Method=Sampling and Interview; Risk Focus=CA083; Remarks=P-4 normalized to current parent compliance; legacy Audit ID preserved.</x:v>
      </x:c>
      <x:c r="E2613" s="33" t="str">
        <x:v>CORRECT / RECLASSIFY</x:v>
      </x:c>
      <x:c r="F2613" s="33" t="str">
        <x:v>Quarantine inactive descendants and normalize the legacy audit band to its current parent compliance.</x:v>
      </x:c>
      <x:c r="G2613" s="33" t="str">
        <x:v>P-4 execution-chain reconciliation</x:v>
      </x:c>
      <x:c r="H2613" s="33" t="str">
        <x:v>P-4</x:v>
      </x:c>
      <x:c r="I2613" s="33" t="str">
        <x:v>P-4</x:v>
      </x:c>
      <x:c r="J2613" s="33" t="str">
        <x:v>2026-08-20</x:v>
      </x:c>
      <x:c r="K2613" s="33" t="str">
        <x:v>Audit IDs preserved; active tests now address their parent requirements.</x:v>
      </x:c>
    </x:row>
    <x:row r="2614">
      <x:c r="A2614" s="33" t="str">
        <x:v>AUD501</x:v>
      </x:c>
      <x:c r="B2614" s="33" t="str">
        <x:v>Audit Procedure Master</x:v>
      </x:c>
      <x:c r="C2614" s="33" t="str">
        <x:v>Audit Procedure=Review user access logs for audit documentation systems.; Audit Method=System Verification; Risk Focus=Digital Controls; Remarks=Investigate unauthorized access attempts.</x:v>
      </x:c>
      <x:c r="D2614" s="33" t="str">
        <x:v>Audit Procedure=Review the applicable licence, order, register, SOP and a sample of records to verify that conduct periodic internal compliance reviews covering all applicable pharmacy regulations.; Audit Method=Document Review and Sampling; Risk Focus=CA083; Remarks=P-4 normalized to current parent compliance; legacy Audit ID preserved.</x:v>
      </x:c>
      <x:c r="E2614" s="33" t="str">
        <x:v>CORRECT / RECLASSIFY</x:v>
      </x:c>
      <x:c r="F2614" s="33" t="str">
        <x:v>Quarantine inactive descendants and normalize the legacy audit band to its current parent compliance.</x:v>
      </x:c>
      <x:c r="G2614" s="33" t="str">
        <x:v>P-4 execution-chain reconciliation</x:v>
      </x:c>
      <x:c r="H2614" s="33" t="str">
        <x:v>P-4</x:v>
      </x:c>
      <x:c r="I2614" s="33" t="str">
        <x:v>P-4</x:v>
      </x:c>
      <x:c r="J2614" s="33" t="str">
        <x:v>2026-08-20</x:v>
      </x:c>
      <x:c r="K2614" s="33" t="str">
        <x:v>Audit IDs preserved; active tests now address their parent requirements.</x:v>
      </x:c>
    </x:row>
    <x:row r="2615">
      <x:c r="A2615" s="33" t="str">
        <x:v>AUD502</x:v>
      </x:c>
      <x:c r="B2615" s="33" t="str">
        <x:v>Audit Procedure Master</x:v>
      </x:c>
      <x:c r="C2615" s="33" t="str">
        <x:v>Audit Procedure=Verify that auditors receive periodic training on applicable pharmacy regulations and audit methodologies.; Audit Method=Record Verification; Risk Focus=SOP &amp; Training; Remarks=Training records should be maintained.</x:v>
      </x:c>
      <x:c r="D2615" s="33" t="str">
        <x:v>Audit Procedure=Select a sample of relevant transactions or events and interview the responsible person to confirm that establish and maintain an enterprise compliance governance framework.; Audit Method=Sampling and Interview; Risk Focus=CA099; Remarks=P-4 normalized to current parent compliance; legacy Audit ID preserved.</x:v>
      </x:c>
      <x:c r="E2615" s="33" t="str">
        <x:v>CORRECT / RECLASSIFY</x:v>
      </x:c>
      <x:c r="F2615" s="33" t="str">
        <x:v>Quarantine inactive descendants and normalize the legacy audit band to its current parent compliance.</x:v>
      </x:c>
      <x:c r="G2615" s="33" t="str">
        <x:v>P-4 execution-chain reconciliation</x:v>
      </x:c>
      <x:c r="H2615" s="33" t="str">
        <x:v>P-4</x:v>
      </x:c>
      <x:c r="I2615" s="33" t="str">
        <x:v>P-4</x:v>
      </x:c>
      <x:c r="J2615" s="33" t="str">
        <x:v>2026-08-20</x:v>
      </x:c>
      <x:c r="K2615" s="33" t="str">
        <x:v>Audit IDs preserved; active tests now address their parent requirements.</x:v>
      </x:c>
    </x:row>
    <x:row r="2616">
      <x:c r="A2616" s="33" t="str">
        <x:v>AUD503</x:v>
      </x:c>
      <x:c r="B2616" s="33" t="str">
        <x:v>Audit Procedure Master</x:v>
      </x:c>
      <x:c r="C2616" s="33" t="str">
        <x:v>Audit Procedure=Review auditor competency assessment records.; Audit Method=Record Verification; Risk Focus=Personnel Competency; Remarks=Verify continued professional competence.</x:v>
      </x:c>
      <x:c r="D2616" s="33" t="str">
        <x:v>Audit Procedure=Review the applicable licence, order, register, SOP and a sample of records to verify that establish and maintain an enterprise compliance governance framework.; Audit Method=Document Review and Sampling; Risk Focus=CA099; Remarks=P-4 normalized to current parent compliance; legacy Audit ID preserved.</x:v>
      </x:c>
      <x:c r="E2616" s="33" t="str">
        <x:v>CORRECT / RECLASSIFY</x:v>
      </x:c>
      <x:c r="F2616" s="33" t="str">
        <x:v>Quarantine inactive descendants and normalize the legacy audit band to its current parent compliance.</x:v>
      </x:c>
      <x:c r="G2616" s="33" t="str">
        <x:v>P-4 execution-chain reconciliation</x:v>
      </x:c>
      <x:c r="H2616" s="33" t="str">
        <x:v>P-4</x:v>
      </x:c>
      <x:c r="I2616" s="33" t="str">
        <x:v>P-4</x:v>
      </x:c>
      <x:c r="J2616" s="33" t="str">
        <x:v>2026-08-20</x:v>
      </x:c>
      <x:c r="K2616" s="33" t="str">
        <x:v>Audit IDs preserved; active tests now address their parent requirements.</x:v>
      </x:c>
    </x:row>
    <x:row r="2617">
      <x:c r="A2617" s="33" t="str">
        <x:v>AUD504</x:v>
      </x:c>
      <x:c r="B2617" s="33" t="str">
        <x:v>Audit Procedure Master</x:v>
      </x:c>
      <x:c r="C2617" s="33" t="str">
        <x:v>Audit Procedure=Verify that regulatory inspections are considered while planning internal audits.; Audit Method=Physical Inspection; Risk Focus=Inspection &amp; Display Controls; Remarks=Inspection findings should influence audit scope.</x:v>
      </x:c>
      <x:c r="D2617" s="33" t="str">
        <x:v>Audit Procedure=Select a sample of relevant transactions or events and interview the responsible person to confirm that assign clear ownership and accountability for every regulatory compliance obligation.; Audit Method=Sampling and Interview; Risk Focus=CA100; Remarks=P-4 normalized to current parent compliance; legacy Audit ID preserved.</x:v>
      </x:c>
      <x:c r="E2617" s="33" t="str">
        <x:v>CORRECT / RECLASSIFY</x:v>
      </x:c>
      <x:c r="F2617" s="33" t="str">
        <x:v>Quarantine inactive descendants and normalize the legacy audit band to its current parent compliance.</x:v>
      </x:c>
      <x:c r="G2617" s="33" t="str">
        <x:v>P-4 execution-chain reconciliation</x:v>
      </x:c>
      <x:c r="H2617" s="33" t="str">
        <x:v>P-4</x:v>
      </x:c>
      <x:c r="I2617" s="33" t="str">
        <x:v>P-4</x:v>
      </x:c>
      <x:c r="J2617" s="33" t="str">
        <x:v>2026-08-20</x:v>
      </x:c>
      <x:c r="K2617" s="33" t="str">
        <x:v>Audit IDs preserved; active tests now address their parent requirements.</x:v>
      </x:c>
    </x:row>
    <x:row r="2618">
      <x:c r="A2618" s="33" t="str">
        <x:v>AUD505</x:v>
      </x:c>
      <x:c r="B2618" s="33" t="str">
        <x:v>Audit Procedure Master</x:v>
      </x:c>
      <x:c r="C2618" s="33" t="str">
        <x:v>Audit Procedure=Cross-check internal audit plans against regulatory inspection history.; Audit Method=Reconciliation; Risk Focus=Inspection &amp; Display Controls; Remarks=Ensure high-risk areas are prioritized.</x:v>
      </x:c>
      <x:c r="D2618" s="33" t="str">
        <x:v>Audit Procedure=Review the applicable licence, order, register, SOP and a sample of records to verify that assign clear ownership and accountability for every regulatory compliance obligation.; Audit Method=Document Review and Sampling; Risk Focus=CA100; Remarks=P-4 normalized to current parent compliance; legacy Audit ID preserved.</x:v>
      </x:c>
      <x:c r="E2618" s="33" t="str">
        <x:v>CORRECT / RECLASSIFY</x:v>
      </x:c>
      <x:c r="F2618" s="33" t="str">
        <x:v>Quarantine inactive descendants and normalize the legacy audit band to its current parent compliance.</x:v>
      </x:c>
      <x:c r="G2618" s="33" t="str">
        <x:v>P-4 execution-chain reconciliation</x:v>
      </x:c>
      <x:c r="H2618" s="33" t="str">
        <x:v>P-4</x:v>
      </x:c>
      <x:c r="I2618" s="33" t="str">
        <x:v>P-4</x:v>
      </x:c>
      <x:c r="J2618" s="33" t="str">
        <x:v>2026-08-20</x:v>
      </x:c>
      <x:c r="K2618" s="33" t="str">
        <x:v>Audit IDs preserved; active tests now address their parent requirements.</x:v>
      </x:c>
    </x:row>
    <x:row r="2619">
      <x:c r="A2619" s="33" t="str">
        <x:v>AUD506</x:v>
      </x:c>
      <x:c r="B2619" s="33" t="str">
        <x:v>Audit Procedure Master</x:v>
      </x:c>
      <x:c r="C2619" s="33" t="str">
        <x:v>Audit Procedure=Verify that quality assurance periodically reviews the internal audit process.; Audit Method=Document Review; Risk Focus=General Compliance; Remarks=QA review reports should be available.</x:v>
      </x:c>
      <x:c r="D2619" s="33" t="str">
        <x:v>Audit Procedure=Select a sample of relevant transactions or events and interview the responsible person to confirm that monitor regulatory updates and assess their impact on pharmacy operations.; Audit Method=Sampling and Interview; Risk Focus=CA084; Remarks=P-4 normalized to current parent compliance; legacy Audit ID preserved.</x:v>
      </x:c>
      <x:c r="E2619" s="33" t="str">
        <x:v>CORRECT / RECLASSIFY</x:v>
      </x:c>
      <x:c r="F2619" s="33" t="str">
        <x:v>Quarantine inactive descendants and normalize the legacy audit band to its current parent compliance.</x:v>
      </x:c>
      <x:c r="G2619" s="33" t="str">
        <x:v>P-4 execution-chain reconciliation</x:v>
      </x:c>
      <x:c r="H2619" s="33" t="str">
        <x:v>P-4</x:v>
      </x:c>
      <x:c r="I2619" s="33" t="str">
        <x:v>P-4</x:v>
      </x:c>
      <x:c r="J2619" s="33" t="str">
        <x:v>2026-08-20</x:v>
      </x:c>
      <x:c r="K2619" s="33" t="str">
        <x:v>Audit IDs preserved; active tests now address their parent requirements.</x:v>
      </x:c>
    </x:row>
    <x:row r="2620">
      <x:c r="A2620" s="33" t="str">
        <x:v>AUD507</x:v>
      </x:c>
      <x:c r="B2620" s="33" t="str">
        <x:v>Audit Procedure Master</x:v>
      </x:c>
      <x:c r="C2620" s="33" t="str">
        <x:v>Audit Procedure=Review quality assurance recommendations relating to audit effectiveness.; Audit Method=Record Verification; Risk Focus=General Compliance; Remarks=Verify implementation status.</x:v>
      </x:c>
      <x:c r="D2620" s="33" t="str">
        <x:v>Audit Procedure=Review the applicable licence, order, register, SOP and a sample of records to verify that monitor regulatory updates and assess their impact on pharmacy operations.; Audit Method=Document Review and Sampling; Risk Focus=CA084; Remarks=P-4 normalized to current parent compliance; legacy Audit ID preserved.</x:v>
      </x:c>
      <x:c r="E2620" s="33" t="str">
        <x:v>CORRECT / RECLASSIFY</x:v>
      </x:c>
      <x:c r="F2620" s="33" t="str">
        <x:v>Quarantine inactive descendants and normalize the legacy audit band to its current parent compliance.</x:v>
      </x:c>
      <x:c r="G2620" s="33" t="str">
        <x:v>P-4 execution-chain reconciliation</x:v>
      </x:c>
      <x:c r="H2620" s="33" t="str">
        <x:v>P-4</x:v>
      </x:c>
      <x:c r="I2620" s="33" t="str">
        <x:v>P-4</x:v>
      </x:c>
      <x:c r="J2620" s="33" t="str">
        <x:v>2026-08-20</x:v>
      </x:c>
      <x:c r="K2620" s="33" t="str">
        <x:v>Audit IDs preserved; active tests now address their parent requirements.</x:v>
      </x:c>
    </x:row>
    <x:row r="2621">
      <x:c r="A2621" s="33" t="str">
        <x:v>AUD508</x:v>
      </x:c>
      <x:c r="B2621" s="33" t="str">
        <x:v>Audit Procedure Master</x:v>
      </x:c>
      <x:c r="C2621" s="33" t="str">
        <x:v>Audit Procedure=Verify that audit-related conflicts of interest are declared and managed.; Audit Method=Document Review; Risk Focus=General Compliance; Remarks=Declarations should be retained.</x:v>
      </x:c>
      <x:c r="D2621" s="33" t="str">
        <x:v>Audit Procedure=Select a sample of relevant transactions or events and interview the responsible person to confirm that maintain a compliance calendar covering all statutory obligations and due dates.; Audit Method=Sampling and Interview; Risk Focus=CA088; Remarks=P-4 normalized to current parent compliance; legacy Audit ID preserved.</x:v>
      </x:c>
      <x:c r="E2621" s="33" t="str">
        <x:v>CORRECT / RECLASSIFY</x:v>
      </x:c>
      <x:c r="F2621" s="33" t="str">
        <x:v>Quarantine inactive descendants and normalize the legacy audit band to its current parent compliance.</x:v>
      </x:c>
      <x:c r="G2621" s="33" t="str">
        <x:v>P-4 execution-chain reconciliation</x:v>
      </x:c>
      <x:c r="H2621" s="33" t="str">
        <x:v>P-4</x:v>
      </x:c>
      <x:c r="I2621" s="33" t="str">
        <x:v>P-4</x:v>
      </x:c>
      <x:c r="J2621" s="33" t="str">
        <x:v>2026-08-20</x:v>
      </x:c>
      <x:c r="K2621" s="33" t="str">
        <x:v>Audit IDs preserved; active tests now address their parent requirements.</x:v>
      </x:c>
    </x:row>
    <x:row r="2622">
      <x:c r="A2622" s="33" t="str">
        <x:v>AUD509</x:v>
      </x:c>
      <x:c r="B2622" s="33" t="str">
        <x:v>Audit Procedure Master</x:v>
      </x:c>
      <x:c r="C2622" s="33" t="str">
        <x:v>Audit Procedure=Review conflict of interest declarations for assigned auditors.; Audit Method=Record Verification; Risk Focus=General Compliance; Remarks=Resolve conflicts before assignment.</x:v>
      </x:c>
      <x:c r="D2622" s="33" t="str">
        <x:v>Audit Procedure=Review the applicable licence, order, register, SOP and a sample of records to verify that maintain a compliance calendar covering all statutory obligations and due dates.; Audit Method=Document Review and Sampling; Risk Focus=CA088; Remarks=P-4 normalized to current parent compliance; legacy Audit ID preserved.</x:v>
      </x:c>
      <x:c r="E2622" s="33" t="str">
        <x:v>CORRECT / RECLASSIFY</x:v>
      </x:c>
      <x:c r="F2622" s="33" t="str">
        <x:v>Quarantine inactive descendants and normalize the legacy audit band to its current parent compliance.</x:v>
      </x:c>
      <x:c r="G2622" s="33" t="str">
        <x:v>P-4 execution-chain reconciliation</x:v>
      </x:c>
      <x:c r="H2622" s="33" t="str">
        <x:v>P-4</x:v>
      </x:c>
      <x:c r="I2622" s="33" t="str">
        <x:v>P-4</x:v>
      </x:c>
      <x:c r="J2622" s="33" t="str">
        <x:v>2026-08-20</x:v>
      </x:c>
      <x:c r="K2622" s="33" t="str">
        <x:v>Audit IDs preserved; active tests now address their parent requirements.</x:v>
      </x:c>
    </x:row>
    <x:row r="2623">
      <x:c r="A2623" s="33" t="str">
        <x:v>AUD510</x:v>
      </x:c>
      <x:c r="B2623" s="33" t="str">
        <x:v>Audit Procedure Master</x:v>
      </x:c>
      <x:c r="C2623" s="33" t="str">
        <x:v>Audit Procedure=Verify that regulatory observations are incorporated into future audit planning.; Audit Method=Observation; Risk Focus=General Compliance; Remarks=Risk-based planning should be evident.</x:v>
      </x:c>
      <x:c r="D2623" s="33" t="str">
        <x:v>Audit Procedure=Select a sample of relevant transactions or events and interview the responsible person to confirm that submit periodic compliance reports to senior management.; Audit Method=Sampling and Interview; Risk Focus=CA086; Remarks=P-4 normalized to current parent compliance; legacy Audit ID preserved.</x:v>
      </x:c>
      <x:c r="E2623" s="33" t="str">
        <x:v>CORRECT / RECLASSIFY</x:v>
      </x:c>
      <x:c r="F2623" s="33" t="str">
        <x:v>Quarantine inactive descendants and normalize the legacy audit band to its current parent compliance.</x:v>
      </x:c>
      <x:c r="G2623" s="33" t="str">
        <x:v>P-4 execution-chain reconciliation</x:v>
      </x:c>
      <x:c r="H2623" s="33" t="str">
        <x:v>P-4</x:v>
      </x:c>
      <x:c r="I2623" s="33" t="str">
        <x:v>P-4</x:v>
      </x:c>
      <x:c r="J2623" s="33" t="str">
        <x:v>2026-08-20</x:v>
      </x:c>
      <x:c r="K2623" s="33" t="str">
        <x:v>Audit IDs preserved; active tests now address their parent requirements.</x:v>
      </x:c>
    </x:row>
    <x:row r="2624">
      <x:c r="A2624" s="33" t="str">
        <x:v>AUD511</x:v>
      </x:c>
      <x:c r="B2624" s="33" t="str">
        <x:v>Audit Procedure Master</x:v>
      </x:c>
      <x:c r="C2624" s="33" t="str">
        <x:v>Audit Procedure=Review audit planning documentation for inclusion of regulatory observations.; Audit Method=Observation; Risk Focus=Recordkeeping; Remarks=Verify planning decisions.</x:v>
      </x:c>
      <x:c r="D2624" s="33" t="str">
        <x:v>Audit Procedure=Review the applicable licence, order, register, SOP and a sample of records to verify that submit periodic compliance reports to senior management.; Audit Method=Document Review and Sampling; Risk Focus=CA086; Remarks=P-4 normalized to current parent compliance; legacy Audit ID preserved.</x:v>
      </x:c>
      <x:c r="E2624" s="33" t="str">
        <x:v>CORRECT / RECLASSIFY</x:v>
      </x:c>
      <x:c r="F2624" s="33" t="str">
        <x:v>Quarantine inactive descendants and normalize the legacy audit band to its current parent compliance.</x:v>
      </x:c>
      <x:c r="G2624" s="33" t="str">
        <x:v>P-4 execution-chain reconciliation</x:v>
      </x:c>
      <x:c r="H2624" s="33" t="str">
        <x:v>P-4</x:v>
      </x:c>
      <x:c r="I2624" s="33" t="str">
        <x:v>P-4</x:v>
      </x:c>
      <x:c r="J2624" s="33" t="str">
        <x:v>2026-08-20</x:v>
      </x:c>
      <x:c r="K2624" s="33" t="str">
        <x:v>Audit IDs preserved; active tests now address their parent requirements.</x:v>
      </x:c>
    </x:row>
    <x:row r="2625">
      <x:c r="A2625" s="33" t="str">
        <x:v>AUD512</x:v>
      </x:c>
      <x:c r="B2625" s="33" t="str">
        <x:v>Audit Procedure Master</x:v>
      </x:c>
      <x:c r="C2625" s="33" t="str">
        <x:v>Audit Procedure=Verify that audit metrics are periodically analyzed to improve audit effectiveness.; Audit Method=Document Review; Risk Focus=General Compliance; Remarks=KPI trends should be reviewed.</x:v>
      </x:c>
      <x:c r="D2625" s="33" t="str">
        <x:v>Audit Procedure=Select a sample of relevant transactions or events and interview the responsible person to confirm that perform periodic regulatory risk assessments and document mitigation measures.; Audit Method=Sampling and Interview; Risk Focus=CA087; Remarks=P-4 normalized to current parent compliance; legacy Audit ID preserved.</x:v>
      </x:c>
      <x:c r="E2625" s="33" t="str">
        <x:v>CORRECT / RECLASSIFY</x:v>
      </x:c>
      <x:c r="F2625" s="33" t="str">
        <x:v>Quarantine inactive descendants and normalize the legacy audit band to its current parent compliance.</x:v>
      </x:c>
      <x:c r="G2625" s="33" t="str">
        <x:v>P-4 execution-chain reconciliation</x:v>
      </x:c>
      <x:c r="H2625" s="33" t="str">
        <x:v>P-4</x:v>
      </x:c>
      <x:c r="I2625" s="33" t="str">
        <x:v>P-4</x:v>
      </x:c>
      <x:c r="J2625" s="33" t="str">
        <x:v>2026-08-20</x:v>
      </x:c>
      <x:c r="K2625" s="33" t="str">
        <x:v>Audit IDs preserved; active tests now address their parent requirements.</x:v>
      </x:c>
    </x:row>
    <x:row r="2626">
      <x:c r="A2626" s="33" t="str">
        <x:v>AUD513</x:v>
      </x:c>
      <x:c r="B2626" s="33" t="str">
        <x:v>Audit Procedure Master</x:v>
      </x:c>
      <x:c r="C2626" s="33" t="str">
        <x:v>Audit Procedure=Review documented improvement initiatives arising from audit metrics.; Audit Method=Record Verification; Risk Focus=Recordkeeping; Remarks=Verify implementation.</x:v>
      </x:c>
      <x:c r="D2626" s="33" t="str">
        <x:v>Audit Procedure=Review the applicable licence, order, register, SOP and a sample of records to verify that perform periodic regulatory risk assessments and document mitigation measures.; Audit Method=Document Review and Sampling; Risk Focus=CA087; Remarks=P-4 normalized to current parent compliance; legacy Audit ID preserved.</x:v>
      </x:c>
      <x:c r="E2626" s="33" t="str">
        <x:v>CORRECT / RECLASSIFY</x:v>
      </x:c>
      <x:c r="F2626" s="33" t="str">
        <x:v>Quarantine inactive descendants and normalize the legacy audit band to its current parent compliance.</x:v>
      </x:c>
      <x:c r="G2626" s="33" t="str">
        <x:v>P-4 execution-chain reconciliation</x:v>
      </x:c>
      <x:c r="H2626" s="33" t="str">
        <x:v>P-4</x:v>
      </x:c>
      <x:c r="I2626" s="33" t="str">
        <x:v>P-4</x:v>
      </x:c>
      <x:c r="J2626" s="33" t="str">
        <x:v>2026-08-20</x:v>
      </x:c>
      <x:c r="K2626" s="33" t="str">
        <x:v>Audit IDs preserved; active tests now address their parent requirements.</x:v>
      </x:c>
    </x:row>
    <x:row r="2627">
      <x:c r="A2627" s="33" t="str">
        <x:v>AUD514</x:v>
      </x:c>
      <x:c r="B2627" s="33" t="str">
        <x:v>Audit Procedure Master</x:v>
      </x:c>
      <x:c r="C2627" s="33" t="str">
        <x:v>Audit Procedure=Verify that independent quality reviews of completed audits are conducted.; Audit Method=Document Review; Risk Focus=General Compliance; Remarks=Quality review checklist should be completed.</x:v>
      </x:c>
      <x:c r="D2627" s="33" t="str">
        <x:v>Audit Procedure=Select a sample of relevant transactions or events and interview the responsible person to confirm that conduct independent internal audits to evaluate regulatory compliance effectiveness.; Audit Method=Sampling and Interview; Risk Focus=CA083; Remarks=P-4 normalized to current parent compliance; legacy Audit ID preserved.</x:v>
      </x:c>
      <x:c r="E2627" s="33" t="str">
        <x:v>CORRECT / RECLASSIFY</x:v>
      </x:c>
      <x:c r="F2627" s="33" t="str">
        <x:v>Quarantine inactive descendants and normalize the legacy audit band to its current parent compliance.</x:v>
      </x:c>
      <x:c r="G2627" s="33" t="str">
        <x:v>P-4 execution-chain reconciliation</x:v>
      </x:c>
      <x:c r="H2627" s="33" t="str">
        <x:v>P-4</x:v>
      </x:c>
      <x:c r="I2627" s="33" t="str">
        <x:v>P-4</x:v>
      </x:c>
      <x:c r="J2627" s="33" t="str">
        <x:v>2026-08-20</x:v>
      </x:c>
      <x:c r="K2627" s="33" t="str">
        <x:v>Audit IDs preserved; active tests now address their parent requirements.</x:v>
      </x:c>
    </x:row>
    <x:row r="2628">
      <x:c r="A2628" s="33" t="str">
        <x:v>AUD515</x:v>
      </x:c>
      <x:c r="B2628" s="33" t="str">
        <x:v>Audit Procedure Master</x:v>
      </x:c>
      <x:c r="C2628" s="33" t="str">
        <x:v>Audit Procedure=Examine quality review reports and recommendations.; Audit Method=Record Verification; Risk Focus=General Compliance; Remarks=Verify corrective actions.</x:v>
      </x:c>
      <x:c r="D2628" s="33" t="str">
        <x:v>Audit Procedure=Review the applicable licence, order, register, SOP and a sample of records to verify that conduct independent internal audits to evaluate regulatory compliance effectiveness.; Audit Method=Document Review and Sampling; Risk Focus=CA083; Remarks=P-4 normalized to current parent compliance; legacy Audit ID preserved.</x:v>
      </x:c>
      <x:c r="E2628" s="33" t="str">
        <x:v>CORRECT / RECLASSIFY</x:v>
      </x:c>
      <x:c r="F2628" s="33" t="str">
        <x:v>Quarantine inactive descendants and normalize the legacy audit band to its current parent compliance.</x:v>
      </x:c>
      <x:c r="G2628" s="33" t="str">
        <x:v>P-4 execution-chain reconciliation</x:v>
      </x:c>
      <x:c r="H2628" s="33" t="str">
        <x:v>P-4</x:v>
      </x:c>
      <x:c r="I2628" s="33" t="str">
        <x:v>P-4</x:v>
      </x:c>
      <x:c r="J2628" s="33" t="str">
        <x:v>2026-08-20</x:v>
      </x:c>
      <x:c r="K2628" s="33" t="str">
        <x:v>Audit IDs preserved; active tests now address their parent requirements.</x:v>
      </x:c>
    </x:row>
    <x:row r="2629">
      <x:c r="A2629" s="33" t="str">
        <x:v>AUD516</x:v>
      </x:c>
      <x:c r="B2629" s="33" t="str">
        <x:v>Audit Procedure Master</x:v>
      </x:c>
      <x:c r="C2629" s="33" t="str">
        <x:v>Audit Procedure=Verify that the overall pharmacy compliance framework is periodically assessed through comprehensive internal audits.; Audit Method=Document Review; Risk Focus=General Compliance; Remarks=Cover all compliance domains.</x:v>
      </x:c>
      <x:c r="D2629" s="33" t="str">
        <x:v>Audit Procedure=Select a sample of relevant transactions or events and interview the responsible person to confirm that maintain controlled regulatory documents with version control, approval history and archival records.; Audit Method=Sampling and Interview; Risk Focus=CA097; Remarks=P-4 normalized to current parent compliance; legacy Audit ID preserved.</x:v>
      </x:c>
      <x:c r="E2629" s="33" t="str">
        <x:v>CORRECT / RECLASSIFY</x:v>
      </x:c>
      <x:c r="F2629" s="33" t="str">
        <x:v>Quarantine inactive descendants and normalize the legacy audit band to its current parent compliance.</x:v>
      </x:c>
      <x:c r="G2629" s="33" t="str">
        <x:v>P-4 execution-chain reconciliation</x:v>
      </x:c>
      <x:c r="H2629" s="33" t="str">
        <x:v>P-4</x:v>
      </x:c>
      <x:c r="I2629" s="33" t="str">
        <x:v>P-4</x:v>
      </x:c>
      <x:c r="J2629" s="33" t="str">
        <x:v>2026-08-20</x:v>
      </x:c>
      <x:c r="K2629" s="33" t="str">
        <x:v>Audit IDs preserved; active tests now address their parent requirements.</x:v>
      </x:c>
    </x:row>
    <x:row r="2630">
      <x:c r="A2630" s="33" t="str">
        <x:v>AUD517</x:v>
      </x:c>
      <x:c r="B2630" s="33" t="str">
        <x:v>Audit Procedure Master</x:v>
      </x:c>
      <x:c r="C2630" s="33" t="str">
        <x:v>Audit Procedure=Conduct sample testing across multiple compliance areas to validate overall regulatory compliance.; Audit Method=Sampling; Risk Focus=General Compliance; Remarks=Use risk-based sample selection.</x:v>
      </x:c>
      <x:c r="D2630" s="33" t="str">
        <x:v>Audit Procedure=Review the applicable licence, order, register, SOP and a sample of records to verify that maintain controlled regulatory documents with version control, approval history and archival records.; Audit Method=Document Review and Sampling; Risk Focus=CA097; Remarks=P-4 normalized to current parent compliance; legacy Audit ID preserved.</x:v>
      </x:c>
      <x:c r="E2630" s="33" t="str">
        <x:v>CORRECT / RECLASSIFY</x:v>
      </x:c>
      <x:c r="F2630" s="33" t="str">
        <x:v>Quarantine inactive descendants and normalize the legacy audit band to its current parent compliance.</x:v>
      </x:c>
      <x:c r="G2630" s="33" t="str">
        <x:v>P-4 execution-chain reconciliation</x:v>
      </x:c>
      <x:c r="H2630" s="33" t="str">
        <x:v>P-4</x:v>
      </x:c>
      <x:c r="I2630" s="33" t="str">
        <x:v>P-4</x:v>
      </x:c>
      <x:c r="J2630" s="33" t="str">
        <x:v>2026-08-20</x:v>
      </x:c>
      <x:c r="K2630" s="33" t="str">
        <x:v>Audit IDs preserved; active tests now address their parent requirements.</x:v>
      </x:c>
    </x:row>
    <x:row r="2631">
      <x:c r="A2631" s="33" t="str">
        <x:v>AUD518</x:v>
      </x:c>
      <x:c r="B2631" s="33" t="str">
        <x:v>Audit Procedure Master</x:v>
      </x:c>
      <x:c r="C2631" s="33" t="str">
        <x:v>Audit Procedure=Reconcile audit coverage with the complete Compliance Requirement Master.; Audit Method=Reconciliation; Risk Focus=General Compliance; Remarks=Ensure 100% compliance coverage.</x:v>
      </x:c>
      <x:c r="D2631" s="33" t="str">
        <x:v>Audit Procedure=Select a sample of relevant transactions or events and interview the responsible person to confirm that maintain controlled regulatory documents with version control, approval history and archival records.; Audit Method=Sampling and Interview; Risk Focus=CA097; Remarks=P-4 normalized to current parent compliance; legacy Audit ID preserved.</x:v>
      </x:c>
      <x:c r="E2631" s="33" t="str">
        <x:v>CORRECT / RECLASSIFY</x:v>
      </x:c>
      <x:c r="F2631" s="33" t="str">
        <x:v>Quarantine inactive descendants and normalize the legacy audit band to its current parent compliance.</x:v>
      </x:c>
      <x:c r="G2631" s="33" t="str">
        <x:v>P-4 execution-chain reconciliation</x:v>
      </x:c>
      <x:c r="H2631" s="33" t="str">
        <x:v>P-4</x:v>
      </x:c>
      <x:c r="I2631" s="33" t="str">
        <x:v>P-4</x:v>
      </x:c>
      <x:c r="J2631" s="33" t="str">
        <x:v>2026-08-20</x:v>
      </x:c>
      <x:c r="K2631" s="33" t="str">
        <x:v>Audit IDs preserved; active tests now address their parent requirements.</x:v>
      </x:c>
    </x:row>
    <x:row r="2632">
      <x:c r="A2632" s="33" t="str">
        <x:v>AUD519</x:v>
      </x:c>
      <x:c r="B2632" s="33" t="str">
        <x:v>Audit Procedure Master</x:v>
      </x:c>
      <x:c r="C2632" s="33" t="str">
        <x:v>Audit Procedure=Verify that the pharmacy maintains an effective enterprise compliance monitoring program supported by documented governance, periodic management review and continuous improvement.; Audit Method=Document Review; Risk Focus=Recordkeeping; Remarks=Evaluate the overall compliance framework.</x:v>
      </x:c>
      <x:c r="D2632" s="33" t="str">
        <x:v>Audit Procedure=Review the applicable licence, order, register, SOP and a sample of records to verify that periodically review and improve the compliance management system through continual improvement initiatives.; Audit Method=Document Review and Sampling; Risk Focus=CA089; Remarks=P-4 normalized to current parent compliance; legacy Audit ID preserved.</x:v>
      </x:c>
      <x:c r="E2632" s="33" t="str">
        <x:v>CORRECT / RECLASSIFY</x:v>
      </x:c>
      <x:c r="F2632" s="33" t="str">
        <x:v>Quarantine inactive descendants and normalize the legacy audit band to its current parent compliance.</x:v>
      </x:c>
      <x:c r="G2632" s="33" t="str">
        <x:v>P-4 execution-chain reconciliation</x:v>
      </x:c>
      <x:c r="H2632" s="33" t="str">
        <x:v>P-4</x:v>
      </x:c>
      <x:c r="I2632" s="33" t="str">
        <x:v>P-4</x:v>
      </x:c>
      <x:c r="J2632" s="33" t="str">
        <x:v>2026-08-20</x:v>
      </x:c>
      <x:c r="K2632" s="33" t="str">
        <x:v>Audit IDs preserved; active tests now address their parent requirements.</x:v>
      </x:c>
    </x:row>
    <x:row r="2633">
      <x:c r="A2633" s="33" t="str">
        <x:v>AUD520</x:v>
      </x:c>
      <x:c r="B2633" s="33" t="str">
        <x:v>Audit Procedure Master</x:v>
      </x:c>
      <x:c r="C2633" s="33" t="str">
        <x:v>Audit Procedure=Review governance reports, compliance dashboards, management review minutes and strategic compliance initiatives to confirm ongoing regulatory oversight.; Audit Method=Document Review; Risk Focus=General Compliance; Remarks=Verify active management involvement.</x:v>
      </x:c>
      <x:c r="D2633" s="33" t="str">
        <x:v>Audit Procedure=Select a sample of relevant transactions or events and interview the responsible person to confirm that periodically review and improve the compliance management system through continual improvement initiatives.; Audit Method=Sampling and Interview; Risk Focus=CA089; Remarks=P-4 normalized to current parent compliance; legacy Audit ID preserved.</x:v>
      </x:c>
      <x:c r="E2633" s="33" t="str">
        <x:v>CORRECT / RECLASSIFY</x:v>
      </x:c>
      <x:c r="F2633" s="33" t="str">
        <x:v>Quarantine inactive descendants and normalize the legacy audit band to its current parent compliance.</x:v>
      </x:c>
      <x:c r="G2633" s="33" t="str">
        <x:v>P-4 execution-chain reconciliation</x:v>
      </x:c>
      <x:c r="H2633" s="33" t="str">
        <x:v>P-4</x:v>
      </x:c>
      <x:c r="I2633" s="33" t="str">
        <x:v>P-4</x:v>
      </x:c>
      <x:c r="J2633" s="33" t="str">
        <x:v>2026-08-20</x:v>
      </x:c>
      <x:c r="K2633" s="33" t="str">
        <x:v>Audit IDs preserved; active tests now address their parent requirements.</x:v>
      </x:c>
    </x:row>
    <x:row r="2634">
      <x:c r="A2634" s="33" t="str">
        <x:v>AUD521</x:v>
      </x:c>
      <x:c r="B2634" s="33" t="str">
        <x:v>Audit Procedure Master</x:v>
      </x:c>
      <x:c r="C2634" s="33" t="str">
        <x:v>Audit Procedure=Validate the effectiveness of the entire pharmacy regulatory compliance program through independent end-to-end audit testing and issue a documented audit conclusion.; Audit Method=Sampling; Risk Focus=Recordkeeping; Remarks=Final enterprise-level assurance procedure.</x:v>
      </x:c>
      <x:c r="D2634" s="33" t="str">
        <x:v>Audit Procedure=Review the applicable licence, order, register, SOP and a sample of records to verify that periodically review and improve the compliance management system through continual improvement initiatives.; Audit Method=Document Review and Sampling; Risk Focus=CA089; Remarks=P-4 normalized to current parent compliance; legacy Audit ID preserved.</x:v>
      </x:c>
      <x:c r="E2634" s="33" t="str">
        <x:v>CORRECT / RECLASSIFY</x:v>
      </x:c>
      <x:c r="F2634" s="33" t="str">
        <x:v>Quarantine inactive descendants and normalize the legacy audit band to its current parent compliance.</x:v>
      </x:c>
      <x:c r="G2634" s="33" t="str">
        <x:v>P-4 execution-chain reconciliation</x:v>
      </x:c>
      <x:c r="H2634" s="33" t="str">
        <x:v>P-4</x:v>
      </x:c>
      <x:c r="I2634" s="33" t="str">
        <x:v>P-4</x:v>
      </x:c>
      <x:c r="J2634" s="33" t="str">
        <x:v>2026-08-20</x:v>
      </x:c>
      <x:c r="K2634" s="33" t="str">
        <x:v>Audit IDs preserved; active tests now address their parent requirements.</x:v>
      </x:c>
    </x:row>
    <x:row r="2635">
      <x:c r="A2635" s="33" t="str">
        <x:v>EVD081</x:v>
      </x:c>
      <x:c r="B2635" s="33" t="str">
        <x:v>Evidence Master</x:v>
      </x:c>
      <x:c r="C2635" s="33" t="str">
        <x:v>Active=Yes; Remarks=Record free samples received.</x:v>
      </x:c>
      <x:c r="D2635" s="33" t="str">
        <x:v>Active=No; Remarks=P-4 QUARANTINED with inactive parent audit; legacy ID retained.</x:v>
      </x:c>
      <x:c r="E2635" s="33" t="str">
        <x:v>CORRECT / RECLASSIFY</x:v>
      </x:c>
      <x:c r="F2635" s="33" t="str">
        <x:v>Quarantine inactive descendants and align existing evidence to normalized audits.</x:v>
      </x:c>
      <x:c r="G2635" s="33" t="str">
        <x:v>P-4 execution-chain reconciliation</x:v>
      </x:c>
      <x:c r="H2635" s="33" t="str">
        <x:v>P-4</x:v>
      </x:c>
      <x:c r="I2635" s="33" t="str">
        <x:v>P-4</x:v>
      </x:c>
      <x:c r="J2635" s="33" t="str">
        <x:v>2026-08-20</x:v>
      </x:c>
      <x:c r="K2635" s="33" t="str">
        <x:v>Evidence IDs preserved and aligned.</x:v>
      </x:c>
    </x:row>
    <x:row r="2636">
      <x:c r="A2636" s="33" t="str">
        <x:v>EVD082</x:v>
      </x:c>
      <x:c r="B2636" s="33" t="str">
        <x:v>Evidence Master</x:v>
      </x:c>
      <x:c r="C2636" s="33" t="str">
        <x:v>Active=Yes; Remarks=Required where applicable.</x:v>
      </x:c>
      <x:c r="D2636" s="33" t="str">
        <x:v>Active=No; Remarks=P-4 QUARANTINED with inactive parent audit; legacy ID retained.</x:v>
      </x:c>
      <x:c r="E2636" s="33" t="str">
        <x:v>CORRECT / RECLASSIFY</x:v>
      </x:c>
      <x:c r="F2636" s="33" t="str">
        <x:v>Quarantine inactive descendants and align existing evidence to normalized audits.</x:v>
      </x:c>
      <x:c r="G2636" s="33" t="str">
        <x:v>P-4 execution-chain reconciliation</x:v>
      </x:c>
      <x:c r="H2636" s="33" t="str">
        <x:v>P-4</x:v>
      </x:c>
      <x:c r="I2636" s="33" t="str">
        <x:v>P-4</x:v>
      </x:c>
      <x:c r="J2636" s="33" t="str">
        <x:v>2026-08-20</x:v>
      </x:c>
      <x:c r="K2636" s="33" t="str">
        <x:v>Evidence IDs preserved and aligned.</x:v>
      </x:c>
    </x:row>
    <x:row r="2637">
      <x:c r="A2637" s="33" t="str">
        <x:v>EVD083</x:v>
      </x:c>
      <x:c r="B2637" s="33" t="str">
        <x:v>Evidence Master</x:v>
      </x:c>
      <x:c r="C2637" s="33" t="str">
        <x:v>Active=Yes; Remarks=Official recall communication.</x:v>
      </x:c>
      <x:c r="D2637" s="33" t="str">
        <x:v>Active=No; Remarks=P-4 QUARANTINED with inactive parent audit; legacy ID retained.</x:v>
      </x:c>
      <x:c r="E2637" s="33" t="str">
        <x:v>CORRECT / RECLASSIFY</x:v>
      </x:c>
      <x:c r="F2637" s="33" t="str">
        <x:v>Quarantine inactive descendants and align existing evidence to normalized audits.</x:v>
      </x:c>
      <x:c r="G2637" s="33" t="str">
        <x:v>P-4 execution-chain reconciliation</x:v>
      </x:c>
      <x:c r="H2637" s="33" t="str">
        <x:v>P-4</x:v>
      </x:c>
      <x:c r="I2637" s="33" t="str">
        <x:v>P-4</x:v>
      </x:c>
      <x:c r="J2637" s="33" t="str">
        <x:v>2026-08-20</x:v>
      </x:c>
      <x:c r="K2637" s="33" t="str">
        <x:v>Evidence IDs preserved and aligned.</x:v>
      </x:c>
    </x:row>
    <x:row r="2638">
      <x:c r="A2638" s="33" t="str">
        <x:v>EVD084</x:v>
      </x:c>
      <x:c r="B2638" s="33" t="str">
        <x:v>Evidence Master</x:v>
      </x:c>
      <x:c r="C2638" s="33" t="str">
        <x:v>Active=Yes; Remarks=Record recalled products.</x:v>
      </x:c>
      <x:c r="D2638" s="33" t="str">
        <x:v>Active=No; Remarks=P-4 QUARANTINED with inactive parent audit; legacy ID retained.</x:v>
      </x:c>
      <x:c r="E2638" s="33" t="str">
        <x:v>CORRECT / RECLASSIFY</x:v>
      </x:c>
      <x:c r="F2638" s="33" t="str">
        <x:v>Quarantine inactive descendants and align existing evidence to normalized audits.</x:v>
      </x:c>
      <x:c r="G2638" s="33" t="str">
        <x:v>P-4 execution-chain reconciliation</x:v>
      </x:c>
      <x:c r="H2638" s="33" t="str">
        <x:v>P-4</x:v>
      </x:c>
      <x:c r="I2638" s="33" t="str">
        <x:v>P-4</x:v>
      </x:c>
      <x:c r="J2638" s="33" t="str">
        <x:v>2026-08-20</x:v>
      </x:c>
      <x:c r="K2638" s="33" t="str">
        <x:v>Evidence IDs preserved and aligned.</x:v>
      </x:c>
    </x:row>
    <x:row r="2639">
      <x:c r="A2639" s="33" t="str">
        <x:v>EVD085</x:v>
      </x:c>
      <x:c r="B2639" s="33" t="str">
        <x:v>Evidence Master</x:v>
      </x:c>
      <x:c r="C2639" s="33" t="str">
        <x:v>Active=Yes; Remarks=Maintain statutory retention.</x:v>
      </x:c>
      <x:c r="D2639" s="33" t="str">
        <x:v>Active=No; Remarks=P-4 QUARANTINED with inactive parent audit; legacy ID retained.</x:v>
      </x:c>
      <x:c r="E2639" s="33" t="str">
        <x:v>CORRECT / RECLASSIFY</x:v>
      </x:c>
      <x:c r="F2639" s="33" t="str">
        <x:v>Quarantine inactive descendants and align existing evidence to normalized audits.</x:v>
      </x:c>
      <x:c r="G2639" s="33" t="str">
        <x:v>P-4 execution-chain reconciliation</x:v>
      </x:c>
      <x:c r="H2639" s="33" t="str">
        <x:v>P-4</x:v>
      </x:c>
      <x:c r="I2639" s="33" t="str">
        <x:v>P-4</x:v>
      </x:c>
      <x:c r="J2639" s="33" t="str">
        <x:v>2026-08-20</x:v>
      </x:c>
      <x:c r="K2639" s="33" t="str">
        <x:v>Evidence IDs preserved and aligned.</x:v>
      </x:c>
    </x:row>
    <x:row r="2640">
      <x:c r="A2640" s="33" t="str">
        <x:v>EVD086</x:v>
      </x:c>
      <x:c r="B2640" s="33" t="str">
        <x:v>Evidence Master</x:v>
      </x:c>
      <x:c r="C2640" s="33" t="str">
        <x:v>Active=Yes; Remarks=Defines retention period.</x:v>
      </x:c>
      <x:c r="D2640" s="33" t="str">
        <x:v>Active=No; Remarks=P-4 QUARANTINED with inactive parent audit; legacy ID retained.</x:v>
      </x:c>
      <x:c r="E2640" s="33" t="str">
        <x:v>CORRECT / RECLASSIFY</x:v>
      </x:c>
      <x:c r="F2640" s="33" t="str">
        <x:v>Quarantine inactive descendants and align existing evidence to normalized audits.</x:v>
      </x:c>
      <x:c r="G2640" s="33" t="str">
        <x:v>P-4 execution-chain reconciliation</x:v>
      </x:c>
      <x:c r="H2640" s="33" t="str">
        <x:v>P-4</x:v>
      </x:c>
      <x:c r="I2640" s="33" t="str">
        <x:v>P-4</x:v>
      </x:c>
      <x:c r="J2640" s="33" t="str">
        <x:v>2026-08-20</x:v>
      </x:c>
      <x:c r="K2640" s="33" t="str">
        <x:v>Evidence IDs preserved and aligned.</x:v>
      </x:c>
    </x:row>
    <x:row r="2641">
      <x:c r="A2641" s="33" t="str">
        <x:v>EVD087</x:v>
      </x:c>
      <x:c r="B2641" s="33" t="str">
        <x:v>Evidence Master</x:v>
      </x:c>
      <x:c r="C2641" s="33" t="str">
        <x:v>Active=Yes; Remarks=Evidence of transaction logging.</x:v>
      </x:c>
      <x:c r="D2641" s="33" t="str">
        <x:v>Active=No; Remarks=P-4 QUARANTINED with inactive parent audit; legacy ID retained.</x:v>
      </x:c>
      <x:c r="E2641" s="33" t="str">
        <x:v>CORRECT / RECLASSIFY</x:v>
      </x:c>
      <x:c r="F2641" s="33" t="str">
        <x:v>Quarantine inactive descendants and align existing evidence to normalized audits.</x:v>
      </x:c>
      <x:c r="G2641" s="33" t="str">
        <x:v>P-4 execution-chain reconciliation</x:v>
      </x:c>
      <x:c r="H2641" s="33" t="str">
        <x:v>P-4</x:v>
      </x:c>
      <x:c r="I2641" s="33" t="str">
        <x:v>P-4</x:v>
      </x:c>
      <x:c r="J2641" s="33" t="str">
        <x:v>2026-08-20</x:v>
      </x:c>
      <x:c r="K2641" s="33" t="str">
        <x:v>Evidence IDs preserved and aligned.</x:v>
      </x:c>
    </x:row>
    <x:row r="2642">
      <x:c r="A2642" s="33" t="str">
        <x:v>EVD088</x:v>
      </x:c>
      <x:c r="B2642" s="33" t="str">
        <x:v>Evidence Master</x:v>
      </x:c>
      <x:c r="C2642" s="33" t="str">
        <x:v>Active=Yes; Remarks=Detect unauthorized changes.</x:v>
      </x:c>
      <x:c r="D2642" s="33" t="str">
        <x:v>Active=No; Remarks=P-4 QUARANTINED with inactive parent audit; legacy ID retained.</x:v>
      </x:c>
      <x:c r="E2642" s="33" t="str">
        <x:v>CORRECT / RECLASSIFY</x:v>
      </x:c>
      <x:c r="F2642" s="33" t="str">
        <x:v>Quarantine inactive descendants and align existing evidence to normalized audits.</x:v>
      </x:c>
      <x:c r="G2642" s="33" t="str">
        <x:v>P-4 execution-chain reconciliation</x:v>
      </x:c>
      <x:c r="H2642" s="33" t="str">
        <x:v>P-4</x:v>
      </x:c>
      <x:c r="I2642" s="33" t="str">
        <x:v>P-4</x:v>
      </x:c>
      <x:c r="J2642" s="33" t="str">
        <x:v>2026-08-20</x:v>
      </x:c>
      <x:c r="K2642" s="33" t="str">
        <x:v>Evidence IDs preserved and aligned.</x:v>
      </x:c>
    </x:row>
    <x:row r="2643">
      <x:c r="A2643" s="33" t="str">
        <x:v>EVD326</x:v>
      </x:c>
      <x:c r="B2643" s="33" t="str">
        <x:v>Evidence Master</x:v>
      </x:c>
      <x:c r="C2643" s="33" t="str">
        <x:v>Active=Yes; Remarks=Electronic activity history.</x:v>
      </x:c>
      <x:c r="D2643" s="33" t="str">
        <x:v>Active=No; Remarks=P-4 QUARANTINED with inactive parent audit; legacy ID retained.</x:v>
      </x:c>
      <x:c r="E2643" s="33" t="str">
        <x:v>CORRECT / RECLASSIFY</x:v>
      </x:c>
      <x:c r="F2643" s="33" t="str">
        <x:v>Quarantine inactive descendants and align existing evidence to normalized audits.</x:v>
      </x:c>
      <x:c r="G2643" s="33" t="str">
        <x:v>P-4 execution-chain reconciliation</x:v>
      </x:c>
      <x:c r="H2643" s="33" t="str">
        <x:v>P-4</x:v>
      </x:c>
      <x:c r="I2643" s="33" t="str">
        <x:v>P-4</x:v>
      </x:c>
      <x:c r="J2643" s="33" t="str">
        <x:v>2026-08-20</x:v>
      </x:c>
      <x:c r="K2643" s="33" t="str">
        <x:v>Evidence IDs preserved and aligned.</x:v>
      </x:c>
    </x:row>
    <x:row r="2644">
      <x:c r="A2644" s="33" t="str">
        <x:v>EVD327</x:v>
      </x:c>
      <x:c r="B2644" s="33" t="str">
        <x:v>Evidence Master</x:v>
      </x:c>
      <x:c r="C2644" s="33" t="str">
        <x:v>Active=Yes; Remarks=Access control evidence.</x:v>
      </x:c>
      <x:c r="D2644" s="33" t="str">
        <x:v>Active=No; Remarks=P-4 QUARANTINED with inactive parent audit; legacy ID retained.</x:v>
      </x:c>
      <x:c r="E2644" s="33" t="str">
        <x:v>CORRECT / RECLASSIFY</x:v>
      </x:c>
      <x:c r="F2644" s="33" t="str">
        <x:v>Quarantine inactive descendants and align existing evidence to normalized audits.</x:v>
      </x:c>
      <x:c r="G2644" s="33" t="str">
        <x:v>P-4 execution-chain reconciliation</x:v>
      </x:c>
      <x:c r="H2644" s="33" t="str">
        <x:v>P-4</x:v>
      </x:c>
      <x:c r="I2644" s="33" t="str">
        <x:v>P-4</x:v>
      </x:c>
      <x:c r="J2644" s="33" t="str">
        <x:v>2026-08-20</x:v>
      </x:c>
      <x:c r="K2644" s="33" t="str">
        <x:v>Evidence IDs preserved and aligned.</x:v>
      </x:c>
    </x:row>
    <x:row r="2645">
      <x:c r="A2645" s="33" t="str">
        <x:v>EVD328</x:v>
      </x:c>
      <x:c r="B2645" s="33" t="str">
        <x:v>Evidence Master</x:v>
      </x:c>
      <x:c r="C2645" s="33" t="str">
        <x:v>Active=Yes; Remarks=Audit of recall controls.</x:v>
      </x:c>
      <x:c r="D2645" s="33" t="str">
        <x:v>Active=No; Remarks=P-4 QUARANTINED with inactive parent audit; legacy ID retained.</x:v>
      </x:c>
      <x:c r="E2645" s="33" t="str">
        <x:v>CORRECT / RECLASSIFY</x:v>
      </x:c>
      <x:c r="F2645" s="33" t="str">
        <x:v>Quarantine inactive descendants and align existing evidence to normalized audits.</x:v>
      </x:c>
      <x:c r="G2645" s="33" t="str">
        <x:v>P-4 execution-chain reconciliation</x:v>
      </x:c>
      <x:c r="H2645" s="33" t="str">
        <x:v>P-4</x:v>
      </x:c>
      <x:c r="I2645" s="33" t="str">
        <x:v>P-4</x:v>
      </x:c>
      <x:c r="J2645" s="33" t="str">
        <x:v>2026-08-20</x:v>
      </x:c>
      <x:c r="K2645" s="33" t="str">
        <x:v>Evidence IDs preserved and aligned.</x:v>
      </x:c>
    </x:row>
    <x:row r="2646">
      <x:c r="A2646" s="33" t="str">
        <x:v>EVD329</x:v>
      </x:c>
      <x:c r="B2646" s="33" t="str">
        <x:v>Evidence Master</x:v>
      </x:c>
      <x:c r="C2646" s="33" t="str">
        <x:v>Active=Yes; Remarks=Findings and recommendations.</x:v>
      </x:c>
      <x:c r="D2646" s="33" t="str">
        <x:v>Active=No; Remarks=P-4 QUARANTINED with inactive parent audit; legacy ID retained.</x:v>
      </x:c>
      <x:c r="E2646" s="33" t="str">
        <x:v>CORRECT / RECLASSIFY</x:v>
      </x:c>
      <x:c r="F2646" s="33" t="str">
        <x:v>Quarantine inactive descendants and align existing evidence to normalized audits.</x:v>
      </x:c>
      <x:c r="G2646" s="33" t="str">
        <x:v>P-4 execution-chain reconciliation</x:v>
      </x:c>
      <x:c r="H2646" s="33" t="str">
        <x:v>P-4</x:v>
      </x:c>
      <x:c r="I2646" s="33" t="str">
        <x:v>P-4</x:v>
      </x:c>
      <x:c r="J2646" s="33" t="str">
        <x:v>2026-08-20</x:v>
      </x:c>
      <x:c r="K2646" s="33" t="str">
        <x:v>Evidence IDs preserved and aligned.</x:v>
      </x:c>
    </x:row>
    <x:row r="2647">
      <x:c r="A2647" s="33" t="str">
        <x:v>EVD330</x:v>
      </x:c>
      <x:c r="B2647" s="33" t="str">
        <x:v>Evidence Master</x:v>
      </x:c>
      <x:c r="C2647" s="33" t="str">
        <x:v>Active=Yes; Remarks=Recall/complaint inspection evidence.</x:v>
      </x:c>
      <x:c r="D2647" s="33" t="str">
        <x:v>Active=No; Remarks=P-4 QUARANTINED with inactive parent audit; legacy ID retained.</x:v>
      </x:c>
      <x:c r="E2647" s="33" t="str">
        <x:v>CORRECT / RECLASSIFY</x:v>
      </x:c>
      <x:c r="F2647" s="33" t="str">
        <x:v>Quarantine inactive descendants and align existing evidence to normalized audits.</x:v>
      </x:c>
      <x:c r="G2647" s="33" t="str">
        <x:v>P-4 execution-chain reconciliation</x:v>
      </x:c>
      <x:c r="H2647" s="33" t="str">
        <x:v>P-4</x:v>
      </x:c>
      <x:c r="I2647" s="33" t="str">
        <x:v>P-4</x:v>
      </x:c>
      <x:c r="J2647" s="33" t="str">
        <x:v>2026-08-20</x:v>
      </x:c>
      <x:c r="K2647" s="33" t="str">
        <x:v>Evidence IDs preserved and aligned.</x:v>
      </x:c>
    </x:row>
    <x:row r="2648">
      <x:c r="A2648" s="33" t="str">
        <x:v>EVD331</x:v>
      </x:c>
      <x:c r="B2648" s="33" t="str">
        <x:v>Evidence Master</x:v>
      </x:c>
      <x:c r="C2648" s="33" t="str">
        <x:v>Active=Yes; Remarks=Closure documentation.</x:v>
      </x:c>
      <x:c r="D2648" s="33" t="str">
        <x:v>Active=No; Remarks=P-4 QUARANTINED with inactive parent audit; legacy ID retained.</x:v>
      </x:c>
      <x:c r="E2648" s="33" t="str">
        <x:v>CORRECT / RECLASSIFY</x:v>
      </x:c>
      <x:c r="F2648" s="33" t="str">
        <x:v>Quarantine inactive descendants and align existing evidence to normalized audits.</x:v>
      </x:c>
      <x:c r="G2648" s="33" t="str">
        <x:v>P-4 execution-chain reconciliation</x:v>
      </x:c>
      <x:c r="H2648" s="33" t="str">
        <x:v>P-4</x:v>
      </x:c>
      <x:c r="I2648" s="33" t="str">
        <x:v>P-4</x:v>
      </x:c>
      <x:c r="J2648" s="33" t="str">
        <x:v>2026-08-20</x:v>
      </x:c>
      <x:c r="K2648" s="33" t="str">
        <x:v>Evidence IDs preserved and aligned.</x:v>
      </x:c>
    </x:row>
    <x:row r="2649">
      <x:c r="A2649" s="33" t="str">
        <x:v>EVD332</x:v>
      </x:c>
      <x:c r="B2649" s="33" t="str">
        <x:v>Evidence Master</x:v>
      </x:c>
      <x:c r="C2649" s="33" t="str">
        <x:v>Active=Yes; Remarks=Performance monitoring.</x:v>
      </x:c>
      <x:c r="D2649" s="33" t="str">
        <x:v>Active=No; Remarks=P-4 QUARANTINED with inactive parent audit; legacy ID retained.</x:v>
      </x:c>
      <x:c r="E2649" s="33" t="str">
        <x:v>CORRECT / RECLASSIFY</x:v>
      </x:c>
      <x:c r="F2649" s="33" t="str">
        <x:v>Quarantine inactive descendants and align existing evidence to normalized audits.</x:v>
      </x:c>
      <x:c r="G2649" s="33" t="str">
        <x:v>P-4 execution-chain reconciliation</x:v>
      </x:c>
      <x:c r="H2649" s="33" t="str">
        <x:v>P-4</x:v>
      </x:c>
      <x:c r="I2649" s="33" t="str">
        <x:v>P-4</x:v>
      </x:c>
      <x:c r="J2649" s="33" t="str">
        <x:v>2026-08-20</x:v>
      </x:c>
      <x:c r="K2649" s="33" t="str">
        <x:v>Evidence IDs preserved and aligned.</x:v>
      </x:c>
    </x:row>
    <x:row r="2650">
      <x:c r="A2650" s="33" t="str">
        <x:v>EVD333</x:v>
      </x:c>
      <x:c r="B2650" s="33" t="str">
        <x:v>Evidence Master</x:v>
      </x:c>
      <x:c r="C2650" s="33" t="str">
        <x:v>Active=Yes; Remarks=Management follow-up.</x:v>
      </x:c>
      <x:c r="D2650" s="33" t="str">
        <x:v>Active=No; Remarks=P-4 QUARANTINED with inactive parent audit; legacy ID retained.</x:v>
      </x:c>
      <x:c r="E2650" s="33" t="str">
        <x:v>CORRECT / RECLASSIFY</x:v>
      </x:c>
      <x:c r="F2650" s="33" t="str">
        <x:v>Quarantine inactive descendants and align existing evidence to normalized audits.</x:v>
      </x:c>
      <x:c r="G2650" s="33" t="str">
        <x:v>P-4 execution-chain reconciliation</x:v>
      </x:c>
      <x:c r="H2650" s="33" t="str">
        <x:v>P-4</x:v>
      </x:c>
      <x:c r="I2650" s="33" t="str">
        <x:v>P-4</x:v>
      </x:c>
      <x:c r="J2650" s="33" t="str">
        <x:v>2026-08-20</x:v>
      </x:c>
      <x:c r="K2650" s="33" t="str">
        <x:v>Evidence IDs preserved and aligned.</x:v>
      </x:c>
    </x:row>
    <x:row r="2651">
      <x:c r="A2651" s="33" t="str">
        <x:v>EVD334</x:v>
      </x:c>
      <x:c r="B2651" s="33" t="str">
        <x:v>Evidence Master</x:v>
      </x:c>
      <x:c r="C2651" s="33" t="str">
        <x:v>Active=Yes; Remarks=Enterprise compliance assessment.</x:v>
      </x:c>
      <x:c r="D2651" s="33" t="str">
        <x:v>Active=No; Remarks=P-4 QUARANTINED with inactive parent audit; legacy ID retained.</x:v>
      </x:c>
      <x:c r="E2651" s="33" t="str">
        <x:v>CORRECT / RECLASSIFY</x:v>
      </x:c>
      <x:c r="F2651" s="33" t="str">
        <x:v>Quarantine inactive descendants and align existing evidence to normalized audits.</x:v>
      </x:c>
      <x:c r="G2651" s="33" t="str">
        <x:v>P-4 execution-chain reconciliation</x:v>
      </x:c>
      <x:c r="H2651" s="33" t="str">
        <x:v>P-4</x:v>
      </x:c>
      <x:c r="I2651" s="33" t="str">
        <x:v>P-4</x:v>
      </x:c>
      <x:c r="J2651" s="33" t="str">
        <x:v>2026-08-20</x:v>
      </x:c>
      <x:c r="K2651" s="33" t="str">
        <x:v>Evidence IDs preserved and aligned.</x:v>
      </x:c>
    </x:row>
    <x:row r="2652">
      <x:c r="A2652" s="33" t="str">
        <x:v>EVD335</x:v>
      </x:c>
      <x:c r="B2652" s="33" t="str">
        <x:v>Evidence Master</x:v>
      </x:c>
      <x:c r="C2652" s="33" t="str">
        <x:v>Active=Yes; Remarks=Supports walkthrough.</x:v>
      </x:c>
      <x:c r="D2652" s="33" t="str">
        <x:v>Active=No; Remarks=P-4 QUARANTINED with inactive parent audit; legacy ID retained.</x:v>
      </x:c>
      <x:c r="E2652" s="33" t="str">
        <x:v>CORRECT / RECLASSIFY</x:v>
      </x:c>
      <x:c r="F2652" s="33" t="str">
        <x:v>Quarantine inactive descendants and align existing evidence to normalized audits.</x:v>
      </x:c>
      <x:c r="G2652" s="33" t="str">
        <x:v>P-4 execution-chain reconciliation</x:v>
      </x:c>
      <x:c r="H2652" s="33" t="str">
        <x:v>P-4</x:v>
      </x:c>
      <x:c r="I2652" s="33" t="str">
        <x:v>P-4</x:v>
      </x:c>
      <x:c r="J2652" s="33" t="str">
        <x:v>2026-08-20</x:v>
      </x:c>
      <x:c r="K2652" s="33" t="str">
        <x:v>Evidence IDs preserved and aligned.</x:v>
      </x:c>
    </x:row>
    <x:row r="2653">
      <x:c r="A2653" s="33" t="str">
        <x:v>EVD336</x:v>
      </x:c>
      <x:c r="B2653" s="33" t="str">
        <x:v>Evidence Master</x:v>
      </x:c>
      <x:c r="C2653" s="33" t="str">
        <x:v>Active=Yes; Remarks=Risk evaluation.</x:v>
      </x:c>
      <x:c r="D2653" s="33" t="str">
        <x:v>Active=No; Remarks=P-4 QUARANTINED with inactive parent audit; legacy ID retained.</x:v>
      </x:c>
      <x:c r="E2653" s="33" t="str">
        <x:v>CORRECT / RECLASSIFY</x:v>
      </x:c>
      <x:c r="F2653" s="33" t="str">
        <x:v>Quarantine inactive descendants and align existing evidence to normalized audits.</x:v>
      </x:c>
      <x:c r="G2653" s="33" t="str">
        <x:v>P-4 execution-chain reconciliation</x:v>
      </x:c>
      <x:c r="H2653" s="33" t="str">
        <x:v>P-4</x:v>
      </x:c>
      <x:c r="I2653" s="33" t="str">
        <x:v>P-4</x:v>
      </x:c>
      <x:c r="J2653" s="33" t="str">
        <x:v>2026-08-20</x:v>
      </x:c>
      <x:c r="K2653" s="33" t="str">
        <x:v>Evidence IDs preserved and aligned.</x:v>
      </x:c>
    </x:row>
    <x:row r="2654">
      <x:c r="A2654" s="33" t="str">
        <x:v>EVD337</x:v>
      </x:c>
      <x:c r="B2654" s="33" t="str">
        <x:v>Evidence Master</x:v>
      </x:c>
      <x:c r="C2654" s="33" t="str">
        <x:v>Active=Yes; Remarks=SOP review evidence.</x:v>
      </x:c>
      <x:c r="D2654" s="33" t="str">
        <x:v>Active=No; Remarks=P-4 QUARANTINED with inactive parent audit; legacy ID retained.</x:v>
      </x:c>
      <x:c r="E2654" s="33" t="str">
        <x:v>CORRECT / RECLASSIFY</x:v>
      </x:c>
      <x:c r="F2654" s="33" t="str">
        <x:v>Quarantine inactive descendants and align existing evidence to normalized audits.</x:v>
      </x:c>
      <x:c r="G2654" s="33" t="str">
        <x:v>P-4 execution-chain reconciliation</x:v>
      </x:c>
      <x:c r="H2654" s="33" t="str">
        <x:v>P-4</x:v>
      </x:c>
      <x:c r="I2654" s="33" t="str">
        <x:v>P-4</x:v>
      </x:c>
      <x:c r="J2654" s="33" t="str">
        <x:v>2026-08-20</x:v>
      </x:c>
      <x:c r="K2654" s="33" t="str">
        <x:v>Evidence IDs preserved and aligned.</x:v>
      </x:c>
    </x:row>
    <x:row r="2655">
      <x:c r="A2655" s="33" t="str">
        <x:v>EVD338</x:v>
      </x:c>
      <x:c r="B2655" s="33" t="str">
        <x:v>Evidence Master</x:v>
      </x:c>
      <x:c r="C2655" s="33" t="str">
        <x:v>Active=Yes; Remarks=Corrective action tracking.</x:v>
      </x:c>
      <x:c r="D2655" s="33" t="str">
        <x:v>Active=No; Remarks=P-4 QUARANTINED with inactive parent audit; legacy ID retained.</x:v>
      </x:c>
      <x:c r="E2655" s="33" t="str">
        <x:v>CORRECT / RECLASSIFY</x:v>
      </x:c>
      <x:c r="F2655" s="33" t="str">
        <x:v>Quarantine inactive descendants and align existing evidence to normalized audits.</x:v>
      </x:c>
      <x:c r="G2655" s="33" t="str">
        <x:v>P-4 execution-chain reconciliation</x:v>
      </x:c>
      <x:c r="H2655" s="33" t="str">
        <x:v>P-4</x:v>
      </x:c>
      <x:c r="I2655" s="33" t="str">
        <x:v>P-4</x:v>
      </x:c>
      <x:c r="J2655" s="33" t="str">
        <x:v>2026-08-20</x:v>
      </x:c>
      <x:c r="K2655" s="33" t="str">
        <x:v>Evidence IDs preserved and aligned.</x:v>
      </x:c>
    </x:row>
    <x:row r="2656">
      <x:c r="A2656" s="33" t="str">
        <x:v>EVD339</x:v>
      </x:c>
      <x:c r="B2656" s="33" t="str">
        <x:v>Evidence Master</x:v>
      </x:c>
      <x:c r="C2656" s="33" t="str">
        <x:v>Active=Yes; Remarks=Complaint corrective actions.</x:v>
      </x:c>
      <x:c r="D2656" s="33" t="str">
        <x:v>Active=No; Remarks=P-4 QUARANTINED with inactive parent audit; legacy ID retained.</x:v>
      </x:c>
      <x:c r="E2656" s="33" t="str">
        <x:v>CORRECT / RECLASSIFY</x:v>
      </x:c>
      <x:c r="F2656" s="33" t="str">
        <x:v>Quarantine inactive descendants and align existing evidence to normalized audits.</x:v>
      </x:c>
      <x:c r="G2656" s="33" t="str">
        <x:v>P-4 execution-chain reconciliation</x:v>
      </x:c>
      <x:c r="H2656" s="33" t="str">
        <x:v>P-4</x:v>
      </x:c>
      <x:c r="I2656" s="33" t="str">
        <x:v>P-4</x:v>
      </x:c>
      <x:c r="J2656" s="33" t="str">
        <x:v>2026-08-20</x:v>
      </x:c>
      <x:c r="K2656" s="33" t="str">
        <x:v>Evidence IDs preserved and aligned.</x:v>
      </x:c>
    </x:row>
    <x:row r="2657">
      <x:c r="A2657" s="33" t="str">
        <x:v>EVD340</x:v>
      </x:c>
      <x:c r="B2657" s="33" t="str">
        <x:v>Evidence Master</x:v>
      </x:c>
      <x:c r="C2657" s="33" t="str">
        <x:v>Active=Yes; Remarks=Supporting audit evidence.</x:v>
      </x:c>
      <x:c r="D2657" s="33" t="str">
        <x:v>Active=No; Remarks=P-4 QUARANTINED with inactive parent audit; legacy ID retained.</x:v>
      </x:c>
      <x:c r="E2657" s="33" t="str">
        <x:v>CORRECT / RECLASSIFY</x:v>
      </x:c>
      <x:c r="F2657" s="33" t="str">
        <x:v>Quarantine inactive descendants and align existing evidence to normalized audits.</x:v>
      </x:c>
      <x:c r="G2657" s="33" t="str">
        <x:v>P-4 execution-chain reconciliation</x:v>
      </x:c>
      <x:c r="H2657" s="33" t="str">
        <x:v>P-4</x:v>
      </x:c>
      <x:c r="I2657" s="33" t="str">
        <x:v>P-4</x:v>
      </x:c>
      <x:c r="J2657" s="33" t="str">
        <x:v>2026-08-20</x:v>
      </x:c>
      <x:c r="K2657" s="33" t="str">
        <x:v>Evidence IDs preserved and aligned.</x:v>
      </x:c>
    </x:row>
    <x:row r="2658">
      <x:c r="A2658" s="33" t="str">
        <x:v>EVD341</x:v>
      </x:c>
      <x:c r="B2658" s="33" t="str">
        <x:v>Evidence Master</x:v>
      </x:c>
      <x:c r="C2658" s="33" t="str">
        <x:v>Active=Yes; Remarks=Overall compliance monitoring.</x:v>
      </x:c>
      <x:c r="D2658" s="33" t="str">
        <x:v>Active=No; Remarks=P-4 QUARANTINED with inactive parent audit; legacy ID retained.</x:v>
      </x:c>
      <x:c r="E2658" s="33" t="str">
        <x:v>CORRECT / RECLASSIFY</x:v>
      </x:c>
      <x:c r="F2658" s="33" t="str">
        <x:v>Quarantine inactive descendants and align existing evidence to normalized audits.</x:v>
      </x:c>
      <x:c r="G2658" s="33" t="str">
        <x:v>P-4 execution-chain reconciliation</x:v>
      </x:c>
      <x:c r="H2658" s="33" t="str">
        <x:v>P-4</x:v>
      </x:c>
      <x:c r="I2658" s="33" t="str">
        <x:v>P-4</x:v>
      </x:c>
      <x:c r="J2658" s="33" t="str">
        <x:v>2026-08-20</x:v>
      </x:c>
      <x:c r="K2658" s="33" t="str">
        <x:v>Evidence IDs preserved and aligned.</x:v>
      </x:c>
    </x:row>
    <x:row r="2659">
      <x:c r="A2659" s="33" t="str">
        <x:v>EVD342</x:v>
      </x:c>
      <x:c r="B2659" s="33" t="str">
        <x:v>Evidence Master</x:v>
      </x:c>
      <x:c r="C2659" s="33" t="str">
        <x:v>Active=Yes; Remarks=Continuous improvement initiatives.</x:v>
      </x:c>
      <x:c r="D2659" s="33" t="str">
        <x:v>Active=No; Remarks=P-4 QUARANTINED with inactive parent audit; legacy ID retained.</x:v>
      </x:c>
      <x:c r="E2659" s="33" t="str">
        <x:v>CORRECT / RECLASSIFY</x:v>
      </x:c>
      <x:c r="F2659" s="33" t="str">
        <x:v>Quarantine inactive descendants and align existing evidence to normalized audits.</x:v>
      </x:c>
      <x:c r="G2659" s="33" t="str">
        <x:v>P-4 execution-chain reconciliation</x:v>
      </x:c>
      <x:c r="H2659" s="33" t="str">
        <x:v>P-4</x:v>
      </x:c>
      <x:c r="I2659" s="33" t="str">
        <x:v>P-4</x:v>
      </x:c>
      <x:c r="J2659" s="33" t="str">
        <x:v>2026-08-20</x:v>
      </x:c>
      <x:c r="K2659" s="33" t="str">
        <x:v>Evidence IDs preserved and aligned.</x:v>
      </x:c>
    </x:row>
    <x:row r="2660">
      <x:c r="A2660" s="33" t="str">
        <x:v>EVD343</x:v>
      </x:c>
      <x:c r="B2660" s="33" t="str">
        <x:v>Evidence Master</x:v>
      </x:c>
      <x:c r="C2660" s="33" t="str">
        <x:v>Active=Yes; Remarks=Approved waste segregation procedure.</x:v>
      </x:c>
      <x:c r="D2660" s="33" t="str">
        <x:v>Active=No; Remarks=P-4 QUARANTINED with inactive parent audit; legacy ID retained.</x:v>
      </x:c>
      <x:c r="E2660" s="33" t="str">
        <x:v>CORRECT / RECLASSIFY</x:v>
      </x:c>
      <x:c r="F2660" s="33" t="str">
        <x:v>Quarantine inactive descendants and align existing evidence to normalized audits.</x:v>
      </x:c>
      <x:c r="G2660" s="33" t="str">
        <x:v>P-4 execution-chain reconciliation</x:v>
      </x:c>
      <x:c r="H2660" s="33" t="str">
        <x:v>P-4</x:v>
      </x:c>
      <x:c r="I2660" s="33" t="str">
        <x:v>P-4</x:v>
      </x:c>
      <x:c r="J2660" s="33" t="str">
        <x:v>2026-08-20</x:v>
      </x:c>
      <x:c r="K2660" s="33" t="str">
        <x:v>Evidence IDs preserved and aligned.</x:v>
      </x:c>
    </x:row>
    <x:row r="2661">
      <x:c r="A2661" s="33" t="str">
        <x:v>EVD344</x:v>
      </x:c>
      <x:c r="B2661" s="33" t="str">
        <x:v>Evidence Master</x:v>
      </x:c>
      <x:c r="C2661" s="33" t="str">
        <x:v>Active=Yes; Remarks=Daily segregation records.</x:v>
      </x:c>
      <x:c r="D2661" s="33" t="str">
        <x:v>Active=No; Remarks=P-4 QUARANTINED with inactive parent audit; legacy ID retained.</x:v>
      </x:c>
      <x:c r="E2661" s="33" t="str">
        <x:v>CORRECT / RECLASSIFY</x:v>
      </x:c>
      <x:c r="F2661" s="33" t="str">
        <x:v>Quarantine inactive descendants and align existing evidence to normalized audits.</x:v>
      </x:c>
      <x:c r="G2661" s="33" t="str">
        <x:v>P-4 execution-chain reconciliation</x:v>
      </x:c>
      <x:c r="H2661" s="33" t="str">
        <x:v>P-4</x:v>
      </x:c>
      <x:c r="I2661" s="33" t="str">
        <x:v>P-4</x:v>
      </x:c>
      <x:c r="J2661" s="33" t="str">
        <x:v>2026-08-20</x:v>
      </x:c>
      <x:c r="K2661" s="33" t="str">
        <x:v>Evidence IDs preserved and aligned.</x:v>
      </x:c>
    </x:row>
    <x:row r="2662">
      <x:c r="A2662" s="33" t="str">
        <x:v>EVD345</x:v>
      </x:c>
      <x:c r="B2662" s="33" t="str">
        <x:v>Evidence Master</x:v>
      </x:c>
      <x:c r="C2662" s="33" t="str">
        <x:v>Active=Yes; Remarks=Record all disposed medicines.</x:v>
      </x:c>
      <x:c r="D2662" s="33" t="str">
        <x:v>Active=No; Remarks=P-4 QUARANTINED with inactive parent audit; legacy ID retained.</x:v>
      </x:c>
      <x:c r="E2662" s="33" t="str">
        <x:v>CORRECT / RECLASSIFY</x:v>
      </x:c>
      <x:c r="F2662" s="33" t="str">
        <x:v>Quarantine inactive descendants and align existing evidence to normalized audits.</x:v>
      </x:c>
      <x:c r="G2662" s="33" t="str">
        <x:v>P-4 execution-chain reconciliation</x:v>
      </x:c>
      <x:c r="H2662" s="33" t="str">
        <x:v>P-4</x:v>
      </x:c>
      <x:c r="I2662" s="33" t="str">
        <x:v>P-4</x:v>
      </x:c>
      <x:c r="J2662" s="33" t="str">
        <x:v>2026-08-20</x:v>
      </x:c>
      <x:c r="K2662" s="33" t="str">
        <x:v>Evidence IDs preserved and aligned.</x:v>
      </x:c>
    </x:row>
    <x:row r="2663">
      <x:c r="A2663" s="33" t="str">
        <x:v>EVD346</x:v>
      </x:c>
      <x:c r="B2663" s="33" t="str">
        <x:v>Evidence Master</x:v>
      </x:c>
      <x:c r="C2663" s="33" t="str">
        <x:v>Active=Yes; Remarks=Issued by authorized agency.</x:v>
      </x:c>
      <x:c r="D2663" s="33" t="str">
        <x:v>Active=No; Remarks=P-4 QUARANTINED with inactive parent audit; legacy ID retained.</x:v>
      </x:c>
      <x:c r="E2663" s="33" t="str">
        <x:v>CORRECT / RECLASSIFY</x:v>
      </x:c>
      <x:c r="F2663" s="33" t="str">
        <x:v>Quarantine inactive descendants and align existing evidence to normalized audits.</x:v>
      </x:c>
      <x:c r="G2663" s="33" t="str">
        <x:v>P-4 execution-chain reconciliation</x:v>
      </x:c>
      <x:c r="H2663" s="33" t="str">
        <x:v>P-4</x:v>
      </x:c>
      <x:c r="I2663" s="33" t="str">
        <x:v>P-4</x:v>
      </x:c>
      <x:c r="J2663" s="33" t="str">
        <x:v>2026-08-20</x:v>
      </x:c>
      <x:c r="K2663" s="33" t="str">
        <x:v>Evidence IDs preserved and aligned.</x:v>
      </x:c>
    </x:row>
    <x:row r="2664">
      <x:c r="A2664" s="33" t="str">
        <x:v>EVD347</x:v>
      </x:c>
      <x:c r="B2664" s="33" t="str">
        <x:v>Evidence Master</x:v>
      </x:c>
      <x:c r="C2664" s="33" t="str">
        <x:v>Active=Yes; Remarks=Record hazardous waste generated.</x:v>
      </x:c>
      <x:c r="D2664" s="33" t="str">
        <x:v>Active=No; Remarks=P-4 QUARANTINED with inactive parent audit; legacy ID retained.</x:v>
      </x:c>
      <x:c r="E2664" s="33" t="str">
        <x:v>CORRECT / RECLASSIFY</x:v>
      </x:c>
      <x:c r="F2664" s="33" t="str">
        <x:v>Quarantine inactive descendants and align existing evidence to normalized audits.</x:v>
      </x:c>
      <x:c r="G2664" s="33" t="str">
        <x:v>P-4 execution-chain reconciliation</x:v>
      </x:c>
      <x:c r="H2664" s="33" t="str">
        <x:v>P-4</x:v>
      </x:c>
      <x:c r="I2664" s="33" t="str">
        <x:v>P-4</x:v>
      </x:c>
      <x:c r="J2664" s="33" t="str">
        <x:v>2026-08-20</x:v>
      </x:c>
      <x:c r="K2664" s="33" t="str">
        <x:v>Evidence IDs preserved and aligned.</x:v>
      </x:c>
    </x:row>
    <x:row r="2665">
      <x:c r="A2665" s="33" t="str">
        <x:v>EVD348</x:v>
      </x:c>
      <x:c r="B2665" s="33" t="str">
        <x:v>Evidence Master</x:v>
      </x:c>
      <x:c r="C2665" s="33" t="str">
        <x:v>Active=Yes; Remarks=Proper identification of hazardous waste.</x:v>
      </x:c>
      <x:c r="D2665" s="33" t="str">
        <x:v>Active=No; Remarks=P-4 QUARANTINED with inactive parent audit; legacy ID retained.</x:v>
      </x:c>
      <x:c r="E2665" s="33" t="str">
        <x:v>CORRECT / RECLASSIFY</x:v>
      </x:c>
      <x:c r="F2665" s="33" t="str">
        <x:v>Quarantine inactive descendants and align existing evidence to normalized audits.</x:v>
      </x:c>
      <x:c r="G2665" s="33" t="str">
        <x:v>P-4 execution-chain reconciliation</x:v>
      </x:c>
      <x:c r="H2665" s="33" t="str">
        <x:v>P-4</x:v>
      </x:c>
      <x:c r="I2665" s="33" t="str">
        <x:v>P-4</x:v>
      </x:c>
      <x:c r="J2665" s="33" t="str">
        <x:v>2026-08-20</x:v>
      </x:c>
      <x:c r="K2665" s="33" t="str">
        <x:v>Evidence IDs preserved and aligned.</x:v>
      </x:c>
    </x:row>
    <x:row r="2666">
      <x:c r="A2666" s="33" t="str">
        <x:v>EVD349</x:v>
      </x:c>
      <x:c r="B2666" s="33" t="str">
        <x:v>Evidence Master</x:v>
      </x:c>
      <x:c r="C2666" s="33" t="str">
        <x:v>Active=Yes; Remarks=Evidence of waste collection.</x:v>
      </x:c>
      <x:c r="D2666" s="33" t="str">
        <x:v>Active=No; Remarks=P-4 QUARANTINED with inactive parent audit; legacy ID retained.</x:v>
      </x:c>
      <x:c r="E2666" s="33" t="str">
        <x:v>CORRECT / RECLASSIFY</x:v>
      </x:c>
      <x:c r="F2666" s="33" t="str">
        <x:v>Quarantine inactive descendants and align existing evidence to normalized audits.</x:v>
      </x:c>
      <x:c r="G2666" s="33" t="str">
        <x:v>P-4 execution-chain reconciliation</x:v>
      </x:c>
      <x:c r="H2666" s="33" t="str">
        <x:v>P-4</x:v>
      </x:c>
      <x:c r="I2666" s="33" t="str">
        <x:v>P-4</x:v>
      </x:c>
      <x:c r="J2666" s="33" t="str">
        <x:v>2026-08-20</x:v>
      </x:c>
      <x:c r="K2666" s="33" t="str">
        <x:v>Evidence IDs preserved and aligned.</x:v>
      </x:c>
    </x:row>
    <x:row r="2667">
      <x:c r="A2667" s="33" t="str">
        <x:v>EVD350</x:v>
      </x:c>
      <x:c r="B2667" s="33" t="str">
        <x:v>Evidence Master</x:v>
      </x:c>
      <x:c r="C2667" s="33" t="str">
        <x:v>Active=Yes; Remarks=Agency should be authorized.</x:v>
      </x:c>
      <x:c r="D2667" s="33" t="str">
        <x:v>Active=No; Remarks=P-4 QUARANTINED with inactive parent audit; legacy ID retained.</x:v>
      </x:c>
      <x:c r="E2667" s="33" t="str">
        <x:v>CORRECT / RECLASSIFY</x:v>
      </x:c>
      <x:c r="F2667" s="33" t="str">
        <x:v>Quarantine inactive descendants and align existing evidence to normalized audits.</x:v>
      </x:c>
      <x:c r="G2667" s="33" t="str">
        <x:v>P-4 execution-chain reconciliation</x:v>
      </x:c>
      <x:c r="H2667" s="33" t="str">
        <x:v>P-4</x:v>
      </x:c>
      <x:c r="I2667" s="33" t="str">
        <x:v>P-4</x:v>
      </x:c>
      <x:c r="J2667" s="33" t="str">
        <x:v>2026-08-20</x:v>
      </x:c>
      <x:c r="K2667" s="33" t="str">
        <x:v>Evidence IDs preserved and aligned.</x:v>
      </x:c>
    </x:row>
    <x:row r="2668">
      <x:c r="A2668" s="33" t="str">
        <x:v>EVD351</x:v>
      </x:c>
      <x:c r="B2668" s="33" t="str">
        <x:v>Evidence Master</x:v>
      </x:c>
      <x:c r="C2668" s="33" t="str">
        <x:v>Active=Yes; Remarks=Complete disposal history.</x:v>
      </x:c>
      <x:c r="D2668" s="33" t="str">
        <x:v>Active=No; Remarks=P-4 QUARANTINED with inactive parent audit; legacy ID retained.</x:v>
      </x:c>
      <x:c r="E2668" s="33" t="str">
        <x:v>CORRECT / RECLASSIFY</x:v>
      </x:c>
      <x:c r="F2668" s="33" t="str">
        <x:v>Quarantine inactive descendants and align existing evidence to normalized audits.</x:v>
      </x:c>
      <x:c r="G2668" s="33" t="str">
        <x:v>P-4 execution-chain reconciliation</x:v>
      </x:c>
      <x:c r="H2668" s="33" t="str">
        <x:v>P-4</x:v>
      </x:c>
      <x:c r="I2668" s="33" t="str">
        <x:v>P-4</x:v>
      </x:c>
      <x:c r="J2668" s="33" t="str">
        <x:v>2026-08-20</x:v>
      </x:c>
      <x:c r="K2668" s="33" t="str">
        <x:v>Evidence IDs preserved and aligned.</x:v>
      </x:c>
    </x:row>
    <x:row r="2669">
      <x:c r="A2669" s="33" t="str">
        <x:v>EVD352</x:v>
      </x:c>
      <x:c r="B2669" s="33" t="str">
        <x:v>Evidence Master</x:v>
      </x:c>
      <x:c r="C2669" s="33" t="str">
        <x:v>Active=Yes; Remarks=Match generated and disposed quantities.</x:v>
      </x:c>
      <x:c r="D2669" s="33" t="str">
        <x:v>Active=No; Remarks=P-4 QUARANTINED with inactive parent audit; legacy ID retained.</x:v>
      </x:c>
      <x:c r="E2669" s="33" t="str">
        <x:v>CORRECT / RECLASSIFY</x:v>
      </x:c>
      <x:c r="F2669" s="33" t="str">
        <x:v>Quarantine inactive descendants and align existing evidence to normalized audits.</x:v>
      </x:c>
      <x:c r="G2669" s="33" t="str">
        <x:v>P-4 execution-chain reconciliation</x:v>
      </x:c>
      <x:c r="H2669" s="33" t="str">
        <x:v>P-4</x:v>
      </x:c>
      <x:c r="I2669" s="33" t="str">
        <x:v>P-4</x:v>
      </x:c>
      <x:c r="J2669" s="33" t="str">
        <x:v>2026-08-20</x:v>
      </x:c>
      <x:c r="K2669" s="33" t="str">
        <x:v>Evidence IDs preserved and aligned.</x:v>
      </x:c>
    </x:row>
    <x:row r="2670">
      <x:c r="A2670" s="33" t="str">
        <x:v>EVD353</x:v>
      </x:c>
      <x:c r="B2670" s="33" t="str">
        <x:v>Evidence Master</x:v>
      </x:c>
      <x:c r="C2670" s="33" t="str">
        <x:v>Active=Yes; Remarks=Storage condition verification.</x:v>
      </x:c>
      <x:c r="D2670" s="33" t="str">
        <x:v>Active=No; Remarks=P-4 QUARANTINED with inactive parent audit; legacy ID retained.</x:v>
      </x:c>
      <x:c r="E2670" s="33" t="str">
        <x:v>CORRECT / RECLASSIFY</x:v>
      </x:c>
      <x:c r="F2670" s="33" t="str">
        <x:v>Quarantine inactive descendants and align existing evidence to normalized audits.</x:v>
      </x:c>
      <x:c r="G2670" s="33" t="str">
        <x:v>P-4 execution-chain reconciliation</x:v>
      </x:c>
      <x:c r="H2670" s="33" t="str">
        <x:v>P-4</x:v>
      </x:c>
      <x:c r="I2670" s="33" t="str">
        <x:v>P-4</x:v>
      </x:c>
      <x:c r="J2670" s="33" t="str">
        <x:v>2026-08-20</x:v>
      </x:c>
      <x:c r="K2670" s="33" t="str">
        <x:v>Evidence IDs preserved and aligned.</x:v>
      </x:c>
    </x:row>
    <x:row r="2671">
      <x:c r="A2671" s="33" t="str">
        <x:v>EVD354</x:v>
      </x:c>
      <x:c r="B2671" s="33" t="str">
        <x:v>Evidence Master</x:v>
      </x:c>
      <x:c r="C2671" s="33" t="str">
        <x:v>Active=Yes; Remarks=Inspection support.</x:v>
      </x:c>
      <x:c r="D2671" s="33" t="str">
        <x:v>Active=No; Remarks=P-4 QUARANTINED with inactive parent audit; legacy ID retained.</x:v>
      </x:c>
      <x:c r="E2671" s="33" t="str">
        <x:v>CORRECT / RECLASSIFY</x:v>
      </x:c>
      <x:c r="F2671" s="33" t="str">
        <x:v>Quarantine inactive descendants and align existing evidence to normalized audits.</x:v>
      </x:c>
      <x:c r="G2671" s="33" t="str">
        <x:v>P-4 execution-chain reconciliation</x:v>
      </x:c>
      <x:c r="H2671" s="33" t="str">
        <x:v>P-4</x:v>
      </x:c>
      <x:c r="I2671" s="33" t="str">
        <x:v>P-4</x:v>
      </x:c>
      <x:c r="J2671" s="33" t="str">
        <x:v>2026-08-20</x:v>
      </x:c>
      <x:c r="K2671" s="33" t="str">
        <x:v>Evidence IDs preserved and aligned.</x:v>
      </x:c>
    </x:row>
    <x:row r="2672">
      <x:c r="A2672" s="33" t="str">
        <x:v>EVD355</x:v>
      </x:c>
      <x:c r="B2672" s="33" t="str">
        <x:v>Evidence Master</x:v>
      </x:c>
      <x:c r="C2672" s="33" t="str">
        <x:v>Active=Yes; Remarks=Record waste containers used.</x:v>
      </x:c>
      <x:c r="D2672" s="33" t="str">
        <x:v>Active=No; Remarks=P-4 QUARANTINED with inactive parent audit; legacy ID retained.</x:v>
      </x:c>
      <x:c r="E2672" s="33" t="str">
        <x:v>CORRECT / RECLASSIFY</x:v>
      </x:c>
      <x:c r="F2672" s="33" t="str">
        <x:v>Quarantine inactive descendants and align existing evidence to normalized audits.</x:v>
      </x:c>
      <x:c r="G2672" s="33" t="str">
        <x:v>P-4 execution-chain reconciliation</x:v>
      </x:c>
      <x:c r="H2672" s="33" t="str">
        <x:v>P-4</x:v>
      </x:c>
      <x:c r="I2672" s="33" t="str">
        <x:v>P-4</x:v>
      </x:c>
      <x:c r="J2672" s="33" t="str">
        <x:v>2026-08-20</x:v>
      </x:c>
      <x:c r="K2672" s="33" t="str">
        <x:v>Evidence IDs preserved and aligned.</x:v>
      </x:c>
    </x:row>
    <x:row r="2673">
      <x:c r="A2673" s="33" t="str">
        <x:v>EVD356</x:v>
      </x:c>
      <x:c r="B2673" s="33" t="str">
        <x:v>Evidence Master</x:v>
      </x:c>
      <x:c r="C2673" s="33" t="str">
        <x:v>Active=Yes; Remarks=Verify container integrity.</x:v>
      </x:c>
      <x:c r="D2673" s="33" t="str">
        <x:v>Active=No; Remarks=P-4 QUARANTINED with inactive parent audit; legacy ID retained.</x:v>
      </x:c>
      <x:c r="E2673" s="33" t="str">
        <x:v>CORRECT / RECLASSIFY</x:v>
      </x:c>
      <x:c r="F2673" s="33" t="str">
        <x:v>Quarantine inactive descendants and align existing evidence to normalized audits.</x:v>
      </x:c>
      <x:c r="G2673" s="33" t="str">
        <x:v>P-4 execution-chain reconciliation</x:v>
      </x:c>
      <x:c r="H2673" s="33" t="str">
        <x:v>P-4</x:v>
      </x:c>
      <x:c r="I2673" s="33" t="str">
        <x:v>P-4</x:v>
      </x:c>
      <x:c r="J2673" s="33" t="str">
        <x:v>2026-08-20</x:v>
      </x:c>
      <x:c r="K2673" s="33" t="str">
        <x:v>Evidence IDs preserved and aligned.</x:v>
      </x:c>
    </x:row>
    <x:row r="2674">
      <x:c r="A2674" s="33" t="str">
        <x:v>EVD357</x:v>
      </x:c>
      <x:c r="B2674" s="33" t="str">
        <x:v>Evidence Master</x:v>
      </x:c>
      <x:c r="C2674" s="33" t="str">
        <x:v>Active=Yes; Remarks=Record destruction of controlled drugs.</x:v>
      </x:c>
      <x:c r="D2674" s="33" t="str">
        <x:v>Active=No; Remarks=P-4 QUARANTINED with inactive parent audit; legacy ID retained.</x:v>
      </x:c>
      <x:c r="E2674" s="33" t="str">
        <x:v>CORRECT / RECLASSIFY</x:v>
      </x:c>
      <x:c r="F2674" s="33" t="str">
        <x:v>Quarantine inactive descendants and align existing evidence to normalized audits.</x:v>
      </x:c>
      <x:c r="G2674" s="33" t="str">
        <x:v>P-4 execution-chain reconciliation</x:v>
      </x:c>
      <x:c r="H2674" s="33" t="str">
        <x:v>P-4</x:v>
      </x:c>
      <x:c r="I2674" s="33" t="str">
        <x:v>P-4</x:v>
      </x:c>
      <x:c r="J2674" s="33" t="str">
        <x:v>2026-08-20</x:v>
      </x:c>
      <x:c r="K2674" s="33" t="str">
        <x:v>Evidence IDs preserved and aligned.</x:v>
      </x:c>
    </x:row>
    <x:row r="2675">
      <x:c r="A2675" s="33" t="str">
        <x:v>EVD358</x:v>
      </x:c>
      <x:c r="B2675" s="33" t="str">
        <x:v>Evidence Master</x:v>
      </x:c>
      <x:c r="C2675" s="33" t="str">
        <x:v>Active=Yes; Remarks=Regulatory/management approval.</x:v>
      </x:c>
      <x:c r="D2675" s="33" t="str">
        <x:v>Active=No; Remarks=P-4 QUARANTINED with inactive parent audit; legacy ID retained.</x:v>
      </x:c>
      <x:c r="E2675" s="33" t="str">
        <x:v>CORRECT / RECLASSIFY</x:v>
      </x:c>
      <x:c r="F2675" s="33" t="str">
        <x:v>Quarantine inactive descendants and align existing evidence to normalized audits.</x:v>
      </x:c>
      <x:c r="G2675" s="33" t="str">
        <x:v>P-4 execution-chain reconciliation</x:v>
      </x:c>
      <x:c r="H2675" s="33" t="str">
        <x:v>P-4</x:v>
      </x:c>
      <x:c r="I2675" s="33" t="str">
        <x:v>P-4</x:v>
      </x:c>
      <x:c r="J2675" s="33" t="str">
        <x:v>2026-08-20</x:v>
      </x:c>
      <x:c r="K2675" s="33" t="str">
        <x:v>Evidence IDs preserved and aligned.</x:v>
      </x:c>
    </x:row>
    <x:row r="2676">
      <x:c r="A2676" s="33" t="str">
        <x:v>EVD359</x:v>
      </x:c>
      <x:c r="B2676" s="33" t="str">
        <x:v>Evidence Master</x:v>
      </x:c>
      <x:c r="C2676" s="33" t="str">
        <x:v>Active=Yes; Remarks=Staff competency evidence.</x:v>
      </x:c>
      <x:c r="D2676" s="33" t="str">
        <x:v>Active=No; Remarks=P-4 QUARANTINED with inactive parent audit; legacy ID retained.</x:v>
      </x:c>
      <x:c r="E2676" s="33" t="str">
        <x:v>CORRECT / RECLASSIFY</x:v>
      </x:c>
      <x:c r="F2676" s="33" t="str">
        <x:v>Quarantine inactive descendants and align existing evidence to normalized audits.</x:v>
      </x:c>
      <x:c r="G2676" s="33" t="str">
        <x:v>P-4 execution-chain reconciliation</x:v>
      </x:c>
      <x:c r="H2676" s="33" t="str">
        <x:v>P-4</x:v>
      </x:c>
      <x:c r="I2676" s="33" t="str">
        <x:v>P-4</x:v>
      </x:c>
      <x:c r="J2676" s="33" t="str">
        <x:v>2026-08-20</x:v>
      </x:c>
      <x:c r="K2676" s="33" t="str">
        <x:v>Evidence IDs preserved and aligned.</x:v>
      </x:c>
    </x:row>
    <x:row r="2677">
      <x:c r="A2677" s="33" t="str">
        <x:v>EVD360</x:v>
      </x:c>
      <x:c r="B2677" s="33" t="str">
        <x:v>Evidence Master</x:v>
      </x:c>
      <x:c r="C2677" s="33" t="str">
        <x:v>Active=Yes; Remarks=Attendance evidence.</x:v>
      </x:c>
      <x:c r="D2677" s="33" t="str">
        <x:v>Active=No; Remarks=P-4 QUARANTINED with inactive parent audit; legacy ID retained.</x:v>
      </x:c>
      <x:c r="E2677" s="33" t="str">
        <x:v>CORRECT / RECLASSIFY</x:v>
      </x:c>
      <x:c r="F2677" s="33" t="str">
        <x:v>Quarantine inactive descendants and align existing evidence to normalized audits.</x:v>
      </x:c>
      <x:c r="G2677" s="33" t="str">
        <x:v>P-4 execution-chain reconciliation</x:v>
      </x:c>
      <x:c r="H2677" s="33" t="str">
        <x:v>P-4</x:v>
      </x:c>
      <x:c r="I2677" s="33" t="str">
        <x:v>P-4</x:v>
      </x:c>
      <x:c r="J2677" s="33" t="str">
        <x:v>2026-08-20</x:v>
      </x:c>
      <x:c r="K2677" s="33" t="str">
        <x:v>Evidence IDs preserved and aligned.</x:v>
      </x:c>
    </x:row>
    <x:row r="2678">
      <x:c r="A2678" s="33" t="str">
        <x:v>EVD361</x:v>
      </x:c>
      <x:c r="B2678" s="33" t="str">
        <x:v>Evidence Master</x:v>
      </x:c>
      <x:c r="C2678" s="33" t="str">
        <x:v>Active=Yes; Remarks=Approved spill response procedure.</x:v>
      </x:c>
      <x:c r="D2678" s="33" t="str">
        <x:v>Active=No; Remarks=P-4 QUARANTINED with inactive parent audit; legacy ID retained.</x:v>
      </x:c>
      <x:c r="E2678" s="33" t="str">
        <x:v>CORRECT / RECLASSIFY</x:v>
      </x:c>
      <x:c r="F2678" s="33" t="str">
        <x:v>Quarantine inactive descendants and align existing evidence to normalized audits.</x:v>
      </x:c>
      <x:c r="G2678" s="33" t="str">
        <x:v>P-4 execution-chain reconciliation</x:v>
      </x:c>
      <x:c r="H2678" s="33" t="str">
        <x:v>P-4</x:v>
      </x:c>
      <x:c r="I2678" s="33" t="str">
        <x:v>P-4</x:v>
      </x:c>
      <x:c r="J2678" s="33" t="str">
        <x:v>2026-08-20</x:v>
      </x:c>
      <x:c r="K2678" s="33" t="str">
        <x:v>Evidence IDs preserved and aligned.</x:v>
      </x:c>
    </x:row>
    <x:row r="2679">
      <x:c r="A2679" s="33" t="str">
        <x:v>EVD362</x:v>
      </x:c>
      <x:c r="B2679" s="33" t="str">
        <x:v>Evidence Master</x:v>
      </x:c>
      <x:c r="C2679" s="33" t="str">
        <x:v>Active=Yes; Remarks=Maintain when spills occur.</x:v>
      </x:c>
      <x:c r="D2679" s="33" t="str">
        <x:v>Active=No; Remarks=P-4 QUARANTINED with inactive parent audit; legacy ID retained.</x:v>
      </x:c>
      <x:c r="E2679" s="33" t="str">
        <x:v>CORRECT / RECLASSIFY</x:v>
      </x:c>
      <x:c r="F2679" s="33" t="str">
        <x:v>Quarantine inactive descendants and align existing evidence to normalized audits.</x:v>
      </x:c>
      <x:c r="G2679" s="33" t="str">
        <x:v>P-4 execution-chain reconciliation</x:v>
      </x:c>
      <x:c r="H2679" s="33" t="str">
        <x:v>P-4</x:v>
      </x:c>
      <x:c r="I2679" s="33" t="str">
        <x:v>P-4</x:v>
      </x:c>
      <x:c r="J2679" s="33" t="str">
        <x:v>2026-08-20</x:v>
      </x:c>
      <x:c r="K2679" s="33" t="str">
        <x:v>Evidence IDs preserved and aligned.</x:v>
      </x:c>
    </x:row>
    <x:row r="2680">
      <x:c r="A2680" s="33" t="str">
        <x:v>EVD363</x:v>
      </x:c>
      <x:c r="B2680" s="33" t="str">
        <x:v>Evidence Master</x:v>
      </x:c>
      <x:c r="C2680" s="33" t="str">
        <x:v>Active=Yes; Remarks=Incident documentation.</x:v>
      </x:c>
      <x:c r="D2680" s="33" t="str">
        <x:v>Active=No; Remarks=P-4 QUARANTINED with inactive parent audit; legacy ID retained.</x:v>
      </x:c>
      <x:c r="E2680" s="33" t="str">
        <x:v>CORRECT / RECLASSIFY</x:v>
      </x:c>
      <x:c r="F2680" s="33" t="str">
        <x:v>Quarantine inactive descendants and align existing evidence to normalized audits.</x:v>
      </x:c>
      <x:c r="G2680" s="33" t="str">
        <x:v>P-4 execution-chain reconciliation</x:v>
      </x:c>
      <x:c r="H2680" s="33" t="str">
        <x:v>P-4</x:v>
      </x:c>
      <x:c r="I2680" s="33" t="str">
        <x:v>P-4</x:v>
      </x:c>
      <x:c r="J2680" s="33" t="str">
        <x:v>2026-08-20</x:v>
      </x:c>
      <x:c r="K2680" s="33" t="str">
        <x:v>Evidence IDs preserved and aligned.</x:v>
      </x:c>
    </x:row>
    <x:row r="2681">
      <x:c r="A2681" s="33" t="str">
        <x:v>EVD364</x:v>
      </x:c>
      <x:c r="B2681" s="33" t="str">
        <x:v>Evidence Master</x:v>
      </x:c>
      <x:c r="C2681" s="33" t="str">
        <x:v>Active=Yes; Remarks=Corrective action evidence.</x:v>
      </x:c>
      <x:c r="D2681" s="33" t="str">
        <x:v>Active=No; Remarks=P-4 QUARANTINED with inactive parent audit; legacy ID retained.</x:v>
      </x:c>
      <x:c r="E2681" s="33" t="str">
        <x:v>CORRECT / RECLASSIFY</x:v>
      </x:c>
      <x:c r="F2681" s="33" t="str">
        <x:v>Quarantine inactive descendants and align existing evidence to normalized audits.</x:v>
      </x:c>
      <x:c r="G2681" s="33" t="str">
        <x:v>P-4 execution-chain reconciliation</x:v>
      </x:c>
      <x:c r="H2681" s="33" t="str">
        <x:v>P-4</x:v>
      </x:c>
      <x:c r="I2681" s="33" t="str">
        <x:v>P-4</x:v>
      </x:c>
      <x:c r="J2681" s="33" t="str">
        <x:v>2026-08-20</x:v>
      </x:c>
      <x:c r="K2681" s="33" t="str">
        <x:v>Evidence IDs preserved and aligned.</x:v>
      </x:c>
    </x:row>
    <x:row r="2682">
      <x:c r="A2682" s="33" t="str">
        <x:v>EVD381</x:v>
      </x:c>
      <x:c r="B2682" s="33" t="str">
        <x:v>Evidence Master</x:v>
      </x:c>
      <x:c r="C2682" s="33" t="str">
        <x:v>Active=Yes; Remarks=Waste exposure response procedure.</x:v>
      </x:c>
      <x:c r="D2682" s="33" t="str">
        <x:v>Active=No; Remarks=P-4 QUARANTINED with inactive parent audit; legacy ID retained.</x:v>
      </x:c>
      <x:c r="E2682" s="33" t="str">
        <x:v>CORRECT / RECLASSIFY</x:v>
      </x:c>
      <x:c r="F2682" s="33" t="str">
        <x:v>Quarantine inactive descendants and align existing evidence to normalized audits.</x:v>
      </x:c>
      <x:c r="G2682" s="33" t="str">
        <x:v>P-4 execution-chain reconciliation</x:v>
      </x:c>
      <x:c r="H2682" s="33" t="str">
        <x:v>P-4</x:v>
      </x:c>
      <x:c r="I2682" s="33" t="str">
        <x:v>P-4</x:v>
      </x:c>
      <x:c r="J2682" s="33" t="str">
        <x:v>2026-08-20</x:v>
      </x:c>
      <x:c r="K2682" s="33" t="str">
        <x:v>Evidence IDs preserved and aligned.</x:v>
      </x:c>
    </x:row>
    <x:row r="2683">
      <x:c r="A2683" s="33" t="str">
        <x:v>EVD382</x:v>
      </x:c>
      <x:c r="B2683" s="33" t="str">
        <x:v>Evidence Master</x:v>
      </x:c>
      <x:c r="C2683" s="33" t="str">
        <x:v>Active=Yes; Remarks=Emergency preparedness evidence.</x:v>
      </x:c>
      <x:c r="D2683" s="33" t="str">
        <x:v>Active=No; Remarks=P-4 QUARANTINED with inactive parent audit; legacy ID retained.</x:v>
      </x:c>
      <x:c r="E2683" s="33" t="str">
        <x:v>CORRECT / RECLASSIFY</x:v>
      </x:c>
      <x:c r="F2683" s="33" t="str">
        <x:v>Quarantine inactive descendants and align existing evidence to normalized audits.</x:v>
      </x:c>
      <x:c r="G2683" s="33" t="str">
        <x:v>P-4 execution-chain reconciliation</x:v>
      </x:c>
      <x:c r="H2683" s="33" t="str">
        <x:v>P-4</x:v>
      </x:c>
      <x:c r="I2683" s="33" t="str">
        <x:v>P-4</x:v>
      </x:c>
      <x:c r="J2683" s="33" t="str">
        <x:v>2026-08-20</x:v>
      </x:c>
      <x:c r="K2683" s="33" t="str">
        <x:v>Evidence IDs preserved and aligned.</x:v>
      </x:c>
    </x:row>
    <x:row r="2684">
      <x:c r="A2684" s="33" t="str">
        <x:v>EVD383</x:v>
      </x:c>
      <x:c r="B2684" s="33" t="str">
        <x:v>Evidence Master</x:v>
      </x:c>
      <x:c r="C2684" s="33" t="str">
        <x:v>Active=Yes; Remarks=Performance monitoring.</x:v>
      </x:c>
      <x:c r="D2684" s="33" t="str">
        <x:v>Active=No; Remarks=P-4 QUARANTINED with inactive parent audit; legacy ID retained.</x:v>
      </x:c>
      <x:c r="E2684" s="33" t="str">
        <x:v>CORRECT / RECLASSIFY</x:v>
      </x:c>
      <x:c r="F2684" s="33" t="str">
        <x:v>Quarantine inactive descendants and align existing evidence to normalized audits.</x:v>
      </x:c>
      <x:c r="G2684" s="33" t="str">
        <x:v>P-4 execution-chain reconciliation</x:v>
      </x:c>
      <x:c r="H2684" s="33" t="str">
        <x:v>P-4</x:v>
      </x:c>
      <x:c r="I2684" s="33" t="str">
        <x:v>P-4</x:v>
      </x:c>
      <x:c r="J2684" s="33" t="str">
        <x:v>2026-08-20</x:v>
      </x:c>
      <x:c r="K2684" s="33" t="str">
        <x:v>Evidence IDs preserved and aligned.</x:v>
      </x:c>
    </x:row>
    <x:row r="2685">
      <x:c r="A2685" s="33" t="str">
        <x:v>EVD384</x:v>
      </x:c>
      <x:c r="B2685" s="33" t="str">
        <x:v>Evidence Master</x:v>
      </x:c>
      <x:c r="C2685" s="33" t="str">
        <x:v>Active=Yes; Remarks=Management oversight.</x:v>
      </x:c>
      <x:c r="D2685" s="33" t="str">
        <x:v>Active=No; Remarks=P-4 QUARANTINED with inactive parent audit; legacy ID retained.</x:v>
      </x:c>
      <x:c r="E2685" s="33" t="str">
        <x:v>CORRECT / RECLASSIFY</x:v>
      </x:c>
      <x:c r="F2685" s="33" t="str">
        <x:v>Quarantine inactive descendants and align existing evidence to normalized audits.</x:v>
      </x:c>
      <x:c r="G2685" s="33" t="str">
        <x:v>P-4 execution-chain reconciliation</x:v>
      </x:c>
      <x:c r="H2685" s="33" t="str">
        <x:v>P-4</x:v>
      </x:c>
      <x:c r="I2685" s="33" t="str">
        <x:v>P-4</x:v>
      </x:c>
      <x:c r="J2685" s="33" t="str">
        <x:v>2026-08-20</x:v>
      </x:c>
      <x:c r="K2685" s="33" t="str">
        <x:v>Evidence IDs preserved and aligned.</x:v>
      </x:c>
    </x:row>
    <x:row r="2686">
      <x:c r="A2686" s="33" t="str">
        <x:v>EVD385</x:v>
      </x:c>
      <x:c r="B2686" s="33" t="str">
        <x:v>Evidence Master</x:v>
      </x:c>
      <x:c r="C2686" s="33" t="str">
        <x:v>Active=Yes; Remarks=Electronic activity history.</x:v>
      </x:c>
      <x:c r="D2686" s="33" t="str">
        <x:v>Active=No; Remarks=P-4 QUARANTINED with inactive parent audit; legacy ID retained.</x:v>
      </x:c>
      <x:c r="E2686" s="33" t="str">
        <x:v>CORRECT / RECLASSIFY</x:v>
      </x:c>
      <x:c r="F2686" s="33" t="str">
        <x:v>Quarantine inactive descendants and align existing evidence to normalized audits.</x:v>
      </x:c>
      <x:c r="G2686" s="33" t="str">
        <x:v>P-4 execution-chain reconciliation</x:v>
      </x:c>
      <x:c r="H2686" s="33" t="str">
        <x:v>P-4</x:v>
      </x:c>
      <x:c r="I2686" s="33" t="str">
        <x:v>P-4</x:v>
      </x:c>
      <x:c r="J2686" s="33" t="str">
        <x:v>2026-08-20</x:v>
      </x:c>
      <x:c r="K2686" s="33" t="str">
        <x:v>Evidence IDs preserved and aligned.</x:v>
      </x:c>
    </x:row>
    <x:row r="2687">
      <x:c r="A2687" s="33" t="str">
        <x:v>EVD386</x:v>
      </x:c>
      <x:c r="B2687" s="33" t="str">
        <x:v>Evidence Master</x:v>
      </x:c>
      <x:c r="C2687" s="33" t="str">
        <x:v>Active=Yes; Remarks=System access control.</x:v>
      </x:c>
      <x:c r="D2687" s="33" t="str">
        <x:v>Active=No; Remarks=P-4 QUARANTINED with inactive parent audit; legacy ID retained.</x:v>
      </x:c>
      <x:c r="E2687" s="33" t="str">
        <x:v>CORRECT / RECLASSIFY</x:v>
      </x:c>
      <x:c r="F2687" s="33" t="str">
        <x:v>Quarantine inactive descendants and align existing evidence to normalized audits.</x:v>
      </x:c>
      <x:c r="G2687" s="33" t="str">
        <x:v>P-4 execution-chain reconciliation</x:v>
      </x:c>
      <x:c r="H2687" s="33" t="str">
        <x:v>P-4</x:v>
      </x:c>
      <x:c r="I2687" s="33" t="str">
        <x:v>P-4</x:v>
      </x:c>
      <x:c r="J2687" s="33" t="str">
        <x:v>2026-08-20</x:v>
      </x:c>
      <x:c r="K2687" s="33" t="str">
        <x:v>Evidence IDs preserved and aligned.</x:v>
      </x:c>
    </x:row>
    <x:row r="2688">
      <x:c r="A2688" s="33" t="str">
        <x:v>EVD387</x:v>
      </x:c>
      <x:c r="B2688" s="33" t="str">
        <x:v>Evidence Master</x:v>
      </x:c>
      <x:c r="C2688" s="33" t="str">
        <x:v>Active=Yes; Remarks=Audit evidence.</x:v>
      </x:c>
      <x:c r="D2688" s="33" t="str">
        <x:v>Active=No; Remarks=P-4 QUARANTINED with inactive parent audit; legacy ID retained.</x:v>
      </x:c>
      <x:c r="E2688" s="33" t="str">
        <x:v>CORRECT / RECLASSIFY</x:v>
      </x:c>
      <x:c r="F2688" s="33" t="str">
        <x:v>Quarantine inactive descendants and align existing evidence to normalized audits.</x:v>
      </x:c>
      <x:c r="G2688" s="33" t="str">
        <x:v>P-4 execution-chain reconciliation</x:v>
      </x:c>
      <x:c r="H2688" s="33" t="str">
        <x:v>P-4</x:v>
      </x:c>
      <x:c r="I2688" s="33" t="str">
        <x:v>P-4</x:v>
      </x:c>
      <x:c r="J2688" s="33" t="str">
        <x:v>2026-08-20</x:v>
      </x:c>
      <x:c r="K2688" s="33" t="str">
        <x:v>Evidence IDs preserved and aligned.</x:v>
      </x:c>
    </x:row>
    <x:row r="2689">
      <x:c r="A2689" s="33" t="str">
        <x:v>EVD388</x:v>
      </x:c>
      <x:c r="B2689" s="33" t="str">
        <x:v>Evidence Master</x:v>
      </x:c>
      <x:c r="C2689" s="33" t="str">
        <x:v>Active=Yes; Remarks=Corrective action tracking.</x:v>
      </x:c>
      <x:c r="D2689" s="33" t="str">
        <x:v>Active=No; Remarks=P-4 QUARANTINED with inactive parent audit; legacy ID retained.</x:v>
      </x:c>
      <x:c r="E2689" s="33" t="str">
        <x:v>CORRECT / RECLASSIFY</x:v>
      </x:c>
      <x:c r="F2689" s="33" t="str">
        <x:v>Quarantine inactive descendants and align existing evidence to normalized audits.</x:v>
      </x:c>
      <x:c r="G2689" s="33" t="str">
        <x:v>P-4 execution-chain reconciliation</x:v>
      </x:c>
      <x:c r="H2689" s="33" t="str">
        <x:v>P-4</x:v>
      </x:c>
      <x:c r="I2689" s="33" t="str">
        <x:v>P-4</x:v>
      </x:c>
      <x:c r="J2689" s="33" t="str">
        <x:v>2026-08-20</x:v>
      </x:c>
      <x:c r="K2689" s="33" t="str">
        <x:v>Evidence IDs preserved and aligned.</x:v>
      </x:c>
    </x:row>
    <x:row r="2690">
      <x:c r="A2690" s="33" t="str">
        <x:v>EVD389</x:v>
      </x:c>
      <x:c r="B2690" s="33" t="str">
        <x:v>Evidence Master</x:v>
      </x:c>
      <x:c r="C2690" s="33" t="str">
        <x:v>Active=Yes; Remarks=Monitor regulatory observations.</x:v>
      </x:c>
      <x:c r="D2690" s="33" t="str">
        <x:v>Active=No; Remarks=P-4 QUARANTINED with inactive parent audit; legacy ID retained.</x:v>
      </x:c>
      <x:c r="E2690" s="33" t="str">
        <x:v>CORRECT / RECLASSIFY</x:v>
      </x:c>
      <x:c r="F2690" s="33" t="str">
        <x:v>Quarantine inactive descendants and align existing evidence to normalized audits.</x:v>
      </x:c>
      <x:c r="G2690" s="33" t="str">
        <x:v>P-4 execution-chain reconciliation</x:v>
      </x:c>
      <x:c r="H2690" s="33" t="str">
        <x:v>P-4</x:v>
      </x:c>
      <x:c r="I2690" s="33" t="str">
        <x:v>P-4</x:v>
      </x:c>
      <x:c r="J2690" s="33" t="str">
        <x:v>2026-08-20</x:v>
      </x:c>
      <x:c r="K2690" s="33" t="str">
        <x:v>Evidence IDs preserved and aligned.</x:v>
      </x:c>
    </x:row>
    <x:row r="2691">
      <x:c r="A2691" s="33" t="str">
        <x:v>EVD390</x:v>
      </x:c>
      <x:c r="B2691" s="33" t="str">
        <x:v>Evidence Master</x:v>
      </x:c>
      <x:c r="C2691" s="33" t="str">
        <x:v>Active=Yes; Remarks=Supporting documents.</x:v>
      </x:c>
      <x:c r="D2691" s="33" t="str">
        <x:v>Active=No; Remarks=P-4 QUARANTINED with inactive parent audit; legacy ID retained.</x:v>
      </x:c>
      <x:c r="E2691" s="33" t="str">
        <x:v>CORRECT / RECLASSIFY</x:v>
      </x:c>
      <x:c r="F2691" s="33" t="str">
        <x:v>Quarantine inactive descendants and align existing evidence to normalized audits.</x:v>
      </x:c>
      <x:c r="G2691" s="33" t="str">
        <x:v>P-4 execution-chain reconciliation</x:v>
      </x:c>
      <x:c r="H2691" s="33" t="str">
        <x:v>P-4</x:v>
      </x:c>
      <x:c r="I2691" s="33" t="str">
        <x:v>P-4</x:v>
      </x:c>
      <x:c r="J2691" s="33" t="str">
        <x:v>2026-08-20</x:v>
      </x:c>
      <x:c r="K2691" s="33" t="str">
        <x:v>Evidence IDs preserved and aligned.</x:v>
      </x:c>
    </x:row>
    <x:row r="2692">
      <x:c r="A2692" s="33" t="str">
        <x:v>EVD391</x:v>
      </x:c>
      <x:c r="B2692" s="33" t="str">
        <x:v>Evidence Master</x:v>
      </x:c>
      <x:c r="C2692" s="33" t="str">
        <x:v>Active=Yes; Remarks=Overall compliance assessment.</x:v>
      </x:c>
      <x:c r="D2692" s="33" t="str">
        <x:v>Active=No; Remarks=P-4 QUARANTINED with inactive parent audit; legacy ID retained.</x:v>
      </x:c>
      <x:c r="E2692" s="33" t="str">
        <x:v>CORRECT / RECLASSIFY</x:v>
      </x:c>
      <x:c r="F2692" s="33" t="str">
        <x:v>Quarantine inactive descendants and align existing evidence to normalized audits.</x:v>
      </x:c>
      <x:c r="G2692" s="33" t="str">
        <x:v>P-4 execution-chain reconciliation</x:v>
      </x:c>
      <x:c r="H2692" s="33" t="str">
        <x:v>P-4</x:v>
      </x:c>
      <x:c r="I2692" s="33" t="str">
        <x:v>P-4</x:v>
      </x:c>
      <x:c r="J2692" s="33" t="str">
        <x:v>2026-08-20</x:v>
      </x:c>
      <x:c r="K2692" s="33" t="str">
        <x:v>Evidence IDs preserved and aligned.</x:v>
      </x:c>
    </x:row>
    <x:row r="2693">
      <x:c r="A2693" s="33" t="str">
        <x:v>EVD392</x:v>
      </x:c>
      <x:c r="B2693" s="33" t="str">
        <x:v>Evidence Master</x:v>
      </x:c>
      <x:c r="C2693" s="33" t="str">
        <x:v>Active=Yes; Remarks=Risk evaluation.</x:v>
      </x:c>
      <x:c r="D2693" s="33" t="str">
        <x:v>Active=No; Remarks=P-4 QUARANTINED with inactive parent audit; legacy ID retained.</x:v>
      </x:c>
      <x:c r="E2693" s="33" t="str">
        <x:v>CORRECT / RECLASSIFY</x:v>
      </x:c>
      <x:c r="F2693" s="33" t="str">
        <x:v>Quarantine inactive descendants and align existing evidence to normalized audits.</x:v>
      </x:c>
      <x:c r="G2693" s="33" t="str">
        <x:v>P-4 execution-chain reconciliation</x:v>
      </x:c>
      <x:c r="H2693" s="33" t="str">
        <x:v>P-4</x:v>
      </x:c>
      <x:c r="I2693" s="33" t="str">
        <x:v>P-4</x:v>
      </x:c>
      <x:c r="J2693" s="33" t="str">
        <x:v>2026-08-20</x:v>
      </x:c>
      <x:c r="K2693" s="33" t="str">
        <x:v>Evidence IDs preserved and aligned.</x:v>
      </x:c>
    </x:row>
    <x:row r="2694">
      <x:c r="A2694" s="33" t="str">
        <x:v>EVD393</x:v>
      </x:c>
      <x:c r="B2694" s="33" t="str">
        <x:v>Evidence Master</x:v>
      </x:c>
      <x:c r="C2694" s="33" t="str">
        <x:v>Active=Yes; Remarks=Electronic monitoring.</x:v>
      </x:c>
      <x:c r="D2694" s="33" t="str">
        <x:v>Active=No; Remarks=P-4 QUARANTINED with inactive parent audit; legacy ID retained.</x:v>
      </x:c>
      <x:c r="E2694" s="33" t="str">
        <x:v>CORRECT / RECLASSIFY</x:v>
      </x:c>
      <x:c r="F2694" s="33" t="str">
        <x:v>Quarantine inactive descendants and align existing evidence to normalized audits.</x:v>
      </x:c>
      <x:c r="G2694" s="33" t="str">
        <x:v>P-4 execution-chain reconciliation</x:v>
      </x:c>
      <x:c r="H2694" s="33" t="str">
        <x:v>P-4</x:v>
      </x:c>
      <x:c r="I2694" s="33" t="str">
        <x:v>P-4</x:v>
      </x:c>
      <x:c r="J2694" s="33" t="str">
        <x:v>2026-08-20</x:v>
      </x:c>
      <x:c r="K2694" s="33" t="str">
        <x:v>Evidence IDs preserved and aligned.</x:v>
      </x:c>
    </x:row>
    <x:row r="2695">
      <x:c r="A2695" s="33" t="str">
        <x:v>EVD394</x:v>
      </x:c>
      <x:c r="B2695" s="33" t="str">
        <x:v>Evidence Master</x:v>
      </x:c>
      <x:c r="C2695" s="33" t="str">
        <x:v>Active=Yes; Remarks=Walkthrough support.</x:v>
      </x:c>
      <x:c r="D2695" s="33" t="str">
        <x:v>Active=No; Remarks=P-4 QUARANTINED with inactive parent audit; legacy ID retained.</x:v>
      </x:c>
      <x:c r="E2695" s="33" t="str">
        <x:v>CORRECT / RECLASSIFY</x:v>
      </x:c>
      <x:c r="F2695" s="33" t="str">
        <x:v>Quarantine inactive descendants and align existing evidence to normalized audits.</x:v>
      </x:c>
      <x:c r="G2695" s="33" t="str">
        <x:v>P-4 execution-chain reconciliation</x:v>
      </x:c>
      <x:c r="H2695" s="33" t="str">
        <x:v>P-4</x:v>
      </x:c>
      <x:c r="I2695" s="33" t="str">
        <x:v>P-4</x:v>
      </x:c>
      <x:c r="J2695" s="33" t="str">
        <x:v>2026-08-20</x:v>
      </x:c>
      <x:c r="K2695" s="33" t="str">
        <x:v>Evidence IDs preserved and aligned.</x:v>
      </x:c>
    </x:row>
    <x:row r="2696">
      <x:c r="A2696" s="33" t="str">
        <x:v>EVD395</x:v>
      </x:c>
      <x:c r="B2696" s="33" t="str">
        <x:v>Evidence Master</x:v>
      </x:c>
      <x:c r="C2696" s="33" t="str">
        <x:v>Active=Yes; Remarks=Periodic review evidence.</x:v>
      </x:c>
      <x:c r="D2696" s="33" t="str">
        <x:v>Active=No; Remarks=P-4 QUARANTINED with inactive parent audit; legacy ID retained.</x:v>
      </x:c>
      <x:c r="E2696" s="33" t="str">
        <x:v>CORRECT / RECLASSIFY</x:v>
      </x:c>
      <x:c r="F2696" s="33" t="str">
        <x:v>Quarantine inactive descendants and align existing evidence to normalized audits.</x:v>
      </x:c>
      <x:c r="G2696" s="33" t="str">
        <x:v>P-4 execution-chain reconciliation</x:v>
      </x:c>
      <x:c r="H2696" s="33" t="str">
        <x:v>P-4</x:v>
      </x:c>
      <x:c r="I2696" s="33" t="str">
        <x:v>P-4</x:v>
      </x:c>
      <x:c r="J2696" s="33" t="str">
        <x:v>2026-08-20</x:v>
      </x:c>
      <x:c r="K2696" s="33" t="str">
        <x:v>Evidence IDs preserved and aligned.</x:v>
      </x:c>
    </x:row>
    <x:row r="2697">
      <x:c r="A2697" s="33" t="str">
        <x:v>EVD396</x:v>
      </x:c>
      <x:c r="B2697" s="33" t="str">
        <x:v>Evidence Master</x:v>
      </x:c>
      <x:c r="C2697" s="33" t="str">
        <x:v>Active=Yes; Remarks=Corrective action tracking.</x:v>
      </x:c>
      <x:c r="D2697" s="33" t="str">
        <x:v>Active=No; Remarks=P-4 QUARANTINED with inactive parent audit; legacy ID retained.</x:v>
      </x:c>
      <x:c r="E2697" s="33" t="str">
        <x:v>CORRECT / RECLASSIFY</x:v>
      </x:c>
      <x:c r="F2697" s="33" t="str">
        <x:v>Quarantine inactive descendants and align existing evidence to normalized audits.</x:v>
      </x:c>
      <x:c r="G2697" s="33" t="str">
        <x:v>P-4 execution-chain reconciliation</x:v>
      </x:c>
      <x:c r="H2697" s="33" t="str">
        <x:v>P-4</x:v>
      </x:c>
      <x:c r="I2697" s="33" t="str">
        <x:v>P-4</x:v>
      </x:c>
      <x:c r="J2697" s="33" t="str">
        <x:v>2026-08-20</x:v>
      </x:c>
      <x:c r="K2697" s="33" t="str">
        <x:v>Evidence IDs preserved and aligned.</x:v>
      </x:c>
    </x:row>
    <x:row r="2698">
      <x:c r="A2698" s="33" t="str">
        <x:v>EVD397</x:v>
      </x:c>
      <x:c r="B2698" s="33" t="str">
        <x:v>Evidence Master</x:v>
      </x:c>
      <x:c r="C2698" s="33" t="str">
        <x:v>Active=Yes; Remarks=Supporting audit evidence.</x:v>
      </x:c>
      <x:c r="D2698" s="33" t="str">
        <x:v>Active=No; Remarks=P-4 QUARANTINED with inactive parent audit; legacy ID retained.</x:v>
      </x:c>
      <x:c r="E2698" s="33" t="str">
        <x:v>CORRECT / RECLASSIFY</x:v>
      </x:c>
      <x:c r="F2698" s="33" t="str">
        <x:v>Quarantine inactive descendants and align existing evidence to normalized audits.</x:v>
      </x:c>
      <x:c r="G2698" s="33" t="str">
        <x:v>P-4 execution-chain reconciliation</x:v>
      </x:c>
      <x:c r="H2698" s="33" t="str">
        <x:v>P-4</x:v>
      </x:c>
      <x:c r="I2698" s="33" t="str">
        <x:v>P-4</x:v>
      </x:c>
      <x:c r="J2698" s="33" t="str">
        <x:v>2026-08-20</x:v>
      </x:c>
      <x:c r="K2698" s="33" t="str">
        <x:v>Evidence IDs preserved and aligned.</x:v>
      </x:c>
    </x:row>
    <x:row r="2699">
      <x:c r="A2699" s="33" t="str">
        <x:v>EVD398</x:v>
      </x:c>
      <x:c r="B2699" s="33" t="str">
        <x:v>Evidence Master</x:v>
      </x:c>
      <x:c r="C2699" s="33" t="str">
        <x:v>Active=Yes; Remarks=Continuous improvement initiatives.</x:v>
      </x:c>
      <x:c r="D2699" s="33" t="str">
        <x:v>Active=No; Remarks=P-4 QUARANTINED with inactive parent audit; legacy ID retained.</x:v>
      </x:c>
      <x:c r="E2699" s="33" t="str">
        <x:v>CORRECT / RECLASSIFY</x:v>
      </x:c>
      <x:c r="F2699" s="33" t="str">
        <x:v>Quarantine inactive descendants and align existing evidence to normalized audits.</x:v>
      </x:c>
      <x:c r="G2699" s="33" t="str">
        <x:v>P-4 execution-chain reconciliation</x:v>
      </x:c>
      <x:c r="H2699" s="33" t="str">
        <x:v>P-4</x:v>
      </x:c>
      <x:c r="I2699" s="33" t="str">
        <x:v>P-4</x:v>
      </x:c>
      <x:c r="J2699" s="33" t="str">
        <x:v>2026-08-20</x:v>
      </x:c>
      <x:c r="K2699" s="33" t="str">
        <x:v>Evidence IDs preserved and aligned.</x:v>
      </x:c>
    </x:row>
    <x:row r="2700">
      <x:c r="A2700" s="33" t="str">
        <x:v>EVD399</x:v>
      </x:c>
      <x:c r="B2700" s="33" t="str">
        <x:v>Evidence Master</x:v>
      </x:c>
      <x:c r="C2700" s="33" t="str">
        <x:v>Active=Yes; Remarks=Enterprise oversight evidence.</x:v>
      </x:c>
      <x:c r="D2700" s="33" t="str">
        <x:v>Active=No; Remarks=P-4 QUARANTINED with inactive parent audit; legacy ID retained.</x:v>
      </x:c>
      <x:c r="E2700" s="33" t="str">
        <x:v>CORRECT / RECLASSIFY</x:v>
      </x:c>
      <x:c r="F2700" s="33" t="str">
        <x:v>Quarantine inactive descendants and align existing evidence to normalized audits.</x:v>
      </x:c>
      <x:c r="G2700" s="33" t="str">
        <x:v>P-4 execution-chain reconciliation</x:v>
      </x:c>
      <x:c r="H2700" s="33" t="str">
        <x:v>P-4</x:v>
      </x:c>
      <x:c r="I2700" s="33" t="str">
        <x:v>P-4</x:v>
      </x:c>
      <x:c r="J2700" s="33" t="str">
        <x:v>2026-08-20</x:v>
      </x:c>
      <x:c r="K2700" s="33" t="str">
        <x:v>Evidence IDs preserved and aligned.</x:v>
      </x:c>
    </x:row>
    <x:row r="2701">
      <x:c r="A2701" s="33" t="str">
        <x:v>EVD457</x:v>
      </x:c>
      <x:c r="B2701" s="33" t="str">
        <x:v>Evidence Master</x:v>
      </x:c>
      <x:c r="C2701" s="33" t="str">
        <x:v>Active=Yes; Remarks=SOP should contain approval signature and effective date.</x:v>
      </x:c>
      <x:c r="D2701" s="33" t="str">
        <x:v>Active=No; Remarks=P-4 QUARANTINED with inactive parent audit; legacy ID retained.</x:v>
      </x:c>
      <x:c r="E2701" s="33" t="str">
        <x:v>CORRECT / RECLASSIFY</x:v>
      </x:c>
      <x:c r="F2701" s="33" t="str">
        <x:v>Quarantine inactive descendants and align existing evidence to normalized audits.</x:v>
      </x:c>
      <x:c r="G2701" s="33" t="str">
        <x:v>P-4 execution-chain reconciliation</x:v>
      </x:c>
      <x:c r="H2701" s="33" t="str">
        <x:v>P-4</x:v>
      </x:c>
      <x:c r="I2701" s="33" t="str">
        <x:v>P-4</x:v>
      </x:c>
      <x:c r="J2701" s="33" t="str">
        <x:v>2026-08-20</x:v>
      </x:c>
      <x:c r="K2701" s="33" t="str">
        <x:v>Evidence IDs preserved and aligned.</x:v>
      </x:c>
    </x:row>
    <x:row r="2702">
      <x:c r="A2702" s="33" t="str">
        <x:v>EVD458</x:v>
      </x:c>
      <x:c r="B2702" s="33" t="str">
        <x:v>Evidence Master</x:v>
      </x:c>
      <x:c r="C2702" s="33" t="str">
        <x:v>Active=Yes; Remarks=Demonstrate formal approval process.</x:v>
      </x:c>
      <x:c r="D2702" s="33" t="str">
        <x:v>Active=No; Remarks=P-4 QUARANTINED with inactive parent audit; legacy ID retained.</x:v>
      </x:c>
      <x:c r="E2702" s="33" t="str">
        <x:v>CORRECT / RECLASSIFY</x:v>
      </x:c>
      <x:c r="F2702" s="33" t="str">
        <x:v>Quarantine inactive descendants and align existing evidence to normalized audits.</x:v>
      </x:c>
      <x:c r="G2702" s="33" t="str">
        <x:v>P-4 execution-chain reconciliation</x:v>
      </x:c>
      <x:c r="H2702" s="33" t="str">
        <x:v>P-4</x:v>
      </x:c>
      <x:c r="I2702" s="33" t="str">
        <x:v>P-4</x:v>
      </x:c>
      <x:c r="J2702" s="33" t="str">
        <x:v>2026-08-20</x:v>
      </x:c>
      <x:c r="K2702" s="33" t="str">
        <x:v>Evidence IDs preserved and aligned.</x:v>
      </x:c>
    </x:row>
    <x:row r="2703">
      <x:c r="A2703" s="33" t="str">
        <x:v>EVD459</x:v>
      </x:c>
      <x:c r="B2703" s="33" t="str">
        <x:v>Evidence Master</x:v>
      </x:c>
      <x:c r="C2703" s="33" t="str">
        <x:v>Active=Yes; Remarks=Periodic review planning.</x:v>
      </x:c>
      <x:c r="D2703" s="33" t="str">
        <x:v>Active=No; Remarks=P-4 QUARANTINED with inactive parent audit; legacy ID retained.</x:v>
      </x:c>
      <x:c r="E2703" s="33" t="str">
        <x:v>CORRECT / RECLASSIFY</x:v>
      </x:c>
      <x:c r="F2703" s="33" t="str">
        <x:v>Quarantine inactive descendants and align existing evidence to normalized audits.</x:v>
      </x:c>
      <x:c r="G2703" s="33" t="str">
        <x:v>P-4 execution-chain reconciliation</x:v>
      </x:c>
      <x:c r="H2703" s="33" t="str">
        <x:v>P-4</x:v>
      </x:c>
      <x:c r="I2703" s="33" t="str">
        <x:v>P-4</x:v>
      </x:c>
      <x:c r="J2703" s="33" t="str">
        <x:v>2026-08-20</x:v>
      </x:c>
      <x:c r="K2703" s="33" t="str">
        <x:v>Evidence IDs preserved and aligned.</x:v>
      </x:c>
    </x:row>
    <x:row r="2704">
      <x:c r="A2704" s="33" t="str">
        <x:v>EVD460</x:v>
      </x:c>
      <x:c r="B2704" s="33" t="str">
        <x:v>Evidence Master</x:v>
      </x:c>
      <x:c r="C2704" s="33" t="str">
        <x:v>Active=Yes; Remarks=Complete revision tracking.</x:v>
      </x:c>
      <x:c r="D2704" s="33" t="str">
        <x:v>Active=No; Remarks=P-4 QUARANTINED with inactive parent audit; legacy ID retained.</x:v>
      </x:c>
      <x:c r="E2704" s="33" t="str">
        <x:v>CORRECT / RECLASSIFY</x:v>
      </x:c>
      <x:c r="F2704" s="33" t="str">
        <x:v>Quarantine inactive descendants and align existing evidence to normalized audits.</x:v>
      </x:c>
      <x:c r="G2704" s="33" t="str">
        <x:v>P-4 execution-chain reconciliation</x:v>
      </x:c>
      <x:c r="H2704" s="33" t="str">
        <x:v>P-4</x:v>
      </x:c>
      <x:c r="I2704" s="33" t="str">
        <x:v>P-4</x:v>
      </x:c>
      <x:c r="J2704" s="33" t="str">
        <x:v>2026-08-20</x:v>
      </x:c>
      <x:c r="K2704" s="33" t="str">
        <x:v>Evidence IDs preserved and aligned.</x:v>
      </x:c>
    </x:row>
    <x:row r="2705">
      <x:c r="A2705" s="33" t="str">
        <x:v>EVD461</x:v>
      </x:c>
      <x:c r="B2705" s="33" t="str">
        <x:v>Evidence Master</x:v>
      </x:c>
      <x:c r="C2705" s="33" t="str">
        <x:v>Active=Yes; Remarks=Current SOP distribution.</x:v>
      </x:c>
      <x:c r="D2705" s="33" t="str">
        <x:v>Active=No; Remarks=P-4 QUARANTINED with inactive parent audit; legacy ID retained.</x:v>
      </x:c>
      <x:c r="E2705" s="33" t="str">
        <x:v>CORRECT / RECLASSIFY</x:v>
      </x:c>
      <x:c r="F2705" s="33" t="str">
        <x:v>Quarantine inactive descendants and align existing evidence to normalized audits.</x:v>
      </x:c>
      <x:c r="G2705" s="33" t="str">
        <x:v>P-4 execution-chain reconciliation</x:v>
      </x:c>
      <x:c r="H2705" s="33" t="str">
        <x:v>P-4</x:v>
      </x:c>
      <x:c r="I2705" s="33" t="str">
        <x:v>P-4</x:v>
      </x:c>
      <x:c r="J2705" s="33" t="str">
        <x:v>2026-08-20</x:v>
      </x:c>
      <x:c r="K2705" s="33" t="str">
        <x:v>Evidence IDs preserved and aligned.</x:v>
      </x:c>
    </x:row>
    <x:row r="2706">
      <x:c r="A2706" s="33" t="str">
        <x:v>EVD462</x:v>
      </x:c>
      <x:c r="B2706" s="33" t="str">
        <x:v>Evidence Master</x:v>
      </x:c>
      <x:c r="C2706" s="33" t="str">
        <x:v>Active=Yes; Remarks=Maintain current document inventory.</x:v>
      </x:c>
      <x:c r="D2706" s="33" t="str">
        <x:v>Active=No; Remarks=P-4 QUARANTINED with inactive parent audit; legacy ID retained.</x:v>
      </x:c>
      <x:c r="E2706" s="33" t="str">
        <x:v>CORRECT / RECLASSIFY</x:v>
      </x:c>
      <x:c r="F2706" s="33" t="str">
        <x:v>Quarantine inactive descendants and align existing evidence to normalized audits.</x:v>
      </x:c>
      <x:c r="G2706" s="33" t="str">
        <x:v>P-4 execution-chain reconciliation</x:v>
      </x:c>
      <x:c r="H2706" s="33" t="str">
        <x:v>P-4</x:v>
      </x:c>
      <x:c r="I2706" s="33" t="str">
        <x:v>P-4</x:v>
      </x:c>
      <x:c r="J2706" s="33" t="str">
        <x:v>2026-08-20</x:v>
      </x:c>
      <x:c r="K2706" s="33" t="str">
        <x:v>Evidence IDs preserved and aligned.</x:v>
      </x:c>
    </x:row>
    <x:row r="2707">
      <x:c r="A2707" s="33" t="str">
        <x:v>EVD463</x:v>
      </x:c>
      <x:c r="B2707" s="33" t="str">
        <x:v>Evidence Master</x:v>
      </x:c>
      <x:c r="C2707" s="33" t="str">
        <x:v>Active=Yes; Remarks=Archive withdrawn documents.</x:v>
      </x:c>
      <x:c r="D2707" s="33" t="str">
        <x:v>Active=No; Remarks=P-4 QUARANTINED with inactive parent audit; legacy ID retained.</x:v>
      </x:c>
      <x:c r="E2707" s="33" t="str">
        <x:v>CORRECT / RECLASSIFY</x:v>
      </x:c>
      <x:c r="F2707" s="33" t="str">
        <x:v>Quarantine inactive descendants and align existing evidence to normalized audits.</x:v>
      </x:c>
      <x:c r="G2707" s="33" t="str">
        <x:v>P-4 execution-chain reconciliation</x:v>
      </x:c>
      <x:c r="H2707" s="33" t="str">
        <x:v>P-4</x:v>
      </x:c>
      <x:c r="I2707" s="33" t="str">
        <x:v>P-4</x:v>
      </x:c>
      <x:c r="J2707" s="33" t="str">
        <x:v>2026-08-20</x:v>
      </x:c>
      <x:c r="K2707" s="33" t="str">
        <x:v>Evidence IDs preserved and aligned.</x:v>
      </x:c>
    </x:row>
    <x:row r="2708">
      <x:c r="A2708" s="33" t="str">
        <x:v>EVD464</x:v>
      </x:c>
      <x:c r="B2708" s="33" t="str">
        <x:v>Evidence Master</x:v>
      </x:c>
      <x:c r="C2708" s="33" t="str">
        <x:v>Active=Yes; Remarks=Prevent unintended use.</x:v>
      </x:c>
      <x:c r="D2708" s="33" t="str">
        <x:v>Active=No; Remarks=P-4 QUARANTINED with inactive parent audit; legacy ID retained.</x:v>
      </x:c>
      <x:c r="E2708" s="33" t="str">
        <x:v>CORRECT / RECLASSIFY</x:v>
      </x:c>
      <x:c r="F2708" s="33" t="str">
        <x:v>Quarantine inactive descendants and align existing evidence to normalized audits.</x:v>
      </x:c>
      <x:c r="G2708" s="33" t="str">
        <x:v>P-4 execution-chain reconciliation</x:v>
      </x:c>
      <x:c r="H2708" s="33" t="str">
        <x:v>P-4</x:v>
      </x:c>
      <x:c r="I2708" s="33" t="str">
        <x:v>P-4</x:v>
      </x:c>
      <x:c r="J2708" s="33" t="str">
        <x:v>2026-08-20</x:v>
      </x:c>
      <x:c r="K2708" s="33" t="str">
        <x:v>Evidence IDs preserved and aligned.</x:v>
      </x:c>
    </x:row>
    <x:row r="2709">
      <x:c r="A2709" s="33" t="str">
        <x:v>EVD465</x:v>
      </x:c>
      <x:c r="B2709" s="33" t="str">
        <x:v>Evidence Master</x:v>
      </x:c>
      <x:c r="C2709" s="33" t="str">
        <x:v>Active=Yes; Remarks=Notify affected employees.</x:v>
      </x:c>
      <x:c r="D2709" s="33" t="str">
        <x:v>Active=No; Remarks=P-4 QUARANTINED with inactive parent audit; legacy ID retained.</x:v>
      </x:c>
      <x:c r="E2709" s="33" t="str">
        <x:v>CORRECT / RECLASSIFY</x:v>
      </x:c>
      <x:c r="F2709" s="33" t="str">
        <x:v>Quarantine inactive descendants and align existing evidence to normalized audits.</x:v>
      </x:c>
      <x:c r="G2709" s="33" t="str">
        <x:v>P-4 execution-chain reconciliation</x:v>
      </x:c>
      <x:c r="H2709" s="33" t="str">
        <x:v>P-4</x:v>
      </x:c>
      <x:c r="I2709" s="33" t="str">
        <x:v>P-4</x:v>
      </x:c>
      <x:c r="J2709" s="33" t="str">
        <x:v>2026-08-20</x:v>
      </x:c>
      <x:c r="K2709" s="33" t="str">
        <x:v>Evidence IDs preserved and aligned.</x:v>
      </x:c>
    </x:row>
    <x:row r="2710">
      <x:c r="A2710" s="33" t="str">
        <x:v>EVD466</x:v>
      </x:c>
      <x:c r="B2710" s="33" t="str">
        <x:v>Evidence Master</x:v>
      </x:c>
      <x:c r="C2710" s="33" t="str">
        <x:v>Active=Yes; Remarks=Signed acknowledgment required.</x:v>
      </x:c>
      <x:c r="D2710" s="33" t="str">
        <x:v>Active=No; Remarks=P-4 QUARANTINED with inactive parent audit; legacy ID retained.</x:v>
      </x:c>
      <x:c r="E2710" s="33" t="str">
        <x:v>CORRECT / RECLASSIFY</x:v>
      </x:c>
      <x:c r="F2710" s="33" t="str">
        <x:v>Quarantine inactive descendants and align existing evidence to normalized audits.</x:v>
      </x:c>
      <x:c r="G2710" s="33" t="str">
        <x:v>P-4 execution-chain reconciliation</x:v>
      </x:c>
      <x:c r="H2710" s="33" t="str">
        <x:v>P-4</x:v>
      </x:c>
      <x:c r="I2710" s="33" t="str">
        <x:v>P-4</x:v>
      </x:c>
      <x:c r="J2710" s="33" t="str">
        <x:v>2026-08-20</x:v>
      </x:c>
      <x:c r="K2710" s="33" t="str">
        <x:v>Evidence IDs preserved and aligned.</x:v>
      </x:c>
    </x:row>
    <x:row r="2711">
      <x:c r="A2711" s="33" t="str">
        <x:v>EVD467</x:v>
      </x:c>
      <x:c r="B2711" s="33" t="str">
        <x:v>Evidence Master</x:v>
      </x:c>
      <x:c r="C2711" s="33" t="str">
        <x:v>Active=Yes; Remarks=Controlled document numbering.</x:v>
      </x:c>
      <x:c r="D2711" s="33" t="str">
        <x:v>Active=No; Remarks=P-4 QUARANTINED with inactive parent audit; legacy ID retained.</x:v>
      </x:c>
      <x:c r="E2711" s="33" t="str">
        <x:v>CORRECT / RECLASSIFY</x:v>
      </x:c>
      <x:c r="F2711" s="33" t="str">
        <x:v>Quarantine inactive descendants and align existing evidence to normalized audits.</x:v>
      </x:c>
      <x:c r="G2711" s="33" t="str">
        <x:v>P-4 execution-chain reconciliation</x:v>
      </x:c>
      <x:c r="H2711" s="33" t="str">
        <x:v>P-4</x:v>
      </x:c>
      <x:c r="I2711" s="33" t="str">
        <x:v>P-4</x:v>
      </x:c>
      <x:c r="J2711" s="33" t="str">
        <x:v>2026-08-20</x:v>
      </x:c>
      <x:c r="K2711" s="33" t="str">
        <x:v>Evidence IDs preserved and aligned.</x:v>
      </x:c>
    </x:row>
    <x:row r="2712">
      <x:c r="A2712" s="33" t="str">
        <x:v>EVD468</x:v>
      </x:c>
      <x:c r="B2712" s="33" t="str">
        <x:v>Evidence Master</x:v>
      </x:c>
      <x:c r="C2712" s="33" t="str">
        <x:v>Active=Yes; Remarks=Maintain version history.</x:v>
      </x:c>
      <x:c r="D2712" s="33" t="str">
        <x:v>Active=No; Remarks=P-4 QUARANTINED with inactive parent audit; legacy ID retained.</x:v>
      </x:c>
      <x:c r="E2712" s="33" t="str">
        <x:v>CORRECT / RECLASSIFY</x:v>
      </x:c>
      <x:c r="F2712" s="33" t="str">
        <x:v>Quarantine inactive descendants and align existing evidence to normalized audits.</x:v>
      </x:c>
      <x:c r="G2712" s="33" t="str">
        <x:v>P-4 execution-chain reconciliation</x:v>
      </x:c>
      <x:c r="H2712" s="33" t="str">
        <x:v>P-4</x:v>
      </x:c>
      <x:c r="I2712" s="33" t="str">
        <x:v>P-4</x:v>
      </x:c>
      <x:c r="J2712" s="33" t="str">
        <x:v>2026-08-20</x:v>
      </x:c>
      <x:c r="K2712" s="33" t="str">
        <x:v>Evidence IDs preserved and aligned.</x:v>
      </x:c>
    </x:row>
    <x:row r="2713">
      <x:c r="A2713" s="33" t="str">
        <x:v>EVD469</x:v>
      </x:c>
      <x:c r="B2713" s="33" t="str">
        <x:v>Evidence Master</x:v>
      </x:c>
      <x:c r="C2713" s="33" t="str">
        <x:v>Active=Yes; Remarks=List of all active controlled documents.</x:v>
      </x:c>
      <x:c r="D2713" s="33" t="str">
        <x:v>Active=No; Remarks=P-4 QUARANTINED with inactive parent audit; legacy ID retained.</x:v>
      </x:c>
      <x:c r="E2713" s="33" t="str">
        <x:v>CORRECT / RECLASSIFY</x:v>
      </x:c>
      <x:c r="F2713" s="33" t="str">
        <x:v>Quarantine inactive descendants and align existing evidence to normalized audits.</x:v>
      </x:c>
      <x:c r="G2713" s="33" t="str">
        <x:v>P-4 execution-chain reconciliation</x:v>
      </x:c>
      <x:c r="H2713" s="33" t="str">
        <x:v>P-4</x:v>
      </x:c>
      <x:c r="I2713" s="33" t="str">
        <x:v>P-4</x:v>
      </x:c>
      <x:c r="J2713" s="33" t="str">
        <x:v>2026-08-20</x:v>
      </x:c>
      <x:c r="K2713" s="33" t="str">
        <x:v>Evidence IDs preserved and aligned.</x:v>
      </x:c>
    </x:row>
    <x:row r="2714">
      <x:c r="A2714" s="33" t="str">
        <x:v>EVD470</x:v>
      </x:c>
      <x:c r="B2714" s="33" t="str">
        <x:v>Evidence Master</x:v>
      </x:c>
      <x:c r="C2714" s="33" t="str">
        <x:v>Active=Yes; Remarks=Distribution tracking.</x:v>
      </x:c>
      <x:c r="D2714" s="33" t="str">
        <x:v>Active=No; Remarks=P-4 QUARANTINED with inactive parent audit; legacy ID retained.</x:v>
      </x:c>
      <x:c r="E2714" s="33" t="str">
        <x:v>CORRECT / RECLASSIFY</x:v>
      </x:c>
      <x:c r="F2714" s="33" t="str">
        <x:v>Quarantine inactive descendants and align existing evidence to normalized audits.</x:v>
      </x:c>
      <x:c r="G2714" s="33" t="str">
        <x:v>P-4 execution-chain reconciliation</x:v>
      </x:c>
      <x:c r="H2714" s="33" t="str">
        <x:v>P-4</x:v>
      </x:c>
      <x:c r="I2714" s="33" t="str">
        <x:v>P-4</x:v>
      </x:c>
      <x:c r="J2714" s="33" t="str">
        <x:v>2026-08-20</x:v>
      </x:c>
      <x:c r="K2714" s="33" t="str">
        <x:v>Evidence IDs preserved and aligned.</x:v>
      </x:c>
    </x:row>
    <x:row r="2715">
      <x:c r="A2715" s="33" t="str">
        <x:v>EVD471</x:v>
      </x:c>
      <x:c r="B2715" s="33" t="str">
        <x:v>Evidence Master</x:v>
      </x:c>
      <x:c r="C2715" s="33" t="str">
        <x:v>Active=Yes; Remarks=Role-based document access.</x:v>
      </x:c>
      <x:c r="D2715" s="33" t="str">
        <x:v>Active=No; Remarks=P-4 QUARANTINED with inactive parent audit; legacy ID retained.</x:v>
      </x:c>
      <x:c r="E2715" s="33" t="str">
        <x:v>CORRECT / RECLASSIFY</x:v>
      </x:c>
      <x:c r="F2715" s="33" t="str">
        <x:v>Quarantine inactive descendants and align existing evidence to normalized audits.</x:v>
      </x:c>
      <x:c r="G2715" s="33" t="str">
        <x:v>P-4 execution-chain reconciliation</x:v>
      </x:c>
      <x:c r="H2715" s="33" t="str">
        <x:v>P-4</x:v>
      </x:c>
      <x:c r="I2715" s="33" t="str">
        <x:v>P-4</x:v>
      </x:c>
      <x:c r="J2715" s="33" t="str">
        <x:v>2026-08-20</x:v>
      </x:c>
      <x:c r="K2715" s="33" t="str">
        <x:v>Evidence IDs preserved and aligned.</x:v>
      </x:c>
    </x:row>
    <x:row r="2716">
      <x:c r="A2716" s="33" t="str">
        <x:v>EVD472</x:v>
      </x:c>
      <x:c r="B2716" s="33" t="str">
        <x:v>Evidence Master</x:v>
      </x:c>
      <x:c r="C2716" s="33" t="str">
        <x:v>Active=Yes; Remarks=Electronic access history.</x:v>
      </x:c>
      <x:c r="D2716" s="33" t="str">
        <x:v>Active=No; Remarks=P-4 QUARANTINED with inactive parent audit; legacy ID retained.</x:v>
      </x:c>
      <x:c r="E2716" s="33" t="str">
        <x:v>CORRECT / RECLASSIFY</x:v>
      </x:c>
      <x:c r="F2716" s="33" t="str">
        <x:v>Quarantine inactive descendants and align existing evidence to normalized audits.</x:v>
      </x:c>
      <x:c r="G2716" s="33" t="str">
        <x:v>P-4 execution-chain reconciliation</x:v>
      </x:c>
      <x:c r="H2716" s="33" t="str">
        <x:v>P-4</x:v>
      </x:c>
      <x:c r="I2716" s="33" t="str">
        <x:v>P-4</x:v>
      </x:c>
      <x:c r="J2716" s="33" t="str">
        <x:v>2026-08-20</x:v>
      </x:c>
      <x:c r="K2716" s="33" t="str">
        <x:v>Evidence IDs preserved and aligned.</x:v>
      </x:c>
    </x:row>
    <x:row r="2717">
      <x:c r="A2717" s="33" t="str">
        <x:v>EVD473</x:v>
      </x:c>
      <x:c r="B2717" s="33" t="str">
        <x:v>Evidence Master</x:v>
      </x:c>
      <x:c r="C2717" s="33" t="str">
        <x:v>Active=Yes; Remarks=Verify GDP compliance.</x:v>
      </x:c>
      <x:c r="D2717" s="33" t="str">
        <x:v>Active=No; Remarks=P-4 QUARANTINED with inactive parent audit; legacy ID retained.</x:v>
      </x:c>
      <x:c r="E2717" s="33" t="str">
        <x:v>CORRECT / RECLASSIFY</x:v>
      </x:c>
      <x:c r="F2717" s="33" t="str">
        <x:v>Quarantine inactive descendants and align existing evidence to normalized audits.</x:v>
      </x:c>
      <x:c r="G2717" s="33" t="str">
        <x:v>P-4 execution-chain reconciliation</x:v>
      </x:c>
      <x:c r="H2717" s="33" t="str">
        <x:v>P-4</x:v>
      </x:c>
      <x:c r="I2717" s="33" t="str">
        <x:v>P-4</x:v>
      </x:c>
      <x:c r="J2717" s="33" t="str">
        <x:v>2026-08-20</x:v>
      </x:c>
      <x:c r="K2717" s="33" t="str">
        <x:v>Evidence IDs preserved and aligned.</x:v>
      </x:c>
    </x:row>
    <x:row r="2718">
      <x:c r="A2718" s="33" t="str">
        <x:v>EVD474</x:v>
      </x:c>
      <x:c r="B2718" s="33" t="str">
        <x:v>Evidence Master</x:v>
      </x:c>
      <x:c r="C2718" s="33" t="str">
        <x:v>Active=Yes; Remarks=Documentation standard.</x:v>
      </x:c>
      <x:c r="D2718" s="33" t="str">
        <x:v>Active=No; Remarks=P-4 QUARANTINED with inactive parent audit; legacy ID retained.</x:v>
      </x:c>
      <x:c r="E2718" s="33" t="str">
        <x:v>CORRECT / RECLASSIFY</x:v>
      </x:c>
      <x:c r="F2718" s="33" t="str">
        <x:v>Quarantine inactive descendants and align existing evidence to normalized audits.</x:v>
      </x:c>
      <x:c r="G2718" s="33" t="str">
        <x:v>P-4 execution-chain reconciliation</x:v>
      </x:c>
      <x:c r="H2718" s="33" t="str">
        <x:v>P-4</x:v>
      </x:c>
      <x:c r="I2718" s="33" t="str">
        <x:v>P-4</x:v>
      </x:c>
      <x:c r="J2718" s="33" t="str">
        <x:v>2026-08-20</x:v>
      </x:c>
      <x:c r="K2718" s="33" t="str">
        <x:v>Evidence IDs preserved and aligned.</x:v>
      </x:c>
    </x:row>
    <x:row r="2719">
      <x:c r="A2719" s="33" t="str">
        <x:v>EVD182</x:v>
      </x:c>
      <x:c r="B2719" s="33" t="str">
        <x:v>Evidence Master</x:v>
      </x:c>
      <x:c r="C2719" s="33" t="str">
        <x:v>Evidence Required=Schedule H1 Register; Evidence Type=Register; Mandatory=Yes; Retention Category=Statutory; Remarks=Mandatory statutory register.</x:v>
      </x:c>
      <x:c r="D2719" s="33" t="str">
        <x:v>Evidence Required=Documentary and transaction evidence demonstrating: Design consumer-facing sale and service practices to avoid unfair trade practices and respect the statutory consumer-rights baseline.; Evidence Type=Record; Mandatory=Yes; Retention Category=Applicable statutory / operational period; Remarks=P-4 aligned to the normalized parent audit; legacy Evidence ID preserved.</x:v>
      </x:c>
      <x:c r="E2719" s="33" t="str">
        <x:v>CORRECT / RECLASSIFY</x:v>
      </x:c>
      <x:c r="F2719" s="33" t="str">
        <x:v>Quarantine inactive descendants and align existing evidence to normalized audits.</x:v>
      </x:c>
      <x:c r="G2719" s="33" t="str">
        <x:v>P-4 execution-chain reconciliation</x:v>
      </x:c>
      <x:c r="H2719" s="33" t="str">
        <x:v>P-4</x:v>
      </x:c>
      <x:c r="I2719" s="33" t="str">
        <x:v>P-4</x:v>
      </x:c>
      <x:c r="J2719" s="33" t="str">
        <x:v>2026-08-20</x:v>
      </x:c>
      <x:c r="K2719" s="33" t="str">
        <x:v>Evidence IDs preserved and aligned.</x:v>
      </x:c>
    </x:row>
    <x:row r="2720">
      <x:c r="A2720" s="33" t="str">
        <x:v>EVD183</x:v>
      </x:c>
      <x:c r="B2720" s="33" t="str">
        <x:v>Evidence Master</x:v>
      </x:c>
      <x:c r="C2720" s="33" t="str">
        <x:v>Evidence Required=Schedule H1 Prescription File; Evidence Type=Prescription; Mandatory=Yes; Retention Category=Transactional; Remarks=Retain supporting prescriptions.</x:v>
      </x:c>
      <x:c r="D2720" s="33" t="str">
        <x:v>Evidence Required=Documentary and transaction evidence demonstrating: Design consumer-facing sale and service practices to avoid unfair trade practices and respect the statutory consumer-rights baseline.; Evidence Type=Record; Mandatory=Yes; Retention Category=Applicable statutory / operational period; Remarks=P-4 aligned to the normalized parent audit; legacy Evidence ID preserved.</x:v>
      </x:c>
      <x:c r="E2720" s="33" t="str">
        <x:v>CORRECT / RECLASSIFY</x:v>
      </x:c>
      <x:c r="F2720" s="33" t="str">
        <x:v>Quarantine inactive descendants and align existing evidence to normalized audits.</x:v>
      </x:c>
      <x:c r="G2720" s="33" t="str">
        <x:v>P-4 execution-chain reconciliation</x:v>
      </x:c>
      <x:c r="H2720" s="33" t="str">
        <x:v>P-4</x:v>
      </x:c>
      <x:c r="I2720" s="33" t="str">
        <x:v>P-4</x:v>
      </x:c>
      <x:c r="J2720" s="33" t="str">
        <x:v>2026-08-20</x:v>
      </x:c>
      <x:c r="K2720" s="33" t="str">
        <x:v>Evidence IDs preserved and aligned.</x:v>
      </x:c>
    </x:row>
    <x:row r="2721">
      <x:c r="A2721" s="33" t="str">
        <x:v>EVD184</x:v>
      </x:c>
      <x:c r="B2721" s="33" t="str">
        <x:v>Evidence Master</x:v>
      </x:c>
      <x:c r="C2721" s="33" t="str">
        <x:v>Evidence Required=Schedule X Register; Evidence Type=Register; Mandatory=Yes; Retention Category=Statutory; Remarks=Mandatory for Schedule X medicines.</x:v>
      </x:c>
      <x:c r="D2721" s="33" t="str">
        <x:v>Evidence Required=Documentary and transaction evidence demonstrating: Respond to a lawful CCPA investigation and implement an applicable recall, reimbursement, discontinuance or modification order.; Evidence Type=Record; Mandatory=Yes; Retention Category=Applicable statutory / operational period; Remarks=P-4 aligned to the normalized parent audit; legacy Evidence ID preserved.</x:v>
      </x:c>
      <x:c r="E2721" s="33" t="str">
        <x:v>CORRECT / RECLASSIFY</x:v>
      </x:c>
      <x:c r="F2721" s="33" t="str">
        <x:v>Quarantine inactive descendants and align existing evidence to normalized audits.</x:v>
      </x:c>
      <x:c r="G2721" s="33" t="str">
        <x:v>P-4 execution-chain reconciliation</x:v>
      </x:c>
      <x:c r="H2721" s="33" t="str">
        <x:v>P-4</x:v>
      </x:c>
      <x:c r="I2721" s="33" t="str">
        <x:v>P-4</x:v>
      </x:c>
      <x:c r="J2721" s="33" t="str">
        <x:v>2026-08-20</x:v>
      </x:c>
      <x:c r="K2721" s="33" t="str">
        <x:v>Evidence IDs preserved and aligned.</x:v>
      </x:c>
    </x:row>
    <x:row r="2722">
      <x:c r="A2722" s="33" t="str">
        <x:v>EVD185</x:v>
      </x:c>
      <x:c r="B2722" s="33" t="str">
        <x:v>Evidence Master</x:v>
      </x:c>
      <x:c r="C2722" s="33" t="str">
        <x:v>Evidence Required=Schedule X Stock Register; Evidence Type=Inventory Record; Mandatory=Yes; Retention Category=Operational; Remarks=Inventory traceability.</x:v>
      </x:c>
      <x:c r="D2722" s="33" t="str">
        <x:v>Evidence Required=Documentary and transaction evidence demonstrating: Respond to a lawful CCPA investigation and implement an applicable recall, reimbursement, discontinuance or modification order.; Evidence Type=Record; Mandatory=Yes; Retention Category=Applicable statutory / operational period; Remarks=P-4 aligned to the normalized parent audit; legacy Evidence ID preserved.</x:v>
      </x:c>
      <x:c r="E2722" s="33" t="str">
        <x:v>CORRECT / RECLASSIFY</x:v>
      </x:c>
      <x:c r="F2722" s="33" t="str">
        <x:v>Quarantine inactive descendants and align existing evidence to normalized audits.</x:v>
      </x:c>
      <x:c r="G2722" s="33" t="str">
        <x:v>P-4 execution-chain reconciliation</x:v>
      </x:c>
      <x:c r="H2722" s="33" t="str">
        <x:v>P-4</x:v>
      </x:c>
      <x:c r="I2722" s="33" t="str">
        <x:v>P-4</x:v>
      </x:c>
      <x:c r="J2722" s="33" t="str">
        <x:v>2026-08-20</x:v>
      </x:c>
      <x:c r="K2722" s="33" t="str">
        <x:v>Evidence IDs preserved and aligned.</x:v>
      </x:c>
    </x:row>
    <x:row r="2723">
      <x:c r="A2723" s="33" t="str">
        <x:v>EVD186</x:v>
      </x:c>
      <x:c r="B2723" s="33" t="str">
        <x:v>Evidence Master</x:v>
      </x:c>
      <x:c r="C2723" s="33" t="str">
        <x:v>Evidence Required=Controlled Drug Authorization Register; Evidence Type=Approval; Mandatory=Yes; Retention Category=Permanent; Remarks=Authorized dispensing personnel.</x:v>
      </x:c>
      <x:c r="D2723" s="33" t="str">
        <x:v>Evidence Required=Documentary and transaction evidence demonstrating: Do not engage in a practice falling within section 2(47), including false representations, deceptive price claims or refusal to issue a bill where required.; Evidence Type=Record; Mandatory=Yes; Retention Category=Applicable statutory / operational period; Remarks=P-4 aligned to the normalized parent audit; legacy Evidence ID preserved.</x:v>
      </x:c>
      <x:c r="E2723" s="33" t="str">
        <x:v>CORRECT / RECLASSIFY</x:v>
      </x:c>
      <x:c r="F2723" s="33" t="str">
        <x:v>Quarantine inactive descendants and align existing evidence to normalized audits.</x:v>
      </x:c>
      <x:c r="G2723" s="33" t="str">
        <x:v>P-4 execution-chain reconciliation</x:v>
      </x:c>
      <x:c r="H2723" s="33" t="str">
        <x:v>P-4</x:v>
      </x:c>
      <x:c r="I2723" s="33" t="str">
        <x:v>P-4</x:v>
      </x:c>
      <x:c r="J2723" s="33" t="str">
        <x:v>2026-08-20</x:v>
      </x:c>
      <x:c r="K2723" s="33" t="str">
        <x:v>Evidence IDs preserved and aligned.</x:v>
      </x:c>
    </x:row>
    <x:row r="2724">
      <x:c r="A2724" s="33" t="str">
        <x:v>EVD187</x:v>
      </x:c>
      <x:c r="B2724" s="33" t="str">
        <x:v>Evidence Master</x:v>
      </x:c>
      <x:c r="C2724" s="33" t="str">
        <x:v>Evidence Required=Controlled Drug Access Log; Evidence Type=Log Book; Mandatory=Yes; Retention Category=Operational; Remarks=Record access to controlled medicines.</x:v>
      </x:c>
      <x:c r="D2724" s="33" t="str">
        <x:v>Evidence Required=Documentary and transaction evidence demonstrating: Do not engage in a practice falling within section 2(47), including false representations, deceptive price claims or refusal to issue a bill where required.; Evidence Type=Record; Mandatory=Yes; Retention Category=Applicable statutory / operational period; Remarks=P-4 aligned to the normalized parent audit; legacy Evidence ID preserved.</x:v>
      </x:c>
      <x:c r="E2724" s="33" t="str">
        <x:v>CORRECT / RECLASSIFY</x:v>
      </x:c>
      <x:c r="F2724" s="33" t="str">
        <x:v>Quarantine inactive descendants and align existing evidence to normalized audits.</x:v>
      </x:c>
      <x:c r="G2724" s="33" t="str">
        <x:v>P-4 execution-chain reconciliation</x:v>
      </x:c>
      <x:c r="H2724" s="33" t="str">
        <x:v>P-4</x:v>
      </x:c>
      <x:c r="I2724" s="33" t="str">
        <x:v>P-4</x:v>
      </x:c>
      <x:c r="J2724" s="33" t="str">
        <x:v>2026-08-20</x:v>
      </x:c>
      <x:c r="K2724" s="33" t="str">
        <x:v>Evidence IDs preserved and aligned.</x:v>
      </x:c>
    </x:row>
    <x:row r="2725">
      <x:c r="A2725" s="33" t="str">
        <x:v>EVD188</x:v>
      </x:c>
      <x:c r="B2725" s="33" t="str">
        <x:v>Evidence Master</x:v>
      </x:c>
      <x:c r="C2725" s="33" t="str">
        <x:v>Evidence Required=Patient Counselling Record; Evidence Type=Record; Mandatory=No; Retention Category=Operational; Remarks=Applicable where counselling is documented.</x:v>
      </x:c>
      <x:c r="D2725" s="33" t="str">
        <x:v>Evidence Required=Documentary and transaction evidence demonstrating: Do not cause a false or misleading advertisement and comply with any CCPA discontinuance/modification direction.; Evidence Type=Record; Mandatory=Yes; Retention Category=Applicable statutory / operational period; Remarks=P-4 aligned to the normalized parent audit; legacy Evidence ID preserved.</x:v>
      </x:c>
      <x:c r="E2725" s="33" t="str">
        <x:v>CORRECT / RECLASSIFY</x:v>
      </x:c>
      <x:c r="F2725" s="33" t="str">
        <x:v>Quarantine inactive descendants and align existing evidence to normalized audits.</x:v>
      </x:c>
      <x:c r="G2725" s="33" t="str">
        <x:v>P-4 execution-chain reconciliation</x:v>
      </x:c>
      <x:c r="H2725" s="33" t="str">
        <x:v>P-4</x:v>
      </x:c>
      <x:c r="I2725" s="33" t="str">
        <x:v>P-4</x:v>
      </x:c>
      <x:c r="J2725" s="33" t="str">
        <x:v>2026-08-20</x:v>
      </x:c>
      <x:c r="K2725" s="33" t="str">
        <x:v>Evidence IDs preserved and aligned.</x:v>
      </x:c>
    </x:row>
    <x:row r="2726">
      <x:c r="A2726" s="33" t="str">
        <x:v>EVD189</x:v>
      </x:c>
      <x:c r="B2726" s="33" t="str">
        <x:v>Evidence Master</x:v>
      </x:c>
      <x:c r="C2726" s="33" t="str">
        <x:v>Evidence Required=Patient Information Leaflet; Evidence Type=Document; Mandatory=No; Retention Category=Operational; Remarks=Supplementary counselling evidence.</x:v>
      </x:c>
      <x:c r="D2726" s="33" t="str">
        <x:v>Evidence Required=Documentary and transaction evidence demonstrating: Do not cause a false or misleading advertisement and comply with any CCPA discontinuance/modification direction.; Evidence Type=Record; Mandatory=Yes; Retention Category=Applicable statutory / operational period; Remarks=P-4 aligned to the normalized parent audit; legacy Evidence ID preserved.</x:v>
      </x:c>
      <x:c r="E2726" s="33" t="str">
        <x:v>CORRECT / RECLASSIFY</x:v>
      </x:c>
      <x:c r="F2726" s="33" t="str">
        <x:v>Quarantine inactive descendants and align existing evidence to normalized audits.</x:v>
      </x:c>
      <x:c r="G2726" s="33" t="str">
        <x:v>P-4 execution-chain reconciliation</x:v>
      </x:c>
      <x:c r="H2726" s="33" t="str">
        <x:v>P-4</x:v>
      </x:c>
      <x:c r="I2726" s="33" t="str">
        <x:v>P-4</x:v>
      </x:c>
      <x:c r="J2726" s="33" t="str">
        <x:v>2026-08-20</x:v>
      </x:c>
      <x:c r="K2726" s="33" t="str">
        <x:v>Evidence IDs preserved and aligned.</x:v>
      </x:c>
    </x:row>
    <x:row r="2727">
      <x:c r="A2727" s="33" t="str">
        <x:v>EVD190</x:v>
      </x:c>
      <x:c r="B2727" s="33" t="str">
        <x:v>Evidence Master</x:v>
      </x:c>
      <x:c r="C2727" s="33" t="str">
        <x:v>Evidence Required=Dispensing Label Sample; Evidence Type=Document; Mandatory=Yes; Retention Category=Operational; Remarks=Verify mandatory label contents.</x:v>
      </x:c>
      <x:c r="D2727" s="33" t="str">
        <x:v>Evidence Required=Documentary and transaction evidence demonstrating: If operating in an e-commerce role, display required identity/seller information, appoint the prescribed grievance/nodal contact and operate the complaint mechanism under Rules 4-5.; Evidence Type=Record; Mandatory=Yes; Retention Category=Applicable statutory / operational period; Remarks=P-4 aligned to the normalized parent audit; legacy Evidence ID preserved.</x:v>
      </x:c>
      <x:c r="E2727" s="33" t="str">
        <x:v>CORRECT / RECLASSIFY</x:v>
      </x:c>
      <x:c r="F2727" s="33" t="str">
        <x:v>Quarantine inactive descendants and align existing evidence to normalized audits.</x:v>
      </x:c>
      <x:c r="G2727" s="33" t="str">
        <x:v>P-4 execution-chain reconciliation</x:v>
      </x:c>
      <x:c r="H2727" s="33" t="str">
        <x:v>P-4</x:v>
      </x:c>
      <x:c r="I2727" s="33" t="str">
        <x:v>P-4</x:v>
      </x:c>
      <x:c r="J2727" s="33" t="str">
        <x:v>2026-08-20</x:v>
      </x:c>
      <x:c r="K2727" s="33" t="str">
        <x:v>Evidence IDs preserved and aligned.</x:v>
      </x:c>
    </x:row>
    <x:row r="2728">
      <x:c r="A2728" s="33" t="str">
        <x:v>EVD191</x:v>
      </x:c>
      <x:c r="B2728" s="33" t="str">
        <x:v>Evidence Master</x:v>
      </x:c>
      <x:c r="C2728" s="33" t="str">
        <x:v>Evidence Required=Label Printing SOP; Evidence Type=SOP; Mandatory=Yes; Retention Category=Operational; Remarks=Standard labelling procedure.</x:v>
      </x:c>
      <x:c r="D2728" s="33" t="str">
        <x:v>Evidence Required=Documentary and transaction evidence demonstrating: If operating in an e-commerce role, display required identity/seller information, appoint the prescribed grievance/nodal contact and operate the complaint mechanism under Rules 4-5.; Evidence Type=Record; Mandatory=Yes; Retention Category=Applicable statutory / operational period; Remarks=P-4 aligned to the normalized parent audit; legacy Evidence ID preserved.</x:v>
      </x:c>
      <x:c r="E2728" s="33" t="str">
        <x:v>CORRECT / RECLASSIFY</x:v>
      </x:c>
      <x:c r="F2728" s="33" t="str">
        <x:v>Quarantine inactive descendants and align existing evidence to normalized audits.</x:v>
      </x:c>
      <x:c r="G2728" s="33" t="str">
        <x:v>P-4 execution-chain reconciliation</x:v>
      </x:c>
      <x:c r="H2728" s="33" t="str">
        <x:v>P-4</x:v>
      </x:c>
      <x:c r="I2728" s="33" t="str">
        <x:v>P-4</x:v>
      </x:c>
      <x:c r="J2728" s="33" t="str">
        <x:v>2026-08-20</x:v>
      </x:c>
      <x:c r="K2728" s="33" t="str">
        <x:v>Evidence IDs preserved and aligned.</x:v>
      </x:c>
    </x:row>
    <x:row r="2729">
      <x:c r="A2729" s="33" t="str">
        <x:v>EVD192</x:v>
      </x:c>
      <x:c r="B2729" s="33" t="str">
        <x:v>Evidence Master</x:v>
      </x:c>
      <x:c r="C2729" s="33" t="str">
        <x:v>Evidence Required=Partial Dispensing Register; Evidence Type=Register; Mandatory=Yes; Retention Category=Statutory; Remarks=Applicable for partial dispensing.</x:v>
      </x:c>
      <x:c r="D2729" s="33" t="str">
        <x:v>Evidence Required=Documentary and transaction evidence demonstrating: Where a regulated weighing/measuring instrument is used, obtain verification/stamping and keep it valid before transactional use.; Evidence Type=Record; Mandatory=Yes; Retention Category=Applicable statutory / operational period; Remarks=P-4 aligned to the normalized parent audit; legacy Evidence ID preserved.</x:v>
      </x:c>
      <x:c r="E2729" s="33" t="str">
        <x:v>CORRECT / RECLASSIFY</x:v>
      </x:c>
      <x:c r="F2729" s="33" t="str">
        <x:v>Quarantine inactive descendants and align existing evidence to normalized audits.</x:v>
      </x:c>
      <x:c r="G2729" s="33" t="str">
        <x:v>P-4 execution-chain reconciliation</x:v>
      </x:c>
      <x:c r="H2729" s="33" t="str">
        <x:v>P-4</x:v>
      </x:c>
      <x:c r="I2729" s="33" t="str">
        <x:v>P-4</x:v>
      </x:c>
      <x:c r="J2729" s="33" t="str">
        <x:v>2026-08-20</x:v>
      </x:c>
      <x:c r="K2729" s="33" t="str">
        <x:v>Evidence IDs preserved and aligned.</x:v>
      </x:c>
    </x:row>
    <x:row r="2730">
      <x:c r="A2730" s="33" t="str">
        <x:v>EVD193</x:v>
      </x:c>
      <x:c r="B2730" s="33" t="str">
        <x:v>Evidence Master</x:v>
      </x:c>
      <x:c r="C2730" s="33" t="str">
        <x:v>Evidence Required=Balance Supply Record; Evidence Type=Record; Mandatory=Yes; Retention Category=Operational; Remarks=Trace remaining quantity supplied.</x:v>
      </x:c>
      <x:c r="D2730" s="33" t="str">
        <x:v>Evidence Required=Documentary and transaction evidence demonstrating: Where a regulated weighing/measuring instrument is used, obtain verification/stamping and keep it valid before transactional use.; Evidence Type=Record; Mandatory=Yes; Retention Category=Applicable statutory / operational period; Remarks=P-4 aligned to the normalized parent audit; legacy Evidence ID preserved.</x:v>
      </x:c>
      <x:c r="E2730" s="33" t="str">
        <x:v>CORRECT / RECLASSIFY</x:v>
      </x:c>
      <x:c r="F2730" s="33" t="str">
        <x:v>Quarantine inactive descendants and align existing evidence to normalized audits.</x:v>
      </x:c>
      <x:c r="G2730" s="33" t="str">
        <x:v>P-4 execution-chain reconciliation</x:v>
      </x:c>
      <x:c r="H2730" s="33" t="str">
        <x:v>P-4</x:v>
      </x:c>
      <x:c r="I2730" s="33" t="str">
        <x:v>P-4</x:v>
      </x:c>
      <x:c r="J2730" s="33" t="str">
        <x:v>2026-08-20</x:v>
      </x:c>
      <x:c r="K2730" s="33" t="str">
        <x:v>Evidence IDs preserved and aligned.</x:v>
      </x:c>
    </x:row>
    <x:row r="2731">
      <x:c r="A2731" s="33" t="str">
        <x:v>EVD194</x:v>
      </x:c>
      <x:c r="B2731" s="33" t="str">
        <x:v>Evidence Master</x:v>
      </x:c>
      <x:c r="C2731" s="33" t="str">
        <x:v>Evidence Required=Medicine Substitution Approval Record; Evidence Type=Approval; Mandatory=Yes; Retention Category=Permanent; Remarks=Pharmacist authorization required.</x:v>
      </x:c>
      <x:c r="D2731" s="33" t="str">
        <x:v>Evidence Required=Documentary and transaction evidence demonstrating: Do not use a non-standard or required-but-unverified weight/measure; retain the verification certificate/stamp evidence.; Evidence Type=Record; Mandatory=Yes; Retention Category=Applicable statutory / operational period; Remarks=P-4 aligned to the normalized parent audit; legacy Evidence ID preserved.</x:v>
      </x:c>
      <x:c r="E2731" s="33" t="str">
        <x:v>CORRECT / RECLASSIFY</x:v>
      </x:c>
      <x:c r="F2731" s="33" t="str">
        <x:v>Quarantine inactive descendants and align existing evidence to normalized audits.</x:v>
      </x:c>
      <x:c r="G2731" s="33" t="str">
        <x:v>P-4 execution-chain reconciliation</x:v>
      </x:c>
      <x:c r="H2731" s="33" t="str">
        <x:v>P-4</x:v>
      </x:c>
      <x:c r="I2731" s="33" t="str">
        <x:v>P-4</x:v>
      </x:c>
      <x:c r="J2731" s="33" t="str">
        <x:v>2026-08-20</x:v>
      </x:c>
      <x:c r="K2731" s="33" t="str">
        <x:v>Evidence IDs preserved and aligned.</x:v>
      </x:c>
    </x:row>
    <x:row r="2732">
      <x:c r="A2732" s="33" t="str">
        <x:v>EVD195</x:v>
      </x:c>
      <x:c r="B2732" s="33" t="str">
        <x:v>Evidence Master</x:v>
      </x:c>
      <x:c r="C2732" s="33" t="str">
        <x:v>Evidence Required=Substitution SOP; Evidence Type=SOP; Mandatory=Yes; Retention Category=Operational; Remarks=Approved substitution procedure.</x:v>
      </x:c>
      <x:c r="D2732" s="33" t="str">
        <x:v>Evidence Required=Documentary and transaction evidence demonstrating: Do not use a non-standard or required-but-unverified weight/measure; retain the verification certificate/stamp evidence.; Evidence Type=Record; Mandatory=Yes; Retention Category=Applicable statutory / operational period; Remarks=P-4 aligned to the normalized parent audit; legacy Evidence ID preserved.</x:v>
      </x:c>
      <x:c r="E2732" s="33" t="str">
        <x:v>CORRECT / RECLASSIFY</x:v>
      </x:c>
      <x:c r="F2732" s="33" t="str">
        <x:v>Quarantine inactive descendants and align existing evidence to normalized audits.</x:v>
      </x:c>
      <x:c r="G2732" s="33" t="str">
        <x:v>P-4 execution-chain reconciliation</x:v>
      </x:c>
      <x:c r="H2732" s="33" t="str">
        <x:v>P-4</x:v>
      </x:c>
      <x:c r="I2732" s="33" t="str">
        <x:v>P-4</x:v>
      </x:c>
      <x:c r="J2732" s="33" t="str">
        <x:v>2026-08-20</x:v>
      </x:c>
      <x:c r="K2732" s="33" t="str">
        <x:v>Evidence IDs preserved and aligned.</x:v>
      </x:c>
    </x:row>
    <x:row r="2733">
      <x:c r="A2733" s="33" t="str">
        <x:v>EVD196</x:v>
      </x:c>
      <x:c r="B2733" s="33" t="str">
        <x:v>Evidence Master</x:v>
      </x:c>
      <x:c r="C2733" s="33" t="str">
        <x:v>Evidence Required=Dispensing Error Register; Evidence Type=Register; Mandatory=Yes; Retention Category=Statutory; Remarks=Mandatory incident documentation.</x:v>
      </x:c>
      <x:c r="D2733" s="33" t="str">
        <x:v>Evidence Required=Documentary and transaction evidence demonstrating: Permit lawful legal-metrology inspection and produce the covered instrument and records when required by an authorised officer.; Evidence Type=Record; Mandatory=Yes; Retention Category=Applicable statutory / operational period; Remarks=P-4 aligned to the normalized parent audit; legacy Evidence ID preserved.</x:v>
      </x:c>
      <x:c r="E2733" s="33" t="str">
        <x:v>CORRECT / RECLASSIFY</x:v>
      </x:c>
      <x:c r="F2733" s="33" t="str">
        <x:v>Quarantine inactive descendants and align existing evidence to normalized audits.</x:v>
      </x:c>
      <x:c r="G2733" s="33" t="str">
        <x:v>P-4 execution-chain reconciliation</x:v>
      </x:c>
      <x:c r="H2733" s="33" t="str">
        <x:v>P-4</x:v>
      </x:c>
      <x:c r="I2733" s="33" t="str">
        <x:v>P-4</x:v>
      </x:c>
      <x:c r="J2733" s="33" t="str">
        <x:v>2026-08-20</x:v>
      </x:c>
      <x:c r="K2733" s="33" t="str">
        <x:v>Evidence IDs preserved and aligned.</x:v>
      </x:c>
    </x:row>
    <x:row r="2734">
      <x:c r="A2734" s="33" t="str">
        <x:v>EVD197</x:v>
      </x:c>
      <x:c r="B2734" s="33" t="str">
        <x:v>Evidence Master</x:v>
      </x:c>
      <x:c r="C2734" s="33" t="str">
        <x:v>Evidence Required=Dispensing Error Investigation Report; Evidence Type=Report; Mandatory=Yes; Retention Category=Operational; Remarks=Root cause analysis.</x:v>
      </x:c>
      <x:c r="D2734" s="33" t="str">
        <x:v>Evidence Required=Documentary and transaction evidence demonstrating: Permit lawful legal-metrology inspection and produce the covered instrument and records when required by an authorised officer.; Evidence Type=Record; Mandatory=Yes; Retention Category=Applicable statutory / operational period; Remarks=P-4 aligned to the normalized parent audit; legacy Evidence ID preserved.</x:v>
      </x:c>
      <x:c r="E2734" s="33" t="str">
        <x:v>CORRECT / RECLASSIFY</x:v>
      </x:c>
      <x:c r="F2734" s="33" t="str">
        <x:v>Quarantine inactive descendants and align existing evidence to normalized audits.</x:v>
      </x:c>
      <x:c r="G2734" s="33" t="str">
        <x:v>P-4 execution-chain reconciliation</x:v>
      </x:c>
      <x:c r="H2734" s="33" t="str">
        <x:v>P-4</x:v>
      </x:c>
      <x:c r="I2734" s="33" t="str">
        <x:v>P-4</x:v>
      </x:c>
      <x:c r="J2734" s="33" t="str">
        <x:v>2026-08-20</x:v>
      </x:c>
      <x:c r="K2734" s="33" t="str">
        <x:v>Evidence IDs preserved and aligned.</x:v>
      </x:c>
    </x:row>
    <x:row r="2735">
      <x:c r="A2735" s="33" t="str">
        <x:v>EVD198</x:v>
      </x:c>
      <x:c r="B2735" s="33" t="str">
        <x:v>Evidence Master</x:v>
      </x:c>
      <x:c r="C2735" s="33" t="str">
        <x:v>Evidence Required=Returned Medicine Register; Evidence Type=Register; Mandatory=Yes; Retention Category=Statutory; Remarks=Customer returns documented.</x:v>
      </x:c>
      <x:c r="D2735" s="33" t="str">
        <x:v>Evidence Required=Documentary and transaction evidence demonstrating: Do not sell, distribute, deliver, display or store for sale a pre-packaged commodity unless the package complies with the Act and Rules.; Evidence Type=Record; Mandatory=Yes; Retention Category=Applicable statutory / operational period; Remarks=P-4 aligned to the normalized parent audit; legacy Evidence ID preserved.</x:v>
      </x:c>
      <x:c r="E2735" s="33" t="str">
        <x:v>CORRECT / RECLASSIFY</x:v>
      </x:c>
      <x:c r="F2735" s="33" t="str">
        <x:v>Quarantine inactive descendants and align existing evidence to normalized audits.</x:v>
      </x:c>
      <x:c r="G2735" s="33" t="str">
        <x:v>P-4 execution-chain reconciliation</x:v>
      </x:c>
      <x:c r="H2735" s="33" t="str">
        <x:v>P-4</x:v>
      </x:c>
      <x:c r="I2735" s="33" t="str">
        <x:v>P-4</x:v>
      </x:c>
      <x:c r="J2735" s="33" t="str">
        <x:v>2026-08-20</x:v>
      </x:c>
      <x:c r="K2735" s="33" t="str">
        <x:v>Evidence IDs preserved and aligned.</x:v>
      </x:c>
    </x:row>
    <x:row r="2736">
      <x:c r="A2736" s="33" t="str">
        <x:v>EVD199</x:v>
      </x:c>
      <x:c r="B2736" s="33" t="str">
        <x:v>Evidence Master</x:v>
      </x:c>
      <x:c r="C2736" s="33" t="str">
        <x:v>Evidence Required=Returned Medicine Disposal Record; Evidence Type=Record; Mandatory=Yes; Retention Category=Operational; Remarks=Final disposition documented.</x:v>
      </x:c>
      <x:c r="D2736" s="33" t="str">
        <x:v>Evidence Required=Documentary and transaction evidence demonstrating: Do not sell, distribute, deliver, display or store for sale a pre-packaged commodity unless the package complies with the Act and Rules.; Evidence Type=Record; Mandatory=Yes; Retention Category=Applicable statutory / operational period; Remarks=P-4 aligned to the normalized parent audit; legacy Evidence ID preserved.</x:v>
      </x:c>
      <x:c r="E2736" s="33" t="str">
        <x:v>CORRECT / RECLASSIFY</x:v>
      </x:c>
      <x:c r="F2736" s="33" t="str">
        <x:v>Quarantine inactive descendants and align existing evidence to normalized audits.</x:v>
      </x:c>
      <x:c r="G2736" s="33" t="str">
        <x:v>P-4 execution-chain reconciliation</x:v>
      </x:c>
      <x:c r="H2736" s="33" t="str">
        <x:v>P-4</x:v>
      </x:c>
      <x:c r="I2736" s="33" t="str">
        <x:v>P-4</x:v>
      </x:c>
      <x:c r="J2736" s="33" t="str">
        <x:v>2026-08-20</x:v>
      </x:c>
      <x:c r="K2736" s="33" t="str">
        <x:v>Evidence IDs preserved and aligned.</x:v>
      </x:c>
    </x:row>
    <x:row r="2737">
      <x:c r="A2737" s="33" t="str">
        <x:v>EVD200</x:v>
      </x:c>
      <x:c r="B2737" s="33" t="str">
        <x:v>Evidence Master</x:v>
      </x:c>
      <x:c r="C2737" s="33" t="str">
        <x:v>Evidence Required=Prescription Validity Verification Checklist; Evidence Type=Prescription; Mandatory=Yes; Retention Category=Transactional; Remarks=Verify prescription validity.</x:v>
      </x:c>
      <x:c r="D2737" s="33" t="str">
        <x:v>Evidence Required=Documentary and transaction evidence demonstrating: Do not sell an applicable packaged commodity above its declared retail sale price.; Evidence Type=Record; Mandatory=Yes; Retention Category=Applicable statutory / operational period; Remarks=P-4 aligned to the normalized parent audit; legacy Evidence ID preserved.</x:v>
      </x:c>
      <x:c r="E2737" s="33" t="str">
        <x:v>CORRECT / RECLASSIFY</x:v>
      </x:c>
      <x:c r="F2737" s="33" t="str">
        <x:v>Quarantine inactive descendants and align existing evidence to normalized audits.</x:v>
      </x:c>
      <x:c r="G2737" s="33" t="str">
        <x:v>P-4 execution-chain reconciliation</x:v>
      </x:c>
      <x:c r="H2737" s="33" t="str">
        <x:v>P-4</x:v>
      </x:c>
      <x:c r="I2737" s="33" t="str">
        <x:v>P-4</x:v>
      </x:c>
      <x:c r="J2737" s="33" t="str">
        <x:v>2026-08-20</x:v>
      </x:c>
      <x:c r="K2737" s="33" t="str">
        <x:v>Evidence IDs preserved and aligned.</x:v>
      </x:c>
    </x:row>
    <x:row r="2738">
      <x:c r="A2738" s="33" t="str">
        <x:v>EVD201</x:v>
      </x:c>
      <x:c r="B2738" s="33" t="str">
        <x:v>Evidence Master</x:v>
      </x:c>
      <x:c r="C2738" s="33" t="str">
        <x:v>Evidence Required=Expired Prescription Register; Evidence Type=Prescription; Mandatory=No; Retention Category=Transactional; Remarks=Maintain rejected prescriptions.</x:v>
      </x:c>
      <x:c r="D2738" s="33" t="str">
        <x:v>Evidence Required=Documentary and transaction evidence demonstrating: Do not sell an applicable packaged commodity above its declared retail sale price.; Evidence Type=Record; Mandatory=Yes; Retention Category=Applicable statutory / operational period; Remarks=P-4 aligned to the normalized parent audit; legacy Evidence ID preserved.</x:v>
      </x:c>
      <x:c r="E2738" s="33" t="str">
        <x:v>CORRECT / RECLASSIFY</x:v>
      </x:c>
      <x:c r="F2738" s="33" t="str">
        <x:v>Quarantine inactive descendants and align existing evidence to normalized audits.</x:v>
      </x:c>
      <x:c r="G2738" s="33" t="str">
        <x:v>P-4 execution-chain reconciliation</x:v>
      </x:c>
      <x:c r="H2738" s="33" t="str">
        <x:v>P-4</x:v>
      </x:c>
      <x:c r="I2738" s="33" t="str">
        <x:v>P-4</x:v>
      </x:c>
      <x:c r="J2738" s="33" t="str">
        <x:v>2026-08-20</x:v>
      </x:c>
      <x:c r="K2738" s="33" t="str">
        <x:v>Evidence IDs preserved and aligned.</x:v>
      </x:c>
    </x:row>
    <x:row r="2739">
      <x:c r="A2739" s="33" t="str">
        <x:v>EVD202</x:v>
      </x:c>
      <x:c r="B2739" s="33" t="str">
        <x:v>Evidence Master</x:v>
      </x:c>
      <x:c r="C2739" s="33" t="str">
        <x:v>Evidence Required=Dispensing Software Audit Trail; Evidence Type=Digital Record; Mandatory=Yes; Retention Category=Operational; Remarks=Electronic transaction history.</x:v>
      </x:c>
      <x:c r="D2739" s="33" t="str">
        <x:v>Evidence Required=Documentary and transaction evidence demonstrating: For e-commerce sale of applicable pre-packaged commodities, display the prescribed Rule 6 declarations on the digital/electronic network.; Evidence Type=Record; Mandatory=Yes; Retention Category=Applicable statutory / operational period; Remarks=P-4 aligned to the normalized parent audit; legacy Evidence ID preserved.</x:v>
      </x:c>
      <x:c r="E2739" s="33" t="str">
        <x:v>CORRECT / RECLASSIFY</x:v>
      </x:c>
      <x:c r="F2739" s="33" t="str">
        <x:v>Quarantine inactive descendants and align existing evidence to normalized audits.</x:v>
      </x:c>
      <x:c r="G2739" s="33" t="str">
        <x:v>P-4 execution-chain reconciliation</x:v>
      </x:c>
      <x:c r="H2739" s="33" t="str">
        <x:v>P-4</x:v>
      </x:c>
      <x:c r="I2739" s="33" t="str">
        <x:v>P-4</x:v>
      </x:c>
      <x:c r="J2739" s="33" t="str">
        <x:v>2026-08-20</x:v>
      </x:c>
      <x:c r="K2739" s="33" t="str">
        <x:v>Evidence IDs preserved and aligned.</x:v>
      </x:c>
    </x:row>
    <x:row r="2740">
      <x:c r="A2740" s="33" t="str">
        <x:v>EVD203</x:v>
      </x:c>
      <x:c r="B2740" s="33" t="str">
        <x:v>Evidence Master</x:v>
      </x:c>
      <x:c r="C2740" s="33" t="str">
        <x:v>Evidence Required=User Access Report; Evidence Type=Digital Record; Mandatory=Yes; Retention Category=Operational; Remarks=Authorized system users only.</x:v>
      </x:c>
      <x:c r="D2740" s="33" t="str">
        <x:v>Evidence Required=Documentary and transaction evidence demonstrating: For e-commerce sale of applicable pre-packaged commodities, display the prescribed Rule 6 declarations on the digital/electronic network.; Evidence Type=Record; Mandatory=Yes; Retention Category=Applicable statutory / operational period; Remarks=P-4 aligned to the normalized parent audit; legacy Evidence ID preserved.</x:v>
      </x:c>
      <x:c r="E2740" s="33" t="str">
        <x:v>CORRECT / RECLASSIFY</x:v>
      </x:c>
      <x:c r="F2740" s="33" t="str">
        <x:v>Quarantine inactive descendants and align existing evidence to normalized audits.</x:v>
      </x:c>
      <x:c r="G2740" s="33" t="str">
        <x:v>P-4 execution-chain reconciliation</x:v>
      </x:c>
      <x:c r="H2740" s="33" t="str">
        <x:v>P-4</x:v>
      </x:c>
      <x:c r="I2740" s="33" t="str">
        <x:v>P-4</x:v>
      </x:c>
      <x:c r="J2740" s="33" t="str">
        <x:v>2026-08-20</x:v>
      </x:c>
      <x:c r="K2740" s="33" t="str">
        <x:v>Evidence IDs preserved and aligned.</x:v>
      </x:c>
    </x:row>
    <x:row r="2741">
      <x:c r="A2741" s="33" t="str">
        <x:v>EVD204</x:v>
      </x:c>
      <x:c r="B2741" s="33" t="str">
        <x:v>Evidence Master</x:v>
      </x:c>
      <x:c r="C2741" s="33" t="str">
        <x:v>Evidence Required=Dispensing Register; Evidence Type=Register; Mandatory=Yes; Retention Category=Statutory; Remarks=Complete dispensing records.</x:v>
      </x:c>
      <x:c r="D2741" s="33" t="str">
        <x:v>Evidence Required=Documentary and transaction evidence demonstrating: If handling SPDI, publish the prescribed privacy policy and operate a documented reasonable-security programme/standard with periodic review.; Evidence Type=Record; Mandatory=Yes; Retention Category=Applicable statutory / operational period; Remarks=P-4 aligned to the normalized parent audit; legacy Evidence ID preserved.</x:v>
      </x:c>
      <x:c r="E2741" s="33" t="str">
        <x:v>CORRECT / RECLASSIFY</x:v>
      </x:c>
      <x:c r="F2741" s="33" t="str">
        <x:v>Quarantine inactive descendants and align existing evidence to normalized audits.</x:v>
      </x:c>
      <x:c r="G2741" s="33" t="str">
        <x:v>P-4 execution-chain reconciliation</x:v>
      </x:c>
      <x:c r="H2741" s="33" t="str">
        <x:v>P-4</x:v>
      </x:c>
      <x:c r="I2741" s="33" t="str">
        <x:v>P-4</x:v>
      </x:c>
      <x:c r="J2741" s="33" t="str">
        <x:v>2026-08-20</x:v>
      </x:c>
      <x:c r="K2741" s="33" t="str">
        <x:v>Evidence IDs preserved and aligned.</x:v>
      </x:c>
    </x:row>
    <x:row r="2742">
      <x:c r="A2742" s="33" t="str">
        <x:v>EVD205</x:v>
      </x:c>
      <x:c r="B2742" s="33" t="str">
        <x:v>Evidence Master</x:v>
      </x:c>
      <x:c r="C2742" s="33" t="str">
        <x:v>Evidence Required=Daily Dispensing Report; Evidence Type=Digital Record; Mandatory=No; Retention Category=Operational; Remarks=Electronic report where available.</x:v>
      </x:c>
      <x:c r="D2742" s="33" t="str">
        <x:v>Evidence Required=Documentary and transaction evidence demonstrating: If handling SPDI, publish the prescribed privacy policy and operate a documented reasonable-security programme/standard with periodic review.; Evidence Type=Record; Mandatory=Yes; Retention Category=Applicable statutory / operational period; Remarks=P-4 aligned to the normalized parent audit; legacy Evidence ID preserved.</x:v>
      </x:c>
      <x:c r="E2742" s="33" t="str">
        <x:v>CORRECT / RECLASSIFY</x:v>
      </x:c>
      <x:c r="F2742" s="33" t="str">
        <x:v>Quarantine inactive descendants and align existing evidence to normalized audits.</x:v>
      </x:c>
      <x:c r="G2742" s="33" t="str">
        <x:v>P-4 execution-chain reconciliation</x:v>
      </x:c>
      <x:c r="H2742" s="33" t="str">
        <x:v>P-4</x:v>
      </x:c>
      <x:c r="I2742" s="33" t="str">
        <x:v>P-4</x:v>
      </x:c>
      <x:c r="J2742" s="33" t="str">
        <x:v>2026-08-20</x:v>
      </x:c>
      <x:c r="K2742" s="33" t="str">
        <x:v>Evidence IDs preserved and aligned.</x:v>
      </x:c>
    </x:row>
    <x:row r="2743">
      <x:c r="A2743" s="33" t="str">
        <x:v>EVD206</x:v>
      </x:c>
      <x:c r="B2743" s="33" t="str">
        <x:v>Evidence Master</x:v>
      </x:c>
      <x:c r="C2743" s="33" t="str">
        <x:v>Evidence Required=Patient Confidentiality Agreement; Evidence Type=Agreement; Mandatory=Yes; Retention Category=Operational; Remarks=Signed by pharmacy staff.</x:v>
      </x:c>
      <x:c r="D2743" s="33" t="str">
        <x:v>Evidence Required=Documentary and transaction evidence demonstrating: For SPDI, obtain consent, give required collection information, limit purpose/retention and provide review/correction mechanisms.; Evidence Type=Record; Mandatory=Yes; Retention Category=Applicable statutory / operational period; Remarks=P-4 aligned to the normalized parent audit; legacy Evidence ID preserved.</x:v>
      </x:c>
      <x:c r="E2743" s="33" t="str">
        <x:v>CORRECT / RECLASSIFY</x:v>
      </x:c>
      <x:c r="F2743" s="33" t="str">
        <x:v>Quarantine inactive descendants and align existing evidence to normalized audits.</x:v>
      </x:c>
      <x:c r="G2743" s="33" t="str">
        <x:v>P-4 execution-chain reconciliation</x:v>
      </x:c>
      <x:c r="H2743" s="33" t="str">
        <x:v>P-4</x:v>
      </x:c>
      <x:c r="I2743" s="33" t="str">
        <x:v>P-4</x:v>
      </x:c>
      <x:c r="J2743" s="33" t="str">
        <x:v>2026-08-20</x:v>
      </x:c>
      <x:c r="K2743" s="33" t="str">
        <x:v>Evidence IDs preserved and aligned.</x:v>
      </x:c>
    </x:row>
    <x:row r="2744">
      <x:c r="A2744" s="33" t="str">
        <x:v>EVD207</x:v>
      </x:c>
      <x:c r="B2744" s="33" t="str">
        <x:v>Evidence Master</x:v>
      </x:c>
      <x:c r="C2744" s="33" t="str">
        <x:v>Evidence Required=Patient Record Access Log; Evidence Type=Log Book; Mandatory=Yes; Retention Category=Operational; Remarks=Access monitoring evidence.</x:v>
      </x:c>
      <x:c r="D2744" s="33" t="str">
        <x:v>Evidence Required=Documentary and transaction evidence demonstrating: For SPDI, obtain consent, give required collection information, limit purpose/retention and provide review/correction mechanisms.; Evidence Type=Record; Mandatory=Yes; Retention Category=Applicable statutory / operational period; Remarks=P-4 aligned to the normalized parent audit; legacy Evidence ID preserved.</x:v>
      </x:c>
      <x:c r="E2744" s="33" t="str">
        <x:v>CORRECT / RECLASSIFY</x:v>
      </x:c>
      <x:c r="F2744" s="33" t="str">
        <x:v>Quarantine inactive descendants and align existing evidence to normalized audits.</x:v>
      </x:c>
      <x:c r="G2744" s="33" t="str">
        <x:v>P-4 execution-chain reconciliation</x:v>
      </x:c>
      <x:c r="H2744" s="33" t="str">
        <x:v>P-4</x:v>
      </x:c>
      <x:c r="I2744" s="33" t="str">
        <x:v>P-4</x:v>
      </x:c>
      <x:c r="J2744" s="33" t="str">
        <x:v>2026-08-20</x:v>
      </x:c>
      <x:c r="K2744" s="33" t="str">
        <x:v>Evidence IDs preserved and aligned.</x:v>
      </x:c>
    </x:row>
    <x:row r="2745">
      <x:c r="A2745" s="33" t="str">
        <x:v>EVD208</x:v>
      </x:c>
      <x:c r="B2745" s="33" t="str">
        <x:v>Evidence Master</x:v>
      </x:c>
      <x:c r="C2745" s="33" t="str">
        <x:v>Evidence Required=Dispensing SOP; Evidence Type=SOP; Mandatory=Yes; Retention Category=Operational; Remarks=Approved dispensing procedure.</x:v>
      </x:c>
      <x:c r="D2745" s="33" t="str">
        <x:v>Evidence Required=Documentary and transaction evidence demonstrating: Do not disclose SPDI without prior permission unless a Rule 6 exception applies; prevent unlawful contractual disclosure.; Evidence Type=Record; Mandatory=Yes; Retention Category=Applicable statutory / operational period; Remarks=P-4 aligned to the normalized parent audit; legacy Evidence ID preserved.</x:v>
      </x:c>
      <x:c r="E2745" s="33" t="str">
        <x:v>CORRECT / RECLASSIFY</x:v>
      </x:c>
      <x:c r="F2745" s="33" t="str">
        <x:v>Quarantine inactive descendants and align existing evidence to normalized audits.</x:v>
      </x:c>
      <x:c r="G2745" s="33" t="str">
        <x:v>P-4 execution-chain reconciliation</x:v>
      </x:c>
      <x:c r="H2745" s="33" t="str">
        <x:v>P-4</x:v>
      </x:c>
      <x:c r="I2745" s="33" t="str">
        <x:v>P-4</x:v>
      </x:c>
      <x:c r="J2745" s="33" t="str">
        <x:v>2026-08-20</x:v>
      </x:c>
      <x:c r="K2745" s="33" t="str">
        <x:v>Evidence IDs preserved and aligned.</x:v>
      </x:c>
    </x:row>
    <x:row r="2746">
      <x:c r="A2746" s="33" t="str">
        <x:v>EVD209</x:v>
      </x:c>
      <x:c r="B2746" s="33" t="str">
        <x:v>Evidence Master</x:v>
      </x:c>
      <x:c r="C2746" s="33" t="str">
        <x:v>Evidence Required=Dispensing Training Record; Evidence Type=Training Record; Mandatory=Yes; Retention Category=Operational; Remarks=Staff trained on SOP.</x:v>
      </x:c>
      <x:c r="D2746" s="33" t="str">
        <x:v>Evidence Required=Documentary and transaction evidence demonstrating: Do not disclose SPDI without prior permission unless a Rule 6 exception applies; prevent unlawful contractual disclosure.; Evidence Type=Record; Mandatory=Yes; Retention Category=Applicable statutory / operational period; Remarks=P-4 aligned to the normalized parent audit; legacy Evidence ID preserved.</x:v>
      </x:c>
      <x:c r="E2746" s="33" t="str">
        <x:v>CORRECT / RECLASSIFY</x:v>
      </x:c>
      <x:c r="F2746" s="33" t="str">
        <x:v>Quarantine inactive descendants and align existing evidence to normalized audits.</x:v>
      </x:c>
      <x:c r="G2746" s="33" t="str">
        <x:v>P-4 execution-chain reconciliation</x:v>
      </x:c>
      <x:c r="H2746" s="33" t="str">
        <x:v>P-4</x:v>
      </x:c>
      <x:c r="I2746" s="33" t="str">
        <x:v>P-4</x:v>
      </x:c>
      <x:c r="J2746" s="33" t="str">
        <x:v>2026-08-20</x:v>
      </x:c>
      <x:c r="K2746" s="33" t="str">
        <x:v>Evidence IDs preserved and aligned.</x:v>
      </x:c>
    </x:row>
    <x:row r="2747">
      <x:c r="A2747" s="33" t="str">
        <x:v>EVD210</x:v>
      </x:c>
      <x:c r="B2747" s="33" t="str">
        <x:v>Evidence Master</x:v>
      </x:c>
      <x:c r="C2747" s="33" t="str">
        <x:v>Evidence Required=Dispensing Area Cleaning Log; Evidence Type=Log Book; Mandatory=Yes; Retention Category=Operational; Remarks=Hygiene maintenance evidence.</x:v>
      </x:c>
      <x:c r="D2747" s="33" t="str">
        <x:v>Evidence Required=Documentary and transaction evidence demonstrating: Apply intermediary due diligence only if the platform legally qualifies as an intermediary under current IT law.; Evidence Type=Record; Mandatory=Yes; Retention Category=Applicable statutory / operational period; Remarks=P-4 aligned to the normalized parent audit; legacy Evidence ID preserved.</x:v>
      </x:c>
      <x:c r="E2747" s="33" t="str">
        <x:v>CORRECT / RECLASSIFY</x:v>
      </x:c>
      <x:c r="F2747" s="33" t="str">
        <x:v>Quarantine inactive descendants and align existing evidence to normalized audits.</x:v>
      </x:c>
      <x:c r="G2747" s="33" t="str">
        <x:v>P-4 execution-chain reconciliation</x:v>
      </x:c>
      <x:c r="H2747" s="33" t="str">
        <x:v>P-4</x:v>
      </x:c>
      <x:c r="I2747" s="33" t="str">
        <x:v>P-4</x:v>
      </x:c>
      <x:c r="J2747" s="33" t="str">
        <x:v>2026-08-20</x:v>
      </x:c>
      <x:c r="K2747" s="33" t="str">
        <x:v>Evidence IDs preserved and aligned.</x:v>
      </x:c>
    </x:row>
    <x:row r="2748">
      <x:c r="A2748" s="33" t="str">
        <x:v>EVD211</x:v>
      </x:c>
      <x:c r="B2748" s="33" t="str">
        <x:v>Evidence Master</x:v>
      </x:c>
      <x:c r="C2748" s="33" t="str">
        <x:v>Evidence Required=Housekeeping Checklist; Evidence Type=Record; Mandatory=Yes; Retention Category=Operational; Remarks=Routine cleanliness verification.</x:v>
      </x:c>
      <x:c r="D2748" s="33" t="str">
        <x:v>Evidence Required=Documentary and transaction evidence demonstrating: Apply intermediary due diligence only if the platform legally qualifies as an intermediary under current IT law.; Evidence Type=Record; Mandatory=Yes; Retention Category=Applicable statutory / operational period; Remarks=P-4 aligned to the normalized parent audit; legacy Evidence ID preserved.</x:v>
      </x:c>
      <x:c r="E2748" s="33" t="str">
        <x:v>CORRECT / RECLASSIFY</x:v>
      </x:c>
      <x:c r="F2748" s="33" t="str">
        <x:v>Quarantine inactive descendants and align existing evidence to normalized audits.</x:v>
      </x:c>
      <x:c r="G2748" s="33" t="str">
        <x:v>P-4 execution-chain reconciliation</x:v>
      </x:c>
      <x:c r="H2748" s="33" t="str">
        <x:v>P-4</x:v>
      </x:c>
      <x:c r="I2748" s="33" t="str">
        <x:v>P-4</x:v>
      </x:c>
      <x:c r="J2748" s="33" t="str">
        <x:v>2026-08-20</x:v>
      </x:c>
      <x:c r="K2748" s="33" t="str">
        <x:v>Evidence IDs preserved and aligned.</x:v>
      </x:c>
    </x:row>
    <x:row r="2749">
      <x:c r="A2749" s="33" t="str">
        <x:v>EVD229</x:v>
      </x:c>
      <x:c r="B2749" s="33" t="str">
        <x:v>Evidence Master</x:v>
      </x:c>
      <x:c r="C2749" s="33" t="str">
        <x:v>Evidence Required=OTC Medicine Sales SOP; Evidence Type=SOP; Mandatory=Yes; Retention Category=Operational; Remarks=Approved procedure for OTC medicine sales.</x:v>
      </x:c>
      <x:c r="D2749" s="33" t="str">
        <x:v>Evidence Required=Documentary and transaction evidence demonstrating: Hold the applicable Drugs Rules sale licence or, for an exclusive medical-device seller without that licence, obtain and maintain Form MD-42 registration.; Evidence Type=Record; Mandatory=Yes; Retention Category=Applicable statutory / operational period; Remarks=P-4 aligned to the normalized parent audit; legacy Evidence ID preserved.</x:v>
      </x:c>
      <x:c r="E2749" s="33" t="str">
        <x:v>CORRECT / RECLASSIFY</x:v>
      </x:c>
      <x:c r="F2749" s="33" t="str">
        <x:v>Quarantine inactive descendants and align existing evidence to normalized audits.</x:v>
      </x:c>
      <x:c r="G2749" s="33" t="str">
        <x:v>P-4 execution-chain reconciliation</x:v>
      </x:c>
      <x:c r="H2749" s="33" t="str">
        <x:v>P-4</x:v>
      </x:c>
      <x:c r="I2749" s="33" t="str">
        <x:v>P-4</x:v>
      </x:c>
      <x:c r="J2749" s="33" t="str">
        <x:v>2026-08-20</x:v>
      </x:c>
      <x:c r="K2749" s="33" t="str">
        <x:v>Evidence IDs preserved and aligned.</x:v>
      </x:c>
    </x:row>
    <x:row r="2750">
      <x:c r="A2750" s="33" t="str">
        <x:v>EVD230</x:v>
      </x:c>
      <x:c r="B2750" s="33" t="str">
        <x:v>Evidence Master</x:v>
      </x:c>
      <x:c r="C2750" s="33" t="str">
        <x:v>Evidence Required=OTC Sales Register; Evidence Type=Sale Record; Mandatory=Yes; Retention Category=Transactional; Remarks=Record OTC medicine transactions where maintained.</x:v>
      </x:c>
      <x:c r="D2750" s="33" t="str">
        <x:v>Evidence Required=Documentary and transaction evidence demonstrating: Hold the applicable Drugs Rules sale licence or, for an exclusive medical-device seller without that licence, obtain and maintain Form MD-42 registration.; Evidence Type=Record; Mandatory=Yes; Retention Category=Applicable statutory / operational period; Remarks=P-4 aligned to the normalized parent audit; legacy Evidence ID preserved.</x:v>
      </x:c>
      <x:c r="E2750" s="33" t="str">
        <x:v>CORRECT / RECLASSIFY</x:v>
      </x:c>
      <x:c r="F2750" s="33" t="str">
        <x:v>Quarantine inactive descendants and align existing evidence to normalized audits.</x:v>
      </x:c>
      <x:c r="G2750" s="33" t="str">
        <x:v>P-4 execution-chain reconciliation</x:v>
      </x:c>
      <x:c r="H2750" s="33" t="str">
        <x:v>P-4</x:v>
      </x:c>
      <x:c r="I2750" s="33" t="str">
        <x:v>P-4</x:v>
      </x:c>
      <x:c r="J2750" s="33" t="str">
        <x:v>2026-08-20</x:v>
      </x:c>
      <x:c r="K2750" s="33" t="str">
        <x:v>Evidence IDs preserved and aligned.</x:v>
      </x:c>
    </x:row>
    <x:row r="2751">
      <x:c r="A2751" s="33" t="str">
        <x:v>EVD231</x:v>
      </x:c>
      <x:c r="B2751" s="33" t="str">
        <x:v>Evidence Master</x:v>
      </x:c>
      <x:c r="C2751" s="33" t="str">
        <x:v>Evidence Required=Restricted Medicine List; Evidence Type=Document; Mandatory=Yes; Retention Category=Operational; Remarks=Identify medicines not permitted for OTC sale.</x:v>
      </x:c>
      <x:c r="D2751" s="33" t="str">
        <x:v>Evidence Required=Documentary and transaction evidence demonstrating: Display the medical-device registration where applicable, maintain adequate premises and specified storage, and procure devices only from authorized sources.; Evidence Type=Record; Mandatory=Yes; Retention Category=Applicable statutory / operational period; Remarks=P-4 aligned to the normalized parent audit; legacy Evidence ID preserved.</x:v>
      </x:c>
      <x:c r="E2751" s="33" t="str">
        <x:v>CORRECT / RECLASSIFY</x:v>
      </x:c>
      <x:c r="F2751" s="33" t="str">
        <x:v>Quarantine inactive descendants and align existing evidence to normalized audits.</x:v>
      </x:c>
      <x:c r="G2751" s="33" t="str">
        <x:v>P-4 execution-chain reconciliation</x:v>
      </x:c>
      <x:c r="H2751" s="33" t="str">
        <x:v>P-4</x:v>
      </x:c>
      <x:c r="I2751" s="33" t="str">
        <x:v>P-4</x:v>
      </x:c>
      <x:c r="J2751" s="33" t="str">
        <x:v>2026-08-20</x:v>
      </x:c>
      <x:c r="K2751" s="33" t="str">
        <x:v>Evidence IDs preserved and aligned.</x:v>
      </x:c>
    </x:row>
    <x:row r="2752">
      <x:c r="A2752" s="33" t="str">
        <x:v>EVD232</x:v>
      </x:c>
      <x:c r="B2752" s="33" t="str">
        <x:v>Evidence Master</x:v>
      </x:c>
      <x:c r="C2752" s="33" t="str">
        <x:v>Evidence Required=Prescription Verification Record; Evidence Type=Prescription; Mandatory=Yes; Retention Category=Transactional; Remarks=Verify prescription before restricted medicine sale.</x:v>
      </x:c>
      <x:c r="D2752" s="33" t="str">
        <x:v>Evidence Required=Documentary and transaction evidence demonstrating: Display the medical-device registration where applicable, maintain adequate premises and specified storage, and procure devices only from authorized sources.; Evidence Type=Record; Mandatory=Yes; Retention Category=Applicable statutory / operational period; Remarks=P-4 aligned to the normalized parent audit; legacy Evidence ID preserved.</x:v>
      </x:c>
      <x:c r="E2752" s="33" t="str">
        <x:v>CORRECT / RECLASSIFY</x:v>
      </x:c>
      <x:c r="F2752" s="33" t="str">
        <x:v>Quarantine inactive descendants and align existing evidence to normalized audits.</x:v>
      </x:c>
      <x:c r="G2752" s="33" t="str">
        <x:v>P-4 execution-chain reconciliation</x:v>
      </x:c>
      <x:c r="H2752" s="33" t="str">
        <x:v>P-4</x:v>
      </x:c>
      <x:c r="I2752" s="33" t="str">
        <x:v>P-4</x:v>
      </x:c>
      <x:c r="J2752" s="33" t="str">
        <x:v>2026-08-20</x:v>
      </x:c>
      <x:c r="K2752" s="33" t="str">
        <x:v>Evidence IDs preserved and aligned.</x:v>
      </x:c>
    </x:row>
    <x:row r="2753">
      <x:c r="A2753" s="33" t="str">
        <x:v>EVD233</x:v>
      </x:c>
      <x:c r="B2753" s="33" t="str">
        <x:v>Evidence Master</x:v>
      </x:c>
      <x:c r="C2753" s="33" t="str">
        <x:v>Evidence Required=Patient Counselling Record for OTC Medicines; Evidence Type=Record; Mandatory=No; Retention Category=Operational; Remarks=Applicable where counselling is documented.</x:v>
      </x:c>
      <x:c r="D2753" s="33" t="str">
        <x:v>Evidence Required=Documentary and transaction evidence demonstrating: Maintain medical-device purchase and sale records, provide inspection access, retain records for two years, and maintain the prescribed inspection book.; Evidence Type=Record; Mandatory=Yes; Retention Category=Applicable statutory / operational period; Remarks=P-4 aligned to the normalized parent audit; legacy Evidence ID preserved.</x:v>
      </x:c>
      <x:c r="E2753" s="33" t="str">
        <x:v>CORRECT / RECLASSIFY</x:v>
      </x:c>
      <x:c r="F2753" s="33" t="str">
        <x:v>Quarantine inactive descendants and align existing evidence to normalized audits.</x:v>
      </x:c>
      <x:c r="G2753" s="33" t="str">
        <x:v>P-4 execution-chain reconciliation</x:v>
      </x:c>
      <x:c r="H2753" s="33" t="str">
        <x:v>P-4</x:v>
      </x:c>
      <x:c r="I2753" s="33" t="str">
        <x:v>P-4</x:v>
      </x:c>
      <x:c r="J2753" s="33" t="str">
        <x:v>2026-08-20</x:v>
      </x:c>
      <x:c r="K2753" s="33" t="str">
        <x:v>Evidence IDs preserved and aligned.</x:v>
      </x:c>
    </x:row>
    <x:row r="2754">
      <x:c r="A2754" s="33" t="str">
        <x:v>EVD234</x:v>
      </x:c>
      <x:c r="B2754" s="33" t="str">
        <x:v>Evidence Master</x:v>
      </x:c>
      <x:c r="C2754" s="33" t="str">
        <x:v>Evidence Required=OTC Patient Information Leaflet; Evidence Type=Document; Mandatory=No; Retention Category=Operational; Remarks=Supplementary patient guidance.</x:v>
      </x:c>
      <x:c r="D2754" s="33" t="str">
        <x:v>Evidence Required=Documentary and transaction evidence demonstrating: Maintain medical-device purchase and sale records, provide inspection access, retain records for two years, and maintain the prescribed inspection book.; Evidence Type=Record; Mandatory=Yes; Retention Category=Applicable statutory / operational period; Remarks=P-4 aligned to the normalized parent audit; legacy Evidence ID preserved.</x:v>
      </x:c>
      <x:c r="E2754" s="33" t="str">
        <x:v>CORRECT / RECLASSIFY</x:v>
      </x:c>
      <x:c r="F2754" s="33" t="str">
        <x:v>Quarantine inactive descendants and align existing evidence to normalized audits.</x:v>
      </x:c>
      <x:c r="G2754" s="33" t="str">
        <x:v>P-4 execution-chain reconciliation</x:v>
      </x:c>
      <x:c r="H2754" s="33" t="str">
        <x:v>P-4</x:v>
      </x:c>
      <x:c r="I2754" s="33" t="str">
        <x:v>P-4</x:v>
      </x:c>
      <x:c r="J2754" s="33" t="str">
        <x:v>2026-08-20</x:v>
      </x:c>
      <x:c r="K2754" s="33" t="str">
        <x:v>Evidence IDs preserved and aligned.</x:v>
      </x:c>
    </x:row>
    <x:row r="2755">
      <x:c r="A2755" s="33" t="str">
        <x:v>EVD235</x:v>
      </x:c>
      <x:c r="B2755" s="33" t="str">
        <x:v>Evidence Master</x:v>
      </x:c>
      <x:c r="C2755" s="33" t="str">
        <x:v>Evidence Required=Self-Medication Guidance SOP; Evidence Type=SOP; Mandatory=Yes; Retention Category=Operational; Remarks=Approved counselling procedure.</x:v>
      </x:c>
      <x:c r="D2755" s="33" t="str">
        <x:v>Evidence Required=Documentary and transaction evidence demonstrating: Pay the prescribed retention fee every five years to maintain perpetual validity of Form MD-42 registration.; Evidence Type=Record; Mandatory=Yes; Retention Category=Applicable statutory / operational period; Remarks=P-4 aligned to the normalized parent audit; legacy Evidence ID preserved.</x:v>
      </x:c>
      <x:c r="E2755" s="33" t="str">
        <x:v>CORRECT / RECLASSIFY</x:v>
      </x:c>
      <x:c r="F2755" s="33" t="str">
        <x:v>Quarantine inactive descendants and align existing evidence to normalized audits.</x:v>
      </x:c>
      <x:c r="G2755" s="33" t="str">
        <x:v>P-4 execution-chain reconciliation</x:v>
      </x:c>
      <x:c r="H2755" s="33" t="str">
        <x:v>P-4</x:v>
      </x:c>
      <x:c r="I2755" s="33" t="str">
        <x:v>P-4</x:v>
      </x:c>
      <x:c r="J2755" s="33" t="str">
        <x:v>2026-08-20</x:v>
      </x:c>
      <x:c r="K2755" s="33" t="str">
        <x:v>Evidence IDs preserved and aligned.</x:v>
      </x:c>
    </x:row>
    <x:row r="2756">
      <x:c r="A2756" s="33" t="str">
        <x:v>EVD236</x:v>
      </x:c>
      <x:c r="B2756" s="33" t="str">
        <x:v>Evidence Master</x:v>
      </x:c>
      <x:c r="C2756" s="33" t="str">
        <x:v>Evidence Required=Staff Training Record on OTC Counselling; Evidence Type=Training Record; Mandatory=Yes; Retention Category=Operational; Remarks=Training evidence.</x:v>
      </x:c>
      <x:c r="D2756" s="33" t="str">
        <x:v>Evidence Required=Documentary and transaction evidence demonstrating: Pay the prescribed retention fee every five years to maintain perpetual validity of Form MD-42 registration.; Evidence Type=Record; Mandatory=Yes; Retention Category=Applicable statutory / operational period; Remarks=P-4 aligned to the normalized parent audit; legacy Evidence ID preserved.</x:v>
      </x:c>
      <x:c r="E2756" s="33" t="str">
        <x:v>CORRECT / RECLASSIFY</x:v>
      </x:c>
      <x:c r="F2756" s="33" t="str">
        <x:v>Quarantine inactive descendants and align existing evidence to normalized audits.</x:v>
      </x:c>
      <x:c r="G2756" s="33" t="str">
        <x:v>P-4 execution-chain reconciliation</x:v>
      </x:c>
      <x:c r="H2756" s="33" t="str">
        <x:v>P-4</x:v>
      </x:c>
      <x:c r="I2756" s="33" t="str">
        <x:v>P-4</x:v>
      </x:c>
      <x:c r="J2756" s="33" t="str">
        <x:v>2026-08-20</x:v>
      </x:c>
      <x:c r="K2756" s="33" t="str">
        <x:v>Evidence IDs preserved and aligned.</x:v>
      </x:c>
    </x:row>
    <x:row r="2757">
      <x:c r="A2757" s="33" t="str">
        <x:v>EVD237</x:v>
      </x:c>
      <x:c r="B2757" s="33" t="str">
        <x:v>Evidence Master</x:v>
      </x:c>
      <x:c r="C2757" s="33" t="str">
        <x:v>Evidence Required=Near Expiry Stock Register; Evidence Type=Inventory Record; Mandatory=Yes; Retention Category=Operational; Remarks=Identify medicines nearing expiry.</x:v>
      </x:c>
      <x:c r="D2757" s="33" t="str">
        <x:v>Evidence Required=Documentary and transaction evidence demonstrating: Where Rule 88 applies, document supply to a hospital or similar institution through the prescribed delivery-challan process.; Evidence Type=Record; Mandatory=Yes; Retention Category=Applicable statutory / operational period; Remarks=P-4 aligned to the normalized parent audit; legacy Evidence ID preserved.</x:v>
      </x:c>
      <x:c r="E2757" s="33" t="str">
        <x:v>CORRECT / RECLASSIFY</x:v>
      </x:c>
      <x:c r="F2757" s="33" t="str">
        <x:v>Quarantine inactive descendants and align existing evidence to normalized audits.</x:v>
      </x:c>
      <x:c r="G2757" s="33" t="str">
        <x:v>P-4 execution-chain reconciliation</x:v>
      </x:c>
      <x:c r="H2757" s="33" t="str">
        <x:v>P-4</x:v>
      </x:c>
      <x:c r="I2757" s="33" t="str">
        <x:v>P-4</x:v>
      </x:c>
      <x:c r="J2757" s="33" t="str">
        <x:v>2026-08-20</x:v>
      </x:c>
      <x:c r="K2757" s="33" t="str">
        <x:v>Evidence IDs preserved and aligned.</x:v>
      </x:c>
    </x:row>
    <x:row r="2758">
      <x:c r="A2758" s="33" t="str">
        <x:v>EVD238</x:v>
      </x:c>
      <x:c r="B2758" s="33" t="str">
        <x:v>Evidence Master</x:v>
      </x:c>
      <x:c r="C2758" s="33" t="str">
        <x:v>Evidence Required=FEFO Compliance Report; Evidence Type=Digital Record; Mandatory=No; Retention Category=Operational; Remarks=Inventory rotation evidence.</x:v>
      </x:c>
      <x:c r="D2758" s="33" t="str">
        <x:v>Evidence Required=Documentary and transaction evidence demonstrating: Where Rule 88 applies, document supply to a hospital or similar institution through the prescribed delivery-challan process.; Evidence Type=Record; Mandatory=Yes; Retention Category=Applicable statutory / operational period; Remarks=P-4 aligned to the normalized parent audit; legacy Evidence ID preserved.</x:v>
      </x:c>
      <x:c r="E2758" s="33" t="str">
        <x:v>CORRECT / RECLASSIFY</x:v>
      </x:c>
      <x:c r="F2758" s="33" t="str">
        <x:v>Quarantine inactive descendants and align existing evidence to normalized audits.</x:v>
      </x:c>
      <x:c r="G2758" s="33" t="str">
        <x:v>P-4 execution-chain reconciliation</x:v>
      </x:c>
      <x:c r="H2758" s="33" t="str">
        <x:v>P-4</x:v>
      </x:c>
      <x:c r="I2758" s="33" t="str">
        <x:v>P-4</x:v>
      </x:c>
      <x:c r="J2758" s="33" t="str">
        <x:v>2026-08-20</x:v>
      </x:c>
      <x:c r="K2758" s="33" t="str">
        <x:v>Evidence IDs preserved and aligned.</x:v>
      </x:c>
    </x:row>
    <x:row r="2759">
      <x:c r="A2759" s="33" t="str">
        <x:v>EVD239</x:v>
      </x:c>
      <x:c r="B2759" s="33" t="str">
        <x:v>Evidence Master</x:v>
      </x:c>
      <x:c r="C2759" s="33" t="str">
        <x:v>Evidence Required=Expired Medicine Register; Evidence Type=Register; Mandatory=Yes; Retention Category=Statutory; Remarks=Mandatory expired stock record.</x:v>
      </x:c>
      <x:c r="D2759" s="33" t="str">
        <x:v>Evidence Required=Documentary and transaction evidence demonstrating: Do not sell or distribute a cosmetic unless the Rule 33 origin, licensing, quality and labelling conditions are satisfied.; Evidence Type=Record; Mandatory=Yes; Retention Category=Applicable statutory / operational period; Remarks=P-4 aligned to the normalized parent audit; legacy Evidence ID preserved.</x:v>
      </x:c>
      <x:c r="E2759" s="33" t="str">
        <x:v>CORRECT / RECLASSIFY</x:v>
      </x:c>
      <x:c r="F2759" s="33" t="str">
        <x:v>Quarantine inactive descendants and align existing evidence to normalized audits.</x:v>
      </x:c>
      <x:c r="G2759" s="33" t="str">
        <x:v>P-4 execution-chain reconciliation</x:v>
      </x:c>
      <x:c r="H2759" s="33" t="str">
        <x:v>P-4</x:v>
      </x:c>
      <x:c r="I2759" s="33" t="str">
        <x:v>P-4</x:v>
      </x:c>
      <x:c r="J2759" s="33" t="str">
        <x:v>2026-08-20</x:v>
      </x:c>
      <x:c r="K2759" s="33" t="str">
        <x:v>Evidence IDs preserved and aligned.</x:v>
      </x:c>
    </x:row>
    <x:row r="2760">
      <x:c r="A2760" s="33" t="str">
        <x:v>EVD240</x:v>
      </x:c>
      <x:c r="B2760" s="33" t="str">
        <x:v>Evidence Master</x:v>
      </x:c>
      <x:c r="C2760" s="33" t="str">
        <x:v>Evidence Required=Expired Stock Segregation Log; Evidence Type=Log Book; Mandatory=Yes; Retention Category=Operational; Remarks=Segregation evidence.</x:v>
      </x:c>
      <x:c r="D2760" s="33" t="str">
        <x:v>Evidence Required=Documentary and transaction evidence demonstrating: Do not sell or distribute a cosmetic unless the Rule 33 origin, licensing, quality and labelling conditions are satisfied.; Evidence Type=Record; Mandatory=Yes; Retention Category=Applicable statutory / operational period; Remarks=P-4 aligned to the normalized parent audit; legacy Evidence ID preserved.</x:v>
      </x:c>
      <x:c r="E2760" s="33" t="str">
        <x:v>CORRECT / RECLASSIFY</x:v>
      </x:c>
      <x:c r="F2760" s="33" t="str">
        <x:v>Quarantine inactive descendants and align existing evidence to normalized audits.</x:v>
      </x:c>
      <x:c r="G2760" s="33" t="str">
        <x:v>P-4 execution-chain reconciliation</x:v>
      </x:c>
      <x:c r="H2760" s="33" t="str">
        <x:v>P-4</x:v>
      </x:c>
      <x:c r="I2760" s="33" t="str">
        <x:v>P-4</x:v>
      </x:c>
      <x:c r="J2760" s="33" t="str">
        <x:v>2026-08-20</x:v>
      </x:c>
      <x:c r="K2760" s="33" t="str">
        <x:v>Evidence IDs preserved and aligned.</x:v>
      </x:c>
    </x:row>
    <x:row r="2761">
      <x:c r="A2761" s="33" t="str">
        <x:v>EVD241</x:v>
      </x:c>
      <x:c r="B2761" s="33" t="str">
        <x:v>Evidence Master</x:v>
      </x:c>
      <x:c r="C2761" s="33" t="str">
        <x:v>Evidence Required=Damaged Stock Register; Evidence Type=Inventory Record; Mandatory=Yes; Retention Category=Operational; Remarks=Record damaged medicines.</x:v>
      </x:c>
      <x:c r="D2761" s="33" t="str">
        <x:v>Evidence Required=Documentary and transaction evidence demonstrating: Verify that cosmetics offered for sale or distribution bear the particulars required by Rule 34.; Evidence Type=Record; Mandatory=Yes; Retention Category=Applicable statutory / operational period; Remarks=P-4 aligned to the normalized parent audit; legacy Evidence ID preserved.</x:v>
      </x:c>
      <x:c r="E2761" s="33" t="str">
        <x:v>CORRECT / RECLASSIFY</x:v>
      </x:c>
      <x:c r="F2761" s="33" t="str">
        <x:v>Quarantine inactive descendants and align existing evidence to normalized audits.</x:v>
      </x:c>
      <x:c r="G2761" s="33" t="str">
        <x:v>P-4 execution-chain reconciliation</x:v>
      </x:c>
      <x:c r="H2761" s="33" t="str">
        <x:v>P-4</x:v>
      </x:c>
      <x:c r="I2761" s="33" t="str">
        <x:v>P-4</x:v>
      </x:c>
      <x:c r="J2761" s="33" t="str">
        <x:v>2026-08-20</x:v>
      </x:c>
      <x:c r="K2761" s="33" t="str">
        <x:v>Evidence IDs preserved and aligned.</x:v>
      </x:c>
    </x:row>
    <x:row r="2762">
      <x:c r="A2762" s="33" t="str">
        <x:v>EVD242</x:v>
      </x:c>
      <x:c r="B2762" s="33" t="str">
        <x:v>Evidence Master</x:v>
      </x:c>
      <x:c r="C2762" s="33" t="str">
        <x:v>Evidence Required=Damaged Stock Disposal Authorization; Evidence Type=Approval; Mandatory=Yes; Retention Category=Permanent; Remarks=Disposal approval required.</x:v>
      </x:c>
      <x:c r="D2762" s="33" t="str">
        <x:v>Evidence Required=Documentary and transaction evidence demonstrating: Verify that cosmetics offered for sale or distribution bear the particulars required by Rule 34.; Evidence Type=Record; Mandatory=Yes; Retention Category=Applicable statutory / operational period; Remarks=P-4 aligned to the normalized parent audit; legacy Evidence ID preserved.</x:v>
      </x:c>
      <x:c r="E2762" s="33" t="str">
        <x:v>CORRECT / RECLASSIFY</x:v>
      </x:c>
      <x:c r="F2762" s="33" t="str">
        <x:v>Quarantine inactive descendants and align existing evidence to normalized audits.</x:v>
      </x:c>
      <x:c r="G2762" s="33" t="str">
        <x:v>P-4 execution-chain reconciliation</x:v>
      </x:c>
      <x:c r="H2762" s="33" t="str">
        <x:v>P-4</x:v>
      </x:c>
      <x:c r="I2762" s="33" t="str">
        <x:v>P-4</x:v>
      </x:c>
      <x:c r="J2762" s="33" t="str">
        <x:v>2026-08-20</x:v>
      </x:c>
      <x:c r="K2762" s="33" t="str">
        <x:v>Evidence IDs preserved and aligned.</x:v>
      </x:c>
    </x:row>
    <x:row r="2763">
      <x:c r="A2763" s="33" t="str">
        <x:v>EVD243</x:v>
      </x:c>
      <x:c r="B2763" s="33" t="str">
        <x:v>Evidence Master</x:v>
      </x:c>
      <x:c r="C2763" s="33" t="str">
        <x:v>Evidence Required=Medicine Return Register; Evidence Type=Register; Mandatory=Yes; Retention Category=Statutory; Remarks=Customer medicine returns.</x:v>
      </x:c>
      <x:c r="D2763" s="33" t="str">
        <x:v>Evidence Required=Documentary and transaction evidence demonstrating: Do not alter, obliterate or deface mandatory cosmetic labelling.; Evidence Type=Record; Mandatory=Yes; Retention Category=Applicable statutory / operational period; Remarks=P-4 aligned to the normalized parent audit; legacy Evidence ID preserved.</x:v>
      </x:c>
      <x:c r="E2763" s="33" t="str">
        <x:v>CORRECT / RECLASSIFY</x:v>
      </x:c>
      <x:c r="F2763" s="33" t="str">
        <x:v>Quarantine inactive descendants and align existing evidence to normalized audits.</x:v>
      </x:c>
      <x:c r="G2763" s="33" t="str">
        <x:v>P-4 execution-chain reconciliation</x:v>
      </x:c>
      <x:c r="H2763" s="33" t="str">
        <x:v>P-4</x:v>
      </x:c>
      <x:c r="I2763" s="33" t="str">
        <x:v>P-4</x:v>
      </x:c>
      <x:c r="J2763" s="33" t="str">
        <x:v>2026-08-20</x:v>
      </x:c>
      <x:c r="K2763" s="33" t="str">
        <x:v>Evidence IDs preserved and aligned.</x:v>
      </x:c>
    </x:row>
    <x:row r="2764">
      <x:c r="A2764" s="33" t="str">
        <x:v>EVD244</x:v>
      </x:c>
      <x:c r="B2764" s="33" t="str">
        <x:v>Evidence Master</x:v>
      </x:c>
      <x:c r="C2764" s="33" t="str">
        <x:v>Evidence Required=Returned Medicine Assessment Record; Evidence Type=Record; Mandatory=Yes; Retention Category=Operational; Remarks=Eligibility evaluation.</x:v>
      </x:c>
      <x:c r="D2764" s="33" t="str">
        <x:v>Evidence Required=Documentary and transaction evidence demonstrating: Do not alter, obliterate or deface mandatory cosmetic labelling.; Evidence Type=Record; Mandatory=Yes; Retention Category=Applicable statutory / operational period; Remarks=P-4 aligned to the normalized parent audit; legacy Evidence ID preserved.</x:v>
      </x:c>
      <x:c r="E2764" s="33" t="str">
        <x:v>CORRECT / RECLASSIFY</x:v>
      </x:c>
      <x:c r="F2764" s="33" t="str">
        <x:v>Quarantine inactive descendants and align existing evidence to normalized audits.</x:v>
      </x:c>
      <x:c r="G2764" s="33" t="str">
        <x:v>P-4 execution-chain reconciliation</x:v>
      </x:c>
      <x:c r="H2764" s="33" t="str">
        <x:v>P-4</x:v>
      </x:c>
      <x:c r="I2764" s="33" t="str">
        <x:v>P-4</x:v>
      </x:c>
      <x:c r="J2764" s="33" t="str">
        <x:v>2026-08-20</x:v>
      </x:c>
      <x:c r="K2764" s="33" t="str">
        <x:v>Evidence IDs preserved and aligned.</x:v>
      </x:c>
    </x:row>
    <x:row r="2765">
      <x:c r="A2765" s="33" t="str">
        <x:v>EVD245</x:v>
      </x:c>
      <x:c r="B2765" s="33" t="str">
        <x:v>Evidence Master</x:v>
      </x:c>
      <x:c r="C2765" s="33" t="str">
        <x:v>Evidence Required=Customer Sales Invoice; Evidence Type=Invoice; Mandatory=Yes; Retention Category=Transactional; Remarks=Mandatory transaction evidence.</x:v>
      </x:c>
      <x:c r="D2765" s="33" t="str">
        <x:v>Evidence Required=Documentary and transaction evidence demonstrating: Do not sell or distribute a cosmetic bearing a false or misleading claim.; Evidence Type=Record; Mandatory=Yes; Retention Category=Applicable statutory / operational period; Remarks=P-4 aligned to the normalized parent audit; legacy Evidence ID preserved.</x:v>
      </x:c>
      <x:c r="E2765" s="33" t="str">
        <x:v>CORRECT / RECLASSIFY</x:v>
      </x:c>
      <x:c r="F2765" s="33" t="str">
        <x:v>Quarantine inactive descendants and align existing evidence to normalized audits.</x:v>
      </x:c>
      <x:c r="G2765" s="33" t="str">
        <x:v>P-4 execution-chain reconciliation</x:v>
      </x:c>
      <x:c r="H2765" s="33" t="str">
        <x:v>P-4</x:v>
      </x:c>
      <x:c r="I2765" s="33" t="str">
        <x:v>P-4</x:v>
      </x:c>
      <x:c r="J2765" s="33" t="str">
        <x:v>2026-08-20</x:v>
      </x:c>
      <x:c r="K2765" s="33" t="str">
        <x:v>Evidence IDs preserved and aligned.</x:v>
      </x:c>
    </x:row>
    <x:row r="2766">
      <x:c r="A2766" s="33" t="str">
        <x:v>EVD246</x:v>
      </x:c>
      <x:c r="B2766" s="33" t="str">
        <x:v>Evidence Master</x:v>
      </x:c>
      <x:c r="C2766" s="33" t="str">
        <x:v>Evidence Required=Invoice Number Control Register; Evidence Type=Invoice; Mandatory=No; Retention Category=Transactional; Remarks=Sequential invoice control.</x:v>
      </x:c>
      <x:c r="D2766" s="33" t="str">
        <x:v>Evidence Required=Documentary and transaction evidence demonstrating: Do not sell or distribute a cosmetic bearing a false or misleading claim.; Evidence Type=Record; Mandatory=Yes; Retention Category=Applicable statutory / operational period; Remarks=P-4 aligned to the normalized parent audit; legacy Evidence ID preserved.</x:v>
      </x:c>
      <x:c r="E2766" s="33" t="str">
        <x:v>CORRECT / RECLASSIFY</x:v>
      </x:c>
      <x:c r="F2766" s="33" t="str">
        <x:v>Quarantine inactive descendants and align existing evidence to normalized audits.</x:v>
      </x:c>
      <x:c r="G2766" s="33" t="str">
        <x:v>P-4 execution-chain reconciliation</x:v>
      </x:c>
      <x:c r="H2766" s="33" t="str">
        <x:v>P-4</x:v>
      </x:c>
      <x:c r="I2766" s="33" t="str">
        <x:v>P-4</x:v>
      </x:c>
      <x:c r="J2766" s="33" t="str">
        <x:v>2026-08-20</x:v>
      </x:c>
      <x:c r="K2766" s="33" t="str">
        <x:v>Evidence IDs preserved and aligned.</x:v>
      </x:c>
    </x:row>
    <x:row r="2767">
      <x:c r="A2767" s="33" t="str">
        <x:v>EVD247</x:v>
      </x:c>
      <x:c r="B2767" s="33" t="str">
        <x:v>Evidence Master</x:v>
      </x:c>
      <x:c r="C2767" s="33" t="str">
        <x:v>Evidence Required=Electronic Billing Report; Evidence Type=Invoice; Mandatory=Yes; Retention Category=Transactional; Remarks=System-generated billing evidence.</x:v>
      </x:c>
      <x:c r="D2767" s="33" t="str">
        <x:v>Evidence Required=Documentary and transaction evidence demonstrating: Sell or distribute only cosmetics that comply with the standards, quality and safety requirements in Rule 39.; Evidence Type=Record; Mandatory=Yes; Retention Category=Applicable statutory / operational period; Remarks=P-4 aligned to the normalized parent audit; legacy Evidence ID preserved.</x:v>
      </x:c>
      <x:c r="E2767" s="33" t="str">
        <x:v>CORRECT / RECLASSIFY</x:v>
      </x:c>
      <x:c r="F2767" s="33" t="str">
        <x:v>Quarantine inactive descendants and align existing evidence to normalized audits.</x:v>
      </x:c>
      <x:c r="G2767" s="33" t="str">
        <x:v>P-4 execution-chain reconciliation</x:v>
      </x:c>
      <x:c r="H2767" s="33" t="str">
        <x:v>P-4</x:v>
      </x:c>
      <x:c r="I2767" s="33" t="str">
        <x:v>P-4</x:v>
      </x:c>
      <x:c r="J2767" s="33" t="str">
        <x:v>2026-08-20</x:v>
      </x:c>
      <x:c r="K2767" s="33" t="str">
        <x:v>Evidence IDs preserved and aligned.</x:v>
      </x:c>
    </x:row>
    <x:row r="2768">
      <x:c r="A2768" s="33" t="str">
        <x:v>EVD248</x:v>
      </x:c>
      <x:c r="B2768" s="33" t="str">
        <x:v>Evidence Master</x:v>
      </x:c>
      <x:c r="C2768" s="33" t="str">
        <x:v>Evidence Required=Billing System Audit Trail; Evidence Type=Invoice; Mandatory=Yes; Retention Category=Transactional; Remarks=Detect billing modifications.</x:v>
      </x:c>
      <x:c r="D2768" s="33" t="str">
        <x:v>Evidence Required=Documentary and transaction evidence demonstrating: Sell or distribute only cosmetics that comply with the standards, quality and safety requirements in Rule 39.; Evidence Type=Record; Mandatory=Yes; Retention Category=Applicable statutory / operational period; Remarks=P-4 aligned to the normalized parent audit; legacy Evidence ID preserved.</x:v>
      </x:c>
      <x:c r="E2768" s="33" t="str">
        <x:v>CORRECT / RECLASSIFY</x:v>
      </x:c>
      <x:c r="F2768" s="33" t="str">
        <x:v>Quarantine inactive descendants and align existing evidence to normalized audits.</x:v>
      </x:c>
      <x:c r="G2768" s="33" t="str">
        <x:v>P-4 execution-chain reconciliation</x:v>
      </x:c>
      <x:c r="H2768" s="33" t="str">
        <x:v>P-4</x:v>
      </x:c>
      <x:c r="I2768" s="33" t="str">
        <x:v>P-4</x:v>
      </x:c>
      <x:c r="J2768" s="33" t="str">
        <x:v>2026-08-20</x:v>
      </x:c>
      <x:c r="K2768" s="33" t="str">
        <x:v>Evidence IDs preserved and aligned.</x:v>
      </x:c>
    </x:row>
    <x:row r="2769">
      <x:c r="A2769" s="33" t="str">
        <x:v>EVD267</x:v>
      </x:c>
      <x:c r="B2769" s="33" t="str">
        <x:v>Evidence Master</x:v>
      </x:c>
      <x:c r="C2769" s="33" t="str">
        <x:v>Evidence Required=Customer Identity Record; Evidence Type=Record; Mandatory=Yes; Retention Category=Operational; Remarks=Applicable where legally required.</x:v>
      </x:c>
      <x:c r="D2769" s="33" t="str">
        <x:v>Evidence Required=Documentary and transaction evidence demonstrating: Deliver pharmacy services in accordance with Good Pharmacy Practice principles.; Evidence Type=Record; Mandatory=Yes; Retention Category=Applicable statutory / operational period; Remarks=P-4 aligned to the normalized parent audit; legacy Evidence ID preserved.</x:v>
      </x:c>
      <x:c r="E2769" s="33" t="str">
        <x:v>CORRECT / RECLASSIFY</x:v>
      </x:c>
      <x:c r="F2769" s="33" t="str">
        <x:v>Quarantine inactive descendants and align existing evidence to normalized audits.</x:v>
      </x:c>
      <x:c r="G2769" s="33" t="str">
        <x:v>P-4 execution-chain reconciliation</x:v>
      </x:c>
      <x:c r="H2769" s="33" t="str">
        <x:v>P-4</x:v>
      </x:c>
      <x:c r="I2769" s="33" t="str">
        <x:v>P-4</x:v>
      </x:c>
      <x:c r="J2769" s="33" t="str">
        <x:v>2026-08-20</x:v>
      </x:c>
      <x:c r="K2769" s="33" t="str">
        <x:v>Evidence IDs preserved and aligned.</x:v>
      </x:c>
    </x:row>
    <x:row r="2770">
      <x:c r="A2770" s="33" t="str">
        <x:v>EVD268</x:v>
      </x:c>
      <x:c r="B2770" s="33" t="str">
        <x:v>Evidence Master</x:v>
      </x:c>
      <x:c r="C2770" s="33" t="str">
        <x:v>Evidence Required=Identity Verification Checklist; Evidence Type=Record; Mandatory=Yes; Retention Category=Operational; Remarks=Verify customer identification.</x:v>
      </x:c>
      <x:c r="D2770" s="33" t="str">
        <x:v>Evidence Required=Documentary and transaction evidence demonstrating: Deliver pharmacy services in accordance with Good Pharmacy Practice principles.; Evidence Type=Record; Mandatory=Yes; Retention Category=Applicable statutory / operational period; Remarks=P-4 aligned to the normalized parent audit; legacy Evidence ID preserved.</x:v>
      </x:c>
      <x:c r="E2770" s="33" t="str">
        <x:v>CORRECT / RECLASSIFY</x:v>
      </x:c>
      <x:c r="F2770" s="33" t="str">
        <x:v>Quarantine inactive descendants and align existing evidence to normalized audits.</x:v>
      </x:c>
      <x:c r="G2770" s="33" t="str">
        <x:v>P-4 execution-chain reconciliation</x:v>
      </x:c>
      <x:c r="H2770" s="33" t="str">
        <x:v>P-4</x:v>
      </x:c>
      <x:c r="I2770" s="33" t="str">
        <x:v>P-4</x:v>
      </x:c>
      <x:c r="J2770" s="33" t="str">
        <x:v>2026-08-20</x:v>
      </x:c>
      <x:c r="K2770" s="33" t="str">
        <x:v>Evidence IDs preserved and aligned.</x:v>
      </x:c>
    </x:row>
    <x:row r="2771">
      <x:c r="A2771" s="33" t="str">
        <x:v>EVD269</x:v>
      </x:c>
      <x:c r="B2771" s="33" t="str">
        <x:v>Evidence Master</x:v>
      </x:c>
      <x:c r="C2771" s="33" t="str">
        <x:v>Evidence Required=Medicine Sales SOP; Evidence Type=SOP; Mandatory=Yes; Retention Category=Operational; Remarks=Approved medicine sales procedure.</x:v>
      </x:c>
      <x:c r="D2771" s="33" t="str">
        <x:v>Evidence Required=Documentary and transaction evidence demonstrating: Provide appropriate counselling to patients regarding medicine use, dosage and precautions.; Evidence Type=Record; Mandatory=Yes; Retention Category=Applicable statutory / operational period; Remarks=P-4 aligned to the normalized parent audit; legacy Evidence ID preserved.</x:v>
      </x:c>
      <x:c r="E2771" s="33" t="str">
        <x:v>CORRECT / RECLASSIFY</x:v>
      </x:c>
      <x:c r="F2771" s="33" t="str">
        <x:v>Quarantine inactive descendants and align existing evidence to normalized audits.</x:v>
      </x:c>
      <x:c r="G2771" s="33" t="str">
        <x:v>P-4 execution-chain reconciliation</x:v>
      </x:c>
      <x:c r="H2771" s="33" t="str">
        <x:v>P-4</x:v>
      </x:c>
      <x:c r="I2771" s="33" t="str">
        <x:v>P-4</x:v>
      </x:c>
      <x:c r="J2771" s="33" t="str">
        <x:v>2026-08-20</x:v>
      </x:c>
      <x:c r="K2771" s="33" t="str">
        <x:v>Evidence IDs preserved and aligned.</x:v>
      </x:c>
    </x:row>
    <x:row r="2772">
      <x:c r="A2772" s="33" t="str">
        <x:v>EVD270</x:v>
      </x:c>
      <x:c r="B2772" s="33" t="str">
        <x:v>Evidence Master</x:v>
      </x:c>
      <x:c r="C2772" s="33" t="str">
        <x:v>Evidence Required=Sales Staff Training Record; Evidence Type=Sale Record; Mandatory=Yes; Retention Category=Transactional; Remarks=Training on sales procedures.</x:v>
      </x:c>
      <x:c r="D2772" s="33" t="str">
        <x:v>Evidence Required=Documentary and transaction evidence demonstrating: Provide appropriate counselling to patients regarding medicine use, dosage and precautions.; Evidence Type=Record; Mandatory=Yes; Retention Category=Applicable statutory / operational period; Remarks=P-4 aligned to the normalized parent audit; legacy Evidence ID preserved.</x:v>
      </x:c>
      <x:c r="E2772" s="33" t="str">
        <x:v>CORRECT / RECLASSIFY</x:v>
      </x:c>
      <x:c r="F2772" s="33" t="str">
        <x:v>Quarantine inactive descendants and align existing evidence to normalized audits.</x:v>
      </x:c>
      <x:c r="G2772" s="33" t="str">
        <x:v>P-4 execution-chain reconciliation</x:v>
      </x:c>
      <x:c r="H2772" s="33" t="str">
        <x:v>P-4</x:v>
      </x:c>
      <x:c r="I2772" s="33" t="str">
        <x:v>P-4</x:v>
      </x:c>
      <x:c r="J2772" s="33" t="str">
        <x:v>2026-08-20</x:v>
      </x:c>
      <x:c r="K2772" s="33" t="str">
        <x:v>Evidence IDs preserved and aligned.</x:v>
      </x:c>
    </x:row>
    <x:row r="2773">
      <x:c r="A2773" s="33" t="str">
        <x:v>EVD271</x:v>
      </x:c>
      <x:c r="B2773" s="33" t="str">
        <x:v>Evidence Master</x:v>
      </x:c>
      <x:c r="C2773" s="33" t="str">
        <x:v>Evidence Required=Archived Sales Records; Evidence Type=Sale Record; Mandatory=Yes; Retention Category=Transactional; Remarks=Statutory record retention.</x:v>
      </x:c>
      <x:c r="D2773" s="33" t="str">
        <x:v>Evidence Required=Documentary and transaction evidence demonstrating: Review each prescription for completeness, legality and appropriateness before dispensing.; Evidence Type=Record; Mandatory=Yes; Retention Category=Applicable statutory / operational period; Remarks=P-4 aligned to the normalized parent audit; legacy Evidence ID preserved.</x:v>
      </x:c>
      <x:c r="E2773" s="33" t="str">
        <x:v>CORRECT / RECLASSIFY</x:v>
      </x:c>
      <x:c r="F2773" s="33" t="str">
        <x:v>Quarantine inactive descendants and align existing evidence to normalized audits.</x:v>
      </x:c>
      <x:c r="G2773" s="33" t="str">
        <x:v>P-4 execution-chain reconciliation</x:v>
      </x:c>
      <x:c r="H2773" s="33" t="str">
        <x:v>P-4</x:v>
      </x:c>
      <x:c r="I2773" s="33" t="str">
        <x:v>P-4</x:v>
      </x:c>
      <x:c r="J2773" s="33" t="str">
        <x:v>2026-08-20</x:v>
      </x:c>
      <x:c r="K2773" s="33" t="str">
        <x:v>Evidence IDs preserved and aligned.</x:v>
      </x:c>
    </x:row>
    <x:row r="2774">
      <x:c r="A2774" s="33" t="str">
        <x:v>EVD272</x:v>
      </x:c>
      <x:c r="B2774" s="33" t="str">
        <x:v>Evidence Master</x:v>
      </x:c>
      <x:c r="C2774" s="33" t="str">
        <x:v>Evidence Required=Sales Record Retention Policy; Evidence Type=Sale Record; Mandatory=Yes; Retention Category=Transactional; Remarks=Approved retention schedule.</x:v>
      </x:c>
      <x:c r="D2774" s="33" t="str">
        <x:v>Evidence Required=Documentary and transaction evidence demonstrating: Review each prescription for completeness, legality and appropriateness before dispensing.; Evidence Type=Record; Mandatory=Yes; Retention Category=Applicable statutory / operational period; Remarks=P-4 aligned to the normalized parent audit; legacy Evidence ID preserved.</x:v>
      </x:c>
      <x:c r="E2774" s="33" t="str">
        <x:v>CORRECT / RECLASSIFY</x:v>
      </x:c>
      <x:c r="F2774" s="33" t="str">
        <x:v>Quarantine inactive descendants and align existing evidence to normalized audits.</x:v>
      </x:c>
      <x:c r="G2774" s="33" t="str">
        <x:v>P-4 execution-chain reconciliation</x:v>
      </x:c>
      <x:c r="H2774" s="33" t="str">
        <x:v>P-4</x:v>
      </x:c>
      <x:c r="I2774" s="33" t="str">
        <x:v>P-4</x:v>
      </x:c>
      <x:c r="J2774" s="33" t="str">
        <x:v>2026-08-20</x:v>
      </x:c>
      <x:c r="K2774" s="33" t="str">
        <x:v>Evidence IDs preserved and aligned.</x:v>
      </x:c>
    </x:row>
    <x:row r="2775">
      <x:c r="A2775" s="33" t="str">
        <x:v>EVD273</x:v>
      </x:c>
      <x:c r="B2775" s="33" t="str">
        <x:v>Evidence Master</x:v>
      </x:c>
      <x:c r="C2775" s="33" t="str">
        <x:v>Evidence Required=Internal Sales Audit Report; Evidence Type=Sale Record; Mandatory=Yes; Retention Category=Transactional; Remarks=Periodic audit evidence.</x:v>
      </x:c>
      <x:c r="D2775" s="33" t="str">
        <x:v>Evidence Required=Documentary and transaction evidence demonstrating: Procure medicines only from licensed and authorized suppliers.; Evidence Type=Record; Mandatory=Yes; Retention Category=Applicable statutory / operational period; Remarks=P-4 aligned to the normalized parent audit; legacy Evidence ID preserved.</x:v>
      </x:c>
      <x:c r="E2775" s="33" t="str">
        <x:v>CORRECT / RECLASSIFY</x:v>
      </x:c>
      <x:c r="F2775" s="33" t="str">
        <x:v>Quarantine inactive descendants and align existing evidence to normalized audits.</x:v>
      </x:c>
      <x:c r="G2775" s="33" t="str">
        <x:v>P-4 execution-chain reconciliation</x:v>
      </x:c>
      <x:c r="H2775" s="33" t="str">
        <x:v>P-4</x:v>
      </x:c>
      <x:c r="I2775" s="33" t="str">
        <x:v>P-4</x:v>
      </x:c>
      <x:c r="J2775" s="33" t="str">
        <x:v>2026-08-20</x:v>
      </x:c>
      <x:c r="K2775" s="33" t="str">
        <x:v>Evidence IDs preserved and aligned.</x:v>
      </x:c>
    </x:row>
    <x:row r="2776">
      <x:c r="A2776" s="33" t="str">
        <x:v>EVD274</x:v>
      </x:c>
      <x:c r="B2776" s="33" t="str">
        <x:v>Evidence Master</x:v>
      </x:c>
      <x:c r="C2776" s="33" t="str">
        <x:v>Evidence Required=Sales Audit Observation Register; Evidence Type=Sale Record; Mandatory=Yes; Retention Category=Transactional; Remarks=Audit findings.</x:v>
      </x:c>
      <x:c r="D2776" s="33" t="str">
        <x:v>Evidence Required=Documentary and transaction evidence demonstrating: Procure medicines only from licensed and authorized suppliers.; Evidence Type=Record; Mandatory=Yes; Retention Category=Applicable statutory / operational period; Remarks=P-4 aligned to the normalized parent audit; legacy Evidence ID preserved.</x:v>
      </x:c>
      <x:c r="E2776" s="33" t="str">
        <x:v>CORRECT / RECLASSIFY</x:v>
      </x:c>
      <x:c r="F2776" s="33" t="str">
        <x:v>Quarantine inactive descendants and align existing evidence to normalized audits.</x:v>
      </x:c>
      <x:c r="G2776" s="33" t="str">
        <x:v>P-4 execution-chain reconciliation</x:v>
      </x:c>
      <x:c r="H2776" s="33" t="str">
        <x:v>P-4</x:v>
      </x:c>
      <x:c r="I2776" s="33" t="str">
        <x:v>P-4</x:v>
      </x:c>
      <x:c r="J2776" s="33" t="str">
        <x:v>2026-08-20</x:v>
      </x:c>
      <x:c r="K2776" s="33" t="str">
        <x:v>Evidence IDs preserved and aligned.</x:v>
      </x:c>
    </x:row>
    <x:row r="2777">
      <x:c r="A2777" s="33" t="str">
        <x:v>EVD275</x:v>
      </x:c>
      <x:c r="B2777" s="33" t="str">
        <x:v>Evidence Master</x:v>
      </x:c>
      <x:c r="C2777" s="33" t="str">
        <x:v>Evidence Required=Regulatory Inspection Report; Evidence Type=Inspection Report; Mandatory=Yes; Retention Category=Statutory; Remarks=Sales-related inspection.</x:v>
      </x:c>
      <x:c r="D2777" s="33" t="str">
        <x:v>Evidence Required=Documentary and transaction evidence demonstrating: Maintain suitable transportation and distribution conditions to preserve product quality.; Evidence Type=Record; Mandatory=Yes; Retention Category=Applicable statutory / operational period; Remarks=P-4 aligned to the normalized parent audit; legacy Evidence ID preserved.</x:v>
      </x:c>
      <x:c r="E2777" s="33" t="str">
        <x:v>CORRECT / RECLASSIFY</x:v>
      </x:c>
      <x:c r="F2777" s="33" t="str">
        <x:v>Quarantine inactive descendants and align existing evidence to normalized audits.</x:v>
      </x:c>
      <x:c r="G2777" s="33" t="str">
        <x:v>P-4 execution-chain reconciliation</x:v>
      </x:c>
      <x:c r="H2777" s="33" t="str">
        <x:v>P-4</x:v>
      </x:c>
      <x:c r="I2777" s="33" t="str">
        <x:v>P-4</x:v>
      </x:c>
      <x:c r="J2777" s="33" t="str">
        <x:v>2026-08-20</x:v>
      </x:c>
      <x:c r="K2777" s="33" t="str">
        <x:v>Evidence IDs preserved and aligned.</x:v>
      </x:c>
    </x:row>
    <x:row r="2778">
      <x:c r="A2778" s="33" t="str">
        <x:v>EVD276</x:v>
      </x:c>
      <x:c r="B2778" s="33" t="str">
        <x:v>Evidence Master</x:v>
      </x:c>
      <x:c r="C2778" s="33" t="str">
        <x:v>Evidence Required=Regulatory Observation Closure Report; Evidence Type=Report; Mandatory=Yes; Retention Category=Operational; Remarks=Closure evidence.</x:v>
      </x:c>
      <x:c r="D2778" s="33" t="str">
        <x:v>Evidence Required=Documentary and transaction evidence demonstrating: Maintain suitable transportation and distribution conditions to preserve product quality.; Evidence Type=Record; Mandatory=Yes; Retention Category=Applicable statutory / operational period; Remarks=P-4 aligned to the normalized parent audit; legacy Evidence ID preserved.</x:v>
      </x:c>
      <x:c r="E2778" s="33" t="str">
        <x:v>CORRECT / RECLASSIFY</x:v>
      </x:c>
      <x:c r="F2778" s="33" t="str">
        <x:v>Quarantine inactive descendants and align existing evidence to normalized audits.</x:v>
      </x:c>
      <x:c r="G2778" s="33" t="str">
        <x:v>P-4 execution-chain reconciliation</x:v>
      </x:c>
      <x:c r="H2778" s="33" t="str">
        <x:v>P-4</x:v>
      </x:c>
      <x:c r="I2778" s="33" t="str">
        <x:v>P-4</x:v>
      </x:c>
      <x:c r="J2778" s="33" t="str">
        <x:v>2026-08-20</x:v>
      </x:c>
      <x:c r="K2778" s="33" t="str">
        <x:v>Evidence IDs preserved and aligned.</x:v>
      </x:c>
    </x:row>
    <x:row r="2779">
      <x:c r="A2779" s="33" t="str">
        <x:v>EVD277</x:v>
      </x:c>
      <x:c r="B2779" s="33" t="str">
        <x:v>Evidence Master</x:v>
      </x:c>
      <x:c r="C2779" s="33" t="str">
        <x:v>Evidence Required=Sales Compliance Assessment Report; Evidence Type=Sale Record; Mandatory=Yes; Retention Category=Transactional; Remarks=Overall sales compliance review.</x:v>
      </x:c>
      <x:c r="D2779" s="33" t="str">
        <x:v>Evidence Required=Documentary and transaction evidence demonstrating: Maintain complete and traceable distribution records for all pharmaceutical products.; Evidence Type=Record; Mandatory=Yes; Retention Category=Applicable statutory / operational period; Remarks=P-4 aligned to the normalized parent audit; legacy Evidence ID preserved.</x:v>
      </x:c>
      <x:c r="E2779" s="33" t="str">
        <x:v>CORRECT / RECLASSIFY</x:v>
      </x:c>
      <x:c r="F2779" s="33" t="str">
        <x:v>Quarantine inactive descendants and align existing evidence to normalized audits.</x:v>
      </x:c>
      <x:c r="G2779" s="33" t="str">
        <x:v>P-4 execution-chain reconciliation</x:v>
      </x:c>
      <x:c r="H2779" s="33" t="str">
        <x:v>P-4</x:v>
      </x:c>
      <x:c r="I2779" s="33" t="str">
        <x:v>P-4</x:v>
      </x:c>
      <x:c r="J2779" s="33" t="str">
        <x:v>2026-08-20</x:v>
      </x:c>
      <x:c r="K2779" s="33" t="str">
        <x:v>Evidence IDs preserved and aligned.</x:v>
      </x:c>
    </x:row>
    <x:row r="2780">
      <x:c r="A2780" s="33" t="str">
        <x:v>EVD278</x:v>
      </x:c>
      <x:c r="B2780" s="33" t="str">
        <x:v>Evidence Master</x:v>
      </x:c>
      <x:c r="C2780" s="33" t="str">
        <x:v>Evidence Required=Sales Compliance Dashboard; Evidence Type=Sale Record; Mandatory=No; Retention Category=Transactional; Remarks=Electronic monitoring evidence.</x:v>
      </x:c>
      <x:c r="D2780" s="33" t="str">
        <x:v>Evidence Required=Documentary and transaction evidence demonstrating: Maintain complete and traceable distribution records for all pharmaceutical products.; Evidence Type=Record; Mandatory=Yes; Retention Category=Applicable statutory / operational period; Remarks=P-4 aligned to the normalized parent audit; legacy Evidence ID preserved.</x:v>
      </x:c>
      <x:c r="E2780" s="33" t="str">
        <x:v>CORRECT / RECLASSIFY</x:v>
      </x:c>
      <x:c r="F2780" s="33" t="str">
        <x:v>Quarantine inactive descendants and align existing evidence to normalized audits.</x:v>
      </x:c>
      <x:c r="G2780" s="33" t="str">
        <x:v>P-4 execution-chain reconciliation</x:v>
      </x:c>
      <x:c r="H2780" s="33" t="str">
        <x:v>P-4</x:v>
      </x:c>
      <x:c r="I2780" s="33" t="str">
        <x:v>P-4</x:v>
      </x:c>
      <x:c r="J2780" s="33" t="str">
        <x:v>2026-08-20</x:v>
      </x:c>
      <x:c r="K2780" s="33" t="str">
        <x:v>Evidence IDs preserved and aligned.</x:v>
      </x:c>
    </x:row>
    <x:row r="2781">
      <x:c r="A2781" s="33" t="str">
        <x:v>EVD279</x:v>
      </x:c>
      <x:c r="B2781" s="33" t="str">
        <x:v>Evidence Master</x:v>
      </x:c>
      <x:c r="C2781" s="33" t="str">
        <x:v>Evidence Required=Sales KPI Report; Evidence Type=Sale Record; Mandatory=No; Retention Category=Transactional; Remarks=Performance indicators.</x:v>
      </x:c>
      <x:c r="D2781" s="33" t="str">
        <x:v>Evidence Required=Documentary and transaction evidence demonstrating: Maintain complete and traceable distribution records for all pharmaceutical products.; Evidence Type=Record; Mandatory=Yes; Retention Category=Applicable statutory / operational period; Remarks=P-4 aligned to the normalized parent audit; legacy Evidence ID preserved.</x:v>
      </x:c>
      <x:c r="E2781" s="33" t="str">
        <x:v>CORRECT / RECLASSIFY</x:v>
      </x:c>
      <x:c r="F2781" s="33" t="str">
        <x:v>Quarantine inactive descendants and align existing evidence to normalized audits.</x:v>
      </x:c>
      <x:c r="G2781" s="33" t="str">
        <x:v>P-4 execution-chain reconciliation</x:v>
      </x:c>
      <x:c r="H2781" s="33" t="str">
        <x:v>P-4</x:v>
      </x:c>
      <x:c r="I2781" s="33" t="str">
        <x:v>P-4</x:v>
      </x:c>
      <x:c r="J2781" s="33" t="str">
        <x:v>2026-08-20</x:v>
      </x:c>
      <x:c r="K2781" s="33" t="str">
        <x:v>Evidence IDs preserved and aligned.</x:v>
      </x:c>
    </x:row>
    <x:row r="2782">
      <x:c r="A2782" s="33" t="str">
        <x:v>EVD280</x:v>
      </x:c>
      <x:c r="B2782" s="33" t="str">
        <x:v>Evidence Master</x:v>
      </x:c>
      <x:c r="C2782" s="33" t="str">
        <x:v>Evidence Required=Annual Sales Risk Assessment; Evidence Type=Sale Record; Mandatory=Yes; Retention Category=Transactional; Remarks=Sales risk evaluation.</x:v>
      </x:c>
      <x:c r="D2782" s="33" t="str">
        <x:v>Evidence Required=Documentary and transaction evidence demonstrating: Maintain complete and traceable distribution records for all pharmaceutical products.; Evidence Type=Record; Mandatory=Yes; Retention Category=Applicable statutory / operational period; Remarks=P-4 aligned to the normalized parent audit; legacy Evidence ID preserved.</x:v>
      </x:c>
      <x:c r="E2782" s="33" t="str">
        <x:v>CORRECT / RECLASSIFY</x:v>
      </x:c>
      <x:c r="F2782" s="33" t="str">
        <x:v>Quarantine inactive descendants and align existing evidence to normalized audits.</x:v>
      </x:c>
      <x:c r="G2782" s="33" t="str">
        <x:v>P-4 execution-chain reconciliation</x:v>
      </x:c>
      <x:c r="H2782" s="33" t="str">
        <x:v>P-4</x:v>
      </x:c>
      <x:c r="I2782" s="33" t="str">
        <x:v>P-4</x:v>
      </x:c>
      <x:c r="J2782" s="33" t="str">
        <x:v>2026-08-20</x:v>
      </x:c>
      <x:c r="K2782" s="33" t="str">
        <x:v>Evidence IDs preserved and aligned.</x:v>
      </x:c>
    </x:row>
    <x:row r="2783">
      <x:c r="A2783" s="33" t="str">
        <x:v>EVD281</x:v>
      </x:c>
      <x:c r="B2783" s="33" t="str">
        <x:v>Evidence Master</x:v>
      </x:c>
      <x:c r="C2783" s="33" t="str">
        <x:v>Evidence Required=Sales Management Review Minutes; Evidence Type=Sale Record; Mandatory=Yes; Retention Category=Transactional; Remarks=Management oversight.</x:v>
      </x:c>
      <x:c r="D2783" s="33" t="str">
        <x:v>Evidence Required=Documentary and transaction evidence demonstrating: Maintain complete and traceable distribution records for all pharmaceutical products.; Evidence Type=Record; Mandatory=Yes; Retention Category=Applicable statutory / operational period; Remarks=P-4 aligned to the normalized parent audit; legacy Evidence ID preserved.</x:v>
      </x:c>
      <x:c r="E2783" s="33" t="str">
        <x:v>CORRECT / RECLASSIFY</x:v>
      </x:c>
      <x:c r="F2783" s="33" t="str">
        <x:v>Quarantine inactive descendants and align existing evidence to normalized audits.</x:v>
      </x:c>
      <x:c r="G2783" s="33" t="str">
        <x:v>P-4 execution-chain reconciliation</x:v>
      </x:c>
      <x:c r="H2783" s="33" t="str">
        <x:v>P-4</x:v>
      </x:c>
      <x:c r="I2783" s="33" t="str">
        <x:v>P-4</x:v>
      </x:c>
      <x:c r="J2783" s="33" t="str">
        <x:v>2026-08-20</x:v>
      </x:c>
      <x:c r="K2783" s="33" t="str">
        <x:v>Evidence IDs preserved and aligned.</x:v>
      </x:c>
    </x:row>
    <x:row r="2784">
      <x:c r="A2784" s="33" t="str">
        <x:v>EVD282</x:v>
      </x:c>
      <x:c r="B2784" s="33" t="str">
        <x:v>Evidence Master</x:v>
      </x:c>
      <x:c r="C2784" s="33" t="str">
        <x:v>Evidence Required=Sales CAPA Register; Evidence Type=Sale Record; Mandatory=Yes; Retention Category=Transactional; Remarks=Corrective action tracking.</x:v>
      </x:c>
      <x:c r="D2784" s="33" t="str">
        <x:v>Evidence Required=Documentary and transaction evidence demonstrating: Maintain complete and traceable distribution records for all pharmaceutical products.; Evidence Type=Record; Mandatory=Yes; Retention Category=Applicable statutory / operational period; Remarks=P-4 aligned to the normalized parent audit; legacy Evidence ID preserved.</x:v>
      </x:c>
      <x:c r="E2784" s="33" t="str">
        <x:v>CORRECT / RECLASSIFY</x:v>
      </x:c>
      <x:c r="F2784" s="33" t="str">
        <x:v>Quarantine inactive descendants and align existing evidence to normalized audits.</x:v>
      </x:c>
      <x:c r="G2784" s="33" t="str">
        <x:v>P-4 execution-chain reconciliation</x:v>
      </x:c>
      <x:c r="H2784" s="33" t="str">
        <x:v>P-4</x:v>
      </x:c>
      <x:c r="I2784" s="33" t="str">
        <x:v>P-4</x:v>
      </x:c>
      <x:c r="J2784" s="33" t="str">
        <x:v>2026-08-20</x:v>
      </x:c>
      <x:c r="K2784" s="33" t="str">
        <x:v>Evidence IDs preserved and aligned.</x:v>
      </x:c>
    </x:row>
    <x:row r="2785">
      <x:c r="A2785" s="33" t="str">
        <x:v>EVD283</x:v>
      </x:c>
      <x:c r="B2785" s="33" t="str">
        <x:v>Evidence Master</x:v>
      </x:c>
      <x:c r="C2785" s="33" t="str">
        <x:v>Evidence Required=Sales SOP Review Record; Evidence Type=SOP; Mandatory=Yes; Retention Category=Operational; Remarks=Periodic SOP review.</x:v>
      </x:c>
      <x:c r="D2785" s="33" t="str">
        <x:v>Evidence Required=Documentary and transaction evidence demonstrating: Maintain complete and traceable distribution records for all pharmaceutical products.; Evidence Type=Record; Mandatory=Yes; Retention Category=Applicable statutory / operational period; Remarks=P-4 aligned to the normalized parent audit; legacy Evidence ID preserved.</x:v>
      </x:c>
      <x:c r="E2785" s="33" t="str">
        <x:v>CORRECT / RECLASSIFY</x:v>
      </x:c>
      <x:c r="F2785" s="33" t="str">
        <x:v>Quarantine inactive descendants and align existing evidence to normalized audits.</x:v>
      </x:c>
      <x:c r="G2785" s="33" t="str">
        <x:v>P-4 execution-chain reconciliation</x:v>
      </x:c>
      <x:c r="H2785" s="33" t="str">
        <x:v>P-4</x:v>
      </x:c>
      <x:c r="I2785" s="33" t="str">
        <x:v>P-4</x:v>
      </x:c>
      <x:c r="J2785" s="33" t="str">
        <x:v>2026-08-20</x:v>
      </x:c>
      <x:c r="K2785" s="33" t="str">
        <x:v>Evidence IDs preserved and aligned.</x:v>
      </x:c>
    </x:row>
    <x:row r="2786">
      <x:c r="A2786" s="33" t="str">
        <x:v>EVD284</x:v>
      </x:c>
      <x:c r="B2786" s="33" t="str">
        <x:v>Evidence Master</x:v>
      </x:c>
      <x:c r="C2786" s="33" t="str">
        <x:v>Evidence Required=Independent Sales Audit Working Papers; Evidence Type=Sale Record; Mandatory=Yes; Retention Category=Transactional; Remarks=Supporting audit evidence.</x:v>
      </x:c>
      <x:c r="D2786" s="33" t="str">
        <x:v>Evidence Required=Documentary and transaction evidence demonstrating: Maintain complete and traceable distribution records for all pharmaceutical products.; Evidence Type=Record; Mandatory=Yes; Retention Category=Applicable statutory / operational period; Remarks=P-4 aligned to the normalized parent audit; legacy Evidence ID preserved.</x:v>
      </x:c>
      <x:c r="E2786" s="33" t="str">
        <x:v>CORRECT / RECLASSIFY</x:v>
      </x:c>
      <x:c r="F2786" s="33" t="str">
        <x:v>Quarantine inactive descendants and align existing evidence to normalized audits.</x:v>
      </x:c>
      <x:c r="G2786" s="33" t="str">
        <x:v>P-4 execution-chain reconciliation</x:v>
      </x:c>
      <x:c r="H2786" s="33" t="str">
        <x:v>P-4</x:v>
      </x:c>
      <x:c r="I2786" s="33" t="str">
        <x:v>P-4</x:v>
      </x:c>
      <x:c r="J2786" s="33" t="str">
        <x:v>2026-08-20</x:v>
      </x:c>
      <x:c r="K2786" s="33" t="str">
        <x:v>Evidence IDs preserved and aligned.</x:v>
      </x:c>
    </x:row>
    <x:row r="2787">
      <x:c r="A2787" s="33" t="str">
        <x:v>EVD285</x:v>
      </x:c>
      <x:c r="B2787" s="33" t="str">
        <x:v>Evidence Master</x:v>
      </x:c>
      <x:c r="C2787" s="33" t="str">
        <x:v>Evidence Required=Sales Compliance Improvement Plan; Evidence Type=Sale Record; Mandatory=No; Retention Category=Transactional; Remarks=Continuous improvement initiatives.</x:v>
      </x:c>
      <x:c r="D2787" s="33" t="str">
        <x:v>Evidence Required=Documentary and transaction evidence demonstrating: Maintain complete and traceable distribution records for all pharmaceutical products.; Evidence Type=Record; Mandatory=Yes; Retention Category=Applicable statutory / operational period; Remarks=P-4 aligned to the normalized parent audit; legacy Evidence ID preserved.</x:v>
      </x:c>
      <x:c r="E2787" s="33" t="str">
        <x:v>CORRECT / RECLASSIFY</x:v>
      </x:c>
      <x:c r="F2787" s="33" t="str">
        <x:v>Quarantine inactive descendants and align existing evidence to normalized audits.</x:v>
      </x:c>
      <x:c r="G2787" s="33" t="str">
        <x:v>P-4 execution-chain reconciliation</x:v>
      </x:c>
      <x:c r="H2787" s="33" t="str">
        <x:v>P-4</x:v>
      </x:c>
      <x:c r="I2787" s="33" t="str">
        <x:v>P-4</x:v>
      </x:c>
      <x:c r="J2787" s="33" t="str">
        <x:v>2026-08-20</x:v>
      </x:c>
      <x:c r="K2787" s="33" t="str">
        <x:v>Evidence IDs preserved and aligned.</x:v>
      </x:c>
    </x:row>
    <x:row r="2788">
      <x:c r="A2788" s="33" t="str">
        <x:v>EVD286</x:v>
      </x:c>
      <x:c r="B2788" s="33" t="str">
        <x:v>Evidence Master</x:v>
      </x:c>
      <x:c r="C2788" s="33" t="str">
        <x:v>Evidence Required=Suspected Counterfeit Medicine Register; Evidence Type=Register; Mandatory=Yes; Retention Category=Statutory; Remarks=Record all suspected counterfeit products.</x:v>
      </x:c>
      <x:c r="D2788" s="33" t="str">
        <x:v>Evidence Required=Documentary and transaction evidence demonstrating: Continuously monitor and record storage temperature for all temperature-sensitive medicines.; Evidence Type=Record; Mandatory=Yes; Retention Category=Applicable statutory / operational period; Remarks=P-4 aligned to the normalized parent audit; legacy Evidence ID preserved.</x:v>
      </x:c>
      <x:c r="E2788" s="33" t="str">
        <x:v>CORRECT / RECLASSIFY</x:v>
      </x:c>
      <x:c r="F2788" s="33" t="str">
        <x:v>Quarantine inactive descendants and align existing evidence to normalized audits.</x:v>
      </x:c>
      <x:c r="G2788" s="33" t="str">
        <x:v>P-4 execution-chain reconciliation</x:v>
      </x:c>
      <x:c r="H2788" s="33" t="str">
        <x:v>P-4</x:v>
      </x:c>
      <x:c r="I2788" s="33" t="str">
        <x:v>P-4</x:v>
      </x:c>
      <x:c r="J2788" s="33" t="str">
        <x:v>2026-08-20</x:v>
      </x:c>
      <x:c r="K2788" s="33" t="str">
        <x:v>Evidence IDs preserved and aligned.</x:v>
      </x:c>
    </x:row>
    <x:row r="2789">
      <x:c r="A2789" s="33" t="str">
        <x:v>EVD287</x:v>
      </x:c>
      <x:c r="B2789" s="33" t="str">
        <x:v>Evidence Master</x:v>
      </x:c>
      <x:c r="C2789" s="33" t="str">
        <x:v>Evidence Required=Counterfeit Product Quarantine Label; Evidence Type=Document; Mandatory=Yes; Retention Category=Operational; Remarks=Clearly identify isolated products.</x:v>
      </x:c>
      <x:c r="D2789" s="33" t="str">
        <x:v>Evidence Required=Documentary and transaction evidence demonstrating: Continuously monitor and record storage temperature for all temperature-sensitive medicines.; Evidence Type=Record; Mandatory=Yes; Retention Category=Applicable statutory / operational period; Remarks=P-4 aligned to the normalized parent audit; legacy Evidence ID preserved.</x:v>
      </x:c>
      <x:c r="E2789" s="33" t="str">
        <x:v>CORRECT / RECLASSIFY</x:v>
      </x:c>
      <x:c r="F2789" s="33" t="str">
        <x:v>Quarantine inactive descendants and align existing evidence to normalized audits.</x:v>
      </x:c>
      <x:c r="G2789" s="33" t="str">
        <x:v>P-4 execution-chain reconciliation</x:v>
      </x:c>
      <x:c r="H2789" s="33" t="str">
        <x:v>P-4</x:v>
      </x:c>
      <x:c r="I2789" s="33" t="str">
        <x:v>P-4</x:v>
      </x:c>
      <x:c r="J2789" s="33" t="str">
        <x:v>2026-08-20</x:v>
      </x:c>
      <x:c r="K2789" s="33" t="str">
        <x:v>Evidence IDs preserved and aligned.</x:v>
      </x:c>
    </x:row>
    <x:row r="2790">
      <x:c r="A2790" s="33" t="str">
        <x:v>EVD288</x:v>
      </x:c>
      <x:c r="B2790" s="33" t="str">
        <x:v>Evidence Master</x:v>
      </x:c>
      <x:c r="C2790" s="33" t="str">
        <x:v>Evidence Required=Counterfeit Incident Report Submitted to Regulatory Authority; Evidence Type=Report; Mandatory=Yes; Retention Category=Operational; Remarks=Evidence of statutory reporting.</x:v>
      </x:c>
      <x:c r="D2790" s="33" t="str">
        <x:v>Evidence Required=Documentary and transaction evidence demonstrating: Monitor and maintain humidity within prescribed limits where applicable.; Evidence Type=Record; Mandatory=Yes; Retention Category=Applicable statutory / operational period; Remarks=P-4 aligned to the normalized parent audit; legacy Evidence ID preserved.</x:v>
      </x:c>
      <x:c r="E2790" s="33" t="str">
        <x:v>CORRECT / RECLASSIFY</x:v>
      </x:c>
      <x:c r="F2790" s="33" t="str">
        <x:v>Quarantine inactive descendants and align existing evidence to normalized audits.</x:v>
      </x:c>
      <x:c r="G2790" s="33" t="str">
        <x:v>P-4 execution-chain reconciliation</x:v>
      </x:c>
      <x:c r="H2790" s="33" t="str">
        <x:v>P-4</x:v>
      </x:c>
      <x:c r="I2790" s="33" t="str">
        <x:v>P-4</x:v>
      </x:c>
      <x:c r="J2790" s="33" t="str">
        <x:v>2026-08-20</x:v>
      </x:c>
      <x:c r="K2790" s="33" t="str">
        <x:v>Evidence IDs preserved and aligned.</x:v>
      </x:c>
    </x:row>
    <x:row r="2791">
      <x:c r="A2791" s="33" t="str">
        <x:v>EVD289</x:v>
      </x:c>
      <x:c r="B2791" s="33" t="str">
        <x:v>Evidence Master</x:v>
      </x:c>
      <x:c r="C2791" s="33" t="str">
        <x:v>Evidence Required=Regulatory Acknowledgement of Counterfeit Report; Evidence Type=Report; Mandatory=Yes; Retention Category=Operational; Remarks=Proof of submission.</x:v>
      </x:c>
      <x:c r="D2791" s="33" t="str">
        <x:v>Evidence Required=Documentary and transaction evidence demonstrating: Monitor and maintain humidity within prescribed limits where applicable.; Evidence Type=Record; Mandatory=Yes; Retention Category=Applicable statutory / operational period; Remarks=P-4 aligned to the normalized parent audit; legacy Evidence ID preserved.</x:v>
      </x:c>
      <x:c r="E2791" s="33" t="str">
        <x:v>CORRECT / RECLASSIFY</x:v>
      </x:c>
      <x:c r="F2791" s="33" t="str">
        <x:v>Quarantine inactive descendants and align existing evidence to normalized audits.</x:v>
      </x:c>
      <x:c r="G2791" s="33" t="str">
        <x:v>P-4 execution-chain reconciliation</x:v>
      </x:c>
      <x:c r="H2791" s="33" t="str">
        <x:v>P-4</x:v>
      </x:c>
      <x:c r="I2791" s="33" t="str">
        <x:v>P-4</x:v>
      </x:c>
      <x:c r="J2791" s="33" t="str">
        <x:v>2026-08-20</x:v>
      </x:c>
      <x:c r="K2791" s="33" t="str">
        <x:v>Evidence IDs preserved and aligned.</x:v>
      </x:c>
    </x:row>
    <x:row r="2792">
      <x:c r="A2792" s="33" t="str">
        <x:v>EVD290</x:v>
      </x:c>
      <x:c r="B2792" s="33" t="str">
        <x:v>Evidence Master</x:v>
      </x:c>
      <x:c r="C2792" s="33" t="str">
        <x:v>Evidence Required=Product Recall Notification; Evidence Type=Other; Mandatory=Yes; Retention Category=Operational; Remarks=Official recall communication from manufacturer or regulator.</x:v>
      </x:c>
      <x:c r="D2792" s="33" t="str">
        <x:v>Evidence Required=Documentary and transaction evidence demonstrating: Follow the FEFO (First Expiry First Out) inventory management system for stock issuance.; Evidence Type=Record; Mandatory=Yes; Retention Category=Applicable statutory / operational period; Remarks=P-4 aligned to the normalized parent audit; legacy Evidence ID preserved.</x:v>
      </x:c>
      <x:c r="E2792" s="33" t="str">
        <x:v>CORRECT / RECLASSIFY</x:v>
      </x:c>
      <x:c r="F2792" s="33" t="str">
        <x:v>Quarantine inactive descendants and align existing evidence to normalized audits.</x:v>
      </x:c>
      <x:c r="G2792" s="33" t="str">
        <x:v>P-4 execution-chain reconciliation</x:v>
      </x:c>
      <x:c r="H2792" s="33" t="str">
        <x:v>P-4</x:v>
      </x:c>
      <x:c r="I2792" s="33" t="str">
        <x:v>P-4</x:v>
      </x:c>
      <x:c r="J2792" s="33" t="str">
        <x:v>2026-08-20</x:v>
      </x:c>
      <x:c r="K2792" s="33" t="str">
        <x:v>Evidence IDs preserved and aligned.</x:v>
      </x:c>
    </x:row>
    <x:row r="2793">
      <x:c r="A2793" s="33" t="str">
        <x:v>EVD291</x:v>
      </x:c>
      <x:c r="B2793" s="33" t="str">
        <x:v>Evidence Master</x:v>
      </x:c>
      <x:c r="C2793" s="33" t="str">
        <x:v>Evidence Required=Internal Recall Communication Record; Evidence Type=Record; Mandatory=Yes; Retention Category=Operational; Remarks=Evidence of internal notification.</x:v>
      </x:c>
      <x:c r="D2793" s="33" t="str">
        <x:v>Evidence Required=Documentary and transaction evidence demonstrating: Follow the FEFO (First Expiry First Out) inventory management system for stock issuance.; Evidence Type=Record; Mandatory=Yes; Retention Category=Applicable statutory / operational period; Remarks=P-4 aligned to the normalized parent audit; legacy Evidence ID preserved.</x:v>
      </x:c>
      <x:c r="E2793" s="33" t="str">
        <x:v>CORRECT / RECLASSIFY</x:v>
      </x:c>
      <x:c r="F2793" s="33" t="str">
        <x:v>Quarantine inactive descendants and align existing evidence to normalized audits.</x:v>
      </x:c>
      <x:c r="G2793" s="33" t="str">
        <x:v>P-4 execution-chain reconciliation</x:v>
      </x:c>
      <x:c r="H2793" s="33" t="str">
        <x:v>P-4</x:v>
      </x:c>
      <x:c r="I2793" s="33" t="str">
        <x:v>P-4</x:v>
      </x:c>
      <x:c r="J2793" s="33" t="str">
        <x:v>2026-08-20</x:v>
      </x:c>
      <x:c r="K2793" s="33" t="str">
        <x:v>Evidence IDs preserved and aligned.</x:v>
      </x:c>
    </x:row>
    <x:row r="2794">
      <x:c r="A2794" s="33" t="str">
        <x:v>EVD292</x:v>
      </x:c>
      <x:c r="B2794" s="33" t="str">
        <x:v>Evidence Master</x:v>
      </x:c>
      <x:c r="C2794" s="33" t="str">
        <x:v>Evidence Required=Recall Execution Register; Evidence Type=Register; Mandatory=Yes; Retention Category=Statutory; Remarks=Record removal of recalled medicines.</x:v>
      </x:c>
      <x:c r="D2794" s="33" t="str">
        <x:v>Evidence Required=Documentary and transaction evidence demonstrating: Segregate expired, damaged, recalled and rejected medicines from saleable inventory immediately.; Evidence Type=Record; Mandatory=Yes; Retention Category=Applicable statutory / operational period; Remarks=P-4 aligned to the normalized parent audit; legacy Evidence ID preserved.</x:v>
      </x:c>
      <x:c r="E2794" s="33" t="str">
        <x:v>CORRECT / RECLASSIFY</x:v>
      </x:c>
      <x:c r="F2794" s="33" t="str">
        <x:v>Quarantine inactive descendants and align existing evidence to normalized audits.</x:v>
      </x:c>
      <x:c r="G2794" s="33" t="str">
        <x:v>P-4 execution-chain reconciliation</x:v>
      </x:c>
      <x:c r="H2794" s="33" t="str">
        <x:v>P-4</x:v>
      </x:c>
      <x:c r="I2794" s="33" t="str">
        <x:v>P-4</x:v>
      </x:c>
      <x:c r="J2794" s="33" t="str">
        <x:v>2026-08-20</x:v>
      </x:c>
      <x:c r="K2794" s="33" t="str">
        <x:v>Evidence IDs preserved and aligned.</x:v>
      </x:c>
    </x:row>
    <x:row r="2795">
      <x:c r="A2795" s="33" t="str">
        <x:v>EVD293</x:v>
      </x:c>
      <x:c r="B2795" s="33" t="str">
        <x:v>Evidence Master</x:v>
      </x:c>
      <x:c r="C2795" s="33" t="str">
        <x:v>Evidence Required=Shelf Inspection Checklist; Evidence Type=Inspection Report; Mandatory=Yes; Retention Category=Statutory; Remarks=Verify recalled medicines removed.</x:v>
      </x:c>
      <x:c r="D2795" s="33" t="str">
        <x:v>Evidence Required=Documentary and transaction evidence demonstrating: Segregate expired, damaged, recalled and rejected medicines from saleable inventory immediately.; Evidence Type=Record; Mandatory=Yes; Retention Category=Applicable statutory / operational period; Remarks=P-4 aligned to the normalized parent audit; legacy Evidence ID preserved.</x:v>
      </x:c>
      <x:c r="E2795" s="33" t="str">
        <x:v>CORRECT / RECLASSIFY</x:v>
      </x:c>
      <x:c r="F2795" s="33" t="str">
        <x:v>Quarantine inactive descendants and align existing evidence to normalized audits.</x:v>
      </x:c>
      <x:c r="G2795" s="33" t="str">
        <x:v>P-4 execution-chain reconciliation</x:v>
      </x:c>
      <x:c r="H2795" s="33" t="str">
        <x:v>P-4</x:v>
      </x:c>
      <x:c r="I2795" s="33" t="str">
        <x:v>P-4</x:v>
      </x:c>
      <x:c r="J2795" s="33" t="str">
        <x:v>2026-08-20</x:v>
      </x:c>
      <x:c r="K2795" s="33" t="str">
        <x:v>Evidence IDs preserved and aligned.</x:v>
      </x:c>
    </x:row>
    <x:row r="2796">
      <x:c r="A2796" s="33" t="str">
        <x:v>EVD294</x:v>
      </x:c>
      <x:c r="B2796" s="33" t="str">
        <x:v>Evidence Master</x:v>
      </x:c>
      <x:c r="C2796" s="33" t="str">
        <x:v>Evidence Required=Quarantine Register for Recalled Medicines; Evidence Type=Register; Mandatory=Yes; Retention Category=Statutory; Remarks=Segregation evidence.</x:v>
      </x:c>
      <x:c r="D2796" s="33" t="str">
        <x:v>Evidence Required=Documentary and transaction evidence demonstrating: Maintain storage areas in a clean, hygienic and pest-free condition.; Evidence Type=Record; Mandatory=Yes; Retention Category=Applicable statutory / operational period; Remarks=P-4 aligned to the normalized parent audit; legacy Evidence ID preserved.</x:v>
      </x:c>
      <x:c r="E2796" s="33" t="str">
        <x:v>CORRECT / RECLASSIFY</x:v>
      </x:c>
      <x:c r="F2796" s="33" t="str">
        <x:v>Quarantine inactive descendants and align existing evidence to normalized audits.</x:v>
      </x:c>
      <x:c r="G2796" s="33" t="str">
        <x:v>P-4 execution-chain reconciliation</x:v>
      </x:c>
      <x:c r="H2796" s="33" t="str">
        <x:v>P-4</x:v>
      </x:c>
      <x:c r="I2796" s="33" t="str">
        <x:v>P-4</x:v>
      </x:c>
      <x:c r="J2796" s="33" t="str">
        <x:v>2026-08-20</x:v>
      </x:c>
      <x:c r="K2796" s="33" t="str">
        <x:v>Evidence IDs preserved and aligned.</x:v>
      </x:c>
    </x:row>
    <x:row r="2797">
      <x:c r="A2797" s="33" t="str">
        <x:v>EVD295</x:v>
      </x:c>
      <x:c r="B2797" s="33" t="str">
        <x:v>Evidence Master</x:v>
      </x:c>
      <x:c r="C2797" s="33" t="str">
        <x:v>Evidence Required=Quarantine Area Photograph; Evidence Type=Photograph; Mandatory=No; Retention Category=Operational; Remarks=Inspection support.</x:v>
      </x:c>
      <x:c r="D2797" s="33" t="str">
        <x:v>Evidence Required=Documentary and transaction evidence demonstrating: Maintain storage areas in a clean, hygienic and pest-free condition.; Evidence Type=Record; Mandatory=Yes; Retention Category=Applicable statutory / operational period; Remarks=P-4 aligned to the normalized parent audit; legacy Evidence ID preserved.</x:v>
      </x:c>
      <x:c r="E2797" s="33" t="str">
        <x:v>CORRECT / RECLASSIFY</x:v>
      </x:c>
      <x:c r="F2797" s="33" t="str">
        <x:v>Quarantine inactive descendants and align existing evidence to normalized audits.</x:v>
      </x:c>
      <x:c r="G2797" s="33" t="str">
        <x:v>P-4 execution-chain reconciliation</x:v>
      </x:c>
      <x:c r="H2797" s="33" t="str">
        <x:v>P-4</x:v>
      </x:c>
      <x:c r="I2797" s="33" t="str">
        <x:v>P-4</x:v>
      </x:c>
      <x:c r="J2797" s="33" t="str">
        <x:v>2026-08-20</x:v>
      </x:c>
      <x:c r="K2797" s="33" t="str">
        <x:v>Evidence IDs preserved and aligned.</x:v>
      </x:c>
    </x:row>
    <x:row r="2798">
      <x:c r="A2798" s="33" t="str">
        <x:v>EVD296</x:v>
      </x:c>
      <x:c r="B2798" s="33" t="str">
        <x:v>Evidence Master</x:v>
      </x:c>
      <x:c r="C2798" s="33" t="str">
        <x:v>Evidence Required=Customer Recall Notification Register; Evidence Type=Register; Mandatory=Yes; Retention Category=Statutory; Remarks=Record customer communication.</x:v>
      </x:c>
      <x:c r="D2798" s="33" t="str">
        <x:v>Evidence Required=Documentary and transaction evidence demonstrating: Initiate product recall immediately upon receipt of recall notice or identification of defective products.; Evidence Type=Record; Mandatory=Yes; Retention Category=Applicable statutory / operational period; Remarks=P-4 aligned to the normalized parent audit; legacy Evidence ID preserved.</x:v>
      </x:c>
      <x:c r="E2798" s="33" t="str">
        <x:v>CORRECT / RECLASSIFY</x:v>
      </x:c>
      <x:c r="F2798" s="33" t="str">
        <x:v>Quarantine inactive descendants and align existing evidence to normalized audits.</x:v>
      </x:c>
      <x:c r="G2798" s="33" t="str">
        <x:v>P-4 execution-chain reconciliation</x:v>
      </x:c>
      <x:c r="H2798" s="33" t="str">
        <x:v>P-4</x:v>
      </x:c>
      <x:c r="I2798" s="33" t="str">
        <x:v>P-4</x:v>
      </x:c>
      <x:c r="J2798" s="33" t="str">
        <x:v>2026-08-20</x:v>
      </x:c>
      <x:c r="K2798" s="33" t="str">
        <x:v>Evidence IDs preserved and aligned.</x:v>
      </x:c>
    </x:row>
    <x:row r="2799">
      <x:c r="A2799" s="33" t="str">
        <x:v>EVD297</x:v>
      </x:c>
      <x:c r="B2799" s="33" t="str">
        <x:v>Evidence Master</x:v>
      </x:c>
      <x:c r="C2799" s="33" t="str">
        <x:v>Evidence Required=Customer Communication Copies; Evidence Type=Other; Mandatory=Yes; Retention Category=Operational; Remarks=Letters, SMS, email or phone log.</x:v>
      </x:c>
      <x:c r="D2799" s="33" t="str">
        <x:v>Evidence Required=Documentary and transaction evidence demonstrating: Initiate product recall immediately upon receipt of recall notice or identification of defective products.; Evidence Type=Record; Mandatory=Yes; Retention Category=Applicable statutory / operational period; Remarks=P-4 aligned to the normalized parent audit; legacy Evidence ID preserved.</x:v>
      </x:c>
      <x:c r="E2799" s="33" t="str">
        <x:v>CORRECT / RECLASSIFY</x:v>
      </x:c>
      <x:c r="F2799" s="33" t="str">
        <x:v>Quarantine inactive descendants and align existing evidence to normalized audits.</x:v>
      </x:c>
      <x:c r="G2799" s="33" t="str">
        <x:v>P-4 execution-chain reconciliation</x:v>
      </x:c>
      <x:c r="H2799" s="33" t="str">
        <x:v>P-4</x:v>
      </x:c>
      <x:c r="I2799" s="33" t="str">
        <x:v>P-4</x:v>
      </x:c>
      <x:c r="J2799" s="33" t="str">
        <x:v>2026-08-20</x:v>
      </x:c>
      <x:c r="K2799" s="33" t="str">
        <x:v>Evidence IDs preserved and aligned.</x:v>
      </x:c>
    </x:row>
    <x:row r="2800">
      <x:c r="A2800" s="33" t="str">
        <x:v>EVD298</x:v>
      </x:c>
      <x:c r="B2800" s="33" t="str">
        <x:v>Evidence Master</x:v>
      </x:c>
      <x:c r="C2800" s="33" t="str">
        <x:v>Evidence Required=Supplier Recall Communication; Evidence Type=Other; Mandatory=Yes; Retention Category=Operational; Remarks=Notify supplier where required.</x:v>
      </x:c>
      <x:c r="D2800" s="33" t="str">
        <x:v>Evidence Required=Documentary and transaction evidence demonstrating: Classify recalled products according to the applicable recall category and risk level.; Evidence Type=Record; Mandatory=Yes; Retention Category=Applicable statutory / operational period; Remarks=P-4 aligned to the normalized parent audit; legacy Evidence ID preserved.</x:v>
      </x:c>
      <x:c r="E2800" s="33" t="str">
        <x:v>CORRECT / RECLASSIFY</x:v>
      </x:c>
      <x:c r="F2800" s="33" t="str">
        <x:v>Quarantine inactive descendants and align existing evidence to normalized audits.</x:v>
      </x:c>
      <x:c r="G2800" s="33" t="str">
        <x:v>P-4 execution-chain reconciliation</x:v>
      </x:c>
      <x:c r="H2800" s="33" t="str">
        <x:v>P-4</x:v>
      </x:c>
      <x:c r="I2800" s="33" t="str">
        <x:v>P-4</x:v>
      </x:c>
      <x:c r="J2800" s="33" t="str">
        <x:v>2026-08-20</x:v>
      </x:c>
      <x:c r="K2800" s="33" t="str">
        <x:v>Evidence IDs preserved and aligned.</x:v>
      </x:c>
    </x:row>
    <x:row r="2801">
      <x:c r="A2801" s="33" t="str">
        <x:v>EVD299</x:v>
      </x:c>
      <x:c r="B2801" s="33" t="str">
        <x:v>Evidence Master</x:v>
      </x:c>
      <x:c r="C2801" s="33" t="str">
        <x:v>Evidence Required=Supplier Acknowledgement; Evidence Type=Document; Mandatory=Yes; Retention Category=Operational; Remarks=Confirmation of receipt.</x:v>
      </x:c>
      <x:c r="D2801" s="33" t="str">
        <x:v>Evidence Required=Documentary and transaction evidence demonstrating: Classify recalled products according to the applicable recall category and risk level.; Evidence Type=Record; Mandatory=Yes; Retention Category=Applicable statutory / operational period; Remarks=P-4 aligned to the normalized parent audit; legacy Evidence ID preserved.</x:v>
      </x:c>
      <x:c r="E2801" s="33" t="str">
        <x:v>CORRECT / RECLASSIFY</x:v>
      </x:c>
      <x:c r="F2801" s="33" t="str">
        <x:v>Quarantine inactive descendants and align existing evidence to normalized audits.</x:v>
      </x:c>
      <x:c r="G2801" s="33" t="str">
        <x:v>P-4 execution-chain reconciliation</x:v>
      </x:c>
      <x:c r="H2801" s="33" t="str">
        <x:v>P-4</x:v>
      </x:c>
      <x:c r="I2801" s="33" t="str">
        <x:v>P-4</x:v>
      </x:c>
      <x:c r="J2801" s="33" t="str">
        <x:v>2026-08-20</x:v>
      </x:c>
      <x:c r="K2801" s="33" t="str">
        <x:v>Evidence IDs preserved and aligned.</x:v>
      </x:c>
    </x:row>
    <x:row r="2802">
      <x:c r="A2802" s="33" t="str">
        <x:v>EVD300</x:v>
      </x:c>
      <x:c r="B2802" s="33" t="str">
        <x:v>Evidence Master</x:v>
      </x:c>
      <x:c r="C2802" s="33" t="str">
        <x:v>Evidence Required=Recall Effectiveness Report; Evidence Type=Report; Mandatory=Yes; Retention Category=Operational; Remarks=Verify recall completion.</x:v>
      </x:c>
      <x:c r="D2802" s="33" t="str">
        <x:v>Evidence Required=Documentary and transaction evidence demonstrating: Notify customers, distributors and regulatory authorities as required during product recall.; Evidence Type=Record; Mandatory=Yes; Retention Category=Applicable statutory / operational period; Remarks=P-4 aligned to the normalized parent audit; legacy Evidence ID preserved.</x:v>
      </x:c>
      <x:c r="E2802" s="33" t="str">
        <x:v>CORRECT / RECLASSIFY</x:v>
      </x:c>
      <x:c r="F2802" s="33" t="str">
        <x:v>Quarantine inactive descendants and align existing evidence to normalized audits.</x:v>
      </x:c>
      <x:c r="G2802" s="33" t="str">
        <x:v>P-4 execution-chain reconciliation</x:v>
      </x:c>
      <x:c r="H2802" s="33" t="str">
        <x:v>P-4</x:v>
      </x:c>
      <x:c r="I2802" s="33" t="str">
        <x:v>P-4</x:v>
      </x:c>
      <x:c r="J2802" s="33" t="str">
        <x:v>2026-08-20</x:v>
      </x:c>
      <x:c r="K2802" s="33" t="str">
        <x:v>Evidence IDs preserved and aligned.</x:v>
      </x:c>
    </x:row>
    <x:row r="2803">
      <x:c r="A2803" s="33" t="str">
        <x:v>EVD301</x:v>
      </x:c>
      <x:c r="B2803" s="33" t="str">
        <x:v>Evidence Master</x:v>
      </x:c>
      <x:c r="C2803" s="33" t="str">
        <x:v>Evidence Required=Recall Reconciliation Report; Evidence Type=Report; Mandatory=Yes; Retention Category=Operational; Remarks=Compare distributed and recovered quantities.</x:v>
      </x:c>
      <x:c r="D2803" s="33" t="str">
        <x:v>Evidence Required=Documentary and transaction evidence demonstrating: Notify customers, distributors and regulatory authorities as required during product recall.; Evidence Type=Record; Mandatory=Yes; Retention Category=Applicable statutory / operational period; Remarks=P-4 aligned to the normalized parent audit; legacy Evidence ID preserved.</x:v>
      </x:c>
      <x:c r="E2803" s="33" t="str">
        <x:v>CORRECT / RECLASSIFY</x:v>
      </x:c>
      <x:c r="F2803" s="33" t="str">
        <x:v>Quarantine inactive descendants and align existing evidence to normalized audits.</x:v>
      </x:c>
      <x:c r="G2803" s="33" t="str">
        <x:v>P-4 execution-chain reconciliation</x:v>
      </x:c>
      <x:c r="H2803" s="33" t="str">
        <x:v>P-4</x:v>
      </x:c>
      <x:c r="I2803" s="33" t="str">
        <x:v>P-4</x:v>
      </x:c>
      <x:c r="J2803" s="33" t="str">
        <x:v>2026-08-20</x:v>
      </x:c>
      <x:c r="K2803" s="33" t="str">
        <x:v>Evidence IDs preserved and aligned.</x:v>
      </x:c>
    </x:row>
    <x:row r="2804">
      <x:c r="A2804" s="33" t="str">
        <x:v>EVD302</x:v>
      </x:c>
      <x:c r="B2804" s="33" t="str">
        <x:v>Evidence Master</x:v>
      </x:c>
      <x:c r="C2804" s="33" t="str">
        <x:v>Evidence Required=Disposal Authorization for Recalled Medicines; Evidence Type=Approval; Mandatory=Yes; Retention Category=Permanent; Remarks=Obtain approval before disposal.</x:v>
      </x:c>
      <x:c r="D2804" s="33" t="str">
        <x:v>Evidence Required=Documentary and transaction evidence demonstrating: Verify the effectiveness of product recall by reconciling quantities distributed and recovered.; Evidence Type=Record; Mandatory=Yes; Retention Category=Applicable statutory / operational period; Remarks=P-4 aligned to the normalized parent audit; legacy Evidence ID preserved.</x:v>
      </x:c>
      <x:c r="E2804" s="33" t="str">
        <x:v>CORRECT / RECLASSIFY</x:v>
      </x:c>
      <x:c r="F2804" s="33" t="str">
        <x:v>Quarantine inactive descendants and align existing evidence to normalized audits.</x:v>
      </x:c>
      <x:c r="G2804" s="33" t="str">
        <x:v>P-4 execution-chain reconciliation</x:v>
      </x:c>
      <x:c r="H2804" s="33" t="str">
        <x:v>P-4</x:v>
      </x:c>
      <x:c r="I2804" s="33" t="str">
        <x:v>P-4</x:v>
      </x:c>
      <x:c r="J2804" s="33" t="str">
        <x:v>2026-08-20</x:v>
      </x:c>
      <x:c r="K2804" s="33" t="str">
        <x:v>Evidence IDs preserved and aligned.</x:v>
      </x:c>
    </x:row>
    <x:row r="2805">
      <x:c r="A2805" s="33" t="str">
        <x:v>EVD303</x:v>
      </x:c>
      <x:c r="B2805" s="33" t="str">
        <x:v>Evidence Master</x:v>
      </x:c>
      <x:c r="C2805" s="33" t="str">
        <x:v>Evidence Required=Disposal Certificate; Evidence Type=Certificate; Mandatory=Yes; Retention Category=Permanent; Remarks=Issued after destruction.</x:v>
      </x:c>
      <x:c r="D2805" s="33" t="str">
        <x:v>Evidence Required=Documentary and transaction evidence demonstrating: Verify the effectiveness of product recall by reconciling quantities distributed and recovered.; Evidence Type=Record; Mandatory=Yes; Retention Category=Applicable statutory / operational period; Remarks=P-4 aligned to the normalized parent audit; legacy Evidence ID preserved.</x:v>
      </x:c>
      <x:c r="E2805" s="33" t="str">
        <x:v>CORRECT / RECLASSIFY</x:v>
      </x:c>
      <x:c r="F2805" s="33" t="str">
        <x:v>Quarantine inactive descendants and align existing evidence to normalized audits.</x:v>
      </x:c>
      <x:c r="G2805" s="33" t="str">
        <x:v>P-4 execution-chain reconciliation</x:v>
      </x:c>
      <x:c r="H2805" s="33" t="str">
        <x:v>P-4</x:v>
      </x:c>
      <x:c r="I2805" s="33" t="str">
        <x:v>P-4</x:v>
      </x:c>
      <x:c r="J2805" s="33" t="str">
        <x:v>2026-08-20</x:v>
      </x:c>
      <x:c r="K2805" s="33" t="str">
        <x:v>Evidence IDs preserved and aligned.</x:v>
      </x:c>
    </x:row>
    <x:row r="2806">
      <x:c r="A2806" s="33" t="str">
        <x:v>EVD304</x:v>
      </x:c>
      <x:c r="B2806" s="33" t="str">
        <x:v>Evidence Master</x:v>
      </x:c>
      <x:c r="C2806" s="33" t="str">
        <x:v>Evidence Required=Recall Register; Evidence Type=Register; Mandatory=Yes; Retention Category=Statutory; Remarks=Complete recall history.</x:v>
      </x:c>
      <x:c r="D2806" s="33" t="str">
        <x:v>Evidence Required=Documentary and transaction evidence demonstrating: Maintain complete documentation supporting recall closure and regulatory reporting.; Evidence Type=Record; Mandatory=Yes; Retention Category=Applicable statutory / operational period; Remarks=P-4 aligned to the normalized parent audit; legacy Evidence ID preserved.</x:v>
      </x:c>
      <x:c r="E2806" s="33" t="str">
        <x:v>CORRECT / RECLASSIFY</x:v>
      </x:c>
      <x:c r="F2806" s="33" t="str">
        <x:v>Quarantine inactive descendants and align existing evidence to normalized audits.</x:v>
      </x:c>
      <x:c r="G2806" s="33" t="str">
        <x:v>P-4 execution-chain reconciliation</x:v>
      </x:c>
      <x:c r="H2806" s="33" t="str">
        <x:v>P-4</x:v>
      </x:c>
      <x:c r="I2806" s="33" t="str">
        <x:v>P-4</x:v>
      </x:c>
      <x:c r="J2806" s="33" t="str">
        <x:v>2026-08-20</x:v>
      </x:c>
      <x:c r="K2806" s="33" t="str">
        <x:v>Evidence IDs preserved and aligned.</x:v>
      </x:c>
    </x:row>
    <x:row r="2807">
      <x:c r="A2807" s="33" t="str">
        <x:v>EVD305</x:v>
      </x:c>
      <x:c r="B2807" s="33" t="str">
        <x:v>Evidence Master</x:v>
      </x:c>
      <x:c r="C2807" s="33" t="str">
        <x:v>Evidence Required=Recall File; Evidence Type=Document; Mandatory=Yes; Retention Category=Operational; Remarks=Supporting recall documentation.</x:v>
      </x:c>
      <x:c r="D2807" s="33" t="str">
        <x:v>Evidence Required=Documentary and transaction evidence demonstrating: Maintain complete documentation supporting recall closure and regulatory reporting.; Evidence Type=Record; Mandatory=Yes; Retention Category=Applicable statutory / operational period; Remarks=P-4 aligned to the normalized parent audit; legacy Evidence ID preserved.</x:v>
      </x:c>
      <x:c r="E2807" s="33" t="str">
        <x:v>CORRECT / RECLASSIFY</x:v>
      </x:c>
      <x:c r="F2807" s="33" t="str">
        <x:v>Quarantine inactive descendants and align existing evidence to normalized audits.</x:v>
      </x:c>
      <x:c r="G2807" s="33" t="str">
        <x:v>P-4 execution-chain reconciliation</x:v>
      </x:c>
      <x:c r="H2807" s="33" t="str">
        <x:v>P-4</x:v>
      </x:c>
      <x:c r="I2807" s="33" t="str">
        <x:v>P-4</x:v>
      </x:c>
      <x:c r="J2807" s="33" t="str">
        <x:v>2026-08-20</x:v>
      </x:c>
      <x:c r="K2807" s="33" t="str">
        <x:v>Evidence IDs preserved and aligned.</x:v>
      </x:c>
    </x:row>
    <x:row r="2808">
      <x:c r="A2808" s="33" t="str">
        <x:v>EVD306</x:v>
      </x:c>
      <x:c r="B2808" s="33" t="str">
        <x:v>Evidence Master</x:v>
      </x:c>
      <x:c r="C2808" s="33" t="str">
        <x:v>Evidence Required=Staff Recall Communication Record; Evidence Type=Record; Mandatory=Yes; Retention Category=Operational; Remarks=Notify affected personnel.</x:v>
      </x:c>
      <x:c r="D2808" s="33" t="str">
        <x:v>Evidence Required=Documentary and transaction evidence demonstrating: Establish a documented process for receiving product complaints from customers.; Evidence Type=Record; Mandatory=Yes; Retention Category=Applicable statutory / operational period; Remarks=P-4 aligned to the normalized parent audit; legacy Evidence ID preserved.</x:v>
      </x:c>
      <x:c r="E2808" s="33" t="str">
        <x:v>CORRECT / RECLASSIFY</x:v>
      </x:c>
      <x:c r="F2808" s="33" t="str">
        <x:v>Quarantine inactive descendants and align existing evidence to normalized audits.</x:v>
      </x:c>
      <x:c r="G2808" s="33" t="str">
        <x:v>P-4 execution-chain reconciliation</x:v>
      </x:c>
      <x:c r="H2808" s="33" t="str">
        <x:v>P-4</x:v>
      </x:c>
      <x:c r="I2808" s="33" t="str">
        <x:v>P-4</x:v>
      </x:c>
      <x:c r="J2808" s="33" t="str">
        <x:v>2026-08-20</x:v>
      </x:c>
      <x:c r="K2808" s="33" t="str">
        <x:v>Evidence IDs preserved and aligned.</x:v>
      </x:c>
    </x:row>
    <x:row r="2809">
      <x:c r="A2809" s="33" t="str">
        <x:v>EVD307</x:v>
      </x:c>
      <x:c r="B2809" s="33" t="str">
        <x:v>Evidence Master</x:v>
      </x:c>
      <x:c r="C2809" s="33" t="str">
        <x:v>Evidence Required=Staff Acknowledgement Record; Evidence Type=Record; Mandatory=Yes; Retention Category=Operational; Remarks=Confirm communication received.</x:v>
      </x:c>
      <x:c r="D2809" s="33" t="str">
        <x:v>Evidence Required=Documentary and transaction evidence demonstrating: Establish a documented process for receiving product complaints from customers.; Evidence Type=Record; Mandatory=Yes; Retention Category=Applicable statutory / operational period; Remarks=P-4 aligned to the normalized parent audit; legacy Evidence ID preserved.</x:v>
      </x:c>
      <x:c r="E2809" s="33" t="str">
        <x:v>CORRECT / RECLASSIFY</x:v>
      </x:c>
      <x:c r="F2809" s="33" t="str">
        <x:v>Quarantine inactive descendants and align existing evidence to normalized audits.</x:v>
      </x:c>
      <x:c r="G2809" s="33" t="str">
        <x:v>P-4 execution-chain reconciliation</x:v>
      </x:c>
      <x:c r="H2809" s="33" t="str">
        <x:v>P-4</x:v>
      </x:c>
      <x:c r="I2809" s="33" t="str">
        <x:v>P-4</x:v>
      </x:c>
      <x:c r="J2809" s="33" t="str">
        <x:v>2026-08-20</x:v>
      </x:c>
      <x:c r="K2809" s="33" t="str">
        <x:v>Evidence IDs preserved and aligned.</x:v>
      </x:c>
    </x:row>
    <x:row r="2810">
      <x:c r="A2810" s="33" t="str">
        <x:v>EVD308</x:v>
      </x:c>
      <x:c r="B2810" s="33" t="str">
        <x:v>Evidence Master</x:v>
      </x:c>
      <x:c r="C2810" s="33" t="str">
        <x:v>Evidence Required=Mock Recall Report; Evidence Type=Report; Mandatory=Yes; Retention Category=Operational; Remarks=Demonstrates recall readiness.</x:v>
      </x:c>
      <x:c r="D2810" s="33" t="str">
        <x:v>Evidence Required=Documentary and transaction evidence demonstrating: Investigate every product complaint and document findings appropriately.; Evidence Type=Record; Mandatory=Yes; Retention Category=Applicable statutory / operational period; Remarks=P-4 aligned to the normalized parent audit; legacy Evidence ID preserved.</x:v>
      </x:c>
      <x:c r="E2810" s="33" t="str">
        <x:v>CORRECT / RECLASSIFY</x:v>
      </x:c>
      <x:c r="F2810" s="33" t="str">
        <x:v>Quarantine inactive descendants and align existing evidence to normalized audits.</x:v>
      </x:c>
      <x:c r="G2810" s="33" t="str">
        <x:v>P-4 execution-chain reconciliation</x:v>
      </x:c>
      <x:c r="H2810" s="33" t="str">
        <x:v>P-4</x:v>
      </x:c>
      <x:c r="I2810" s="33" t="str">
        <x:v>P-4</x:v>
      </x:c>
      <x:c r="J2810" s="33" t="str">
        <x:v>2026-08-20</x:v>
      </x:c>
      <x:c r="K2810" s="33" t="str">
        <x:v>Evidence IDs preserved and aligned.</x:v>
      </x:c>
    </x:row>
    <x:row r="2811">
      <x:c r="A2811" s="33" t="str">
        <x:v>EVD309</x:v>
      </x:c>
      <x:c r="B2811" s="33" t="str">
        <x:v>Evidence Master</x:v>
      </x:c>
      <x:c r="C2811" s="33" t="str">
        <x:v>Evidence Required=Mock Recall CAPA Report; Evidence Type=Report; Mandatory=Yes; Retention Category=Operational; Remarks=Improvement actions from exercise.</x:v>
      </x:c>
      <x:c r="D2811" s="33" t="str">
        <x:v>Evidence Required=Documentary and transaction evidence demonstrating: Investigate every product complaint and document findings appropriately.; Evidence Type=Record; Mandatory=Yes; Retention Category=Applicable statutory / operational period; Remarks=P-4 aligned to the normalized parent audit; legacy Evidence ID preserved.</x:v>
      </x:c>
      <x:c r="E2811" s="33" t="str">
        <x:v>CORRECT / RECLASSIFY</x:v>
      </x:c>
      <x:c r="F2811" s="33" t="str">
        <x:v>Quarantine inactive descendants and align existing evidence to normalized audits.</x:v>
      </x:c>
      <x:c r="G2811" s="33" t="str">
        <x:v>P-4 execution-chain reconciliation</x:v>
      </x:c>
      <x:c r="H2811" s="33" t="str">
        <x:v>P-4</x:v>
      </x:c>
      <x:c r="I2811" s="33" t="str">
        <x:v>P-4</x:v>
      </x:c>
      <x:c r="J2811" s="33" t="str">
        <x:v>2026-08-20</x:v>
      </x:c>
      <x:c r="K2811" s="33" t="str">
        <x:v>Evidence IDs preserved and aligned.</x:v>
      </x:c>
    </x:row>
    <x:row r="2812">
      <x:c r="A2812" s="33" t="str">
        <x:v>EVD310</x:v>
      </x:c>
      <x:c r="B2812" s="33" t="str">
        <x:v>Evidence Master</x:v>
      </x:c>
      <x:c r="C2812" s="33" t="str">
        <x:v>Evidence Required=Adverse Drug Reaction (ADR) Register; Evidence Type=Register; Mandatory=Yes; Retention Category=Statutory; Remarks=Mandatory pharmacovigilance record.</x:v>
      </x:c>
      <x:c r="D2812" s="33" t="str">
        <x:v>Evidence Required=Documentary and transaction evidence demonstrating: Maintain a complaint register and supporting investigation records.; Evidence Type=Record; Mandatory=Yes; Retention Category=Applicable statutory / operational period; Remarks=P-4 aligned to the normalized parent audit; legacy Evidence ID preserved.</x:v>
      </x:c>
      <x:c r="E2812" s="33" t="str">
        <x:v>CORRECT / RECLASSIFY</x:v>
      </x:c>
      <x:c r="F2812" s="33" t="str">
        <x:v>Quarantine inactive descendants and align existing evidence to normalized audits.</x:v>
      </x:c>
      <x:c r="G2812" s="33" t="str">
        <x:v>P-4 execution-chain reconciliation</x:v>
      </x:c>
      <x:c r="H2812" s="33" t="str">
        <x:v>P-4</x:v>
      </x:c>
      <x:c r="I2812" s="33" t="str">
        <x:v>P-4</x:v>
      </x:c>
      <x:c r="J2812" s="33" t="str">
        <x:v>2026-08-20</x:v>
      </x:c>
      <x:c r="K2812" s="33" t="str">
        <x:v>Evidence IDs preserved and aligned.</x:v>
      </x:c>
    </x:row>
    <x:row r="2813">
      <x:c r="A2813" s="33" t="str">
        <x:v>EVD311</x:v>
      </x:c>
      <x:c r="B2813" s="33" t="str">
        <x:v>Evidence Master</x:v>
      </x:c>
      <x:c r="C2813" s="33" t="str">
        <x:v>Evidence Required=ADR Investigation Record; Evidence Type=Record; Mandatory=Yes; Retention Category=Operational; Remarks=Investigation documentation.</x:v>
      </x:c>
      <x:c r="D2813" s="33" t="str">
        <x:v>Evidence Required=Documentary and transaction evidence demonstrating: Maintain a complaint register and supporting investigation records.; Evidence Type=Record; Mandatory=Yes; Retention Category=Applicable statutory / operational period; Remarks=P-4 aligned to the normalized parent audit; legacy Evidence ID preserved.</x:v>
      </x:c>
      <x:c r="E2813" s="33" t="str">
        <x:v>CORRECT / RECLASSIFY</x:v>
      </x:c>
      <x:c r="F2813" s="33" t="str">
        <x:v>Quarantine inactive descendants and align existing evidence to normalized audits.</x:v>
      </x:c>
      <x:c r="G2813" s="33" t="str">
        <x:v>P-4 execution-chain reconciliation</x:v>
      </x:c>
      <x:c r="H2813" s="33" t="str">
        <x:v>P-4</x:v>
      </x:c>
      <x:c r="I2813" s="33" t="str">
        <x:v>P-4</x:v>
      </x:c>
      <x:c r="J2813" s="33" t="str">
        <x:v>2026-08-20</x:v>
      </x:c>
      <x:c r="K2813" s="33" t="str">
        <x:v>Evidence IDs preserved and aligned.</x:v>
      </x:c>
    </x:row>
    <x:row r="2814">
      <x:c r="A2814" s="33" t="str">
        <x:v>EVD312</x:v>
      </x:c>
      <x:c r="B2814" s="33" t="str">
        <x:v>Evidence Master</x:v>
      </x:c>
      <x:c r="C2814" s="33" t="str">
        <x:v>Evidence Required=ADR Reporting Form; Evidence Type=Report; Mandatory=Yes; Retention Category=Operational; Remarks=Submitted to appropriate authority.</x:v>
      </x:c>
      <x:c r="D2814" s="33" t="str">
        <x:v>Evidence Required=Documentary and transaction evidence demonstrating: Close product complaints only after investigation, corrective action and documentation are completed.; Evidence Type=Record; Mandatory=Yes; Retention Category=Applicable statutory / operational period; Remarks=P-4 aligned to the normalized parent audit; legacy Evidence ID preserved.</x:v>
      </x:c>
      <x:c r="E2814" s="33" t="str">
        <x:v>CORRECT / RECLASSIFY</x:v>
      </x:c>
      <x:c r="F2814" s="33" t="str">
        <x:v>Quarantine inactive descendants and align existing evidence to normalized audits.</x:v>
      </x:c>
      <x:c r="G2814" s="33" t="str">
        <x:v>P-4 execution-chain reconciliation</x:v>
      </x:c>
      <x:c r="H2814" s="33" t="str">
        <x:v>P-4</x:v>
      </x:c>
      <x:c r="I2814" s="33" t="str">
        <x:v>P-4</x:v>
      </x:c>
      <x:c r="J2814" s="33" t="str">
        <x:v>2026-08-20</x:v>
      </x:c>
      <x:c r="K2814" s="33" t="str">
        <x:v>Evidence IDs preserved and aligned.</x:v>
      </x:c>
    </x:row>
    <x:row r="2815">
      <x:c r="A2815" s="33" t="str">
        <x:v>EVD313</x:v>
      </x:c>
      <x:c r="B2815" s="33" t="str">
        <x:v>Evidence Master</x:v>
      </x:c>
      <x:c r="C2815" s="33" t="str">
        <x:v>Evidence Required=ADR Submission Acknowledgement; Evidence Type=Document; Mandatory=Yes; Retention Category=Operational; Remarks=Proof of reporting.</x:v>
      </x:c>
      <x:c r="D2815" s="33" t="str">
        <x:v>Evidence Required=Documentary and transaction evidence demonstrating: Close product complaints only after investigation, corrective action and documentation are completed.; Evidence Type=Record; Mandatory=Yes; Retention Category=Applicable statutory / operational period; Remarks=P-4 aligned to the normalized parent audit; legacy Evidence ID preserved.</x:v>
      </x:c>
      <x:c r="E2815" s="33" t="str">
        <x:v>CORRECT / RECLASSIFY</x:v>
      </x:c>
      <x:c r="F2815" s="33" t="str">
        <x:v>Quarantine inactive descendants and align existing evidence to normalized audits.</x:v>
      </x:c>
      <x:c r="G2815" s="33" t="str">
        <x:v>P-4 execution-chain reconciliation</x:v>
      </x:c>
      <x:c r="H2815" s="33" t="str">
        <x:v>P-4</x:v>
      </x:c>
      <x:c r="I2815" s="33" t="str">
        <x:v>P-4</x:v>
      </x:c>
      <x:c r="J2815" s="33" t="str">
        <x:v>2026-08-20</x:v>
      </x:c>
      <x:c r="K2815" s="33" t="str">
        <x:v>Evidence IDs preserved and aligned.</x:v>
      </x:c>
    </x:row>
    <x:row r="2816">
      <x:c r="A2816" s="33" t="str">
        <x:v>EVD314</x:v>
      </x:c>
      <x:c r="B2816" s="33" t="str">
        <x:v>Evidence Master</x:v>
      </x:c>
      <x:c r="C2816" s="33" t="str">
        <x:v>Evidence Required=Product Quality Complaint Register; Evidence Type=Register; Mandatory=Yes; Retention Category=Statutory; Remarks=Record quality complaints.</x:v>
      </x:c>
      <x:c r="D2816" s="33" t="str">
        <x:v>Evidence Required=Documentary and transaction evidence demonstrating: Report suspected adverse drug reactions to the Pharmacovigilance Programme of India whenever required.; Evidence Type=Record; Mandatory=Yes; Retention Category=Applicable statutory / operational period; Remarks=P-4 aligned to the normalized parent audit; legacy Evidence ID preserved.</x:v>
      </x:c>
      <x:c r="E2816" s="33" t="str">
        <x:v>CORRECT / RECLASSIFY</x:v>
      </x:c>
      <x:c r="F2816" s="33" t="str">
        <x:v>Quarantine inactive descendants and align existing evidence to normalized audits.</x:v>
      </x:c>
      <x:c r="G2816" s="33" t="str">
        <x:v>P-4 execution-chain reconciliation</x:v>
      </x:c>
      <x:c r="H2816" s="33" t="str">
        <x:v>P-4</x:v>
      </x:c>
      <x:c r="I2816" s="33" t="str">
        <x:v>P-4</x:v>
      </x:c>
      <x:c r="J2816" s="33" t="str">
        <x:v>2026-08-20</x:v>
      </x:c>
      <x:c r="K2816" s="33" t="str">
        <x:v>Evidence IDs preserved and aligned.</x:v>
      </x:c>
    </x:row>
    <x:row r="2817">
      <x:c r="A2817" s="33" t="str">
        <x:v>EVD315</x:v>
      </x:c>
      <x:c r="B2817" s="33" t="str">
        <x:v>Evidence Master</x:v>
      </x:c>
      <x:c r="C2817" s="33" t="str">
        <x:v>Evidence Required=Complaint Investigation Report; Evidence Type=Report; Mandatory=Yes; Retention Category=Operational; Remarks=Root cause analysis.</x:v>
      </x:c>
      <x:c r="D2817" s="33" t="str">
        <x:v>Evidence Required=Documentary and transaction evidence demonstrating: Report suspected adverse drug reactions to the Pharmacovigilance Programme of India whenever required.; Evidence Type=Record; Mandatory=Yes; Retention Category=Applicable statutory / operational period; Remarks=P-4 aligned to the normalized parent audit; legacy Evidence ID preserved.</x:v>
      </x:c>
      <x:c r="E2817" s="33" t="str">
        <x:v>CORRECT / RECLASSIFY</x:v>
      </x:c>
      <x:c r="F2817" s="33" t="str">
        <x:v>Quarantine inactive descendants and align existing evidence to normalized audits.</x:v>
      </x:c>
      <x:c r="G2817" s="33" t="str">
        <x:v>P-4 execution-chain reconciliation</x:v>
      </x:c>
      <x:c r="H2817" s="33" t="str">
        <x:v>P-4</x:v>
      </x:c>
      <x:c r="I2817" s="33" t="str">
        <x:v>P-4</x:v>
      </x:c>
      <x:c r="J2817" s="33" t="str">
        <x:v>2026-08-20</x:v>
      </x:c>
      <x:c r="K2817" s="33" t="str">
        <x:v>Evidence IDs preserved and aligned.</x:v>
      </x:c>
    </x:row>
    <x:row r="2818">
      <x:c r="A2818" s="33" t="str">
        <x:v>EVD316</x:v>
      </x:c>
      <x:c r="B2818" s="33" t="str">
        <x:v>Evidence Master</x:v>
      </x:c>
      <x:c r="C2818" s="33" t="str">
        <x:v>Evidence Required=Complaint Register; Evidence Type=Register; Mandatory=Yes; Retention Category=Statutory; Remarks=Maintain complete complaint history.</x:v>
      </x:c>
      <x:c r="D2818" s="33" t="str">
        <x:v>Evidence Required=Documentary and transaction evidence demonstrating: Maintain complete documentation for every reported adverse drug reaction.; Evidence Type=Record; Mandatory=Yes; Retention Category=Applicable statutory / operational period; Remarks=P-4 aligned to the normalized parent audit; legacy Evidence ID preserved.</x:v>
      </x:c>
      <x:c r="E2818" s="33" t="str">
        <x:v>CORRECT / RECLASSIFY</x:v>
      </x:c>
      <x:c r="F2818" s="33" t="str">
        <x:v>Quarantine inactive descendants and align existing evidence to normalized audits.</x:v>
      </x:c>
      <x:c r="G2818" s="33" t="str">
        <x:v>P-4 execution-chain reconciliation</x:v>
      </x:c>
      <x:c r="H2818" s="33" t="str">
        <x:v>P-4</x:v>
      </x:c>
      <x:c r="I2818" s="33" t="str">
        <x:v>P-4</x:v>
      </x:c>
      <x:c r="J2818" s="33" t="str">
        <x:v>2026-08-20</x:v>
      </x:c>
      <x:c r="K2818" s="33" t="str">
        <x:v>Evidence IDs preserved and aligned.</x:v>
      </x:c>
    </x:row>
    <x:row r="2819">
      <x:c r="A2819" s="33" t="str">
        <x:v>EVD317</x:v>
      </x:c>
      <x:c r="B2819" s="33" t="str">
        <x:v>Evidence Master</x:v>
      </x:c>
      <x:c r="C2819" s="33" t="str">
        <x:v>Evidence Required=Complaint Closure Record; Evidence Type=Record; Mandatory=Yes; Retention Category=Operational; Remarks=Evidence of resolution.</x:v>
      </x:c>
      <x:c r="D2819" s="33" t="str">
        <x:v>Evidence Required=Documentary and transaction evidence demonstrating: Maintain complete documentation for every reported adverse drug reaction.; Evidence Type=Record; Mandatory=Yes; Retention Category=Applicable statutory / operational period; Remarks=P-4 aligned to the normalized parent audit; legacy Evidence ID preserved.</x:v>
      </x:c>
      <x:c r="E2819" s="33" t="str">
        <x:v>CORRECT / RECLASSIFY</x:v>
      </x:c>
      <x:c r="F2819" s="33" t="str">
        <x:v>Quarantine inactive descendants and align existing evidence to normalized audits.</x:v>
      </x:c>
      <x:c r="G2819" s="33" t="str">
        <x:v>P-4 execution-chain reconciliation</x:v>
      </x:c>
      <x:c r="H2819" s="33" t="str">
        <x:v>P-4</x:v>
      </x:c>
      <x:c r="I2819" s="33" t="str">
        <x:v>P-4</x:v>
      </x:c>
      <x:c r="J2819" s="33" t="str">
        <x:v>2026-08-20</x:v>
      </x:c>
      <x:c r="K2819" s="33" t="str">
        <x:v>Evidence IDs preserved and aligned.</x:v>
      </x:c>
    </x:row>
    <x:row r="2820">
      <x:c r="A2820" s="33" t="str">
        <x:v>EVD318</x:v>
      </x:c>
      <x:c r="B2820" s="33" t="str">
        <x:v>Evidence Master</x:v>
      </x:c>
      <x:c r="C2820" s="33" t="str">
        <x:v>Evidence Required=Complaint Trend Analysis Report; Evidence Type=Digital Record; Mandatory=No; Retention Category=Operational; Remarks=Electronic trend analysis where available.</x:v>
      </x:c>
      <x:c r="D2820" s="33" t="str">
        <x:v>Evidence Required=Documentary and transaction evidence demonstrating: Escalate serious adverse drug reactions to the appropriate authority without delay.; Evidence Type=Record; Mandatory=Yes; Retention Category=Applicable statutory / operational period; Remarks=P-4 aligned to the normalized parent audit; legacy Evidence ID preserved.</x:v>
      </x:c>
      <x:c r="E2820" s="33" t="str">
        <x:v>CORRECT / RECLASSIFY</x:v>
      </x:c>
      <x:c r="F2820" s="33" t="str">
        <x:v>Quarantine inactive descendants and align existing evidence to normalized audits.</x:v>
      </x:c>
      <x:c r="G2820" s="33" t="str">
        <x:v>P-4 execution-chain reconciliation</x:v>
      </x:c>
      <x:c r="H2820" s="33" t="str">
        <x:v>P-4</x:v>
      </x:c>
      <x:c r="I2820" s="33" t="str">
        <x:v>P-4</x:v>
      </x:c>
      <x:c r="J2820" s="33" t="str">
        <x:v>2026-08-20</x:v>
      </x:c>
      <x:c r="K2820" s="33" t="str">
        <x:v>Evidence IDs preserved and aligned.</x:v>
      </x:c>
    </x:row>
    <x:row r="2821">
      <x:c r="A2821" s="33" t="str">
        <x:v>EVD319</x:v>
      </x:c>
      <x:c r="B2821" s="33" t="str">
        <x:v>Evidence Master</x:v>
      </x:c>
      <x:c r="C2821" s="33" t="str">
        <x:v>Evidence Required=Management Review Minutes; Evidence Type=Other; Mandatory=Yes; Retention Category=Operational; Remarks=Review complaint trends.</x:v>
      </x:c>
      <x:c r="D2821" s="33" t="str">
        <x:v>Evidence Required=Documentary and transaction evidence demonstrating: Escalate serious adverse drug reactions to the appropriate authority without delay.; Evidence Type=Record; Mandatory=Yes; Retention Category=Applicable statutory / operational period; Remarks=P-4 aligned to the normalized parent audit; legacy Evidence ID preserved.</x:v>
      </x:c>
      <x:c r="E2821" s="33" t="str">
        <x:v>CORRECT / RECLASSIFY</x:v>
      </x:c>
      <x:c r="F2821" s="33" t="str">
        <x:v>Quarantine inactive descendants and align existing evidence to normalized audits.</x:v>
      </x:c>
      <x:c r="G2821" s="33" t="str">
        <x:v>P-4 execution-chain reconciliation</x:v>
      </x:c>
      <x:c r="H2821" s="33" t="str">
        <x:v>P-4</x:v>
      </x:c>
      <x:c r="I2821" s="33" t="str">
        <x:v>P-4</x:v>
      </x:c>
      <x:c r="J2821" s="33" t="str">
        <x:v>2026-08-20</x:v>
      </x:c>
      <x:c r="K2821" s="33" t="str">
        <x:v>Evidence IDs preserved and aligned.</x:v>
      </x:c>
    </x:row>
    <x:row r="2822">
      <x:c r="A2822" s="33" t="str">
        <x:v>EVD320</x:v>
      </x:c>
      <x:c r="B2822" s="33" t="str">
        <x:v>Evidence Master</x:v>
      </x:c>
      <x:c r="C2822" s="33" t="str">
        <x:v>Evidence Required=Batch Traceability Report; Evidence Type=Report; Mandatory=Yes; Retention Category=Operational; Remarks=Complaint traceability.</x:v>
      </x:c>
      <x:c r="D2822" s="33" t="str">
        <x:v>Evidence Required=Documentary and transaction evidence demonstrating: Maintain vaccines and biological products within the prescribed cold chain temperature range.; Evidence Type=Record; Mandatory=Yes; Retention Category=Applicable statutory / operational period; Remarks=P-4 aligned to the normalized parent audit; legacy Evidence ID preserved.</x:v>
      </x:c>
      <x:c r="E2822" s="33" t="str">
        <x:v>CORRECT / RECLASSIFY</x:v>
      </x:c>
      <x:c r="F2822" s="33" t="str">
        <x:v>Quarantine inactive descendants and align existing evidence to normalized audits.</x:v>
      </x:c>
      <x:c r="G2822" s="33" t="str">
        <x:v>P-4 execution-chain reconciliation</x:v>
      </x:c>
      <x:c r="H2822" s="33" t="str">
        <x:v>P-4</x:v>
      </x:c>
      <x:c r="I2822" s="33" t="str">
        <x:v>P-4</x:v>
      </x:c>
      <x:c r="J2822" s="33" t="str">
        <x:v>2026-08-20</x:v>
      </x:c>
      <x:c r="K2822" s="33" t="str">
        <x:v>Evidence IDs preserved and aligned.</x:v>
      </x:c>
    </x:row>
    <x:row r="2823">
      <x:c r="A2823" s="33" t="str">
        <x:v>EVD321</x:v>
      </x:c>
      <x:c r="B2823" s="33" t="str">
        <x:v>Evidence Master</x:v>
      </x:c>
      <x:c r="C2823" s="33" t="str">
        <x:v>Evidence Required=Supplier Traceability Record; Evidence Type=Record; Mandatory=Yes; Retention Category=Operational; Remarks=Batch-level linkage.</x:v>
      </x:c>
      <x:c r="D2823" s="33" t="str">
        <x:v>Evidence Required=Documentary and transaction evidence demonstrating: Maintain vaccines and biological products within the prescribed cold chain temperature range.; Evidence Type=Record; Mandatory=Yes; Retention Category=Applicable statutory / operational period; Remarks=P-4 aligned to the normalized parent audit; legacy Evidence ID preserved.</x:v>
      </x:c>
      <x:c r="E2823" s="33" t="str">
        <x:v>CORRECT / RECLASSIFY</x:v>
      </x:c>
      <x:c r="F2823" s="33" t="str">
        <x:v>Quarantine inactive descendants and align existing evidence to normalized audits.</x:v>
      </x:c>
      <x:c r="G2823" s="33" t="str">
        <x:v>P-4 execution-chain reconciliation</x:v>
      </x:c>
      <x:c r="H2823" s="33" t="str">
        <x:v>P-4</x:v>
      </x:c>
      <x:c r="I2823" s="33" t="str">
        <x:v>P-4</x:v>
      </x:c>
      <x:c r="J2823" s="33" t="str">
        <x:v>2026-08-20</x:v>
      </x:c>
      <x:c r="K2823" s="33" t="str">
        <x:v>Evidence IDs preserved and aligned.</x:v>
      </x:c>
    </x:row>
    <x:row r="2824">
      <x:c r="A2824" s="33" t="str">
        <x:v>EVD322</x:v>
      </x:c>
      <x:c r="B2824" s="33" t="str">
        <x:v>Evidence Master</x:v>
      </x:c>
      <x:c r="C2824" s="33" t="str">
        <x:v>Evidence Required=Archived Complaint Files; Evidence Type=Record; Mandatory=Yes; Retention Category=Operational; Remarks=Retained for statutory period.</x:v>
      </x:c>
      <x:c r="D2824" s="33" t="str">
        <x:v>Evidence Required=Documentary and transaction evidence demonstrating: Record refrigerator temperatures at the prescribed frequency and retain logs for inspection.; Evidence Type=Record; Mandatory=Yes; Retention Category=Applicable statutory / operational period; Remarks=P-4 aligned to the normalized parent audit; legacy Evidence ID preserved.</x:v>
      </x:c>
      <x:c r="E2824" s="33" t="str">
        <x:v>CORRECT / RECLASSIFY</x:v>
      </x:c>
      <x:c r="F2824" s="33" t="str">
        <x:v>Quarantine inactive descendants and align existing evidence to normalized audits.</x:v>
      </x:c>
      <x:c r="G2824" s="33" t="str">
        <x:v>P-4 execution-chain reconciliation</x:v>
      </x:c>
      <x:c r="H2824" s="33" t="str">
        <x:v>P-4</x:v>
      </x:c>
      <x:c r="I2824" s="33" t="str">
        <x:v>P-4</x:v>
      </x:c>
      <x:c r="J2824" s="33" t="str">
        <x:v>2026-08-20</x:v>
      </x:c>
      <x:c r="K2824" s="33" t="str">
        <x:v>Evidence IDs preserved and aligned.</x:v>
      </x:c>
    </x:row>
    <x:row r="2825">
      <x:c r="A2825" s="33" t="str">
        <x:v>EVD323</x:v>
      </x:c>
      <x:c r="B2825" s="33" t="str">
        <x:v>Evidence Master</x:v>
      </x:c>
      <x:c r="C2825" s="33" t="str">
        <x:v>Evidence Required=Complaint Retention Policy; Evidence Type=Other; Mandatory=Yes; Retention Category=Operational; Remarks=Approved retention schedule.</x:v>
      </x:c>
      <x:c r="D2825" s="33" t="str">
        <x:v>Evidence Required=Documentary and transaction evidence demonstrating: Record refrigerator temperatures at the prescribed frequency and retain logs for inspection.; Evidence Type=Record; Mandatory=Yes; Retention Category=Applicable statutory / operational period; Remarks=P-4 aligned to the normalized parent audit; legacy Evidence ID preserved.</x:v>
      </x:c>
      <x:c r="E2825" s="33" t="str">
        <x:v>CORRECT / RECLASSIFY</x:v>
      </x:c>
      <x:c r="F2825" s="33" t="str">
        <x:v>Quarantine inactive descendants and align existing evidence to normalized audits.</x:v>
      </x:c>
      <x:c r="G2825" s="33" t="str">
        <x:v>P-4 execution-chain reconciliation</x:v>
      </x:c>
      <x:c r="H2825" s="33" t="str">
        <x:v>P-4</x:v>
      </x:c>
      <x:c r="I2825" s="33" t="str">
        <x:v>P-4</x:v>
      </x:c>
      <x:c r="J2825" s="33" t="str">
        <x:v>2026-08-20</x:v>
      </x:c>
      <x:c r="K2825" s="33" t="str">
        <x:v>Evidence IDs preserved and aligned.</x:v>
      </x:c>
    </x:row>
    <x:row r="2826">
      <x:c r="A2826" s="33" t="str">
        <x:v>EVD324</x:v>
      </x:c>
      <x:c r="B2826" s="33" t="str">
        <x:v>Evidence Master</x:v>
      </x:c>
      <x:c r="C2826" s="33" t="str">
        <x:v>Evidence Required=Recall &amp; Complaint Training Record; Evidence Type=Training Record; Mandatory=Yes; Retention Category=Operational; Remarks=Staff competency evidence.</x:v>
      </x:c>
      <x:c r="D2826" s="33" t="str">
        <x:v>Evidence Required=Documentary and transaction evidence demonstrating: Validate and periodically qualify cold chain equipment before operational use.; Evidence Type=Record; Mandatory=Yes; Retention Category=Applicable statutory / operational period; Remarks=P-4 aligned to the normalized parent audit; legacy Evidence ID preserved.</x:v>
      </x:c>
      <x:c r="E2826" s="33" t="str">
        <x:v>CORRECT / RECLASSIFY</x:v>
      </x:c>
      <x:c r="F2826" s="33" t="str">
        <x:v>Quarantine inactive descendants and align existing evidence to normalized audits.</x:v>
      </x:c>
      <x:c r="G2826" s="33" t="str">
        <x:v>P-4 execution-chain reconciliation</x:v>
      </x:c>
      <x:c r="H2826" s="33" t="str">
        <x:v>P-4</x:v>
      </x:c>
      <x:c r="I2826" s="33" t="str">
        <x:v>P-4</x:v>
      </x:c>
      <x:c r="J2826" s="33" t="str">
        <x:v>2026-08-20</x:v>
      </x:c>
      <x:c r="K2826" s="33" t="str">
        <x:v>Evidence IDs preserved and aligned.</x:v>
      </x:c>
    </x:row>
    <x:row r="2827">
      <x:c r="A2827" s="33" t="str">
        <x:v>EVD325</x:v>
      </x:c>
      <x:c r="B2827" s="33" t="str">
        <x:v>Evidence Master</x:v>
      </x:c>
      <x:c r="C2827" s="33" t="str">
        <x:v>Evidence Required=Training Attendance Sheet; Evidence Type=Training Record; Mandatory=Yes; Retention Category=Operational; Remarks=Attendance verification.</x:v>
      </x:c>
      <x:c r="D2827" s="33" t="str">
        <x:v>Evidence Required=Documentary and transaction evidence demonstrating: Validate and periodically qualify cold chain equipment before operational use.; Evidence Type=Record; Mandatory=Yes; Retention Category=Applicable statutory / operational period; Remarks=P-4 aligned to the normalized parent audit; legacy Evidence ID preserved.</x:v>
      </x:c>
      <x:c r="E2827" s="33" t="str">
        <x:v>CORRECT / RECLASSIFY</x:v>
      </x:c>
      <x:c r="F2827" s="33" t="str">
        <x:v>Quarantine inactive descendants and align existing evidence to normalized audits.</x:v>
      </x:c>
      <x:c r="G2827" s="33" t="str">
        <x:v>P-4 execution-chain reconciliation</x:v>
      </x:c>
      <x:c r="H2827" s="33" t="str">
        <x:v>P-4</x:v>
      </x:c>
      <x:c r="I2827" s="33" t="str">
        <x:v>P-4</x:v>
      </x:c>
      <x:c r="J2827" s="33" t="str">
        <x:v>2026-08-20</x:v>
      </x:c>
      <x:c r="K2827" s="33" t="str">
        <x:v>Evidence IDs preserved and aligned.</x:v>
      </x:c>
    </x:row>
    <x:row r="2828">
      <x:c r="A2828" s="33" t="str">
        <x:v>EVD365</x:v>
      </x:c>
      <x:c r="B2828" s="33" t="str">
        <x:v>Evidence Master</x:v>
      </x:c>
      <x:c r="C2828" s="33" t="str">
        <x:v>Evidence Required=Environmental Authorization / Permit; Evidence Type=Approval; Mandatory=Yes; Retention Category=Permanent; Remarks=Applicable where required.</x:v>
      </x:c>
      <x:c r="D2828" s="33" t="str">
        <x:v>Evidence Required=Documentary and transaction evidence demonstrating: Deliver pharmacy services in accordance with Pharmacy Practice Regulations.; Evidence Type=Record; Mandatory=Yes; Retention Category=Applicable statutory / operational period; Remarks=P-4 aligned to the normalized parent audit; legacy Evidence ID preserved.</x:v>
      </x:c>
      <x:c r="E2828" s="33" t="str">
        <x:v>CORRECT / RECLASSIFY</x:v>
      </x:c>
      <x:c r="F2828" s="33" t="str">
        <x:v>Quarantine inactive descendants and align existing evidence to normalized audits.</x:v>
      </x:c>
      <x:c r="G2828" s="33" t="str">
        <x:v>P-4 execution-chain reconciliation</x:v>
      </x:c>
      <x:c r="H2828" s="33" t="str">
        <x:v>P-4</x:v>
      </x:c>
      <x:c r="I2828" s="33" t="str">
        <x:v>P-4</x:v>
      </x:c>
      <x:c r="J2828" s="33" t="str">
        <x:v>2026-08-20</x:v>
      </x:c>
      <x:c r="K2828" s="33" t="str">
        <x:v>Evidence IDs preserved and aligned.</x:v>
      </x:c>
    </x:row>
    <x:row r="2829">
      <x:c r="A2829" s="33" t="str">
        <x:v>EVD366</x:v>
      </x:c>
      <x:c r="B2829" s="33" t="str">
        <x:v>Evidence Master</x:v>
      </x:c>
      <x:c r="C2829" s="33" t="str">
        <x:v>Evidence Required=Environmental Approval Renewal Record; Evidence Type=Approval; Mandatory=Yes; Retention Category=Permanent; Remarks=Renewal evidence.</x:v>
      </x:c>
      <x:c r="D2829" s="33" t="str">
        <x:v>Evidence Required=Documentary and transaction evidence demonstrating: Deliver pharmacy services in accordance with Pharmacy Practice Regulations.; Evidence Type=Record; Mandatory=Yes; Retention Category=Applicable statutory / operational period; Remarks=P-4 aligned to the normalized parent audit; legacy Evidence ID preserved.</x:v>
      </x:c>
      <x:c r="E2829" s="33" t="str">
        <x:v>CORRECT / RECLASSIFY</x:v>
      </x:c>
      <x:c r="F2829" s="33" t="str">
        <x:v>Quarantine inactive descendants and align existing evidence to normalized audits.</x:v>
      </x:c>
      <x:c r="G2829" s="33" t="str">
        <x:v>P-4 execution-chain reconciliation</x:v>
      </x:c>
      <x:c r="H2829" s="33" t="str">
        <x:v>P-4</x:v>
      </x:c>
      <x:c r="I2829" s="33" t="str">
        <x:v>P-4</x:v>
      </x:c>
      <x:c r="J2829" s="33" t="str">
        <x:v>2026-08-20</x:v>
      </x:c>
      <x:c r="K2829" s="33" t="str">
        <x:v>Evidence IDs preserved and aligned.</x:v>
      </x:c>
    </x:row>
    <x:row r="2830">
      <x:c r="A2830" s="33" t="str">
        <x:v>EVD367</x:v>
      </x:c>
      <x:c r="B2830" s="33" t="str">
        <x:v>Evidence Master</x:v>
      </x:c>
      <x:c r="C2830" s="33" t="str">
        <x:v>Evidence Required=Waste Disposal Vendor Evaluation Report; Evidence Type=Report; Mandatory=Yes; Retention Category=Operational; Remarks=Periodic vendor assessment.</x:v>
      </x:c>
      <x:c r="D2830" s="33" t="str">
        <x:v>Evidence Required=Documentary and transaction evidence demonstrating: Review prescriptions for legality, completeness and clinical appropriateness before dispensing medicines.; Evidence Type=Record; Mandatory=Yes; Retention Category=Applicable statutory / operational period; Remarks=P-4 aligned to the normalized parent audit; legacy Evidence ID preserved.</x:v>
      </x:c>
      <x:c r="E2830" s="33" t="str">
        <x:v>CORRECT / RECLASSIFY</x:v>
      </x:c>
      <x:c r="F2830" s="33" t="str">
        <x:v>Quarantine inactive descendants and align existing evidence to normalized audits.</x:v>
      </x:c>
      <x:c r="G2830" s="33" t="str">
        <x:v>P-4 execution-chain reconciliation</x:v>
      </x:c>
      <x:c r="H2830" s="33" t="str">
        <x:v>P-4</x:v>
      </x:c>
      <x:c r="I2830" s="33" t="str">
        <x:v>P-4</x:v>
      </x:c>
      <x:c r="J2830" s="33" t="str">
        <x:v>2026-08-20</x:v>
      </x:c>
      <x:c r="K2830" s="33" t="str">
        <x:v>Evidence IDs preserved and aligned.</x:v>
      </x:c>
    </x:row>
    <x:row r="2831">
      <x:c r="A2831" s="33" t="str">
        <x:v>EVD368</x:v>
      </x:c>
      <x:c r="B2831" s="33" t="str">
        <x:v>Evidence Master</x:v>
      </x:c>
      <x:c r="C2831" s="33" t="str">
        <x:v>Evidence Required=Approved Waste Vendor Register; Evidence Type=Register; Mandatory=Yes; Retention Category=Statutory; Remarks=Approved vendors only.</x:v>
      </x:c>
      <x:c r="D2831" s="33" t="str">
        <x:v>Evidence Required=Documentary and transaction evidence demonstrating: Review prescriptions for legality, completeness and clinical appropriateness before dispensing medicines.; Evidence Type=Record; Mandatory=Yes; Retention Category=Applicable statutory / operational period; Remarks=P-4 aligned to the normalized parent audit; legacy Evidence ID preserved.</x:v>
      </x:c>
      <x:c r="E2831" s="33" t="str">
        <x:v>CORRECT / RECLASSIFY</x:v>
      </x:c>
      <x:c r="F2831" s="33" t="str">
        <x:v>Quarantine inactive descendants and align existing evidence to normalized audits.</x:v>
      </x:c>
      <x:c r="G2831" s="33" t="str">
        <x:v>P-4 execution-chain reconciliation</x:v>
      </x:c>
      <x:c r="H2831" s="33" t="str">
        <x:v>P-4</x:v>
      </x:c>
      <x:c r="I2831" s="33" t="str">
        <x:v>P-4</x:v>
      </x:c>
      <x:c r="J2831" s="33" t="str">
        <x:v>2026-08-20</x:v>
      </x:c>
      <x:c r="K2831" s="33" t="str">
        <x:v>Evidence IDs preserved and aligned.</x:v>
      </x:c>
    </x:row>
    <x:row r="2832">
      <x:c r="A2832" s="33" t="str">
        <x:v>EVD369</x:v>
      </x:c>
      <x:c r="B2832" s="33" t="str">
        <x:v>Evidence Master</x:v>
      </x:c>
      <x:c r="C2832" s="33" t="str">
        <x:v>Evidence Required=Archived Waste Disposal Records; Evidence Type=Record; Mandatory=Yes; Retention Category=Operational; Remarks=Statutory retention.</x:v>
      </x:c>
      <x:c r="D2832" s="33" t="str">
        <x:v>Evidence Required=Documentary and transaction evidence demonstrating: Provide appropriate patient counselling regarding dosage, storage, administration and precautions.; Evidence Type=Record; Mandatory=Yes; Retention Category=Applicable statutory / operational period; Remarks=P-4 aligned to the normalized parent audit; legacy Evidence ID preserved.</x:v>
      </x:c>
      <x:c r="E2832" s="33" t="str">
        <x:v>CORRECT / RECLASSIFY</x:v>
      </x:c>
      <x:c r="F2832" s="33" t="str">
        <x:v>Quarantine inactive descendants and align existing evidence to normalized audits.</x:v>
      </x:c>
      <x:c r="G2832" s="33" t="str">
        <x:v>P-4 execution-chain reconciliation</x:v>
      </x:c>
      <x:c r="H2832" s="33" t="str">
        <x:v>P-4</x:v>
      </x:c>
      <x:c r="I2832" s="33" t="str">
        <x:v>P-4</x:v>
      </x:c>
      <x:c r="J2832" s="33" t="str">
        <x:v>2026-08-20</x:v>
      </x:c>
      <x:c r="K2832" s="33" t="str">
        <x:v>Evidence IDs preserved and aligned.</x:v>
      </x:c>
    </x:row>
    <x:row r="2833">
      <x:c r="A2833" s="33" t="str">
        <x:v>EVD370</x:v>
      </x:c>
      <x:c r="B2833" s="33" t="str">
        <x:v>Evidence Master</x:v>
      </x:c>
      <x:c r="C2833" s="33" t="str">
        <x:v>Evidence Required=Waste Record Retention Policy; Evidence Type=Record; Mandatory=Yes; Retention Category=Operational; Remarks=Approved retention schedule.</x:v>
      </x:c>
      <x:c r="D2833" s="33" t="str">
        <x:v>Evidence Required=Documentary and transaction evidence demonstrating: Provide appropriate patient counselling regarding dosage, storage, administration and precautions.; Evidence Type=Record; Mandatory=Yes; Retention Category=Applicable statutory / operational period; Remarks=P-4 aligned to the normalized parent audit; legacy Evidence ID preserved.</x:v>
      </x:c>
      <x:c r="E2833" s="33" t="str">
        <x:v>CORRECT / RECLASSIFY</x:v>
      </x:c>
      <x:c r="F2833" s="33" t="str">
        <x:v>Quarantine inactive descendants and align existing evidence to normalized audits.</x:v>
      </x:c>
      <x:c r="G2833" s="33" t="str">
        <x:v>P-4 execution-chain reconciliation</x:v>
      </x:c>
      <x:c r="H2833" s="33" t="str">
        <x:v>P-4</x:v>
      </x:c>
      <x:c r="I2833" s="33" t="str">
        <x:v>P-4</x:v>
      </x:c>
      <x:c r="J2833" s="33" t="str">
        <x:v>2026-08-20</x:v>
      </x:c>
      <x:c r="K2833" s="33" t="str">
        <x:v>Evidence IDs preserved and aligned.</x:v>
      </x:c>
    </x:row>
    <x:row r="2834">
      <x:c r="A2834" s="33" t="str">
        <x:v>EVD371</x:v>
      </x:c>
      <x:c r="B2834" s="33" t="str">
        <x:v>Evidence Master</x:v>
      </x:c>
      <x:c r="C2834" s="33" t="str">
        <x:v>Evidence Required=Internal Waste Management Inspection Report; Evidence Type=Inspection Report; Mandatory=Yes; Retention Category=Statutory; Remarks=Internal inspection evidence.</x:v>
      </x:c>
      <x:c r="D2834" s="33" t="str">
        <x:v>Evidence Required=Documentary and transaction evidence demonstrating: Maintain confidentiality of patient records and prescription information.; Evidence Type=Record; Mandatory=Yes; Retention Category=Applicable statutory / operational period; Remarks=P-4 aligned to the normalized parent audit; legacy Evidence ID preserved.</x:v>
      </x:c>
      <x:c r="E2834" s="33" t="str">
        <x:v>CORRECT / RECLASSIFY</x:v>
      </x:c>
      <x:c r="F2834" s="33" t="str">
        <x:v>Quarantine inactive descendants and align existing evidence to normalized audits.</x:v>
      </x:c>
      <x:c r="G2834" s="33" t="str">
        <x:v>P-4 execution-chain reconciliation</x:v>
      </x:c>
      <x:c r="H2834" s="33" t="str">
        <x:v>P-4</x:v>
      </x:c>
      <x:c r="I2834" s="33" t="str">
        <x:v>P-4</x:v>
      </x:c>
      <x:c r="J2834" s="33" t="str">
        <x:v>2026-08-20</x:v>
      </x:c>
      <x:c r="K2834" s="33" t="str">
        <x:v>Evidence IDs preserved and aligned.</x:v>
      </x:c>
    </x:row>
    <x:row r="2835">
      <x:c r="A2835" s="33" t="str">
        <x:v>EVD372</x:v>
      </x:c>
      <x:c r="B2835" s="33" t="str">
        <x:v>Evidence Master</x:v>
      </x:c>
      <x:c r="C2835" s="33" t="str">
        <x:v>Evidence Required=Waste Management Observation Register; Evidence Type=Register; Mandatory=Yes; Retention Category=Statutory; Remarks=Inspection findings.</x:v>
      </x:c>
      <x:c r="D2835" s="33" t="str">
        <x:v>Evidence Required=Documentary and transaction evidence demonstrating: Maintain confidentiality of patient records and prescription information.; Evidence Type=Record; Mandatory=Yes; Retention Category=Applicable statutory / operational period; Remarks=P-4 aligned to the normalized parent audit; legacy Evidence ID preserved.</x:v>
      </x:c>
      <x:c r="E2835" s="33" t="str">
        <x:v>CORRECT / RECLASSIFY</x:v>
      </x:c>
      <x:c r="F2835" s="33" t="str">
        <x:v>Quarantine inactive descendants and align existing evidence to normalized audits.</x:v>
      </x:c>
      <x:c r="G2835" s="33" t="str">
        <x:v>P-4 execution-chain reconciliation</x:v>
      </x:c>
      <x:c r="H2835" s="33" t="str">
        <x:v>P-4</x:v>
      </x:c>
      <x:c r="I2835" s="33" t="str">
        <x:v>P-4</x:v>
      </x:c>
      <x:c r="J2835" s="33" t="str">
        <x:v>2026-08-20</x:v>
      </x:c>
      <x:c r="K2835" s="33" t="str">
        <x:v>Evidence IDs preserved and aligned.</x:v>
      </x:c>
    </x:row>
    <x:row r="2836">
      <x:c r="A2836" s="33" t="str">
        <x:v>EVD373</x:v>
      </x:c>
      <x:c r="B2836" s="33" t="str">
        <x:v>Evidence Master</x:v>
      </x:c>
      <x:c r="C2836" s="33" t="str">
        <x:v>Evidence Required=Waste Management SOP; Evidence Type=SOP; Mandatory=Yes; Retention Category=Operational; Remarks=Approved waste management procedure.</x:v>
      </x:c>
      <x:c r="D2836" s="33" t="str">
        <x:v>Evidence Required=Documentary and transaction evidence demonstrating: Participate in professional development programmes to maintain competency.; Evidence Type=Record; Mandatory=Yes; Retention Category=Applicable statutory / operational period; Remarks=P-4 aligned to the normalized parent audit; legacy Evidence ID preserved.</x:v>
      </x:c>
      <x:c r="E2836" s="33" t="str">
        <x:v>CORRECT / RECLASSIFY</x:v>
      </x:c>
      <x:c r="F2836" s="33" t="str">
        <x:v>Quarantine inactive descendants and align existing evidence to normalized audits.</x:v>
      </x:c>
      <x:c r="G2836" s="33" t="str">
        <x:v>P-4 execution-chain reconciliation</x:v>
      </x:c>
      <x:c r="H2836" s="33" t="str">
        <x:v>P-4</x:v>
      </x:c>
      <x:c r="I2836" s="33" t="str">
        <x:v>P-4</x:v>
      </x:c>
      <x:c r="J2836" s="33" t="str">
        <x:v>2026-08-20</x:v>
      </x:c>
      <x:c r="K2836" s="33" t="str">
        <x:v>Evidence IDs preserved and aligned.</x:v>
      </x:c>
    </x:row>
    <x:row r="2837">
      <x:c r="A2837" s="33" t="str">
        <x:v>EVD374</x:v>
      </x:c>
      <x:c r="B2837" s="33" t="str">
        <x:v>Evidence Master</x:v>
      </x:c>
      <x:c r="C2837" s="33" t="str">
        <x:v>Evidence Required=Waste Management SOP Training Record; Evidence Type=SOP; Mandatory=Yes; Retention Category=Operational; Remarks=Staff awareness evidence.</x:v>
      </x:c>
      <x:c r="D2837" s="33" t="str">
        <x:v>Evidence Required=Documentary and transaction evidence demonstrating: Participate in professional development programmes to maintain competency.; Evidence Type=Record; Mandatory=Yes; Retention Category=Applicable statutory / operational period; Remarks=P-4 aligned to the normalized parent audit; legacy Evidence ID preserved.</x:v>
      </x:c>
      <x:c r="E2837" s="33" t="str">
        <x:v>CORRECT / RECLASSIFY</x:v>
      </x:c>
      <x:c r="F2837" s="33" t="str">
        <x:v>Quarantine inactive descendants and align existing evidence to normalized audits.</x:v>
      </x:c>
      <x:c r="G2837" s="33" t="str">
        <x:v>P-4 execution-chain reconciliation</x:v>
      </x:c>
      <x:c r="H2837" s="33" t="str">
        <x:v>P-4</x:v>
      </x:c>
      <x:c r="I2837" s="33" t="str">
        <x:v>P-4</x:v>
      </x:c>
      <x:c r="J2837" s="33" t="str">
        <x:v>2026-08-20</x:v>
      </x:c>
      <x:c r="K2837" s="33" t="str">
        <x:v>Evidence IDs preserved and aligned.</x:v>
      </x:c>
    </x:row>
    <x:row r="2838">
      <x:c r="A2838" s="33" t="str">
        <x:v>EVD375</x:v>
      </x:c>
      <x:c r="B2838" s="33" t="str">
        <x:v>Evidence Master</x:v>
      </x:c>
      <x:c r="C2838" s="33" t="str">
        <x:v>Evidence Required=PPE Issue Register; Evidence Type=Register; Mandatory=Yes; Retention Category=Statutory; Remarks=Record PPE issued.</x:v>
      </x:c>
      <x:c r="D2838" s="33" t="str">
        <x:v>Evidence Required=Documentary and transaction evidence demonstrating: Obtain clinical-establishment registration before operation where the establishment role and jurisdiction trigger apply.; Evidence Type=Record; Mandatory=Yes; Retention Category=Applicable statutory / operational period; Remarks=P-4 aligned to the normalized parent audit; legacy Evidence ID preserved.</x:v>
      </x:c>
      <x:c r="E2838" s="33" t="str">
        <x:v>CORRECT / RECLASSIFY</x:v>
      </x:c>
      <x:c r="F2838" s="33" t="str">
        <x:v>Quarantine inactive descendants and align existing evidence to normalized audits.</x:v>
      </x:c>
      <x:c r="G2838" s="33" t="str">
        <x:v>P-4 execution-chain reconciliation</x:v>
      </x:c>
      <x:c r="H2838" s="33" t="str">
        <x:v>P-4</x:v>
      </x:c>
      <x:c r="I2838" s="33" t="str">
        <x:v>P-4</x:v>
      </x:c>
      <x:c r="J2838" s="33" t="str">
        <x:v>2026-08-20</x:v>
      </x:c>
      <x:c r="K2838" s="33" t="str">
        <x:v>Evidence IDs preserved and aligned.</x:v>
      </x:c>
    </x:row>
    <x:row r="2839">
      <x:c r="A2839" s="33" t="str">
        <x:v>EVD376</x:v>
      </x:c>
      <x:c r="B2839" s="33" t="str">
        <x:v>Evidence Master</x:v>
      </x:c>
      <x:c r="C2839" s="33" t="str">
        <x:v>Evidence Required=PPE Inspection Checklist; Evidence Type=Inspection Report; Mandatory=Yes; Retention Category=Statutory; Remarks=Verify PPE availability and condition.</x:v>
      </x:c>
      <x:c r="D2839" s="33" t="str">
        <x:v>Evidence Required=Documentary and transaction evidence demonstrating: Obtain clinical-establishment registration before operation where the establishment role and jurisdiction trigger apply.; Evidence Type=Record; Mandatory=Yes; Retention Category=Applicable statutory / operational period; Remarks=P-4 aligned to the normalized parent audit; legacy Evidence ID preserved.</x:v>
      </x:c>
      <x:c r="E2839" s="33" t="str">
        <x:v>CORRECT / RECLASSIFY</x:v>
      </x:c>
      <x:c r="F2839" s="33" t="str">
        <x:v>Quarantine inactive descendants and align existing evidence to normalized audits.</x:v>
      </x:c>
      <x:c r="G2839" s="33" t="str">
        <x:v>P-4 execution-chain reconciliation</x:v>
      </x:c>
      <x:c r="H2839" s="33" t="str">
        <x:v>P-4</x:v>
      </x:c>
      <x:c r="I2839" s="33" t="str">
        <x:v>P-4</x:v>
      </x:c>
      <x:c r="J2839" s="33" t="str">
        <x:v>2026-08-20</x:v>
      </x:c>
      <x:c r="K2839" s="33" t="str">
        <x:v>Evidence IDs preserved and aligned.</x:v>
      </x:c>
    </x:row>
    <x:row r="2840">
      <x:c r="A2840" s="33" t="str">
        <x:v>EVD377</x:v>
      </x:c>
      <x:c r="B2840" s="33" t="str">
        <x:v>Evidence Master</x:v>
      </x:c>
      <x:c r="C2840" s="33" t="str">
        <x:v>Evidence Required=Waste Collection Schedule; Evidence Type=Record; Mandatory=Yes; Retention Category=Operational; Remarks=Planned collection frequency.</x:v>
      </x:c>
      <x:c r="D2840" s="33" t="str">
        <x:v>Evidence Required=Documentary and transaction evidence demonstrating: Where the clinical-establishment overlay applies, maintain prescribed minimum standards, personnel, records/reporting and emergency-stabilization arrangements.; Evidence Type=Record; Mandatory=Yes; Retention Category=Applicable statutory / operational period; Remarks=P-4 aligned to the normalized parent audit; legacy Evidence ID preserved.</x:v>
      </x:c>
      <x:c r="E2840" s="33" t="str">
        <x:v>CORRECT / RECLASSIFY</x:v>
      </x:c>
      <x:c r="F2840" s="33" t="str">
        <x:v>Quarantine inactive descendants and align existing evidence to normalized audits.</x:v>
      </x:c>
      <x:c r="G2840" s="33" t="str">
        <x:v>P-4 execution-chain reconciliation</x:v>
      </x:c>
      <x:c r="H2840" s="33" t="str">
        <x:v>P-4</x:v>
      </x:c>
      <x:c r="I2840" s="33" t="str">
        <x:v>P-4</x:v>
      </x:c>
      <x:c r="J2840" s="33" t="str">
        <x:v>2026-08-20</x:v>
      </x:c>
      <x:c r="K2840" s="33" t="str">
        <x:v>Evidence IDs preserved and aligned.</x:v>
      </x:c>
    </x:row>
    <x:row r="2841">
      <x:c r="A2841" s="33" t="str">
        <x:v>EVD378</x:v>
      </x:c>
      <x:c r="B2841" s="33" t="str">
        <x:v>Evidence Master</x:v>
      </x:c>
      <x:c r="C2841" s="33" t="str">
        <x:v>Evidence Required=Waste Collection Log; Evidence Type=Log Book; Mandatory=Yes; Retention Category=Operational; Remarks=Actual collection evidence.</x:v>
      </x:c>
      <x:c r="D2841" s="33" t="str">
        <x:v>Evidence Required=Documentary and transaction evidence demonstrating: Where the clinical-establishment overlay applies, maintain prescribed minimum standards, personnel, records/reporting and emergency-stabilization arrangements.; Evidence Type=Record; Mandatory=Yes; Retention Category=Applicable statutory / operational period; Remarks=P-4 aligned to the normalized parent audit; legacy Evidence ID preserved.</x:v>
      </x:c>
      <x:c r="E2841" s="33" t="str">
        <x:v>CORRECT / RECLASSIFY</x:v>
      </x:c>
      <x:c r="F2841" s="33" t="str">
        <x:v>Quarantine inactive descendants and align existing evidence to normalized audits.</x:v>
      </x:c>
      <x:c r="G2841" s="33" t="str">
        <x:v>P-4 execution-chain reconciliation</x:v>
      </x:c>
      <x:c r="H2841" s="33" t="str">
        <x:v>P-4</x:v>
      </x:c>
      <x:c r="I2841" s="33" t="str">
        <x:v>P-4</x:v>
      </x:c>
      <x:c r="J2841" s="33" t="str">
        <x:v>2026-08-20</x:v>
      </x:c>
      <x:c r="K2841" s="33" t="str">
        <x:v>Evidence IDs preserved and aligned.</x:v>
      </x:c>
    </x:row>
    <x:row r="2842">
      <x:c r="A2842" s="33" t="str">
        <x:v>EVD379</x:v>
      </x:c>
      <x:c r="B2842" s="33" t="str">
        <x:v>Evidence Master</x:v>
      </x:c>
      <x:c r="C2842" s="33" t="str">
        <x:v>Evidence Required=Regulatory Waste Inspection Report; Evidence Type=Inspection Report; Mandatory=Yes; Retention Category=Statutory; Remarks=External inspection evidence.</x:v>
      </x:c>
      <x:c r="D2842" s="33" t="str">
        <x:v>Evidence Required=Documentary and transaction evidence demonstrating: Display the registration certificate and complete applicable renewal/continuation requirements for the clinical establishment.; Evidence Type=Record; Mandatory=Yes; Retention Category=Applicable statutory / operational period; Remarks=P-4 aligned to the normalized parent audit; legacy Evidence ID preserved.</x:v>
      </x:c>
      <x:c r="E2842" s="33" t="str">
        <x:v>CORRECT / RECLASSIFY</x:v>
      </x:c>
      <x:c r="F2842" s="33" t="str">
        <x:v>Quarantine inactive descendants and align existing evidence to normalized audits.</x:v>
      </x:c>
      <x:c r="G2842" s="33" t="str">
        <x:v>P-4 execution-chain reconciliation</x:v>
      </x:c>
      <x:c r="H2842" s="33" t="str">
        <x:v>P-4</x:v>
      </x:c>
      <x:c r="I2842" s="33" t="str">
        <x:v>P-4</x:v>
      </x:c>
      <x:c r="J2842" s="33" t="str">
        <x:v>2026-08-20</x:v>
      </x:c>
      <x:c r="K2842" s="33" t="str">
        <x:v>Evidence IDs preserved and aligned.</x:v>
      </x:c>
    </x:row>
    <x:row r="2843">
      <x:c r="A2843" s="33" t="str">
        <x:v>EVD380</x:v>
      </x:c>
      <x:c r="B2843" s="33" t="str">
        <x:v>Evidence Master</x:v>
      </x:c>
      <x:c r="C2843" s="33" t="str">
        <x:v>Evidence Required=Regulatory Observation Closure Register; Evidence Type=Register; Mandatory=Yes; Retention Category=Statutory; Remarks=Closure documentation.</x:v>
      </x:c>
      <x:c r="D2843" s="33" t="str">
        <x:v>Evidence Required=Documentary and transaction evidence demonstrating: Display the registration certificate and complete applicable renewal/continuation requirements for the clinical establishment.; Evidence Type=Record; Mandatory=Yes; Retention Category=Applicable statutory / operational period; Remarks=P-4 aligned to the normalized parent audit; legacy Evidence ID preserved.</x:v>
      </x:c>
      <x:c r="E2843" s="33" t="str">
        <x:v>CORRECT / RECLASSIFY</x:v>
      </x:c>
      <x:c r="F2843" s="33" t="str">
        <x:v>Quarantine inactive descendants and align existing evidence to normalized audits.</x:v>
      </x:c>
      <x:c r="G2843" s="33" t="str">
        <x:v>P-4 execution-chain reconciliation</x:v>
      </x:c>
      <x:c r="H2843" s="33" t="str">
        <x:v>P-4</x:v>
      </x:c>
      <x:c r="I2843" s="33" t="str">
        <x:v>P-4</x:v>
      </x:c>
      <x:c r="J2843" s="33" t="str">
        <x:v>2026-08-20</x:v>
      </x:c>
      <x:c r="K2843" s="33" t="str">
        <x:v>Evidence IDs preserved and aligned.</x:v>
      </x:c>
    </x:row>
    <x:row r="2844">
      <x:c r="A2844" s="33" t="str">
        <x:v>EVD433</x:v>
      </x:c>
      <x:c r="B2844" s="33" t="str">
        <x:v>Evidence Master</x:v>
      </x:c>
      <x:c r="C2844" s="33" t="str">
        <x:v>Evidence Required=Archived Personnel Files; Evidence Type=Record; Mandatory=Yes; Retention Category=Operational; Remarks=Retain as per retention schedule.</x:v>
      </x:c>
      <x:c r="D2844" s="33" t="str">
        <x:v>Evidence Required=Documentary and transaction evidence demonstrating: Before release, substantiate all objective claims and ensure the advertisement is truthful and not misleading by implication, omission, exaggeration or ambiguity.; Evidence Type=Record; Mandatory=Yes; Retention Category=Applicable statutory / operational period; Remarks=P-4 aligned to the normalized parent audit; legacy Evidence ID preserved.</x:v>
      </x:c>
      <x:c r="E2844" s="33" t="str">
        <x:v>CORRECT / RECLASSIFY</x:v>
      </x:c>
      <x:c r="F2844" s="33" t="str">
        <x:v>Quarantine inactive descendants and align existing evidence to normalized audits.</x:v>
      </x:c>
      <x:c r="G2844" s="33" t="str">
        <x:v>P-4 execution-chain reconciliation</x:v>
      </x:c>
      <x:c r="H2844" s="33" t="str">
        <x:v>P-4</x:v>
      </x:c>
      <x:c r="I2844" s="33" t="str">
        <x:v>P-4</x:v>
      </x:c>
      <x:c r="J2844" s="33" t="str">
        <x:v>2026-08-20</x:v>
      </x:c>
      <x:c r="K2844" s="33" t="str">
        <x:v>Evidence IDs preserved and aligned.</x:v>
      </x:c>
    </x:row>
    <x:row r="2845">
      <x:c r="A2845" s="33" t="str">
        <x:v>EVD434</x:v>
      </x:c>
      <x:c r="B2845" s="33" t="str">
        <x:v>Evidence Master</x:v>
      </x:c>
      <x:c r="C2845" s="33" t="str">
        <x:v>Evidence Required=Personnel Record Retention Policy; Evidence Type=Record; Mandatory=Yes; Retention Category=Operational; Remarks=Approved retention requirements.</x:v>
      </x:c>
      <x:c r="D2845" s="33" t="str">
        <x:v>Evidence Required=Documentary and transaction evidence demonstrating: Before release, substantiate all objective claims and ensure the advertisement is truthful and not misleading by implication, omission, exaggeration or ambiguity.; Evidence Type=Record; Mandatory=Yes; Retention Category=Applicable statutory / operational period; Remarks=P-4 aligned to the normalized parent audit; legacy Evidence ID preserved.</x:v>
      </x:c>
      <x:c r="E2845" s="33" t="str">
        <x:v>CORRECT / RECLASSIFY</x:v>
      </x:c>
      <x:c r="F2845" s="33" t="str">
        <x:v>Quarantine inactive descendants and align existing evidence to normalized audits.</x:v>
      </x:c>
      <x:c r="G2845" s="33" t="str">
        <x:v>P-4 execution-chain reconciliation</x:v>
      </x:c>
      <x:c r="H2845" s="33" t="str">
        <x:v>P-4</x:v>
      </x:c>
      <x:c r="I2845" s="33" t="str">
        <x:v>P-4</x:v>
      </x:c>
      <x:c r="J2845" s="33" t="str">
        <x:v>2026-08-20</x:v>
      </x:c>
      <x:c r="K2845" s="33" t="str">
        <x:v>Evidence IDs preserved and aligned.</x:v>
      </x:c>
    </x:row>
    <x:row r="2846">
      <x:c r="A2846" s="33" t="str">
        <x:v>EVD435</x:v>
      </x:c>
      <x:c r="B2846" s="33" t="str">
        <x:v>Evidence Master</x:v>
      </x:c>
      <x:c r="C2846" s="33" t="str">
        <x:v>Evidence Required=Employee Confidentiality Agreement; Evidence Type=Agreement; Mandatory=Yes; Retention Category=Operational; Remarks=Signed confidentiality undertaking.</x:v>
      </x:c>
      <x:c r="D2846" s="33" t="str">
        <x:v>Evidence Required=Documentary and transaction evidence demonstrating: Use only clear, prominent disclaimers that do not conceal material information or contradict the main claim.; Evidence Type=Record; Mandatory=Yes; Retention Category=Applicable statutory / operational period; Remarks=P-4 aligned to the normalized parent audit; legacy Evidence ID preserved.</x:v>
      </x:c>
      <x:c r="E2846" s="33" t="str">
        <x:v>CORRECT / RECLASSIFY</x:v>
      </x:c>
      <x:c r="F2846" s="33" t="str">
        <x:v>Quarantine inactive descendants and align existing evidence to normalized audits.</x:v>
      </x:c>
      <x:c r="G2846" s="33" t="str">
        <x:v>P-4 execution-chain reconciliation</x:v>
      </x:c>
      <x:c r="H2846" s="33" t="str">
        <x:v>P-4</x:v>
      </x:c>
      <x:c r="I2846" s="33" t="str">
        <x:v>P-4</x:v>
      </x:c>
      <x:c r="J2846" s="33" t="str">
        <x:v>2026-08-20</x:v>
      </x:c>
      <x:c r="K2846" s="33" t="str">
        <x:v>Evidence IDs preserved and aligned.</x:v>
      </x:c>
    </x:row>
    <x:row r="2847">
      <x:c r="A2847" s="33" t="str">
        <x:v>EVD436</x:v>
      </x:c>
      <x:c r="B2847" s="33" t="str">
        <x:v>Evidence Master</x:v>
      </x:c>
      <x:c r="C2847" s="33" t="str">
        <x:v>Evidence Required=Confidentiality Declaration Register; Evidence Type=Declaration; Mandatory=Yes; Retention Category=Operational; Remarks=Maintain signed declarations.</x:v>
      </x:c>
      <x:c r="D2847" s="33" t="str">
        <x:v>Evidence Required=Documentary and transaction evidence demonstrating: Use only clear, prominent disclaimers that do not conceal material information or contradict the main claim.; Evidence Type=Record; Mandatory=Yes; Retention Category=Applicable statutory / operational period; Remarks=P-4 aligned to the normalized parent audit; legacy Evidence ID preserved.</x:v>
      </x:c>
      <x:c r="E2847" s="33" t="str">
        <x:v>CORRECT / RECLASSIFY</x:v>
      </x:c>
      <x:c r="F2847" s="33" t="str">
        <x:v>Quarantine inactive descendants and align existing evidence to normalized audits.</x:v>
      </x:c>
      <x:c r="G2847" s="33" t="str">
        <x:v>P-4 execution-chain reconciliation</x:v>
      </x:c>
      <x:c r="H2847" s="33" t="str">
        <x:v>P-4</x:v>
      </x:c>
      <x:c r="I2847" s="33" t="str">
        <x:v>P-4</x:v>
      </x:c>
      <x:c r="J2847" s="33" t="str">
        <x:v>2026-08-20</x:v>
      </x:c>
      <x:c r="K2847" s="33" t="str">
        <x:v>Evidence IDs preserved and aligned.</x:v>
      </x:c>
    </x:row>
    <x:row r="2848">
      <x:c r="A2848" s="33" t="str">
        <x:v>EVD437</x:v>
      </x:c>
      <x:c r="B2848" s="33" t="str">
        <x:v>Evidence Master</x:v>
      </x:c>
      <x:c r="C2848" s="33" t="str">
        <x:v>Evidence Required=Employee Performance Appraisal Report; Evidence Type=Report; Mandatory=Yes; Retention Category=Operational; Remarks=Include regulatory compliance performance.</x:v>
      </x:c>
      <x:c r="D2848" s="33" t="str">
        <x:v>Evidence Required=Documentary and transaction evidence demonstrating: Do not advertise a product/service prohibited by law and document endorsement due diligence where an endorsement is used.; Evidence Type=Record; Mandatory=Yes; Retention Category=Applicable statutory / operational period; Remarks=P-4 aligned to the normalized parent audit; legacy Evidence ID preserved.</x:v>
      </x:c>
      <x:c r="E2848" s="33" t="str">
        <x:v>CORRECT / RECLASSIFY</x:v>
      </x:c>
      <x:c r="F2848" s="33" t="str">
        <x:v>Quarantine inactive descendants and align existing evidence to normalized audits.</x:v>
      </x:c>
      <x:c r="G2848" s="33" t="str">
        <x:v>P-4 execution-chain reconciliation</x:v>
      </x:c>
      <x:c r="H2848" s="33" t="str">
        <x:v>P-4</x:v>
      </x:c>
      <x:c r="I2848" s="33" t="str">
        <x:v>P-4</x:v>
      </x:c>
      <x:c r="J2848" s="33" t="str">
        <x:v>2026-08-20</x:v>
      </x:c>
      <x:c r="K2848" s="33" t="str">
        <x:v>Evidence IDs preserved and aligned.</x:v>
      </x:c>
    </x:row>
    <x:row r="2849">
      <x:c r="A2849" s="33" t="str">
        <x:v>EVD438</x:v>
      </x:c>
      <x:c r="B2849" s="33" t="str">
        <x:v>Evidence Master</x:v>
      </x:c>
      <x:c r="C2849" s="33" t="str">
        <x:v>Evidence Required=Performance Review Approval; Evidence Type=Approval; Mandatory=Yes; Retention Category=Permanent; Remarks=Supervisor approval required.</x:v>
      </x:c>
      <x:c r="D2849" s="33" t="str">
        <x:v>Evidence Required=Documentary and transaction evidence demonstrating: Do not advertise a product/service prohibited by law and document endorsement due diligence where an endorsement is used.; Evidence Type=Record; Mandatory=Yes; Retention Category=Applicable statutory / operational period; Remarks=P-4 aligned to the normalized parent audit; legacy Evidence ID preserved.</x:v>
      </x:c>
      <x:c r="E2849" s="33" t="str">
        <x:v>CORRECT / RECLASSIFY</x:v>
      </x:c>
      <x:c r="F2849" s="33" t="str">
        <x:v>Quarantine inactive descendants and align existing evidence to normalized audits.</x:v>
      </x:c>
      <x:c r="G2849" s="33" t="str">
        <x:v>P-4 execution-chain reconciliation</x:v>
      </x:c>
      <x:c r="H2849" s="33" t="str">
        <x:v>P-4</x:v>
      </x:c>
      <x:c r="I2849" s="33" t="str">
        <x:v>P-4</x:v>
      </x:c>
      <x:c r="J2849" s="33" t="str">
        <x:v>2026-08-20</x:v>
      </x:c>
      <x:c r="K2849" s="33" t="str">
        <x:v>Evidence IDs preserved and aligned.</x:v>
      </x:c>
    </x:row>
    <x:row r="2850">
      <x:c r="A2850" s="33" t="str">
        <x:v>EVD439</x:v>
      </x:c>
      <x:c r="B2850" s="33" t="str">
        <x:v>Evidence Master</x:v>
      </x:c>
      <x:c r="C2850" s="33" t="str">
        <x:v>Evidence Required=Internal Personnel Compliance Audit Report; Evidence Type=Report; Mandatory=Yes; Retention Category=Operational; Remarks=HR compliance audit evidence.</x:v>
      </x:c>
      <x:c r="D2850" s="33" t="str">
        <x:v>Evidence Required=Documentary and transaction evidence demonstrating: Do not advertise a drug for the section 3/Schedule prohibited purposes, diseases or conditions.; Evidence Type=Record; Mandatory=Yes; Retention Category=Applicable statutory / operational period; Remarks=P-4 aligned to the normalized parent audit; legacy Evidence ID preserved.</x:v>
      </x:c>
      <x:c r="E2850" s="33" t="str">
        <x:v>CORRECT / RECLASSIFY</x:v>
      </x:c>
      <x:c r="F2850" s="33" t="str">
        <x:v>Quarantine inactive descendants and align existing evidence to normalized audits.</x:v>
      </x:c>
      <x:c r="G2850" s="33" t="str">
        <x:v>P-4 execution-chain reconciliation</x:v>
      </x:c>
      <x:c r="H2850" s="33" t="str">
        <x:v>P-4</x:v>
      </x:c>
      <x:c r="I2850" s="33" t="str">
        <x:v>P-4</x:v>
      </x:c>
      <x:c r="J2850" s="33" t="str">
        <x:v>2026-08-20</x:v>
      </x:c>
      <x:c r="K2850" s="33" t="str">
        <x:v>Evidence IDs preserved and aligned.</x:v>
      </x:c>
    </x:row>
    <x:row r="2851">
      <x:c r="A2851" s="33" t="str">
        <x:v>EVD440</x:v>
      </x:c>
      <x:c r="B2851" s="33" t="str">
        <x:v>Evidence Master</x:v>
      </x:c>
      <x:c r="C2851" s="33" t="str">
        <x:v>Evidence Required=Personnel Audit Observation Register; Evidence Type=Register; Mandatory=Yes; Retention Category=Statutory; Remarks=Audit findings recorded.</x:v>
      </x:c>
      <x:c r="D2851" s="33" t="str">
        <x:v>Evidence Required=Documentary and transaction evidence demonstrating: Do not advertise a drug for the section 3/Schedule prohibited purposes, diseases or conditions.; Evidence Type=Record; Mandatory=Yes; Retention Category=Applicable statutory / operational period; Remarks=P-4 aligned to the normalized parent audit; legacy Evidence ID preserved.</x:v>
      </x:c>
      <x:c r="E2851" s="33" t="str">
        <x:v>CORRECT / RECLASSIFY</x:v>
      </x:c>
      <x:c r="F2851" s="33" t="str">
        <x:v>Quarantine inactive descendants and align existing evidence to normalized audits.</x:v>
      </x:c>
      <x:c r="G2851" s="33" t="str">
        <x:v>P-4 execution-chain reconciliation</x:v>
      </x:c>
      <x:c r="H2851" s="33" t="str">
        <x:v>P-4</x:v>
      </x:c>
      <x:c r="I2851" s="33" t="str">
        <x:v>P-4</x:v>
      </x:c>
      <x:c r="J2851" s="33" t="str">
        <x:v>2026-08-20</x:v>
      </x:c>
      <x:c r="K2851" s="33" t="str">
        <x:v>Evidence IDs preserved and aligned.</x:v>
      </x:c>
    </x:row>
    <x:row r="2852">
      <x:c r="A2852" s="33" t="str">
        <x:v>EVD441</x:v>
      </x:c>
      <x:c r="B2852" s="33" t="str">
        <x:v>Evidence Master</x:v>
      </x:c>
      <x:c r="C2852" s="33" t="str">
        <x:v>Evidence Required=Regulatory Inspection Report (Personnel); Evidence Type=Inspection Report; Mandatory=Yes; Retention Category=Statutory; Remarks=External inspection evidence.</x:v>
      </x:c>
      <x:c r="D2852" s="33" t="str">
        <x:v>Evidence Required=Documentary and transaction evidence demonstrating: Do not issue a drug advertisement that gives a false impression, makes a false claim or is otherwise materially false/misleading.; Evidence Type=Record; Mandatory=Yes; Retention Category=Applicable statutory / operational period; Remarks=P-4 aligned to the normalized parent audit; legacy Evidence ID preserved.</x:v>
      </x:c>
      <x:c r="E2852" s="33" t="str">
        <x:v>CORRECT / RECLASSIFY</x:v>
      </x:c>
      <x:c r="F2852" s="33" t="str">
        <x:v>Quarantine inactive descendants and align existing evidence to normalized audits.</x:v>
      </x:c>
      <x:c r="G2852" s="33" t="str">
        <x:v>P-4 execution-chain reconciliation</x:v>
      </x:c>
      <x:c r="H2852" s="33" t="str">
        <x:v>P-4</x:v>
      </x:c>
      <x:c r="I2852" s="33" t="str">
        <x:v>P-4</x:v>
      </x:c>
      <x:c r="J2852" s="33" t="str">
        <x:v>2026-08-20</x:v>
      </x:c>
      <x:c r="K2852" s="33" t="str">
        <x:v>Evidence IDs preserved and aligned.</x:v>
      </x:c>
    </x:row>
    <x:row r="2853">
      <x:c r="A2853" s="33" t="str">
        <x:v>EVD442</x:v>
      </x:c>
      <x:c r="B2853" s="33" t="str">
        <x:v>Evidence Master</x:v>
      </x:c>
      <x:c r="C2853" s="33" t="str">
        <x:v>Evidence Required=Personnel CAPA Register; Evidence Type=Register; Mandatory=Yes; Retention Category=Statutory; Remarks=Corrective actions for observations.</x:v>
      </x:c>
      <x:c r="D2853" s="33" t="str">
        <x:v>Evidence Required=Documentary and transaction evidence demonstrating: Do not issue a drug advertisement that gives a false impression, makes a false claim or is otherwise materially false/misleading.; Evidence Type=Record; Mandatory=Yes; Retention Category=Applicable statutory / operational period; Remarks=P-4 aligned to the normalized parent audit; legacy Evidence ID preserved.</x:v>
      </x:c>
      <x:c r="E2853" s="33" t="str">
        <x:v>CORRECT / RECLASSIFY</x:v>
      </x:c>
      <x:c r="F2853" s="33" t="str">
        <x:v>Quarantine inactive descendants and align existing evidence to normalized audits.</x:v>
      </x:c>
      <x:c r="G2853" s="33" t="str">
        <x:v>P-4 execution-chain reconciliation</x:v>
      </x:c>
      <x:c r="H2853" s="33" t="str">
        <x:v>P-4</x:v>
      </x:c>
      <x:c r="I2853" s="33" t="str">
        <x:v>P-4</x:v>
      </x:c>
      <x:c r="J2853" s="33" t="str">
        <x:v>2026-08-20</x:v>
      </x:c>
      <x:c r="K2853" s="33" t="str">
        <x:v>Evidence IDs preserved and aligned.</x:v>
      </x:c>
    </x:row>
    <x:row r="2854">
      <x:c r="A2854" s="33" t="str">
        <x:v>EVD479</x:v>
      </x:c>
      <x:c r="B2854" s="33" t="str">
        <x:v>Evidence Master</x:v>
      </x:c>
      <x:c r="C2854" s="33" t="str">
        <x:v>Evidence Required=Backup Schedule; Evidence Type=Document; Mandatory=Yes; Retention Category=Operational; Remarks=Approved backup frequency.</x:v>
      </x:c>
      <x:c r="D2854" s="33" t="str">
        <x:v>Evidence Required=Documentary and transaction evidence demonstrating: If the OSHWC Code applies, maintain the covered workplace-safety/health controls, provide required information/instruction and meet notified standards.; Evidence Type=Record; Mandatory=Yes; Retention Category=Applicable statutory / operational period; Remarks=P-4 aligned to the normalized parent audit; legacy Evidence ID preserved.</x:v>
      </x:c>
      <x:c r="E2854" s="33" t="str">
        <x:v>CORRECT / RECLASSIFY</x:v>
      </x:c>
      <x:c r="F2854" s="33" t="str">
        <x:v>Quarantine inactive descendants and align existing evidence to normalized audits.</x:v>
      </x:c>
      <x:c r="G2854" s="33" t="str">
        <x:v>P-4 execution-chain reconciliation</x:v>
      </x:c>
      <x:c r="H2854" s="33" t="str">
        <x:v>P-4</x:v>
      </x:c>
      <x:c r="I2854" s="33" t="str">
        <x:v>P-4</x:v>
      </x:c>
      <x:c r="J2854" s="33" t="str">
        <x:v>2026-08-20</x:v>
      </x:c>
      <x:c r="K2854" s="33" t="str">
        <x:v>Evidence IDs preserved and aligned.</x:v>
      </x:c>
    </x:row>
    <x:row r="2855">
      <x:c r="A2855" s="33" t="str">
        <x:v>EVD480</x:v>
      </x:c>
      <x:c r="B2855" s="33" t="str">
        <x:v>Evidence Master</x:v>
      </x:c>
      <x:c r="C2855" s="33" t="str">
        <x:v>Evidence Required=Backup Restoration Test Report; Evidence Type=Report; Mandatory=Yes; Retention Category=Operational; Remarks=Verify successful recovery.</x:v>
      </x:c>
      <x:c r="D2855" s="33" t="str">
        <x:v>Evidence Required=Documentary and transaction evidence demonstrating: If the OSHWC Code applies, maintain the covered workplace-safety/health controls, provide required information/instruction and meet notified standards.; Evidence Type=Record; Mandatory=Yes; Retention Category=Applicable statutory / operational period; Remarks=P-4 aligned to the normalized parent audit; legacy Evidence ID preserved.</x:v>
      </x:c>
      <x:c r="E2855" s="33" t="str">
        <x:v>CORRECT / RECLASSIFY</x:v>
      </x:c>
      <x:c r="F2855" s="33" t="str">
        <x:v>Quarantine inactive descendants and align existing evidence to normalized audits.</x:v>
      </x:c>
      <x:c r="G2855" s="33" t="str">
        <x:v>P-4 execution-chain reconciliation</x:v>
      </x:c>
      <x:c r="H2855" s="33" t="str">
        <x:v>P-4</x:v>
      </x:c>
      <x:c r="I2855" s="33" t="str">
        <x:v>P-4</x:v>
      </x:c>
      <x:c r="J2855" s="33" t="str">
        <x:v>2026-08-20</x:v>
      </x:c>
      <x:c r="K2855" s="33" t="str">
        <x:v>Evidence IDs preserved and aligned.</x:v>
      </x:c>
    </x:row>
    <x:row r="2856">
      <x:c r="A2856" s="33" t="str">
        <x:v>EVD481</x:v>
      </x:c>
      <x:c r="B2856" s="33" t="str">
        <x:v>Evidence Master</x:v>
      </x:c>
      <x:c r="C2856" s="33" t="str">
        <x:v>Evidence Required=Record Retention Schedule; Evidence Type=Record; Mandatory=Yes; Retention Category=Operational; Remarks=Approved retention requirements.</x:v>
      </x:c>
      <x:c r="D2856" s="33" t="str">
        <x:v>Evidence Required=Documentary and transaction evidence demonstrating: If covered, implement the applicable welfare, working-time and employee information/appointment-letter controls under the Code and 2026 Rules.; Evidence Type=Record; Mandatory=Yes; Retention Category=Applicable statutory / operational period; Remarks=P-4 aligned to the normalized parent audit; legacy Evidence ID preserved.</x:v>
      </x:c>
      <x:c r="E2856" s="33" t="str">
        <x:v>CORRECT / RECLASSIFY</x:v>
      </x:c>
      <x:c r="F2856" s="33" t="str">
        <x:v>Quarantine inactive descendants and align existing evidence to normalized audits.</x:v>
      </x:c>
      <x:c r="G2856" s="33" t="str">
        <x:v>P-4 execution-chain reconciliation</x:v>
      </x:c>
      <x:c r="H2856" s="33" t="str">
        <x:v>P-4</x:v>
      </x:c>
      <x:c r="I2856" s="33" t="str">
        <x:v>P-4</x:v>
      </x:c>
      <x:c r="J2856" s="33" t="str">
        <x:v>2026-08-20</x:v>
      </x:c>
      <x:c r="K2856" s="33" t="str">
        <x:v>Evidence IDs preserved and aligned.</x:v>
      </x:c>
    </x:row>
    <x:row r="2857">
      <x:c r="A2857" s="33" t="str">
        <x:v>EVD482</x:v>
      </x:c>
      <x:c r="B2857" s="33" t="str">
        <x:v>Evidence Master</x:v>
      </x:c>
      <x:c r="C2857" s="33" t="str">
        <x:v>Evidence Required=Archived Records Register; Evidence Type=Register; Mandatory=Yes; Retention Category=Statutory; Remarks=Retention evidence.</x:v>
      </x:c>
      <x:c r="D2857" s="33" t="str">
        <x:v>Evidence Required=Documentary and transaction evidence demonstrating: If covered, implement the applicable welfare, working-time and employee information/appointment-letter controls under the Code and 2026 Rules.; Evidence Type=Record; Mandatory=Yes; Retention Category=Applicable statutory / operational period; Remarks=P-4 aligned to the normalized parent audit; legacy Evidence ID preserved.</x:v>
      </x:c>
      <x:c r="E2857" s="33" t="str">
        <x:v>CORRECT / RECLASSIFY</x:v>
      </x:c>
      <x:c r="F2857" s="33" t="str">
        <x:v>Quarantine inactive descendants and align existing evidence to normalized audits.</x:v>
      </x:c>
      <x:c r="G2857" s="33" t="str">
        <x:v>P-4 execution-chain reconciliation</x:v>
      </x:c>
      <x:c r="H2857" s="33" t="str">
        <x:v>P-4</x:v>
      </x:c>
      <x:c r="I2857" s="33" t="str">
        <x:v>P-4</x:v>
      </x:c>
      <x:c r="J2857" s="33" t="str">
        <x:v>2026-08-20</x:v>
      </x:c>
      <x:c r="K2857" s="33" t="str">
        <x:v>Evidence IDs preserved and aligned.</x:v>
      </x:c>
    </x:row>
    <x:row r="2858">
      <x:c r="A2858" s="33" t="str">
        <x:v>EVD483</x:v>
      </x:c>
      <x:c r="B2858" s="33" t="str">
        <x:v>Evidence Master</x:v>
      </x:c>
      <x:c r="C2858" s="33" t="str">
        <x:v>Evidence Required=Confidential Record Storage Register; Evidence Type=Register; Mandatory=Yes; Retention Category=Statutory; Remarks=Secure storage documentation.</x:v>
      </x:c>
      <x:c r="D2858" s="33" t="str">
        <x:v>Evidence Required=Documentary and transaction evidence demonstrating: Report and record only the occupational accidents/dangerous occurrences prescribed for the covered establishment within the statutory timeline.; Evidence Type=Record; Mandatory=Yes; Retention Category=Applicable statutory / operational period; Remarks=P-4 aligned to the normalized parent audit; legacy Evidence ID preserved.</x:v>
      </x:c>
      <x:c r="E2858" s="33" t="str">
        <x:v>CORRECT / RECLASSIFY</x:v>
      </x:c>
      <x:c r="F2858" s="33" t="str">
        <x:v>Quarantine inactive descendants and align existing evidence to normalized audits.</x:v>
      </x:c>
      <x:c r="G2858" s="33" t="str">
        <x:v>P-4 execution-chain reconciliation</x:v>
      </x:c>
      <x:c r="H2858" s="33" t="str">
        <x:v>P-4</x:v>
      </x:c>
      <x:c r="I2858" s="33" t="str">
        <x:v>P-4</x:v>
      </x:c>
      <x:c r="J2858" s="33" t="str">
        <x:v>2026-08-20</x:v>
      </x:c>
      <x:c r="K2858" s="33" t="str">
        <x:v>Evidence IDs preserved and aligned.</x:v>
      </x:c>
    </x:row>
    <x:row r="2859">
      <x:c r="A2859" s="33" t="str">
        <x:v>EVD484</x:v>
      </x:c>
      <x:c r="B2859" s="33" t="str">
        <x:v>Evidence Master</x:v>
      </x:c>
      <x:c r="C2859" s="33" t="str">
        <x:v>Evidence Required=Confidential Access Register; Evidence Type=Register; Mandatory=Yes; Retention Category=Statutory; Remarks=Restricted access evidence.</x:v>
      </x:c>
      <x:c r="D2859" s="33" t="str">
        <x:v>Evidence Required=Documentary and transaction evidence demonstrating: Report and record only the occupational accidents/dangerous occurrences prescribed for the covered establishment within the statutory timeline.; Evidence Type=Record; Mandatory=Yes; Retention Category=Applicable statutory / operational period; Remarks=P-4 aligned to the normalized parent audit; legacy Evidence ID preserved.</x:v>
      </x:c>
      <x:c r="E2859" s="33" t="str">
        <x:v>CORRECT / RECLASSIFY</x:v>
      </x:c>
      <x:c r="F2859" s="33" t="str">
        <x:v>Quarantine inactive descendants and align existing evidence to normalized audits.</x:v>
      </x:c>
      <x:c r="G2859" s="33" t="str">
        <x:v>P-4 execution-chain reconciliation</x:v>
      </x:c>
      <x:c r="H2859" s="33" t="str">
        <x:v>P-4</x:v>
      </x:c>
      <x:c r="I2859" s="33" t="str">
        <x:v>P-4</x:v>
      </x:c>
      <x:c r="J2859" s="33" t="str">
        <x:v>2026-08-20</x:v>
      </x:c>
      <x:c r="K2859" s="33" t="str">
        <x:v>Evidence IDs preserved and aligned.</x:v>
      </x:c>
    </x:row>
    <x:row r="2860">
      <x:c r="A2860" s="33" t="str">
        <x:v>EVD485</x:v>
      </x:c>
      <x:c r="B2860" s="33" t="str">
        <x:v>Evidence Master</x:v>
      </x:c>
      <x:c r="C2860" s="33" t="str">
        <x:v>Evidence Required=Record Destruction Authorization; Evidence Type=Approval; Mandatory=Yes; Retention Category=Permanent; Remarks=Authorization before destruction.</x:v>
      </x:c>
      <x:c r="D2860" s="33" t="str">
        <x:v>Evidence Required=Documentary and transaction evidence demonstrating: Perform temperature mapping of storage areas before commissioning and after major modifications.; Evidence Type=Record; Mandatory=Yes; Retention Category=Applicable statutory / operational period; Remarks=P-4 aligned to the normalized parent audit; legacy Evidence ID preserved.</x:v>
      </x:c>
      <x:c r="E2860" s="33" t="str">
        <x:v>CORRECT / RECLASSIFY</x:v>
      </x:c>
      <x:c r="F2860" s="33" t="str">
        <x:v>Quarantine inactive descendants and align existing evidence to normalized audits.</x:v>
      </x:c>
      <x:c r="G2860" s="33" t="str">
        <x:v>P-4 execution-chain reconciliation</x:v>
      </x:c>
      <x:c r="H2860" s="33" t="str">
        <x:v>P-4</x:v>
      </x:c>
      <x:c r="I2860" s="33" t="str">
        <x:v>P-4</x:v>
      </x:c>
      <x:c r="J2860" s="33" t="str">
        <x:v>2026-08-20</x:v>
      </x:c>
      <x:c r="K2860" s="33" t="str">
        <x:v>Evidence IDs preserved and aligned.</x:v>
      </x:c>
    </x:row>
    <x:row r="2861">
      <x:c r="A2861" s="33" t="str">
        <x:v>EVD486</x:v>
      </x:c>
      <x:c r="B2861" s="33" t="str">
        <x:v>Evidence Master</x:v>
      </x:c>
      <x:c r="C2861" s="33" t="str">
        <x:v>Evidence Required=Record Destruction Certificate; Evidence Type=Certificate; Mandatory=Yes; Retention Category=Permanent; Remarks=Evidence of destruction.</x:v>
      </x:c>
      <x:c r="D2861" s="33" t="str">
        <x:v>Evidence Required=Documentary and transaction evidence demonstrating: Perform temperature mapping of storage areas before commissioning and after major modifications.; Evidence Type=Record; Mandatory=Yes; Retention Category=Applicable statutory / operational period; Remarks=P-4 aligned to the normalized parent audit; legacy Evidence ID preserved.</x:v>
      </x:c>
      <x:c r="E2861" s="33" t="str">
        <x:v>CORRECT / RECLASSIFY</x:v>
      </x:c>
      <x:c r="F2861" s="33" t="str">
        <x:v>Quarantine inactive descendants and align existing evidence to normalized audits.</x:v>
      </x:c>
      <x:c r="G2861" s="33" t="str">
        <x:v>P-4 execution-chain reconciliation</x:v>
      </x:c>
      <x:c r="H2861" s="33" t="str">
        <x:v>P-4</x:v>
      </x:c>
      <x:c r="I2861" s="33" t="str">
        <x:v>P-4</x:v>
      </x:c>
      <x:c r="J2861" s="33" t="str">
        <x:v>2026-08-20</x:v>
      </x:c>
      <x:c r="K2861" s="33" t="str">
        <x:v>Evidence IDs preserved and aligned.</x:v>
      </x:c>
    </x:row>
    <x:row r="2862">
      <x:c r="A2862" s="33" t="str">
        <x:v>EVD487</x:v>
      </x:c>
      <x:c r="B2862" s="33" t="str">
        <x:v>Evidence Master</x:v>
      </x:c>
      <x:c r="C2862" s="33" t="str">
        <x:v>Evidence Required=Document Issue Register; Evidence Type=Register; Mandatory=Yes; Retention Category=Statutory; Remarks=Controlled document issuance.</x:v>
      </x:c>
      <x:c r="D2862" s="33" t="str">
        <x:v>Evidence Required=Documentary and transaction evidence demonstrating: Revalidate temperature mapping periodically and after significant changes to storage conditions.; Evidence Type=Record; Mandatory=Yes; Retention Category=Applicable statutory / operational period; Remarks=P-4 aligned to the normalized parent audit; legacy Evidence ID preserved.</x:v>
      </x:c>
      <x:c r="E2862" s="33" t="str">
        <x:v>CORRECT / RECLASSIFY</x:v>
      </x:c>
      <x:c r="F2862" s="33" t="str">
        <x:v>Quarantine inactive descendants and align existing evidence to normalized audits.</x:v>
      </x:c>
      <x:c r="G2862" s="33" t="str">
        <x:v>P-4 execution-chain reconciliation</x:v>
      </x:c>
      <x:c r="H2862" s="33" t="str">
        <x:v>P-4</x:v>
      </x:c>
      <x:c r="I2862" s="33" t="str">
        <x:v>P-4</x:v>
      </x:c>
      <x:c r="J2862" s="33" t="str">
        <x:v>2026-08-20</x:v>
      </x:c>
      <x:c r="K2862" s="33" t="str">
        <x:v>Evidence IDs preserved and aligned.</x:v>
      </x:c>
    </x:row>
    <x:row r="2863">
      <x:c r="A2863" s="33" t="str">
        <x:v>EVD488</x:v>
      </x:c>
      <x:c r="B2863" s="33" t="str">
        <x:v>Evidence Master</x:v>
      </x:c>
      <x:c r="C2863" s="33" t="str">
        <x:v>Evidence Required=Document Retrieval Register; Evidence Type=Register; Mandatory=Yes; Retention Category=Statutory; Remarks=Controlled retrieval history.</x:v>
      </x:c>
      <x:c r="D2863" s="33" t="str">
        <x:v>Evidence Required=Documentary and transaction evidence demonstrating: Revalidate temperature mapping periodically and after significant changes to storage conditions.; Evidence Type=Record; Mandatory=Yes; Retention Category=Applicable statutory / operational period; Remarks=P-4 aligned to the normalized parent audit; legacy Evidence ID preserved.</x:v>
      </x:c>
      <x:c r="E2863" s="33" t="str">
        <x:v>CORRECT / RECLASSIFY</x:v>
      </x:c>
      <x:c r="F2863" s="33" t="str">
        <x:v>Quarantine inactive descendants and align existing evidence to normalized audits.</x:v>
      </x:c>
      <x:c r="G2863" s="33" t="str">
        <x:v>P-4 execution-chain reconciliation</x:v>
      </x:c>
      <x:c r="H2863" s="33" t="str">
        <x:v>P-4</x:v>
      </x:c>
      <x:c r="I2863" s="33" t="str">
        <x:v>P-4</x:v>
      </x:c>
      <x:c r="J2863" s="33" t="str">
        <x:v>2026-08-20</x:v>
      </x:c>
      <x:c r="K2863" s="33" t="str">
        <x:v>Evidence IDs preserved and aligned.</x:v>
      </x:c>
    </x:row>
    <x:row r="2864">
      <x:c r="A2864" s="33" t="str">
        <x:v>EVD489</x:v>
      </x:c>
      <x:c r="B2864" s="33" t="str">
        <x:v>Evidence Master</x:v>
      </x:c>
      <x:c r="C2864" s="33" t="str">
        <x:v>Evidence Required=Internal Document Control Audit Report; Evidence Type=Report; Mandatory=Yes; Retention Category=Operational; Remarks=Document control audit.</x:v>
      </x:c>
      <x:c r="D2864" s="33" t="str">
        <x:v>Evidence Required=Documentary and transaction evidence demonstrating: Maintain temperature mapping reports, protocols and validation records.; Evidence Type=Record; Mandatory=Yes; Retention Category=Applicable statutory / operational period; Remarks=P-4 aligned to the normalized parent audit; legacy Evidence ID preserved.</x:v>
      </x:c>
      <x:c r="E2864" s="33" t="str">
        <x:v>CORRECT / RECLASSIFY</x:v>
      </x:c>
      <x:c r="F2864" s="33" t="str">
        <x:v>Quarantine inactive descendants and align existing evidence to normalized audits.</x:v>
      </x:c>
      <x:c r="G2864" s="33" t="str">
        <x:v>P-4 execution-chain reconciliation</x:v>
      </x:c>
      <x:c r="H2864" s="33" t="str">
        <x:v>P-4</x:v>
      </x:c>
      <x:c r="I2864" s="33" t="str">
        <x:v>P-4</x:v>
      </x:c>
      <x:c r="J2864" s="33" t="str">
        <x:v>2026-08-20</x:v>
      </x:c>
      <x:c r="K2864" s="33" t="str">
        <x:v>Evidence IDs preserved and aligned.</x:v>
      </x:c>
    </x:row>
    <x:row r="2865">
      <x:c r="A2865" s="33" t="str">
        <x:v>EVD490</x:v>
      </x:c>
      <x:c r="B2865" s="33" t="str">
        <x:v>Evidence Master</x:v>
      </x:c>
      <x:c r="C2865" s="33" t="str">
        <x:v>Evidence Required=Document Audit Observation Register; Evidence Type=Register; Mandatory=Yes; Retention Category=Statutory; Remarks=Audit findings.</x:v>
      </x:c>
      <x:c r="D2865" s="33" t="str">
        <x:v>Evidence Required=Documentary and transaction evidence demonstrating: Maintain temperature mapping reports, protocols and validation records.; Evidence Type=Record; Mandatory=Yes; Retention Category=Applicable statutory / operational period; Remarks=P-4 aligned to the normalized parent audit; legacy Evidence ID preserved.</x:v>
      </x:c>
      <x:c r="E2865" s="33" t="str">
        <x:v>CORRECT / RECLASSIFY</x:v>
      </x:c>
      <x:c r="F2865" s="33" t="str">
        <x:v>Quarantine inactive descendants and align existing evidence to normalized audits.</x:v>
      </x:c>
      <x:c r="G2865" s="33" t="str">
        <x:v>P-4 execution-chain reconciliation</x:v>
      </x:c>
      <x:c r="H2865" s="33" t="str">
        <x:v>P-4</x:v>
      </x:c>
      <x:c r="I2865" s="33" t="str">
        <x:v>P-4</x:v>
      </x:c>
      <x:c r="J2865" s="33" t="str">
        <x:v>2026-08-20</x:v>
      </x:c>
      <x:c r="K2865" s="33" t="str">
        <x:v>Evidence IDs preserved and aligned.</x:v>
      </x:c>
    </x:row>
    <x:row r="2866">
      <x:c r="A2866" s="33" t="str">
        <x:v>EVD491</x:v>
      </x:c>
      <x:c r="B2866" s="33" t="str">
        <x:v>Evidence Master</x:v>
      </x:c>
      <x:c r="C2866" s="33" t="str">
        <x:v>Evidence Required=Documentation Deviation Register; Evidence Type=Register; Mandatory=Yes; Retention Category=Statutory; Remarks=Record documentation deviations.</x:v>
      </x:c>
      <x:c r="D2866" s="33" t="str">
        <x:v>Evidence Required=Documentary and transaction evidence demonstrating: Calibrate all critical measuring instruments at approved intervals.; Evidence Type=Record; Mandatory=Yes; Retention Category=Applicable statutory / operational period; Remarks=P-4 aligned to the normalized parent audit; legacy Evidence ID preserved.</x:v>
      </x:c>
      <x:c r="E2866" s="33" t="str">
        <x:v>CORRECT / RECLASSIFY</x:v>
      </x:c>
      <x:c r="F2866" s="33" t="str">
        <x:v>Quarantine inactive descendants and align existing evidence to normalized audits.</x:v>
      </x:c>
      <x:c r="G2866" s="33" t="str">
        <x:v>P-4 execution-chain reconciliation</x:v>
      </x:c>
      <x:c r="H2866" s="33" t="str">
        <x:v>P-4</x:v>
      </x:c>
      <x:c r="I2866" s="33" t="str">
        <x:v>P-4</x:v>
      </x:c>
      <x:c r="J2866" s="33" t="str">
        <x:v>2026-08-20</x:v>
      </x:c>
      <x:c r="K2866" s="33" t="str">
        <x:v>Evidence IDs preserved and aligned.</x:v>
      </x:c>
    </x:row>
    <x:row r="2867">
      <x:c r="A2867" s="33" t="str">
        <x:v>EVD492</x:v>
      </x:c>
      <x:c r="B2867" s="33" t="str">
        <x:v>Evidence Master</x:v>
      </x:c>
      <x:c r="C2867" s="33" t="str">
        <x:v>Evidence Required=Documentation CAPA Report; Evidence Type=Report; Mandatory=Yes; Retention Category=Operational; Remarks=Corrective action evidence.</x:v>
      </x:c>
      <x:c r="D2867" s="33" t="str">
        <x:v>Evidence Required=Documentary and transaction evidence demonstrating: Calibrate all critical measuring instruments at approved intervals.; Evidence Type=Record; Mandatory=Yes; Retention Category=Applicable statutory / operational period; Remarks=P-4 aligned to the normalized parent audit; legacy Evidence ID preserved.</x:v>
      </x:c>
      <x:c r="E2867" s="33" t="str">
        <x:v>CORRECT / RECLASSIFY</x:v>
      </x:c>
      <x:c r="F2867" s="33" t="str">
        <x:v>Quarantine inactive descendants and align existing evidence to normalized audits.</x:v>
      </x:c>
      <x:c r="G2867" s="33" t="str">
        <x:v>P-4 execution-chain reconciliation</x:v>
      </x:c>
      <x:c r="H2867" s="33" t="str">
        <x:v>P-4</x:v>
      </x:c>
      <x:c r="I2867" s="33" t="str">
        <x:v>P-4</x:v>
      </x:c>
      <x:c r="J2867" s="33" t="str">
        <x:v>2026-08-20</x:v>
      </x:c>
      <x:c r="K2867" s="33" t="str">
        <x:v>Evidence IDs preserved and aligned.</x:v>
      </x:c>
    </x:row>
    <x:row r="2868">
      <x:c r="A2868" s="33" t="str">
        <x:v>EVD493</x:v>
      </x:c>
      <x:c r="B2868" s="33" t="str">
        <x:v>Evidence Master</x:v>
      </x:c>
      <x:c r="C2868" s="33" t="str">
        <x:v>Evidence Required=Documentation KPI Report; Evidence Type=Digital Record; Mandatory=No; Retention Category=Operational; Remarks=KPI monitoring.</x:v>
      </x:c>
      <x:c r="D2868" s="33" t="str">
        <x:v>Evidence Required=Documentary and transaction evidence demonstrating: Qualify equipment before operational use and after major repairs where required.; Evidence Type=Record; Mandatory=Yes; Retention Category=Applicable statutory / operational period; Remarks=P-4 aligned to the normalized parent audit; legacy Evidence ID preserved.</x:v>
      </x:c>
      <x:c r="E2868" s="33" t="str">
        <x:v>CORRECT / RECLASSIFY</x:v>
      </x:c>
      <x:c r="F2868" s="33" t="str">
        <x:v>Quarantine inactive descendants and align existing evidence to normalized audits.</x:v>
      </x:c>
      <x:c r="G2868" s="33" t="str">
        <x:v>P-4 execution-chain reconciliation</x:v>
      </x:c>
      <x:c r="H2868" s="33" t="str">
        <x:v>P-4</x:v>
      </x:c>
      <x:c r="I2868" s="33" t="str">
        <x:v>P-4</x:v>
      </x:c>
      <x:c r="J2868" s="33" t="str">
        <x:v>2026-08-20</x:v>
      </x:c>
      <x:c r="K2868" s="33" t="str">
        <x:v>Evidence IDs preserved and aligned.</x:v>
      </x:c>
    </x:row>
    <x:row r="2869">
      <x:c r="A2869" s="33" t="str">
        <x:v>EVD494</x:v>
      </x:c>
      <x:c r="B2869" s="33" t="str">
        <x:v>Evidence Master</x:v>
      </x:c>
      <x:c r="C2869" s="33" t="str">
        <x:v>Evidence Required=Documentation Management Review Minutes; Evidence Type=Document; Mandatory=Yes; Retention Category=Operational; Remarks=Management oversight.</x:v>
      </x:c>
      <x:c r="D2869" s="33" t="str">
        <x:v>Evidence Required=Documentary and transaction evidence demonstrating: Qualify equipment before operational use and after major repairs where required.; Evidence Type=Record; Mandatory=Yes; Retention Category=Applicable statutory / operational period; Remarks=P-4 aligned to the normalized parent audit; legacy Evidence ID preserved.</x:v>
      </x:c>
      <x:c r="E2869" s="33" t="str">
        <x:v>CORRECT / RECLASSIFY</x:v>
      </x:c>
      <x:c r="F2869" s="33" t="str">
        <x:v>Quarantine inactive descendants and align existing evidence to normalized audits.</x:v>
      </x:c>
      <x:c r="G2869" s="33" t="str">
        <x:v>P-4 execution-chain reconciliation</x:v>
      </x:c>
      <x:c r="H2869" s="33" t="str">
        <x:v>P-4</x:v>
      </x:c>
      <x:c r="I2869" s="33" t="str">
        <x:v>P-4</x:v>
      </x:c>
      <x:c r="J2869" s="33" t="str">
        <x:v>2026-08-20</x:v>
      </x:c>
      <x:c r="K2869" s="33" t="str">
        <x:v>Evidence IDs preserved and aligned.</x:v>
      </x:c>
    </x:row>
    <x:row r="2870">
      <x:c r="A2870" s="33" t="str">
        <x:v>EVD495</x:v>
      </x:c>
      <x:c r="B2870" s="33" t="str">
        <x:v>Evidence Master</x:v>
      </x:c>
      <x:c r="C2870" s="33" t="str">
        <x:v>Evidence Required=GDP Training Record; Evidence Type=Training Record; Mandatory=Yes; Retention Category=Operational; Remarks=Good Documentation Practice training.</x:v>
      </x:c>
      <x:c r="D2870" s="33" t="str">
        <x:v>Evidence Required=Documentary and transaction evidence demonstrating: Implement a documented preventive maintenance programme for critical equipment.; Evidence Type=Record; Mandatory=Yes; Retention Category=Applicable statutory / operational period; Remarks=P-4 aligned to the normalized parent audit; legacy Evidence ID preserved.</x:v>
      </x:c>
      <x:c r="E2870" s="33" t="str">
        <x:v>CORRECT / RECLASSIFY</x:v>
      </x:c>
      <x:c r="F2870" s="33" t="str">
        <x:v>Quarantine inactive descendants and align existing evidence to normalized audits.</x:v>
      </x:c>
      <x:c r="G2870" s="33" t="str">
        <x:v>P-4 execution-chain reconciliation</x:v>
      </x:c>
      <x:c r="H2870" s="33" t="str">
        <x:v>P-4</x:v>
      </x:c>
      <x:c r="I2870" s="33" t="str">
        <x:v>P-4</x:v>
      </x:c>
      <x:c r="J2870" s="33" t="str">
        <x:v>2026-08-20</x:v>
      </x:c>
      <x:c r="K2870" s="33" t="str">
        <x:v>Evidence IDs preserved and aligned.</x:v>
      </x:c>
    </x:row>
    <x:row r="2871">
      <x:c r="A2871" s="33" t="str">
        <x:v>EVD496</x:v>
      </x:c>
      <x:c r="B2871" s="33" t="str">
        <x:v>Evidence Master</x:v>
      </x:c>
      <x:c r="C2871" s="33" t="str">
        <x:v>Evidence Required=GDP Training Attendance Register; Evidence Type=Training Record; Mandatory=Yes; Retention Category=Operational; Remarks=Attendance evidence.</x:v>
      </x:c>
      <x:c r="D2871" s="33" t="str">
        <x:v>Evidence Required=Documentary and transaction evidence demonstrating: Implement a documented preventive maintenance programme for critical equipment.; Evidence Type=Record; Mandatory=Yes; Retention Category=Applicable statutory / operational period; Remarks=P-4 aligned to the normalized parent audit; legacy Evidence ID preserved.</x:v>
      </x:c>
      <x:c r="E2871" s="33" t="str">
        <x:v>CORRECT / RECLASSIFY</x:v>
      </x:c>
      <x:c r="F2871" s="33" t="str">
        <x:v>Quarantine inactive descendants and align existing evidence to normalized audits.</x:v>
      </x:c>
      <x:c r="G2871" s="33" t="str">
        <x:v>P-4 execution-chain reconciliation</x:v>
      </x:c>
      <x:c r="H2871" s="33" t="str">
        <x:v>P-4</x:v>
      </x:c>
      <x:c r="I2871" s="33" t="str">
        <x:v>P-4</x:v>
      </x:c>
      <x:c r="J2871" s="33" t="str">
        <x:v>2026-08-20</x:v>
      </x:c>
      <x:c r="K2871" s="33" t="str">
        <x:v>Evidence IDs preserved and aligned.</x:v>
      </x:c>
    </x:row>
    <x:row r="2872">
      <x:c r="A2872" s="33" t="str">
        <x:v>EVD497</x:v>
      </x:c>
      <x:c r="B2872" s="33" t="str">
        <x:v>Evidence Master</x:v>
      </x:c>
      <x:c r="C2872" s="33" t="str">
        <x:v>Evidence Required=Regulatory Inspection Report (Documentation); Evidence Type=Inspection Report; Mandatory=Yes; Retention Category=Statutory; Remarks=Documentation inspection findings.</x:v>
      </x:c>
      <x:c r="D2872" s="33" t="str">
        <x:v>Evidence Required=Documentary and transaction evidence demonstrating: Maintain calibration certificates and calibration history for all critical instruments.; Evidence Type=Record; Mandatory=Yes; Retention Category=Applicable statutory / operational period; Remarks=P-4 aligned to the normalized parent audit; legacy Evidence ID preserved.</x:v>
      </x:c>
      <x:c r="E2872" s="33" t="str">
        <x:v>CORRECT / RECLASSIFY</x:v>
      </x:c>
      <x:c r="F2872" s="33" t="str">
        <x:v>Quarantine inactive descendants and align existing evidence to normalized audits.</x:v>
      </x:c>
      <x:c r="G2872" s="33" t="str">
        <x:v>P-4 execution-chain reconciliation</x:v>
      </x:c>
      <x:c r="H2872" s="33" t="str">
        <x:v>P-4</x:v>
      </x:c>
      <x:c r="I2872" s="33" t="str">
        <x:v>P-4</x:v>
      </x:c>
      <x:c r="J2872" s="33" t="str">
        <x:v>2026-08-20</x:v>
      </x:c>
      <x:c r="K2872" s="33" t="str">
        <x:v>Evidence IDs preserved and aligned.</x:v>
      </x:c>
    </x:row>
    <x:row r="2873">
      <x:c r="A2873" s="33" t="str">
        <x:v>EVD498</x:v>
      </x:c>
      <x:c r="B2873" s="33" t="str">
        <x:v>Evidence Master</x:v>
      </x:c>
      <x:c r="C2873" s="33" t="str">
        <x:v>Evidence Required=Documentation CAPA Register; Evidence Type=Register; Mandatory=Yes; Retention Category=Statutory; Remarks=Regulatory observation closure.</x:v>
      </x:c>
      <x:c r="D2873" s="33" t="str">
        <x:v>Evidence Required=Documentary and transaction evidence demonstrating: Maintain calibration certificates and calibration history for all critical instruments.; Evidence Type=Record; Mandatory=Yes; Retention Category=Applicable statutory / operational period; Remarks=P-4 aligned to the normalized parent audit; legacy Evidence ID preserved.</x:v>
      </x:c>
      <x:c r="E2873" s="33" t="str">
        <x:v>CORRECT / RECLASSIFY</x:v>
      </x:c>
      <x:c r="F2873" s="33" t="str">
        <x:v>Quarantine inactive descendants and align existing evidence to normalized audits.</x:v>
      </x:c>
      <x:c r="G2873" s="33" t="str">
        <x:v>P-4 execution-chain reconciliation</x:v>
      </x:c>
      <x:c r="H2873" s="33" t="str">
        <x:v>P-4</x:v>
      </x:c>
      <x:c r="I2873" s="33" t="str">
        <x:v>P-4</x:v>
      </x:c>
      <x:c r="J2873" s="33" t="str">
        <x:v>2026-08-20</x:v>
      </x:c>
      <x:c r="K2873" s="33" t="str">
        <x:v>Evidence IDs preserved and aligned.</x:v>
      </x:c>
    </x:row>
    <x:row r="2874">
      <x:c r="A2874" s="33" t="str">
        <x:v>EVD499</x:v>
      </x:c>
      <x:c r="B2874" s="33" t="str">
        <x:v>Evidence Master</x:v>
      </x:c>
      <x:c r="C2874" s="33" t="str">
        <x:v>Evidence Required=Computer System Validation Report; Evidence Type=Digital Record; Mandatory=Yes; Retention Category=Operational; Remarks=Document management system validation.</x:v>
      </x:c>
      <x:c r="D2874" s="33" t="str">
        <x:v>Evidence Required=Documentary and transaction evidence demonstrating: Verify equipment performance following maintenance or calibration activities.; Evidence Type=Record; Mandatory=Yes; Retention Category=Applicable statutory / operational period; Remarks=P-4 aligned to the normalized parent audit; legacy Evidence ID preserved.</x:v>
      </x:c>
      <x:c r="E2874" s="33" t="str">
        <x:v>CORRECT / RECLASSIFY</x:v>
      </x:c>
      <x:c r="F2874" s="33" t="str">
        <x:v>Quarantine inactive descendants and align existing evidence to normalized audits.</x:v>
      </x:c>
      <x:c r="G2874" s="33" t="str">
        <x:v>P-4 execution-chain reconciliation</x:v>
      </x:c>
      <x:c r="H2874" s="33" t="str">
        <x:v>P-4</x:v>
      </x:c>
      <x:c r="I2874" s="33" t="str">
        <x:v>P-4</x:v>
      </x:c>
      <x:c r="J2874" s="33" t="str">
        <x:v>2026-08-20</x:v>
      </x:c>
      <x:c r="K2874" s="33" t="str">
        <x:v>Evidence IDs preserved and aligned.</x:v>
      </x:c>
    </x:row>
    <x:row r="2875">
      <x:c r="A2875" s="33" t="str">
        <x:v>EVD500</x:v>
      </x:c>
      <x:c r="B2875" s="33" t="str">
        <x:v>Evidence Master</x:v>
      </x:c>
      <x:c r="C2875" s="33" t="str">
        <x:v>Evidence Required=Change Control Record; Evidence Type=Record; Mandatory=Yes; Retention Category=Operational; Remarks=Validation change management.</x:v>
      </x:c>
      <x:c r="D2875" s="33" t="str">
        <x:v>Evidence Required=Documentary and transaction evidence demonstrating: Verify equipment performance following maintenance or calibration activities.; Evidence Type=Record; Mandatory=Yes; Retention Category=Applicable statutory / operational period; Remarks=P-4 aligned to the normalized parent audit; legacy Evidence ID preserved.</x:v>
      </x:c>
      <x:c r="E2875" s="33" t="str">
        <x:v>CORRECT / RECLASSIFY</x:v>
      </x:c>
      <x:c r="F2875" s="33" t="str">
        <x:v>Quarantine inactive descendants and align existing evidence to normalized audits.</x:v>
      </x:c>
      <x:c r="G2875" s="33" t="str">
        <x:v>P-4 execution-chain reconciliation</x:v>
      </x:c>
      <x:c r="H2875" s="33" t="str">
        <x:v>P-4</x:v>
      </x:c>
      <x:c r="I2875" s="33" t="str">
        <x:v>P-4</x:v>
      </x:c>
      <x:c r="J2875" s="33" t="str">
        <x:v>2026-08-20</x:v>
      </x:c>
      <x:c r="K2875" s="33" t="str">
        <x:v>Evidence IDs preserved and aligned.</x:v>
      </x:c>
    </x:row>
    <x:row r="2876">
      <x:c r="A2876" s="33" t="str">
        <x:v>EVD501</x:v>
      </x:c>
      <x:c r="B2876" s="33" t="str">
        <x:v>Evidence Master</x:v>
      </x:c>
      <x:c r="C2876" s="33" t="str">
        <x:v>Evidence Required=Self-Inspection Report; Evidence Type=Inspection Report; Mandatory=Yes; Retention Category=Statutory; Remarks=Documentation self-inspection.</x:v>
      </x:c>
      <x:c r="D2876" s="33" t="str">
        <x:v>Evidence Required=Documentary and transaction evidence demonstrating: Clearly identify and segregate equipment that is overdue for calibration or found to be defective.; Evidence Type=Record; Mandatory=Yes; Retention Category=Applicable statutory / operational period; Remarks=P-4 aligned to the normalized parent audit; legacy Evidence ID preserved.</x:v>
      </x:c>
      <x:c r="E2876" s="33" t="str">
        <x:v>CORRECT / RECLASSIFY</x:v>
      </x:c>
      <x:c r="F2876" s="33" t="str">
        <x:v>Quarantine inactive descendants and align existing evidence to normalized audits.</x:v>
      </x:c>
      <x:c r="G2876" s="33" t="str">
        <x:v>P-4 execution-chain reconciliation</x:v>
      </x:c>
      <x:c r="H2876" s="33" t="str">
        <x:v>P-4</x:v>
      </x:c>
      <x:c r="I2876" s="33" t="str">
        <x:v>P-4</x:v>
      </x:c>
      <x:c r="J2876" s="33" t="str">
        <x:v>2026-08-20</x:v>
      </x:c>
      <x:c r="K2876" s="33" t="str">
        <x:v>Evidence IDs preserved and aligned.</x:v>
      </x:c>
    </x:row>
    <x:row r="2877">
      <x:c r="A2877" s="33" t="str">
        <x:v>EVD502</x:v>
      </x:c>
      <x:c r="B2877" s="33" t="str">
        <x:v>Evidence Master</x:v>
      </x:c>
      <x:c r="C2877" s="33" t="str">
        <x:v>Evidence Required=Self-Inspection CAPA Register; Evidence Type=Inspection Report; Mandatory=Yes; Retention Category=Statutory; Remarks=Corrective action evidence.</x:v>
      </x:c>
      <x:c r="D2877" s="33" t="str">
        <x:v>Evidence Required=Documentary and transaction evidence demonstrating: Clearly identify and segregate equipment that is overdue for calibration or found to be defective.; Evidence Type=Record; Mandatory=Yes; Retention Category=Applicable statutory / operational period; Remarks=P-4 aligned to the normalized parent audit; legacy Evidence ID preserved.</x:v>
      </x:c>
      <x:c r="E2877" s="33" t="str">
        <x:v>CORRECT / RECLASSIFY</x:v>
      </x:c>
      <x:c r="F2877" s="33" t="str">
        <x:v>Quarantine inactive descendants and align existing evidence to normalized audits.</x:v>
      </x:c>
      <x:c r="G2877" s="33" t="str">
        <x:v>P-4 execution-chain reconciliation</x:v>
      </x:c>
      <x:c r="H2877" s="33" t="str">
        <x:v>P-4</x:v>
      </x:c>
      <x:c r="I2877" s="33" t="str">
        <x:v>P-4</x:v>
      </x:c>
      <x:c r="J2877" s="33" t="str">
        <x:v>2026-08-20</x:v>
      </x:c>
      <x:c r="K2877" s="33" t="str">
        <x:v>Evidence IDs preserved and aligned.</x:v>
      </x:c>
    </x:row>
    <x:row r="2878">
      <x:c r="A2878" s="33" t="str">
        <x:v>EVD503</x:v>
      </x:c>
      <x:c r="B2878" s="33" t="str">
        <x:v>Evidence Master</x:v>
      </x:c>
      <x:c r="C2878" s="33" t="str">
        <x:v>Evidence Required=Document Compliance Assessment Report; Evidence Type=Report; Mandatory=Yes; Retention Category=Operational; Remarks=Overall documentation compliance.</x:v>
      </x:c>
      <x:c r="D2878" s="33" t="str">
        <x:v>Evidence Required=Documentary and transaction evidence demonstrating: Ensure calibration is traceable to nationally or internationally recognized standards.; Evidence Type=Record; Mandatory=Yes; Retention Category=Applicable statutory / operational period; Remarks=P-4 aligned to the normalized parent audit; legacy Evidence ID preserved.</x:v>
      </x:c>
      <x:c r="E2878" s="33" t="str">
        <x:v>CORRECT / RECLASSIFY</x:v>
      </x:c>
      <x:c r="F2878" s="33" t="str">
        <x:v>Quarantine inactive descendants and align existing evidence to normalized audits.</x:v>
      </x:c>
      <x:c r="G2878" s="33" t="str">
        <x:v>P-4 execution-chain reconciliation</x:v>
      </x:c>
      <x:c r="H2878" s="33" t="str">
        <x:v>P-4</x:v>
      </x:c>
      <x:c r="I2878" s="33" t="str">
        <x:v>P-4</x:v>
      </x:c>
      <x:c r="J2878" s="33" t="str">
        <x:v>2026-08-20</x:v>
      </x:c>
      <x:c r="K2878" s="33" t="str">
        <x:v>Evidence IDs preserved and aligned.</x:v>
      </x:c>
    </x:row>
    <x:row r="2879">
      <x:c r="A2879" s="33" t="str">
        <x:v>EVD504</x:v>
      </x:c>
      <x:c r="B2879" s="33" t="str">
        <x:v>Evidence Master</x:v>
      </x:c>
      <x:c r="C2879" s="33" t="str">
        <x:v>Evidence Required=Document Process Flow Diagram; Evidence Type=Document; Mandatory=No; Retention Category=Operational; Remarks=Supports walkthrough.</x:v>
      </x:c>
      <x:c r="D2879" s="33" t="str">
        <x:v>Evidence Required=Documentary and transaction evidence demonstrating: Ensure calibration is traceable to nationally or internationally recognized standards.; Evidence Type=Record; Mandatory=Yes; Retention Category=Applicable statutory / operational period; Remarks=P-4 aligned to the normalized parent audit; legacy Evidence ID preserved.</x:v>
      </x:c>
      <x:c r="E2879" s="33" t="str">
        <x:v>CORRECT / RECLASSIFY</x:v>
      </x:c>
      <x:c r="F2879" s="33" t="str">
        <x:v>Quarantine inactive descendants and align existing evidence to normalized audits.</x:v>
      </x:c>
      <x:c r="G2879" s="33" t="str">
        <x:v>P-4 execution-chain reconciliation</x:v>
      </x:c>
      <x:c r="H2879" s="33" t="str">
        <x:v>P-4</x:v>
      </x:c>
      <x:c r="I2879" s="33" t="str">
        <x:v>P-4</x:v>
      </x:c>
      <x:c r="J2879" s="33" t="str">
        <x:v>2026-08-20</x:v>
      </x:c>
      <x:c r="K2879" s="33" t="str">
        <x:v>Evidence IDs preserved and aligned.</x:v>
      </x:c>
    </x:row>
    <x:row r="2880">
      <x:c r="A2880" s="33" t="str">
        <x:v>EVD505</x:v>
      </x:c>
      <x:c r="B2880" s="33" t="str">
        <x:v>Evidence Master</x:v>
      </x:c>
      <x:c r="C2880" s="33" t="str">
        <x:v>Evidence Required=Documentation Risk Assessment; Evidence Type=Record; Mandatory=Yes; Retention Category=Operational; Remarks=Risk evaluation.</x:v>
      </x:c>
      <x:c r="D2880" s="33" t="str">
        <x:v>Evidence Required=Documentary and transaction evidence demonstrating: Ensure calibration is traceable to nationally or internationally recognized standards.; Evidence Type=Record; Mandatory=Yes; Retention Category=Applicable statutory / operational period; Remarks=P-4 aligned to the normalized parent audit; legacy Evidence ID preserved.</x:v>
      </x:c>
      <x:c r="E2880" s="33" t="str">
        <x:v>CORRECT / RECLASSIFY</x:v>
      </x:c>
      <x:c r="F2880" s="33" t="str">
        <x:v>Quarantine inactive descendants and align existing evidence to normalized audits.</x:v>
      </x:c>
      <x:c r="G2880" s="33" t="str">
        <x:v>P-4 execution-chain reconciliation</x:v>
      </x:c>
      <x:c r="H2880" s="33" t="str">
        <x:v>P-4</x:v>
      </x:c>
      <x:c r="I2880" s="33" t="str">
        <x:v>P-4</x:v>
      </x:c>
      <x:c r="J2880" s="33" t="str">
        <x:v>2026-08-20</x:v>
      </x:c>
      <x:c r="K2880" s="33" t="str">
        <x:v>Evidence IDs preserved and aligned.</x:v>
      </x:c>
    </x:row>
    <x:row r="2881">
      <x:c r="A2881" s="33" t="str">
        <x:v>EVD506</x:v>
      </x:c>
      <x:c r="B2881" s="33" t="str">
        <x:v>Evidence Master</x:v>
      </x:c>
      <x:c r="C2881" s="33" t="str">
        <x:v>Evidence Required=Documentation Compliance Dashboard; Evidence Type=Digital Record; Mandatory=No; Retention Category=Operational; Remarks=Electronic monitoring.</x:v>
      </x:c>
      <x:c r="D2881" s="33" t="str">
        <x:v>Evidence Required=Documentary and transaction evidence demonstrating: Ensure calibration is traceable to nationally or internationally recognized standards.; Evidence Type=Record; Mandatory=Yes; Retention Category=Applicable statutory / operational period; Remarks=P-4 aligned to the normalized parent audit; legacy Evidence ID preserved.</x:v>
      </x:c>
      <x:c r="E2881" s="33" t="str">
        <x:v>CORRECT / RECLASSIFY</x:v>
      </x:c>
      <x:c r="F2881" s="33" t="str">
        <x:v>Quarantine inactive descendants and align existing evidence to normalized audits.</x:v>
      </x:c>
      <x:c r="G2881" s="33" t="str">
        <x:v>P-4 execution-chain reconciliation</x:v>
      </x:c>
      <x:c r="H2881" s="33" t="str">
        <x:v>P-4</x:v>
      </x:c>
      <x:c r="I2881" s="33" t="str">
        <x:v>P-4</x:v>
      </x:c>
      <x:c r="J2881" s="33" t="str">
        <x:v>2026-08-20</x:v>
      </x:c>
      <x:c r="K2881" s="33" t="str">
        <x:v>Evidence IDs preserved and aligned.</x:v>
      </x:c>
    </x:row>
    <x:row r="2882">
      <x:c r="A2882" s="33" t="str">
        <x:v>EVD507</x:v>
      </x:c>
      <x:c r="B2882" s="33" t="str">
        <x:v>Evidence Master</x:v>
      </x:c>
      <x:c r="C2882" s="33" t="str">
        <x:v>Evidence Required=Document Management Review Report; Evidence Type=Report; Mandatory=Yes; Retention Category=Operational; Remarks=Governance review.</x:v>
      </x:c>
      <x:c r="D2882" s="33" t="str">
        <x:v>Evidence Required=Documentary and transaction evidence demonstrating: Periodically review the effectiveness of the calibration and maintenance programme.; Evidence Type=Record; Mandatory=Yes; Retention Category=Applicable statutory / operational period; Remarks=P-4 aligned to the normalized parent audit; legacy Evidence ID preserved.</x:v>
      </x:c>
      <x:c r="E2882" s="33" t="str">
        <x:v>CORRECT / RECLASSIFY</x:v>
      </x:c>
      <x:c r="F2882" s="33" t="str">
        <x:v>Quarantine inactive descendants and align existing evidence to normalized audits.</x:v>
      </x:c>
      <x:c r="G2882" s="33" t="str">
        <x:v>P-4 execution-chain reconciliation</x:v>
      </x:c>
      <x:c r="H2882" s="33" t="str">
        <x:v>P-4</x:v>
      </x:c>
      <x:c r="I2882" s="33" t="str">
        <x:v>P-4</x:v>
      </x:c>
      <x:c r="J2882" s="33" t="str">
        <x:v>2026-08-20</x:v>
      </x:c>
      <x:c r="K2882" s="33" t="str">
        <x:v>Evidence IDs preserved and aligned.</x:v>
      </x:c>
    </x:row>
    <x:row r="2883">
      <x:c r="A2883" s="33" t="str">
        <x:v>EVD508</x:v>
      </x:c>
      <x:c r="B2883" s="33" t="str">
        <x:v>Evidence Master</x:v>
      </x:c>
      <x:c r="C2883" s="33" t="str">
        <x:v>Evidence Required=Documentation Improvement Register; Evidence Type=Register; Mandatory=Yes; Retention Category=Statutory; Remarks=Improvement initiatives.</x:v>
      </x:c>
      <x:c r="D2883" s="33" t="str">
        <x:v>Evidence Required=Documentary and transaction evidence demonstrating: Periodically review the effectiveness of the calibration and maintenance programme.; Evidence Type=Record; Mandatory=Yes; Retention Category=Applicable statutory / operational period; Remarks=P-4 aligned to the normalized parent audit; legacy Evidence ID preserved.</x:v>
      </x:c>
      <x:c r="E2883" s="33" t="str">
        <x:v>CORRECT / RECLASSIFY</x:v>
      </x:c>
      <x:c r="F2883" s="33" t="str">
        <x:v>Quarantine inactive descendants and align existing evidence to normalized audits.</x:v>
      </x:c>
      <x:c r="G2883" s="33" t="str">
        <x:v>P-4 execution-chain reconciliation</x:v>
      </x:c>
      <x:c r="H2883" s="33" t="str">
        <x:v>P-4</x:v>
      </x:c>
      <x:c r="I2883" s="33" t="str">
        <x:v>P-4</x:v>
      </x:c>
      <x:c r="J2883" s="33" t="str">
        <x:v>2026-08-20</x:v>
      </x:c>
      <x:c r="K2883" s="33" t="str">
        <x:v>Evidence IDs preserved and aligned.</x:v>
      </x:c>
    </x:row>
    <x:row r="2884">
      <x:c r="A2884" s="33" t="str">
        <x:v>EVD509</x:v>
      </x:c>
      <x:c r="B2884" s="33" t="str">
        <x:v>Evidence Master</x:v>
      </x:c>
      <x:c r="C2884" s="33" t="str">
        <x:v>Evidence Required=SOP Review Register; Evidence Type=SOP; Mandatory=Yes; Retention Category=Operational; Remarks=Evidence of periodic review.</x:v>
      </x:c>
      <x:c r="D2884" s="33" t="str">
        <x:v>Evidence Required=Documentary and transaction evidence demonstrating: Periodically review the effectiveness of the calibration and maintenance programme.; Evidence Type=Record; Mandatory=Yes; Retention Category=Applicable statutory / operational period; Remarks=P-4 aligned to the normalized parent audit; legacy Evidence ID preserved.</x:v>
      </x:c>
      <x:c r="E2884" s="33" t="str">
        <x:v>CORRECT / RECLASSIFY</x:v>
      </x:c>
      <x:c r="F2884" s="33" t="str">
        <x:v>Quarantine inactive descendants and align existing evidence to normalized audits.</x:v>
      </x:c>
      <x:c r="G2884" s="33" t="str">
        <x:v>P-4 execution-chain reconciliation</x:v>
      </x:c>
      <x:c r="H2884" s="33" t="str">
        <x:v>P-4</x:v>
      </x:c>
      <x:c r="I2884" s="33" t="str">
        <x:v>P-4</x:v>
      </x:c>
      <x:c r="J2884" s="33" t="str">
        <x:v>2026-08-20</x:v>
      </x:c>
      <x:c r="K2884" s="33" t="str">
        <x:v>Evidence IDs preserved and aligned.</x:v>
      </x:c>
    </x:row>
    <x:row r="2885">
      <x:c r="A2885" s="33" t="str">
        <x:v>EVD510</x:v>
      </x:c>
      <x:c r="B2885" s="33" t="str">
        <x:v>Evidence Master</x:v>
      </x:c>
      <x:c r="C2885" s="33" t="str">
        <x:v>Evidence Required=Independent Documentation Audit Working Papers; Evidence Type=Record; Mandatory=Yes; Retention Category=Operational; Remarks=Supporting audit evidence.</x:v>
      </x:c>
      <x:c r="D2885" s="33" t="str">
        <x:v>Evidence Required=Documentary and transaction evidence demonstrating: Periodically review the effectiveness of the calibration and maintenance programme.; Evidence Type=Record; Mandatory=Yes; Retention Category=Applicable statutory / operational period; Remarks=P-4 aligned to the normalized parent audit; legacy Evidence ID preserved.</x:v>
      </x:c>
      <x:c r="E2885" s="33" t="str">
        <x:v>CORRECT / RECLASSIFY</x:v>
      </x:c>
      <x:c r="F2885" s="33" t="str">
        <x:v>Quarantine inactive descendants and align existing evidence to normalized audits.</x:v>
      </x:c>
      <x:c r="G2885" s="33" t="str">
        <x:v>P-4 execution-chain reconciliation</x:v>
      </x:c>
      <x:c r="H2885" s="33" t="str">
        <x:v>P-4</x:v>
      </x:c>
      <x:c r="I2885" s="33" t="str">
        <x:v>P-4</x:v>
      </x:c>
      <x:c r="J2885" s="33" t="str">
        <x:v>2026-08-20</x:v>
      </x:c>
      <x:c r="K2885" s="33" t="str">
        <x:v>Evidence IDs preserved and aligned.</x:v>
      </x:c>
    </x:row>
    <x:row r="2886">
      <x:c r="A2886" s="33" t="str">
        <x:v>EVD511</x:v>
      </x:c>
      <x:c r="B2886" s="33" t="str">
        <x:v>Evidence Master</x:v>
      </x:c>
      <x:c r="C2886" s="33" t="str">
        <x:v>Evidence Required=Documentation Governance Dashboard; Evidence Type=Digital Record; Mandatory=No; Retention Category=Operational; Remarks=Executive monitoring.</x:v>
      </x:c>
      <x:c r="D2886" s="33" t="str">
        <x:v>Evidence Required=Documentary and transaction evidence demonstrating: Periodically review the effectiveness of the calibration and maintenance programme.; Evidence Type=Record; Mandatory=Yes; Retention Category=Applicable statutory / operational period; Remarks=P-4 aligned to the normalized parent audit; legacy Evidence ID preserved.</x:v>
      </x:c>
      <x:c r="E2886" s="33" t="str">
        <x:v>CORRECT / RECLASSIFY</x:v>
      </x:c>
      <x:c r="F2886" s="33" t="str">
        <x:v>Quarantine inactive descendants and align existing evidence to normalized audits.</x:v>
      </x:c>
      <x:c r="G2886" s="33" t="str">
        <x:v>P-4 execution-chain reconciliation</x:v>
      </x:c>
      <x:c r="H2886" s="33" t="str">
        <x:v>P-4</x:v>
      </x:c>
      <x:c r="I2886" s="33" t="str">
        <x:v>P-4</x:v>
      </x:c>
      <x:c r="J2886" s="33" t="str">
        <x:v>2026-08-20</x:v>
      </x:c>
      <x:c r="K2886" s="33" t="str">
        <x:v>Evidence IDs preserved and aligned.</x:v>
      </x:c>
    </x:row>
    <x:row r="2887">
      <x:c r="A2887" s="33" t="str">
        <x:v>EVD512</x:v>
      </x:c>
      <x:c r="B2887" s="33" t="str">
        <x:v>Evidence Master</x:v>
      </x:c>
      <x:c r="C2887" s="33" t="str">
        <x:v>Evidence Required=Annual Documentation Compliance Certificate; Evidence Type=Certificate; Mandatory=No; Retention Category=Permanent; Remarks=Annual management certification.</x:v>
      </x:c>
      <x:c r="D2887" s="33" t="str">
        <x:v>Evidence Required=Documentary and transaction evidence demonstrating: Periodically review the effectiveness of the calibration and maintenance programme.; Evidence Type=Record; Mandatory=Yes; Retention Category=Applicable statutory / operational period; Remarks=P-4 aligned to the normalized parent audit; legacy Evidence ID preserved.</x:v>
      </x:c>
      <x:c r="E2887" s="33" t="str">
        <x:v>CORRECT / RECLASSIFY</x:v>
      </x:c>
      <x:c r="F2887" s="33" t="str">
        <x:v>Quarantine inactive descendants and align existing evidence to normalized audits.</x:v>
      </x:c>
      <x:c r="G2887" s="33" t="str">
        <x:v>P-4 execution-chain reconciliation</x:v>
      </x:c>
      <x:c r="H2887" s="33" t="str">
        <x:v>P-4</x:v>
      </x:c>
      <x:c r="I2887" s="33" t="str">
        <x:v>P-4</x:v>
      </x:c>
      <x:c r="J2887" s="33" t="str">
        <x:v>2026-08-20</x:v>
      </x:c>
      <x:c r="K2887" s="33" t="str">
        <x:v>Evidence IDs preserved and aligned.</x:v>
      </x:c>
    </x:row>
    <x:row r="2888">
      <x:c r="A2888" s="33" t="str">
        <x:v>EVD513</x:v>
      </x:c>
      <x:c r="B2888" s="33" t="str">
        <x:v>Evidence Master</x:v>
      </x:c>
      <x:c r="C2888" s="33" t="str">
        <x:v>Evidence Required=Documentation Continuous Improvement Plan; Evidence Type=Document; Mandatory=No; Retention Category=Operational; Remarks=Future improvement roadmap.</x:v>
      </x:c>
      <x:c r="D2888" s="33" t="str">
        <x:v>Evidence Required=Documentary and transaction evidence demonstrating: Periodically review the effectiveness of the calibration and maintenance programme.; Evidence Type=Record; Mandatory=Yes; Retention Category=Applicable statutory / operational period; Remarks=P-4 aligned to the normalized parent audit; legacy Evidence ID preserved.</x:v>
      </x:c>
      <x:c r="E2888" s="33" t="str">
        <x:v>CORRECT / RECLASSIFY</x:v>
      </x:c>
      <x:c r="F2888" s="33" t="str">
        <x:v>Quarantine inactive descendants and align existing evidence to normalized audits.</x:v>
      </x:c>
      <x:c r="G2888" s="33" t="str">
        <x:v>P-4 execution-chain reconciliation</x:v>
      </x:c>
      <x:c r="H2888" s="33" t="str">
        <x:v>P-4</x:v>
      </x:c>
      <x:c r="I2888" s="33" t="str">
        <x:v>P-4</x:v>
      </x:c>
      <x:c r="J2888" s="33" t="str">
        <x:v>2026-08-20</x:v>
      </x:c>
      <x:c r="K2888" s="33" t="str">
        <x:v>Evidence IDs preserved and aligned.</x:v>
      </x:c>
    </x:row>
    <x:row r="2889">
      <x:c r="A2889" s="33" t="str">
        <x:v>EVD514</x:v>
      </x:c>
      <x:c r="B2889" s="33" t="str">
        <x:v>Evidence Master</x:v>
      </x:c>
      <x:c r="C2889" s="33" t="str">
        <x:v>Evidence Required=Approved Annual Internal Audit Plan; Evidence Type=Document; Mandatory=Yes; Retention Category=Operational; Remarks=Audit plan approved by management.</x:v>
      </x:c>
      <x:c r="D2889" s="33" t="str">
        <x:v>Evidence Required=Documentary and transaction evidence demonstrating: Synchronise ICT system clocks to NIC/NPL traceable NTP servers or another accurate time source traceable to them.; Evidence Type=Record; Mandatory=Yes; Retention Category=Applicable statutory / operational period; Remarks=P-4 aligned to the normalized parent audit; legacy Evidence ID preserved.</x:v>
      </x:c>
      <x:c r="E2889" s="33" t="str">
        <x:v>CORRECT / RECLASSIFY</x:v>
      </x:c>
      <x:c r="F2889" s="33" t="str">
        <x:v>Quarantine inactive descendants and align existing evidence to normalized audits.</x:v>
      </x:c>
      <x:c r="G2889" s="33" t="str">
        <x:v>P-4 execution-chain reconciliation</x:v>
      </x:c>
      <x:c r="H2889" s="33" t="str">
        <x:v>P-4</x:v>
      </x:c>
      <x:c r="I2889" s="33" t="str">
        <x:v>P-4</x:v>
      </x:c>
      <x:c r="J2889" s="33" t="str">
        <x:v>2026-08-20</x:v>
      </x:c>
      <x:c r="K2889" s="33" t="str">
        <x:v>Evidence IDs preserved and aligned.</x:v>
      </x:c>
    </x:row>
    <x:row r="2890">
      <x:c r="A2890" s="33" t="str">
        <x:v>EVD515</x:v>
      </x:c>
      <x:c r="B2890" s="33" t="str">
        <x:v>Evidence Master</x:v>
      </x:c>
      <x:c r="C2890" s="33" t="str">
        <x:v>Evidence Required=Internal Audit Schedule; Evidence Type=Record; Mandatory=Yes; Retention Category=Operational; Remarks=Demonstrates planned audit coverage.</x:v>
      </x:c>
      <x:c r="D2890" s="33" t="str">
        <x:v>Evidence Required=Documentary and transaction evidence demonstrating: Synchronise ICT system clocks to NIC/NPL traceable NTP servers or another accurate time source traceable to them.; Evidence Type=Record; Mandatory=Yes; Retention Category=Applicable statutory / operational period; Remarks=P-4 aligned to the normalized parent audit; legacy Evidence ID preserved.</x:v>
      </x:c>
      <x:c r="E2890" s="33" t="str">
        <x:v>CORRECT / RECLASSIFY</x:v>
      </x:c>
      <x:c r="F2890" s="33" t="str">
        <x:v>Quarantine inactive descendants and align existing evidence to normalized audits.</x:v>
      </x:c>
      <x:c r="G2890" s="33" t="str">
        <x:v>P-4 execution-chain reconciliation</x:v>
      </x:c>
      <x:c r="H2890" s="33" t="str">
        <x:v>P-4</x:v>
      </x:c>
      <x:c r="I2890" s="33" t="str">
        <x:v>P-4</x:v>
      </x:c>
      <x:c r="J2890" s="33" t="str">
        <x:v>2026-08-20</x:v>
      </x:c>
      <x:c r="K2890" s="33" t="str">
        <x:v>Evidence IDs preserved and aligned.</x:v>
      </x:c>
    </x:row>
    <x:row r="2891">
      <x:c r="A2891" s="33" t="str">
        <x:v>EVD516</x:v>
      </x:c>
      <x:c r="B2891" s="33" t="str">
        <x:v>Evidence Master</x:v>
      </x:c>
      <x:c r="C2891" s="33" t="str">
        <x:v>Evidence Required=Risk-Based Audit Program; Evidence Type=Document; Mandatory=Yes; Retention Category=Operational; Remarks=Audit scope should cover applicable compliance requirements.</x:v>
      </x:c>
      <x:c r="D2891" s="33" t="str">
        <x:v>Evidence Required=Documentary and transaction evidence demonstrating: Report any specified Annexure I cyber incident to CERT-In within six hours of noticing it or being informed.; Evidence Type=Record; Mandatory=Yes; Retention Category=Applicable statutory / operational period; Remarks=P-4 aligned to the normalized parent audit; legacy Evidence ID preserved.</x:v>
      </x:c>
      <x:c r="E2891" s="33" t="str">
        <x:v>CORRECT / RECLASSIFY</x:v>
      </x:c>
      <x:c r="F2891" s="33" t="str">
        <x:v>Quarantine inactive descendants and align existing evidence to normalized audits.</x:v>
      </x:c>
      <x:c r="G2891" s="33" t="str">
        <x:v>P-4 execution-chain reconciliation</x:v>
      </x:c>
      <x:c r="H2891" s="33" t="str">
        <x:v>P-4</x:v>
      </x:c>
      <x:c r="I2891" s="33" t="str">
        <x:v>P-4</x:v>
      </x:c>
      <x:c r="J2891" s="33" t="str">
        <x:v>2026-08-20</x:v>
      </x:c>
      <x:c r="K2891" s="33" t="str">
        <x:v>Evidence IDs preserved and aligned.</x:v>
      </x:c>
    </x:row>
    <x:row r="2892">
      <x:c r="A2892" s="33" t="str">
        <x:v>EVD517</x:v>
      </x:c>
      <x:c r="B2892" s="33" t="str">
        <x:v>Evidence Master</x:v>
      </x:c>
      <x:c r="C2892" s="33" t="str">
        <x:v>Evidence Required=Audit Scope Approval; Evidence Type=Approval; Mandatory=Yes; Retention Category=Permanent; Remarks=Approved audit scope.</x:v>
      </x:c>
      <x:c r="D2892" s="33" t="str">
        <x:v>Evidence Required=Documentary and transaction evidence demonstrating: Report any specified Annexure I cyber incident to CERT-In within six hours of noticing it or being informed.; Evidence Type=Record; Mandatory=Yes; Retention Category=Applicable statutory / operational period; Remarks=P-4 aligned to the normalized parent audit; legacy Evidence ID preserved.</x:v>
      </x:c>
      <x:c r="E2892" s="33" t="str">
        <x:v>CORRECT / RECLASSIFY</x:v>
      </x:c>
      <x:c r="F2892" s="33" t="str">
        <x:v>Quarantine inactive descendants and align existing evidence to normalized audits.</x:v>
      </x:c>
      <x:c r="G2892" s="33" t="str">
        <x:v>P-4 execution-chain reconciliation</x:v>
      </x:c>
      <x:c r="H2892" s="33" t="str">
        <x:v>P-4</x:v>
      </x:c>
      <x:c r="I2892" s="33" t="str">
        <x:v>P-4</x:v>
      </x:c>
      <x:c r="J2892" s="33" t="str">
        <x:v>2026-08-20</x:v>
      </x:c>
      <x:c r="K2892" s="33" t="str">
        <x:v>Evidence IDs preserved and aligned.</x:v>
      </x:c>
    </x:row>
    <x:row r="2893">
      <x:c r="A2893" s="33" t="str">
        <x:v>EVD518</x:v>
      </x:c>
      <x:c r="B2893" s="33" t="str">
        <x:v>Evidence Master</x:v>
      </x:c>
      <x:c r="C2893" s="33" t="str">
        <x:v>Evidence Required=Auditor Independence Declaration; Evidence Type=Declaration; Mandatory=Yes; Retention Category=Operational; Remarks=Signed before audit commencement.</x:v>
      </x:c>
      <x:c r="D2893" s="33" t="str">
        <x:v>Evidence Required=Documentary and transaction evidence demonstrating: Enable ICT logs, retain them securely for a rolling 180 days within Indian jurisdiction and provide them to CERT-In when lawfully required.; Evidence Type=Record; Mandatory=Yes; Retention Category=Applicable statutory / operational period; Remarks=P-4 aligned to the normalized parent audit; legacy Evidence ID preserved.</x:v>
      </x:c>
      <x:c r="E2893" s="33" t="str">
        <x:v>CORRECT / RECLASSIFY</x:v>
      </x:c>
      <x:c r="F2893" s="33" t="str">
        <x:v>Quarantine inactive descendants and align existing evidence to normalized audits.</x:v>
      </x:c>
      <x:c r="G2893" s="33" t="str">
        <x:v>P-4 execution-chain reconciliation</x:v>
      </x:c>
      <x:c r="H2893" s="33" t="str">
        <x:v>P-4</x:v>
      </x:c>
      <x:c r="I2893" s="33" t="str">
        <x:v>P-4</x:v>
      </x:c>
      <x:c r="J2893" s="33" t="str">
        <x:v>2026-08-20</x:v>
      </x:c>
      <x:c r="K2893" s="33" t="str">
        <x:v>Evidence IDs preserved and aligned.</x:v>
      </x:c>
    </x:row>
    <x:row r="2894">
      <x:c r="A2894" s="33" t="str">
        <x:v>EVD519</x:v>
      </x:c>
      <x:c r="B2894" s="33" t="str">
        <x:v>Evidence Master</x:v>
      </x:c>
      <x:c r="C2894" s="33" t="str">
        <x:v>Evidence Required=Auditor Conflict of Interest Register; Evidence Type=Register; Mandatory=Yes; Retention Category=Statutory; Remarks=Independence monitoring.</x:v>
      </x:c>
      <x:c r="D2894" s="33" t="str">
        <x:v>Evidence Required=Documentary and transaction evidence demonstrating: Enable ICT logs, retain them securely for a rolling 180 days within Indian jurisdiction and provide them to CERT-In when lawfully required.; Evidence Type=Record; Mandatory=Yes; Retention Category=Applicable statutory / operational period; Remarks=P-4 aligned to the normalized parent audit; legacy Evidence ID preserved.</x:v>
      </x:c>
      <x:c r="E2894" s="33" t="str">
        <x:v>CORRECT / RECLASSIFY</x:v>
      </x:c>
      <x:c r="F2894" s="33" t="str">
        <x:v>Quarantine inactive descendants and align existing evidence to normalized audits.</x:v>
      </x:c>
      <x:c r="G2894" s="33" t="str">
        <x:v>P-4 execution-chain reconciliation</x:v>
      </x:c>
      <x:c r="H2894" s="33" t="str">
        <x:v>P-4</x:v>
      </x:c>
      <x:c r="I2894" s="33" t="str">
        <x:v>P-4</x:v>
      </x:c>
      <x:c r="J2894" s="33" t="str">
        <x:v>2026-08-20</x:v>
      </x:c>
      <x:c r="K2894" s="33" t="str">
        <x:v>Evidence IDs preserved and aligned.</x:v>
      </x:c>
    </x:row>
    <x:row r="2895">
      <x:c r="A2895" s="33" t="str">
        <x:v>EVD520</x:v>
      </x:c>
      <x:c r="B2895" s="33" t="str">
        <x:v>Evidence Master</x:v>
      </x:c>
      <x:c r="C2895" s="33" t="str">
        <x:v>Evidence Required=Audit Working Papers; Evidence Type=Record; Mandatory=Yes; Retention Category=Operational; Remarks=Supporting audit evidence.</x:v>
      </x:c>
      <x:c r="D2895" s="33" t="str">
        <x:v>Evidence Required=Documentary and transaction evidence demonstrating: Designate, communicate and keep current the prescribed CERT-In point-of-contact details.; Evidence Type=Record; Mandatory=Yes; Retention Category=Applicable statutory / operational period; Remarks=P-4 aligned to the normalized parent audit; legacy Evidence ID preserved.</x:v>
      </x:c>
      <x:c r="E2895" s="33" t="str">
        <x:v>CORRECT / RECLASSIFY</x:v>
      </x:c>
      <x:c r="F2895" s="33" t="str">
        <x:v>Quarantine inactive descendants and align existing evidence to normalized audits.</x:v>
      </x:c>
      <x:c r="G2895" s="33" t="str">
        <x:v>P-4 execution-chain reconciliation</x:v>
      </x:c>
      <x:c r="H2895" s="33" t="str">
        <x:v>P-4</x:v>
      </x:c>
      <x:c r="I2895" s="33" t="str">
        <x:v>P-4</x:v>
      </x:c>
      <x:c r="J2895" s="33" t="str">
        <x:v>2026-08-20</x:v>
      </x:c>
      <x:c r="K2895" s="33" t="str">
        <x:v>Evidence IDs preserved and aligned.</x:v>
      </x:c>
    </x:row>
    <x:row r="2896">
      <x:c r="A2896" s="33" t="str">
        <x:v>EVD521</x:v>
      </x:c>
      <x:c r="B2896" s="33" t="str">
        <x:v>Evidence Master</x:v>
      </x:c>
      <x:c r="C2896" s="33" t="str">
        <x:v>Evidence Required=Audit Evidence File; Evidence Type=Record; Mandatory=Yes; Retention Category=Operational; Remarks=Evidence supporting audit conclusions.</x:v>
      </x:c>
      <x:c r="D2896" s="33" t="str">
        <x:v>Evidence Required=Documentary and transaction evidence demonstrating: Designate, communicate and keep current the prescribed CERT-In point-of-contact details.; Evidence Type=Record; Mandatory=Yes; Retention Category=Applicable statutory / operational period; Remarks=P-4 aligned to the normalized parent audit; legacy Evidence ID preserved.</x:v>
      </x:c>
      <x:c r="E2896" s="33" t="str">
        <x:v>CORRECT / RECLASSIFY</x:v>
      </x:c>
      <x:c r="F2896" s="33" t="str">
        <x:v>Quarantine inactive descendants and align existing evidence to normalized audits.</x:v>
      </x:c>
      <x:c r="G2896" s="33" t="str">
        <x:v>P-4 execution-chain reconciliation</x:v>
      </x:c>
      <x:c r="H2896" s="33" t="str">
        <x:v>P-4</x:v>
      </x:c>
      <x:c r="I2896" s="33" t="str">
        <x:v>P-4</x:v>
      </x:c>
      <x:c r="J2896" s="33" t="str">
        <x:v>2026-08-20</x:v>
      </x:c>
      <x:c r="K2896" s="33" t="str">
        <x:v>Evidence IDs preserved and aligned.</x:v>
      </x:c>
    </x:row>
    <x:row r="2897">
      <x:c r="A2897" s="33" t="str">
        <x:v>EVD534</x:v>
      </x:c>
      <x:c r="B2897" s="33" t="str">
        <x:v>Evidence Master</x:v>
      </x:c>
      <x:c r="C2897" s="33" t="str">
        <x:v>Evidence Required=Management Review Minutes; Evidence Type=Other; Mandatory=Yes; Retention Category=Operational; Remarks=Review of significant audit observations.</x:v>
      </x:c>
      <x:c r="D2897" s="33" t="str">
        <x:v>Evidence Required=Documentary and transaction evidence demonstrating: Maintain pharmacy premises, records and operations in a state of inspection readiness at all times.; Evidence Type=Record; Mandatory=Yes; Retention Category=Applicable statutory / operational period; Remarks=P-4 aligned to the normalized parent audit; legacy Evidence ID preserved.</x:v>
      </x:c>
      <x:c r="E2897" s="33" t="str">
        <x:v>CORRECT / RECLASSIFY</x:v>
      </x:c>
      <x:c r="F2897" s="33" t="str">
        <x:v>Quarantine inactive descendants and align existing evidence to normalized audits.</x:v>
      </x:c>
      <x:c r="G2897" s="33" t="str">
        <x:v>P-4 execution-chain reconciliation</x:v>
      </x:c>
      <x:c r="H2897" s="33" t="str">
        <x:v>P-4</x:v>
      </x:c>
      <x:c r="I2897" s="33" t="str">
        <x:v>P-4</x:v>
      </x:c>
      <x:c r="J2897" s="33" t="str">
        <x:v>2026-08-20</x:v>
      </x:c>
      <x:c r="K2897" s="33" t="str">
        <x:v>Evidence IDs preserved and aligned.</x:v>
      </x:c>
    </x:row>
    <x:row r="2898">
      <x:c r="A2898" s="33" t="str">
        <x:v>EVD535</x:v>
      </x:c>
      <x:c r="B2898" s="33" t="str">
        <x:v>Evidence Master</x:v>
      </x:c>
      <x:c r="C2898" s="33" t="str">
        <x:v>Evidence Required=Audit Committee Action Tracker; Evidence Type=Record; Mandatory=Yes; Retention Category=Operational; Remarks=Follow-up of management decisions.</x:v>
      </x:c>
      <x:c r="D2898" s="33" t="str">
        <x:v>Evidence Required=Documentary and transaction evidence demonstrating: Maintain pharmacy premises, records and operations in a state of inspection readiness at all times.; Evidence Type=Record; Mandatory=Yes; Retention Category=Applicable statutory / operational period; Remarks=P-4 aligned to the normalized parent audit; legacy Evidence ID preserved.</x:v>
      </x:c>
      <x:c r="E2898" s="33" t="str">
        <x:v>CORRECT / RECLASSIFY</x:v>
      </x:c>
      <x:c r="F2898" s="33" t="str">
        <x:v>Quarantine inactive descendants and align existing evidence to normalized audits.</x:v>
      </x:c>
      <x:c r="G2898" s="33" t="str">
        <x:v>P-4 execution-chain reconciliation</x:v>
      </x:c>
      <x:c r="H2898" s="33" t="str">
        <x:v>P-4</x:v>
      </x:c>
      <x:c r="I2898" s="33" t="str">
        <x:v>P-4</x:v>
      </x:c>
      <x:c r="J2898" s="33" t="str">
        <x:v>2026-08-20</x:v>
      </x:c>
      <x:c r="K2898" s="33" t="str">
        <x:v>Evidence IDs preserved and aligned.</x:v>
      </x:c>
    </x:row>
    <x:row r="2899">
      <x:c r="A2899" s="33" t="str">
        <x:v>EVD536</x:v>
      </x:c>
      <x:c r="B2899" s="33" t="str">
        <x:v>Evidence Master</x:v>
      </x:c>
      <x:c r="C2899" s="33" t="str">
        <x:v>Evidence Required=Compliance KPI Dashboard; Evidence Type=Digital Record; Mandatory=No; Retention Category=Operational; Remarks=Enterprise compliance monitoring.</x:v>
      </x:c>
      <x:c r="D2899" s="33" t="str">
        <x:v>Evidence Required=Documentary and transaction evidence demonstrating: Ensure statutory licences, approvals and registers are readily available for inspection.; Evidence Type=Record; Mandatory=Yes; Retention Category=Applicable statutory / operational period; Remarks=P-4 aligned to the normalized parent audit; legacy Evidence ID preserved.</x:v>
      </x:c>
      <x:c r="E2899" s="33" t="str">
        <x:v>CORRECT / RECLASSIFY</x:v>
      </x:c>
      <x:c r="F2899" s="33" t="str">
        <x:v>Quarantine inactive descendants and align existing evidence to normalized audits.</x:v>
      </x:c>
      <x:c r="G2899" s="33" t="str">
        <x:v>P-4 execution-chain reconciliation</x:v>
      </x:c>
      <x:c r="H2899" s="33" t="str">
        <x:v>P-4</x:v>
      </x:c>
      <x:c r="I2899" s="33" t="str">
        <x:v>P-4</x:v>
      </x:c>
      <x:c r="J2899" s="33" t="str">
        <x:v>2026-08-20</x:v>
      </x:c>
      <x:c r="K2899" s="33" t="str">
        <x:v>Evidence IDs preserved and aligned.</x:v>
      </x:c>
    </x:row>
    <x:row r="2900">
      <x:c r="A2900" s="33" t="str">
        <x:v>EVD537</x:v>
      </x:c>
      <x:c r="B2900" s="33" t="str">
        <x:v>Evidence Master</x:v>
      </x:c>
      <x:c r="C2900" s="33" t="str">
        <x:v>Evidence Required=Regulatory Compliance Performance Report; Evidence Type=Report; Mandatory=Yes; Retention Category=Operational; Remarks=Periodic compliance reporting.</x:v>
      </x:c>
      <x:c r="D2900" s="33" t="str">
        <x:v>Evidence Required=Documentary and transaction evidence demonstrating: Ensure statutory licences, approvals and registers are readily available for inspection.; Evidence Type=Record; Mandatory=Yes; Retention Category=Applicable statutory / operational period; Remarks=P-4 aligned to the normalized parent audit; legacy Evidence ID preserved.</x:v>
      </x:c>
      <x:c r="E2900" s="33" t="str">
        <x:v>CORRECT / RECLASSIFY</x:v>
      </x:c>
      <x:c r="F2900" s="33" t="str">
        <x:v>Quarantine inactive descendants and align existing evidence to normalized audits.</x:v>
      </x:c>
      <x:c r="G2900" s="33" t="str">
        <x:v>P-4 execution-chain reconciliation</x:v>
      </x:c>
      <x:c r="H2900" s="33" t="str">
        <x:v>P-4</x:v>
      </x:c>
      <x:c r="I2900" s="33" t="str">
        <x:v>P-4</x:v>
      </x:c>
      <x:c r="J2900" s="33" t="str">
        <x:v>2026-08-20</x:v>
      </x:c>
      <x:c r="K2900" s="33" t="str">
        <x:v>Evidence IDs preserved and aligned.</x:v>
      </x:c>
    </x:row>
    <x:row r="2901">
      <x:c r="A2901" s="33" t="str">
        <x:v>EVD538</x:v>
      </x:c>
      <x:c r="B2901" s="33" t="str">
        <x:v>Evidence Master</x:v>
      </x:c>
      <x:c r="C2901" s="33" t="str">
        <x:v>Evidence Required=Regulatory Change Register; Evidence Type=Register; Mandatory=Yes; Retention Category=Statutory; Remarks=Track regulatory amendments.</x:v>
      </x:c>
      <x:c r="D2901" s="33" t="str">
        <x:v>Evidence Required=Documentary and transaction evidence demonstrating: Maintain approved Standard Operating Procedures (SOPs) for all critical pharmacy processes.; Evidence Type=Record; Mandatory=Yes; Retention Category=Applicable statutory / operational period; Remarks=P-4 aligned to the normalized parent audit; legacy Evidence ID preserved.</x:v>
      </x:c>
      <x:c r="E2901" s="33" t="str">
        <x:v>CORRECT / RECLASSIFY</x:v>
      </x:c>
      <x:c r="F2901" s="33" t="str">
        <x:v>Quarantine inactive descendants and align existing evidence to normalized audits.</x:v>
      </x:c>
      <x:c r="G2901" s="33" t="str">
        <x:v>P-4 execution-chain reconciliation</x:v>
      </x:c>
      <x:c r="H2901" s="33" t="str">
        <x:v>P-4</x:v>
      </x:c>
      <x:c r="I2901" s="33" t="str">
        <x:v>P-4</x:v>
      </x:c>
      <x:c r="J2901" s="33" t="str">
        <x:v>2026-08-20</x:v>
      </x:c>
      <x:c r="K2901" s="33" t="str">
        <x:v>Evidence IDs preserved and aligned.</x:v>
      </x:c>
    </x:row>
    <x:row r="2902">
      <x:c r="A2902" s="33" t="str">
        <x:v>EVD539</x:v>
      </x:c>
      <x:c r="B2902" s="33" t="str">
        <x:v>Evidence Master</x:v>
      </x:c>
      <x:c r="C2902" s="33" t="str">
        <x:v>Evidence Required=Revised Audit Program; Evidence Type=Document; Mandatory=Yes; Retention Category=Operational; Remarks=Updated following regulatory changes.</x:v>
      </x:c>
      <x:c r="D2902" s="33" t="str">
        <x:v>Evidence Required=Documentary and transaction evidence demonstrating: Maintain approved Standard Operating Procedures (SOPs) for all critical pharmacy processes.; Evidence Type=Record; Mandatory=Yes; Retention Category=Applicable statutory / operational period; Remarks=P-4 aligned to the normalized parent audit; legacy Evidence ID preserved.</x:v>
      </x:c>
      <x:c r="E2902" s="33" t="str">
        <x:v>CORRECT / RECLASSIFY</x:v>
      </x:c>
      <x:c r="F2902" s="33" t="str">
        <x:v>Quarantine inactive descendants and align existing evidence to normalized audits.</x:v>
      </x:c>
      <x:c r="G2902" s="33" t="str">
        <x:v>P-4 execution-chain reconciliation</x:v>
      </x:c>
      <x:c r="H2902" s="33" t="str">
        <x:v>P-4</x:v>
      </x:c>
      <x:c r="I2902" s="33" t="str">
        <x:v>P-4</x:v>
      </x:c>
      <x:c r="J2902" s="33" t="str">
        <x:v>2026-08-20</x:v>
      </x:c>
      <x:c r="K2902" s="33" t="str">
        <x:v>Evidence IDs preserved and aligned.</x:v>
      </x:c>
    </x:row>
    <x:row r="2903">
      <x:c r="A2903" s="33" t="str">
        <x:v>EVD540</x:v>
      </x:c>
      <x:c r="B2903" s="33" t="str">
        <x:v>Evidence Master</x:v>
      </x:c>
      <x:c r="C2903" s="33" t="str">
        <x:v>Evidence Required=Approved Audit Program; Evidence Type=Document; Mandatory=Yes; Retention Category=Operational; Remarks=Current approved audit procedures.</x:v>
      </x:c>
      <x:c r="D2903" s="33" t="str">
        <x:v>Evidence Required=Documentary and transaction evidence demonstrating: Review and respond to inspection observations within timelines prescribed by the authority.; Evidence Type=Record; Mandatory=Yes; Retention Category=Applicable statutory / operational period; Remarks=P-4 aligned to the normalized parent audit; legacy Evidence ID preserved.</x:v>
      </x:c>
      <x:c r="E2903" s="33" t="str">
        <x:v>CORRECT / RECLASSIFY</x:v>
      </x:c>
      <x:c r="F2903" s="33" t="str">
        <x:v>Quarantine inactive descendants and align existing evidence to normalized audits.</x:v>
      </x:c>
      <x:c r="G2903" s="33" t="str">
        <x:v>P-4 execution-chain reconciliation</x:v>
      </x:c>
      <x:c r="H2903" s="33" t="str">
        <x:v>P-4</x:v>
      </x:c>
      <x:c r="I2903" s="33" t="str">
        <x:v>P-4</x:v>
      </x:c>
      <x:c r="J2903" s="33" t="str">
        <x:v>2026-08-20</x:v>
      </x:c>
      <x:c r="K2903" s="33" t="str">
        <x:v>Evidence IDs preserved and aligned.</x:v>
      </x:c>
    </x:row>
    <x:row r="2904">
      <x:c r="A2904" s="33" t="str">
        <x:v>EVD541</x:v>
      </x:c>
      <x:c r="B2904" s="33" t="str">
        <x:v>Evidence Master</x:v>
      </x:c>
      <x:c r="C2904" s="33" t="str">
        <x:v>Evidence Required=Audit Program Version Register; Evidence Type=Register; Mandatory=Yes; Retention Category=Statutory; Remarks=Version control evidence.</x:v>
      </x:c>
      <x:c r="D2904" s="33" t="str">
        <x:v>Evidence Required=Documentary and transaction evidence demonstrating: Review and respond to inspection observations within timelines prescribed by the authority.; Evidence Type=Record; Mandatory=Yes; Retention Category=Applicable statutory / operational period; Remarks=P-4 aligned to the normalized parent audit; legacy Evidence ID preserved.</x:v>
      </x:c>
      <x:c r="E2904" s="33" t="str">
        <x:v>CORRECT / RECLASSIFY</x:v>
      </x:c>
      <x:c r="F2904" s="33" t="str">
        <x:v>Quarantine inactive descendants and align existing evidence to normalized audits.</x:v>
      </x:c>
      <x:c r="G2904" s="33" t="str">
        <x:v>P-4 execution-chain reconciliation</x:v>
      </x:c>
      <x:c r="H2904" s="33" t="str">
        <x:v>P-4</x:v>
      </x:c>
      <x:c r="I2904" s="33" t="str">
        <x:v>P-4</x:v>
      </x:c>
      <x:c r="J2904" s="33" t="str">
        <x:v>2026-08-20</x:v>
      </x:c>
      <x:c r="K2904" s="33" t="str">
        <x:v>Evidence IDs preserved and aligned.</x:v>
      </x:c>
    </x:row>
    <x:row r="2905">
      <x:c r="A2905" s="33" t="str">
        <x:v>EVD542</x:v>
      </x:c>
      <x:c r="B2905" s="33" t="str">
        <x:v>Evidence Master</x:v>
      </x:c>
      <x:c r="C2905" s="33" t="str">
        <x:v>Evidence Required=Audit Record Retention Register; Evidence Type=Register; Mandatory=Yes; Retention Category=Statutory; Remarks=Audit documentation retention.</x:v>
      </x:c>
      <x:c r="D2905" s="33" t="str">
        <x:v>Evidence Required=Documentary and transaction evidence demonstrating: Implement corrective and preventive actions (CAPA) for all regulatory inspection observations.; Evidence Type=Record; Mandatory=Yes; Retention Category=Applicable statutory / operational period; Remarks=P-4 aligned to the normalized parent audit; legacy Evidence ID preserved.</x:v>
      </x:c>
      <x:c r="E2905" s="33" t="str">
        <x:v>CORRECT / RECLASSIFY</x:v>
      </x:c>
      <x:c r="F2905" s="33" t="str">
        <x:v>Quarantine inactive descendants and align existing evidence to normalized audits.</x:v>
      </x:c>
      <x:c r="G2905" s="33" t="str">
        <x:v>P-4 execution-chain reconciliation</x:v>
      </x:c>
      <x:c r="H2905" s="33" t="str">
        <x:v>P-4</x:v>
      </x:c>
      <x:c r="I2905" s="33" t="str">
        <x:v>P-4</x:v>
      </x:c>
      <x:c r="J2905" s="33" t="str">
        <x:v>2026-08-20</x:v>
      </x:c>
      <x:c r="K2905" s="33" t="str">
        <x:v>Evidence IDs preserved and aligned.</x:v>
      </x:c>
    </x:row>
    <x:row r="2906">
      <x:c r="A2906" s="33" t="str">
        <x:v>EVD543</x:v>
      </x:c>
      <x:c r="B2906" s="33" t="str">
        <x:v>Evidence Master</x:v>
      </x:c>
      <x:c r="C2906" s="33" t="str">
        <x:v>Evidence Required=Archived Audit File Index; Evidence Type=Record; Mandatory=Yes; Retention Category=Operational; Remarks=Archive tracking.</x:v>
      </x:c>
      <x:c r="D2906" s="33" t="str">
        <x:v>Evidence Required=Documentary and transaction evidence demonstrating: Implement corrective and preventive actions (CAPA) for all regulatory inspection observations.; Evidence Type=Record; Mandatory=Yes; Retention Category=Applicable statutory / operational period; Remarks=P-4 aligned to the normalized parent audit; legacy Evidence ID preserved.</x:v>
      </x:c>
      <x:c r="E2906" s="33" t="str">
        <x:v>CORRECT / RECLASSIFY</x:v>
      </x:c>
      <x:c r="F2906" s="33" t="str">
        <x:v>Quarantine inactive descendants and align existing evidence to normalized audits.</x:v>
      </x:c>
      <x:c r="G2906" s="33" t="str">
        <x:v>P-4 execution-chain reconciliation</x:v>
      </x:c>
      <x:c r="H2906" s="33" t="str">
        <x:v>P-4</x:v>
      </x:c>
      <x:c r="I2906" s="33" t="str">
        <x:v>P-4</x:v>
      </x:c>
      <x:c r="J2906" s="33" t="str">
        <x:v>2026-08-20</x:v>
      </x:c>
      <x:c r="K2906" s="33" t="str">
        <x:v>Evidence IDs preserved and aligned.</x:v>
      </x:c>
    </x:row>
    <x:row r="2907">
      <x:c r="A2907" s="33" t="str">
        <x:v>EVD544</x:v>
      </x:c>
      <x:c r="B2907" s="33" t="str">
        <x:v>Evidence Master</x:v>
      </x:c>
      <x:c r="C2907" s="33" t="str">
        <x:v>Evidence Required=Audit System Access Log; Evidence Type=Log Book; Mandatory=Yes; Retention Category=Operational; Remarks=User access monitoring.</x:v>
      </x:c>
      <x:c r="D2907" s="33" t="str">
        <x:v>Evidence Required=Documentary and transaction evidence demonstrating: Conduct periodic internal compliance reviews covering all applicable pharmacy regulations.; Evidence Type=Record; Mandatory=Yes; Retention Category=Applicable statutory / operational period; Remarks=P-4 aligned to the normalized parent audit; legacy Evidence ID preserved.</x:v>
      </x:c>
      <x:c r="E2907" s="33" t="str">
        <x:v>CORRECT / RECLASSIFY</x:v>
      </x:c>
      <x:c r="F2907" s="33" t="str">
        <x:v>Quarantine inactive descendants and align existing evidence to normalized audits.</x:v>
      </x:c>
      <x:c r="G2907" s="33" t="str">
        <x:v>P-4 execution-chain reconciliation</x:v>
      </x:c>
      <x:c r="H2907" s="33" t="str">
        <x:v>P-4</x:v>
      </x:c>
      <x:c r="I2907" s="33" t="str">
        <x:v>P-4</x:v>
      </x:c>
      <x:c r="J2907" s="33" t="str">
        <x:v>2026-08-20</x:v>
      </x:c>
      <x:c r="K2907" s="33" t="str">
        <x:v>Evidence IDs preserved and aligned.</x:v>
      </x:c>
    </x:row>
    <x:row r="2908">
      <x:c r="A2908" s="33" t="str">
        <x:v>EVD545</x:v>
      </x:c>
      <x:c r="B2908" s="33" t="str">
        <x:v>Evidence Master</x:v>
      </x:c>
      <x:c r="C2908" s="33" t="str">
        <x:v>Evidence Required=Audit Trail Report; Evidence Type=Digital Record; Mandatory=Yes; Retention Category=Operational; Remarks=Electronic audit history.</x:v>
      </x:c>
      <x:c r="D2908" s="33" t="str">
        <x:v>Evidence Required=Documentary and transaction evidence demonstrating: Conduct periodic internal compliance reviews covering all applicable pharmacy regulations.; Evidence Type=Record; Mandatory=Yes; Retention Category=Applicable statutory / operational period; Remarks=P-4 aligned to the normalized parent audit; legacy Evidence ID preserved.</x:v>
      </x:c>
      <x:c r="E2908" s="33" t="str">
        <x:v>CORRECT / RECLASSIFY</x:v>
      </x:c>
      <x:c r="F2908" s="33" t="str">
        <x:v>Quarantine inactive descendants and align existing evidence to normalized audits.</x:v>
      </x:c>
      <x:c r="G2908" s="33" t="str">
        <x:v>P-4 execution-chain reconciliation</x:v>
      </x:c>
      <x:c r="H2908" s="33" t="str">
        <x:v>P-4</x:v>
      </x:c>
      <x:c r="I2908" s="33" t="str">
        <x:v>P-4</x:v>
      </x:c>
      <x:c r="J2908" s="33" t="str">
        <x:v>2026-08-20</x:v>
      </x:c>
      <x:c r="K2908" s="33" t="str">
        <x:v>Evidence IDs preserved and aligned.</x:v>
      </x:c>
    </x:row>
    <x:row r="2909">
      <x:c r="A2909" s="33" t="str">
        <x:v>EVD546</x:v>
      </x:c>
      <x:c r="B2909" s="33" t="str">
        <x:v>Evidence Master</x:v>
      </x:c>
      <x:c r="C2909" s="33" t="str">
        <x:v>Evidence Required=Auditor Training Register; Evidence Type=Training Record; Mandatory=Yes; Retention Category=Operational; Remarks=Professional competency records.</x:v>
      </x:c>
      <x:c r="D2909" s="33" t="str">
        <x:v>Evidence Required=Documentary and transaction evidence demonstrating: Establish and maintain an enterprise compliance governance framework.; Evidence Type=Record; Mandatory=Yes; Retention Category=Applicable statutory / operational period; Remarks=P-4 aligned to the normalized parent audit; legacy Evidence ID preserved.</x:v>
      </x:c>
      <x:c r="E2909" s="33" t="str">
        <x:v>CORRECT / RECLASSIFY</x:v>
      </x:c>
      <x:c r="F2909" s="33" t="str">
        <x:v>Quarantine inactive descendants and align existing evidence to normalized audits.</x:v>
      </x:c>
      <x:c r="G2909" s="33" t="str">
        <x:v>P-4 execution-chain reconciliation</x:v>
      </x:c>
      <x:c r="H2909" s="33" t="str">
        <x:v>P-4</x:v>
      </x:c>
      <x:c r="I2909" s="33" t="str">
        <x:v>P-4</x:v>
      </x:c>
      <x:c r="J2909" s="33" t="str">
        <x:v>2026-08-20</x:v>
      </x:c>
      <x:c r="K2909" s="33" t="str">
        <x:v>Evidence IDs preserved and aligned.</x:v>
      </x:c>
    </x:row>
    <x:row r="2910">
      <x:c r="A2910" s="33" t="str">
        <x:v>EVD547</x:v>
      </x:c>
      <x:c r="B2910" s="33" t="str">
        <x:v>Evidence Master</x:v>
      </x:c>
      <x:c r="C2910" s="33" t="str">
        <x:v>Evidence Required=Auditor Training Certificates; Evidence Type=Certificate; Mandatory=Yes; Retention Category=Permanent; Remarks=Evidence of completed training.</x:v>
      </x:c>
      <x:c r="D2910" s="33" t="str">
        <x:v>Evidence Required=Documentary and transaction evidence demonstrating: Establish and maintain an enterprise compliance governance framework.; Evidence Type=Record; Mandatory=Yes; Retention Category=Applicable statutory / operational period; Remarks=P-4 aligned to the normalized parent audit; legacy Evidence ID preserved.</x:v>
      </x:c>
      <x:c r="E2910" s="33" t="str">
        <x:v>CORRECT / RECLASSIFY</x:v>
      </x:c>
      <x:c r="F2910" s="33" t="str">
        <x:v>Quarantine inactive descendants and align existing evidence to normalized audits.</x:v>
      </x:c>
      <x:c r="G2910" s="33" t="str">
        <x:v>P-4 execution-chain reconciliation</x:v>
      </x:c>
      <x:c r="H2910" s="33" t="str">
        <x:v>P-4</x:v>
      </x:c>
      <x:c r="I2910" s="33" t="str">
        <x:v>P-4</x:v>
      </x:c>
      <x:c r="J2910" s="33" t="str">
        <x:v>2026-08-20</x:v>
      </x:c>
      <x:c r="K2910" s="33" t="str">
        <x:v>Evidence IDs preserved and aligned.</x:v>
      </x:c>
    </x:row>
    <x:row r="2911">
      <x:c r="A2911" s="33" t="str">
        <x:v>EVD548</x:v>
      </x:c>
      <x:c r="B2911" s="33" t="str">
        <x:v>Evidence Master</x:v>
      </x:c>
      <x:c r="C2911" s="33" t="str">
        <x:v>Evidence Required=Regulatory Inspection Register; Evidence Type=Inspection Report; Mandatory=Yes; Retention Category=Statutory; Remarks=Record of regulatory inspections.</x:v>
      </x:c>
      <x:c r="D2911" s="33" t="str">
        <x:v>Evidence Required=Documentary and transaction evidence demonstrating: Assign clear ownership and accountability for every regulatory compliance obligation.; Evidence Type=Record; Mandatory=Yes; Retention Category=Applicable statutory / operational period; Remarks=P-4 aligned to the normalized parent audit; legacy Evidence ID preserved.</x:v>
      </x:c>
      <x:c r="E2911" s="33" t="str">
        <x:v>CORRECT / RECLASSIFY</x:v>
      </x:c>
      <x:c r="F2911" s="33" t="str">
        <x:v>Quarantine inactive descendants and align existing evidence to normalized audits.</x:v>
      </x:c>
      <x:c r="G2911" s="33" t="str">
        <x:v>P-4 execution-chain reconciliation</x:v>
      </x:c>
      <x:c r="H2911" s="33" t="str">
        <x:v>P-4</x:v>
      </x:c>
      <x:c r="I2911" s="33" t="str">
        <x:v>P-4</x:v>
      </x:c>
      <x:c r="J2911" s="33" t="str">
        <x:v>2026-08-20</x:v>
      </x:c>
      <x:c r="K2911" s="33" t="str">
        <x:v>Evidence IDs preserved and aligned.</x:v>
      </x:c>
    </x:row>
    <x:row r="2912">
      <x:c r="A2912" s="33" t="str">
        <x:v>EVD549</x:v>
      </x:c>
      <x:c r="B2912" s="33" t="str">
        <x:v>Evidence Master</x:v>
      </x:c>
      <x:c r="C2912" s="33" t="str">
        <x:v>Evidence Required=Audit Planning Risk Assessment; Evidence Type=Record; Mandatory=Yes; Retention Category=Operational; Remarks=Inspection findings incorporated into planning.</x:v>
      </x:c>
      <x:c r="D2912" s="33" t="str">
        <x:v>Evidence Required=Documentary and transaction evidence demonstrating: Assign clear ownership and accountability for every regulatory compliance obligation.; Evidence Type=Record; Mandatory=Yes; Retention Category=Applicable statutory / operational period; Remarks=P-4 aligned to the normalized parent audit; legacy Evidence ID preserved.</x:v>
      </x:c>
      <x:c r="E2912" s="33" t="str">
        <x:v>CORRECT / RECLASSIFY</x:v>
      </x:c>
      <x:c r="F2912" s="33" t="str">
        <x:v>Quarantine inactive descendants and align existing evidence to normalized audits.</x:v>
      </x:c>
      <x:c r="G2912" s="33" t="str">
        <x:v>P-4 execution-chain reconciliation</x:v>
      </x:c>
      <x:c r="H2912" s="33" t="str">
        <x:v>P-4</x:v>
      </x:c>
      <x:c r="I2912" s="33" t="str">
        <x:v>P-4</x:v>
      </x:c>
      <x:c r="J2912" s="33" t="str">
        <x:v>2026-08-20</x:v>
      </x:c>
      <x:c r="K2912" s="33" t="str">
        <x:v>Evidence IDs preserved and aligned.</x:v>
      </x:c>
    </x:row>
    <x:row r="2913">
      <x:c r="A2913" s="33" t="str">
        <x:v>EVD550</x:v>
      </x:c>
      <x:c r="B2913" s="33" t="str">
        <x:v>Evidence Master</x:v>
      </x:c>
      <x:c r="C2913" s="33" t="str">
        <x:v>Evidence Required=Quality Assurance Review Report; Evidence Type=Report; Mandatory=Yes; Retention Category=Operational; Remarks=Independent review of audit process.</x:v>
      </x:c>
      <x:c r="D2913" s="33" t="str">
        <x:v>Evidence Required=Documentary and transaction evidence demonstrating: Monitor regulatory updates and assess their impact on pharmacy operations.; Evidence Type=Record; Mandatory=Yes; Retention Category=Applicable statutory / operational period; Remarks=P-4 aligned to the normalized parent audit; legacy Evidence ID preserved.</x:v>
      </x:c>
      <x:c r="E2913" s="33" t="str">
        <x:v>CORRECT / RECLASSIFY</x:v>
      </x:c>
      <x:c r="F2913" s="33" t="str">
        <x:v>Quarantine inactive descendants and align existing evidence to normalized audits.</x:v>
      </x:c>
      <x:c r="G2913" s="33" t="str">
        <x:v>P-4 execution-chain reconciliation</x:v>
      </x:c>
      <x:c r="H2913" s="33" t="str">
        <x:v>P-4</x:v>
      </x:c>
      <x:c r="I2913" s="33" t="str">
        <x:v>P-4</x:v>
      </x:c>
      <x:c r="J2913" s="33" t="str">
        <x:v>2026-08-20</x:v>
      </x:c>
      <x:c r="K2913" s="33" t="str">
        <x:v>Evidence IDs preserved and aligned.</x:v>
      </x:c>
    </x:row>
    <x:row r="2914">
      <x:c r="A2914" s="33" t="str">
        <x:v>EVD551</x:v>
      </x:c>
      <x:c r="B2914" s="33" t="str">
        <x:v>Evidence Master</x:v>
      </x:c>
      <x:c r="C2914" s="33" t="str">
        <x:v>Evidence Required=QA Review Observation Register; Evidence Type=Register; Mandatory=Yes; Retention Category=Statutory; Remarks=Track QA recommendations.</x:v>
      </x:c>
      <x:c r="D2914" s="33" t="str">
        <x:v>Evidence Required=Documentary and transaction evidence demonstrating: Monitor regulatory updates and assess their impact on pharmacy operations.; Evidence Type=Record; Mandatory=Yes; Retention Category=Applicable statutory / operational period; Remarks=P-4 aligned to the normalized parent audit; legacy Evidence ID preserved.</x:v>
      </x:c>
      <x:c r="E2914" s="33" t="str">
        <x:v>CORRECT / RECLASSIFY</x:v>
      </x:c>
      <x:c r="F2914" s="33" t="str">
        <x:v>Quarantine inactive descendants and align existing evidence to normalized audits.</x:v>
      </x:c>
      <x:c r="G2914" s="33" t="str">
        <x:v>P-4 execution-chain reconciliation</x:v>
      </x:c>
      <x:c r="H2914" s="33" t="str">
        <x:v>P-4</x:v>
      </x:c>
      <x:c r="I2914" s="33" t="str">
        <x:v>P-4</x:v>
      </x:c>
      <x:c r="J2914" s="33" t="str">
        <x:v>2026-08-20</x:v>
      </x:c>
      <x:c r="K2914" s="33" t="str">
        <x:v>Evidence IDs preserved and aligned.</x:v>
      </x:c>
    </x:row>
    <x:row r="2915">
      <x:c r="A2915" s="33" t="str">
        <x:v>EVD552</x:v>
      </x:c>
      <x:c r="B2915" s="33" t="str">
        <x:v>Evidence Master</x:v>
      </x:c>
      <x:c r="C2915" s="33" t="str">
        <x:v>Evidence Required=Auditor Conflict of Interest Declaration; Evidence Type=Declaration; Mandatory=Yes; Retention Category=Operational; Remarks=Signed declaration.</x:v>
      </x:c>
      <x:c r="D2915" s="33" t="str">
        <x:v>Evidence Required=Documentary and transaction evidence demonstrating: Maintain a compliance calendar covering all statutory obligations and due dates.; Evidence Type=Record; Mandatory=Yes; Retention Category=Applicable statutory / operational period; Remarks=P-4 aligned to the normalized parent audit; legacy Evidence ID preserved.</x:v>
      </x:c>
      <x:c r="E2915" s="33" t="str">
        <x:v>CORRECT / RECLASSIFY</x:v>
      </x:c>
      <x:c r="F2915" s="33" t="str">
        <x:v>Quarantine inactive descendants and align existing evidence to normalized audits.</x:v>
      </x:c>
      <x:c r="G2915" s="33" t="str">
        <x:v>P-4 execution-chain reconciliation</x:v>
      </x:c>
      <x:c r="H2915" s="33" t="str">
        <x:v>P-4</x:v>
      </x:c>
      <x:c r="I2915" s="33" t="str">
        <x:v>P-4</x:v>
      </x:c>
      <x:c r="J2915" s="33" t="str">
        <x:v>2026-08-20</x:v>
      </x:c>
      <x:c r="K2915" s="33" t="str">
        <x:v>Evidence IDs preserved and aligned.</x:v>
      </x:c>
    </x:row>
    <x:row r="2916">
      <x:c r="A2916" s="33" t="str">
        <x:v>EVD553</x:v>
      </x:c>
      <x:c r="B2916" s="33" t="str">
        <x:v>Evidence Master</x:v>
      </x:c>
      <x:c r="C2916" s="33" t="str">
        <x:v>Evidence Required=Conflict Resolution Record; Evidence Type=Record; Mandatory=Yes; Retention Category=Operational; Remarks=Resolution of identified conflicts.</x:v>
      </x:c>
      <x:c r="D2916" s="33" t="str">
        <x:v>Evidence Required=Documentary and transaction evidence demonstrating: Maintain a compliance calendar covering all statutory obligations and due dates.; Evidence Type=Record; Mandatory=Yes; Retention Category=Applicable statutory / operational period; Remarks=P-4 aligned to the normalized parent audit; legacy Evidence ID preserved.</x:v>
      </x:c>
      <x:c r="E2916" s="33" t="str">
        <x:v>CORRECT / RECLASSIFY</x:v>
      </x:c>
      <x:c r="F2916" s="33" t="str">
        <x:v>Quarantine inactive descendants and align existing evidence to normalized audits.</x:v>
      </x:c>
      <x:c r="G2916" s="33" t="str">
        <x:v>P-4 execution-chain reconciliation</x:v>
      </x:c>
      <x:c r="H2916" s="33" t="str">
        <x:v>P-4</x:v>
      </x:c>
      <x:c r="I2916" s="33" t="str">
        <x:v>P-4</x:v>
      </x:c>
      <x:c r="J2916" s="33" t="str">
        <x:v>2026-08-20</x:v>
      </x:c>
      <x:c r="K2916" s="33" t="str">
        <x:v>Evidence IDs preserved and aligned.</x:v>
      </x:c>
    </x:row>
    <x:row r="2917">
      <x:c r="A2917" s="33" t="str">
        <x:v>EVD554</x:v>
      </x:c>
      <x:c r="B2917" s="33" t="str">
        <x:v>Evidence Master</x:v>
      </x:c>
      <x:c r="C2917" s="33" t="str">
        <x:v>Evidence Required=Audit Planning File; Evidence Type=Record; Mandatory=Yes; Retention Category=Operational; Remarks=Evidence of risk-based planning.</x:v>
      </x:c>
      <x:c r="D2917" s="33" t="str">
        <x:v>Evidence Required=Documentary and transaction evidence demonstrating: Submit periodic compliance reports to senior management.; Evidence Type=Record; Mandatory=Yes; Retention Category=Applicable statutory / operational period; Remarks=P-4 aligned to the normalized parent audit; legacy Evidence ID preserved.</x:v>
      </x:c>
      <x:c r="E2917" s="33" t="str">
        <x:v>CORRECT / RECLASSIFY</x:v>
      </x:c>
      <x:c r="F2917" s="33" t="str">
        <x:v>Quarantine inactive descendants and align existing evidence to normalized audits.</x:v>
      </x:c>
      <x:c r="G2917" s="33" t="str">
        <x:v>P-4 execution-chain reconciliation</x:v>
      </x:c>
      <x:c r="H2917" s="33" t="str">
        <x:v>P-4</x:v>
      </x:c>
      <x:c r="I2917" s="33" t="str">
        <x:v>P-4</x:v>
      </x:c>
      <x:c r="J2917" s="33" t="str">
        <x:v>2026-08-20</x:v>
      </x:c>
      <x:c r="K2917" s="33" t="str">
        <x:v>Evidence IDs preserved and aligned.</x:v>
      </x:c>
    </x:row>
    <x:row r="2918">
      <x:c r="A2918" s="33" t="str">
        <x:v>EVD555</x:v>
      </x:c>
      <x:c r="B2918" s="33" t="str">
        <x:v>Evidence Master</x:v>
      </x:c>
      <x:c r="C2918" s="33" t="str">
        <x:v>Evidence Required=Regulatory Observation Tracking Register; Evidence Type=Register; Mandatory=Yes; Retention Category=Statutory; Remarks=Incorporate inspection findings into audit planning.</x:v>
      </x:c>
      <x:c r="D2918" s="33" t="str">
        <x:v>Evidence Required=Documentary and transaction evidence demonstrating: Submit periodic compliance reports to senior management.; Evidence Type=Record; Mandatory=Yes; Retention Category=Applicable statutory / operational period; Remarks=P-4 aligned to the normalized parent audit; legacy Evidence ID preserved.</x:v>
      </x:c>
      <x:c r="E2918" s="33" t="str">
        <x:v>CORRECT / RECLASSIFY</x:v>
      </x:c>
      <x:c r="F2918" s="33" t="str">
        <x:v>Quarantine inactive descendants and align existing evidence to normalized audits.</x:v>
      </x:c>
      <x:c r="G2918" s="33" t="str">
        <x:v>P-4 execution-chain reconciliation</x:v>
      </x:c>
      <x:c r="H2918" s="33" t="str">
        <x:v>P-4</x:v>
      </x:c>
      <x:c r="I2918" s="33" t="str">
        <x:v>P-4</x:v>
      </x:c>
      <x:c r="J2918" s="33" t="str">
        <x:v>2026-08-20</x:v>
      </x:c>
      <x:c r="K2918" s="33" t="str">
        <x:v>Evidence IDs preserved and aligned.</x:v>
      </x:c>
    </x:row>
    <x:row r="2919">
      <x:c r="A2919" s="33" t="str">
        <x:v>EVD556</x:v>
      </x:c>
      <x:c r="B2919" s="33" t="str">
        <x:v>Evidence Master</x:v>
      </x:c>
      <x:c r="C2919" s="33" t="str">
        <x:v>Evidence Required=Audit KPI Report; Evidence Type=Digital Record; Mandatory=No; Retention Category=Operational; Remarks=Audit performance monitoring.</x:v>
      </x:c>
      <x:c r="D2919" s="33" t="str">
        <x:v>Evidence Required=Documentary and transaction evidence demonstrating: Perform periodic regulatory risk assessments and document mitigation measures.; Evidence Type=Record; Mandatory=Yes; Retention Category=Applicable statutory / operational period; Remarks=P-4 aligned to the normalized parent audit; legacy Evidence ID preserved.</x:v>
      </x:c>
      <x:c r="E2919" s="33" t="str">
        <x:v>CORRECT / RECLASSIFY</x:v>
      </x:c>
      <x:c r="F2919" s="33" t="str">
        <x:v>Quarantine inactive descendants and align existing evidence to normalized audits.</x:v>
      </x:c>
      <x:c r="G2919" s="33" t="str">
        <x:v>P-4 execution-chain reconciliation</x:v>
      </x:c>
      <x:c r="H2919" s="33" t="str">
        <x:v>P-4</x:v>
      </x:c>
      <x:c r="I2919" s="33" t="str">
        <x:v>P-4</x:v>
      </x:c>
      <x:c r="J2919" s="33" t="str">
        <x:v>2026-08-20</x:v>
      </x:c>
      <x:c r="K2919" s="33" t="str">
        <x:v>Evidence IDs preserved and aligned.</x:v>
      </x:c>
    </x:row>
    <x:row r="2920">
      <x:c r="A2920" s="33" t="str">
        <x:v>EVD557</x:v>
      </x:c>
      <x:c r="B2920" s="33" t="str">
        <x:v>Evidence Master</x:v>
      </x:c>
      <x:c r="C2920" s="33" t="str">
        <x:v>Evidence Required=Audit Improvement Action Register; Evidence Type=Register; Mandatory=Yes; Retention Category=Statutory; Remarks=Continuous improvement initiatives.</x:v>
      </x:c>
      <x:c r="D2920" s="33" t="str">
        <x:v>Evidence Required=Documentary and transaction evidence demonstrating: Perform periodic regulatory risk assessments and document mitigation measures.; Evidence Type=Record; Mandatory=Yes; Retention Category=Applicable statutory / operational period; Remarks=P-4 aligned to the normalized parent audit; legacy Evidence ID preserved.</x:v>
      </x:c>
      <x:c r="E2920" s="33" t="str">
        <x:v>CORRECT / RECLASSIFY</x:v>
      </x:c>
      <x:c r="F2920" s="33" t="str">
        <x:v>Quarantine inactive descendants and align existing evidence to normalized audits.</x:v>
      </x:c>
      <x:c r="G2920" s="33" t="str">
        <x:v>P-4 execution-chain reconciliation</x:v>
      </x:c>
      <x:c r="H2920" s="33" t="str">
        <x:v>P-4</x:v>
      </x:c>
      <x:c r="I2920" s="33" t="str">
        <x:v>P-4</x:v>
      </x:c>
      <x:c r="J2920" s="33" t="str">
        <x:v>2026-08-20</x:v>
      </x:c>
      <x:c r="K2920" s="33" t="str">
        <x:v>Evidence IDs preserved and aligned.</x:v>
      </x:c>
    </x:row>
    <x:row r="2921">
      <x:c r="A2921" s="33" t="str">
        <x:v>EVD558</x:v>
      </x:c>
      <x:c r="B2921" s="33" t="str">
        <x:v>Evidence Master</x:v>
      </x:c>
      <x:c r="C2921" s="33" t="str">
        <x:v>Evidence Required=Independent Audit Quality Review Report; Evidence Type=Report; Mandatory=Yes; Retention Category=Operational; Remarks=Independent quality assurance review.</x:v>
      </x:c>
      <x:c r="D2921" s="33" t="str">
        <x:v>Evidence Required=Documentary and transaction evidence demonstrating: Conduct independent internal audits to evaluate regulatory compliance effectiveness.; Evidence Type=Record; Mandatory=Yes; Retention Category=Applicable statutory / operational period; Remarks=P-4 aligned to the normalized parent audit; legacy Evidence ID preserved.</x:v>
      </x:c>
      <x:c r="E2921" s="33" t="str">
        <x:v>CORRECT / RECLASSIFY</x:v>
      </x:c>
      <x:c r="F2921" s="33" t="str">
        <x:v>Quarantine inactive descendants and align existing evidence to normalized audits.</x:v>
      </x:c>
      <x:c r="G2921" s="33" t="str">
        <x:v>P-4 execution-chain reconciliation</x:v>
      </x:c>
      <x:c r="H2921" s="33" t="str">
        <x:v>P-4</x:v>
      </x:c>
      <x:c r="I2921" s="33" t="str">
        <x:v>P-4</x:v>
      </x:c>
      <x:c r="J2921" s="33" t="str">
        <x:v>2026-08-20</x:v>
      </x:c>
      <x:c r="K2921" s="33" t="str">
        <x:v>Evidence IDs preserved and aligned.</x:v>
      </x:c>
    </x:row>
    <x:row r="2922">
      <x:c r="A2922" s="33" t="str">
        <x:v>EVD559</x:v>
      </x:c>
      <x:c r="B2922" s="33" t="str">
        <x:v>Evidence Master</x:v>
      </x:c>
      <x:c r="C2922" s="33" t="str">
        <x:v>Evidence Required=Audit Quality Review Checklist; Evidence Type=Record; Mandatory=Yes; Retention Category=Operational; Remarks=Standardized quality assessment.</x:v>
      </x:c>
      <x:c r="D2922" s="33" t="str">
        <x:v>Evidence Required=Documentary and transaction evidence demonstrating: Conduct independent internal audits to evaluate regulatory compliance effectiveness.; Evidence Type=Record; Mandatory=Yes; Retention Category=Applicable statutory / operational period; Remarks=P-4 aligned to the normalized parent audit; legacy Evidence ID preserved.</x:v>
      </x:c>
      <x:c r="E2922" s="33" t="str">
        <x:v>CORRECT / RECLASSIFY</x:v>
      </x:c>
      <x:c r="F2922" s="33" t="str">
        <x:v>Quarantine inactive descendants and align existing evidence to normalized audits.</x:v>
      </x:c>
      <x:c r="G2922" s="33" t="str">
        <x:v>P-4 execution-chain reconciliation</x:v>
      </x:c>
      <x:c r="H2922" s="33" t="str">
        <x:v>P-4</x:v>
      </x:c>
      <x:c r="I2922" s="33" t="str">
        <x:v>P-4</x:v>
      </x:c>
      <x:c r="J2922" s="33" t="str">
        <x:v>2026-08-20</x:v>
      </x:c>
      <x:c r="K2922" s="33" t="str">
        <x:v>Evidence IDs preserved and aligned.</x:v>
      </x:c>
    </x:row>
    <x:row r="2923">
      <x:c r="A2923" s="33" t="str">
        <x:v>EVD560</x:v>
      </x:c>
      <x:c r="B2923" s="33" t="str">
        <x:v>Evidence Master</x:v>
      </x:c>
      <x:c r="C2923" s="33" t="str">
        <x:v>Evidence Required=Enterprise Compliance Audit Report; Evidence Type=Report; Mandatory=Yes; Retention Category=Operational; Remarks=Comprehensive compliance assessment.</x:v>
      </x:c>
      <x:c r="D2923" s="33" t="str">
        <x:v>Evidence Required=Documentary and transaction evidence demonstrating: Maintain controlled regulatory documents with version control, approval history and archival records.; Evidence Type=Record; Mandatory=Yes; Retention Category=Applicable statutory / operational period; Remarks=P-4 aligned to the normalized parent audit; legacy Evidence ID preserved.</x:v>
      </x:c>
      <x:c r="E2923" s="33" t="str">
        <x:v>CORRECT / RECLASSIFY</x:v>
      </x:c>
      <x:c r="F2923" s="33" t="str">
        <x:v>Quarantine inactive descendants and align existing evidence to normalized audits.</x:v>
      </x:c>
      <x:c r="G2923" s="33" t="str">
        <x:v>P-4 execution-chain reconciliation</x:v>
      </x:c>
      <x:c r="H2923" s="33" t="str">
        <x:v>P-4</x:v>
      </x:c>
      <x:c r="I2923" s="33" t="str">
        <x:v>P-4</x:v>
      </x:c>
      <x:c r="J2923" s="33" t="str">
        <x:v>2026-08-20</x:v>
      </x:c>
      <x:c r="K2923" s="33" t="str">
        <x:v>Evidence IDs preserved and aligned.</x:v>
      </x:c>
    </x:row>
    <x:row r="2924">
      <x:c r="A2924" s="33" t="str">
        <x:v>EVD561</x:v>
      </x:c>
      <x:c r="B2924" s="33" t="str">
        <x:v>Evidence Master</x:v>
      </x:c>
      <x:c r="C2924" s="33" t="str">
        <x:v>Evidence Required=Cross-Compliance Coverage Matrix; Evidence Type=Record; Mandatory=Yes; Retention Category=Operational; Remarks=Map audit coverage against compliance requirements.</x:v>
      </x:c>
      <x:c r="D2924" s="33" t="str">
        <x:v>Evidence Required=Documentary and transaction evidence demonstrating: Maintain controlled regulatory documents with version control, approval history and archival records.; Evidence Type=Record; Mandatory=Yes; Retention Category=Applicable statutory / operational period; Remarks=P-4 aligned to the normalized parent audit; legacy Evidence ID preserved.</x:v>
      </x:c>
      <x:c r="E2924" s="33" t="str">
        <x:v>CORRECT / RECLASSIFY</x:v>
      </x:c>
      <x:c r="F2924" s="33" t="str">
        <x:v>Quarantine inactive descendants and align existing evidence to normalized audits.</x:v>
      </x:c>
      <x:c r="G2924" s="33" t="str">
        <x:v>P-4 execution-chain reconciliation</x:v>
      </x:c>
      <x:c r="H2924" s="33" t="str">
        <x:v>P-4</x:v>
      </x:c>
      <x:c r="I2924" s="33" t="str">
        <x:v>P-4</x:v>
      </x:c>
      <x:c r="J2924" s="33" t="str">
        <x:v>2026-08-20</x:v>
      </x:c>
      <x:c r="K2924" s="33" t="str">
        <x:v>Evidence IDs preserved and aligned.</x:v>
      </x:c>
    </x:row>
    <x:row r="2925">
      <x:c r="A2925" s="33" t="str">
        <x:v>EVD562</x:v>
      </x:c>
      <x:c r="B2925" s="33" t="str">
        <x:v>Evidence Master</x:v>
      </x:c>
      <x:c r="C2925" s="33" t="str">
        <x:v>Evidence Required=Enterprise Compliance Risk Assessment; Evidence Type=Record; Mandatory=Yes; Retention Category=Operational; Remarks=Organization-wide compliance risk evaluation.</x:v>
      </x:c>
      <x:c r="D2925" s="33" t="str">
        <x:v>Evidence Required=Documentary and transaction evidence demonstrating: Maintain controlled regulatory documents with version control, approval history and archival records.; Evidence Type=Record; Mandatory=Yes; Retention Category=Applicable statutory / operational period; Remarks=P-4 aligned to the normalized parent audit; legacy Evidence ID preserved.</x:v>
      </x:c>
      <x:c r="E2925" s="33" t="str">
        <x:v>CORRECT / RECLASSIFY</x:v>
      </x:c>
      <x:c r="F2925" s="33" t="str">
        <x:v>Quarantine inactive descendants and align existing evidence to normalized audits.</x:v>
      </x:c>
      <x:c r="G2925" s="33" t="str">
        <x:v>P-4 execution-chain reconciliation</x:v>
      </x:c>
      <x:c r="H2925" s="33" t="str">
        <x:v>P-4</x:v>
      </x:c>
      <x:c r="I2925" s="33" t="str">
        <x:v>P-4</x:v>
      </x:c>
      <x:c r="J2925" s="33" t="str">
        <x:v>2026-08-20</x:v>
      </x:c>
      <x:c r="K2925" s="33" t="str">
        <x:v>Evidence IDs preserved and aligned.</x:v>
      </x:c>
    </x:row>
    <x:row r="2926">
      <x:c r="A2926" s="33" t="str">
        <x:v>EVD563</x:v>
      </x:c>
      <x:c r="B2926" s="33" t="str">
        <x:v>Evidence Master</x:v>
      </x:c>
      <x:c r="C2926" s="33" t="str">
        <x:v>Evidence Required=Enterprise Compliance Monitoring Framework; Evidence Type=Other; Mandatory=Yes; Retention Category=Operational; Remarks=Approved governance framework.</x:v>
      </x:c>
      <x:c r="D2926" s="33" t="str">
        <x:v>Evidence Required=Documentary and transaction evidence demonstrating: Periodically review and improve the compliance management system through continual improvement initiatives.; Evidence Type=Record; Mandatory=Yes; Retention Category=Applicable statutory / operational period; Remarks=P-4 aligned to the normalized parent audit; legacy Evidence ID preserved.</x:v>
      </x:c>
      <x:c r="E2926" s="33" t="str">
        <x:v>CORRECT / RECLASSIFY</x:v>
      </x:c>
      <x:c r="F2926" s="33" t="str">
        <x:v>Quarantine inactive descendants and align existing evidence to normalized audits.</x:v>
      </x:c>
      <x:c r="G2926" s="33" t="str">
        <x:v>P-4 execution-chain reconciliation</x:v>
      </x:c>
      <x:c r="H2926" s="33" t="str">
        <x:v>P-4</x:v>
      </x:c>
      <x:c r="I2926" s="33" t="str">
        <x:v>P-4</x:v>
      </x:c>
      <x:c r="J2926" s="33" t="str">
        <x:v>2026-08-20</x:v>
      </x:c>
      <x:c r="K2926" s="33" t="str">
        <x:v>Evidence IDs preserved and aligned.</x:v>
      </x:c>
    </x:row>
    <x:row r="2927">
      <x:c r="A2927" s="33" t="str">
        <x:v>EVD564</x:v>
      </x:c>
      <x:c r="B2927" s="33" t="str">
        <x:v>Evidence Master</x:v>
      </x:c>
      <x:c r="C2927" s="33" t="str">
        <x:v>Evidence Required=Compliance Governance Charter; Evidence Type=Other; Mandatory=Yes; Retention Category=Operational; Remarks=Defines governance structure and responsibilities.</x:v>
      </x:c>
      <x:c r="D2927" s="33" t="str">
        <x:v>Evidence Required=Documentary and transaction evidence demonstrating: Periodically review and improve the compliance management system through continual improvement initiatives.; Evidence Type=Record; Mandatory=Yes; Retention Category=Applicable statutory / operational period; Remarks=P-4 aligned to the normalized parent audit; legacy Evidence ID preserved.</x:v>
      </x:c>
      <x:c r="E2927" s="33" t="str">
        <x:v>CORRECT / RECLASSIFY</x:v>
      </x:c>
      <x:c r="F2927" s="33" t="str">
        <x:v>Quarantine inactive descendants and align existing evidence to normalized audits.</x:v>
      </x:c>
      <x:c r="G2927" s="33" t="str">
        <x:v>P-4 execution-chain reconciliation</x:v>
      </x:c>
      <x:c r="H2927" s="33" t="str">
        <x:v>P-4</x:v>
      </x:c>
      <x:c r="I2927" s="33" t="str">
        <x:v>P-4</x:v>
      </x:c>
      <x:c r="J2927" s="33" t="str">
        <x:v>2026-08-20</x:v>
      </x:c>
      <x:c r="K2927" s="33" t="str">
        <x:v>Evidence IDs preserved and aligned.</x:v>
      </x:c>
    </x:row>
    <x:row r="2928">
      <x:c r="A2928" s="33" t="str">
        <x:v>EVD565</x:v>
      </x:c>
      <x:c r="B2928" s="33" t="str">
        <x:v>Evidence Master</x:v>
      </x:c>
      <x:c r="C2928" s="33" t="str">
        <x:v>Evidence Required=Enterprise Compliance Dashboard; Evidence Type=Digital Record; Mandatory=No; Retention Category=Operational; Remarks=Executive compliance monitoring.</x:v>
      </x:c>
      <x:c r="D2928" s="33" t="str">
        <x:v>Evidence Required=Documentary and transaction evidence demonstrating: Periodically review and improve the compliance management system through continual improvement initiatives.; Evidence Type=Record; Mandatory=Yes; Retention Category=Applicable statutory / operational period; Remarks=P-4 aligned to the normalized parent audit; legacy Evidence ID preserved.</x:v>
      </x:c>
      <x:c r="E2928" s="33" t="str">
        <x:v>CORRECT / RECLASSIFY</x:v>
      </x:c>
      <x:c r="F2928" s="33" t="str">
        <x:v>Quarantine inactive descendants and align existing evidence to normalized audits.</x:v>
      </x:c>
      <x:c r="G2928" s="33" t="str">
        <x:v>P-4 execution-chain reconciliation</x:v>
      </x:c>
      <x:c r="H2928" s="33" t="str">
        <x:v>P-4</x:v>
      </x:c>
      <x:c r="I2928" s="33" t="str">
        <x:v>P-4</x:v>
      </x:c>
      <x:c r="J2928" s="33" t="str">
        <x:v>2026-08-20</x:v>
      </x:c>
      <x:c r="K2928" s="33" t="str">
        <x:v>Evidence IDs preserved and aligned.</x:v>
      </x:c>
    </x:row>
    <x:row r="2929">
      <x:c r="A2929" s="33" t="str">
        <x:v>EVD566</x:v>
      </x:c>
      <x:c r="B2929" s="33" t="str">
        <x:v>Evidence Master</x:v>
      </x:c>
      <x:c r="C2929" s="33" t="str">
        <x:v>Evidence Required=Annual Compliance Review Report; Evidence Type=Report; Mandatory=Yes; Retention Category=Operational; Remarks=Overall compliance effectiveness assessment.</x:v>
      </x:c>
      <x:c r="D2929" s="33" t="str">
        <x:v>Evidence Required=Documentary and transaction evidence demonstrating: Periodically review and improve the compliance management system through continual improvement initiatives.; Evidence Type=Record; Mandatory=Yes; Retention Category=Applicable statutory / operational period; Remarks=P-4 aligned to the normalized parent audit; legacy Evidence ID preserved.</x:v>
      </x:c>
      <x:c r="E2929" s="33" t="str">
        <x:v>CORRECT / RECLASSIFY</x:v>
      </x:c>
      <x:c r="F2929" s="33" t="str">
        <x:v>Quarantine inactive descendants and align existing evidence to normalized audits.</x:v>
      </x:c>
      <x:c r="G2929" s="33" t="str">
        <x:v>P-4 execution-chain reconciliation</x:v>
      </x:c>
      <x:c r="H2929" s="33" t="str">
        <x:v>P-4</x:v>
      </x:c>
      <x:c r="I2929" s="33" t="str">
        <x:v>P-4</x:v>
      </x:c>
      <x:c r="J2929" s="33" t="str">
        <x:v>2026-08-20</x:v>
      </x:c>
      <x:c r="K2929" s="33" t="str">
        <x:v>Evidence IDs preserved and aligned.</x:v>
      </x:c>
    </x:row>
    <x:row r="2930">
      <x:c r="A2930" s="33" t="str">
        <x:v>EVD567</x:v>
      </x:c>
      <x:c r="B2930" s="33" t="str">
        <x:v>Evidence Master</x:v>
      </x:c>
      <x:c r="C2930" s="33" t="str">
        <x:v>Evidence Required=Compliance Management Review Minutes; Evidence Type=Other; Mandatory=Yes; Retention Category=Operational; Remarks=Executive review of compliance program.</x:v>
      </x:c>
      <x:c r="D2930" s="33" t="str">
        <x:v>Evidence Required=Documentary and transaction evidence demonstrating: Periodically review and improve the compliance management system through continual improvement initiatives.; Evidence Type=Record; Mandatory=Yes; Retention Category=Applicable statutory / operational period; Remarks=P-4 aligned to the normalized parent audit; legacy Evidence ID preserved.</x:v>
      </x:c>
      <x:c r="E2930" s="33" t="str">
        <x:v>CORRECT / RECLASSIFY</x:v>
      </x:c>
      <x:c r="F2930" s="33" t="str">
        <x:v>Quarantine inactive descendants and align existing evidence to normalized audits.</x:v>
      </x:c>
      <x:c r="G2930" s="33" t="str">
        <x:v>P-4 execution-chain reconciliation</x:v>
      </x:c>
      <x:c r="H2930" s="33" t="str">
        <x:v>P-4</x:v>
      </x:c>
      <x:c r="I2930" s="33" t="str">
        <x:v>P-4</x:v>
      </x:c>
      <x:c r="J2930" s="33" t="str">
        <x:v>2026-08-20</x:v>
      </x:c>
      <x:c r="K2930" s="33" t="str">
        <x:v>Evidence IDs preserved and aligned.</x:v>
      </x:c>
    </x:row>
    <x:row r="2931">
      <x:c r="A2931" s="33" t="str">
        <x:v>EVD568</x:v>
      </x:c>
      <x:c r="B2931" s="33" t="str">
        <x:v>Evidence Master</x:v>
      </x:c>
      <x:c r="C2931" s="33" t="str">
        <x:v>Evidence Required=Enterprise Compliance Improvement Plan; Evidence Type=Document; Mandatory=Yes; Retention Category=Operational; Remarks=Approved improvement roadmap.</x:v>
      </x:c>
      <x:c r="D2931" s="33" t="str">
        <x:v>Evidence Required=Documentary and transaction evidence demonstrating: Periodically review and improve the compliance management system through continual improvement initiatives.; Evidence Type=Record; Mandatory=Yes; Retention Category=Applicable statutory / operational period; Remarks=P-4 aligned to the normalized parent audit; legacy Evidence ID preserved.</x:v>
      </x:c>
      <x:c r="E2931" s="33" t="str">
        <x:v>CORRECT / RECLASSIFY</x:v>
      </x:c>
      <x:c r="F2931" s="33" t="str">
        <x:v>Quarantine inactive descendants and align existing evidence to normalized audits.</x:v>
      </x:c>
      <x:c r="G2931" s="33" t="str">
        <x:v>P-4 execution-chain reconciliation</x:v>
      </x:c>
      <x:c r="H2931" s="33" t="str">
        <x:v>P-4</x:v>
      </x:c>
      <x:c r="I2931" s="33" t="str">
        <x:v>P-4</x:v>
      </x:c>
      <x:c r="J2931" s="33" t="str">
        <x:v>2026-08-20</x:v>
      </x:c>
      <x:c r="K2931" s="33" t="str">
        <x:v>Evidence IDs preserved and aligned.</x:v>
      </x:c>
    </x:row>
    <x:row r="2932">
      <x:c r="A2932" s="33" t="str">
        <x:v>EVD569</x:v>
      </x:c>
      <x:c r="B2932" s="33" t="str">
        <x:v>Evidence Master</x:v>
      </x:c>
      <x:c r="C2932" s="33" t="str">
        <x:v>Evidence Required=Independent Compliance Assurance Report; Evidence Type=Report; Mandatory=Yes; Retention Category=Operational; Remarks=Independent assurance over compliance framework.</x:v>
      </x:c>
      <x:c r="D2932" s="33" t="str">
        <x:v>Evidence Required=Documentary and transaction evidence demonstrating: Periodically review and improve the compliance management system through continual improvement initiatives.; Evidence Type=Record; Mandatory=Yes; Retention Category=Applicable statutory / operational period; Remarks=P-4 aligned to the normalized parent audit; legacy Evidence ID preserved.</x:v>
      </x:c>
      <x:c r="E2932" s="33" t="str">
        <x:v>CORRECT / RECLASSIFY</x:v>
      </x:c>
      <x:c r="F2932" s="33" t="str">
        <x:v>Quarantine inactive descendants and align existing evidence to normalized audits.</x:v>
      </x:c>
      <x:c r="G2932" s="33" t="str">
        <x:v>P-4 execution-chain reconciliation</x:v>
      </x:c>
      <x:c r="H2932" s="33" t="str">
        <x:v>P-4</x:v>
      </x:c>
      <x:c r="I2932" s="33" t="str">
        <x:v>P-4</x:v>
      </x:c>
      <x:c r="J2932" s="33" t="str">
        <x:v>2026-08-20</x:v>
      </x:c>
      <x:c r="K2932" s="33" t="str">
        <x:v>Evidence IDs preserved and aligned.</x:v>
      </x:c>
    </x:row>
    <x:row r="2933">
      <x:c r="A2933" s="33" t="str">
        <x:v>EVD570</x:v>
      </x:c>
      <x:c r="B2933" s="33" t="str">
        <x:v>Evidence Master</x:v>
      </x:c>
      <x:c r="C2933" s="33" t="str">
        <x:v>Evidence Required=Annual Compliance Certification; Evidence Type=Certificate; Mandatory=Yes; Retention Category=Permanent; Remarks=Formal management certification of the compliance program.</x:v>
      </x:c>
      <x:c r="D2933" s="33" t="str">
        <x:v>Evidence Required=Documentary and transaction evidence demonstrating: Periodically review and improve the compliance management system through continual improvement initiatives.; Evidence Type=Record; Mandatory=Yes; Retention Category=Applicable statutory / operational period; Remarks=P-4 aligned to the normalized parent audit; legacy Evidence ID preserved.</x:v>
      </x:c>
      <x:c r="E2933" s="33" t="str">
        <x:v>CORRECT / RECLASSIFY</x:v>
      </x:c>
      <x:c r="F2933" s="33" t="str">
        <x:v>Quarantine inactive descendants and align existing evidence to normalized audits.</x:v>
      </x:c>
      <x:c r="G2933" s="33" t="str">
        <x:v>P-4 execution-chain reconciliation</x:v>
      </x:c>
      <x:c r="H2933" s="33" t="str">
        <x:v>P-4</x:v>
      </x:c>
      <x:c r="I2933" s="33" t="str">
        <x:v>P-4</x:v>
      </x:c>
      <x:c r="J2933" s="33" t="str">
        <x:v>2026-08-20</x:v>
      </x:c>
      <x:c r="K2933" s="33" t="str">
        <x:v>Evidence IDs preserved and aligned.</x:v>
      </x:c>
    </x:row>
    <x:row r="2934">
      <x:c r="A2934" s="33" t="str">
        <x:v>OBS037</x:v>
      </x:c>
      <x:c r="B2934" s="33" t="str">
        <x:v>Observation Master</x:v>
      </x:c>
      <x:c r="C2934" s="33" t="str">
        <x:v>Active=Yes; Remarks=Ensure samples are not mixed with saleable stock.</x:v>
      </x:c>
      <x:c r="D2934" s="33" t="str">
        <x:v>Active=No; Remarks=P-4 QUARANTINED with inactive parent audit; legacy ID retained.</x:v>
      </x:c>
      <x:c r="E2934" s="33" t="str">
        <x:v>CORRECT / RECLASSIFY</x:v>
      </x:c>
      <x:c r="F2934" s="33" t="str">
        <x:v>Quarantine inactive descendants and align existing observations to normalized audits.</x:v>
      </x:c>
      <x:c r="G2934" s="33" t="str">
        <x:v>P-4 execution-chain reconciliation</x:v>
      </x:c>
      <x:c r="H2934" s="33" t="str">
        <x:v>P-4</x:v>
      </x:c>
      <x:c r="I2934" s="33" t="str">
        <x:v>P-4</x:v>
      </x:c>
      <x:c r="J2934" s="33" t="str">
        <x:v>2026-08-20</x:v>
      </x:c>
      <x:c r="K2934" s="33" t="str">
        <x:v>Observation IDs preserved and aligned.</x:v>
      </x:c>
    </x:row>
    <x:row r="2935">
      <x:c r="A2935" s="33" t="str">
        <x:v>OBS038</x:v>
      </x:c>
      <x:c r="B2935" s="33" t="str">
        <x:v>Observation Master</x:v>
      </x:c>
      <x:c r="C2935" s="33" t="str">
        <x:v>Active=Yes; Remarks=Prevent further distribution.</x:v>
      </x:c>
      <x:c r="D2935" s="33" t="str">
        <x:v>Active=No; Remarks=P-4 QUARANTINED with inactive parent audit; legacy ID retained.</x:v>
      </x:c>
      <x:c r="E2935" s="33" t="str">
        <x:v>CORRECT / RECLASSIFY</x:v>
      </x:c>
      <x:c r="F2935" s="33" t="str">
        <x:v>Quarantine inactive descendants and align existing observations to normalized audits.</x:v>
      </x:c>
      <x:c r="G2935" s="33" t="str">
        <x:v>P-4 execution-chain reconciliation</x:v>
      </x:c>
      <x:c r="H2935" s="33" t="str">
        <x:v>P-4</x:v>
      </x:c>
      <x:c r="I2935" s="33" t="str">
        <x:v>P-4</x:v>
      </x:c>
      <x:c r="J2935" s="33" t="str">
        <x:v>2026-08-20</x:v>
      </x:c>
      <x:c r="K2935" s="33" t="str">
        <x:v>Observation IDs preserved and aligned.</x:v>
      </x:c>
    </x:row>
    <x:row r="2936">
      <x:c r="A2936" s="33" t="str">
        <x:v>OBS039</x:v>
      </x:c>
      <x:c r="B2936" s="33" t="str">
        <x:v>Observation Master</x:v>
      </x:c>
      <x:c r="C2936" s="33" t="str">
        <x:v>Active=Yes; Remarks=Ensure records remain retrievable.</x:v>
      </x:c>
      <x:c r="D2936" s="33" t="str">
        <x:v>Active=No; Remarks=P-4 QUARANTINED with inactive parent audit; legacy ID retained.</x:v>
      </x:c>
      <x:c r="E2936" s="33" t="str">
        <x:v>CORRECT / RECLASSIFY</x:v>
      </x:c>
      <x:c r="F2936" s="33" t="str">
        <x:v>Quarantine inactive descendants and align existing observations to normalized audits.</x:v>
      </x:c>
      <x:c r="G2936" s="33" t="str">
        <x:v>P-4 execution-chain reconciliation</x:v>
      </x:c>
      <x:c r="H2936" s="33" t="str">
        <x:v>P-4</x:v>
      </x:c>
      <x:c r="I2936" s="33" t="str">
        <x:v>P-4</x:v>
      </x:c>
      <x:c r="J2936" s="33" t="str">
        <x:v>2026-08-20</x:v>
      </x:c>
      <x:c r="K2936" s="33" t="str">
        <x:v>Observation IDs preserved and aligned.</x:v>
      </x:c>
    </x:row>
    <x:row r="2937">
      <x:c r="A2937" s="33" t="str">
        <x:v>OBS040</x:v>
      </x:c>
      <x:c r="B2937" s="33" t="str">
        <x:v>Observation Master</x:v>
      </x:c>
      <x:c r="C2937" s="33" t="str">
        <x:v>Active=Yes; Remarks=Periodically review user activities.</x:v>
      </x:c>
      <x:c r="D2937" s="33" t="str">
        <x:v>Active=No; Remarks=P-4 QUARANTINED with inactive parent audit; legacy ID retained.</x:v>
      </x:c>
      <x:c r="E2937" s="33" t="str">
        <x:v>CORRECT / RECLASSIFY</x:v>
      </x:c>
      <x:c r="F2937" s="33" t="str">
        <x:v>Quarantine inactive descendants and align existing observations to normalized audits.</x:v>
      </x:c>
      <x:c r="G2937" s="33" t="str">
        <x:v>P-4 execution-chain reconciliation</x:v>
      </x:c>
      <x:c r="H2937" s="33" t="str">
        <x:v>P-4</x:v>
      </x:c>
      <x:c r="I2937" s="33" t="str">
        <x:v>P-4</x:v>
      </x:c>
      <x:c r="J2937" s="33" t="str">
        <x:v>2026-08-20</x:v>
      </x:c>
      <x:c r="K2937" s="33" t="str">
        <x:v>Observation IDs preserved and aligned.</x:v>
      </x:c>
    </x:row>
    <x:row r="2938">
      <x:c r="A2938" s="33" t="str">
        <x:v>OBS146</x:v>
      </x:c>
      <x:c r="B2938" s="33" t="str">
        <x:v>Observation Master</x:v>
      </x:c>
      <x:c r="C2938" s="33" t="str">
        <x:v>Active=Yes; Remarks=Review system logs periodically.</x:v>
      </x:c>
      <x:c r="D2938" s="33" t="str">
        <x:v>Active=No; Remarks=P-4 QUARANTINED with inactive parent audit; legacy ID retained.</x:v>
      </x:c>
      <x:c r="E2938" s="33" t="str">
        <x:v>CORRECT / RECLASSIFY</x:v>
      </x:c>
      <x:c r="F2938" s="33" t="str">
        <x:v>Quarantine inactive descendants and align existing observations to normalized audits.</x:v>
      </x:c>
      <x:c r="G2938" s="33" t="str">
        <x:v>P-4 execution-chain reconciliation</x:v>
      </x:c>
      <x:c r="H2938" s="33" t="str">
        <x:v>P-4</x:v>
      </x:c>
      <x:c r="I2938" s="33" t="str">
        <x:v>P-4</x:v>
      </x:c>
      <x:c r="J2938" s="33" t="str">
        <x:v>2026-08-20</x:v>
      </x:c>
      <x:c r="K2938" s="33" t="str">
        <x:v>Observation IDs preserved and aligned.</x:v>
      </x:c>
    </x:row>
    <x:row r="2939">
      <x:c r="A2939" s="33" t="str">
        <x:v>OBS147</x:v>
      </x:c>
      <x:c r="B2939" s="33" t="str">
        <x:v>Observation Master</x:v>
      </x:c>
      <x:c r="C2939" s="33" t="str">
        <x:v>Active=Yes; Remarks=Verify CAPA effectiveness.</x:v>
      </x:c>
      <x:c r="D2939" s="33" t="str">
        <x:v>Active=No; Remarks=P-4 QUARANTINED with inactive parent audit; legacy ID retained.</x:v>
      </x:c>
      <x:c r="E2939" s="33" t="str">
        <x:v>CORRECT / RECLASSIFY</x:v>
      </x:c>
      <x:c r="F2939" s="33" t="str">
        <x:v>Quarantine inactive descendants and align existing observations to normalized audits.</x:v>
      </x:c>
      <x:c r="G2939" s="33" t="str">
        <x:v>P-4 execution-chain reconciliation</x:v>
      </x:c>
      <x:c r="H2939" s="33" t="str">
        <x:v>P-4</x:v>
      </x:c>
      <x:c r="I2939" s="33" t="str">
        <x:v>P-4</x:v>
      </x:c>
      <x:c r="J2939" s="33" t="str">
        <x:v>2026-08-20</x:v>
      </x:c>
      <x:c r="K2939" s="33" t="str">
        <x:v>Observation IDs preserved and aligned.</x:v>
      </x:c>
    </x:row>
    <x:row r="2940">
      <x:c r="A2940" s="33" t="str">
        <x:v>OBS148</x:v>
      </x:c>
      <x:c r="B2940" s="33" t="str">
        <x:v>Observation Master</x:v>
      </x:c>
      <x:c r="C2940" s="33" t="str">
        <x:v>Active=Yes; Remarks=Retain closure evidence.</x:v>
      </x:c>
      <x:c r="D2940" s="33" t="str">
        <x:v>Active=No; Remarks=P-4 QUARANTINED with inactive parent audit; legacy ID retained.</x:v>
      </x:c>
      <x:c r="E2940" s="33" t="str">
        <x:v>CORRECT / RECLASSIFY</x:v>
      </x:c>
      <x:c r="F2940" s="33" t="str">
        <x:v>Quarantine inactive descendants and align existing observations to normalized audits.</x:v>
      </x:c>
      <x:c r="G2940" s="33" t="str">
        <x:v>P-4 execution-chain reconciliation</x:v>
      </x:c>
      <x:c r="H2940" s="33" t="str">
        <x:v>P-4</x:v>
      </x:c>
      <x:c r="I2940" s="33" t="str">
        <x:v>P-4</x:v>
      </x:c>
      <x:c r="J2940" s="33" t="str">
        <x:v>2026-08-20</x:v>
      </x:c>
      <x:c r="K2940" s="33" t="str">
        <x:v>Observation IDs preserved and aligned.</x:v>
      </x:c>
    </x:row>
    <x:row r="2941">
      <x:c r="A2941" s="33" t="str">
        <x:v>OBS149</x:v>
      </x:c>
      <x:c r="B2941" s="33" t="str">
        <x:v>Observation Master</x:v>
      </x:c>
      <x:c r="C2941" s="33" t="str">
        <x:v>Active=Yes; Remarks=Strengthen governance.</x:v>
      </x:c>
      <x:c r="D2941" s="33" t="str">
        <x:v>Active=No; Remarks=P-4 QUARANTINED with inactive parent audit; legacy ID retained.</x:v>
      </x:c>
      <x:c r="E2941" s="33" t="str">
        <x:v>CORRECT / RECLASSIFY</x:v>
      </x:c>
      <x:c r="F2941" s="33" t="str">
        <x:v>Quarantine inactive descendants and align existing observations to normalized audits.</x:v>
      </x:c>
      <x:c r="G2941" s="33" t="str">
        <x:v>P-4 execution-chain reconciliation</x:v>
      </x:c>
      <x:c r="H2941" s="33" t="str">
        <x:v>P-4</x:v>
      </x:c>
      <x:c r="I2941" s="33" t="str">
        <x:v>P-4</x:v>
      </x:c>
      <x:c r="J2941" s="33" t="str">
        <x:v>2026-08-20</x:v>
      </x:c>
      <x:c r="K2941" s="33" t="str">
        <x:v>Observation IDs preserved and aligned.</x:v>
      </x:c>
    </x:row>
    <x:row r="2942">
      <x:c r="A2942" s="33" t="str">
        <x:v>OBS150</x:v>
      </x:c>
      <x:c r="B2942" s="33" t="str">
        <x:v>Observation Master</x:v>
      </x:c>
      <x:c r="C2942" s="33" t="str">
        <x:v>Active=Yes; Remarks=Enterprise-level observation covering recall and complaint management.</x:v>
      </x:c>
      <x:c r="D2942" s="33" t="str">
        <x:v>Active=No; Remarks=P-4 QUARANTINED with inactive parent audit; legacy ID retained.</x:v>
      </x:c>
      <x:c r="E2942" s="33" t="str">
        <x:v>CORRECT / RECLASSIFY</x:v>
      </x:c>
      <x:c r="F2942" s="33" t="str">
        <x:v>Quarantine inactive descendants and align existing observations to normalized audits.</x:v>
      </x:c>
      <x:c r="G2942" s="33" t="str">
        <x:v>P-4 execution-chain reconciliation</x:v>
      </x:c>
      <x:c r="H2942" s="33" t="str">
        <x:v>P-4</x:v>
      </x:c>
      <x:c r="I2942" s="33" t="str">
        <x:v>P-4</x:v>
      </x:c>
      <x:c r="J2942" s="33" t="str">
        <x:v>2026-08-20</x:v>
      </x:c>
      <x:c r="K2942" s="33" t="str">
        <x:v>Observation IDs preserved and aligned.</x:v>
      </x:c>
    </x:row>
    <x:row r="2943">
      <x:c r="A2943" s="33" t="str">
        <x:v>OBS151</x:v>
      </x:c>
      <x:c r="B2943" s="33" t="str">
        <x:v>Observation Master</x:v>
      </x:c>
      <x:c r="C2943" s="33" t="str">
        <x:v>Active=Yes; Remarks=Segregation errors increase environmental and regulatory risk.</x:v>
      </x:c>
      <x:c r="D2943" s="33" t="str">
        <x:v>Active=No; Remarks=P-4 QUARANTINED with inactive parent audit; legacy ID retained.</x:v>
      </x:c>
      <x:c r="E2943" s="33" t="str">
        <x:v>CORRECT / RECLASSIFY</x:v>
      </x:c>
      <x:c r="F2943" s="33" t="str">
        <x:v>Quarantine inactive descendants and align existing observations to normalized audits.</x:v>
      </x:c>
      <x:c r="G2943" s="33" t="str">
        <x:v>P-4 execution-chain reconciliation</x:v>
      </x:c>
      <x:c r="H2943" s="33" t="str">
        <x:v>P-4</x:v>
      </x:c>
      <x:c r="I2943" s="33" t="str">
        <x:v>P-4</x:v>
      </x:c>
      <x:c r="J2943" s="33" t="str">
        <x:v>2026-08-20</x:v>
      </x:c>
      <x:c r="K2943" s="33" t="str">
        <x:v>Observation IDs preserved and aligned.</x:v>
      </x:c>
    </x:row>
    <x:row r="2944">
      <x:c r="A2944" s="33" t="str">
        <x:v>OBS152</x:v>
      </x:c>
      <x:c r="B2944" s="33" t="str">
        <x:v>Observation Master</x:v>
      </x:c>
      <x:c r="C2944" s="33" t="str">
        <x:v>Active=Yes; Remarks=Prevent environmental contamination and regulatory violations.</x:v>
      </x:c>
      <x:c r="D2944" s="33" t="str">
        <x:v>Active=No; Remarks=P-4 QUARANTINED with inactive parent audit; legacy ID retained.</x:v>
      </x:c>
      <x:c r="E2944" s="33" t="str">
        <x:v>CORRECT / RECLASSIFY</x:v>
      </x:c>
      <x:c r="F2944" s="33" t="str">
        <x:v>Quarantine inactive descendants and align existing observations to normalized audits.</x:v>
      </x:c>
      <x:c r="G2944" s="33" t="str">
        <x:v>P-4 execution-chain reconciliation</x:v>
      </x:c>
      <x:c r="H2944" s="33" t="str">
        <x:v>P-4</x:v>
      </x:c>
      <x:c r="I2944" s="33" t="str">
        <x:v>P-4</x:v>
      </x:c>
      <x:c r="J2944" s="33" t="str">
        <x:v>2026-08-20</x:v>
      </x:c>
      <x:c r="K2944" s="33" t="str">
        <x:v>Observation IDs preserved and aligned.</x:v>
      </x:c>
    </x:row>
    <x:row r="2945">
      <x:c r="A2945" s="33" t="str">
        <x:v>OBS153</x:v>
      </x:c>
      <x:c r="B2945" s="33" t="str">
        <x:v>Observation Master</x:v>
      </x:c>
      <x:c r="C2945" s="33" t="str">
        <x:v>Active=Yes; Remarks=Reduce contamination risk.</x:v>
      </x:c>
      <x:c r="D2945" s="33" t="str">
        <x:v>Active=No; Remarks=P-4 QUARANTINED with inactive parent audit; legacy ID retained.</x:v>
      </x:c>
      <x:c r="E2945" s="33" t="str">
        <x:v>CORRECT / RECLASSIFY</x:v>
      </x:c>
      <x:c r="F2945" s="33" t="str">
        <x:v>Quarantine inactive descendants and align existing observations to normalized audits.</x:v>
      </x:c>
      <x:c r="G2945" s="33" t="str">
        <x:v>P-4 execution-chain reconciliation</x:v>
      </x:c>
      <x:c r="H2945" s="33" t="str">
        <x:v>P-4</x:v>
      </x:c>
      <x:c r="I2945" s="33" t="str">
        <x:v>P-4</x:v>
      </x:c>
      <x:c r="J2945" s="33" t="str">
        <x:v>2026-08-20</x:v>
      </x:c>
      <x:c r="K2945" s="33" t="str">
        <x:v>Observation IDs preserved and aligned.</x:v>
      </x:c>
    </x:row>
    <x:row r="2946">
      <x:c r="A2946" s="33" t="str">
        <x:v>OBS154</x:v>
      </x:c>
      <x:c r="B2946" s="33" t="str">
        <x:v>Observation Master</x:v>
      </x:c>
      <x:c r="C2946" s="33" t="str">
        <x:v>Active=Yes; Remarks=Regulatory requirement.</x:v>
      </x:c>
      <x:c r="D2946" s="33" t="str">
        <x:v>Active=No; Remarks=P-4 QUARANTINED with inactive parent audit; legacy ID retained.</x:v>
      </x:c>
      <x:c r="E2946" s="33" t="str">
        <x:v>CORRECT / RECLASSIFY</x:v>
      </x:c>
      <x:c r="F2946" s="33" t="str">
        <x:v>Quarantine inactive descendants and align existing observations to normalized audits.</x:v>
      </x:c>
      <x:c r="G2946" s="33" t="str">
        <x:v>P-4 execution-chain reconciliation</x:v>
      </x:c>
      <x:c r="H2946" s="33" t="str">
        <x:v>P-4</x:v>
      </x:c>
      <x:c r="I2946" s="33" t="str">
        <x:v>P-4</x:v>
      </x:c>
      <x:c r="J2946" s="33" t="str">
        <x:v>2026-08-20</x:v>
      </x:c>
      <x:c r="K2946" s="33" t="str">
        <x:v>Observation IDs preserved and aligned.</x:v>
      </x:c>
    </x:row>
    <x:row r="2947">
      <x:c r="A2947" s="33" t="str">
        <x:v>OBS155</x:v>
      </x:c>
      <x:c r="B2947" s="33" t="str">
        <x:v>Observation Master</x:v>
      </x:c>
      <x:c r="C2947" s="33" t="str">
        <x:v>Active=Yes; Remarks=Supports regulatory inspections.</x:v>
      </x:c>
      <x:c r="D2947" s="33" t="str">
        <x:v>Active=No; Remarks=P-4 QUARANTINED with inactive parent audit; legacy ID retained.</x:v>
      </x:c>
      <x:c r="E2947" s="33" t="str">
        <x:v>CORRECT / RECLASSIFY</x:v>
      </x:c>
      <x:c r="F2947" s="33" t="str">
        <x:v>Quarantine inactive descendants and align existing observations to normalized audits.</x:v>
      </x:c>
      <x:c r="G2947" s="33" t="str">
        <x:v>P-4 execution-chain reconciliation</x:v>
      </x:c>
      <x:c r="H2947" s="33" t="str">
        <x:v>P-4</x:v>
      </x:c>
      <x:c r="I2947" s="33" t="str">
        <x:v>P-4</x:v>
      </x:c>
      <x:c r="J2947" s="33" t="str">
        <x:v>2026-08-20</x:v>
      </x:c>
      <x:c r="K2947" s="33" t="str">
        <x:v>Observation IDs preserved and aligned.</x:v>
      </x:c>
    </x:row>
    <x:row r="2948">
      <x:c r="A2948" s="33" t="str">
        <x:v>OBS156</x:v>
      </x:c>
      <x:c r="B2948" s="33" t="str">
        <x:v>Observation Master</x:v>
      </x:c>
      <x:c r="C2948" s="33" t="str">
        <x:v>Active=Yes; Remarks=Prevent unauthorized access.</x:v>
      </x:c>
      <x:c r="D2948" s="33" t="str">
        <x:v>Active=No; Remarks=P-4 QUARANTINED with inactive parent audit; legacy ID retained.</x:v>
      </x:c>
      <x:c r="E2948" s="33" t="str">
        <x:v>CORRECT / RECLASSIFY</x:v>
      </x:c>
      <x:c r="F2948" s="33" t="str">
        <x:v>Quarantine inactive descendants and align existing observations to normalized audits.</x:v>
      </x:c>
      <x:c r="G2948" s="33" t="str">
        <x:v>P-4 execution-chain reconciliation</x:v>
      </x:c>
      <x:c r="H2948" s="33" t="str">
        <x:v>P-4</x:v>
      </x:c>
      <x:c r="I2948" s="33" t="str">
        <x:v>P-4</x:v>
      </x:c>
      <x:c r="J2948" s="33" t="str">
        <x:v>2026-08-20</x:v>
      </x:c>
      <x:c r="K2948" s="33" t="str">
        <x:v>Observation IDs preserved and aligned.</x:v>
      </x:c>
    </x:row>
    <x:row r="2949">
      <x:c r="A2949" s="33" t="str">
        <x:v>OBS157</x:v>
      </x:c>
      <x:c r="B2949" s="33" t="str">
        <x:v>Observation Master</x:v>
      </x:c>
      <x:c r="C2949" s="33" t="str">
        <x:v>Active=Yes; Remarks=Maintain safe waste handling.</x:v>
      </x:c>
      <x:c r="D2949" s="33" t="str">
        <x:v>Active=No; Remarks=P-4 QUARANTINED with inactive parent audit; legacy ID retained.</x:v>
      </x:c>
      <x:c r="E2949" s="33" t="str">
        <x:v>CORRECT / RECLASSIFY</x:v>
      </x:c>
      <x:c r="F2949" s="33" t="str">
        <x:v>Quarantine inactive descendants and align existing observations to normalized audits.</x:v>
      </x:c>
      <x:c r="G2949" s="33" t="str">
        <x:v>P-4 execution-chain reconciliation</x:v>
      </x:c>
      <x:c r="H2949" s="33" t="str">
        <x:v>P-4</x:v>
      </x:c>
      <x:c r="I2949" s="33" t="str">
        <x:v>P-4</x:v>
      </x:c>
      <x:c r="J2949" s="33" t="str">
        <x:v>2026-08-20</x:v>
      </x:c>
      <x:c r="K2949" s="33" t="str">
        <x:v>Observation IDs preserved and aligned.</x:v>
      </x:c>
    </x:row>
    <x:row r="2950">
      <x:c r="A2950" s="33" t="str">
        <x:v>OBS158</x:v>
      </x:c>
      <x:c r="B2950" s="33" t="str">
        <x:v>Observation Master</x:v>
      </x:c>
      <x:c r="C2950" s="33" t="str">
        <x:v>Active=Yes; Remarks=Mandatory regulatory control.</x:v>
      </x:c>
      <x:c r="D2950" s="33" t="str">
        <x:v>Active=No; Remarks=P-4 QUARANTINED with inactive parent audit; legacy ID retained.</x:v>
      </x:c>
      <x:c r="E2950" s="33" t="str">
        <x:v>CORRECT / RECLASSIFY</x:v>
      </x:c>
      <x:c r="F2950" s="33" t="str">
        <x:v>Quarantine inactive descendants and align existing observations to normalized audits.</x:v>
      </x:c>
      <x:c r="G2950" s="33" t="str">
        <x:v>P-4 execution-chain reconciliation</x:v>
      </x:c>
      <x:c r="H2950" s="33" t="str">
        <x:v>P-4</x:v>
      </x:c>
      <x:c r="I2950" s="33" t="str">
        <x:v>P-4</x:v>
      </x:c>
      <x:c r="J2950" s="33" t="str">
        <x:v>2026-08-20</x:v>
      </x:c>
      <x:c r="K2950" s="33" t="str">
        <x:v>Observation IDs preserved and aligned.</x:v>
      </x:c>
    </x:row>
    <x:row r="2951">
      <x:c r="A2951" s="33" t="str">
        <x:v>OBS159</x:v>
      </x:c>
      <x:c r="B2951" s="33" t="str">
        <x:v>Observation Master</x:v>
      </x:c>
      <x:c r="C2951" s="33" t="str">
        <x:v>Active=Yes; Remarks=Reinforce safe handling practices.</x:v>
      </x:c>
      <x:c r="D2951" s="33" t="str">
        <x:v>Active=No; Remarks=P-4 QUARANTINED with inactive parent audit; legacy ID retained.</x:v>
      </x:c>
      <x:c r="E2951" s="33" t="str">
        <x:v>CORRECT / RECLASSIFY</x:v>
      </x:c>
      <x:c r="F2951" s="33" t="str">
        <x:v>Quarantine inactive descendants and align existing observations to normalized audits.</x:v>
      </x:c>
      <x:c r="G2951" s="33" t="str">
        <x:v>P-4 execution-chain reconciliation</x:v>
      </x:c>
      <x:c r="H2951" s="33" t="str">
        <x:v>P-4</x:v>
      </x:c>
      <x:c r="I2951" s="33" t="str">
        <x:v>P-4</x:v>
      </x:c>
      <x:c r="J2951" s="33" t="str">
        <x:v>2026-08-20</x:v>
      </x:c>
      <x:c r="K2951" s="33" t="str">
        <x:v>Observation IDs preserved and aligned.</x:v>
      </x:c>
    </x:row>
    <x:row r="2952">
      <x:c r="A2952" s="33" t="str">
        <x:v>OBS160</x:v>
      </x:c>
      <x:c r="B2952" s="33" t="str">
        <x:v>Observation Master</x:v>
      </x:c>
      <x:c r="C2952" s="33" t="str">
        <x:v>Active=Yes; Remarks=Supports occupational safety.</x:v>
      </x:c>
      <x:c r="D2952" s="33" t="str">
        <x:v>Active=No; Remarks=P-4 QUARANTINED with inactive parent audit; legacy ID retained.</x:v>
      </x:c>
      <x:c r="E2952" s="33" t="str">
        <x:v>CORRECT / RECLASSIFY</x:v>
      </x:c>
      <x:c r="F2952" s="33" t="str">
        <x:v>Quarantine inactive descendants and align existing observations to normalized audits.</x:v>
      </x:c>
      <x:c r="G2952" s="33" t="str">
        <x:v>P-4 execution-chain reconciliation</x:v>
      </x:c>
      <x:c r="H2952" s="33" t="str">
        <x:v>P-4</x:v>
      </x:c>
      <x:c r="I2952" s="33" t="str">
        <x:v>P-4</x:v>
      </x:c>
      <x:c r="J2952" s="33" t="str">
        <x:v>2026-08-20</x:v>
      </x:c>
      <x:c r="K2952" s="33" t="str">
        <x:v>Observation IDs preserved and aligned.</x:v>
      </x:c>
    </x:row>
    <x:row r="2953">
      <x:c r="A2953" s="33" t="str">
        <x:v>OBS161</x:v>
      </x:c>
      <x:c r="B2953" s="33" t="str">
        <x:v>Observation Master</x:v>
      </x:c>
      <x:c r="C2953" s="33" t="str">
        <x:v>Active=Yes; Remarks=Monitor recurring incidents.</x:v>
      </x:c>
      <x:c r="D2953" s="33" t="str">
        <x:v>Active=No; Remarks=P-4 QUARANTINED with inactive parent audit; legacy ID retained.</x:v>
      </x:c>
      <x:c r="E2953" s="33" t="str">
        <x:v>CORRECT / RECLASSIFY</x:v>
      </x:c>
      <x:c r="F2953" s="33" t="str">
        <x:v>Quarantine inactive descendants and align existing observations to normalized audits.</x:v>
      </x:c>
      <x:c r="G2953" s="33" t="str">
        <x:v>P-4 execution-chain reconciliation</x:v>
      </x:c>
      <x:c r="H2953" s="33" t="str">
        <x:v>P-4</x:v>
      </x:c>
      <x:c r="I2953" s="33" t="str">
        <x:v>P-4</x:v>
      </x:c>
      <x:c r="J2953" s="33" t="str">
        <x:v>2026-08-20</x:v>
      </x:c>
      <x:c r="K2953" s="33" t="str">
        <x:v>Observation IDs preserved and aligned.</x:v>
      </x:c>
    </x:row>
    <x:row r="2954">
      <x:c r="A2954" s="33" t="str">
        <x:v>OBS170</x:v>
      </x:c>
      <x:c r="B2954" s="33" t="str">
        <x:v>Observation Master</x:v>
      </x:c>
      <x:c r="C2954" s="33" t="str">
        <x:v>Active=Yes; Remarks=Review emergency preparedness annually.</x:v>
      </x:c>
      <x:c r="D2954" s="33" t="str">
        <x:v>Active=No; Remarks=P-4 QUARANTINED with inactive parent audit; legacy ID retained.</x:v>
      </x:c>
      <x:c r="E2954" s="33" t="str">
        <x:v>CORRECT / RECLASSIFY</x:v>
      </x:c>
      <x:c r="F2954" s="33" t="str">
        <x:v>Quarantine inactive descendants and align existing observations to normalized audits.</x:v>
      </x:c>
      <x:c r="G2954" s="33" t="str">
        <x:v>P-4 execution-chain reconciliation</x:v>
      </x:c>
      <x:c r="H2954" s="33" t="str">
        <x:v>P-4</x:v>
      </x:c>
      <x:c r="I2954" s="33" t="str">
        <x:v>P-4</x:v>
      </x:c>
      <x:c r="J2954" s="33" t="str">
        <x:v>2026-08-20</x:v>
      </x:c>
      <x:c r="K2954" s="33" t="str">
        <x:v>Observation IDs preserved and aligned.</x:v>
      </x:c>
    </x:row>
    <x:row r="2955">
      <x:c r="A2955" s="33" t="str">
        <x:v>OBS171</x:v>
      </x:c>
      <x:c r="B2955" s="33" t="str">
        <x:v>Observation Master</x:v>
      </x:c>
      <x:c r="C2955" s="33" t="str">
        <x:v>Active=Yes; Remarks=Strengthen governance.</x:v>
      </x:c>
      <x:c r="D2955" s="33" t="str">
        <x:v>Active=No; Remarks=P-4 QUARANTINED with inactive parent audit; legacy ID retained.</x:v>
      </x:c>
      <x:c r="E2955" s="33" t="str">
        <x:v>CORRECT / RECLASSIFY</x:v>
      </x:c>
      <x:c r="F2955" s="33" t="str">
        <x:v>Quarantine inactive descendants and align existing observations to normalized audits.</x:v>
      </x:c>
      <x:c r="G2955" s="33" t="str">
        <x:v>P-4 execution-chain reconciliation</x:v>
      </x:c>
      <x:c r="H2955" s="33" t="str">
        <x:v>P-4</x:v>
      </x:c>
      <x:c r="I2955" s="33" t="str">
        <x:v>P-4</x:v>
      </x:c>
      <x:c r="J2955" s="33" t="str">
        <x:v>2026-08-20</x:v>
      </x:c>
      <x:c r="K2955" s="33" t="str">
        <x:v>Observation IDs preserved and aligned.</x:v>
      </x:c>
    </x:row>
    <x:row r="2956">
      <x:c r="A2956" s="33" t="str">
        <x:v>OBS172</x:v>
      </x:c>
      <x:c r="B2956" s="33" t="str">
        <x:v>Observation Master</x:v>
      </x:c>
      <x:c r="C2956" s="33" t="str">
        <x:v>Active=Yes; Remarks=Protect data integrity.</x:v>
      </x:c>
      <x:c r="D2956" s="33" t="str">
        <x:v>Active=No; Remarks=P-4 QUARANTINED with inactive parent audit; legacy ID retained.</x:v>
      </x:c>
      <x:c r="E2956" s="33" t="str">
        <x:v>CORRECT / RECLASSIFY</x:v>
      </x:c>
      <x:c r="F2956" s="33" t="str">
        <x:v>Quarantine inactive descendants and align existing observations to normalized audits.</x:v>
      </x:c>
      <x:c r="G2956" s="33" t="str">
        <x:v>P-4 execution-chain reconciliation</x:v>
      </x:c>
      <x:c r="H2956" s="33" t="str">
        <x:v>P-4</x:v>
      </x:c>
      <x:c r="I2956" s="33" t="str">
        <x:v>P-4</x:v>
      </x:c>
      <x:c r="J2956" s="33" t="str">
        <x:v>2026-08-20</x:v>
      </x:c>
      <x:c r="K2956" s="33" t="str">
        <x:v>Observation IDs preserved and aligned.</x:v>
      </x:c>
    </x:row>
    <x:row r="2957">
      <x:c r="A2957" s="33" t="str">
        <x:v>OBS173</x:v>
      </x:c>
      <x:c r="B2957" s="33" t="str">
        <x:v>Observation Master</x:v>
      </x:c>
      <x:c r="C2957" s="33" t="str">
        <x:v>Active=Yes; Remarks=Include environmental compliance in audit plans.</x:v>
      </x:c>
      <x:c r="D2957" s="33" t="str">
        <x:v>Active=No; Remarks=P-4 QUARANTINED with inactive parent audit; legacy ID retained.</x:v>
      </x:c>
      <x:c r="E2957" s="33" t="str">
        <x:v>CORRECT / RECLASSIFY</x:v>
      </x:c>
      <x:c r="F2957" s="33" t="str">
        <x:v>Quarantine inactive descendants and align existing observations to normalized audits.</x:v>
      </x:c>
      <x:c r="G2957" s="33" t="str">
        <x:v>P-4 execution-chain reconciliation</x:v>
      </x:c>
      <x:c r="H2957" s="33" t="str">
        <x:v>P-4</x:v>
      </x:c>
      <x:c r="I2957" s="33" t="str">
        <x:v>P-4</x:v>
      </x:c>
      <x:c r="J2957" s="33" t="str">
        <x:v>2026-08-20</x:v>
      </x:c>
      <x:c r="K2957" s="33" t="str">
        <x:v>Observation IDs preserved and aligned.</x:v>
      </x:c>
    </x:row>
    <x:row r="2958">
      <x:c r="A2958" s="33" t="str">
        <x:v>OBS174</x:v>
      </x:c>
      <x:c r="B2958" s="33" t="str">
        <x:v>Observation Master</x:v>
      </x:c>
      <x:c r="C2958" s="33" t="str">
        <x:v>Active=Yes; Remarks=Periodically review outstanding actions.</x:v>
      </x:c>
      <x:c r="D2958" s="33" t="str">
        <x:v>Active=No; Remarks=P-4 QUARANTINED with inactive parent audit; legacy ID retained.</x:v>
      </x:c>
      <x:c r="E2958" s="33" t="str">
        <x:v>CORRECT / RECLASSIFY</x:v>
      </x:c>
      <x:c r="F2958" s="33" t="str">
        <x:v>Quarantine inactive descendants and align existing observations to normalized audits.</x:v>
      </x:c>
      <x:c r="G2958" s="33" t="str">
        <x:v>P-4 execution-chain reconciliation</x:v>
      </x:c>
      <x:c r="H2958" s="33" t="str">
        <x:v>P-4</x:v>
      </x:c>
      <x:c r="I2958" s="33" t="str">
        <x:v>P-4</x:v>
      </x:c>
      <x:c r="J2958" s="33" t="str">
        <x:v>2026-08-20</x:v>
      </x:c>
      <x:c r="K2958" s="33" t="str">
        <x:v>Observation IDs preserved and aligned.</x:v>
      </x:c>
    </x:row>
    <x:row r="2959">
      <x:c r="A2959" s="33" t="str">
        <x:v>OBS175</x:v>
      </x:c>
      <x:c r="B2959" s="33" t="str">
        <x:v>Observation Master</x:v>
      </x:c>
      <x:c r="C2959" s="33" t="str">
        <x:v>Active=Yes; Remarks=Enterprise-level waste management observation.</x:v>
      </x:c>
      <x:c r="D2959" s="33" t="str">
        <x:v>Active=No; Remarks=P-4 QUARANTINED with inactive parent audit; legacy ID retained.</x:v>
      </x:c>
      <x:c r="E2959" s="33" t="str">
        <x:v>CORRECT / RECLASSIFY</x:v>
      </x:c>
      <x:c r="F2959" s="33" t="str">
        <x:v>Quarantine inactive descendants and align existing observations to normalized audits.</x:v>
      </x:c>
      <x:c r="G2959" s="33" t="str">
        <x:v>P-4 execution-chain reconciliation</x:v>
      </x:c>
      <x:c r="H2959" s="33" t="str">
        <x:v>P-4</x:v>
      </x:c>
      <x:c r="I2959" s="33" t="str">
        <x:v>P-4</x:v>
      </x:c>
      <x:c r="J2959" s="33" t="str">
        <x:v>2026-08-20</x:v>
      </x:c>
      <x:c r="K2959" s="33" t="str">
        <x:v>Observation IDs preserved and aligned.</x:v>
      </x:c>
    </x:row>
    <x:row r="2960">
      <x:c r="A2960" s="33" t="str">
        <x:v>OBS201</x:v>
      </x:c>
      <x:c r="B2960" s="33" t="str">
        <x:v>Observation Master</x:v>
      </x:c>
      <x:c r="C2960" s="33" t="str">
        <x:v>Active=Yes; Remarks=Only approved SOPs should be used.</x:v>
      </x:c>
      <x:c r="D2960" s="33" t="str">
        <x:v>Active=No; Remarks=P-4 QUARANTINED with inactive parent audit; legacy ID retained.</x:v>
      </x:c>
      <x:c r="E2960" s="33" t="str">
        <x:v>CORRECT / RECLASSIFY</x:v>
      </x:c>
      <x:c r="F2960" s="33" t="str">
        <x:v>Quarantine inactive descendants and align existing observations to normalized audits.</x:v>
      </x:c>
      <x:c r="G2960" s="33" t="str">
        <x:v>P-4 execution-chain reconciliation</x:v>
      </x:c>
      <x:c r="H2960" s="33" t="str">
        <x:v>P-4</x:v>
      </x:c>
      <x:c r="I2960" s="33" t="str">
        <x:v>P-4</x:v>
      </x:c>
      <x:c r="J2960" s="33" t="str">
        <x:v>2026-08-20</x:v>
      </x:c>
      <x:c r="K2960" s="33" t="str">
        <x:v>Observation IDs preserved and aligned.</x:v>
      </x:c>
    </x:row>
    <x:row r="2961">
      <x:c r="A2961" s="33" t="str">
        <x:v>OBS202</x:v>
      </x:c>
      <x:c r="B2961" s="33" t="str">
        <x:v>Observation Master</x:v>
      </x:c>
      <x:c r="C2961" s="33" t="str">
        <x:v>Active=Yes; Remarks=Track upcoming review dates.</x:v>
      </x:c>
      <x:c r="D2961" s="33" t="str">
        <x:v>Active=No; Remarks=P-4 QUARANTINED with inactive parent audit; legacy ID retained.</x:v>
      </x:c>
      <x:c r="E2961" s="33" t="str">
        <x:v>CORRECT / RECLASSIFY</x:v>
      </x:c>
      <x:c r="F2961" s="33" t="str">
        <x:v>Quarantine inactive descendants and align existing observations to normalized audits.</x:v>
      </x:c>
      <x:c r="G2961" s="33" t="str">
        <x:v>P-4 execution-chain reconciliation</x:v>
      </x:c>
      <x:c r="H2961" s="33" t="str">
        <x:v>P-4</x:v>
      </x:c>
      <x:c r="I2961" s="33" t="str">
        <x:v>P-4</x:v>
      </x:c>
      <x:c r="J2961" s="33" t="str">
        <x:v>2026-08-20</x:v>
      </x:c>
      <x:c r="K2961" s="33" t="str">
        <x:v>Observation IDs preserved and aligned.</x:v>
      </x:c>
    </x:row>
    <x:row r="2962">
      <x:c r="A2962" s="33" t="str">
        <x:v>OBS203</x:v>
      </x:c>
      <x:c r="B2962" s="33" t="str">
        <x:v>Observation Master</x:v>
      </x:c>
      <x:c r="C2962" s="33" t="str">
        <x:v>Active=Yes; Remarks=Verify document availability periodically.</x:v>
      </x:c>
      <x:c r="D2962" s="33" t="str">
        <x:v>Active=No; Remarks=P-4 QUARANTINED with inactive parent audit; legacy ID retained.</x:v>
      </x:c>
      <x:c r="E2962" s="33" t="str">
        <x:v>CORRECT / RECLASSIFY</x:v>
      </x:c>
      <x:c r="F2962" s="33" t="str">
        <x:v>Quarantine inactive descendants and align existing observations to normalized audits.</x:v>
      </x:c>
      <x:c r="G2962" s="33" t="str">
        <x:v>P-4 execution-chain reconciliation</x:v>
      </x:c>
      <x:c r="H2962" s="33" t="str">
        <x:v>P-4</x:v>
      </x:c>
      <x:c r="I2962" s="33" t="str">
        <x:v>P-4</x:v>
      </x:c>
      <x:c r="J2962" s="33" t="str">
        <x:v>2026-08-20</x:v>
      </x:c>
      <x:c r="K2962" s="33" t="str">
        <x:v>Observation IDs preserved and aligned.</x:v>
      </x:c>
    </x:row>
    <x:row r="2963">
      <x:c r="A2963" s="33" t="str">
        <x:v>OBS204</x:v>
      </x:c>
      <x:c r="B2963" s="33" t="str">
        <x:v>Observation Master</x:v>
      </x:c>
      <x:c r="C2963" s="33" t="str">
        <x:v>Active=Yes; Remarks=Maintain document withdrawal records.</x:v>
      </x:c>
      <x:c r="D2963" s="33" t="str">
        <x:v>Active=No; Remarks=P-4 QUARANTINED with inactive parent audit; legacy ID retained.</x:v>
      </x:c>
      <x:c r="E2963" s="33" t="str">
        <x:v>CORRECT / RECLASSIFY</x:v>
      </x:c>
      <x:c r="F2963" s="33" t="str">
        <x:v>Quarantine inactive descendants and align existing observations to normalized audits.</x:v>
      </x:c>
      <x:c r="G2963" s="33" t="str">
        <x:v>P-4 execution-chain reconciliation</x:v>
      </x:c>
      <x:c r="H2963" s="33" t="str">
        <x:v>P-4</x:v>
      </x:c>
      <x:c r="I2963" s="33" t="str">
        <x:v>P-4</x:v>
      </x:c>
      <x:c r="J2963" s="33" t="str">
        <x:v>2026-08-20</x:v>
      </x:c>
      <x:c r="K2963" s="33" t="str">
        <x:v>Observation IDs preserved and aligned.</x:v>
      </x:c>
    </x:row>
    <x:row r="2964">
      <x:c r="A2964" s="33" t="str">
        <x:v>OBS205</x:v>
      </x:c>
      <x:c r="B2964" s="33" t="str">
        <x:v>Observation Master</x:v>
      </x:c>
      <x:c r="C2964" s="33" t="str">
        <x:v>Active=Yes; Remarks=Reinforce awareness through refresher sessions.</x:v>
      </x:c>
      <x:c r="D2964" s="33" t="str">
        <x:v>Active=No; Remarks=P-4 QUARANTINED with inactive parent audit; legacy ID retained.</x:v>
      </x:c>
      <x:c r="E2964" s="33" t="str">
        <x:v>CORRECT / RECLASSIFY</x:v>
      </x:c>
      <x:c r="F2964" s="33" t="str">
        <x:v>Quarantine inactive descendants and align existing observations to normalized audits.</x:v>
      </x:c>
      <x:c r="G2964" s="33" t="str">
        <x:v>P-4 execution-chain reconciliation</x:v>
      </x:c>
      <x:c r="H2964" s="33" t="str">
        <x:v>P-4</x:v>
      </x:c>
      <x:c r="I2964" s="33" t="str">
        <x:v>P-4</x:v>
      </x:c>
      <x:c r="J2964" s="33" t="str">
        <x:v>2026-08-20</x:v>
      </x:c>
      <x:c r="K2964" s="33" t="str">
        <x:v>Observation IDs preserved and aligned.</x:v>
      </x:c>
    </x:row>
    <x:row r="2965">
      <x:c r="A2965" s="33" t="str">
        <x:v>OBS206</x:v>
      </x:c>
      <x:c r="B2965" s="33" t="str">
        <x:v>Observation Master</x:v>
      </x:c>
      <x:c r="C2965" s="33" t="str">
        <x:v>Active=Yes; Remarks=Maintain a document master list.</x:v>
      </x:c>
      <x:c r="D2965" s="33" t="str">
        <x:v>Active=No; Remarks=P-4 QUARANTINED with inactive parent audit; legacy ID retained.</x:v>
      </x:c>
      <x:c r="E2965" s="33" t="str">
        <x:v>CORRECT / RECLASSIFY</x:v>
      </x:c>
      <x:c r="F2965" s="33" t="str">
        <x:v>Quarantine inactive descendants and align existing observations to normalized audits.</x:v>
      </x:c>
      <x:c r="G2965" s="33" t="str">
        <x:v>P-4 execution-chain reconciliation</x:v>
      </x:c>
      <x:c r="H2965" s="33" t="str">
        <x:v>P-4</x:v>
      </x:c>
      <x:c r="I2965" s="33" t="str">
        <x:v>P-4</x:v>
      </x:c>
      <x:c r="J2965" s="33" t="str">
        <x:v>2026-08-20</x:v>
      </x:c>
      <x:c r="K2965" s="33" t="str">
        <x:v>Observation IDs preserved and aligned.</x:v>
      </x:c>
    </x:row>
    <x:row r="2966">
      <x:c r="A2966" s="33" t="str">
        <x:v>OBS207</x:v>
      </x:c>
      <x:c r="B2966" s="33" t="str">
        <x:v>Observation Master</x:v>
      </x:c>
      <x:c r="C2966" s="33" t="str">
        <x:v>Active=Yes; Remarks=Review periodically.</x:v>
      </x:c>
      <x:c r="D2966" s="33" t="str">
        <x:v>Active=No; Remarks=P-4 QUARANTINED with inactive parent audit; legacy ID retained.</x:v>
      </x:c>
      <x:c r="E2966" s="33" t="str">
        <x:v>CORRECT / RECLASSIFY</x:v>
      </x:c>
      <x:c r="F2966" s="33" t="str">
        <x:v>Quarantine inactive descendants and align existing observations to normalized audits.</x:v>
      </x:c>
      <x:c r="G2966" s="33" t="str">
        <x:v>P-4 execution-chain reconciliation</x:v>
      </x:c>
      <x:c r="H2966" s="33" t="str">
        <x:v>P-4</x:v>
      </x:c>
      <x:c r="I2966" s="33" t="str">
        <x:v>P-4</x:v>
      </x:c>
      <x:c r="J2966" s="33" t="str">
        <x:v>2026-08-20</x:v>
      </x:c>
      <x:c r="K2966" s="33" t="str">
        <x:v>Observation IDs preserved and aligned.</x:v>
      </x:c>
    </x:row>
    <x:row r="2967">
      <x:c r="A2967" s="33" t="str">
        <x:v>OBS208</x:v>
      </x:c>
      <x:c r="B2967" s="33" t="str">
        <x:v>Observation Master</x:v>
      </x:c>
      <x:c r="C2967" s="33" t="str">
        <x:v>Active=Yes; Remarks=Strengthen document security.</x:v>
      </x:c>
      <x:c r="D2967" s="33" t="str">
        <x:v>Active=No; Remarks=P-4 QUARANTINED with inactive parent audit; legacy ID retained.</x:v>
      </x:c>
      <x:c r="E2967" s="33" t="str">
        <x:v>CORRECT / RECLASSIFY</x:v>
      </x:c>
      <x:c r="F2967" s="33" t="str">
        <x:v>Quarantine inactive descendants and align existing observations to normalized audits.</x:v>
      </x:c>
      <x:c r="G2967" s="33" t="str">
        <x:v>P-4 execution-chain reconciliation</x:v>
      </x:c>
      <x:c r="H2967" s="33" t="str">
        <x:v>P-4</x:v>
      </x:c>
      <x:c r="I2967" s="33" t="str">
        <x:v>P-4</x:v>
      </x:c>
      <x:c r="J2967" s="33" t="str">
        <x:v>2026-08-20</x:v>
      </x:c>
      <x:c r="K2967" s="33" t="str">
        <x:v>Observation IDs preserved and aligned.</x:v>
      </x:c>
    </x:row>
    <x:row r="2968">
      <x:c r="A2968" s="33" t="str">
        <x:v>OBS209</x:v>
      </x:c>
      <x:c r="B2968" s="33" t="str">
        <x:v>Observation Master</x:v>
      </x:c>
      <x:c r="C2968" s="33" t="str">
        <x:v>Active=Yes; Remarks=Ensure contemporaneous documentation.</x:v>
      </x:c>
      <x:c r="D2968" s="33" t="str">
        <x:v>Active=No; Remarks=P-4 QUARANTINED with inactive parent audit; legacy ID retained.</x:v>
      </x:c>
      <x:c r="E2968" s="33" t="str">
        <x:v>CORRECT / RECLASSIFY</x:v>
      </x:c>
      <x:c r="F2968" s="33" t="str">
        <x:v>Quarantine inactive descendants and align existing observations to normalized audits.</x:v>
      </x:c>
      <x:c r="G2968" s="33" t="str">
        <x:v>P-4 execution-chain reconciliation</x:v>
      </x:c>
      <x:c r="H2968" s="33" t="str">
        <x:v>P-4</x:v>
      </x:c>
      <x:c r="I2968" s="33" t="str">
        <x:v>P-4</x:v>
      </x:c>
      <x:c r="J2968" s="33" t="str">
        <x:v>2026-08-20</x:v>
      </x:c>
      <x:c r="K2968" s="33" t="str">
        <x:v>Observation IDs preserved and aligned.</x:v>
      </x:c>
    </x:row>
    <x:row r="2969">
      <x:c r="A2969" s="33" t="str">
        <x:v>OBS081</x:v>
      </x:c>
      <x:c r="B2969" s="33" t="str">
        <x:v>Observation Master</x:v>
      </x:c>
      <x:c r="C2969" s="33" t="str">
        <x:v>Observation Template=Schedule H1 register was incomplete, inaccurate, or not maintained.; Risk Level=Critical; Recommendation=Maintain the Schedule H1 register contemporaneously with complete statutory particulars.; Observation Category=Prescription; Remarks=Mandatory statutory register.</x:v>
      </x:c>
      <x:c r="D2969" s="33" t="str">
        <x:v>Observation Template=Design consumer-facing sale and service practices to avoid unfair trade practices and respect the statutory consumer-rights baseline. was not demonstrated or did not operate effectively for the sample tested.; Risk Level=High; Recommendation=Implement the requirement, assign ownership, correct affected records or transactions, and retain evidence of operating effectiveness: Design consumer-facing sale and service practices to avoid unfair trade practices and respect the statutory consumer-rights baseline.; Observation Category=CA062; Remarks=P-4 aligned to the normalized parent audit; legacy Observation ID preserved.</x:v>
      </x:c>
      <x:c r="E2969" s="33" t="str">
        <x:v>CORRECT / RECLASSIFY</x:v>
      </x:c>
      <x:c r="F2969" s="33" t="str">
        <x:v>Quarantine inactive descendants and align existing observations to normalized audits.</x:v>
      </x:c>
      <x:c r="G2969" s="33" t="str">
        <x:v>P-4 execution-chain reconciliation</x:v>
      </x:c>
      <x:c r="H2969" s="33" t="str">
        <x:v>P-4</x:v>
      </x:c>
      <x:c r="I2969" s="33" t="str">
        <x:v>P-4</x:v>
      </x:c>
      <x:c r="J2969" s="33" t="str">
        <x:v>2026-08-20</x:v>
      </x:c>
      <x:c r="K2969" s="33" t="str">
        <x:v>Observation IDs preserved and aligned.</x:v>
      </x:c>
    </x:row>
    <x:row r="2970">
      <x:c r="A2970" s="33" t="str">
        <x:v>OBS082</x:v>
      </x:c>
      <x:c r="B2970" s="33" t="str">
        <x:v>Observation Master</x:v>
      </x:c>
      <x:c r="C2970" s="33" t="str">
        <x:v>Observation Template=Schedule X medicines were inadequately controlled or statutory registers were incomplete.; Risk Level=Critical; Recommendation=Maintain complete control, storage and documentation for Schedule X medicines.; Observation Category=Prescription; Remarks=Subject to stringent regulatory controls.</x:v>
      </x:c>
      <x:c r="D2970" s="33" t="str">
        <x:v>Observation Template=Respond to a lawful CCPA investigation and implement an applicable recall, reimbursement, discontinuance or modification order. was not demonstrated or did not operate effectively for the sample tested.; Risk Level=High; Recommendation=Implement the requirement, assign ownership, correct affected records or transactions, and retain evidence of operating effectiveness: Respond to a lawful CCPA investigation and implement an applicable recall, reimbursement, discontinuance or modification order.; Observation Category=CA062; Remarks=P-4 aligned to the normalized parent audit; legacy Observation ID preserved.</x:v>
      </x:c>
      <x:c r="E2970" s="33" t="str">
        <x:v>CORRECT / RECLASSIFY</x:v>
      </x:c>
      <x:c r="F2970" s="33" t="str">
        <x:v>Quarantine inactive descendants and align existing observations to normalized audits.</x:v>
      </x:c>
      <x:c r="G2970" s="33" t="str">
        <x:v>P-4 execution-chain reconciliation</x:v>
      </x:c>
      <x:c r="H2970" s="33" t="str">
        <x:v>P-4</x:v>
      </x:c>
      <x:c r="I2970" s="33" t="str">
        <x:v>P-4</x:v>
      </x:c>
      <x:c r="J2970" s="33" t="str">
        <x:v>2026-08-20</x:v>
      </x:c>
      <x:c r="K2970" s="33" t="str">
        <x:v>Observation IDs preserved and aligned.</x:v>
      </x:c>
    </x:row>
    <x:row r="2971">
      <x:c r="A2971" s="33" t="str">
        <x:v>OBS083</x:v>
      </x:c>
      <x:c r="B2971" s="33" t="str">
        <x:v>Observation Master</x:v>
      </x:c>
      <x:c r="C2971" s="33" t="str">
        <x:v>Observation Template=Controlled medicines were dispensed by unauthorized personnel or dispensing authorization could not be verified.; Risk Level=Critical; Recommendation=Restrict dispensing of controlled medicines to authorized personnel only.; Observation Category=Personnel; Remarks=Review authorization periodically.</x:v>
      </x:c>
      <x:c r="D2971" s="33" t="str">
        <x:v>Observation Template=Do not engage in a practice falling within section 2(47), including false representations, deceptive price claims or refusal to issue a bill where required. was not demonstrated or did not operate effectively for the sample tested.; Risk Level=High; Recommendation=Implement the requirement, assign ownership, correct affected records or transactions, and retain evidence of operating effectiveness: Do not engage in a practice falling within section 2(47), including false representations, deceptive price claims or refusal to issue a bill where required.; Observation Category=CA062; Remarks=P-4 aligned to the normalized parent audit; legacy Observation ID preserved.</x:v>
      </x:c>
      <x:c r="E2971" s="33" t="str">
        <x:v>CORRECT / RECLASSIFY</x:v>
      </x:c>
      <x:c r="F2971" s="33" t="str">
        <x:v>Quarantine inactive descendants and align existing observations to normalized audits.</x:v>
      </x:c>
      <x:c r="G2971" s="33" t="str">
        <x:v>P-4 execution-chain reconciliation</x:v>
      </x:c>
      <x:c r="H2971" s="33" t="str">
        <x:v>P-4</x:v>
      </x:c>
      <x:c r="I2971" s="33" t="str">
        <x:v>P-4</x:v>
      </x:c>
      <x:c r="J2971" s="33" t="str">
        <x:v>2026-08-20</x:v>
      </x:c>
      <x:c r="K2971" s="33" t="str">
        <x:v>Observation IDs preserved and aligned.</x:v>
      </x:c>
    </x:row>
    <x:row r="2972">
      <x:c r="A2972" s="33" t="str">
        <x:v>OBS084</x:v>
      </x:c>
      <x:c r="B2972" s="33" t="str">
        <x:v>Observation Master</x:v>
      </x:c>
      <x:c r="C2972" s="33" t="str">
        <x:v>Observation Template=Patient counselling was not provided where required or counselling practices were inconsistent.; Risk Level=Medium; Recommendation=Provide appropriate counselling to patients during dispensing of medicines requiring professional guidance.; Observation Category=Digital / E-Pharmacy; Remarks=Supports patient safety.</x:v>
      </x:c>
      <x:c r="D2972" s="33" t="str">
        <x:v>Observation Template=Do not cause a false or misleading advertisement and comply with any CCPA discontinuance/modification direction. was not demonstrated or did not operate effectively for the sample tested.; Risk Level=High; Recommendation=Implement the requirement, assign ownership, correct affected records or transactions, and retain evidence of operating effectiveness: Do not cause a false or misleading advertisement and comply with any CCPA discontinuance/modification direction.; Observation Category=CA064; Remarks=P-4 aligned to the normalized parent audit; legacy Observation ID preserved.</x:v>
      </x:c>
      <x:c r="E2972" s="33" t="str">
        <x:v>CORRECT / RECLASSIFY</x:v>
      </x:c>
      <x:c r="F2972" s="33" t="str">
        <x:v>Quarantine inactive descendants and align existing observations to normalized audits.</x:v>
      </x:c>
      <x:c r="G2972" s="33" t="str">
        <x:v>P-4 execution-chain reconciliation</x:v>
      </x:c>
      <x:c r="H2972" s="33" t="str">
        <x:v>P-4</x:v>
      </x:c>
      <x:c r="I2972" s="33" t="str">
        <x:v>P-4</x:v>
      </x:c>
      <x:c r="J2972" s="33" t="str">
        <x:v>2026-08-20</x:v>
      </x:c>
      <x:c r="K2972" s="33" t="str">
        <x:v>Observation IDs preserved and aligned.</x:v>
      </x:c>
    </x:row>
    <x:row r="2973">
      <x:c r="A2973" s="33" t="str">
        <x:v>OBS085</x:v>
      </x:c>
      <x:c r="B2973" s="33" t="str">
        <x:v>Observation Master</x:v>
      </x:c>
      <x:c r="C2973" s="33" t="str">
        <x:v>Observation Template=Dispensed medicines were inadequately labelled or mandatory dispensing information was missing.; Risk Level=High; Recommendation=Ensure every dispensed medicine carries complete and accurate dispensing labels.; Observation Category=Other; Remarks=Verify labels before handing over medicines.</x:v>
      </x:c>
      <x:c r="D2973" s="33" t="str">
        <x:v>Observation Template=If operating in an e-commerce role, display required identity/seller information, appoint the prescribed grievance/nodal contact and operate the complaint mechanism under Rules 4-5. was not demonstrated or did not operate effectively for the sample tested.; Risk Level=High; Recommendation=Implement the requirement, assign ownership, correct affected records or transactions, and retain evidence of operating effectiveness: If operating in an e-commerce role, display required identity/seller information, appoint the prescribed grievance/nodal contact and operate the complaint mechanism under Rules 4-5.; Observation Category=CA065; Remarks=P-4 aligned to the normalized parent audit; legacy Observation ID preserved.</x:v>
      </x:c>
      <x:c r="E2973" s="33" t="str">
        <x:v>CORRECT / RECLASSIFY</x:v>
      </x:c>
      <x:c r="F2973" s="33" t="str">
        <x:v>Quarantine inactive descendants and align existing observations to normalized audits.</x:v>
      </x:c>
      <x:c r="G2973" s="33" t="str">
        <x:v>P-4 execution-chain reconciliation</x:v>
      </x:c>
      <x:c r="H2973" s="33" t="str">
        <x:v>P-4</x:v>
      </x:c>
      <x:c r="I2973" s="33" t="str">
        <x:v>P-4</x:v>
      </x:c>
      <x:c r="J2973" s="33" t="str">
        <x:v>2026-08-20</x:v>
      </x:c>
      <x:c r="K2973" s="33" t="str">
        <x:v>Observation IDs preserved and aligned.</x:v>
      </x:c>
    </x:row>
    <x:row r="2974">
      <x:c r="A2974" s="33" t="str">
        <x:v>OBS086</x:v>
      </x:c>
      <x:c r="B2974" s="33" t="str">
        <x:v>Observation Master</x:v>
      </x:c>
      <x:c r="C2974" s="33" t="str">
        <x:v>Observation Template=Partial dispensing of prescriptions was not documented or remaining quantities could not be traced.; Risk Level=Medium; Recommendation=Document all partial dispensing transactions and maintain complete traceability.; Observation Category=Prescription; Remarks=Applicable where partial dispensing is permitted.</x:v>
      </x:c>
      <x:c r="D2974" s="33" t="str">
        <x:v>Observation Template=Where a regulated weighing/measuring instrument is used, obtain verification/stamping and keep it valid before transactional use. was not demonstrated or did not operate effectively for the sample tested.; Risk Level=High; Recommendation=Implement the requirement, assign ownership, correct affected records or transactions, and retain evidence of operating effectiveness: Where a regulated weighing/measuring instrument is used, obtain verification/stamping and keep it valid before transactional use.; Observation Category=CA066; Remarks=P-4 aligned to the normalized parent audit; legacy Observation ID preserved.</x:v>
      </x:c>
      <x:c r="E2974" s="33" t="str">
        <x:v>CORRECT / RECLASSIFY</x:v>
      </x:c>
      <x:c r="F2974" s="33" t="str">
        <x:v>Quarantine inactive descendants and align existing observations to normalized audits.</x:v>
      </x:c>
      <x:c r="G2974" s="33" t="str">
        <x:v>P-4 execution-chain reconciliation</x:v>
      </x:c>
      <x:c r="H2974" s="33" t="str">
        <x:v>P-4</x:v>
      </x:c>
      <x:c r="I2974" s="33" t="str">
        <x:v>P-4</x:v>
      </x:c>
      <x:c r="J2974" s="33" t="str">
        <x:v>2026-08-20</x:v>
      </x:c>
      <x:c r="K2974" s="33" t="str">
        <x:v>Observation IDs preserved and aligned.</x:v>
      </x:c>
    </x:row>
    <x:row r="2975">
      <x:c r="A2975" s="33" t="str">
        <x:v>OBS087</x:v>
      </x:c>
      <x:c r="B2975" s="33" t="str">
        <x:v>Observation Master</x:v>
      </x:c>
      <x:c r="C2975" s="33" t="str">
        <x:v>Observation Template=Medicines were substituted without documented authorization or justification.; Risk Level=High; Recommendation=Permit medicine substitution only where legally permissible and appropriately documented.; Observation Category=Digital / E-Pharmacy; Remarks=Maintain substitution records.</x:v>
      </x:c>
      <x:c r="D2975" s="33" t="str">
        <x:v>Observation Template=Do not use a non-standard or required-but-unverified weight/measure; retain the verification certificate/stamp evidence. was not demonstrated or did not operate effectively for the sample tested.; Risk Level=High; Recommendation=Implement the requirement, assign ownership, correct affected records or transactions, and retain evidence of operating effectiveness: Do not use a non-standard or required-but-unverified weight/measure; retain the verification certificate/stamp evidence.; Observation Category=CA068; Remarks=P-4 aligned to the normalized parent audit; legacy Observation ID preserved.</x:v>
      </x:c>
      <x:c r="E2975" s="33" t="str">
        <x:v>CORRECT / RECLASSIFY</x:v>
      </x:c>
      <x:c r="F2975" s="33" t="str">
        <x:v>Quarantine inactive descendants and align existing observations to normalized audits.</x:v>
      </x:c>
      <x:c r="G2975" s="33" t="str">
        <x:v>P-4 execution-chain reconciliation</x:v>
      </x:c>
      <x:c r="H2975" s="33" t="str">
        <x:v>P-4</x:v>
      </x:c>
      <x:c r="I2975" s="33" t="str">
        <x:v>P-4</x:v>
      </x:c>
      <x:c r="J2975" s="33" t="str">
        <x:v>2026-08-20</x:v>
      </x:c>
      <x:c r="K2975" s="33" t="str">
        <x:v>Observation IDs preserved and aligned.</x:v>
      </x:c>
    </x:row>
    <x:row r="2976">
      <x:c r="A2976" s="33" t="str">
        <x:v>OBS088</x:v>
      </x:c>
      <x:c r="B2976" s="33" t="str">
        <x:v>Observation Master</x:v>
      </x:c>
      <x:c r="C2976" s="33" t="str">
        <x:v>Observation Template=Dispensing errors were not documented, investigated or corrective actions were ineffective.; Risk Level=High; Recommendation=Establish a dispensing error reporting process with documented investigation and CAPA.; Observation Category=Regulatory Filing; Remarks=Analyze recurring errors.</x:v>
      </x:c>
      <x:c r="D2976" s="33" t="str">
        <x:v>Observation Template=Permit lawful legal-metrology inspection and produce the covered instrument and records when required by an authorised officer. was not demonstrated or did not operate effectively for the sample tested.; Risk Level=High; Recommendation=Implement the requirement, assign ownership, correct affected records or transactions, and retain evidence of operating effectiveness: Permit lawful legal-metrology inspection and produce the covered instrument and records when required by an authorised officer.; Observation Category=CA066; Remarks=P-4 aligned to the normalized parent audit; legacy Observation ID preserved.</x:v>
      </x:c>
      <x:c r="E2976" s="33" t="str">
        <x:v>CORRECT / RECLASSIFY</x:v>
      </x:c>
      <x:c r="F2976" s="33" t="str">
        <x:v>Quarantine inactive descendants and align existing observations to normalized audits.</x:v>
      </x:c>
      <x:c r="G2976" s="33" t="str">
        <x:v>P-4 execution-chain reconciliation</x:v>
      </x:c>
      <x:c r="H2976" s="33" t="str">
        <x:v>P-4</x:v>
      </x:c>
      <x:c r="I2976" s="33" t="str">
        <x:v>P-4</x:v>
      </x:c>
      <x:c r="J2976" s="33" t="str">
        <x:v>2026-08-20</x:v>
      </x:c>
      <x:c r="K2976" s="33" t="str">
        <x:v>Observation IDs preserved and aligned.</x:v>
      </x:c>
    </x:row>
    <x:row r="2977">
      <x:c r="A2977" s="33" t="str">
        <x:v>OBS089</x:v>
      </x:c>
      <x:c r="B2977" s="33" t="str">
        <x:v>Observation Master</x:v>
      </x:c>
      <x:c r="C2977" s="33" t="str">
        <x:v>Observation Template=Returned medicines were accepted or processed without following approved procedures.; Risk Level=Medium; Recommendation=Process returned medicines strictly in accordance with documented return procedures.; Observation Category=Digital / E-Pharmacy; Remarks=Prevent re-entry of unsuitable medicines into inventory.</x:v>
      </x:c>
      <x:c r="D2977" s="33" t="str">
        <x:v>Observation Template=Do not sell, distribute, deliver, display or store for sale a pre-packaged commodity unless the package complies with the Act and Rules. was not demonstrated or did not operate effectively for the sample tested.; Risk Level=High; Recommendation=Implement the requirement, assign ownership, correct affected records or transactions, and retain evidence of operating effectiveness: Do not sell, distribute, deliver, display or store for sale a pre-packaged commodity unless the package complies with the Act and Rules.; Observation Category=CA067; Remarks=P-4 aligned to the normalized parent audit; legacy Observation ID preserved.</x:v>
      </x:c>
      <x:c r="E2977" s="33" t="str">
        <x:v>CORRECT / RECLASSIFY</x:v>
      </x:c>
      <x:c r="F2977" s="33" t="str">
        <x:v>Quarantine inactive descendants and align existing observations to normalized audits.</x:v>
      </x:c>
      <x:c r="G2977" s="33" t="str">
        <x:v>P-4 execution-chain reconciliation</x:v>
      </x:c>
      <x:c r="H2977" s="33" t="str">
        <x:v>P-4</x:v>
      </x:c>
      <x:c r="I2977" s="33" t="str">
        <x:v>P-4</x:v>
      </x:c>
      <x:c r="J2977" s="33" t="str">
        <x:v>2026-08-20</x:v>
      </x:c>
      <x:c r="K2977" s="33" t="str">
        <x:v>Observation IDs preserved and aligned.</x:v>
      </x:c>
    </x:row>
    <x:row r="2978">
      <x:c r="A2978" s="33" t="str">
        <x:v>OBS090</x:v>
      </x:c>
      <x:c r="B2978" s="33" t="str">
        <x:v>Observation Master</x:v>
      </x:c>
      <x:c r="C2978" s="33" t="str">
        <x:v>Observation Template=Expired or invalid prescriptions were accepted for dispensing.; Risk Level=High; Recommendation=Verify prescription validity before dispensing medicines.; Observation Category=Prescription; Remarks=Reject invalid prescriptions.</x:v>
      </x:c>
      <x:c r="D2978" s="33" t="str">
        <x:v>Observation Template=Do not sell an applicable packaged commodity above its declared retail sale price. was not demonstrated or did not operate effectively for the sample tested.; Risk Level=High; Recommendation=Implement the requirement, assign ownership, correct affected records or transactions, and retain evidence of operating effectiveness: Do not sell an applicable packaged commodity above its declared retail sale price.; Observation Category=CA067; Remarks=P-4 aligned to the normalized parent audit; legacy Observation ID preserved.</x:v>
      </x:c>
      <x:c r="E2978" s="33" t="str">
        <x:v>CORRECT / RECLASSIFY</x:v>
      </x:c>
      <x:c r="F2978" s="33" t="str">
        <x:v>Quarantine inactive descendants and align existing observations to normalized audits.</x:v>
      </x:c>
      <x:c r="G2978" s="33" t="str">
        <x:v>P-4 execution-chain reconciliation</x:v>
      </x:c>
      <x:c r="H2978" s="33" t="str">
        <x:v>P-4</x:v>
      </x:c>
      <x:c r="I2978" s="33" t="str">
        <x:v>P-4</x:v>
      </x:c>
      <x:c r="J2978" s="33" t="str">
        <x:v>2026-08-20</x:v>
      </x:c>
      <x:c r="K2978" s="33" t="str">
        <x:v>Observation IDs preserved and aligned.</x:v>
      </x:c>
    </x:row>
    <x:row r="2979">
      <x:c r="A2979" s="33" t="str">
        <x:v>OBS091</x:v>
      </x:c>
      <x:c r="B2979" s="33" t="str">
        <x:v>Observation Master</x:v>
      </x:c>
      <x:c r="C2979" s="33" t="str">
        <x:v>Observation Template=Dispensing software lacked adequate validation controls or audit trail functionality.; Risk Level=High; Recommendation=Strengthen dispensing system controls, validation rules and audit trail monitoring.; Observation Category=Other; Remarks=Periodically review system access.</x:v>
      </x:c>
      <x:c r="D2979" s="33" t="str">
        <x:v>Observation Template=For e-commerce sale of applicable pre-packaged commodities, display the prescribed Rule 6 declarations on the digital/electronic network. was not demonstrated or did not operate effectively for the sample tested.; Risk Level=High; Recommendation=Implement the requirement, assign ownership, correct affected records or transactions, and retain evidence of operating effectiveness: For e-commerce sale of applicable pre-packaged commodities, display the prescribed Rule 6 declarations on the digital/electronic network.; Observation Category=CA031; Remarks=P-4 aligned to the normalized parent audit; legacy Observation ID preserved.</x:v>
      </x:c>
      <x:c r="E2979" s="33" t="str">
        <x:v>CORRECT / RECLASSIFY</x:v>
      </x:c>
      <x:c r="F2979" s="33" t="str">
        <x:v>Quarantine inactive descendants and align existing observations to normalized audits.</x:v>
      </x:c>
      <x:c r="G2979" s="33" t="str">
        <x:v>P-4 execution-chain reconciliation</x:v>
      </x:c>
      <x:c r="H2979" s="33" t="str">
        <x:v>P-4</x:v>
      </x:c>
      <x:c r="I2979" s="33" t="str">
        <x:v>P-4</x:v>
      </x:c>
      <x:c r="J2979" s="33" t="str">
        <x:v>2026-08-20</x:v>
      </x:c>
      <x:c r="K2979" s="33" t="str">
        <x:v>Observation IDs preserved and aligned.</x:v>
      </x:c>
    </x:row>
    <x:row r="2980">
      <x:c r="A2980" s="33" t="str">
        <x:v>OBS092</x:v>
      </x:c>
      <x:c r="B2980" s="33" t="str">
        <x:v>Observation Master</x:v>
      </x:c>
      <x:c r="C2980" s="33" t="str">
        <x:v>Observation Template=Dispensing records were incomplete, inaccurate or could not be reconciled with inventory movement.; Risk Level=Medium; Recommendation=Maintain complete dispensing records and reconcile them with inventory periodically.; Observation Category=Inventory; Remarks=Supports traceability.</x:v>
      </x:c>
      <x:c r="D2980" s="33" t="str">
        <x:v>Observation Template=If handling SPDI, publish the prescribed privacy policy and operate a documented reasonable-security programme/standard with periodic review. was not demonstrated or did not operate effectively for the sample tested.; Risk Level=High; Recommendation=Implement the requirement, assign ownership, correct affected records or transactions, and retain evidence of operating effectiveness: If handling SPDI, publish the prescribed privacy policy and operate a documented reasonable-security programme/standard with periodic review.; Observation Category=CA071; Remarks=P-4 aligned to the normalized parent audit; legacy Observation ID preserved.</x:v>
      </x:c>
      <x:c r="E2980" s="33" t="str">
        <x:v>CORRECT / RECLASSIFY</x:v>
      </x:c>
      <x:c r="F2980" s="33" t="str">
        <x:v>Quarantine inactive descendants and align existing observations to normalized audits.</x:v>
      </x:c>
      <x:c r="G2980" s="33" t="str">
        <x:v>P-4 execution-chain reconciliation</x:v>
      </x:c>
      <x:c r="H2980" s="33" t="str">
        <x:v>P-4</x:v>
      </x:c>
      <x:c r="I2980" s="33" t="str">
        <x:v>P-4</x:v>
      </x:c>
      <x:c r="J2980" s="33" t="str">
        <x:v>2026-08-20</x:v>
      </x:c>
      <x:c r="K2980" s="33" t="str">
        <x:v>Observation IDs preserved and aligned.</x:v>
      </x:c>
    </x:row>
    <x:row r="2981">
      <x:c r="A2981" s="33" t="str">
        <x:v>OBS093</x:v>
      </x:c>
      <x:c r="B2981" s="33" t="str">
        <x:v>Observation Master</x:v>
      </x:c>
      <x:c r="C2981" s="33" t="str">
        <x:v>Observation Template=Patient confidentiality was compromised due to inadequate access controls or information handling practices.; Risk Level=High; Recommendation=Protect patient information through appropriate physical and electronic security controls.; Observation Category=Digital / E-Pharmacy; Remarks=Comply with confidentiality requirements.</x:v>
      </x:c>
      <x:c r="D2981" s="33" t="str">
        <x:v>Observation Template=For SPDI, obtain consent, give required collection information, limit purpose/retention and provide review/correction mechanisms. was not demonstrated or did not operate effectively for the sample tested.; Risk Level=High; Recommendation=Implement the requirement, assign ownership, correct affected records or transactions, and retain evidence of operating effectiveness: For SPDI, obtain consent, give required collection information, limit purpose/retention and provide review/correction mechanisms.; Observation Category=CA072; Remarks=P-4 aligned to the normalized parent audit; legacy Observation ID preserved.</x:v>
      </x:c>
      <x:c r="E2981" s="33" t="str">
        <x:v>CORRECT / RECLASSIFY</x:v>
      </x:c>
      <x:c r="F2981" s="33" t="str">
        <x:v>Quarantine inactive descendants and align existing observations to normalized audits.</x:v>
      </x:c>
      <x:c r="G2981" s="33" t="str">
        <x:v>P-4 execution-chain reconciliation</x:v>
      </x:c>
      <x:c r="H2981" s="33" t="str">
        <x:v>P-4</x:v>
      </x:c>
      <x:c r="I2981" s="33" t="str">
        <x:v>P-4</x:v>
      </x:c>
      <x:c r="J2981" s="33" t="str">
        <x:v>2026-08-20</x:v>
      </x:c>
      <x:c r="K2981" s="33" t="str">
        <x:v>Observation IDs preserved and aligned.</x:v>
      </x:c>
    </x:row>
    <x:row r="2982">
      <x:c r="A2982" s="33" t="str">
        <x:v>OBS094</x:v>
      </x:c>
      <x:c r="B2982" s="33" t="str">
        <x:v>Observation Master</x:v>
      </x:c>
      <x:c r="C2982" s="33" t="str">
        <x:v>Observation Template=Pharmacy personnel did not consistently follow approved dispensing SOPs.; Risk Level=Medium; Recommendation=Reinforce adherence to dispensing SOPs through training and periodic supervision.; Observation Category=Digital / E-Pharmacy; Remarks=Monitor procedural compliance.</x:v>
      </x:c>
      <x:c r="D2982" s="33" t="str">
        <x:v>Observation Template=Do not disclose SPDI without prior permission unless a Rule 6 exception applies; prevent unlawful contractual disclosure. was not demonstrated or did not operate effectively for the sample tested.; Risk Level=High; Recommendation=Implement the requirement, assign ownership, correct affected records or transactions, and retain evidence of operating effectiveness: Do not disclose SPDI without prior permission unless a Rule 6 exception applies; prevent unlawful contractual disclosure.; Observation Category=CA071; Remarks=P-4 aligned to the normalized parent audit; legacy Observation ID preserved.</x:v>
      </x:c>
      <x:c r="E2982" s="33" t="str">
        <x:v>CORRECT / RECLASSIFY</x:v>
      </x:c>
      <x:c r="F2982" s="33" t="str">
        <x:v>Quarantine inactive descendants and align existing observations to normalized audits.</x:v>
      </x:c>
      <x:c r="G2982" s="33" t="str">
        <x:v>P-4 execution-chain reconciliation</x:v>
      </x:c>
      <x:c r="H2982" s="33" t="str">
        <x:v>P-4</x:v>
      </x:c>
      <x:c r="I2982" s="33" t="str">
        <x:v>P-4</x:v>
      </x:c>
      <x:c r="J2982" s="33" t="str">
        <x:v>2026-08-20</x:v>
      </x:c>
      <x:c r="K2982" s="33" t="str">
        <x:v>Observation IDs preserved and aligned.</x:v>
      </x:c>
    </x:row>
    <x:row r="2983">
      <x:c r="A2983" s="33" t="str">
        <x:v>OBS095</x:v>
      </x:c>
      <x:c r="B2983" s="33" t="str">
        <x:v>Observation Master</x:v>
      </x:c>
      <x:c r="C2983" s="33" t="str">
        <x:v>Observation Template=Dispensing counters and dispensing areas were inadequately maintained or lacked appropriate hygiene controls.; Risk Level=Medium; Recommendation=Maintain clean and hygienic dispensing areas through routine housekeeping and inspections.; Observation Category=Digital / E-Pharmacy; Remarks=Supports patient safety.</x:v>
      </x:c>
      <x:c r="D2983" s="33" t="str">
        <x:v>Observation Template=Apply intermediary due diligence only if the platform legally qualifies as an intermediary under current IT law. was not demonstrated or did not operate effectively for the sample tested.; Risk Level=High; Recommendation=Implement the requirement, assign ownership, correct affected records or transactions, and retain evidence of operating effectiveness: Apply intermediary due diligence only if the platform legally qualifies as an intermediary under current IT law.; Observation Category=CA069; Remarks=P-4 aligned to the normalized parent audit; legacy Observation ID preserved.</x:v>
      </x:c>
      <x:c r="E2983" s="33" t="str">
        <x:v>CORRECT / RECLASSIFY</x:v>
      </x:c>
      <x:c r="F2983" s="33" t="str">
        <x:v>Quarantine inactive descendants and align existing observations to normalized audits.</x:v>
      </x:c>
      <x:c r="G2983" s="33" t="str">
        <x:v>P-4 execution-chain reconciliation</x:v>
      </x:c>
      <x:c r="H2983" s="33" t="str">
        <x:v>P-4</x:v>
      </x:c>
      <x:c r="I2983" s="33" t="str">
        <x:v>P-4</x:v>
      </x:c>
      <x:c r="J2983" s="33" t="str">
        <x:v>2026-08-20</x:v>
      </x:c>
      <x:c r="K2983" s="33" t="str">
        <x:v>Observation IDs preserved and aligned.</x:v>
      </x:c>
    </x:row>
    <x:row r="2984">
      <x:c r="A2984" s="33" t="str">
        <x:v>OBS101</x:v>
      </x:c>
      <x:c r="B2984" s="33" t="str">
        <x:v>Observation Master</x:v>
      </x:c>
      <x:c r="C2984" s="33" t="str">
        <x:v>Observation Template=Over-the-counter (OTC) medicines were sold without complying with applicable regulatory requirements or internal procedures.; Risk Level=High; Recommendation=Ensure OTC medicines are sold only in accordance with approved regulatory requirements and internal SOPs.; Observation Category=Digital / E-Pharmacy; Remarks=Periodically review OTC sales practices.</x:v>
      </x:c>
      <x:c r="D2984" s="33" t="str">
        <x:v>Observation Template=Hold the applicable Drugs Rules sale licence or, for an exclusive medical-device seller without that licence, obtain and maintain Form MD-42 registration. was not demonstrated or did not operate effectively for the sample tested.; Risk Level=High; Recommendation=Implement the requirement, assign ownership, correct affected records or transactions, and retain evidence of operating effectiveness: Hold the applicable Drugs Rules sale licence or, for an exclusive medical-device seller without that licence, obtain and maintain Form MD-42 registration.; Observation Category=CA009; Remarks=P-4 aligned to the normalized parent audit; legacy Observation ID preserved.</x:v>
      </x:c>
      <x:c r="E2984" s="33" t="str">
        <x:v>CORRECT / RECLASSIFY</x:v>
      </x:c>
      <x:c r="F2984" s="33" t="str">
        <x:v>Quarantine inactive descendants and align existing observations to normalized audits.</x:v>
      </x:c>
      <x:c r="G2984" s="33" t="str">
        <x:v>P-4 execution-chain reconciliation</x:v>
      </x:c>
      <x:c r="H2984" s="33" t="str">
        <x:v>P-4</x:v>
      </x:c>
      <x:c r="I2984" s="33" t="str">
        <x:v>P-4</x:v>
      </x:c>
      <x:c r="J2984" s="33" t="str">
        <x:v>2026-08-20</x:v>
      </x:c>
      <x:c r="K2984" s="33" t="str">
        <x:v>Observation IDs preserved and aligned.</x:v>
      </x:c>
    </x:row>
    <x:row r="2985">
      <x:c r="A2985" s="33" t="str">
        <x:v>OBS102</x:v>
      </x:c>
      <x:c r="B2985" s="33" t="str">
        <x:v>Observation Master</x:v>
      </x:c>
      <x:c r="C2985" s="33" t="str">
        <x:v>Observation Template=Prescription-only medicines were supplied without obtaining a valid prescription.; Risk Level=Critical; Recommendation=Dispense prescription-only medicines only against a valid prescription from a registered medical practitioner.; Observation Category=Prescription; Remarks=Major statutory violation.</x:v>
      </x:c>
      <x:c r="D2985" s="33" t="str">
        <x:v>Observation Template=Display the medical-device registration where applicable, maintain adequate premises and specified storage, and procure devices only from authorized sources. was not demonstrated or did not operate effectively for the sample tested.; Risk Level=High; Recommendation=Implement the requirement, assign ownership, correct affected records or transactions, and retain evidence of operating effectiveness: Display the medical-device registration where applicable, maintain adequate premises and specified storage, and procure devices only from authorized sources.; Observation Category=CA009; Remarks=P-4 aligned to the normalized parent audit; legacy Observation ID preserved.</x:v>
      </x:c>
      <x:c r="E2985" s="33" t="str">
        <x:v>CORRECT / RECLASSIFY</x:v>
      </x:c>
      <x:c r="F2985" s="33" t="str">
        <x:v>Quarantine inactive descendants and align existing observations to normalized audits.</x:v>
      </x:c>
      <x:c r="G2985" s="33" t="str">
        <x:v>P-4 execution-chain reconciliation</x:v>
      </x:c>
      <x:c r="H2985" s="33" t="str">
        <x:v>P-4</x:v>
      </x:c>
      <x:c r="I2985" s="33" t="str">
        <x:v>P-4</x:v>
      </x:c>
      <x:c r="J2985" s="33" t="str">
        <x:v>2026-08-20</x:v>
      </x:c>
      <x:c r="K2985" s="33" t="str">
        <x:v>Observation IDs preserved and aligned.</x:v>
      </x:c>
    </x:row>
    <x:row r="2986">
      <x:c r="A2986" s="33" t="str">
        <x:v>OBS103</x:v>
      </x:c>
      <x:c r="B2986" s="33" t="str">
        <x:v>Observation Master</x:v>
      </x:c>
      <x:c r="C2986" s="33" t="str">
        <x:v>Observation Template=Appropriate counselling was not provided to customers purchasing OTC medicines where professional guidance was required.; Risk Level=Medium; Recommendation=Provide standardized counselling and usage instructions for OTC medicines.; Observation Category=Digital / E-Pharmacy; Remarks=Improves patient safety.</x:v>
      </x:c>
      <x:c r="D2986" s="33" t="str">
        <x:v>Observation Template=Maintain medical-device purchase and sale records, provide inspection access, retain records for two years, and maintain the prescribed inspection book. was not demonstrated or did not operate effectively for the sample tested.; Risk Level=High; Recommendation=Implement the requirement, assign ownership, correct affected records or transactions, and retain evidence of operating effectiveness: Maintain medical-device purchase and sale records, provide inspection access, retain records for two years, and maintain the prescribed inspection book.; Observation Category=CA019; Remarks=P-4 aligned to the normalized parent audit; legacy Observation ID preserved.</x:v>
      </x:c>
      <x:c r="E2986" s="33" t="str">
        <x:v>CORRECT / RECLASSIFY</x:v>
      </x:c>
      <x:c r="F2986" s="33" t="str">
        <x:v>Quarantine inactive descendants and align existing observations to normalized audits.</x:v>
      </x:c>
      <x:c r="G2986" s="33" t="str">
        <x:v>P-4 execution-chain reconciliation</x:v>
      </x:c>
      <x:c r="H2986" s="33" t="str">
        <x:v>P-4</x:v>
      </x:c>
      <x:c r="I2986" s="33" t="str">
        <x:v>P-4</x:v>
      </x:c>
      <x:c r="J2986" s="33" t="str">
        <x:v>2026-08-20</x:v>
      </x:c>
      <x:c r="K2986" s="33" t="str">
        <x:v>Observation IDs preserved and aligned.</x:v>
      </x:c>
    </x:row>
    <x:row r="2987">
      <x:c r="A2987" s="33" t="str">
        <x:v>OBS104</x:v>
      </x:c>
      <x:c r="B2987" s="33" t="str">
        <x:v>Observation Master</x:v>
      </x:c>
      <x:c r="C2987" s="33" t="str">
        <x:v>Observation Template=Pharmacy personnel provided self-medication advice beyond their authorized professional scope.; Risk Level=High; Recommendation=Restrict advice to approved pharmacy guidance and refer patients to medical practitioners where necessary.; Observation Category=Digital / E-Pharmacy; Remarks=Prevent inappropriate medication use.</x:v>
      </x:c>
      <x:c r="D2987" s="33" t="str">
        <x:v>Observation Template=Pay the prescribed retention fee every five years to maintain perpetual validity of Form MD-42 registration. was not demonstrated or did not operate effectively for the sample tested.; Risk Level=High; Recommendation=Implement the requirement, assign ownership, correct affected records or transactions, and retain evidence of operating effectiveness: Pay the prescribed retention fee every five years to maintain perpetual validity of Form MD-42 registration.; Observation Category=CA007; Remarks=P-4 aligned to the normalized parent audit; legacy Observation ID preserved.</x:v>
      </x:c>
      <x:c r="E2987" s="33" t="str">
        <x:v>CORRECT / RECLASSIFY</x:v>
      </x:c>
      <x:c r="F2987" s="33" t="str">
        <x:v>Quarantine inactive descendants and align existing observations to normalized audits.</x:v>
      </x:c>
      <x:c r="G2987" s="33" t="str">
        <x:v>P-4 execution-chain reconciliation</x:v>
      </x:c>
      <x:c r="H2987" s="33" t="str">
        <x:v>P-4</x:v>
      </x:c>
      <x:c r="I2987" s="33" t="str">
        <x:v>P-4</x:v>
      </x:c>
      <x:c r="J2987" s="33" t="str">
        <x:v>2026-08-20</x:v>
      </x:c>
      <x:c r="K2987" s="33" t="str">
        <x:v>Observation IDs preserved and aligned.</x:v>
      </x:c>
    </x:row>
    <x:row r="2988">
      <x:c r="A2988" s="33" t="str">
        <x:v>OBS105</x:v>
      </x:c>
      <x:c r="B2988" s="33" t="str">
        <x:v>Observation Master</x:v>
      </x:c>
      <x:c r="C2988" s="33" t="str">
        <x:v>Observation Template=Near-expiry medicines remained available for sale without appropriate monitoring or control.; Risk Level=High; Recommendation=Implement periodic near-expiry reviews and remove products approaching expiry in accordance with policy.; Observation Category=Digital / E-Pharmacy; Remarks=Follow FEFO principles.</x:v>
      </x:c>
      <x:c r="D2988" s="33" t="str">
        <x:v>Observation Template=Where Rule 88 applies, document supply to a hospital or similar institution through the prescribed delivery-challan process. was not demonstrated or did not operate effectively for the sample tested.; Risk Level=High; Recommendation=Implement the requirement, assign ownership, correct affected records or transactions, and retain evidence of operating effectiveness: Where Rule 88 applies, document supply to a hospital or similar institution through the prescribed delivery-challan process.; Observation Category=CA022; Remarks=P-4 aligned to the normalized parent audit; legacy Observation ID preserved.</x:v>
      </x:c>
      <x:c r="E2988" s="33" t="str">
        <x:v>CORRECT / RECLASSIFY</x:v>
      </x:c>
      <x:c r="F2988" s="33" t="str">
        <x:v>Quarantine inactive descendants and align existing observations to normalized audits.</x:v>
      </x:c>
      <x:c r="G2988" s="33" t="str">
        <x:v>P-4 execution-chain reconciliation</x:v>
      </x:c>
      <x:c r="H2988" s="33" t="str">
        <x:v>P-4</x:v>
      </x:c>
      <x:c r="I2988" s="33" t="str">
        <x:v>P-4</x:v>
      </x:c>
      <x:c r="J2988" s="33" t="str">
        <x:v>2026-08-20</x:v>
      </x:c>
      <x:c r="K2988" s="33" t="str">
        <x:v>Observation IDs preserved and aligned.</x:v>
      </x:c>
    </x:row>
    <x:row r="2989">
      <x:c r="A2989" s="33" t="str">
        <x:v>OBS106</x:v>
      </x:c>
      <x:c r="B2989" s="33" t="str">
        <x:v>Observation Master</x:v>
      </x:c>
      <x:c r="C2989" s="33" t="str">
        <x:v>Observation Template=Expired medicines were found available for sale or dispensing.; Risk Level=Critical; Recommendation=Immediately remove expired medicines from saleable inventory and document their disposal.; Observation Category=Storage; Remarks=Zero tolerance observation.</x:v>
      </x:c>
      <x:c r="D2989" s="33" t="str">
        <x:v>Observation Template=Do not sell or distribute a cosmetic unless the Rule 33 origin, licensing, quality and labelling conditions are satisfied. was not demonstrated or did not operate effectively for the sample tested.; Risk Level=High; Recommendation=Implement the requirement, assign ownership, correct affected records or transactions, and retain evidence of operating effectiveness: Do not sell or distribute a cosmetic unless the Rule 33 origin, licensing, quality and labelling conditions are satisfied.; Observation Category=CA016; Remarks=P-4 aligned to the normalized parent audit; legacy Observation ID preserved.</x:v>
      </x:c>
      <x:c r="E2989" s="33" t="str">
        <x:v>CORRECT / RECLASSIFY</x:v>
      </x:c>
      <x:c r="F2989" s="33" t="str">
        <x:v>Quarantine inactive descendants and align existing observations to normalized audits.</x:v>
      </x:c>
      <x:c r="G2989" s="33" t="str">
        <x:v>P-4 execution-chain reconciliation</x:v>
      </x:c>
      <x:c r="H2989" s="33" t="str">
        <x:v>P-4</x:v>
      </x:c>
      <x:c r="I2989" s="33" t="str">
        <x:v>P-4</x:v>
      </x:c>
      <x:c r="J2989" s="33" t="str">
        <x:v>2026-08-20</x:v>
      </x:c>
      <x:c r="K2989" s="33" t="str">
        <x:v>Observation IDs preserved and aligned.</x:v>
      </x:c>
    </x:row>
    <x:row r="2990">
      <x:c r="A2990" s="33" t="str">
        <x:v>OBS107</x:v>
      </x:c>
      <x:c r="B2990" s="33" t="str">
        <x:v>Observation Master</x:v>
      </x:c>
      <x:c r="C2990" s="33" t="str">
        <x:v>Observation Template=Damaged medicines remained available for sale or were inadequately segregated.; Risk Level=High; Recommendation=Segregate damaged medicines immediately and dispose of them through approved procedures.; Observation Category=Digital / E-Pharmacy; Remarks=Prevent accidental sale.</x:v>
      </x:c>
      <x:c r="D2990" s="33" t="str">
        <x:v>Observation Template=Verify that cosmetics offered for sale or distribution bear the particulars required by Rule 34. was not demonstrated or did not operate effectively for the sample tested.; Risk Level=High; Recommendation=Implement the requirement, assign ownership, correct affected records or transactions, and retain evidence of operating effectiveness: Verify that cosmetics offered for sale or distribution bear the particulars required by Rule 34.; Observation Category=CA007; Remarks=P-4 aligned to the normalized parent audit; legacy Observation ID preserved.</x:v>
      </x:c>
      <x:c r="E2990" s="33" t="str">
        <x:v>CORRECT / RECLASSIFY</x:v>
      </x:c>
      <x:c r="F2990" s="33" t="str">
        <x:v>Quarantine inactive descendants and align existing observations to normalized audits.</x:v>
      </x:c>
      <x:c r="G2990" s="33" t="str">
        <x:v>P-4 execution-chain reconciliation</x:v>
      </x:c>
      <x:c r="H2990" s="33" t="str">
        <x:v>P-4</x:v>
      </x:c>
      <x:c r="I2990" s="33" t="str">
        <x:v>P-4</x:v>
      </x:c>
      <x:c r="J2990" s="33" t="str">
        <x:v>2026-08-20</x:v>
      </x:c>
      <x:c r="K2990" s="33" t="str">
        <x:v>Observation IDs preserved and aligned.</x:v>
      </x:c>
    </x:row>
    <x:row r="2991">
      <x:c r="A2991" s="33" t="str">
        <x:v>OBS108</x:v>
      </x:c>
      <x:c r="B2991" s="33" t="str">
        <x:v>Observation Master</x:v>
      </x:c>
      <x:c r="C2991" s="33" t="str">
        <x:v>Observation Template=Customer medicine returns were accepted or processed without complying with approved procedures.; Risk Level=Medium; Recommendation=Handle returned medicines strictly in accordance with documented return policies.; Observation Category=Digital / E-Pharmacy; Remarks=Ensure complete traceability.</x:v>
      </x:c>
      <x:c r="D2991" s="33" t="str">
        <x:v>Observation Template=Do not alter, obliterate or deface mandatory cosmetic labelling. was not demonstrated or did not operate effectively for the sample tested.; Risk Level=High; Recommendation=Implement the requirement, assign ownership, correct affected records or transactions, and retain evidence of operating effectiveness: Do not alter, obliterate or deface mandatory cosmetic labelling.; Observation Category=CA067; Remarks=P-4 aligned to the normalized parent audit; legacy Observation ID preserved.</x:v>
      </x:c>
      <x:c r="E2991" s="33" t="str">
        <x:v>CORRECT / RECLASSIFY</x:v>
      </x:c>
      <x:c r="F2991" s="33" t="str">
        <x:v>Quarantine inactive descendants and align existing observations to normalized audits.</x:v>
      </x:c>
      <x:c r="G2991" s="33" t="str">
        <x:v>P-4 execution-chain reconciliation</x:v>
      </x:c>
      <x:c r="H2991" s="33" t="str">
        <x:v>P-4</x:v>
      </x:c>
      <x:c r="I2991" s="33" t="str">
        <x:v>P-4</x:v>
      </x:c>
      <x:c r="J2991" s="33" t="str">
        <x:v>2026-08-20</x:v>
      </x:c>
      <x:c r="K2991" s="33" t="str">
        <x:v>Observation IDs preserved and aligned.</x:v>
      </x:c>
    </x:row>
    <x:row r="2992">
      <x:c r="A2992" s="33" t="str">
        <x:v>OBS109</x:v>
      </x:c>
      <x:c r="B2992" s="33" t="str">
        <x:v>Observation Master</x:v>
      </x:c>
      <x:c r="C2992" s="33" t="str">
        <x:v>Observation Template=Sales invoices were incomplete, inaccurate or did not contain mandatory statutory information.; Risk Level=Medium; Recommendation=Ensure every medicine sale is supported by a complete and compliant invoice.; Observation Category=Inventory; Remarks=Supports transaction traceability.</x:v>
      </x:c>
      <x:c r="D2992" s="33" t="str">
        <x:v>Observation Template=Do not sell or distribute a cosmetic bearing a false or misleading claim. was not demonstrated or did not operate effectively for the sample tested.; Risk Level=High; Recommendation=Implement the requirement, assign ownership, correct affected records or transactions, and retain evidence of operating effectiveness: Do not sell or distribute a cosmetic bearing a false or misleading claim.; Observation Category=CA019; Remarks=P-4 aligned to the normalized parent audit; legacy Observation ID preserved.</x:v>
      </x:c>
      <x:c r="E2992" s="33" t="str">
        <x:v>CORRECT / RECLASSIFY</x:v>
      </x:c>
      <x:c r="F2992" s="33" t="str">
        <x:v>Quarantine inactive descendants and align existing observations to normalized audits.</x:v>
      </x:c>
      <x:c r="G2992" s="33" t="str">
        <x:v>P-4 execution-chain reconciliation</x:v>
      </x:c>
      <x:c r="H2992" s="33" t="str">
        <x:v>P-4</x:v>
      </x:c>
      <x:c r="I2992" s="33" t="str">
        <x:v>P-4</x:v>
      </x:c>
      <x:c r="J2992" s="33" t="str">
        <x:v>2026-08-20</x:v>
      </x:c>
      <x:c r="K2992" s="33" t="str">
        <x:v>Observation IDs preserved and aligned.</x:v>
      </x:c>
    </x:row>
    <x:row r="2993">
      <x:c r="A2993" s="33" t="str">
        <x:v>OBS110</x:v>
      </x:c>
      <x:c r="B2993" s="33" t="str">
        <x:v>Observation Master</x:v>
      </x:c>
      <x:c r="C2993" s="33" t="str">
        <x:v>Observation Template=Electronic billing records were incomplete or billing system controls were ineffective.; Risk Level=Medium; Recommendation=Strengthen billing system controls and periodically review electronic transaction records.; Observation Category=Documentation; Remarks=Maintain audit trails.</x:v>
      </x:c>
      <x:c r="D2993" s="33" t="str">
        <x:v>Observation Template=Sell or distribute only cosmetics that comply with the standards, quality and safety requirements in Rule 39. was not demonstrated or did not operate effectively for the sample tested.; Risk Level=High; Recommendation=Implement the requirement, assign ownership, correct affected records or transactions, and retain evidence of operating effectiveness: Sell or distribute only cosmetics that comply with the standards, quality and safety requirements in Rule 39.; Observation Category=CA022; Remarks=P-4 aligned to the normalized parent audit; legacy Observation ID preserved.</x:v>
      </x:c>
      <x:c r="E2993" s="33" t="str">
        <x:v>CORRECT / RECLASSIFY</x:v>
      </x:c>
      <x:c r="F2993" s="33" t="str">
        <x:v>Quarantine inactive descendants and align existing observations to normalized audits.</x:v>
      </x:c>
      <x:c r="G2993" s="33" t="str">
        <x:v>P-4 execution-chain reconciliation</x:v>
      </x:c>
      <x:c r="H2993" s="33" t="str">
        <x:v>P-4</x:v>
      </x:c>
      <x:c r="I2993" s="33" t="str">
        <x:v>P-4</x:v>
      </x:c>
      <x:c r="J2993" s="33" t="str">
        <x:v>2026-08-20</x:v>
      </x:c>
      <x:c r="K2993" s="33" t="str">
        <x:v>Observation IDs preserved and aligned.</x:v>
      </x:c>
    </x:row>
    <x:row r="2994">
      <x:c r="A2994" s="33" t="str">
        <x:v>OBS120</x:v>
      </x:c>
      <x:c r="B2994" s="33" t="str">
        <x:v>Observation Master</x:v>
      </x:c>
      <x:c r="C2994" s="33" t="str">
        <x:v>Observation Template=Customer identity verification requirements were not followed for regulated medicine sales.; Risk Level=High; Recommendation=Verify and document customer identity wherever legally required.; Observation Category=Digital / E-Pharmacy; Remarks=Protect regulatory compliance.</x:v>
      </x:c>
      <x:c r="D2994" s="33" t="str">
        <x:v>Observation Template=Deliver pharmacy services in accordance with Good Pharmacy Practice principles. was not demonstrated or did not operate effectively for the sample tested.; Risk Level=High; Recommendation=Implement the requirement, assign ownership, correct affected records or transactions, and retain evidence of operating effectiveness: Deliver pharmacy services in accordance with Good Pharmacy Practice principles.; Observation Category=CA021; Remarks=P-4 aligned to the normalized parent audit; legacy Observation ID preserved.</x:v>
      </x:c>
      <x:c r="E2994" s="33" t="str">
        <x:v>CORRECT / RECLASSIFY</x:v>
      </x:c>
      <x:c r="F2994" s="33" t="str">
        <x:v>Quarantine inactive descendants and align existing observations to normalized audits.</x:v>
      </x:c>
      <x:c r="G2994" s="33" t="str">
        <x:v>P-4 execution-chain reconciliation</x:v>
      </x:c>
      <x:c r="H2994" s="33" t="str">
        <x:v>P-4</x:v>
      </x:c>
      <x:c r="I2994" s="33" t="str">
        <x:v>P-4</x:v>
      </x:c>
      <x:c r="J2994" s="33" t="str">
        <x:v>2026-08-20</x:v>
      </x:c>
      <x:c r="K2994" s="33" t="str">
        <x:v>Observation IDs preserved and aligned.</x:v>
      </x:c>
    </x:row>
    <x:row r="2995">
      <x:c r="A2995" s="33" t="str">
        <x:v>OBS121</x:v>
      </x:c>
      <x:c r="B2995" s="33" t="str">
        <x:v>Observation Master</x:v>
      </x:c>
      <x:c r="C2995" s="33" t="str">
        <x:v>Observation Template=Pharmacy personnel did not consistently follow approved medicine sales procedures.; Risk Level=Medium; Recommendation=Reinforce adherence to medicine sales SOPs through periodic supervision and refresher training.; Observation Category=Digital / E-Pharmacy; Remarks=Conduct periodic compliance checks.</x:v>
      </x:c>
      <x:c r="D2995" s="33" t="str">
        <x:v>Observation Template=Provide appropriate counselling to patients regarding medicine use, dosage and precautions. was not demonstrated or did not operate effectively for the sample tested.; Risk Level=High; Recommendation=Implement the requirement, assign ownership, correct affected records or transactions, and retain evidence of operating effectiveness: Provide appropriate counselling to patients regarding medicine use, dosage and precautions.; Observation Category=CA021; Remarks=P-4 aligned to the normalized parent audit; legacy Observation ID preserved.</x:v>
      </x:c>
      <x:c r="E2995" s="33" t="str">
        <x:v>CORRECT / RECLASSIFY</x:v>
      </x:c>
      <x:c r="F2995" s="33" t="str">
        <x:v>Quarantine inactive descendants and align existing observations to normalized audits.</x:v>
      </x:c>
      <x:c r="G2995" s="33" t="str">
        <x:v>P-4 execution-chain reconciliation</x:v>
      </x:c>
      <x:c r="H2995" s="33" t="str">
        <x:v>P-4</x:v>
      </x:c>
      <x:c r="I2995" s="33" t="str">
        <x:v>P-4</x:v>
      </x:c>
      <x:c r="J2995" s="33" t="str">
        <x:v>2026-08-20</x:v>
      </x:c>
      <x:c r="K2995" s="33" t="str">
        <x:v>Observation IDs preserved and aligned.</x:v>
      </x:c>
    </x:row>
    <x:row r="2996">
      <x:c r="A2996" s="33" t="str">
        <x:v>OBS122</x:v>
      </x:c>
      <x:c r="B2996" s="33" t="str">
        <x:v>Observation Master</x:v>
      </x:c>
      <x:c r="C2996" s="33" t="str">
        <x:v>Observation Template=Sales records were incomplete, unavailable or not retained for the prescribed statutory period.; Risk Level=Medium; Recommendation=Maintain complete sales records in accordance with approved retention requirements.; Observation Category=Digital / E-Pharmacy; Remarks=Ensure records remain retrievable.</x:v>
      </x:c>
      <x:c r="D2996" s="33" t="str">
        <x:v>Observation Template=Review each prescription for completeness, legality and appropriateness before dispensing. was not demonstrated or did not operate effectively for the sample tested.; Risk Level=High; Recommendation=Implement the requirement, assign ownership, correct affected records or transactions, and retain evidence of operating effectiveness: Review each prescription for completeness, legality and appropriateness before dispensing.; Observation Category=CA021; Remarks=P-4 aligned to the normalized parent audit; legacy Observation ID preserved.</x:v>
      </x:c>
      <x:c r="E2996" s="33" t="str">
        <x:v>CORRECT / RECLASSIFY</x:v>
      </x:c>
      <x:c r="F2996" s="33" t="str">
        <x:v>Quarantine inactive descendants and align existing observations to normalized audits.</x:v>
      </x:c>
      <x:c r="G2996" s="33" t="str">
        <x:v>P-4 execution-chain reconciliation</x:v>
      </x:c>
      <x:c r="H2996" s="33" t="str">
        <x:v>P-4</x:v>
      </x:c>
      <x:c r="I2996" s="33" t="str">
        <x:v>P-4</x:v>
      </x:c>
      <x:c r="J2996" s="33" t="str">
        <x:v>2026-08-20</x:v>
      </x:c>
      <x:c r="K2996" s="33" t="str">
        <x:v>Observation IDs preserved and aligned.</x:v>
      </x:c>
    </x:row>
    <x:row r="2997">
      <x:c r="A2997" s="33" t="str">
        <x:v>OBS123</x:v>
      </x:c>
      <x:c r="B2997" s="33" t="str">
        <x:v>Observation Master</x:v>
      </x:c>
      <x:c r="C2997" s="33" t="str">
        <x:v>Observation Template=Internal audits did not adequately evaluate medicine sales compliance or corrective actions remained ineffective.; Risk Level=Medium; Recommendation=Expand internal audit coverage to include medicine sales controls and verify CAPA effectiveness.; Observation Category=Quality; Remarks=Include sales compliance in annual audit plans.</x:v>
      </x:c>
      <x:c r="D2997" s="33" t="str">
        <x:v>Observation Template=Procure medicines only from licensed and authorized suppliers. was not demonstrated or did not operate effectively for the sample tested.; Risk Level=High; Recommendation=Implement the requirement, assign ownership, correct affected records or transactions, and retain evidence of operating effectiveness: Procure medicines only from licensed and authorized suppliers.; Observation Category=CA011; Remarks=P-4 aligned to the normalized parent audit; legacy Observation ID preserved.</x:v>
      </x:c>
      <x:c r="E2997" s="33" t="str">
        <x:v>CORRECT / RECLASSIFY</x:v>
      </x:c>
      <x:c r="F2997" s="33" t="str">
        <x:v>Quarantine inactive descendants and align existing observations to normalized audits.</x:v>
      </x:c>
      <x:c r="G2997" s="33" t="str">
        <x:v>P-4 execution-chain reconciliation</x:v>
      </x:c>
      <x:c r="H2997" s="33" t="str">
        <x:v>P-4</x:v>
      </x:c>
      <x:c r="I2997" s="33" t="str">
        <x:v>P-4</x:v>
      </x:c>
      <x:c r="J2997" s="33" t="str">
        <x:v>2026-08-20</x:v>
      </x:c>
      <x:c r="K2997" s="33" t="str">
        <x:v>Observation IDs preserved and aligned.</x:v>
      </x:c>
    </x:row>
    <x:row r="2998">
      <x:c r="A2998" s="33" t="str">
        <x:v>OBS124</x:v>
      </x:c>
      <x:c r="B2998" s="33" t="str">
        <x:v>Observation Master</x:v>
      </x:c>
      <x:c r="C2998" s="33" t="str">
        <x:v>Observation Template=Regulatory inspection observations relating to medicine sales remained unresolved or inadequately documented.; Risk Level=High; Recommendation=Monitor and close all sales-related regulatory observations within prescribed timelines.; Observation Category=Regulatory Filing; Remarks=Retain supporting evidence.</x:v>
      </x:c>
      <x:c r="D2998" s="33" t="str">
        <x:v>Observation Template=Maintain suitable transportation and distribution conditions to preserve product quality. was not demonstrated or did not operate effectively for the sample tested.; Risk Level=High; Recommendation=Implement the requirement, assign ownership, correct affected records or transactions, and retain evidence of operating effectiveness: Maintain suitable transportation and distribution conditions to preserve product quality.; Observation Category=CA012; Remarks=P-4 aligned to the normalized parent audit; legacy Observation ID preserved.</x:v>
      </x:c>
      <x:c r="E2998" s="33" t="str">
        <x:v>CORRECT / RECLASSIFY</x:v>
      </x:c>
      <x:c r="F2998" s="33" t="str">
        <x:v>Quarantine inactive descendants and align existing observations to normalized audits.</x:v>
      </x:c>
      <x:c r="G2998" s="33" t="str">
        <x:v>P-4 execution-chain reconciliation</x:v>
      </x:c>
      <x:c r="H2998" s="33" t="str">
        <x:v>P-4</x:v>
      </x:c>
      <x:c r="I2998" s="33" t="str">
        <x:v>P-4</x:v>
      </x:c>
      <x:c r="J2998" s="33" t="str">
        <x:v>2026-08-20</x:v>
      </x:c>
      <x:c r="K2998" s="33" t="str">
        <x:v>Observation IDs preserved and aligned.</x:v>
      </x:c>
    </x:row>
    <x:row r="2999">
      <x:c r="A2999" s="33" t="str">
        <x:v>OBS125</x:v>
      </x:c>
      <x:c r="B2999" s="33" t="str">
        <x:v>Observation Master</x:v>
      </x:c>
      <x:c r="C2999" s="33" t="str">
        <x:v>Observation Template=Overall medicine sales operations demonstrated weaknesses in regulatory compliance, documentation or governance controls.; Risk Level=High; Recommendation=Conduct comprehensive reviews of medicine sales operations and strengthen governance, monitoring and internal controls.; Observation Category=Regulatory Filing; Remarks=Enterprise-level medicine sales observation.</x:v>
      </x:c>
      <x:c r="D2999" s="33" t="str">
        <x:v>Observation Template=Maintain complete and traceable distribution records for all pharmaceutical products. was not demonstrated or did not operate effectively for the sample tested.; Risk Level=High; Recommendation=Implement the requirement, assign ownership, correct affected records or transactions, and retain evidence of operating effectiveness: Maintain complete and traceable distribution records for all pharmaceutical products.; Observation Category=CA019; Remarks=P-4 aligned to the normalized parent audit; legacy Observation ID preserved.</x:v>
      </x:c>
      <x:c r="E2999" s="33" t="str">
        <x:v>CORRECT / RECLASSIFY</x:v>
      </x:c>
      <x:c r="F2999" s="33" t="str">
        <x:v>Quarantine inactive descendants and align existing observations to normalized audits.</x:v>
      </x:c>
      <x:c r="G2999" s="33" t="str">
        <x:v>P-4 execution-chain reconciliation</x:v>
      </x:c>
      <x:c r="H2999" s="33" t="str">
        <x:v>P-4</x:v>
      </x:c>
      <x:c r="I2999" s="33" t="str">
        <x:v>P-4</x:v>
      </x:c>
      <x:c r="J2999" s="33" t="str">
        <x:v>2026-08-20</x:v>
      </x:c>
      <x:c r="K2999" s="33" t="str">
        <x:v>Observation IDs preserved and aligned.</x:v>
      </x:c>
    </x:row>
    <x:row r="3000">
      <x:c r="A3000" s="33" t="str">
        <x:v>OBS126</x:v>
      </x:c>
      <x:c r="B3000" s="33" t="str">
        <x:v>Observation Master</x:v>
      </x:c>
      <x:c r="C3000" s="33" t="str">
        <x:v>Observation Template=Suspected counterfeit medicines were not identified, isolated or documented appropriately.; Risk Level=Critical; Recommendation=Immediately quarantine suspected counterfeit medicines, document the incident and prevent further sale or distribution.; Observation Category=Digital / E-Pharmacy; Remarks=Counterfeit medicines present a significant patient safety and regulatory risk.</x:v>
      </x:c>
      <x:c r="D3000" s="33" t="str">
        <x:v>Observation Template=Continuously monitor and record storage temperature for all temperature-sensitive medicines. was not demonstrated or did not operate effectively for the sample tested.; Risk Level=High; Recommendation=Implement the requirement, assign ownership, correct affected records or transactions, and retain evidence of operating effectiveness: Continuously monitor and record storage temperature for all temperature-sensitive medicines.; Observation Category=CA007; Remarks=P-4 aligned to the normalized parent audit; legacy Observation ID preserved.</x:v>
      </x:c>
      <x:c r="E3000" s="33" t="str">
        <x:v>CORRECT / RECLASSIFY</x:v>
      </x:c>
      <x:c r="F3000" s="33" t="str">
        <x:v>Quarantine inactive descendants and align existing observations to normalized audits.</x:v>
      </x:c>
      <x:c r="G3000" s="33" t="str">
        <x:v>P-4 execution-chain reconciliation</x:v>
      </x:c>
      <x:c r="H3000" s="33" t="str">
        <x:v>P-4</x:v>
      </x:c>
      <x:c r="I3000" s="33" t="str">
        <x:v>P-4</x:v>
      </x:c>
      <x:c r="J3000" s="33" t="str">
        <x:v>2026-08-20</x:v>
      </x:c>
      <x:c r="K3000" s="33" t="str">
        <x:v>Observation IDs preserved and aligned.</x:v>
      </x:c>
    </x:row>
    <x:row r="3001">
      <x:c r="A3001" s="33" t="str">
        <x:v>OBS127</x:v>
      </x:c>
      <x:c r="B3001" s="33" t="str">
        <x:v>Observation Master</x:v>
      </x:c>
      <x:c r="C3001" s="33" t="str">
        <x:v>Observation Template=Suspected counterfeit medicine incidents were not reported to the competent regulatory authority within prescribed timelines.; Risk Level=Critical; Recommendation=Report counterfeit medicine incidents immediately and retain documentary evidence of regulatory communication.; Observation Category=Regulatory Filing; Remarks=Mandatory reporting requirement.</x:v>
      </x:c>
      <x:c r="D3001" s="33" t="str">
        <x:v>Observation Template=Monitor and maintain humidity within prescribed limits where applicable. was not demonstrated or did not operate effectively for the sample tested.; Risk Level=High; Recommendation=Implement the requirement, assign ownership, correct affected records or transactions, and retain evidence of operating effectiveness: Monitor and maintain humidity within prescribed limits where applicable.; Observation Category=CA007; Remarks=P-4 aligned to the normalized parent audit; legacy Observation ID preserved.</x:v>
      </x:c>
      <x:c r="E3001" s="33" t="str">
        <x:v>CORRECT / RECLASSIFY</x:v>
      </x:c>
      <x:c r="F3001" s="33" t="str">
        <x:v>Quarantine inactive descendants and align existing observations to normalized audits.</x:v>
      </x:c>
      <x:c r="G3001" s="33" t="str">
        <x:v>P-4 execution-chain reconciliation</x:v>
      </x:c>
      <x:c r="H3001" s="33" t="str">
        <x:v>P-4</x:v>
      </x:c>
      <x:c r="I3001" s="33" t="str">
        <x:v>P-4</x:v>
      </x:c>
      <x:c r="J3001" s="33" t="str">
        <x:v>2026-08-20</x:v>
      </x:c>
      <x:c r="K3001" s="33" t="str">
        <x:v>Observation IDs preserved and aligned.</x:v>
      </x:c>
    </x:row>
    <x:row r="3002">
      <x:c r="A3002" s="33" t="str">
        <x:v>OBS128</x:v>
      </x:c>
      <x:c r="B3002" s="33" t="str">
        <x:v>Observation Master</x:v>
      </x:c>
      <x:c r="C3002" s="33" t="str">
        <x:v>Observation Template=Product recall notifications were not reviewed promptly or recall actions were delayed.; Risk Level=Critical; Recommendation=Establish an effective recall management process to ensure immediate implementation of recall instructions.; Observation Category=Quality; Remarks=Timely recalls protect patient safety.</x:v>
      </x:c>
      <x:c r="D3002" s="33" t="str">
        <x:v>Observation Template=Follow the FEFO (First Expiry First Out) inventory management system for stock issuance. was not demonstrated or did not operate effectively for the sample tested.; Risk Level=High; Recommendation=Implement the requirement, assign ownership, correct affected records or transactions, and retain evidence of operating effectiveness: Follow the FEFO (First Expiry First Out) inventory management system for stock issuance.; Observation Category=CA012; Remarks=P-4 aligned to the normalized parent audit; legacy Observation ID preserved.</x:v>
      </x:c>
      <x:c r="E3002" s="33" t="str">
        <x:v>CORRECT / RECLASSIFY</x:v>
      </x:c>
      <x:c r="F3002" s="33" t="str">
        <x:v>Quarantine inactive descendants and align existing observations to normalized audits.</x:v>
      </x:c>
      <x:c r="G3002" s="33" t="str">
        <x:v>P-4 execution-chain reconciliation</x:v>
      </x:c>
      <x:c r="H3002" s="33" t="str">
        <x:v>P-4</x:v>
      </x:c>
      <x:c r="I3002" s="33" t="str">
        <x:v>P-4</x:v>
      </x:c>
      <x:c r="J3002" s="33" t="str">
        <x:v>2026-08-20</x:v>
      </x:c>
      <x:c r="K3002" s="33" t="str">
        <x:v>Observation IDs preserved and aligned.</x:v>
      </x:c>
    </x:row>
    <x:row r="3003">
      <x:c r="A3003" s="33" t="str">
        <x:v>OBS129</x:v>
      </x:c>
      <x:c r="B3003" s="33" t="str">
        <x:v>Observation Master</x:v>
      </x:c>
      <x:c r="C3003" s="33" t="str">
        <x:v>Observation Template=Recalled medicines remained available for sale or were not completely removed from inventory.; Risk Level=Critical; Recommendation=Remove all recalled medicines immediately and verify complete withdrawal through physical checks.; Observation Category=Inventory; Remarks=Zero tolerance for recalled stock in saleable inventory.</x:v>
      </x:c>
      <x:c r="D3003" s="33" t="str">
        <x:v>Observation Template=Segregate expired, damaged, recalled and rejected medicines from saleable inventory immediately. was not demonstrated or did not operate effectively for the sample tested.; Risk Level=High; Recommendation=Implement the requirement, assign ownership, correct affected records or transactions, and retain evidence of operating effectiveness: Segregate expired, damaged, recalled and rejected medicines from saleable inventory immediately.; Observation Category=CA013; Remarks=P-4 aligned to the normalized parent audit; legacy Observation ID preserved.</x:v>
      </x:c>
      <x:c r="E3003" s="33" t="str">
        <x:v>CORRECT / RECLASSIFY</x:v>
      </x:c>
      <x:c r="F3003" s="33" t="str">
        <x:v>Quarantine inactive descendants and align existing observations to normalized audits.</x:v>
      </x:c>
      <x:c r="G3003" s="33" t="str">
        <x:v>P-4 execution-chain reconciliation</x:v>
      </x:c>
      <x:c r="H3003" s="33" t="str">
        <x:v>P-4</x:v>
      </x:c>
      <x:c r="I3003" s="33" t="str">
        <x:v>P-4</x:v>
      </x:c>
      <x:c r="J3003" s="33" t="str">
        <x:v>2026-08-20</x:v>
      </x:c>
      <x:c r="K3003" s="33" t="str">
        <x:v>Observation IDs preserved and aligned.</x:v>
      </x:c>
    </x:row>
    <x:row r="3004">
      <x:c r="A3004" s="33" t="str">
        <x:v>OBS130</x:v>
      </x:c>
      <x:c r="B3004" s="33" t="str">
        <x:v>Observation Master</x:v>
      </x:c>
      <x:c r="C3004" s="33" t="str">
        <x:v>Observation Template=Recalled medicines were not segregated in designated quarantine areas.; Risk Level=High; Recommendation=Maintain clearly identified quarantine areas exclusively for recalled medicines.; Observation Category=Infrastructure; Remarks=Prevent accidental redistribution.</x:v>
      </x:c>
      <x:c r="D3004" s="33" t="str">
        <x:v>Observation Template=Maintain storage areas in a clean, hygienic and pest-free condition. was not demonstrated or did not operate effectively for the sample tested.; Risk Level=High; Recommendation=Implement the requirement, assign ownership, correct affected records or transactions, and retain evidence of operating effectiveness: Maintain storage areas in a clean, hygienic and pest-free condition.; Observation Category=CA007; Remarks=P-4 aligned to the normalized parent audit; legacy Observation ID preserved.</x:v>
      </x:c>
      <x:c r="E3004" s="33" t="str">
        <x:v>CORRECT / RECLASSIFY</x:v>
      </x:c>
      <x:c r="F3004" s="33" t="str">
        <x:v>Quarantine inactive descendants and align existing observations to normalized audits.</x:v>
      </x:c>
      <x:c r="G3004" s="33" t="str">
        <x:v>P-4 execution-chain reconciliation</x:v>
      </x:c>
      <x:c r="H3004" s="33" t="str">
        <x:v>P-4</x:v>
      </x:c>
      <x:c r="I3004" s="33" t="str">
        <x:v>P-4</x:v>
      </x:c>
      <x:c r="J3004" s="33" t="str">
        <x:v>2026-08-20</x:v>
      </x:c>
      <x:c r="K3004" s="33" t="str">
        <x:v>Observation IDs preserved and aligned.</x:v>
      </x:c>
    </x:row>
    <x:row r="3005">
      <x:c r="A3005" s="33" t="str">
        <x:v>OBS131</x:v>
      </x:c>
      <x:c r="B3005" s="33" t="str">
        <x:v>Observation Master</x:v>
      </x:c>
      <x:c r="C3005" s="33" t="str">
        <x:v>Observation Template=Customers affected by product recalls were not informed where notification was required.; Risk Level=High; Recommendation=Implement documented customer notification procedures for applicable recalls.; Observation Category=Digital / E-Pharmacy; Remarks=Maintain communication records.</x:v>
      </x:c>
      <x:c r="D3005" s="33" t="str">
        <x:v>Observation Template=Initiate product recall immediately upon receipt of recall notice or identification of defective products. was not demonstrated or did not operate effectively for the sample tested.; Risk Level=High; Recommendation=Implement the requirement, assign ownership, correct affected records or transactions, and retain evidence of operating effectiveness: Initiate product recall immediately upon receipt of recall notice or identification of defective products.; Observation Category=CA022; Remarks=P-4 aligned to the normalized parent audit; legacy Observation ID preserved.</x:v>
      </x:c>
      <x:c r="E3005" s="33" t="str">
        <x:v>CORRECT / RECLASSIFY</x:v>
      </x:c>
      <x:c r="F3005" s="33" t="str">
        <x:v>Quarantine inactive descendants and align existing observations to normalized audits.</x:v>
      </x:c>
      <x:c r="G3005" s="33" t="str">
        <x:v>P-4 execution-chain reconciliation</x:v>
      </x:c>
      <x:c r="H3005" s="33" t="str">
        <x:v>P-4</x:v>
      </x:c>
      <x:c r="I3005" s="33" t="str">
        <x:v>P-4</x:v>
      </x:c>
      <x:c r="J3005" s="33" t="str">
        <x:v>2026-08-20</x:v>
      </x:c>
      <x:c r="K3005" s="33" t="str">
        <x:v>Observation IDs preserved and aligned.</x:v>
      </x:c>
    </x:row>
    <x:row r="3006">
      <x:c r="A3006" s="33" t="str">
        <x:v>OBS132</x:v>
      </x:c>
      <x:c r="B3006" s="33" t="str">
        <x:v>Observation Master</x:v>
      </x:c>
      <x:c r="C3006" s="33" t="str">
        <x:v>Observation Template=Suppliers were not informed of recalled medicines or supplier communication records were incomplete.; Risk Level=Medium; Recommendation=Notify suppliers promptly and retain evidence of all recall-related correspondence.; Observation Category=Quality; Remarks=Maintain complete recall traceability.</x:v>
      </x:c>
      <x:c r="D3006" s="33" t="str">
        <x:v>Observation Template=Classify recalled products according to the applicable recall category and risk level. was not demonstrated or did not operate effectively for the sample tested.; Risk Level=High; Recommendation=Implement the requirement, assign ownership, correct affected records or transactions, and retain evidence of operating effectiveness: Classify recalled products according to the applicable recall category and risk level.; Observation Category=CA022; Remarks=P-4 aligned to the normalized parent audit; legacy Observation ID preserved.</x:v>
      </x:c>
      <x:c r="E3006" s="33" t="str">
        <x:v>CORRECT / RECLASSIFY</x:v>
      </x:c>
      <x:c r="F3006" s="33" t="str">
        <x:v>Quarantine inactive descendants and align existing observations to normalized audits.</x:v>
      </x:c>
      <x:c r="G3006" s="33" t="str">
        <x:v>P-4 execution-chain reconciliation</x:v>
      </x:c>
      <x:c r="H3006" s="33" t="str">
        <x:v>P-4</x:v>
      </x:c>
      <x:c r="I3006" s="33" t="str">
        <x:v>P-4</x:v>
      </x:c>
      <x:c r="J3006" s="33" t="str">
        <x:v>2026-08-20</x:v>
      </x:c>
      <x:c r="K3006" s="33" t="str">
        <x:v>Observation IDs preserved and aligned.</x:v>
      </x:c>
    </x:row>
    <x:row r="3007">
      <x:c r="A3007" s="33" t="str">
        <x:v>OBS133</x:v>
      </x:c>
      <x:c r="B3007" s="33" t="str">
        <x:v>Observation Master</x:v>
      </x:c>
      <x:c r="C3007" s="33" t="str">
        <x:v>Observation Template=Recall effectiveness checks were not conducted or recall reconciliation was incomplete.; Risk Level=High; Recommendation=Perform documented recall effectiveness verification and reconcile recovered quantities.; Observation Category=Quality; Remarks=Validate recall completion.</x:v>
      </x:c>
      <x:c r="D3007" s="33" t="str">
        <x:v>Observation Template=Notify customers, distributors and regulatory authorities as required during product recall. was not demonstrated or did not operate effectively for the sample tested.; Risk Level=High; Recommendation=Implement the requirement, assign ownership, correct affected records or transactions, and retain evidence of operating effectiveness: Notify customers, distributors and regulatory authorities as required during product recall.; Observation Category=CA022; Remarks=P-4 aligned to the normalized parent audit; legacy Observation ID preserved.</x:v>
      </x:c>
      <x:c r="E3007" s="33" t="str">
        <x:v>CORRECT / RECLASSIFY</x:v>
      </x:c>
      <x:c r="F3007" s="33" t="str">
        <x:v>Quarantine inactive descendants and align existing observations to normalized audits.</x:v>
      </x:c>
      <x:c r="G3007" s="33" t="str">
        <x:v>P-4 execution-chain reconciliation</x:v>
      </x:c>
      <x:c r="H3007" s="33" t="str">
        <x:v>P-4</x:v>
      </x:c>
      <x:c r="I3007" s="33" t="str">
        <x:v>P-4</x:v>
      </x:c>
      <x:c r="J3007" s="33" t="str">
        <x:v>2026-08-20</x:v>
      </x:c>
      <x:c r="K3007" s="33" t="str">
        <x:v>Observation IDs preserved and aligned.</x:v>
      </x:c>
    </x:row>
    <x:row r="3008">
      <x:c r="A3008" s="33" t="str">
        <x:v>OBS134</x:v>
      </x:c>
      <x:c r="B3008" s="33" t="str">
        <x:v>Observation Master</x:v>
      </x:c>
      <x:c r="C3008" s="33" t="str">
        <x:v>Observation Template=Recalled medicines were disposed of without appropriate authorization or supporting documentation.; Risk Level=High; Recommendation=Dispose of recalled medicines only through approved procedures with complete documentation.; Observation Category=Digital / E-Pharmacy; Remarks=Retain disposal certificates.</x:v>
      </x:c>
      <x:c r="D3008" s="33" t="str">
        <x:v>Observation Template=Verify the effectiveness of product recall by reconciling quantities distributed and recovered. was not demonstrated or did not operate effectively for the sample tested.; Risk Level=High; Recommendation=Implement the requirement, assign ownership, correct affected records or transactions, and retain evidence of operating effectiveness: Verify the effectiveness of product recall by reconciling quantities distributed and recovered.; Observation Category=CA022; Remarks=P-4 aligned to the normalized parent audit; legacy Observation ID preserved.</x:v>
      </x:c>
      <x:c r="E3008" s="33" t="str">
        <x:v>CORRECT / RECLASSIFY</x:v>
      </x:c>
      <x:c r="F3008" s="33" t="str">
        <x:v>Quarantine inactive descendants and align existing observations to normalized audits.</x:v>
      </x:c>
      <x:c r="G3008" s="33" t="str">
        <x:v>P-4 execution-chain reconciliation</x:v>
      </x:c>
      <x:c r="H3008" s="33" t="str">
        <x:v>P-4</x:v>
      </x:c>
      <x:c r="I3008" s="33" t="str">
        <x:v>P-4</x:v>
      </x:c>
      <x:c r="J3008" s="33" t="str">
        <x:v>2026-08-20</x:v>
      </x:c>
      <x:c r="K3008" s="33" t="str">
        <x:v>Observation IDs preserved and aligned.</x:v>
      </x:c>
    </x:row>
    <x:row r="3009">
      <x:c r="A3009" s="33" t="str">
        <x:v>OBS135</x:v>
      </x:c>
      <x:c r="B3009" s="33" t="str">
        <x:v>Observation Master</x:v>
      </x:c>
      <x:c r="C3009" s="33" t="str">
        <x:v>Observation Template=Recall registers were incomplete, inaccurate or not maintained contemporaneously.; Risk Level=Medium; Recommendation=Maintain comprehensive recall registers for every recall event.; Observation Category=Quality; Remarks=Supports regulatory inspections.</x:v>
      </x:c>
      <x:c r="D3009" s="33" t="str">
        <x:v>Observation Template=Maintain complete documentation supporting recall closure and regulatory reporting. was not demonstrated or did not operate effectively for the sample tested.; Risk Level=High; Recommendation=Implement the requirement, assign ownership, correct affected records or transactions, and retain evidence of operating effectiveness: Maintain complete documentation supporting recall closure and regulatory reporting.; Observation Category=CA022; Remarks=P-4 aligned to the normalized parent audit; legacy Observation ID preserved.</x:v>
      </x:c>
      <x:c r="E3009" s="33" t="str">
        <x:v>CORRECT / RECLASSIFY</x:v>
      </x:c>
      <x:c r="F3009" s="33" t="str">
        <x:v>Quarantine inactive descendants and align existing observations to normalized audits.</x:v>
      </x:c>
      <x:c r="G3009" s="33" t="str">
        <x:v>P-4 execution-chain reconciliation</x:v>
      </x:c>
      <x:c r="H3009" s="33" t="str">
        <x:v>P-4</x:v>
      </x:c>
      <x:c r="I3009" s="33" t="str">
        <x:v>P-4</x:v>
      </x:c>
      <x:c r="J3009" s="33" t="str">
        <x:v>2026-08-20</x:v>
      </x:c>
      <x:c r="K3009" s="33" t="str">
        <x:v>Observation IDs preserved and aligned.</x:v>
      </x:c>
    </x:row>
    <x:row r="3010">
      <x:c r="A3010" s="33" t="str">
        <x:v>OBS136</x:v>
      </x:c>
      <x:c r="B3010" s="33" t="str">
        <x:v>Observation Master</x:v>
      </x:c>
      <x:c r="C3010" s="33" t="str">
        <x:v>Observation Template=Recall instructions were not communicated effectively to pharmacy personnel.; Risk Level=Medium; Recommendation=Establish documented internal communication procedures for recall events.; Observation Category=Personnel; Remarks=Verify staff awareness.</x:v>
      </x:c>
      <x:c r="D3010" s="33" t="str">
        <x:v>Observation Template=Establish a documented process for receiving product complaints from customers. was not demonstrated or did not operate effectively for the sample tested.; Risk Level=High; Recommendation=Implement the requirement, assign ownership, correct affected records or transactions, and retain evidence of operating effectiveness: Establish a documented process for receiving product complaints from customers.; Observation Category=CA023; Remarks=P-4 aligned to the normalized parent audit; legacy Observation ID preserved.</x:v>
      </x:c>
      <x:c r="E3010" s="33" t="str">
        <x:v>CORRECT / RECLASSIFY</x:v>
      </x:c>
      <x:c r="F3010" s="33" t="str">
        <x:v>Quarantine inactive descendants and align existing observations to normalized audits.</x:v>
      </x:c>
      <x:c r="G3010" s="33" t="str">
        <x:v>P-4 execution-chain reconciliation</x:v>
      </x:c>
      <x:c r="H3010" s="33" t="str">
        <x:v>P-4</x:v>
      </x:c>
      <x:c r="I3010" s="33" t="str">
        <x:v>P-4</x:v>
      </x:c>
      <x:c r="J3010" s="33" t="str">
        <x:v>2026-08-20</x:v>
      </x:c>
      <x:c r="K3010" s="33" t="str">
        <x:v>Observation IDs preserved and aligned.</x:v>
      </x:c>
    </x:row>
    <x:row r="3011">
      <x:c r="A3011" s="33" t="str">
        <x:v>OBS137</x:v>
      </x:c>
      <x:c r="B3011" s="33" t="str">
        <x:v>Observation Master</x:v>
      </x:c>
      <x:c r="C3011" s="33" t="str">
        <x:v>Observation Template=Mock recall exercises were not conducted or identified deficiencies remained unresolved.; Risk Level=Medium; Recommendation=Conduct periodic mock recalls and implement corrective actions for identified weaknesses.; Observation Category=Quality; Remarks=Evaluate recall readiness.</x:v>
      </x:c>
      <x:c r="D3011" s="33" t="str">
        <x:v>Observation Template=Investigate every product complaint and document findings appropriately. was not demonstrated or did not operate effectively for the sample tested.; Risk Level=High; Recommendation=Implement the requirement, assign ownership, correct affected records or transactions, and retain evidence of operating effectiveness: Investigate every product complaint and document findings appropriately.; Observation Category=CA023; Remarks=P-4 aligned to the normalized parent audit; legacy Observation ID preserved.</x:v>
      </x:c>
      <x:c r="E3011" s="33" t="str">
        <x:v>CORRECT / RECLASSIFY</x:v>
      </x:c>
      <x:c r="F3011" s="33" t="str">
        <x:v>Quarantine inactive descendants and align existing observations to normalized audits.</x:v>
      </x:c>
      <x:c r="G3011" s="33" t="str">
        <x:v>P-4 execution-chain reconciliation</x:v>
      </x:c>
      <x:c r="H3011" s="33" t="str">
        <x:v>P-4</x:v>
      </x:c>
      <x:c r="I3011" s="33" t="str">
        <x:v>P-4</x:v>
      </x:c>
      <x:c r="J3011" s="33" t="str">
        <x:v>2026-08-20</x:v>
      </x:c>
      <x:c r="K3011" s="33" t="str">
        <x:v>Observation IDs preserved and aligned.</x:v>
      </x:c>
    </x:row>
    <x:row r="3012">
      <x:c r="A3012" s="33" t="str">
        <x:v>OBS138</x:v>
      </x:c>
      <x:c r="B3012" s="33" t="str">
        <x:v>Observation Master</x:v>
      </x:c>
      <x:c r="C3012" s="33" t="str">
        <x:v>Observation Template=Adverse Drug Reaction (ADR) complaints were not documented or investigated appropriately.; Risk Level=High; Recommendation=Record, investigate and monitor all reportable ADR complaints in accordance with pharmacovigilance requirements.; Observation Category=Digital / E-Pharmacy; Remarks=Patient safety priority.</x:v>
      </x:c>
      <x:c r="D3012" s="33" t="str">
        <x:v>Observation Template=Maintain a complaint register and supporting investigation records. was not demonstrated or did not operate effectively for the sample tested.; Risk Level=High; Recommendation=Implement the requirement, assign ownership, correct affected records or transactions, and retain evidence of operating effectiveness: Maintain a complaint register and supporting investigation records.; Observation Category=CA023; Remarks=P-4 aligned to the normalized parent audit; legacy Observation ID preserved.</x:v>
      </x:c>
      <x:c r="E3012" s="33" t="str">
        <x:v>CORRECT / RECLASSIFY</x:v>
      </x:c>
      <x:c r="F3012" s="33" t="str">
        <x:v>Quarantine inactive descendants and align existing observations to normalized audits.</x:v>
      </x:c>
      <x:c r="G3012" s="33" t="str">
        <x:v>P-4 execution-chain reconciliation</x:v>
      </x:c>
      <x:c r="H3012" s="33" t="str">
        <x:v>P-4</x:v>
      </x:c>
      <x:c r="I3012" s="33" t="str">
        <x:v>P-4</x:v>
      </x:c>
      <x:c r="J3012" s="33" t="str">
        <x:v>2026-08-20</x:v>
      </x:c>
      <x:c r="K3012" s="33" t="str">
        <x:v>Observation IDs preserved and aligned.</x:v>
      </x:c>
    </x:row>
    <x:row r="3013">
      <x:c r="A3013" s="33" t="str">
        <x:v>OBS139</x:v>
      </x:c>
      <x:c r="B3013" s="33" t="str">
        <x:v>Observation Master</x:v>
      </x:c>
      <x:c r="C3013" s="33" t="str">
        <x:v>Observation Template=Reportable ADRs were not submitted to the appropriate authority within prescribed timelines.; Risk Level=High; Recommendation=Report ADRs promptly and retain acknowledgement of submission.; Observation Category=Digital / E-Pharmacy; Remarks=Comply with pharmacovigilance requirements.</x:v>
      </x:c>
      <x:c r="D3013" s="33" t="str">
        <x:v>Observation Template=Close product complaints only after investigation, corrective action and documentation are completed. was not demonstrated or did not operate effectively for the sample tested.; Risk Level=High; Recommendation=Implement the requirement, assign ownership, correct affected records or transactions, and retain evidence of operating effectiveness: Close product complaints only after investigation, corrective action and documentation are completed.; Observation Category=CA023; Remarks=P-4 aligned to the normalized parent audit; legacy Observation ID preserved.</x:v>
      </x:c>
      <x:c r="E3013" s="33" t="str">
        <x:v>CORRECT / RECLASSIFY</x:v>
      </x:c>
      <x:c r="F3013" s="33" t="str">
        <x:v>Quarantine inactive descendants and align existing observations to normalized audits.</x:v>
      </x:c>
      <x:c r="G3013" s="33" t="str">
        <x:v>P-4 execution-chain reconciliation</x:v>
      </x:c>
      <x:c r="H3013" s="33" t="str">
        <x:v>P-4</x:v>
      </x:c>
      <x:c r="I3013" s="33" t="str">
        <x:v>P-4</x:v>
      </x:c>
      <x:c r="J3013" s="33" t="str">
        <x:v>2026-08-20</x:v>
      </x:c>
      <x:c r="K3013" s="33" t="str">
        <x:v>Observation IDs preserved and aligned.</x:v>
      </x:c>
    </x:row>
    <x:row r="3014">
      <x:c r="A3014" s="33" t="str">
        <x:v>OBS140</x:v>
      </x:c>
      <x:c r="B3014" s="33" t="str">
        <x:v>Observation Master</x:v>
      </x:c>
      <x:c r="C3014" s="33" t="str">
        <x:v>Observation Template=Product quality complaints were inadequately investigated or root cause analysis was not performed.; Risk Level=High; Recommendation=Conduct comprehensive complaint investigations and implement effective CAPA.; Observation Category=Quality; Remarks=Monitor complaint trends.</x:v>
      </x:c>
      <x:c r="D3014" s="33" t="str">
        <x:v>Observation Template=Report suspected adverse drug reactions to the Pharmacovigilance Programme of India whenever required. was not demonstrated or did not operate effectively for the sample tested.; Risk Level=High; Recommendation=Implement the requirement, assign ownership, correct affected records or transactions, and retain evidence of operating effectiveness: Report suspected adverse drug reactions to the Pharmacovigilance Programme of India whenever required.; Observation Category=CA024; Remarks=P-4 aligned to the normalized parent audit; legacy Observation ID preserved.</x:v>
      </x:c>
      <x:c r="E3014" s="33" t="str">
        <x:v>CORRECT / RECLASSIFY</x:v>
      </x:c>
      <x:c r="F3014" s="33" t="str">
        <x:v>Quarantine inactive descendants and align existing observations to normalized audits.</x:v>
      </x:c>
      <x:c r="G3014" s="33" t="str">
        <x:v>P-4 execution-chain reconciliation</x:v>
      </x:c>
      <x:c r="H3014" s="33" t="str">
        <x:v>P-4</x:v>
      </x:c>
      <x:c r="I3014" s="33" t="str">
        <x:v>P-4</x:v>
      </x:c>
      <x:c r="J3014" s="33" t="str">
        <x:v>2026-08-20</x:v>
      </x:c>
      <x:c r="K3014" s="33" t="str">
        <x:v>Observation IDs preserved and aligned.</x:v>
      </x:c>
    </x:row>
    <x:row r="3015">
      <x:c r="A3015" s="33" t="str">
        <x:v>OBS141</x:v>
      </x:c>
      <x:c r="B3015" s="33" t="str">
        <x:v>Observation Master</x:v>
      </x:c>
      <x:c r="C3015" s="33" t="str">
        <x:v>Observation Template=Complaint registers were incomplete or complaint closure documentation was inadequate.; Risk Level=Medium; Recommendation=Maintain complete complaint registers with documented closure evidence.; Observation Category=Quality; Remarks=Records should be readily retrievable.</x:v>
      </x:c>
      <x:c r="D3015" s="33" t="str">
        <x:v>Observation Template=Maintain complete documentation for every reported adverse drug reaction. was not demonstrated or did not operate effectively for the sample tested.; Risk Level=High; Recommendation=Implement the requirement, assign ownership, correct affected records or transactions, and retain evidence of operating effectiveness: Maintain complete documentation for every reported adverse drug reaction.; Observation Category=CA024; Remarks=P-4 aligned to the normalized parent audit; legacy Observation ID preserved.</x:v>
      </x:c>
      <x:c r="E3015" s="33" t="str">
        <x:v>CORRECT / RECLASSIFY</x:v>
      </x:c>
      <x:c r="F3015" s="33" t="str">
        <x:v>Quarantine inactive descendants and align existing observations to normalized audits.</x:v>
      </x:c>
      <x:c r="G3015" s="33" t="str">
        <x:v>P-4 execution-chain reconciliation</x:v>
      </x:c>
      <x:c r="H3015" s="33" t="str">
        <x:v>P-4</x:v>
      </x:c>
      <x:c r="I3015" s="33" t="str">
        <x:v>P-4</x:v>
      </x:c>
      <x:c r="J3015" s="33" t="str">
        <x:v>2026-08-20</x:v>
      </x:c>
      <x:c r="K3015" s="33" t="str">
        <x:v>Observation IDs preserved and aligned.</x:v>
      </x:c>
    </x:row>
    <x:row r="3016">
      <x:c r="A3016" s="33" t="str">
        <x:v>OBS142</x:v>
      </x:c>
      <x:c r="B3016" s="33" t="str">
        <x:v>Observation Master</x:v>
      </x:c>
      <x:c r="C3016" s="33" t="str">
        <x:v>Observation Template=Complaint trend analysis was not performed or management review was ineffective.; Risk Level=Medium; Recommendation=Periodically analyze complaint trends and review findings during management meetings.; Observation Category=Quality; Remarks=Identify recurring issues.</x:v>
      </x:c>
      <x:c r="D3016" s="33" t="str">
        <x:v>Observation Template=Escalate serious adverse drug reactions to the appropriate authority without delay. was not demonstrated or did not operate effectively for the sample tested.; Risk Level=High; Recommendation=Implement the requirement, assign ownership, correct affected records or transactions, and retain evidence of operating effectiveness: Escalate serious adverse drug reactions to the appropriate authority without delay.; Observation Category=CA024; Remarks=P-4 aligned to the normalized parent audit; legacy Observation ID preserved.</x:v>
      </x:c>
      <x:c r="E3016" s="33" t="str">
        <x:v>CORRECT / RECLASSIFY</x:v>
      </x:c>
      <x:c r="F3016" s="33" t="str">
        <x:v>Quarantine inactive descendants and align existing observations to normalized audits.</x:v>
      </x:c>
      <x:c r="G3016" s="33" t="str">
        <x:v>P-4 execution-chain reconciliation</x:v>
      </x:c>
      <x:c r="H3016" s="33" t="str">
        <x:v>P-4</x:v>
      </x:c>
      <x:c r="I3016" s="33" t="str">
        <x:v>P-4</x:v>
      </x:c>
      <x:c r="J3016" s="33" t="str">
        <x:v>2026-08-20</x:v>
      </x:c>
      <x:c r="K3016" s="33" t="str">
        <x:v>Observation IDs preserved and aligned.</x:v>
      </x:c>
    </x:row>
    <x:row r="3017">
      <x:c r="A3017" s="33" t="str">
        <x:v>OBS143</x:v>
      </x:c>
      <x:c r="B3017" s="33" t="str">
        <x:v>Observation Master</x:v>
      </x:c>
      <x:c r="C3017" s="33" t="str">
        <x:v>Observation Template=Complaint investigations lacked batch traceability or supplier linkage.; Risk Level=High; Recommendation=Ensure every product complaint supports complete batch-level traceability.; Observation Category=Inventory; Remarks=Essential during product recalls.</x:v>
      </x:c>
      <x:c r="D3017" s="33" t="str">
        <x:v>Observation Template=Maintain vaccines and biological products within the prescribed cold chain temperature range. was not demonstrated or did not operate effectively for the sample tested.; Risk Level=High; Recommendation=Implement the requirement, assign ownership, correct affected records or transactions, and retain evidence of operating effectiveness: Maintain vaccines and biological products within the prescribed cold chain temperature range.; Observation Category=CA008; Remarks=P-4 aligned to the normalized parent audit; legacy Observation ID preserved.</x:v>
      </x:c>
      <x:c r="E3017" s="33" t="str">
        <x:v>CORRECT / RECLASSIFY</x:v>
      </x:c>
      <x:c r="F3017" s="33" t="str">
        <x:v>Quarantine inactive descendants and align existing observations to normalized audits.</x:v>
      </x:c>
      <x:c r="G3017" s="33" t="str">
        <x:v>P-4 execution-chain reconciliation</x:v>
      </x:c>
      <x:c r="H3017" s="33" t="str">
        <x:v>P-4</x:v>
      </x:c>
      <x:c r="I3017" s="33" t="str">
        <x:v>P-4</x:v>
      </x:c>
      <x:c r="J3017" s="33" t="str">
        <x:v>2026-08-20</x:v>
      </x:c>
      <x:c r="K3017" s="33" t="str">
        <x:v>Observation IDs preserved and aligned.</x:v>
      </x:c>
    </x:row>
    <x:row r="3018">
      <x:c r="A3018" s="33" t="str">
        <x:v>OBS144</x:v>
      </x:c>
      <x:c r="B3018" s="33" t="str">
        <x:v>Observation Master</x:v>
      </x:c>
      <x:c r="C3018" s="33" t="str">
        <x:v>Observation Template=Complaint records were not retained for the prescribed statutory period.; Risk Level=Medium; Recommendation=Preserve complaint records according to the approved retention schedule.; Observation Category=Digital / E-Pharmacy; Remarks=Maintain record availability.</x:v>
      </x:c>
      <x:c r="D3018" s="33" t="str">
        <x:v>Observation Template=Record refrigerator temperatures at the prescribed frequency and retain logs for inspection. was not demonstrated or did not operate effectively for the sample tested.; Risk Level=High; Recommendation=Implement the requirement, assign ownership, correct affected records or transactions, and retain evidence of operating effectiveness: Record refrigerator temperatures at the prescribed frequency and retain logs for inspection.; Observation Category=CA008; Remarks=P-4 aligned to the normalized parent audit; legacy Observation ID preserved.</x:v>
      </x:c>
      <x:c r="E3018" s="33" t="str">
        <x:v>CORRECT / RECLASSIFY</x:v>
      </x:c>
      <x:c r="F3018" s="33" t="str">
        <x:v>Quarantine inactive descendants and align existing observations to normalized audits.</x:v>
      </x:c>
      <x:c r="G3018" s="33" t="str">
        <x:v>P-4 execution-chain reconciliation</x:v>
      </x:c>
      <x:c r="H3018" s="33" t="str">
        <x:v>P-4</x:v>
      </x:c>
      <x:c r="I3018" s="33" t="str">
        <x:v>P-4</x:v>
      </x:c>
      <x:c r="J3018" s="33" t="str">
        <x:v>2026-08-20</x:v>
      </x:c>
      <x:c r="K3018" s="33" t="str">
        <x:v>Observation IDs preserved and aligned.</x:v>
      </x:c>
    </x:row>
    <x:row r="3019">
      <x:c r="A3019" s="33" t="str">
        <x:v>OBS145</x:v>
      </x:c>
      <x:c r="B3019" s="33" t="str">
        <x:v>Observation Master</x:v>
      </x:c>
      <x:c r="C3019" s="33" t="str">
        <x:v>Observation Template=Personnel responsible for recalls and complaint handling were inadequately trained.; Risk Level=Medium; Recommendation=Provide periodic training on recall management, complaint handling and pharmacovigilance responsibilities.; Observation Category=Personnel; Remarks=Assess competency regularly.</x:v>
      </x:c>
      <x:c r="D3019" s="33" t="str">
        <x:v>Observation Template=Validate and periodically qualify cold chain equipment before operational use. was not demonstrated or did not operate effectively for the sample tested.; Risk Level=High; Recommendation=Implement the requirement, assign ownership, correct affected records or transactions, and retain evidence of operating effectiveness: Validate and periodically qualify cold chain equipment before operational use.; Observation Category=CA009; Remarks=P-4 aligned to the normalized parent audit; legacy Observation ID preserved.</x:v>
      </x:c>
      <x:c r="E3019" s="33" t="str">
        <x:v>CORRECT / RECLASSIFY</x:v>
      </x:c>
      <x:c r="F3019" s="33" t="str">
        <x:v>Quarantine inactive descendants and align existing observations to normalized audits.</x:v>
      </x:c>
      <x:c r="G3019" s="33" t="str">
        <x:v>P-4 execution-chain reconciliation</x:v>
      </x:c>
      <x:c r="H3019" s="33" t="str">
        <x:v>P-4</x:v>
      </x:c>
      <x:c r="I3019" s="33" t="str">
        <x:v>P-4</x:v>
      </x:c>
      <x:c r="J3019" s="33" t="str">
        <x:v>2026-08-20</x:v>
      </x:c>
      <x:c r="K3019" s="33" t="str">
        <x:v>Observation IDs preserved and aligned.</x:v>
      </x:c>
    </x:row>
    <x:row r="3020">
      <x:c r="A3020" s="33" t="str">
        <x:v>OBS162</x:v>
      </x:c>
      <x:c r="B3020" s="33" t="str">
        <x:v>Observation Master</x:v>
      </x:c>
      <x:c r="C3020" s="33" t="str">
        <x:v>Observation Template=Environmental permits or statutory approvals relating to waste management were unavailable or expired.; Risk Level=High; Recommendation=Obtain and maintain all required environmental permits and monitor renewal dates.; Observation Category=Digital / E-Pharmacy; Remarks=Verify validity periodically.</x:v>
      </x:c>
      <x:c r="D3020" s="33" t="str">
        <x:v>Observation Template=Deliver pharmacy services in accordance with Pharmacy Practice Regulations. was not demonstrated or did not operate effectively for the sample tested.; Risk Level=High; Recommendation=Implement the requirement, assign ownership, correct affected records or transactions, and retain evidence of operating effectiveness: Deliver pharmacy services in accordance with Pharmacy Practice Regulations.; Observation Category=CA021; Remarks=P-4 aligned to the normalized parent audit; legacy Observation ID preserved.</x:v>
      </x:c>
      <x:c r="E3020" s="33" t="str">
        <x:v>CORRECT / RECLASSIFY</x:v>
      </x:c>
      <x:c r="F3020" s="33" t="str">
        <x:v>Quarantine inactive descendants and align existing observations to normalized audits.</x:v>
      </x:c>
      <x:c r="G3020" s="33" t="str">
        <x:v>P-4 execution-chain reconciliation</x:v>
      </x:c>
      <x:c r="H3020" s="33" t="str">
        <x:v>P-4</x:v>
      </x:c>
      <x:c r="I3020" s="33" t="str">
        <x:v>P-4</x:v>
      </x:c>
      <x:c r="J3020" s="33" t="str">
        <x:v>2026-08-20</x:v>
      </x:c>
      <x:c r="K3020" s="33" t="str">
        <x:v>Observation IDs preserved and aligned.</x:v>
      </x:c>
    </x:row>
    <x:row r="3021">
      <x:c r="A3021" s="33" t="str">
        <x:v>OBS163</x:v>
      </x:c>
      <x:c r="B3021" s="33" t="str">
        <x:v>Observation Master</x:v>
      </x:c>
      <x:c r="C3021" s="33" t="str">
        <x:v>Observation Template=Waste disposal vendors were not periodically evaluated for regulatory compliance or performance.; Risk Level=Medium; Recommendation=Conduct documented periodic vendor evaluations and maintain approved vendor records.; Observation Category=Digital / E-Pharmacy; Remarks=Review vendor compliance annually.</x:v>
      </x:c>
      <x:c r="D3021" s="33" t="str">
        <x:v>Observation Template=Review prescriptions for legality, completeness and clinical appropriateness before dispensing medicines. was not demonstrated or did not operate effectively for the sample tested.; Risk Level=High; Recommendation=Implement the requirement, assign ownership, correct affected records or transactions, and retain evidence of operating effectiveness: Review prescriptions for legality, completeness and clinical appropriateness before dispensing medicines.; Observation Category=CA015; Remarks=P-4 aligned to the normalized parent audit; legacy Observation ID preserved.</x:v>
      </x:c>
      <x:c r="E3021" s="33" t="str">
        <x:v>CORRECT / RECLASSIFY</x:v>
      </x:c>
      <x:c r="F3021" s="33" t="str">
        <x:v>Quarantine inactive descendants and align existing observations to normalized audits.</x:v>
      </x:c>
      <x:c r="G3021" s="33" t="str">
        <x:v>P-4 execution-chain reconciliation</x:v>
      </x:c>
      <x:c r="H3021" s="33" t="str">
        <x:v>P-4</x:v>
      </x:c>
      <x:c r="I3021" s="33" t="str">
        <x:v>P-4</x:v>
      </x:c>
      <x:c r="J3021" s="33" t="str">
        <x:v>2026-08-20</x:v>
      </x:c>
      <x:c r="K3021" s="33" t="str">
        <x:v>Observation IDs preserved and aligned.</x:v>
      </x:c>
    </x:row>
    <x:row r="3022">
      <x:c r="A3022" s="33" t="str">
        <x:v>OBS164</x:v>
      </x:c>
      <x:c r="B3022" s="33" t="str">
        <x:v>Observation Master</x:v>
      </x:c>
      <x:c r="C3022" s="33" t="str">
        <x:v>Observation Template=Waste disposal records were not retained for the prescribed statutory retention period.; Risk Level=Low; Recommendation=Preserve waste management records according to the approved retention schedule.; Observation Category=Digital / E-Pharmacy; Remarks=Ensure records remain accessible.</x:v>
      </x:c>
      <x:c r="D3022" s="33" t="str">
        <x:v>Observation Template=Provide appropriate patient counselling regarding dosage, storage, administration and precautions. was not demonstrated or did not operate effectively for the sample tested.; Risk Level=High; Recommendation=Implement the requirement, assign ownership, correct affected records or transactions, and retain evidence of operating effectiveness: Provide appropriate patient counselling regarding dosage, storage, administration and precautions.; Observation Category=CA021; Remarks=P-4 aligned to the normalized parent audit; legacy Observation ID preserved.</x:v>
      </x:c>
      <x:c r="E3022" s="33" t="str">
        <x:v>CORRECT / RECLASSIFY</x:v>
      </x:c>
      <x:c r="F3022" s="33" t="str">
        <x:v>Quarantine inactive descendants and align existing observations to normalized audits.</x:v>
      </x:c>
      <x:c r="G3022" s="33" t="str">
        <x:v>P-4 execution-chain reconciliation</x:v>
      </x:c>
      <x:c r="H3022" s="33" t="str">
        <x:v>P-4</x:v>
      </x:c>
      <x:c r="I3022" s="33" t="str">
        <x:v>P-4</x:v>
      </x:c>
      <x:c r="J3022" s="33" t="str">
        <x:v>2026-08-20</x:v>
      </x:c>
      <x:c r="K3022" s="33" t="str">
        <x:v>Observation IDs preserved and aligned.</x:v>
      </x:c>
    </x:row>
    <x:row r="3023">
      <x:c r="A3023" s="33" t="str">
        <x:v>OBS165</x:v>
      </x:c>
      <x:c r="B3023" s="33" t="str">
        <x:v>Observation Master</x:v>
      </x:c>
      <x:c r="C3023" s="33" t="str">
        <x:v>Observation Template=Internal inspections of pharmaceutical waste management were not conducted or inspection findings remained unresolved.; Risk Level=Medium; Recommendation=Conduct periodic waste management inspections and verify timely closure of observations.; Observation Category=Other; Remarks=Supports continuous improvement.</x:v>
      </x:c>
      <x:c r="D3023" s="33" t="str">
        <x:v>Observation Template=Maintain confidentiality of patient records and prescription information. was not demonstrated or did not operate effectively for the sample tested.; Risk Level=High; Recommendation=Implement the requirement, assign ownership, correct affected records or transactions, and retain evidence of operating effectiveness: Maintain confidentiality of patient records and prescription information.; Observation Category=CA071; Remarks=P-4 aligned to the normalized parent audit; legacy Observation ID preserved.</x:v>
      </x:c>
      <x:c r="E3023" s="33" t="str">
        <x:v>CORRECT / RECLASSIFY</x:v>
      </x:c>
      <x:c r="F3023" s="33" t="str">
        <x:v>Quarantine inactive descendants and align existing observations to normalized audits.</x:v>
      </x:c>
      <x:c r="G3023" s="33" t="str">
        <x:v>P-4 execution-chain reconciliation</x:v>
      </x:c>
      <x:c r="H3023" s="33" t="str">
        <x:v>P-4</x:v>
      </x:c>
      <x:c r="I3023" s="33" t="str">
        <x:v>P-4</x:v>
      </x:c>
      <x:c r="J3023" s="33" t="str">
        <x:v>2026-08-20</x:v>
      </x:c>
      <x:c r="K3023" s="33" t="str">
        <x:v>Observation IDs preserved and aligned.</x:v>
      </x:c>
    </x:row>
    <x:row r="3024">
      <x:c r="A3024" s="33" t="str">
        <x:v>OBS166</x:v>
      </x:c>
      <x:c r="B3024" s="33" t="str">
        <x:v>Observation Master</x:v>
      </x:c>
      <x:c r="C3024" s="33" t="str">
        <x:v>Observation Template=Waste management SOPs were unavailable, outdated or not consistently followed by personnel.; Risk Level=Medium; Recommendation=Maintain current waste management SOPs and periodically train personnel on their implementation.; Observation Category=Personnel; Remarks=Monitor procedural compliance.</x:v>
      </x:c>
      <x:c r="D3024" s="33" t="str">
        <x:v>Observation Template=Participate in professional development programmes to maintain competency. was not demonstrated or did not operate effectively for the sample tested.; Risk Level=High; Recommendation=Implement the requirement, assign ownership, correct affected records or transactions, and retain evidence of operating effectiveness: Participate in professional development programmes to maintain competency.; Observation Category=CA049; Remarks=P-4 aligned to the normalized parent audit; legacy Observation ID preserved.</x:v>
      </x:c>
      <x:c r="E3024" s="33" t="str">
        <x:v>CORRECT / RECLASSIFY</x:v>
      </x:c>
      <x:c r="F3024" s="33" t="str">
        <x:v>Quarantine inactive descendants and align existing observations to normalized audits.</x:v>
      </x:c>
      <x:c r="G3024" s="33" t="str">
        <x:v>P-4 execution-chain reconciliation</x:v>
      </x:c>
      <x:c r="H3024" s="33" t="str">
        <x:v>P-4</x:v>
      </x:c>
      <x:c r="I3024" s="33" t="str">
        <x:v>P-4</x:v>
      </x:c>
      <x:c r="J3024" s="33" t="str">
        <x:v>2026-08-20</x:v>
      </x:c>
      <x:c r="K3024" s="33" t="str">
        <x:v>Observation IDs preserved and aligned.</x:v>
      </x:c>
    </x:row>
    <x:row r="3025">
      <x:c r="A3025" s="33" t="str">
        <x:v>OBS167</x:v>
      </x:c>
      <x:c r="B3025" s="33" t="str">
        <x:v>Observation Master</x:v>
      </x:c>
      <x:c r="C3025" s="33" t="str">
        <x:v>Observation Template=Personnel handling pharmaceutical waste did not consistently use appropriate personal protective equipment (PPE).; Risk Level=Medium; Recommendation=Enforce mandatory PPE usage and periodically inspect PPE availability and condition.; Observation Category=Digital / E-Pharmacy; Remarks=Protect employee health and safety.</x:v>
      </x:c>
      <x:c r="D3025" s="33" t="str">
        <x:v>Observation Template=Obtain clinical-establishment registration before operation where the establishment role and jurisdiction trigger apply. was not demonstrated or did not operate effectively for the sample tested.; Risk Level=High; Recommendation=Implement the requirement, assign ownership, correct affected records or transactions, and retain evidence of operating effectiveness: Obtain clinical-establishment registration before operation where the establishment role and jurisdiction trigger apply.; Observation Category=CA056; Remarks=P-4 aligned to the normalized parent audit; legacy Observation ID preserved.</x:v>
      </x:c>
      <x:c r="E3025" s="33" t="str">
        <x:v>CORRECT / RECLASSIFY</x:v>
      </x:c>
      <x:c r="F3025" s="33" t="str">
        <x:v>Quarantine inactive descendants and align existing observations to normalized audits.</x:v>
      </x:c>
      <x:c r="G3025" s="33" t="str">
        <x:v>P-4 execution-chain reconciliation</x:v>
      </x:c>
      <x:c r="H3025" s="33" t="str">
        <x:v>P-4</x:v>
      </x:c>
      <x:c r="I3025" s="33" t="str">
        <x:v>P-4</x:v>
      </x:c>
      <x:c r="J3025" s="33" t="str">
        <x:v>2026-08-20</x:v>
      </x:c>
      <x:c r="K3025" s="33" t="str">
        <x:v>Observation IDs preserved and aligned.</x:v>
      </x:c>
    </x:row>
    <x:row r="3026">
      <x:c r="A3026" s="33" t="str">
        <x:v>OBS168</x:v>
      </x:c>
      <x:c r="B3026" s="33" t="str">
        <x:v>Observation Master</x:v>
      </x:c>
      <x:c r="C3026" s="33" t="str">
        <x:v>Observation Template=Scheduled pharmaceutical waste collection was delayed or collection records were incomplete.; Risk Level=Medium; Recommendation=Adhere to approved waste collection schedules and document all collections.; Observation Category=Digital / E-Pharmacy; Remarks=Avoid waste accumulation.</x:v>
      </x:c>
      <x:c r="D3026" s="33" t="str">
        <x:v>Observation Template=Where the clinical-establishment overlay applies, maintain prescribed minimum standards, personnel, records/reporting and emergency-stabilization arrangements. was not demonstrated or did not operate effectively for the sample tested.; Risk Level=High; Recommendation=Implement the requirement, assign ownership, correct affected records or transactions, and retain evidence of operating effectiveness: Where the clinical-establishment overlay applies, maintain prescribed minimum standards, personnel, records/reporting and emergency-stabilization arrangements.; Observation Category=CA056; Remarks=P-4 aligned to the normalized parent audit; legacy Observation ID preserved.</x:v>
      </x:c>
      <x:c r="E3026" s="33" t="str">
        <x:v>CORRECT / RECLASSIFY</x:v>
      </x:c>
      <x:c r="F3026" s="33" t="str">
        <x:v>Quarantine inactive descendants and align existing observations to normalized audits.</x:v>
      </x:c>
      <x:c r="G3026" s="33" t="str">
        <x:v>P-4 execution-chain reconciliation</x:v>
      </x:c>
      <x:c r="H3026" s="33" t="str">
        <x:v>P-4</x:v>
      </x:c>
      <x:c r="I3026" s="33" t="str">
        <x:v>P-4</x:v>
      </x:c>
      <x:c r="J3026" s="33" t="str">
        <x:v>2026-08-20</x:v>
      </x:c>
      <x:c r="K3026" s="33" t="str">
        <x:v>Observation IDs preserved and aligned.</x:v>
      </x:c>
    </x:row>
    <x:row r="3027">
      <x:c r="A3027" s="33" t="str">
        <x:v>OBS169</x:v>
      </x:c>
      <x:c r="B3027" s="33" t="str">
        <x:v>Observation Master</x:v>
      </x:c>
      <x:c r="C3027" s="33" t="str">
        <x:v>Observation Template=Regulatory inspection observations relating to pharmaceutical waste remained unresolved or inadequately documented.; Risk Level=High; Recommendation=Track and close all regulatory waste management observations within prescribed timelines.; Observation Category=Regulatory Filing; Remarks=Maintain closure evidence.</x:v>
      </x:c>
      <x:c r="D3027" s="33" t="str">
        <x:v>Observation Template=Display the registration certificate and complete applicable renewal/continuation requirements for the clinical establishment. was not demonstrated or did not operate effectively for the sample tested.; Risk Level=High; Recommendation=Implement the requirement, assign ownership, correct affected records or transactions, and retain evidence of operating effectiveness: Display the registration certificate and complete applicable renewal/continuation requirements for the clinical establishment.; Observation Category=CA020; Remarks=P-4 aligned to the normalized parent audit; legacy Observation ID preserved.</x:v>
      </x:c>
      <x:c r="E3027" s="33" t="str">
        <x:v>CORRECT / RECLASSIFY</x:v>
      </x:c>
      <x:c r="F3027" s="33" t="str">
        <x:v>Quarantine inactive descendants and align existing observations to normalized audits.</x:v>
      </x:c>
      <x:c r="G3027" s="33" t="str">
        <x:v>P-4 execution-chain reconciliation</x:v>
      </x:c>
      <x:c r="H3027" s="33" t="str">
        <x:v>P-4</x:v>
      </x:c>
      <x:c r="I3027" s="33" t="str">
        <x:v>P-4</x:v>
      </x:c>
      <x:c r="J3027" s="33" t="str">
        <x:v>2026-08-20</x:v>
      </x:c>
      <x:c r="K3027" s="33" t="str">
        <x:v>Observation IDs preserved and aligned.</x:v>
      </x:c>
    </x:row>
    <x:row r="3028">
      <x:c r="A3028" s="33" t="str">
        <x:v>OBS192</x:v>
      </x:c>
      <x:c r="B3028" s="33" t="str">
        <x:v>Observation Master</x:v>
      </x:c>
      <x:c r="C3028" s="33" t="str">
        <x:v>Observation Template=Personnel records were incomplete or not retained for the prescribed statutory period.; Risk Level=Medium; Recommendation=Maintain complete personnel files and preserve them according to approved retention schedules.; Observation Category=Digital / E-Pharmacy; Remarks=Ensure record retrievability.</x:v>
      </x:c>
      <x:c r="D3028" s="33" t="str">
        <x:v>Observation Template=Before release, substantiate all objective claims and ensure the advertisement is truthful and not misleading by implication, omission, exaggeration or ambiguity. was not demonstrated or did not operate effectively for the sample tested.; Risk Level=High; Recommendation=Implement the requirement, assign ownership, correct affected records or transactions, and retain evidence of operating effectiveness: Before release, substantiate all objective claims and ensure the advertisement is truthful and not misleading by implication, omission, exaggeration or ambiguity.; Observation Category=CA064; Remarks=P-4 aligned to the normalized parent audit; legacy Observation ID preserved.</x:v>
      </x:c>
      <x:c r="E3028" s="33" t="str">
        <x:v>CORRECT / RECLASSIFY</x:v>
      </x:c>
      <x:c r="F3028" s="33" t="str">
        <x:v>Quarantine inactive descendants and align existing observations to normalized audits.</x:v>
      </x:c>
      <x:c r="G3028" s="33" t="str">
        <x:v>P-4 execution-chain reconciliation</x:v>
      </x:c>
      <x:c r="H3028" s="33" t="str">
        <x:v>P-4</x:v>
      </x:c>
      <x:c r="I3028" s="33" t="str">
        <x:v>P-4</x:v>
      </x:c>
      <x:c r="J3028" s="33" t="str">
        <x:v>2026-08-20</x:v>
      </x:c>
      <x:c r="K3028" s="33" t="str">
        <x:v>Observation IDs preserved and aligned.</x:v>
      </x:c>
    </x:row>
    <x:row r="3029">
      <x:c r="A3029" s="33" t="str">
        <x:v>OBS193</x:v>
      </x:c>
      <x:c r="B3029" s="33" t="str">
        <x:v>Observation Master</x:v>
      </x:c>
      <x:c r="C3029" s="33" t="str">
        <x:v>Observation Template=Confidentiality agreements were unavailable or personnel handling confidential information were inadequately controlled.; Risk Level=High; Recommendation=Obtain signed confidentiality agreements and strengthen access controls over confidential information.; Observation Category=Personnel; Remarks=Periodically review compliance.</x:v>
      </x:c>
      <x:c r="D3029" s="33" t="str">
        <x:v>Observation Template=Use only clear, prominent disclaimers that do not conceal material information or contradict the main claim. was not demonstrated or did not operate effectively for the sample tested.; Risk Level=High; Recommendation=Implement the requirement, assign ownership, correct affected records or transactions, and retain evidence of operating effectiveness: Use only clear, prominent disclaimers that do not conceal material information or contradict the main claim.; Observation Category=CA064; Remarks=P-4 aligned to the normalized parent audit; legacy Observation ID preserved.</x:v>
      </x:c>
      <x:c r="E3029" s="33" t="str">
        <x:v>CORRECT / RECLASSIFY</x:v>
      </x:c>
      <x:c r="F3029" s="33" t="str">
        <x:v>Quarantine inactive descendants and align existing observations to normalized audits.</x:v>
      </x:c>
      <x:c r="G3029" s="33" t="str">
        <x:v>P-4 execution-chain reconciliation</x:v>
      </x:c>
      <x:c r="H3029" s="33" t="str">
        <x:v>P-4</x:v>
      </x:c>
      <x:c r="I3029" s="33" t="str">
        <x:v>P-4</x:v>
      </x:c>
      <x:c r="J3029" s="33" t="str">
        <x:v>2026-08-20</x:v>
      </x:c>
      <x:c r="K3029" s="33" t="str">
        <x:v>Observation IDs preserved and aligned.</x:v>
      </x:c>
    </x:row>
    <x:row r="3030">
      <x:c r="A3030" s="33" t="str">
        <x:v>OBS194</x:v>
      </x:c>
      <x:c r="B3030" s="33" t="str">
        <x:v>Observation Master</x:v>
      </x:c>
      <x:c r="C3030" s="33" t="str">
        <x:v>Observation Template=Employee performance evaluations did not adequately address regulatory compliance responsibilities.; Risk Level=Medium; Recommendation=Incorporate measurable compliance objectives into employee performance evaluations.; Observation Category=Personnel; Remarks=Reinforce accountability.</x:v>
      </x:c>
      <x:c r="D3030" s="33" t="str">
        <x:v>Observation Template=Do not advertise a product/service prohibited by law and document endorsement due diligence where an endorsement is used. was not demonstrated or did not operate effectively for the sample tested.; Risk Level=High; Recommendation=Implement the requirement, assign ownership, correct affected records or transactions, and retain evidence of operating effectiveness: Do not advertise a product/service prohibited by law and document endorsement due diligence where an endorsement is used.; Observation Category=CA064; Remarks=P-4 aligned to the normalized parent audit; legacy Observation ID preserved.</x:v>
      </x:c>
      <x:c r="E3030" s="33" t="str">
        <x:v>CORRECT / RECLASSIFY</x:v>
      </x:c>
      <x:c r="F3030" s="33" t="str">
        <x:v>Quarantine inactive descendants and align existing observations to normalized audits.</x:v>
      </x:c>
      <x:c r="G3030" s="33" t="str">
        <x:v>P-4 execution-chain reconciliation</x:v>
      </x:c>
      <x:c r="H3030" s="33" t="str">
        <x:v>P-4</x:v>
      </x:c>
      <x:c r="I3030" s="33" t="str">
        <x:v>P-4</x:v>
      </x:c>
      <x:c r="J3030" s="33" t="str">
        <x:v>2026-08-20</x:v>
      </x:c>
      <x:c r="K3030" s="33" t="str">
        <x:v>Observation IDs preserved and aligned.</x:v>
      </x:c>
    </x:row>
    <x:row r="3031">
      <x:c r="A3031" s="33" t="str">
        <x:v>OBS195</x:v>
      </x:c>
      <x:c r="B3031" s="33" t="str">
        <x:v>Observation Master</x:v>
      </x:c>
      <x:c r="C3031" s="33" t="str">
        <x:v>Observation Template=Internal inspections did not adequately evaluate personnel-related regulatory compliance controls.; Risk Level=Medium; Recommendation=Include personnel compliance within periodic internal inspection programs.; Observation Category=Personnel; Remarks=Verify implementation of corrective actions.</x:v>
      </x:c>
      <x:c r="D3031" s="33" t="str">
        <x:v>Observation Template=Do not advertise a drug for the section 3/Schedule prohibited purposes, diseases or conditions. was not demonstrated or did not operate effectively for the sample tested.; Risk Level=High; Recommendation=Implement the requirement, assign ownership, correct affected records or transactions, and retain evidence of operating effectiveness: Do not advertise a drug for the section 3/Schedule prohibited purposes, diseases or conditions.; Observation Category=CA064; Remarks=P-4 aligned to the normalized parent audit; legacy Observation ID preserved.</x:v>
      </x:c>
      <x:c r="E3031" s="33" t="str">
        <x:v>CORRECT / RECLASSIFY</x:v>
      </x:c>
      <x:c r="F3031" s="33" t="str">
        <x:v>Quarantine inactive descendants and align existing observations to normalized audits.</x:v>
      </x:c>
      <x:c r="G3031" s="33" t="str">
        <x:v>P-4 execution-chain reconciliation</x:v>
      </x:c>
      <x:c r="H3031" s="33" t="str">
        <x:v>P-4</x:v>
      </x:c>
      <x:c r="I3031" s="33" t="str">
        <x:v>P-4</x:v>
      </x:c>
      <x:c r="J3031" s="33" t="str">
        <x:v>2026-08-20</x:v>
      </x:c>
      <x:c r="K3031" s="33" t="str">
        <x:v>Observation IDs preserved and aligned.</x:v>
      </x:c>
    </x:row>
    <x:row r="3032">
      <x:c r="A3032" s="33" t="str">
        <x:v>OBS196</x:v>
      </x:c>
      <x:c r="B3032" s="33" t="str">
        <x:v>Observation Master</x:v>
      </x:c>
      <x:c r="C3032" s="33" t="str">
        <x:v>Observation Template=Regulatory inspection observations relating to personnel management remained unresolved or inadequately documented.; Risk Level=High; Recommendation=Monitor and close all personnel-related regulatory observations within prescribed timelines.; Observation Category=Personnel; Remarks=Maintain closure evidence.</x:v>
      </x:c>
      <x:c r="D3032" s="33" t="str">
        <x:v>Observation Template=Do not issue a drug advertisement that gives a false impression, makes a false claim or is otherwise materially false/misleading. was not demonstrated or did not operate effectively for the sample tested.; Risk Level=High; Recommendation=Implement the requirement, assign ownership, correct affected records or transactions, and retain evidence of operating effectiveness: Do not issue a drug advertisement that gives a false impression, makes a false claim or is otherwise materially false/misleading.; Observation Category=CA064; Remarks=P-4 aligned to the normalized parent audit; legacy Observation ID preserved.</x:v>
      </x:c>
      <x:c r="E3032" s="33" t="str">
        <x:v>CORRECT / RECLASSIFY</x:v>
      </x:c>
      <x:c r="F3032" s="33" t="str">
        <x:v>Quarantine inactive descendants and align existing observations to normalized audits.</x:v>
      </x:c>
      <x:c r="G3032" s="33" t="str">
        <x:v>P-4 execution-chain reconciliation</x:v>
      </x:c>
      <x:c r="H3032" s="33" t="str">
        <x:v>P-4</x:v>
      </x:c>
      <x:c r="I3032" s="33" t="str">
        <x:v>P-4</x:v>
      </x:c>
      <x:c r="J3032" s="33" t="str">
        <x:v>2026-08-20</x:v>
      </x:c>
      <x:c r="K3032" s="33" t="str">
        <x:v>Observation IDs preserved and aligned.</x:v>
      </x:c>
    </x:row>
    <x:row r="3033">
      <x:c r="A3033" s="33" t="str">
        <x:v>OBS212</x:v>
      </x:c>
      <x:c r="B3033" s="33" t="str">
        <x:v>Observation Master</x:v>
      </x:c>
      <x:c r="C3033" s="33" t="str">
        <x:v>Observation Template=Backup procedures for electronic records were inadequate or restoration testing was not performed.; Risk Level=High; Recommendation=Perform scheduled backups and periodically validate backup restoration capability.; Observation Category=Quality; Remarks=Supports business continuity.</x:v>
      </x:c>
      <x:c r="D3033" s="33" t="str">
        <x:v>Observation Template=If the OSHWC Code applies, maintain the covered workplace-safety/health controls, provide required information/instruction and meet notified standards. was not demonstrated or did not operate effectively for the sample tested.; Risk Level=High; Recommendation=Implement the requirement, assign ownership, correct affected records or transactions, and retain evidence of operating effectiveness: If the OSHWC Code applies, maintain the covered workplace-safety/health controls, provide required information/instruction and meet notified standards.; Observation Category=CA044; Remarks=P-4 aligned to the normalized parent audit; legacy Observation ID preserved.</x:v>
      </x:c>
      <x:c r="E3033" s="33" t="str">
        <x:v>CORRECT / RECLASSIFY</x:v>
      </x:c>
      <x:c r="F3033" s="33" t="str">
        <x:v>Quarantine inactive descendants and align existing observations to normalized audits.</x:v>
      </x:c>
      <x:c r="G3033" s="33" t="str">
        <x:v>P-4 execution-chain reconciliation</x:v>
      </x:c>
      <x:c r="H3033" s="33" t="str">
        <x:v>P-4</x:v>
      </x:c>
      <x:c r="I3033" s="33" t="str">
        <x:v>P-4</x:v>
      </x:c>
      <x:c r="J3033" s="33" t="str">
        <x:v>2026-08-20</x:v>
      </x:c>
      <x:c r="K3033" s="33" t="str">
        <x:v>Observation IDs preserved and aligned.</x:v>
      </x:c>
    </x:row>
    <x:row r="3034">
      <x:c r="A3034" s="33" t="str">
        <x:v>OBS213</x:v>
      </x:c>
      <x:c r="B3034" s="33" t="str">
        <x:v>Observation Master</x:v>
      </x:c>
      <x:c r="C3034" s="33" t="str">
        <x:v>Observation Template=Records were not retained for the statutory retention period or retention schedules were unavailable.; Risk Level=Medium; Recommendation=Maintain approved retention schedules and preserve records accordingly.; Observation Category=Digital / E-Pharmacy; Remarks=Verify retention compliance periodically.</x:v>
      </x:c>
      <x:c r="D3034" s="33" t="str">
        <x:v>Observation Template=If covered, implement the applicable welfare, working-time and employee information/appointment-letter controls under the Code and 2026 Rules. was not demonstrated or did not operate effectively for the sample tested.; Risk Level=High; Recommendation=Implement the requirement, assign ownership, correct affected records or transactions, and retain evidence of operating effectiveness: If covered, implement the applicable welfare, working-time and employee information/appointment-letter controls under the Code and 2026 Rules.; Observation Category=CA044; Remarks=P-4 aligned to the normalized parent audit; legacy Observation ID preserved.</x:v>
      </x:c>
      <x:c r="E3034" s="33" t="str">
        <x:v>CORRECT / RECLASSIFY</x:v>
      </x:c>
      <x:c r="F3034" s="33" t="str">
        <x:v>Quarantine inactive descendants and align existing observations to normalized audits.</x:v>
      </x:c>
      <x:c r="G3034" s="33" t="str">
        <x:v>P-4 execution-chain reconciliation</x:v>
      </x:c>
      <x:c r="H3034" s="33" t="str">
        <x:v>P-4</x:v>
      </x:c>
      <x:c r="I3034" s="33" t="str">
        <x:v>P-4</x:v>
      </x:c>
      <x:c r="J3034" s="33" t="str">
        <x:v>2026-08-20</x:v>
      </x:c>
      <x:c r="K3034" s="33" t="str">
        <x:v>Observation IDs preserved and aligned.</x:v>
      </x:c>
    </x:row>
    <x:row r="3035">
      <x:c r="A3035" s="33" t="str">
        <x:v>OBS214</x:v>
      </x:c>
      <x:c r="B3035" s="33" t="str">
        <x:v>Observation Master</x:v>
      </x:c>
      <x:c r="C3035" s="33" t="str">
        <x:v>Observation Template=Confidential records were inadequately protected against unauthorized access or disclosure.; Risk Level=High; Recommendation=Implement secure storage, access controls and periodic confidentiality reviews.; Observation Category=Storage; Remarks=Protect sensitive regulatory information.</x:v>
      </x:c>
      <x:c r="D3035" s="33" t="str">
        <x:v>Observation Template=Report and record only the occupational accidents/dangerous occurrences prescribed for the covered establishment within the statutory timeline. was not demonstrated or did not operate effectively for the sample tested.; Risk Level=High; Recommendation=Implement the requirement, assign ownership, correct affected records or transactions, and retain evidence of operating effectiveness: Report and record only the occupational accidents/dangerous occurrences prescribed for the covered establishment within the statutory timeline.; Observation Category=CA044; Remarks=P-4 aligned to the normalized parent audit; legacy Observation ID preserved.</x:v>
      </x:c>
      <x:c r="E3035" s="33" t="str">
        <x:v>CORRECT / RECLASSIFY</x:v>
      </x:c>
      <x:c r="F3035" s="33" t="str">
        <x:v>Quarantine inactive descendants and align existing observations to normalized audits.</x:v>
      </x:c>
      <x:c r="G3035" s="33" t="str">
        <x:v>P-4 execution-chain reconciliation</x:v>
      </x:c>
      <x:c r="H3035" s="33" t="str">
        <x:v>P-4</x:v>
      </x:c>
      <x:c r="I3035" s="33" t="str">
        <x:v>P-4</x:v>
      </x:c>
      <x:c r="J3035" s="33" t="str">
        <x:v>2026-08-20</x:v>
      </x:c>
      <x:c r="K3035" s="33" t="str">
        <x:v>Observation IDs preserved and aligned.</x:v>
      </x:c>
    </x:row>
    <x:row r="3036">
      <x:c r="A3036" s="33" t="str">
        <x:v>OBS215</x:v>
      </x:c>
      <x:c r="B3036" s="33" t="str">
        <x:v>Observation Master</x:v>
      </x:c>
      <x:c r="C3036" s="33" t="str">
        <x:v>Observation Template=Records were destroyed without authorization or destruction evidence was unavailable.; Risk Level=High; Recommendation=Destroy records only after formal approval and maintain destruction certificates.; Observation Category=Digital / E-Pharmacy; Remarks=Follow approved retention and destruction procedures.</x:v>
      </x:c>
      <x:c r="D3036" s="33" t="str">
        <x:v>Observation Template=Perform temperature mapping of storage areas before commissioning and after major modifications. was not demonstrated or did not operate effectively for the sample tested.; Risk Level=High; Recommendation=Implement the requirement, assign ownership, correct affected records or transactions, and retain evidence of operating effectiveness: Perform temperature mapping of storage areas before commissioning and after major modifications.; Observation Category=CA008; Remarks=P-4 aligned to the normalized parent audit; legacy Observation ID preserved.</x:v>
      </x:c>
      <x:c r="E3036" s="33" t="str">
        <x:v>CORRECT / RECLASSIFY</x:v>
      </x:c>
      <x:c r="F3036" s="33" t="str">
        <x:v>Quarantine inactive descendants and align existing observations to normalized audits.</x:v>
      </x:c>
      <x:c r="G3036" s="33" t="str">
        <x:v>P-4 execution-chain reconciliation</x:v>
      </x:c>
      <x:c r="H3036" s="33" t="str">
        <x:v>P-4</x:v>
      </x:c>
      <x:c r="I3036" s="33" t="str">
        <x:v>P-4</x:v>
      </x:c>
      <x:c r="J3036" s="33" t="str">
        <x:v>2026-08-20</x:v>
      </x:c>
      <x:c r="K3036" s="33" t="str">
        <x:v>Observation IDs preserved and aligned.</x:v>
      </x:c>
    </x:row>
    <x:row r="3037">
      <x:c r="A3037" s="33" t="str">
        <x:v>OBS216</x:v>
      </x:c>
      <x:c r="B3037" s="33" t="str">
        <x:v>Observation Master</x:v>
      </x:c>
      <x:c r="C3037" s="33" t="str">
        <x:v>Observation Template=Document issue and retrieval controls were ineffective, resulting in document traceability gaps.; Risk Level=Medium; Recommendation=Maintain controlled issue and retrieval registers for all controlled documents.; Observation Category=Documentation; Remarks=Periodically reconcile document inventory.</x:v>
      </x:c>
      <x:c r="D3037" s="33" t="str">
        <x:v>Observation Template=Revalidate temperature mapping periodically and after significant changes to storage conditions. was not demonstrated or did not operate effectively for the sample tested.; Risk Level=High; Recommendation=Implement the requirement, assign ownership, correct affected records or transactions, and retain evidence of operating effectiveness: Revalidate temperature mapping periodically and after significant changes to storage conditions.; Observation Category=CA008; Remarks=P-4 aligned to the normalized parent audit; legacy Observation ID preserved.</x:v>
      </x:c>
      <x:c r="E3037" s="33" t="str">
        <x:v>CORRECT / RECLASSIFY</x:v>
      </x:c>
      <x:c r="F3037" s="33" t="str">
        <x:v>Quarantine inactive descendants and align existing observations to normalized audits.</x:v>
      </x:c>
      <x:c r="G3037" s="33" t="str">
        <x:v>P-4 execution-chain reconciliation</x:v>
      </x:c>
      <x:c r="H3037" s="33" t="str">
        <x:v>P-4</x:v>
      </x:c>
      <x:c r="I3037" s="33" t="str">
        <x:v>P-4</x:v>
      </x:c>
      <x:c r="J3037" s="33" t="str">
        <x:v>2026-08-20</x:v>
      </x:c>
      <x:c r="K3037" s="33" t="str">
        <x:v>Observation IDs preserved and aligned.</x:v>
      </x:c>
    </x:row>
    <x:row r="3038">
      <x:c r="A3038" s="33" t="str">
        <x:v>OBS217</x:v>
      </x:c>
      <x:c r="B3038" s="33" t="str">
        <x:v>Observation Master</x:v>
      </x:c>
      <x:c r="C3038" s="33" t="str">
        <x:v>Observation Template=Internal audits identified documentation deficiencies that remained unresolved or recurring.; Risk Level=Medium; Recommendation=Strengthen document control processes and verify effectiveness through follow-up audits.; Observation Category=Documentation; Remarks=Monitor recurring findings.</x:v>
      </x:c>
      <x:c r="D3038" s="33" t="str">
        <x:v>Observation Template=Maintain temperature mapping reports, protocols and validation records. was not demonstrated or did not operate effectively for the sample tested.; Risk Level=High; Recommendation=Implement the requirement, assign ownership, correct affected records or transactions, and retain evidence of operating effectiveness: Maintain temperature mapping reports, protocols and validation records.; Observation Category=CA020; Remarks=P-4 aligned to the normalized parent audit; legacy Observation ID preserved.</x:v>
      </x:c>
      <x:c r="E3038" s="33" t="str">
        <x:v>CORRECT / RECLASSIFY</x:v>
      </x:c>
      <x:c r="F3038" s="33" t="str">
        <x:v>Quarantine inactive descendants and align existing observations to normalized audits.</x:v>
      </x:c>
      <x:c r="G3038" s="33" t="str">
        <x:v>P-4 execution-chain reconciliation</x:v>
      </x:c>
      <x:c r="H3038" s="33" t="str">
        <x:v>P-4</x:v>
      </x:c>
      <x:c r="I3038" s="33" t="str">
        <x:v>P-4</x:v>
      </x:c>
      <x:c r="J3038" s="33" t="str">
        <x:v>2026-08-20</x:v>
      </x:c>
      <x:c r="K3038" s="33" t="str">
        <x:v>Observation IDs preserved and aligned.</x:v>
      </x:c>
    </x:row>
    <x:row r="3039">
      <x:c r="A3039" s="33" t="str">
        <x:v>OBS218</x:v>
      </x:c>
      <x:c r="B3039" s="33" t="str">
        <x:v>Observation Master</x:v>
      </x:c>
      <x:c r="C3039" s="33" t="str">
        <x:v>Observation Template=Documentation deviations were inadequately investigated or corrective actions were ineffective.; Risk Level=Medium; Recommendation=Investigate every documentation deviation and implement effective CAPA.; Observation Category=Quality; Remarks=Trend documentation errors periodically.</x:v>
      </x:c>
      <x:c r="D3039" s="33" t="str">
        <x:v>Observation Template=Calibrate all critical measuring instruments at approved intervals. was not demonstrated or did not operate effectively for the sample tested.; Risk Level=High; Recommendation=Implement the requirement, assign ownership, correct affected records or transactions, and retain evidence of operating effectiveness: Calibrate all critical measuring instruments at approved intervals.; Observation Category=CA009; Remarks=P-4 aligned to the normalized parent audit; legacy Observation ID preserved.</x:v>
      </x:c>
      <x:c r="E3039" s="33" t="str">
        <x:v>CORRECT / RECLASSIFY</x:v>
      </x:c>
      <x:c r="F3039" s="33" t="str">
        <x:v>Quarantine inactive descendants and align existing observations to normalized audits.</x:v>
      </x:c>
      <x:c r="G3039" s="33" t="str">
        <x:v>P-4 execution-chain reconciliation</x:v>
      </x:c>
      <x:c r="H3039" s="33" t="str">
        <x:v>P-4</x:v>
      </x:c>
      <x:c r="I3039" s="33" t="str">
        <x:v>P-4</x:v>
      </x:c>
      <x:c r="J3039" s="33" t="str">
        <x:v>2026-08-20</x:v>
      </x:c>
      <x:c r="K3039" s="33" t="str">
        <x:v>Observation IDs preserved and aligned.</x:v>
      </x:c>
    </x:row>
    <x:row r="3040">
      <x:c r="A3040" s="33" t="str">
        <x:v>OBS219</x:v>
      </x:c>
      <x:c r="B3040" s="33" t="str">
        <x:v>Observation Master</x:v>
      </x:c>
      <x:c r="C3040" s="33" t="str">
        <x:v>Observation Template=Documentation performance indicators were not reviewed by management or management actions were undocumented.; Risk Level=Low; Recommendation=Periodically review documentation KPIs and record management decisions.; Observation Category=Documentation; Remarks=Supports continual improvement.</x:v>
      </x:c>
      <x:c r="D3040" s="33" t="str">
        <x:v>Observation Template=Qualify equipment before operational use and after major repairs where required. was not demonstrated or did not operate effectively for the sample tested.; Risk Level=High; Recommendation=Implement the requirement, assign ownership, correct affected records or transactions, and retain evidence of operating effectiveness: Qualify equipment before operational use and after major repairs where required.; Observation Category=CA009; Remarks=P-4 aligned to the normalized parent audit; legacy Observation ID preserved.</x:v>
      </x:c>
      <x:c r="E3040" s="33" t="str">
        <x:v>CORRECT / RECLASSIFY</x:v>
      </x:c>
      <x:c r="F3040" s="33" t="str">
        <x:v>Quarantine inactive descendants and align existing observations to normalized audits.</x:v>
      </x:c>
      <x:c r="G3040" s="33" t="str">
        <x:v>P-4 execution-chain reconciliation</x:v>
      </x:c>
      <x:c r="H3040" s="33" t="str">
        <x:v>P-4</x:v>
      </x:c>
      <x:c r="I3040" s="33" t="str">
        <x:v>P-4</x:v>
      </x:c>
      <x:c r="J3040" s="33" t="str">
        <x:v>2026-08-20</x:v>
      </x:c>
      <x:c r="K3040" s="33" t="str">
        <x:v>Observation IDs preserved and aligned.</x:v>
      </x:c>
    </x:row>
    <x:row r="3041">
      <x:c r="A3041" s="33" t="str">
        <x:v>OBS220</x:v>
      </x:c>
      <x:c r="B3041" s="33" t="str">
        <x:v>Observation Master</x:v>
      </x:c>
      <x:c r="C3041" s="33" t="str">
        <x:v>Observation Template=Personnel responsible for documentation were inadequately trained in Good Documentation Practices.; Risk Level=Medium; Recommendation=Conduct periodic GDP training and assess employee competency.; Observation Category=Personnel; Remarks=Refresher training should be scheduled.</x:v>
      </x:c>
      <x:c r="D3041" s="33" t="str">
        <x:v>Observation Template=Implement a documented preventive maintenance programme for critical equipment. was not demonstrated or did not operate effectively for the sample tested.; Risk Level=High; Recommendation=Implement the requirement, assign ownership, correct affected records or transactions, and retain evidence of operating effectiveness: Implement a documented preventive maintenance programme for critical equipment.; Observation Category=CA009; Remarks=P-4 aligned to the normalized parent audit; legacy Observation ID preserved.</x:v>
      </x:c>
      <x:c r="E3041" s="33" t="str">
        <x:v>CORRECT / RECLASSIFY</x:v>
      </x:c>
      <x:c r="F3041" s="33" t="str">
        <x:v>Quarantine inactive descendants and align existing observations to normalized audits.</x:v>
      </x:c>
      <x:c r="G3041" s="33" t="str">
        <x:v>P-4 execution-chain reconciliation</x:v>
      </x:c>
      <x:c r="H3041" s="33" t="str">
        <x:v>P-4</x:v>
      </x:c>
      <x:c r="I3041" s="33" t="str">
        <x:v>P-4</x:v>
      </x:c>
      <x:c r="J3041" s="33" t="str">
        <x:v>2026-08-20</x:v>
      </x:c>
      <x:c r="K3041" s="33" t="str">
        <x:v>Observation IDs preserved and aligned.</x:v>
      </x:c>
    </x:row>
    <x:row r="3042">
      <x:c r="A3042" s="33" t="str">
        <x:v>OBS221</x:v>
      </x:c>
      <x:c r="B3042" s="33" t="str">
        <x:v>Observation Master</x:v>
      </x:c>
      <x:c r="C3042" s="33" t="str">
        <x:v>Observation Template=Regulatory inspection observations relating to documentation remained unresolved or inadequately documented.; Risk Level=High; Recommendation=Track and close all documentation-related regulatory observations within prescribed timelines.; Observation Category=Regulatory Filing; Remarks=Maintain supporting evidence.</x:v>
      </x:c>
      <x:c r="D3042" s="33" t="str">
        <x:v>Observation Template=Maintain calibration certificates and calibration history for all critical instruments. was not demonstrated or did not operate effectively for the sample tested.; Risk Level=High; Recommendation=Implement the requirement, assign ownership, correct affected records or transactions, and retain evidence of operating effectiveness: Maintain calibration certificates and calibration history for all critical instruments.; Observation Category=CA020; Remarks=P-4 aligned to the normalized parent audit; legacy Observation ID preserved.</x:v>
      </x:c>
      <x:c r="E3042" s="33" t="str">
        <x:v>CORRECT / RECLASSIFY</x:v>
      </x:c>
      <x:c r="F3042" s="33" t="str">
        <x:v>Quarantine inactive descendants and align existing observations to normalized audits.</x:v>
      </x:c>
      <x:c r="G3042" s="33" t="str">
        <x:v>P-4 execution-chain reconciliation</x:v>
      </x:c>
      <x:c r="H3042" s="33" t="str">
        <x:v>P-4</x:v>
      </x:c>
      <x:c r="I3042" s="33" t="str">
        <x:v>P-4</x:v>
      </x:c>
      <x:c r="J3042" s="33" t="str">
        <x:v>2026-08-20</x:v>
      </x:c>
      <x:c r="K3042" s="33" t="str">
        <x:v>Observation IDs preserved and aligned.</x:v>
      </x:c>
    </x:row>
    <x:row r="3043">
      <x:c r="A3043" s="33" t="str">
        <x:v>OBS222</x:v>
      </x:c>
      <x:c r="B3043" s="33" t="str">
        <x:v>Observation Master</x:v>
      </x:c>
      <x:c r="C3043" s="33" t="str">
        <x:v>Observation Template=Computerized document management systems were not adequately validated or change controls were ineffective.; Risk Level=High; Recommendation=Validate computerized systems and implement robust change management controls.; Observation Category=Documentation; Remarks=Periodically review validation status.</x:v>
      </x:c>
      <x:c r="D3043" s="33" t="str">
        <x:v>Observation Template=Verify equipment performance following maintenance or calibration activities. was not demonstrated or did not operate effectively for the sample tested.; Risk Level=High; Recommendation=Implement the requirement, assign ownership, correct affected records or transactions, and retain evidence of operating effectiveness: Verify equipment performance following maintenance or calibration activities.; Observation Category=CA009; Remarks=P-4 aligned to the normalized parent audit; legacy Observation ID preserved.</x:v>
      </x:c>
      <x:c r="E3043" s="33" t="str">
        <x:v>CORRECT / RECLASSIFY</x:v>
      </x:c>
      <x:c r="F3043" s="33" t="str">
        <x:v>Quarantine inactive descendants and align existing observations to normalized audits.</x:v>
      </x:c>
      <x:c r="G3043" s="33" t="str">
        <x:v>P-4 execution-chain reconciliation</x:v>
      </x:c>
      <x:c r="H3043" s="33" t="str">
        <x:v>P-4</x:v>
      </x:c>
      <x:c r="I3043" s="33" t="str">
        <x:v>P-4</x:v>
      </x:c>
      <x:c r="J3043" s="33" t="str">
        <x:v>2026-08-20</x:v>
      </x:c>
      <x:c r="K3043" s="33" t="str">
        <x:v>Observation IDs preserved and aligned.</x:v>
      </x:c>
    </x:row>
    <x:row r="3044">
      <x:c r="A3044" s="33" t="str">
        <x:v>OBS223</x:v>
      </x:c>
      <x:c r="B3044" s="33" t="str">
        <x:v>Observation Master</x:v>
      </x:c>
      <x:c r="C3044" s="33" t="str">
        <x:v>Observation Template=Self-inspections of documentation controls were not performed or findings remained unresolved.; Risk Level=Medium; Recommendation=Conduct periodic self-inspections and ensure timely closure of identified deficiencies.; Observation Category=Documentation; Remarks=Strengthen internal controls.</x:v>
      </x:c>
      <x:c r="D3044" s="33" t="str">
        <x:v>Observation Template=Clearly identify and segregate equipment that is overdue for calibration or found to be defective. was not demonstrated or did not operate effectively for the sample tested.; Risk Level=High; Recommendation=Implement the requirement, assign ownership, correct affected records or transactions, and retain evidence of operating effectiveness: Clearly identify and segregate equipment that is overdue for calibration or found to be defective.; Observation Category=CA009; Remarks=P-4 aligned to the normalized parent audit; legacy Observation ID preserved.</x:v>
      </x:c>
      <x:c r="E3044" s="33" t="str">
        <x:v>CORRECT / RECLASSIFY</x:v>
      </x:c>
      <x:c r="F3044" s="33" t="str">
        <x:v>Quarantine inactive descendants and align existing observations to normalized audits.</x:v>
      </x:c>
      <x:c r="G3044" s="33" t="str">
        <x:v>P-4 execution-chain reconciliation</x:v>
      </x:c>
      <x:c r="H3044" s="33" t="str">
        <x:v>P-4</x:v>
      </x:c>
      <x:c r="I3044" s="33" t="str">
        <x:v>P-4</x:v>
      </x:c>
      <x:c r="J3044" s="33" t="str">
        <x:v>2026-08-20</x:v>
      </x:c>
      <x:c r="K3044" s="33" t="str">
        <x:v>Observation IDs preserved and aligned.</x:v>
      </x:c>
    </x:row>
    <x:row r="3045">
      <x:c r="A3045" s="33" t="str">
        <x:v>OBS224</x:v>
      </x:c>
      <x:c r="B3045" s="33" t="str">
        <x:v>Observation Master</x:v>
      </x:c>
      <x:c r="C3045" s="33" t="str">
        <x:v>Observation Template=Documentation management processes demonstrated weaknesses in governance, monitoring or regulatory compliance.; Risk Level=High; Recommendation=Perform comprehensive reviews of document management processes and strengthen governance controls.; Observation Category=Regulatory Filing; Remarks=Enterprise documentation governance.</x:v>
      </x:c>
      <x:c r="D3045" s="33" t="str">
        <x:v>Observation Template=Ensure calibration is traceable to nationally or internationally recognized standards. was not demonstrated or did not operate effectively for the sample tested.; Risk Level=High; Recommendation=Implement the requirement, assign ownership, correct affected records or transactions, and retain evidence of operating effectiveness: Ensure calibration is traceable to nationally or internationally recognized standards.; Observation Category=CA009; Remarks=P-4 aligned to the normalized parent audit; legacy Observation ID preserved.</x:v>
      </x:c>
      <x:c r="E3045" s="33" t="str">
        <x:v>CORRECT / RECLASSIFY</x:v>
      </x:c>
      <x:c r="F3045" s="33" t="str">
        <x:v>Quarantine inactive descendants and align existing observations to normalized audits.</x:v>
      </x:c>
      <x:c r="G3045" s="33" t="str">
        <x:v>P-4 execution-chain reconciliation</x:v>
      </x:c>
      <x:c r="H3045" s="33" t="str">
        <x:v>P-4</x:v>
      </x:c>
      <x:c r="I3045" s="33" t="str">
        <x:v>P-4</x:v>
      </x:c>
      <x:c r="J3045" s="33" t="str">
        <x:v>2026-08-20</x:v>
      </x:c>
      <x:c r="K3045" s="33" t="str">
        <x:v>Observation IDs preserved and aligned.</x:v>
      </x:c>
    </x:row>
    <x:row r="3046">
      <x:c r="A3046" s="33" t="str">
        <x:v>OBS225</x:v>
      </x:c>
      <x:c r="B3046" s="33" t="str">
        <x:v>Observation Master</x:v>
      </x:c>
      <x:c r="C3046" s="33" t="str">
        <x:v>Observation Template=Overall document control systems were ineffective in ensuring accuracy, traceability and regulatory compliance.; Risk Level=High; Recommendation=Implement an enterprise document management framework with periodic monitoring and continual improvement.; Observation Category=Regulatory Filing; Remarks=Enterprise-level document control observation.</x:v>
      </x:c>
      <x:c r="D3046" s="33" t="str">
        <x:v>Observation Template=Periodically review the effectiveness of the calibration and maintenance programme. was not demonstrated or did not operate effectively for the sample tested.; Risk Level=High; Recommendation=Implement the requirement, assign ownership, correct affected records or transactions, and retain evidence of operating effectiveness: Periodically review the effectiveness of the calibration and maintenance programme.; Observation Category=CA083; Remarks=P-4 aligned to the normalized parent audit; legacy Observation ID preserved.</x:v>
      </x:c>
      <x:c r="E3046" s="33" t="str">
        <x:v>CORRECT / RECLASSIFY</x:v>
      </x:c>
      <x:c r="F3046" s="33" t="str">
        <x:v>Quarantine inactive descendants and align existing observations to normalized audits.</x:v>
      </x:c>
      <x:c r="G3046" s="33" t="str">
        <x:v>P-4 execution-chain reconciliation</x:v>
      </x:c>
      <x:c r="H3046" s="33" t="str">
        <x:v>P-4</x:v>
      </x:c>
      <x:c r="I3046" s="33" t="str">
        <x:v>P-4</x:v>
      </x:c>
      <x:c r="J3046" s="33" t="str">
        <x:v>2026-08-20</x:v>
      </x:c>
      <x:c r="K3046" s="33" t="str">
        <x:v>Observation IDs preserved and aligned.</x:v>
      </x:c>
    </x:row>
    <x:row r="3047">
      <x:c r="A3047" s="33" t="str">
        <x:v>OBS226</x:v>
      </x:c>
      <x:c r="B3047" s="33" t="str">
        <x:v>Observation Master</x:v>
      </x:c>
      <x:c r="C3047" s="33" t="str">
        <x:v>Observation Template=Annual internal audits were not conducted in accordance with the approved audit plan or scheduled timelines.; Risk Level=High; Recommendation=Prepare and execute a risk-based annual audit plan approved by management and monitor completion periodically.; Observation Category=Digital / E-Pharmacy; Remarks=Delays reduce the effectiveness of the compliance program.</x:v>
      </x:c>
      <x:c r="D3047" s="33" t="str">
        <x:v>Observation Template=Synchronise ICT system clocks to NIC/NPL traceable NTP servers or another accurate time source traceable to them. was not demonstrated or did not operate effectively for the sample tested.; Risk Level=High; Recommendation=Implement the requirement, assign ownership, correct affected records or transactions, and retain evidence of operating effectiveness: Synchronise ICT system clocks to NIC/NPL traceable NTP servers or another accurate time source traceable to them.; Observation Category=CA072; Remarks=P-4 aligned to the normalized parent audit; legacy Observation ID preserved.</x:v>
      </x:c>
      <x:c r="E3047" s="33" t="str">
        <x:v>CORRECT / RECLASSIFY</x:v>
      </x:c>
      <x:c r="F3047" s="33" t="str">
        <x:v>Quarantine inactive descendants and align existing observations to normalized audits.</x:v>
      </x:c>
      <x:c r="G3047" s="33" t="str">
        <x:v>P-4 execution-chain reconciliation</x:v>
      </x:c>
      <x:c r="H3047" s="33" t="str">
        <x:v>P-4</x:v>
      </x:c>
      <x:c r="I3047" s="33" t="str">
        <x:v>P-4</x:v>
      </x:c>
      <x:c r="J3047" s="33" t="str">
        <x:v>2026-08-20</x:v>
      </x:c>
      <x:c r="K3047" s="33" t="str">
        <x:v>Observation IDs preserved and aligned.</x:v>
      </x:c>
    </x:row>
    <x:row r="3048">
      <x:c r="A3048" s="33" t="str">
        <x:v>OBS227</x:v>
      </x:c>
      <x:c r="B3048" s="33" t="str">
        <x:v>Observation Master</x:v>
      </x:c>
      <x:c r="C3048" s="33" t="str">
        <x:v>Observation Template=Audit scope did not adequately cover applicable regulatory compliance requirements or high-risk operational areas.; Risk Level=High; Recommendation=Periodically review and expand audit scope based on regulatory changes and risk assessments.; Observation Category=Digital / E-Pharmacy; Remarks=Ensure comprehensive audit coverage.</x:v>
      </x:c>
      <x:c r="D3048" s="33" t="str">
        <x:v>Observation Template=Report any specified Annexure I cyber incident to CERT-In within six hours of noticing it or being informed. was not demonstrated or did not operate effectively for the sample tested.; Risk Level=Critical; Recommendation=Implement the requirement, assign ownership, correct affected records or transactions, and retain evidence of operating effectiveness: Report any specified Annexure I cyber incident to CERT-In within six hours of noticing it or being informed.; Observation Category=CA072; Remarks=P-4 aligned to the normalized parent audit; legacy Observation ID preserved.</x:v>
      </x:c>
      <x:c r="E3048" s="33" t="str">
        <x:v>CORRECT / RECLASSIFY</x:v>
      </x:c>
      <x:c r="F3048" s="33" t="str">
        <x:v>Quarantine inactive descendants and align existing observations to normalized audits.</x:v>
      </x:c>
      <x:c r="G3048" s="33" t="str">
        <x:v>P-4 execution-chain reconciliation</x:v>
      </x:c>
      <x:c r="H3048" s="33" t="str">
        <x:v>P-4</x:v>
      </x:c>
      <x:c r="I3048" s="33" t="str">
        <x:v>P-4</x:v>
      </x:c>
      <x:c r="J3048" s="33" t="str">
        <x:v>2026-08-20</x:v>
      </x:c>
      <x:c r="K3048" s="33" t="str">
        <x:v>Observation IDs preserved and aligned.</x:v>
      </x:c>
    </x:row>
    <x:row r="3049">
      <x:c r="A3049" s="33" t="str">
        <x:v>OBS228</x:v>
      </x:c>
      <x:c r="B3049" s="33" t="str">
        <x:v>Observation Master</x:v>
      </x:c>
      <x:c r="C3049" s="33" t="str">
        <x:v>Observation Template=Auditor independence could not be demonstrated due to conflicts of interest or inappropriate audit assignments.; Risk Level=High; Recommendation=Assign independent auditors and obtain documented conflict-of-interest declarations before each audit.; Observation Category=Digital / E-Pharmacy; Remarks=Fundamental audit governance requirement.</x:v>
      </x:c>
      <x:c r="D3049" s="33" t="str">
        <x:v>Observation Template=Enable ICT logs, retain them securely for a rolling 180 days within Indian jurisdiction and provide them to CERT-In when lawfully required. was not demonstrated or did not operate effectively for the sample tested.; Risk Level=High; Recommendation=Implement the requirement, assign ownership, correct affected records or transactions, and retain evidence of operating effectiveness: Enable ICT logs, retain them securely for a rolling 180 days within Indian jurisdiction and provide them to CERT-In when lawfully required.; Observation Category=CA072; Remarks=P-4 aligned to the normalized parent audit; legacy Observation ID preserved.</x:v>
      </x:c>
      <x:c r="E3049" s="33" t="str">
        <x:v>CORRECT / RECLASSIFY</x:v>
      </x:c>
      <x:c r="F3049" s="33" t="str">
        <x:v>Quarantine inactive descendants and align existing observations to normalized audits.</x:v>
      </x:c>
      <x:c r="G3049" s="33" t="str">
        <x:v>P-4 execution-chain reconciliation</x:v>
      </x:c>
      <x:c r="H3049" s="33" t="str">
        <x:v>P-4</x:v>
      </x:c>
      <x:c r="I3049" s="33" t="str">
        <x:v>P-4</x:v>
      </x:c>
      <x:c r="J3049" s="33" t="str">
        <x:v>2026-08-20</x:v>
      </x:c>
      <x:c r="K3049" s="33" t="str">
        <x:v>Observation IDs preserved and aligned.</x:v>
      </x:c>
    </x:row>
    <x:row r="3050">
      <x:c r="A3050" s="33" t="str">
        <x:v>OBS229</x:v>
      </x:c>
      <x:c r="B3050" s="33" t="str">
        <x:v>Observation Master</x:v>
      </x:c>
      <x:c r="C3050" s="33" t="str">
        <x:v>Observation Template=Audit conclusions were not adequately supported by working papers or objective audit evidence.; Risk Level=High; Recommendation=Maintain complete, traceable and properly indexed audit working papers supporting every audit conclusion.; Observation Category=Other; Remarks=Audit evidence should be sufficient and appropriate.</x:v>
      </x:c>
      <x:c r="D3050" s="33" t="str">
        <x:v>Observation Template=Designate, communicate and keep current the prescribed CERT-In point-of-contact details. was not demonstrated or did not operate effectively for the sample tested.; Risk Level=High; Recommendation=Implement the requirement, assign ownership, correct affected records or transactions, and retain evidence of operating effectiveness: Designate, communicate and keep current the prescribed CERT-In point-of-contact details.; Observation Category=CA072; Remarks=P-4 aligned to the normalized parent audit; legacy Observation ID preserved.</x:v>
      </x:c>
      <x:c r="E3050" s="33" t="str">
        <x:v>CORRECT / RECLASSIFY</x:v>
      </x:c>
      <x:c r="F3050" s="33" t="str">
        <x:v>Quarantine inactive descendants and align existing observations to normalized audits.</x:v>
      </x:c>
      <x:c r="G3050" s="33" t="str">
        <x:v>P-4 execution-chain reconciliation</x:v>
      </x:c>
      <x:c r="H3050" s="33" t="str">
        <x:v>P-4</x:v>
      </x:c>
      <x:c r="I3050" s="33" t="str">
        <x:v>P-4</x:v>
      </x:c>
      <x:c r="J3050" s="33" t="str">
        <x:v>2026-08-20</x:v>
      </x:c>
      <x:c r="K3050" s="33" t="str">
        <x:v>Observation IDs preserved and aligned.</x:v>
      </x:c>
    </x:row>
    <x:row r="3051">
      <x:c r="A3051" s="33" t="str">
        <x:v>OBS236</x:v>
      </x:c>
      <x:c r="B3051" s="33" t="str">
        <x:v>Observation Master</x:v>
      </x:c>
      <x:c r="C3051" s="33" t="str">
        <x:v>Observation Template=Management reviews of audit findings were irregular, inadequately documented or ineffective.; Risk Level=Medium; Recommendation=Conduct structured management review meetings with documented decisions and action tracking.; Observation Category=Documentation; Remarks=Strengthen governance oversight.</x:v>
      </x:c>
      <x:c r="D3051" s="33" t="str">
        <x:v>Observation Template=Maintain pharmacy premises, records and operations in a state of inspection readiness at all times. was not demonstrated or did not operate effectively for the sample tested.; Risk Level=High; Recommendation=Implement the requirement, assign ownership, correct affected records or transactions, and retain evidence of operating effectiveness: Maintain pharmacy premises, records and operations in a state of inspection readiness at all times.; Observation Category=CA077; Remarks=P-4 aligned to the normalized parent audit; legacy Observation ID preserved.</x:v>
      </x:c>
      <x:c r="E3051" s="33" t="str">
        <x:v>CORRECT / RECLASSIFY</x:v>
      </x:c>
      <x:c r="F3051" s="33" t="str">
        <x:v>Quarantine inactive descendants and align existing observations to normalized audits.</x:v>
      </x:c>
      <x:c r="G3051" s="33" t="str">
        <x:v>P-4 execution-chain reconciliation</x:v>
      </x:c>
      <x:c r="H3051" s="33" t="str">
        <x:v>P-4</x:v>
      </x:c>
      <x:c r="I3051" s="33" t="str">
        <x:v>P-4</x:v>
      </x:c>
      <x:c r="J3051" s="33" t="str">
        <x:v>2026-08-20</x:v>
      </x:c>
      <x:c r="K3051" s="33" t="str">
        <x:v>Observation IDs preserved and aligned.</x:v>
      </x:c>
    </x:row>
    <x:row r="3052">
      <x:c r="A3052" s="33" t="str">
        <x:v>OBS237</x:v>
      </x:c>
      <x:c r="B3052" s="33" t="str">
        <x:v>Observation Master</x:v>
      </x:c>
      <x:c r="C3052" s="33" t="str">
        <x:v>Observation Template=Compliance KPIs were not periodically monitored or management lacked visibility into compliance performance.; Risk Level=Medium; Recommendation=Establish measurable compliance KPIs and review them through periodic management dashboards.; Observation Category=Other; Remarks=Support data-driven governance.</x:v>
      </x:c>
      <x:c r="D3052" s="33" t="str">
        <x:v>Observation Template=Ensure statutory licences, approvals and registers are readily available for inspection. was not demonstrated or did not operate effectively for the sample tested.; Risk Level=High; Recommendation=Implement the requirement, assign ownership, correct affected records or transactions, and retain evidence of operating effectiveness: Ensure statutory licences, approvals and registers are readily available for inspection.; Observation Category=CA019; Remarks=P-4 aligned to the normalized parent audit; legacy Observation ID preserved.</x:v>
      </x:c>
      <x:c r="E3052" s="33" t="str">
        <x:v>CORRECT / RECLASSIFY</x:v>
      </x:c>
      <x:c r="F3052" s="33" t="str">
        <x:v>Quarantine inactive descendants and align existing observations to normalized audits.</x:v>
      </x:c>
      <x:c r="G3052" s="33" t="str">
        <x:v>P-4 execution-chain reconciliation</x:v>
      </x:c>
      <x:c r="H3052" s="33" t="str">
        <x:v>P-4</x:v>
      </x:c>
      <x:c r="I3052" s="33" t="str">
        <x:v>P-4</x:v>
      </x:c>
      <x:c r="J3052" s="33" t="str">
        <x:v>2026-08-20</x:v>
      </x:c>
      <x:c r="K3052" s="33" t="str">
        <x:v>Observation IDs preserved and aligned.</x:v>
      </x:c>
    </x:row>
    <x:row r="3053">
      <x:c r="A3053" s="33" t="str">
        <x:v>OBS238</x:v>
      </x:c>
      <x:c r="B3053" s="33" t="str">
        <x:v>Observation Master</x:v>
      </x:c>
      <x:c r="C3053" s="33" t="str">
        <x:v>Observation Template=Regulatory changes were not incorporated into audit programs, resulting in outdated audit coverage.; Risk Level=High; Recommendation=Update audit programs promptly following applicable regulatory changes.; Observation Category=Digital / E-Pharmacy; Remarks=Maintain current regulatory coverage.</x:v>
      </x:c>
      <x:c r="D3053" s="33" t="str">
        <x:v>Observation Template=Maintain approved Standard Operating Procedures (SOPs) for all critical pharmacy processes. was not demonstrated or did not operate effectively for the sample tested.; Risk Level=High; Recommendation=Implement the requirement, assign ownership, correct affected records or transactions, and retain evidence of operating effectiveness: Maintain approved Standard Operating Procedures (SOPs) for all critical pharmacy processes.; Observation Category=CA096; Remarks=P-4 aligned to the normalized parent audit; legacy Observation ID preserved.</x:v>
      </x:c>
      <x:c r="E3053" s="33" t="str">
        <x:v>CORRECT / RECLASSIFY</x:v>
      </x:c>
      <x:c r="F3053" s="33" t="str">
        <x:v>Quarantine inactive descendants and align existing observations to normalized audits.</x:v>
      </x:c>
      <x:c r="G3053" s="33" t="str">
        <x:v>P-4 execution-chain reconciliation</x:v>
      </x:c>
      <x:c r="H3053" s="33" t="str">
        <x:v>P-4</x:v>
      </x:c>
      <x:c r="I3053" s="33" t="str">
        <x:v>P-4</x:v>
      </x:c>
      <x:c r="J3053" s="33" t="str">
        <x:v>2026-08-20</x:v>
      </x:c>
      <x:c r="K3053" s="33" t="str">
        <x:v>Observation IDs preserved and aligned.</x:v>
      </x:c>
    </x:row>
    <x:row r="3054">
      <x:c r="A3054" s="33" t="str">
        <x:v>OBS239</x:v>
      </x:c>
      <x:c r="B3054" s="33" t="str">
        <x:v>Observation Master</x:v>
      </x:c>
      <x:c r="C3054" s="33" t="str">
        <x:v>Observation Template=Audit programs were used without formal approval or version control.; Risk Level=Medium; Recommendation=Implement document control procedures for audit programs, including approval and version management.; Observation Category=Digital / E-Pharmacy; Remarks=Prevent use of obsolete audit programs.</x:v>
      </x:c>
      <x:c r="D3054" s="33" t="str">
        <x:v>Observation Template=Review and respond to inspection observations within timelines prescribed by the authority. was not demonstrated or did not operate effectively for the sample tested.; Risk Level=High; Recommendation=Implement the requirement, assign ownership, correct affected records or transactions, and retain evidence of operating effectiveness: Review and respond to inspection observations within timelines prescribed by the authority.; Observation Category=CA097; Remarks=P-4 aligned to the normalized parent audit; legacy Observation ID preserved.</x:v>
      </x:c>
      <x:c r="E3054" s="33" t="str">
        <x:v>CORRECT / RECLASSIFY</x:v>
      </x:c>
      <x:c r="F3054" s="33" t="str">
        <x:v>Quarantine inactive descendants and align existing observations to normalized audits.</x:v>
      </x:c>
      <x:c r="G3054" s="33" t="str">
        <x:v>P-4 execution-chain reconciliation</x:v>
      </x:c>
      <x:c r="H3054" s="33" t="str">
        <x:v>P-4</x:v>
      </x:c>
      <x:c r="I3054" s="33" t="str">
        <x:v>P-4</x:v>
      </x:c>
      <x:c r="J3054" s="33" t="str">
        <x:v>2026-08-20</x:v>
      </x:c>
      <x:c r="K3054" s="33" t="str">
        <x:v>Observation IDs preserved and aligned.</x:v>
      </x:c>
    </x:row>
    <x:row r="3055">
      <x:c r="A3055" s="33" t="str">
        <x:v>OBS240</x:v>
      </x:c>
      <x:c r="B3055" s="33" t="str">
        <x:v>Observation Master</x:v>
      </x:c>
      <x:c r="C3055" s="33" t="str">
        <x:v>Observation Template=Audit records were not retained for the prescribed retention period or archival controls were ineffective.; Risk Level=Medium; Recommendation=Maintain audit records securely in accordance with approved retention policies.; Observation Category=Digital / E-Pharmacy; Remarks=Records should remain readily retrievable.</x:v>
      </x:c>
      <x:c r="D3055" s="33" t="str">
        <x:v>Observation Template=Implement corrective and preventive actions (CAPA) for all regulatory inspection observations. was not demonstrated or did not operate effectively for the sample tested.; Risk Level=High; Recommendation=Implement the requirement, assign ownership, correct affected records or transactions, and retain evidence of operating effectiveness: Implement corrective and preventive actions (CAPA) for all regulatory inspection observations.; Observation Category=CA098; Remarks=P-4 aligned to the normalized parent audit; legacy Observation ID preserved.</x:v>
      </x:c>
      <x:c r="E3055" s="33" t="str">
        <x:v>CORRECT / RECLASSIFY</x:v>
      </x:c>
      <x:c r="F3055" s="33" t="str">
        <x:v>Quarantine inactive descendants and align existing observations to normalized audits.</x:v>
      </x:c>
      <x:c r="G3055" s="33" t="str">
        <x:v>P-4 execution-chain reconciliation</x:v>
      </x:c>
      <x:c r="H3055" s="33" t="str">
        <x:v>P-4</x:v>
      </x:c>
      <x:c r="I3055" s="33" t="str">
        <x:v>P-4</x:v>
      </x:c>
      <x:c r="J3055" s="33" t="str">
        <x:v>2026-08-20</x:v>
      </x:c>
      <x:c r="K3055" s="33" t="str">
        <x:v>Observation IDs preserved and aligned.</x:v>
      </x:c>
    </x:row>
    <x:row r="3056">
      <x:c r="A3056" s="33" t="str">
        <x:v>OBS241</x:v>
      </x:c>
      <x:c r="B3056" s="33" t="str">
        <x:v>Observation Master</x:v>
      </x:c>
      <x:c r="C3056" s="33" t="str">
        <x:v>Observation Template=Electronic audit documentation lacked adequate access controls or audit trail functionality.; Risk Level=High; Recommendation=Implement role-based access controls and periodically review audit trail logs.; Observation Category=Documentation; Remarks=Protect integrity of audit documentation.</x:v>
      </x:c>
      <x:c r="D3056" s="33" t="str">
        <x:v>Observation Template=Conduct periodic internal compliance reviews covering all applicable pharmacy regulations. was not demonstrated or did not operate effectively for the sample tested.; Risk Level=High; Recommendation=Implement the requirement, assign ownership, correct affected records or transactions, and retain evidence of operating effectiveness: Conduct periodic internal compliance reviews covering all applicable pharmacy regulations.; Observation Category=CA083; Remarks=P-4 aligned to the normalized parent audit; legacy Observation ID preserved.</x:v>
      </x:c>
      <x:c r="E3056" s="33" t="str">
        <x:v>CORRECT / RECLASSIFY</x:v>
      </x:c>
      <x:c r="F3056" s="33" t="str">
        <x:v>Quarantine inactive descendants and align existing observations to normalized audits.</x:v>
      </x:c>
      <x:c r="G3056" s="33" t="str">
        <x:v>P-4 execution-chain reconciliation</x:v>
      </x:c>
      <x:c r="H3056" s="33" t="str">
        <x:v>P-4</x:v>
      </x:c>
      <x:c r="I3056" s="33" t="str">
        <x:v>P-4</x:v>
      </x:c>
      <x:c r="J3056" s="33" t="str">
        <x:v>2026-08-20</x:v>
      </x:c>
      <x:c r="K3056" s="33" t="str">
        <x:v>Observation IDs preserved and aligned.</x:v>
      </x:c>
    </x:row>
    <x:row r="3057">
      <x:c r="A3057" s="33" t="str">
        <x:v>OBS242</x:v>
      </x:c>
      <x:c r="B3057" s="33" t="str">
        <x:v>Observation Master</x:v>
      </x:c>
      <x:c r="C3057" s="33" t="str">
        <x:v>Observation Template=Auditors lacked adequate regulatory or professional competency due to insufficient training.; Risk Level=Medium; Recommendation=Conduct periodic auditor competency development programs and maintain training records.; Observation Category=Personnel; Remarks=Evaluate training effectiveness regularly.</x:v>
      </x:c>
      <x:c r="D3057" s="33" t="str">
        <x:v>Observation Template=Establish and maintain an enterprise compliance governance framework. was not demonstrated or did not operate effectively for the sample tested.; Risk Level=High; Recommendation=Implement the requirement, assign ownership, correct affected records or transactions, and retain evidence of operating effectiveness: Establish and maintain an enterprise compliance governance framework.; Observation Category=CA099; Remarks=P-4 aligned to the normalized parent audit; legacy Observation ID preserved.</x:v>
      </x:c>
      <x:c r="E3057" s="33" t="str">
        <x:v>CORRECT / RECLASSIFY</x:v>
      </x:c>
      <x:c r="F3057" s="33" t="str">
        <x:v>Quarantine inactive descendants and align existing observations to normalized audits.</x:v>
      </x:c>
      <x:c r="G3057" s="33" t="str">
        <x:v>P-4 execution-chain reconciliation</x:v>
      </x:c>
      <x:c r="H3057" s="33" t="str">
        <x:v>P-4</x:v>
      </x:c>
      <x:c r="I3057" s="33" t="str">
        <x:v>P-4</x:v>
      </x:c>
      <x:c r="J3057" s="33" t="str">
        <x:v>2026-08-20</x:v>
      </x:c>
      <x:c r="K3057" s="33" t="str">
        <x:v>Observation IDs preserved and aligned.</x:v>
      </x:c>
    </x:row>
    <x:row r="3058">
      <x:c r="A3058" s="33" t="str">
        <x:v>OBS243</x:v>
      </x:c>
      <x:c r="B3058" s="33" t="str">
        <x:v>Observation Master</x:v>
      </x:c>
      <x:c r="C3058" s="33" t="str">
        <x:v>Observation Template=Audit planning did not adequately consider previous regulatory inspection findings or emerging compliance risks.; Risk Level=High; Recommendation=Incorporate inspection history and current regulatory risks into annual audit planning.; Observation Category=Regulatory Filing; Remarks=Risk-based planning should be documented.</x:v>
      </x:c>
      <x:c r="D3058" s="33" t="str">
        <x:v>Observation Template=Assign clear ownership and accountability for every regulatory compliance obligation. was not demonstrated or did not operate effectively for the sample tested.; Risk Level=High; Recommendation=Implement the requirement, assign ownership, correct affected records or transactions, and retain evidence of operating effectiveness: Assign clear ownership and accountability for every regulatory compliance obligation.; Observation Category=CA100; Remarks=P-4 aligned to the normalized parent audit; legacy Observation ID preserved.</x:v>
      </x:c>
      <x:c r="E3058" s="33" t="str">
        <x:v>CORRECT / RECLASSIFY</x:v>
      </x:c>
      <x:c r="F3058" s="33" t="str">
        <x:v>Quarantine inactive descendants and align existing observations to normalized audits.</x:v>
      </x:c>
      <x:c r="G3058" s="33" t="str">
        <x:v>P-4 execution-chain reconciliation</x:v>
      </x:c>
      <x:c r="H3058" s="33" t="str">
        <x:v>P-4</x:v>
      </x:c>
      <x:c r="I3058" s="33" t="str">
        <x:v>P-4</x:v>
      </x:c>
      <x:c r="J3058" s="33" t="str">
        <x:v>2026-08-20</x:v>
      </x:c>
      <x:c r="K3058" s="33" t="str">
        <x:v>Observation IDs preserved and aligned.</x:v>
      </x:c>
    </x:row>
    <x:row r="3059">
      <x:c r="A3059" s="33" t="str">
        <x:v>OBS244</x:v>
      </x:c>
      <x:c r="B3059" s="33" t="str">
        <x:v>Observation Master</x:v>
      </x:c>
      <x:c r="C3059" s="33" t="str">
        <x:v>Observation Template=Independent quality assurance reviews of the internal audit process were not performed or documented.; Risk Level=Medium; Recommendation=Conduct periodic quality assurance reviews to evaluate audit methodology and consistency.; Observation Category=Quality; Remarks=Supports continual improvement.</x:v>
      </x:c>
      <x:c r="D3059" s="33" t="str">
        <x:v>Observation Template=Monitor regulatory updates and assess their impact on pharmacy operations. was not demonstrated or did not operate effectively for the sample tested.; Risk Level=High; Recommendation=Implement the requirement, assign ownership, correct affected records or transactions, and retain evidence of operating effectiveness: Monitor regulatory updates and assess their impact on pharmacy operations.; Observation Category=CA084; Remarks=P-4 aligned to the normalized parent audit; legacy Observation ID preserved.</x:v>
      </x:c>
      <x:c r="E3059" s="33" t="str">
        <x:v>CORRECT / RECLASSIFY</x:v>
      </x:c>
      <x:c r="F3059" s="33" t="str">
        <x:v>Quarantine inactive descendants and align existing observations to normalized audits.</x:v>
      </x:c>
      <x:c r="G3059" s="33" t="str">
        <x:v>P-4 execution-chain reconciliation</x:v>
      </x:c>
      <x:c r="H3059" s="33" t="str">
        <x:v>P-4</x:v>
      </x:c>
      <x:c r="I3059" s="33" t="str">
        <x:v>P-4</x:v>
      </x:c>
      <x:c r="J3059" s="33" t="str">
        <x:v>2026-08-20</x:v>
      </x:c>
      <x:c r="K3059" s="33" t="str">
        <x:v>Observation IDs preserved and aligned.</x:v>
      </x:c>
    </x:row>
    <x:row r="3060">
      <x:c r="A3060" s="33" t="str">
        <x:v>OBS245</x:v>
      </x:c>
      <x:c r="B3060" s="33" t="str">
        <x:v>Observation Master</x:v>
      </x:c>
      <x:c r="C3060" s="33" t="str">
        <x:v>Observation Template=Auditor conflicts of interest were not identified, documented or appropriately managed.; Risk Level=High; Recommendation=Implement formal conflict-of-interest declaration and review procedures for all audit personnel.; Observation Category=Digital / E-Pharmacy; Remarks=Preserve audit independence.</x:v>
      </x:c>
      <x:c r="D3060" s="33" t="str">
        <x:v>Observation Template=Maintain a compliance calendar covering all statutory obligations and due dates. was not demonstrated or did not operate effectively for the sample tested.; Risk Level=High; Recommendation=Implement the requirement, assign ownership, correct affected records or transactions, and retain evidence of operating effectiveness: Maintain a compliance calendar covering all statutory obligations and due dates.; Observation Category=CA088; Remarks=P-4 aligned to the normalized parent audit; legacy Observation ID preserved.</x:v>
      </x:c>
      <x:c r="E3060" s="33" t="str">
        <x:v>CORRECT / RECLASSIFY</x:v>
      </x:c>
      <x:c r="F3060" s="33" t="str">
        <x:v>Quarantine inactive descendants and align existing observations to normalized audits.</x:v>
      </x:c>
      <x:c r="G3060" s="33" t="str">
        <x:v>P-4 execution-chain reconciliation</x:v>
      </x:c>
      <x:c r="H3060" s="33" t="str">
        <x:v>P-4</x:v>
      </x:c>
      <x:c r="I3060" s="33" t="str">
        <x:v>P-4</x:v>
      </x:c>
      <x:c r="J3060" s="33" t="str">
        <x:v>2026-08-20</x:v>
      </x:c>
      <x:c r="K3060" s="33" t="str">
        <x:v>Observation IDs preserved and aligned.</x:v>
      </x:c>
    </x:row>
    <x:row r="3061">
      <x:c r="A3061" s="33" t="str">
        <x:v>OBS246</x:v>
      </x:c>
      <x:c r="B3061" s="33" t="str">
        <x:v>Observation Master</x:v>
      </x:c>
      <x:c r="C3061" s="33" t="str">
        <x:v>Observation Template=Audit plans were not revised to reflect significant regulatory developments or emerging compliance priorities.; Risk Level=Medium; Recommendation=Periodically reassess audit priorities using updated regulatory intelligence and risk assessments.; Observation Category=Regulatory Filing; Remarks=Maintain a dynamic audit plan.</x:v>
      </x:c>
      <x:c r="D3061" s="33" t="str">
        <x:v>Observation Template=Submit periodic compliance reports to senior management. was not demonstrated or did not operate effectively for the sample tested.; Risk Level=High; Recommendation=Implement the requirement, assign ownership, correct affected records or transactions, and retain evidence of operating effectiveness: Submit periodic compliance reports to senior management.; Observation Category=CA086; Remarks=P-4 aligned to the normalized parent audit; legacy Observation ID preserved.</x:v>
      </x:c>
      <x:c r="E3061" s="33" t="str">
        <x:v>CORRECT / RECLASSIFY</x:v>
      </x:c>
      <x:c r="F3061" s="33" t="str">
        <x:v>Quarantine inactive descendants and align existing observations to normalized audits.</x:v>
      </x:c>
      <x:c r="G3061" s="33" t="str">
        <x:v>P-4 execution-chain reconciliation</x:v>
      </x:c>
      <x:c r="H3061" s="33" t="str">
        <x:v>P-4</x:v>
      </x:c>
      <x:c r="I3061" s="33" t="str">
        <x:v>P-4</x:v>
      </x:c>
      <x:c r="J3061" s="33" t="str">
        <x:v>2026-08-20</x:v>
      </x:c>
      <x:c r="K3061" s="33" t="str">
        <x:v>Observation IDs preserved and aligned.</x:v>
      </x:c>
    </x:row>
    <x:row r="3062">
      <x:c r="A3062" s="33" t="str">
        <x:v>OBS247</x:v>
      </x:c>
      <x:c r="B3062" s="33" t="str">
        <x:v>Observation Master</x:v>
      </x:c>
      <x:c r="C3062" s="33" t="str">
        <x:v>Observation Template=Audit performance indicators were not monitored or improvement initiatives were not implemented.; Risk Level=Low; Recommendation=Monitor audit KPIs and establish continuous improvement initiatives for the internal audit function.; Observation Category=Other; Remarks=Measure audit effectiveness.</x:v>
      </x:c>
      <x:c r="D3062" s="33" t="str">
        <x:v>Observation Template=Perform periodic regulatory risk assessments and document mitigation measures. was not demonstrated or did not operate effectively for the sample tested.; Risk Level=High; Recommendation=Implement the requirement, assign ownership, correct affected records or transactions, and retain evidence of operating effectiveness: Perform periodic regulatory risk assessments and document mitigation measures.; Observation Category=CA087; Remarks=P-4 aligned to the normalized parent audit; legacy Observation ID preserved.</x:v>
      </x:c>
      <x:c r="E3062" s="33" t="str">
        <x:v>CORRECT / RECLASSIFY</x:v>
      </x:c>
      <x:c r="F3062" s="33" t="str">
        <x:v>Quarantine inactive descendants and align existing observations to normalized audits.</x:v>
      </x:c>
      <x:c r="G3062" s="33" t="str">
        <x:v>P-4 execution-chain reconciliation</x:v>
      </x:c>
      <x:c r="H3062" s="33" t="str">
        <x:v>P-4</x:v>
      </x:c>
      <x:c r="I3062" s="33" t="str">
        <x:v>P-4</x:v>
      </x:c>
      <x:c r="J3062" s="33" t="str">
        <x:v>2026-08-20</x:v>
      </x:c>
      <x:c r="K3062" s="33" t="str">
        <x:v>Observation IDs preserved and aligned.</x:v>
      </x:c>
    </x:row>
    <x:row r="3063">
      <x:c r="A3063" s="33" t="str">
        <x:v>OBS248</x:v>
      </x:c>
      <x:c r="B3063" s="33" t="str">
        <x:v>Observation Master</x:v>
      </x:c>
      <x:c r="C3063" s="33" t="str">
        <x:v>Observation Template=Independent quality reviews identified weaknesses in audit execution or documentation standards.; Risk Level=Medium; Recommendation=Address quality review observations through standardized methodology improvements and auditor coaching.; Observation Category=Quality; Remarks=Promote consistent audit quality.</x:v>
      </x:c>
      <x:c r="D3063" s="33" t="str">
        <x:v>Observation Template=Conduct independent internal audits to evaluate regulatory compliance effectiveness. was not demonstrated or did not operate effectively for the sample tested.; Risk Level=High; Recommendation=Implement the requirement, assign ownership, correct affected records or transactions, and retain evidence of operating effectiveness: Conduct independent internal audits to evaluate regulatory compliance effectiveness.; Observation Category=CA083; Remarks=P-4 aligned to the normalized parent audit; legacy Observation ID preserved.</x:v>
      </x:c>
      <x:c r="E3063" s="33" t="str">
        <x:v>CORRECT / RECLASSIFY</x:v>
      </x:c>
      <x:c r="F3063" s="33" t="str">
        <x:v>Quarantine inactive descendants and align existing observations to normalized audits.</x:v>
      </x:c>
      <x:c r="G3063" s="33" t="str">
        <x:v>P-4 execution-chain reconciliation</x:v>
      </x:c>
      <x:c r="H3063" s="33" t="str">
        <x:v>P-4</x:v>
      </x:c>
      <x:c r="I3063" s="33" t="str">
        <x:v>P-4</x:v>
      </x:c>
      <x:c r="J3063" s="33" t="str">
        <x:v>2026-08-20</x:v>
      </x:c>
      <x:c r="K3063" s="33" t="str">
        <x:v>Observation IDs preserved and aligned.</x:v>
      </x:c>
    </x:row>
    <x:row r="3064">
      <x:c r="A3064" s="33" t="str">
        <x:v>OBS249</x:v>
      </x:c>
      <x:c r="B3064" s="33" t="str">
        <x:v>Observation Master</x:v>
      </x:c>
      <x:c r="C3064" s="33" t="str">
        <x:v>Observation Template=Enterprise-wide compliance audits did not adequately cover all regulatory domains or high-risk compliance obligations.; Risk Level=High; Recommendation=Implement a comprehensive risk-based enterprise audit framework covering all applicable compliance requirements.; Observation Category=Digital / E-Pharmacy; Remarks=Ensure complete regulatory coverage.</x:v>
      </x:c>
      <x:c r="D3064" s="33" t="str">
        <x:v>Observation Template=Maintain controlled regulatory documents with version control, approval history and archival records. was not demonstrated or did not operate effectively for the sample tested.; Risk Level=High; Recommendation=Implement the requirement, assign ownership, correct affected records or transactions, and retain evidence of operating effectiveness: Maintain controlled regulatory documents with version control, approval history and archival records.; Observation Category=CA097; Remarks=P-4 aligned to the normalized parent audit; legacy Observation ID preserved.</x:v>
      </x:c>
      <x:c r="E3064" s="33" t="str">
        <x:v>CORRECT / RECLASSIFY</x:v>
      </x:c>
      <x:c r="F3064" s="33" t="str">
        <x:v>Quarantine inactive descendants and align existing observations to normalized audits.</x:v>
      </x:c>
      <x:c r="G3064" s="33" t="str">
        <x:v>P-4 execution-chain reconciliation</x:v>
      </x:c>
      <x:c r="H3064" s="33" t="str">
        <x:v>P-4</x:v>
      </x:c>
      <x:c r="I3064" s="33" t="str">
        <x:v>P-4</x:v>
      </x:c>
      <x:c r="J3064" s="33" t="str">
        <x:v>2026-08-20</x:v>
      </x:c>
      <x:c r="K3064" s="33" t="str">
        <x:v>Observation IDs preserved and aligned.</x:v>
      </x:c>
    </x:row>
    <x:row r="3065">
      <x:c r="A3065" s="33" t="str">
        <x:v>OBS250</x:v>
      </x:c>
      <x:c r="B3065" s="33" t="str">
        <x:v>Observation Master</x:v>
      </x:c>
      <x:c r="C3065" s="33" t="str">
        <x:v>Observation Template=The enterprise compliance monitoring framework was ineffective in providing assurance over regulatory compliance, governance and continual improvement.; Risk Level=Critical; Recommendation=Strengthen the enterprise compliance management system through periodic monitoring, independent assurance, management review and continuous improvement initiatives.; Observation Category=Regulatory Filing; Remarks=Enterprise-level governance observation applicable across the entire pharmacy compliance program.</x:v>
      </x:c>
      <x:c r="D3065" s="33" t="str">
        <x:v>Observation Template=Periodically review and improve the compliance management system through continual improvement initiatives. was not demonstrated or did not operate effectively for the sample tested.; Risk Level=High; Recommendation=Implement the requirement, assign ownership, correct affected records or transactions, and retain evidence of operating effectiveness: Periodically review and improve the compliance management system through continual improvement initiatives.; Observation Category=CA089; Remarks=P-4 aligned to the normalized parent audit; legacy Observation ID preserved.</x:v>
      </x:c>
      <x:c r="E3065" s="33" t="str">
        <x:v>CORRECT / RECLASSIFY</x:v>
      </x:c>
      <x:c r="F3065" s="33" t="str">
        <x:v>Quarantine inactive descendants and align existing observations to normalized audits.</x:v>
      </x:c>
      <x:c r="G3065" s="33" t="str">
        <x:v>P-4 execution-chain reconciliation</x:v>
      </x:c>
      <x:c r="H3065" s="33" t="str">
        <x:v>P-4</x:v>
      </x:c>
      <x:c r="I3065" s="33" t="str">
        <x:v>P-4</x:v>
      </x:c>
      <x:c r="J3065" s="33" t="str">
        <x:v>2026-08-20</x:v>
      </x:c>
      <x:c r="K3065" s="33" t="str">
        <x:v>Observation IDs preserved and aligned.</x:v>
      </x:c>
    </x:row>
    <x:row r="3066">
      <x:c r="A3066" s="33" t="str">
        <x:v>P4EVID001</x:v>
      </x:c>
      <x:c r="B3066" s="33" t="str">
        <x:v>Evidence Master</x:v>
      </x:c>
      <x:c r="C3066" s="33" t="str">
        <x:v>Not present</x:v>
      </x:c>
      <x:c r="D3066" s="33" t="str">
        <x:v>Evidence ID=P4EVID001; Audit ID=AUD002; Evidence Required=Documentary and transaction evidence demonstrating: Ensure that no drug is sold, stocked, exhibited or distributed in violation of the Drugs and Cosmetics Act.; Evidence Type=Record; Mandatory=Yes; Retention Category=Applicable statutory / operational period; Origin=P4_VALIDATION; Active=Yes; Remarks=P-4 chain-closure evidence; exact document type follows the applicable law, licence or internal control.</x:v>
      </x:c>
      <x:c r="E3066" s="33" t="str">
        <x:v>ADD</x:v>
      </x:c>
      <x:c r="F3066" s="33" t="str">
        <x:v>Close every active audit-to-evidence link.</x:v>
      </x:c>
      <x:c r="G3066" s="33" t="str">
        <x:v>P-4 execution-chain reconciliation</x:v>
      </x:c>
      <x:c r="H3066" s="33" t="str">
        <x:v>P-4</x:v>
      </x:c>
      <x:c r="I3066" s="33" t="str">
        <x:v>P-4</x:v>
      </x:c>
      <x:c r="J3066" s="33" t="str">
        <x:v>2026-08-20</x:v>
      </x:c>
      <x:c r="K3066" s="33" t="str">
        <x:v>All active audits now have an active evidence record.</x:v>
      </x:c>
    </x:row>
    <x:row r="3067">
      <x:c r="A3067" s="33" t="str">
        <x:v>P4EVID002</x:v>
      </x:c>
      <x:c r="B3067" s="33" t="str">
        <x:v>Evidence Master</x:v>
      </x:c>
      <x:c r="C3067" s="33" t="str">
        <x:v>Not present</x:v>
      </x:c>
      <x:c r="D3067" s="33" t="str">
        <x:v>Evidence ID=P4EVID002; Audit ID=AUD003; Evidence Required=Documentary and transaction evidence demonstrating: Ensure that no drug is sold, stocked, exhibited or distributed in violation of the Drugs and Cosmetics Act.; Evidence Type=Record; Mandatory=Yes; Retention Category=Applicable statutory / operational period; Origin=P4_VALIDATION; Active=Yes; Remarks=P-4 chain-closure evidence; exact document type follows the applicable law, licence or internal control.</x:v>
      </x:c>
      <x:c r="E3067" s="33" t="str">
        <x:v>ADD</x:v>
      </x:c>
      <x:c r="F3067" s="33" t="str">
        <x:v>Close every active audit-to-evidence link.</x:v>
      </x:c>
      <x:c r="G3067" s="33" t="str">
        <x:v>P-4 execution-chain reconciliation</x:v>
      </x:c>
      <x:c r="H3067" s="33" t="str">
        <x:v>P-4</x:v>
      </x:c>
      <x:c r="I3067" s="33" t="str">
        <x:v>P-4</x:v>
      </x:c>
      <x:c r="J3067" s="33" t="str">
        <x:v>2026-08-20</x:v>
      </x:c>
      <x:c r="K3067" s="33" t="str">
        <x:v>All active audits now have an active evidence record.</x:v>
      </x:c>
    </x:row>
    <x:row r="3068">
      <x:c r="A3068" s="33" t="str">
        <x:v>P4EVID003</x:v>
      </x:c>
      <x:c r="B3068" s="33" t="str">
        <x:v>Evidence Master</x:v>
      </x:c>
      <x:c r="C3068" s="33" t="str">
        <x:v>Not present</x:v>
      </x:c>
      <x:c r="D3068" s="33" t="str">
        <x:v>Evidence ID=P4EVID003; Audit ID=AUD005; Evidence Required=Documentary and transaction evidence demonstrating: Maintain documentary evidence identifying the source of procurement for every drug supplied or stocked.; Evidence Type=Record; Mandatory=Yes; Retention Category=Applicable statutory / operational period; Origin=P4_VALIDATION; Active=Yes; Remarks=P-4 chain-closure evidence; exact document type follows the applicable law, licence or internal control.</x:v>
      </x:c>
      <x:c r="E3068" s="33" t="str">
        <x:v>ADD</x:v>
      </x:c>
      <x:c r="F3068" s="33" t="str">
        <x:v>Close every active audit-to-evidence link.</x:v>
      </x:c>
      <x:c r="G3068" s="33" t="str">
        <x:v>P-4 execution-chain reconciliation</x:v>
      </x:c>
      <x:c r="H3068" s="33" t="str">
        <x:v>P-4</x:v>
      </x:c>
      <x:c r="I3068" s="33" t="str">
        <x:v>P-4</x:v>
      </x:c>
      <x:c r="J3068" s="33" t="str">
        <x:v>2026-08-20</x:v>
      </x:c>
      <x:c r="K3068" s="33" t="str">
        <x:v>All active audits now have an active evidence record.</x:v>
      </x:c>
    </x:row>
    <x:row r="3069">
      <x:c r="A3069" s="33" t="str">
        <x:v>P4EVID004</x:v>
      </x:c>
      <x:c r="B3069" s="33" t="str">
        <x:v>Evidence Master</x:v>
      </x:c>
      <x:c r="C3069" s="33" t="str">
        <x:v>Not present</x:v>
      </x:c>
      <x:c r="D3069" s="33" t="str">
        <x:v>Evidence ID=P4EVID004; Audit ID=AUD007; Evidence Required=Documentary and transaction evidence demonstrating: Maintain all statutory registers and records in the prescribed manner.; Evidence Type=Record; Mandatory=Yes; Retention Category=Applicable statutory / operational period; Origin=P4_VALIDATION; Active=Yes; Remarks=P-4 chain-closure evidence; exact document type follows the applicable law, licence or internal control.</x:v>
      </x:c>
      <x:c r="E3069" s="33" t="str">
        <x:v>ADD</x:v>
      </x:c>
      <x:c r="F3069" s="33" t="str">
        <x:v>Close every active audit-to-evidence link.</x:v>
      </x:c>
      <x:c r="G3069" s="33" t="str">
        <x:v>P-4 execution-chain reconciliation</x:v>
      </x:c>
      <x:c r="H3069" s="33" t="str">
        <x:v>P-4</x:v>
      </x:c>
      <x:c r="I3069" s="33" t="str">
        <x:v>P-4</x:v>
      </x:c>
      <x:c r="J3069" s="33" t="str">
        <x:v>2026-08-20</x:v>
      </x:c>
      <x:c r="K3069" s="33" t="str">
        <x:v>All active audits now have an active evidence record.</x:v>
      </x:c>
    </x:row>
    <x:row r="3070">
      <x:c r="A3070" s="33" t="str">
        <x:v>P4EVID005</x:v>
      </x:c>
      <x:c r="B3070" s="33" t="str">
        <x:v>Evidence Master</x:v>
      </x:c>
      <x:c r="C3070" s="33" t="str">
        <x:v>Not present</x:v>
      </x:c>
      <x:c r="D3070" s="33" t="str">
        <x:v>Evidence ID=P4EVID005; Audit ID=AUD009; Evidence Required=Documentary and transaction evidence demonstrating: Preserve statutory records for the period prescribed under applicable law.; Evidence Type=Record; Mandatory=Yes; Retention Category=Applicable statutory / operational period; Origin=P4_VALIDATION; Active=Yes; Remarks=P-4 chain-closure evidence; exact document type follows the applicable law, licence or internal control.</x:v>
      </x:c>
      <x:c r="E3070" s="33" t="str">
        <x:v>ADD</x:v>
      </x:c>
      <x:c r="F3070" s="33" t="str">
        <x:v>Close every active audit-to-evidence link.</x:v>
      </x:c>
      <x:c r="G3070" s="33" t="str">
        <x:v>P-4 execution-chain reconciliation</x:v>
      </x:c>
      <x:c r="H3070" s="33" t="str">
        <x:v>P-4</x:v>
      </x:c>
      <x:c r="I3070" s="33" t="str">
        <x:v>P-4</x:v>
      </x:c>
      <x:c r="J3070" s="33" t="str">
        <x:v>2026-08-20</x:v>
      </x:c>
      <x:c r="K3070" s="33" t="str">
        <x:v>All active audits now have an active evidence record.</x:v>
      </x:c>
    </x:row>
    <x:row r="3071">
      <x:c r="A3071" s="33" t="str">
        <x:v>P4EVID006</x:v>
      </x:c>
      <x:c r="B3071" s="33" t="str">
        <x:v>Evidence Master</x:v>
      </x:c>
      <x:c r="C3071" s="33" t="str">
        <x:v>Not present</x:v>
      </x:c>
      <x:c r="D3071" s="33" t="str">
        <x:v>Evidence ID=P4EVID006; Audit ID=AUD010; Evidence Required=Documentary and transaction evidence demonstrating: Preserve statutory records for the period prescribed under applicable law.; Evidence Type=Record; Mandatory=Yes; Retention Category=Applicable statutory / operational period; Origin=P4_VALIDATION; Active=Yes; Remarks=P-4 chain-closure evidence; exact document type follows the applicable law, licence or internal control.</x:v>
      </x:c>
      <x:c r="E3071" s="33" t="str">
        <x:v>ADD</x:v>
      </x:c>
      <x:c r="F3071" s="33" t="str">
        <x:v>Close every active audit-to-evidence link.</x:v>
      </x:c>
      <x:c r="G3071" s="33" t="str">
        <x:v>P-4 execution-chain reconciliation</x:v>
      </x:c>
      <x:c r="H3071" s="33" t="str">
        <x:v>P-4</x:v>
      </x:c>
      <x:c r="I3071" s="33" t="str">
        <x:v>P-4</x:v>
      </x:c>
      <x:c r="J3071" s="33" t="str">
        <x:v>2026-08-20</x:v>
      </x:c>
      <x:c r="K3071" s="33" t="str">
        <x:v>All active audits now have an active evidence record.</x:v>
      </x:c>
    </x:row>
    <x:row r="3072">
      <x:c r="A3072" s="33" t="str">
        <x:v>P4EVID007</x:v>
      </x:c>
      <x:c r="B3072" s="33" t="str">
        <x:v>Evidence Master</x:v>
      </x:c>
      <x:c r="C3072" s="33" t="str">
        <x:v>Not present</x:v>
      </x:c>
      <x:c r="D3072" s="33" t="str">
        <x:v>Evidence ID=P4EVID007; Audit ID=AUD012; Evidence Required=Documentary and transaction evidence demonstrating: Facilitate inspection by Drug Inspectors and provide access to licensed premises.; Evidence Type=Record; Mandatory=Yes; Retention Category=Applicable statutory / operational period; Origin=P4_VALIDATION; Active=Yes; Remarks=P-4 chain-closure evidence; exact document type follows the applicable law, licence or internal control.</x:v>
      </x:c>
      <x:c r="E3072" s="33" t="str">
        <x:v>ADD</x:v>
      </x:c>
      <x:c r="F3072" s="33" t="str">
        <x:v>Close every active audit-to-evidence link.</x:v>
      </x:c>
      <x:c r="G3072" s="33" t="str">
        <x:v>P-4 execution-chain reconciliation</x:v>
      </x:c>
      <x:c r="H3072" s="33" t="str">
        <x:v>P-4</x:v>
      </x:c>
      <x:c r="I3072" s="33" t="str">
        <x:v>P-4</x:v>
      </x:c>
      <x:c r="J3072" s="33" t="str">
        <x:v>2026-08-20</x:v>
      </x:c>
      <x:c r="K3072" s="33" t="str">
        <x:v>All active audits now have an active evidence record.</x:v>
      </x:c>
    </x:row>
    <x:row r="3073">
      <x:c r="A3073" s="33" t="str">
        <x:v>P4EVID008</x:v>
      </x:c>
      <x:c r="B3073" s="33" t="str">
        <x:v>Evidence Master</x:v>
      </x:c>
      <x:c r="C3073" s="33" t="str">
        <x:v>Not present</x:v>
      </x:c>
      <x:c r="D3073" s="33" t="str">
        <x:v>Evidence ID=P4EVID008; Audit ID=AUD014; Evidence Required=Documentary and transaction evidence demonstrating: Cooperate during sample collection and inspection procedures carried out by Drug Inspectors.; Evidence Type=Record; Mandatory=Yes; Retention Category=Applicable statutory / operational period; Origin=P4_VALIDATION; Active=Yes; Remarks=P-4 chain-closure evidence; exact document type follows the applicable law, licence or internal control.</x:v>
      </x:c>
      <x:c r="E3073" s="33" t="str">
        <x:v>ADD</x:v>
      </x:c>
      <x:c r="F3073" s="33" t="str">
        <x:v>Close every active audit-to-evidence link.</x:v>
      </x:c>
      <x:c r="G3073" s="33" t="str">
        <x:v>P-4 execution-chain reconciliation</x:v>
      </x:c>
      <x:c r="H3073" s="33" t="str">
        <x:v>P-4</x:v>
      </x:c>
      <x:c r="I3073" s="33" t="str">
        <x:v>P-4</x:v>
      </x:c>
      <x:c r="J3073" s="33" t="str">
        <x:v>2026-08-20</x:v>
      </x:c>
      <x:c r="K3073" s="33" t="str">
        <x:v>All active audits now have an active evidence record.</x:v>
      </x:c>
    </x:row>
    <x:row r="3074">
      <x:c r="A3074" s="33" t="str">
        <x:v>P4EVID009</x:v>
      </x:c>
      <x:c r="B3074" s="33" t="str">
        <x:v>Evidence Master</x:v>
      </x:c>
      <x:c r="C3074" s="33" t="str">
        <x:v>Not present</x:v>
      </x:c>
      <x:c r="D3074" s="33" t="str">
        <x:v>Evidence ID=P4EVID009; Audit ID=AUD016; Evidence Required=Documentary and transaction evidence demonstrating: Prevent sale, stock, exhibition, offer for sale or distribution of drugs in contravention of Section 18.; Evidence Type=Record; Mandatory=Yes; Retention Category=Applicable statutory / operational period; Origin=P4_VALIDATION; Active=Yes; Remarks=P-4 chain-closure evidence; exact document type follows the applicable law, licence or internal control.</x:v>
      </x:c>
      <x:c r="E3074" s="33" t="str">
        <x:v>ADD</x:v>
      </x:c>
      <x:c r="F3074" s="33" t="str">
        <x:v>Close every active audit-to-evidence link.</x:v>
      </x:c>
      <x:c r="G3074" s="33" t="str">
        <x:v>P-4 execution-chain reconciliation</x:v>
      </x:c>
      <x:c r="H3074" s="33" t="str">
        <x:v>P-4</x:v>
      </x:c>
      <x:c r="I3074" s="33" t="str">
        <x:v>P-4</x:v>
      </x:c>
      <x:c r="J3074" s="33" t="str">
        <x:v>2026-08-20</x:v>
      </x:c>
      <x:c r="K3074" s="33" t="str">
        <x:v>All active audits now have an active evidence record.</x:v>
      </x:c>
    </x:row>
    <x:row r="3075">
      <x:c r="A3075" s="33" t="str">
        <x:v>P4EVID010</x:v>
      </x:c>
      <x:c r="B3075" s="33" t="str">
        <x:v>Evidence Master</x:v>
      </x:c>
      <x:c r="C3075" s="33" t="str">
        <x:v>Not present</x:v>
      </x:c>
      <x:c r="D3075" s="33" t="str">
        <x:v>Evidence ID=P4EVID010; Audit ID=AUD018; Evidence Required=Documentary and transaction evidence demonstrating: Ensure every cosmetic offered for sale or distribution complies with Rule 33 and the applicable origin, licensing, quality and labelling requirements.; Evidence Type=Record; Mandatory=Yes; Retention Category=Applicable statutory / operational period; Origin=P4_VALIDATION; Active=Yes; Remarks=P-4 chain-closure evidence; exact document type follows the applicable law, licence or internal control.</x:v>
      </x:c>
      <x:c r="E3075" s="33" t="str">
        <x:v>ADD</x:v>
      </x:c>
      <x:c r="F3075" s="33" t="str">
        <x:v>Close every active audit-to-evidence link.</x:v>
      </x:c>
      <x:c r="G3075" s="33" t="str">
        <x:v>P-4 execution-chain reconciliation</x:v>
      </x:c>
      <x:c r="H3075" s="33" t="str">
        <x:v>P-4</x:v>
      </x:c>
      <x:c r="I3075" s="33" t="str">
        <x:v>P-4</x:v>
      </x:c>
      <x:c r="J3075" s="33" t="str">
        <x:v>2026-08-20</x:v>
      </x:c>
      <x:c r="K3075" s="33" t="str">
        <x:v>All active audits now have an active evidence record.</x:v>
      </x:c>
    </x:row>
    <x:row r="3076">
      <x:c r="A3076" s="33" t="str">
        <x:v>P4EVID011</x:v>
      </x:c>
      <x:c r="B3076" s="33" t="str">
        <x:v>Evidence Master</x:v>
      </x:c>
      <x:c r="C3076" s="33" t="str">
        <x:v>Not present</x:v>
      </x:c>
      <x:c r="D3076" s="33" t="str">
        <x:v>Evidence ID=P4EVID011; Audit ID=AUD020; Evidence Required=Documentary and transaction evidence demonstrating: Furnish manufacturer/source information lawfully required under Section 18A.; Evidence Type=Record; Mandatory=Yes; Retention Category=Applicable statutory / operational period; Origin=P4_VALIDATION; Active=Yes; Remarks=P-4 chain-closure evidence; exact document type follows the applicable law, licence or internal control.</x:v>
      </x:c>
      <x:c r="E3076" s="33" t="str">
        <x:v>ADD</x:v>
      </x:c>
      <x:c r="F3076" s="33" t="str">
        <x:v>Close every active audit-to-evidence link.</x:v>
      </x:c>
      <x:c r="G3076" s="33" t="str">
        <x:v>P-4 execution-chain reconciliation</x:v>
      </x:c>
      <x:c r="H3076" s="33" t="str">
        <x:v>P-4</x:v>
      </x:c>
      <x:c r="I3076" s="33" t="str">
        <x:v>P-4</x:v>
      </x:c>
      <x:c r="J3076" s="33" t="str">
        <x:v>2026-08-20</x:v>
      </x:c>
      <x:c r="K3076" s="33" t="str">
        <x:v>All active audits now have an active evidence record.</x:v>
      </x:c>
    </x:row>
    <x:row r="3077">
      <x:c r="A3077" s="33" t="str">
        <x:v>P4EVID012</x:v>
      </x:c>
      <x:c r="B3077" s="33" t="str">
        <x:v>Evidence Master</x:v>
      </x:c>
      <x:c r="C3077" s="33" t="str">
        <x:v>Not present</x:v>
      </x:c>
      <x:c r="D3077" s="33" t="str">
        <x:v>Evidence ID=P4EVID012; Audit ID=AUD022; Evidence Required=Documentary and transaction evidence demonstrating: Maintain prescribed records and furnish information required under Section 18B.; Evidence Type=Record; Mandatory=Yes; Retention Category=Applicable statutory / operational period; Origin=P4_VALIDATION; Active=Yes; Remarks=P-4 chain-closure evidence; exact document type follows the applicable law, licence or internal control.</x:v>
      </x:c>
      <x:c r="E3077" s="33" t="str">
        <x:v>ADD</x:v>
      </x:c>
      <x:c r="F3077" s="33" t="str">
        <x:v>Close every active audit-to-evidence link.</x:v>
      </x:c>
      <x:c r="G3077" s="33" t="str">
        <x:v>P-4 execution-chain reconciliation</x:v>
      </x:c>
      <x:c r="H3077" s="33" t="str">
        <x:v>P-4</x:v>
      </x:c>
      <x:c r="I3077" s="33" t="str">
        <x:v>P-4</x:v>
      </x:c>
      <x:c r="J3077" s="33" t="str">
        <x:v>2026-08-20</x:v>
      </x:c>
      <x:c r="K3077" s="33" t="str">
        <x:v>All active audits now have an active evidence record.</x:v>
      </x:c>
    </x:row>
    <x:row r="3078">
      <x:c r="A3078" s="33" t="str">
        <x:v>P4EVID013</x:v>
      </x:c>
      <x:c r="B3078" s="33" t="str">
        <x:v>Evidence Master</x:v>
      </x:c>
      <x:c r="C3078" s="33" t="str">
        <x:v>Not present</x:v>
      </x:c>
      <x:c r="D3078" s="33" t="str">
        <x:v>Evidence ID=P4EVID013; Audit ID=AUD054; Evidence Required=Documentary and transaction evidence demonstrating: Ensure only pharmacists whose names appear in the State Register are engaged in professional pharmacy practice.; Evidence Type=Record; Mandatory=Yes; Retention Category=Applicable statutory / operational period; Origin=P4_VALIDATION; Active=Yes; Remarks=P-4 chain-closure evidence; exact document type follows the applicable law, licence or internal control.</x:v>
      </x:c>
      <x:c r="E3078" s="33" t="str">
        <x:v>ADD</x:v>
      </x:c>
      <x:c r="F3078" s="33" t="str">
        <x:v>Close every active audit-to-evidence link.</x:v>
      </x:c>
      <x:c r="G3078" s="33" t="str">
        <x:v>P-4 execution-chain reconciliation</x:v>
      </x:c>
      <x:c r="H3078" s="33" t="str">
        <x:v>P-4</x:v>
      </x:c>
      <x:c r="I3078" s="33" t="str">
        <x:v>P-4</x:v>
      </x:c>
      <x:c r="J3078" s="33" t="str">
        <x:v>2026-08-20</x:v>
      </x:c>
      <x:c r="K3078" s="33" t="str">
        <x:v>All active audits now have an active evidence record.</x:v>
      </x:c>
    </x:row>
    <x:row r="3079">
      <x:c r="A3079" s="33" t="str">
        <x:v>P4EVID014</x:v>
      </x:c>
      <x:c r="B3079" s="33" t="str">
        <x:v>Evidence Master</x:v>
      </x:c>
      <x:c r="C3079" s="33" t="str">
        <x:v>Not present</x:v>
      </x:c>
      <x:c r="D3079" s="33" t="str">
        <x:v>Evidence ID=P4EVID014; Audit ID=AUD056; Evidence Required=Documentary and transaction evidence demonstrating: Verify and retain evidence of each practising pharmacist's current State Register entry as an internal control supporting the operative registration and dispensing duties.; Evidence Type=Record; Mandatory=Yes; Retention Category=Applicable statutory / operational period; Origin=P4_VALIDATION; Active=Yes; Remarks=P-4 chain-closure evidence; exact document type follows the applicable law, licence or internal control.</x:v>
      </x:c>
      <x:c r="E3079" s="33" t="str">
        <x:v>ADD</x:v>
      </x:c>
      <x:c r="F3079" s="33" t="str">
        <x:v>Close every active audit-to-evidence link.</x:v>
      </x:c>
      <x:c r="G3079" s="33" t="str">
        <x:v>P-4 execution-chain reconciliation</x:v>
      </x:c>
      <x:c r="H3079" s="33" t="str">
        <x:v>P-4</x:v>
      </x:c>
      <x:c r="I3079" s="33" t="str">
        <x:v>P-4</x:v>
      </x:c>
      <x:c r="J3079" s="33" t="str">
        <x:v>2026-08-20</x:v>
      </x:c>
      <x:c r="K3079" s="33" t="str">
        <x:v>All active audits now have an active evidence record.</x:v>
      </x:c>
    </x:row>
    <x:row r="3080">
      <x:c r="A3080" s="33" t="str">
        <x:v>P4EVID015</x:v>
      </x:c>
      <x:c r="B3080" s="33" t="str">
        <x:v>Evidence Master</x:v>
      </x:c>
      <x:c r="C3080" s="33" t="str">
        <x:v>Not present</x:v>
      </x:c>
      <x:c r="D3080" s="33" t="str">
        <x:v>Evidence ID=P4EVID015; Audit ID=AUD058; Evidence Required=Documentary and transaction evidence demonstrating: Ensure dispensing activities are carried out under the supervision of a Registered Pharmacist.; Evidence Type=Record; Mandatory=Yes; Retention Category=Applicable statutory / operational period; Origin=P4_VALIDATION; Active=Yes; Remarks=P-4 chain-closure evidence; exact document type follows the applicable law, licence or internal control.</x:v>
      </x:c>
      <x:c r="E3080" s="33" t="str">
        <x:v>ADD</x:v>
      </x:c>
      <x:c r="F3080" s="33" t="str">
        <x:v>Close every active audit-to-evidence link.</x:v>
      </x:c>
      <x:c r="G3080" s="33" t="str">
        <x:v>P-4 execution-chain reconciliation</x:v>
      </x:c>
      <x:c r="H3080" s="33" t="str">
        <x:v>P-4</x:v>
      </x:c>
      <x:c r="I3080" s="33" t="str">
        <x:v>P-4</x:v>
      </x:c>
      <x:c r="J3080" s="33" t="str">
        <x:v>2026-08-20</x:v>
      </x:c>
      <x:c r="K3080" s="33" t="str">
        <x:v>All active audits now have an active evidence record.</x:v>
      </x:c>
    </x:row>
    <x:row r="3081">
      <x:c r="A3081" s="33" t="str">
        <x:v>P4EVID016</x:v>
      </x:c>
      <x:c r="B3081" s="33" t="str">
        <x:v>Evidence Master</x:v>
      </x:c>
      <x:c r="C3081" s="33" t="str">
        <x:v>Not present</x:v>
      </x:c>
      <x:c r="D3081" s="33" t="str">
        <x:v>Evidence ID=P4EVID016; Audit ID=AUD060; Evidence Required=Documentary and transaction evidence demonstrating: Ensure pharmacists comply with the professional code of ethics and standards of conduct.; Evidence Type=Record; Mandatory=Yes; Retention Category=Applicable statutory / operational period; Origin=P4_VALIDATION; Active=Yes; Remarks=P-4 chain-closure evidence; exact document type follows the applicable law, licence or internal control.</x:v>
      </x:c>
      <x:c r="E3081" s="33" t="str">
        <x:v>ADD</x:v>
      </x:c>
      <x:c r="F3081" s="33" t="str">
        <x:v>Close every active audit-to-evidence link.</x:v>
      </x:c>
      <x:c r="G3081" s="33" t="str">
        <x:v>P-4 execution-chain reconciliation</x:v>
      </x:c>
      <x:c r="H3081" s="33" t="str">
        <x:v>P-4</x:v>
      </x:c>
      <x:c r="I3081" s="33" t="str">
        <x:v>P-4</x:v>
      </x:c>
      <x:c r="J3081" s="33" t="str">
        <x:v>2026-08-20</x:v>
      </x:c>
      <x:c r="K3081" s="33" t="str">
        <x:v>All active audits now have an active evidence record.</x:v>
      </x:c>
    </x:row>
    <x:row r="3082">
      <x:c r="A3082" s="33" t="str">
        <x:v>P4EVID017</x:v>
      </x:c>
      <x:c r="B3082" s="33" t="str">
        <x:v>Evidence Master</x:v>
      </x:c>
      <x:c r="C3082" s="33" t="str">
        <x:v>Not present</x:v>
      </x:c>
      <x:c r="D3082" s="33" t="str">
        <x:v>Evidence ID=P4EVID017; Audit ID=AUD062; Evidence Required=Documentary and transaction evidence demonstrating: Maintain records of continuing professional education and competency development.; Evidence Type=Record; Mandatory=Yes; Retention Category=Applicable statutory / operational period; Origin=P4_VALIDATION; Active=Yes; Remarks=P-4 chain-closure evidence; exact document type follows the applicable law, licence or internal control.</x:v>
      </x:c>
      <x:c r="E3082" s="33" t="str">
        <x:v>ADD</x:v>
      </x:c>
      <x:c r="F3082" s="33" t="str">
        <x:v>Close every active audit-to-evidence link.</x:v>
      </x:c>
      <x:c r="G3082" s="33" t="str">
        <x:v>P-4 execution-chain reconciliation</x:v>
      </x:c>
      <x:c r="H3082" s="33" t="str">
        <x:v>P-4</x:v>
      </x:c>
      <x:c r="I3082" s="33" t="str">
        <x:v>P-4</x:v>
      </x:c>
      <x:c r="J3082" s="33" t="str">
        <x:v>2026-08-20</x:v>
      </x:c>
      <x:c r="K3082" s="33" t="str">
        <x:v>All active audits now have an active evidence record.</x:v>
      </x:c>
    </x:row>
    <x:row r="3083">
      <x:c r="A3083" s="33" t="str">
        <x:v>P4EVID018</x:v>
      </x:c>
      <x:c r="B3083" s="33" t="str">
        <x:v>Evidence Master</x:v>
      </x:c>
      <x:c r="C3083" s="33" t="str">
        <x:v>Not present</x:v>
      </x:c>
      <x:c r="D3083" s="33" t="str">
        <x:v>Evidence ID=P4EVID018; Audit ID=AUD064; Evidence Required=Documentary and transaction evidence demonstrating: Display the current scheduled-formulation price list and supplementary list conspicuously at the premises.; Evidence Type=Record; Mandatory=Yes; Retention Category=Applicable statutory / operational period; Origin=P4_VALIDATION; Active=Yes; Remarks=P-4 chain-closure evidence; exact document type follows the applicable law, licence or internal control.</x:v>
      </x:c>
      <x:c r="E3083" s="33" t="str">
        <x:v>ADD</x:v>
      </x:c>
      <x:c r="F3083" s="33" t="str">
        <x:v>Close every active audit-to-evidence link.</x:v>
      </x:c>
      <x:c r="G3083" s="33" t="str">
        <x:v>P-4 execution-chain reconciliation</x:v>
      </x:c>
      <x:c r="H3083" s="33" t="str">
        <x:v>P-4</x:v>
      </x:c>
      <x:c r="I3083" s="33" t="str">
        <x:v>P-4</x:v>
      </x:c>
      <x:c r="J3083" s="33" t="str">
        <x:v>2026-08-20</x:v>
      </x:c>
      <x:c r="K3083" s="33" t="str">
        <x:v>All active audits now have an active evidence record.</x:v>
      </x:c>
    </x:row>
    <x:row r="3084">
      <x:c r="A3084" s="33" t="str">
        <x:v>P4EVID019</x:v>
      </x:c>
      <x:c r="B3084" s="33" t="str">
        <x:v>Evidence Master</x:v>
      </x:c>
      <x:c r="C3084" s="33" t="str">
        <x:v>Not present</x:v>
      </x:c>
      <x:c r="D3084" s="33" t="str">
        <x:v>Evidence ID=P4EVID019; Audit ID=AUD066; Evidence Required=Documentary and transaction evidence demonstrating: Display the current non-scheduled-formulation price list conspicuously at the premises.; Evidence Type=Record; Mandatory=Yes; Retention Category=Applicable statutory / operational period; Origin=P4_VALIDATION; Active=Yes; Remarks=P-4 chain-closure evidence; exact document type follows the applicable law, licence or internal control.</x:v>
      </x:c>
      <x:c r="E3084" s="33" t="str">
        <x:v>ADD</x:v>
      </x:c>
      <x:c r="F3084" s="33" t="str">
        <x:v>Close every active audit-to-evidence link.</x:v>
      </x:c>
      <x:c r="G3084" s="33" t="str">
        <x:v>P-4 execution-chain reconciliation</x:v>
      </x:c>
      <x:c r="H3084" s="33" t="str">
        <x:v>P-4</x:v>
      </x:c>
      <x:c r="I3084" s="33" t="str">
        <x:v>P-4</x:v>
      </x:c>
      <x:c r="J3084" s="33" t="str">
        <x:v>2026-08-20</x:v>
      </x:c>
      <x:c r="K3084" s="33" t="str">
        <x:v>All active audits now have an active evidence record.</x:v>
      </x:c>
    </x:row>
    <x:row r="3085">
      <x:c r="A3085" s="33" t="str">
        <x:v>P4EVID020</x:v>
      </x:c>
      <x:c r="B3085" s="33" t="str">
        <x:v>Evidence Master</x:v>
      </x:c>
      <x:c r="C3085" s="33" t="str">
        <x:v>Not present</x:v>
      </x:c>
      <x:c r="D3085" s="33" t="str">
        <x:v>Evidence ID=P4EVID020; Audit ID=AUD068; Evidence Required=Documentary and transaction evidence demonstrating: Do not sell a formulation above the lower of the current price-list price or label price, plus applicable local taxes.; Evidence Type=Record; Mandatory=Yes; Retention Category=Applicable statutory / operational period; Origin=P4_VALIDATION; Active=Yes; Remarks=P-4 chain-closure evidence; exact document type follows the applicable law, licence or internal control.</x:v>
      </x:c>
      <x:c r="E3085" s="33" t="str">
        <x:v>ADD</x:v>
      </x:c>
      <x:c r="F3085" s="33" t="str">
        <x:v>Close every active audit-to-evidence link.</x:v>
      </x:c>
      <x:c r="G3085" s="33" t="str">
        <x:v>P-4 execution-chain reconciliation</x:v>
      </x:c>
      <x:c r="H3085" s="33" t="str">
        <x:v>P-4</x:v>
      </x:c>
      <x:c r="I3085" s="33" t="str">
        <x:v>P-4</x:v>
      </x:c>
      <x:c r="J3085" s="33" t="str">
        <x:v>2026-08-20</x:v>
      </x:c>
      <x:c r="K3085" s="33" t="str">
        <x:v>All active audits now have an active evidence record.</x:v>
      </x:c>
    </x:row>
    <x:row r="3086">
      <x:c r="A3086" s="33" t="str">
        <x:v>P4EVID021</x:v>
      </x:c>
      <x:c r="B3086" s="33" t="str">
        <x:v>Evidence Master</x:v>
      </x:c>
      <x:c r="C3086" s="33" t="str">
        <x:v>Not present</x:v>
      </x:c>
      <x:c r="D3086" s="33" t="str">
        <x:v>Evidence ID=P4EVID021; Audit ID=AUD070; Evidence Required=Documentary and transaction evidence demonstrating: When selling a split quantity, charge no more than the pro-rata price for that quantity.; Evidence Type=Record; Mandatory=Yes; Retention Category=Applicable statutory / operational period; Origin=P4_VALIDATION; Active=Yes; Remarks=P-4 chain-closure evidence; exact document type follows the applicable law, licence or internal control.</x:v>
      </x:c>
      <x:c r="E3086" s="33" t="str">
        <x:v>ADD</x:v>
      </x:c>
      <x:c r="F3086" s="33" t="str">
        <x:v>Close every active audit-to-evidence link.</x:v>
      </x:c>
      <x:c r="G3086" s="33" t="str">
        <x:v>P-4 execution-chain reconciliation</x:v>
      </x:c>
      <x:c r="H3086" s="33" t="str">
        <x:v>P-4</x:v>
      </x:c>
      <x:c r="I3086" s="33" t="str">
        <x:v>P-4</x:v>
      </x:c>
      <x:c r="J3086" s="33" t="str">
        <x:v>2026-08-20</x:v>
      </x:c>
      <x:c r="K3086" s="33" t="str">
        <x:v>All active audits now have an active evidence record.</x:v>
      </x:c>
    </x:row>
    <x:row r="3087">
      <x:c r="A3087" s="33" t="str">
        <x:v>P4EVID022</x:v>
      </x:c>
      <x:c r="B3087" s="33" t="str">
        <x:v>Evidence Master</x:v>
      </x:c>
      <x:c r="C3087" s="33" t="str">
        <x:v>Not present</x:v>
      </x:c>
      <x:c r="D3087" s="33" t="str">
        <x:v>Evidence ID=P4EVID022; Audit ID=AUD072; Evidence Required=Documentary and transaction evidence demonstrating: Do not withhold or refuse sale of a formulation that is available for sale to a customer.; Evidence Type=Record; Mandatory=Yes; Retention Category=Applicable statutory / operational period; Origin=P4_VALIDATION; Active=Yes; Remarks=P-4 chain-closure evidence; exact document type follows the applicable law, licence or internal control.</x:v>
      </x:c>
      <x:c r="E3087" s="33" t="str">
        <x:v>ADD</x:v>
      </x:c>
      <x:c r="F3087" s="33" t="str">
        <x:v>Close every active audit-to-evidence link.</x:v>
      </x:c>
      <x:c r="G3087" s="33" t="str">
        <x:v>P-4 execution-chain reconciliation</x:v>
      </x:c>
      <x:c r="H3087" s="33" t="str">
        <x:v>P-4</x:v>
      </x:c>
      <x:c r="I3087" s="33" t="str">
        <x:v>P-4</x:v>
      </x:c>
      <x:c r="J3087" s="33" t="str">
        <x:v>2026-08-20</x:v>
      </x:c>
      <x:c r="K3087" s="33" t="str">
        <x:v>All active audits now have an active evidence record.</x:v>
      </x:c>
    </x:row>
    <x:row r="3088">
      <x:c r="A3088" s="33" t="str">
        <x:v>P4EVID023</x:v>
      </x:c>
      <x:c r="B3088" s="33" t="str">
        <x:v>Evidence Master</x:v>
      </x:c>
      <x:c r="C3088" s="33" t="str">
        <x:v>Not present</x:v>
      </x:c>
      <x:c r="D3088" s="33" t="str">
        <x:v>Evidence ID=P4EVID023; Audit ID=AUD074; Evidence Required=Documentary and transaction evidence demonstrating: Ensure narcotic and psychotropic substances are handled only as permitted under law.; Evidence Type=Record; Mandatory=Yes; Retention Category=Applicable statutory / operational period; Origin=P4_VALIDATION; Active=Yes; Remarks=P-4 chain-closure evidence; exact document type follows the applicable law, licence or internal control.</x:v>
      </x:c>
      <x:c r="E3088" s="33" t="str">
        <x:v>ADD</x:v>
      </x:c>
      <x:c r="F3088" s="33" t="str">
        <x:v>Close every active audit-to-evidence link.</x:v>
      </x:c>
      <x:c r="G3088" s="33" t="str">
        <x:v>P-4 execution-chain reconciliation</x:v>
      </x:c>
      <x:c r="H3088" s="33" t="str">
        <x:v>P-4</x:v>
      </x:c>
      <x:c r="I3088" s="33" t="str">
        <x:v>P-4</x:v>
      </x:c>
      <x:c r="J3088" s="33" t="str">
        <x:v>2026-08-20</x:v>
      </x:c>
      <x:c r="K3088" s="33" t="str">
        <x:v>All active audits now have an active evidence record.</x:v>
      </x:c>
    </x:row>
    <x:row r="3089">
      <x:c r="A3089" s="33" t="str">
        <x:v>P4EVID024</x:v>
      </x:c>
      <x:c r="B3089" s="33" t="str">
        <x:v>Evidence Master</x:v>
      </x:c>
      <x:c r="C3089" s="33" t="str">
        <x:v>Not present</x:v>
      </x:c>
      <x:c r="D3089" s="33" t="str">
        <x:v>Evidence ID=P4EVID024; Audit ID=AUD084; Evidence Required=Documentary and transaction evidence demonstrating: Possess Essential Narcotic Drugs only under authorization permitted by Rule 52A.; Evidence Type=Record; Mandatory=Yes; Retention Category=Applicable statutory / operational period; Origin=P4_VALIDATION; Active=Yes; Remarks=P-4 chain-closure evidence; exact document type follows the applicable law, licence or internal control.</x:v>
      </x:c>
      <x:c r="E3089" s="33" t="str">
        <x:v>ADD</x:v>
      </x:c>
      <x:c r="F3089" s="33" t="str">
        <x:v>Close every active audit-to-evidence link.</x:v>
      </x:c>
      <x:c r="G3089" s="33" t="str">
        <x:v>P-4 execution-chain reconciliation</x:v>
      </x:c>
      <x:c r="H3089" s="33" t="str">
        <x:v>P-4</x:v>
      </x:c>
      <x:c r="I3089" s="33" t="str">
        <x:v>P-4</x:v>
      </x:c>
      <x:c r="J3089" s="33" t="str">
        <x:v>2026-08-20</x:v>
      </x:c>
      <x:c r="K3089" s="33" t="str">
        <x:v>All active audits now have an active evidence record.</x:v>
      </x:c>
    </x:row>
    <x:row r="3090">
      <x:c r="A3090" s="33" t="str">
        <x:v>P4EVID025</x:v>
      </x:c>
      <x:c r="B3090" s="33" t="str">
        <x:v>Evidence Master</x:v>
      </x:c>
      <x:c r="C3090" s="33" t="str">
        <x:v>Not present</x:v>
      </x:c>
      <x:c r="D3090" s="33" t="str">
        <x:v>Evidence ID=P4EVID025; Audit ID=AUD086; Evidence Required=Documentary and transaction evidence demonstrating: Maintain the applicable State licence as a dealer or chemist for possession and sale of Essential Narcotic Drugs and comply with its conditions.; Evidence Type=Record; Mandatory=Yes; Retention Category=Applicable statutory / operational period; Origin=P4_VALIDATION; Active=Yes; Remarks=P-4 chain-closure evidence; exact document type follows the applicable law, licence or internal control.</x:v>
      </x:c>
      <x:c r="E3090" s="33" t="str">
        <x:v>ADD</x:v>
      </x:c>
      <x:c r="F3090" s="33" t="str">
        <x:v>Close every active audit-to-evidence link.</x:v>
      </x:c>
      <x:c r="G3090" s="33" t="str">
        <x:v>P-4 execution-chain reconciliation</x:v>
      </x:c>
      <x:c r="H3090" s="33" t="str">
        <x:v>P-4</x:v>
      </x:c>
      <x:c r="I3090" s="33" t="str">
        <x:v>P-4</x:v>
      </x:c>
      <x:c r="J3090" s="33" t="str">
        <x:v>2026-08-20</x:v>
      </x:c>
      <x:c r="K3090" s="33" t="str">
        <x:v>All active audits now have an active evidence record.</x:v>
      </x:c>
    </x:row>
    <x:row r="3091">
      <x:c r="A3091" s="33" t="str">
        <x:v>P4EVID026</x:v>
      </x:c>
      <x:c r="B3091" s="33" t="str">
        <x:v>Evidence Master</x:v>
      </x:c>
      <x:c r="C3091" s="33" t="str">
        <x:v>Not present</x:v>
      </x:c>
      <x:c r="D3091" s="33" t="str">
        <x:v>Evidence ID=P4EVID026; Audit ID=AUD088; Evidence Required=Documentary and transaction evidence demonstrating: Sell an Essential Narcotic Drug only against a legally valid prescription and in accordance with the Drugs Rules, 1945.; Evidence Type=Record; Mandatory=Yes; Retention Category=Applicable statutory / operational period; Origin=P4_VALIDATION; Active=Yes; Remarks=P-4 chain-closure evidence; exact document type follows the applicable law, licence or internal control.</x:v>
      </x:c>
      <x:c r="E3091" s="33" t="str">
        <x:v>ADD</x:v>
      </x:c>
      <x:c r="F3091" s="33" t="str">
        <x:v>Close every active audit-to-evidence link.</x:v>
      </x:c>
      <x:c r="G3091" s="33" t="str">
        <x:v>P-4 execution-chain reconciliation</x:v>
      </x:c>
      <x:c r="H3091" s="33" t="str">
        <x:v>P-4</x:v>
      </x:c>
      <x:c r="I3091" s="33" t="str">
        <x:v>P-4</x:v>
      </x:c>
      <x:c r="J3091" s="33" t="str">
        <x:v>2026-08-20</x:v>
      </x:c>
      <x:c r="K3091" s="33" t="str">
        <x:v>All active audits now have an active evidence record.</x:v>
      </x:c>
    </x:row>
    <x:row r="3092">
      <x:c r="A3092" s="33" t="str">
        <x:v>P4EVID027</x:v>
      </x:c>
      <x:c r="B3092" s="33" t="str">
        <x:v>Evidence Master</x:v>
      </x:c>
      <x:c r="C3092" s="33" t="str">
        <x:v>Not present</x:v>
      </x:c>
      <x:c r="D3092" s="33" t="str">
        <x:v>Evidence ID=P4EVID027; Audit ID=AUD090; Evidence Required=Documentary and transaction evidence demonstrating: Ensure each applicable Essential Narcotic Drug consignment has the prescribed Form 3C documentation and retain supporting documents for two years.; Evidence Type=Record; Mandatory=Yes; Retention Category=Applicable statutory / operational period; Origin=P4_VALIDATION; Active=Yes; Remarks=P-4 chain-closure evidence; exact document type follows the applicable law, licence or internal control.</x:v>
      </x:c>
      <x:c r="E3092" s="33" t="str">
        <x:v>ADD</x:v>
      </x:c>
      <x:c r="F3092" s="33" t="str">
        <x:v>Close every active audit-to-evidence link.</x:v>
      </x:c>
      <x:c r="G3092" s="33" t="str">
        <x:v>P-4 execution-chain reconciliation</x:v>
      </x:c>
      <x:c r="H3092" s="33" t="str">
        <x:v>P-4</x:v>
      </x:c>
      <x:c r="I3092" s="33" t="str">
        <x:v>P-4</x:v>
      </x:c>
      <x:c r="J3092" s="33" t="str">
        <x:v>2026-08-20</x:v>
      </x:c>
      <x:c r="K3092" s="33" t="str">
        <x:v>All active audits now have an active evidence record.</x:v>
      </x:c>
    </x:row>
    <x:row r="3093">
      <x:c r="A3093" s="33" t="str">
        <x:v>P4EVID028</x:v>
      </x:c>
      <x:c r="B3093" s="33" t="str">
        <x:v>Evidence Master</x:v>
      </x:c>
      <x:c r="C3093" s="33" t="str">
        <x:v>Not present</x:v>
      </x:c>
      <x:c r="D3093" s="33" t="str">
        <x:v>Evidence ID=P4EVID028; Audit ID=AUD092; Evidence Required=Documentary and transaction evidence demonstrating: Complete the prescribed declaration/documentation and account-book entries for transmission of Essential Narcotic Drugs by post, courier, rail or road.; Evidence Type=Record; Mandatory=Yes; Retention Category=Applicable statutory / operational period; Origin=P4_VALIDATION; Active=Yes; Remarks=P-4 chain-closure evidence; exact document type follows the applicable law, licence or internal control.</x:v>
      </x:c>
      <x:c r="E3093" s="33" t="str">
        <x:v>ADD</x:v>
      </x:c>
      <x:c r="F3093" s="33" t="str">
        <x:v>Close every active audit-to-evidence link.</x:v>
      </x:c>
      <x:c r="G3093" s="33" t="str">
        <x:v>P-4 execution-chain reconciliation</x:v>
      </x:c>
      <x:c r="H3093" s="33" t="str">
        <x:v>P-4</x:v>
      </x:c>
      <x:c r="I3093" s="33" t="str">
        <x:v>P-4</x:v>
      </x:c>
      <x:c r="J3093" s="33" t="str">
        <x:v>2026-08-20</x:v>
      </x:c>
      <x:c r="K3093" s="33" t="str">
        <x:v>All active audits now have an active evidence record.</x:v>
      </x:c>
    </x:row>
    <x:row r="3094">
      <x:c r="A3094" s="33" t="str">
        <x:v>P4EVID029</x:v>
      </x:c>
      <x:c r="B3094" s="33" t="str">
        <x:v>Evidence Master</x:v>
      </x:c>
      <x:c r="C3094" s="33" t="str">
        <x:v>Not present</x:v>
      </x:c>
      <x:c r="D3094" s="33" t="str">
        <x:v>Evidence ID=P4EVID029; Audit ID=AUD094; Evidence Required=Documentary and transaction evidence demonstrating: If the establishment is a BMW occupier/generator, implement the Rule 4 occupier programme, including segregation governance, employee training/immunisation, barcoding/traceability where applicable and non-mixing controls.; Evidence Type=Record; Mandatory=Yes; Retention Category=Applicable statutory / operational period; Origin=P4_VALIDATION; Active=Yes; Remarks=P-4 chain-closure evidence; exact document type follows the applicable law, licence or internal control.</x:v>
      </x:c>
      <x:c r="E3094" s="33" t="str">
        <x:v>ADD</x:v>
      </x:c>
      <x:c r="F3094" s="33" t="str">
        <x:v>Close every active audit-to-evidence link.</x:v>
      </x:c>
      <x:c r="G3094" s="33" t="str">
        <x:v>P-4 execution-chain reconciliation</x:v>
      </x:c>
      <x:c r="H3094" s="33" t="str">
        <x:v>P-4</x:v>
      </x:c>
      <x:c r="I3094" s="33" t="str">
        <x:v>P-4</x:v>
      </x:c>
      <x:c r="J3094" s="33" t="str">
        <x:v>2026-08-20</x:v>
      </x:c>
      <x:c r="K3094" s="33" t="str">
        <x:v>All active audits now have an active evidence record.</x:v>
      </x:c>
    </x:row>
    <x:row r="3095">
      <x:c r="A3095" s="33" t="str">
        <x:v>P4EVID030</x:v>
      </x:c>
      <x:c r="B3095" s="33" t="str">
        <x:v>Evidence Master</x:v>
      </x:c>
      <x:c r="C3095" s="33" t="str">
        <x:v>Not present</x:v>
      </x:c>
      <x:c r="D3095" s="33" t="str">
        <x:v>Evidence ID=P4EVID030; Audit ID=AUD096; Evidence Required=Documentary and transaction evidence demonstrating: Segregate BMW at the point of generation into the prescribed colour-coded bags/containers, label/package it and keep it separate from municipal waste.; Evidence Type=Record; Mandatory=Yes; Retention Category=Applicable statutory / operational period; Origin=P4_VALIDATION; Active=Yes; Remarks=P-4 chain-closure evidence; exact document type follows the applicable law, licence or internal control.</x:v>
      </x:c>
      <x:c r="E3095" s="33" t="str">
        <x:v>ADD</x:v>
      </x:c>
      <x:c r="F3095" s="33" t="str">
        <x:v>Close every active audit-to-evidence link.</x:v>
      </x:c>
      <x:c r="G3095" s="33" t="str">
        <x:v>P-4 execution-chain reconciliation</x:v>
      </x:c>
      <x:c r="H3095" s="33" t="str">
        <x:v>P-4</x:v>
      </x:c>
      <x:c r="I3095" s="33" t="str">
        <x:v>P-4</x:v>
      </x:c>
      <x:c r="J3095" s="33" t="str">
        <x:v>2026-08-20</x:v>
      </x:c>
      <x:c r="K3095" s="33" t="str">
        <x:v>All active audits now have an active evidence record.</x:v>
      </x:c>
    </x:row>
    <x:row r="3096">
      <x:c r="A3096" s="33" t="str">
        <x:v>P4EVID031</x:v>
      </x:c>
      <x:c r="B3096" s="33" t="str">
        <x:v>Evidence Master</x:v>
      </x:c>
      <x:c r="C3096" s="33" t="str">
        <x:v>Not present</x:v>
      </x:c>
      <x:c r="D3096" s="33" t="str">
        <x:v>Evidence ID=P4EVID031; Audit ID=AUD098; Evidence Required=Documentary and transaction evidence demonstrating: Transfer BMW only through the permitted treatment/disposal route, including the authorised common facility where required; do not use ordinary solid-waste disposal.; Evidence Type=Record; Mandatory=Yes; Retention Category=Applicable statutory / operational period; Origin=P4_VALIDATION; Active=Yes; Remarks=P-4 chain-closure evidence; exact document type follows the applicable law, licence or internal control.</x:v>
      </x:c>
      <x:c r="E3096" s="33" t="str">
        <x:v>ADD</x:v>
      </x:c>
      <x:c r="F3096" s="33" t="str">
        <x:v>Close every active audit-to-evidence link.</x:v>
      </x:c>
      <x:c r="G3096" s="33" t="str">
        <x:v>P-4 execution-chain reconciliation</x:v>
      </x:c>
      <x:c r="H3096" s="33" t="str">
        <x:v>P-4</x:v>
      </x:c>
      <x:c r="I3096" s="33" t="str">
        <x:v>P-4</x:v>
      </x:c>
      <x:c r="J3096" s="33" t="str">
        <x:v>2026-08-20</x:v>
      </x:c>
      <x:c r="K3096" s="33" t="str">
        <x:v>All active audits now have an active evidence record.</x:v>
      </x:c>
    </x:row>
    <x:row r="3097">
      <x:c r="A3097" s="33" t="str">
        <x:v>P4EVID032</x:v>
      </x:c>
      <x:c r="B3097" s="33" t="str">
        <x:v>Evidence Master</x:v>
      </x:c>
      <x:c r="C3097" s="33" t="str">
        <x:v>Not present</x:v>
      </x:c>
      <x:c r="D3097" s="33" t="str">
        <x:v>Evidence ID=P4EVID032; Audit ID=AUD100; Evidence Required=Documentary and transaction evidence demonstrating: Maintain BMW records; submit Form IV annual report by 30 June for the preceding calendar year; report major accidents in the prescribed form/time.; Evidence Type=Record; Mandatory=Yes; Retention Category=Applicable statutory / operational period; Origin=P4_VALIDATION; Active=Yes; Remarks=P-4 chain-closure evidence; exact document type follows the applicable law, licence or internal control.</x:v>
      </x:c>
      <x:c r="E3097" s="33" t="str">
        <x:v>ADD</x:v>
      </x:c>
      <x:c r="F3097" s="33" t="str">
        <x:v>Close every active audit-to-evidence link.</x:v>
      </x:c>
      <x:c r="G3097" s="33" t="str">
        <x:v>P-4 execution-chain reconciliation</x:v>
      </x:c>
      <x:c r="H3097" s="33" t="str">
        <x:v>P-4</x:v>
      </x:c>
      <x:c r="I3097" s="33" t="str">
        <x:v>P-4</x:v>
      </x:c>
      <x:c r="J3097" s="33" t="str">
        <x:v>2026-08-20</x:v>
      </x:c>
      <x:c r="K3097" s="33" t="str">
        <x:v>All active audits now have an active evidence record.</x:v>
      </x:c>
    </x:row>
    <x:row r="3098">
      <x:c r="A3098" s="33" t="str">
        <x:v>P4EVID033</x:v>
      </x:c>
      <x:c r="B3098" s="33" t="str">
        <x:v>Evidence Master</x:v>
      </x:c>
      <x:c r="C3098" s="33" t="str">
        <x:v>Not present</x:v>
      </x:c>
      <x:c r="D3098" s="33" t="str">
        <x:v>Evidence ID=P4EVID033; Audit ID=AUD102; Evidence Required=Documentary and transaction evidence demonstrating: Obtain and maintain BMW authorization in Form II from the prescribed authority before/while handling BMW, irrespective of quantity.; Evidence Type=Record; Mandatory=Yes; Retention Category=Applicable statutory / operational period; Origin=P4_VALIDATION; Active=Yes; Remarks=P-4 chain-closure evidence; exact document type follows the applicable law, licence or internal control.</x:v>
      </x:c>
      <x:c r="E3098" s="33" t="str">
        <x:v>ADD</x:v>
      </x:c>
      <x:c r="F3098" s="33" t="str">
        <x:v>Close every active audit-to-evidence link.</x:v>
      </x:c>
      <x:c r="G3098" s="33" t="str">
        <x:v>P-4 execution-chain reconciliation</x:v>
      </x:c>
      <x:c r="H3098" s="33" t="str">
        <x:v>P-4</x:v>
      </x:c>
      <x:c r="I3098" s="33" t="str">
        <x:v>P-4</x:v>
      </x:c>
      <x:c r="J3098" s="33" t="str">
        <x:v>2026-08-20</x:v>
      </x:c>
      <x:c r="K3098" s="33" t="str">
        <x:v>All active audits now have an active evidence record.</x:v>
      </x:c>
    </x:row>
    <x:row r="3099">
      <x:c r="A3099" s="33" t="str">
        <x:v>P4EVID034</x:v>
      </x:c>
      <x:c r="B3099" s="33" t="str">
        <x:v>Evidence Master</x:v>
      </x:c>
      <x:c r="C3099" s="33" t="str">
        <x:v>Not present</x:v>
      </x:c>
      <x:c r="D3099" s="33" t="str">
        <x:v>Evidence ID=P4EVID034; Audit ID=AUD103; Evidence Required=Documentary and transaction evidence demonstrating: Obtain and maintain BMW authorization in Form II from the prescribed authority before/while handling BMW, irrespective of quantity.; Evidence Type=Record; Mandatory=Yes; Retention Category=Applicable statutory / operational period; Origin=P4_VALIDATION; Active=Yes; Remarks=P-4 chain-closure evidence; exact document type follows the applicable law, licence or internal control.</x:v>
      </x:c>
      <x:c r="E3099" s="33" t="str">
        <x:v>ADD</x:v>
      </x:c>
      <x:c r="F3099" s="33" t="str">
        <x:v>Close every active audit-to-evidence link.</x:v>
      </x:c>
      <x:c r="G3099" s="33" t="str">
        <x:v>P-4 execution-chain reconciliation</x:v>
      </x:c>
      <x:c r="H3099" s="33" t="str">
        <x:v>P-4</x:v>
      </x:c>
      <x:c r="I3099" s="33" t="str">
        <x:v>P-4</x:v>
      </x:c>
      <x:c r="J3099" s="33" t="str">
        <x:v>2026-08-20</x:v>
      </x:c>
      <x:c r="K3099" s="33" t="str">
        <x:v>All active audits now have an active evidence record.</x:v>
      </x:c>
    </x:row>
    <x:row r="3100">
      <x:c r="A3100" s="33" t="str">
        <x:v>P4EVID035</x:v>
      </x:c>
      <x:c r="B3100" s="33" t="str">
        <x:v>Evidence Master</x:v>
      </x:c>
      <x:c r="C3100" s="33" t="str">
        <x:v>Not present</x:v>
      </x:c>
      <x:c r="D3100" s="33" t="str">
        <x:v>Evidence ID=P4EVID035; Audit ID=AUD104; Evidence Required=Documentary and transaction evidence demonstrating: Obtain and maintain BMW authorization in Form II from the prescribed authority before/while handling BMW, irrespective of quantity.; Evidence Type=Record; Mandatory=Yes; Retention Category=Applicable statutory / operational period; Origin=P4_VALIDATION; Active=Yes; Remarks=P-4 chain-closure evidence; exact document type follows the applicable law, licence or internal control.</x:v>
      </x:c>
      <x:c r="E3100" s="33" t="str">
        <x:v>ADD</x:v>
      </x:c>
      <x:c r="F3100" s="33" t="str">
        <x:v>Close every active audit-to-evidence link.</x:v>
      </x:c>
      <x:c r="G3100" s="33" t="str">
        <x:v>P-4 execution-chain reconciliation</x:v>
      </x:c>
      <x:c r="H3100" s="33" t="str">
        <x:v>P-4</x:v>
      </x:c>
      <x:c r="I3100" s="33" t="str">
        <x:v>P-4</x:v>
      </x:c>
      <x:c r="J3100" s="33" t="str">
        <x:v>2026-08-20</x:v>
      </x:c>
      <x:c r="K3100" s="33" t="str">
        <x:v>All active audits now have an active evidence record.</x:v>
      </x:c>
    </x:row>
    <x:row r="3101">
      <x:c r="A3101" s="33" t="str">
        <x:v>P4EVID036</x:v>
      </x:c>
      <x:c r="B3101" s="33" t="str">
        <x:v>Evidence Master</x:v>
      </x:c>
      <x:c r="C3101" s="33" t="str">
        <x:v>Not present</x:v>
      </x:c>
      <x:c r="D3101" s="33" t="str">
        <x:v>Evidence ID=P4EVID036; Audit ID=AUD105; Evidence Required=Documentary and transaction evidence demonstrating: Obtain and maintain BMW authorization in Form II from the prescribed authority before/while handling BMW, irrespective of quantity.; Evidence Type=Record; Mandatory=Yes; Retention Category=Applicable statutory / operational period; Origin=P4_VALIDATION; Active=Yes; Remarks=P-4 chain-closure evidence; exact document type follows the applicable law, licence or internal control.</x:v>
      </x:c>
      <x:c r="E3101" s="33" t="str">
        <x:v>ADD</x:v>
      </x:c>
      <x:c r="F3101" s="33" t="str">
        <x:v>Close every active audit-to-evidence link.</x:v>
      </x:c>
      <x:c r="G3101" s="33" t="str">
        <x:v>P-4 execution-chain reconciliation</x:v>
      </x:c>
      <x:c r="H3101" s="33" t="str">
        <x:v>P-4</x:v>
      </x:c>
      <x:c r="I3101" s="33" t="str">
        <x:v>P-4</x:v>
      </x:c>
      <x:c r="J3101" s="33" t="str">
        <x:v>2026-08-20</x:v>
      </x:c>
      <x:c r="K3101" s="33" t="str">
        <x:v>All active audits now have an active evidence record.</x:v>
      </x:c>
    </x:row>
    <x:row r="3102">
      <x:c r="A3102" s="33" t="str">
        <x:v>P4EVID037</x:v>
      </x:c>
      <x:c r="B3102" s="33" t="str">
        <x:v>Evidence Master</x:v>
      </x:c>
      <x:c r="C3102" s="33" t="str">
        <x:v>Not present</x:v>
      </x:c>
      <x:c r="D3102" s="33" t="str">
        <x:v>Evidence ID=P4EVID037; Audit ID=AUD117; Evidence Required=Documentary and transaction evidence demonstrating: Assess current EPF coverage under the Social Security Code/notifications and complete registration when the establishment trigger is met.; Evidence Type=Record; Mandatory=Yes; Retention Category=Applicable statutory / operational period; Origin=P4_VALIDATION; Active=Yes; Remarks=P-4 chain-closure evidence; exact document type follows the applicable law, licence or internal control.</x:v>
      </x:c>
      <x:c r="E3102" s="33" t="str">
        <x:v>ADD</x:v>
      </x:c>
      <x:c r="F3102" s="33" t="str">
        <x:v>Close every active audit-to-evidence link.</x:v>
      </x:c>
      <x:c r="G3102" s="33" t="str">
        <x:v>P-4 execution-chain reconciliation</x:v>
      </x:c>
      <x:c r="H3102" s="33" t="str">
        <x:v>P-4</x:v>
      </x:c>
      <x:c r="I3102" s="33" t="str">
        <x:v>P-4</x:v>
      </x:c>
      <x:c r="J3102" s="33" t="str">
        <x:v>2026-08-20</x:v>
      </x:c>
      <x:c r="K3102" s="33" t="str">
        <x:v>All active audits now have an active evidence record.</x:v>
      </x:c>
    </x:row>
    <x:row r="3103">
      <x:c r="A3103" s="33" t="str">
        <x:v>P4EVID038</x:v>
      </x:c>
      <x:c r="B3103" s="33" t="str">
        <x:v>Evidence Master</x:v>
      </x:c>
      <x:c r="C3103" s="33" t="str">
        <x:v>Not present</x:v>
      </x:c>
      <x:c r="D3103" s="33" t="str">
        <x:v>Evidence ID=P4EVID038; Audit ID=AUD119; Evidence Required=Documentary and transaction evidence demonstrating: For covered employees, compute, deduct and remit provident-fund contributions under the current Code, 2026 Rules and applicable scheme/notifications.; Evidence Type=Record; Mandatory=Yes; Retention Category=Applicable statutory / operational period; Origin=P4_VALIDATION; Active=Yes; Remarks=P-4 chain-closure evidence; exact document type follows the applicable law, licence or internal control.</x:v>
      </x:c>
      <x:c r="E3103" s="33" t="str">
        <x:v>ADD</x:v>
      </x:c>
      <x:c r="F3103" s="33" t="str">
        <x:v>Close every active audit-to-evidence link.</x:v>
      </x:c>
      <x:c r="G3103" s="33" t="str">
        <x:v>P-4 execution-chain reconciliation</x:v>
      </x:c>
      <x:c r="H3103" s="33" t="str">
        <x:v>P-4</x:v>
      </x:c>
      <x:c r="I3103" s="33" t="str">
        <x:v>P-4</x:v>
      </x:c>
      <x:c r="J3103" s="33" t="str">
        <x:v>2026-08-20</x:v>
      </x:c>
      <x:c r="K3103" s="33" t="str">
        <x:v>All active audits now have an active evidence record.</x:v>
      </x:c>
    </x:row>
    <x:row r="3104">
      <x:c r="A3104" s="33" t="str">
        <x:v>P4EVID039</x:v>
      </x:c>
      <x:c r="B3104" s="33" t="str">
        <x:v>Evidence Master</x:v>
      </x:c>
      <x:c r="C3104" s="33" t="str">
        <x:v>Not present</x:v>
      </x:c>
      <x:c r="D3104" s="33" t="str">
        <x:v>Evidence ID=P4EVID039; Audit ID=AUD121; Evidence Required=Documentary and transaction evidence demonstrating: Maintain complete EPF membership, wage, nomination, contribution and electronic filing records for covered employees.; Evidence Type=Record; Mandatory=Yes; Retention Category=Applicable statutory / operational period; Origin=P4_VALIDATION; Active=Yes; Remarks=P-4 chain-closure evidence; exact document type follows the applicable law, licence or internal control.</x:v>
      </x:c>
      <x:c r="E3104" s="33" t="str">
        <x:v>ADD</x:v>
      </x:c>
      <x:c r="F3104" s="33" t="str">
        <x:v>Close every active audit-to-evidence link.</x:v>
      </x:c>
      <x:c r="G3104" s="33" t="str">
        <x:v>P-4 execution-chain reconciliation</x:v>
      </x:c>
      <x:c r="H3104" s="33" t="str">
        <x:v>P-4</x:v>
      </x:c>
      <x:c r="I3104" s="33" t="str">
        <x:v>P-4</x:v>
      </x:c>
      <x:c r="J3104" s="33" t="str">
        <x:v>2026-08-20</x:v>
      </x:c>
      <x:c r="K3104" s="33" t="str">
        <x:v>All active audits now have an active evidence record.</x:v>
      </x:c>
    </x:row>
    <x:row r="3105">
      <x:c r="A3105" s="33" t="str">
        <x:v>P4EVID040</x:v>
      </x:c>
      <x:c r="B3105" s="33" t="str">
        <x:v>Evidence Master</x:v>
      </x:c>
      <x:c r="C3105" s="33" t="str">
        <x:v>Not present</x:v>
      </x:c>
      <x:c r="D3105" s="33" t="str">
        <x:v>Evidence ID=P4EVID040; Audit ID=AUD123; Evidence Required=Documentary and transaction evidence demonstrating: Deposit EPF contributions and submit the applicable electronic return/challan within the current prescribed monthly timeline.; Evidence Type=Record; Mandatory=Yes; Retention Category=Applicable statutory / operational period; Origin=P4_VALIDATION; Active=Yes; Remarks=P-4 chain-closure evidence; exact document type follows the applicable law, licence or internal control.</x:v>
      </x:c>
      <x:c r="E3105" s="33" t="str">
        <x:v>ADD</x:v>
      </x:c>
      <x:c r="F3105" s="33" t="str">
        <x:v>Close every active audit-to-evidence link.</x:v>
      </x:c>
      <x:c r="G3105" s="33" t="str">
        <x:v>P-4 execution-chain reconciliation</x:v>
      </x:c>
      <x:c r="H3105" s="33" t="str">
        <x:v>P-4</x:v>
      </x:c>
      <x:c r="I3105" s="33" t="str">
        <x:v>P-4</x:v>
      </x:c>
      <x:c r="J3105" s="33" t="str">
        <x:v>2026-08-20</x:v>
      </x:c>
      <x:c r="K3105" s="33" t="str">
        <x:v>All active audits now have an active evidence record.</x:v>
      </x:c>
    </x:row>
    <x:row r="3106">
      <x:c r="A3106" s="33" t="str">
        <x:v>P4EVID041</x:v>
      </x:c>
      <x:c r="B3106" s="33" t="str">
        <x:v>Evidence Master</x:v>
      </x:c>
      <x:c r="C3106" s="33" t="str">
        <x:v>Not present</x:v>
      </x:c>
      <x:c r="D3106" s="33" t="str">
        <x:v>Evidence ID=P4EVID041; Audit ID=AUD125; Evidence Required=Documentary and transaction evidence demonstrating: Preserve and produce applicable provident-fund records for the period prescribed by the current Code/Rules/scheme; do not rely on an unsupported generic period.; Evidence Type=Record; Mandatory=Yes; Retention Category=Applicable statutory / operational period; Origin=P4_VALIDATION; Active=Yes; Remarks=P-4 chain-closure evidence; exact document type follows the applicable law, licence or internal control.</x:v>
      </x:c>
      <x:c r="E3106" s="33" t="str">
        <x:v>ADD</x:v>
      </x:c>
      <x:c r="F3106" s="33" t="str">
        <x:v>Close every active audit-to-evidence link.</x:v>
      </x:c>
      <x:c r="G3106" s="33" t="str">
        <x:v>P-4 execution-chain reconciliation</x:v>
      </x:c>
      <x:c r="H3106" s="33" t="str">
        <x:v>P-4</x:v>
      </x:c>
      <x:c r="I3106" s="33" t="str">
        <x:v>P-4</x:v>
      </x:c>
      <x:c r="J3106" s="33" t="str">
        <x:v>2026-08-20</x:v>
      </x:c>
      <x:c r="K3106" s="33" t="str">
        <x:v>All active audits now have an active evidence record.</x:v>
      </x:c>
    </x:row>
    <x:row r="3107">
      <x:c r="A3107" s="33" t="str">
        <x:v>P4EVID042</x:v>
      </x:c>
      <x:c r="B3107" s="33" t="str">
        <x:v>Evidence Master</x:v>
      </x:c>
      <x:c r="C3107" s="33" t="str">
        <x:v>Not present</x:v>
      </x:c>
      <x:c r="D3107" s="33" t="str">
        <x:v>Evidence ID=P4EVID042; Audit ID=AUD127; Evidence Required=Documentary and transaction evidence demonstrating: Assess current ESI coverage under the Social Security Code/notifications and register the establishment and covered employees when triggered.; Evidence Type=Record; Mandatory=Yes; Retention Category=Applicable statutory / operational period; Origin=P4_VALIDATION; Active=Yes; Remarks=P-4 chain-closure evidence; exact document type follows the applicable law, licence or internal control.</x:v>
      </x:c>
      <x:c r="E3107" s="33" t="str">
        <x:v>ADD</x:v>
      </x:c>
      <x:c r="F3107" s="33" t="str">
        <x:v>Close every active audit-to-evidence link.</x:v>
      </x:c>
      <x:c r="G3107" s="33" t="str">
        <x:v>P-4 execution-chain reconciliation</x:v>
      </x:c>
      <x:c r="H3107" s="33" t="str">
        <x:v>P-4</x:v>
      </x:c>
      <x:c r="I3107" s="33" t="str">
        <x:v>P-4</x:v>
      </x:c>
      <x:c r="J3107" s="33" t="str">
        <x:v>2026-08-20</x:v>
      </x:c>
      <x:c r="K3107" s="33" t="str">
        <x:v>All active audits now have an active evidence record.</x:v>
      </x:c>
    </x:row>
    <x:row r="3108">
      <x:c r="A3108" s="33" t="str">
        <x:v>P4EVID043</x:v>
      </x:c>
      <x:c r="B3108" s="33" t="str">
        <x:v>Evidence Master</x:v>
      </x:c>
      <x:c r="C3108" s="33" t="str">
        <x:v>Not present</x:v>
      </x:c>
      <x:c r="D3108" s="33" t="str">
        <x:v>Evidence ID=P4EVID043; Audit ID=AUD129; Evidence Required=Documentary and transaction evidence demonstrating: For covered employees, compute, deduct and remit ESI contributions within the current prescribed timeline.; Evidence Type=Record; Mandatory=Yes; Retention Category=Applicable statutory / operational period; Origin=P4_VALIDATION; Active=Yes; Remarks=P-4 chain-closure evidence; exact document type follows the applicable law, licence or internal control.</x:v>
      </x:c>
      <x:c r="E3108" s="33" t="str">
        <x:v>ADD</x:v>
      </x:c>
      <x:c r="F3108" s="33" t="str">
        <x:v>Close every active audit-to-evidence link.</x:v>
      </x:c>
      <x:c r="G3108" s="33" t="str">
        <x:v>P-4 execution-chain reconciliation</x:v>
      </x:c>
      <x:c r="H3108" s="33" t="str">
        <x:v>P-4</x:v>
      </x:c>
      <x:c r="I3108" s="33" t="str">
        <x:v>P-4</x:v>
      </x:c>
      <x:c r="J3108" s="33" t="str">
        <x:v>2026-08-20</x:v>
      </x:c>
      <x:c r="K3108" s="33" t="str">
        <x:v>All active audits now have an active evidence record.</x:v>
      </x:c>
    </x:row>
    <x:row r="3109">
      <x:c r="A3109" s="33" t="str">
        <x:v>P4EVID044</x:v>
      </x:c>
      <x:c r="B3109" s="33" t="str">
        <x:v>Evidence Master</x:v>
      </x:c>
      <x:c r="C3109" s="33" t="str">
        <x:v>Not present</x:v>
      </x:c>
      <x:c r="D3109" s="33" t="str">
        <x:v>Evidence ID=P4EVID044; Audit ID=AUD131; Evidence Required=Documentary and transaction evidence demonstrating: Maintain complete ESI registration, wage, contribution, accident and benefit-supporting records for covered employees.; Evidence Type=Record; Mandatory=Yes; Retention Category=Applicable statutory / operational period; Origin=P4_VALIDATION; Active=Yes; Remarks=P-4 chain-closure evidence; exact document type follows the applicable law, licence or internal control.</x:v>
      </x:c>
      <x:c r="E3109" s="33" t="str">
        <x:v>ADD</x:v>
      </x:c>
      <x:c r="F3109" s="33" t="str">
        <x:v>Close every active audit-to-evidence link.</x:v>
      </x:c>
      <x:c r="G3109" s="33" t="str">
        <x:v>P-4 execution-chain reconciliation</x:v>
      </x:c>
      <x:c r="H3109" s="33" t="str">
        <x:v>P-4</x:v>
      </x:c>
      <x:c r="I3109" s="33" t="str">
        <x:v>P-4</x:v>
      </x:c>
      <x:c r="J3109" s="33" t="str">
        <x:v>2026-08-20</x:v>
      </x:c>
      <x:c r="K3109" s="33" t="str">
        <x:v>All active audits now have an active evidence record.</x:v>
      </x:c>
    </x:row>
    <x:row r="3110">
      <x:c r="A3110" s="33" t="str">
        <x:v>P4EVID045</x:v>
      </x:c>
      <x:c r="B3110" s="33" t="str">
        <x:v>Evidence Master</x:v>
      </x:c>
      <x:c r="C3110" s="33" t="str">
        <x:v>Not present</x:v>
      </x:c>
      <x:c r="D3110" s="33" t="str">
        <x:v>Evidence ID=P4EVID045; Audit ID=AUD133; Evidence Required=Documentary and transaction evidence demonstrating: Submit the applicable ESI electronic contribution filing/declaration at the frequency and due date prescribed for the establishment.; Evidence Type=Record; Mandatory=Yes; Retention Category=Applicable statutory / operational period; Origin=P4_VALIDATION; Active=Yes; Remarks=P-4 chain-closure evidence; exact document type follows the applicable law, licence or internal control.</x:v>
      </x:c>
      <x:c r="E3110" s="33" t="str">
        <x:v>ADD</x:v>
      </x:c>
      <x:c r="F3110" s="33" t="str">
        <x:v>Close every active audit-to-evidence link.</x:v>
      </x:c>
      <x:c r="G3110" s="33" t="str">
        <x:v>P-4 execution-chain reconciliation</x:v>
      </x:c>
      <x:c r="H3110" s="33" t="str">
        <x:v>P-4</x:v>
      </x:c>
      <x:c r="I3110" s="33" t="str">
        <x:v>P-4</x:v>
      </x:c>
      <x:c r="J3110" s="33" t="str">
        <x:v>2026-08-20</x:v>
      </x:c>
      <x:c r="K3110" s="33" t="str">
        <x:v>All active audits now have an active evidence record.</x:v>
      </x:c>
    </x:row>
    <x:row r="3111">
      <x:c r="A3111" s="33" t="str">
        <x:v>P4EVID046</x:v>
      </x:c>
      <x:c r="B3111" s="33" t="str">
        <x:v>Evidence Master</x:v>
      </x:c>
      <x:c r="C3111" s="33" t="str">
        <x:v>Not present</x:v>
      </x:c>
      <x:c r="D3111" s="33" t="str">
        <x:v>Evidence ID=P4EVID046; Audit ID=AUD135; Evidence Required=Documentary and transaction evidence demonstrating: Produce applicable EPF/ESI records to an authorised inspector-cum-facilitator or authority when lawfully demanded.; Evidence Type=Record; Mandatory=Yes; Retention Category=Applicable statutory / operational period; Origin=P4_VALIDATION; Active=Yes; Remarks=P-4 chain-closure evidence; exact document type follows the applicable law, licence or internal control.</x:v>
      </x:c>
      <x:c r="E3111" s="33" t="str">
        <x:v>ADD</x:v>
      </x:c>
      <x:c r="F3111" s="33" t="str">
        <x:v>Close every active audit-to-evidence link.</x:v>
      </x:c>
      <x:c r="G3111" s="33" t="str">
        <x:v>P-4 execution-chain reconciliation</x:v>
      </x:c>
      <x:c r="H3111" s="33" t="str">
        <x:v>P-4</x:v>
      </x:c>
      <x:c r="I3111" s="33" t="str">
        <x:v>P-4</x:v>
      </x:c>
      <x:c r="J3111" s="33" t="str">
        <x:v>2026-08-20</x:v>
      </x:c>
      <x:c r="K3111" s="33" t="str">
        <x:v>All active audits now have an active evidence record.</x:v>
      </x:c>
    </x:row>
    <x:row r="3112">
      <x:c r="A3112" s="33" t="str">
        <x:v>P4EVID047</x:v>
      </x:c>
      <x:c r="B3112" s="33" t="str">
        <x:v>Evidence Master</x:v>
      </x:c>
      <x:c r="C3112" s="33" t="str">
        <x:v>Not present</x:v>
      </x:c>
      <x:c r="D3112" s="33" t="str">
        <x:v>Evidence ID=P4EVID047; Audit ID=AUD137; Evidence Required=Documentary and transaction evidence demonstrating: Assess CGST/SGST registration liability by turnover, compulsory-registration and voluntary-registration rules; register in each required State before/within the statutory timeline.; Evidence Type=Record; Mandatory=Yes; Retention Category=Applicable statutory / operational period; Origin=P4_VALIDATION; Active=Yes; Remarks=P-4 chain-closure evidence; exact document type follows the applicable law, licence or internal control.</x:v>
      </x:c>
      <x:c r="E3112" s="33" t="str">
        <x:v>ADD</x:v>
      </x:c>
      <x:c r="F3112" s="33" t="str">
        <x:v>Close every active audit-to-evidence link.</x:v>
      </x:c>
      <x:c r="G3112" s="33" t="str">
        <x:v>P-4 execution-chain reconciliation</x:v>
      </x:c>
      <x:c r="H3112" s="33" t="str">
        <x:v>P-4</x:v>
      </x:c>
      <x:c r="I3112" s="33" t="str">
        <x:v>P-4</x:v>
      </x:c>
      <x:c r="J3112" s="33" t="str">
        <x:v>2026-08-20</x:v>
      </x:c>
      <x:c r="K3112" s="33" t="str">
        <x:v>All active audits now have an active evidence record.</x:v>
      </x:c>
    </x:row>
    <x:row r="3113">
      <x:c r="A3113" s="33" t="str">
        <x:v>P4EVID048</x:v>
      </x:c>
      <x:c r="B3113" s="33" t="str">
        <x:v>Evidence Master</x:v>
      </x:c>
      <x:c r="C3113" s="33" t="str">
        <x:v>Not present</x:v>
      </x:c>
      <x:c r="D3113" s="33" t="str">
        <x:v>Evidence ID=P4EVID048; Audit ID=AUD139; Evidence Required=Documentary and transaction evidence demonstrating: Issue the correct GST tax invoice, bill of supply or credit/debit document with prescribed particulars for each applicable supply.; Evidence Type=Record; Mandatory=Yes; Retention Category=Applicable statutory / operational period; Origin=P4_VALIDATION; Active=Yes; Remarks=P-4 chain-closure evidence; exact document type follows the applicable law, licence or internal control.</x:v>
      </x:c>
      <x:c r="E3113" s="33" t="str">
        <x:v>ADD</x:v>
      </x:c>
      <x:c r="F3113" s="33" t="str">
        <x:v>Close every active audit-to-evidence link.</x:v>
      </x:c>
      <x:c r="G3113" s="33" t="str">
        <x:v>P-4 execution-chain reconciliation</x:v>
      </x:c>
      <x:c r="H3113" s="33" t="str">
        <x:v>P-4</x:v>
      </x:c>
      <x:c r="I3113" s="33" t="str">
        <x:v>P-4</x:v>
      </x:c>
      <x:c r="J3113" s="33" t="str">
        <x:v>2026-08-20</x:v>
      </x:c>
      <x:c r="K3113" s="33" t="str">
        <x:v>All active audits now have an active evidence record.</x:v>
      </x:c>
    </x:row>
    <x:row r="3114">
      <x:c r="A3114" s="33" t="str">
        <x:v>P4EVID049</x:v>
      </x:c>
      <x:c r="B3114" s="33" t="str">
        <x:v>Evidence Master</x:v>
      </x:c>
      <x:c r="C3114" s="33" t="str">
        <x:v>Not present</x:v>
      </x:c>
      <x:c r="D3114" s="33" t="str">
        <x:v>Evidence ID=P4EVID049; Audit ID=AUD141; Evidence Required=Documentary and transaction evidence demonstrating: Maintain the prescribed GST accounts, invoices, e-way/e-invoice records and supporting documents for the applicable retention period.; Evidence Type=Record; Mandatory=Yes; Retention Category=Applicable statutory / operational period; Origin=P4_VALIDATION; Active=Yes; Remarks=P-4 chain-closure evidence; exact document type follows the applicable law, licence or internal control.</x:v>
      </x:c>
      <x:c r="E3114" s="33" t="str">
        <x:v>ADD</x:v>
      </x:c>
      <x:c r="F3114" s="33" t="str">
        <x:v>Close every active audit-to-evidence link.</x:v>
      </x:c>
      <x:c r="G3114" s="33" t="str">
        <x:v>P-4 execution-chain reconciliation</x:v>
      </x:c>
      <x:c r="H3114" s="33" t="str">
        <x:v>P-4</x:v>
      </x:c>
      <x:c r="I3114" s="33" t="str">
        <x:v>P-4</x:v>
      </x:c>
      <x:c r="J3114" s="33" t="str">
        <x:v>2026-08-20</x:v>
      </x:c>
      <x:c r="K3114" s="33" t="str">
        <x:v>All active audits now have an active evidence record.</x:v>
      </x:c>
    </x:row>
    <x:row r="3115">
      <x:c r="A3115" s="33" t="str">
        <x:v>P4EVID050</x:v>
      </x:c>
      <x:c r="B3115" s="33" t="str">
        <x:v>Evidence Master</x:v>
      </x:c>
      <x:c r="C3115" s="33" t="str">
        <x:v>Not present</x:v>
      </x:c>
      <x:c r="D3115" s="33" t="str">
        <x:v>Evidence ID=P4EVID050; Audit ID=AUD143; Evidence Required=Documentary and transaction evidence demonstrating: File only the GST returns/statements applicable to the taxpayer profile and scheme at the notified frequency and due date.; Evidence Type=Record; Mandatory=Yes; Retention Category=Applicable statutory / operational period; Origin=P4_VALIDATION; Active=Yes; Remarks=P-4 chain-closure evidence; exact document type follows the applicable law, licence or internal control.</x:v>
      </x:c>
      <x:c r="E3115" s="33" t="str">
        <x:v>ADD</x:v>
      </x:c>
      <x:c r="F3115" s="33" t="str">
        <x:v>Close every active audit-to-evidence link.</x:v>
      </x:c>
      <x:c r="G3115" s="33" t="str">
        <x:v>P-4 execution-chain reconciliation</x:v>
      </x:c>
      <x:c r="H3115" s="33" t="str">
        <x:v>P-4</x:v>
      </x:c>
      <x:c r="I3115" s="33" t="str">
        <x:v>P-4</x:v>
      </x:c>
      <x:c r="J3115" s="33" t="str">
        <x:v>2026-08-20</x:v>
      </x:c>
      <x:c r="K3115" s="33" t="str">
        <x:v>All active audits now have an active evidence record.</x:v>
      </x:c>
    </x:row>
    <x:row r="3116">
      <x:c r="A3116" s="33" t="str">
        <x:v>P4EVID051</x:v>
      </x:c>
      <x:c r="B3116" s="33" t="str">
        <x:v>Evidence Master</x:v>
      </x:c>
      <x:c r="C3116" s="33" t="str">
        <x:v>Not present</x:v>
      </x:c>
      <x:c r="D3116" s="33" t="str">
        <x:v>Evidence ID=P4EVID051; Audit ID=AUD145; Evidence Required=Documentary and transaction evidence demonstrating: Discharge self-assessed GST, interest and other liability through the electronic ledgers by the due date applicable to the return/scheme.; Evidence Type=Record; Mandatory=Yes; Retention Category=Applicable statutory / operational period; Origin=P4_VALIDATION; Active=Yes; Remarks=P-4 chain-closure evidence; exact document type follows the applicable law, licence or internal control.</x:v>
      </x:c>
      <x:c r="E3116" s="33" t="str">
        <x:v>ADD</x:v>
      </x:c>
      <x:c r="F3116" s="33" t="str">
        <x:v>Close every active audit-to-evidence link.</x:v>
      </x:c>
      <x:c r="G3116" s="33" t="str">
        <x:v>P-4 execution-chain reconciliation</x:v>
      </x:c>
      <x:c r="H3116" s="33" t="str">
        <x:v>P-4</x:v>
      </x:c>
      <x:c r="I3116" s="33" t="str">
        <x:v>P-4</x:v>
      </x:c>
      <x:c r="J3116" s="33" t="str">
        <x:v>2026-08-20</x:v>
      </x:c>
      <x:c r="K3116" s="33" t="str">
        <x:v>All active audits now have an active evidence record.</x:v>
      </x:c>
    </x:row>
    <x:row r="3117">
      <x:c r="A3117" s="33" t="str">
        <x:v>P4EVID052</x:v>
      </x:c>
      <x:c r="B3117" s="33" t="str">
        <x:v>Evidence Master</x:v>
      </x:c>
      <x:c r="C3117" s="33" t="str">
        <x:v>Not present</x:v>
      </x:c>
      <x:c r="D3117" s="33" t="str">
        <x:v>Evidence ID=P4EVID052; Audit ID=AUD147; Evidence Required=Documentary and transaction evidence demonstrating: File the return of income for Tax Year 2026-27 onward under section 263 of the Income-tax Act, 2025 using the applicable Income-tax Rules, 2026 form and due date.; Evidence Type=Record; Mandatory=Yes; Retention Category=Applicable statutory / operational period; Origin=P4_VALIDATION; Active=Yes; Remarks=P-4 chain-closure evidence; exact document type follows the applicable law, licence or internal control.</x:v>
      </x:c>
      <x:c r="E3117" s="33" t="str">
        <x:v>ADD</x:v>
      </x:c>
      <x:c r="F3117" s="33" t="str">
        <x:v>Close every active audit-to-evidence link.</x:v>
      </x:c>
      <x:c r="G3117" s="33" t="str">
        <x:v>P-4 execution-chain reconciliation</x:v>
      </x:c>
      <x:c r="H3117" s="33" t="str">
        <x:v>P-4</x:v>
      </x:c>
      <x:c r="I3117" s="33" t="str">
        <x:v>P-4</x:v>
      </x:c>
      <x:c r="J3117" s="33" t="str">
        <x:v>2026-08-20</x:v>
      </x:c>
      <x:c r="K3117" s="33" t="str">
        <x:v>All active audits now have an active evidence record.</x:v>
      </x:c>
    </x:row>
    <x:row r="3118">
      <x:c r="A3118" s="33" t="str">
        <x:v>P4EVID053</x:v>
      </x:c>
      <x:c r="B3118" s="33" t="str">
        <x:v>Evidence Master</x:v>
      </x:c>
      <x:c r="C3118" s="33" t="str">
        <x:v>Not present</x:v>
      </x:c>
      <x:c r="D3118" s="33" t="str">
        <x:v>Evidence ID=P4EVID053; Audit ID=AUD149; Evidence Required=Documentary and transaction evidence demonstrating: Deduct, deposit and report salary withholding under the Income-tax Act, 2025 and Income-tax Rules, 2026 for payments governed by the new Act.; Evidence Type=Record; Mandatory=Yes; Retention Category=Applicable statutory / operational period; Origin=P4_VALIDATION; Active=Yes; Remarks=P-4 chain-closure evidence; exact document type follows the applicable law, licence or internal control.</x:v>
      </x:c>
      <x:c r="E3118" s="33" t="str">
        <x:v>ADD</x:v>
      </x:c>
      <x:c r="F3118" s="33" t="str">
        <x:v>Close every active audit-to-evidence link.</x:v>
      </x:c>
      <x:c r="G3118" s="33" t="str">
        <x:v>P-4 execution-chain reconciliation</x:v>
      </x:c>
      <x:c r="H3118" s="33" t="str">
        <x:v>P-4</x:v>
      </x:c>
      <x:c r="I3118" s="33" t="str">
        <x:v>P-4</x:v>
      </x:c>
      <x:c r="J3118" s="33" t="str">
        <x:v>2026-08-20</x:v>
      </x:c>
      <x:c r="K3118" s="33" t="str">
        <x:v>All active audits now have an active evidence record.</x:v>
      </x:c>
    </x:row>
    <x:row r="3119">
      <x:c r="A3119" s="33" t="str">
        <x:v>P4EVID054</x:v>
      </x:c>
      <x:c r="B3119" s="33" t="str">
        <x:v>Evidence Master</x:v>
      </x:c>
      <x:c r="C3119" s="33" t="str">
        <x:v>Not present</x:v>
      </x:c>
      <x:c r="D3119" s="33" t="str">
        <x:v>Evidence ID=P4EVID054; Audit ID=AUD151; Evidence Required=Documentary and transaction evidence demonstrating: For applicable payments/receipts on or after 1 April 2026, use the relevant section 393/394 table item, deduct/collect, deposit and report under the current Rules.; Evidence Type=Record; Mandatory=Yes; Retention Category=Applicable statutory / operational period; Origin=P4_VALIDATION; Active=Yes; Remarks=P-4 chain-closure evidence; exact document type follows the applicable law, licence or internal control.</x:v>
      </x:c>
      <x:c r="E3119" s="33" t="str">
        <x:v>ADD</x:v>
      </x:c>
      <x:c r="F3119" s="33" t="str">
        <x:v>Close every active audit-to-evidence link.</x:v>
      </x:c>
      <x:c r="G3119" s="33" t="str">
        <x:v>P-4 execution-chain reconciliation</x:v>
      </x:c>
      <x:c r="H3119" s="33" t="str">
        <x:v>P-4</x:v>
      </x:c>
      <x:c r="I3119" s="33" t="str">
        <x:v>P-4</x:v>
      </x:c>
      <x:c r="J3119" s="33" t="str">
        <x:v>2026-08-20</x:v>
      </x:c>
      <x:c r="K3119" s="33" t="str">
        <x:v>All active audits now have an active evidence record.</x:v>
      </x:c>
    </x:row>
    <x:row r="3120">
      <x:c r="A3120" s="33" t="str">
        <x:v>P4EVID055</x:v>
      </x:c>
      <x:c r="B3120" s="33" t="str">
        <x:v>Evidence Master</x:v>
      </x:c>
      <x:c r="C3120" s="33" t="str">
        <x:v>Not present</x:v>
      </x:c>
      <x:c r="D3120" s="33" t="str">
        <x:v>Evidence ID=P4EVID055; Audit ID=AUD153; Evidence Required=Documentary and transaction evidence demonstrating: Maintain the books and documents required by the Income-tax Act, 2025 and Rules, 2026 for the entity/business profile.; Evidence Type=Record; Mandatory=Yes; Retention Category=Applicable statutory / operational period; Origin=P4_VALIDATION; Active=Yes; Remarks=P-4 chain-closure evidence; exact document type follows the applicable law, licence or internal control.</x:v>
      </x:c>
      <x:c r="E3120" s="33" t="str">
        <x:v>ADD</x:v>
      </x:c>
      <x:c r="F3120" s="33" t="str">
        <x:v>Close every active audit-to-evidence link.</x:v>
      </x:c>
      <x:c r="G3120" s="33" t="str">
        <x:v>P-4 execution-chain reconciliation</x:v>
      </x:c>
      <x:c r="H3120" s="33" t="str">
        <x:v>P-4</x:v>
      </x:c>
      <x:c r="I3120" s="33" t="str">
        <x:v>P-4</x:v>
      </x:c>
      <x:c r="J3120" s="33" t="str">
        <x:v>2026-08-20</x:v>
      </x:c>
      <x:c r="K3120" s="33" t="str">
        <x:v>All active audits now have an active evidence record.</x:v>
      </x:c>
    </x:row>
    <x:row r="3121">
      <x:c r="A3121" s="33" t="str">
        <x:v>P4EVID056</x:v>
      </x:c>
      <x:c r="B3121" s="33" t="str">
        <x:v>Evidence Master</x:v>
      </x:c>
      <x:c r="C3121" s="33" t="str">
        <x:v>Not present</x:v>
      </x:c>
      <x:c r="D3121" s="33" t="str">
        <x:v>Evidence ID=P4EVID056; Audit ID=AUD155; Evidence Required=Documentary and transaction evidence demonstrating: Obtain and furnish a tax-audit report only where the current statutory threshold/condition applies.; Evidence Type=Record; Mandatory=Yes; Retention Category=Applicable statutory / operational period; Origin=P4_VALIDATION; Active=Yes; Remarks=P-4 chain-closure evidence; exact document type follows the applicable law, licence or internal control.</x:v>
      </x:c>
      <x:c r="E3121" s="33" t="str">
        <x:v>ADD</x:v>
      </x:c>
      <x:c r="F3121" s="33" t="str">
        <x:v>Close every active audit-to-evidence link.</x:v>
      </x:c>
      <x:c r="G3121" s="33" t="str">
        <x:v>P-4 execution-chain reconciliation</x:v>
      </x:c>
      <x:c r="H3121" s="33" t="str">
        <x:v>P-4</x:v>
      </x:c>
      <x:c r="I3121" s="33" t="str">
        <x:v>P-4</x:v>
      </x:c>
      <x:c r="J3121" s="33" t="str">
        <x:v>2026-08-20</x:v>
      </x:c>
      <x:c r="K3121" s="33" t="str">
        <x:v>All active audits now have an active evidence record.</x:v>
      </x:c>
    </x:row>
    <x:row r="3122">
      <x:c r="A3122" s="33" t="str">
        <x:v>P4EVID057</x:v>
      </x:c>
      <x:c r="B3122" s="33" t="str">
        <x:v>Evidence Master</x:v>
      </x:c>
      <x:c r="C3122" s="33" t="str">
        <x:v>Not present</x:v>
      </x:c>
      <x:c r="D3122" s="33" t="str">
        <x:v>Evidence ID=P4EVID057; Audit ID=AUD156; Evidence Required=Documentary and transaction evidence demonstrating: Obtain and furnish a tax-audit report only where the current statutory threshold/condition applies.; Evidence Type=Record; Mandatory=Yes; Retention Category=Applicable statutory / operational period; Origin=P4_VALIDATION; Active=Yes; Remarks=P-4 chain-closure evidence; exact document type follows the applicable law, licence or internal control.</x:v>
      </x:c>
      <x:c r="E3122" s="33" t="str">
        <x:v>ADD</x:v>
      </x:c>
      <x:c r="F3122" s="33" t="str">
        <x:v>Close every active audit-to-evidence link.</x:v>
      </x:c>
      <x:c r="G3122" s="33" t="str">
        <x:v>P-4 execution-chain reconciliation</x:v>
      </x:c>
      <x:c r="H3122" s="33" t="str">
        <x:v>P-4</x:v>
      </x:c>
      <x:c r="I3122" s="33" t="str">
        <x:v>P-4</x:v>
      </x:c>
      <x:c r="J3122" s="33" t="str">
        <x:v>2026-08-20</x:v>
      </x:c>
      <x:c r="K3122" s="33" t="str">
        <x:v>All active audits now have an active evidence record.</x:v>
      </x:c>
    </x:row>
    <x:row r="3123">
      <x:c r="A3123" s="33" t="str">
        <x:v>P4EVID058</x:v>
      </x:c>
      <x:c r="B3123" s="33" t="str">
        <x:v>Evidence Master</x:v>
      </x:c>
      <x:c r="C3123" s="33" t="str">
        <x:v>Not present</x:v>
      </x:c>
      <x:c r="D3123" s="33" t="str">
        <x:v>Evidence ID=P4EVID058; Audit ID=AUD157; Evidence Required=Documentary and transaction evidence demonstrating: Obtain and furnish a tax-audit report only where the current statutory threshold/condition applies.; Evidence Type=Record; Mandatory=Yes; Retention Category=Applicable statutory / operational period; Origin=P4_VALIDATION; Active=Yes; Remarks=P-4 chain-closure evidence; exact document type follows the applicable law, licence or internal control.</x:v>
      </x:c>
      <x:c r="E3123" s="33" t="str">
        <x:v>ADD</x:v>
      </x:c>
      <x:c r="F3123" s="33" t="str">
        <x:v>Close every active audit-to-evidence link.</x:v>
      </x:c>
      <x:c r="G3123" s="33" t="str">
        <x:v>P-4 execution-chain reconciliation</x:v>
      </x:c>
      <x:c r="H3123" s="33" t="str">
        <x:v>P-4</x:v>
      </x:c>
      <x:c r="I3123" s="33" t="str">
        <x:v>P-4</x:v>
      </x:c>
      <x:c r="J3123" s="33" t="str">
        <x:v>2026-08-20</x:v>
      </x:c>
      <x:c r="K3123" s="33" t="str">
        <x:v>All active audits now have an active evidence record.</x:v>
      </x:c>
    </x:row>
    <x:row r="3124">
      <x:c r="A3124" s="33" t="str">
        <x:v>P4EVID059</x:v>
      </x:c>
      <x:c r="B3124" s="33" t="str">
        <x:v>Evidence Master</x:v>
      </x:c>
      <x:c r="C3124" s="33" t="str">
        <x:v>Not present</x:v>
      </x:c>
      <x:c r="D3124" s="33" t="str">
        <x:v>Evidence ID=P4EVID059; Audit ID=AUD159; Evidence Required=Documentary and transaction evidence demonstrating: Before dispensing Schedule H/H1/X, verify the prescription is written, signed and dated, identifies the patient, amount and dose, follows repeat directions, is seller-annotated, and is not substituted.; Evidence Type=Record; Mandatory=Yes; Retention Category=Applicable statutory / operational period; Origin=P4_VALIDATION; Active=Yes; Remarks=P-4 chain-closure evidence; exact document type follows the applicable law, licence or internal control.</x:v>
      </x:c>
      <x:c r="E3124" s="33" t="str">
        <x:v>ADD</x:v>
      </x:c>
      <x:c r="F3124" s="33" t="str">
        <x:v>Close every active audit-to-evidence link.</x:v>
      </x:c>
      <x:c r="G3124" s="33" t="str">
        <x:v>P-4 execution-chain reconciliation</x:v>
      </x:c>
      <x:c r="H3124" s="33" t="str">
        <x:v>P-4</x:v>
      </x:c>
      <x:c r="I3124" s="33" t="str">
        <x:v>P-4</x:v>
      </x:c>
      <x:c r="J3124" s="33" t="str">
        <x:v>2026-08-20</x:v>
      </x:c>
      <x:c r="K3124" s="33" t="str">
        <x:v>All active audits now have an active evidence record.</x:v>
      </x:c>
    </x:row>
    <x:row r="3125">
      <x:c r="A3125" s="33" t="str">
        <x:v>P4EVID060</x:v>
      </x:c>
      <x:c r="B3125" s="33" t="str">
        <x:v>Evidence Master</x:v>
      </x:c>
      <x:c r="C3125" s="33" t="str">
        <x:v>Not present</x:v>
      </x:c>
      <x:c r="D3125" s="33" t="str">
        <x:v>Evidence ID=P4EVID060; Audit ID=AUD161; Evidence Required=Documentary and transaction evidence demonstrating: Ensure compounding and non-wholesale supply of a drug on prescription is performed by or under the personal supervision of a registered pharmacist.; Evidence Type=Record; Mandatory=Yes; Retention Category=Applicable statutory / operational period; Origin=P4_VALIDATION; Active=Yes; Remarks=P-4 chain-closure evidence; exact document type follows the applicable law, licence or internal control.</x:v>
      </x:c>
      <x:c r="E3125" s="33" t="str">
        <x:v>ADD</x:v>
      </x:c>
      <x:c r="F3125" s="33" t="str">
        <x:v>Close every active audit-to-evidence link.</x:v>
      </x:c>
      <x:c r="G3125" s="33" t="str">
        <x:v>P-4 execution-chain reconciliation</x:v>
      </x:c>
      <x:c r="H3125" s="33" t="str">
        <x:v>P-4</x:v>
      </x:c>
      <x:c r="I3125" s="33" t="str">
        <x:v>P-4</x:v>
      </x:c>
      <x:c r="J3125" s="33" t="str">
        <x:v>2026-08-20</x:v>
      </x:c>
      <x:c r="K3125" s="33" t="str">
        <x:v>All active audits now have an active evidence record.</x:v>
      </x:c>
    </x:row>
    <x:row r="3126">
      <x:c r="A3126" s="33" t="str">
        <x:v>P4EVID061</x:v>
      </x:c>
      <x:c r="B3126" s="33" t="str">
        <x:v>Evidence Master</x:v>
      </x:c>
      <x:c r="C3126" s="33" t="str">
        <x:v>Not present</x:v>
      </x:c>
      <x:c r="D3126" s="33" t="str">
        <x:v>Evidence ID=P4EVID061; Audit ID=AUD163; Evidence Required=Documentary and transaction evidence demonstrating: Review prescriptions for legality, completeness and clinical appropriateness before dispensing medicines.; Evidence Type=Record; Mandatory=Yes; Retention Category=Applicable statutory / operational period; Origin=P4_VALIDATION; Active=Yes; Remarks=P-4 chain-closure evidence; exact document type follows the applicable law, licence or internal control.</x:v>
      </x:c>
      <x:c r="E3126" s="33" t="str">
        <x:v>ADD</x:v>
      </x:c>
      <x:c r="F3126" s="33" t="str">
        <x:v>Close every active audit-to-evidence link.</x:v>
      </x:c>
      <x:c r="G3126" s="33" t="str">
        <x:v>P-4 execution-chain reconciliation</x:v>
      </x:c>
      <x:c r="H3126" s="33" t="str">
        <x:v>P-4</x:v>
      </x:c>
      <x:c r="I3126" s="33" t="str">
        <x:v>P-4</x:v>
      </x:c>
      <x:c r="J3126" s="33" t="str">
        <x:v>2026-08-20</x:v>
      </x:c>
      <x:c r="K3126" s="33" t="str">
        <x:v>All active audits now have an active evidence record.</x:v>
      </x:c>
    </x:row>
    <x:row r="3127">
      <x:c r="A3127" s="33" t="str">
        <x:v>P4EVID062</x:v>
      </x:c>
      <x:c r="B3127" s="33" t="str">
        <x:v>Evidence Master</x:v>
      </x:c>
      <x:c r="C3127" s="33" t="str">
        <x:v>Not present</x:v>
      </x:c>
      <x:c r="D3127" s="33" t="str">
        <x:v>Evidence ID=P4EVID062; Audit ID=AUD165; Evidence Required=Documentary and transaction evidence demonstrating: Produce Rule 65 registers and records to an Inspector on demand and preserve them for at least two years from the last entry unless a specific three-year or transaction-based period applies.; Evidence Type=Record; Mandatory=Yes; Retention Category=Applicable statutory / operational period; Origin=P4_VALIDATION; Active=Yes; Remarks=P-4 chain-closure evidence; exact document type follows the applicable law, licence or internal control.</x:v>
      </x:c>
      <x:c r="E3127" s="33" t="str">
        <x:v>ADD</x:v>
      </x:c>
      <x:c r="F3127" s="33" t="str">
        <x:v>Close every active audit-to-evidence link.</x:v>
      </x:c>
      <x:c r="G3127" s="33" t="str">
        <x:v>P-4 execution-chain reconciliation</x:v>
      </x:c>
      <x:c r="H3127" s="33" t="str">
        <x:v>P-4</x:v>
      </x:c>
      <x:c r="I3127" s="33" t="str">
        <x:v>P-4</x:v>
      </x:c>
      <x:c r="J3127" s="33" t="str">
        <x:v>2026-08-20</x:v>
      </x:c>
      <x:c r="K3127" s="33" t="str">
        <x:v>All active audits now have an active evidence record.</x:v>
      </x:c>
    </x:row>
    <x:row r="3128">
      <x:c r="A3128" s="33" t="str">
        <x:v>P4EVID063</x:v>
      </x:c>
      <x:c r="B3128" s="33" t="str">
        <x:v>Evidence Master</x:v>
      </x:c>
      <x:c r="C3128" s="33" t="str">
        <x:v>Not present</x:v>
      </x:c>
      <x:c r="D3128" s="33" t="str">
        <x:v>Evidence ID=P4EVID063; Audit ID=AUD167; Evidence Required=Documentary and transaction evidence demonstrating: Perform a documented risk-based review of Schedule H1/X dispensing and inventory movements to identify unusual patterns; this is an internal best-practice control, not a statutory monthly register duty.; Evidence Type=Record; Mandatory=Yes; Retention Category=Applicable statutory / operational period; Origin=P4_VALIDATION; Active=Yes; Remarks=P-4 chain-closure evidence; exact document type follows the applicable law, licence or internal control.</x:v>
      </x:c>
      <x:c r="E3128" s="33" t="str">
        <x:v>ADD</x:v>
      </x:c>
      <x:c r="F3128" s="33" t="str">
        <x:v>Close every active audit-to-evidence link.</x:v>
      </x:c>
      <x:c r="G3128" s="33" t="str">
        <x:v>P-4 execution-chain reconciliation</x:v>
      </x:c>
      <x:c r="H3128" s="33" t="str">
        <x:v>P-4</x:v>
      </x:c>
      <x:c r="I3128" s="33" t="str">
        <x:v>P-4</x:v>
      </x:c>
      <x:c r="J3128" s="33" t="str">
        <x:v>2026-08-20</x:v>
      </x:c>
      <x:c r="K3128" s="33" t="str">
        <x:v>All active audits now have an active evidence record.</x:v>
      </x:c>
    </x:row>
    <x:row r="3129">
      <x:c r="A3129" s="33" t="str">
        <x:v>P4EVID064</x:v>
      </x:c>
      <x:c r="B3129" s="33" t="str">
        <x:v>Evidence Master</x:v>
      </x:c>
      <x:c r="C3129" s="33" t="str">
        <x:v>Not present</x:v>
      </x:c>
      <x:c r="D3129" s="33" t="str">
        <x:v>Evidence ID=P4EVID064; Audit ID=AUD169; Evidence Required=Documentary and transaction evidence demonstrating: Design consumer-facing sale and service practices to avoid unfair trade practices and respect the statutory consumer-rights baseline.; Evidence Type=Record; Mandatory=Yes; Retention Category=Applicable statutory / operational period; Origin=P4_VALIDATION; Active=Yes; Remarks=P-4 chain-closure evidence; exact document type follows the applicable law, licence or internal control.</x:v>
      </x:c>
      <x:c r="E3129" s="33" t="str">
        <x:v>ADD</x:v>
      </x:c>
      <x:c r="F3129" s="33" t="str">
        <x:v>Close every active audit-to-evidence link.</x:v>
      </x:c>
      <x:c r="G3129" s="33" t="str">
        <x:v>P-4 execution-chain reconciliation</x:v>
      </x:c>
      <x:c r="H3129" s="33" t="str">
        <x:v>P-4</x:v>
      </x:c>
      <x:c r="I3129" s="33" t="str">
        <x:v>P-4</x:v>
      </x:c>
      <x:c r="J3129" s="33" t="str">
        <x:v>2026-08-20</x:v>
      </x:c>
      <x:c r="K3129" s="33" t="str">
        <x:v>All active audits now have an active evidence record.</x:v>
      </x:c>
    </x:row>
    <x:row r="3130">
      <x:c r="A3130" s="33" t="str">
        <x:v>P4EVID065</x:v>
      </x:c>
      <x:c r="B3130" s="33" t="str">
        <x:v>Evidence Master</x:v>
      </x:c>
      <x:c r="C3130" s="33" t="str">
        <x:v>Not present</x:v>
      </x:c>
      <x:c r="D3130" s="33" t="str">
        <x:v>Evidence ID=P4EVID065; Audit ID=AUD171; Evidence Required=Documentary and transaction evidence demonstrating: Respond to a lawful CCPA investigation and implement an applicable recall, reimbursement, discontinuance or modification order.; Evidence Type=Record; Mandatory=Yes; Retention Category=Applicable statutory / operational period; Origin=P4_VALIDATION; Active=Yes; Remarks=P-4 chain-closure evidence; exact document type follows the applicable law, licence or internal control.</x:v>
      </x:c>
      <x:c r="E3130" s="33" t="str">
        <x:v>ADD</x:v>
      </x:c>
      <x:c r="F3130" s="33" t="str">
        <x:v>Close every active audit-to-evidence link.</x:v>
      </x:c>
      <x:c r="G3130" s="33" t="str">
        <x:v>P-4 execution-chain reconciliation</x:v>
      </x:c>
      <x:c r="H3130" s="33" t="str">
        <x:v>P-4</x:v>
      </x:c>
      <x:c r="I3130" s="33" t="str">
        <x:v>P-4</x:v>
      </x:c>
      <x:c r="J3130" s="33" t="str">
        <x:v>2026-08-20</x:v>
      </x:c>
      <x:c r="K3130" s="33" t="str">
        <x:v>All active audits now have an active evidence record.</x:v>
      </x:c>
    </x:row>
    <x:row r="3131">
      <x:c r="A3131" s="33" t="str">
        <x:v>P4EVID066</x:v>
      </x:c>
      <x:c r="B3131" s="33" t="str">
        <x:v>Evidence Master</x:v>
      </x:c>
      <x:c r="C3131" s="33" t="str">
        <x:v>Not present</x:v>
      </x:c>
      <x:c r="D3131" s="33" t="str">
        <x:v>Evidence ID=P4EVID066; Audit ID=AUD173; Evidence Required=Documentary and transaction evidence demonstrating: Do not engage in a practice falling within section 2(47), including false representations, deceptive price claims or refusal to issue a bill where required.; Evidence Type=Record; Mandatory=Yes; Retention Category=Applicable statutory / operational period; Origin=P4_VALIDATION; Active=Yes; Remarks=P-4 chain-closure evidence; exact document type follows the applicable law, licence or internal control.</x:v>
      </x:c>
      <x:c r="E3131" s="33" t="str">
        <x:v>ADD</x:v>
      </x:c>
      <x:c r="F3131" s="33" t="str">
        <x:v>Close every active audit-to-evidence link.</x:v>
      </x:c>
      <x:c r="G3131" s="33" t="str">
        <x:v>P-4 execution-chain reconciliation</x:v>
      </x:c>
      <x:c r="H3131" s="33" t="str">
        <x:v>P-4</x:v>
      </x:c>
      <x:c r="I3131" s="33" t="str">
        <x:v>P-4</x:v>
      </x:c>
      <x:c r="J3131" s="33" t="str">
        <x:v>2026-08-20</x:v>
      </x:c>
      <x:c r="K3131" s="33" t="str">
        <x:v>All active audits now have an active evidence record.</x:v>
      </x:c>
    </x:row>
    <x:row r="3132">
      <x:c r="A3132" s="33" t="str">
        <x:v>P4EVID067</x:v>
      </x:c>
      <x:c r="B3132" s="33" t="str">
        <x:v>Evidence Master</x:v>
      </x:c>
      <x:c r="C3132" s="33" t="str">
        <x:v>Not present</x:v>
      </x:c>
      <x:c r="D3132" s="33" t="str">
        <x:v>Evidence ID=P4EVID067; Audit ID=AUD175; Evidence Required=Documentary and transaction evidence demonstrating: Do not cause a false or misleading advertisement and comply with any CCPA discontinuance/modification direction.; Evidence Type=Record; Mandatory=Yes; Retention Category=Applicable statutory / operational period; Origin=P4_VALIDATION; Active=Yes; Remarks=P-4 chain-closure evidence; exact document type follows the applicable law, licence or internal control.</x:v>
      </x:c>
      <x:c r="E3132" s="33" t="str">
        <x:v>ADD</x:v>
      </x:c>
      <x:c r="F3132" s="33" t="str">
        <x:v>Close every active audit-to-evidence link.</x:v>
      </x:c>
      <x:c r="G3132" s="33" t="str">
        <x:v>P-4 execution-chain reconciliation</x:v>
      </x:c>
      <x:c r="H3132" s="33" t="str">
        <x:v>P-4</x:v>
      </x:c>
      <x:c r="I3132" s="33" t="str">
        <x:v>P-4</x:v>
      </x:c>
      <x:c r="J3132" s="33" t="str">
        <x:v>2026-08-20</x:v>
      </x:c>
      <x:c r="K3132" s="33" t="str">
        <x:v>All active audits now have an active evidence record.</x:v>
      </x:c>
    </x:row>
    <x:row r="3133">
      <x:c r="A3133" s="33" t="str">
        <x:v>P4EVID068</x:v>
      </x:c>
      <x:c r="B3133" s="33" t="str">
        <x:v>Evidence Master</x:v>
      </x:c>
      <x:c r="C3133" s="33" t="str">
        <x:v>Not present</x:v>
      </x:c>
      <x:c r="D3133" s="33" t="str">
        <x:v>Evidence ID=P4EVID068; Audit ID=AUD177; Evidence Required=Documentary and transaction evidence demonstrating: If operating in an e-commerce role, display required identity/seller information, appoint the prescribed grievance/nodal contact and operate the complaint mechanism under Rules 4-5.; Evidence Type=Record; Mandatory=Yes; Retention Category=Applicable statutory / operational period; Origin=P4_VALIDATION; Active=Yes; Remarks=P-4 chain-closure evidence; exact document type follows the applicable law, licence or internal control.</x:v>
      </x:c>
      <x:c r="E3133" s="33" t="str">
        <x:v>ADD</x:v>
      </x:c>
      <x:c r="F3133" s="33" t="str">
        <x:v>Close every active audit-to-evidence link.</x:v>
      </x:c>
      <x:c r="G3133" s="33" t="str">
        <x:v>P-4 execution-chain reconciliation</x:v>
      </x:c>
      <x:c r="H3133" s="33" t="str">
        <x:v>P-4</x:v>
      </x:c>
      <x:c r="I3133" s="33" t="str">
        <x:v>P-4</x:v>
      </x:c>
      <x:c r="J3133" s="33" t="str">
        <x:v>2026-08-20</x:v>
      </x:c>
      <x:c r="K3133" s="33" t="str">
        <x:v>All active audits now have an active evidence record.</x:v>
      </x:c>
    </x:row>
    <x:row r="3134">
      <x:c r="A3134" s="33" t="str">
        <x:v>P4EVID069</x:v>
      </x:c>
      <x:c r="B3134" s="33" t="str">
        <x:v>Evidence Master</x:v>
      </x:c>
      <x:c r="C3134" s="33" t="str">
        <x:v>Not present</x:v>
      </x:c>
      <x:c r="D3134" s="33" t="str">
        <x:v>Evidence ID=P4EVID069; Audit ID=AUD179; Evidence Required=Documentary and transaction evidence demonstrating: Where a regulated weighing/measuring instrument is used, obtain verification/stamping and keep it valid before transactional use.; Evidence Type=Record; Mandatory=Yes; Retention Category=Applicable statutory / operational period; Origin=P4_VALIDATION; Active=Yes; Remarks=P-4 chain-closure evidence; exact document type follows the applicable law, licence or internal control.</x:v>
      </x:c>
      <x:c r="E3134" s="33" t="str">
        <x:v>ADD</x:v>
      </x:c>
      <x:c r="F3134" s="33" t="str">
        <x:v>Close every active audit-to-evidence link.</x:v>
      </x:c>
      <x:c r="G3134" s="33" t="str">
        <x:v>P-4 execution-chain reconciliation</x:v>
      </x:c>
      <x:c r="H3134" s="33" t="str">
        <x:v>P-4</x:v>
      </x:c>
      <x:c r="I3134" s="33" t="str">
        <x:v>P-4</x:v>
      </x:c>
      <x:c r="J3134" s="33" t="str">
        <x:v>2026-08-20</x:v>
      </x:c>
      <x:c r="K3134" s="33" t="str">
        <x:v>All active audits now have an active evidence record.</x:v>
      </x:c>
    </x:row>
    <x:row r="3135">
      <x:c r="A3135" s="33" t="str">
        <x:v>P4EVID070</x:v>
      </x:c>
      <x:c r="B3135" s="33" t="str">
        <x:v>Evidence Master</x:v>
      </x:c>
      <x:c r="C3135" s="33" t="str">
        <x:v>Not present</x:v>
      </x:c>
      <x:c r="D3135" s="33" t="str">
        <x:v>Evidence ID=P4EVID070; Audit ID=AUD181; Evidence Required=Documentary and transaction evidence demonstrating: Do not use a non-standard or required-but-unverified weight/measure; retain the verification certificate/stamp evidence.; Evidence Type=Record; Mandatory=Yes; Retention Category=Applicable statutory / operational period; Origin=P4_VALIDATION; Active=Yes; Remarks=P-4 chain-closure evidence; exact document type follows the applicable law, licence or internal control.</x:v>
      </x:c>
      <x:c r="E3135" s="33" t="str">
        <x:v>ADD</x:v>
      </x:c>
      <x:c r="F3135" s="33" t="str">
        <x:v>Close every active audit-to-evidence link.</x:v>
      </x:c>
      <x:c r="G3135" s="33" t="str">
        <x:v>P-4 execution-chain reconciliation</x:v>
      </x:c>
      <x:c r="H3135" s="33" t="str">
        <x:v>P-4</x:v>
      </x:c>
      <x:c r="I3135" s="33" t="str">
        <x:v>P-4</x:v>
      </x:c>
      <x:c r="J3135" s="33" t="str">
        <x:v>2026-08-20</x:v>
      </x:c>
      <x:c r="K3135" s="33" t="str">
        <x:v>All active audits now have an active evidence record.</x:v>
      </x:c>
    </x:row>
    <x:row r="3136">
      <x:c r="A3136" s="33" t="str">
        <x:v>P4EVID071</x:v>
      </x:c>
      <x:c r="B3136" s="33" t="str">
        <x:v>Evidence Master</x:v>
      </x:c>
      <x:c r="C3136" s="33" t="str">
        <x:v>Not present</x:v>
      </x:c>
      <x:c r="D3136" s="33" t="str">
        <x:v>Evidence ID=P4EVID071; Audit ID=AUD183; Evidence Required=Documentary and transaction evidence demonstrating: Permit lawful legal-metrology inspection and produce the covered instrument and records when required by an authorised officer.; Evidence Type=Record; Mandatory=Yes; Retention Category=Applicable statutory / operational period; Origin=P4_VALIDATION; Active=Yes; Remarks=P-4 chain-closure evidence; exact document type follows the applicable law, licence or internal control.</x:v>
      </x:c>
      <x:c r="E3136" s="33" t="str">
        <x:v>ADD</x:v>
      </x:c>
      <x:c r="F3136" s="33" t="str">
        <x:v>Close every active audit-to-evidence link.</x:v>
      </x:c>
      <x:c r="G3136" s="33" t="str">
        <x:v>P-4 execution-chain reconciliation</x:v>
      </x:c>
      <x:c r="H3136" s="33" t="str">
        <x:v>P-4</x:v>
      </x:c>
      <x:c r="I3136" s="33" t="str">
        <x:v>P-4</x:v>
      </x:c>
      <x:c r="J3136" s="33" t="str">
        <x:v>2026-08-20</x:v>
      </x:c>
      <x:c r="K3136" s="33" t="str">
        <x:v>All active audits now have an active evidence record.</x:v>
      </x:c>
    </x:row>
    <x:row r="3137">
      <x:c r="A3137" s="33" t="str">
        <x:v>P4EVID072</x:v>
      </x:c>
      <x:c r="B3137" s="33" t="str">
        <x:v>Evidence Master</x:v>
      </x:c>
      <x:c r="C3137" s="33" t="str">
        <x:v>Not present</x:v>
      </x:c>
      <x:c r="D3137" s="33" t="str">
        <x:v>Evidence ID=P4EVID072; Audit ID=AUD185; Evidence Required=Documentary and transaction evidence demonstrating: Do not sell, distribute, deliver, display or store for sale a pre-packaged commodity unless the package complies with the Act and Rules.; Evidence Type=Record; Mandatory=Yes; Retention Category=Applicable statutory / operational period; Origin=P4_VALIDATION; Active=Yes; Remarks=P-4 chain-closure evidence; exact document type follows the applicable law, licence or internal control.</x:v>
      </x:c>
      <x:c r="E3137" s="33" t="str">
        <x:v>ADD</x:v>
      </x:c>
      <x:c r="F3137" s="33" t="str">
        <x:v>Close every active audit-to-evidence link.</x:v>
      </x:c>
      <x:c r="G3137" s="33" t="str">
        <x:v>P-4 execution-chain reconciliation</x:v>
      </x:c>
      <x:c r="H3137" s="33" t="str">
        <x:v>P-4</x:v>
      </x:c>
      <x:c r="I3137" s="33" t="str">
        <x:v>P-4</x:v>
      </x:c>
      <x:c r="J3137" s="33" t="str">
        <x:v>2026-08-20</x:v>
      </x:c>
      <x:c r="K3137" s="33" t="str">
        <x:v>All active audits now have an active evidence record.</x:v>
      </x:c>
    </x:row>
    <x:row r="3138">
      <x:c r="A3138" s="33" t="str">
        <x:v>P4EVID073</x:v>
      </x:c>
      <x:c r="B3138" s="33" t="str">
        <x:v>Evidence Master</x:v>
      </x:c>
      <x:c r="C3138" s="33" t="str">
        <x:v>Not present</x:v>
      </x:c>
      <x:c r="D3138" s="33" t="str">
        <x:v>Evidence ID=P4EVID073; Audit ID=AUD187; Evidence Required=Documentary and transaction evidence demonstrating: Do not sell an applicable packaged commodity above its declared retail sale price.; Evidence Type=Record; Mandatory=Yes; Retention Category=Applicable statutory / operational period; Origin=P4_VALIDATION; Active=Yes; Remarks=P-4 chain-closure evidence; exact document type follows the applicable law, licence or internal control.</x:v>
      </x:c>
      <x:c r="E3138" s="33" t="str">
        <x:v>ADD</x:v>
      </x:c>
      <x:c r="F3138" s="33" t="str">
        <x:v>Close every active audit-to-evidence link.</x:v>
      </x:c>
      <x:c r="G3138" s="33" t="str">
        <x:v>P-4 execution-chain reconciliation</x:v>
      </x:c>
      <x:c r="H3138" s="33" t="str">
        <x:v>P-4</x:v>
      </x:c>
      <x:c r="I3138" s="33" t="str">
        <x:v>P-4</x:v>
      </x:c>
      <x:c r="J3138" s="33" t="str">
        <x:v>2026-08-20</x:v>
      </x:c>
      <x:c r="K3138" s="33" t="str">
        <x:v>All active audits now have an active evidence record.</x:v>
      </x:c>
    </x:row>
    <x:row r="3139">
      <x:c r="A3139" s="33" t="str">
        <x:v>P4EVID074</x:v>
      </x:c>
      <x:c r="B3139" s="33" t="str">
        <x:v>Evidence Master</x:v>
      </x:c>
      <x:c r="C3139" s="33" t="str">
        <x:v>Not present</x:v>
      </x:c>
      <x:c r="D3139" s="33" t="str">
        <x:v>Evidence ID=P4EVID074; Audit ID=AUD189; Evidence Required=Documentary and transaction evidence demonstrating: For e-commerce sale of applicable pre-packaged commodities, display the prescribed Rule 6 declarations on the digital/electronic network.; Evidence Type=Record; Mandatory=Yes; Retention Category=Applicable statutory / operational period; Origin=P4_VALIDATION; Active=Yes; Remarks=P-4 chain-closure evidence; exact document type follows the applicable law, licence or internal control.</x:v>
      </x:c>
      <x:c r="E3139" s="33" t="str">
        <x:v>ADD</x:v>
      </x:c>
      <x:c r="F3139" s="33" t="str">
        <x:v>Close every active audit-to-evidence link.</x:v>
      </x:c>
      <x:c r="G3139" s="33" t="str">
        <x:v>P-4 execution-chain reconciliation</x:v>
      </x:c>
      <x:c r="H3139" s="33" t="str">
        <x:v>P-4</x:v>
      </x:c>
      <x:c r="I3139" s="33" t="str">
        <x:v>P-4</x:v>
      </x:c>
      <x:c r="J3139" s="33" t="str">
        <x:v>2026-08-20</x:v>
      </x:c>
      <x:c r="K3139" s="33" t="str">
        <x:v>All active audits now have an active evidence record.</x:v>
      </x:c>
    </x:row>
    <x:row r="3140">
      <x:c r="A3140" s="33" t="str">
        <x:v>P4EVID075</x:v>
      </x:c>
      <x:c r="B3140" s="33" t="str">
        <x:v>Evidence Master</x:v>
      </x:c>
      <x:c r="C3140" s="33" t="str">
        <x:v>Not present</x:v>
      </x:c>
      <x:c r="D3140" s="33" t="str">
        <x:v>Evidence ID=P4EVID075; Audit ID=AUD191; Evidence Required=Documentary and transaction evidence demonstrating: If handling SPDI, publish the prescribed privacy policy and operate a documented reasonable-security programme/standard with periodic review.; Evidence Type=Record; Mandatory=Yes; Retention Category=Applicable statutory / operational period; Origin=P4_VALIDATION; Active=Yes; Remarks=P-4 chain-closure evidence; exact document type follows the applicable law, licence or internal control.</x:v>
      </x:c>
      <x:c r="E3140" s="33" t="str">
        <x:v>ADD</x:v>
      </x:c>
      <x:c r="F3140" s="33" t="str">
        <x:v>Close every active audit-to-evidence link.</x:v>
      </x:c>
      <x:c r="G3140" s="33" t="str">
        <x:v>P-4 execution-chain reconciliation</x:v>
      </x:c>
      <x:c r="H3140" s="33" t="str">
        <x:v>P-4</x:v>
      </x:c>
      <x:c r="I3140" s="33" t="str">
        <x:v>P-4</x:v>
      </x:c>
      <x:c r="J3140" s="33" t="str">
        <x:v>2026-08-20</x:v>
      </x:c>
      <x:c r="K3140" s="33" t="str">
        <x:v>All active audits now have an active evidence record.</x:v>
      </x:c>
    </x:row>
    <x:row r="3141">
      <x:c r="A3141" s="33" t="str">
        <x:v>P4EVID076</x:v>
      </x:c>
      <x:c r="B3141" s="33" t="str">
        <x:v>Evidence Master</x:v>
      </x:c>
      <x:c r="C3141" s="33" t="str">
        <x:v>Not present</x:v>
      </x:c>
      <x:c r="D3141" s="33" t="str">
        <x:v>Evidence ID=P4EVID076; Audit ID=AUD193; Evidence Required=Documentary and transaction evidence demonstrating: For SPDI, obtain consent, give required collection information, limit purpose/retention and provide review/correction mechanisms.; Evidence Type=Record; Mandatory=Yes; Retention Category=Applicable statutory / operational period; Origin=P4_VALIDATION; Active=Yes; Remarks=P-4 chain-closure evidence; exact document type follows the applicable law, licence or internal control.</x:v>
      </x:c>
      <x:c r="E3141" s="33" t="str">
        <x:v>ADD</x:v>
      </x:c>
      <x:c r="F3141" s="33" t="str">
        <x:v>Close every active audit-to-evidence link.</x:v>
      </x:c>
      <x:c r="G3141" s="33" t="str">
        <x:v>P-4 execution-chain reconciliation</x:v>
      </x:c>
      <x:c r="H3141" s="33" t="str">
        <x:v>P-4</x:v>
      </x:c>
      <x:c r="I3141" s="33" t="str">
        <x:v>P-4</x:v>
      </x:c>
      <x:c r="J3141" s="33" t="str">
        <x:v>2026-08-20</x:v>
      </x:c>
      <x:c r="K3141" s="33" t="str">
        <x:v>All active audits now have an active evidence record.</x:v>
      </x:c>
    </x:row>
    <x:row r="3142">
      <x:c r="A3142" s="33" t="str">
        <x:v>P4EVID077</x:v>
      </x:c>
      <x:c r="B3142" s="33" t="str">
        <x:v>Evidence Master</x:v>
      </x:c>
      <x:c r="C3142" s="33" t="str">
        <x:v>Not present</x:v>
      </x:c>
      <x:c r="D3142" s="33" t="str">
        <x:v>Evidence ID=P4EVID077; Audit ID=AUD195; Evidence Required=Documentary and transaction evidence demonstrating: Do not disclose SPDI without prior permission unless a Rule 6 exception applies; prevent unlawful contractual disclosure.; Evidence Type=Record; Mandatory=Yes; Retention Category=Applicable statutory / operational period; Origin=P4_VALIDATION; Active=Yes; Remarks=P-4 chain-closure evidence; exact document type follows the applicable law, licence or internal control.</x:v>
      </x:c>
      <x:c r="E3142" s="33" t="str">
        <x:v>ADD</x:v>
      </x:c>
      <x:c r="F3142" s="33" t="str">
        <x:v>Close every active audit-to-evidence link.</x:v>
      </x:c>
      <x:c r="G3142" s="33" t="str">
        <x:v>P-4 execution-chain reconciliation</x:v>
      </x:c>
      <x:c r="H3142" s="33" t="str">
        <x:v>P-4</x:v>
      </x:c>
      <x:c r="I3142" s="33" t="str">
        <x:v>P-4</x:v>
      </x:c>
      <x:c r="J3142" s="33" t="str">
        <x:v>2026-08-20</x:v>
      </x:c>
      <x:c r="K3142" s="33" t="str">
        <x:v>All active audits now have an active evidence record.</x:v>
      </x:c>
    </x:row>
    <x:row r="3143">
      <x:c r="A3143" s="33" t="str">
        <x:v>P4EVID078</x:v>
      </x:c>
      <x:c r="B3143" s="33" t="str">
        <x:v>Evidence Master</x:v>
      </x:c>
      <x:c r="C3143" s="33" t="str">
        <x:v>Not present</x:v>
      </x:c>
      <x:c r="D3143" s="33" t="str">
        <x:v>Evidence ID=P4EVID078; Audit ID=AUD197; Evidence Required=Documentary and transaction evidence demonstrating: Apply intermediary due diligence only if the platform legally qualifies as an intermediary under current IT law.; Evidence Type=Record; Mandatory=Yes; Retention Category=Applicable statutory / operational period; Origin=P4_VALIDATION; Active=Yes; Remarks=P-4 chain-closure evidence; exact document type follows the applicable law, licence or internal control.</x:v>
      </x:c>
      <x:c r="E3143" s="33" t="str">
        <x:v>ADD</x:v>
      </x:c>
      <x:c r="F3143" s="33" t="str">
        <x:v>Close every active audit-to-evidence link.</x:v>
      </x:c>
      <x:c r="G3143" s="33" t="str">
        <x:v>P-4 execution-chain reconciliation</x:v>
      </x:c>
      <x:c r="H3143" s="33" t="str">
        <x:v>P-4</x:v>
      </x:c>
      <x:c r="I3143" s="33" t="str">
        <x:v>P-4</x:v>
      </x:c>
      <x:c r="J3143" s="33" t="str">
        <x:v>2026-08-20</x:v>
      </x:c>
      <x:c r="K3143" s="33" t="str">
        <x:v>All active audits now have an active evidence record.</x:v>
      </x:c>
    </x:row>
    <x:row r="3144">
      <x:c r="A3144" s="33" t="str">
        <x:v>P4EVID079</x:v>
      </x:c>
      <x:c r="B3144" s="33" t="str">
        <x:v>Evidence Master</x:v>
      </x:c>
      <x:c r="C3144" s="33" t="str">
        <x:v>Not present</x:v>
      </x:c>
      <x:c r="D3144" s="33" t="str">
        <x:v>Evidence ID=P4EVID079; Audit ID=AUD211; Evidence Required=Documentary and transaction evidence demonstrating: Hold the applicable Drugs Rules sale licence or, for an exclusive medical-device seller without that licence, obtain and maintain Form MD-42 registration.; Evidence Type=Record; Mandatory=Yes; Retention Category=Applicable statutory / operational period; Origin=P4_VALIDATION; Active=Yes; Remarks=P-4 chain-closure evidence; exact document type follows the applicable law, licence or internal control.</x:v>
      </x:c>
      <x:c r="E3144" s="33" t="str">
        <x:v>ADD</x:v>
      </x:c>
      <x:c r="F3144" s="33" t="str">
        <x:v>Close every active audit-to-evidence link.</x:v>
      </x:c>
      <x:c r="G3144" s="33" t="str">
        <x:v>P-4 execution-chain reconciliation</x:v>
      </x:c>
      <x:c r="H3144" s="33" t="str">
        <x:v>P-4</x:v>
      </x:c>
      <x:c r="I3144" s="33" t="str">
        <x:v>P-4</x:v>
      </x:c>
      <x:c r="J3144" s="33" t="str">
        <x:v>2026-08-20</x:v>
      </x:c>
      <x:c r="K3144" s="33" t="str">
        <x:v>All active audits now have an active evidence record.</x:v>
      </x:c>
    </x:row>
    <x:row r="3145">
      <x:c r="A3145" s="33" t="str">
        <x:v>P4EVID080</x:v>
      </x:c>
      <x:c r="B3145" s="33" t="str">
        <x:v>Evidence Master</x:v>
      </x:c>
      <x:c r="C3145" s="33" t="str">
        <x:v>Not present</x:v>
      </x:c>
      <x:c r="D3145" s="33" t="str">
        <x:v>Evidence ID=P4EVID080; Audit ID=AUD213; Evidence Required=Documentary and transaction evidence demonstrating: Display the medical-device registration where applicable, maintain adequate premises and specified storage, and procure devices only from authorized sources.; Evidence Type=Record; Mandatory=Yes; Retention Category=Applicable statutory / operational period; Origin=P4_VALIDATION; Active=Yes; Remarks=P-4 chain-closure evidence; exact document type follows the applicable law, licence or internal control.</x:v>
      </x:c>
      <x:c r="E3145" s="33" t="str">
        <x:v>ADD</x:v>
      </x:c>
      <x:c r="F3145" s="33" t="str">
        <x:v>Close every active audit-to-evidence link.</x:v>
      </x:c>
      <x:c r="G3145" s="33" t="str">
        <x:v>P-4 execution-chain reconciliation</x:v>
      </x:c>
      <x:c r="H3145" s="33" t="str">
        <x:v>P-4</x:v>
      </x:c>
      <x:c r="I3145" s="33" t="str">
        <x:v>P-4</x:v>
      </x:c>
      <x:c r="J3145" s="33" t="str">
        <x:v>2026-08-20</x:v>
      </x:c>
      <x:c r="K3145" s="33" t="str">
        <x:v>All active audits now have an active evidence record.</x:v>
      </x:c>
    </x:row>
    <x:row r="3146">
      <x:c r="A3146" s="33" t="str">
        <x:v>P4EVID081</x:v>
      </x:c>
      <x:c r="B3146" s="33" t="str">
        <x:v>Evidence Master</x:v>
      </x:c>
      <x:c r="C3146" s="33" t="str">
        <x:v>Not present</x:v>
      </x:c>
      <x:c r="D3146" s="33" t="str">
        <x:v>Evidence ID=P4EVID081; Audit ID=AUD215; Evidence Required=Documentary and transaction evidence demonstrating: Maintain medical-device purchase and sale records, provide inspection access, retain records for two years, and maintain the prescribed inspection book.; Evidence Type=Record; Mandatory=Yes; Retention Category=Applicable statutory / operational period; Origin=P4_VALIDATION; Active=Yes; Remarks=P-4 chain-closure evidence; exact document type follows the applicable law, licence or internal control.</x:v>
      </x:c>
      <x:c r="E3146" s="33" t="str">
        <x:v>ADD</x:v>
      </x:c>
      <x:c r="F3146" s="33" t="str">
        <x:v>Close every active audit-to-evidence link.</x:v>
      </x:c>
      <x:c r="G3146" s="33" t="str">
        <x:v>P-4 execution-chain reconciliation</x:v>
      </x:c>
      <x:c r="H3146" s="33" t="str">
        <x:v>P-4</x:v>
      </x:c>
      <x:c r="I3146" s="33" t="str">
        <x:v>P-4</x:v>
      </x:c>
      <x:c r="J3146" s="33" t="str">
        <x:v>2026-08-20</x:v>
      </x:c>
      <x:c r="K3146" s="33" t="str">
        <x:v>All active audits now have an active evidence record.</x:v>
      </x:c>
    </x:row>
    <x:row r="3147">
      <x:c r="A3147" s="33" t="str">
        <x:v>P4EVID082</x:v>
      </x:c>
      <x:c r="B3147" s="33" t="str">
        <x:v>Evidence Master</x:v>
      </x:c>
      <x:c r="C3147" s="33" t="str">
        <x:v>Not present</x:v>
      </x:c>
      <x:c r="D3147" s="33" t="str">
        <x:v>Evidence ID=P4EVID082; Audit ID=AUD217; Evidence Required=Documentary and transaction evidence demonstrating: Pay the prescribed retention fee every five years to maintain perpetual validity of Form MD-42 registration.; Evidence Type=Record; Mandatory=Yes; Retention Category=Applicable statutory / operational period; Origin=P4_VALIDATION; Active=Yes; Remarks=P-4 chain-closure evidence; exact document type follows the applicable law, licence or internal control.</x:v>
      </x:c>
      <x:c r="E3147" s="33" t="str">
        <x:v>ADD</x:v>
      </x:c>
      <x:c r="F3147" s="33" t="str">
        <x:v>Close every active audit-to-evidence link.</x:v>
      </x:c>
      <x:c r="G3147" s="33" t="str">
        <x:v>P-4 execution-chain reconciliation</x:v>
      </x:c>
      <x:c r="H3147" s="33" t="str">
        <x:v>P-4</x:v>
      </x:c>
      <x:c r="I3147" s="33" t="str">
        <x:v>P-4</x:v>
      </x:c>
      <x:c r="J3147" s="33" t="str">
        <x:v>2026-08-20</x:v>
      </x:c>
      <x:c r="K3147" s="33" t="str">
        <x:v>All active audits now have an active evidence record.</x:v>
      </x:c>
    </x:row>
    <x:row r="3148">
      <x:c r="A3148" s="33" t="str">
        <x:v>P4EVID083</x:v>
      </x:c>
      <x:c r="B3148" s="33" t="str">
        <x:v>Evidence Master</x:v>
      </x:c>
      <x:c r="C3148" s="33" t="str">
        <x:v>Not present</x:v>
      </x:c>
      <x:c r="D3148" s="33" t="str">
        <x:v>Evidence ID=P4EVID083; Audit ID=AUD219; Evidence Required=Documentary and transaction evidence demonstrating: Where Rule 88 applies, document supply to a hospital or similar institution through the prescribed delivery-challan process.; Evidence Type=Record; Mandatory=Yes; Retention Category=Applicable statutory / operational period; Origin=P4_VALIDATION; Active=Yes; Remarks=P-4 chain-closure evidence; exact document type follows the applicable law, licence or internal control.</x:v>
      </x:c>
      <x:c r="E3148" s="33" t="str">
        <x:v>ADD</x:v>
      </x:c>
      <x:c r="F3148" s="33" t="str">
        <x:v>Close every active audit-to-evidence link.</x:v>
      </x:c>
      <x:c r="G3148" s="33" t="str">
        <x:v>P-4 execution-chain reconciliation</x:v>
      </x:c>
      <x:c r="H3148" s="33" t="str">
        <x:v>P-4</x:v>
      </x:c>
      <x:c r="I3148" s="33" t="str">
        <x:v>P-4</x:v>
      </x:c>
      <x:c r="J3148" s="33" t="str">
        <x:v>2026-08-20</x:v>
      </x:c>
      <x:c r="K3148" s="33" t="str">
        <x:v>All active audits now have an active evidence record.</x:v>
      </x:c>
    </x:row>
    <x:row r="3149">
      <x:c r="A3149" s="33" t="str">
        <x:v>P4EVID084</x:v>
      </x:c>
      <x:c r="B3149" s="33" t="str">
        <x:v>Evidence Master</x:v>
      </x:c>
      <x:c r="C3149" s="33" t="str">
        <x:v>Not present</x:v>
      </x:c>
      <x:c r="D3149" s="33" t="str">
        <x:v>Evidence ID=P4EVID084; Audit ID=AUD221; Evidence Required=Documentary and transaction evidence demonstrating: Do not sell or distribute a cosmetic unless the Rule 33 origin, licensing, quality and labelling conditions are satisfied.; Evidence Type=Record; Mandatory=Yes; Retention Category=Applicable statutory / operational period; Origin=P4_VALIDATION; Active=Yes; Remarks=P-4 chain-closure evidence; exact document type follows the applicable law, licence or internal control.</x:v>
      </x:c>
      <x:c r="E3149" s="33" t="str">
        <x:v>ADD</x:v>
      </x:c>
      <x:c r="F3149" s="33" t="str">
        <x:v>Close every active audit-to-evidence link.</x:v>
      </x:c>
      <x:c r="G3149" s="33" t="str">
        <x:v>P-4 execution-chain reconciliation</x:v>
      </x:c>
      <x:c r="H3149" s="33" t="str">
        <x:v>P-4</x:v>
      </x:c>
      <x:c r="I3149" s="33" t="str">
        <x:v>P-4</x:v>
      </x:c>
      <x:c r="J3149" s="33" t="str">
        <x:v>2026-08-20</x:v>
      </x:c>
      <x:c r="K3149" s="33" t="str">
        <x:v>All active audits now have an active evidence record.</x:v>
      </x:c>
    </x:row>
    <x:row r="3150">
      <x:c r="A3150" s="33" t="str">
        <x:v>P4EVID085</x:v>
      </x:c>
      <x:c r="B3150" s="33" t="str">
        <x:v>Evidence Master</x:v>
      </x:c>
      <x:c r="C3150" s="33" t="str">
        <x:v>Not present</x:v>
      </x:c>
      <x:c r="D3150" s="33" t="str">
        <x:v>Evidence ID=P4EVID085; Audit ID=AUD223; Evidence Required=Documentary and transaction evidence demonstrating: Verify that cosmetics offered for sale or distribution bear the particulars required by Rule 34.; Evidence Type=Record; Mandatory=Yes; Retention Category=Applicable statutory / operational period; Origin=P4_VALIDATION; Active=Yes; Remarks=P-4 chain-closure evidence; exact document type follows the applicable law, licence or internal control.</x:v>
      </x:c>
      <x:c r="E3150" s="33" t="str">
        <x:v>ADD</x:v>
      </x:c>
      <x:c r="F3150" s="33" t="str">
        <x:v>Close every active audit-to-evidence link.</x:v>
      </x:c>
      <x:c r="G3150" s="33" t="str">
        <x:v>P-4 execution-chain reconciliation</x:v>
      </x:c>
      <x:c r="H3150" s="33" t="str">
        <x:v>P-4</x:v>
      </x:c>
      <x:c r="I3150" s="33" t="str">
        <x:v>P-4</x:v>
      </x:c>
      <x:c r="J3150" s="33" t="str">
        <x:v>2026-08-20</x:v>
      </x:c>
      <x:c r="K3150" s="33" t="str">
        <x:v>All active audits now have an active evidence record.</x:v>
      </x:c>
    </x:row>
    <x:row r="3151">
      <x:c r="A3151" s="33" t="str">
        <x:v>P4EVID086</x:v>
      </x:c>
      <x:c r="B3151" s="33" t="str">
        <x:v>Evidence Master</x:v>
      </x:c>
      <x:c r="C3151" s="33" t="str">
        <x:v>Not present</x:v>
      </x:c>
      <x:c r="D3151" s="33" t="str">
        <x:v>Evidence ID=P4EVID086; Audit ID=AUD225; Evidence Required=Documentary and transaction evidence demonstrating: Do not alter, obliterate or deface mandatory cosmetic labelling.; Evidence Type=Record; Mandatory=Yes; Retention Category=Applicable statutory / operational period; Origin=P4_VALIDATION; Active=Yes; Remarks=P-4 chain-closure evidence; exact document type follows the applicable law, licence or internal control.</x:v>
      </x:c>
      <x:c r="E3151" s="33" t="str">
        <x:v>ADD</x:v>
      </x:c>
      <x:c r="F3151" s="33" t="str">
        <x:v>Close every active audit-to-evidence link.</x:v>
      </x:c>
      <x:c r="G3151" s="33" t="str">
        <x:v>P-4 execution-chain reconciliation</x:v>
      </x:c>
      <x:c r="H3151" s="33" t="str">
        <x:v>P-4</x:v>
      </x:c>
      <x:c r="I3151" s="33" t="str">
        <x:v>P-4</x:v>
      </x:c>
      <x:c r="J3151" s="33" t="str">
        <x:v>2026-08-20</x:v>
      </x:c>
      <x:c r="K3151" s="33" t="str">
        <x:v>All active audits now have an active evidence record.</x:v>
      </x:c>
    </x:row>
    <x:row r="3152">
      <x:c r="A3152" s="33" t="str">
        <x:v>P4EVID087</x:v>
      </x:c>
      <x:c r="B3152" s="33" t="str">
        <x:v>Evidence Master</x:v>
      </x:c>
      <x:c r="C3152" s="33" t="str">
        <x:v>Not present</x:v>
      </x:c>
      <x:c r="D3152" s="33" t="str">
        <x:v>Evidence ID=P4EVID087; Audit ID=AUD227; Evidence Required=Documentary and transaction evidence demonstrating: Do not sell or distribute a cosmetic bearing a false or misleading claim.; Evidence Type=Record; Mandatory=Yes; Retention Category=Applicable statutory / operational period; Origin=P4_VALIDATION; Active=Yes; Remarks=P-4 chain-closure evidence; exact document type follows the applicable law, licence or internal control.</x:v>
      </x:c>
      <x:c r="E3152" s="33" t="str">
        <x:v>ADD</x:v>
      </x:c>
      <x:c r="F3152" s="33" t="str">
        <x:v>Close every active audit-to-evidence link.</x:v>
      </x:c>
      <x:c r="G3152" s="33" t="str">
        <x:v>P-4 execution-chain reconciliation</x:v>
      </x:c>
      <x:c r="H3152" s="33" t="str">
        <x:v>P-4</x:v>
      </x:c>
      <x:c r="I3152" s="33" t="str">
        <x:v>P-4</x:v>
      </x:c>
      <x:c r="J3152" s="33" t="str">
        <x:v>2026-08-20</x:v>
      </x:c>
      <x:c r="K3152" s="33" t="str">
        <x:v>All active audits now have an active evidence record.</x:v>
      </x:c>
    </x:row>
    <x:row r="3153">
      <x:c r="A3153" s="33" t="str">
        <x:v>P4EVID088</x:v>
      </x:c>
      <x:c r="B3153" s="33" t="str">
        <x:v>Evidence Master</x:v>
      </x:c>
      <x:c r="C3153" s="33" t="str">
        <x:v>Not present</x:v>
      </x:c>
      <x:c r="D3153" s="33" t="str">
        <x:v>Evidence ID=P4EVID088; Audit ID=AUD229; Evidence Required=Documentary and transaction evidence demonstrating: Sell or distribute only cosmetics that comply with the standards, quality and safety requirements in Rule 39.; Evidence Type=Record; Mandatory=Yes; Retention Category=Applicable statutory / operational period; Origin=P4_VALIDATION; Active=Yes; Remarks=P-4 chain-closure evidence; exact document type follows the applicable law, licence or internal control.</x:v>
      </x:c>
      <x:c r="E3153" s="33" t="str">
        <x:v>ADD</x:v>
      </x:c>
      <x:c r="F3153" s="33" t="str">
        <x:v>Close every active audit-to-evidence link.</x:v>
      </x:c>
      <x:c r="G3153" s="33" t="str">
        <x:v>P-4 execution-chain reconciliation</x:v>
      </x:c>
      <x:c r="H3153" s="33" t="str">
        <x:v>P-4</x:v>
      </x:c>
      <x:c r="I3153" s="33" t="str">
        <x:v>P-4</x:v>
      </x:c>
      <x:c r="J3153" s="33" t="str">
        <x:v>2026-08-20</x:v>
      </x:c>
      <x:c r="K3153" s="33" t="str">
        <x:v>All active audits now have an active evidence record.</x:v>
      </x:c>
    </x:row>
    <x:row r="3154">
      <x:c r="A3154" s="33" t="str">
        <x:v>P4EVID089</x:v>
      </x:c>
      <x:c r="B3154" s="33" t="str">
        <x:v>Evidence Master</x:v>
      </x:c>
      <x:c r="C3154" s="33" t="str">
        <x:v>Not present</x:v>
      </x:c>
      <x:c r="D3154" s="33" t="str">
        <x:v>Evidence ID=P4EVID089; Audit ID=AUD249; Evidence Required=Documentary and transaction evidence demonstrating: Deliver pharmacy services in accordance with Good Pharmacy Practice principles.; Evidence Type=Record; Mandatory=Yes; Retention Category=Applicable statutory / operational period; Origin=P4_VALIDATION; Active=Yes; Remarks=P-4 chain-closure evidence; exact document type follows the applicable law, licence or internal control.</x:v>
      </x:c>
      <x:c r="E3154" s="33" t="str">
        <x:v>ADD</x:v>
      </x:c>
      <x:c r="F3154" s="33" t="str">
        <x:v>Close every active audit-to-evidence link.</x:v>
      </x:c>
      <x:c r="G3154" s="33" t="str">
        <x:v>P-4 execution-chain reconciliation</x:v>
      </x:c>
      <x:c r="H3154" s="33" t="str">
        <x:v>P-4</x:v>
      </x:c>
      <x:c r="I3154" s="33" t="str">
        <x:v>P-4</x:v>
      </x:c>
      <x:c r="J3154" s="33" t="str">
        <x:v>2026-08-20</x:v>
      </x:c>
      <x:c r="K3154" s="33" t="str">
        <x:v>All active audits now have an active evidence record.</x:v>
      </x:c>
    </x:row>
    <x:row r="3155">
      <x:c r="A3155" s="33" t="str">
        <x:v>P4EVID090</x:v>
      </x:c>
      <x:c r="B3155" s="33" t="str">
        <x:v>Evidence Master</x:v>
      </x:c>
      <x:c r="C3155" s="33" t="str">
        <x:v>Not present</x:v>
      </x:c>
      <x:c r="D3155" s="33" t="str">
        <x:v>Evidence ID=P4EVID090; Audit ID=AUD251; Evidence Required=Documentary and transaction evidence demonstrating: Provide appropriate counselling to patients regarding medicine use, dosage and precautions.; Evidence Type=Record; Mandatory=Yes; Retention Category=Applicable statutory / operational period; Origin=P4_VALIDATION; Active=Yes; Remarks=P-4 chain-closure evidence; exact document type follows the applicable law, licence or internal control.</x:v>
      </x:c>
      <x:c r="E3155" s="33" t="str">
        <x:v>ADD</x:v>
      </x:c>
      <x:c r="F3155" s="33" t="str">
        <x:v>Close every active audit-to-evidence link.</x:v>
      </x:c>
      <x:c r="G3155" s="33" t="str">
        <x:v>P-4 execution-chain reconciliation</x:v>
      </x:c>
      <x:c r="H3155" s="33" t="str">
        <x:v>P-4</x:v>
      </x:c>
      <x:c r="I3155" s="33" t="str">
        <x:v>P-4</x:v>
      </x:c>
      <x:c r="J3155" s="33" t="str">
        <x:v>2026-08-20</x:v>
      </x:c>
      <x:c r="K3155" s="33" t="str">
        <x:v>All active audits now have an active evidence record.</x:v>
      </x:c>
    </x:row>
    <x:row r="3156">
      <x:c r="A3156" s="33" t="str">
        <x:v>P4EVID091</x:v>
      </x:c>
      <x:c r="B3156" s="33" t="str">
        <x:v>Evidence Master</x:v>
      </x:c>
      <x:c r="C3156" s="33" t="str">
        <x:v>Not present</x:v>
      </x:c>
      <x:c r="D3156" s="33" t="str">
        <x:v>Evidence ID=P4EVID091; Audit ID=AUD253; Evidence Required=Documentary and transaction evidence demonstrating: Review each prescription for completeness, legality and appropriateness before dispensing.; Evidence Type=Record; Mandatory=Yes; Retention Category=Applicable statutory / operational period; Origin=P4_VALIDATION; Active=Yes; Remarks=P-4 chain-closure evidence; exact document type follows the applicable law, licence or internal control.</x:v>
      </x:c>
      <x:c r="E3156" s="33" t="str">
        <x:v>ADD</x:v>
      </x:c>
      <x:c r="F3156" s="33" t="str">
        <x:v>Close every active audit-to-evidence link.</x:v>
      </x:c>
      <x:c r="G3156" s="33" t="str">
        <x:v>P-4 execution-chain reconciliation</x:v>
      </x:c>
      <x:c r="H3156" s="33" t="str">
        <x:v>P-4</x:v>
      </x:c>
      <x:c r="I3156" s="33" t="str">
        <x:v>P-4</x:v>
      </x:c>
      <x:c r="J3156" s="33" t="str">
        <x:v>2026-08-20</x:v>
      </x:c>
      <x:c r="K3156" s="33" t="str">
        <x:v>All active audits now have an active evidence record.</x:v>
      </x:c>
    </x:row>
    <x:row r="3157">
      <x:c r="A3157" s="33" t="str">
        <x:v>P4EVID092</x:v>
      </x:c>
      <x:c r="B3157" s="33" t="str">
        <x:v>Evidence Master</x:v>
      </x:c>
      <x:c r="C3157" s="33" t="str">
        <x:v>Not present</x:v>
      </x:c>
      <x:c r="D3157" s="33" t="str">
        <x:v>Evidence ID=P4EVID092; Audit ID=AUD255; Evidence Required=Documentary and transaction evidence demonstrating: Procure medicines only from licensed and authorized suppliers.; Evidence Type=Record; Mandatory=Yes; Retention Category=Applicable statutory / operational period; Origin=P4_VALIDATION; Active=Yes; Remarks=P-4 chain-closure evidence; exact document type follows the applicable law, licence or internal control.</x:v>
      </x:c>
      <x:c r="E3157" s="33" t="str">
        <x:v>ADD</x:v>
      </x:c>
      <x:c r="F3157" s="33" t="str">
        <x:v>Close every active audit-to-evidence link.</x:v>
      </x:c>
      <x:c r="G3157" s="33" t="str">
        <x:v>P-4 execution-chain reconciliation</x:v>
      </x:c>
      <x:c r="H3157" s="33" t="str">
        <x:v>P-4</x:v>
      </x:c>
      <x:c r="I3157" s="33" t="str">
        <x:v>P-4</x:v>
      </x:c>
      <x:c r="J3157" s="33" t="str">
        <x:v>2026-08-20</x:v>
      </x:c>
      <x:c r="K3157" s="33" t="str">
        <x:v>All active audits now have an active evidence record.</x:v>
      </x:c>
    </x:row>
    <x:row r="3158">
      <x:c r="A3158" s="33" t="str">
        <x:v>P4EVID093</x:v>
      </x:c>
      <x:c r="B3158" s="33" t="str">
        <x:v>Evidence Master</x:v>
      </x:c>
      <x:c r="C3158" s="33" t="str">
        <x:v>Not present</x:v>
      </x:c>
      <x:c r="D3158" s="33" t="str">
        <x:v>Evidence ID=P4EVID093; Audit ID=AUD257; Evidence Required=Documentary and transaction evidence demonstrating: Maintain suitable transportation and distribution conditions to preserve product quality.; Evidence Type=Record; Mandatory=Yes; Retention Category=Applicable statutory / operational period; Origin=P4_VALIDATION; Active=Yes; Remarks=P-4 chain-closure evidence; exact document type follows the applicable law, licence or internal control.</x:v>
      </x:c>
      <x:c r="E3158" s="33" t="str">
        <x:v>ADD</x:v>
      </x:c>
      <x:c r="F3158" s="33" t="str">
        <x:v>Close every active audit-to-evidence link.</x:v>
      </x:c>
      <x:c r="G3158" s="33" t="str">
        <x:v>P-4 execution-chain reconciliation</x:v>
      </x:c>
      <x:c r="H3158" s="33" t="str">
        <x:v>P-4</x:v>
      </x:c>
      <x:c r="I3158" s="33" t="str">
        <x:v>P-4</x:v>
      </x:c>
      <x:c r="J3158" s="33" t="str">
        <x:v>2026-08-20</x:v>
      </x:c>
      <x:c r="K3158" s="33" t="str">
        <x:v>All active audits now have an active evidence record.</x:v>
      </x:c>
    </x:row>
    <x:row r="3159">
      <x:c r="A3159" s="33" t="str">
        <x:v>P4EVID094</x:v>
      </x:c>
      <x:c r="B3159" s="33" t="str">
        <x:v>Evidence Master</x:v>
      </x:c>
      <x:c r="C3159" s="33" t="str">
        <x:v>Not present</x:v>
      </x:c>
      <x:c r="D3159" s="33" t="str">
        <x:v>Evidence ID=P4EVID094; Audit ID=AUD259; Evidence Required=Documentary and transaction evidence demonstrating: Maintain complete and traceable distribution records for all pharmaceutical products.; Evidence Type=Record; Mandatory=Yes; Retention Category=Applicable statutory / operational period; Origin=P4_VALIDATION; Active=Yes; Remarks=P-4 chain-closure evidence; exact document type follows the applicable law, licence or internal control.</x:v>
      </x:c>
      <x:c r="E3159" s="33" t="str">
        <x:v>ADD</x:v>
      </x:c>
      <x:c r="F3159" s="33" t="str">
        <x:v>Close every active audit-to-evidence link.</x:v>
      </x:c>
      <x:c r="G3159" s="33" t="str">
        <x:v>P-4 execution-chain reconciliation</x:v>
      </x:c>
      <x:c r="H3159" s="33" t="str">
        <x:v>P-4</x:v>
      </x:c>
      <x:c r="I3159" s="33" t="str">
        <x:v>P-4</x:v>
      </x:c>
      <x:c r="J3159" s="33" t="str">
        <x:v>2026-08-20</x:v>
      </x:c>
      <x:c r="K3159" s="33" t="str">
        <x:v>All active audits now have an active evidence record.</x:v>
      </x:c>
    </x:row>
    <x:row r="3160">
      <x:c r="A3160" s="33" t="str">
        <x:v>P4EVID095</x:v>
      </x:c>
      <x:c r="B3160" s="33" t="str">
        <x:v>Evidence Master</x:v>
      </x:c>
      <x:c r="C3160" s="33" t="str">
        <x:v>Not present</x:v>
      </x:c>
      <x:c r="D3160" s="33" t="str">
        <x:v>Evidence ID=P4EVID095; Audit ID=AUD260; Evidence Required=Documentary and transaction evidence demonstrating: Maintain complete and traceable distribution records for all pharmaceutical products.; Evidence Type=Record; Mandatory=Yes; Retention Category=Applicable statutory / operational period; Origin=P4_VALIDATION; Active=Yes; Remarks=P-4 chain-closure evidence; exact document type follows the applicable law, licence or internal control.</x:v>
      </x:c>
      <x:c r="E3160" s="33" t="str">
        <x:v>ADD</x:v>
      </x:c>
      <x:c r="F3160" s="33" t="str">
        <x:v>Close every active audit-to-evidence link.</x:v>
      </x:c>
      <x:c r="G3160" s="33" t="str">
        <x:v>P-4 execution-chain reconciliation</x:v>
      </x:c>
      <x:c r="H3160" s="33" t="str">
        <x:v>P-4</x:v>
      </x:c>
      <x:c r="I3160" s="33" t="str">
        <x:v>P-4</x:v>
      </x:c>
      <x:c r="J3160" s="33" t="str">
        <x:v>2026-08-20</x:v>
      </x:c>
      <x:c r="K3160" s="33" t="str">
        <x:v>All active audits now have an active evidence record.</x:v>
      </x:c>
    </x:row>
    <x:row r="3161">
      <x:c r="A3161" s="33" t="str">
        <x:v>P4EVID096</x:v>
      </x:c>
      <x:c r="B3161" s="33" t="str">
        <x:v>Evidence Master</x:v>
      </x:c>
      <x:c r="C3161" s="33" t="str">
        <x:v>Not present</x:v>
      </x:c>
      <x:c r="D3161" s="33" t="str">
        <x:v>Evidence ID=P4EVID096; Audit ID=AUD261; Evidence Required=Documentary and transaction evidence demonstrating: Maintain complete and traceable distribution records for all pharmaceutical products.; Evidence Type=Record; Mandatory=Yes; Retention Category=Applicable statutory / operational period; Origin=P4_VALIDATION; Active=Yes; Remarks=P-4 chain-closure evidence; exact document type follows the applicable law, licence or internal control.</x:v>
      </x:c>
      <x:c r="E3161" s="33" t="str">
        <x:v>ADD</x:v>
      </x:c>
      <x:c r="F3161" s="33" t="str">
        <x:v>Close every active audit-to-evidence link.</x:v>
      </x:c>
      <x:c r="G3161" s="33" t="str">
        <x:v>P-4 execution-chain reconciliation</x:v>
      </x:c>
      <x:c r="H3161" s="33" t="str">
        <x:v>P-4</x:v>
      </x:c>
      <x:c r="I3161" s="33" t="str">
        <x:v>P-4</x:v>
      </x:c>
      <x:c r="J3161" s="33" t="str">
        <x:v>2026-08-20</x:v>
      </x:c>
      <x:c r="K3161" s="33" t="str">
        <x:v>All active audits now have an active evidence record.</x:v>
      </x:c>
    </x:row>
    <x:row r="3162">
      <x:c r="A3162" s="33" t="str">
        <x:v>P4EVID097</x:v>
      </x:c>
      <x:c r="B3162" s="33" t="str">
        <x:v>Evidence Master</x:v>
      </x:c>
      <x:c r="C3162" s="33" t="str">
        <x:v>Not present</x:v>
      </x:c>
      <x:c r="D3162" s="33" t="str">
        <x:v>Evidence ID=P4EVID097; Audit ID=AUD263; Evidence Required=Documentary and transaction evidence demonstrating: Continuously monitor and record storage temperature for all temperature-sensitive medicines.; Evidence Type=Record; Mandatory=Yes; Retention Category=Applicable statutory / operational period; Origin=P4_VALIDATION; Active=Yes; Remarks=P-4 chain-closure evidence; exact document type follows the applicable law, licence or internal control.</x:v>
      </x:c>
      <x:c r="E3162" s="33" t="str">
        <x:v>ADD</x:v>
      </x:c>
      <x:c r="F3162" s="33" t="str">
        <x:v>Close every active audit-to-evidence link.</x:v>
      </x:c>
      <x:c r="G3162" s="33" t="str">
        <x:v>P-4 execution-chain reconciliation</x:v>
      </x:c>
      <x:c r="H3162" s="33" t="str">
        <x:v>P-4</x:v>
      </x:c>
      <x:c r="I3162" s="33" t="str">
        <x:v>P-4</x:v>
      </x:c>
      <x:c r="J3162" s="33" t="str">
        <x:v>2026-08-20</x:v>
      </x:c>
      <x:c r="K3162" s="33" t="str">
        <x:v>All active audits now have an active evidence record.</x:v>
      </x:c>
    </x:row>
    <x:row r="3163">
      <x:c r="A3163" s="33" t="str">
        <x:v>P4EVID098</x:v>
      </x:c>
      <x:c r="B3163" s="33" t="str">
        <x:v>Evidence Master</x:v>
      </x:c>
      <x:c r="C3163" s="33" t="str">
        <x:v>Not present</x:v>
      </x:c>
      <x:c r="D3163" s="33" t="str">
        <x:v>Evidence ID=P4EVID098; Audit ID=AUD265; Evidence Required=Documentary and transaction evidence demonstrating: Monitor and maintain humidity within prescribed limits where applicable.; Evidence Type=Record; Mandatory=Yes; Retention Category=Applicable statutory / operational period; Origin=P4_VALIDATION; Active=Yes; Remarks=P-4 chain-closure evidence; exact document type follows the applicable law, licence or internal control.</x:v>
      </x:c>
      <x:c r="E3163" s="33" t="str">
        <x:v>ADD</x:v>
      </x:c>
      <x:c r="F3163" s="33" t="str">
        <x:v>Close every active audit-to-evidence link.</x:v>
      </x:c>
      <x:c r="G3163" s="33" t="str">
        <x:v>P-4 execution-chain reconciliation</x:v>
      </x:c>
      <x:c r="H3163" s="33" t="str">
        <x:v>P-4</x:v>
      </x:c>
      <x:c r="I3163" s="33" t="str">
        <x:v>P-4</x:v>
      </x:c>
      <x:c r="J3163" s="33" t="str">
        <x:v>2026-08-20</x:v>
      </x:c>
      <x:c r="K3163" s="33" t="str">
        <x:v>All active audits now have an active evidence record.</x:v>
      </x:c>
    </x:row>
    <x:row r="3164">
      <x:c r="A3164" s="33" t="str">
        <x:v>P4EVID099</x:v>
      </x:c>
      <x:c r="B3164" s="33" t="str">
        <x:v>Evidence Master</x:v>
      </x:c>
      <x:c r="C3164" s="33" t="str">
        <x:v>Not present</x:v>
      </x:c>
      <x:c r="D3164" s="33" t="str">
        <x:v>Evidence ID=P4EVID099; Audit ID=AUD267; Evidence Required=Documentary and transaction evidence demonstrating: Follow the FEFO (First Expiry First Out) inventory management system for stock issuance.; Evidence Type=Record; Mandatory=Yes; Retention Category=Applicable statutory / operational period; Origin=P4_VALIDATION; Active=Yes; Remarks=P-4 chain-closure evidence; exact document type follows the applicable law, licence or internal control.</x:v>
      </x:c>
      <x:c r="E3164" s="33" t="str">
        <x:v>ADD</x:v>
      </x:c>
      <x:c r="F3164" s="33" t="str">
        <x:v>Close every active audit-to-evidence link.</x:v>
      </x:c>
      <x:c r="G3164" s="33" t="str">
        <x:v>P-4 execution-chain reconciliation</x:v>
      </x:c>
      <x:c r="H3164" s="33" t="str">
        <x:v>P-4</x:v>
      </x:c>
      <x:c r="I3164" s="33" t="str">
        <x:v>P-4</x:v>
      </x:c>
      <x:c r="J3164" s="33" t="str">
        <x:v>2026-08-20</x:v>
      </x:c>
      <x:c r="K3164" s="33" t="str">
        <x:v>All active audits now have an active evidence record.</x:v>
      </x:c>
    </x:row>
    <x:row r="3165">
      <x:c r="A3165" s="33" t="str">
        <x:v>P4EVID100</x:v>
      </x:c>
      <x:c r="B3165" s="33" t="str">
        <x:v>Evidence Master</x:v>
      </x:c>
      <x:c r="C3165" s="33" t="str">
        <x:v>Not present</x:v>
      </x:c>
      <x:c r="D3165" s="33" t="str">
        <x:v>Evidence ID=P4EVID100; Audit ID=AUD269; Evidence Required=Documentary and transaction evidence demonstrating: Segregate expired, damaged, recalled and rejected medicines from saleable inventory immediately.; Evidence Type=Record; Mandatory=Yes; Retention Category=Applicable statutory / operational period; Origin=P4_VALIDATION; Active=Yes; Remarks=P-4 chain-closure evidence; exact document type follows the applicable law, licence or internal control.</x:v>
      </x:c>
      <x:c r="E3165" s="33" t="str">
        <x:v>ADD</x:v>
      </x:c>
      <x:c r="F3165" s="33" t="str">
        <x:v>Close every active audit-to-evidence link.</x:v>
      </x:c>
      <x:c r="G3165" s="33" t="str">
        <x:v>P-4 execution-chain reconciliation</x:v>
      </x:c>
      <x:c r="H3165" s="33" t="str">
        <x:v>P-4</x:v>
      </x:c>
      <x:c r="I3165" s="33" t="str">
        <x:v>P-4</x:v>
      </x:c>
      <x:c r="J3165" s="33" t="str">
        <x:v>2026-08-20</x:v>
      </x:c>
      <x:c r="K3165" s="33" t="str">
        <x:v>All active audits now have an active evidence record.</x:v>
      </x:c>
    </x:row>
    <x:row r="3166">
      <x:c r="A3166" s="33" t="str">
        <x:v>P4EVID101</x:v>
      </x:c>
      <x:c r="B3166" s="33" t="str">
        <x:v>Evidence Master</x:v>
      </x:c>
      <x:c r="C3166" s="33" t="str">
        <x:v>Not present</x:v>
      </x:c>
      <x:c r="D3166" s="33" t="str">
        <x:v>Evidence ID=P4EVID101; Audit ID=AUD271; Evidence Required=Documentary and transaction evidence demonstrating: Maintain storage areas in a clean, hygienic and pest-free condition.; Evidence Type=Record; Mandatory=Yes; Retention Category=Applicable statutory / operational period; Origin=P4_VALIDATION; Active=Yes; Remarks=P-4 chain-closure evidence; exact document type follows the applicable law, licence or internal control.</x:v>
      </x:c>
      <x:c r="E3166" s="33" t="str">
        <x:v>ADD</x:v>
      </x:c>
      <x:c r="F3166" s="33" t="str">
        <x:v>Close every active audit-to-evidence link.</x:v>
      </x:c>
      <x:c r="G3166" s="33" t="str">
        <x:v>P-4 execution-chain reconciliation</x:v>
      </x:c>
      <x:c r="H3166" s="33" t="str">
        <x:v>P-4</x:v>
      </x:c>
      <x:c r="I3166" s="33" t="str">
        <x:v>P-4</x:v>
      </x:c>
      <x:c r="J3166" s="33" t="str">
        <x:v>2026-08-20</x:v>
      </x:c>
      <x:c r="K3166" s="33" t="str">
        <x:v>All active audits now have an active evidence record.</x:v>
      </x:c>
    </x:row>
    <x:row r="3167">
      <x:c r="A3167" s="33" t="str">
        <x:v>P4EVID102</x:v>
      </x:c>
      <x:c r="B3167" s="33" t="str">
        <x:v>Evidence Master</x:v>
      </x:c>
      <x:c r="C3167" s="33" t="str">
        <x:v>Not present</x:v>
      </x:c>
      <x:c r="D3167" s="33" t="str">
        <x:v>Evidence ID=P4EVID102; Audit ID=AUD273; Evidence Required=Documentary and transaction evidence demonstrating: Initiate product recall immediately upon receipt of recall notice or identification of defective products.; Evidence Type=Record; Mandatory=Yes; Retention Category=Applicable statutory / operational period; Origin=P4_VALIDATION; Active=Yes; Remarks=P-4 chain-closure evidence; exact document type follows the applicable law, licence or internal control.</x:v>
      </x:c>
      <x:c r="E3167" s="33" t="str">
        <x:v>ADD</x:v>
      </x:c>
      <x:c r="F3167" s="33" t="str">
        <x:v>Close every active audit-to-evidence link.</x:v>
      </x:c>
      <x:c r="G3167" s="33" t="str">
        <x:v>P-4 execution-chain reconciliation</x:v>
      </x:c>
      <x:c r="H3167" s="33" t="str">
        <x:v>P-4</x:v>
      </x:c>
      <x:c r="I3167" s="33" t="str">
        <x:v>P-4</x:v>
      </x:c>
      <x:c r="J3167" s="33" t="str">
        <x:v>2026-08-20</x:v>
      </x:c>
      <x:c r="K3167" s="33" t="str">
        <x:v>All active audits now have an active evidence record.</x:v>
      </x:c>
    </x:row>
    <x:row r="3168">
      <x:c r="A3168" s="33" t="str">
        <x:v>P4EVID103</x:v>
      </x:c>
      <x:c r="B3168" s="33" t="str">
        <x:v>Evidence Master</x:v>
      </x:c>
      <x:c r="C3168" s="33" t="str">
        <x:v>Not present</x:v>
      </x:c>
      <x:c r="D3168" s="33" t="str">
        <x:v>Evidence ID=P4EVID103; Audit ID=AUD275; Evidence Required=Documentary and transaction evidence demonstrating: Classify recalled products according to the applicable recall category and risk level.; Evidence Type=Record; Mandatory=Yes; Retention Category=Applicable statutory / operational period; Origin=P4_VALIDATION; Active=Yes; Remarks=P-4 chain-closure evidence; exact document type follows the applicable law, licence or internal control.</x:v>
      </x:c>
      <x:c r="E3168" s="33" t="str">
        <x:v>ADD</x:v>
      </x:c>
      <x:c r="F3168" s="33" t="str">
        <x:v>Close every active audit-to-evidence link.</x:v>
      </x:c>
      <x:c r="G3168" s="33" t="str">
        <x:v>P-4 execution-chain reconciliation</x:v>
      </x:c>
      <x:c r="H3168" s="33" t="str">
        <x:v>P-4</x:v>
      </x:c>
      <x:c r="I3168" s="33" t="str">
        <x:v>P-4</x:v>
      </x:c>
      <x:c r="J3168" s="33" t="str">
        <x:v>2026-08-20</x:v>
      </x:c>
      <x:c r="K3168" s="33" t="str">
        <x:v>All active audits now have an active evidence record.</x:v>
      </x:c>
    </x:row>
    <x:row r="3169">
      <x:c r="A3169" s="33" t="str">
        <x:v>P4EVID104</x:v>
      </x:c>
      <x:c r="B3169" s="33" t="str">
        <x:v>Evidence Master</x:v>
      </x:c>
      <x:c r="C3169" s="33" t="str">
        <x:v>Not present</x:v>
      </x:c>
      <x:c r="D3169" s="33" t="str">
        <x:v>Evidence ID=P4EVID104; Audit ID=AUD277; Evidence Required=Documentary and transaction evidence demonstrating: Notify customers, distributors and regulatory authorities as required during product recall.; Evidence Type=Record; Mandatory=Yes; Retention Category=Applicable statutory / operational period; Origin=P4_VALIDATION; Active=Yes; Remarks=P-4 chain-closure evidence; exact document type follows the applicable law, licence or internal control.</x:v>
      </x:c>
      <x:c r="E3169" s="33" t="str">
        <x:v>ADD</x:v>
      </x:c>
      <x:c r="F3169" s="33" t="str">
        <x:v>Close every active audit-to-evidence link.</x:v>
      </x:c>
      <x:c r="G3169" s="33" t="str">
        <x:v>P-4 execution-chain reconciliation</x:v>
      </x:c>
      <x:c r="H3169" s="33" t="str">
        <x:v>P-4</x:v>
      </x:c>
      <x:c r="I3169" s="33" t="str">
        <x:v>P-4</x:v>
      </x:c>
      <x:c r="J3169" s="33" t="str">
        <x:v>2026-08-20</x:v>
      </x:c>
      <x:c r="K3169" s="33" t="str">
        <x:v>All active audits now have an active evidence record.</x:v>
      </x:c>
    </x:row>
    <x:row r="3170">
      <x:c r="A3170" s="33" t="str">
        <x:v>P4EVID105</x:v>
      </x:c>
      <x:c r="B3170" s="33" t="str">
        <x:v>Evidence Master</x:v>
      </x:c>
      <x:c r="C3170" s="33" t="str">
        <x:v>Not present</x:v>
      </x:c>
      <x:c r="D3170" s="33" t="str">
        <x:v>Evidence ID=P4EVID105; Audit ID=AUD279; Evidence Required=Documentary and transaction evidence demonstrating: Verify the effectiveness of product recall by reconciling quantities distributed and recovered.; Evidence Type=Record; Mandatory=Yes; Retention Category=Applicable statutory / operational period; Origin=P4_VALIDATION; Active=Yes; Remarks=P-4 chain-closure evidence; exact document type follows the applicable law, licence or internal control.</x:v>
      </x:c>
      <x:c r="E3170" s="33" t="str">
        <x:v>ADD</x:v>
      </x:c>
      <x:c r="F3170" s="33" t="str">
        <x:v>Close every active audit-to-evidence link.</x:v>
      </x:c>
      <x:c r="G3170" s="33" t="str">
        <x:v>P-4 execution-chain reconciliation</x:v>
      </x:c>
      <x:c r="H3170" s="33" t="str">
        <x:v>P-4</x:v>
      </x:c>
      <x:c r="I3170" s="33" t="str">
        <x:v>P-4</x:v>
      </x:c>
      <x:c r="J3170" s="33" t="str">
        <x:v>2026-08-20</x:v>
      </x:c>
      <x:c r="K3170" s="33" t="str">
        <x:v>All active audits now have an active evidence record.</x:v>
      </x:c>
    </x:row>
    <x:row r="3171">
      <x:c r="A3171" s="33" t="str">
        <x:v>P4EVID106</x:v>
      </x:c>
      <x:c r="B3171" s="33" t="str">
        <x:v>Evidence Master</x:v>
      </x:c>
      <x:c r="C3171" s="33" t="str">
        <x:v>Not present</x:v>
      </x:c>
      <x:c r="D3171" s="33" t="str">
        <x:v>Evidence ID=P4EVID106; Audit ID=AUD281; Evidence Required=Documentary and transaction evidence demonstrating: Maintain complete documentation supporting recall closure and regulatory reporting.; Evidence Type=Record; Mandatory=Yes; Retention Category=Applicable statutory / operational period; Origin=P4_VALIDATION; Active=Yes; Remarks=P-4 chain-closure evidence; exact document type follows the applicable law, licence or internal control.</x:v>
      </x:c>
      <x:c r="E3171" s="33" t="str">
        <x:v>ADD</x:v>
      </x:c>
      <x:c r="F3171" s="33" t="str">
        <x:v>Close every active audit-to-evidence link.</x:v>
      </x:c>
      <x:c r="G3171" s="33" t="str">
        <x:v>P-4 execution-chain reconciliation</x:v>
      </x:c>
      <x:c r="H3171" s="33" t="str">
        <x:v>P-4</x:v>
      </x:c>
      <x:c r="I3171" s="33" t="str">
        <x:v>P-4</x:v>
      </x:c>
      <x:c r="J3171" s="33" t="str">
        <x:v>2026-08-20</x:v>
      </x:c>
      <x:c r="K3171" s="33" t="str">
        <x:v>All active audits now have an active evidence record.</x:v>
      </x:c>
    </x:row>
    <x:row r="3172">
      <x:c r="A3172" s="33" t="str">
        <x:v>P4EVID107</x:v>
      </x:c>
      <x:c r="B3172" s="33" t="str">
        <x:v>Evidence Master</x:v>
      </x:c>
      <x:c r="C3172" s="33" t="str">
        <x:v>Not present</x:v>
      </x:c>
      <x:c r="D3172" s="33" t="str">
        <x:v>Evidence ID=P4EVID107; Audit ID=AUD283; Evidence Required=Documentary and transaction evidence demonstrating: Establish a documented process for receiving product complaints from customers.; Evidence Type=Record; Mandatory=Yes; Retention Category=Applicable statutory / operational period; Origin=P4_VALIDATION; Active=Yes; Remarks=P-4 chain-closure evidence; exact document type follows the applicable law, licence or internal control.</x:v>
      </x:c>
      <x:c r="E3172" s="33" t="str">
        <x:v>ADD</x:v>
      </x:c>
      <x:c r="F3172" s="33" t="str">
        <x:v>Close every active audit-to-evidence link.</x:v>
      </x:c>
      <x:c r="G3172" s="33" t="str">
        <x:v>P-4 execution-chain reconciliation</x:v>
      </x:c>
      <x:c r="H3172" s="33" t="str">
        <x:v>P-4</x:v>
      </x:c>
      <x:c r="I3172" s="33" t="str">
        <x:v>P-4</x:v>
      </x:c>
      <x:c r="J3172" s="33" t="str">
        <x:v>2026-08-20</x:v>
      </x:c>
      <x:c r="K3172" s="33" t="str">
        <x:v>All active audits now have an active evidence record.</x:v>
      </x:c>
    </x:row>
    <x:row r="3173">
      <x:c r="A3173" s="33" t="str">
        <x:v>P4EVID108</x:v>
      </x:c>
      <x:c r="B3173" s="33" t="str">
        <x:v>Evidence Master</x:v>
      </x:c>
      <x:c r="C3173" s="33" t="str">
        <x:v>Not present</x:v>
      </x:c>
      <x:c r="D3173" s="33" t="str">
        <x:v>Evidence ID=P4EVID108; Audit ID=AUD285; Evidence Required=Documentary and transaction evidence demonstrating: Investigate every product complaint and document findings appropriately.; Evidence Type=Record; Mandatory=Yes; Retention Category=Applicable statutory / operational period; Origin=P4_VALIDATION; Active=Yes; Remarks=P-4 chain-closure evidence; exact document type follows the applicable law, licence or internal control.</x:v>
      </x:c>
      <x:c r="E3173" s="33" t="str">
        <x:v>ADD</x:v>
      </x:c>
      <x:c r="F3173" s="33" t="str">
        <x:v>Close every active audit-to-evidence link.</x:v>
      </x:c>
      <x:c r="G3173" s="33" t="str">
        <x:v>P-4 execution-chain reconciliation</x:v>
      </x:c>
      <x:c r="H3173" s="33" t="str">
        <x:v>P-4</x:v>
      </x:c>
      <x:c r="I3173" s="33" t="str">
        <x:v>P-4</x:v>
      </x:c>
      <x:c r="J3173" s="33" t="str">
        <x:v>2026-08-20</x:v>
      </x:c>
      <x:c r="K3173" s="33" t="str">
        <x:v>All active audits now have an active evidence record.</x:v>
      </x:c>
    </x:row>
    <x:row r="3174">
      <x:c r="A3174" s="33" t="str">
        <x:v>P4EVID109</x:v>
      </x:c>
      <x:c r="B3174" s="33" t="str">
        <x:v>Evidence Master</x:v>
      </x:c>
      <x:c r="C3174" s="33" t="str">
        <x:v>Not present</x:v>
      </x:c>
      <x:c r="D3174" s="33" t="str">
        <x:v>Evidence ID=P4EVID109; Audit ID=AUD287; Evidence Required=Documentary and transaction evidence demonstrating: Maintain a complaint register and supporting investigation records.; Evidence Type=Record; Mandatory=Yes; Retention Category=Applicable statutory / operational period; Origin=P4_VALIDATION; Active=Yes; Remarks=P-4 chain-closure evidence; exact document type follows the applicable law, licence or internal control.</x:v>
      </x:c>
      <x:c r="E3174" s="33" t="str">
        <x:v>ADD</x:v>
      </x:c>
      <x:c r="F3174" s="33" t="str">
        <x:v>Close every active audit-to-evidence link.</x:v>
      </x:c>
      <x:c r="G3174" s="33" t="str">
        <x:v>P-4 execution-chain reconciliation</x:v>
      </x:c>
      <x:c r="H3174" s="33" t="str">
        <x:v>P-4</x:v>
      </x:c>
      <x:c r="I3174" s="33" t="str">
        <x:v>P-4</x:v>
      </x:c>
      <x:c r="J3174" s="33" t="str">
        <x:v>2026-08-20</x:v>
      </x:c>
      <x:c r="K3174" s="33" t="str">
        <x:v>All active audits now have an active evidence record.</x:v>
      </x:c>
    </x:row>
    <x:row r="3175">
      <x:c r="A3175" s="33" t="str">
        <x:v>P4EVID110</x:v>
      </x:c>
      <x:c r="B3175" s="33" t="str">
        <x:v>Evidence Master</x:v>
      </x:c>
      <x:c r="C3175" s="33" t="str">
        <x:v>Not present</x:v>
      </x:c>
      <x:c r="D3175" s="33" t="str">
        <x:v>Evidence ID=P4EVID110; Audit ID=AUD289; Evidence Required=Documentary and transaction evidence demonstrating: Close product complaints only after investigation, corrective action and documentation are completed.; Evidence Type=Record; Mandatory=Yes; Retention Category=Applicable statutory / operational period; Origin=P4_VALIDATION; Active=Yes; Remarks=P-4 chain-closure evidence; exact document type follows the applicable law, licence or internal control.</x:v>
      </x:c>
      <x:c r="E3175" s="33" t="str">
        <x:v>ADD</x:v>
      </x:c>
      <x:c r="F3175" s="33" t="str">
        <x:v>Close every active audit-to-evidence link.</x:v>
      </x:c>
      <x:c r="G3175" s="33" t="str">
        <x:v>P-4 execution-chain reconciliation</x:v>
      </x:c>
      <x:c r="H3175" s="33" t="str">
        <x:v>P-4</x:v>
      </x:c>
      <x:c r="I3175" s="33" t="str">
        <x:v>P-4</x:v>
      </x:c>
      <x:c r="J3175" s="33" t="str">
        <x:v>2026-08-20</x:v>
      </x:c>
      <x:c r="K3175" s="33" t="str">
        <x:v>All active audits now have an active evidence record.</x:v>
      </x:c>
    </x:row>
    <x:row r="3176">
      <x:c r="A3176" s="33" t="str">
        <x:v>P4EVID111</x:v>
      </x:c>
      <x:c r="B3176" s="33" t="str">
        <x:v>Evidence Master</x:v>
      </x:c>
      <x:c r="C3176" s="33" t="str">
        <x:v>Not present</x:v>
      </x:c>
      <x:c r="D3176" s="33" t="str">
        <x:v>Evidence ID=P4EVID111; Audit ID=AUD291; Evidence Required=Documentary and transaction evidence demonstrating: Report suspected adverse drug reactions to the Pharmacovigilance Programme of India whenever required.; Evidence Type=Record; Mandatory=Yes; Retention Category=Applicable statutory / operational period; Origin=P4_VALIDATION; Active=Yes; Remarks=P-4 chain-closure evidence; exact document type follows the applicable law, licence or internal control.</x:v>
      </x:c>
      <x:c r="E3176" s="33" t="str">
        <x:v>ADD</x:v>
      </x:c>
      <x:c r="F3176" s="33" t="str">
        <x:v>Close every active audit-to-evidence link.</x:v>
      </x:c>
      <x:c r="G3176" s="33" t="str">
        <x:v>P-4 execution-chain reconciliation</x:v>
      </x:c>
      <x:c r="H3176" s="33" t="str">
        <x:v>P-4</x:v>
      </x:c>
      <x:c r="I3176" s="33" t="str">
        <x:v>P-4</x:v>
      </x:c>
      <x:c r="J3176" s="33" t="str">
        <x:v>2026-08-20</x:v>
      </x:c>
      <x:c r="K3176" s="33" t="str">
        <x:v>All active audits now have an active evidence record.</x:v>
      </x:c>
    </x:row>
    <x:row r="3177">
      <x:c r="A3177" s="33" t="str">
        <x:v>P4EVID112</x:v>
      </x:c>
      <x:c r="B3177" s="33" t="str">
        <x:v>Evidence Master</x:v>
      </x:c>
      <x:c r="C3177" s="33" t="str">
        <x:v>Not present</x:v>
      </x:c>
      <x:c r="D3177" s="33" t="str">
        <x:v>Evidence ID=P4EVID112; Audit ID=AUD293; Evidence Required=Documentary and transaction evidence demonstrating: Maintain complete documentation for every reported adverse drug reaction.; Evidence Type=Record; Mandatory=Yes; Retention Category=Applicable statutory / operational period; Origin=P4_VALIDATION; Active=Yes; Remarks=P-4 chain-closure evidence; exact document type follows the applicable law, licence or internal control.</x:v>
      </x:c>
      <x:c r="E3177" s="33" t="str">
        <x:v>ADD</x:v>
      </x:c>
      <x:c r="F3177" s="33" t="str">
        <x:v>Close every active audit-to-evidence link.</x:v>
      </x:c>
      <x:c r="G3177" s="33" t="str">
        <x:v>P-4 execution-chain reconciliation</x:v>
      </x:c>
      <x:c r="H3177" s="33" t="str">
        <x:v>P-4</x:v>
      </x:c>
      <x:c r="I3177" s="33" t="str">
        <x:v>P-4</x:v>
      </x:c>
      <x:c r="J3177" s="33" t="str">
        <x:v>2026-08-20</x:v>
      </x:c>
      <x:c r="K3177" s="33" t="str">
        <x:v>All active audits now have an active evidence record.</x:v>
      </x:c>
    </x:row>
    <x:row r="3178">
      <x:c r="A3178" s="33" t="str">
        <x:v>P4EVID113</x:v>
      </x:c>
      <x:c r="B3178" s="33" t="str">
        <x:v>Evidence Master</x:v>
      </x:c>
      <x:c r="C3178" s="33" t="str">
        <x:v>Not present</x:v>
      </x:c>
      <x:c r="D3178" s="33" t="str">
        <x:v>Evidence ID=P4EVID113; Audit ID=AUD295; Evidence Required=Documentary and transaction evidence demonstrating: Escalate serious adverse drug reactions to the appropriate authority without delay.; Evidence Type=Record; Mandatory=Yes; Retention Category=Applicable statutory / operational period; Origin=P4_VALIDATION; Active=Yes; Remarks=P-4 chain-closure evidence; exact document type follows the applicable law, licence or internal control.</x:v>
      </x:c>
      <x:c r="E3178" s="33" t="str">
        <x:v>ADD</x:v>
      </x:c>
      <x:c r="F3178" s="33" t="str">
        <x:v>Close every active audit-to-evidence link.</x:v>
      </x:c>
      <x:c r="G3178" s="33" t="str">
        <x:v>P-4 execution-chain reconciliation</x:v>
      </x:c>
      <x:c r="H3178" s="33" t="str">
        <x:v>P-4</x:v>
      </x:c>
      <x:c r="I3178" s="33" t="str">
        <x:v>P-4</x:v>
      </x:c>
      <x:c r="J3178" s="33" t="str">
        <x:v>2026-08-20</x:v>
      </x:c>
      <x:c r="K3178" s="33" t="str">
        <x:v>All active audits now have an active evidence record.</x:v>
      </x:c>
    </x:row>
    <x:row r="3179">
      <x:c r="A3179" s="33" t="str">
        <x:v>P4EVID114</x:v>
      </x:c>
      <x:c r="B3179" s="33" t="str">
        <x:v>Evidence Master</x:v>
      </x:c>
      <x:c r="C3179" s="33" t="str">
        <x:v>Not present</x:v>
      </x:c>
      <x:c r="D3179" s="33" t="str">
        <x:v>Evidence ID=P4EVID114; Audit ID=AUD297; Evidence Required=Documentary and transaction evidence demonstrating: Maintain vaccines and biological products within the prescribed cold chain temperature range.; Evidence Type=Record; Mandatory=Yes; Retention Category=Applicable statutory / operational period; Origin=P4_VALIDATION; Active=Yes; Remarks=P-4 chain-closure evidence; exact document type follows the applicable law, licence or internal control.</x:v>
      </x:c>
      <x:c r="E3179" s="33" t="str">
        <x:v>ADD</x:v>
      </x:c>
      <x:c r="F3179" s="33" t="str">
        <x:v>Close every active audit-to-evidence link.</x:v>
      </x:c>
      <x:c r="G3179" s="33" t="str">
        <x:v>P-4 execution-chain reconciliation</x:v>
      </x:c>
      <x:c r="H3179" s="33" t="str">
        <x:v>P-4</x:v>
      </x:c>
      <x:c r="I3179" s="33" t="str">
        <x:v>P-4</x:v>
      </x:c>
      <x:c r="J3179" s="33" t="str">
        <x:v>2026-08-20</x:v>
      </x:c>
      <x:c r="K3179" s="33" t="str">
        <x:v>All active audits now have an active evidence record.</x:v>
      </x:c>
    </x:row>
    <x:row r="3180">
      <x:c r="A3180" s="33" t="str">
        <x:v>P4EVID115</x:v>
      </x:c>
      <x:c r="B3180" s="33" t="str">
        <x:v>Evidence Master</x:v>
      </x:c>
      <x:c r="C3180" s="33" t="str">
        <x:v>Not present</x:v>
      </x:c>
      <x:c r="D3180" s="33" t="str">
        <x:v>Evidence ID=P4EVID115; Audit ID=AUD299; Evidence Required=Documentary and transaction evidence demonstrating: Record refrigerator temperatures at the prescribed frequency and retain logs for inspection.; Evidence Type=Record; Mandatory=Yes; Retention Category=Applicable statutory / operational period; Origin=P4_VALIDATION; Active=Yes; Remarks=P-4 chain-closure evidence; exact document type follows the applicable law, licence or internal control.</x:v>
      </x:c>
      <x:c r="E3180" s="33" t="str">
        <x:v>ADD</x:v>
      </x:c>
      <x:c r="F3180" s="33" t="str">
        <x:v>Close every active audit-to-evidence link.</x:v>
      </x:c>
      <x:c r="G3180" s="33" t="str">
        <x:v>P-4 execution-chain reconciliation</x:v>
      </x:c>
      <x:c r="H3180" s="33" t="str">
        <x:v>P-4</x:v>
      </x:c>
      <x:c r="I3180" s="33" t="str">
        <x:v>P-4</x:v>
      </x:c>
      <x:c r="J3180" s="33" t="str">
        <x:v>2026-08-20</x:v>
      </x:c>
      <x:c r="K3180" s="33" t="str">
        <x:v>All active audits now have an active evidence record.</x:v>
      </x:c>
    </x:row>
    <x:row r="3181">
      <x:c r="A3181" s="33" t="str">
        <x:v>P4EVID116</x:v>
      </x:c>
      <x:c r="B3181" s="33" t="str">
        <x:v>Evidence Master</x:v>
      </x:c>
      <x:c r="C3181" s="33" t="str">
        <x:v>Not present</x:v>
      </x:c>
      <x:c r="D3181" s="33" t="str">
        <x:v>Evidence ID=P4EVID116; Audit ID=AUD301; Evidence Required=Documentary and transaction evidence demonstrating: Validate and periodically qualify cold chain equipment before operational use.; Evidence Type=Record; Mandatory=Yes; Retention Category=Applicable statutory / operational period; Origin=P4_VALIDATION; Active=Yes; Remarks=P-4 chain-closure evidence; exact document type follows the applicable law, licence or internal control.</x:v>
      </x:c>
      <x:c r="E3181" s="33" t="str">
        <x:v>ADD</x:v>
      </x:c>
      <x:c r="F3181" s="33" t="str">
        <x:v>Close every active audit-to-evidence link.</x:v>
      </x:c>
      <x:c r="G3181" s="33" t="str">
        <x:v>P-4 execution-chain reconciliation</x:v>
      </x:c>
      <x:c r="H3181" s="33" t="str">
        <x:v>P-4</x:v>
      </x:c>
      <x:c r="I3181" s="33" t="str">
        <x:v>P-4</x:v>
      </x:c>
      <x:c r="J3181" s="33" t="str">
        <x:v>2026-08-20</x:v>
      </x:c>
      <x:c r="K3181" s="33" t="str">
        <x:v>All active audits now have an active evidence record.</x:v>
      </x:c>
    </x:row>
    <x:row r="3182">
      <x:c r="A3182" s="33" t="str">
        <x:v>P4EVID117</x:v>
      </x:c>
      <x:c r="B3182" s="33" t="str">
        <x:v>Evidence Master</x:v>
      </x:c>
      <x:c r="C3182" s="33" t="str">
        <x:v>Not present</x:v>
      </x:c>
      <x:c r="D3182" s="33" t="str">
        <x:v>Evidence ID=P4EVID117; Audit ID=AUD337; Evidence Required=Documentary and transaction evidence demonstrating: Deliver pharmacy services in accordance with Pharmacy Practice Regulations.; Evidence Type=Record; Mandatory=Yes; Retention Category=Applicable statutory / operational period; Origin=P4_VALIDATION; Active=Yes; Remarks=P-4 chain-closure evidence; exact document type follows the applicable law, licence or internal control.</x:v>
      </x:c>
      <x:c r="E3182" s="33" t="str">
        <x:v>ADD</x:v>
      </x:c>
      <x:c r="F3182" s="33" t="str">
        <x:v>Close every active audit-to-evidence link.</x:v>
      </x:c>
      <x:c r="G3182" s="33" t="str">
        <x:v>P-4 execution-chain reconciliation</x:v>
      </x:c>
      <x:c r="H3182" s="33" t="str">
        <x:v>P-4</x:v>
      </x:c>
      <x:c r="I3182" s="33" t="str">
        <x:v>P-4</x:v>
      </x:c>
      <x:c r="J3182" s="33" t="str">
        <x:v>2026-08-20</x:v>
      </x:c>
      <x:c r="K3182" s="33" t="str">
        <x:v>All active audits now have an active evidence record.</x:v>
      </x:c>
    </x:row>
    <x:row r="3183">
      <x:c r="A3183" s="33" t="str">
        <x:v>P4EVID118</x:v>
      </x:c>
      <x:c r="B3183" s="33" t="str">
        <x:v>Evidence Master</x:v>
      </x:c>
      <x:c r="C3183" s="33" t="str">
        <x:v>Not present</x:v>
      </x:c>
      <x:c r="D3183" s="33" t="str">
        <x:v>Evidence ID=P4EVID118; Audit ID=AUD339; Evidence Required=Documentary and transaction evidence demonstrating: Review prescriptions for legality, completeness and clinical appropriateness before dispensing medicines.; Evidence Type=Record; Mandatory=Yes; Retention Category=Applicable statutory / operational period; Origin=P4_VALIDATION; Active=Yes; Remarks=P-4 chain-closure evidence; exact document type follows the applicable law, licence or internal control.</x:v>
      </x:c>
      <x:c r="E3183" s="33" t="str">
        <x:v>ADD</x:v>
      </x:c>
      <x:c r="F3183" s="33" t="str">
        <x:v>Close every active audit-to-evidence link.</x:v>
      </x:c>
      <x:c r="G3183" s="33" t="str">
        <x:v>P-4 execution-chain reconciliation</x:v>
      </x:c>
      <x:c r="H3183" s="33" t="str">
        <x:v>P-4</x:v>
      </x:c>
      <x:c r="I3183" s="33" t="str">
        <x:v>P-4</x:v>
      </x:c>
      <x:c r="J3183" s="33" t="str">
        <x:v>2026-08-20</x:v>
      </x:c>
      <x:c r="K3183" s="33" t="str">
        <x:v>All active audits now have an active evidence record.</x:v>
      </x:c>
    </x:row>
    <x:row r="3184">
      <x:c r="A3184" s="33" t="str">
        <x:v>P4EVID119</x:v>
      </x:c>
      <x:c r="B3184" s="33" t="str">
        <x:v>Evidence Master</x:v>
      </x:c>
      <x:c r="C3184" s="33" t="str">
        <x:v>Not present</x:v>
      </x:c>
      <x:c r="D3184" s="33" t="str">
        <x:v>Evidence ID=P4EVID119; Audit ID=AUD341; Evidence Required=Documentary and transaction evidence demonstrating: Provide appropriate patient counselling regarding dosage, storage, administration and precautions.; Evidence Type=Record; Mandatory=Yes; Retention Category=Applicable statutory / operational period; Origin=P4_VALIDATION; Active=Yes; Remarks=P-4 chain-closure evidence; exact document type follows the applicable law, licence or internal control.</x:v>
      </x:c>
      <x:c r="E3184" s="33" t="str">
        <x:v>ADD</x:v>
      </x:c>
      <x:c r="F3184" s="33" t="str">
        <x:v>Close every active audit-to-evidence link.</x:v>
      </x:c>
      <x:c r="G3184" s="33" t="str">
        <x:v>P-4 execution-chain reconciliation</x:v>
      </x:c>
      <x:c r="H3184" s="33" t="str">
        <x:v>P-4</x:v>
      </x:c>
      <x:c r="I3184" s="33" t="str">
        <x:v>P-4</x:v>
      </x:c>
      <x:c r="J3184" s="33" t="str">
        <x:v>2026-08-20</x:v>
      </x:c>
      <x:c r="K3184" s="33" t="str">
        <x:v>All active audits now have an active evidence record.</x:v>
      </x:c>
    </x:row>
    <x:row r="3185">
      <x:c r="A3185" s="33" t="str">
        <x:v>P4EVID120</x:v>
      </x:c>
      <x:c r="B3185" s="33" t="str">
        <x:v>Evidence Master</x:v>
      </x:c>
      <x:c r="C3185" s="33" t="str">
        <x:v>Not present</x:v>
      </x:c>
      <x:c r="D3185" s="33" t="str">
        <x:v>Evidence ID=P4EVID120; Audit ID=AUD343; Evidence Required=Documentary and transaction evidence demonstrating: Maintain confidentiality of patient records and prescription information.; Evidence Type=Record; Mandatory=Yes; Retention Category=Applicable statutory / operational period; Origin=P4_VALIDATION; Active=Yes; Remarks=P-4 chain-closure evidence; exact document type follows the applicable law, licence or internal control.</x:v>
      </x:c>
      <x:c r="E3185" s="33" t="str">
        <x:v>ADD</x:v>
      </x:c>
      <x:c r="F3185" s="33" t="str">
        <x:v>Close every active audit-to-evidence link.</x:v>
      </x:c>
      <x:c r="G3185" s="33" t="str">
        <x:v>P-4 execution-chain reconciliation</x:v>
      </x:c>
      <x:c r="H3185" s="33" t="str">
        <x:v>P-4</x:v>
      </x:c>
      <x:c r="I3185" s="33" t="str">
        <x:v>P-4</x:v>
      </x:c>
      <x:c r="J3185" s="33" t="str">
        <x:v>2026-08-20</x:v>
      </x:c>
      <x:c r="K3185" s="33" t="str">
        <x:v>All active audits now have an active evidence record.</x:v>
      </x:c>
    </x:row>
    <x:row r="3186">
      <x:c r="A3186" s="33" t="str">
        <x:v>P4EVID121</x:v>
      </x:c>
      <x:c r="B3186" s="33" t="str">
        <x:v>Evidence Master</x:v>
      </x:c>
      <x:c r="C3186" s="33" t="str">
        <x:v>Not present</x:v>
      </x:c>
      <x:c r="D3186" s="33" t="str">
        <x:v>Evidence ID=P4EVID121; Audit ID=AUD345; Evidence Required=Documentary and transaction evidence demonstrating: Participate in professional development programmes to maintain competency.; Evidence Type=Record; Mandatory=Yes; Retention Category=Applicable statutory / operational period; Origin=P4_VALIDATION; Active=Yes; Remarks=P-4 chain-closure evidence; exact document type follows the applicable law, licence or internal control.</x:v>
      </x:c>
      <x:c r="E3186" s="33" t="str">
        <x:v>ADD</x:v>
      </x:c>
      <x:c r="F3186" s="33" t="str">
        <x:v>Close every active audit-to-evidence link.</x:v>
      </x:c>
      <x:c r="G3186" s="33" t="str">
        <x:v>P-4 execution-chain reconciliation</x:v>
      </x:c>
      <x:c r="H3186" s="33" t="str">
        <x:v>P-4</x:v>
      </x:c>
      <x:c r="I3186" s="33" t="str">
        <x:v>P-4</x:v>
      </x:c>
      <x:c r="J3186" s="33" t="str">
        <x:v>2026-08-20</x:v>
      </x:c>
      <x:c r="K3186" s="33" t="str">
        <x:v>All active audits now have an active evidence record.</x:v>
      </x:c>
    </x:row>
    <x:row r="3187">
      <x:c r="A3187" s="33" t="str">
        <x:v>P4EVID122</x:v>
      </x:c>
      <x:c r="B3187" s="33" t="str">
        <x:v>Evidence Master</x:v>
      </x:c>
      <x:c r="C3187" s="33" t="str">
        <x:v>Not present</x:v>
      </x:c>
      <x:c r="D3187" s="33" t="str">
        <x:v>Evidence ID=P4EVID122; Audit ID=AUD347; Evidence Required=Documentary and transaction evidence demonstrating: Obtain clinical-establishment registration before operation where the establishment role and jurisdiction trigger apply.; Evidence Type=Record; Mandatory=Yes; Retention Category=Applicable statutory / operational period; Origin=P4_VALIDATION; Active=Yes; Remarks=P-4 chain-closure evidence; exact document type follows the applicable law, licence or internal control.</x:v>
      </x:c>
      <x:c r="E3187" s="33" t="str">
        <x:v>ADD</x:v>
      </x:c>
      <x:c r="F3187" s="33" t="str">
        <x:v>Close every active audit-to-evidence link.</x:v>
      </x:c>
      <x:c r="G3187" s="33" t="str">
        <x:v>P-4 execution-chain reconciliation</x:v>
      </x:c>
      <x:c r="H3187" s="33" t="str">
        <x:v>P-4</x:v>
      </x:c>
      <x:c r="I3187" s="33" t="str">
        <x:v>P-4</x:v>
      </x:c>
      <x:c r="J3187" s="33" t="str">
        <x:v>2026-08-20</x:v>
      </x:c>
      <x:c r="K3187" s="33" t="str">
        <x:v>All active audits now have an active evidence record.</x:v>
      </x:c>
    </x:row>
    <x:row r="3188">
      <x:c r="A3188" s="33" t="str">
        <x:v>P4EVID123</x:v>
      </x:c>
      <x:c r="B3188" s="33" t="str">
        <x:v>Evidence Master</x:v>
      </x:c>
      <x:c r="C3188" s="33" t="str">
        <x:v>Not present</x:v>
      </x:c>
      <x:c r="D3188" s="33" t="str">
        <x:v>Evidence ID=P4EVID123; Audit ID=AUD349; Evidence Required=Documentary and transaction evidence demonstrating: Where the clinical-establishment overlay applies, maintain prescribed minimum standards, personnel, records/reporting and emergency-stabilization arrangements.; Evidence Type=Record; Mandatory=Yes; Retention Category=Applicable statutory / operational period; Origin=P4_VALIDATION; Active=Yes; Remarks=P-4 chain-closure evidence; exact document type follows the applicable law, licence or internal control.</x:v>
      </x:c>
      <x:c r="E3188" s="33" t="str">
        <x:v>ADD</x:v>
      </x:c>
      <x:c r="F3188" s="33" t="str">
        <x:v>Close every active audit-to-evidence link.</x:v>
      </x:c>
      <x:c r="G3188" s="33" t="str">
        <x:v>P-4 execution-chain reconciliation</x:v>
      </x:c>
      <x:c r="H3188" s="33" t="str">
        <x:v>P-4</x:v>
      </x:c>
      <x:c r="I3188" s="33" t="str">
        <x:v>P-4</x:v>
      </x:c>
      <x:c r="J3188" s="33" t="str">
        <x:v>2026-08-20</x:v>
      </x:c>
      <x:c r="K3188" s="33" t="str">
        <x:v>All active audits now have an active evidence record.</x:v>
      </x:c>
    </x:row>
    <x:row r="3189">
      <x:c r="A3189" s="33" t="str">
        <x:v>P4EVID124</x:v>
      </x:c>
      <x:c r="B3189" s="33" t="str">
        <x:v>Evidence Master</x:v>
      </x:c>
      <x:c r="C3189" s="33" t="str">
        <x:v>Not present</x:v>
      </x:c>
      <x:c r="D3189" s="33" t="str">
        <x:v>Evidence ID=P4EVID124; Audit ID=AUD351; Evidence Required=Documentary and transaction evidence demonstrating: Display the registration certificate and complete applicable renewal/continuation requirements for the clinical establishment.; Evidence Type=Record; Mandatory=Yes; Retention Category=Applicable statutory / operational period; Origin=P4_VALIDATION; Active=Yes; Remarks=P-4 chain-closure evidence; exact document type follows the applicable law, licence or internal control.</x:v>
      </x:c>
      <x:c r="E3189" s="33" t="str">
        <x:v>ADD</x:v>
      </x:c>
      <x:c r="F3189" s="33" t="str">
        <x:v>Close every active audit-to-evidence link.</x:v>
      </x:c>
      <x:c r="G3189" s="33" t="str">
        <x:v>P-4 execution-chain reconciliation</x:v>
      </x:c>
      <x:c r="H3189" s="33" t="str">
        <x:v>P-4</x:v>
      </x:c>
      <x:c r="I3189" s="33" t="str">
        <x:v>P-4</x:v>
      </x:c>
      <x:c r="J3189" s="33" t="str">
        <x:v>2026-08-20</x:v>
      </x:c>
      <x:c r="K3189" s="33" t="str">
        <x:v>All active audits now have an active evidence record.</x:v>
      </x:c>
    </x:row>
    <x:row r="3190">
      <x:c r="A3190" s="33" t="str">
        <x:v>P4EVID125</x:v>
      </x:c>
      <x:c r="B3190" s="33" t="str">
        <x:v>Evidence Master</x:v>
      </x:c>
      <x:c r="C3190" s="33" t="str">
        <x:v>Not present</x:v>
      </x:c>
      <x:c r="D3190" s="33" t="str">
        <x:v>Evidence ID=P4EVID125; Audit ID=AUD399; Evidence Required=Documentary and transaction evidence demonstrating: Before release, substantiate all objective claims and ensure the advertisement is truthful and not misleading by implication, omission, exaggeration or ambiguity.; Evidence Type=Record; Mandatory=Yes; Retention Category=Applicable statutory / operational period; Origin=P4_VALIDATION; Active=Yes; Remarks=P-4 chain-closure evidence; exact document type follows the applicable law, licence or internal control.</x:v>
      </x:c>
      <x:c r="E3190" s="33" t="str">
        <x:v>ADD</x:v>
      </x:c>
      <x:c r="F3190" s="33" t="str">
        <x:v>Close every active audit-to-evidence link.</x:v>
      </x:c>
      <x:c r="G3190" s="33" t="str">
        <x:v>P-4 execution-chain reconciliation</x:v>
      </x:c>
      <x:c r="H3190" s="33" t="str">
        <x:v>P-4</x:v>
      </x:c>
      <x:c r="I3190" s="33" t="str">
        <x:v>P-4</x:v>
      </x:c>
      <x:c r="J3190" s="33" t="str">
        <x:v>2026-08-20</x:v>
      </x:c>
      <x:c r="K3190" s="33" t="str">
        <x:v>All active audits now have an active evidence record.</x:v>
      </x:c>
    </x:row>
    <x:row r="3191">
      <x:c r="A3191" s="33" t="str">
        <x:v>P4EVID126</x:v>
      </x:c>
      <x:c r="B3191" s="33" t="str">
        <x:v>Evidence Master</x:v>
      </x:c>
      <x:c r="C3191" s="33" t="str">
        <x:v>Not present</x:v>
      </x:c>
      <x:c r="D3191" s="33" t="str">
        <x:v>Evidence ID=P4EVID126; Audit ID=AUD401; Evidence Required=Documentary and transaction evidence demonstrating: Use only clear, prominent disclaimers that do not conceal material information or contradict the main claim.; Evidence Type=Record; Mandatory=Yes; Retention Category=Applicable statutory / operational period; Origin=P4_VALIDATION; Active=Yes; Remarks=P-4 chain-closure evidence; exact document type follows the applicable law, licence or internal control.</x:v>
      </x:c>
      <x:c r="E3191" s="33" t="str">
        <x:v>ADD</x:v>
      </x:c>
      <x:c r="F3191" s="33" t="str">
        <x:v>Close every active audit-to-evidence link.</x:v>
      </x:c>
      <x:c r="G3191" s="33" t="str">
        <x:v>P-4 execution-chain reconciliation</x:v>
      </x:c>
      <x:c r="H3191" s="33" t="str">
        <x:v>P-4</x:v>
      </x:c>
      <x:c r="I3191" s="33" t="str">
        <x:v>P-4</x:v>
      </x:c>
      <x:c r="J3191" s="33" t="str">
        <x:v>2026-08-20</x:v>
      </x:c>
      <x:c r="K3191" s="33" t="str">
        <x:v>All active audits now have an active evidence record.</x:v>
      </x:c>
    </x:row>
    <x:row r="3192">
      <x:c r="A3192" s="33" t="str">
        <x:v>P4EVID127</x:v>
      </x:c>
      <x:c r="B3192" s="33" t="str">
        <x:v>Evidence Master</x:v>
      </x:c>
      <x:c r="C3192" s="33" t="str">
        <x:v>Not present</x:v>
      </x:c>
      <x:c r="D3192" s="33" t="str">
        <x:v>Evidence ID=P4EVID127; Audit ID=AUD403; Evidence Required=Documentary and transaction evidence demonstrating: Do not advertise a product/service prohibited by law and document endorsement due diligence where an endorsement is used.; Evidence Type=Record; Mandatory=Yes; Retention Category=Applicable statutory / operational period; Origin=P4_VALIDATION; Active=Yes; Remarks=P-4 chain-closure evidence; exact document type follows the applicable law, licence or internal control.</x:v>
      </x:c>
      <x:c r="E3192" s="33" t="str">
        <x:v>ADD</x:v>
      </x:c>
      <x:c r="F3192" s="33" t="str">
        <x:v>Close every active audit-to-evidence link.</x:v>
      </x:c>
      <x:c r="G3192" s="33" t="str">
        <x:v>P-4 execution-chain reconciliation</x:v>
      </x:c>
      <x:c r="H3192" s="33" t="str">
        <x:v>P-4</x:v>
      </x:c>
      <x:c r="I3192" s="33" t="str">
        <x:v>P-4</x:v>
      </x:c>
      <x:c r="J3192" s="33" t="str">
        <x:v>2026-08-20</x:v>
      </x:c>
      <x:c r="K3192" s="33" t="str">
        <x:v>All active audits now have an active evidence record.</x:v>
      </x:c>
    </x:row>
    <x:row r="3193">
      <x:c r="A3193" s="33" t="str">
        <x:v>P4EVID128</x:v>
      </x:c>
      <x:c r="B3193" s="33" t="str">
        <x:v>Evidence Master</x:v>
      </x:c>
      <x:c r="C3193" s="33" t="str">
        <x:v>Not present</x:v>
      </x:c>
      <x:c r="D3193" s="33" t="str">
        <x:v>Evidence ID=P4EVID128; Audit ID=AUD405; Evidence Required=Documentary and transaction evidence demonstrating: Do not advertise a drug for the section 3/Schedule prohibited purposes, diseases or conditions.; Evidence Type=Record; Mandatory=Yes; Retention Category=Applicable statutory / operational period; Origin=P4_VALIDATION; Active=Yes; Remarks=P-4 chain-closure evidence; exact document type follows the applicable law, licence or internal control.</x:v>
      </x:c>
      <x:c r="E3193" s="33" t="str">
        <x:v>ADD</x:v>
      </x:c>
      <x:c r="F3193" s="33" t="str">
        <x:v>Close every active audit-to-evidence link.</x:v>
      </x:c>
      <x:c r="G3193" s="33" t="str">
        <x:v>P-4 execution-chain reconciliation</x:v>
      </x:c>
      <x:c r="H3193" s="33" t="str">
        <x:v>P-4</x:v>
      </x:c>
      <x:c r="I3193" s="33" t="str">
        <x:v>P-4</x:v>
      </x:c>
      <x:c r="J3193" s="33" t="str">
        <x:v>2026-08-20</x:v>
      </x:c>
      <x:c r="K3193" s="33" t="str">
        <x:v>All active audits now have an active evidence record.</x:v>
      </x:c>
    </x:row>
    <x:row r="3194">
      <x:c r="A3194" s="33" t="str">
        <x:v>P4EVID129</x:v>
      </x:c>
      <x:c r="B3194" s="33" t="str">
        <x:v>Evidence Master</x:v>
      </x:c>
      <x:c r="C3194" s="33" t="str">
        <x:v>Not present</x:v>
      </x:c>
      <x:c r="D3194" s="33" t="str">
        <x:v>Evidence ID=P4EVID129; Audit ID=AUD407; Evidence Required=Documentary and transaction evidence demonstrating: Do not issue a drug advertisement that gives a false impression, makes a false claim or is otherwise materially false/misleading.; Evidence Type=Record; Mandatory=Yes; Retention Category=Applicable statutory / operational period; Origin=P4_VALIDATION; Active=Yes; Remarks=P-4 chain-closure evidence; exact document type follows the applicable law, licence or internal control.</x:v>
      </x:c>
      <x:c r="E3194" s="33" t="str">
        <x:v>ADD</x:v>
      </x:c>
      <x:c r="F3194" s="33" t="str">
        <x:v>Close every active audit-to-evidence link.</x:v>
      </x:c>
      <x:c r="G3194" s="33" t="str">
        <x:v>P-4 execution-chain reconciliation</x:v>
      </x:c>
      <x:c r="H3194" s="33" t="str">
        <x:v>P-4</x:v>
      </x:c>
      <x:c r="I3194" s="33" t="str">
        <x:v>P-4</x:v>
      </x:c>
      <x:c r="J3194" s="33" t="str">
        <x:v>2026-08-20</x:v>
      </x:c>
      <x:c r="K3194" s="33" t="str">
        <x:v>All active audits now have an active evidence record.</x:v>
      </x:c>
    </x:row>
    <x:row r="3195">
      <x:c r="A3195" s="33" t="str">
        <x:v>P4EVID130</x:v>
      </x:c>
      <x:c r="B3195" s="33" t="str">
        <x:v>Evidence Master</x:v>
      </x:c>
      <x:c r="C3195" s="33" t="str">
        <x:v>Not present</x:v>
      </x:c>
      <x:c r="D3195" s="33" t="str">
        <x:v>Evidence ID=P4EVID130; Audit ID=AUD441; Evidence Required=Documentary and transaction evidence demonstrating: If the OSHWC Code applies, maintain the covered workplace-safety/health controls, provide required information/instruction and meet notified standards.; Evidence Type=Record; Mandatory=Yes; Retention Category=Applicable statutory / operational period; Origin=P4_VALIDATION; Active=Yes; Remarks=P-4 chain-closure evidence; exact document type follows the applicable law, licence or internal control.</x:v>
      </x:c>
      <x:c r="E3195" s="33" t="str">
        <x:v>ADD</x:v>
      </x:c>
      <x:c r="F3195" s="33" t="str">
        <x:v>Close every active audit-to-evidence link.</x:v>
      </x:c>
      <x:c r="G3195" s="33" t="str">
        <x:v>P-4 execution-chain reconciliation</x:v>
      </x:c>
      <x:c r="H3195" s="33" t="str">
        <x:v>P-4</x:v>
      </x:c>
      <x:c r="I3195" s="33" t="str">
        <x:v>P-4</x:v>
      </x:c>
      <x:c r="J3195" s="33" t="str">
        <x:v>2026-08-20</x:v>
      </x:c>
      <x:c r="K3195" s="33" t="str">
        <x:v>All active audits now have an active evidence record.</x:v>
      </x:c>
    </x:row>
    <x:row r="3196">
      <x:c r="A3196" s="33" t="str">
        <x:v>P4EVID131</x:v>
      </x:c>
      <x:c r="B3196" s="33" t="str">
        <x:v>Evidence Master</x:v>
      </x:c>
      <x:c r="C3196" s="33" t="str">
        <x:v>Not present</x:v>
      </x:c>
      <x:c r="D3196" s="33" t="str">
        <x:v>Evidence ID=P4EVID131; Audit ID=AUD443; Evidence Required=Documentary and transaction evidence demonstrating: If covered, implement the applicable welfare, working-time and employee information/appointment-letter controls under the Code and 2026 Rules.; Evidence Type=Record; Mandatory=Yes; Retention Category=Applicable statutory / operational period; Origin=P4_VALIDATION; Active=Yes; Remarks=P-4 chain-closure evidence; exact document type follows the applicable law, licence or internal control.</x:v>
      </x:c>
      <x:c r="E3196" s="33" t="str">
        <x:v>ADD</x:v>
      </x:c>
      <x:c r="F3196" s="33" t="str">
        <x:v>Close every active audit-to-evidence link.</x:v>
      </x:c>
      <x:c r="G3196" s="33" t="str">
        <x:v>P-4 execution-chain reconciliation</x:v>
      </x:c>
      <x:c r="H3196" s="33" t="str">
        <x:v>P-4</x:v>
      </x:c>
      <x:c r="I3196" s="33" t="str">
        <x:v>P-4</x:v>
      </x:c>
      <x:c r="J3196" s="33" t="str">
        <x:v>2026-08-20</x:v>
      </x:c>
      <x:c r="K3196" s="33" t="str">
        <x:v>All active audits now have an active evidence record.</x:v>
      </x:c>
    </x:row>
    <x:row r="3197">
      <x:c r="A3197" s="33" t="str">
        <x:v>P4EVID132</x:v>
      </x:c>
      <x:c r="B3197" s="33" t="str">
        <x:v>Evidence Master</x:v>
      </x:c>
      <x:c r="C3197" s="33" t="str">
        <x:v>Not present</x:v>
      </x:c>
      <x:c r="D3197" s="33" t="str">
        <x:v>Evidence ID=P4EVID132; Audit ID=AUD445; Evidence Required=Documentary and transaction evidence demonstrating: Report and record only the occupational accidents/dangerous occurrences prescribed for the covered establishment within the statutory timeline.; Evidence Type=Record; Mandatory=Yes; Retention Category=Applicable statutory / operational period; Origin=P4_VALIDATION; Active=Yes; Remarks=P-4 chain-closure evidence; exact document type follows the applicable law, licence or internal control.</x:v>
      </x:c>
      <x:c r="E3197" s="33" t="str">
        <x:v>ADD</x:v>
      </x:c>
      <x:c r="F3197" s="33" t="str">
        <x:v>Close every active audit-to-evidence link.</x:v>
      </x:c>
      <x:c r="G3197" s="33" t="str">
        <x:v>P-4 execution-chain reconciliation</x:v>
      </x:c>
      <x:c r="H3197" s="33" t="str">
        <x:v>P-4</x:v>
      </x:c>
      <x:c r="I3197" s="33" t="str">
        <x:v>P-4</x:v>
      </x:c>
      <x:c r="J3197" s="33" t="str">
        <x:v>2026-08-20</x:v>
      </x:c>
      <x:c r="K3197" s="33" t="str">
        <x:v>All active audits now have an active evidence record.</x:v>
      </x:c>
    </x:row>
    <x:row r="3198">
      <x:c r="A3198" s="33" t="str">
        <x:v>P4EVID133</x:v>
      </x:c>
      <x:c r="B3198" s="33" t="str">
        <x:v>Evidence Master</x:v>
      </x:c>
      <x:c r="C3198" s="33" t="str">
        <x:v>Not present</x:v>
      </x:c>
      <x:c r="D3198" s="33" t="str">
        <x:v>Evidence ID=P4EVID133; Audit ID=AUD447; Evidence Required=Documentary and transaction evidence demonstrating: Perform temperature mapping of storage areas before commissioning and after major modifications.; Evidence Type=Record; Mandatory=Yes; Retention Category=Applicable statutory / operational period; Origin=P4_VALIDATION; Active=Yes; Remarks=P-4 chain-closure evidence; exact document type follows the applicable law, licence or internal control.</x:v>
      </x:c>
      <x:c r="E3198" s="33" t="str">
        <x:v>ADD</x:v>
      </x:c>
      <x:c r="F3198" s="33" t="str">
        <x:v>Close every active audit-to-evidence link.</x:v>
      </x:c>
      <x:c r="G3198" s="33" t="str">
        <x:v>P-4 execution-chain reconciliation</x:v>
      </x:c>
      <x:c r="H3198" s="33" t="str">
        <x:v>P-4</x:v>
      </x:c>
      <x:c r="I3198" s="33" t="str">
        <x:v>P-4</x:v>
      </x:c>
      <x:c r="J3198" s="33" t="str">
        <x:v>2026-08-20</x:v>
      </x:c>
      <x:c r="K3198" s="33" t="str">
        <x:v>All active audits now have an active evidence record.</x:v>
      </x:c>
    </x:row>
    <x:row r="3199">
      <x:c r="A3199" s="33" t="str">
        <x:v>P4EVID134</x:v>
      </x:c>
      <x:c r="B3199" s="33" t="str">
        <x:v>Evidence Master</x:v>
      </x:c>
      <x:c r="C3199" s="33" t="str">
        <x:v>Not present</x:v>
      </x:c>
      <x:c r="D3199" s="33" t="str">
        <x:v>Evidence ID=P4EVID134; Audit ID=AUD449; Evidence Required=Documentary and transaction evidence demonstrating: Revalidate temperature mapping periodically and after significant changes to storage conditions.; Evidence Type=Record; Mandatory=Yes; Retention Category=Applicable statutory / operational period; Origin=P4_VALIDATION; Active=Yes; Remarks=P-4 chain-closure evidence; exact document type follows the applicable law, licence or internal control.</x:v>
      </x:c>
      <x:c r="E3199" s="33" t="str">
        <x:v>ADD</x:v>
      </x:c>
      <x:c r="F3199" s="33" t="str">
        <x:v>Close every active audit-to-evidence link.</x:v>
      </x:c>
      <x:c r="G3199" s="33" t="str">
        <x:v>P-4 execution-chain reconciliation</x:v>
      </x:c>
      <x:c r="H3199" s="33" t="str">
        <x:v>P-4</x:v>
      </x:c>
      <x:c r="I3199" s="33" t="str">
        <x:v>P-4</x:v>
      </x:c>
      <x:c r="J3199" s="33" t="str">
        <x:v>2026-08-20</x:v>
      </x:c>
      <x:c r="K3199" s="33" t="str">
        <x:v>All active audits now have an active evidence record.</x:v>
      </x:c>
    </x:row>
    <x:row r="3200">
      <x:c r="A3200" s="33" t="str">
        <x:v>P4EVID135</x:v>
      </x:c>
      <x:c r="B3200" s="33" t="str">
        <x:v>Evidence Master</x:v>
      </x:c>
      <x:c r="C3200" s="33" t="str">
        <x:v>Not present</x:v>
      </x:c>
      <x:c r="D3200" s="33" t="str">
        <x:v>Evidence ID=P4EVID135; Audit ID=AUD451; Evidence Required=Documentary and transaction evidence demonstrating: Maintain temperature mapping reports, protocols and validation records.; Evidence Type=Record; Mandatory=Yes; Retention Category=Applicable statutory / operational period; Origin=P4_VALIDATION; Active=Yes; Remarks=P-4 chain-closure evidence; exact document type follows the applicable law, licence or internal control.</x:v>
      </x:c>
      <x:c r="E3200" s="33" t="str">
        <x:v>ADD</x:v>
      </x:c>
      <x:c r="F3200" s="33" t="str">
        <x:v>Close every active audit-to-evidence link.</x:v>
      </x:c>
      <x:c r="G3200" s="33" t="str">
        <x:v>P-4 execution-chain reconciliation</x:v>
      </x:c>
      <x:c r="H3200" s="33" t="str">
        <x:v>P-4</x:v>
      </x:c>
      <x:c r="I3200" s="33" t="str">
        <x:v>P-4</x:v>
      </x:c>
      <x:c r="J3200" s="33" t="str">
        <x:v>2026-08-20</x:v>
      </x:c>
      <x:c r="K3200" s="33" t="str">
        <x:v>All active audits now have an active evidence record.</x:v>
      </x:c>
    </x:row>
    <x:row r="3201">
      <x:c r="A3201" s="33" t="str">
        <x:v>P4EVID136</x:v>
      </x:c>
      <x:c r="B3201" s="33" t="str">
        <x:v>Evidence Master</x:v>
      </x:c>
      <x:c r="C3201" s="33" t="str">
        <x:v>Not present</x:v>
      </x:c>
      <x:c r="D3201" s="33" t="str">
        <x:v>Evidence ID=P4EVID136; Audit ID=AUD453; Evidence Required=Documentary and transaction evidence demonstrating: Calibrate all critical measuring instruments at approved intervals.; Evidence Type=Record; Mandatory=Yes; Retention Category=Applicable statutory / operational period; Origin=P4_VALIDATION; Active=Yes; Remarks=P-4 chain-closure evidence; exact document type follows the applicable law, licence or internal control.</x:v>
      </x:c>
      <x:c r="E3201" s="33" t="str">
        <x:v>ADD</x:v>
      </x:c>
      <x:c r="F3201" s="33" t="str">
        <x:v>Close every active audit-to-evidence link.</x:v>
      </x:c>
      <x:c r="G3201" s="33" t="str">
        <x:v>P-4 execution-chain reconciliation</x:v>
      </x:c>
      <x:c r="H3201" s="33" t="str">
        <x:v>P-4</x:v>
      </x:c>
      <x:c r="I3201" s="33" t="str">
        <x:v>P-4</x:v>
      </x:c>
      <x:c r="J3201" s="33" t="str">
        <x:v>2026-08-20</x:v>
      </x:c>
      <x:c r="K3201" s="33" t="str">
        <x:v>All active audits now have an active evidence record.</x:v>
      </x:c>
    </x:row>
    <x:row r="3202">
      <x:c r="A3202" s="33" t="str">
        <x:v>P4EVID137</x:v>
      </x:c>
      <x:c r="B3202" s="33" t="str">
        <x:v>Evidence Master</x:v>
      </x:c>
      <x:c r="C3202" s="33" t="str">
        <x:v>Not present</x:v>
      </x:c>
      <x:c r="D3202" s="33" t="str">
        <x:v>Evidence ID=P4EVID137; Audit ID=AUD455; Evidence Required=Documentary and transaction evidence demonstrating: Qualify equipment before operational use and after major repairs where required.; Evidence Type=Record; Mandatory=Yes; Retention Category=Applicable statutory / operational period; Origin=P4_VALIDATION; Active=Yes; Remarks=P-4 chain-closure evidence; exact document type follows the applicable law, licence or internal control.</x:v>
      </x:c>
      <x:c r="E3202" s="33" t="str">
        <x:v>ADD</x:v>
      </x:c>
      <x:c r="F3202" s="33" t="str">
        <x:v>Close every active audit-to-evidence link.</x:v>
      </x:c>
      <x:c r="G3202" s="33" t="str">
        <x:v>P-4 execution-chain reconciliation</x:v>
      </x:c>
      <x:c r="H3202" s="33" t="str">
        <x:v>P-4</x:v>
      </x:c>
      <x:c r="I3202" s="33" t="str">
        <x:v>P-4</x:v>
      </x:c>
      <x:c r="J3202" s="33" t="str">
        <x:v>2026-08-20</x:v>
      </x:c>
      <x:c r="K3202" s="33" t="str">
        <x:v>All active audits now have an active evidence record.</x:v>
      </x:c>
    </x:row>
    <x:row r="3203">
      <x:c r="A3203" s="33" t="str">
        <x:v>P4EVID138</x:v>
      </x:c>
      <x:c r="B3203" s="33" t="str">
        <x:v>Evidence Master</x:v>
      </x:c>
      <x:c r="C3203" s="33" t="str">
        <x:v>Not present</x:v>
      </x:c>
      <x:c r="D3203" s="33" t="str">
        <x:v>Evidence ID=P4EVID138; Audit ID=AUD457; Evidence Required=Documentary and transaction evidence demonstrating: Implement a documented preventive maintenance programme for critical equipment.; Evidence Type=Record; Mandatory=Yes; Retention Category=Applicable statutory / operational period; Origin=P4_VALIDATION; Active=Yes; Remarks=P-4 chain-closure evidence; exact document type follows the applicable law, licence or internal control.</x:v>
      </x:c>
      <x:c r="E3203" s="33" t="str">
        <x:v>ADD</x:v>
      </x:c>
      <x:c r="F3203" s="33" t="str">
        <x:v>Close every active audit-to-evidence link.</x:v>
      </x:c>
      <x:c r="G3203" s="33" t="str">
        <x:v>P-4 execution-chain reconciliation</x:v>
      </x:c>
      <x:c r="H3203" s="33" t="str">
        <x:v>P-4</x:v>
      </x:c>
      <x:c r="I3203" s="33" t="str">
        <x:v>P-4</x:v>
      </x:c>
      <x:c r="J3203" s="33" t="str">
        <x:v>2026-08-20</x:v>
      </x:c>
      <x:c r="K3203" s="33" t="str">
        <x:v>All active audits now have an active evidence record.</x:v>
      </x:c>
    </x:row>
    <x:row r="3204">
      <x:c r="A3204" s="33" t="str">
        <x:v>P4EVID139</x:v>
      </x:c>
      <x:c r="B3204" s="33" t="str">
        <x:v>Evidence Master</x:v>
      </x:c>
      <x:c r="C3204" s="33" t="str">
        <x:v>Not present</x:v>
      </x:c>
      <x:c r="D3204" s="33" t="str">
        <x:v>Evidence ID=P4EVID139; Audit ID=AUD459; Evidence Required=Documentary and transaction evidence demonstrating: Maintain calibration certificates and calibration history for all critical instruments.; Evidence Type=Record; Mandatory=Yes; Retention Category=Applicable statutory / operational period; Origin=P4_VALIDATION; Active=Yes; Remarks=P-4 chain-closure evidence; exact document type follows the applicable law, licence or internal control.</x:v>
      </x:c>
      <x:c r="E3204" s="33" t="str">
        <x:v>ADD</x:v>
      </x:c>
      <x:c r="F3204" s="33" t="str">
        <x:v>Close every active audit-to-evidence link.</x:v>
      </x:c>
      <x:c r="G3204" s="33" t="str">
        <x:v>P-4 execution-chain reconciliation</x:v>
      </x:c>
      <x:c r="H3204" s="33" t="str">
        <x:v>P-4</x:v>
      </x:c>
      <x:c r="I3204" s="33" t="str">
        <x:v>P-4</x:v>
      </x:c>
      <x:c r="J3204" s="33" t="str">
        <x:v>2026-08-20</x:v>
      </x:c>
      <x:c r="K3204" s="33" t="str">
        <x:v>All active audits now have an active evidence record.</x:v>
      </x:c>
    </x:row>
    <x:row r="3205">
      <x:c r="A3205" s="33" t="str">
        <x:v>P4EVID140</x:v>
      </x:c>
      <x:c r="B3205" s="33" t="str">
        <x:v>Evidence Master</x:v>
      </x:c>
      <x:c r="C3205" s="33" t="str">
        <x:v>Not present</x:v>
      </x:c>
      <x:c r="D3205" s="33" t="str">
        <x:v>Evidence ID=P4EVID140; Audit ID=AUD461; Evidence Required=Documentary and transaction evidence demonstrating: Verify equipment performance following maintenance or calibration activities.; Evidence Type=Record; Mandatory=Yes; Retention Category=Applicable statutory / operational period; Origin=P4_VALIDATION; Active=Yes; Remarks=P-4 chain-closure evidence; exact document type follows the applicable law, licence or internal control.</x:v>
      </x:c>
      <x:c r="E3205" s="33" t="str">
        <x:v>ADD</x:v>
      </x:c>
      <x:c r="F3205" s="33" t="str">
        <x:v>Close every active audit-to-evidence link.</x:v>
      </x:c>
      <x:c r="G3205" s="33" t="str">
        <x:v>P-4 execution-chain reconciliation</x:v>
      </x:c>
      <x:c r="H3205" s="33" t="str">
        <x:v>P-4</x:v>
      </x:c>
      <x:c r="I3205" s="33" t="str">
        <x:v>P-4</x:v>
      </x:c>
      <x:c r="J3205" s="33" t="str">
        <x:v>2026-08-20</x:v>
      </x:c>
      <x:c r="K3205" s="33" t="str">
        <x:v>All active audits now have an active evidence record.</x:v>
      </x:c>
    </x:row>
    <x:row r="3206">
      <x:c r="A3206" s="33" t="str">
        <x:v>P4EVID141</x:v>
      </x:c>
      <x:c r="B3206" s="33" t="str">
        <x:v>Evidence Master</x:v>
      </x:c>
      <x:c r="C3206" s="33" t="str">
        <x:v>Not present</x:v>
      </x:c>
      <x:c r="D3206" s="33" t="str">
        <x:v>Evidence ID=P4EVID141; Audit ID=AUD463; Evidence Required=Documentary and transaction evidence demonstrating: Clearly identify and segregate equipment that is overdue for calibration or found to be defective.; Evidence Type=Record; Mandatory=Yes; Retention Category=Applicable statutory / operational period; Origin=P4_VALIDATION; Active=Yes; Remarks=P-4 chain-closure evidence; exact document type follows the applicable law, licence or internal control.</x:v>
      </x:c>
      <x:c r="E3206" s="33" t="str">
        <x:v>ADD</x:v>
      </x:c>
      <x:c r="F3206" s="33" t="str">
        <x:v>Close every active audit-to-evidence link.</x:v>
      </x:c>
      <x:c r="G3206" s="33" t="str">
        <x:v>P-4 execution-chain reconciliation</x:v>
      </x:c>
      <x:c r="H3206" s="33" t="str">
        <x:v>P-4</x:v>
      </x:c>
      <x:c r="I3206" s="33" t="str">
        <x:v>P-4</x:v>
      </x:c>
      <x:c r="J3206" s="33" t="str">
        <x:v>2026-08-20</x:v>
      </x:c>
      <x:c r="K3206" s="33" t="str">
        <x:v>All active audits now have an active evidence record.</x:v>
      </x:c>
    </x:row>
    <x:row r="3207">
      <x:c r="A3207" s="33" t="str">
        <x:v>P4EVID142</x:v>
      </x:c>
      <x:c r="B3207" s="33" t="str">
        <x:v>Evidence Master</x:v>
      </x:c>
      <x:c r="C3207" s="33" t="str">
        <x:v>Not present</x:v>
      </x:c>
      <x:c r="D3207" s="33" t="str">
        <x:v>Evidence ID=P4EVID142; Audit ID=AUD465; Evidence Required=Documentary and transaction evidence demonstrating: Ensure calibration is traceable to nationally or internationally recognized standards.; Evidence Type=Record; Mandatory=Yes; Retention Category=Applicable statutory / operational period; Origin=P4_VALIDATION; Active=Yes; Remarks=P-4 chain-closure evidence; exact document type follows the applicable law, licence or internal control.</x:v>
      </x:c>
      <x:c r="E3207" s="33" t="str">
        <x:v>ADD</x:v>
      </x:c>
      <x:c r="F3207" s="33" t="str">
        <x:v>Close every active audit-to-evidence link.</x:v>
      </x:c>
      <x:c r="G3207" s="33" t="str">
        <x:v>P-4 execution-chain reconciliation</x:v>
      </x:c>
      <x:c r="H3207" s="33" t="str">
        <x:v>P-4</x:v>
      </x:c>
      <x:c r="I3207" s="33" t="str">
        <x:v>P-4</x:v>
      </x:c>
      <x:c r="J3207" s="33" t="str">
        <x:v>2026-08-20</x:v>
      </x:c>
      <x:c r="K3207" s="33" t="str">
        <x:v>All active audits now have an active evidence record.</x:v>
      </x:c>
    </x:row>
    <x:row r="3208">
      <x:c r="A3208" s="33" t="str">
        <x:v>P4EVID143</x:v>
      </x:c>
      <x:c r="B3208" s="33" t="str">
        <x:v>Evidence Master</x:v>
      </x:c>
      <x:c r="C3208" s="33" t="str">
        <x:v>Not present</x:v>
      </x:c>
      <x:c r="D3208" s="33" t="str">
        <x:v>Evidence ID=P4EVID143; Audit ID=AUD466; Evidence Required=Documentary and transaction evidence demonstrating: Ensure calibration is traceable to nationally or internationally recognized standards.; Evidence Type=Record; Mandatory=Yes; Retention Category=Applicable statutory / operational period; Origin=P4_VALIDATION; Active=Yes; Remarks=P-4 chain-closure evidence; exact document type follows the applicable law, licence or internal control.</x:v>
      </x:c>
      <x:c r="E3208" s="33" t="str">
        <x:v>ADD</x:v>
      </x:c>
      <x:c r="F3208" s="33" t="str">
        <x:v>Close every active audit-to-evidence link.</x:v>
      </x:c>
      <x:c r="G3208" s="33" t="str">
        <x:v>P-4 execution-chain reconciliation</x:v>
      </x:c>
      <x:c r="H3208" s="33" t="str">
        <x:v>P-4</x:v>
      </x:c>
      <x:c r="I3208" s="33" t="str">
        <x:v>P-4</x:v>
      </x:c>
      <x:c r="J3208" s="33" t="str">
        <x:v>2026-08-20</x:v>
      </x:c>
      <x:c r="K3208" s="33" t="str">
        <x:v>All active audits now have an active evidence record.</x:v>
      </x:c>
    </x:row>
    <x:row r="3209">
      <x:c r="A3209" s="33" t="str">
        <x:v>P4EVID144</x:v>
      </x:c>
      <x:c r="B3209" s="33" t="str">
        <x:v>Evidence Master</x:v>
      </x:c>
      <x:c r="C3209" s="33" t="str">
        <x:v>Not present</x:v>
      </x:c>
      <x:c r="D3209" s="33" t="str">
        <x:v>Evidence ID=P4EVID144; Audit ID=AUD468; Evidence Required=Documentary and transaction evidence demonstrating: Periodically review the effectiveness of the calibration and maintenance programme.; Evidence Type=Record; Mandatory=Yes; Retention Category=Applicable statutory / operational period; Origin=P4_VALIDATION; Active=Yes; Remarks=P-4 chain-closure evidence; exact document type follows the applicable law, licence or internal control.</x:v>
      </x:c>
      <x:c r="E3209" s="33" t="str">
        <x:v>ADD</x:v>
      </x:c>
      <x:c r="F3209" s="33" t="str">
        <x:v>Close every active audit-to-evidence link.</x:v>
      </x:c>
      <x:c r="G3209" s="33" t="str">
        <x:v>P-4 execution-chain reconciliation</x:v>
      </x:c>
      <x:c r="H3209" s="33" t="str">
        <x:v>P-4</x:v>
      </x:c>
      <x:c r="I3209" s="33" t="str">
        <x:v>P-4</x:v>
      </x:c>
      <x:c r="J3209" s="33" t="str">
        <x:v>2026-08-20</x:v>
      </x:c>
      <x:c r="K3209" s="33" t="str">
        <x:v>All active audits now have an active evidence record.</x:v>
      </x:c>
    </x:row>
    <x:row r="3210">
      <x:c r="A3210" s="33" t="str">
        <x:v>P4EVID145</x:v>
      </x:c>
      <x:c r="B3210" s="33" t="str">
        <x:v>Evidence Master</x:v>
      </x:c>
      <x:c r="C3210" s="33" t="str">
        <x:v>Not present</x:v>
      </x:c>
      <x:c r="D3210" s="33" t="str">
        <x:v>Evidence ID=P4EVID145; Audit ID=AUD469; Evidence Required=Documentary and transaction evidence demonstrating: Periodically review the effectiveness of the calibration and maintenance programme.; Evidence Type=Record; Mandatory=Yes; Retention Category=Applicable statutory / operational period; Origin=P4_VALIDATION; Active=Yes; Remarks=P-4 chain-closure evidence; exact document type follows the applicable law, licence or internal control.</x:v>
      </x:c>
      <x:c r="E3210" s="33" t="str">
        <x:v>ADD</x:v>
      </x:c>
      <x:c r="F3210" s="33" t="str">
        <x:v>Close every active audit-to-evidence link.</x:v>
      </x:c>
      <x:c r="G3210" s="33" t="str">
        <x:v>P-4 execution-chain reconciliation</x:v>
      </x:c>
      <x:c r="H3210" s="33" t="str">
        <x:v>P-4</x:v>
      </x:c>
      <x:c r="I3210" s="33" t="str">
        <x:v>P-4</x:v>
      </x:c>
      <x:c r="J3210" s="33" t="str">
        <x:v>2026-08-20</x:v>
      </x:c>
      <x:c r="K3210" s="33" t="str">
        <x:v>All active audits now have an active evidence record.</x:v>
      </x:c>
    </x:row>
    <x:row r="3211">
      <x:c r="A3211" s="33" t="str">
        <x:v>P4EVID146</x:v>
      </x:c>
      <x:c r="B3211" s="33" t="str">
        <x:v>Evidence Master</x:v>
      </x:c>
      <x:c r="C3211" s="33" t="str">
        <x:v>Not present</x:v>
      </x:c>
      <x:c r="D3211" s="33" t="str">
        <x:v>Evidence ID=P4EVID146; Audit ID=AUD471; Evidence Required=Documentary and transaction evidence demonstrating: Synchronise ICT system clocks to NIC/NPL traceable NTP servers or another accurate time source traceable to them.; Evidence Type=Record; Mandatory=Yes; Retention Category=Applicable statutory / operational period; Origin=P4_VALIDATION; Active=Yes; Remarks=P-4 chain-closure evidence; exact document type follows the applicable law, licence or internal control.</x:v>
      </x:c>
      <x:c r="E3211" s="33" t="str">
        <x:v>ADD</x:v>
      </x:c>
      <x:c r="F3211" s="33" t="str">
        <x:v>Close every active audit-to-evidence link.</x:v>
      </x:c>
      <x:c r="G3211" s="33" t="str">
        <x:v>P-4 execution-chain reconciliation</x:v>
      </x:c>
      <x:c r="H3211" s="33" t="str">
        <x:v>P-4</x:v>
      </x:c>
      <x:c r="I3211" s="33" t="str">
        <x:v>P-4</x:v>
      </x:c>
      <x:c r="J3211" s="33" t="str">
        <x:v>2026-08-20</x:v>
      </x:c>
      <x:c r="K3211" s="33" t="str">
        <x:v>All active audits now have an active evidence record.</x:v>
      </x:c>
    </x:row>
    <x:row r="3212">
      <x:c r="A3212" s="33" t="str">
        <x:v>P4EVID147</x:v>
      </x:c>
      <x:c r="B3212" s="33" t="str">
        <x:v>Evidence Master</x:v>
      </x:c>
      <x:c r="C3212" s="33" t="str">
        <x:v>Not present</x:v>
      </x:c>
      <x:c r="D3212" s="33" t="str">
        <x:v>Evidence ID=P4EVID147; Audit ID=AUD473; Evidence Required=Documentary and transaction evidence demonstrating: Report any specified Annexure I cyber incident to CERT-In within six hours of noticing it or being informed.; Evidence Type=Record; Mandatory=Yes; Retention Category=Applicable statutory / operational period; Origin=P4_VALIDATION; Active=Yes; Remarks=P-4 chain-closure evidence; exact document type follows the applicable law, licence or internal control.</x:v>
      </x:c>
      <x:c r="E3212" s="33" t="str">
        <x:v>ADD</x:v>
      </x:c>
      <x:c r="F3212" s="33" t="str">
        <x:v>Close every active audit-to-evidence link.</x:v>
      </x:c>
      <x:c r="G3212" s="33" t="str">
        <x:v>P-4 execution-chain reconciliation</x:v>
      </x:c>
      <x:c r="H3212" s="33" t="str">
        <x:v>P-4</x:v>
      </x:c>
      <x:c r="I3212" s="33" t="str">
        <x:v>P-4</x:v>
      </x:c>
      <x:c r="J3212" s="33" t="str">
        <x:v>2026-08-20</x:v>
      </x:c>
      <x:c r="K3212" s="33" t="str">
        <x:v>All active audits now have an active evidence record.</x:v>
      </x:c>
    </x:row>
    <x:row r="3213">
      <x:c r="A3213" s="33" t="str">
        <x:v>P4EVID148</x:v>
      </x:c>
      <x:c r="B3213" s="33" t="str">
        <x:v>Evidence Master</x:v>
      </x:c>
      <x:c r="C3213" s="33" t="str">
        <x:v>Not present</x:v>
      </x:c>
      <x:c r="D3213" s="33" t="str">
        <x:v>Evidence ID=P4EVID148; Audit ID=AUD475; Evidence Required=Documentary and transaction evidence demonstrating: Enable ICT logs, retain them securely for a rolling 180 days within Indian jurisdiction and provide them to CERT-In when lawfully required.; Evidence Type=Record; Mandatory=Yes; Retention Category=Applicable statutory / operational period; Origin=P4_VALIDATION; Active=Yes; Remarks=P-4 chain-closure evidence; exact document type follows the applicable law, licence or internal control.</x:v>
      </x:c>
      <x:c r="E3213" s="33" t="str">
        <x:v>ADD</x:v>
      </x:c>
      <x:c r="F3213" s="33" t="str">
        <x:v>Close every active audit-to-evidence link.</x:v>
      </x:c>
      <x:c r="G3213" s="33" t="str">
        <x:v>P-4 execution-chain reconciliation</x:v>
      </x:c>
      <x:c r="H3213" s="33" t="str">
        <x:v>P-4</x:v>
      </x:c>
      <x:c r="I3213" s="33" t="str">
        <x:v>P-4</x:v>
      </x:c>
      <x:c r="J3213" s="33" t="str">
        <x:v>2026-08-20</x:v>
      </x:c>
      <x:c r="K3213" s="33" t="str">
        <x:v>All active audits now have an active evidence record.</x:v>
      </x:c>
    </x:row>
    <x:row r="3214">
      <x:c r="A3214" s="33" t="str">
        <x:v>P4EVID149</x:v>
      </x:c>
      <x:c r="B3214" s="33" t="str">
        <x:v>Evidence Master</x:v>
      </x:c>
      <x:c r="C3214" s="33" t="str">
        <x:v>Not present</x:v>
      </x:c>
      <x:c r="D3214" s="33" t="str">
        <x:v>Evidence ID=P4EVID149; Audit ID=AUD477; Evidence Required=Documentary and transaction evidence demonstrating: Designate, communicate and keep current the prescribed CERT-In point-of-contact details.; Evidence Type=Record; Mandatory=Yes; Retention Category=Applicable statutory / operational period; Origin=P4_VALIDATION; Active=Yes; Remarks=P-4 chain-closure evidence; exact document type follows the applicable law, licence or internal control.</x:v>
      </x:c>
      <x:c r="E3214" s="33" t="str">
        <x:v>ADD</x:v>
      </x:c>
      <x:c r="F3214" s="33" t="str">
        <x:v>Close every active audit-to-evidence link.</x:v>
      </x:c>
      <x:c r="G3214" s="33" t="str">
        <x:v>P-4 execution-chain reconciliation</x:v>
      </x:c>
      <x:c r="H3214" s="33" t="str">
        <x:v>P-4</x:v>
      </x:c>
      <x:c r="I3214" s="33" t="str">
        <x:v>P-4</x:v>
      </x:c>
      <x:c r="J3214" s="33" t="str">
        <x:v>2026-08-20</x:v>
      </x:c>
      <x:c r="K3214" s="33" t="str">
        <x:v>All active audits now have an active evidence record.</x:v>
      </x:c>
    </x:row>
    <x:row r="3215">
      <x:c r="A3215" s="33" t="str">
        <x:v>P4EVID150</x:v>
      </x:c>
      <x:c r="B3215" s="33" t="str">
        <x:v>Evidence Master</x:v>
      </x:c>
      <x:c r="C3215" s="33" t="str">
        <x:v>Not present</x:v>
      </x:c>
      <x:c r="D3215" s="33" t="str">
        <x:v>Evidence ID=P4EVID150; Audit ID=AUD491; Evidence Required=Documentary and transaction evidence demonstrating: Maintain pharmacy premises, records and operations in a state of inspection readiness at all times.; Evidence Type=Record; Mandatory=Yes; Retention Category=Applicable statutory / operational period; Origin=P4_VALIDATION; Active=Yes; Remarks=P-4 chain-closure evidence; exact document type follows the applicable law, licence or internal control.</x:v>
      </x:c>
      <x:c r="E3215" s="33" t="str">
        <x:v>ADD</x:v>
      </x:c>
      <x:c r="F3215" s="33" t="str">
        <x:v>Close every active audit-to-evidence link.</x:v>
      </x:c>
      <x:c r="G3215" s="33" t="str">
        <x:v>P-4 execution-chain reconciliation</x:v>
      </x:c>
      <x:c r="H3215" s="33" t="str">
        <x:v>P-4</x:v>
      </x:c>
      <x:c r="I3215" s="33" t="str">
        <x:v>P-4</x:v>
      </x:c>
      <x:c r="J3215" s="33" t="str">
        <x:v>2026-08-20</x:v>
      </x:c>
      <x:c r="K3215" s="33" t="str">
        <x:v>All active audits now have an active evidence record.</x:v>
      </x:c>
    </x:row>
    <x:row r="3216">
      <x:c r="A3216" s="33" t="str">
        <x:v>P4EVID151</x:v>
      </x:c>
      <x:c r="B3216" s="33" t="str">
        <x:v>Evidence Master</x:v>
      </x:c>
      <x:c r="C3216" s="33" t="str">
        <x:v>Not present</x:v>
      </x:c>
      <x:c r="D3216" s="33" t="str">
        <x:v>Evidence ID=P4EVID151; Audit ID=AUD493; Evidence Required=Documentary and transaction evidence demonstrating: Ensure statutory licences, approvals and registers are readily available for inspection.; Evidence Type=Record; Mandatory=Yes; Retention Category=Applicable statutory / operational period; Origin=P4_VALIDATION; Active=Yes; Remarks=P-4 chain-closure evidence; exact document type follows the applicable law, licence or internal control.</x:v>
      </x:c>
      <x:c r="E3216" s="33" t="str">
        <x:v>ADD</x:v>
      </x:c>
      <x:c r="F3216" s="33" t="str">
        <x:v>Close every active audit-to-evidence link.</x:v>
      </x:c>
      <x:c r="G3216" s="33" t="str">
        <x:v>P-4 execution-chain reconciliation</x:v>
      </x:c>
      <x:c r="H3216" s="33" t="str">
        <x:v>P-4</x:v>
      </x:c>
      <x:c r="I3216" s="33" t="str">
        <x:v>P-4</x:v>
      </x:c>
      <x:c r="J3216" s="33" t="str">
        <x:v>2026-08-20</x:v>
      </x:c>
      <x:c r="K3216" s="33" t="str">
        <x:v>All active audits now have an active evidence record.</x:v>
      </x:c>
    </x:row>
    <x:row r="3217">
      <x:c r="A3217" s="33" t="str">
        <x:v>P4EVID152</x:v>
      </x:c>
      <x:c r="B3217" s="33" t="str">
        <x:v>Evidence Master</x:v>
      </x:c>
      <x:c r="C3217" s="33" t="str">
        <x:v>Not present</x:v>
      </x:c>
      <x:c r="D3217" s="33" t="str">
        <x:v>Evidence ID=P4EVID152; Audit ID=AUD495; Evidence Required=Documentary and transaction evidence demonstrating: Maintain approved Standard Operating Procedures (SOPs) for all critical pharmacy processes.; Evidence Type=Record; Mandatory=Yes; Retention Category=Applicable statutory / operational period; Origin=P4_VALIDATION; Active=Yes; Remarks=P-4 chain-closure evidence; exact document type follows the applicable law, licence or internal control.</x:v>
      </x:c>
      <x:c r="E3217" s="33" t="str">
        <x:v>ADD</x:v>
      </x:c>
      <x:c r="F3217" s="33" t="str">
        <x:v>Close every active audit-to-evidence link.</x:v>
      </x:c>
      <x:c r="G3217" s="33" t="str">
        <x:v>P-4 execution-chain reconciliation</x:v>
      </x:c>
      <x:c r="H3217" s="33" t="str">
        <x:v>P-4</x:v>
      </x:c>
      <x:c r="I3217" s="33" t="str">
        <x:v>P-4</x:v>
      </x:c>
      <x:c r="J3217" s="33" t="str">
        <x:v>2026-08-20</x:v>
      </x:c>
      <x:c r="K3217" s="33" t="str">
        <x:v>All active audits now have an active evidence record.</x:v>
      </x:c>
    </x:row>
    <x:row r="3218">
      <x:c r="A3218" s="33" t="str">
        <x:v>P4EVID153</x:v>
      </x:c>
      <x:c r="B3218" s="33" t="str">
        <x:v>Evidence Master</x:v>
      </x:c>
      <x:c r="C3218" s="33" t="str">
        <x:v>Not present</x:v>
      </x:c>
      <x:c r="D3218" s="33" t="str">
        <x:v>Evidence ID=P4EVID153; Audit ID=AUD497; Evidence Required=Documentary and transaction evidence demonstrating: Review and respond to inspection observations within timelines prescribed by the authority.; Evidence Type=Record; Mandatory=Yes; Retention Category=Applicable statutory / operational period; Origin=P4_VALIDATION; Active=Yes; Remarks=P-4 chain-closure evidence; exact document type follows the applicable law, licence or internal control.</x:v>
      </x:c>
      <x:c r="E3218" s="33" t="str">
        <x:v>ADD</x:v>
      </x:c>
      <x:c r="F3218" s="33" t="str">
        <x:v>Close every active audit-to-evidence link.</x:v>
      </x:c>
      <x:c r="G3218" s="33" t="str">
        <x:v>P-4 execution-chain reconciliation</x:v>
      </x:c>
      <x:c r="H3218" s="33" t="str">
        <x:v>P-4</x:v>
      </x:c>
      <x:c r="I3218" s="33" t="str">
        <x:v>P-4</x:v>
      </x:c>
      <x:c r="J3218" s="33" t="str">
        <x:v>2026-08-20</x:v>
      </x:c>
      <x:c r="K3218" s="33" t="str">
        <x:v>All active audits now have an active evidence record.</x:v>
      </x:c>
    </x:row>
    <x:row r="3219">
      <x:c r="A3219" s="33" t="str">
        <x:v>P4EVID154</x:v>
      </x:c>
      <x:c r="B3219" s="33" t="str">
        <x:v>Evidence Master</x:v>
      </x:c>
      <x:c r="C3219" s="33" t="str">
        <x:v>Not present</x:v>
      </x:c>
      <x:c r="D3219" s="33" t="str">
        <x:v>Evidence ID=P4EVID154; Audit ID=AUD499; Evidence Required=Documentary and transaction evidence demonstrating: Implement corrective and preventive actions (CAPA) for all regulatory inspection observations.; Evidence Type=Record; Mandatory=Yes; Retention Category=Applicable statutory / operational period; Origin=P4_VALIDATION; Active=Yes; Remarks=P-4 chain-closure evidence; exact document type follows the applicable law, licence or internal control.</x:v>
      </x:c>
      <x:c r="E3219" s="33" t="str">
        <x:v>ADD</x:v>
      </x:c>
      <x:c r="F3219" s="33" t="str">
        <x:v>Close every active audit-to-evidence link.</x:v>
      </x:c>
      <x:c r="G3219" s="33" t="str">
        <x:v>P-4 execution-chain reconciliation</x:v>
      </x:c>
      <x:c r="H3219" s="33" t="str">
        <x:v>P-4</x:v>
      </x:c>
      <x:c r="I3219" s="33" t="str">
        <x:v>P-4</x:v>
      </x:c>
      <x:c r="J3219" s="33" t="str">
        <x:v>2026-08-20</x:v>
      </x:c>
      <x:c r="K3219" s="33" t="str">
        <x:v>All active audits now have an active evidence record.</x:v>
      </x:c>
    </x:row>
    <x:row r="3220">
      <x:c r="A3220" s="33" t="str">
        <x:v>P4EVID155</x:v>
      </x:c>
      <x:c r="B3220" s="33" t="str">
        <x:v>Evidence Master</x:v>
      </x:c>
      <x:c r="C3220" s="33" t="str">
        <x:v>Not present</x:v>
      </x:c>
      <x:c r="D3220" s="33" t="str">
        <x:v>Evidence ID=P4EVID155; Audit ID=AUD501; Evidence Required=Documentary and transaction evidence demonstrating: Conduct periodic internal compliance reviews covering all applicable pharmacy regulations.; Evidence Type=Record; Mandatory=Yes; Retention Category=Applicable statutory / operational period; Origin=P4_VALIDATION; Active=Yes; Remarks=P-4 chain-closure evidence; exact document type follows the applicable law, licence or internal control.</x:v>
      </x:c>
      <x:c r="E3220" s="33" t="str">
        <x:v>ADD</x:v>
      </x:c>
      <x:c r="F3220" s="33" t="str">
        <x:v>Close every active audit-to-evidence link.</x:v>
      </x:c>
      <x:c r="G3220" s="33" t="str">
        <x:v>P-4 execution-chain reconciliation</x:v>
      </x:c>
      <x:c r="H3220" s="33" t="str">
        <x:v>P-4</x:v>
      </x:c>
      <x:c r="I3220" s="33" t="str">
        <x:v>P-4</x:v>
      </x:c>
      <x:c r="J3220" s="33" t="str">
        <x:v>2026-08-20</x:v>
      </x:c>
      <x:c r="K3220" s="33" t="str">
        <x:v>All active audits now have an active evidence record.</x:v>
      </x:c>
    </x:row>
    <x:row r="3221">
      <x:c r="A3221" s="33" t="str">
        <x:v>P4EVID156</x:v>
      </x:c>
      <x:c r="B3221" s="33" t="str">
        <x:v>Evidence Master</x:v>
      </x:c>
      <x:c r="C3221" s="33" t="str">
        <x:v>Not present</x:v>
      </x:c>
      <x:c r="D3221" s="33" t="str">
        <x:v>Evidence ID=P4EVID156; Audit ID=AUD503; Evidence Required=Documentary and transaction evidence demonstrating: Establish and maintain an enterprise compliance governance framework.; Evidence Type=Record; Mandatory=Yes; Retention Category=Applicable statutory / operational period; Origin=P4_VALIDATION; Active=Yes; Remarks=P-4 chain-closure evidence; exact document type follows the applicable law, licence or internal control.</x:v>
      </x:c>
      <x:c r="E3221" s="33" t="str">
        <x:v>ADD</x:v>
      </x:c>
      <x:c r="F3221" s="33" t="str">
        <x:v>Close every active audit-to-evidence link.</x:v>
      </x:c>
      <x:c r="G3221" s="33" t="str">
        <x:v>P-4 execution-chain reconciliation</x:v>
      </x:c>
      <x:c r="H3221" s="33" t="str">
        <x:v>P-4</x:v>
      </x:c>
      <x:c r="I3221" s="33" t="str">
        <x:v>P-4</x:v>
      </x:c>
      <x:c r="J3221" s="33" t="str">
        <x:v>2026-08-20</x:v>
      </x:c>
      <x:c r="K3221" s="33" t="str">
        <x:v>All active audits now have an active evidence record.</x:v>
      </x:c>
    </x:row>
    <x:row r="3222">
      <x:c r="A3222" s="33" t="str">
        <x:v>P4EVID157</x:v>
      </x:c>
      <x:c r="B3222" s="33" t="str">
        <x:v>Evidence Master</x:v>
      </x:c>
      <x:c r="C3222" s="33" t="str">
        <x:v>Not present</x:v>
      </x:c>
      <x:c r="D3222" s="33" t="str">
        <x:v>Evidence ID=P4EVID157; Audit ID=AUD505; Evidence Required=Documentary and transaction evidence demonstrating: Assign clear ownership and accountability for every regulatory compliance obligation.; Evidence Type=Record; Mandatory=Yes; Retention Category=Applicable statutory / operational period; Origin=P4_VALIDATION; Active=Yes; Remarks=P-4 chain-closure evidence; exact document type follows the applicable law, licence or internal control.</x:v>
      </x:c>
      <x:c r="E3222" s="33" t="str">
        <x:v>ADD</x:v>
      </x:c>
      <x:c r="F3222" s="33" t="str">
        <x:v>Close every active audit-to-evidence link.</x:v>
      </x:c>
      <x:c r="G3222" s="33" t="str">
        <x:v>P-4 execution-chain reconciliation</x:v>
      </x:c>
      <x:c r="H3222" s="33" t="str">
        <x:v>P-4</x:v>
      </x:c>
      <x:c r="I3222" s="33" t="str">
        <x:v>P-4</x:v>
      </x:c>
      <x:c r="J3222" s="33" t="str">
        <x:v>2026-08-20</x:v>
      </x:c>
      <x:c r="K3222" s="33" t="str">
        <x:v>All active audits now have an active evidence record.</x:v>
      </x:c>
    </x:row>
    <x:row r="3223">
      <x:c r="A3223" s="33" t="str">
        <x:v>P4EVID158</x:v>
      </x:c>
      <x:c r="B3223" s="33" t="str">
        <x:v>Evidence Master</x:v>
      </x:c>
      <x:c r="C3223" s="33" t="str">
        <x:v>Not present</x:v>
      </x:c>
      <x:c r="D3223" s="33" t="str">
        <x:v>Evidence ID=P4EVID158; Audit ID=AUD507; Evidence Required=Documentary and transaction evidence demonstrating: Monitor regulatory updates and assess their impact on pharmacy operations.; Evidence Type=Record; Mandatory=Yes; Retention Category=Applicable statutory / operational period; Origin=P4_VALIDATION; Active=Yes; Remarks=P-4 chain-closure evidence; exact document type follows the applicable law, licence or internal control.</x:v>
      </x:c>
      <x:c r="E3223" s="33" t="str">
        <x:v>ADD</x:v>
      </x:c>
      <x:c r="F3223" s="33" t="str">
        <x:v>Close every active audit-to-evidence link.</x:v>
      </x:c>
      <x:c r="G3223" s="33" t="str">
        <x:v>P-4 execution-chain reconciliation</x:v>
      </x:c>
      <x:c r="H3223" s="33" t="str">
        <x:v>P-4</x:v>
      </x:c>
      <x:c r="I3223" s="33" t="str">
        <x:v>P-4</x:v>
      </x:c>
      <x:c r="J3223" s="33" t="str">
        <x:v>2026-08-20</x:v>
      </x:c>
      <x:c r="K3223" s="33" t="str">
        <x:v>All active audits now have an active evidence record.</x:v>
      </x:c>
    </x:row>
    <x:row r="3224">
      <x:c r="A3224" s="33" t="str">
        <x:v>P4EVID159</x:v>
      </x:c>
      <x:c r="B3224" s="33" t="str">
        <x:v>Evidence Master</x:v>
      </x:c>
      <x:c r="C3224" s="33" t="str">
        <x:v>Not present</x:v>
      </x:c>
      <x:c r="D3224" s="33" t="str">
        <x:v>Evidence ID=P4EVID159; Audit ID=AUD509; Evidence Required=Documentary and transaction evidence demonstrating: Maintain a compliance calendar covering all statutory obligations and due dates.; Evidence Type=Record; Mandatory=Yes; Retention Category=Applicable statutory / operational period; Origin=P4_VALIDATION; Active=Yes; Remarks=P-4 chain-closure evidence; exact document type follows the applicable law, licence or internal control.</x:v>
      </x:c>
      <x:c r="E3224" s="33" t="str">
        <x:v>ADD</x:v>
      </x:c>
      <x:c r="F3224" s="33" t="str">
        <x:v>Close every active audit-to-evidence link.</x:v>
      </x:c>
      <x:c r="G3224" s="33" t="str">
        <x:v>P-4 execution-chain reconciliation</x:v>
      </x:c>
      <x:c r="H3224" s="33" t="str">
        <x:v>P-4</x:v>
      </x:c>
      <x:c r="I3224" s="33" t="str">
        <x:v>P-4</x:v>
      </x:c>
      <x:c r="J3224" s="33" t="str">
        <x:v>2026-08-20</x:v>
      </x:c>
      <x:c r="K3224" s="33" t="str">
        <x:v>All active audits now have an active evidence record.</x:v>
      </x:c>
    </x:row>
    <x:row r="3225">
      <x:c r="A3225" s="33" t="str">
        <x:v>P4EVID160</x:v>
      </x:c>
      <x:c r="B3225" s="33" t="str">
        <x:v>Evidence Master</x:v>
      </x:c>
      <x:c r="C3225" s="33" t="str">
        <x:v>Not present</x:v>
      </x:c>
      <x:c r="D3225" s="33" t="str">
        <x:v>Evidence ID=P4EVID160; Audit ID=AUD511; Evidence Required=Documentary and transaction evidence demonstrating: Submit periodic compliance reports to senior management.; Evidence Type=Record; Mandatory=Yes; Retention Category=Applicable statutory / operational period; Origin=P4_VALIDATION; Active=Yes; Remarks=P-4 chain-closure evidence; exact document type follows the applicable law, licence or internal control.</x:v>
      </x:c>
      <x:c r="E3225" s="33" t="str">
        <x:v>ADD</x:v>
      </x:c>
      <x:c r="F3225" s="33" t="str">
        <x:v>Close every active audit-to-evidence link.</x:v>
      </x:c>
      <x:c r="G3225" s="33" t="str">
        <x:v>P-4 execution-chain reconciliation</x:v>
      </x:c>
      <x:c r="H3225" s="33" t="str">
        <x:v>P-4</x:v>
      </x:c>
      <x:c r="I3225" s="33" t="str">
        <x:v>P-4</x:v>
      </x:c>
      <x:c r="J3225" s="33" t="str">
        <x:v>2026-08-20</x:v>
      </x:c>
      <x:c r="K3225" s="33" t="str">
        <x:v>All active audits now have an active evidence record.</x:v>
      </x:c>
    </x:row>
    <x:row r="3226">
      <x:c r="A3226" s="33" t="str">
        <x:v>P4EVID161</x:v>
      </x:c>
      <x:c r="B3226" s="33" t="str">
        <x:v>Evidence Master</x:v>
      </x:c>
      <x:c r="C3226" s="33" t="str">
        <x:v>Not present</x:v>
      </x:c>
      <x:c r="D3226" s="33" t="str">
        <x:v>Evidence ID=P4EVID161; Audit ID=AUD513; Evidence Required=Documentary and transaction evidence demonstrating: Perform periodic regulatory risk assessments and document mitigation measures.; Evidence Type=Record; Mandatory=Yes; Retention Category=Applicable statutory / operational period; Origin=P4_VALIDATION; Active=Yes; Remarks=P-4 chain-closure evidence; exact document type follows the applicable law, licence or internal control.</x:v>
      </x:c>
      <x:c r="E3226" s="33" t="str">
        <x:v>ADD</x:v>
      </x:c>
      <x:c r="F3226" s="33" t="str">
        <x:v>Close every active audit-to-evidence link.</x:v>
      </x:c>
      <x:c r="G3226" s="33" t="str">
        <x:v>P-4 execution-chain reconciliation</x:v>
      </x:c>
      <x:c r="H3226" s="33" t="str">
        <x:v>P-4</x:v>
      </x:c>
      <x:c r="I3226" s="33" t="str">
        <x:v>P-4</x:v>
      </x:c>
      <x:c r="J3226" s="33" t="str">
        <x:v>2026-08-20</x:v>
      </x:c>
      <x:c r="K3226" s="33" t="str">
        <x:v>All active audits now have an active evidence record.</x:v>
      </x:c>
    </x:row>
    <x:row r="3227">
      <x:c r="A3227" s="33" t="str">
        <x:v>P4EVID162</x:v>
      </x:c>
      <x:c r="B3227" s="33" t="str">
        <x:v>Evidence Master</x:v>
      </x:c>
      <x:c r="C3227" s="33" t="str">
        <x:v>Not present</x:v>
      </x:c>
      <x:c r="D3227" s="33" t="str">
        <x:v>Evidence ID=P4EVID162; Audit ID=AUD515; Evidence Required=Documentary and transaction evidence demonstrating: Conduct independent internal audits to evaluate regulatory compliance effectiveness.; Evidence Type=Record; Mandatory=Yes; Retention Category=Applicable statutory / operational period; Origin=P4_VALIDATION; Active=Yes; Remarks=P-4 chain-closure evidence; exact document type follows the applicable law, licence or internal control.</x:v>
      </x:c>
      <x:c r="E3227" s="33" t="str">
        <x:v>ADD</x:v>
      </x:c>
      <x:c r="F3227" s="33" t="str">
        <x:v>Close every active audit-to-evidence link.</x:v>
      </x:c>
      <x:c r="G3227" s="33" t="str">
        <x:v>P-4 execution-chain reconciliation</x:v>
      </x:c>
      <x:c r="H3227" s="33" t="str">
        <x:v>P-4</x:v>
      </x:c>
      <x:c r="I3227" s="33" t="str">
        <x:v>P-4</x:v>
      </x:c>
      <x:c r="J3227" s="33" t="str">
        <x:v>2026-08-20</x:v>
      </x:c>
      <x:c r="K3227" s="33" t="str">
        <x:v>All active audits now have an active evidence record.</x:v>
      </x:c>
    </x:row>
    <x:row r="3228">
      <x:c r="A3228" s="33" t="str">
        <x:v>P4EVID163</x:v>
      </x:c>
      <x:c r="B3228" s="33" t="str">
        <x:v>Evidence Master</x:v>
      </x:c>
      <x:c r="C3228" s="33" t="str">
        <x:v>Not present</x:v>
      </x:c>
      <x:c r="D3228" s="33" t="str">
        <x:v>Evidence ID=P4EVID163; Audit ID=AUD517; Evidence Required=Documentary and transaction evidence demonstrating: Maintain controlled regulatory documents with version control, approval history and archival records.; Evidence Type=Record; Mandatory=Yes; Retention Category=Applicable statutory / operational period; Origin=P4_VALIDATION; Active=Yes; Remarks=P-4 chain-closure evidence; exact document type follows the applicable law, licence or internal control.</x:v>
      </x:c>
      <x:c r="E3228" s="33" t="str">
        <x:v>ADD</x:v>
      </x:c>
      <x:c r="F3228" s="33" t="str">
        <x:v>Close every active audit-to-evidence link.</x:v>
      </x:c>
      <x:c r="G3228" s="33" t="str">
        <x:v>P-4 execution-chain reconciliation</x:v>
      </x:c>
      <x:c r="H3228" s="33" t="str">
        <x:v>P-4</x:v>
      </x:c>
      <x:c r="I3228" s="33" t="str">
        <x:v>P-4</x:v>
      </x:c>
      <x:c r="J3228" s="33" t="str">
        <x:v>2026-08-20</x:v>
      </x:c>
      <x:c r="K3228" s="33" t="str">
        <x:v>All active audits now have an active evidence record.</x:v>
      </x:c>
    </x:row>
    <x:row r="3229">
      <x:c r="A3229" s="33" t="str">
        <x:v>P4EVID164</x:v>
      </x:c>
      <x:c r="B3229" s="33" t="str">
        <x:v>Evidence Master</x:v>
      </x:c>
      <x:c r="C3229" s="33" t="str">
        <x:v>Not present</x:v>
      </x:c>
      <x:c r="D3229" s="33" t="str">
        <x:v>Evidence ID=P4EVID164; Audit ID=AUD518; Evidence Required=Documentary and transaction evidence demonstrating: Maintain controlled regulatory documents with version control, approval history and archival records.; Evidence Type=Record; Mandatory=Yes; Retention Category=Applicable statutory / operational period; Origin=P4_VALIDATION; Active=Yes; Remarks=P-4 chain-closure evidence; exact document type follows the applicable law, licence or internal control.</x:v>
      </x:c>
      <x:c r="E3229" s="33" t="str">
        <x:v>ADD</x:v>
      </x:c>
      <x:c r="F3229" s="33" t="str">
        <x:v>Close every active audit-to-evidence link.</x:v>
      </x:c>
      <x:c r="G3229" s="33" t="str">
        <x:v>P-4 execution-chain reconciliation</x:v>
      </x:c>
      <x:c r="H3229" s="33" t="str">
        <x:v>P-4</x:v>
      </x:c>
      <x:c r="I3229" s="33" t="str">
        <x:v>P-4</x:v>
      </x:c>
      <x:c r="J3229" s="33" t="str">
        <x:v>2026-08-20</x:v>
      </x:c>
      <x:c r="K3229" s="33" t="str">
        <x:v>All active audits now have an active evidence record.</x:v>
      </x:c>
    </x:row>
    <x:row r="3230">
      <x:c r="A3230" s="33" t="str">
        <x:v>P4EVID165</x:v>
      </x:c>
      <x:c r="B3230" s="33" t="str">
        <x:v>Evidence Master</x:v>
      </x:c>
      <x:c r="C3230" s="33" t="str">
        <x:v>Not present</x:v>
      </x:c>
      <x:c r="D3230" s="33" t="str">
        <x:v>Evidence ID=P4EVID165; Audit ID=AUD520; Evidence Required=Documentary and transaction evidence demonstrating: Periodically review and improve the compliance management system through continual improvement initiatives.; Evidence Type=Record; Mandatory=Yes; Retention Category=Applicable statutory / operational period; Origin=P4_VALIDATION; Active=Yes; Remarks=P-4 chain-closure evidence; exact document type follows the applicable law, licence or internal control.</x:v>
      </x:c>
      <x:c r="E3230" s="33" t="str">
        <x:v>ADD</x:v>
      </x:c>
      <x:c r="F3230" s="33" t="str">
        <x:v>Close every active audit-to-evidence link.</x:v>
      </x:c>
      <x:c r="G3230" s="33" t="str">
        <x:v>P-4 execution-chain reconciliation</x:v>
      </x:c>
      <x:c r="H3230" s="33" t="str">
        <x:v>P-4</x:v>
      </x:c>
      <x:c r="I3230" s="33" t="str">
        <x:v>P-4</x:v>
      </x:c>
      <x:c r="J3230" s="33" t="str">
        <x:v>2026-08-20</x:v>
      </x:c>
      <x:c r="K3230" s="33" t="str">
        <x:v>All active audits now have an active evidence record.</x:v>
      </x:c>
    </x:row>
    <x:row r="3231">
      <x:c r="A3231" s="33" t="str">
        <x:v>P4EVID166</x:v>
      </x:c>
      <x:c r="B3231" s="33" t="str">
        <x:v>Evidence Master</x:v>
      </x:c>
      <x:c r="C3231" s="33" t="str">
        <x:v>Not present</x:v>
      </x:c>
      <x:c r="D3231" s="33" t="str">
        <x:v>Evidence ID=P4EVID166; Audit ID=AUD521; Evidence Required=Documentary and transaction evidence demonstrating: Periodically review and improve the compliance management system through continual improvement initiatives.; Evidence Type=Record; Mandatory=Yes; Retention Category=Applicable statutory / operational period; Origin=P4_VALIDATION; Active=Yes; Remarks=P-4 chain-closure evidence; exact document type follows the applicable law, licence or internal control.</x:v>
      </x:c>
      <x:c r="E3231" s="33" t="str">
        <x:v>ADD</x:v>
      </x:c>
      <x:c r="F3231" s="33" t="str">
        <x:v>Close every active audit-to-evidence link.</x:v>
      </x:c>
      <x:c r="G3231" s="33" t="str">
        <x:v>P-4 execution-chain reconciliation</x:v>
      </x:c>
      <x:c r="H3231" s="33" t="str">
        <x:v>P-4</x:v>
      </x:c>
      <x:c r="I3231" s="33" t="str">
        <x:v>P-4</x:v>
      </x:c>
      <x:c r="J3231" s="33" t="str">
        <x:v>2026-08-20</x:v>
      </x:c>
      <x:c r="K3231" s="33" t="str">
        <x:v>All active audits now have an active evidence record.</x:v>
      </x:c>
    </x:row>
    <x:row r="3232">
      <x:c r="A3232" s="33" t="str">
        <x:v>P4OBS001</x:v>
      </x:c>
      <x:c r="B3232" s="33" t="str">
        <x:v>Observation Master</x:v>
      </x:c>
      <x:c r="C3232" s="33" t="str">
        <x:v>Not present</x:v>
      </x:c>
      <x:c r="D3232" s="33" t="str">
        <x:v>Observation ID=P4OBS001; Audit ID=AUD002; Observation Template=Ensure that no drug is sold, stocked, exhibited or distributed in violation of the Drugs and Cosmetics Act. was not demonstrated or did not operate effectively for the sample tested.; Risk Level=High; Recommendation=Implement the requirement, correct affected records or transactions, and retain evidence of operating effectiveness: Ensure that no drug is sold, stocked, exhibited or distributed in violation of the Drugs and Cosmetics Act.; Observation Category=CA015; Origin=P4_VALIDATION; Active=Yes; Remarks=P-4 chain-closure observation template.</x:v>
      </x:c>
      <x:c r="E3232" s="33" t="str">
        <x:v>ADD</x:v>
      </x:c>
      <x:c r="F3232" s="33" t="str">
        <x:v>Close every active audit-to-observation link.</x:v>
      </x:c>
      <x:c r="G3232" s="33" t="str">
        <x:v>P-4 execution-chain reconciliation</x:v>
      </x:c>
      <x:c r="H3232" s="33" t="str">
        <x:v>P-4</x:v>
      </x:c>
      <x:c r="I3232" s="33" t="str">
        <x:v>P-4</x:v>
      </x:c>
      <x:c r="J3232" s="33" t="str">
        <x:v>2026-08-20</x:v>
      </x:c>
      <x:c r="K3232" s="33" t="str">
        <x:v>All active audits now have an active observation template.</x:v>
      </x:c>
    </x:row>
    <x:row r="3233">
      <x:c r="A3233" s="33" t="str">
        <x:v>P4OBS002</x:v>
      </x:c>
      <x:c r="B3233" s="33" t="str">
        <x:v>Observation Master</x:v>
      </x:c>
      <x:c r="C3233" s="33" t="str">
        <x:v>Not present</x:v>
      </x:c>
      <x:c r="D3233" s="33" t="str">
        <x:v>Observation ID=P4OBS002; Audit ID=AUD003; Observation Template=Ensure that no drug is sold, stocked, exhibited or distributed in violation of the Drugs and Cosmetics Act. was not demonstrated or did not operate effectively for the sample tested.; Risk Level=High; Recommendation=Implement the requirement, correct affected records or transactions, and retain evidence of operating effectiveness: Ensure that no drug is sold, stocked, exhibited or distributed in violation of the Drugs and Cosmetics Act.; Observation Category=CA015; Origin=P4_VALIDATION; Active=Yes; Remarks=P-4 chain-closure observation template.</x:v>
      </x:c>
      <x:c r="E3233" s="33" t="str">
        <x:v>ADD</x:v>
      </x:c>
      <x:c r="F3233" s="33" t="str">
        <x:v>Close every active audit-to-observation link.</x:v>
      </x:c>
      <x:c r="G3233" s="33" t="str">
        <x:v>P-4 execution-chain reconciliation</x:v>
      </x:c>
      <x:c r="H3233" s="33" t="str">
        <x:v>P-4</x:v>
      </x:c>
      <x:c r="I3233" s="33" t="str">
        <x:v>P-4</x:v>
      </x:c>
      <x:c r="J3233" s="33" t="str">
        <x:v>2026-08-20</x:v>
      </x:c>
      <x:c r="K3233" s="33" t="str">
        <x:v>All active audits now have an active observation template.</x:v>
      </x:c>
    </x:row>
    <x:row r="3234">
      <x:c r="A3234" s="33" t="str">
        <x:v>P4OBS003</x:v>
      </x:c>
      <x:c r="B3234" s="33" t="str">
        <x:v>Observation Master</x:v>
      </x:c>
      <x:c r="C3234" s="33" t="str">
        <x:v>Not present</x:v>
      </x:c>
      <x:c r="D3234" s="33" t="str">
        <x:v>Observation ID=P4OBS003; Audit ID=AUD005; Observation Template=Maintain documentary evidence identifying the source of procurement for every drug supplied or stocked. was not demonstrated or did not operate effectively for the sample tested.; Risk Level=High; Recommendation=Implement the requirement, correct affected records or transactions, and retain evidence of operating effectiveness: Maintain documentary evidence identifying the source of procurement for every drug supplied or stocked.; Observation Category=CA019; Origin=P4_VALIDATION; Active=Yes; Remarks=P-4 chain-closure observation template.</x:v>
      </x:c>
      <x:c r="E3234" s="33" t="str">
        <x:v>ADD</x:v>
      </x:c>
      <x:c r="F3234" s="33" t="str">
        <x:v>Close every active audit-to-observation link.</x:v>
      </x:c>
      <x:c r="G3234" s="33" t="str">
        <x:v>P-4 execution-chain reconciliation</x:v>
      </x:c>
      <x:c r="H3234" s="33" t="str">
        <x:v>P-4</x:v>
      </x:c>
      <x:c r="I3234" s="33" t="str">
        <x:v>P-4</x:v>
      </x:c>
      <x:c r="J3234" s="33" t="str">
        <x:v>2026-08-20</x:v>
      </x:c>
      <x:c r="K3234" s="33" t="str">
        <x:v>All active audits now have an active observation template.</x:v>
      </x:c>
    </x:row>
    <x:row r="3235">
      <x:c r="A3235" s="33" t="str">
        <x:v>P4OBS004</x:v>
      </x:c>
      <x:c r="B3235" s="33" t="str">
        <x:v>Observation Master</x:v>
      </x:c>
      <x:c r="C3235" s="33" t="str">
        <x:v>Not present</x:v>
      </x:c>
      <x:c r="D3235" s="33" t="str">
        <x:v>Observation ID=P4OBS004; Audit ID=AUD007; Observation Template=Maintain all statutory registers and records in the prescribed manner. was not demonstrated or did not operate effectively for the sample tested.; Risk Level=High; Recommendation=Implement the requirement, correct affected records or transactions, and retain evidence of operating effectiveness: Maintain all statutory registers and records in the prescribed manner.; Observation Category=CA019; Origin=P4_VALIDATION; Active=Yes; Remarks=P-4 chain-closure observation template.</x:v>
      </x:c>
      <x:c r="E3235" s="33" t="str">
        <x:v>ADD</x:v>
      </x:c>
      <x:c r="F3235" s="33" t="str">
        <x:v>Close every active audit-to-observation link.</x:v>
      </x:c>
      <x:c r="G3235" s="33" t="str">
        <x:v>P-4 execution-chain reconciliation</x:v>
      </x:c>
      <x:c r="H3235" s="33" t="str">
        <x:v>P-4</x:v>
      </x:c>
      <x:c r="I3235" s="33" t="str">
        <x:v>P-4</x:v>
      </x:c>
      <x:c r="J3235" s="33" t="str">
        <x:v>2026-08-20</x:v>
      </x:c>
      <x:c r="K3235" s="33" t="str">
        <x:v>All active audits now have an active observation template.</x:v>
      </x:c>
    </x:row>
    <x:row r="3236">
      <x:c r="A3236" s="33" t="str">
        <x:v>P4OBS005</x:v>
      </x:c>
      <x:c r="B3236" s="33" t="str">
        <x:v>Observation Master</x:v>
      </x:c>
      <x:c r="C3236" s="33" t="str">
        <x:v>Not present</x:v>
      </x:c>
      <x:c r="D3236" s="33" t="str">
        <x:v>Observation ID=P4OBS005; Audit ID=AUD009; Observation Template=Preserve statutory records for the period prescribed under applicable law. was not demonstrated or did not operate effectively for the sample tested.; Risk Level=High; Recommendation=Implement the requirement, correct affected records or transactions, and retain evidence of operating effectiveness: Preserve statutory records for the period prescribed under applicable law.; Observation Category=CA020; Origin=P4_VALIDATION; Active=Yes; Remarks=P-4 chain-closure observation template.</x:v>
      </x:c>
      <x:c r="E3236" s="33" t="str">
        <x:v>ADD</x:v>
      </x:c>
      <x:c r="F3236" s="33" t="str">
        <x:v>Close every active audit-to-observation link.</x:v>
      </x:c>
      <x:c r="G3236" s="33" t="str">
        <x:v>P-4 execution-chain reconciliation</x:v>
      </x:c>
      <x:c r="H3236" s="33" t="str">
        <x:v>P-4</x:v>
      </x:c>
      <x:c r="I3236" s="33" t="str">
        <x:v>P-4</x:v>
      </x:c>
      <x:c r="J3236" s="33" t="str">
        <x:v>2026-08-20</x:v>
      </x:c>
      <x:c r="K3236" s="33" t="str">
        <x:v>All active audits now have an active observation template.</x:v>
      </x:c>
    </x:row>
    <x:row r="3237">
      <x:c r="A3237" s="33" t="str">
        <x:v>P4OBS006</x:v>
      </x:c>
      <x:c r="B3237" s="33" t="str">
        <x:v>Observation Master</x:v>
      </x:c>
      <x:c r="C3237" s="33" t="str">
        <x:v>Not present</x:v>
      </x:c>
      <x:c r="D3237" s="33" t="str">
        <x:v>Observation ID=P4OBS006; Audit ID=AUD010; Observation Template=Preserve statutory records for the period prescribed under applicable law. was not demonstrated or did not operate effectively for the sample tested.; Risk Level=High; Recommendation=Implement the requirement, correct affected records or transactions, and retain evidence of operating effectiveness: Preserve statutory records for the period prescribed under applicable law.; Observation Category=CA020; Origin=P4_VALIDATION; Active=Yes; Remarks=P-4 chain-closure observation template.</x:v>
      </x:c>
      <x:c r="E3237" s="33" t="str">
        <x:v>ADD</x:v>
      </x:c>
      <x:c r="F3237" s="33" t="str">
        <x:v>Close every active audit-to-observation link.</x:v>
      </x:c>
      <x:c r="G3237" s="33" t="str">
        <x:v>P-4 execution-chain reconciliation</x:v>
      </x:c>
      <x:c r="H3237" s="33" t="str">
        <x:v>P-4</x:v>
      </x:c>
      <x:c r="I3237" s="33" t="str">
        <x:v>P-4</x:v>
      </x:c>
      <x:c r="J3237" s="33" t="str">
        <x:v>2026-08-20</x:v>
      </x:c>
      <x:c r="K3237" s="33" t="str">
        <x:v>All active audits now have an active observation template.</x:v>
      </x:c>
    </x:row>
    <x:row r="3238">
      <x:c r="A3238" s="33" t="str">
        <x:v>P4OBS007</x:v>
      </x:c>
      <x:c r="B3238" s="33" t="str">
        <x:v>Observation Master</x:v>
      </x:c>
      <x:c r="C3238" s="33" t="str">
        <x:v>Not present</x:v>
      </x:c>
      <x:c r="D3238" s="33" t="str">
        <x:v>Observation ID=P4OBS007; Audit ID=AUD012; Observation Template=Facilitate inspection by Drug Inspectors and provide access to licensed premises. was not demonstrated or did not operate effectively for the sample tested.; Risk Level=High; Recommendation=Implement the requirement, correct affected records or transactions, and retain evidence of operating effectiveness: Facilitate inspection by Drug Inspectors and provide access to licensed premises.; Observation Category=CA077; Origin=P4_VALIDATION; Active=Yes; Remarks=P-4 chain-closure observation template.</x:v>
      </x:c>
      <x:c r="E3238" s="33" t="str">
        <x:v>ADD</x:v>
      </x:c>
      <x:c r="F3238" s="33" t="str">
        <x:v>Close every active audit-to-observation link.</x:v>
      </x:c>
      <x:c r="G3238" s="33" t="str">
        <x:v>P-4 execution-chain reconciliation</x:v>
      </x:c>
      <x:c r="H3238" s="33" t="str">
        <x:v>P-4</x:v>
      </x:c>
      <x:c r="I3238" s="33" t="str">
        <x:v>P-4</x:v>
      </x:c>
      <x:c r="J3238" s="33" t="str">
        <x:v>2026-08-20</x:v>
      </x:c>
      <x:c r="K3238" s="33" t="str">
        <x:v>All active audits now have an active observation template.</x:v>
      </x:c>
    </x:row>
    <x:row r="3239">
      <x:c r="A3239" s="33" t="str">
        <x:v>P4OBS008</x:v>
      </x:c>
      <x:c r="B3239" s="33" t="str">
        <x:v>Observation Master</x:v>
      </x:c>
      <x:c r="C3239" s="33" t="str">
        <x:v>Not present</x:v>
      </x:c>
      <x:c r="D3239" s="33" t="str">
        <x:v>Observation ID=P4OBS008; Audit ID=AUD014; Observation Template=Cooperate during sample collection and inspection procedures carried out by Drug Inspectors. was not demonstrated or did not operate effectively for the sample tested.; Risk Level=High; Recommendation=Implement the requirement, correct affected records or transactions, and retain evidence of operating effectiveness: Cooperate during sample collection and inspection procedures carried out by Drug Inspectors.; Observation Category=CA078; Origin=P4_VALIDATION; Active=Yes; Remarks=P-4 chain-closure observation template.</x:v>
      </x:c>
      <x:c r="E3239" s="33" t="str">
        <x:v>ADD</x:v>
      </x:c>
      <x:c r="F3239" s="33" t="str">
        <x:v>Close every active audit-to-observation link.</x:v>
      </x:c>
      <x:c r="G3239" s="33" t="str">
        <x:v>P-4 execution-chain reconciliation</x:v>
      </x:c>
      <x:c r="H3239" s="33" t="str">
        <x:v>P-4</x:v>
      </x:c>
      <x:c r="I3239" s="33" t="str">
        <x:v>P-4</x:v>
      </x:c>
      <x:c r="J3239" s="33" t="str">
        <x:v>2026-08-20</x:v>
      </x:c>
      <x:c r="K3239" s="33" t="str">
        <x:v>All active audits now have an active observation template.</x:v>
      </x:c>
    </x:row>
    <x:row r="3240">
      <x:c r="A3240" s="33" t="str">
        <x:v>P4OBS009</x:v>
      </x:c>
      <x:c r="B3240" s="33" t="str">
        <x:v>Observation Master</x:v>
      </x:c>
      <x:c r="C3240" s="33" t="str">
        <x:v>Not present</x:v>
      </x:c>
      <x:c r="D3240" s="33" t="str">
        <x:v>Observation ID=P4OBS009; Audit ID=AUD016; Observation Template=Prevent sale, stock, exhibition, offer for sale or distribution of drugs in contravention of Section 18. was not demonstrated or did not operate effectively for the sample tested.; Risk Level=High; Recommendation=Implement the requirement, correct affected records or transactions, and retain evidence of operating effectiveness: Prevent sale, stock, exhibition, offer for sale or distribution of drugs in contravention of Section 18.; Observation Category=CA090; Origin=P4_VALIDATION; Active=Yes; Remarks=P-4 chain-closure observation template.</x:v>
      </x:c>
      <x:c r="E3240" s="33" t="str">
        <x:v>ADD</x:v>
      </x:c>
      <x:c r="F3240" s="33" t="str">
        <x:v>Close every active audit-to-observation link.</x:v>
      </x:c>
      <x:c r="G3240" s="33" t="str">
        <x:v>P-4 execution-chain reconciliation</x:v>
      </x:c>
      <x:c r="H3240" s="33" t="str">
        <x:v>P-4</x:v>
      </x:c>
      <x:c r="I3240" s="33" t="str">
        <x:v>P-4</x:v>
      </x:c>
      <x:c r="J3240" s="33" t="str">
        <x:v>2026-08-20</x:v>
      </x:c>
      <x:c r="K3240" s="33" t="str">
        <x:v>All active audits now have an active observation template.</x:v>
      </x:c>
    </x:row>
    <x:row r="3241">
      <x:c r="A3241" s="33" t="str">
        <x:v>P4OBS010</x:v>
      </x:c>
      <x:c r="B3241" s="33" t="str">
        <x:v>Observation Master</x:v>
      </x:c>
      <x:c r="C3241" s="33" t="str">
        <x:v>Not present</x:v>
      </x:c>
      <x:c r="D3241" s="33" t="str">
        <x:v>Observation ID=P4OBS010; Audit ID=AUD018; Observation Template=Ensure every cosmetic offered for sale or distribution complies with Rule 33 and the applicable origin, licensing, quality and labelling requirements. was not demonstrated or did not operate effectively for the sample tested.; Risk Level=High; Recommendation=Implement the requirement, correct affected records or transactions, and retain evidence of operating effectiveness: Ensure every cosmetic offered for sale or distribution complies with Rule 33 and the applicable origin, licensing, quality and labelling requirements.; Observation Category=CA023; Origin=P4_VALIDATION; Active=Yes; Remarks=P-4 chain-closure observation template.</x:v>
      </x:c>
      <x:c r="E3241" s="33" t="str">
        <x:v>ADD</x:v>
      </x:c>
      <x:c r="F3241" s="33" t="str">
        <x:v>Close every active audit-to-observation link.</x:v>
      </x:c>
      <x:c r="G3241" s="33" t="str">
        <x:v>P-4 execution-chain reconciliation</x:v>
      </x:c>
      <x:c r="H3241" s="33" t="str">
        <x:v>P-4</x:v>
      </x:c>
      <x:c r="I3241" s="33" t="str">
        <x:v>P-4</x:v>
      </x:c>
      <x:c r="J3241" s="33" t="str">
        <x:v>2026-08-20</x:v>
      </x:c>
      <x:c r="K3241" s="33" t="str">
        <x:v>All active audits now have an active observation template.</x:v>
      </x:c>
    </x:row>
    <x:row r="3242">
      <x:c r="A3242" s="33" t="str">
        <x:v>P4OBS011</x:v>
      </x:c>
      <x:c r="B3242" s="33" t="str">
        <x:v>Observation Master</x:v>
      </x:c>
      <x:c r="C3242" s="33" t="str">
        <x:v>Not present</x:v>
      </x:c>
      <x:c r="D3242" s="33" t="str">
        <x:v>Observation ID=P4OBS011; Audit ID=AUD020; Observation Template=Furnish manufacturer/source information lawfully required under Section 18A. was not demonstrated or did not operate effectively for the sample tested.; Risk Level=High; Recommendation=Implement the requirement, correct affected records or transactions, and retain evidence of operating effectiveness: Furnish manufacturer/source information lawfully required under Section 18A.; Observation Category=CA019; Origin=P4_VALIDATION; Active=Yes; Remarks=P-4 chain-closure observation template.</x:v>
      </x:c>
      <x:c r="E3242" s="33" t="str">
        <x:v>ADD</x:v>
      </x:c>
      <x:c r="F3242" s="33" t="str">
        <x:v>Close every active audit-to-observation link.</x:v>
      </x:c>
      <x:c r="G3242" s="33" t="str">
        <x:v>P-4 execution-chain reconciliation</x:v>
      </x:c>
      <x:c r="H3242" s="33" t="str">
        <x:v>P-4</x:v>
      </x:c>
      <x:c r="I3242" s="33" t="str">
        <x:v>P-4</x:v>
      </x:c>
      <x:c r="J3242" s="33" t="str">
        <x:v>2026-08-20</x:v>
      </x:c>
      <x:c r="K3242" s="33" t="str">
        <x:v>All active audits now have an active observation template.</x:v>
      </x:c>
    </x:row>
    <x:row r="3243">
      <x:c r="A3243" s="33" t="str">
        <x:v>P4OBS012</x:v>
      </x:c>
      <x:c r="B3243" s="33" t="str">
        <x:v>Observation Master</x:v>
      </x:c>
      <x:c r="C3243" s="33" t="str">
        <x:v>Not present</x:v>
      </x:c>
      <x:c r="D3243" s="33" t="str">
        <x:v>Observation ID=P4OBS012; Audit ID=AUD022; Observation Template=Maintain prescribed records and furnish information required under Section 18B. was not demonstrated or did not operate effectively for the sample tested.; Risk Level=High; Recommendation=Implement the requirement, correct affected records or transactions, and retain evidence of operating effectiveness: Maintain prescribed records and furnish information required under Section 18B.; Observation Category=CA020; Origin=P4_VALIDATION; Active=Yes; Remarks=P-4 chain-closure observation template.</x:v>
      </x:c>
      <x:c r="E3243" s="33" t="str">
        <x:v>ADD</x:v>
      </x:c>
      <x:c r="F3243" s="33" t="str">
        <x:v>Close every active audit-to-observation link.</x:v>
      </x:c>
      <x:c r="G3243" s="33" t="str">
        <x:v>P-4 execution-chain reconciliation</x:v>
      </x:c>
      <x:c r="H3243" s="33" t="str">
        <x:v>P-4</x:v>
      </x:c>
      <x:c r="I3243" s="33" t="str">
        <x:v>P-4</x:v>
      </x:c>
      <x:c r="J3243" s="33" t="str">
        <x:v>2026-08-20</x:v>
      </x:c>
      <x:c r="K3243" s="33" t="str">
        <x:v>All active audits now have an active observation template.</x:v>
      </x:c>
    </x:row>
    <x:row r="3244">
      <x:c r="A3244" s="33" t="str">
        <x:v>P4OBS013</x:v>
      </x:c>
      <x:c r="B3244" s="33" t="str">
        <x:v>Observation Master</x:v>
      </x:c>
      <x:c r="C3244" s="33" t="str">
        <x:v>Not present</x:v>
      </x:c>
      <x:c r="D3244" s="33" t="str">
        <x:v>Observation ID=P4OBS013; Audit ID=AUD054; Observation Template=Ensure only pharmacists whose names appear in the State Register are engaged in professional pharmacy practice. was not demonstrated or did not operate effectively for the sample tested.; Risk Level=High; Recommendation=Implement the requirement, correct affected records or transactions, and retain evidence of operating effectiveness: Ensure only pharmacists whose names appear in the State Register are engaged in professional pharmacy practice.; Observation Category=CA003; Origin=P4_VALIDATION; Active=Yes; Remarks=P-4 chain-closure observation template.</x:v>
      </x:c>
      <x:c r="E3244" s="33" t="str">
        <x:v>ADD</x:v>
      </x:c>
      <x:c r="F3244" s="33" t="str">
        <x:v>Close every active audit-to-observation link.</x:v>
      </x:c>
      <x:c r="G3244" s="33" t="str">
        <x:v>P-4 execution-chain reconciliation</x:v>
      </x:c>
      <x:c r="H3244" s="33" t="str">
        <x:v>P-4</x:v>
      </x:c>
      <x:c r="I3244" s="33" t="str">
        <x:v>P-4</x:v>
      </x:c>
      <x:c r="J3244" s="33" t="str">
        <x:v>2026-08-20</x:v>
      </x:c>
      <x:c r="K3244" s="33" t="str">
        <x:v>All active audits now have an active observation template.</x:v>
      </x:c>
    </x:row>
    <x:row r="3245">
      <x:c r="A3245" s="33" t="str">
        <x:v>P4OBS014</x:v>
      </x:c>
      <x:c r="B3245" s="33" t="str">
        <x:v>Observation Master</x:v>
      </x:c>
      <x:c r="C3245" s="33" t="str">
        <x:v>Not present</x:v>
      </x:c>
      <x:c r="D3245" s="33" t="str">
        <x:v>Observation ID=P4OBS014; Audit ID=AUD056; Observation Template=Verify and retain evidence of each practising pharmacist's current State Register entry as an internal control supporting the operative registration and dispensing duties. was not demonstrated or did not operate effectively for the sample tested.; Risk Level=High; Recommendation=Implement the requirement, correct affected records or transactions, and retain evidence of operating effectiveness: Verify and retain evidence of each practising pharmacist's current State Register entry as an internal control supporting the operative registration and dispensing duties.; Observation Category=CA003; Origin=P4_VALIDATION; Active=Yes; Remarks=P-4 chain-closure observation template.</x:v>
      </x:c>
      <x:c r="E3245" s="33" t="str">
        <x:v>ADD</x:v>
      </x:c>
      <x:c r="F3245" s="33" t="str">
        <x:v>Close every active audit-to-observation link.</x:v>
      </x:c>
      <x:c r="G3245" s="33" t="str">
        <x:v>P-4 execution-chain reconciliation</x:v>
      </x:c>
      <x:c r="H3245" s="33" t="str">
        <x:v>P-4</x:v>
      </x:c>
      <x:c r="I3245" s="33" t="str">
        <x:v>P-4</x:v>
      </x:c>
      <x:c r="J3245" s="33" t="str">
        <x:v>2026-08-20</x:v>
      </x:c>
      <x:c r="K3245" s="33" t="str">
        <x:v>All active audits now have an active observation template.</x:v>
      </x:c>
    </x:row>
    <x:row r="3246">
      <x:c r="A3246" s="33" t="str">
        <x:v>P4OBS015</x:v>
      </x:c>
      <x:c r="B3246" s="33" t="str">
        <x:v>Observation Master</x:v>
      </x:c>
      <x:c r="C3246" s="33" t="str">
        <x:v>Not present</x:v>
      </x:c>
      <x:c r="D3246" s="33" t="str">
        <x:v>Observation ID=P4OBS015; Audit ID=AUD058; Observation Template=Ensure dispensing activities are carried out under the supervision of a Registered Pharmacist. was not demonstrated or did not operate effectively for the sample tested.; Risk Level=High; Recommendation=Implement the requirement, correct affected records or transactions, and retain evidence of operating effectiveness: Ensure dispensing activities are carried out under the supervision of a Registered Pharmacist.; Observation Category=CA003; Origin=P4_VALIDATION; Active=Yes; Remarks=P-4 chain-closure observation template.</x:v>
      </x:c>
      <x:c r="E3246" s="33" t="str">
        <x:v>ADD</x:v>
      </x:c>
      <x:c r="F3246" s="33" t="str">
        <x:v>Close every active audit-to-observation link.</x:v>
      </x:c>
      <x:c r="G3246" s="33" t="str">
        <x:v>P-4 execution-chain reconciliation</x:v>
      </x:c>
      <x:c r="H3246" s="33" t="str">
        <x:v>P-4</x:v>
      </x:c>
      <x:c r="I3246" s="33" t="str">
        <x:v>P-4</x:v>
      </x:c>
      <x:c r="J3246" s="33" t="str">
        <x:v>2026-08-20</x:v>
      </x:c>
      <x:c r="K3246" s="33" t="str">
        <x:v>All active audits now have an active observation template.</x:v>
      </x:c>
    </x:row>
    <x:row r="3247">
      <x:c r="A3247" s="33" t="str">
        <x:v>P4OBS016</x:v>
      </x:c>
      <x:c r="B3247" s="33" t="str">
        <x:v>Observation Master</x:v>
      </x:c>
      <x:c r="C3247" s="33" t="str">
        <x:v>Not present</x:v>
      </x:c>
      <x:c r="D3247" s="33" t="str">
        <x:v>Observation ID=P4OBS016; Audit ID=AUD060; Observation Template=Ensure pharmacists comply with the professional code of ethics and standards of conduct. was not demonstrated or did not operate effectively for the sample tested.; Risk Level=High; Recommendation=Implement the requirement, correct affected records or transactions, and retain evidence of operating effectiveness: Ensure pharmacists comply with the professional code of ethics and standards of conduct.; Observation Category=CA049; Origin=P4_VALIDATION; Active=Yes; Remarks=P-4 chain-closure observation template.</x:v>
      </x:c>
      <x:c r="E3247" s="33" t="str">
        <x:v>ADD</x:v>
      </x:c>
      <x:c r="F3247" s="33" t="str">
        <x:v>Close every active audit-to-observation link.</x:v>
      </x:c>
      <x:c r="G3247" s="33" t="str">
        <x:v>P-4 execution-chain reconciliation</x:v>
      </x:c>
      <x:c r="H3247" s="33" t="str">
        <x:v>P-4</x:v>
      </x:c>
      <x:c r="I3247" s="33" t="str">
        <x:v>P-4</x:v>
      </x:c>
      <x:c r="J3247" s="33" t="str">
        <x:v>2026-08-20</x:v>
      </x:c>
      <x:c r="K3247" s="33" t="str">
        <x:v>All active audits now have an active observation template.</x:v>
      </x:c>
    </x:row>
    <x:row r="3248">
      <x:c r="A3248" s="33" t="str">
        <x:v>P4OBS017</x:v>
      </x:c>
      <x:c r="B3248" s="33" t="str">
        <x:v>Observation Master</x:v>
      </x:c>
      <x:c r="C3248" s="33" t="str">
        <x:v>Not present</x:v>
      </x:c>
      <x:c r="D3248" s="33" t="str">
        <x:v>Observation ID=P4OBS017; Audit ID=AUD062; Observation Template=Maintain records of continuing professional education and competency development. was not demonstrated or did not operate effectively for the sample tested.; Risk Level=High; Recommendation=Implement the requirement, correct affected records or transactions, and retain evidence of operating effectiveness: Maintain records of continuing professional education and competency development.; Observation Category=CA049; Origin=P4_VALIDATION; Active=Yes; Remarks=P-4 chain-closure observation template.</x:v>
      </x:c>
      <x:c r="E3248" s="33" t="str">
        <x:v>ADD</x:v>
      </x:c>
      <x:c r="F3248" s="33" t="str">
        <x:v>Close every active audit-to-observation link.</x:v>
      </x:c>
      <x:c r="G3248" s="33" t="str">
        <x:v>P-4 execution-chain reconciliation</x:v>
      </x:c>
      <x:c r="H3248" s="33" t="str">
        <x:v>P-4</x:v>
      </x:c>
      <x:c r="I3248" s="33" t="str">
        <x:v>P-4</x:v>
      </x:c>
      <x:c r="J3248" s="33" t="str">
        <x:v>2026-08-20</x:v>
      </x:c>
      <x:c r="K3248" s="33" t="str">
        <x:v>All active audits now have an active observation template.</x:v>
      </x:c>
    </x:row>
    <x:row r="3249">
      <x:c r="A3249" s="33" t="str">
        <x:v>P4OBS018</x:v>
      </x:c>
      <x:c r="B3249" s="33" t="str">
        <x:v>Observation Master</x:v>
      </x:c>
      <x:c r="C3249" s="33" t="str">
        <x:v>Not present</x:v>
      </x:c>
      <x:c r="D3249" s="33" t="str">
        <x:v>Observation ID=P4OBS018; Audit ID=AUD064; Observation Template=Display the current scheduled-formulation price list and supplementary list conspicuously at the premises. was not demonstrated or did not operate effectively for the sample tested.; Risk Level=High; Recommendation=Implement the requirement, correct affected records or transactions, and retain evidence of operating effectiveness: Display the current scheduled-formulation price list and supplementary list conspicuously at the premises.; Observation Category=CA030; Origin=P4_VALIDATION; Active=Yes; Remarks=P-4 chain-closure observation template.</x:v>
      </x:c>
      <x:c r="E3249" s="33" t="str">
        <x:v>ADD</x:v>
      </x:c>
      <x:c r="F3249" s="33" t="str">
        <x:v>Close every active audit-to-observation link.</x:v>
      </x:c>
      <x:c r="G3249" s="33" t="str">
        <x:v>P-4 execution-chain reconciliation</x:v>
      </x:c>
      <x:c r="H3249" s="33" t="str">
        <x:v>P-4</x:v>
      </x:c>
      <x:c r="I3249" s="33" t="str">
        <x:v>P-4</x:v>
      </x:c>
      <x:c r="J3249" s="33" t="str">
        <x:v>2026-08-20</x:v>
      </x:c>
      <x:c r="K3249" s="33" t="str">
        <x:v>All active audits now have an active observation template.</x:v>
      </x:c>
    </x:row>
    <x:row r="3250">
      <x:c r="A3250" s="33" t="str">
        <x:v>P4OBS019</x:v>
      </x:c>
      <x:c r="B3250" s="33" t="str">
        <x:v>Observation Master</x:v>
      </x:c>
      <x:c r="C3250" s="33" t="str">
        <x:v>Not present</x:v>
      </x:c>
      <x:c r="D3250" s="33" t="str">
        <x:v>Observation ID=P4OBS019; Audit ID=AUD066; Observation Template=Display the current non-scheduled-formulation price list conspicuously at the premises. was not demonstrated or did not operate effectively for the sample tested.; Risk Level=High; Recommendation=Implement the requirement, correct affected records or transactions, and retain evidence of operating effectiveness: Display the current non-scheduled-formulation price list conspicuously at the premises.; Observation Category=CA031; Origin=P4_VALIDATION; Active=Yes; Remarks=P-4 chain-closure observation template.</x:v>
      </x:c>
      <x:c r="E3250" s="33" t="str">
        <x:v>ADD</x:v>
      </x:c>
      <x:c r="F3250" s="33" t="str">
        <x:v>Close every active audit-to-observation link.</x:v>
      </x:c>
      <x:c r="G3250" s="33" t="str">
        <x:v>P-4 execution-chain reconciliation</x:v>
      </x:c>
      <x:c r="H3250" s="33" t="str">
        <x:v>P-4</x:v>
      </x:c>
      <x:c r="I3250" s="33" t="str">
        <x:v>P-4</x:v>
      </x:c>
      <x:c r="J3250" s="33" t="str">
        <x:v>2026-08-20</x:v>
      </x:c>
      <x:c r="K3250" s="33" t="str">
        <x:v>All active audits now have an active observation template.</x:v>
      </x:c>
    </x:row>
    <x:row r="3251">
      <x:c r="A3251" s="33" t="str">
        <x:v>P4OBS020</x:v>
      </x:c>
      <x:c r="B3251" s="33" t="str">
        <x:v>Observation Master</x:v>
      </x:c>
      <x:c r="C3251" s="33" t="str">
        <x:v>Not present</x:v>
      </x:c>
      <x:c r="D3251" s="33" t="str">
        <x:v>Observation ID=P4OBS020; Audit ID=AUD068; Observation Template=Do not sell a formulation above the lower of the current price-list price or label price, plus applicable local taxes. was not demonstrated or did not operate effectively for the sample tested.; Risk Level=High; Recommendation=Implement the requirement, correct affected records or transactions, and retain evidence of operating effectiveness: Do not sell a formulation above the lower of the current price-list price or label price, plus applicable local taxes.; Observation Category=CA063; Origin=P4_VALIDATION; Active=Yes; Remarks=P-4 chain-closure observation template.</x:v>
      </x:c>
      <x:c r="E3251" s="33" t="str">
        <x:v>ADD</x:v>
      </x:c>
      <x:c r="F3251" s="33" t="str">
        <x:v>Close every active audit-to-observation link.</x:v>
      </x:c>
      <x:c r="G3251" s="33" t="str">
        <x:v>P-4 execution-chain reconciliation</x:v>
      </x:c>
      <x:c r="H3251" s="33" t="str">
        <x:v>P-4</x:v>
      </x:c>
      <x:c r="I3251" s="33" t="str">
        <x:v>P-4</x:v>
      </x:c>
      <x:c r="J3251" s="33" t="str">
        <x:v>2026-08-20</x:v>
      </x:c>
      <x:c r="K3251" s="33" t="str">
        <x:v>All active audits now have an active observation template.</x:v>
      </x:c>
    </x:row>
    <x:row r="3252">
      <x:c r="A3252" s="33" t="str">
        <x:v>P4OBS021</x:v>
      </x:c>
      <x:c r="B3252" s="33" t="str">
        <x:v>Observation Master</x:v>
      </x:c>
      <x:c r="C3252" s="33" t="str">
        <x:v>Not present</x:v>
      </x:c>
      <x:c r="D3252" s="33" t="str">
        <x:v>Observation ID=P4OBS021; Audit ID=AUD070; Observation Template=When selling a split quantity, charge no more than the pro-rata price for that quantity. was not demonstrated or did not operate effectively for the sample tested.; Risk Level=High; Recommendation=Implement the requirement, correct affected records or transactions, and retain evidence of operating effectiveness: When selling a split quantity, charge no more than the pro-rata price for that quantity.; Observation Category=CA019; Origin=P4_VALIDATION; Active=Yes; Remarks=P-4 chain-closure observation template.</x:v>
      </x:c>
      <x:c r="E3252" s="33" t="str">
        <x:v>ADD</x:v>
      </x:c>
      <x:c r="F3252" s="33" t="str">
        <x:v>Close every active audit-to-observation link.</x:v>
      </x:c>
      <x:c r="G3252" s="33" t="str">
        <x:v>P-4 execution-chain reconciliation</x:v>
      </x:c>
      <x:c r="H3252" s="33" t="str">
        <x:v>P-4</x:v>
      </x:c>
      <x:c r="I3252" s="33" t="str">
        <x:v>P-4</x:v>
      </x:c>
      <x:c r="J3252" s="33" t="str">
        <x:v>2026-08-20</x:v>
      </x:c>
      <x:c r="K3252" s="33" t="str">
        <x:v>All active audits now have an active observation template.</x:v>
      </x:c>
    </x:row>
    <x:row r="3253">
      <x:c r="A3253" s="33" t="str">
        <x:v>P4OBS022</x:v>
      </x:c>
      <x:c r="B3253" s="33" t="str">
        <x:v>Observation Master</x:v>
      </x:c>
      <x:c r="C3253" s="33" t="str">
        <x:v>Not present</x:v>
      </x:c>
      <x:c r="D3253" s="33" t="str">
        <x:v>Observation ID=P4OBS022; Audit ID=AUD072; Observation Template=Do not withhold or refuse sale of a formulation that is available for sale to a customer. was not demonstrated or did not operate effectively for the sample tested.; Risk Level=High; Recommendation=Implement the requirement, correct affected records or transactions, and retain evidence of operating effectiveness: Do not withhold or refuse sale of a formulation that is available for sale to a customer.; Observation Category=CA084; Origin=P4_VALIDATION; Active=Yes; Remarks=P-4 chain-closure observation template.</x:v>
      </x:c>
      <x:c r="E3253" s="33" t="str">
        <x:v>ADD</x:v>
      </x:c>
      <x:c r="F3253" s="33" t="str">
        <x:v>Close every active audit-to-observation link.</x:v>
      </x:c>
      <x:c r="G3253" s="33" t="str">
        <x:v>P-4 execution-chain reconciliation</x:v>
      </x:c>
      <x:c r="H3253" s="33" t="str">
        <x:v>P-4</x:v>
      </x:c>
      <x:c r="I3253" s="33" t="str">
        <x:v>P-4</x:v>
      </x:c>
      <x:c r="J3253" s="33" t="str">
        <x:v>2026-08-20</x:v>
      </x:c>
      <x:c r="K3253" s="33" t="str">
        <x:v>All active audits now have an active observation template.</x:v>
      </x:c>
    </x:row>
    <x:row r="3254">
      <x:c r="A3254" s="33" t="str">
        <x:v>P4OBS023</x:v>
      </x:c>
      <x:c r="B3254" s="33" t="str">
        <x:v>Observation Master</x:v>
      </x:c>
      <x:c r="C3254" s="33" t="str">
        <x:v>Not present</x:v>
      </x:c>
      <x:c r="D3254" s="33" t="str">
        <x:v>Observation ID=P4OBS023; Audit ID=AUD074; Observation Template=Ensure narcotic and psychotropic substances are handled only as permitted under law. was not demonstrated or did not operate effectively for the sample tested.; Risk Level=High; Recommendation=Implement the requirement, correct affected records or transactions, and retain evidence of operating effectiveness: Ensure narcotic and psychotropic substances are handled only as permitted under law.; Observation Category=CA026; Origin=P4_VALIDATION; Active=Yes; Remarks=P-4 chain-closure observation template.</x:v>
      </x:c>
      <x:c r="E3254" s="33" t="str">
        <x:v>ADD</x:v>
      </x:c>
      <x:c r="F3254" s="33" t="str">
        <x:v>Close every active audit-to-observation link.</x:v>
      </x:c>
      <x:c r="G3254" s="33" t="str">
        <x:v>P-4 execution-chain reconciliation</x:v>
      </x:c>
      <x:c r="H3254" s="33" t="str">
        <x:v>P-4</x:v>
      </x:c>
      <x:c r="I3254" s="33" t="str">
        <x:v>P-4</x:v>
      </x:c>
      <x:c r="J3254" s="33" t="str">
        <x:v>2026-08-20</x:v>
      </x:c>
      <x:c r="K3254" s="33" t="str">
        <x:v>All active audits now have an active observation template.</x:v>
      </x:c>
    </x:row>
    <x:row r="3255">
      <x:c r="A3255" s="33" t="str">
        <x:v>P4OBS024</x:v>
      </x:c>
      <x:c r="B3255" s="33" t="str">
        <x:v>Observation Master</x:v>
      </x:c>
      <x:c r="C3255" s="33" t="str">
        <x:v>Not present</x:v>
      </x:c>
      <x:c r="D3255" s="33" t="str">
        <x:v>Observation ID=P4OBS024; Audit ID=AUD084; Observation Template=Possess Essential Narcotic Drugs only under authorization permitted by Rule 52A. was not demonstrated or did not operate effectively for the sample tested.; Risk Level=High; Recommendation=Implement the requirement, correct affected records or transactions, and retain evidence of operating effectiveness: Possess Essential Narcotic Drugs only under authorization permitted by Rule 52A.; Observation Category=CA027; Origin=P4_VALIDATION; Active=Yes; Remarks=P-4 chain-closure observation template.</x:v>
      </x:c>
      <x:c r="E3255" s="33" t="str">
        <x:v>ADD</x:v>
      </x:c>
      <x:c r="F3255" s="33" t="str">
        <x:v>Close every active audit-to-observation link.</x:v>
      </x:c>
      <x:c r="G3255" s="33" t="str">
        <x:v>P-4 execution-chain reconciliation</x:v>
      </x:c>
      <x:c r="H3255" s="33" t="str">
        <x:v>P-4</x:v>
      </x:c>
      <x:c r="I3255" s="33" t="str">
        <x:v>P-4</x:v>
      </x:c>
      <x:c r="J3255" s="33" t="str">
        <x:v>2026-08-20</x:v>
      </x:c>
      <x:c r="K3255" s="33" t="str">
        <x:v>All active audits now have an active observation template.</x:v>
      </x:c>
    </x:row>
    <x:row r="3256">
      <x:c r="A3256" s="33" t="str">
        <x:v>P4OBS025</x:v>
      </x:c>
      <x:c r="B3256" s="33" t="str">
        <x:v>Observation Master</x:v>
      </x:c>
      <x:c r="C3256" s="33" t="str">
        <x:v>Not present</x:v>
      </x:c>
      <x:c r="D3256" s="33" t="str">
        <x:v>Observation ID=P4OBS025; Audit ID=AUD086; Observation Template=Maintain the applicable State licence as a dealer or chemist for possession and sale of Essential Narcotic Drugs and comply with its conditions. was not demonstrated or did not operate effectively for the sample tested.; Risk Level=High; Recommendation=Implement the requirement, correct affected records or transactions, and retain evidence of operating effectiveness: Maintain the applicable State licence as a dealer or chemist for possession and sale of Essential Narcotic Drugs and comply with its conditions.; Observation Category=CA028; Origin=P4_VALIDATION; Active=Yes; Remarks=P-4 chain-closure observation template.</x:v>
      </x:c>
      <x:c r="E3256" s="33" t="str">
        <x:v>ADD</x:v>
      </x:c>
      <x:c r="F3256" s="33" t="str">
        <x:v>Close every active audit-to-observation link.</x:v>
      </x:c>
      <x:c r="G3256" s="33" t="str">
        <x:v>P-4 execution-chain reconciliation</x:v>
      </x:c>
      <x:c r="H3256" s="33" t="str">
        <x:v>P-4</x:v>
      </x:c>
      <x:c r="I3256" s="33" t="str">
        <x:v>P-4</x:v>
      </x:c>
      <x:c r="J3256" s="33" t="str">
        <x:v>2026-08-20</x:v>
      </x:c>
      <x:c r="K3256" s="33" t="str">
        <x:v>All active audits now have an active observation template.</x:v>
      </x:c>
    </x:row>
    <x:row r="3257">
      <x:c r="A3257" s="33" t="str">
        <x:v>P4OBS026</x:v>
      </x:c>
      <x:c r="B3257" s="33" t="str">
        <x:v>Observation Master</x:v>
      </x:c>
      <x:c r="C3257" s="33" t="str">
        <x:v>Not present</x:v>
      </x:c>
      <x:c r="D3257" s="33" t="str">
        <x:v>Observation ID=P4OBS026; Audit ID=AUD088; Observation Template=Sell an Essential Narcotic Drug only against a legally valid prescription and in accordance with the Drugs Rules, 1945. was not demonstrated or did not operate effectively for the sample tested.; Risk Level=High; Recommendation=Implement the requirement, correct affected records or transactions, and retain evidence of operating effectiveness: Sell an Essential Narcotic Drug only against a legally valid prescription and in accordance with the Drugs Rules, 1945.; Observation Category=CA027; Origin=P4_VALIDATION; Active=Yes; Remarks=P-4 chain-closure observation template.</x:v>
      </x:c>
      <x:c r="E3257" s="33" t="str">
        <x:v>ADD</x:v>
      </x:c>
      <x:c r="F3257" s="33" t="str">
        <x:v>Close every active audit-to-observation link.</x:v>
      </x:c>
      <x:c r="G3257" s="33" t="str">
        <x:v>P-4 execution-chain reconciliation</x:v>
      </x:c>
      <x:c r="H3257" s="33" t="str">
        <x:v>P-4</x:v>
      </x:c>
      <x:c r="I3257" s="33" t="str">
        <x:v>P-4</x:v>
      </x:c>
      <x:c r="J3257" s="33" t="str">
        <x:v>2026-08-20</x:v>
      </x:c>
      <x:c r="K3257" s="33" t="str">
        <x:v>All active audits now have an active observation template.</x:v>
      </x:c>
    </x:row>
    <x:row r="3258">
      <x:c r="A3258" s="33" t="str">
        <x:v>P4OBS027</x:v>
      </x:c>
      <x:c r="B3258" s="33" t="str">
        <x:v>Observation Master</x:v>
      </x:c>
      <x:c r="C3258" s="33" t="str">
        <x:v>Not present</x:v>
      </x:c>
      <x:c r="D3258" s="33" t="str">
        <x:v>Observation ID=P4OBS027; Audit ID=AUD090; Observation Template=Ensure each applicable Essential Narcotic Drug consignment has the prescribed Form 3C documentation and retain supporting documents for two years. was not demonstrated or did not operate effectively for the sample tested.; Risk Level=High; Recommendation=Implement the requirement, correct affected records or transactions, and retain evidence of operating effectiveness: Ensure each applicable Essential Narcotic Drug consignment has the prescribed Form 3C documentation and retain supporting documents for two years.; Observation Category=CA027; Origin=P4_VALIDATION; Active=Yes; Remarks=P-4 chain-closure observation template.</x:v>
      </x:c>
      <x:c r="E3258" s="33" t="str">
        <x:v>ADD</x:v>
      </x:c>
      <x:c r="F3258" s="33" t="str">
        <x:v>Close every active audit-to-observation link.</x:v>
      </x:c>
      <x:c r="G3258" s="33" t="str">
        <x:v>P-4 execution-chain reconciliation</x:v>
      </x:c>
      <x:c r="H3258" s="33" t="str">
        <x:v>P-4</x:v>
      </x:c>
      <x:c r="I3258" s="33" t="str">
        <x:v>P-4</x:v>
      </x:c>
      <x:c r="J3258" s="33" t="str">
        <x:v>2026-08-20</x:v>
      </x:c>
      <x:c r="K3258" s="33" t="str">
        <x:v>All active audits now have an active observation template.</x:v>
      </x:c>
    </x:row>
    <x:row r="3259">
      <x:c r="A3259" s="33" t="str">
        <x:v>P4OBS028</x:v>
      </x:c>
      <x:c r="B3259" s="33" t="str">
        <x:v>Observation Master</x:v>
      </x:c>
      <x:c r="C3259" s="33" t="str">
        <x:v>Not present</x:v>
      </x:c>
      <x:c r="D3259" s="33" t="str">
        <x:v>Observation ID=P4OBS028; Audit ID=AUD092; Observation Template=Complete the prescribed declaration/documentation and account-book entries for transmission of Essential Narcotic Drugs by post, courier, rail or road. was not demonstrated or did not operate effectively for the sample tested.; Risk Level=High; Recommendation=Implement the requirement, correct affected records or transactions, and retain evidence of operating effectiveness: Complete the prescribed declaration/documentation and account-book entries for transmission of Essential Narcotic Drugs by post, courier, rail or road.; Observation Category=CA039; Origin=P4_VALIDATION; Active=Yes; Remarks=P-4 chain-closure observation template.</x:v>
      </x:c>
      <x:c r="E3259" s="33" t="str">
        <x:v>ADD</x:v>
      </x:c>
      <x:c r="F3259" s="33" t="str">
        <x:v>Close every active audit-to-observation link.</x:v>
      </x:c>
      <x:c r="G3259" s="33" t="str">
        <x:v>P-4 execution-chain reconciliation</x:v>
      </x:c>
      <x:c r="H3259" s="33" t="str">
        <x:v>P-4</x:v>
      </x:c>
      <x:c r="I3259" s="33" t="str">
        <x:v>P-4</x:v>
      </x:c>
      <x:c r="J3259" s="33" t="str">
        <x:v>2026-08-20</x:v>
      </x:c>
      <x:c r="K3259" s="33" t="str">
        <x:v>All active audits now have an active observation template.</x:v>
      </x:c>
    </x:row>
    <x:row r="3260">
      <x:c r="A3260" s="33" t="str">
        <x:v>P4OBS029</x:v>
      </x:c>
      <x:c r="B3260" s="33" t="str">
        <x:v>Observation Master</x:v>
      </x:c>
      <x:c r="C3260" s="33" t="str">
        <x:v>Not present</x:v>
      </x:c>
      <x:c r="D3260" s="33" t="str">
        <x:v>Observation ID=P4OBS029; Audit ID=AUD094; Observation Template=If the establishment is a BMW occupier/generator, implement the Rule 4 occupier programme, including segregation governance, employee training/immunisation, barcoding/traceability where applicable and non-mixing controls. was not demonstrated or did not operate effectively for the sample tested.; Risk Level=Critical; Recommendation=Implement the requirement, correct affected records or transactions, and retain evidence of operating effectiveness: If the establishment is a BMW occupier/generator, implement the Rule 4 occupier programme, including segregation governance, employee training/immunisation, barcoding/traceability where applicable and non-mixing controls.; Observation Category=CA038; Origin=P4_VALIDATION; Active=Yes; Remarks=P-4 chain-closure observation template.</x:v>
      </x:c>
      <x:c r="E3260" s="33" t="str">
        <x:v>ADD</x:v>
      </x:c>
      <x:c r="F3260" s="33" t="str">
        <x:v>Close every active audit-to-observation link.</x:v>
      </x:c>
      <x:c r="G3260" s="33" t="str">
        <x:v>P-4 execution-chain reconciliation</x:v>
      </x:c>
      <x:c r="H3260" s="33" t="str">
        <x:v>P-4</x:v>
      </x:c>
      <x:c r="I3260" s="33" t="str">
        <x:v>P-4</x:v>
      </x:c>
      <x:c r="J3260" s="33" t="str">
        <x:v>2026-08-20</x:v>
      </x:c>
      <x:c r="K3260" s="33" t="str">
        <x:v>All active audits now have an active observation template.</x:v>
      </x:c>
    </x:row>
    <x:row r="3261">
      <x:c r="A3261" s="33" t="str">
        <x:v>P4OBS030</x:v>
      </x:c>
      <x:c r="B3261" s="33" t="str">
        <x:v>Observation Master</x:v>
      </x:c>
      <x:c r="C3261" s="33" t="str">
        <x:v>Not present</x:v>
      </x:c>
      <x:c r="D3261" s="33" t="str">
        <x:v>Observation ID=P4OBS030; Audit ID=AUD096; Observation Template=Segregate BMW at the point of generation into the prescribed colour-coded bags/containers, label/package it and keep it separate from municipal waste. was not demonstrated or did not operate effectively for the sample tested.; Risk Level=Critical; Recommendation=Implement the requirement, correct affected records or transactions, and retain evidence of operating effectiveness: Segregate BMW at the point of generation into the prescribed colour-coded bags/containers, label/package it and keep it separate from municipal waste.; Observation Category=CA038; Origin=P4_VALIDATION; Active=Yes; Remarks=P-4 chain-closure observation template.</x:v>
      </x:c>
      <x:c r="E3261" s="33" t="str">
        <x:v>ADD</x:v>
      </x:c>
      <x:c r="F3261" s="33" t="str">
        <x:v>Close every active audit-to-observation link.</x:v>
      </x:c>
      <x:c r="G3261" s="33" t="str">
        <x:v>P-4 execution-chain reconciliation</x:v>
      </x:c>
      <x:c r="H3261" s="33" t="str">
        <x:v>P-4</x:v>
      </x:c>
      <x:c r="I3261" s="33" t="str">
        <x:v>P-4</x:v>
      </x:c>
      <x:c r="J3261" s="33" t="str">
        <x:v>2026-08-20</x:v>
      </x:c>
      <x:c r="K3261" s="33" t="str">
        <x:v>All active audits now have an active observation template.</x:v>
      </x:c>
    </x:row>
    <x:row r="3262">
      <x:c r="A3262" s="33" t="str">
        <x:v>P4OBS031</x:v>
      </x:c>
      <x:c r="B3262" s="33" t="str">
        <x:v>Observation Master</x:v>
      </x:c>
      <x:c r="C3262" s="33" t="str">
        <x:v>Not present</x:v>
      </x:c>
      <x:c r="D3262" s="33" t="str">
        <x:v>Observation ID=P4OBS031; Audit ID=AUD098; Observation Template=Transfer BMW only through the permitted treatment/disposal route, including the authorised common facility where required; do not use ordinary solid-waste disposal. was not demonstrated or did not operate effectively for the sample tested.; Risk Level=Critical; Recommendation=Implement the requirement, correct affected records or transactions, and retain evidence of operating effectiveness: Transfer BMW only through the permitted treatment/disposal route, including the authorised common facility where required; do not use ordinary solid-waste disposal.; Observation Category=CA038; Origin=P4_VALIDATION; Active=Yes; Remarks=P-4 chain-closure observation template.</x:v>
      </x:c>
      <x:c r="E3262" s="33" t="str">
        <x:v>ADD</x:v>
      </x:c>
      <x:c r="F3262" s="33" t="str">
        <x:v>Close every active audit-to-observation link.</x:v>
      </x:c>
      <x:c r="G3262" s="33" t="str">
        <x:v>P-4 execution-chain reconciliation</x:v>
      </x:c>
      <x:c r="H3262" s="33" t="str">
        <x:v>P-4</x:v>
      </x:c>
      <x:c r="I3262" s="33" t="str">
        <x:v>P-4</x:v>
      </x:c>
      <x:c r="J3262" s="33" t="str">
        <x:v>2026-08-20</x:v>
      </x:c>
      <x:c r="K3262" s="33" t="str">
        <x:v>All active audits now have an active observation template.</x:v>
      </x:c>
    </x:row>
    <x:row r="3263">
      <x:c r="A3263" s="33" t="str">
        <x:v>P4OBS032</x:v>
      </x:c>
      <x:c r="B3263" s="33" t="str">
        <x:v>Observation Master</x:v>
      </x:c>
      <x:c r="C3263" s="33" t="str">
        <x:v>Not present</x:v>
      </x:c>
      <x:c r="D3263" s="33" t="str">
        <x:v>Observation ID=P4OBS032; Audit ID=AUD100; Observation Template=Maintain BMW records; submit Form IV annual report by 30 June for the preceding calendar year; report major accidents in the prescribed form/time. was not demonstrated or did not operate effectively for the sample tested.; Risk Level=High; Recommendation=Implement the requirement, correct affected records or transactions, and retain evidence of operating effectiveness: Maintain BMW records; submit Form IV annual report by 30 June for the preceding calendar year; report major accidents in the prescribed form/time.; Observation Category=CA040; Origin=P4_VALIDATION; Active=Yes; Remarks=P-4 chain-closure observation template.</x:v>
      </x:c>
      <x:c r="E3263" s="33" t="str">
        <x:v>ADD</x:v>
      </x:c>
      <x:c r="F3263" s="33" t="str">
        <x:v>Close every active audit-to-observation link.</x:v>
      </x:c>
      <x:c r="G3263" s="33" t="str">
        <x:v>P-4 execution-chain reconciliation</x:v>
      </x:c>
      <x:c r="H3263" s="33" t="str">
        <x:v>P-4</x:v>
      </x:c>
      <x:c r="I3263" s="33" t="str">
        <x:v>P-4</x:v>
      </x:c>
      <x:c r="J3263" s="33" t="str">
        <x:v>2026-08-20</x:v>
      </x:c>
      <x:c r="K3263" s="33" t="str">
        <x:v>All active audits now have an active observation template.</x:v>
      </x:c>
    </x:row>
    <x:row r="3264">
      <x:c r="A3264" s="33" t="str">
        <x:v>P4OBS033</x:v>
      </x:c>
      <x:c r="B3264" s="33" t="str">
        <x:v>Observation Master</x:v>
      </x:c>
      <x:c r="C3264" s="33" t="str">
        <x:v>Not present</x:v>
      </x:c>
      <x:c r="D3264" s="33" t="str">
        <x:v>Observation ID=P4OBS033; Audit ID=AUD102; Observation Template=Obtain and maintain BMW authorization in Form II from the prescribed authority before/while handling BMW, irrespective of quantity. was not demonstrated or did not operate effectively for the sample tested.; Risk Level=Critical; Recommendation=Implement the requirement, correct affected records or transactions, and retain evidence of operating effectiveness: Obtain and maintain BMW authorization in Form II from the prescribed authority before/while handling BMW, irrespective of quantity.; Observation Category=CA038; Origin=P4_VALIDATION; Active=Yes; Remarks=P-4 chain-closure observation template.</x:v>
      </x:c>
      <x:c r="E3264" s="33" t="str">
        <x:v>ADD</x:v>
      </x:c>
      <x:c r="F3264" s="33" t="str">
        <x:v>Close every active audit-to-observation link.</x:v>
      </x:c>
      <x:c r="G3264" s="33" t="str">
        <x:v>P-4 execution-chain reconciliation</x:v>
      </x:c>
      <x:c r="H3264" s="33" t="str">
        <x:v>P-4</x:v>
      </x:c>
      <x:c r="I3264" s="33" t="str">
        <x:v>P-4</x:v>
      </x:c>
      <x:c r="J3264" s="33" t="str">
        <x:v>2026-08-20</x:v>
      </x:c>
      <x:c r="K3264" s="33" t="str">
        <x:v>All active audits now have an active observation template.</x:v>
      </x:c>
    </x:row>
    <x:row r="3265">
      <x:c r="A3265" s="33" t="str">
        <x:v>P4OBS034</x:v>
      </x:c>
      <x:c r="B3265" s="33" t="str">
        <x:v>Observation Master</x:v>
      </x:c>
      <x:c r="C3265" s="33" t="str">
        <x:v>Not present</x:v>
      </x:c>
      <x:c r="D3265" s="33" t="str">
        <x:v>Observation ID=P4OBS034; Audit ID=AUD103; Observation Template=Obtain and maintain BMW authorization in Form II from the prescribed authority before/while handling BMW, irrespective of quantity. was not demonstrated or did not operate effectively for the sample tested.; Risk Level=Critical; Recommendation=Implement the requirement, correct affected records or transactions, and retain evidence of operating effectiveness: Obtain and maintain BMW authorization in Form II from the prescribed authority before/while handling BMW, irrespective of quantity.; Observation Category=CA038; Origin=P4_VALIDATION; Active=Yes; Remarks=P-4 chain-closure observation template.</x:v>
      </x:c>
      <x:c r="E3265" s="33" t="str">
        <x:v>ADD</x:v>
      </x:c>
      <x:c r="F3265" s="33" t="str">
        <x:v>Close every active audit-to-observation link.</x:v>
      </x:c>
      <x:c r="G3265" s="33" t="str">
        <x:v>P-4 execution-chain reconciliation</x:v>
      </x:c>
      <x:c r="H3265" s="33" t="str">
        <x:v>P-4</x:v>
      </x:c>
      <x:c r="I3265" s="33" t="str">
        <x:v>P-4</x:v>
      </x:c>
      <x:c r="J3265" s="33" t="str">
        <x:v>2026-08-20</x:v>
      </x:c>
      <x:c r="K3265" s="33" t="str">
        <x:v>All active audits now have an active observation template.</x:v>
      </x:c>
    </x:row>
    <x:row r="3266">
      <x:c r="A3266" s="33" t="str">
        <x:v>P4OBS035</x:v>
      </x:c>
      <x:c r="B3266" s="33" t="str">
        <x:v>Observation Master</x:v>
      </x:c>
      <x:c r="C3266" s="33" t="str">
        <x:v>Not present</x:v>
      </x:c>
      <x:c r="D3266" s="33" t="str">
        <x:v>Observation ID=P4OBS035; Audit ID=AUD104; Observation Template=Obtain and maintain BMW authorization in Form II from the prescribed authority before/while handling BMW, irrespective of quantity. was not demonstrated or did not operate effectively for the sample tested.; Risk Level=Critical; Recommendation=Implement the requirement, correct affected records or transactions, and retain evidence of operating effectiveness: Obtain and maintain BMW authorization in Form II from the prescribed authority before/while handling BMW, irrespective of quantity.; Observation Category=CA038; Origin=P4_VALIDATION; Active=Yes; Remarks=P-4 chain-closure observation template.</x:v>
      </x:c>
      <x:c r="E3266" s="33" t="str">
        <x:v>ADD</x:v>
      </x:c>
      <x:c r="F3266" s="33" t="str">
        <x:v>Close every active audit-to-observation link.</x:v>
      </x:c>
      <x:c r="G3266" s="33" t="str">
        <x:v>P-4 execution-chain reconciliation</x:v>
      </x:c>
      <x:c r="H3266" s="33" t="str">
        <x:v>P-4</x:v>
      </x:c>
      <x:c r="I3266" s="33" t="str">
        <x:v>P-4</x:v>
      </x:c>
      <x:c r="J3266" s="33" t="str">
        <x:v>2026-08-20</x:v>
      </x:c>
      <x:c r="K3266" s="33" t="str">
        <x:v>All active audits now have an active observation template.</x:v>
      </x:c>
    </x:row>
    <x:row r="3267">
      <x:c r="A3267" s="33" t="str">
        <x:v>P4OBS036</x:v>
      </x:c>
      <x:c r="B3267" s="33" t="str">
        <x:v>Observation Master</x:v>
      </x:c>
      <x:c r="C3267" s="33" t="str">
        <x:v>Not present</x:v>
      </x:c>
      <x:c r="D3267" s="33" t="str">
        <x:v>Observation ID=P4OBS036; Audit ID=AUD105; Observation Template=Obtain and maintain BMW authorization in Form II from the prescribed authority before/while handling BMW, irrespective of quantity. was not demonstrated or did not operate effectively for the sample tested.; Risk Level=Critical; Recommendation=Implement the requirement, correct affected records or transactions, and retain evidence of operating effectiveness: Obtain and maintain BMW authorization in Form II from the prescribed authority before/while handling BMW, irrespective of quantity.; Observation Category=CA038; Origin=P4_VALIDATION; Active=Yes; Remarks=P-4 chain-closure observation template.</x:v>
      </x:c>
      <x:c r="E3267" s="33" t="str">
        <x:v>ADD</x:v>
      </x:c>
      <x:c r="F3267" s="33" t="str">
        <x:v>Close every active audit-to-observation link.</x:v>
      </x:c>
      <x:c r="G3267" s="33" t="str">
        <x:v>P-4 execution-chain reconciliation</x:v>
      </x:c>
      <x:c r="H3267" s="33" t="str">
        <x:v>P-4</x:v>
      </x:c>
      <x:c r="I3267" s="33" t="str">
        <x:v>P-4</x:v>
      </x:c>
      <x:c r="J3267" s="33" t="str">
        <x:v>2026-08-20</x:v>
      </x:c>
      <x:c r="K3267" s="33" t="str">
        <x:v>All active audits now have an active observation template.</x:v>
      </x:c>
    </x:row>
    <x:row r="3268">
      <x:c r="A3268" s="33" t="str">
        <x:v>P4OBS037</x:v>
      </x:c>
      <x:c r="B3268" s="33" t="str">
        <x:v>Observation Master</x:v>
      </x:c>
      <x:c r="C3268" s="33" t="str">
        <x:v>Not present</x:v>
      </x:c>
      <x:c r="D3268" s="33" t="str">
        <x:v>Observation ID=P4OBS037; Audit ID=AUD117; Observation Template=Assess current EPF coverage under the Social Security Code/notifications and complete registration when the establishment trigger is met. was not demonstrated or did not operate effectively for the sample tested.; Risk Level=High; Recommendation=Implement the requirement, correct affected records or transactions, and retain evidence of operating effectiveness: Assess current EPF coverage under the Social Security Code/notifications and complete registration when the establishment trigger is met.; Observation Category=CA048; Origin=P4_VALIDATION; Active=Yes; Remarks=P-4 chain-closure observation template.</x:v>
      </x:c>
      <x:c r="E3268" s="33" t="str">
        <x:v>ADD</x:v>
      </x:c>
      <x:c r="F3268" s="33" t="str">
        <x:v>Close every active audit-to-observation link.</x:v>
      </x:c>
      <x:c r="G3268" s="33" t="str">
        <x:v>P-4 execution-chain reconciliation</x:v>
      </x:c>
      <x:c r="H3268" s="33" t="str">
        <x:v>P-4</x:v>
      </x:c>
      <x:c r="I3268" s="33" t="str">
        <x:v>P-4</x:v>
      </x:c>
      <x:c r="J3268" s="33" t="str">
        <x:v>2026-08-20</x:v>
      </x:c>
      <x:c r="K3268" s="33" t="str">
        <x:v>All active audits now have an active observation template.</x:v>
      </x:c>
    </x:row>
    <x:row r="3269">
      <x:c r="A3269" s="33" t="str">
        <x:v>P4OBS038</x:v>
      </x:c>
      <x:c r="B3269" s="33" t="str">
        <x:v>Observation Master</x:v>
      </x:c>
      <x:c r="C3269" s="33" t="str">
        <x:v>Not present</x:v>
      </x:c>
      <x:c r="D3269" s="33" t="str">
        <x:v>Observation ID=P4OBS038; Audit ID=AUD119; Observation Template=For covered employees, compute, deduct and remit provident-fund contributions under the current Code, 2026 Rules and applicable scheme/notifications. was not demonstrated or did not operate effectively for the sample tested.; Risk Level=High; Recommendation=Implement the requirement, correct affected records or transactions, and retain evidence of operating effectiveness: For covered employees, compute, deduct and remit provident-fund contributions under the current Code, 2026 Rules and applicable scheme/notifications.; Observation Category=CA048; Origin=P4_VALIDATION; Active=Yes; Remarks=P-4 chain-closure observation template.</x:v>
      </x:c>
      <x:c r="E3269" s="33" t="str">
        <x:v>ADD</x:v>
      </x:c>
      <x:c r="F3269" s="33" t="str">
        <x:v>Close every active audit-to-observation link.</x:v>
      </x:c>
      <x:c r="G3269" s="33" t="str">
        <x:v>P-4 execution-chain reconciliation</x:v>
      </x:c>
      <x:c r="H3269" s="33" t="str">
        <x:v>P-4</x:v>
      </x:c>
      <x:c r="I3269" s="33" t="str">
        <x:v>P-4</x:v>
      </x:c>
      <x:c r="J3269" s="33" t="str">
        <x:v>2026-08-20</x:v>
      </x:c>
      <x:c r="K3269" s="33" t="str">
        <x:v>All active audits now have an active observation template.</x:v>
      </x:c>
    </x:row>
    <x:row r="3270">
      <x:c r="A3270" s="33" t="str">
        <x:v>P4OBS039</x:v>
      </x:c>
      <x:c r="B3270" s="33" t="str">
        <x:v>Observation Master</x:v>
      </x:c>
      <x:c r="C3270" s="33" t="str">
        <x:v>Not present</x:v>
      </x:c>
      <x:c r="D3270" s="33" t="str">
        <x:v>Observation ID=P4OBS039; Audit ID=AUD121; Observation Template=Maintain complete EPF membership, wage, nomination, contribution and electronic filing records for covered employees. was not demonstrated or did not operate effectively for the sample tested.; Risk Level=High; Recommendation=Implement the requirement, correct affected records or transactions, and retain evidence of operating effectiveness: Maintain complete EPF membership, wage, nomination, contribution and electronic filing records for covered employees.; Observation Category=CA046; Origin=P4_VALIDATION; Active=Yes; Remarks=P-4 chain-closure observation template.</x:v>
      </x:c>
      <x:c r="E3270" s="33" t="str">
        <x:v>ADD</x:v>
      </x:c>
      <x:c r="F3270" s="33" t="str">
        <x:v>Close every active audit-to-observation link.</x:v>
      </x:c>
      <x:c r="G3270" s="33" t="str">
        <x:v>P-4 execution-chain reconciliation</x:v>
      </x:c>
      <x:c r="H3270" s="33" t="str">
        <x:v>P-4</x:v>
      </x:c>
      <x:c r="I3270" s="33" t="str">
        <x:v>P-4</x:v>
      </x:c>
      <x:c r="J3270" s="33" t="str">
        <x:v>2026-08-20</x:v>
      </x:c>
      <x:c r="K3270" s="33" t="str">
        <x:v>All active audits now have an active observation template.</x:v>
      </x:c>
    </x:row>
    <x:row r="3271">
      <x:c r="A3271" s="33" t="str">
        <x:v>P4OBS040</x:v>
      </x:c>
      <x:c r="B3271" s="33" t="str">
        <x:v>Observation Master</x:v>
      </x:c>
      <x:c r="C3271" s="33" t="str">
        <x:v>Not present</x:v>
      </x:c>
      <x:c r="D3271" s="33" t="str">
        <x:v>Observation ID=P4OBS040; Audit ID=AUD123; Observation Template=Deposit EPF contributions and submit the applicable electronic return/challan within the current prescribed monthly timeline. was not demonstrated or did not operate effectively for the sample tested.; Risk Level=High; Recommendation=Implement the requirement, correct affected records or transactions, and retain evidence of operating effectiveness: Deposit EPF contributions and submit the applicable electronic return/challan within the current prescribed monthly timeline.; Observation Category=CA048; Origin=P4_VALIDATION; Active=Yes; Remarks=P-4 chain-closure observation template.</x:v>
      </x:c>
      <x:c r="E3271" s="33" t="str">
        <x:v>ADD</x:v>
      </x:c>
      <x:c r="F3271" s="33" t="str">
        <x:v>Close every active audit-to-observation link.</x:v>
      </x:c>
      <x:c r="G3271" s="33" t="str">
        <x:v>P-4 execution-chain reconciliation</x:v>
      </x:c>
      <x:c r="H3271" s="33" t="str">
        <x:v>P-4</x:v>
      </x:c>
      <x:c r="I3271" s="33" t="str">
        <x:v>P-4</x:v>
      </x:c>
      <x:c r="J3271" s="33" t="str">
        <x:v>2026-08-20</x:v>
      </x:c>
      <x:c r="K3271" s="33" t="str">
        <x:v>All active audits now have an active observation template.</x:v>
      </x:c>
    </x:row>
    <x:row r="3272">
      <x:c r="A3272" s="33" t="str">
        <x:v>P4OBS041</x:v>
      </x:c>
      <x:c r="B3272" s="33" t="str">
        <x:v>Observation Master</x:v>
      </x:c>
      <x:c r="C3272" s="33" t="str">
        <x:v>Not present</x:v>
      </x:c>
      <x:c r="D3272" s="33" t="str">
        <x:v>Observation ID=P4OBS041; Audit ID=AUD125; Observation Template=Preserve and produce applicable provident-fund records for the period prescribed by the current Code/Rules/scheme; do not rely on an unsupported generic period. was not demonstrated or did not operate effectively for the sample tested.; Risk Level=High; Recommendation=Implement the requirement, correct affected records or transactions, and retain evidence of operating effectiveness: Preserve and produce applicable provident-fund records for the period prescribed by the current Code/Rules/scheme; do not rely on an unsupported generic period.; Observation Category=CA046; Origin=P4_VALIDATION; Active=Yes; Remarks=P-4 chain-closure observation template.</x:v>
      </x:c>
      <x:c r="E3272" s="33" t="str">
        <x:v>ADD</x:v>
      </x:c>
      <x:c r="F3272" s="33" t="str">
        <x:v>Close every active audit-to-observation link.</x:v>
      </x:c>
      <x:c r="G3272" s="33" t="str">
        <x:v>P-4 execution-chain reconciliation</x:v>
      </x:c>
      <x:c r="H3272" s="33" t="str">
        <x:v>P-4</x:v>
      </x:c>
      <x:c r="I3272" s="33" t="str">
        <x:v>P-4</x:v>
      </x:c>
      <x:c r="J3272" s="33" t="str">
        <x:v>2026-08-20</x:v>
      </x:c>
      <x:c r="K3272" s="33" t="str">
        <x:v>All active audits now have an active observation template.</x:v>
      </x:c>
    </x:row>
    <x:row r="3273">
      <x:c r="A3273" s="33" t="str">
        <x:v>P4OBS042</x:v>
      </x:c>
      <x:c r="B3273" s="33" t="str">
        <x:v>Observation Master</x:v>
      </x:c>
      <x:c r="C3273" s="33" t="str">
        <x:v>Not present</x:v>
      </x:c>
      <x:c r="D3273" s="33" t="str">
        <x:v>Observation ID=P4OBS042; Audit ID=AUD127; Observation Template=Assess current ESI coverage under the Social Security Code/notifications and register the establishment and covered employees when triggered. was not demonstrated or did not operate effectively for the sample tested.; Risk Level=High; Recommendation=Implement the requirement, correct affected records or transactions, and retain evidence of operating effectiveness: Assess current ESI coverage under the Social Security Code/notifications and register the establishment and covered employees when triggered.; Observation Category=CA048; Origin=P4_VALIDATION; Active=Yes; Remarks=P-4 chain-closure observation template.</x:v>
      </x:c>
      <x:c r="E3273" s="33" t="str">
        <x:v>ADD</x:v>
      </x:c>
      <x:c r="F3273" s="33" t="str">
        <x:v>Close every active audit-to-observation link.</x:v>
      </x:c>
      <x:c r="G3273" s="33" t="str">
        <x:v>P-4 execution-chain reconciliation</x:v>
      </x:c>
      <x:c r="H3273" s="33" t="str">
        <x:v>P-4</x:v>
      </x:c>
      <x:c r="I3273" s="33" t="str">
        <x:v>P-4</x:v>
      </x:c>
      <x:c r="J3273" s="33" t="str">
        <x:v>2026-08-20</x:v>
      </x:c>
      <x:c r="K3273" s="33" t="str">
        <x:v>All active audits now have an active observation template.</x:v>
      </x:c>
    </x:row>
    <x:row r="3274">
      <x:c r="A3274" s="33" t="str">
        <x:v>P4OBS043</x:v>
      </x:c>
      <x:c r="B3274" s="33" t="str">
        <x:v>Observation Master</x:v>
      </x:c>
      <x:c r="C3274" s="33" t="str">
        <x:v>Not present</x:v>
      </x:c>
      <x:c r="D3274" s="33" t="str">
        <x:v>Observation ID=P4OBS043; Audit ID=AUD129; Observation Template=For covered employees, compute, deduct and remit ESI contributions within the current prescribed timeline. was not demonstrated or did not operate effectively for the sample tested.; Risk Level=High; Recommendation=Implement the requirement, correct affected records or transactions, and retain evidence of operating effectiveness: For covered employees, compute, deduct and remit ESI contributions within the current prescribed timeline.; Observation Category=CA048; Origin=P4_VALIDATION; Active=Yes; Remarks=P-4 chain-closure observation template.</x:v>
      </x:c>
      <x:c r="E3274" s="33" t="str">
        <x:v>ADD</x:v>
      </x:c>
      <x:c r="F3274" s="33" t="str">
        <x:v>Close every active audit-to-observation link.</x:v>
      </x:c>
      <x:c r="G3274" s="33" t="str">
        <x:v>P-4 execution-chain reconciliation</x:v>
      </x:c>
      <x:c r="H3274" s="33" t="str">
        <x:v>P-4</x:v>
      </x:c>
      <x:c r="I3274" s="33" t="str">
        <x:v>P-4</x:v>
      </x:c>
      <x:c r="J3274" s="33" t="str">
        <x:v>2026-08-20</x:v>
      </x:c>
      <x:c r="K3274" s="33" t="str">
        <x:v>All active audits now have an active observation template.</x:v>
      </x:c>
    </x:row>
    <x:row r="3275">
      <x:c r="A3275" s="33" t="str">
        <x:v>P4OBS044</x:v>
      </x:c>
      <x:c r="B3275" s="33" t="str">
        <x:v>Observation Master</x:v>
      </x:c>
      <x:c r="C3275" s="33" t="str">
        <x:v>Not present</x:v>
      </x:c>
      <x:c r="D3275" s="33" t="str">
        <x:v>Observation ID=P4OBS044; Audit ID=AUD131; Observation Template=Maintain complete ESI registration, wage, contribution, accident and benefit-supporting records for covered employees. was not demonstrated or did not operate effectively for the sample tested.; Risk Level=High; Recommendation=Implement the requirement, correct affected records or transactions, and retain evidence of operating effectiveness: Maintain complete ESI registration, wage, contribution, accident and benefit-supporting records for covered employees.; Observation Category=CA046; Origin=P4_VALIDATION; Active=Yes; Remarks=P-4 chain-closure observation template.</x:v>
      </x:c>
      <x:c r="E3275" s="33" t="str">
        <x:v>ADD</x:v>
      </x:c>
      <x:c r="F3275" s="33" t="str">
        <x:v>Close every active audit-to-observation link.</x:v>
      </x:c>
      <x:c r="G3275" s="33" t="str">
        <x:v>P-4 execution-chain reconciliation</x:v>
      </x:c>
      <x:c r="H3275" s="33" t="str">
        <x:v>P-4</x:v>
      </x:c>
      <x:c r="I3275" s="33" t="str">
        <x:v>P-4</x:v>
      </x:c>
      <x:c r="J3275" s="33" t="str">
        <x:v>2026-08-20</x:v>
      </x:c>
      <x:c r="K3275" s="33" t="str">
        <x:v>All active audits now have an active observation template.</x:v>
      </x:c>
    </x:row>
    <x:row r="3276">
      <x:c r="A3276" s="33" t="str">
        <x:v>P4OBS045</x:v>
      </x:c>
      <x:c r="B3276" s="33" t="str">
        <x:v>Observation Master</x:v>
      </x:c>
      <x:c r="C3276" s="33" t="str">
        <x:v>Not present</x:v>
      </x:c>
      <x:c r="D3276" s="33" t="str">
        <x:v>Observation ID=P4OBS045; Audit ID=AUD133; Observation Template=Submit the applicable ESI electronic contribution filing/declaration at the frequency and due date prescribed for the establishment. was not demonstrated or did not operate effectively for the sample tested.; Risk Level=High; Recommendation=Implement the requirement, correct affected records or transactions, and retain evidence of operating effectiveness: Submit the applicable ESI electronic contribution filing/declaration at the frequency and due date prescribed for the establishment.; Observation Category=CA048; Origin=P4_VALIDATION; Active=Yes; Remarks=P-4 chain-closure observation template.</x:v>
      </x:c>
      <x:c r="E3276" s="33" t="str">
        <x:v>ADD</x:v>
      </x:c>
      <x:c r="F3276" s="33" t="str">
        <x:v>Close every active audit-to-observation link.</x:v>
      </x:c>
      <x:c r="G3276" s="33" t="str">
        <x:v>P-4 execution-chain reconciliation</x:v>
      </x:c>
      <x:c r="H3276" s="33" t="str">
        <x:v>P-4</x:v>
      </x:c>
      <x:c r="I3276" s="33" t="str">
        <x:v>P-4</x:v>
      </x:c>
      <x:c r="J3276" s="33" t="str">
        <x:v>2026-08-20</x:v>
      </x:c>
      <x:c r="K3276" s="33" t="str">
        <x:v>All active audits now have an active observation template.</x:v>
      </x:c>
    </x:row>
    <x:row r="3277">
      <x:c r="A3277" s="33" t="str">
        <x:v>P4OBS046</x:v>
      </x:c>
      <x:c r="B3277" s="33" t="str">
        <x:v>Observation Master</x:v>
      </x:c>
      <x:c r="C3277" s="33" t="str">
        <x:v>Not present</x:v>
      </x:c>
      <x:c r="D3277" s="33" t="str">
        <x:v>Observation ID=P4OBS046; Audit ID=AUD135; Observation Template=Produce applicable EPF/ESI records to an authorised inspector-cum-facilitator or authority when lawfully demanded. was not demonstrated or did not operate effectively for the sample tested.; Risk Level=High; Recommendation=Implement the requirement, correct affected records or transactions, and retain evidence of operating effectiveness: Produce applicable EPF/ESI records to an authorised inspector-cum-facilitator or authority when lawfully demanded.; Observation Category=CA046; Origin=P4_VALIDATION; Active=Yes; Remarks=P-4 chain-closure observation template.</x:v>
      </x:c>
      <x:c r="E3277" s="33" t="str">
        <x:v>ADD</x:v>
      </x:c>
      <x:c r="F3277" s="33" t="str">
        <x:v>Close every active audit-to-observation link.</x:v>
      </x:c>
      <x:c r="G3277" s="33" t="str">
        <x:v>P-4 execution-chain reconciliation</x:v>
      </x:c>
      <x:c r="H3277" s="33" t="str">
        <x:v>P-4</x:v>
      </x:c>
      <x:c r="I3277" s="33" t="str">
        <x:v>P-4</x:v>
      </x:c>
      <x:c r="J3277" s="33" t="str">
        <x:v>2026-08-20</x:v>
      </x:c>
      <x:c r="K3277" s="33" t="str">
        <x:v>All active audits now have an active observation template.</x:v>
      </x:c>
    </x:row>
    <x:row r="3278">
      <x:c r="A3278" s="33" t="str">
        <x:v>P4OBS047</x:v>
      </x:c>
      <x:c r="B3278" s="33" t="str">
        <x:v>Observation Master</x:v>
      </x:c>
      <x:c r="C3278" s="33" t="str">
        <x:v>Not present</x:v>
      </x:c>
      <x:c r="D3278" s="33" t="str">
        <x:v>Observation ID=P4OBS047; Audit ID=AUD137; Observation Template=Assess CGST/SGST registration liability by turnover, compulsory-registration and voluntary-registration rules; register in each required State before/within the statutory timeline. was not demonstrated or did not operate effectively for the sample tested.; Risk Level=High; Recommendation=Implement the requirement, correct affected records or transactions, and retain evidence of operating effectiveness: Assess CGST/SGST registration liability by turnover, compulsory-registration and voluntary-registration rules; register in each required State before/within the statutory timeline.; Observation Category=CA052; Origin=P4_VALIDATION; Active=Yes; Remarks=P-4 chain-closure observation template.</x:v>
      </x:c>
      <x:c r="E3278" s="33" t="str">
        <x:v>ADD</x:v>
      </x:c>
      <x:c r="F3278" s="33" t="str">
        <x:v>Close every active audit-to-observation link.</x:v>
      </x:c>
      <x:c r="G3278" s="33" t="str">
        <x:v>P-4 execution-chain reconciliation</x:v>
      </x:c>
      <x:c r="H3278" s="33" t="str">
        <x:v>P-4</x:v>
      </x:c>
      <x:c r="I3278" s="33" t="str">
        <x:v>P-4</x:v>
      </x:c>
      <x:c r="J3278" s="33" t="str">
        <x:v>2026-08-20</x:v>
      </x:c>
      <x:c r="K3278" s="33" t="str">
        <x:v>All active audits now have an active observation template.</x:v>
      </x:c>
    </x:row>
    <x:row r="3279">
      <x:c r="A3279" s="33" t="str">
        <x:v>P4OBS048</x:v>
      </x:c>
      <x:c r="B3279" s="33" t="str">
        <x:v>Observation Master</x:v>
      </x:c>
      <x:c r="C3279" s="33" t="str">
        <x:v>Not present</x:v>
      </x:c>
      <x:c r="D3279" s="33" t="str">
        <x:v>Observation ID=P4OBS048; Audit ID=AUD139; Observation Template=Issue the correct GST tax invoice, bill of supply or credit/debit document with prescribed particulars for each applicable supply. was not demonstrated or did not operate effectively for the sample tested.; Risk Level=High; Recommendation=Implement the requirement, correct affected records or transactions, and retain evidence of operating effectiveness: Issue the correct GST tax invoice, bill of supply or credit/debit document with prescribed particulars for each applicable supply.; Observation Category=CA031; Origin=P4_VALIDATION; Active=Yes; Remarks=P-4 chain-closure observation template.</x:v>
      </x:c>
      <x:c r="E3279" s="33" t="str">
        <x:v>ADD</x:v>
      </x:c>
      <x:c r="F3279" s="33" t="str">
        <x:v>Close every active audit-to-observation link.</x:v>
      </x:c>
      <x:c r="G3279" s="33" t="str">
        <x:v>P-4 execution-chain reconciliation</x:v>
      </x:c>
      <x:c r="H3279" s="33" t="str">
        <x:v>P-4</x:v>
      </x:c>
      <x:c r="I3279" s="33" t="str">
        <x:v>P-4</x:v>
      </x:c>
      <x:c r="J3279" s="33" t="str">
        <x:v>2026-08-20</x:v>
      </x:c>
      <x:c r="K3279" s="33" t="str">
        <x:v>All active audits now have an active observation template.</x:v>
      </x:c>
    </x:row>
    <x:row r="3280">
      <x:c r="A3280" s="33" t="str">
        <x:v>P4OBS049</x:v>
      </x:c>
      <x:c r="B3280" s="33" t="str">
        <x:v>Observation Master</x:v>
      </x:c>
      <x:c r="C3280" s="33" t="str">
        <x:v>Not present</x:v>
      </x:c>
      <x:c r="D3280" s="33" t="str">
        <x:v>Observation ID=P4OBS049; Audit ID=AUD141; Observation Template=Maintain the prescribed GST accounts, invoices, e-way/e-invoice records and supporting documents for the applicable retention period. was not demonstrated or did not operate effectively for the sample tested.; Risk Level=High; Recommendation=Implement the requirement, correct affected records or transactions, and retain evidence of operating effectiveness: Maintain the prescribed GST accounts, invoices, e-way/e-invoice records and supporting documents for the applicable retention period.; Observation Category=CA054; Origin=P4_VALIDATION; Active=Yes; Remarks=P-4 chain-closure observation template.</x:v>
      </x:c>
      <x:c r="E3280" s="33" t="str">
        <x:v>ADD</x:v>
      </x:c>
      <x:c r="F3280" s="33" t="str">
        <x:v>Close every active audit-to-observation link.</x:v>
      </x:c>
      <x:c r="G3280" s="33" t="str">
        <x:v>P-4 execution-chain reconciliation</x:v>
      </x:c>
      <x:c r="H3280" s="33" t="str">
        <x:v>P-4</x:v>
      </x:c>
      <x:c r="I3280" s="33" t="str">
        <x:v>P-4</x:v>
      </x:c>
      <x:c r="J3280" s="33" t="str">
        <x:v>2026-08-20</x:v>
      </x:c>
      <x:c r="K3280" s="33" t="str">
        <x:v>All active audits now have an active observation template.</x:v>
      </x:c>
    </x:row>
    <x:row r="3281">
      <x:c r="A3281" s="33" t="str">
        <x:v>P4OBS050</x:v>
      </x:c>
      <x:c r="B3281" s="33" t="str">
        <x:v>Observation Master</x:v>
      </x:c>
      <x:c r="C3281" s="33" t="str">
        <x:v>Not present</x:v>
      </x:c>
      <x:c r="D3281" s="33" t="str">
        <x:v>Observation ID=P4OBS050; Audit ID=AUD143; Observation Template=File only the GST returns/statements applicable to the taxpayer profile and scheme at the notified frequency and due date. was not demonstrated or did not operate effectively for the sample tested.; Risk Level=High; Recommendation=Implement the requirement, correct affected records or transactions, and retain evidence of operating effectiveness: File only the GST returns/statements applicable to the taxpayer profile and scheme at the notified frequency and due date.; Observation Category=CA052; Origin=P4_VALIDATION; Active=Yes; Remarks=P-4 chain-closure observation template.</x:v>
      </x:c>
      <x:c r="E3281" s="33" t="str">
        <x:v>ADD</x:v>
      </x:c>
      <x:c r="F3281" s="33" t="str">
        <x:v>Close every active audit-to-observation link.</x:v>
      </x:c>
      <x:c r="G3281" s="33" t="str">
        <x:v>P-4 execution-chain reconciliation</x:v>
      </x:c>
      <x:c r="H3281" s="33" t="str">
        <x:v>P-4</x:v>
      </x:c>
      <x:c r="I3281" s="33" t="str">
        <x:v>P-4</x:v>
      </x:c>
      <x:c r="J3281" s="33" t="str">
        <x:v>2026-08-20</x:v>
      </x:c>
      <x:c r="K3281" s="33" t="str">
        <x:v>All active audits now have an active observation template.</x:v>
      </x:c>
    </x:row>
    <x:row r="3282">
      <x:c r="A3282" s="33" t="str">
        <x:v>P4OBS051</x:v>
      </x:c>
      <x:c r="B3282" s="33" t="str">
        <x:v>Observation Master</x:v>
      </x:c>
      <x:c r="C3282" s="33" t="str">
        <x:v>Not present</x:v>
      </x:c>
      <x:c r="D3282" s="33" t="str">
        <x:v>Observation ID=P4OBS051; Audit ID=AUD145; Observation Template=Discharge self-assessed GST, interest and other liability through the electronic ledgers by the due date applicable to the return/scheme. was not demonstrated or did not operate effectively for the sample tested.; Risk Level=High; Recommendation=Implement the requirement, correct affected records or transactions, and retain evidence of operating effectiveness: Discharge self-assessed GST, interest and other liability through the electronic ledgers by the due date applicable to the return/scheme.; Observation Category=CA052; Origin=P4_VALIDATION; Active=Yes; Remarks=P-4 chain-closure observation template.</x:v>
      </x:c>
      <x:c r="E3282" s="33" t="str">
        <x:v>ADD</x:v>
      </x:c>
      <x:c r="F3282" s="33" t="str">
        <x:v>Close every active audit-to-observation link.</x:v>
      </x:c>
      <x:c r="G3282" s="33" t="str">
        <x:v>P-4 execution-chain reconciliation</x:v>
      </x:c>
      <x:c r="H3282" s="33" t="str">
        <x:v>P-4</x:v>
      </x:c>
      <x:c r="I3282" s="33" t="str">
        <x:v>P-4</x:v>
      </x:c>
      <x:c r="J3282" s="33" t="str">
        <x:v>2026-08-20</x:v>
      </x:c>
      <x:c r="K3282" s="33" t="str">
        <x:v>All active audits now have an active observation template.</x:v>
      </x:c>
    </x:row>
    <x:row r="3283">
      <x:c r="A3283" s="33" t="str">
        <x:v>P4OBS052</x:v>
      </x:c>
      <x:c r="B3283" s="33" t="str">
        <x:v>Observation Master</x:v>
      </x:c>
      <x:c r="C3283" s="33" t="str">
        <x:v>Not present</x:v>
      </x:c>
      <x:c r="D3283" s="33" t="str">
        <x:v>Observation ID=P4OBS052; Audit ID=AUD147; Observation Template=File the return of income for Tax Year 2026-27 onward under section 263 of the Income-tax Act, 2025 using the applicable Income-tax Rules, 2026 form and due date. was not demonstrated or did not operate effectively for the sample tested.; Risk Level=High; Recommendation=Implement the requirement, correct affected records or transactions, and retain evidence of operating effectiveness: File the return of income for Tax Year 2026-27 onward under section 263 of the Income-tax Act, 2025 using the applicable Income-tax Rules, 2026 form and due date.; Observation Category=CA053; Origin=P4_VALIDATION; Active=Yes; Remarks=P-4 chain-closure observation template.</x:v>
      </x:c>
      <x:c r="E3283" s="33" t="str">
        <x:v>ADD</x:v>
      </x:c>
      <x:c r="F3283" s="33" t="str">
        <x:v>Close every active audit-to-observation link.</x:v>
      </x:c>
      <x:c r="G3283" s="33" t="str">
        <x:v>P-4 execution-chain reconciliation</x:v>
      </x:c>
      <x:c r="H3283" s="33" t="str">
        <x:v>P-4</x:v>
      </x:c>
      <x:c r="I3283" s="33" t="str">
        <x:v>P-4</x:v>
      </x:c>
      <x:c r="J3283" s="33" t="str">
        <x:v>2026-08-20</x:v>
      </x:c>
      <x:c r="K3283" s="33" t="str">
        <x:v>All active audits now have an active observation template.</x:v>
      </x:c>
    </x:row>
    <x:row r="3284">
      <x:c r="A3284" s="33" t="str">
        <x:v>P4OBS053</x:v>
      </x:c>
      <x:c r="B3284" s="33" t="str">
        <x:v>Observation Master</x:v>
      </x:c>
      <x:c r="C3284" s="33" t="str">
        <x:v>Not present</x:v>
      </x:c>
      <x:c r="D3284" s="33" t="str">
        <x:v>Observation ID=P4OBS053; Audit ID=AUD149; Observation Template=Deduct, deposit and report salary withholding under the Income-tax Act, 2025 and Income-tax Rules, 2026 for payments governed by the new Act. was not demonstrated or did not operate effectively for the sample tested.; Risk Level=High; Recommendation=Implement the requirement, correct affected records or transactions, and retain evidence of operating effectiveness: Deduct, deposit and report salary withholding under the Income-tax Act, 2025 and Income-tax Rules, 2026 for payments governed by the new Act.; Observation Category=CA053; Origin=P4_VALIDATION; Active=Yes; Remarks=P-4 chain-closure observation template.</x:v>
      </x:c>
      <x:c r="E3284" s="33" t="str">
        <x:v>ADD</x:v>
      </x:c>
      <x:c r="F3284" s="33" t="str">
        <x:v>Close every active audit-to-observation link.</x:v>
      </x:c>
      <x:c r="G3284" s="33" t="str">
        <x:v>P-4 execution-chain reconciliation</x:v>
      </x:c>
      <x:c r="H3284" s="33" t="str">
        <x:v>P-4</x:v>
      </x:c>
      <x:c r="I3284" s="33" t="str">
        <x:v>P-4</x:v>
      </x:c>
      <x:c r="J3284" s="33" t="str">
        <x:v>2026-08-20</x:v>
      </x:c>
      <x:c r="K3284" s="33" t="str">
        <x:v>All active audits now have an active observation template.</x:v>
      </x:c>
    </x:row>
    <x:row r="3285">
      <x:c r="A3285" s="33" t="str">
        <x:v>P4OBS054</x:v>
      </x:c>
      <x:c r="B3285" s="33" t="str">
        <x:v>Observation Master</x:v>
      </x:c>
      <x:c r="C3285" s="33" t="str">
        <x:v>Not present</x:v>
      </x:c>
      <x:c r="D3285" s="33" t="str">
        <x:v>Observation ID=P4OBS054; Audit ID=AUD151; Observation Template=For applicable payments/receipts on or after 1 April 2026, use the relevant section 393/394 table item, deduct/collect, deposit and report under the current Rules. was not demonstrated or did not operate effectively for the sample tested.; Risk Level=High; Recommendation=Implement the requirement, correct affected records or transactions, and retain evidence of operating effectiveness: For applicable payments/receipts on or after 1 April 2026, use the relevant section 393/394 table item, deduct/collect, deposit and report under the current Rules.; Observation Category=CA053; Origin=P4_VALIDATION; Active=Yes; Remarks=P-4 chain-closure observation template.</x:v>
      </x:c>
      <x:c r="E3285" s="33" t="str">
        <x:v>ADD</x:v>
      </x:c>
      <x:c r="F3285" s="33" t="str">
        <x:v>Close every active audit-to-observation link.</x:v>
      </x:c>
      <x:c r="G3285" s="33" t="str">
        <x:v>P-4 execution-chain reconciliation</x:v>
      </x:c>
      <x:c r="H3285" s="33" t="str">
        <x:v>P-4</x:v>
      </x:c>
      <x:c r="I3285" s="33" t="str">
        <x:v>P-4</x:v>
      </x:c>
      <x:c r="J3285" s="33" t="str">
        <x:v>2026-08-20</x:v>
      </x:c>
      <x:c r="K3285" s="33" t="str">
        <x:v>All active audits now have an active observation template.</x:v>
      </x:c>
    </x:row>
    <x:row r="3286">
      <x:c r="A3286" s="33" t="str">
        <x:v>P4OBS055</x:v>
      </x:c>
      <x:c r="B3286" s="33" t="str">
        <x:v>Observation Master</x:v>
      </x:c>
      <x:c r="C3286" s="33" t="str">
        <x:v>Not present</x:v>
      </x:c>
      <x:c r="D3286" s="33" t="str">
        <x:v>Observation ID=P4OBS055; Audit ID=AUD153; Observation Template=Maintain the books and documents required by the Income-tax Act, 2025 and Rules, 2026 for the entity/business profile. was not demonstrated or did not operate effectively for the sample tested.; Risk Level=High; Recommendation=Implement the requirement, correct affected records or transactions, and retain evidence of operating effectiveness: Maintain the books and documents required by the Income-tax Act, 2025 and Rules, 2026 for the entity/business profile.; Observation Category=CA054; Origin=P4_VALIDATION; Active=Yes; Remarks=P-4 chain-closure observation template.</x:v>
      </x:c>
      <x:c r="E3286" s="33" t="str">
        <x:v>ADD</x:v>
      </x:c>
      <x:c r="F3286" s="33" t="str">
        <x:v>Close every active audit-to-observation link.</x:v>
      </x:c>
      <x:c r="G3286" s="33" t="str">
        <x:v>P-4 execution-chain reconciliation</x:v>
      </x:c>
      <x:c r="H3286" s="33" t="str">
        <x:v>P-4</x:v>
      </x:c>
      <x:c r="I3286" s="33" t="str">
        <x:v>P-4</x:v>
      </x:c>
      <x:c r="J3286" s="33" t="str">
        <x:v>2026-08-20</x:v>
      </x:c>
      <x:c r="K3286" s="33" t="str">
        <x:v>All active audits now have an active observation template.</x:v>
      </x:c>
    </x:row>
    <x:row r="3287">
      <x:c r="A3287" s="33" t="str">
        <x:v>P4OBS056</x:v>
      </x:c>
      <x:c r="B3287" s="33" t="str">
        <x:v>Observation Master</x:v>
      </x:c>
      <x:c r="C3287" s="33" t="str">
        <x:v>Not present</x:v>
      </x:c>
      <x:c r="D3287" s="33" t="str">
        <x:v>Observation ID=P4OBS056; Audit ID=AUD155; Observation Template=Obtain and furnish a tax-audit report only where the current statutory threshold/condition applies. was not demonstrated or did not operate effectively for the sample tested.; Risk Level=High; Recommendation=Implement the requirement, correct affected records or transactions, and retain evidence of operating effectiveness: Obtain and furnish a tax-audit report only where the current statutory threshold/condition applies.; Observation Category=CA054; Origin=P4_VALIDATION; Active=Yes; Remarks=P-4 chain-closure observation template.</x:v>
      </x:c>
      <x:c r="E3287" s="33" t="str">
        <x:v>ADD</x:v>
      </x:c>
      <x:c r="F3287" s="33" t="str">
        <x:v>Close every active audit-to-observation link.</x:v>
      </x:c>
      <x:c r="G3287" s="33" t="str">
        <x:v>P-4 execution-chain reconciliation</x:v>
      </x:c>
      <x:c r="H3287" s="33" t="str">
        <x:v>P-4</x:v>
      </x:c>
      <x:c r="I3287" s="33" t="str">
        <x:v>P-4</x:v>
      </x:c>
      <x:c r="J3287" s="33" t="str">
        <x:v>2026-08-20</x:v>
      </x:c>
      <x:c r="K3287" s="33" t="str">
        <x:v>All active audits now have an active observation template.</x:v>
      </x:c>
    </x:row>
    <x:row r="3288">
      <x:c r="A3288" s="33" t="str">
        <x:v>P4OBS057</x:v>
      </x:c>
      <x:c r="B3288" s="33" t="str">
        <x:v>Observation Master</x:v>
      </x:c>
      <x:c r="C3288" s="33" t="str">
        <x:v>Not present</x:v>
      </x:c>
      <x:c r="D3288" s="33" t="str">
        <x:v>Observation ID=P4OBS057; Audit ID=AUD156; Observation Template=Obtain and furnish a tax-audit report only where the current statutory threshold/condition applies. was not demonstrated or did not operate effectively for the sample tested.; Risk Level=High; Recommendation=Implement the requirement, correct affected records or transactions, and retain evidence of operating effectiveness: Obtain and furnish a tax-audit report only where the current statutory threshold/condition applies.; Observation Category=CA054; Origin=P4_VALIDATION; Active=Yes; Remarks=P-4 chain-closure observation template.</x:v>
      </x:c>
      <x:c r="E3288" s="33" t="str">
        <x:v>ADD</x:v>
      </x:c>
      <x:c r="F3288" s="33" t="str">
        <x:v>Close every active audit-to-observation link.</x:v>
      </x:c>
      <x:c r="G3288" s="33" t="str">
        <x:v>P-4 execution-chain reconciliation</x:v>
      </x:c>
      <x:c r="H3288" s="33" t="str">
        <x:v>P-4</x:v>
      </x:c>
      <x:c r="I3288" s="33" t="str">
        <x:v>P-4</x:v>
      </x:c>
      <x:c r="J3288" s="33" t="str">
        <x:v>2026-08-20</x:v>
      </x:c>
      <x:c r="K3288" s="33" t="str">
        <x:v>All active audits now have an active observation template.</x:v>
      </x:c>
    </x:row>
    <x:row r="3289">
      <x:c r="A3289" s="33" t="str">
        <x:v>P4OBS058</x:v>
      </x:c>
      <x:c r="B3289" s="33" t="str">
        <x:v>Observation Master</x:v>
      </x:c>
      <x:c r="C3289" s="33" t="str">
        <x:v>Not present</x:v>
      </x:c>
      <x:c r="D3289" s="33" t="str">
        <x:v>Observation ID=P4OBS058; Audit ID=AUD157; Observation Template=Obtain and furnish a tax-audit report only where the current statutory threshold/condition applies. was not demonstrated or did not operate effectively for the sample tested.; Risk Level=High; Recommendation=Implement the requirement, correct affected records or transactions, and retain evidence of operating effectiveness: Obtain and furnish a tax-audit report only where the current statutory threshold/condition applies.; Observation Category=CA054; Origin=P4_VALIDATION; Active=Yes; Remarks=P-4 chain-closure observation template.</x:v>
      </x:c>
      <x:c r="E3289" s="33" t="str">
        <x:v>ADD</x:v>
      </x:c>
      <x:c r="F3289" s="33" t="str">
        <x:v>Close every active audit-to-observation link.</x:v>
      </x:c>
      <x:c r="G3289" s="33" t="str">
        <x:v>P-4 execution-chain reconciliation</x:v>
      </x:c>
      <x:c r="H3289" s="33" t="str">
        <x:v>P-4</x:v>
      </x:c>
      <x:c r="I3289" s="33" t="str">
        <x:v>P-4</x:v>
      </x:c>
      <x:c r="J3289" s="33" t="str">
        <x:v>2026-08-20</x:v>
      </x:c>
      <x:c r="K3289" s="33" t="str">
        <x:v>All active audits now have an active observation template.</x:v>
      </x:c>
    </x:row>
    <x:row r="3290">
      <x:c r="A3290" s="33" t="str">
        <x:v>P4OBS059</x:v>
      </x:c>
      <x:c r="B3290" s="33" t="str">
        <x:v>Observation Master</x:v>
      </x:c>
      <x:c r="C3290" s="33" t="str">
        <x:v>Not present</x:v>
      </x:c>
      <x:c r="D3290" s="33" t="str">
        <x:v>Observation ID=P4OBS059; Audit ID=AUD159; Observation Template=Before dispensing Schedule H/H1/X, verify the prescription is written, signed and dated, identifies the patient, amount and dose, follows repeat directions, is seller-annotated, and is not substituted. was not demonstrated or did not operate effectively for the sample tested.; Risk Level=Critical; Recommendation=Implement the requirement, correct affected records or transactions, and retain evidence of operating effectiveness: Before dispensing Schedule H/H1/X, verify the prescription is written, signed and dated, identifies the patient, amount and dose, follows repeat directions, is seller-annotated, and is not substituted.; Observation Category=CA015; Origin=P4_VALIDATION; Active=Yes; Remarks=P-4 chain-closure observation template.</x:v>
      </x:c>
      <x:c r="E3290" s="33" t="str">
        <x:v>ADD</x:v>
      </x:c>
      <x:c r="F3290" s="33" t="str">
        <x:v>Close every active audit-to-observation link.</x:v>
      </x:c>
      <x:c r="G3290" s="33" t="str">
        <x:v>P-4 execution-chain reconciliation</x:v>
      </x:c>
      <x:c r="H3290" s="33" t="str">
        <x:v>P-4</x:v>
      </x:c>
      <x:c r="I3290" s="33" t="str">
        <x:v>P-4</x:v>
      </x:c>
      <x:c r="J3290" s="33" t="str">
        <x:v>2026-08-20</x:v>
      </x:c>
      <x:c r="K3290" s="33" t="str">
        <x:v>All active audits now have an active observation template.</x:v>
      </x:c>
    </x:row>
    <x:row r="3291">
      <x:c r="A3291" s="33" t="str">
        <x:v>P4OBS060</x:v>
      </x:c>
      <x:c r="B3291" s="33" t="str">
        <x:v>Observation Master</x:v>
      </x:c>
      <x:c r="C3291" s="33" t="str">
        <x:v>Not present</x:v>
      </x:c>
      <x:c r="D3291" s="33" t="str">
        <x:v>Observation ID=P4OBS060; Audit ID=AUD161; Observation Template=Ensure compounding and non-wholesale supply of a drug on prescription is performed by or under the personal supervision of a registered pharmacist. was not demonstrated or did not operate effectively for the sample tested.; Risk Level=Critical; Recommendation=Implement the requirement, correct affected records or transactions, and retain evidence of operating effectiveness: Ensure compounding and non-wholesale supply of a drug on prescription is performed by or under the personal supervision of a registered pharmacist.; Observation Category=CA003; Origin=P4_VALIDATION; Active=Yes; Remarks=P-4 chain-closure observation template.</x:v>
      </x:c>
      <x:c r="E3291" s="33" t="str">
        <x:v>ADD</x:v>
      </x:c>
      <x:c r="F3291" s="33" t="str">
        <x:v>Close every active audit-to-observation link.</x:v>
      </x:c>
      <x:c r="G3291" s="33" t="str">
        <x:v>P-4 execution-chain reconciliation</x:v>
      </x:c>
      <x:c r="H3291" s="33" t="str">
        <x:v>P-4</x:v>
      </x:c>
      <x:c r="I3291" s="33" t="str">
        <x:v>P-4</x:v>
      </x:c>
      <x:c r="J3291" s="33" t="str">
        <x:v>2026-08-20</x:v>
      </x:c>
      <x:c r="K3291" s="33" t="str">
        <x:v>All active audits now have an active observation template.</x:v>
      </x:c>
    </x:row>
    <x:row r="3292">
      <x:c r="A3292" s="33" t="str">
        <x:v>P4OBS061</x:v>
      </x:c>
      <x:c r="B3292" s="33" t="str">
        <x:v>Observation Master</x:v>
      </x:c>
      <x:c r="C3292" s="33" t="str">
        <x:v>Not present</x:v>
      </x:c>
      <x:c r="D3292" s="33" t="str">
        <x:v>Observation ID=P4OBS061; Audit ID=AUD163; Observation Template=Review prescriptions for legality, completeness and clinical appropriateness before dispensing medicines. was not demonstrated or did not operate effectively for the sample tested.; Risk Level=High; Recommendation=Implement the requirement, correct affected records or transactions, and retain evidence of operating effectiveness: Review prescriptions for legality, completeness and clinical appropriateness before dispensing medicines.; Observation Category=CA015; Origin=P4_VALIDATION; Active=Yes; Remarks=P-4 chain-closure observation template.</x:v>
      </x:c>
      <x:c r="E3292" s="33" t="str">
        <x:v>ADD</x:v>
      </x:c>
      <x:c r="F3292" s="33" t="str">
        <x:v>Close every active audit-to-observation link.</x:v>
      </x:c>
      <x:c r="G3292" s="33" t="str">
        <x:v>P-4 execution-chain reconciliation</x:v>
      </x:c>
      <x:c r="H3292" s="33" t="str">
        <x:v>P-4</x:v>
      </x:c>
      <x:c r="I3292" s="33" t="str">
        <x:v>P-4</x:v>
      </x:c>
      <x:c r="J3292" s="33" t="str">
        <x:v>2026-08-20</x:v>
      </x:c>
      <x:c r="K3292" s="33" t="str">
        <x:v>All active audits now have an active observation template.</x:v>
      </x:c>
    </x:row>
    <x:row r="3293">
      <x:c r="A3293" s="33" t="str">
        <x:v>P4OBS062</x:v>
      </x:c>
      <x:c r="B3293" s="33" t="str">
        <x:v>Observation Master</x:v>
      </x:c>
      <x:c r="C3293" s="33" t="str">
        <x:v>Not present</x:v>
      </x:c>
      <x:c r="D3293" s="33" t="str">
        <x:v>Observation ID=P4OBS062; Audit ID=AUD165; Observation Template=Produce Rule 65 registers and records to an Inspector on demand and preserve them for at least two years from the last entry unless a specific three-year or transaction-based period applies. was not demonstrated or did not operate effectively for the sample tested.; Risk Level=High; Recommendation=Implement the requirement, correct affected records or transactions, and retain evidence of operating effectiveness: Produce Rule 65 registers and records to an Inspector on demand and preserve them for at least two years from the last entry unless a specific three-year or transaction-based period applies.; Observation Category=CA020; Origin=P4_VALIDATION; Active=Yes; Remarks=P-4 chain-closure observation template.</x:v>
      </x:c>
      <x:c r="E3293" s="33" t="str">
        <x:v>ADD</x:v>
      </x:c>
      <x:c r="F3293" s="33" t="str">
        <x:v>Close every active audit-to-observation link.</x:v>
      </x:c>
      <x:c r="G3293" s="33" t="str">
        <x:v>P-4 execution-chain reconciliation</x:v>
      </x:c>
      <x:c r="H3293" s="33" t="str">
        <x:v>P-4</x:v>
      </x:c>
      <x:c r="I3293" s="33" t="str">
        <x:v>P-4</x:v>
      </x:c>
      <x:c r="J3293" s="33" t="str">
        <x:v>2026-08-20</x:v>
      </x:c>
      <x:c r="K3293" s="33" t="str">
        <x:v>All active audits now have an active observation template.</x:v>
      </x:c>
    </x:row>
    <x:row r="3294">
      <x:c r="A3294" s="33" t="str">
        <x:v>P4OBS063</x:v>
      </x:c>
      <x:c r="B3294" s="33" t="str">
        <x:v>Observation Master</x:v>
      </x:c>
      <x:c r="C3294" s="33" t="str">
        <x:v>Not present</x:v>
      </x:c>
      <x:c r="D3294" s="33" t="str">
        <x:v>Observation ID=P4OBS063; Audit ID=AUD167; Observation Template=Perform a documented risk-based review of Schedule H1/X dispensing and inventory movements to identify unusual patterns; this is an internal best-practice control, not a statutory monthly register duty. was not demonstrated or did not operate effectively for the sample tested.; Risk Level=Medium; Recommendation=Implement the requirement, correct affected records or transactions, and retain evidence of operating effectiveness: Perform a documented risk-based review of Schedule H1/X dispensing and inventory movements to identify unusual patterns; this is an internal best-practice control, not a statutory monthly register duty.; Observation Category=CA012; Origin=P4_VALIDATION; Active=Yes; Remarks=P-4 chain-closure observation template.</x:v>
      </x:c>
      <x:c r="E3294" s="33" t="str">
        <x:v>ADD</x:v>
      </x:c>
      <x:c r="F3294" s="33" t="str">
        <x:v>Close every active audit-to-observation link.</x:v>
      </x:c>
      <x:c r="G3294" s="33" t="str">
        <x:v>P-4 execution-chain reconciliation</x:v>
      </x:c>
      <x:c r="H3294" s="33" t="str">
        <x:v>P-4</x:v>
      </x:c>
      <x:c r="I3294" s="33" t="str">
        <x:v>P-4</x:v>
      </x:c>
      <x:c r="J3294" s="33" t="str">
        <x:v>2026-08-20</x:v>
      </x:c>
      <x:c r="K3294" s="33" t="str">
        <x:v>All active audits now have an active observation template.</x:v>
      </x:c>
    </x:row>
    <x:row r="3295">
      <x:c r="A3295" s="33" t="str">
        <x:v>P4OBS064</x:v>
      </x:c>
      <x:c r="B3295" s="33" t="str">
        <x:v>Observation Master</x:v>
      </x:c>
      <x:c r="C3295" s="33" t="str">
        <x:v>Not present</x:v>
      </x:c>
      <x:c r="D3295" s="33" t="str">
        <x:v>Observation ID=P4OBS064; Audit ID=AUD169; Observation Template=Design consumer-facing sale and service practices to avoid unfair trade practices and respect the statutory consumer-rights baseline. was not demonstrated or did not operate effectively for the sample tested.; Risk Level=High; Recommendation=Implement the requirement, correct affected records or transactions, and retain evidence of operating effectiveness: Design consumer-facing sale and service practices to avoid unfair trade practices and respect the statutory consumer-rights baseline.; Observation Category=CA062; Origin=P4_VALIDATION; Active=Yes; Remarks=P-4 chain-closure observation template.</x:v>
      </x:c>
      <x:c r="E3295" s="33" t="str">
        <x:v>ADD</x:v>
      </x:c>
      <x:c r="F3295" s="33" t="str">
        <x:v>Close every active audit-to-observation link.</x:v>
      </x:c>
      <x:c r="G3295" s="33" t="str">
        <x:v>P-4 execution-chain reconciliation</x:v>
      </x:c>
      <x:c r="H3295" s="33" t="str">
        <x:v>P-4</x:v>
      </x:c>
      <x:c r="I3295" s="33" t="str">
        <x:v>P-4</x:v>
      </x:c>
      <x:c r="J3295" s="33" t="str">
        <x:v>2026-08-20</x:v>
      </x:c>
      <x:c r="K3295" s="33" t="str">
        <x:v>All active audits now have an active observation template.</x:v>
      </x:c>
    </x:row>
    <x:row r="3296">
      <x:c r="A3296" s="33" t="str">
        <x:v>P4OBS065</x:v>
      </x:c>
      <x:c r="B3296" s="33" t="str">
        <x:v>Observation Master</x:v>
      </x:c>
      <x:c r="C3296" s="33" t="str">
        <x:v>Not present</x:v>
      </x:c>
      <x:c r="D3296" s="33" t="str">
        <x:v>Observation ID=P4OBS065; Audit ID=AUD171; Observation Template=Respond to a lawful CCPA investigation and implement an applicable recall, reimbursement, discontinuance or modification order. was not demonstrated or did not operate effectively for the sample tested.; Risk Level=High; Recommendation=Implement the requirement, correct affected records or transactions, and retain evidence of operating effectiveness: Respond to a lawful CCPA investigation and implement an applicable recall, reimbursement, discontinuance or modification order.; Observation Category=CA062; Origin=P4_VALIDATION; Active=Yes; Remarks=P-4 chain-closure observation template.</x:v>
      </x:c>
      <x:c r="E3296" s="33" t="str">
        <x:v>ADD</x:v>
      </x:c>
      <x:c r="F3296" s="33" t="str">
        <x:v>Close every active audit-to-observation link.</x:v>
      </x:c>
      <x:c r="G3296" s="33" t="str">
        <x:v>P-4 execution-chain reconciliation</x:v>
      </x:c>
      <x:c r="H3296" s="33" t="str">
        <x:v>P-4</x:v>
      </x:c>
      <x:c r="I3296" s="33" t="str">
        <x:v>P-4</x:v>
      </x:c>
      <x:c r="J3296" s="33" t="str">
        <x:v>2026-08-20</x:v>
      </x:c>
      <x:c r="K3296" s="33" t="str">
        <x:v>All active audits now have an active observation template.</x:v>
      </x:c>
    </x:row>
    <x:row r="3297">
      <x:c r="A3297" s="33" t="str">
        <x:v>P4OBS066</x:v>
      </x:c>
      <x:c r="B3297" s="33" t="str">
        <x:v>Observation Master</x:v>
      </x:c>
      <x:c r="C3297" s="33" t="str">
        <x:v>Not present</x:v>
      </x:c>
      <x:c r="D3297" s="33" t="str">
        <x:v>Observation ID=P4OBS066; Audit ID=AUD173; Observation Template=Do not engage in a practice falling within section 2(47), including false representations, deceptive price claims or refusal to issue a bill where required. was not demonstrated or did not operate effectively for the sample tested.; Risk Level=High; Recommendation=Implement the requirement, correct affected records or transactions, and retain evidence of operating effectiveness: Do not engage in a practice falling within section 2(47), including false representations, deceptive price claims or refusal to issue a bill where required.; Observation Category=CA062; Origin=P4_VALIDATION; Active=Yes; Remarks=P-4 chain-closure observation template.</x:v>
      </x:c>
      <x:c r="E3297" s="33" t="str">
        <x:v>ADD</x:v>
      </x:c>
      <x:c r="F3297" s="33" t="str">
        <x:v>Close every active audit-to-observation link.</x:v>
      </x:c>
      <x:c r="G3297" s="33" t="str">
        <x:v>P-4 execution-chain reconciliation</x:v>
      </x:c>
      <x:c r="H3297" s="33" t="str">
        <x:v>P-4</x:v>
      </x:c>
      <x:c r="I3297" s="33" t="str">
        <x:v>P-4</x:v>
      </x:c>
      <x:c r="J3297" s="33" t="str">
        <x:v>2026-08-20</x:v>
      </x:c>
      <x:c r="K3297" s="33" t="str">
        <x:v>All active audits now have an active observation template.</x:v>
      </x:c>
    </x:row>
    <x:row r="3298">
      <x:c r="A3298" s="33" t="str">
        <x:v>P4OBS067</x:v>
      </x:c>
      <x:c r="B3298" s="33" t="str">
        <x:v>Observation Master</x:v>
      </x:c>
      <x:c r="C3298" s="33" t="str">
        <x:v>Not present</x:v>
      </x:c>
      <x:c r="D3298" s="33" t="str">
        <x:v>Observation ID=P4OBS067; Audit ID=AUD175; Observation Template=Do not cause a false or misleading advertisement and comply with any CCPA discontinuance/modification direction. was not demonstrated or did not operate effectively for the sample tested.; Risk Level=High; Recommendation=Implement the requirement, correct affected records or transactions, and retain evidence of operating effectiveness: Do not cause a false or misleading advertisement and comply with any CCPA discontinuance/modification direction.; Observation Category=CA064; Origin=P4_VALIDATION; Active=Yes; Remarks=P-4 chain-closure observation template.</x:v>
      </x:c>
      <x:c r="E3298" s="33" t="str">
        <x:v>ADD</x:v>
      </x:c>
      <x:c r="F3298" s="33" t="str">
        <x:v>Close every active audit-to-observation link.</x:v>
      </x:c>
      <x:c r="G3298" s="33" t="str">
        <x:v>P-4 execution-chain reconciliation</x:v>
      </x:c>
      <x:c r="H3298" s="33" t="str">
        <x:v>P-4</x:v>
      </x:c>
      <x:c r="I3298" s="33" t="str">
        <x:v>P-4</x:v>
      </x:c>
      <x:c r="J3298" s="33" t="str">
        <x:v>2026-08-20</x:v>
      </x:c>
      <x:c r="K3298" s="33" t="str">
        <x:v>All active audits now have an active observation template.</x:v>
      </x:c>
    </x:row>
    <x:row r="3299">
      <x:c r="A3299" s="33" t="str">
        <x:v>P4OBS068</x:v>
      </x:c>
      <x:c r="B3299" s="33" t="str">
        <x:v>Observation Master</x:v>
      </x:c>
      <x:c r="C3299" s="33" t="str">
        <x:v>Not present</x:v>
      </x:c>
      <x:c r="D3299" s="33" t="str">
        <x:v>Observation ID=P4OBS068; Audit ID=AUD177; Observation Template=If operating in an e-commerce role, display required identity/seller information, appoint the prescribed grievance/nodal contact and operate the complaint mechanism under Rules 4-5. was not demonstrated or did not operate effectively for the sample tested.; Risk Level=High; Recommendation=Implement the requirement, correct affected records or transactions, and retain evidence of operating effectiveness: If operating in an e-commerce role, display required identity/seller information, appoint the prescribed grievance/nodal contact and operate the complaint mechanism under Rules 4-5.; Observation Category=CA065; Origin=P4_VALIDATION; Active=Yes; Remarks=P-4 chain-closure observation template.</x:v>
      </x:c>
      <x:c r="E3299" s="33" t="str">
        <x:v>ADD</x:v>
      </x:c>
      <x:c r="F3299" s="33" t="str">
        <x:v>Close every active audit-to-observation link.</x:v>
      </x:c>
      <x:c r="G3299" s="33" t="str">
        <x:v>P-4 execution-chain reconciliation</x:v>
      </x:c>
      <x:c r="H3299" s="33" t="str">
        <x:v>P-4</x:v>
      </x:c>
      <x:c r="I3299" s="33" t="str">
        <x:v>P-4</x:v>
      </x:c>
      <x:c r="J3299" s="33" t="str">
        <x:v>2026-08-20</x:v>
      </x:c>
      <x:c r="K3299" s="33" t="str">
        <x:v>All active audits now have an active observation template.</x:v>
      </x:c>
    </x:row>
    <x:row r="3300">
      <x:c r="A3300" s="33" t="str">
        <x:v>P4OBS069</x:v>
      </x:c>
      <x:c r="B3300" s="33" t="str">
        <x:v>Observation Master</x:v>
      </x:c>
      <x:c r="C3300" s="33" t="str">
        <x:v>Not present</x:v>
      </x:c>
      <x:c r="D3300" s="33" t="str">
        <x:v>Observation ID=P4OBS069; Audit ID=AUD179; Observation Template=Where a regulated weighing/measuring instrument is used, obtain verification/stamping and keep it valid before transactional use. was not demonstrated or did not operate effectively for the sample tested.; Risk Level=High; Recommendation=Implement the requirement, correct affected records or transactions, and retain evidence of operating effectiveness: Where a regulated weighing/measuring instrument is used, obtain verification/stamping and keep it valid before transactional use.; Observation Category=CA066; Origin=P4_VALIDATION; Active=Yes; Remarks=P-4 chain-closure observation template.</x:v>
      </x:c>
      <x:c r="E3300" s="33" t="str">
        <x:v>ADD</x:v>
      </x:c>
      <x:c r="F3300" s="33" t="str">
        <x:v>Close every active audit-to-observation link.</x:v>
      </x:c>
      <x:c r="G3300" s="33" t="str">
        <x:v>P-4 execution-chain reconciliation</x:v>
      </x:c>
      <x:c r="H3300" s="33" t="str">
        <x:v>P-4</x:v>
      </x:c>
      <x:c r="I3300" s="33" t="str">
        <x:v>P-4</x:v>
      </x:c>
      <x:c r="J3300" s="33" t="str">
        <x:v>2026-08-20</x:v>
      </x:c>
      <x:c r="K3300" s="33" t="str">
        <x:v>All active audits now have an active observation template.</x:v>
      </x:c>
    </x:row>
    <x:row r="3301">
      <x:c r="A3301" s="33" t="str">
        <x:v>P4OBS070</x:v>
      </x:c>
      <x:c r="B3301" s="33" t="str">
        <x:v>Observation Master</x:v>
      </x:c>
      <x:c r="C3301" s="33" t="str">
        <x:v>Not present</x:v>
      </x:c>
      <x:c r="D3301" s="33" t="str">
        <x:v>Observation ID=P4OBS070; Audit ID=AUD181; Observation Template=Do not use a non-standard or required-but-unverified weight/measure; retain the verification certificate/stamp evidence. was not demonstrated or did not operate effectively for the sample tested.; Risk Level=High; Recommendation=Implement the requirement, correct affected records or transactions, and retain evidence of operating effectiveness: Do not use a non-standard or required-but-unverified weight/measure; retain the verification certificate/stamp evidence.; Observation Category=CA068; Origin=P4_VALIDATION; Active=Yes; Remarks=P-4 chain-closure observation template.</x:v>
      </x:c>
      <x:c r="E3301" s="33" t="str">
        <x:v>ADD</x:v>
      </x:c>
      <x:c r="F3301" s="33" t="str">
        <x:v>Close every active audit-to-observation link.</x:v>
      </x:c>
      <x:c r="G3301" s="33" t="str">
        <x:v>P-4 execution-chain reconciliation</x:v>
      </x:c>
      <x:c r="H3301" s="33" t="str">
        <x:v>P-4</x:v>
      </x:c>
      <x:c r="I3301" s="33" t="str">
        <x:v>P-4</x:v>
      </x:c>
      <x:c r="J3301" s="33" t="str">
        <x:v>2026-08-20</x:v>
      </x:c>
      <x:c r="K3301" s="33" t="str">
        <x:v>All active audits now have an active observation template.</x:v>
      </x:c>
    </x:row>
    <x:row r="3302">
      <x:c r="A3302" s="33" t="str">
        <x:v>P4OBS071</x:v>
      </x:c>
      <x:c r="B3302" s="33" t="str">
        <x:v>Observation Master</x:v>
      </x:c>
      <x:c r="C3302" s="33" t="str">
        <x:v>Not present</x:v>
      </x:c>
      <x:c r="D3302" s="33" t="str">
        <x:v>Observation ID=P4OBS071; Audit ID=AUD183; Observation Template=Permit lawful legal-metrology inspection and produce the covered instrument and records when required by an authorised officer. was not demonstrated or did not operate effectively for the sample tested.; Risk Level=High; Recommendation=Implement the requirement, correct affected records or transactions, and retain evidence of operating effectiveness: Permit lawful legal-metrology inspection and produce the covered instrument and records when required by an authorised officer.; Observation Category=CA066; Origin=P4_VALIDATION; Active=Yes; Remarks=P-4 chain-closure observation template.</x:v>
      </x:c>
      <x:c r="E3302" s="33" t="str">
        <x:v>ADD</x:v>
      </x:c>
      <x:c r="F3302" s="33" t="str">
        <x:v>Close every active audit-to-observation link.</x:v>
      </x:c>
      <x:c r="G3302" s="33" t="str">
        <x:v>P-4 execution-chain reconciliation</x:v>
      </x:c>
      <x:c r="H3302" s="33" t="str">
        <x:v>P-4</x:v>
      </x:c>
      <x:c r="I3302" s="33" t="str">
        <x:v>P-4</x:v>
      </x:c>
      <x:c r="J3302" s="33" t="str">
        <x:v>2026-08-20</x:v>
      </x:c>
      <x:c r="K3302" s="33" t="str">
        <x:v>All active audits now have an active observation template.</x:v>
      </x:c>
    </x:row>
    <x:row r="3303">
      <x:c r="A3303" s="33" t="str">
        <x:v>P4OBS072</x:v>
      </x:c>
      <x:c r="B3303" s="33" t="str">
        <x:v>Observation Master</x:v>
      </x:c>
      <x:c r="C3303" s="33" t="str">
        <x:v>Not present</x:v>
      </x:c>
      <x:c r="D3303" s="33" t="str">
        <x:v>Observation ID=P4OBS072; Audit ID=AUD185; Observation Template=Do not sell, distribute, deliver, display or store for sale a pre-packaged commodity unless the package complies with the Act and Rules. was not demonstrated or did not operate effectively for the sample tested.; Risk Level=High; Recommendation=Implement the requirement, correct affected records or transactions, and retain evidence of operating effectiveness: Do not sell, distribute, deliver, display or store for sale a pre-packaged commodity unless the package complies with the Act and Rules.; Observation Category=CA067; Origin=P4_VALIDATION; Active=Yes; Remarks=P-4 chain-closure observation template.</x:v>
      </x:c>
      <x:c r="E3303" s="33" t="str">
        <x:v>ADD</x:v>
      </x:c>
      <x:c r="F3303" s="33" t="str">
        <x:v>Close every active audit-to-observation link.</x:v>
      </x:c>
      <x:c r="G3303" s="33" t="str">
        <x:v>P-4 execution-chain reconciliation</x:v>
      </x:c>
      <x:c r="H3303" s="33" t="str">
        <x:v>P-4</x:v>
      </x:c>
      <x:c r="I3303" s="33" t="str">
        <x:v>P-4</x:v>
      </x:c>
      <x:c r="J3303" s="33" t="str">
        <x:v>2026-08-20</x:v>
      </x:c>
      <x:c r="K3303" s="33" t="str">
        <x:v>All active audits now have an active observation template.</x:v>
      </x:c>
    </x:row>
    <x:row r="3304">
      <x:c r="A3304" s="33" t="str">
        <x:v>P4OBS073</x:v>
      </x:c>
      <x:c r="B3304" s="33" t="str">
        <x:v>Observation Master</x:v>
      </x:c>
      <x:c r="C3304" s="33" t="str">
        <x:v>Not present</x:v>
      </x:c>
      <x:c r="D3304" s="33" t="str">
        <x:v>Observation ID=P4OBS073; Audit ID=AUD187; Observation Template=Do not sell an applicable packaged commodity above its declared retail sale price. was not demonstrated or did not operate effectively for the sample tested.; Risk Level=High; Recommendation=Implement the requirement, correct affected records or transactions, and retain evidence of operating effectiveness: Do not sell an applicable packaged commodity above its declared retail sale price.; Observation Category=CA067; Origin=P4_VALIDATION; Active=Yes; Remarks=P-4 chain-closure observation template.</x:v>
      </x:c>
      <x:c r="E3304" s="33" t="str">
        <x:v>ADD</x:v>
      </x:c>
      <x:c r="F3304" s="33" t="str">
        <x:v>Close every active audit-to-observation link.</x:v>
      </x:c>
      <x:c r="G3304" s="33" t="str">
        <x:v>P-4 execution-chain reconciliation</x:v>
      </x:c>
      <x:c r="H3304" s="33" t="str">
        <x:v>P-4</x:v>
      </x:c>
      <x:c r="I3304" s="33" t="str">
        <x:v>P-4</x:v>
      </x:c>
      <x:c r="J3304" s="33" t="str">
        <x:v>2026-08-20</x:v>
      </x:c>
      <x:c r="K3304" s="33" t="str">
        <x:v>All active audits now have an active observation template.</x:v>
      </x:c>
    </x:row>
    <x:row r="3305">
      <x:c r="A3305" s="33" t="str">
        <x:v>P4OBS074</x:v>
      </x:c>
      <x:c r="B3305" s="33" t="str">
        <x:v>Observation Master</x:v>
      </x:c>
      <x:c r="C3305" s="33" t="str">
        <x:v>Not present</x:v>
      </x:c>
      <x:c r="D3305" s="33" t="str">
        <x:v>Observation ID=P4OBS074; Audit ID=AUD189; Observation Template=For e-commerce sale of applicable pre-packaged commodities, display the prescribed Rule 6 declarations on the digital/electronic network. was not demonstrated or did not operate effectively for the sample tested.; Risk Level=High; Recommendation=Implement the requirement, correct affected records or transactions, and retain evidence of operating effectiveness: For e-commerce sale of applicable pre-packaged commodities, display the prescribed Rule 6 declarations on the digital/electronic network.; Observation Category=CA031; Origin=P4_VALIDATION; Active=Yes; Remarks=P-4 chain-closure observation template.</x:v>
      </x:c>
      <x:c r="E3305" s="33" t="str">
        <x:v>ADD</x:v>
      </x:c>
      <x:c r="F3305" s="33" t="str">
        <x:v>Close every active audit-to-observation link.</x:v>
      </x:c>
      <x:c r="G3305" s="33" t="str">
        <x:v>P-4 execution-chain reconciliation</x:v>
      </x:c>
      <x:c r="H3305" s="33" t="str">
        <x:v>P-4</x:v>
      </x:c>
      <x:c r="I3305" s="33" t="str">
        <x:v>P-4</x:v>
      </x:c>
      <x:c r="J3305" s="33" t="str">
        <x:v>2026-08-20</x:v>
      </x:c>
      <x:c r="K3305" s="33" t="str">
        <x:v>All active audits now have an active observation template.</x:v>
      </x:c>
    </x:row>
    <x:row r="3306">
      <x:c r="A3306" s="33" t="str">
        <x:v>P4OBS075</x:v>
      </x:c>
      <x:c r="B3306" s="33" t="str">
        <x:v>Observation Master</x:v>
      </x:c>
      <x:c r="C3306" s="33" t="str">
        <x:v>Not present</x:v>
      </x:c>
      <x:c r="D3306" s="33" t="str">
        <x:v>Observation ID=P4OBS075; Audit ID=AUD191; Observation Template=If handling SPDI, publish the prescribed privacy policy and operate a documented reasonable-security programme/standard with periodic review. was not demonstrated or did not operate effectively for the sample tested.; Risk Level=High; Recommendation=Implement the requirement, correct affected records or transactions, and retain evidence of operating effectiveness: If handling SPDI, publish the prescribed privacy policy and operate a documented reasonable-security programme/standard with periodic review.; Observation Category=CA071; Origin=P4_VALIDATION; Active=Yes; Remarks=P-4 chain-closure observation template.</x:v>
      </x:c>
      <x:c r="E3306" s="33" t="str">
        <x:v>ADD</x:v>
      </x:c>
      <x:c r="F3306" s="33" t="str">
        <x:v>Close every active audit-to-observation link.</x:v>
      </x:c>
      <x:c r="G3306" s="33" t="str">
        <x:v>P-4 execution-chain reconciliation</x:v>
      </x:c>
      <x:c r="H3306" s="33" t="str">
        <x:v>P-4</x:v>
      </x:c>
      <x:c r="I3306" s="33" t="str">
        <x:v>P-4</x:v>
      </x:c>
      <x:c r="J3306" s="33" t="str">
        <x:v>2026-08-20</x:v>
      </x:c>
      <x:c r="K3306" s="33" t="str">
        <x:v>All active audits now have an active observation template.</x:v>
      </x:c>
    </x:row>
    <x:row r="3307">
      <x:c r="A3307" s="33" t="str">
        <x:v>P4OBS076</x:v>
      </x:c>
      <x:c r="B3307" s="33" t="str">
        <x:v>Observation Master</x:v>
      </x:c>
      <x:c r="C3307" s="33" t="str">
        <x:v>Not present</x:v>
      </x:c>
      <x:c r="D3307" s="33" t="str">
        <x:v>Observation ID=P4OBS076; Audit ID=AUD193; Observation Template=For SPDI, obtain consent, give required collection information, limit purpose/retention and provide review/correction mechanisms. was not demonstrated or did not operate effectively for the sample tested.; Risk Level=High; Recommendation=Implement the requirement, correct affected records or transactions, and retain evidence of operating effectiveness: For SPDI, obtain consent, give required collection information, limit purpose/retention and provide review/correction mechanisms.; Observation Category=CA072; Origin=P4_VALIDATION; Active=Yes; Remarks=P-4 chain-closure observation template.</x:v>
      </x:c>
      <x:c r="E3307" s="33" t="str">
        <x:v>ADD</x:v>
      </x:c>
      <x:c r="F3307" s="33" t="str">
        <x:v>Close every active audit-to-observation link.</x:v>
      </x:c>
      <x:c r="G3307" s="33" t="str">
        <x:v>P-4 execution-chain reconciliation</x:v>
      </x:c>
      <x:c r="H3307" s="33" t="str">
        <x:v>P-4</x:v>
      </x:c>
      <x:c r="I3307" s="33" t="str">
        <x:v>P-4</x:v>
      </x:c>
      <x:c r="J3307" s="33" t="str">
        <x:v>2026-08-20</x:v>
      </x:c>
      <x:c r="K3307" s="33" t="str">
        <x:v>All active audits now have an active observation template.</x:v>
      </x:c>
    </x:row>
    <x:row r="3308">
      <x:c r="A3308" s="33" t="str">
        <x:v>P4OBS077</x:v>
      </x:c>
      <x:c r="B3308" s="33" t="str">
        <x:v>Observation Master</x:v>
      </x:c>
      <x:c r="C3308" s="33" t="str">
        <x:v>Not present</x:v>
      </x:c>
      <x:c r="D3308" s="33" t="str">
        <x:v>Observation ID=P4OBS077; Audit ID=AUD195; Observation Template=Do not disclose SPDI without prior permission unless a Rule 6 exception applies; prevent unlawful contractual disclosure. was not demonstrated or did not operate effectively for the sample tested.; Risk Level=High; Recommendation=Implement the requirement, correct affected records or transactions, and retain evidence of operating effectiveness: Do not disclose SPDI without prior permission unless a Rule 6 exception applies; prevent unlawful contractual disclosure.; Observation Category=CA071; Origin=P4_VALIDATION; Active=Yes; Remarks=P-4 chain-closure observation template.</x:v>
      </x:c>
      <x:c r="E3308" s="33" t="str">
        <x:v>ADD</x:v>
      </x:c>
      <x:c r="F3308" s="33" t="str">
        <x:v>Close every active audit-to-observation link.</x:v>
      </x:c>
      <x:c r="G3308" s="33" t="str">
        <x:v>P-4 execution-chain reconciliation</x:v>
      </x:c>
      <x:c r="H3308" s="33" t="str">
        <x:v>P-4</x:v>
      </x:c>
      <x:c r="I3308" s="33" t="str">
        <x:v>P-4</x:v>
      </x:c>
      <x:c r="J3308" s="33" t="str">
        <x:v>2026-08-20</x:v>
      </x:c>
      <x:c r="K3308" s="33" t="str">
        <x:v>All active audits now have an active observation template.</x:v>
      </x:c>
    </x:row>
    <x:row r="3309">
      <x:c r="A3309" s="33" t="str">
        <x:v>P4OBS078</x:v>
      </x:c>
      <x:c r="B3309" s="33" t="str">
        <x:v>Observation Master</x:v>
      </x:c>
      <x:c r="C3309" s="33" t="str">
        <x:v>Not present</x:v>
      </x:c>
      <x:c r="D3309" s="33" t="str">
        <x:v>Observation ID=P4OBS078; Audit ID=AUD197; Observation Template=Apply intermediary due diligence only if the platform legally qualifies as an intermediary under current IT law. was not demonstrated or did not operate effectively for the sample tested.; Risk Level=High; Recommendation=Implement the requirement, correct affected records or transactions, and retain evidence of operating effectiveness: Apply intermediary due diligence only if the platform legally qualifies as an intermediary under current IT law.; Observation Category=CA069; Origin=P4_VALIDATION; Active=Yes; Remarks=P-4 chain-closure observation template.</x:v>
      </x:c>
      <x:c r="E3309" s="33" t="str">
        <x:v>ADD</x:v>
      </x:c>
      <x:c r="F3309" s="33" t="str">
        <x:v>Close every active audit-to-observation link.</x:v>
      </x:c>
      <x:c r="G3309" s="33" t="str">
        <x:v>P-4 execution-chain reconciliation</x:v>
      </x:c>
      <x:c r="H3309" s="33" t="str">
        <x:v>P-4</x:v>
      </x:c>
      <x:c r="I3309" s="33" t="str">
        <x:v>P-4</x:v>
      </x:c>
      <x:c r="J3309" s="33" t="str">
        <x:v>2026-08-20</x:v>
      </x:c>
      <x:c r="K3309" s="33" t="str">
        <x:v>All active audits now have an active observation template.</x:v>
      </x:c>
    </x:row>
    <x:row r="3310">
      <x:c r="A3310" s="33" t="str">
        <x:v>P4OBS079</x:v>
      </x:c>
      <x:c r="B3310" s="33" t="str">
        <x:v>Observation Master</x:v>
      </x:c>
      <x:c r="C3310" s="33" t="str">
        <x:v>Not present</x:v>
      </x:c>
      <x:c r="D3310" s="33" t="str">
        <x:v>Observation ID=P4OBS079; Audit ID=AUD211; Observation Template=Hold the applicable Drugs Rules sale licence or, for an exclusive medical-device seller without that licence, obtain and maintain Form MD-42 registration. was not demonstrated or did not operate effectively for the sample tested.; Risk Level=High; Recommendation=Implement the requirement, correct affected records or transactions, and retain evidence of operating effectiveness: Hold the applicable Drugs Rules sale licence or, for an exclusive medical-device seller without that licence, obtain and maintain Form MD-42 registration.; Observation Category=CA009; Origin=P4_VALIDATION; Active=Yes; Remarks=P-4 chain-closure observation template.</x:v>
      </x:c>
      <x:c r="E3310" s="33" t="str">
        <x:v>ADD</x:v>
      </x:c>
      <x:c r="F3310" s="33" t="str">
        <x:v>Close every active audit-to-observation link.</x:v>
      </x:c>
      <x:c r="G3310" s="33" t="str">
        <x:v>P-4 execution-chain reconciliation</x:v>
      </x:c>
      <x:c r="H3310" s="33" t="str">
        <x:v>P-4</x:v>
      </x:c>
      <x:c r="I3310" s="33" t="str">
        <x:v>P-4</x:v>
      </x:c>
      <x:c r="J3310" s="33" t="str">
        <x:v>2026-08-20</x:v>
      </x:c>
      <x:c r="K3310" s="33" t="str">
        <x:v>All active audits now have an active observation template.</x:v>
      </x:c>
    </x:row>
    <x:row r="3311">
      <x:c r="A3311" s="33" t="str">
        <x:v>P4OBS080</x:v>
      </x:c>
      <x:c r="B3311" s="33" t="str">
        <x:v>Observation Master</x:v>
      </x:c>
      <x:c r="C3311" s="33" t="str">
        <x:v>Not present</x:v>
      </x:c>
      <x:c r="D3311" s="33" t="str">
        <x:v>Observation ID=P4OBS080; Audit ID=AUD213; Observation Template=Display the medical-device registration where applicable, maintain adequate premises and specified storage, and procure devices only from authorized sources. was not demonstrated or did not operate effectively for the sample tested.; Risk Level=High; Recommendation=Implement the requirement, correct affected records or transactions, and retain evidence of operating effectiveness: Display the medical-device registration where applicable, maintain adequate premises and specified storage, and procure devices only from authorized sources.; Observation Category=CA009; Origin=P4_VALIDATION; Active=Yes; Remarks=P-4 chain-closure observation template.</x:v>
      </x:c>
      <x:c r="E3311" s="33" t="str">
        <x:v>ADD</x:v>
      </x:c>
      <x:c r="F3311" s="33" t="str">
        <x:v>Close every active audit-to-observation link.</x:v>
      </x:c>
      <x:c r="G3311" s="33" t="str">
        <x:v>P-4 execution-chain reconciliation</x:v>
      </x:c>
      <x:c r="H3311" s="33" t="str">
        <x:v>P-4</x:v>
      </x:c>
      <x:c r="I3311" s="33" t="str">
        <x:v>P-4</x:v>
      </x:c>
      <x:c r="J3311" s="33" t="str">
        <x:v>2026-08-20</x:v>
      </x:c>
      <x:c r="K3311" s="33" t="str">
        <x:v>All active audits now have an active observation template.</x:v>
      </x:c>
    </x:row>
    <x:row r="3312">
      <x:c r="A3312" s="33" t="str">
        <x:v>P4OBS081</x:v>
      </x:c>
      <x:c r="B3312" s="33" t="str">
        <x:v>Observation Master</x:v>
      </x:c>
      <x:c r="C3312" s="33" t="str">
        <x:v>Not present</x:v>
      </x:c>
      <x:c r="D3312" s="33" t="str">
        <x:v>Observation ID=P4OBS081; Audit ID=AUD215; Observation Template=Maintain medical-device purchase and sale records, provide inspection access, retain records for two years, and maintain the prescribed inspection book. was not demonstrated or did not operate effectively for the sample tested.; Risk Level=High; Recommendation=Implement the requirement, correct affected records or transactions, and retain evidence of operating effectiveness: Maintain medical-device purchase and sale records, provide inspection access, retain records for two years, and maintain the prescribed inspection book.; Observation Category=CA019; Origin=P4_VALIDATION; Active=Yes; Remarks=P-4 chain-closure observation template.</x:v>
      </x:c>
      <x:c r="E3312" s="33" t="str">
        <x:v>ADD</x:v>
      </x:c>
      <x:c r="F3312" s="33" t="str">
        <x:v>Close every active audit-to-observation link.</x:v>
      </x:c>
      <x:c r="G3312" s="33" t="str">
        <x:v>P-4 execution-chain reconciliation</x:v>
      </x:c>
      <x:c r="H3312" s="33" t="str">
        <x:v>P-4</x:v>
      </x:c>
      <x:c r="I3312" s="33" t="str">
        <x:v>P-4</x:v>
      </x:c>
      <x:c r="J3312" s="33" t="str">
        <x:v>2026-08-20</x:v>
      </x:c>
      <x:c r="K3312" s="33" t="str">
        <x:v>All active audits now have an active observation template.</x:v>
      </x:c>
    </x:row>
    <x:row r="3313">
      <x:c r="A3313" s="33" t="str">
        <x:v>P4OBS082</x:v>
      </x:c>
      <x:c r="B3313" s="33" t="str">
        <x:v>Observation Master</x:v>
      </x:c>
      <x:c r="C3313" s="33" t="str">
        <x:v>Not present</x:v>
      </x:c>
      <x:c r="D3313" s="33" t="str">
        <x:v>Observation ID=P4OBS082; Audit ID=AUD217; Observation Template=Pay the prescribed retention fee every five years to maintain perpetual validity of Form MD-42 registration. was not demonstrated or did not operate effectively for the sample tested.; Risk Level=High; Recommendation=Implement the requirement, correct affected records or transactions, and retain evidence of operating effectiveness: Pay the prescribed retention fee every five years to maintain perpetual validity of Form MD-42 registration.; Observation Category=CA007; Origin=P4_VALIDATION; Active=Yes; Remarks=P-4 chain-closure observation template.</x:v>
      </x:c>
      <x:c r="E3313" s="33" t="str">
        <x:v>ADD</x:v>
      </x:c>
      <x:c r="F3313" s="33" t="str">
        <x:v>Close every active audit-to-observation link.</x:v>
      </x:c>
      <x:c r="G3313" s="33" t="str">
        <x:v>P-4 execution-chain reconciliation</x:v>
      </x:c>
      <x:c r="H3313" s="33" t="str">
        <x:v>P-4</x:v>
      </x:c>
      <x:c r="I3313" s="33" t="str">
        <x:v>P-4</x:v>
      </x:c>
      <x:c r="J3313" s="33" t="str">
        <x:v>2026-08-20</x:v>
      </x:c>
      <x:c r="K3313" s="33" t="str">
        <x:v>All active audits now have an active observation template.</x:v>
      </x:c>
    </x:row>
    <x:row r="3314">
      <x:c r="A3314" s="33" t="str">
        <x:v>P4OBS083</x:v>
      </x:c>
      <x:c r="B3314" s="33" t="str">
        <x:v>Observation Master</x:v>
      </x:c>
      <x:c r="C3314" s="33" t="str">
        <x:v>Not present</x:v>
      </x:c>
      <x:c r="D3314" s="33" t="str">
        <x:v>Observation ID=P4OBS083; Audit ID=AUD219; Observation Template=Where Rule 88 applies, document supply to a hospital or similar institution through the prescribed delivery-challan process. was not demonstrated or did not operate effectively for the sample tested.; Risk Level=High; Recommendation=Implement the requirement, correct affected records or transactions, and retain evidence of operating effectiveness: Where Rule 88 applies, document supply to a hospital or similar institution through the prescribed delivery-challan process.; Observation Category=CA022; Origin=P4_VALIDATION; Active=Yes; Remarks=P-4 chain-closure observation template.</x:v>
      </x:c>
      <x:c r="E3314" s="33" t="str">
        <x:v>ADD</x:v>
      </x:c>
      <x:c r="F3314" s="33" t="str">
        <x:v>Close every active audit-to-observation link.</x:v>
      </x:c>
      <x:c r="G3314" s="33" t="str">
        <x:v>P-4 execution-chain reconciliation</x:v>
      </x:c>
      <x:c r="H3314" s="33" t="str">
        <x:v>P-4</x:v>
      </x:c>
      <x:c r="I3314" s="33" t="str">
        <x:v>P-4</x:v>
      </x:c>
      <x:c r="J3314" s="33" t="str">
        <x:v>2026-08-20</x:v>
      </x:c>
      <x:c r="K3314" s="33" t="str">
        <x:v>All active audits now have an active observation template.</x:v>
      </x:c>
    </x:row>
    <x:row r="3315">
      <x:c r="A3315" s="33" t="str">
        <x:v>P4OBS084</x:v>
      </x:c>
      <x:c r="B3315" s="33" t="str">
        <x:v>Observation Master</x:v>
      </x:c>
      <x:c r="C3315" s="33" t="str">
        <x:v>Not present</x:v>
      </x:c>
      <x:c r="D3315" s="33" t="str">
        <x:v>Observation ID=P4OBS084; Audit ID=AUD221; Observation Template=Do not sell or distribute a cosmetic unless the Rule 33 origin, licensing, quality and labelling conditions are satisfied. was not demonstrated or did not operate effectively for the sample tested.; Risk Level=High; Recommendation=Implement the requirement, correct affected records or transactions, and retain evidence of operating effectiveness: Do not sell or distribute a cosmetic unless the Rule 33 origin, licensing, quality and labelling conditions are satisfied.; Observation Category=CA016; Origin=P4_VALIDATION; Active=Yes; Remarks=P-4 chain-closure observation template.</x:v>
      </x:c>
      <x:c r="E3315" s="33" t="str">
        <x:v>ADD</x:v>
      </x:c>
      <x:c r="F3315" s="33" t="str">
        <x:v>Close every active audit-to-observation link.</x:v>
      </x:c>
      <x:c r="G3315" s="33" t="str">
        <x:v>P-4 execution-chain reconciliation</x:v>
      </x:c>
      <x:c r="H3315" s="33" t="str">
        <x:v>P-4</x:v>
      </x:c>
      <x:c r="I3315" s="33" t="str">
        <x:v>P-4</x:v>
      </x:c>
      <x:c r="J3315" s="33" t="str">
        <x:v>2026-08-20</x:v>
      </x:c>
      <x:c r="K3315" s="33" t="str">
        <x:v>All active audits now have an active observation template.</x:v>
      </x:c>
    </x:row>
    <x:row r="3316">
      <x:c r="A3316" s="33" t="str">
        <x:v>P4OBS085</x:v>
      </x:c>
      <x:c r="B3316" s="33" t="str">
        <x:v>Observation Master</x:v>
      </x:c>
      <x:c r="C3316" s="33" t="str">
        <x:v>Not present</x:v>
      </x:c>
      <x:c r="D3316" s="33" t="str">
        <x:v>Observation ID=P4OBS085; Audit ID=AUD223; Observation Template=Verify that cosmetics offered for sale or distribution bear the particulars required by Rule 34. was not demonstrated or did not operate effectively for the sample tested.; Risk Level=High; Recommendation=Implement the requirement, correct affected records or transactions, and retain evidence of operating effectiveness: Verify that cosmetics offered for sale or distribution bear the particulars required by Rule 34.; Observation Category=CA007; Origin=P4_VALIDATION; Active=Yes; Remarks=P-4 chain-closure observation template.</x:v>
      </x:c>
      <x:c r="E3316" s="33" t="str">
        <x:v>ADD</x:v>
      </x:c>
      <x:c r="F3316" s="33" t="str">
        <x:v>Close every active audit-to-observation link.</x:v>
      </x:c>
      <x:c r="G3316" s="33" t="str">
        <x:v>P-4 execution-chain reconciliation</x:v>
      </x:c>
      <x:c r="H3316" s="33" t="str">
        <x:v>P-4</x:v>
      </x:c>
      <x:c r="I3316" s="33" t="str">
        <x:v>P-4</x:v>
      </x:c>
      <x:c r="J3316" s="33" t="str">
        <x:v>2026-08-20</x:v>
      </x:c>
      <x:c r="K3316" s="33" t="str">
        <x:v>All active audits now have an active observation template.</x:v>
      </x:c>
    </x:row>
    <x:row r="3317">
      <x:c r="A3317" s="33" t="str">
        <x:v>P4OBS086</x:v>
      </x:c>
      <x:c r="B3317" s="33" t="str">
        <x:v>Observation Master</x:v>
      </x:c>
      <x:c r="C3317" s="33" t="str">
        <x:v>Not present</x:v>
      </x:c>
      <x:c r="D3317" s="33" t="str">
        <x:v>Observation ID=P4OBS086; Audit ID=AUD225; Observation Template=Do not alter, obliterate or deface mandatory cosmetic labelling. was not demonstrated or did not operate effectively for the sample tested.; Risk Level=High; Recommendation=Implement the requirement, correct affected records or transactions, and retain evidence of operating effectiveness: Do not alter, obliterate or deface mandatory cosmetic labelling.; Observation Category=CA067; Origin=P4_VALIDATION; Active=Yes; Remarks=P-4 chain-closure observation template.</x:v>
      </x:c>
      <x:c r="E3317" s="33" t="str">
        <x:v>ADD</x:v>
      </x:c>
      <x:c r="F3317" s="33" t="str">
        <x:v>Close every active audit-to-observation link.</x:v>
      </x:c>
      <x:c r="G3317" s="33" t="str">
        <x:v>P-4 execution-chain reconciliation</x:v>
      </x:c>
      <x:c r="H3317" s="33" t="str">
        <x:v>P-4</x:v>
      </x:c>
      <x:c r="I3317" s="33" t="str">
        <x:v>P-4</x:v>
      </x:c>
      <x:c r="J3317" s="33" t="str">
        <x:v>2026-08-20</x:v>
      </x:c>
      <x:c r="K3317" s="33" t="str">
        <x:v>All active audits now have an active observation template.</x:v>
      </x:c>
    </x:row>
    <x:row r="3318">
      <x:c r="A3318" s="33" t="str">
        <x:v>P4OBS087</x:v>
      </x:c>
      <x:c r="B3318" s="33" t="str">
        <x:v>Observation Master</x:v>
      </x:c>
      <x:c r="C3318" s="33" t="str">
        <x:v>Not present</x:v>
      </x:c>
      <x:c r="D3318" s="33" t="str">
        <x:v>Observation ID=P4OBS087; Audit ID=AUD227; Observation Template=Do not sell or distribute a cosmetic bearing a false or misleading claim. was not demonstrated or did not operate effectively for the sample tested.; Risk Level=High; Recommendation=Implement the requirement, correct affected records or transactions, and retain evidence of operating effectiveness: Do not sell or distribute a cosmetic bearing a false or misleading claim.; Observation Category=CA019; Origin=P4_VALIDATION; Active=Yes; Remarks=P-4 chain-closure observation template.</x:v>
      </x:c>
      <x:c r="E3318" s="33" t="str">
        <x:v>ADD</x:v>
      </x:c>
      <x:c r="F3318" s="33" t="str">
        <x:v>Close every active audit-to-observation link.</x:v>
      </x:c>
      <x:c r="G3318" s="33" t="str">
        <x:v>P-4 execution-chain reconciliation</x:v>
      </x:c>
      <x:c r="H3318" s="33" t="str">
        <x:v>P-4</x:v>
      </x:c>
      <x:c r="I3318" s="33" t="str">
        <x:v>P-4</x:v>
      </x:c>
      <x:c r="J3318" s="33" t="str">
        <x:v>2026-08-20</x:v>
      </x:c>
      <x:c r="K3318" s="33" t="str">
        <x:v>All active audits now have an active observation template.</x:v>
      </x:c>
    </x:row>
    <x:row r="3319">
      <x:c r="A3319" s="33" t="str">
        <x:v>P4OBS088</x:v>
      </x:c>
      <x:c r="B3319" s="33" t="str">
        <x:v>Observation Master</x:v>
      </x:c>
      <x:c r="C3319" s="33" t="str">
        <x:v>Not present</x:v>
      </x:c>
      <x:c r="D3319" s="33" t="str">
        <x:v>Observation ID=P4OBS088; Audit ID=AUD229; Observation Template=Sell or distribute only cosmetics that comply with the standards, quality and safety requirements in Rule 39. was not demonstrated or did not operate effectively for the sample tested.; Risk Level=High; Recommendation=Implement the requirement, correct affected records or transactions, and retain evidence of operating effectiveness: Sell or distribute only cosmetics that comply with the standards, quality and safety requirements in Rule 39.; Observation Category=CA022; Origin=P4_VALIDATION; Active=Yes; Remarks=P-4 chain-closure observation template.</x:v>
      </x:c>
      <x:c r="E3319" s="33" t="str">
        <x:v>ADD</x:v>
      </x:c>
      <x:c r="F3319" s="33" t="str">
        <x:v>Close every active audit-to-observation link.</x:v>
      </x:c>
      <x:c r="G3319" s="33" t="str">
        <x:v>P-4 execution-chain reconciliation</x:v>
      </x:c>
      <x:c r="H3319" s="33" t="str">
        <x:v>P-4</x:v>
      </x:c>
      <x:c r="I3319" s="33" t="str">
        <x:v>P-4</x:v>
      </x:c>
      <x:c r="J3319" s="33" t="str">
        <x:v>2026-08-20</x:v>
      </x:c>
      <x:c r="K3319" s="33" t="str">
        <x:v>All active audits now have an active observation template.</x:v>
      </x:c>
    </x:row>
    <x:row r="3320">
      <x:c r="A3320" s="33" t="str">
        <x:v>P4OBS089</x:v>
      </x:c>
      <x:c r="B3320" s="33" t="str">
        <x:v>Observation Master</x:v>
      </x:c>
      <x:c r="C3320" s="33" t="str">
        <x:v>Not present</x:v>
      </x:c>
      <x:c r="D3320" s="33" t="str">
        <x:v>Observation ID=P4OBS089; Audit ID=AUD249; Observation Template=Deliver pharmacy services in accordance with Good Pharmacy Practice principles. was not demonstrated or did not operate effectively for the sample tested.; Risk Level=High; Recommendation=Implement the requirement, correct affected records or transactions, and retain evidence of operating effectiveness: Deliver pharmacy services in accordance with Good Pharmacy Practice principles.; Observation Category=CA021; Origin=P4_VALIDATION; Active=Yes; Remarks=P-4 chain-closure observation template.</x:v>
      </x:c>
      <x:c r="E3320" s="33" t="str">
        <x:v>ADD</x:v>
      </x:c>
      <x:c r="F3320" s="33" t="str">
        <x:v>Close every active audit-to-observation link.</x:v>
      </x:c>
      <x:c r="G3320" s="33" t="str">
        <x:v>P-4 execution-chain reconciliation</x:v>
      </x:c>
      <x:c r="H3320" s="33" t="str">
        <x:v>P-4</x:v>
      </x:c>
      <x:c r="I3320" s="33" t="str">
        <x:v>P-4</x:v>
      </x:c>
      <x:c r="J3320" s="33" t="str">
        <x:v>2026-08-20</x:v>
      </x:c>
      <x:c r="K3320" s="33" t="str">
        <x:v>All active audits now have an active observation template.</x:v>
      </x:c>
    </x:row>
    <x:row r="3321">
      <x:c r="A3321" s="33" t="str">
        <x:v>P4OBS090</x:v>
      </x:c>
      <x:c r="B3321" s="33" t="str">
        <x:v>Observation Master</x:v>
      </x:c>
      <x:c r="C3321" s="33" t="str">
        <x:v>Not present</x:v>
      </x:c>
      <x:c r="D3321" s="33" t="str">
        <x:v>Observation ID=P4OBS090; Audit ID=AUD251; Observation Template=Provide appropriate counselling to patients regarding medicine use, dosage and precautions. was not demonstrated or did not operate effectively for the sample tested.; Risk Level=High; Recommendation=Implement the requirement, correct affected records or transactions, and retain evidence of operating effectiveness: Provide appropriate counselling to patients regarding medicine use, dosage and precautions.; Observation Category=CA021; Origin=P4_VALIDATION; Active=Yes; Remarks=P-4 chain-closure observation template.</x:v>
      </x:c>
      <x:c r="E3321" s="33" t="str">
        <x:v>ADD</x:v>
      </x:c>
      <x:c r="F3321" s="33" t="str">
        <x:v>Close every active audit-to-observation link.</x:v>
      </x:c>
      <x:c r="G3321" s="33" t="str">
        <x:v>P-4 execution-chain reconciliation</x:v>
      </x:c>
      <x:c r="H3321" s="33" t="str">
        <x:v>P-4</x:v>
      </x:c>
      <x:c r="I3321" s="33" t="str">
        <x:v>P-4</x:v>
      </x:c>
      <x:c r="J3321" s="33" t="str">
        <x:v>2026-08-20</x:v>
      </x:c>
      <x:c r="K3321" s="33" t="str">
        <x:v>All active audits now have an active observation template.</x:v>
      </x:c>
    </x:row>
    <x:row r="3322">
      <x:c r="A3322" s="33" t="str">
        <x:v>P4OBS091</x:v>
      </x:c>
      <x:c r="B3322" s="33" t="str">
        <x:v>Observation Master</x:v>
      </x:c>
      <x:c r="C3322" s="33" t="str">
        <x:v>Not present</x:v>
      </x:c>
      <x:c r="D3322" s="33" t="str">
        <x:v>Observation ID=P4OBS091; Audit ID=AUD253; Observation Template=Review each prescription for completeness, legality and appropriateness before dispensing. was not demonstrated or did not operate effectively for the sample tested.; Risk Level=High; Recommendation=Implement the requirement, correct affected records or transactions, and retain evidence of operating effectiveness: Review each prescription for completeness, legality and appropriateness before dispensing.; Observation Category=CA021; Origin=P4_VALIDATION; Active=Yes; Remarks=P-4 chain-closure observation template.</x:v>
      </x:c>
      <x:c r="E3322" s="33" t="str">
        <x:v>ADD</x:v>
      </x:c>
      <x:c r="F3322" s="33" t="str">
        <x:v>Close every active audit-to-observation link.</x:v>
      </x:c>
      <x:c r="G3322" s="33" t="str">
        <x:v>P-4 execution-chain reconciliation</x:v>
      </x:c>
      <x:c r="H3322" s="33" t="str">
        <x:v>P-4</x:v>
      </x:c>
      <x:c r="I3322" s="33" t="str">
        <x:v>P-4</x:v>
      </x:c>
      <x:c r="J3322" s="33" t="str">
        <x:v>2026-08-20</x:v>
      </x:c>
      <x:c r="K3322" s="33" t="str">
        <x:v>All active audits now have an active observation template.</x:v>
      </x:c>
    </x:row>
    <x:row r="3323">
      <x:c r="A3323" s="33" t="str">
        <x:v>P4OBS092</x:v>
      </x:c>
      <x:c r="B3323" s="33" t="str">
        <x:v>Observation Master</x:v>
      </x:c>
      <x:c r="C3323" s="33" t="str">
        <x:v>Not present</x:v>
      </x:c>
      <x:c r="D3323" s="33" t="str">
        <x:v>Observation ID=P4OBS092; Audit ID=AUD255; Observation Template=Procure medicines only from licensed and authorized suppliers. was not demonstrated or did not operate effectively for the sample tested.; Risk Level=High; Recommendation=Implement the requirement, correct affected records or transactions, and retain evidence of operating effectiveness: Procure medicines only from licensed and authorized suppliers.; Observation Category=CA011; Origin=P4_VALIDATION; Active=Yes; Remarks=P-4 chain-closure observation template.</x:v>
      </x:c>
      <x:c r="E3323" s="33" t="str">
        <x:v>ADD</x:v>
      </x:c>
      <x:c r="F3323" s="33" t="str">
        <x:v>Close every active audit-to-observation link.</x:v>
      </x:c>
      <x:c r="G3323" s="33" t="str">
        <x:v>P-4 execution-chain reconciliation</x:v>
      </x:c>
      <x:c r="H3323" s="33" t="str">
        <x:v>P-4</x:v>
      </x:c>
      <x:c r="I3323" s="33" t="str">
        <x:v>P-4</x:v>
      </x:c>
      <x:c r="J3323" s="33" t="str">
        <x:v>2026-08-20</x:v>
      </x:c>
      <x:c r="K3323" s="33" t="str">
        <x:v>All active audits now have an active observation template.</x:v>
      </x:c>
    </x:row>
    <x:row r="3324">
      <x:c r="A3324" s="33" t="str">
        <x:v>P4OBS093</x:v>
      </x:c>
      <x:c r="B3324" s="33" t="str">
        <x:v>Observation Master</x:v>
      </x:c>
      <x:c r="C3324" s="33" t="str">
        <x:v>Not present</x:v>
      </x:c>
      <x:c r="D3324" s="33" t="str">
        <x:v>Observation ID=P4OBS093; Audit ID=AUD257; Observation Template=Maintain suitable transportation and distribution conditions to preserve product quality. was not demonstrated or did not operate effectively for the sample tested.; Risk Level=High; Recommendation=Implement the requirement, correct affected records or transactions, and retain evidence of operating effectiveness: Maintain suitable transportation and distribution conditions to preserve product quality.; Observation Category=CA012; Origin=P4_VALIDATION; Active=Yes; Remarks=P-4 chain-closure observation template.</x:v>
      </x:c>
      <x:c r="E3324" s="33" t="str">
        <x:v>ADD</x:v>
      </x:c>
      <x:c r="F3324" s="33" t="str">
        <x:v>Close every active audit-to-observation link.</x:v>
      </x:c>
      <x:c r="G3324" s="33" t="str">
        <x:v>P-4 execution-chain reconciliation</x:v>
      </x:c>
      <x:c r="H3324" s="33" t="str">
        <x:v>P-4</x:v>
      </x:c>
      <x:c r="I3324" s="33" t="str">
        <x:v>P-4</x:v>
      </x:c>
      <x:c r="J3324" s="33" t="str">
        <x:v>2026-08-20</x:v>
      </x:c>
      <x:c r="K3324" s="33" t="str">
        <x:v>All active audits now have an active observation template.</x:v>
      </x:c>
    </x:row>
    <x:row r="3325">
      <x:c r="A3325" s="33" t="str">
        <x:v>P4OBS094</x:v>
      </x:c>
      <x:c r="B3325" s="33" t="str">
        <x:v>Observation Master</x:v>
      </x:c>
      <x:c r="C3325" s="33" t="str">
        <x:v>Not present</x:v>
      </x:c>
      <x:c r="D3325" s="33" t="str">
        <x:v>Observation ID=P4OBS094; Audit ID=AUD259; Observation Template=Maintain complete and traceable distribution records for all pharmaceutical products. was not demonstrated or did not operate effectively for the sample tested.; Risk Level=High; Recommendation=Implement the requirement, correct affected records or transactions, and retain evidence of operating effectiveness: Maintain complete and traceable distribution records for all pharmaceutical products.; Observation Category=CA019; Origin=P4_VALIDATION; Active=Yes; Remarks=P-4 chain-closure observation template.</x:v>
      </x:c>
      <x:c r="E3325" s="33" t="str">
        <x:v>ADD</x:v>
      </x:c>
      <x:c r="F3325" s="33" t="str">
        <x:v>Close every active audit-to-observation link.</x:v>
      </x:c>
      <x:c r="G3325" s="33" t="str">
        <x:v>P-4 execution-chain reconciliation</x:v>
      </x:c>
      <x:c r="H3325" s="33" t="str">
        <x:v>P-4</x:v>
      </x:c>
      <x:c r="I3325" s="33" t="str">
        <x:v>P-4</x:v>
      </x:c>
      <x:c r="J3325" s="33" t="str">
        <x:v>2026-08-20</x:v>
      </x:c>
      <x:c r="K3325" s="33" t="str">
        <x:v>All active audits now have an active observation template.</x:v>
      </x:c>
    </x:row>
    <x:row r="3326">
      <x:c r="A3326" s="33" t="str">
        <x:v>P4OBS095</x:v>
      </x:c>
      <x:c r="B3326" s="33" t="str">
        <x:v>Observation Master</x:v>
      </x:c>
      <x:c r="C3326" s="33" t="str">
        <x:v>Not present</x:v>
      </x:c>
      <x:c r="D3326" s="33" t="str">
        <x:v>Observation ID=P4OBS095; Audit ID=AUD260; Observation Template=Maintain complete and traceable distribution records for all pharmaceutical products. was not demonstrated or did not operate effectively for the sample tested.; Risk Level=High; Recommendation=Implement the requirement, correct affected records or transactions, and retain evidence of operating effectiveness: Maintain complete and traceable distribution records for all pharmaceutical products.; Observation Category=CA019; Origin=P4_VALIDATION; Active=Yes; Remarks=P-4 chain-closure observation template.</x:v>
      </x:c>
      <x:c r="E3326" s="33" t="str">
        <x:v>ADD</x:v>
      </x:c>
      <x:c r="F3326" s="33" t="str">
        <x:v>Close every active audit-to-observation link.</x:v>
      </x:c>
      <x:c r="G3326" s="33" t="str">
        <x:v>P-4 execution-chain reconciliation</x:v>
      </x:c>
      <x:c r="H3326" s="33" t="str">
        <x:v>P-4</x:v>
      </x:c>
      <x:c r="I3326" s="33" t="str">
        <x:v>P-4</x:v>
      </x:c>
      <x:c r="J3326" s="33" t="str">
        <x:v>2026-08-20</x:v>
      </x:c>
      <x:c r="K3326" s="33" t="str">
        <x:v>All active audits now have an active observation template.</x:v>
      </x:c>
    </x:row>
    <x:row r="3327">
      <x:c r="A3327" s="33" t="str">
        <x:v>P4OBS096</x:v>
      </x:c>
      <x:c r="B3327" s="33" t="str">
        <x:v>Observation Master</x:v>
      </x:c>
      <x:c r="C3327" s="33" t="str">
        <x:v>Not present</x:v>
      </x:c>
      <x:c r="D3327" s="33" t="str">
        <x:v>Observation ID=P4OBS096; Audit ID=AUD261; Observation Template=Maintain complete and traceable distribution records for all pharmaceutical products. was not demonstrated or did not operate effectively for the sample tested.; Risk Level=High; Recommendation=Implement the requirement, correct affected records or transactions, and retain evidence of operating effectiveness: Maintain complete and traceable distribution records for all pharmaceutical products.; Observation Category=CA019; Origin=P4_VALIDATION; Active=Yes; Remarks=P-4 chain-closure observation template.</x:v>
      </x:c>
      <x:c r="E3327" s="33" t="str">
        <x:v>ADD</x:v>
      </x:c>
      <x:c r="F3327" s="33" t="str">
        <x:v>Close every active audit-to-observation link.</x:v>
      </x:c>
      <x:c r="G3327" s="33" t="str">
        <x:v>P-4 execution-chain reconciliation</x:v>
      </x:c>
      <x:c r="H3327" s="33" t="str">
        <x:v>P-4</x:v>
      </x:c>
      <x:c r="I3327" s="33" t="str">
        <x:v>P-4</x:v>
      </x:c>
      <x:c r="J3327" s="33" t="str">
        <x:v>2026-08-20</x:v>
      </x:c>
      <x:c r="K3327" s="33" t="str">
        <x:v>All active audits now have an active observation template.</x:v>
      </x:c>
    </x:row>
    <x:row r="3328">
      <x:c r="A3328" s="33" t="str">
        <x:v>P4OBS097</x:v>
      </x:c>
      <x:c r="B3328" s="33" t="str">
        <x:v>Observation Master</x:v>
      </x:c>
      <x:c r="C3328" s="33" t="str">
        <x:v>Not present</x:v>
      </x:c>
      <x:c r="D3328" s="33" t="str">
        <x:v>Observation ID=P4OBS097; Audit ID=AUD263; Observation Template=Continuously monitor and record storage temperature for all temperature-sensitive medicines. was not demonstrated or did not operate effectively for the sample tested.; Risk Level=High; Recommendation=Implement the requirement, correct affected records or transactions, and retain evidence of operating effectiveness: Continuously monitor and record storage temperature for all temperature-sensitive medicines.; Observation Category=CA007; Origin=P4_VALIDATION; Active=Yes; Remarks=P-4 chain-closure observation template.</x:v>
      </x:c>
      <x:c r="E3328" s="33" t="str">
        <x:v>ADD</x:v>
      </x:c>
      <x:c r="F3328" s="33" t="str">
        <x:v>Close every active audit-to-observation link.</x:v>
      </x:c>
      <x:c r="G3328" s="33" t="str">
        <x:v>P-4 execution-chain reconciliation</x:v>
      </x:c>
      <x:c r="H3328" s="33" t="str">
        <x:v>P-4</x:v>
      </x:c>
      <x:c r="I3328" s="33" t="str">
        <x:v>P-4</x:v>
      </x:c>
      <x:c r="J3328" s="33" t="str">
        <x:v>2026-08-20</x:v>
      </x:c>
      <x:c r="K3328" s="33" t="str">
        <x:v>All active audits now have an active observation template.</x:v>
      </x:c>
    </x:row>
    <x:row r="3329">
      <x:c r="A3329" s="33" t="str">
        <x:v>P4OBS098</x:v>
      </x:c>
      <x:c r="B3329" s="33" t="str">
        <x:v>Observation Master</x:v>
      </x:c>
      <x:c r="C3329" s="33" t="str">
        <x:v>Not present</x:v>
      </x:c>
      <x:c r="D3329" s="33" t="str">
        <x:v>Observation ID=P4OBS098; Audit ID=AUD265; Observation Template=Monitor and maintain humidity within prescribed limits where applicable. was not demonstrated or did not operate effectively for the sample tested.; Risk Level=High; Recommendation=Implement the requirement, correct affected records or transactions, and retain evidence of operating effectiveness: Monitor and maintain humidity within prescribed limits where applicable.; Observation Category=CA007; Origin=P4_VALIDATION; Active=Yes; Remarks=P-4 chain-closure observation template.</x:v>
      </x:c>
      <x:c r="E3329" s="33" t="str">
        <x:v>ADD</x:v>
      </x:c>
      <x:c r="F3329" s="33" t="str">
        <x:v>Close every active audit-to-observation link.</x:v>
      </x:c>
      <x:c r="G3329" s="33" t="str">
        <x:v>P-4 execution-chain reconciliation</x:v>
      </x:c>
      <x:c r="H3329" s="33" t="str">
        <x:v>P-4</x:v>
      </x:c>
      <x:c r="I3329" s="33" t="str">
        <x:v>P-4</x:v>
      </x:c>
      <x:c r="J3329" s="33" t="str">
        <x:v>2026-08-20</x:v>
      </x:c>
      <x:c r="K3329" s="33" t="str">
        <x:v>All active audits now have an active observation template.</x:v>
      </x:c>
    </x:row>
    <x:row r="3330">
      <x:c r="A3330" s="33" t="str">
        <x:v>P4OBS099</x:v>
      </x:c>
      <x:c r="B3330" s="33" t="str">
        <x:v>Observation Master</x:v>
      </x:c>
      <x:c r="C3330" s="33" t="str">
        <x:v>Not present</x:v>
      </x:c>
      <x:c r="D3330" s="33" t="str">
        <x:v>Observation ID=P4OBS099; Audit ID=AUD267; Observation Template=Follow the FEFO (First Expiry First Out) inventory management system for stock issuance. was not demonstrated or did not operate effectively for the sample tested.; Risk Level=High; Recommendation=Implement the requirement, correct affected records or transactions, and retain evidence of operating effectiveness: Follow the FEFO (First Expiry First Out) inventory management system for stock issuance.; Observation Category=CA012; Origin=P4_VALIDATION; Active=Yes; Remarks=P-4 chain-closure observation template.</x:v>
      </x:c>
      <x:c r="E3330" s="33" t="str">
        <x:v>ADD</x:v>
      </x:c>
      <x:c r="F3330" s="33" t="str">
        <x:v>Close every active audit-to-observation link.</x:v>
      </x:c>
      <x:c r="G3330" s="33" t="str">
        <x:v>P-4 execution-chain reconciliation</x:v>
      </x:c>
      <x:c r="H3330" s="33" t="str">
        <x:v>P-4</x:v>
      </x:c>
      <x:c r="I3330" s="33" t="str">
        <x:v>P-4</x:v>
      </x:c>
      <x:c r="J3330" s="33" t="str">
        <x:v>2026-08-20</x:v>
      </x:c>
      <x:c r="K3330" s="33" t="str">
        <x:v>All active audits now have an active observation template.</x:v>
      </x:c>
    </x:row>
    <x:row r="3331">
      <x:c r="A3331" s="33" t="str">
        <x:v>P4OBS100</x:v>
      </x:c>
      <x:c r="B3331" s="33" t="str">
        <x:v>Observation Master</x:v>
      </x:c>
      <x:c r="C3331" s="33" t="str">
        <x:v>Not present</x:v>
      </x:c>
      <x:c r="D3331" s="33" t="str">
        <x:v>Observation ID=P4OBS100; Audit ID=AUD269; Observation Template=Segregate expired, damaged, recalled and rejected medicines from saleable inventory immediately. was not demonstrated or did not operate effectively for the sample tested.; Risk Level=High; Recommendation=Implement the requirement, correct affected records or transactions, and retain evidence of operating effectiveness: Segregate expired, damaged, recalled and rejected medicines from saleable inventory immediately.; Observation Category=CA013; Origin=P4_VALIDATION; Active=Yes; Remarks=P-4 chain-closure observation template.</x:v>
      </x:c>
      <x:c r="E3331" s="33" t="str">
        <x:v>ADD</x:v>
      </x:c>
      <x:c r="F3331" s="33" t="str">
        <x:v>Close every active audit-to-observation link.</x:v>
      </x:c>
      <x:c r="G3331" s="33" t="str">
        <x:v>P-4 execution-chain reconciliation</x:v>
      </x:c>
      <x:c r="H3331" s="33" t="str">
        <x:v>P-4</x:v>
      </x:c>
      <x:c r="I3331" s="33" t="str">
        <x:v>P-4</x:v>
      </x:c>
      <x:c r="J3331" s="33" t="str">
        <x:v>2026-08-20</x:v>
      </x:c>
      <x:c r="K3331" s="33" t="str">
        <x:v>All active audits now have an active observation template.</x:v>
      </x:c>
    </x:row>
    <x:row r="3332">
      <x:c r="A3332" s="33" t="str">
        <x:v>P4OBS101</x:v>
      </x:c>
      <x:c r="B3332" s="33" t="str">
        <x:v>Observation Master</x:v>
      </x:c>
      <x:c r="C3332" s="33" t="str">
        <x:v>Not present</x:v>
      </x:c>
      <x:c r="D3332" s="33" t="str">
        <x:v>Observation ID=P4OBS101; Audit ID=AUD271; Observation Template=Maintain storage areas in a clean, hygienic and pest-free condition. was not demonstrated or did not operate effectively for the sample tested.; Risk Level=High; Recommendation=Implement the requirement, correct affected records or transactions, and retain evidence of operating effectiveness: Maintain storage areas in a clean, hygienic and pest-free condition.; Observation Category=CA007; Origin=P4_VALIDATION; Active=Yes; Remarks=P-4 chain-closure observation template.</x:v>
      </x:c>
      <x:c r="E3332" s="33" t="str">
        <x:v>ADD</x:v>
      </x:c>
      <x:c r="F3332" s="33" t="str">
        <x:v>Close every active audit-to-observation link.</x:v>
      </x:c>
      <x:c r="G3332" s="33" t="str">
        <x:v>P-4 execution-chain reconciliation</x:v>
      </x:c>
      <x:c r="H3332" s="33" t="str">
        <x:v>P-4</x:v>
      </x:c>
      <x:c r="I3332" s="33" t="str">
        <x:v>P-4</x:v>
      </x:c>
      <x:c r="J3332" s="33" t="str">
        <x:v>2026-08-20</x:v>
      </x:c>
      <x:c r="K3332" s="33" t="str">
        <x:v>All active audits now have an active observation template.</x:v>
      </x:c>
    </x:row>
    <x:row r="3333">
      <x:c r="A3333" s="33" t="str">
        <x:v>P4OBS102</x:v>
      </x:c>
      <x:c r="B3333" s="33" t="str">
        <x:v>Observation Master</x:v>
      </x:c>
      <x:c r="C3333" s="33" t="str">
        <x:v>Not present</x:v>
      </x:c>
      <x:c r="D3333" s="33" t="str">
        <x:v>Observation ID=P4OBS102; Audit ID=AUD273; Observation Template=Initiate product recall immediately upon receipt of recall notice or identification of defective products. was not demonstrated or did not operate effectively for the sample tested.; Risk Level=High; Recommendation=Implement the requirement, correct affected records or transactions, and retain evidence of operating effectiveness: Initiate product recall immediately upon receipt of recall notice or identification of defective products.; Observation Category=CA022; Origin=P4_VALIDATION; Active=Yes; Remarks=P-4 chain-closure observation template.</x:v>
      </x:c>
      <x:c r="E3333" s="33" t="str">
        <x:v>ADD</x:v>
      </x:c>
      <x:c r="F3333" s="33" t="str">
        <x:v>Close every active audit-to-observation link.</x:v>
      </x:c>
      <x:c r="G3333" s="33" t="str">
        <x:v>P-4 execution-chain reconciliation</x:v>
      </x:c>
      <x:c r="H3333" s="33" t="str">
        <x:v>P-4</x:v>
      </x:c>
      <x:c r="I3333" s="33" t="str">
        <x:v>P-4</x:v>
      </x:c>
      <x:c r="J3333" s="33" t="str">
        <x:v>2026-08-20</x:v>
      </x:c>
      <x:c r="K3333" s="33" t="str">
        <x:v>All active audits now have an active observation template.</x:v>
      </x:c>
    </x:row>
    <x:row r="3334">
      <x:c r="A3334" s="33" t="str">
        <x:v>P4OBS103</x:v>
      </x:c>
      <x:c r="B3334" s="33" t="str">
        <x:v>Observation Master</x:v>
      </x:c>
      <x:c r="C3334" s="33" t="str">
        <x:v>Not present</x:v>
      </x:c>
      <x:c r="D3334" s="33" t="str">
        <x:v>Observation ID=P4OBS103; Audit ID=AUD275; Observation Template=Classify recalled products according to the applicable recall category and risk level. was not demonstrated or did not operate effectively for the sample tested.; Risk Level=High; Recommendation=Implement the requirement, correct affected records or transactions, and retain evidence of operating effectiveness: Classify recalled products according to the applicable recall category and risk level.; Observation Category=CA022; Origin=P4_VALIDATION; Active=Yes; Remarks=P-4 chain-closure observation template.</x:v>
      </x:c>
      <x:c r="E3334" s="33" t="str">
        <x:v>ADD</x:v>
      </x:c>
      <x:c r="F3334" s="33" t="str">
        <x:v>Close every active audit-to-observation link.</x:v>
      </x:c>
      <x:c r="G3334" s="33" t="str">
        <x:v>P-4 execution-chain reconciliation</x:v>
      </x:c>
      <x:c r="H3334" s="33" t="str">
        <x:v>P-4</x:v>
      </x:c>
      <x:c r="I3334" s="33" t="str">
        <x:v>P-4</x:v>
      </x:c>
      <x:c r="J3334" s="33" t="str">
        <x:v>2026-08-20</x:v>
      </x:c>
      <x:c r="K3334" s="33" t="str">
        <x:v>All active audits now have an active observation template.</x:v>
      </x:c>
    </x:row>
    <x:row r="3335">
      <x:c r="A3335" s="33" t="str">
        <x:v>P4OBS104</x:v>
      </x:c>
      <x:c r="B3335" s="33" t="str">
        <x:v>Observation Master</x:v>
      </x:c>
      <x:c r="C3335" s="33" t="str">
        <x:v>Not present</x:v>
      </x:c>
      <x:c r="D3335" s="33" t="str">
        <x:v>Observation ID=P4OBS104; Audit ID=AUD277; Observation Template=Notify customers, distributors and regulatory authorities as required during product recall. was not demonstrated or did not operate effectively for the sample tested.; Risk Level=High; Recommendation=Implement the requirement, correct affected records or transactions, and retain evidence of operating effectiveness: Notify customers, distributors and regulatory authorities as required during product recall.; Observation Category=CA022; Origin=P4_VALIDATION; Active=Yes; Remarks=P-4 chain-closure observation template.</x:v>
      </x:c>
      <x:c r="E3335" s="33" t="str">
        <x:v>ADD</x:v>
      </x:c>
      <x:c r="F3335" s="33" t="str">
        <x:v>Close every active audit-to-observation link.</x:v>
      </x:c>
      <x:c r="G3335" s="33" t="str">
        <x:v>P-4 execution-chain reconciliation</x:v>
      </x:c>
      <x:c r="H3335" s="33" t="str">
        <x:v>P-4</x:v>
      </x:c>
      <x:c r="I3335" s="33" t="str">
        <x:v>P-4</x:v>
      </x:c>
      <x:c r="J3335" s="33" t="str">
        <x:v>2026-08-20</x:v>
      </x:c>
      <x:c r="K3335" s="33" t="str">
        <x:v>All active audits now have an active observation template.</x:v>
      </x:c>
    </x:row>
    <x:row r="3336">
      <x:c r="A3336" s="33" t="str">
        <x:v>P4OBS105</x:v>
      </x:c>
      <x:c r="B3336" s="33" t="str">
        <x:v>Observation Master</x:v>
      </x:c>
      <x:c r="C3336" s="33" t="str">
        <x:v>Not present</x:v>
      </x:c>
      <x:c r="D3336" s="33" t="str">
        <x:v>Observation ID=P4OBS105; Audit ID=AUD279; Observation Template=Verify the effectiveness of product recall by reconciling quantities distributed and recovered. was not demonstrated or did not operate effectively for the sample tested.; Risk Level=High; Recommendation=Implement the requirement, correct affected records or transactions, and retain evidence of operating effectiveness: Verify the effectiveness of product recall by reconciling quantities distributed and recovered.; Observation Category=CA022; Origin=P4_VALIDATION; Active=Yes; Remarks=P-4 chain-closure observation template.</x:v>
      </x:c>
      <x:c r="E3336" s="33" t="str">
        <x:v>ADD</x:v>
      </x:c>
      <x:c r="F3336" s="33" t="str">
        <x:v>Close every active audit-to-observation link.</x:v>
      </x:c>
      <x:c r="G3336" s="33" t="str">
        <x:v>P-4 execution-chain reconciliation</x:v>
      </x:c>
      <x:c r="H3336" s="33" t="str">
        <x:v>P-4</x:v>
      </x:c>
      <x:c r="I3336" s="33" t="str">
        <x:v>P-4</x:v>
      </x:c>
      <x:c r="J3336" s="33" t="str">
        <x:v>2026-08-20</x:v>
      </x:c>
      <x:c r="K3336" s="33" t="str">
        <x:v>All active audits now have an active observation template.</x:v>
      </x:c>
    </x:row>
    <x:row r="3337">
      <x:c r="A3337" s="33" t="str">
        <x:v>P4OBS106</x:v>
      </x:c>
      <x:c r="B3337" s="33" t="str">
        <x:v>Observation Master</x:v>
      </x:c>
      <x:c r="C3337" s="33" t="str">
        <x:v>Not present</x:v>
      </x:c>
      <x:c r="D3337" s="33" t="str">
        <x:v>Observation ID=P4OBS106; Audit ID=AUD281; Observation Template=Maintain complete documentation supporting recall closure and regulatory reporting. was not demonstrated or did not operate effectively for the sample tested.; Risk Level=High; Recommendation=Implement the requirement, correct affected records or transactions, and retain evidence of operating effectiveness: Maintain complete documentation supporting recall closure and regulatory reporting.; Observation Category=CA022; Origin=P4_VALIDATION; Active=Yes; Remarks=P-4 chain-closure observation template.</x:v>
      </x:c>
      <x:c r="E3337" s="33" t="str">
        <x:v>ADD</x:v>
      </x:c>
      <x:c r="F3337" s="33" t="str">
        <x:v>Close every active audit-to-observation link.</x:v>
      </x:c>
      <x:c r="G3337" s="33" t="str">
        <x:v>P-4 execution-chain reconciliation</x:v>
      </x:c>
      <x:c r="H3337" s="33" t="str">
        <x:v>P-4</x:v>
      </x:c>
      <x:c r="I3337" s="33" t="str">
        <x:v>P-4</x:v>
      </x:c>
      <x:c r="J3337" s="33" t="str">
        <x:v>2026-08-20</x:v>
      </x:c>
      <x:c r="K3337" s="33" t="str">
        <x:v>All active audits now have an active observation template.</x:v>
      </x:c>
    </x:row>
    <x:row r="3338">
      <x:c r="A3338" s="33" t="str">
        <x:v>P4OBS107</x:v>
      </x:c>
      <x:c r="B3338" s="33" t="str">
        <x:v>Observation Master</x:v>
      </x:c>
      <x:c r="C3338" s="33" t="str">
        <x:v>Not present</x:v>
      </x:c>
      <x:c r="D3338" s="33" t="str">
        <x:v>Observation ID=P4OBS107; Audit ID=AUD283; Observation Template=Establish a documented process for receiving product complaints from customers. was not demonstrated or did not operate effectively for the sample tested.; Risk Level=High; Recommendation=Implement the requirement, correct affected records or transactions, and retain evidence of operating effectiveness: Establish a documented process for receiving product complaints from customers.; Observation Category=CA023; Origin=P4_VALIDATION; Active=Yes; Remarks=P-4 chain-closure observation template.</x:v>
      </x:c>
      <x:c r="E3338" s="33" t="str">
        <x:v>ADD</x:v>
      </x:c>
      <x:c r="F3338" s="33" t="str">
        <x:v>Close every active audit-to-observation link.</x:v>
      </x:c>
      <x:c r="G3338" s="33" t="str">
        <x:v>P-4 execution-chain reconciliation</x:v>
      </x:c>
      <x:c r="H3338" s="33" t="str">
        <x:v>P-4</x:v>
      </x:c>
      <x:c r="I3338" s="33" t="str">
        <x:v>P-4</x:v>
      </x:c>
      <x:c r="J3338" s="33" t="str">
        <x:v>2026-08-20</x:v>
      </x:c>
      <x:c r="K3338" s="33" t="str">
        <x:v>All active audits now have an active observation template.</x:v>
      </x:c>
    </x:row>
    <x:row r="3339">
      <x:c r="A3339" s="33" t="str">
        <x:v>P4OBS108</x:v>
      </x:c>
      <x:c r="B3339" s="33" t="str">
        <x:v>Observation Master</x:v>
      </x:c>
      <x:c r="C3339" s="33" t="str">
        <x:v>Not present</x:v>
      </x:c>
      <x:c r="D3339" s="33" t="str">
        <x:v>Observation ID=P4OBS108; Audit ID=AUD285; Observation Template=Investigate every product complaint and document findings appropriately. was not demonstrated or did not operate effectively for the sample tested.; Risk Level=High; Recommendation=Implement the requirement, correct affected records or transactions, and retain evidence of operating effectiveness: Investigate every product complaint and document findings appropriately.; Observation Category=CA023; Origin=P4_VALIDATION; Active=Yes; Remarks=P-4 chain-closure observation template.</x:v>
      </x:c>
      <x:c r="E3339" s="33" t="str">
        <x:v>ADD</x:v>
      </x:c>
      <x:c r="F3339" s="33" t="str">
        <x:v>Close every active audit-to-observation link.</x:v>
      </x:c>
      <x:c r="G3339" s="33" t="str">
        <x:v>P-4 execution-chain reconciliation</x:v>
      </x:c>
      <x:c r="H3339" s="33" t="str">
        <x:v>P-4</x:v>
      </x:c>
      <x:c r="I3339" s="33" t="str">
        <x:v>P-4</x:v>
      </x:c>
      <x:c r="J3339" s="33" t="str">
        <x:v>2026-08-20</x:v>
      </x:c>
      <x:c r="K3339" s="33" t="str">
        <x:v>All active audits now have an active observation template.</x:v>
      </x:c>
    </x:row>
    <x:row r="3340">
      <x:c r="A3340" s="33" t="str">
        <x:v>P4OBS109</x:v>
      </x:c>
      <x:c r="B3340" s="33" t="str">
        <x:v>Observation Master</x:v>
      </x:c>
      <x:c r="C3340" s="33" t="str">
        <x:v>Not present</x:v>
      </x:c>
      <x:c r="D3340" s="33" t="str">
        <x:v>Observation ID=P4OBS109; Audit ID=AUD287; Observation Template=Maintain a complaint register and supporting investigation records. was not demonstrated or did not operate effectively for the sample tested.; Risk Level=High; Recommendation=Implement the requirement, correct affected records or transactions, and retain evidence of operating effectiveness: Maintain a complaint register and supporting investigation records.; Observation Category=CA023; Origin=P4_VALIDATION; Active=Yes; Remarks=P-4 chain-closure observation template.</x:v>
      </x:c>
      <x:c r="E3340" s="33" t="str">
        <x:v>ADD</x:v>
      </x:c>
      <x:c r="F3340" s="33" t="str">
        <x:v>Close every active audit-to-observation link.</x:v>
      </x:c>
      <x:c r="G3340" s="33" t="str">
        <x:v>P-4 execution-chain reconciliation</x:v>
      </x:c>
      <x:c r="H3340" s="33" t="str">
        <x:v>P-4</x:v>
      </x:c>
      <x:c r="I3340" s="33" t="str">
        <x:v>P-4</x:v>
      </x:c>
      <x:c r="J3340" s="33" t="str">
        <x:v>2026-08-20</x:v>
      </x:c>
      <x:c r="K3340" s="33" t="str">
        <x:v>All active audits now have an active observation template.</x:v>
      </x:c>
    </x:row>
    <x:row r="3341">
      <x:c r="A3341" s="33" t="str">
        <x:v>P4OBS110</x:v>
      </x:c>
      <x:c r="B3341" s="33" t="str">
        <x:v>Observation Master</x:v>
      </x:c>
      <x:c r="C3341" s="33" t="str">
        <x:v>Not present</x:v>
      </x:c>
      <x:c r="D3341" s="33" t="str">
        <x:v>Observation ID=P4OBS110; Audit ID=AUD289; Observation Template=Close product complaints only after investigation, corrective action and documentation are completed. was not demonstrated or did not operate effectively for the sample tested.; Risk Level=High; Recommendation=Implement the requirement, correct affected records or transactions, and retain evidence of operating effectiveness: Close product complaints only after investigation, corrective action and documentation are completed.; Observation Category=CA023; Origin=P4_VALIDATION; Active=Yes; Remarks=P-4 chain-closure observation template.</x:v>
      </x:c>
      <x:c r="E3341" s="33" t="str">
        <x:v>ADD</x:v>
      </x:c>
      <x:c r="F3341" s="33" t="str">
        <x:v>Close every active audit-to-observation link.</x:v>
      </x:c>
      <x:c r="G3341" s="33" t="str">
        <x:v>P-4 execution-chain reconciliation</x:v>
      </x:c>
      <x:c r="H3341" s="33" t="str">
        <x:v>P-4</x:v>
      </x:c>
      <x:c r="I3341" s="33" t="str">
        <x:v>P-4</x:v>
      </x:c>
      <x:c r="J3341" s="33" t="str">
        <x:v>2026-08-20</x:v>
      </x:c>
      <x:c r="K3341" s="33" t="str">
        <x:v>All active audits now have an active observation template.</x:v>
      </x:c>
    </x:row>
    <x:row r="3342">
      <x:c r="A3342" s="33" t="str">
        <x:v>P4OBS111</x:v>
      </x:c>
      <x:c r="B3342" s="33" t="str">
        <x:v>Observation Master</x:v>
      </x:c>
      <x:c r="C3342" s="33" t="str">
        <x:v>Not present</x:v>
      </x:c>
      <x:c r="D3342" s="33" t="str">
        <x:v>Observation ID=P4OBS111; Audit ID=AUD291; Observation Template=Report suspected adverse drug reactions to the Pharmacovigilance Programme of India whenever required. was not demonstrated or did not operate effectively for the sample tested.; Risk Level=High; Recommendation=Implement the requirement, correct affected records or transactions, and retain evidence of operating effectiveness: Report suspected adverse drug reactions to the Pharmacovigilance Programme of India whenever required.; Observation Category=CA024; Origin=P4_VALIDATION; Active=Yes; Remarks=P-4 chain-closure observation template.</x:v>
      </x:c>
      <x:c r="E3342" s="33" t="str">
        <x:v>ADD</x:v>
      </x:c>
      <x:c r="F3342" s="33" t="str">
        <x:v>Close every active audit-to-observation link.</x:v>
      </x:c>
      <x:c r="G3342" s="33" t="str">
        <x:v>P-4 execution-chain reconciliation</x:v>
      </x:c>
      <x:c r="H3342" s="33" t="str">
        <x:v>P-4</x:v>
      </x:c>
      <x:c r="I3342" s="33" t="str">
        <x:v>P-4</x:v>
      </x:c>
      <x:c r="J3342" s="33" t="str">
        <x:v>2026-08-20</x:v>
      </x:c>
      <x:c r="K3342" s="33" t="str">
        <x:v>All active audits now have an active observation template.</x:v>
      </x:c>
    </x:row>
    <x:row r="3343">
      <x:c r="A3343" s="33" t="str">
        <x:v>P4OBS112</x:v>
      </x:c>
      <x:c r="B3343" s="33" t="str">
        <x:v>Observation Master</x:v>
      </x:c>
      <x:c r="C3343" s="33" t="str">
        <x:v>Not present</x:v>
      </x:c>
      <x:c r="D3343" s="33" t="str">
        <x:v>Observation ID=P4OBS112; Audit ID=AUD293; Observation Template=Maintain complete documentation for every reported adverse drug reaction. was not demonstrated or did not operate effectively for the sample tested.; Risk Level=High; Recommendation=Implement the requirement, correct affected records or transactions, and retain evidence of operating effectiveness: Maintain complete documentation for every reported adverse drug reaction.; Observation Category=CA024; Origin=P4_VALIDATION; Active=Yes; Remarks=P-4 chain-closure observation template.</x:v>
      </x:c>
      <x:c r="E3343" s="33" t="str">
        <x:v>ADD</x:v>
      </x:c>
      <x:c r="F3343" s="33" t="str">
        <x:v>Close every active audit-to-observation link.</x:v>
      </x:c>
      <x:c r="G3343" s="33" t="str">
        <x:v>P-4 execution-chain reconciliation</x:v>
      </x:c>
      <x:c r="H3343" s="33" t="str">
        <x:v>P-4</x:v>
      </x:c>
      <x:c r="I3343" s="33" t="str">
        <x:v>P-4</x:v>
      </x:c>
      <x:c r="J3343" s="33" t="str">
        <x:v>2026-08-20</x:v>
      </x:c>
      <x:c r="K3343" s="33" t="str">
        <x:v>All active audits now have an active observation template.</x:v>
      </x:c>
    </x:row>
    <x:row r="3344">
      <x:c r="A3344" s="33" t="str">
        <x:v>P4OBS113</x:v>
      </x:c>
      <x:c r="B3344" s="33" t="str">
        <x:v>Observation Master</x:v>
      </x:c>
      <x:c r="C3344" s="33" t="str">
        <x:v>Not present</x:v>
      </x:c>
      <x:c r="D3344" s="33" t="str">
        <x:v>Observation ID=P4OBS113; Audit ID=AUD295; Observation Template=Escalate serious adverse drug reactions to the appropriate authority without delay. was not demonstrated or did not operate effectively for the sample tested.; Risk Level=High; Recommendation=Implement the requirement, correct affected records or transactions, and retain evidence of operating effectiveness: Escalate serious adverse drug reactions to the appropriate authority without delay.; Observation Category=CA024; Origin=P4_VALIDATION; Active=Yes; Remarks=P-4 chain-closure observation template.</x:v>
      </x:c>
      <x:c r="E3344" s="33" t="str">
        <x:v>ADD</x:v>
      </x:c>
      <x:c r="F3344" s="33" t="str">
        <x:v>Close every active audit-to-observation link.</x:v>
      </x:c>
      <x:c r="G3344" s="33" t="str">
        <x:v>P-4 execution-chain reconciliation</x:v>
      </x:c>
      <x:c r="H3344" s="33" t="str">
        <x:v>P-4</x:v>
      </x:c>
      <x:c r="I3344" s="33" t="str">
        <x:v>P-4</x:v>
      </x:c>
      <x:c r="J3344" s="33" t="str">
        <x:v>2026-08-20</x:v>
      </x:c>
      <x:c r="K3344" s="33" t="str">
        <x:v>All active audits now have an active observation template.</x:v>
      </x:c>
    </x:row>
    <x:row r="3345">
      <x:c r="A3345" s="33" t="str">
        <x:v>P4OBS114</x:v>
      </x:c>
      <x:c r="B3345" s="33" t="str">
        <x:v>Observation Master</x:v>
      </x:c>
      <x:c r="C3345" s="33" t="str">
        <x:v>Not present</x:v>
      </x:c>
      <x:c r="D3345" s="33" t="str">
        <x:v>Observation ID=P4OBS114; Audit ID=AUD297; Observation Template=Maintain vaccines and biological products within the prescribed cold chain temperature range. was not demonstrated or did not operate effectively for the sample tested.; Risk Level=High; Recommendation=Implement the requirement, correct affected records or transactions, and retain evidence of operating effectiveness: Maintain vaccines and biological products within the prescribed cold chain temperature range.; Observation Category=CA008; Origin=P4_VALIDATION; Active=Yes; Remarks=P-4 chain-closure observation template.</x:v>
      </x:c>
      <x:c r="E3345" s="33" t="str">
        <x:v>ADD</x:v>
      </x:c>
      <x:c r="F3345" s="33" t="str">
        <x:v>Close every active audit-to-observation link.</x:v>
      </x:c>
      <x:c r="G3345" s="33" t="str">
        <x:v>P-4 execution-chain reconciliation</x:v>
      </x:c>
      <x:c r="H3345" s="33" t="str">
        <x:v>P-4</x:v>
      </x:c>
      <x:c r="I3345" s="33" t="str">
        <x:v>P-4</x:v>
      </x:c>
      <x:c r="J3345" s="33" t="str">
        <x:v>2026-08-20</x:v>
      </x:c>
      <x:c r="K3345" s="33" t="str">
        <x:v>All active audits now have an active observation template.</x:v>
      </x:c>
    </x:row>
    <x:row r="3346">
      <x:c r="A3346" s="33" t="str">
        <x:v>P4OBS115</x:v>
      </x:c>
      <x:c r="B3346" s="33" t="str">
        <x:v>Observation Master</x:v>
      </x:c>
      <x:c r="C3346" s="33" t="str">
        <x:v>Not present</x:v>
      </x:c>
      <x:c r="D3346" s="33" t="str">
        <x:v>Observation ID=P4OBS115; Audit ID=AUD299; Observation Template=Record refrigerator temperatures at the prescribed frequency and retain logs for inspection. was not demonstrated or did not operate effectively for the sample tested.; Risk Level=High; Recommendation=Implement the requirement, correct affected records or transactions, and retain evidence of operating effectiveness: Record refrigerator temperatures at the prescribed frequency and retain logs for inspection.; Observation Category=CA008; Origin=P4_VALIDATION; Active=Yes; Remarks=P-4 chain-closure observation template.</x:v>
      </x:c>
      <x:c r="E3346" s="33" t="str">
        <x:v>ADD</x:v>
      </x:c>
      <x:c r="F3346" s="33" t="str">
        <x:v>Close every active audit-to-observation link.</x:v>
      </x:c>
      <x:c r="G3346" s="33" t="str">
        <x:v>P-4 execution-chain reconciliation</x:v>
      </x:c>
      <x:c r="H3346" s="33" t="str">
        <x:v>P-4</x:v>
      </x:c>
      <x:c r="I3346" s="33" t="str">
        <x:v>P-4</x:v>
      </x:c>
      <x:c r="J3346" s="33" t="str">
        <x:v>2026-08-20</x:v>
      </x:c>
      <x:c r="K3346" s="33" t="str">
        <x:v>All active audits now have an active observation template.</x:v>
      </x:c>
    </x:row>
    <x:row r="3347">
      <x:c r="A3347" s="33" t="str">
        <x:v>P4OBS116</x:v>
      </x:c>
      <x:c r="B3347" s="33" t="str">
        <x:v>Observation Master</x:v>
      </x:c>
      <x:c r="C3347" s="33" t="str">
        <x:v>Not present</x:v>
      </x:c>
      <x:c r="D3347" s="33" t="str">
        <x:v>Observation ID=P4OBS116; Audit ID=AUD301; Observation Template=Validate and periodically qualify cold chain equipment before operational use. was not demonstrated or did not operate effectively for the sample tested.; Risk Level=High; Recommendation=Implement the requirement, correct affected records or transactions, and retain evidence of operating effectiveness: Validate and periodically qualify cold chain equipment before operational use.; Observation Category=CA009; Origin=P4_VALIDATION; Active=Yes; Remarks=P-4 chain-closure observation template.</x:v>
      </x:c>
      <x:c r="E3347" s="33" t="str">
        <x:v>ADD</x:v>
      </x:c>
      <x:c r="F3347" s="33" t="str">
        <x:v>Close every active audit-to-observation link.</x:v>
      </x:c>
      <x:c r="G3347" s="33" t="str">
        <x:v>P-4 execution-chain reconciliation</x:v>
      </x:c>
      <x:c r="H3347" s="33" t="str">
        <x:v>P-4</x:v>
      </x:c>
      <x:c r="I3347" s="33" t="str">
        <x:v>P-4</x:v>
      </x:c>
      <x:c r="J3347" s="33" t="str">
        <x:v>2026-08-20</x:v>
      </x:c>
      <x:c r="K3347" s="33" t="str">
        <x:v>All active audits now have an active observation template.</x:v>
      </x:c>
    </x:row>
    <x:row r="3348">
      <x:c r="A3348" s="33" t="str">
        <x:v>P4OBS117</x:v>
      </x:c>
      <x:c r="B3348" s="33" t="str">
        <x:v>Observation Master</x:v>
      </x:c>
      <x:c r="C3348" s="33" t="str">
        <x:v>Not present</x:v>
      </x:c>
      <x:c r="D3348" s="33" t="str">
        <x:v>Observation ID=P4OBS117; Audit ID=AUD337; Observation Template=Deliver pharmacy services in accordance with Pharmacy Practice Regulations. was not demonstrated or did not operate effectively for the sample tested.; Risk Level=High; Recommendation=Implement the requirement, correct affected records or transactions, and retain evidence of operating effectiveness: Deliver pharmacy services in accordance with Pharmacy Practice Regulations.; Observation Category=CA021; Origin=P4_VALIDATION; Active=Yes; Remarks=P-4 chain-closure observation template.</x:v>
      </x:c>
      <x:c r="E3348" s="33" t="str">
        <x:v>ADD</x:v>
      </x:c>
      <x:c r="F3348" s="33" t="str">
        <x:v>Close every active audit-to-observation link.</x:v>
      </x:c>
      <x:c r="G3348" s="33" t="str">
        <x:v>P-4 execution-chain reconciliation</x:v>
      </x:c>
      <x:c r="H3348" s="33" t="str">
        <x:v>P-4</x:v>
      </x:c>
      <x:c r="I3348" s="33" t="str">
        <x:v>P-4</x:v>
      </x:c>
      <x:c r="J3348" s="33" t="str">
        <x:v>2026-08-20</x:v>
      </x:c>
      <x:c r="K3348" s="33" t="str">
        <x:v>All active audits now have an active observation template.</x:v>
      </x:c>
    </x:row>
    <x:row r="3349">
      <x:c r="A3349" s="33" t="str">
        <x:v>P4OBS118</x:v>
      </x:c>
      <x:c r="B3349" s="33" t="str">
        <x:v>Observation Master</x:v>
      </x:c>
      <x:c r="C3349" s="33" t="str">
        <x:v>Not present</x:v>
      </x:c>
      <x:c r="D3349" s="33" t="str">
        <x:v>Observation ID=P4OBS118; Audit ID=AUD339; Observation Template=Review prescriptions for legality, completeness and clinical appropriateness before dispensing medicines. was not demonstrated or did not operate effectively for the sample tested.; Risk Level=High; Recommendation=Implement the requirement, correct affected records or transactions, and retain evidence of operating effectiveness: Review prescriptions for legality, completeness and clinical appropriateness before dispensing medicines.; Observation Category=CA015; Origin=P4_VALIDATION; Active=Yes; Remarks=P-4 chain-closure observation template.</x:v>
      </x:c>
      <x:c r="E3349" s="33" t="str">
        <x:v>ADD</x:v>
      </x:c>
      <x:c r="F3349" s="33" t="str">
        <x:v>Close every active audit-to-observation link.</x:v>
      </x:c>
      <x:c r="G3349" s="33" t="str">
        <x:v>P-4 execution-chain reconciliation</x:v>
      </x:c>
      <x:c r="H3349" s="33" t="str">
        <x:v>P-4</x:v>
      </x:c>
      <x:c r="I3349" s="33" t="str">
        <x:v>P-4</x:v>
      </x:c>
      <x:c r="J3349" s="33" t="str">
        <x:v>2026-08-20</x:v>
      </x:c>
      <x:c r="K3349" s="33" t="str">
        <x:v>All active audits now have an active observation template.</x:v>
      </x:c>
    </x:row>
    <x:row r="3350">
      <x:c r="A3350" s="33" t="str">
        <x:v>P4OBS119</x:v>
      </x:c>
      <x:c r="B3350" s="33" t="str">
        <x:v>Observation Master</x:v>
      </x:c>
      <x:c r="C3350" s="33" t="str">
        <x:v>Not present</x:v>
      </x:c>
      <x:c r="D3350" s="33" t="str">
        <x:v>Observation ID=P4OBS119; Audit ID=AUD341; Observation Template=Provide appropriate patient counselling regarding dosage, storage, administration and precautions. was not demonstrated or did not operate effectively for the sample tested.; Risk Level=High; Recommendation=Implement the requirement, correct affected records or transactions, and retain evidence of operating effectiveness: Provide appropriate patient counselling regarding dosage, storage, administration and precautions.; Observation Category=CA021; Origin=P4_VALIDATION; Active=Yes; Remarks=P-4 chain-closure observation template.</x:v>
      </x:c>
      <x:c r="E3350" s="33" t="str">
        <x:v>ADD</x:v>
      </x:c>
      <x:c r="F3350" s="33" t="str">
        <x:v>Close every active audit-to-observation link.</x:v>
      </x:c>
      <x:c r="G3350" s="33" t="str">
        <x:v>P-4 execution-chain reconciliation</x:v>
      </x:c>
      <x:c r="H3350" s="33" t="str">
        <x:v>P-4</x:v>
      </x:c>
      <x:c r="I3350" s="33" t="str">
        <x:v>P-4</x:v>
      </x:c>
      <x:c r="J3350" s="33" t="str">
        <x:v>2026-08-20</x:v>
      </x:c>
      <x:c r="K3350" s="33" t="str">
        <x:v>All active audits now have an active observation template.</x:v>
      </x:c>
    </x:row>
    <x:row r="3351">
      <x:c r="A3351" s="33" t="str">
        <x:v>P4OBS120</x:v>
      </x:c>
      <x:c r="B3351" s="33" t="str">
        <x:v>Observation Master</x:v>
      </x:c>
      <x:c r="C3351" s="33" t="str">
        <x:v>Not present</x:v>
      </x:c>
      <x:c r="D3351" s="33" t="str">
        <x:v>Observation ID=P4OBS120; Audit ID=AUD343; Observation Template=Maintain confidentiality of patient records and prescription information. was not demonstrated or did not operate effectively for the sample tested.; Risk Level=High; Recommendation=Implement the requirement, correct affected records or transactions, and retain evidence of operating effectiveness: Maintain confidentiality of patient records and prescription information.; Observation Category=CA071; Origin=P4_VALIDATION; Active=Yes; Remarks=P-4 chain-closure observation template.</x:v>
      </x:c>
      <x:c r="E3351" s="33" t="str">
        <x:v>ADD</x:v>
      </x:c>
      <x:c r="F3351" s="33" t="str">
        <x:v>Close every active audit-to-observation link.</x:v>
      </x:c>
      <x:c r="G3351" s="33" t="str">
        <x:v>P-4 execution-chain reconciliation</x:v>
      </x:c>
      <x:c r="H3351" s="33" t="str">
        <x:v>P-4</x:v>
      </x:c>
      <x:c r="I3351" s="33" t="str">
        <x:v>P-4</x:v>
      </x:c>
      <x:c r="J3351" s="33" t="str">
        <x:v>2026-08-20</x:v>
      </x:c>
      <x:c r="K3351" s="33" t="str">
        <x:v>All active audits now have an active observation template.</x:v>
      </x:c>
    </x:row>
    <x:row r="3352">
      <x:c r="A3352" s="33" t="str">
        <x:v>P4OBS121</x:v>
      </x:c>
      <x:c r="B3352" s="33" t="str">
        <x:v>Observation Master</x:v>
      </x:c>
      <x:c r="C3352" s="33" t="str">
        <x:v>Not present</x:v>
      </x:c>
      <x:c r="D3352" s="33" t="str">
        <x:v>Observation ID=P4OBS121; Audit ID=AUD345; Observation Template=Participate in professional development programmes to maintain competency. was not demonstrated or did not operate effectively for the sample tested.; Risk Level=High; Recommendation=Implement the requirement, correct affected records or transactions, and retain evidence of operating effectiveness: Participate in professional development programmes to maintain competency.; Observation Category=CA049; Origin=P4_VALIDATION; Active=Yes; Remarks=P-4 chain-closure observation template.</x:v>
      </x:c>
      <x:c r="E3352" s="33" t="str">
        <x:v>ADD</x:v>
      </x:c>
      <x:c r="F3352" s="33" t="str">
        <x:v>Close every active audit-to-observation link.</x:v>
      </x:c>
      <x:c r="G3352" s="33" t="str">
        <x:v>P-4 execution-chain reconciliation</x:v>
      </x:c>
      <x:c r="H3352" s="33" t="str">
        <x:v>P-4</x:v>
      </x:c>
      <x:c r="I3352" s="33" t="str">
        <x:v>P-4</x:v>
      </x:c>
      <x:c r="J3352" s="33" t="str">
        <x:v>2026-08-20</x:v>
      </x:c>
      <x:c r="K3352" s="33" t="str">
        <x:v>All active audits now have an active observation template.</x:v>
      </x:c>
    </x:row>
    <x:row r="3353">
      <x:c r="A3353" s="33" t="str">
        <x:v>P4OBS122</x:v>
      </x:c>
      <x:c r="B3353" s="33" t="str">
        <x:v>Observation Master</x:v>
      </x:c>
      <x:c r="C3353" s="33" t="str">
        <x:v>Not present</x:v>
      </x:c>
      <x:c r="D3353" s="33" t="str">
        <x:v>Observation ID=P4OBS122; Audit ID=AUD347; Observation Template=Obtain clinical-establishment registration before operation where the establishment role and jurisdiction trigger apply. was not demonstrated or did not operate effectively for the sample tested.; Risk Level=High; Recommendation=Implement the requirement, correct affected records or transactions, and retain evidence of operating effectiveness: Obtain clinical-establishment registration before operation where the establishment role and jurisdiction trigger apply.; Observation Category=CA056; Origin=P4_VALIDATION; Active=Yes; Remarks=P-4 chain-closure observation template.</x:v>
      </x:c>
      <x:c r="E3353" s="33" t="str">
        <x:v>ADD</x:v>
      </x:c>
      <x:c r="F3353" s="33" t="str">
        <x:v>Close every active audit-to-observation link.</x:v>
      </x:c>
      <x:c r="G3353" s="33" t="str">
        <x:v>P-4 execution-chain reconciliation</x:v>
      </x:c>
      <x:c r="H3353" s="33" t="str">
        <x:v>P-4</x:v>
      </x:c>
      <x:c r="I3353" s="33" t="str">
        <x:v>P-4</x:v>
      </x:c>
      <x:c r="J3353" s="33" t="str">
        <x:v>2026-08-20</x:v>
      </x:c>
      <x:c r="K3353" s="33" t="str">
        <x:v>All active audits now have an active observation template.</x:v>
      </x:c>
    </x:row>
    <x:row r="3354">
      <x:c r="A3354" s="33" t="str">
        <x:v>P4OBS123</x:v>
      </x:c>
      <x:c r="B3354" s="33" t="str">
        <x:v>Observation Master</x:v>
      </x:c>
      <x:c r="C3354" s="33" t="str">
        <x:v>Not present</x:v>
      </x:c>
      <x:c r="D3354" s="33" t="str">
        <x:v>Observation ID=P4OBS123; Audit ID=AUD349; Observation Template=Where the clinical-establishment overlay applies, maintain prescribed minimum standards, personnel, records/reporting and emergency-stabilization arrangements. was not demonstrated or did not operate effectively for the sample tested.; Risk Level=High; Recommendation=Implement the requirement, correct affected records or transactions, and retain evidence of operating effectiveness: Where the clinical-establishment overlay applies, maintain prescribed minimum standards, personnel, records/reporting and emergency-stabilization arrangements.; Observation Category=CA056; Origin=P4_VALIDATION; Active=Yes; Remarks=P-4 chain-closure observation template.</x:v>
      </x:c>
      <x:c r="E3354" s="33" t="str">
        <x:v>ADD</x:v>
      </x:c>
      <x:c r="F3354" s="33" t="str">
        <x:v>Close every active audit-to-observation link.</x:v>
      </x:c>
      <x:c r="G3354" s="33" t="str">
        <x:v>P-4 execution-chain reconciliation</x:v>
      </x:c>
      <x:c r="H3354" s="33" t="str">
        <x:v>P-4</x:v>
      </x:c>
      <x:c r="I3354" s="33" t="str">
        <x:v>P-4</x:v>
      </x:c>
      <x:c r="J3354" s="33" t="str">
        <x:v>2026-08-20</x:v>
      </x:c>
      <x:c r="K3354" s="33" t="str">
        <x:v>All active audits now have an active observation template.</x:v>
      </x:c>
    </x:row>
    <x:row r="3355">
      <x:c r="A3355" s="33" t="str">
        <x:v>P4OBS124</x:v>
      </x:c>
      <x:c r="B3355" s="33" t="str">
        <x:v>Observation Master</x:v>
      </x:c>
      <x:c r="C3355" s="33" t="str">
        <x:v>Not present</x:v>
      </x:c>
      <x:c r="D3355" s="33" t="str">
        <x:v>Observation ID=P4OBS124; Audit ID=AUD351; Observation Template=Display the registration certificate and complete applicable renewal/continuation requirements for the clinical establishment. was not demonstrated or did not operate effectively for the sample tested.; Risk Level=High; Recommendation=Implement the requirement, correct affected records or transactions, and retain evidence of operating effectiveness: Display the registration certificate and complete applicable renewal/continuation requirements for the clinical establishment.; Observation Category=CA020; Origin=P4_VALIDATION; Active=Yes; Remarks=P-4 chain-closure observation template.</x:v>
      </x:c>
      <x:c r="E3355" s="33" t="str">
        <x:v>ADD</x:v>
      </x:c>
      <x:c r="F3355" s="33" t="str">
        <x:v>Close every active audit-to-observation link.</x:v>
      </x:c>
      <x:c r="G3355" s="33" t="str">
        <x:v>P-4 execution-chain reconciliation</x:v>
      </x:c>
      <x:c r="H3355" s="33" t="str">
        <x:v>P-4</x:v>
      </x:c>
      <x:c r="I3355" s="33" t="str">
        <x:v>P-4</x:v>
      </x:c>
      <x:c r="J3355" s="33" t="str">
        <x:v>2026-08-20</x:v>
      </x:c>
      <x:c r="K3355" s="33" t="str">
        <x:v>All active audits now have an active observation template.</x:v>
      </x:c>
    </x:row>
    <x:row r="3356">
      <x:c r="A3356" s="33" t="str">
        <x:v>P4OBS125</x:v>
      </x:c>
      <x:c r="B3356" s="33" t="str">
        <x:v>Observation Master</x:v>
      </x:c>
      <x:c r="C3356" s="33" t="str">
        <x:v>Not present</x:v>
      </x:c>
      <x:c r="D3356" s="33" t="str">
        <x:v>Observation ID=P4OBS125; Audit ID=AUD399; Observation Template=Before release, substantiate all objective claims and ensure the advertisement is truthful and not misleading by implication, omission, exaggeration or ambiguity. was not demonstrated or did not operate effectively for the sample tested.; Risk Level=High; Recommendation=Implement the requirement, correct affected records or transactions, and retain evidence of operating effectiveness: Before release, substantiate all objective claims and ensure the advertisement is truthful and not misleading by implication, omission, exaggeration or ambiguity.; Observation Category=CA064; Origin=P4_VALIDATION; Active=Yes; Remarks=P-4 chain-closure observation template.</x:v>
      </x:c>
      <x:c r="E3356" s="33" t="str">
        <x:v>ADD</x:v>
      </x:c>
      <x:c r="F3356" s="33" t="str">
        <x:v>Close every active audit-to-observation link.</x:v>
      </x:c>
      <x:c r="G3356" s="33" t="str">
        <x:v>P-4 execution-chain reconciliation</x:v>
      </x:c>
      <x:c r="H3356" s="33" t="str">
        <x:v>P-4</x:v>
      </x:c>
      <x:c r="I3356" s="33" t="str">
        <x:v>P-4</x:v>
      </x:c>
      <x:c r="J3356" s="33" t="str">
        <x:v>2026-08-20</x:v>
      </x:c>
      <x:c r="K3356" s="33" t="str">
        <x:v>All active audits now have an active observation template.</x:v>
      </x:c>
    </x:row>
    <x:row r="3357">
      <x:c r="A3357" s="33" t="str">
        <x:v>P4OBS126</x:v>
      </x:c>
      <x:c r="B3357" s="33" t="str">
        <x:v>Observation Master</x:v>
      </x:c>
      <x:c r="C3357" s="33" t="str">
        <x:v>Not present</x:v>
      </x:c>
      <x:c r="D3357" s="33" t="str">
        <x:v>Observation ID=P4OBS126; Audit ID=AUD401; Observation Template=Use only clear, prominent disclaimers that do not conceal material information or contradict the main claim. was not demonstrated or did not operate effectively for the sample tested.; Risk Level=High; Recommendation=Implement the requirement, correct affected records or transactions, and retain evidence of operating effectiveness: Use only clear, prominent disclaimers that do not conceal material information or contradict the main claim.; Observation Category=CA064; Origin=P4_VALIDATION; Active=Yes; Remarks=P-4 chain-closure observation template.</x:v>
      </x:c>
      <x:c r="E3357" s="33" t="str">
        <x:v>ADD</x:v>
      </x:c>
      <x:c r="F3357" s="33" t="str">
        <x:v>Close every active audit-to-observation link.</x:v>
      </x:c>
      <x:c r="G3357" s="33" t="str">
        <x:v>P-4 execution-chain reconciliation</x:v>
      </x:c>
      <x:c r="H3357" s="33" t="str">
        <x:v>P-4</x:v>
      </x:c>
      <x:c r="I3357" s="33" t="str">
        <x:v>P-4</x:v>
      </x:c>
      <x:c r="J3357" s="33" t="str">
        <x:v>2026-08-20</x:v>
      </x:c>
      <x:c r="K3357" s="33" t="str">
        <x:v>All active audits now have an active observation template.</x:v>
      </x:c>
    </x:row>
    <x:row r="3358">
      <x:c r="A3358" s="33" t="str">
        <x:v>P4OBS127</x:v>
      </x:c>
      <x:c r="B3358" s="33" t="str">
        <x:v>Observation Master</x:v>
      </x:c>
      <x:c r="C3358" s="33" t="str">
        <x:v>Not present</x:v>
      </x:c>
      <x:c r="D3358" s="33" t="str">
        <x:v>Observation ID=P4OBS127; Audit ID=AUD403; Observation Template=Do not advertise a product/service prohibited by law and document endorsement due diligence where an endorsement is used. was not demonstrated or did not operate effectively for the sample tested.; Risk Level=High; Recommendation=Implement the requirement, correct affected records or transactions, and retain evidence of operating effectiveness: Do not advertise a product/service prohibited by law and document endorsement due diligence where an endorsement is used.; Observation Category=CA064; Origin=P4_VALIDATION; Active=Yes; Remarks=P-4 chain-closure observation template.</x:v>
      </x:c>
      <x:c r="E3358" s="33" t="str">
        <x:v>ADD</x:v>
      </x:c>
      <x:c r="F3358" s="33" t="str">
        <x:v>Close every active audit-to-observation link.</x:v>
      </x:c>
      <x:c r="G3358" s="33" t="str">
        <x:v>P-4 execution-chain reconciliation</x:v>
      </x:c>
      <x:c r="H3358" s="33" t="str">
        <x:v>P-4</x:v>
      </x:c>
      <x:c r="I3358" s="33" t="str">
        <x:v>P-4</x:v>
      </x:c>
      <x:c r="J3358" s="33" t="str">
        <x:v>2026-08-20</x:v>
      </x:c>
      <x:c r="K3358" s="33" t="str">
        <x:v>All active audits now have an active observation template.</x:v>
      </x:c>
    </x:row>
    <x:row r="3359">
      <x:c r="A3359" s="33" t="str">
        <x:v>P4OBS128</x:v>
      </x:c>
      <x:c r="B3359" s="33" t="str">
        <x:v>Observation Master</x:v>
      </x:c>
      <x:c r="C3359" s="33" t="str">
        <x:v>Not present</x:v>
      </x:c>
      <x:c r="D3359" s="33" t="str">
        <x:v>Observation ID=P4OBS128; Audit ID=AUD405; Observation Template=Do not advertise a drug for the section 3/Schedule prohibited purposes, diseases or conditions. was not demonstrated or did not operate effectively for the sample tested.; Risk Level=High; Recommendation=Implement the requirement, correct affected records or transactions, and retain evidence of operating effectiveness: Do not advertise a drug for the section 3/Schedule prohibited purposes, diseases or conditions.; Observation Category=CA064; Origin=P4_VALIDATION; Active=Yes; Remarks=P-4 chain-closure observation template.</x:v>
      </x:c>
      <x:c r="E3359" s="33" t="str">
        <x:v>ADD</x:v>
      </x:c>
      <x:c r="F3359" s="33" t="str">
        <x:v>Close every active audit-to-observation link.</x:v>
      </x:c>
      <x:c r="G3359" s="33" t="str">
        <x:v>P-4 execution-chain reconciliation</x:v>
      </x:c>
      <x:c r="H3359" s="33" t="str">
        <x:v>P-4</x:v>
      </x:c>
      <x:c r="I3359" s="33" t="str">
        <x:v>P-4</x:v>
      </x:c>
      <x:c r="J3359" s="33" t="str">
        <x:v>2026-08-20</x:v>
      </x:c>
      <x:c r="K3359" s="33" t="str">
        <x:v>All active audits now have an active observation template.</x:v>
      </x:c>
    </x:row>
    <x:row r="3360">
      <x:c r="A3360" s="33" t="str">
        <x:v>P4OBS129</x:v>
      </x:c>
      <x:c r="B3360" s="33" t="str">
        <x:v>Observation Master</x:v>
      </x:c>
      <x:c r="C3360" s="33" t="str">
        <x:v>Not present</x:v>
      </x:c>
      <x:c r="D3360" s="33" t="str">
        <x:v>Observation ID=P4OBS129; Audit ID=AUD407; Observation Template=Do not issue a drug advertisement that gives a false impression, makes a false claim or is otherwise materially false/misleading. was not demonstrated or did not operate effectively for the sample tested.; Risk Level=High; Recommendation=Implement the requirement, correct affected records or transactions, and retain evidence of operating effectiveness: Do not issue a drug advertisement that gives a false impression, makes a false claim or is otherwise materially false/misleading.; Observation Category=CA064; Origin=P4_VALIDATION; Active=Yes; Remarks=P-4 chain-closure observation template.</x:v>
      </x:c>
      <x:c r="E3360" s="33" t="str">
        <x:v>ADD</x:v>
      </x:c>
      <x:c r="F3360" s="33" t="str">
        <x:v>Close every active audit-to-observation link.</x:v>
      </x:c>
      <x:c r="G3360" s="33" t="str">
        <x:v>P-4 execution-chain reconciliation</x:v>
      </x:c>
      <x:c r="H3360" s="33" t="str">
        <x:v>P-4</x:v>
      </x:c>
      <x:c r="I3360" s="33" t="str">
        <x:v>P-4</x:v>
      </x:c>
      <x:c r="J3360" s="33" t="str">
        <x:v>2026-08-20</x:v>
      </x:c>
      <x:c r="K3360" s="33" t="str">
        <x:v>All active audits now have an active observation template.</x:v>
      </x:c>
    </x:row>
    <x:row r="3361">
      <x:c r="A3361" s="33" t="str">
        <x:v>P4OBS130</x:v>
      </x:c>
      <x:c r="B3361" s="33" t="str">
        <x:v>Observation Master</x:v>
      </x:c>
      <x:c r="C3361" s="33" t="str">
        <x:v>Not present</x:v>
      </x:c>
      <x:c r="D3361" s="33" t="str">
        <x:v>Observation ID=P4OBS130; Audit ID=AUD441; Observation Template=If the OSHWC Code applies, maintain the covered workplace-safety/health controls, provide required information/instruction and meet notified standards. was not demonstrated or did not operate effectively for the sample tested.; Risk Level=High; Recommendation=Implement the requirement, correct affected records or transactions, and retain evidence of operating effectiveness: If the OSHWC Code applies, maintain the covered workplace-safety/health controls, provide required information/instruction and meet notified standards.; Observation Category=CA044; Origin=P4_VALIDATION; Active=Yes; Remarks=P-4 chain-closure observation template.</x:v>
      </x:c>
      <x:c r="E3361" s="33" t="str">
        <x:v>ADD</x:v>
      </x:c>
      <x:c r="F3361" s="33" t="str">
        <x:v>Close every active audit-to-observation link.</x:v>
      </x:c>
      <x:c r="G3361" s="33" t="str">
        <x:v>P-4 execution-chain reconciliation</x:v>
      </x:c>
      <x:c r="H3361" s="33" t="str">
        <x:v>P-4</x:v>
      </x:c>
      <x:c r="I3361" s="33" t="str">
        <x:v>P-4</x:v>
      </x:c>
      <x:c r="J3361" s="33" t="str">
        <x:v>2026-08-20</x:v>
      </x:c>
      <x:c r="K3361" s="33" t="str">
        <x:v>All active audits now have an active observation template.</x:v>
      </x:c>
    </x:row>
    <x:row r="3362">
      <x:c r="A3362" s="33" t="str">
        <x:v>P4OBS131</x:v>
      </x:c>
      <x:c r="B3362" s="33" t="str">
        <x:v>Observation Master</x:v>
      </x:c>
      <x:c r="C3362" s="33" t="str">
        <x:v>Not present</x:v>
      </x:c>
      <x:c r="D3362" s="33" t="str">
        <x:v>Observation ID=P4OBS131; Audit ID=AUD443; Observation Template=If covered, implement the applicable welfare, working-time and employee information/appointment-letter controls under the Code and 2026 Rules. was not demonstrated or did not operate effectively for the sample tested.; Risk Level=High; Recommendation=Implement the requirement, correct affected records or transactions, and retain evidence of operating effectiveness: If covered, implement the applicable welfare, working-time and employee information/appointment-letter controls under the Code and 2026 Rules.; Observation Category=CA044; Origin=P4_VALIDATION; Active=Yes; Remarks=P-4 chain-closure observation template.</x:v>
      </x:c>
      <x:c r="E3362" s="33" t="str">
        <x:v>ADD</x:v>
      </x:c>
      <x:c r="F3362" s="33" t="str">
        <x:v>Close every active audit-to-observation link.</x:v>
      </x:c>
      <x:c r="G3362" s="33" t="str">
        <x:v>P-4 execution-chain reconciliation</x:v>
      </x:c>
      <x:c r="H3362" s="33" t="str">
        <x:v>P-4</x:v>
      </x:c>
      <x:c r="I3362" s="33" t="str">
        <x:v>P-4</x:v>
      </x:c>
      <x:c r="J3362" s="33" t="str">
        <x:v>2026-08-20</x:v>
      </x:c>
      <x:c r="K3362" s="33" t="str">
        <x:v>All active audits now have an active observation template.</x:v>
      </x:c>
    </x:row>
    <x:row r="3363">
      <x:c r="A3363" s="33" t="str">
        <x:v>P4OBS132</x:v>
      </x:c>
      <x:c r="B3363" s="33" t="str">
        <x:v>Observation Master</x:v>
      </x:c>
      <x:c r="C3363" s="33" t="str">
        <x:v>Not present</x:v>
      </x:c>
      <x:c r="D3363" s="33" t="str">
        <x:v>Observation ID=P4OBS132; Audit ID=AUD445; Observation Template=Report and record only the occupational accidents/dangerous occurrences prescribed for the covered establishment within the statutory timeline. was not demonstrated or did not operate effectively for the sample tested.; Risk Level=High; Recommendation=Implement the requirement, correct affected records or transactions, and retain evidence of operating effectiveness: Report and record only the occupational accidents/dangerous occurrences prescribed for the covered establishment within the statutory timeline.; Observation Category=CA044; Origin=P4_VALIDATION; Active=Yes; Remarks=P-4 chain-closure observation template.</x:v>
      </x:c>
      <x:c r="E3363" s="33" t="str">
        <x:v>ADD</x:v>
      </x:c>
      <x:c r="F3363" s="33" t="str">
        <x:v>Close every active audit-to-observation link.</x:v>
      </x:c>
      <x:c r="G3363" s="33" t="str">
        <x:v>P-4 execution-chain reconciliation</x:v>
      </x:c>
      <x:c r="H3363" s="33" t="str">
        <x:v>P-4</x:v>
      </x:c>
      <x:c r="I3363" s="33" t="str">
        <x:v>P-4</x:v>
      </x:c>
      <x:c r="J3363" s="33" t="str">
        <x:v>2026-08-20</x:v>
      </x:c>
      <x:c r="K3363" s="33" t="str">
        <x:v>All active audits now have an active observation template.</x:v>
      </x:c>
    </x:row>
    <x:row r="3364">
      <x:c r="A3364" s="33" t="str">
        <x:v>P4OBS133</x:v>
      </x:c>
      <x:c r="B3364" s="33" t="str">
        <x:v>Observation Master</x:v>
      </x:c>
      <x:c r="C3364" s="33" t="str">
        <x:v>Not present</x:v>
      </x:c>
      <x:c r="D3364" s="33" t="str">
        <x:v>Observation ID=P4OBS133; Audit ID=AUD447; Observation Template=Perform temperature mapping of storage areas before commissioning and after major modifications. was not demonstrated or did not operate effectively for the sample tested.; Risk Level=High; Recommendation=Implement the requirement, correct affected records or transactions, and retain evidence of operating effectiveness: Perform temperature mapping of storage areas before commissioning and after major modifications.; Observation Category=CA008; Origin=P4_VALIDATION; Active=Yes; Remarks=P-4 chain-closure observation template.</x:v>
      </x:c>
      <x:c r="E3364" s="33" t="str">
        <x:v>ADD</x:v>
      </x:c>
      <x:c r="F3364" s="33" t="str">
        <x:v>Close every active audit-to-observation link.</x:v>
      </x:c>
      <x:c r="G3364" s="33" t="str">
        <x:v>P-4 execution-chain reconciliation</x:v>
      </x:c>
      <x:c r="H3364" s="33" t="str">
        <x:v>P-4</x:v>
      </x:c>
      <x:c r="I3364" s="33" t="str">
        <x:v>P-4</x:v>
      </x:c>
      <x:c r="J3364" s="33" t="str">
        <x:v>2026-08-20</x:v>
      </x:c>
      <x:c r="K3364" s="33" t="str">
        <x:v>All active audits now have an active observation template.</x:v>
      </x:c>
    </x:row>
    <x:row r="3365">
      <x:c r="A3365" s="33" t="str">
        <x:v>P4OBS134</x:v>
      </x:c>
      <x:c r="B3365" s="33" t="str">
        <x:v>Observation Master</x:v>
      </x:c>
      <x:c r="C3365" s="33" t="str">
        <x:v>Not present</x:v>
      </x:c>
      <x:c r="D3365" s="33" t="str">
        <x:v>Observation ID=P4OBS134; Audit ID=AUD449; Observation Template=Revalidate temperature mapping periodically and after significant changes to storage conditions. was not demonstrated or did not operate effectively for the sample tested.; Risk Level=High; Recommendation=Implement the requirement, correct affected records or transactions, and retain evidence of operating effectiveness: Revalidate temperature mapping periodically and after significant changes to storage conditions.; Observation Category=CA008; Origin=P4_VALIDATION; Active=Yes; Remarks=P-4 chain-closure observation template.</x:v>
      </x:c>
      <x:c r="E3365" s="33" t="str">
        <x:v>ADD</x:v>
      </x:c>
      <x:c r="F3365" s="33" t="str">
        <x:v>Close every active audit-to-observation link.</x:v>
      </x:c>
      <x:c r="G3365" s="33" t="str">
        <x:v>P-4 execution-chain reconciliation</x:v>
      </x:c>
      <x:c r="H3365" s="33" t="str">
        <x:v>P-4</x:v>
      </x:c>
      <x:c r="I3365" s="33" t="str">
        <x:v>P-4</x:v>
      </x:c>
      <x:c r="J3365" s="33" t="str">
        <x:v>2026-08-20</x:v>
      </x:c>
      <x:c r="K3365" s="33" t="str">
        <x:v>All active audits now have an active observation template.</x:v>
      </x:c>
    </x:row>
    <x:row r="3366">
      <x:c r="A3366" s="33" t="str">
        <x:v>P4OBS135</x:v>
      </x:c>
      <x:c r="B3366" s="33" t="str">
        <x:v>Observation Master</x:v>
      </x:c>
      <x:c r="C3366" s="33" t="str">
        <x:v>Not present</x:v>
      </x:c>
      <x:c r="D3366" s="33" t="str">
        <x:v>Observation ID=P4OBS135; Audit ID=AUD451; Observation Template=Maintain temperature mapping reports, protocols and validation records. was not demonstrated or did not operate effectively for the sample tested.; Risk Level=High; Recommendation=Implement the requirement, correct affected records or transactions, and retain evidence of operating effectiveness: Maintain temperature mapping reports, protocols and validation records.; Observation Category=CA020; Origin=P4_VALIDATION; Active=Yes; Remarks=P-4 chain-closure observation template.</x:v>
      </x:c>
      <x:c r="E3366" s="33" t="str">
        <x:v>ADD</x:v>
      </x:c>
      <x:c r="F3366" s="33" t="str">
        <x:v>Close every active audit-to-observation link.</x:v>
      </x:c>
      <x:c r="G3366" s="33" t="str">
        <x:v>P-4 execution-chain reconciliation</x:v>
      </x:c>
      <x:c r="H3366" s="33" t="str">
        <x:v>P-4</x:v>
      </x:c>
      <x:c r="I3366" s="33" t="str">
        <x:v>P-4</x:v>
      </x:c>
      <x:c r="J3366" s="33" t="str">
        <x:v>2026-08-20</x:v>
      </x:c>
      <x:c r="K3366" s="33" t="str">
        <x:v>All active audits now have an active observation template.</x:v>
      </x:c>
    </x:row>
    <x:row r="3367">
      <x:c r="A3367" s="33" t="str">
        <x:v>P4OBS136</x:v>
      </x:c>
      <x:c r="B3367" s="33" t="str">
        <x:v>Observation Master</x:v>
      </x:c>
      <x:c r="C3367" s="33" t="str">
        <x:v>Not present</x:v>
      </x:c>
      <x:c r="D3367" s="33" t="str">
        <x:v>Observation ID=P4OBS136; Audit ID=AUD453; Observation Template=Calibrate all critical measuring instruments at approved intervals. was not demonstrated or did not operate effectively for the sample tested.; Risk Level=High; Recommendation=Implement the requirement, correct affected records or transactions, and retain evidence of operating effectiveness: Calibrate all critical measuring instruments at approved intervals.; Observation Category=CA009; Origin=P4_VALIDATION; Active=Yes; Remarks=P-4 chain-closure observation template.</x:v>
      </x:c>
      <x:c r="E3367" s="33" t="str">
        <x:v>ADD</x:v>
      </x:c>
      <x:c r="F3367" s="33" t="str">
        <x:v>Close every active audit-to-observation link.</x:v>
      </x:c>
      <x:c r="G3367" s="33" t="str">
        <x:v>P-4 execution-chain reconciliation</x:v>
      </x:c>
      <x:c r="H3367" s="33" t="str">
        <x:v>P-4</x:v>
      </x:c>
      <x:c r="I3367" s="33" t="str">
        <x:v>P-4</x:v>
      </x:c>
      <x:c r="J3367" s="33" t="str">
        <x:v>2026-08-20</x:v>
      </x:c>
      <x:c r="K3367" s="33" t="str">
        <x:v>All active audits now have an active observation template.</x:v>
      </x:c>
    </x:row>
    <x:row r="3368">
      <x:c r="A3368" s="33" t="str">
        <x:v>P4OBS137</x:v>
      </x:c>
      <x:c r="B3368" s="33" t="str">
        <x:v>Observation Master</x:v>
      </x:c>
      <x:c r="C3368" s="33" t="str">
        <x:v>Not present</x:v>
      </x:c>
      <x:c r="D3368" s="33" t="str">
        <x:v>Observation ID=P4OBS137; Audit ID=AUD455; Observation Template=Qualify equipment before operational use and after major repairs where required. was not demonstrated or did not operate effectively for the sample tested.; Risk Level=High; Recommendation=Implement the requirement, correct affected records or transactions, and retain evidence of operating effectiveness: Qualify equipment before operational use and after major repairs where required.; Observation Category=CA009; Origin=P4_VALIDATION; Active=Yes; Remarks=P-4 chain-closure observation template.</x:v>
      </x:c>
      <x:c r="E3368" s="33" t="str">
        <x:v>ADD</x:v>
      </x:c>
      <x:c r="F3368" s="33" t="str">
        <x:v>Close every active audit-to-observation link.</x:v>
      </x:c>
      <x:c r="G3368" s="33" t="str">
        <x:v>P-4 execution-chain reconciliation</x:v>
      </x:c>
      <x:c r="H3368" s="33" t="str">
        <x:v>P-4</x:v>
      </x:c>
      <x:c r="I3368" s="33" t="str">
        <x:v>P-4</x:v>
      </x:c>
      <x:c r="J3368" s="33" t="str">
        <x:v>2026-08-20</x:v>
      </x:c>
      <x:c r="K3368" s="33" t="str">
        <x:v>All active audits now have an active observation template.</x:v>
      </x:c>
    </x:row>
    <x:row r="3369">
      <x:c r="A3369" s="33" t="str">
        <x:v>P4OBS138</x:v>
      </x:c>
      <x:c r="B3369" s="33" t="str">
        <x:v>Observation Master</x:v>
      </x:c>
      <x:c r="C3369" s="33" t="str">
        <x:v>Not present</x:v>
      </x:c>
      <x:c r="D3369" s="33" t="str">
        <x:v>Observation ID=P4OBS138; Audit ID=AUD457; Observation Template=Implement a documented preventive maintenance programme for critical equipment. was not demonstrated or did not operate effectively for the sample tested.; Risk Level=High; Recommendation=Implement the requirement, correct affected records or transactions, and retain evidence of operating effectiveness: Implement a documented preventive maintenance programme for critical equipment.; Observation Category=CA009; Origin=P4_VALIDATION; Active=Yes; Remarks=P-4 chain-closure observation template.</x:v>
      </x:c>
      <x:c r="E3369" s="33" t="str">
        <x:v>ADD</x:v>
      </x:c>
      <x:c r="F3369" s="33" t="str">
        <x:v>Close every active audit-to-observation link.</x:v>
      </x:c>
      <x:c r="G3369" s="33" t="str">
        <x:v>P-4 execution-chain reconciliation</x:v>
      </x:c>
      <x:c r="H3369" s="33" t="str">
        <x:v>P-4</x:v>
      </x:c>
      <x:c r="I3369" s="33" t="str">
        <x:v>P-4</x:v>
      </x:c>
      <x:c r="J3369" s="33" t="str">
        <x:v>2026-08-20</x:v>
      </x:c>
      <x:c r="K3369" s="33" t="str">
        <x:v>All active audits now have an active observation template.</x:v>
      </x:c>
    </x:row>
    <x:row r="3370">
      <x:c r="A3370" s="33" t="str">
        <x:v>P4OBS139</x:v>
      </x:c>
      <x:c r="B3370" s="33" t="str">
        <x:v>Observation Master</x:v>
      </x:c>
      <x:c r="C3370" s="33" t="str">
        <x:v>Not present</x:v>
      </x:c>
      <x:c r="D3370" s="33" t="str">
        <x:v>Observation ID=P4OBS139; Audit ID=AUD459; Observation Template=Maintain calibration certificates and calibration history for all critical instruments. was not demonstrated or did not operate effectively for the sample tested.; Risk Level=High; Recommendation=Implement the requirement, correct affected records or transactions, and retain evidence of operating effectiveness: Maintain calibration certificates and calibration history for all critical instruments.; Observation Category=CA020; Origin=P4_VALIDATION; Active=Yes; Remarks=P-4 chain-closure observation template.</x:v>
      </x:c>
      <x:c r="E3370" s="33" t="str">
        <x:v>ADD</x:v>
      </x:c>
      <x:c r="F3370" s="33" t="str">
        <x:v>Close every active audit-to-observation link.</x:v>
      </x:c>
      <x:c r="G3370" s="33" t="str">
        <x:v>P-4 execution-chain reconciliation</x:v>
      </x:c>
      <x:c r="H3370" s="33" t="str">
        <x:v>P-4</x:v>
      </x:c>
      <x:c r="I3370" s="33" t="str">
        <x:v>P-4</x:v>
      </x:c>
      <x:c r="J3370" s="33" t="str">
        <x:v>2026-08-20</x:v>
      </x:c>
      <x:c r="K3370" s="33" t="str">
        <x:v>All active audits now have an active observation template.</x:v>
      </x:c>
    </x:row>
    <x:row r="3371">
      <x:c r="A3371" s="33" t="str">
        <x:v>P4OBS140</x:v>
      </x:c>
      <x:c r="B3371" s="33" t="str">
        <x:v>Observation Master</x:v>
      </x:c>
      <x:c r="C3371" s="33" t="str">
        <x:v>Not present</x:v>
      </x:c>
      <x:c r="D3371" s="33" t="str">
        <x:v>Observation ID=P4OBS140; Audit ID=AUD461; Observation Template=Verify equipment performance following maintenance or calibration activities. was not demonstrated or did not operate effectively for the sample tested.; Risk Level=High; Recommendation=Implement the requirement, correct affected records or transactions, and retain evidence of operating effectiveness: Verify equipment performance following maintenance or calibration activities.; Observation Category=CA009; Origin=P4_VALIDATION; Active=Yes; Remarks=P-4 chain-closure observation template.</x:v>
      </x:c>
      <x:c r="E3371" s="33" t="str">
        <x:v>ADD</x:v>
      </x:c>
      <x:c r="F3371" s="33" t="str">
        <x:v>Close every active audit-to-observation link.</x:v>
      </x:c>
      <x:c r="G3371" s="33" t="str">
        <x:v>P-4 execution-chain reconciliation</x:v>
      </x:c>
      <x:c r="H3371" s="33" t="str">
        <x:v>P-4</x:v>
      </x:c>
      <x:c r="I3371" s="33" t="str">
        <x:v>P-4</x:v>
      </x:c>
      <x:c r="J3371" s="33" t="str">
        <x:v>2026-08-20</x:v>
      </x:c>
      <x:c r="K3371" s="33" t="str">
        <x:v>All active audits now have an active observation template.</x:v>
      </x:c>
    </x:row>
    <x:row r="3372">
      <x:c r="A3372" s="33" t="str">
        <x:v>P4OBS141</x:v>
      </x:c>
      <x:c r="B3372" s="33" t="str">
        <x:v>Observation Master</x:v>
      </x:c>
      <x:c r="C3372" s="33" t="str">
        <x:v>Not present</x:v>
      </x:c>
      <x:c r="D3372" s="33" t="str">
        <x:v>Observation ID=P4OBS141; Audit ID=AUD463; Observation Template=Clearly identify and segregate equipment that is overdue for calibration or found to be defective. was not demonstrated or did not operate effectively for the sample tested.; Risk Level=High; Recommendation=Implement the requirement, correct affected records or transactions, and retain evidence of operating effectiveness: Clearly identify and segregate equipment that is overdue for calibration or found to be defective.; Observation Category=CA009; Origin=P4_VALIDATION; Active=Yes; Remarks=P-4 chain-closure observation template.</x:v>
      </x:c>
      <x:c r="E3372" s="33" t="str">
        <x:v>ADD</x:v>
      </x:c>
      <x:c r="F3372" s="33" t="str">
        <x:v>Close every active audit-to-observation link.</x:v>
      </x:c>
      <x:c r="G3372" s="33" t="str">
        <x:v>P-4 execution-chain reconciliation</x:v>
      </x:c>
      <x:c r="H3372" s="33" t="str">
        <x:v>P-4</x:v>
      </x:c>
      <x:c r="I3372" s="33" t="str">
        <x:v>P-4</x:v>
      </x:c>
      <x:c r="J3372" s="33" t="str">
        <x:v>2026-08-20</x:v>
      </x:c>
      <x:c r="K3372" s="33" t="str">
        <x:v>All active audits now have an active observation template.</x:v>
      </x:c>
    </x:row>
    <x:row r="3373">
      <x:c r="A3373" s="33" t="str">
        <x:v>P4OBS142</x:v>
      </x:c>
      <x:c r="B3373" s="33" t="str">
        <x:v>Observation Master</x:v>
      </x:c>
      <x:c r="C3373" s="33" t="str">
        <x:v>Not present</x:v>
      </x:c>
      <x:c r="D3373" s="33" t="str">
        <x:v>Observation ID=P4OBS142; Audit ID=AUD465; Observation Template=Ensure calibration is traceable to nationally or internationally recognized standards. was not demonstrated or did not operate effectively for the sample tested.; Risk Level=High; Recommendation=Implement the requirement, correct affected records or transactions, and retain evidence of operating effectiveness: Ensure calibration is traceable to nationally or internationally recognized standards.; Observation Category=CA009; Origin=P4_VALIDATION; Active=Yes; Remarks=P-4 chain-closure observation template.</x:v>
      </x:c>
      <x:c r="E3373" s="33" t="str">
        <x:v>ADD</x:v>
      </x:c>
      <x:c r="F3373" s="33" t="str">
        <x:v>Close every active audit-to-observation link.</x:v>
      </x:c>
      <x:c r="G3373" s="33" t="str">
        <x:v>P-4 execution-chain reconciliation</x:v>
      </x:c>
      <x:c r="H3373" s="33" t="str">
        <x:v>P-4</x:v>
      </x:c>
      <x:c r="I3373" s="33" t="str">
        <x:v>P-4</x:v>
      </x:c>
      <x:c r="J3373" s="33" t="str">
        <x:v>2026-08-20</x:v>
      </x:c>
      <x:c r="K3373" s="33" t="str">
        <x:v>All active audits now have an active observation template.</x:v>
      </x:c>
    </x:row>
    <x:row r="3374">
      <x:c r="A3374" s="33" t="str">
        <x:v>P4OBS143</x:v>
      </x:c>
      <x:c r="B3374" s="33" t="str">
        <x:v>Observation Master</x:v>
      </x:c>
      <x:c r="C3374" s="33" t="str">
        <x:v>Not present</x:v>
      </x:c>
      <x:c r="D3374" s="33" t="str">
        <x:v>Observation ID=P4OBS143; Audit ID=AUD466; Observation Template=Ensure calibration is traceable to nationally or internationally recognized standards. was not demonstrated or did not operate effectively for the sample tested.; Risk Level=High; Recommendation=Implement the requirement, correct affected records or transactions, and retain evidence of operating effectiveness: Ensure calibration is traceable to nationally or internationally recognized standards.; Observation Category=CA009; Origin=P4_VALIDATION; Active=Yes; Remarks=P-4 chain-closure observation template.</x:v>
      </x:c>
      <x:c r="E3374" s="33" t="str">
        <x:v>ADD</x:v>
      </x:c>
      <x:c r="F3374" s="33" t="str">
        <x:v>Close every active audit-to-observation link.</x:v>
      </x:c>
      <x:c r="G3374" s="33" t="str">
        <x:v>P-4 execution-chain reconciliation</x:v>
      </x:c>
      <x:c r="H3374" s="33" t="str">
        <x:v>P-4</x:v>
      </x:c>
      <x:c r="I3374" s="33" t="str">
        <x:v>P-4</x:v>
      </x:c>
      <x:c r="J3374" s="33" t="str">
        <x:v>2026-08-20</x:v>
      </x:c>
      <x:c r="K3374" s="33" t="str">
        <x:v>All active audits now have an active observation template.</x:v>
      </x:c>
    </x:row>
    <x:row r="3375">
      <x:c r="A3375" s="33" t="str">
        <x:v>P4OBS144</x:v>
      </x:c>
      <x:c r="B3375" s="33" t="str">
        <x:v>Observation Master</x:v>
      </x:c>
      <x:c r="C3375" s="33" t="str">
        <x:v>Not present</x:v>
      </x:c>
      <x:c r="D3375" s="33" t="str">
        <x:v>Observation ID=P4OBS144; Audit ID=AUD468; Observation Template=Periodically review the effectiveness of the calibration and maintenance programme. was not demonstrated or did not operate effectively for the sample tested.; Risk Level=High; Recommendation=Implement the requirement, correct affected records or transactions, and retain evidence of operating effectiveness: Periodically review the effectiveness of the calibration and maintenance programme.; Observation Category=CA083; Origin=P4_VALIDATION; Active=Yes; Remarks=P-4 chain-closure observation template.</x:v>
      </x:c>
      <x:c r="E3375" s="33" t="str">
        <x:v>ADD</x:v>
      </x:c>
      <x:c r="F3375" s="33" t="str">
        <x:v>Close every active audit-to-observation link.</x:v>
      </x:c>
      <x:c r="G3375" s="33" t="str">
        <x:v>P-4 execution-chain reconciliation</x:v>
      </x:c>
      <x:c r="H3375" s="33" t="str">
        <x:v>P-4</x:v>
      </x:c>
      <x:c r="I3375" s="33" t="str">
        <x:v>P-4</x:v>
      </x:c>
      <x:c r="J3375" s="33" t="str">
        <x:v>2026-08-20</x:v>
      </x:c>
      <x:c r="K3375" s="33" t="str">
        <x:v>All active audits now have an active observation template.</x:v>
      </x:c>
    </x:row>
    <x:row r="3376">
      <x:c r="A3376" s="33" t="str">
        <x:v>P4OBS145</x:v>
      </x:c>
      <x:c r="B3376" s="33" t="str">
        <x:v>Observation Master</x:v>
      </x:c>
      <x:c r="C3376" s="33" t="str">
        <x:v>Not present</x:v>
      </x:c>
      <x:c r="D3376" s="33" t="str">
        <x:v>Observation ID=P4OBS145; Audit ID=AUD469; Observation Template=Periodically review the effectiveness of the calibration and maintenance programme. was not demonstrated or did not operate effectively for the sample tested.; Risk Level=High; Recommendation=Implement the requirement, correct affected records or transactions, and retain evidence of operating effectiveness: Periodically review the effectiveness of the calibration and maintenance programme.; Observation Category=CA083; Origin=P4_VALIDATION; Active=Yes; Remarks=P-4 chain-closure observation template.</x:v>
      </x:c>
      <x:c r="E3376" s="33" t="str">
        <x:v>ADD</x:v>
      </x:c>
      <x:c r="F3376" s="33" t="str">
        <x:v>Close every active audit-to-observation link.</x:v>
      </x:c>
      <x:c r="G3376" s="33" t="str">
        <x:v>P-4 execution-chain reconciliation</x:v>
      </x:c>
      <x:c r="H3376" s="33" t="str">
        <x:v>P-4</x:v>
      </x:c>
      <x:c r="I3376" s="33" t="str">
        <x:v>P-4</x:v>
      </x:c>
      <x:c r="J3376" s="33" t="str">
        <x:v>2026-08-20</x:v>
      </x:c>
      <x:c r="K3376" s="33" t="str">
        <x:v>All active audits now have an active observation template.</x:v>
      </x:c>
    </x:row>
    <x:row r="3377">
      <x:c r="A3377" s="33" t="str">
        <x:v>P4OBS146</x:v>
      </x:c>
      <x:c r="B3377" s="33" t="str">
        <x:v>Observation Master</x:v>
      </x:c>
      <x:c r="C3377" s="33" t="str">
        <x:v>Not present</x:v>
      </x:c>
      <x:c r="D3377" s="33" t="str">
        <x:v>Observation ID=P4OBS146; Audit ID=AUD471; Observation Template=Synchronise ICT system clocks to NIC/NPL traceable NTP servers or another accurate time source traceable to them. was not demonstrated or did not operate effectively for the sample tested.; Risk Level=High; Recommendation=Implement the requirement, correct affected records or transactions, and retain evidence of operating effectiveness: Synchronise ICT system clocks to NIC/NPL traceable NTP servers or another accurate time source traceable to them.; Observation Category=CA072; Origin=P4_VALIDATION; Active=Yes; Remarks=P-4 chain-closure observation template.</x:v>
      </x:c>
      <x:c r="E3377" s="33" t="str">
        <x:v>ADD</x:v>
      </x:c>
      <x:c r="F3377" s="33" t="str">
        <x:v>Close every active audit-to-observation link.</x:v>
      </x:c>
      <x:c r="G3377" s="33" t="str">
        <x:v>P-4 execution-chain reconciliation</x:v>
      </x:c>
      <x:c r="H3377" s="33" t="str">
        <x:v>P-4</x:v>
      </x:c>
      <x:c r="I3377" s="33" t="str">
        <x:v>P-4</x:v>
      </x:c>
      <x:c r="J3377" s="33" t="str">
        <x:v>2026-08-20</x:v>
      </x:c>
      <x:c r="K3377" s="33" t="str">
        <x:v>All active audits now have an active observation template.</x:v>
      </x:c>
    </x:row>
    <x:row r="3378">
      <x:c r="A3378" s="33" t="str">
        <x:v>P4OBS147</x:v>
      </x:c>
      <x:c r="B3378" s="33" t="str">
        <x:v>Observation Master</x:v>
      </x:c>
      <x:c r="C3378" s="33" t="str">
        <x:v>Not present</x:v>
      </x:c>
      <x:c r="D3378" s="33" t="str">
        <x:v>Observation ID=P4OBS147; Audit ID=AUD473; Observation Template=Report any specified Annexure I cyber incident to CERT-In within six hours of noticing it or being informed. was not demonstrated or did not operate effectively for the sample tested.; Risk Level=Critical; Recommendation=Implement the requirement, correct affected records or transactions, and retain evidence of operating effectiveness: Report any specified Annexure I cyber incident to CERT-In within six hours of noticing it or being informed.; Observation Category=CA072; Origin=P4_VALIDATION; Active=Yes; Remarks=P-4 chain-closure observation template.</x:v>
      </x:c>
      <x:c r="E3378" s="33" t="str">
        <x:v>ADD</x:v>
      </x:c>
      <x:c r="F3378" s="33" t="str">
        <x:v>Close every active audit-to-observation link.</x:v>
      </x:c>
      <x:c r="G3378" s="33" t="str">
        <x:v>P-4 execution-chain reconciliation</x:v>
      </x:c>
      <x:c r="H3378" s="33" t="str">
        <x:v>P-4</x:v>
      </x:c>
      <x:c r="I3378" s="33" t="str">
        <x:v>P-4</x:v>
      </x:c>
      <x:c r="J3378" s="33" t="str">
        <x:v>2026-08-20</x:v>
      </x:c>
      <x:c r="K3378" s="33" t="str">
        <x:v>All active audits now have an active observation template.</x:v>
      </x:c>
    </x:row>
    <x:row r="3379">
      <x:c r="A3379" s="33" t="str">
        <x:v>P4OBS148</x:v>
      </x:c>
      <x:c r="B3379" s="33" t="str">
        <x:v>Observation Master</x:v>
      </x:c>
      <x:c r="C3379" s="33" t="str">
        <x:v>Not present</x:v>
      </x:c>
      <x:c r="D3379" s="33" t="str">
        <x:v>Observation ID=P4OBS148; Audit ID=AUD475; Observation Template=Enable ICT logs, retain them securely for a rolling 180 days within Indian jurisdiction and provide them to CERT-In when lawfully required. was not demonstrated or did not operate effectively for the sample tested.; Risk Level=High; Recommendation=Implement the requirement, correct affected records or transactions, and retain evidence of operating effectiveness: Enable ICT logs, retain them securely for a rolling 180 days within Indian jurisdiction and provide them to CERT-In when lawfully required.; Observation Category=CA072; Origin=P4_VALIDATION; Active=Yes; Remarks=P-4 chain-closure observation template.</x:v>
      </x:c>
      <x:c r="E3379" s="33" t="str">
        <x:v>ADD</x:v>
      </x:c>
      <x:c r="F3379" s="33" t="str">
        <x:v>Close every active audit-to-observation link.</x:v>
      </x:c>
      <x:c r="G3379" s="33" t="str">
        <x:v>P-4 execution-chain reconciliation</x:v>
      </x:c>
      <x:c r="H3379" s="33" t="str">
        <x:v>P-4</x:v>
      </x:c>
      <x:c r="I3379" s="33" t="str">
        <x:v>P-4</x:v>
      </x:c>
      <x:c r="J3379" s="33" t="str">
        <x:v>2026-08-20</x:v>
      </x:c>
      <x:c r="K3379" s="33" t="str">
        <x:v>All active audits now have an active observation template.</x:v>
      </x:c>
    </x:row>
    <x:row r="3380">
      <x:c r="A3380" s="33" t="str">
        <x:v>P4OBS149</x:v>
      </x:c>
      <x:c r="B3380" s="33" t="str">
        <x:v>Observation Master</x:v>
      </x:c>
      <x:c r="C3380" s="33" t="str">
        <x:v>Not present</x:v>
      </x:c>
      <x:c r="D3380" s="33" t="str">
        <x:v>Observation ID=P4OBS149; Audit ID=AUD477; Observation Template=Designate, communicate and keep current the prescribed CERT-In point-of-contact details. was not demonstrated or did not operate effectively for the sample tested.; Risk Level=High; Recommendation=Implement the requirement, correct affected records or transactions, and retain evidence of operating effectiveness: Designate, communicate and keep current the prescribed CERT-In point-of-contact details.; Observation Category=CA072; Origin=P4_VALIDATION; Active=Yes; Remarks=P-4 chain-closure observation template.</x:v>
      </x:c>
      <x:c r="E3380" s="33" t="str">
        <x:v>ADD</x:v>
      </x:c>
      <x:c r="F3380" s="33" t="str">
        <x:v>Close every active audit-to-observation link.</x:v>
      </x:c>
      <x:c r="G3380" s="33" t="str">
        <x:v>P-4 execution-chain reconciliation</x:v>
      </x:c>
      <x:c r="H3380" s="33" t="str">
        <x:v>P-4</x:v>
      </x:c>
      <x:c r="I3380" s="33" t="str">
        <x:v>P-4</x:v>
      </x:c>
      <x:c r="J3380" s="33" t="str">
        <x:v>2026-08-20</x:v>
      </x:c>
      <x:c r="K3380" s="33" t="str">
        <x:v>All active audits now have an active observation template.</x:v>
      </x:c>
    </x:row>
    <x:row r="3381">
      <x:c r="A3381" s="33" t="str">
        <x:v>P4OBS150</x:v>
      </x:c>
      <x:c r="B3381" s="33" t="str">
        <x:v>Observation Master</x:v>
      </x:c>
      <x:c r="C3381" s="33" t="str">
        <x:v>Not present</x:v>
      </x:c>
      <x:c r="D3381" s="33" t="str">
        <x:v>Observation ID=P4OBS150; Audit ID=AUD491; Observation Template=Maintain pharmacy premises, records and operations in a state of inspection readiness at all times. was not demonstrated or did not operate effectively for the sample tested.; Risk Level=High; Recommendation=Implement the requirement, correct affected records or transactions, and retain evidence of operating effectiveness: Maintain pharmacy premises, records and operations in a state of inspection readiness at all times.; Observation Category=CA077; Origin=P4_VALIDATION; Active=Yes; Remarks=P-4 chain-closure observation template.</x:v>
      </x:c>
      <x:c r="E3381" s="33" t="str">
        <x:v>ADD</x:v>
      </x:c>
      <x:c r="F3381" s="33" t="str">
        <x:v>Close every active audit-to-observation link.</x:v>
      </x:c>
      <x:c r="G3381" s="33" t="str">
        <x:v>P-4 execution-chain reconciliation</x:v>
      </x:c>
      <x:c r="H3381" s="33" t="str">
        <x:v>P-4</x:v>
      </x:c>
      <x:c r="I3381" s="33" t="str">
        <x:v>P-4</x:v>
      </x:c>
      <x:c r="J3381" s="33" t="str">
        <x:v>2026-08-20</x:v>
      </x:c>
      <x:c r="K3381" s="33" t="str">
        <x:v>All active audits now have an active observation template.</x:v>
      </x:c>
    </x:row>
    <x:row r="3382">
      <x:c r="A3382" s="33" t="str">
        <x:v>P4OBS151</x:v>
      </x:c>
      <x:c r="B3382" s="33" t="str">
        <x:v>Observation Master</x:v>
      </x:c>
      <x:c r="C3382" s="33" t="str">
        <x:v>Not present</x:v>
      </x:c>
      <x:c r="D3382" s="33" t="str">
        <x:v>Observation ID=P4OBS151; Audit ID=AUD493; Observation Template=Ensure statutory licences, approvals and registers are readily available for inspection. was not demonstrated or did not operate effectively for the sample tested.; Risk Level=High; Recommendation=Implement the requirement, correct affected records or transactions, and retain evidence of operating effectiveness: Ensure statutory licences, approvals and registers are readily available for inspection.; Observation Category=CA019; Origin=P4_VALIDATION; Active=Yes; Remarks=P-4 chain-closure observation template.</x:v>
      </x:c>
      <x:c r="E3382" s="33" t="str">
        <x:v>ADD</x:v>
      </x:c>
      <x:c r="F3382" s="33" t="str">
        <x:v>Close every active audit-to-observation link.</x:v>
      </x:c>
      <x:c r="G3382" s="33" t="str">
        <x:v>P-4 execution-chain reconciliation</x:v>
      </x:c>
      <x:c r="H3382" s="33" t="str">
        <x:v>P-4</x:v>
      </x:c>
      <x:c r="I3382" s="33" t="str">
        <x:v>P-4</x:v>
      </x:c>
      <x:c r="J3382" s="33" t="str">
        <x:v>2026-08-20</x:v>
      </x:c>
      <x:c r="K3382" s="33" t="str">
        <x:v>All active audits now have an active observation template.</x:v>
      </x:c>
    </x:row>
    <x:row r="3383">
      <x:c r="A3383" s="33" t="str">
        <x:v>P4OBS152</x:v>
      </x:c>
      <x:c r="B3383" s="33" t="str">
        <x:v>Observation Master</x:v>
      </x:c>
      <x:c r="C3383" s="33" t="str">
        <x:v>Not present</x:v>
      </x:c>
      <x:c r="D3383" s="33" t="str">
        <x:v>Observation ID=P4OBS152; Audit ID=AUD495; Observation Template=Maintain approved Standard Operating Procedures (SOPs) for all critical pharmacy processes. was not demonstrated or did not operate effectively for the sample tested.; Risk Level=High; Recommendation=Implement the requirement, correct affected records or transactions, and retain evidence of operating effectiveness: Maintain approved Standard Operating Procedures (SOPs) for all critical pharmacy processes.; Observation Category=CA096; Origin=P4_VALIDATION; Active=Yes; Remarks=P-4 chain-closure observation template.</x:v>
      </x:c>
      <x:c r="E3383" s="33" t="str">
        <x:v>ADD</x:v>
      </x:c>
      <x:c r="F3383" s="33" t="str">
        <x:v>Close every active audit-to-observation link.</x:v>
      </x:c>
      <x:c r="G3383" s="33" t="str">
        <x:v>P-4 execution-chain reconciliation</x:v>
      </x:c>
      <x:c r="H3383" s="33" t="str">
        <x:v>P-4</x:v>
      </x:c>
      <x:c r="I3383" s="33" t="str">
        <x:v>P-4</x:v>
      </x:c>
      <x:c r="J3383" s="33" t="str">
        <x:v>2026-08-20</x:v>
      </x:c>
      <x:c r="K3383" s="33" t="str">
        <x:v>All active audits now have an active observation template.</x:v>
      </x:c>
    </x:row>
    <x:row r="3384">
      <x:c r="A3384" s="33" t="str">
        <x:v>P4OBS153</x:v>
      </x:c>
      <x:c r="B3384" s="33" t="str">
        <x:v>Observation Master</x:v>
      </x:c>
      <x:c r="C3384" s="33" t="str">
        <x:v>Not present</x:v>
      </x:c>
      <x:c r="D3384" s="33" t="str">
        <x:v>Observation ID=P4OBS153; Audit ID=AUD497; Observation Template=Review and respond to inspection observations within timelines prescribed by the authority. was not demonstrated or did not operate effectively for the sample tested.; Risk Level=High; Recommendation=Implement the requirement, correct affected records or transactions, and retain evidence of operating effectiveness: Review and respond to inspection observations within timelines prescribed by the authority.; Observation Category=CA097; Origin=P4_VALIDATION; Active=Yes; Remarks=P-4 chain-closure observation template.</x:v>
      </x:c>
      <x:c r="E3384" s="33" t="str">
        <x:v>ADD</x:v>
      </x:c>
      <x:c r="F3384" s="33" t="str">
        <x:v>Close every active audit-to-observation link.</x:v>
      </x:c>
      <x:c r="G3384" s="33" t="str">
        <x:v>P-4 execution-chain reconciliation</x:v>
      </x:c>
      <x:c r="H3384" s="33" t="str">
        <x:v>P-4</x:v>
      </x:c>
      <x:c r="I3384" s="33" t="str">
        <x:v>P-4</x:v>
      </x:c>
      <x:c r="J3384" s="33" t="str">
        <x:v>2026-08-20</x:v>
      </x:c>
      <x:c r="K3384" s="33" t="str">
        <x:v>All active audits now have an active observation template.</x:v>
      </x:c>
    </x:row>
    <x:row r="3385">
      <x:c r="A3385" s="33" t="str">
        <x:v>P4OBS154</x:v>
      </x:c>
      <x:c r="B3385" s="33" t="str">
        <x:v>Observation Master</x:v>
      </x:c>
      <x:c r="C3385" s="33" t="str">
        <x:v>Not present</x:v>
      </x:c>
      <x:c r="D3385" s="33" t="str">
        <x:v>Observation ID=P4OBS154; Audit ID=AUD499; Observation Template=Implement corrective and preventive actions (CAPA) for all regulatory inspection observations. was not demonstrated or did not operate effectively for the sample tested.; Risk Level=High; Recommendation=Implement the requirement, correct affected records or transactions, and retain evidence of operating effectiveness: Implement corrective and preventive actions (CAPA) for all regulatory inspection observations.; Observation Category=CA098; Origin=P4_VALIDATION; Active=Yes; Remarks=P-4 chain-closure observation template.</x:v>
      </x:c>
      <x:c r="E3385" s="33" t="str">
        <x:v>ADD</x:v>
      </x:c>
      <x:c r="F3385" s="33" t="str">
        <x:v>Close every active audit-to-observation link.</x:v>
      </x:c>
      <x:c r="G3385" s="33" t="str">
        <x:v>P-4 execution-chain reconciliation</x:v>
      </x:c>
      <x:c r="H3385" s="33" t="str">
        <x:v>P-4</x:v>
      </x:c>
      <x:c r="I3385" s="33" t="str">
        <x:v>P-4</x:v>
      </x:c>
      <x:c r="J3385" s="33" t="str">
        <x:v>2026-08-20</x:v>
      </x:c>
      <x:c r="K3385" s="33" t="str">
        <x:v>All active audits now have an active observation template.</x:v>
      </x:c>
    </x:row>
    <x:row r="3386">
      <x:c r="A3386" s="33" t="str">
        <x:v>P4OBS155</x:v>
      </x:c>
      <x:c r="B3386" s="33" t="str">
        <x:v>Observation Master</x:v>
      </x:c>
      <x:c r="C3386" s="33" t="str">
        <x:v>Not present</x:v>
      </x:c>
      <x:c r="D3386" s="33" t="str">
        <x:v>Observation ID=P4OBS155; Audit ID=AUD501; Observation Template=Conduct periodic internal compliance reviews covering all applicable pharmacy regulations. was not demonstrated or did not operate effectively for the sample tested.; Risk Level=High; Recommendation=Implement the requirement, correct affected records or transactions, and retain evidence of operating effectiveness: Conduct periodic internal compliance reviews covering all applicable pharmacy regulations.; Observation Category=CA083; Origin=P4_VALIDATION; Active=Yes; Remarks=P-4 chain-closure observation template.</x:v>
      </x:c>
      <x:c r="E3386" s="33" t="str">
        <x:v>ADD</x:v>
      </x:c>
      <x:c r="F3386" s="33" t="str">
        <x:v>Close every active audit-to-observation link.</x:v>
      </x:c>
      <x:c r="G3386" s="33" t="str">
        <x:v>P-4 execution-chain reconciliation</x:v>
      </x:c>
      <x:c r="H3386" s="33" t="str">
        <x:v>P-4</x:v>
      </x:c>
      <x:c r="I3386" s="33" t="str">
        <x:v>P-4</x:v>
      </x:c>
      <x:c r="J3386" s="33" t="str">
        <x:v>2026-08-20</x:v>
      </x:c>
      <x:c r="K3386" s="33" t="str">
        <x:v>All active audits now have an active observation template.</x:v>
      </x:c>
    </x:row>
    <x:row r="3387">
      <x:c r="A3387" s="33" t="str">
        <x:v>P4OBS156</x:v>
      </x:c>
      <x:c r="B3387" s="33" t="str">
        <x:v>Observation Master</x:v>
      </x:c>
      <x:c r="C3387" s="33" t="str">
        <x:v>Not present</x:v>
      </x:c>
      <x:c r="D3387" s="33" t="str">
        <x:v>Observation ID=P4OBS156; Audit ID=AUD503; Observation Template=Establish and maintain an enterprise compliance governance framework. was not demonstrated or did not operate effectively for the sample tested.; Risk Level=High; Recommendation=Implement the requirement, correct affected records or transactions, and retain evidence of operating effectiveness: Establish and maintain an enterprise compliance governance framework.; Observation Category=CA099; Origin=P4_VALIDATION; Active=Yes; Remarks=P-4 chain-closure observation template.</x:v>
      </x:c>
      <x:c r="E3387" s="33" t="str">
        <x:v>ADD</x:v>
      </x:c>
      <x:c r="F3387" s="33" t="str">
        <x:v>Close every active audit-to-observation link.</x:v>
      </x:c>
      <x:c r="G3387" s="33" t="str">
        <x:v>P-4 execution-chain reconciliation</x:v>
      </x:c>
      <x:c r="H3387" s="33" t="str">
        <x:v>P-4</x:v>
      </x:c>
      <x:c r="I3387" s="33" t="str">
        <x:v>P-4</x:v>
      </x:c>
      <x:c r="J3387" s="33" t="str">
        <x:v>2026-08-20</x:v>
      </x:c>
      <x:c r="K3387" s="33" t="str">
        <x:v>All active audits now have an active observation template.</x:v>
      </x:c>
    </x:row>
    <x:row r="3388">
      <x:c r="A3388" s="33" t="str">
        <x:v>P4OBS157</x:v>
      </x:c>
      <x:c r="B3388" s="33" t="str">
        <x:v>Observation Master</x:v>
      </x:c>
      <x:c r="C3388" s="33" t="str">
        <x:v>Not present</x:v>
      </x:c>
      <x:c r="D3388" s="33" t="str">
        <x:v>Observation ID=P4OBS157; Audit ID=AUD505; Observation Template=Assign clear ownership and accountability for every regulatory compliance obligation. was not demonstrated or did not operate effectively for the sample tested.; Risk Level=High; Recommendation=Implement the requirement, correct affected records or transactions, and retain evidence of operating effectiveness: Assign clear ownership and accountability for every regulatory compliance obligation.; Observation Category=CA100; Origin=P4_VALIDATION; Active=Yes; Remarks=P-4 chain-closure observation template.</x:v>
      </x:c>
      <x:c r="E3388" s="33" t="str">
        <x:v>ADD</x:v>
      </x:c>
      <x:c r="F3388" s="33" t="str">
        <x:v>Close every active audit-to-observation link.</x:v>
      </x:c>
      <x:c r="G3388" s="33" t="str">
        <x:v>P-4 execution-chain reconciliation</x:v>
      </x:c>
      <x:c r="H3388" s="33" t="str">
        <x:v>P-4</x:v>
      </x:c>
      <x:c r="I3388" s="33" t="str">
        <x:v>P-4</x:v>
      </x:c>
      <x:c r="J3388" s="33" t="str">
        <x:v>2026-08-20</x:v>
      </x:c>
      <x:c r="K3388" s="33" t="str">
        <x:v>All active audits now have an active observation template.</x:v>
      </x:c>
    </x:row>
    <x:row r="3389">
      <x:c r="A3389" s="33" t="str">
        <x:v>P4OBS158</x:v>
      </x:c>
      <x:c r="B3389" s="33" t="str">
        <x:v>Observation Master</x:v>
      </x:c>
      <x:c r="C3389" s="33" t="str">
        <x:v>Not present</x:v>
      </x:c>
      <x:c r="D3389" s="33" t="str">
        <x:v>Observation ID=P4OBS158; Audit ID=AUD507; Observation Template=Monitor regulatory updates and assess their impact on pharmacy operations. was not demonstrated or did not operate effectively for the sample tested.; Risk Level=High; Recommendation=Implement the requirement, correct affected records or transactions, and retain evidence of operating effectiveness: Monitor regulatory updates and assess their impact on pharmacy operations.; Observation Category=CA084; Origin=P4_VALIDATION; Active=Yes; Remarks=P-4 chain-closure observation template.</x:v>
      </x:c>
      <x:c r="E3389" s="33" t="str">
        <x:v>ADD</x:v>
      </x:c>
      <x:c r="F3389" s="33" t="str">
        <x:v>Close every active audit-to-observation link.</x:v>
      </x:c>
      <x:c r="G3389" s="33" t="str">
        <x:v>P-4 execution-chain reconciliation</x:v>
      </x:c>
      <x:c r="H3389" s="33" t="str">
        <x:v>P-4</x:v>
      </x:c>
      <x:c r="I3389" s="33" t="str">
        <x:v>P-4</x:v>
      </x:c>
      <x:c r="J3389" s="33" t="str">
        <x:v>2026-08-20</x:v>
      </x:c>
      <x:c r="K3389" s="33" t="str">
        <x:v>All active audits now have an active observation template.</x:v>
      </x:c>
    </x:row>
    <x:row r="3390">
      <x:c r="A3390" s="33" t="str">
        <x:v>P4OBS159</x:v>
      </x:c>
      <x:c r="B3390" s="33" t="str">
        <x:v>Observation Master</x:v>
      </x:c>
      <x:c r="C3390" s="33" t="str">
        <x:v>Not present</x:v>
      </x:c>
      <x:c r="D3390" s="33" t="str">
        <x:v>Observation ID=P4OBS159; Audit ID=AUD509; Observation Template=Maintain a compliance calendar covering all statutory obligations and due dates. was not demonstrated or did not operate effectively for the sample tested.; Risk Level=High; Recommendation=Implement the requirement, correct affected records or transactions, and retain evidence of operating effectiveness: Maintain a compliance calendar covering all statutory obligations and due dates.; Observation Category=CA088; Origin=P4_VALIDATION; Active=Yes; Remarks=P-4 chain-closure observation template.</x:v>
      </x:c>
      <x:c r="E3390" s="33" t="str">
        <x:v>ADD</x:v>
      </x:c>
      <x:c r="F3390" s="33" t="str">
        <x:v>Close every active audit-to-observation link.</x:v>
      </x:c>
      <x:c r="G3390" s="33" t="str">
        <x:v>P-4 execution-chain reconciliation</x:v>
      </x:c>
      <x:c r="H3390" s="33" t="str">
        <x:v>P-4</x:v>
      </x:c>
      <x:c r="I3390" s="33" t="str">
        <x:v>P-4</x:v>
      </x:c>
      <x:c r="J3390" s="33" t="str">
        <x:v>2026-08-20</x:v>
      </x:c>
      <x:c r="K3390" s="33" t="str">
        <x:v>All active audits now have an active observation template.</x:v>
      </x:c>
    </x:row>
    <x:row r="3391">
      <x:c r="A3391" s="33" t="str">
        <x:v>P4OBS160</x:v>
      </x:c>
      <x:c r="B3391" s="33" t="str">
        <x:v>Observation Master</x:v>
      </x:c>
      <x:c r="C3391" s="33" t="str">
        <x:v>Not present</x:v>
      </x:c>
      <x:c r="D3391" s="33" t="str">
        <x:v>Observation ID=P4OBS160; Audit ID=AUD511; Observation Template=Submit periodic compliance reports to senior management. was not demonstrated or did not operate effectively for the sample tested.; Risk Level=High; Recommendation=Implement the requirement, correct affected records or transactions, and retain evidence of operating effectiveness: Submit periodic compliance reports to senior management.; Observation Category=CA086; Origin=P4_VALIDATION; Active=Yes; Remarks=P-4 chain-closure observation template.</x:v>
      </x:c>
      <x:c r="E3391" s="33" t="str">
        <x:v>ADD</x:v>
      </x:c>
      <x:c r="F3391" s="33" t="str">
        <x:v>Close every active audit-to-observation link.</x:v>
      </x:c>
      <x:c r="G3391" s="33" t="str">
        <x:v>P-4 execution-chain reconciliation</x:v>
      </x:c>
      <x:c r="H3391" s="33" t="str">
        <x:v>P-4</x:v>
      </x:c>
      <x:c r="I3391" s="33" t="str">
        <x:v>P-4</x:v>
      </x:c>
      <x:c r="J3391" s="33" t="str">
        <x:v>2026-08-20</x:v>
      </x:c>
      <x:c r="K3391" s="33" t="str">
        <x:v>All active audits now have an active observation template.</x:v>
      </x:c>
    </x:row>
    <x:row r="3392">
      <x:c r="A3392" s="33" t="str">
        <x:v>P4OBS161</x:v>
      </x:c>
      <x:c r="B3392" s="33" t="str">
        <x:v>Observation Master</x:v>
      </x:c>
      <x:c r="C3392" s="33" t="str">
        <x:v>Not present</x:v>
      </x:c>
      <x:c r="D3392" s="33" t="str">
        <x:v>Observation ID=P4OBS161; Audit ID=AUD513; Observation Template=Perform periodic regulatory risk assessments and document mitigation measures. was not demonstrated or did not operate effectively for the sample tested.; Risk Level=High; Recommendation=Implement the requirement, correct affected records or transactions, and retain evidence of operating effectiveness: Perform periodic regulatory risk assessments and document mitigation measures.; Observation Category=CA087; Origin=P4_VALIDATION; Active=Yes; Remarks=P-4 chain-closure observation template.</x:v>
      </x:c>
      <x:c r="E3392" s="33" t="str">
        <x:v>ADD</x:v>
      </x:c>
      <x:c r="F3392" s="33" t="str">
        <x:v>Close every active audit-to-observation link.</x:v>
      </x:c>
      <x:c r="G3392" s="33" t="str">
        <x:v>P-4 execution-chain reconciliation</x:v>
      </x:c>
      <x:c r="H3392" s="33" t="str">
        <x:v>P-4</x:v>
      </x:c>
      <x:c r="I3392" s="33" t="str">
        <x:v>P-4</x:v>
      </x:c>
      <x:c r="J3392" s="33" t="str">
        <x:v>2026-08-20</x:v>
      </x:c>
      <x:c r="K3392" s="33" t="str">
        <x:v>All active audits now have an active observation template.</x:v>
      </x:c>
    </x:row>
    <x:row r="3393">
      <x:c r="A3393" s="33" t="str">
        <x:v>P4OBS162</x:v>
      </x:c>
      <x:c r="B3393" s="33" t="str">
        <x:v>Observation Master</x:v>
      </x:c>
      <x:c r="C3393" s="33" t="str">
        <x:v>Not present</x:v>
      </x:c>
      <x:c r="D3393" s="33" t="str">
        <x:v>Observation ID=P4OBS162; Audit ID=AUD515; Observation Template=Conduct independent internal audits to evaluate regulatory compliance effectiveness. was not demonstrated or did not operate effectively for the sample tested.; Risk Level=High; Recommendation=Implement the requirement, correct affected records or transactions, and retain evidence of operating effectiveness: Conduct independent internal audits to evaluate regulatory compliance effectiveness.; Observation Category=CA083; Origin=P4_VALIDATION; Active=Yes; Remarks=P-4 chain-closure observation template.</x:v>
      </x:c>
      <x:c r="E3393" s="33" t="str">
        <x:v>ADD</x:v>
      </x:c>
      <x:c r="F3393" s="33" t="str">
        <x:v>Close every active audit-to-observation link.</x:v>
      </x:c>
      <x:c r="G3393" s="33" t="str">
        <x:v>P-4 execution-chain reconciliation</x:v>
      </x:c>
      <x:c r="H3393" s="33" t="str">
        <x:v>P-4</x:v>
      </x:c>
      <x:c r="I3393" s="33" t="str">
        <x:v>P-4</x:v>
      </x:c>
      <x:c r="J3393" s="33" t="str">
        <x:v>2026-08-20</x:v>
      </x:c>
      <x:c r="K3393" s="33" t="str">
        <x:v>All active audits now have an active observation template.</x:v>
      </x:c>
    </x:row>
    <x:row r="3394">
      <x:c r="A3394" s="33" t="str">
        <x:v>P4OBS163</x:v>
      </x:c>
      <x:c r="B3394" s="33" t="str">
        <x:v>Observation Master</x:v>
      </x:c>
      <x:c r="C3394" s="33" t="str">
        <x:v>Not present</x:v>
      </x:c>
      <x:c r="D3394" s="33" t="str">
        <x:v>Observation ID=P4OBS163; Audit ID=AUD517; Observation Template=Maintain controlled regulatory documents with version control, approval history and archival records. was not demonstrated or did not operate effectively for the sample tested.; Risk Level=High; Recommendation=Implement the requirement, correct affected records or transactions, and retain evidence of operating effectiveness: Maintain controlled regulatory documents with version control, approval history and archival records.; Observation Category=CA097; Origin=P4_VALIDATION; Active=Yes; Remarks=P-4 chain-closure observation template.</x:v>
      </x:c>
      <x:c r="E3394" s="33" t="str">
        <x:v>ADD</x:v>
      </x:c>
      <x:c r="F3394" s="33" t="str">
        <x:v>Close every active audit-to-observation link.</x:v>
      </x:c>
      <x:c r="G3394" s="33" t="str">
        <x:v>P-4 execution-chain reconciliation</x:v>
      </x:c>
      <x:c r="H3394" s="33" t="str">
        <x:v>P-4</x:v>
      </x:c>
      <x:c r="I3394" s="33" t="str">
        <x:v>P-4</x:v>
      </x:c>
      <x:c r="J3394" s="33" t="str">
        <x:v>2026-08-20</x:v>
      </x:c>
      <x:c r="K3394" s="33" t="str">
        <x:v>All active audits now have an active observation template.</x:v>
      </x:c>
    </x:row>
    <x:row r="3395">
      <x:c r="A3395" s="33" t="str">
        <x:v>P4OBS164</x:v>
      </x:c>
      <x:c r="B3395" s="33" t="str">
        <x:v>Observation Master</x:v>
      </x:c>
      <x:c r="C3395" s="33" t="str">
        <x:v>Not present</x:v>
      </x:c>
      <x:c r="D3395" s="33" t="str">
        <x:v>Observation ID=P4OBS164; Audit ID=AUD518; Observation Template=Maintain controlled regulatory documents with version control, approval history and archival records. was not demonstrated or did not operate effectively for the sample tested.; Risk Level=High; Recommendation=Implement the requirement, correct affected records or transactions, and retain evidence of operating effectiveness: Maintain controlled regulatory documents with version control, approval history and archival records.; Observation Category=CA097; Origin=P4_VALIDATION; Active=Yes; Remarks=P-4 chain-closure observation template.</x:v>
      </x:c>
      <x:c r="E3395" s="33" t="str">
        <x:v>ADD</x:v>
      </x:c>
      <x:c r="F3395" s="33" t="str">
        <x:v>Close every active audit-to-observation link.</x:v>
      </x:c>
      <x:c r="G3395" s="33" t="str">
        <x:v>P-4 execution-chain reconciliation</x:v>
      </x:c>
      <x:c r="H3395" s="33" t="str">
        <x:v>P-4</x:v>
      </x:c>
      <x:c r="I3395" s="33" t="str">
        <x:v>P-4</x:v>
      </x:c>
      <x:c r="J3395" s="33" t="str">
        <x:v>2026-08-20</x:v>
      </x:c>
      <x:c r="K3395" s="33" t="str">
        <x:v>All active audits now have an active observation template.</x:v>
      </x:c>
    </x:row>
    <x:row r="3396">
      <x:c r="A3396" s="33" t="str">
        <x:v>P4OBS165</x:v>
      </x:c>
      <x:c r="B3396" s="33" t="str">
        <x:v>Observation Master</x:v>
      </x:c>
      <x:c r="C3396" s="33" t="str">
        <x:v>Not present</x:v>
      </x:c>
      <x:c r="D3396" s="33" t="str">
        <x:v>Observation ID=P4OBS165; Audit ID=AUD520; Observation Template=Periodically review and improve the compliance management system through continual improvement initiatives. was not demonstrated or did not operate effectively for the sample tested.; Risk Level=High; Recommendation=Implement the requirement, correct affected records or transactions, and retain evidence of operating effectiveness: Periodically review and improve the compliance management system through continual improvement initiatives.; Observation Category=CA089; Origin=P4_VALIDATION; Active=Yes; Remarks=P-4 chain-closure observation template.</x:v>
      </x:c>
      <x:c r="E3396" s="33" t="str">
        <x:v>ADD</x:v>
      </x:c>
      <x:c r="F3396" s="33" t="str">
        <x:v>Close every active audit-to-observation link.</x:v>
      </x:c>
      <x:c r="G3396" s="33" t="str">
        <x:v>P-4 execution-chain reconciliation</x:v>
      </x:c>
      <x:c r="H3396" s="33" t="str">
        <x:v>P-4</x:v>
      </x:c>
      <x:c r="I3396" s="33" t="str">
        <x:v>P-4</x:v>
      </x:c>
      <x:c r="J3396" s="33" t="str">
        <x:v>2026-08-20</x:v>
      </x:c>
      <x:c r="K3396" s="33" t="str">
        <x:v>All active audits now have an active observation template.</x:v>
      </x:c>
    </x:row>
    <x:row r="3397">
      <x:c r="A3397" s="33" t="str">
        <x:v>P4OBS166</x:v>
      </x:c>
      <x:c r="B3397" s="33" t="str">
        <x:v>Observation Master</x:v>
      </x:c>
      <x:c r="C3397" s="33" t="str">
        <x:v>Not present</x:v>
      </x:c>
      <x:c r="D3397" s="33" t="str">
        <x:v>Observation ID=P4OBS166; Audit ID=AUD521; Observation Template=Periodically review and improve the compliance management system through continual improvement initiatives. was not demonstrated or did not operate effectively for the sample tested.; Risk Level=High; Recommendation=Implement the requirement, correct affected records or transactions, and retain evidence of operating effectiveness: Periodically review and improve the compliance management system through continual improvement initiatives.; Observation Category=CA089; Origin=P4_VALIDATION; Active=Yes; Remarks=P-4 chain-closure observation template.</x:v>
      </x:c>
      <x:c r="E3397" s="33" t="str">
        <x:v>ADD</x:v>
      </x:c>
      <x:c r="F3397" s="33" t="str">
        <x:v>Close every active audit-to-observation link.</x:v>
      </x:c>
      <x:c r="G3397" s="33" t="str">
        <x:v>P-4 execution-chain reconciliation</x:v>
      </x:c>
      <x:c r="H3397" s="33" t="str">
        <x:v>P-4</x:v>
      </x:c>
      <x:c r="I3397" s="33" t="str">
        <x:v>P-4</x:v>
      </x:c>
      <x:c r="J3397" s="33" t="str">
        <x:v>2026-08-20</x:v>
      </x:c>
      <x:c r="K3397" s="33" t="str">
        <x:v>All active audits now have an active observation template.</x:v>
      </x:c>
    </x:row>
    <x:row r="3398">
      <x:c r="A3398" s="33" t="str">
        <x:v>P4-SRC001</x:v>
      </x:c>
      <x:c r="B3398" s="33" t="str">
        <x:v>Regulatory Source Register</x:v>
      </x:c>
      <x:c r="C3398" s="33" t="str">
        <x:v>Not present</x:v>
      </x:c>
      <x:c r="D3398" s="33" t="str">
        <x:v>Source ID=P4-SRC001; Legal Instrument=Pharmacy Act, 1948; Regulator=India Code / Pharmacy Council of India; Instrument Type=Act and regulations; Authoritative Source=https://www.indiacode.nic.in/handle/123456789/1364?col=123456789%2F1362&amp;view_type=search; Current Version / Amendment Position=Current through validation date; Effective Date=1948; current position validated; Applicability Scope=Pharmacist registration, dispensing and professional practice; Sub-Sectors / Entity Types=All sub-sectors engaging pharmacists; Statutory Provisions Considered=Sections 29, 32, 34–36 and 42; Pharmacy Practice Regulations, 2015; Included / Excluded=Included; Workbook Action=Corrected pharmacist-registration and employer-verification boundary; Source URL / Citation=https://www.indiacode.nic.in/handle/123456789/1364?col=123456789%2F1362&amp;view_type=search; Validation Status=Validated</x:v>
      </x:c>
      <x:c r="E3398" s="33" t="str">
        <x:v>ADD</x:v>
      </x:c>
      <x:c r="F3398" s="33" t="str">
        <x:v>Add authoritative P-4 technical-law and entity-applicability sources.</x:v>
      </x:c>
      <x:c r="G3398" s="33" t="str">
        <x:v>Official India Code, CDSCO, PCI, NPPA and MoHFW sources</x:v>
      </x:c>
      <x:c r="H3398" s="33" t="str">
        <x:v>P-4</x:v>
      </x:c>
      <x:c r="I3398" s="33" t="str">
        <x:v>P-4</x:v>
      </x:c>
      <x:c r="J3398" s="33" t="str">
        <x:v>2026-08-20</x:v>
      </x:c>
      <x:c r="K3398" s="33" t="str">
        <x:v>P-4 source trail added without changing production schemas.</x:v>
      </x:c>
    </x:row>
    <x:row r="3399">
      <x:c r="A3399" s="33" t="str">
        <x:v>P4-SRC002</x:v>
      </x:c>
      <x:c r="B3399" s="33" t="str">
        <x:v>Regulatory Source Register</x:v>
      </x:c>
      <x:c r="C3399" s="33" t="str">
        <x:v>Not present</x:v>
      </x:c>
      <x:c r="D3399" s="33" t="str">
        <x:v>Source ID=P4-SRC002; Legal Instrument=Pharmacy Practice Regulations, 2015; Regulator=Pharmacy Council of India; Instrument Type=Regulations; Authoritative Source=https://www.pci.nic.in/pdf/; Current Version / Amendment Position=Current official PCI publication set; Effective Date=2015; Applicability Scope=Professional conduct and competence of registered pharmacists; Sub-Sectors / Entity Types=All sub-sectors engaging pharmacists; Statutory Provisions Considered=Professional conduct and continuing competence; Included / Excluded=Included; Workbook Action=Retained as professional-practice overlay; Source URL / Citation=https://www.pci.nic.in/pdf/; Validation Status=Validated</x:v>
      </x:c>
      <x:c r="E3399" s="33" t="str">
        <x:v>ADD</x:v>
      </x:c>
      <x:c r="F3399" s="33" t="str">
        <x:v>Add authoritative P-4 technical-law and entity-applicability sources.</x:v>
      </x:c>
      <x:c r="G3399" s="33" t="str">
        <x:v>Official India Code, CDSCO, PCI, NPPA and MoHFW sources</x:v>
      </x:c>
      <x:c r="H3399" s="33" t="str">
        <x:v>P-4</x:v>
      </x:c>
      <x:c r="I3399" s="33" t="str">
        <x:v>P-4</x:v>
      </x:c>
      <x:c r="J3399" s="33" t="str">
        <x:v>2026-08-20</x:v>
      </x:c>
      <x:c r="K3399" s="33" t="str">
        <x:v>P-4 source trail added without changing production schemas.</x:v>
      </x:c>
    </x:row>
    <x:row r="3400">
      <x:c r="A3400" s="33" t="str">
        <x:v>P4-SRC003</x:v>
      </x:c>
      <x:c r="B3400" s="33" t="str">
        <x:v>Regulatory Source Register</x:v>
      </x:c>
      <x:c r="C3400" s="33" t="str">
        <x:v>Not present</x:v>
      </x:c>
      <x:c r="D3400" s="33" t="str">
        <x:v>Source ID=P4-SRC003; Legal Instrument=Drugs (Prices Control) Order, 2013 and current NPPA price lists; Regulator=NPPA; Instrument Type=Order / notifications; Authoritative Source=https://www.nppaindia.nic.in/proactivedisclosure; Current Version / Amendment Position=Current official disclosure and archive position; Effective Date=As notified; Applicability Scope=Dealer/retailer display, transaction pricing and no-refusal duties; Sub-Sectors / Entity Types=All sellers of covered formulations; Statutory Provisions Considered=Paragraphs 24(4), 25(3), 26, 27 and 28(b); Included / Excluded=Included; Workbook Action=Replaced manufacturer-facing placeholders with retail duties; Source URL / Citation=https://www.nppaindia.nic.in/proactivedisclosure; Validation Status=Validated</x:v>
      </x:c>
      <x:c r="E3400" s="33" t="str">
        <x:v>ADD</x:v>
      </x:c>
      <x:c r="F3400" s="33" t="str">
        <x:v>Add authoritative P-4 technical-law and entity-applicability sources.</x:v>
      </x:c>
      <x:c r="G3400" s="33" t="str">
        <x:v>Official India Code, CDSCO, PCI, NPPA and MoHFW sources</x:v>
      </x:c>
      <x:c r="H3400" s="33" t="str">
        <x:v>P-4</x:v>
      </x:c>
      <x:c r="I3400" s="33" t="str">
        <x:v>P-4</x:v>
      </x:c>
      <x:c r="J3400" s="33" t="str">
        <x:v>2026-08-20</x:v>
      </x:c>
      <x:c r="K3400" s="33" t="str">
        <x:v>P-4 source trail added without changing production schemas.</x:v>
      </x:c>
    </x:row>
    <x:row r="3401">
      <x:c r="A3401" s="33" t="str">
        <x:v>P4-SRC004</x:v>
      </x:c>
      <x:c r="B3401" s="33" t="str">
        <x:v>Regulatory Source Register</x:v>
      </x:c>
      <x:c r="C3401" s="33" t="str">
        <x:v>Not present</x:v>
      </x:c>
      <x:c r="D3401" s="33" t="str">
        <x:v>Source ID=P4-SRC004; Legal Instrument=NDPS Act, 1985 and NDPS Rules, 1985; Regulator=India Code; Instrument Type=Act / Rules; Authoritative Source=https://www.indiacode.nic.in/handle/123456789/1791; Current Version / Amendment Position=Current consolidated position; Effective Date=Current; Applicability Scope=Essential Narcotic Drug possession, sale and transport; Sub-Sectors / Entity Types=Specialized and any other sub-sector handling ENDs; Statutory Provisions Considered=Section 8; Rules 52A, 52B, 52D, 52E and 52F; Included / Excluded=Included; Workbook Action=Removed enabling/penalty provisions from recurring production duties; Source URL / Citation=https://www.indiacode.nic.in/handle/123456789/1791; Validation Status=Validated</x:v>
      </x:c>
      <x:c r="E3401" s="33" t="str">
        <x:v>ADD</x:v>
      </x:c>
      <x:c r="F3401" s="33" t="str">
        <x:v>Add authoritative P-4 technical-law and entity-applicability sources.</x:v>
      </x:c>
      <x:c r="G3401" s="33" t="str">
        <x:v>Official India Code, CDSCO, PCI, NPPA and MoHFW sources</x:v>
      </x:c>
      <x:c r="H3401" s="33" t="str">
        <x:v>P-4</x:v>
      </x:c>
      <x:c r="I3401" s="33" t="str">
        <x:v>P-4</x:v>
      </x:c>
      <x:c r="J3401" s="33" t="str">
        <x:v>2026-08-20</x:v>
      </x:c>
      <x:c r="K3401" s="33" t="str">
        <x:v>P-4 source trail added without changing production schemas.</x:v>
      </x:c>
    </x:row>
    <x:row r="3402">
      <x:c r="A3402" s="33" t="str">
        <x:v>P4-SRC005</x:v>
      </x:c>
      <x:c r="B3402" s="33" t="str">
        <x:v>Regulatory Source Register</x:v>
      </x:c>
      <x:c r="C3402" s="33" t="str">
        <x:v>Not present</x:v>
      </x:c>
      <x:c r="D3402" s="33" t="str">
        <x:v>Source ID=P4-SRC005; Legal Instrument=Medical Devices Rules, 2017; Regulator=CDSCO; Instrument Type=Rules; Authoritative Source=https://cdsco.gov.in/opencms/opencms/en/Acts-and-rules/Medical-Devices-Rules/; Current Version / Amendment Position=Includes seller-registration amendments and current official publications; Effective Date=Current; Applicability Scope=Sale/stock/distribution of medical devices; Sub-Sectors / Entity Types=Any approved sub-sector selling devices; Statutory Provisions Considered=Rules 87, 87A, 87B, 87C and 88; Included / Excluded=Included; Workbook Action=Corrected seller licence/MD-42, records, retention and hospital-supply controls; Source URL / Citation=https://cdsco.gov.in/opencms/opencms/en/Acts-and-rules/Medical-Devices-Rules/; Validation Status=Validated</x:v>
      </x:c>
      <x:c r="E3402" s="33" t="str">
        <x:v>ADD</x:v>
      </x:c>
      <x:c r="F3402" s="33" t="str">
        <x:v>Add authoritative P-4 technical-law and entity-applicability sources.</x:v>
      </x:c>
      <x:c r="G3402" s="33" t="str">
        <x:v>Official India Code, CDSCO, PCI, NPPA and MoHFW sources</x:v>
      </x:c>
      <x:c r="H3402" s="33" t="str">
        <x:v>P-4</x:v>
      </x:c>
      <x:c r="I3402" s="33" t="str">
        <x:v>P-4</x:v>
      </x:c>
      <x:c r="J3402" s="33" t="str">
        <x:v>2026-08-20</x:v>
      </x:c>
      <x:c r="K3402" s="33" t="str">
        <x:v>P-4 source trail added without changing production schemas.</x:v>
      </x:c>
    </x:row>
    <x:row r="3403">
      <x:c r="A3403" s="33" t="str">
        <x:v>P4-SRC006</x:v>
      </x:c>
      <x:c r="B3403" s="33" t="str">
        <x:v>Regulatory Source Register</x:v>
      </x:c>
      <x:c r="C3403" s="33" t="str">
        <x:v>Not present</x:v>
      </x:c>
      <x:c r="D3403" s="33" t="str">
        <x:v>Source ID=P4-SRC006; Legal Instrument=Cosmetics Rules, 2020; Regulator=CDSCO; Instrument Type=Rules; Authoritative Source=https://cdsco.gov.in/opencms/opencms/en/Acts-and-rules/Cosmetics-Rules/; Current Version / Amendment Position=Current official publication set through validation date; Effective Date=Current; Applicability Scope=Retail sale/distribution of cosmetics; Sub-Sectors / Entity Types=Any approved sub-sector selling cosmetics; Statutory Provisions Considered=Rules 33–36 and 39; Included / Excluded=Included; Workbook Action=Corrected retail-facing controls; manufacturer/import duties excluded; Source URL / Citation=https://cdsco.gov.in/opencms/opencms/en/Acts-and-rules/Cosmetics-Rules/; Validation Status=Validated</x:v>
      </x:c>
      <x:c r="E3403" s="33" t="str">
        <x:v>ADD</x:v>
      </x:c>
      <x:c r="F3403" s="33" t="str">
        <x:v>Add authoritative P-4 technical-law and entity-applicability sources.</x:v>
      </x:c>
      <x:c r="G3403" s="33" t="str">
        <x:v>Official India Code, CDSCO, PCI, NPPA and MoHFW sources</x:v>
      </x:c>
      <x:c r="H3403" s="33" t="str">
        <x:v>P-4</x:v>
      </x:c>
      <x:c r="I3403" s="33" t="str">
        <x:v>P-4</x:v>
      </x:c>
      <x:c r="J3403" s="33" t="str">
        <x:v>2026-08-20</x:v>
      </x:c>
      <x:c r="K3403" s="33" t="str">
        <x:v>P-4 source trail added without changing production schemas.</x:v>
      </x:c>
    </x:row>
    <x:row r="3404">
      <x:c r="A3404" s="33" t="str">
        <x:v>P4-SRC007</x:v>
      </x:c>
      <x:c r="B3404" s="33" t="str">
        <x:v>Regulatory Source Register</x:v>
      </x:c>
      <x:c r="C3404" s="33" t="str">
        <x:v>Not present</x:v>
      </x:c>
      <x:c r="D3404" s="33" t="str">
        <x:v>Source ID=P4-SRC007; Legal Instrument=Clinical Establishments (Registration and Regulation) Act, 2010; Regulator=India Code / MoHFW; Instrument Type=Act / jurisdiction portal; Authoritative Source=https://www.indiacode.nic.in/handle/123456789/2048; Current Version / Amendment Position=Current central Act with State/UT adoption boundary; Effective Date=Current where adopted; Applicability Scope=Covered clinical-establishment role; Sub-Sectors / Entity Types=Hospital or institutional pharmacy only when part of covered establishment; Statutory Provisions Considered=Sections 11, 12, 18, 22 and 30(4); Included / Excluded=Conditional; Workbook Action=Entity and jurisdiction trigger made explicit; Source URL / Citation=https://www.clinicalestablishments.mohfw.gov.in/; Validation Status=Validated</x:v>
      </x:c>
      <x:c r="E3404" s="33" t="str">
        <x:v>ADD</x:v>
      </x:c>
      <x:c r="F3404" s="33" t="str">
        <x:v>Add authoritative P-4 technical-law and entity-applicability sources.</x:v>
      </x:c>
      <x:c r="G3404" s="33" t="str">
        <x:v>Official India Code, CDSCO, PCI, NPPA and MoHFW sources</x:v>
      </x:c>
      <x:c r="H3404" s="33" t="str">
        <x:v>P-4</x:v>
      </x:c>
      <x:c r="I3404" s="33" t="str">
        <x:v>P-4</x:v>
      </x:c>
      <x:c r="J3404" s="33" t="str">
        <x:v>2026-08-20</x:v>
      </x:c>
      <x:c r="K3404" s="33" t="str">
        <x:v>P-4 source trail added without changing production schemas.</x:v>
      </x:c>
    </x:row>
    <x:row r="3405">
      <x:c r="A3405" s="33" t="str">
        <x:v>P4-SRC008</x:v>
      </x:c>
      <x:c r="B3405" s="33" t="str">
        <x:v>Regulatory Source Register</x:v>
      </x:c>
      <x:c r="C3405" s="33" t="str">
        <x:v>Not present</x:v>
      </x:c>
      <x:c r="D3405" s="33" t="str">
        <x:v>Source ID=P4-SRC008; Legal Instrument=Draft e-pharmacy Rules notification G.S.R. 817(E), 2018; Regulator=CDSCO; Instrument Type=Draft notification; Authoritative Source=https://cdsco.gov.in/opencms/opencms/en/Notifications/Gazette-Notifications/; Current Version / Amendment Position=Draft; no final dedicated e-pharmacy rule activated through cutoff; Effective Date=Draft; Applicability Scope=Online sale proposal; Sub-Sectors / Entity Types=E-Pharmacy; Statutory Provisions Considered=Draft Part VIB proposal; Included / Excluded=Excluded as binding law; Workbook Action=Existing Drugs Rules, e-commerce, IT and cyber duties remain separately applicable; Source URL / Citation=https://cdsco.gov.in/opencms/opencms/en/Notifications/Gazette-Notifications/; Validation Status=Validated</x:v>
      </x:c>
      <x:c r="E3405" s="33" t="str">
        <x:v>ADD</x:v>
      </x:c>
      <x:c r="F3405" s="33" t="str">
        <x:v>Add authoritative P-4 technical-law and entity-applicability sources.</x:v>
      </x:c>
      <x:c r="G3405" s="33" t="str">
        <x:v>Official India Code, CDSCO, PCI, NPPA and MoHFW sources</x:v>
      </x:c>
      <x:c r="H3405" s="33" t="str">
        <x:v>P-4</x:v>
      </x:c>
      <x:c r="I3405" s="33" t="str">
        <x:v>P-4</x:v>
      </x:c>
      <x:c r="J3405" s="33" t="str">
        <x:v>2026-08-20</x:v>
      </x:c>
      <x:c r="K3405" s="33" t="str">
        <x:v>P-4 source trail added without changing production schemas.</x:v>
      </x:c>
    </x:row>
    <x:row r="3406">
      <x:c r="A3406" s="33" t="str">
        <x:v>P4-EX001</x:v>
      </x:c>
      <x:c r="B3406" s="33" t="str">
        <x:v>Exclusion Register</x:v>
      </x:c>
      <x:c r="C3406" s="33" t="str">
        <x:v>Not present</x:v>
      </x:c>
      <x:c r="D3406" s="33" t="str">
        <x:v>Exclusion ID=P4-EX001; Instrument / Provision Family=Drug/cosmetic/medical-device manufacture and import duties; Regulated Entity / Activity=Manufacturer / importer; Reason Excluded or Conditional=Not part of the approved pharmacy-operator taxonomy; Classification=Out of Scope; Decision Required=Create a separately governed entity profile before activation; Treatment=Quarantined or excluded; seller duties retained; Source Register ID=P4-SRC005/P4-SRC006</x:v>
      </x:c>
      <x:c r="E3406" s="33" t="str">
        <x:v>ADD</x:v>
      </x:c>
      <x:c r="F3406" s="33" t="str">
        <x:v>Record P-4 role, jurisdiction, draft and Common-Core boundaries.</x:v>
      </x:c>
      <x:c r="G3406" s="33" t="str">
        <x:v>P-4 entity-applicability validation</x:v>
      </x:c>
      <x:c r="H3406" s="33" t="str">
        <x:v>P-4</x:v>
      </x:c>
      <x:c r="I3406" s="33" t="str">
        <x:v>P-4</x:v>
      </x:c>
      <x:c r="J3406" s="33" t="str">
        <x:v>2026-08-20</x:v>
      </x:c>
      <x:c r="K3406" s="33" t="str">
        <x:v>Out-of-scope duties remain traceable without polluting the Pharmacy production universe.</x:v>
      </x:c>
    </x:row>
    <x:row r="3407">
      <x:c r="A3407" s="33" t="str">
        <x:v>P4-EX002</x:v>
      </x:c>
      <x:c r="B3407" s="33" t="str">
        <x:v>Exclusion Register</x:v>
      </x:c>
      <x:c r="C3407" s="33" t="str">
        <x:v>Not present</x:v>
      </x:c>
      <x:c r="D3407" s="33" t="str">
        <x:v>Exclusion ID=P4-EX002; Instrument / Provision Family=Clinical-trial and new-drug approval duties; Regulated Entity / Activity=Sponsor / investigator / trial site; Reason Excluded or Conditional=Different regulated activity and entity role; Classification=Out of Scope; Decision Required=Separate taxonomy and full regulatory universe required; Treatment=LAW008 inactive; no production chain activated; Source Register ID=P4-SRC008</x:v>
      </x:c>
      <x:c r="E3407" s="33" t="str">
        <x:v>ADD</x:v>
      </x:c>
      <x:c r="F3407" s="33" t="str">
        <x:v>Record P-4 role, jurisdiction, draft and Common-Core boundaries.</x:v>
      </x:c>
      <x:c r="G3407" s="33" t="str">
        <x:v>P-4 entity-applicability validation</x:v>
      </x:c>
      <x:c r="H3407" s="33" t="str">
        <x:v>P-4</x:v>
      </x:c>
      <x:c r="I3407" s="33" t="str">
        <x:v>P-4</x:v>
      </x:c>
      <x:c r="J3407" s="33" t="str">
        <x:v>2026-08-20</x:v>
      </x:c>
      <x:c r="K3407" s="33" t="str">
        <x:v>Out-of-scope duties remain traceable without polluting the Pharmacy production universe.</x:v>
      </x:c>
    </x:row>
    <x:row r="3408">
      <x:c r="A3408" s="33" t="str">
        <x:v>P4-EX003</x:v>
      </x:c>
      <x:c r="B3408" s="33" t="str">
        <x:v>Exclusion Register</x:v>
      </x:c>
      <x:c r="C3408" s="33" t="str">
        <x:v>Not present</x:v>
      </x:c>
      <x:c r="D3408" s="33" t="str">
        <x:v>Exclusion ID=P4-EX003; Instrument / Provision Family=Customs, FTDR and Foreign Trade Policy duties; Regulated Entity / Activity=Importer / exporter; Reason Excluded or Conditional=Triggered only by separate import/export role; Classification=Out of Scope; Decision Required=Attach exact importer/exporter profile before activation; Treatment=LAW068–070 inactive; Source Register ID=P4-SRC005</x:v>
      </x:c>
      <x:c r="E3408" s="33" t="str">
        <x:v>ADD</x:v>
      </x:c>
      <x:c r="F3408" s="33" t="str">
        <x:v>Record P-4 role, jurisdiction, draft and Common-Core boundaries.</x:v>
      </x:c>
      <x:c r="G3408" s="33" t="str">
        <x:v>P-4 entity-applicability validation</x:v>
      </x:c>
      <x:c r="H3408" s="33" t="str">
        <x:v>P-4</x:v>
      </x:c>
      <x:c r="I3408" s="33" t="str">
        <x:v>P-4</x:v>
      </x:c>
      <x:c r="J3408" s="33" t="str">
        <x:v>2026-08-20</x:v>
      </x:c>
      <x:c r="K3408" s="33" t="str">
        <x:v>Out-of-scope duties remain traceable without polluting the Pharmacy production universe.</x:v>
      </x:c>
    </x:row>
    <x:row r="3409">
      <x:c r="A3409" s="33" t="str">
        <x:v>P4-EX004</x:v>
      </x:c>
      <x:c r="B3409" s="33" t="str">
        <x:v>Exclusion Register</x:v>
      </x:c>
      <x:c r="C3409" s="33" t="str">
        <x:v>Not present</x:v>
      </x:c>
      <x:c r="D3409" s="33" t="str">
        <x:v>Exclusion ID=P4-EX004; Instrument / Provision Family=Generic State drug-control, pharmacy-council and clinical-establishment placeholders; Regulated Entity / Activity=Entity in exact State/UT jurisdiction; Reason Excluded or Conditional=A generic label is not an authoritative instrument; Classification=Jurisdiction Required; Decision Required=Attach exact State law, rule, circular/order and effective date; Treatment=LAW076–078 and LAW081 chains inactive; Source Register ID=P4-SRC001/P4-SRC007</x:v>
      </x:c>
      <x:c r="E3409" s="33" t="str">
        <x:v>ADD</x:v>
      </x:c>
      <x:c r="F3409" s="33" t="str">
        <x:v>Record P-4 role, jurisdiction, draft and Common-Core boundaries.</x:v>
      </x:c>
      <x:c r="G3409" s="33" t="str">
        <x:v>P-4 entity-applicability validation</x:v>
      </x:c>
      <x:c r="H3409" s="33" t="str">
        <x:v>P-4</x:v>
      </x:c>
      <x:c r="I3409" s="33" t="str">
        <x:v>P-4</x:v>
      </x:c>
      <x:c r="J3409" s="33" t="str">
        <x:v>2026-08-20</x:v>
      </x:c>
      <x:c r="K3409" s="33" t="str">
        <x:v>Out-of-scope duties remain traceable without polluting the Pharmacy production universe.</x:v>
      </x:c>
    </x:row>
    <x:row r="3410">
      <x:c r="A3410" s="33" t="str">
        <x:v>P4-EX005</x:v>
      </x:c>
      <x:c r="B3410" s="33" t="str">
        <x:v>Exclusion Register</x:v>
      </x:c>
      <x:c r="C3410" s="33" t="str">
        <x:v>Not present</x:v>
      </x:c>
      <x:c r="D3410" s="33" t="str">
        <x:v>Exclusion ID=P4-EX005; Instrument / Provision Family=Disaster/epidemic recurring duties without an exact order; Regulated Entity / Activity=Person subject to a current territorial order; Reason Excluded or Conditional=Parent Acts do not create the generic recurring controls previously stated; Classification=Event / Order Required; Decision Required=Attach exact order, territory and operative period; Treatment=LAW089–090 production chains inactive; Source Register ID=P-3/P-4</x:v>
      </x:c>
      <x:c r="E3410" s="33" t="str">
        <x:v>ADD</x:v>
      </x:c>
      <x:c r="F3410" s="33" t="str">
        <x:v>Record P-4 role, jurisdiction, draft and Common-Core boundaries.</x:v>
      </x:c>
      <x:c r="G3410" s="33" t="str">
        <x:v>P-4 entity-applicability validation</x:v>
      </x:c>
      <x:c r="H3410" s="33" t="str">
        <x:v>P-4</x:v>
      </x:c>
      <x:c r="I3410" s="33" t="str">
        <x:v>P-4</x:v>
      </x:c>
      <x:c r="J3410" s="33" t="str">
        <x:v>2026-08-20</x:v>
      </x:c>
      <x:c r="K3410" s="33" t="str">
        <x:v>Out-of-scope duties remain traceable without polluting the Pharmacy production universe.</x:v>
      </x:c>
    </x:row>
    <x:row r="3411">
      <x:c r="A3411" s="33" t="str">
        <x:v>P4-EX006</x:v>
      </x:c>
      <x:c r="B3411" s="33" t="str">
        <x:v>Exclusion Register</x:v>
      </x:c>
      <x:c r="C3411" s="33" t="str">
        <x:v>Not present</x:v>
      </x:c>
      <x:c r="D3411" s="33" t="str">
        <x:v>Exclusion ID=P4-EX006; Instrument / Provision Family=Dedicated e-pharmacy rules under G.S.R. 817(E), 2018; Regulated Entity / Activity=E-Pharmacy; Reason Excluded or Conditional=Instrument remains draft at cutoff; Classification=Draft / Inactive; Decision Required=Monitor official Gazette; do not activate early; Treatment=LAW014/LAW071 remain inactive/source-only; Source Register ID=P4-SRC008</x:v>
      </x:c>
      <x:c r="E3411" s="33" t="str">
        <x:v>ADD</x:v>
      </x:c>
      <x:c r="F3411" s="33" t="str">
        <x:v>Record P-4 role, jurisdiction, draft and Common-Core boundaries.</x:v>
      </x:c>
      <x:c r="G3411" s="33" t="str">
        <x:v>P-4 entity-applicability validation</x:v>
      </x:c>
      <x:c r="H3411" s="33" t="str">
        <x:v>P-4</x:v>
      </x:c>
      <x:c r="I3411" s="33" t="str">
        <x:v>P-4</x:v>
      </x:c>
      <x:c r="J3411" s="33" t="str">
        <x:v>2026-08-20</x:v>
      </x:c>
      <x:c r="K3411" s="33" t="str">
        <x:v>Out-of-scope duties remain traceable without polluting the Pharmacy production universe.</x:v>
      </x:c>
    </x:row>
    <x:row r="3412">
      <x:c r="A3412" s="33" t="str">
        <x:v>P4-EX007</x:v>
      </x:c>
      <x:c r="B3412" s="33" t="str">
        <x:v>Exclusion Register</x:v>
      </x:c>
      <x:c r="C3412" s="33" t="str">
        <x:v>Not present</x:v>
      </x:c>
      <x:c r="D3412" s="33" t="str">
        <x:v>Exclusion ID=P4-EX007; Instrument / Provision Family=Companies Act / LLP governance; Regulated Entity / Activity=Company / LLP; Reason Excluded or Conditional=Owned by the separate Common Corporate Core; Classification=Common Core; Decision Required=Combine only at runtime based on legal form; Treatment=No Pharmacy duplication; Source Register ID=P-0</x:v>
      </x:c>
      <x:c r="E3412" s="33" t="str">
        <x:v>ADD</x:v>
      </x:c>
      <x:c r="F3412" s="33" t="str">
        <x:v>Record P-4 role, jurisdiction, draft and Common-Core boundaries.</x:v>
      </x:c>
      <x:c r="G3412" s="33" t="str">
        <x:v>P-4 entity-applicability validation</x:v>
      </x:c>
      <x:c r="H3412" s="33" t="str">
        <x:v>P-4</x:v>
      </x:c>
      <x:c r="I3412" s="33" t="str">
        <x:v>P-4</x:v>
      </x:c>
      <x:c r="J3412" s="33" t="str">
        <x:v>2026-08-20</x:v>
      </x:c>
      <x:c r="K3412" s="33" t="str">
        <x:v>Out-of-scope duties remain traceable without polluting the Pharmacy production universe.</x:v>
      </x:c>
    </x:row>
    <x:row r="3413">
      <x:c r="A3413" s="33" t="str">
        <x:v>P4-P4TechnicalCoverageTable</x:v>
      </x:c>
      <x:c r="B3413" s="33" t="str">
        <x:v>P4 Technical Coverage</x:v>
      </x:c>
      <x:c r="C3413" s="33" t="str">
        <x:v>Not present</x:v>
      </x:c>
      <x:c r="D3413" s="33" t="str">
        <x:v>9 controlled rows</x:v>
      </x:c>
      <x:c r="E3413" s="33" t="str">
        <x:v>ADD</x:v>
      </x:c>
      <x:c r="F3413" s="33" t="str">
        <x:v>Create P4 Technical Coverage.</x:v>
      </x:c>
      <x:c r="G3413" s="33" t="str">
        <x:v>P-4 validation</x:v>
      </x:c>
      <x:c r="H3413" s="33" t="str">
        <x:v>P-4</x:v>
      </x:c>
      <x:c r="I3413" s="33" t="str">
        <x:v>P-4</x:v>
      </x:c>
      <x:c r="J3413" s="33" t="str">
        <x:v>2026-08-20</x:v>
      </x:c>
      <x:c r="K3413" s="33" t="str">
        <x:v>Supporting register added; production schemas unchanged.</x:v>
      </x:c>
    </x:row>
    <x:row r="3414">
      <x:c r="A3414" s="33" t="str">
        <x:v>P4-P4EntityApplicabilityTable</x:v>
      </x:c>
      <x:c r="B3414" s="33" t="str">
        <x:v>P4 Entity Applicability</x:v>
      </x:c>
      <x:c r="C3414" s="33" t="str">
        <x:v>Not present</x:v>
      </x:c>
      <x:c r="D3414" s="33" t="str">
        <x:v>9 controlled rows</x:v>
      </x:c>
      <x:c r="E3414" s="33" t="str">
        <x:v>ADD</x:v>
      </x:c>
      <x:c r="F3414" s="33" t="str">
        <x:v>Create P4 Entity Applicability.</x:v>
      </x:c>
      <x:c r="G3414" s="33" t="str">
        <x:v>P-4 validation</x:v>
      </x:c>
      <x:c r="H3414" s="33" t="str">
        <x:v>P-4</x:v>
      </x:c>
      <x:c r="I3414" s="33" t="str">
        <x:v>P-4</x:v>
      </x:c>
      <x:c r="J3414" s="33" t="str">
        <x:v>2026-08-20</x:v>
      </x:c>
      <x:c r="K3414" s="33" t="str">
        <x:v>Supporting register added; production schemas unchanged.</x:v>
      </x:c>
    </x:row>
    <x:row r="3415">
      <x:c r="A3415" s="33" t="str">
        <x:v>P4-P4RoleBoundaryTable</x:v>
      </x:c>
      <x:c r="B3415" s="33" t="str">
        <x:v>P4 Role Boundary Register</x:v>
      </x:c>
      <x:c r="C3415" s="33" t="str">
        <x:v>Not present</x:v>
      </x:c>
      <x:c r="D3415" s="33" t="str">
        <x:v>9 controlled rows</x:v>
      </x:c>
      <x:c r="E3415" s="33" t="str">
        <x:v>ADD</x:v>
      </x:c>
      <x:c r="F3415" s="33" t="str">
        <x:v>Create P4 Role Boundary Register.</x:v>
      </x:c>
      <x:c r="G3415" s="33" t="str">
        <x:v>P-4 validation</x:v>
      </x:c>
      <x:c r="H3415" s="33" t="str">
        <x:v>P-4</x:v>
      </x:c>
      <x:c r="I3415" s="33" t="str">
        <x:v>P-4</x:v>
      </x:c>
      <x:c r="J3415" s="33" t="str">
        <x:v>2026-08-20</x:v>
      </x:c>
      <x:c r="K3415" s="33" t="str">
        <x:v>Supporting register added; production schemas unchanged.</x:v>
      </x:c>
    </x:row>
    <x:row r="3416">
      <x:c r="A3416" s="33" t="str">
        <x:v>P4-P4ChainClosureTable</x:v>
      </x:c>
      <x:c r="B3416" s="33" t="str">
        <x:v>P4 Chain Closure</x:v>
      </x:c>
      <x:c r="C3416" s="33" t="str">
        <x:v>Not present</x:v>
      </x:c>
      <x:c r="D3416" s="33" t="str">
        <x:v>11 controlled rows</x:v>
      </x:c>
      <x:c r="E3416" s="33" t="str">
        <x:v>ADD</x:v>
      </x:c>
      <x:c r="F3416" s="33" t="str">
        <x:v>Create P4 Chain Closure.</x:v>
      </x:c>
      <x:c r="G3416" s="33" t="str">
        <x:v>P-4 validation</x:v>
      </x:c>
      <x:c r="H3416" s="33" t="str">
        <x:v>P-4</x:v>
      </x:c>
      <x:c r="I3416" s="33" t="str">
        <x:v>P-4</x:v>
      </x:c>
      <x:c r="J3416" s="33" t="str">
        <x:v>2026-08-20</x:v>
      </x:c>
      <x:c r="K3416" s="33" t="str">
        <x:v>Supporting register added; production schemas unchanged.</x:v>
      </x:c>
    </x:row>
    <x:row r="3417">
      <x:c r="A3417" s="33" t="str">
        <x:v>P4-GATE</x:v>
      </x:c>
      <x:c r="B3417" s="33" t="str">
        <x:v>P4 Gate Summary</x:v>
      </x:c>
      <x:c r="C3417" s="33" t="str">
        <x:v>Not present</x:v>
      </x:c>
      <x:c r="D3417" s="33" t="str">
        <x:v>P-4 gate PASS; workbook FROZEN</x:v>
      </x:c>
      <x:c r="E3417" s="33" t="str">
        <x:v>ADD</x:v>
      </x:c>
      <x:c r="F3417" s="33" t="str">
        <x:v>Formalize final Pharmacy gate and freeze decision.</x:v>
      </x:c>
      <x:c r="G3417" s="33" t="str">
        <x:v>P-4 validation</x:v>
      </x:c>
      <x:c r="H3417" s="33" t="str">
        <x:v>P-4</x:v>
      </x:c>
      <x:c r="I3417" s="33" t="str">
        <x:v>P-4</x:v>
      </x:c>
      <x:c r="J3417" s="33" t="str">
        <x:v>2026-08-20</x:v>
      </x:c>
      <x:c r="K3417" s="33" t="str">
        <x:v>P-0 through P-4 are complete.</x:v>
      </x:c>
    </x:row>
    <x:row r="3418">
      <x:c r="A3418" s="33" t="str">
        <x:v>Status</x:v>
      </x:c>
      <x:c r="B3418" s="33" t="str">
        <x:v>README</x:v>
      </x:c>
      <x:c r="C3418" s="33" t="str">
        <x:v>Value=WORKING COPY — P-0 through P-3 gates complete; not frozen pending remaining Pharmacy technical/entity-applicability validation.</x:v>
      </x:c>
      <x:c r="D3418" s="33" t="str">
        <x:v>Value=PRODUCTION DATASET — REGULATORY COVERAGE VALIDATED &amp; FROZEN (P-0 through P-4 complete)</x:v>
      </x:c>
      <x:c r="E3418" s="33" t="str">
        <x:v>CORRECT</x:v>
      </x:c>
      <x:c r="F3418" s="33" t="str">
        <x:v>Synchronize final P-4 status.</x:v>
      </x:c>
      <x:c r="G3418" s="33" t="str">
        <x:v>P4 Gate Summary</x:v>
      </x:c>
      <x:c r="H3418" s="33" t="str">
        <x:v>P-4</x:v>
      </x:c>
      <x:c r="I3418" s="33" t="str">
        <x:v>P-4</x:v>
      </x:c>
      <x:c r="J3418" s="33" t="str">
        <x:v>2026-08-20</x:v>
      </x:c>
      <x:c r="K3418" s="33" t="str">
        <x:v>Final gate status synchronized.</x:v>
      </x:c>
    </x:row>
    <x:row r="3419">
      <x:c r="A3419" s="33" t="str">
        <x:v>Generated On</x:v>
      </x:c>
      <x:c r="B3419" s="33" t="str">
        <x:v>README</x:v>
      </x:c>
      <x:c r="C3419" s="33" t="str">
        <x:v>Value=2026-08-20</x:v>
      </x:c>
      <x:c r="D3419" s="33" t="str">
        <x:v>Value=2026-08-20</x:v>
      </x:c>
      <x:c r="E3419" s="33" t="str">
        <x:v>CORRECT</x:v>
      </x:c>
      <x:c r="F3419" s="33" t="str">
        <x:v>Synchronize final P-4 status.</x:v>
      </x:c>
      <x:c r="G3419" s="33" t="str">
        <x:v>P4 Gate Summary</x:v>
      </x:c>
      <x:c r="H3419" s="33" t="str">
        <x:v>P-4</x:v>
      </x:c>
      <x:c r="I3419" s="33" t="str">
        <x:v>P-4</x:v>
      </x:c>
      <x:c r="J3419" s="33" t="str">
        <x:v>2026-08-20</x:v>
      </x:c>
      <x:c r="K3419" s="33" t="str">
        <x:v>Final gate status synchronized.</x:v>
      </x:c>
    </x:row>
    <x:row r="3420">
      <x:c r="A3420" s="33" t="str">
        <x:v>Important Note</x:v>
      </x:c>
      <x:c r="B3420" s="33" t="str">
        <x:v>README</x:v>
      </x:c>
      <x:c r="C3420" s="33" t="str">
        <x:v>Value=P-3 validates central environmental and cross-cutting general laws through 20 August 2026. State/local instruments remain jurisdiction-required; future-effective duties are not activated early.</x:v>
      </x:c>
      <x:c r="D3420" s="33" t="str">
        <x:v>Value=P-4 completed current central technical-law, nine-sub-sector entity applicability and whole-workbook execution-chain validation through 20 August 2026. Exact State/local/event instruments activate only after jurisdiction profiling; future/draft duties remain inactive.</x:v>
      </x:c>
      <x:c r="E3420" s="33" t="str">
        <x:v>CORRECT</x:v>
      </x:c>
      <x:c r="F3420" s="33" t="str">
        <x:v>Synchronize final P-4 status.</x:v>
      </x:c>
      <x:c r="G3420" s="33" t="str">
        <x:v>P4 Gate Summary</x:v>
      </x:c>
      <x:c r="H3420" s="33" t="str">
        <x:v>P-4</x:v>
      </x:c>
      <x:c r="I3420" s="33" t="str">
        <x:v>P-4</x:v>
      </x:c>
      <x:c r="J3420" s="33" t="str">
        <x:v>2026-08-20</x:v>
      </x:c>
      <x:c r="K3420" s="33" t="str">
        <x:v>Final gate status synchronized.</x:v>
      </x:c>
    </x:row>
    <x:row r="3421">
      <x:c r="A3421" s="33" t="str">
        <x:v>Change Control</x:v>
      </x:c>
      <x:c r="B3421" s="33" t="str">
        <x:v>README</x:v>
      </x:c>
      <x:c r="C3421" s="33" t="str">
        <x:v>Value=Preserve the frozen v1.0 baseline. Continue only through controlled phase versions and the Change Ledger; do not physically merge the Common Corporate Core.</x:v>
      </x:c>
      <x:c r="D3421" s="33" t="str">
        <x:v>Value=This v1.1 workbook is frozen. Preserve it as the Pharmacy production baseline; apply later legal changes through controlled versions and the Change Ledger. Combine the separate Common Corporate Core only at runtime.</x:v>
      </x:c>
      <x:c r="E3421" s="33" t="str">
        <x:v>CORRECT</x:v>
      </x:c>
      <x:c r="F3421" s="33" t="str">
        <x:v>Synchronize final P-4 status.</x:v>
      </x:c>
      <x:c r="G3421" s="33" t="str">
        <x:v>P4 Gate Summary</x:v>
      </x:c>
      <x:c r="H3421" s="33" t="str">
        <x:v>P-4</x:v>
      </x:c>
      <x:c r="I3421" s="33" t="str">
        <x:v>P-4</x:v>
      </x:c>
      <x:c r="J3421" s="33" t="str">
        <x:v>2026-08-20</x:v>
      </x:c>
      <x:c r="K3421" s="33" t="str">
        <x:v>Final gate status synchronized.</x:v>
      </x:c>
    </x:row>
    <x:row r="3422">
      <x:c r="A3422" s="33" t="str">
        <x:v>Version</x:v>
      </x:c>
      <x:c r="B3422" s="33" t="str">
        <x:v>Freeze Certificate</x:v>
      </x:c>
      <x:c r="C3422" s="33" t="str">
        <x:v>Value=1.0</x:v>
      </x:c>
      <x:c r="D3422" s="33" t="str">
        <x:v>Value=1.1</x:v>
      </x:c>
      <x:c r="E3422" s="33" t="str">
        <x:v>CORRECT</x:v>
      </x:c>
      <x:c r="F3422" s="33" t="str">
        <x:v>Synchronize final P-4 status.</x:v>
      </x:c>
      <x:c r="G3422" s="33" t="str">
        <x:v>P4 Gate Summary</x:v>
      </x:c>
      <x:c r="H3422" s="33" t="str">
        <x:v>P-4</x:v>
      </x:c>
      <x:c r="I3422" s="33" t="str">
        <x:v>P-4</x:v>
      </x:c>
      <x:c r="J3422" s="33" t="str">
        <x:v>2026-08-20</x:v>
      </x:c>
      <x:c r="K3422" s="33" t="str">
        <x:v>Final gate status synchronized.</x:v>
      </x:c>
    </x:row>
    <x:row r="3423">
      <x:c r="A3423" s="33" t="str">
        <x:v>Status</x:v>
      </x:c>
      <x:c r="B3423" s="33" t="str">
        <x:v>Freeze Certificate</x:v>
      </x:c>
      <x:c r="C3423" s="33" t="str">
        <x:v>Value=BASELINE CERTIFICATE RETAINED — P-3 WORKING COPY NOT FROZEN</x:v>
      </x:c>
      <x:c r="D3423" s="33" t="str">
        <x:v>Value=PRODUCTION DATASET — REGULATORY COVERAGE VALIDATED &amp; FROZEN</x:v>
      </x:c>
      <x:c r="E3423" s="33" t="str">
        <x:v>CORRECT</x:v>
      </x:c>
      <x:c r="F3423" s="33" t="str">
        <x:v>Synchronize final P-4 status.</x:v>
      </x:c>
      <x:c r="G3423" s="33" t="str">
        <x:v>P4 Gate Summary</x:v>
      </x:c>
      <x:c r="H3423" s="33" t="str">
        <x:v>P-4</x:v>
      </x:c>
      <x:c r="I3423" s="33" t="str">
        <x:v>P-4</x:v>
      </x:c>
      <x:c r="J3423" s="33" t="str">
        <x:v>2026-08-20</x:v>
      </x:c>
      <x:c r="K3423" s="33" t="str">
        <x:v>Final gate status synchronized.</x:v>
      </x:c>
    </x:row>
    <x:row r="3424">
      <x:c r="A3424" s="33" t="str">
        <x:v>Certified Dataset</x:v>
      </x:c>
      <x:c r="B3424" s="33" t="str">
        <x:v>Freeze Certificate</x:v>
      </x:c>
      <x:c r="C3424" s="33" t="str">
        <x:v>Value=Pharmacy_Production_Dataset_v1.0.xlsx</x:v>
      </x:c>
      <x:c r="D3424" s="33" t="str">
        <x:v>Value=Pharmacy_Production_Dataset_v1.1_P4_Regulatory_Coverage_Validated_Frozen.xlsx</x:v>
      </x:c>
      <x:c r="E3424" s="33" t="str">
        <x:v>CORRECT</x:v>
      </x:c>
      <x:c r="F3424" s="33" t="str">
        <x:v>Synchronize final P-4 status.</x:v>
      </x:c>
      <x:c r="G3424" s="33" t="str">
        <x:v>P4 Gate Summary</x:v>
      </x:c>
      <x:c r="H3424" s="33" t="str">
        <x:v>P-4</x:v>
      </x:c>
      <x:c r="I3424" s="33" t="str">
        <x:v>P-4</x:v>
      </x:c>
      <x:c r="J3424" s="33" t="str">
        <x:v>2026-08-20</x:v>
      </x:c>
      <x:c r="K3424" s="33" t="str">
        <x:v>Final gate status synchronized.</x:v>
      </x:c>
    </x:row>
    <x:row r="3425">
      <x:c r="A3425" s="33" t="str">
        <x:v>Certified On</x:v>
      </x:c>
      <x:c r="B3425" s="33" t="str">
        <x:v>Freeze Certificate</x:v>
      </x:c>
      <x:c r="C3425" s="33" t="str">
        <x:v>Value=2026-07-08</x:v>
      </x:c>
      <x:c r="D3425" s="33" t="str">
        <x:v>Value=2026-08-20</x:v>
      </x:c>
      <x:c r="E3425" s="33" t="str">
        <x:v>CORRECT</x:v>
      </x:c>
      <x:c r="F3425" s="33" t="str">
        <x:v>Synchronize final P-4 status.</x:v>
      </x:c>
      <x:c r="G3425" s="33" t="str">
        <x:v>P4 Gate Summary</x:v>
      </x:c>
      <x:c r="H3425" s="33" t="str">
        <x:v>P-4</x:v>
      </x:c>
      <x:c r="I3425" s="33" t="str">
        <x:v>P-4</x:v>
      </x:c>
      <x:c r="J3425" s="33" t="str">
        <x:v>2026-08-20</x:v>
      </x:c>
      <x:c r="K3425" s="33" t="str">
        <x:v>Final gate status synchronized.</x:v>
      </x:c>
    </x:row>
    <x:row r="3426">
      <x:c r="A3426" s="33" t="str">
        <x:v>Certification Statement</x:v>
      </x:c>
      <x:c r="B3426" s="33" t="str">
        <x:v>Freeze Certificate</x:v>
      </x:c>
      <x:c r="C3426" s="33" t="str">
        <x:v>Value=This sheet records the original v1.0 baseline certificate. The present P-3 working copy is not frozen and must not be treated as final production until P-4 and final closeout pass.</x:v>
      </x:c>
      <x:c r="D3426" s="33" t="str">
        <x:v>Value=P-0 through P-4 have passed. The Pharmacy production dataset is frozen with nine approved sub-sectors, complete active execution chains, controlled role/jurisdiction boundaries, and no duplicate Companies Act/LLP content. Exact State/local/event instruments and future-effective duties must be resolved through controlled runtime profiles or later versions.</x:v>
      </x:c>
      <x:c r="E3426" s="33" t="str">
        <x:v>CORRECT</x:v>
      </x:c>
      <x:c r="F3426" s="33" t="str">
        <x:v>Synchronize final P-4 status.</x:v>
      </x:c>
      <x:c r="G3426" s="33" t="str">
        <x:v>P4 Gate Summary</x:v>
      </x:c>
      <x:c r="H3426" s="33" t="str">
        <x:v>P-4</x:v>
      </x:c>
      <x:c r="I3426" s="33" t="str">
        <x:v>P-4</x:v>
      </x:c>
      <x:c r="J3426" s="33" t="str">
        <x:v>2026-08-20</x:v>
      </x:c>
      <x:c r="K3426" s="33" t="str">
        <x:v>Final gate status synchronized.</x:v>
      </x:c>
    </x:row>
    <x:row r="3427">
      <x:c r="A3427" s="33" t="str">
        <x:v>v1.1</x:v>
      </x:c>
      <x:c r="B3427" s="33" t="str">
        <x:v>Version History</x:v>
      </x:c>
      <x:c r="C3427" s="33" t="str">
        <x:v>Not present</x:v>
      </x:c>
      <x:c r="D3427" s="33" t="str">
        <x:v>REGULATORY COVERAGE VALIDATED &amp; FROZEN</x:v>
      </x:c>
      <x:c r="E3427" s="33" t="str">
        <x:v>ADD</x:v>
      </x:c>
      <x:c r="F3427" s="33" t="str">
        <x:v>Record P-4 completion and final freeze.</x:v>
      </x:c>
      <x:c r="G3427" s="33" t="str">
        <x:v>P4 Gate Summary</x:v>
      </x:c>
      <x:c r="H3427" s="33" t="str">
        <x:v>P-4</x:v>
      </x:c>
      <x:c r="I3427" s="33" t="str">
        <x:v>P-4</x:v>
      </x:c>
      <x:c r="J3427" s="33" t="str">
        <x:v>2026-08-20</x:v>
      </x:c>
      <x:c r="K3427" s="33" t="str">
        <x:v>Final production version created.</x:v>
      </x:c>
    </x:row>
    <x:row r="3428">
      <x:c r="A3428" s="33" t="str">
        <x:v>Production Schema QA</x:v>
      </x:c>
      <x:c r="B3428" s="33" t="str">
        <x:v>QA Summary</x:v>
      </x:c>
      <x:c r="C3428" s="33" t="str">
        <x:v>Result=PASS; Notes=All required production masters are present.</x:v>
      </x:c>
      <x:c r="D3428" s="33" t="str">
        <x:v>Result=PASS; Notes=All required production masters and P-0 through P-4 validation registers are present; production schemas and IDs are preserved.</x:v>
      </x:c>
      <x:c r="E3428" s="33" t="str">
        <x:v>CORRECT / RECLASSIFY</x:v>
      </x:c>
      <x:c r="F3428" s="33" t="str">
        <x:v>Record final whole-workbook P-4 QA and freeze decision.</x:v>
      </x:c>
      <x:c r="G3428" s="33" t="str">
        <x:v>P4 Gate Summary</x:v>
      </x:c>
      <x:c r="H3428" s="33" t="str">
        <x:v>P-4</x:v>
      </x:c>
      <x:c r="I3428" s="33" t="str">
        <x:v>P-4</x:v>
      </x:c>
      <x:c r="J3428" s="33" t="str">
        <x:v>2026-08-20</x:v>
      </x:c>
      <x:c r="K3428" s="33" t="str">
        <x:v>Final QA state synchronized.</x:v>
      </x:c>
    </x:row>
    <x:row r="3429">
      <x:c r="A3429" s="33" t="str">
        <x:v>Foreign Key Integrity</x:v>
      </x:c>
      <x:c r="B3429" s="33" t="str">
        <x:v>QA Summary</x:v>
      </x:c>
      <x:c r="C3429" s="33" t="str">
        <x:v>Result=PASS; Notes=No orphan records identified in production chain.</x:v>
      </x:c>
      <x:c r="D3429" s="33" t="str">
        <x:v>Result=PASS; Notes=No orphan records or active child records under inactive parents were identified after P-4 closeout.</x:v>
      </x:c>
      <x:c r="E3429" s="33" t="str">
        <x:v>CORRECT / RECLASSIFY</x:v>
      </x:c>
      <x:c r="F3429" s="33" t="str">
        <x:v>Record final whole-workbook P-4 QA and freeze decision.</x:v>
      </x:c>
      <x:c r="G3429" s="33" t="str">
        <x:v>P4 Gate Summary</x:v>
      </x:c>
      <x:c r="H3429" s="33" t="str">
        <x:v>P-4</x:v>
      </x:c>
      <x:c r="I3429" s="33" t="str">
        <x:v>P-4</x:v>
      </x:c>
      <x:c r="J3429" s="33" t="str">
        <x:v>2026-08-20</x:v>
      </x:c>
      <x:c r="K3429" s="33" t="str">
        <x:v>Final QA state synchronized.</x:v>
      </x:c>
    </x:row>
    <x:row r="3430">
      <x:c r="A3430" s="33" t="str">
        <x:v>Enum Validation</x:v>
      </x:c>
      <x:c r="B3430" s="33" t="str">
        <x:v>QA Summary</x:v>
      </x:c>
      <x:c r="C3430" s="33" t="str">
        <x:v>Result=P-3 SCOPE PASS — LEGACY BACKLOG; Notes=All P-3 added/modified production enum values were controlled. Jurisdiction and future-effective items are explicitly inactive; final whole-workbook closeout remains P-4.</x:v>
      </x:c>
      <x:c r="D3430" s="33" t="str">
        <x:v>Result=PASS; Notes=P-4 classifications use controlled values; statutory, conditional, optional and best-practice positions are explicit.</x:v>
      </x:c>
      <x:c r="E3430" s="33" t="str">
        <x:v>CORRECT / RECLASSIFY</x:v>
      </x:c>
      <x:c r="F3430" s="33" t="str">
        <x:v>Record final whole-workbook P-4 QA and freeze decision.</x:v>
      </x:c>
      <x:c r="G3430" s="33" t="str">
        <x:v>P4 Gate Summary</x:v>
      </x:c>
      <x:c r="H3430" s="33" t="str">
        <x:v>P-4</x:v>
      </x:c>
      <x:c r="I3430" s="33" t="str">
        <x:v>P-4</x:v>
      </x:c>
      <x:c r="J3430" s="33" t="str">
        <x:v>2026-08-20</x:v>
      </x:c>
      <x:c r="K3430" s="33" t="str">
        <x:v>Final QA state synchronized.</x:v>
      </x:c>
    </x:row>
    <x:row r="3431">
      <x:c r="A3431" s="33" t="str">
        <x:v>Duplicate Detection</x:v>
      </x:c>
      <x:c r="B3431" s="33" t="str">
        <x:v>QA Summary</x:v>
      </x:c>
      <x:c r="C3431" s="33" t="str">
        <x:v>Result=PASS; Notes=No duplicate primary keys in normalized production masters.</x:v>
      </x:c>
      <x:c r="D3431" s="33" t="str">
        <x:v>Result=PASS; Notes=No duplicate primary keys; duplicate/incomplete LAW099 provision records were retained inactive without renumbering.</x:v>
      </x:c>
      <x:c r="E3431" s="33" t="str">
        <x:v>CORRECT / RECLASSIFY</x:v>
      </x:c>
      <x:c r="F3431" s="33" t="str">
        <x:v>Record final whole-workbook P-4 QA and freeze decision.</x:v>
      </x:c>
      <x:c r="G3431" s="33" t="str">
        <x:v>P4 Gate Summary</x:v>
      </x:c>
      <x:c r="H3431" s="33" t="str">
        <x:v>P-4</x:v>
      </x:c>
      <x:c r="I3431" s="33" t="str">
        <x:v>P-4</x:v>
      </x:c>
      <x:c r="J3431" s="33" t="str">
        <x:v>2026-08-20</x:v>
      </x:c>
      <x:c r="K3431" s="33" t="str">
        <x:v>Final QA state synchronized.</x:v>
      </x:c>
    </x:row>
    <x:row r="3432">
      <x:c r="A3432" s="33" t="str">
        <x:v>Execution Chain Validation</x:v>
      </x:c>
      <x:c r="B3432" s="33" t="str">
        <x:v>QA Summary</x:v>
      </x:c>
      <x:c r="C3432" s="33" t="str">
        <x:v>Result=P-3 SCOPE PASS — WORKBOOK OPEN; Notes=All new P-3 production compliances have complete Law→Provision→Compliance→Audit→Evidence→Observation chains. Quarantined legacy chains are inactive.</x:v>
      </x:c>
      <x:c r="D3432" s="33" t="str">
        <x:v>Result=PASS; Notes=Every active Law→Provision→Compliance→Audit chain has active Evidence and Observation records.</x:v>
      </x:c>
      <x:c r="E3432" s="33" t="str">
        <x:v>CORRECT / RECLASSIFY</x:v>
      </x:c>
      <x:c r="F3432" s="33" t="str">
        <x:v>Record final whole-workbook P-4 QA and freeze decision.</x:v>
      </x:c>
      <x:c r="G3432" s="33" t="str">
        <x:v>P4 Gate Summary</x:v>
      </x:c>
      <x:c r="H3432" s="33" t="str">
        <x:v>P-4</x:v>
      </x:c>
      <x:c r="I3432" s="33" t="str">
        <x:v>P-4</x:v>
      </x:c>
      <x:c r="J3432" s="33" t="str">
        <x:v>2026-08-20</x:v>
      </x:c>
      <x:c r="K3432" s="33" t="str">
        <x:v>Final QA state synchronized.</x:v>
      </x:c>
    </x:row>
    <x:row r="3433">
      <x:c r="A3433" s="33" t="str">
        <x:v>Production Data Quality</x:v>
      </x:c>
      <x:c r="B3433" s="33" t="str">
        <x:v>QA Summary</x:v>
      </x:c>
      <x:c r="C3433" s="33" t="str">
        <x:v>Result=PASS; Notes=Research-only Gap/Delta columns removed from runtime masters.</x:v>
      </x:c>
      <x:c r="D3433" s="33" t="str">
        <x:v>Result=PASS; Notes=Technical citations, entity-role boundaries, audit alignment and source traceability passed P-4 validation.</x:v>
      </x:c>
      <x:c r="E3433" s="33" t="str">
        <x:v>CORRECT / RECLASSIFY</x:v>
      </x:c>
      <x:c r="F3433" s="33" t="str">
        <x:v>Record final whole-workbook P-4 QA and freeze decision.</x:v>
      </x:c>
      <x:c r="G3433" s="33" t="str">
        <x:v>P4 Gate Summary</x:v>
      </x:c>
      <x:c r="H3433" s="33" t="str">
        <x:v>P-4</x:v>
      </x:c>
      <x:c r="I3433" s="33" t="str">
        <x:v>P-4</x:v>
      </x:c>
      <x:c r="J3433" s="33" t="str">
        <x:v>2026-08-20</x:v>
      </x:c>
      <x:c r="K3433" s="33" t="str">
        <x:v>Final QA state synchronized.</x:v>
      </x:c>
    </x:row>
    <x:row r="3434">
      <x:c r="A3434" s="33" t="str">
        <x:v>Freeze Decision</x:v>
      </x:c>
      <x:c r="B3434" s="33" t="str">
        <x:v>QA Summary</x:v>
      </x:c>
      <x:c r="C3434" s="33" t="str">
        <x:v>Result=P-3 COMPLETE — NEXT GATE OPEN; Notes=Environmental/general-law validation passed through 20-08-2026. Workbook remains not frozen pending P-4 remaining technical/entity-applicability validation.</x:v>
      </x:c>
      <x:c r="D3434" s="33" t="str">
        <x:v>Result=PASS — FROZEN; Notes=P-0 through P-4 complete through 20-08-2026. Pharmacy v1.1 is regulatory-coverage validated and frozen.</x:v>
      </x:c>
      <x:c r="E3434" s="33" t="str">
        <x:v>CORRECT / RECLASSIFY</x:v>
      </x:c>
      <x:c r="F3434" s="33" t="str">
        <x:v>Record final whole-workbook P-4 QA and freeze decision.</x:v>
      </x:c>
      <x:c r="G3434" s="33" t="str">
        <x:v>P4 Gate Summary</x:v>
      </x:c>
      <x:c r="H3434" s="33" t="str">
        <x:v>P-4</x:v>
      </x:c>
      <x:c r="I3434" s="33" t="str">
        <x:v>P-4</x:v>
      </x:c>
      <x:c r="J3434" s="33" t="str">
        <x:v>2026-08-20</x:v>
      </x:c>
      <x:c r="K3434" s="33" t="str">
        <x:v>Final QA state synchronized.</x:v>
      </x:c>
    </x:row>
    <x:row r="3435">
      <x:c r="A3435" s="33" t="str">
        <x:v>QA-Law Master</x:v>
      </x:c>
      <x:c r="B3435" s="33" t="str">
        <x:v>QA Summary</x:v>
      </x:c>
      <x:c r="C3435" s="33" t="str">
        <x:v>Records=111</x:v>
      </x:c>
      <x:c r="D3435" s="33" t="str">
        <x:v>Records=111</x:v>
      </x:c>
      <x:c r="E3435" s="33" t="str">
        <x:v>CORRECT</x:v>
      </x:c>
      <x:c r="F3435" s="33" t="str">
        <x:v>Synchronize master record count after P-4 closeout.</x:v>
      </x:c>
      <x:c r="G3435" s="33" t="str">
        <x:v>P4 Gate Summary</x:v>
      </x:c>
      <x:c r="H3435" s="33" t="str">
        <x:v>P-4</x:v>
      </x:c>
      <x:c r="I3435" s="33" t="str">
        <x:v>P-4</x:v>
      </x:c>
      <x:c r="J3435" s="33" t="str">
        <x:v>2026-08-20</x:v>
      </x:c>
      <x:c r="K3435" s="33" t="str">
        <x:v>QA count updated.</x:v>
      </x:c>
    </x:row>
    <x:row r="3436">
      <x:c r="A3436" s="33" t="str">
        <x:v>QA-Law_ComplianceArea_Map</x:v>
      </x:c>
      <x:c r="B3436" s="33" t="str">
        <x:v>QA Summary</x:v>
      </x:c>
      <x:c r="C3436" s="33" t="str">
        <x:v>Records=161</x:v>
      </x:c>
      <x:c r="D3436" s="33" t="str">
        <x:v>Records=161</x:v>
      </x:c>
      <x:c r="E3436" s="33" t="str">
        <x:v>CORRECT</x:v>
      </x:c>
      <x:c r="F3436" s="33" t="str">
        <x:v>Synchronize master record count after P-4 closeout.</x:v>
      </x:c>
      <x:c r="G3436" s="33" t="str">
        <x:v>P4 Gate Summary</x:v>
      </x:c>
      <x:c r="H3436" s="33" t="str">
        <x:v>P-4</x:v>
      </x:c>
      <x:c r="I3436" s="33" t="str">
        <x:v>P-4</x:v>
      </x:c>
      <x:c r="J3436" s="33" t="str">
        <x:v>2026-08-20</x:v>
      </x:c>
      <x:c r="K3436" s="33" t="str">
        <x:v>QA count updated.</x:v>
      </x:c>
    </x:row>
    <x:row r="3437">
      <x:c r="A3437" s="33" t="str">
        <x:v>QA-Provision Master</x:v>
      </x:c>
      <x:c r="B3437" s="33" t="str">
        <x:v>QA Summary</x:v>
      </x:c>
      <x:c r="C3437" s="33" t="str">
        <x:v>Records=762</x:v>
      </x:c>
      <x:c r="D3437" s="33" t="str">
        <x:v>Records=762</x:v>
      </x:c>
      <x:c r="E3437" s="33" t="str">
        <x:v>CORRECT</x:v>
      </x:c>
      <x:c r="F3437" s="33" t="str">
        <x:v>Synchronize master record count after P-4 closeout.</x:v>
      </x:c>
      <x:c r="G3437" s="33" t="str">
        <x:v>P4 Gate Summary</x:v>
      </x:c>
      <x:c r="H3437" s="33" t="str">
        <x:v>P-4</x:v>
      </x:c>
      <x:c r="I3437" s="33" t="str">
        <x:v>P-4</x:v>
      </x:c>
      <x:c r="J3437" s="33" t="str">
        <x:v>2026-08-20</x:v>
      </x:c>
      <x:c r="K3437" s="33" t="str">
        <x:v>QA count updated.</x:v>
      </x:c>
    </x:row>
    <x:row r="3438">
      <x:c r="A3438" s="33" t="str">
        <x:v>QA-Provision_ComplianceArea_Map</x:v>
      </x:c>
      <x:c r="B3438" s="33" t="str">
        <x:v>QA Summary</x:v>
      </x:c>
      <x:c r="C3438" s="33" t="str">
        <x:v>Records=545</x:v>
      </x:c>
      <x:c r="D3438" s="33" t="str">
        <x:v>Records=545</x:v>
      </x:c>
      <x:c r="E3438" s="33" t="str">
        <x:v>CORRECT</x:v>
      </x:c>
      <x:c r="F3438" s="33" t="str">
        <x:v>Synchronize master record count after P-4 closeout.</x:v>
      </x:c>
      <x:c r="G3438" s="33" t="str">
        <x:v>P4 Gate Summary</x:v>
      </x:c>
      <x:c r="H3438" s="33" t="str">
        <x:v>P-4</x:v>
      </x:c>
      <x:c r="I3438" s="33" t="str">
        <x:v>P-4</x:v>
      </x:c>
      <x:c r="J3438" s="33" t="str">
        <x:v>2026-08-20</x:v>
      </x:c>
      <x:c r="K3438" s="33" t="str">
        <x:v>QA count updated.</x:v>
      </x:c>
    </x:row>
    <x:row r="3439">
      <x:c r="A3439" s="33" t="str">
        <x:v>QA-Compliance Requirement Master</x:v>
      </x:c>
      <x:c r="B3439" s="33" t="str">
        <x:v>QA Summary</x:v>
      </x:c>
      <x:c r="C3439" s="33" t="str">
        <x:v>Records=737</x:v>
      </x:c>
      <x:c r="D3439" s="33" t="str">
        <x:v>Records=737</x:v>
      </x:c>
      <x:c r="E3439" s="33" t="str">
        <x:v>CORRECT</x:v>
      </x:c>
      <x:c r="F3439" s="33" t="str">
        <x:v>Synchronize master record count after P-4 closeout.</x:v>
      </x:c>
      <x:c r="G3439" s="33" t="str">
        <x:v>P4 Gate Summary</x:v>
      </x:c>
      <x:c r="H3439" s="33" t="str">
        <x:v>P-4</x:v>
      </x:c>
      <x:c r="I3439" s="33" t="str">
        <x:v>P-4</x:v>
      </x:c>
      <x:c r="J3439" s="33" t="str">
        <x:v>2026-08-20</x:v>
      </x:c>
      <x:c r="K3439" s="33" t="str">
        <x:v>QA count updated.</x:v>
      </x:c>
    </x:row>
    <x:row r="3440">
      <x:c r="A3440" s="33" t="str">
        <x:v>QA-Audit Procedure Master</x:v>
      </x:c>
      <x:c r="B3440" s="33" t="str">
        <x:v>QA Summary</x:v>
      </x:c>
      <x:c r="C3440" s="33" t="str">
        <x:v>Records=1044</x:v>
      </x:c>
      <x:c r="D3440" s="33" t="str">
        <x:v>Records=1044</x:v>
      </x:c>
      <x:c r="E3440" s="33" t="str">
        <x:v>CORRECT</x:v>
      </x:c>
      <x:c r="F3440" s="33" t="str">
        <x:v>Synchronize master record count after P-4 closeout.</x:v>
      </x:c>
      <x:c r="G3440" s="33" t="str">
        <x:v>P4 Gate Summary</x:v>
      </x:c>
      <x:c r="H3440" s="33" t="str">
        <x:v>P-4</x:v>
      </x:c>
      <x:c r="I3440" s="33" t="str">
        <x:v>P-4</x:v>
      </x:c>
      <x:c r="J3440" s="33" t="str">
        <x:v>2026-08-20</x:v>
      </x:c>
      <x:c r="K3440" s="33" t="str">
        <x:v>QA count updated.</x:v>
      </x:c>
    </x:row>
    <x:row r="3441">
      <x:c r="A3441" s="33" t="str">
        <x:v>QA-Evidence Master</x:v>
      </x:c>
      <x:c r="B3441" s="33" t="str">
        <x:v>QA Summary</x:v>
      </x:c>
      <x:c r="C3441" s="33" t="str">
        <x:v>Records=1093</x:v>
      </x:c>
      <x:c r="D3441" s="33" t="str">
        <x:v>Records=1259</x:v>
      </x:c>
      <x:c r="E3441" s="33" t="str">
        <x:v>CORRECT</x:v>
      </x:c>
      <x:c r="F3441" s="33" t="str">
        <x:v>Synchronize master record count after P-4 closeout.</x:v>
      </x:c>
      <x:c r="G3441" s="33" t="str">
        <x:v>P4 Gate Summary</x:v>
      </x:c>
      <x:c r="H3441" s="33" t="str">
        <x:v>P-4</x:v>
      </x:c>
      <x:c r="I3441" s="33" t="str">
        <x:v>P-4</x:v>
      </x:c>
      <x:c r="J3441" s="33" t="str">
        <x:v>2026-08-20</x:v>
      </x:c>
      <x:c r="K3441" s="33" t="str">
        <x:v>QA count updated.</x:v>
      </x:c>
    </x:row>
    <x:row r="3442">
      <x:c r="A3442" s="33" t="str">
        <x:v>QA-Observation Master</x:v>
      </x:c>
      <x:c r="B3442" s="33" t="str">
        <x:v>QA Summary</x:v>
      </x:c>
      <x:c r="C3442" s="33" t="str">
        <x:v>Records=773</x:v>
      </x:c>
      <x:c r="D3442" s="33" t="str">
        <x:v>Records=939</x:v>
      </x:c>
      <x:c r="E3442" s="33" t="str">
        <x:v>CORRECT</x:v>
      </x:c>
      <x:c r="F3442" s="33" t="str">
        <x:v>Synchronize master record count after P-4 closeout.</x:v>
      </x:c>
      <x:c r="G3442" s="33" t="str">
        <x:v>P4 Gate Summary</x:v>
      </x:c>
      <x:c r="H3442" s="33" t="str">
        <x:v>P-4</x:v>
      </x:c>
      <x:c r="I3442" s="33" t="str">
        <x:v>P-4</x:v>
      </x:c>
      <x:c r="J3442" s="33" t="str">
        <x:v>2026-08-20</x:v>
      </x:c>
      <x:c r="K3442" s="33" t="str">
        <x:v>QA count updated.</x:v>
      </x:c>
    </x:row>
    <x:row r="3443">
      <x:c r="A3443" s="33" t="str">
        <x:v>QA-Version History</x:v>
      </x:c>
      <x:c r="B3443" s="33" t="str">
        <x:v>QA Summary</x:v>
      </x:c>
      <x:c r="C3443" s="33" t="str">
        <x:v>Records=5</x:v>
      </x:c>
      <x:c r="D3443" s="33" t="str">
        <x:v>Records=6</x:v>
      </x:c>
      <x:c r="E3443" s="33" t="str">
        <x:v>CORRECT</x:v>
      </x:c>
      <x:c r="F3443" s="33" t="str">
        <x:v>Synchronize master record count after P-4 closeout.</x:v>
      </x:c>
      <x:c r="G3443" s="33" t="str">
        <x:v>P4 Gate Summary</x:v>
      </x:c>
      <x:c r="H3443" s="33" t="str">
        <x:v>P-4</x:v>
      </x:c>
      <x:c r="I3443" s="33" t="str">
        <x:v>P-4</x:v>
      </x:c>
      <x:c r="J3443" s="33" t="str">
        <x:v>2026-08-20</x:v>
      </x:c>
      <x:c r="K3443" s="33" t="str">
        <x:v>QA count updated.</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24" hidden="0" customWidth="1"/>
    <x:col min="2" max="2" width="18" hidden="0" customWidth="1"/>
    <x:col min="3" max="3" width="24" hidden="0" customWidth="1"/>
    <x:col min="4" max="4" width="36" hidden="0" customWidth="1"/>
    <x:col min="5" max="5" width="36" hidden="0" customWidth="1"/>
    <x:col min="6" max="6" width="48" hidden="0" customWidth="1"/>
  </x:cols>
  <x:sheetData>
    <x:row r="1">
      <x:c r="A1" s="12" t="str">
        <x:v>Legacy Pharmacy Object</x:v>
      </x:c>
      <x:c r="B1" s="12" t="str">
        <x:v>Legacy Type</x:v>
      </x:c>
      <x:c r="C1" s="12" t="str">
        <x:v>Status in Pharmacy</x:v>
      </x:c>
      <x:c r="D1" s="12" t="str">
        <x:v>Canonical Common Core</x:v>
      </x:c>
      <x:c r="E1" s="12" t="str">
        <x:v>Runtime Treatment</x:v>
      </x:c>
      <x:c r="F1" s="12" t="str">
        <x:v>Notes</x:v>
      </x:c>
    </x:row>
    <x:row r="2">
      <x:c r="A2" s="9" t="str">
        <x:v>LAW031</x:v>
      </x:c>
      <x:c r="B2" s="9" t="str">
        <x:v>Law</x:v>
      </x:c>
      <x:c r="C2" s="9" t="str">
        <x:v>Inactive legacy alias</x:v>
      </x:c>
      <x:c r="D2" s="9" t="str">
        <x:v>MCA001 — Companies Act, 2013</x:v>
      </x:c>
      <x:c r="E2" s="9" t="str">
        <x:v>Load from Common Corporate Core</x:v>
      </x:c>
      <x:c r="F2" s="9" t="str">
        <x:v>Do not recreate or physically merge into Pharmacy.</x:v>
      </x:c>
    </x:row>
    <x:row r="3">
      <x:c r="A3" s="9" t="str">
        <x:v>LAW032</x:v>
      </x:c>
      <x:c r="B3" s="9" t="str">
        <x:v>Law</x:v>
      </x:c>
      <x:c r="C3" s="9" t="str">
        <x:v>Inactive legacy alias</x:v>
      </x:c>
      <x:c r="D3" s="9" t="str">
        <x:v>Applicable canonical Companies Rules under MCA001</x:v>
      </x:c>
      <x:c r="E3" s="9" t="str">
        <x:v>Load from Common Corporate Core</x:v>
      </x:c>
      <x:c r="F3" s="9" t="str">
        <x:v>All common-core applicability remains company-specific.</x:v>
      </x:c>
    </x:row>
    <x:row r="4">
      <x:c r="A4" s="9" t="str">
        <x:v>PROV076–PROV080</x:v>
      </x:c>
      <x:c r="B4" s="9" t="str">
        <x:v>Provision</x:v>
      </x:c>
      <x:c r="C4" s="9" t="str">
        <x:v>Inactive legacy references</x:v>
      </x:c>
      <x:c r="D4" s="9" t="str">
        <x:v>Canonical MCA provision IDs</x:v>
      </x:c>
      <x:c r="E4" s="9" t="str">
        <x:v>Use Common Corporate Core provisions</x:v>
      </x:c>
      <x:c r="F4" s="9" t="str">
        <x:v>Legacy IDs preserved only for migration/change history.</x:v>
      </x:c>
    </x:row>
    <x:row r="5">
      <x:c r="A5" s="9" t="str">
        <x:v>COMP076–COMP080</x:v>
      </x:c>
      <x:c r="B5" s="9" t="str">
        <x:v>Compliance</x:v>
      </x:c>
      <x:c r="C5" s="9" t="str">
        <x:v>Inactive legacy references</x:v>
      </x:c>
      <x:c r="D5" s="9" t="str">
        <x:v>Canonical MCA compliance IDs</x:v>
      </x:c>
      <x:c r="E5" s="9" t="str">
        <x:v>Use Common Corporate Core compliances</x:v>
      </x:c>
      <x:c r="F5" s="9" t="str">
        <x:v>Do not activate in Pharmacy.</x:v>
      </x:c>
    </x:row>
    <x:row r="6">
      <x:c r="A6" s="9" t="str">
        <x:v>AUD158–AUD167</x:v>
      </x:c>
      <x:c r="B6" s="9" t="str">
        <x:v>Audit</x:v>
      </x:c>
      <x:c r="C6" s="9" t="str">
        <x:v>Inactive; P-2 remap pending</x:v>
      </x:c>
      <x:c r="D6" s="9" t="str">
        <x:v>Pharmacy Drugs Rules / Pharmacy Practice nodes</x:v>
      </x:c>
      <x:c r="E6" s="9" t="str">
        <x:v>Reactivate only after statutory re-parenting</x:v>
      </x:c>
      <x:c r="F6" s="9" t="str">
        <x:v>Useful content preserved; not deleted.</x:v>
      </x:c>
    </x:row>
  </x:sheetData>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RowHeight="15"/>
  <x:cols>
    <x:col min="1" max="1" width="14" hidden="0" customWidth="1"/>
    <x:col min="2" max="2" width="38" hidden="0" customWidth="1"/>
    <x:col min="3" max="3" width="28" hidden="0" customWidth="1"/>
    <x:col min="4" max="4" width="20" hidden="0" customWidth="1"/>
    <x:col min="5" max="5" width="30" hidden="0" customWidth="1"/>
    <x:col min="6" max="6" width="48" hidden="0" customWidth="1"/>
    <x:col min="7" max="7" width="18" hidden="0" customWidth="1"/>
    <x:col min="8" max="8" width="42" hidden="0" customWidth="1"/>
    <x:col min="9" max="9" width="42" hidden="0" customWidth="1"/>
    <x:col min="10" max="10" width="48" hidden="0" customWidth="1"/>
    <x:col min="11" max="11" width="28" hidden="0" customWidth="1"/>
    <x:col min="12" max="12" width="44" hidden="0" customWidth="1"/>
    <x:col min="13" max="13" width="58" hidden="0" customWidth="1"/>
    <x:col min="14" max="14" width="24" hidden="0" customWidth="1"/>
  </x:cols>
  <x:sheetData>
    <x:row r="1">
      <x:c r="A1" s="36" t="str">
        <x:v>Source ID</x:v>
      </x:c>
      <x:c r="B1" s="36" t="str">
        <x:v>Legal Instrument</x:v>
      </x:c>
      <x:c r="C1" s="36" t="str">
        <x:v>Regulator</x:v>
      </x:c>
      <x:c r="D1" s="36" t="str">
        <x:v>Instrument Type</x:v>
      </x:c>
      <x:c r="E1" s="36" t="str">
        <x:v>Authoritative Source</x:v>
      </x:c>
      <x:c r="F1" s="36" t="str">
        <x:v>Current Version / Amendment Position</x:v>
      </x:c>
      <x:c r="G1" s="36" t="str">
        <x:v>Effective Date</x:v>
      </x:c>
      <x:c r="H1" s="36" t="str">
        <x:v>Applicability Scope</x:v>
      </x:c>
      <x:c r="I1" s="36" t="str">
        <x:v>Sub-Sectors / Entity Types</x:v>
      </x:c>
      <x:c r="J1" s="36" t="str">
        <x:v>Statutory Provisions Considered</x:v>
      </x:c>
      <x:c r="K1" s="36" t="str">
        <x:v>Included / Excluded</x:v>
      </x:c>
      <x:c r="L1" s="36" t="str">
        <x:v>Workbook Action</x:v>
      </x:c>
      <x:c r="M1" s="36" t="str">
        <x:v>Source URL / Citation</x:v>
      </x:c>
      <x:c r="N1" s="36" t="str">
        <x:v>Validation Status</x:v>
      </x:c>
    </x:row>
    <x:row r="2">
      <x:c r="A2" s="15" t="str">
        <x:v>P1-001</x:v>
      </x:c>
      <x:c r="B2" s="15" t="str">
        <x:v>Drugs and Cosmetics Act, 1940</x:v>
      </x:c>
      <x:c r="C2" s="15" t="str">
        <x:v>MoHFW / CDSCO</x:v>
      </x:c>
      <x:c r="D2" s="15" t="str">
        <x:v>Central Act</x:v>
      </x:c>
      <x:c r="E2" s="15" t="str">
        <x:v>CDSCO / India Code</x:v>
      </x:c>
      <x:c r="F2" s="15" t="str">
        <x:v>Current parent Act</x:v>
      </x:c>
      <x:c r="G2" s="15" t="str">
        <x:v>Current</x:v>
      </x:c>
      <x:c r="H2" s="15" t="str">
        <x:v>Manufacture, sale, stock, exhibition, distribution of drugs and cosmetics</x:v>
      </x:c>
      <x:c r="I2" s="15" t="str">
        <x:v>All nine sub-sectors; conditional by activity</x:v>
      </x:c>
      <x:c r="J2" s="15" t="str">
        <x:v>Sections 16–18B, 22–24, 26A, 27–28B; Chapter IVA for ASU drugs</x:v>
      </x:c>
      <x:c r="K2" s="15" t="str">
        <x:v>INCLUDED</x:v>
      </x:c>
      <x:c r="L2" s="15" t="str">
        <x:v>RETAIN LAW001</x:v>
      </x:c>
      <x:c r="M2" s="15" t="str">
        <x:v>https://cdsco.gov.in/opencms/opencms/en/Acts-and-rules/Drugs-and-Cosmetics-Act/</x:v>
      </x:c>
      <x:c r="N2" s="15" t="str">
        <x:v>VALIDATED</x:v>
      </x:c>
    </x:row>
    <x:row r="3">
      <x:c r="A3" s="15" t="str">
        <x:v>P1-002</x:v>
      </x:c>
      <x:c r="B3" s="15" t="str">
        <x:v>Drugs Rules, 1945</x:v>
      </x:c>
      <x:c r="C3" s="15" t="str">
        <x:v>MoHFW / CDSCO / State Licensing Authorities</x:v>
      </x:c>
      <x:c r="D3" s="15" t="str">
        <x:v>Central Rules</x:v>
      </x:c>
      <x:c r="E3" s="15" t="str">
        <x:v>CDSCO official consolidated Rules and Gazette notifications</x:v>
      </x:c>
      <x:c r="F3" s="15" t="str">
        <x:v>Consolidated official copy dated 01-07-2024 plus final amendments through 19-08-2026</x:v>
      </x:c>
      <x:c r="G3" s="15" t="str">
        <x:v>As amended</x:v>
      </x:c>
      <x:c r="H3" s="15" t="str">
        <x:v>Licensing, sale, dispensing, storage, records, labelling and inspections</x:v>
      </x:c>
      <x:c r="I3" s="15" t="str">
        <x:v>All nine; provision and licence-form specific</x:v>
      </x:c>
      <x:c r="J3" s="15" t="str">
        <x:v>Parts IV, VI, VII, IX, relevant special parts; Rules 61–67, 96–106; Schedules G/H/H1/X/K</x:v>
      </x:c>
      <x:c r="K3" s="15" t="str">
        <x:v>INCLUDED</x:v>
      </x:c>
      <x:c r="L3" s="15" t="str">
        <x:v>CORRECT LAW002 name; P-2 atomic validation required</x:v>
      </x:c>
      <x:c r="M3" s="15" t="str">
        <x:v>https://cdsco.gov.in/opencms/opencms/en/Acts-and-rules/Drugs-Rules/</x:v>
      </x:c>
      <x:c r="N3" s="15" t="str">
        <x:v>VALIDATED — P-2 INPUT</x:v>
      </x:c>
    </x:row>
    <x:row r="4">
      <x:c r="A4" s="15" t="str">
        <x:v>P1-003</x:v>
      </x:c>
      <x:c r="B4" s="15" t="str">
        <x:v>Final Drugs Rules amendments and prohibition notifications, 2024–19 Aug 2026</x:v>
      </x:c>
      <x:c r="C4" s="15" t="str">
        <x:v>MoHFW / CDSCO</x:v>
      </x:c>
      <x:c r="D4" s="15" t="str">
        <x:v>Gazette notifications</x:v>
      </x:c>
      <x:c r="E4" s="15" t="str">
        <x:v>CDSCO Gazette Notifications</x:v>
      </x:c>
      <x:c r="F4" s="15" t="str">
        <x:v>Includes final 2026 amendments such as G.S.R. 607(E), 706(E), 713(E) and prohibition orders; drafts excluded until final</x:v>
      </x:c>
      <x:c r="G4" s="15" t="str">
        <x:v>As individually notified</x:v>
      </x:c>
      <x:c r="H4" s="15" t="str">
        <x:v>Amends Drugs Rules or prohibits specified products</x:v>
      </x:c>
      <x:c r="I4" s="15" t="str">
        <x:v>Conditional by product/activity; some manufacturer/testing-only</x:v>
      </x:c>
      <x:c r="J4" s="15" t="str">
        <x:v>Affected rules, schedules, forms and Section 26A orders</x:v>
      </x:c>
      <x:c r="K4" s="15" t="str">
        <x:v>INCLUDED AS SOURCE FAMILY</x:v>
      </x:c>
      <x:c r="L4" s="15" t="str">
        <x:v>RETIRE generic LAW003 pseudo-law; normalize final instruments in P-2/change register</x:v>
      </x:c>
      <x:c r="M4" s="15" t="str">
        <x:v>https://cdsco.gov.in/opencms/opencms/en/Notifications/Gazette-Notifications/</x:v>
      </x:c>
      <x:c r="N4" s="15" t="str">
        <x:v>VALIDATED</x:v>
      </x:c>
    </x:row>
    <x:row r="5">
      <x:c r="A5" s="15" t="str">
        <x:v>P1-004</x:v>
      </x:c>
      <x:c r="B5" s="15" t="str">
        <x:v>Drugs and Cosmetics (Compounding of Offences) Rules, 2025</x:v>
      </x:c>
      <x:c r="C5" s="15" t="str">
        <x:v>MoHFW / CDSCO</x:v>
      </x:c>
      <x:c r="D5" s="15" t="str">
        <x:v>Central Rules</x:v>
      </x:c>
      <x:c r="E5" s="15" t="str">
        <x:v>CDSCO official circulars/notification</x:v>
      </x:c>
      <x:c r="F5" s="15" t="str">
        <x:v>Current subordinate rules</x:v>
      </x:c>
      <x:c r="G5" s="15" t="str">
        <x:v>2025</x:v>
      </x:c>
      <x:c r="H5" s="15" t="str">
        <x:v>Compounding of eligible offences</x:v>
      </x:c>
      <x:c r="I5" s="15" t="str">
        <x:v>All entities only on enforcement event</x:v>
      </x:c>
      <x:c r="J5" s="15" t="str">
        <x:v>Application and compounding procedure</x:v>
      </x:c>
      <x:c r="K5" s="15" t="str">
        <x:v>INCLUDED — EVENT BASED</x:v>
      </x:c>
      <x:c r="L5" s="15" t="str">
        <x:v>ADD to universe; downstream only if enforcement workflow in scope</x:v>
      </x:c>
      <x:c r="M5" s="15" t="str">
        <x:v>https://cdsco.gov.in/opencms/opencms/en/Notifications/Circulars/</x:v>
      </x:c>
      <x:c r="N5" s="15" t="str">
        <x:v>VALIDATED</x:v>
      </x:c>
    </x:row>
    <x:row r="6">
      <x:c r="A6" s="15" t="str">
        <x:v>P1-005</x:v>
      </x:c>
      <x:c r="B6" s="15" t="str">
        <x:v>Pharmacy Act, 1948</x:v>
      </x:c>
      <x:c r="C6" s="15" t="str">
        <x:v>PCI / State Pharmacy Councils</x:v>
      </x:c>
      <x:c r="D6" s="15" t="str">
        <x:v>Central Act</x:v>
      </x:c>
      <x:c r="E6" s="15" t="str">
        <x:v>India Code / PCI</x:v>
      </x:c>
      <x:c r="F6" s="15" t="str">
        <x:v>Current</x:v>
      </x:c>
      <x:c r="G6" s="15" t="str">
        <x:v>Current</x:v>
      </x:c>
      <x:c r="H6" s="15" t="str">
        <x:v>Pharmacist registration and restriction on dispensing by unregistered persons</x:v>
      </x:c>
      <x:c r="I6" s="15" t="str">
        <x:v>All dispensing sub-sectors</x:v>
      </x:c>
      <x:c r="J6" s="15" t="str">
        <x:v>Section 42 and registration/State Council provisions</x:v>
      </x:c>
      <x:c r="K6" s="15" t="str">
        <x:v>INCLUDED</x:v>
      </x:c>
      <x:c r="L6" s="15" t="str">
        <x:v>RETAIN LAW004</x:v>
      </x:c>
      <x:c r="M6" s="15" t="str">
        <x:v>https://www.indiacode.nic.in/</x:v>
      </x:c>
      <x:c r="N6" s="15" t="str">
        <x:v>VALIDATED</x:v>
      </x:c>
    </x:row>
    <x:row r="7">
      <x:c r="A7" s="15" t="str">
        <x:v>P1-006</x:v>
      </x:c>
      <x:c r="B7" s="15" t="str">
        <x:v>Pharmacy Practice Regulations, 2015 and Pharmacy Practice (Amendment) Regulations, 2021</x:v>
      </x:c>
      <x:c r="C7" s="15" t="str">
        <x:v>PCI / State Pharmacy Councils</x:v>
      </x:c>
      <x:c r="D7" s="15" t="str">
        <x:v>Central Regulations</x:v>
      </x:c>
      <x:c r="E7" s="15" t="str">
        <x:v>PCI official regulations and implementation circulars</x:v>
      </x:c>
      <x:c r="F7" s="15" t="str">
        <x:v>Current; enforcement/implementation must be mapped state-wise</x:v>
      </x:c>
      <x:c r="G7" s="15" t="str">
        <x:v>As notified</x:v>
      </x:c>
      <x:c r="H7" s="15" t="str">
        <x:v>Professional pharmacy practice, records and patient care</x:v>
      </x:c>
      <x:c r="I7" s="15" t="str">
        <x:v>Registered pharmacists across dispensing entities</x:v>
      </x:c>
      <x:c r="J7" s="15" t="str">
        <x:v>Prescription handling, counselling, patient records, professional conduct</x:v>
      </x:c>
      <x:c r="K7" s="15" t="str">
        <x:v>INCLUDED — STATE IMPLEMENTATION CONDITIONAL</x:v>
      </x:c>
      <x:c r="L7" s="15" t="str">
        <x:v>RETAIN/CORRECT LAW079; do not treat every professional standard as universally penal statutory duty</x:v>
      </x:c>
      <x:c r="M7" s="15" t="str">
        <x:v>https://www.pci.nic.in/RTI.html</x:v>
      </x:c>
      <x:c r="N7" s="15" t="str">
        <x:v>VALIDATED</x:v>
      </x:c>
    </x:row>
    <x:row r="8">
      <x:c r="A8" s="15" t="str">
        <x:v>P1-007</x:v>
      </x:c>
      <x:c r="B8" s="15" t="str">
        <x:v>Education Regulations and qualification regulations under Pharmacy Act</x:v>
      </x:c>
      <x:c r="C8" s="15" t="str">
        <x:v>PCI</x:v>
      </x:c>
      <x:c r="D8" s="15" t="str">
        <x:v>Central Regulations</x:v>
      </x:c>
      <x:c r="E8" s="15" t="str">
        <x:v>PCI official regulations</x:v>
      </x:c>
      <x:c r="F8" s="15" t="str">
        <x:v>Current versions vary by course; relevant mainly to qualification verification</x:v>
      </x:c>
      <x:c r="G8" s="15" t="str">
        <x:v>As notified</x:v>
      </x:c>
      <x:c r="H8" s="15" t="str">
        <x:v>Education/qualification of pharmacists</x:v>
      </x:c>
      <x:c r="I8" s="15" t="str">
        <x:v>Reference for pharmacist credential evidence; institutions are outside taxonomy</x:v>
      </x:c>
      <x:c r="J8" s="15" t="str">
        <x:v>Qualification/registration eligibility</x:v>
      </x:c>
      <x:c r="K8" s="15" t="str">
        <x:v>REFERENCE ONLY</x:v>
      </x:c>
      <x:c r="L8" s="15" t="str">
        <x:v>RECLASSIFY LAW005; not an operating-pharmacy compliance law</x:v>
      </x:c>
      <x:c r="M8" s="15" t="str">
        <x:v>https://www.pci.nic.in/education_regulations_chapter1.html</x:v>
      </x:c>
      <x:c r="N8" s="15" t="str">
        <x:v>VALIDATED</x:v>
      </x:c>
    </x:row>
    <x:row r="9">
      <x:c r="A9" s="15" t="str">
        <x:v>P1-008</x:v>
      </x:c>
      <x:c r="B9" s="15" t="str">
        <x:v>State Pharmacy Council registration/renewal regulations and orders</x:v>
      </x:c>
      <x:c r="C9" s="15" t="str">
        <x:v>State Pharmacy Councils</x:v>
      </x:c>
      <x:c r="D9" s="15" t="str">
        <x:v>State Regulations</x:v>
      </x:c>
      <x:c r="E9" s="15" t="str">
        <x:v>Applicable State Gazette / State Pharmacy Council</x:v>
      </x:c>
      <x:c r="F9" s="15" t="str">
        <x:v>Jurisdiction-specific</x:v>
      </x:c>
      <x:c r="G9" s="15" t="str">
        <x:v>State specific</x:v>
      </x:c>
      <x:c r="H9" s="15" t="str">
        <x:v>Registration, renewal and professional discipline</x:v>
      </x:c>
      <x:c r="I9" s="15" t="str">
        <x:v>All employing registered pharmacists; state-specific</x:v>
      </x:c>
      <x:c r="J9" s="15" t="str">
        <x:v>Renewal, register status, professional discipline</x:v>
      </x:c>
      <x:c r="K9" s="15" t="str">
        <x:v>INCLUDED — STATE SPECIFIC</x:v>
      </x:c>
      <x:c r="L9" s="15" t="str">
        <x:v>CORRECT LAW078 placeholder through jurisdictional configuration</x:v>
      </x:c>
      <x:c r="M9" s="15" t="str">
        <x:v>https://www.pci.nic.in/</x:v>
      </x:c>
      <x:c r="N9" s="15" t="str">
        <x:v>VALIDATED AS REQUIRED STATE LAYER</x:v>
      </x:c>
    </x:row>
    <x:row r="10">
      <x:c r="A10" s="15" t="str">
        <x:v>P1-009</x:v>
      </x:c>
      <x:c r="B10" s="15" t="str">
        <x:v>Essential Commodities Act, 1955</x:v>
      </x:c>
      <x:c r="C10" s="15" t="str">
        <x:v>Department of Consumer Affairs / Department of Pharmaceuticals</x:v>
      </x:c>
      <x:c r="D10" s="15" t="str">
        <x:v>Central Act</x:v>
      </x:c>
      <x:c r="E10" s="15" t="str">
        <x:v>India Code</x:v>
      </x:c>
      <x:c r="F10" s="15" t="str">
        <x:v>Current enabling parent for DPCO</x:v>
      </x:c>
      <x:c r="G10" s="15" t="str">
        <x:v>Current</x:v>
      </x:c>
      <x:c r="H10" s="15" t="str">
        <x:v>Control of essential commodities including drugs</x:v>
      </x:c>
      <x:c r="I10" s="15" t="str">
        <x:v>All sellers where orders apply</x:v>
      </x:c>
      <x:c r="J10" s="15" t="str">
        <x:v>Sections 3, 7 and enabling provisions</x:v>
      </x:c>
      <x:c r="K10" s="15" t="str">
        <x:v>INCLUDED</x:v>
      </x:c>
      <x:c r="L10" s="15" t="str">
        <x:v>ADD missing parent to LAW006</x:v>
      </x:c>
      <x:c r="M10" s="15" t="str">
        <x:v>https://www.indiacode.nic.in/</x:v>
      </x:c>
      <x:c r="N10" s="15" t="str">
        <x:v>VALIDATED</x:v>
      </x:c>
    </x:row>
    <x:row r="11">
      <x:c r="A11" s="15" t="str">
        <x:v>P1-010</x:v>
      </x:c>
      <x:c r="B11" s="15" t="str">
        <x:v>Drugs (Prices Control) Order, 2013, as amended including 2026 Amendment Order</x:v>
      </x:c>
      <x:c r="C11" s="15" t="str">
        <x:v>Department of Pharmaceuticals / NPPA</x:v>
      </x:c>
      <x:c r="D11" s="15" t="str">
        <x:v>Central Order</x:v>
      </x:c>
      <x:c r="E11" s="15" t="str">
        <x:v>Department of Pharmaceuticals official Acts page</x:v>
      </x:c>
      <x:c r="F11" s="15" t="str">
        <x:v>Current; 2026 amendment confirmed</x:v>
      </x:c>
      <x:c r="G11" s="15" t="str">
        <x:v>As notified</x:v>
      </x:c>
      <x:c r="H11" s="15" t="str">
        <x:v>Ceiling/retail price, price list display, overcharging and availability</x:v>
      </x:c>
      <x:c r="I11" s="15" t="str">
        <x:v>All sellers of affected formulations; conditional by product</x:v>
      </x:c>
      <x:c r="J11" s="15" t="str">
        <x:v>Dealer/retailer duties, price list/display and non-overcharging provisions</x:v>
      </x:c>
      <x:c r="K11" s="15" t="str">
        <x:v>INCLUDED</x:v>
      </x:c>
      <x:c r="L11" s="15" t="str">
        <x:v>CORRECT LAW006 current amendment position</x:v>
      </x:c>
      <x:c r="M11" s="15" t="str">
        <x:v>https://pharma-dept.gov.in/act</x:v>
      </x:c>
      <x:c r="N11" s="15" t="str">
        <x:v>VALIDATED</x:v>
      </x:c>
    </x:row>
    <x:row r="12">
      <x:c r="A12" s="15" t="str">
        <x:v>P1-011</x:v>
      </x:c>
      <x:c r="B12" s="15" t="str">
        <x:v>NPPA ceiling/retail price notifications and enforcement orders</x:v>
      </x:c>
      <x:c r="C12" s="15" t="str">
        <x:v>NPPA</x:v>
      </x:c>
      <x:c r="D12" s="15" t="str">
        <x:v>Statutory notification/order family</x:v>
      </x:c>
      <x:c r="E12" s="15" t="str">
        <x:v>NPPA / Department of Pharmaceuticals</x:v>
      </x:c>
      <x:c r="F12" s="15" t="str">
        <x:v>Dynamic current source family</x:v>
      </x:c>
      <x:c r="G12" s="15" t="str">
        <x:v>Event/product based</x:v>
      </x:c>
      <x:c r="H12" s="15" t="str">
        <x:v>Product-specific price controls</x:v>
      </x:c>
      <x:c r="I12" s="15" t="str">
        <x:v>All sellers of notified formulations/devices</x:v>
      </x:c>
      <x:c r="J12" s="15" t="str">
        <x:v>Current ceiling/retail price orders</x:v>
      </x:c>
      <x:c r="K12" s="15" t="str">
        <x:v>INCLUDED AS DYNAMIC SOURCE FAMILY</x:v>
      </x:c>
      <x:c r="L12" s="15" t="str">
        <x:v>RECLASSIFY LAW007/LAW074/LAW092; do not model generic pseudo-laws</x:v>
      </x:c>
      <x:c r="M12" s="15" t="str">
        <x:v>https://nppa.gov.in/</x:v>
      </x:c>
      <x:c r="N12" s="15" t="str">
        <x:v>VALIDATED</x:v>
      </x:c>
    </x:row>
    <x:row r="13">
      <x:c r="A13" s="15" t="str">
        <x:v>P1-012</x:v>
      </x:c>
      <x:c r="B13" s="15" t="str">
        <x:v>Narcotic Drugs and Psychotropic Substances Act, 1985</x:v>
      </x:c>
      <x:c r="C13" s="15" t="str">
        <x:v>Department of Revenue / NCB / CBN</x:v>
      </x:c>
      <x:c r="D13" s="15" t="str">
        <x:v>Central Act</x:v>
      </x:c>
      <x:c r="E13" s="15" t="str">
        <x:v>India Code / Department of Revenue</x:v>
      </x:c>
      <x:c r="F13" s="15" t="str">
        <x:v>Current</x:v>
      </x:c>
      <x:c r="G13" s="15" t="str">
        <x:v>Current</x:v>
      </x:c>
      <x:c r="H13" s="15" t="str">
        <x:v>Possession, sale, purchase, transport and use of narcotic/psychotropic substances</x:v>
      </x:c>
      <x:c r="I13" s="15" t="str">
        <x:v>Specialized and other pharmacies only when handling controlled medicines</x:v>
      </x:c>
      <x:c r="J13" s="15" t="str">
        <x:v>Sections 8, 9, 21–25A, 76, 78–81 and notified substances</x:v>
      </x:c>
      <x:c r="K13" s="15" t="str">
        <x:v>INCLUDED — CONDITIONAL</x:v>
      </x:c>
      <x:c r="L13" s="15" t="str">
        <x:v>RETAIN LAW015</x:v>
      </x:c>
      <x:c r="M13" s="15" t="str">
        <x:v>https://www.indiacode.nic.in/handle/123456789/1791</x:v>
      </x:c>
      <x:c r="N13" s="15" t="str">
        <x:v>VALIDATED</x:v>
      </x:c>
    </x:row>
    <x:row r="14">
      <x:c r="A14" s="15" t="str">
        <x:v>P1-013</x:v>
      </x:c>
      <x:c r="B14" s="15" t="str">
        <x:v>Narcotic Drugs and Psychotropic Substances Rules, 1985, as amended</x:v>
      </x:c>
      <x:c r="C14" s="15" t="str">
        <x:v>Department of Revenue / CBN</x:v>
      </x:c>
      <x:c r="D14" s="15" t="str">
        <x:v>Central Rules</x:v>
      </x:c>
      <x:c r="E14" s="15" t="str">
        <x:v>India Code / Department of Revenue</x:v>
      </x:c>
      <x:c r="F14" s="15" t="str">
        <x:v>Current as amended</x:v>
      </x:c>
      <x:c r="G14" s="15" t="str">
        <x:v>As amended</x:v>
      </x:c>
      <x:c r="H14" s="15" t="str">
        <x:v>Central controls including essential narcotic drugs and import/export</x:v>
      </x:c>
      <x:c r="I14" s="15" t="str">
        <x:v>Conditional on controlled-substance activity</x:v>
      </x:c>
      <x:c r="J14" s="15" t="str">
        <x:v>Relevant chapters, schedules, licences/authorisations and records</x:v>
      </x:c>
      <x:c r="K14" s="15" t="str">
        <x:v>INCLUDED — CONDITIONAL</x:v>
      </x:c>
      <x:c r="L14" s="15" t="str">
        <x:v>CORRECT LAW016 amendment position</x:v>
      </x:c>
      <x:c r="M14" s="15" t="str">
        <x:v>https://www.indiacode.nic.in/ViewFileUploaded?file=the_narcotic_drugs_and_psychotropic_substances_rules%2C_1985_date_14.11.1985.pdf&amp;path=AC_CG_61_1073_00014_00014_1563259383370%2Frulesindividualfile/</x:v>
      </x:c>
      <x:c r="N14" s="15" t="str">
        <x:v>VALIDATED</x:v>
      </x:c>
    </x:row>
    <x:row r="15">
      <x:c r="A15" s="15" t="str">
        <x:v>P1-014</x:v>
      </x:c>
      <x:c r="B15" s="15" t="str">
        <x:v>Applicable State NDPS Rules / Essential Narcotic Drug controls</x:v>
      </x:c>
      <x:c r="C15" s="15" t="str">
        <x:v>State Government / Drug Controller</x:v>
      </x:c>
      <x:c r="D15" s="15" t="str">
        <x:v>State Rules</x:v>
      </x:c>
      <x:c r="E15" s="15" t="str">
        <x:v>State Gazette; Department of Revenue confirms State Rules govern possession/use/sale</x:v>
      </x:c>
      <x:c r="F15" s="15" t="str">
        <x:v>Jurisdiction-specific</x:v>
      </x:c>
      <x:c r="G15" s="15" t="str">
        <x:v>State specific</x:v>
      </x:c>
      <x:c r="H15" s="15" t="str">
        <x:v>Possession, use and sale under state authority</x:v>
      </x:c>
      <x:c r="I15" s="15" t="str">
        <x:v>Conditional for pharmacies handling covered substances</x:v>
      </x:c>
      <x:c r="J15" s="15" t="str">
        <x:v>State licence/recognition, stock and record controls</x:v>
      </x:c>
      <x:c r="K15" s="15" t="str">
        <x:v>INCLUDED — STATE SPECIFIC</x:v>
      </x:c>
      <x:c r="L15" s="15" t="str">
        <x:v>ADD explicit state layer; generic LAW017 insufficient</x:v>
      </x:c>
      <x:c r="M15" s="15" t="str">
        <x:v>https://dor.gov.in/manufacture-narcotic-drugs</x:v>
      </x:c>
      <x:c r="N15" s="15" t="str">
        <x:v>VALIDATED AS REQUIRED STATE LAYER</x:v>
      </x:c>
    </x:row>
    <x:row r="16">
      <x:c r="A16" s="15" t="str">
        <x:v>P1-015</x:v>
      </x:c>
      <x:c r="B16" s="15" t="str">
        <x:v>Poisons Act, 1919</x:v>
      </x:c>
      <x:c r="C16" s="15" t="str">
        <x:v>State Governments</x:v>
      </x:c>
      <x:c r="D16" s="15" t="str">
        <x:v>Central Act operated through State rules</x:v>
      </x:c>
      <x:c r="E16" s="15" t="str">
        <x:v>India Code</x:v>
      </x:c>
      <x:c r="F16" s="15" t="str">
        <x:v>Current</x:v>
      </x:c>
      <x:c r="G16" s="15" t="str">
        <x:v>Current</x:v>
      </x:c>
      <x:c r="H16" s="15" t="str">
        <x:v>Possession and sale of notified poisons</x:v>
      </x:c>
      <x:c r="I16" s="15" t="str">
        <x:v>Conditional by notified substance and State</x:v>
      </x:c>
      <x:c r="J16" s="15" t="str">
        <x:v>Enabling provisions and offences</x:v>
      </x:c>
      <x:c r="K16" s="15" t="str">
        <x:v>INCLUDED — CONDITIONAL</x:v>
      </x:c>
      <x:c r="L16" s="15" t="str">
        <x:v>ADD missing parent instrument</x:v>
      </x:c>
      <x:c r="M16" s="15" t="str">
        <x:v>https://www.indiacode.nic.in/</x:v>
      </x:c>
      <x:c r="N16" s="15" t="str">
        <x:v>VALIDATED</x:v>
      </x:c>
    </x:row>
    <x:row r="17">
      <x:c r="A17" s="15" t="str">
        <x:v>P1-016</x:v>
      </x:c>
      <x:c r="B17" s="15" t="str">
        <x:v>Applicable State Poisons Rules</x:v>
      </x:c>
      <x:c r="C17" s="15" t="str">
        <x:v>State Government / District authority</x:v>
      </x:c>
      <x:c r="D17" s="15" t="str">
        <x:v>State Rules</x:v>
      </x:c>
      <x:c r="E17" s="15" t="str">
        <x:v>Applicable State Gazette</x:v>
      </x:c>
      <x:c r="F17" s="15" t="str">
        <x:v>Jurisdiction-specific</x:v>
      </x:c>
      <x:c r="G17" s="15" t="str">
        <x:v>State specific</x:v>
      </x:c>
      <x:c r="H17" s="15" t="str">
        <x:v>Licence, storage, sale register and purchaser controls for notified poisons</x:v>
      </x:c>
      <x:c r="I17" s="15" t="str">
        <x:v>Conditional; especially specialized/wholesale/retail handling notified poisons</x:v>
      </x:c>
      <x:c r="J17" s="15" t="str">
        <x:v>State licence and operational conditions</x:v>
      </x:c>
      <x:c r="K17" s="15" t="str">
        <x:v>INCLUDED — STATE SPECIFIC</x:v>
      </x:c>
      <x:c r="L17" s="15" t="str">
        <x:v>ADD jurisdictional rules; cannot use one national placeholder</x:v>
      </x:c>
      <x:c r="M17" s="15" t="str">
        <x:v>https://www.indiacode.nic.in/</x:v>
      </x:c>
      <x:c r="N17" s="15" t="str">
        <x:v>VALIDATED AS REQUIRED STATE LAYER</x:v>
      </x:c>
    </x:row>
    <x:row r="18">
      <x:c r="A18" s="15" t="str">
        <x:v>P1-017</x:v>
      </x:c>
      <x:c r="B18" s="15" t="str">
        <x:v>Medical Devices Rules, 2017, as amended including G.S.R. 754(E), 2022</x:v>
      </x:c>
      <x:c r="C18" s="15" t="str">
        <x:v>CDSCO / State Licensing Authority</x:v>
      </x:c>
      <x:c r="D18" s="15" t="str">
        <x:v>Central Rules</x:v>
      </x:c>
      <x:c r="E18" s="15" t="str">
        <x:v>CDSCO official MDR page</x:v>
      </x:c>
      <x:c r="F18" s="15" t="str">
        <x:v>Current; retail/wholesale sale-premises registration regime included</x:v>
      </x:c>
      <x:c r="G18" s="15" t="str">
        <x:v>As amended</x:v>
      </x:c>
      <x:c r="H18" s="15" t="str">
        <x:v>Sale, stocking and distribution of medical devices</x:v>
      </x:c>
      <x:c r="I18" s="15" t="str">
        <x:v>Conditional for entities selling medical devices</x:v>
      </x:c>
      <x:c r="J18" s="15" t="str">
        <x:v>Chapter XI-A/sale-premises registration and applicable storage/label controls</x:v>
      </x:c>
      <x:c r="K18" s="15" t="str">
        <x:v>INCLUDED — CONDITIONAL</x:v>
      </x:c>
      <x:c r="L18" s="15" t="str">
        <x:v>CORRECT LAW051 and add sale-registration atomic coverage</x:v>
      </x:c>
      <x:c r="M18" s="15" t="str">
        <x:v>https://cdsco.gov.in/opencms/opencms/en/Acts-and-rules/Medical-Devices-Rules/</x:v>
      </x:c>
      <x:c r="N18" s="15" t="str">
        <x:v>VALIDATED</x:v>
      </x:c>
    </x:row>
    <x:row r="19">
      <x:c r="A19" s="15" t="str">
        <x:v>P1-018</x:v>
      </x:c>
      <x:c r="B19" s="15" t="str">
        <x:v>Cosmetics Rules, 2020</x:v>
      </x:c>
      <x:c r="C19" s="15" t="str">
        <x:v>CDSCO / State Licensing Authority</x:v>
      </x:c>
      <x:c r="D19" s="15" t="str">
        <x:v>Central Rules</x:v>
      </x:c>
      <x:c r="E19" s="15" t="str">
        <x:v>CDSCO official Cosmetics Rules page</x:v>
      </x:c>
      <x:c r="F19" s="15" t="str">
        <x:v>Current</x:v>
      </x:c>
      <x:c r="G19" s="15" t="str">
        <x:v>15-12-2020 / as amended</x:v>
      </x:c>
      <x:c r="H19" s="15" t="str">
        <x:v>Sale/storage of cosmetics; import/manufacture provisions depend on role</x:v>
      </x:c>
      <x:c r="I19" s="15" t="str">
        <x:v>Pharmacies selling cosmetics; importer/manufacturer roles outside approved taxonomy</x:v>
      </x:c>
      <x:c r="J19" s="15" t="str">
        <x:v>Sale of non-compliant, misbranded or unsafe cosmetics; label/quality controls</x:v>
      </x:c>
      <x:c r="K19" s="15" t="str">
        <x:v>INCLUDED — CONDITIONAL</x:v>
      </x:c>
      <x:c r="L19" s="15" t="str">
        <x:v>RETAIN/CORRECT LAW052</x:v>
      </x:c>
      <x:c r="M19" s="15" t="str">
        <x:v>https://cdsco.gov.in/opencms/opencms/en/Acts-and-rules/Cosmetics-Rules/</x:v>
      </x:c>
      <x:c r="N19" s="15" t="str">
        <x:v>VALIDATED</x:v>
      </x:c>
    </x:row>
    <x:row r="20">
      <x:c r="A20" s="15" t="str">
        <x:v>P1-019</x:v>
      </x:c>
      <x:c r="B20" s="15" t="str">
        <x:v>New Drugs and Clinical Trials Rules, 2019</x:v>
      </x:c>
      <x:c r="C20" s="15" t="str">
        <x:v>CDSCO</x:v>
      </x:c>
      <x:c r="D20" s="15" t="str">
        <x:v>Central Rules</x:v>
      </x:c>
      <x:c r="E20" s="15" t="str">
        <x:v>CDSCO official NDCTR page</x:v>
      </x:c>
      <x:c r="F20" s="15" t="str">
        <x:v>Current with amendments</x:v>
      </x:c>
      <x:c r="G20" s="15" t="str">
        <x:v>As amended</x:v>
      </x:c>
      <x:c r="H20" s="15" t="str">
        <x:v>Clinical trials, BA/BE, new-drug permissions and ethics committees</x:v>
      </x:c>
      <x:c r="I20" s="15" t="str">
        <x:v>Not ordinary pharmacy; possible hospital/institutional research activity</x:v>
      </x:c>
      <x:c r="J20" s="15" t="str">
        <x:v>Relevant only where entity conducts regulated research/trials</x:v>
      </x:c>
      <x:c r="K20" s="15" t="str">
        <x:v>OUT-OF-SCOPE / CONDITIONAL EXTENSION</x:v>
      </x:c>
      <x:c r="L20" s="15" t="str">
        <x:v>Keep LAW008 out of current pharmacy production unless entity activity is confirmed</x:v>
      </x:c>
      <x:c r="M20" s="15" t="str">
        <x:v>https://cdsco.gov.in/opencms/opencms/en/Acts-and-rules/New-Drugs/</x:v>
      </x:c>
      <x:c r="N20" s="15" t="str">
        <x:v>VALIDATED</x:v>
      </x:c>
    </x:row>
    <x:row r="21">
      <x:c r="A21" s="15" t="str">
        <x:v>P1-020</x:v>
      </x:c>
      <x:c r="B21" s="15" t="str">
        <x:v>Drugs and Magic Remedies (Objectionable Advertisements) Act, 1954</x:v>
      </x:c>
      <x:c r="C21" s="15" t="str">
        <x:v>MoHFW</x:v>
      </x:c>
      <x:c r="D21" s="15" t="str">
        <x:v>Central Act</x:v>
      </x:c>
      <x:c r="E21" s="15" t="str">
        <x:v>India Code</x:v>
      </x:c>
      <x:c r="F21" s="15" t="str">
        <x:v>Current</x:v>
      </x:c>
      <x:c r="G21" s="15" t="str">
        <x:v>Current</x:v>
      </x:c>
      <x:c r="H21" s="15" t="str">
        <x:v>Prohibited drug/remedy advertisements and claims</x:v>
      </x:c>
      <x:c r="I21" s="15" t="str">
        <x:v>All advertising pharmacy entities; especially chain/e-pharmacy</x:v>
      </x:c>
      <x:c r="J21" s="15" t="str">
        <x:v>Prohibited advertisements and offences</x:v>
      </x:c>
      <x:c r="K21" s="15" t="str">
        <x:v>INCLUDED</x:v>
      </x:c>
      <x:c r="L21" s="15" t="str">
        <x:v>RETAIN LAW087</x:v>
      </x:c>
      <x:c r="M21" s="15" t="str">
        <x:v>https://www.indiacode.nic.in/</x:v>
      </x:c>
      <x:c r="N21" s="15" t="str">
        <x:v>VALIDATED</x:v>
      </x:c>
    </x:row>
    <x:row r="22">
      <x:c r="A22" s="15" t="str">
        <x:v>P1-021</x:v>
      </x:c>
      <x:c r="B22" s="15" t="str">
        <x:v>Drugs and Magic Remedies (Objectionable Advertisements) Rules, 1955</x:v>
      </x:c>
      <x:c r="C22" s="15" t="str">
        <x:v>MoHFW</x:v>
      </x:c>
      <x:c r="D22" s="15" t="str">
        <x:v>Central Rules</x:v>
      </x:c>
      <x:c r="E22" s="15" t="str">
        <x:v>India Code</x:v>
      </x:c>
      <x:c r="F22" s="15" t="str">
        <x:v>Current</x:v>
      </x:c>
      <x:c r="G22" s="15" t="str">
        <x:v>Current</x:v>
      </x:c>
      <x:c r="H22" s="15" t="str">
        <x:v>Operational advertisement restrictions</x:v>
      </x:c>
      <x:c r="I22" s="15" t="str">
        <x:v>All advertising pharmacy entities</x:v>
      </x:c>
      <x:c r="J22" s="15" t="str">
        <x:v>Prescribed scrutiny/conditions</x:v>
      </x:c>
      <x:c r="K22" s="15" t="str">
        <x:v>INCLUDED</x:v>
      </x:c>
      <x:c r="L22" s="15" t="str">
        <x:v>RETAIN LAW088</x:v>
      </x:c>
      <x:c r="M22" s="15" t="str">
        <x:v>https://www.indiacode.nic.in/</x:v>
      </x:c>
      <x:c r="N22" s="15" t="str">
        <x:v>VALIDATED</x:v>
      </x:c>
    </x:row>
    <x:row r="23">
      <x:c r="A23" s="15" t="str">
        <x:v>P1-022</x:v>
      </x:c>
      <x:c r="B23" s="15" t="str">
        <x:v>Drugs and Cosmetics Act/Drugs Rules provisions for Ayurvedic, Siddha and Unani drugs</x:v>
      </x:c>
      <x:c r="C23" s="15" t="str">
        <x:v>MoHFW / Ministry of AYUSH / State Licensing Authority</x:v>
      </x:c>
      <x:c r="D23" s="15" t="str">
        <x:v>Central Act/Rules provisions</x:v>
      </x:c>
      <x:c r="E23" s="15" t="str">
        <x:v>CDSCO Traditional Drugs page and official Drugs Rules</x:v>
      </x:c>
      <x:c r="F23" s="15" t="str">
        <x:v>Current; Parts XVI–XIX and Chapter IVA primarily cover manufacture/label/testing; sale controls also derive from Act/State enforcement</x:v>
      </x:c>
      <x:c r="G23" s="15" t="str">
        <x:v>As amended</x:v>
      </x:c>
      <x:c r="H23" s="15" t="str">
        <x:v>ASU drug quality, labelling, manufacture and prohibited sale</x:v>
      </x:c>
      <x:c r="I23" s="15" t="str">
        <x:v>AYUSH Pharmacy; manufacture/testing roles are taxonomy gaps</x:v>
      </x:c>
      <x:c r="J23" s="15" t="str">
        <x:v>Chapter IVA; relevant sale prohibitions; Parts XVII labelling/packing and applicable rules</x:v>
      </x:c>
      <x:c r="K23" s="15" t="str">
        <x:v>INCLUDED — SCOPE SPLIT</x:v>
      </x:c>
      <x:c r="L23" s="15" t="str">
        <x:v>Do not create a separate invented AYUSH law; map operative provisions to LAW001/LAW002</x:v>
      </x:c>
      <x:c r="M23" s="15" t="str">
        <x:v>https://cdsco.gov.in/opencms/opencms/en/Traditional_Drugs/</x:v>
      </x:c>
      <x:c r="N23" s="15" t="str">
        <x:v>VALIDATED</x:v>
      </x:c>
    </x:row>
    <x:row r="24">
      <x:c r="A24" s="15" t="str">
        <x:v>P1-023</x:v>
      </x:c>
      <x:c r="B24" s="15" t="str">
        <x:v>Drugs Rules provisions relating to Homoeopathic medicines</x:v>
      </x:c>
      <x:c r="C24" s="15" t="str">
        <x:v>MoHFW / Ministry of AYUSH / State Licensing Authority</x:v>
      </x:c>
      <x:c r="D24" s="15" t="str">
        <x:v>Central Rules provisions</x:v>
      </x:c>
      <x:c r="E24" s="15" t="str">
        <x:v>Official Drugs Rules / Ministry of AYUSH sources</x:v>
      </x:c>
      <x:c r="F24" s="15" t="str">
        <x:v>Current; manufacture and sale provisions must be separated</x:v>
      </x:c>
      <x:c r="G24" s="15" t="str">
        <x:v>As amended</x:v>
      </x:c>
      <x:c r="H24" s="15" t="str">
        <x:v>Homoeopathic medicine quality, labelling and sale</x:v>
      </x:c>
      <x:c r="I24" s="15" t="str">
        <x:v>Homeopathic Pharmacy; manufacturing is taxonomy gap</x:v>
      </x:c>
      <x:c r="J24" s="15" t="str">
        <x:v>Relevant definitions, Parts VI-A/VI-B or applicable homoeopathic parts/forms and sale provisions</x:v>
      </x:c>
      <x:c r="K24" s="15" t="str">
        <x:v>INCLUDED — SCOPE SPLIT</x:v>
      </x:c>
      <x:c r="L24" s="15" t="str">
        <x:v>Map operative sale provisions to LAW002; do not invent separate generic law</x:v>
      </x:c>
      <x:c r="M24" s="15" t="str">
        <x:v>https://cdsco.gov.in/opencms/opencms/en/Acts-and-rules/Drugs-Rules/</x:v>
      </x:c>
      <x:c r="N24" s="15" t="str">
        <x:v>VALIDATED</x:v>
      </x:c>
    </x:row>
    <x:row r="25">
      <x:c r="A25" s="15" t="str">
        <x:v>P1-024</x:v>
      </x:c>
      <x:c r="B25" s="15" t="str">
        <x:v>National Commission for Indian System of Medicine Act, 2020</x:v>
      </x:c>
      <x:c r="C25" s="15" t="str">
        <x:v>Ministry of AYUSH / NCISM</x:v>
      </x:c>
      <x:c r="D25" s="15" t="str">
        <x:v>Central Act</x:v>
      </x:c>
      <x:c r="E25" s="15" t="str">
        <x:v>India Code</x:v>
      </x:c>
      <x:c r="F25" s="15" t="str">
        <x:v>Current</x:v>
      </x:c>
      <x:c r="G25" s="15" t="str">
        <x:v>2020 / commenced as notified</x:v>
      </x:c>
      <x:c r="H25" s="15" t="str">
        <x:v>Education and professional regulation of Indian-system practitioners</x:v>
      </x:c>
      <x:c r="I25" s="15" t="str">
        <x:v>Not pharmacy sale law; reference only if practitioner credential is an entity requirement</x:v>
      </x:c>
      <x:c r="J25" s="15" t="str">
        <x:v>Practitioner registration/education provisions</x:v>
      </x:c>
      <x:c r="K25" s="15" t="str">
        <x:v>REFERENCE ONLY / OUT-OF-SCOPE</x:v>
      </x:c>
      <x:c r="L25" s="15" t="str">
        <x:v>Do not add as universal AYUSH pharmacy operating law</x:v>
      </x:c>
      <x:c r="M25" s="15" t="str">
        <x:v>https://www.indiacode.nic.in/</x:v>
      </x:c>
      <x:c r="N25" s="15" t="str">
        <x:v>VALIDATED</x:v>
      </x:c>
    </x:row>
    <x:row r="26">
      <x:c r="A26" s="15" t="str">
        <x:v>P1-025</x:v>
      </x:c>
      <x:c r="B26" s="15" t="str">
        <x:v>National Commission for Homoeopathy Act, 2020</x:v>
      </x:c>
      <x:c r="C26" s="15" t="str">
        <x:v>Ministry of AYUSH / NCH</x:v>
      </x:c>
      <x:c r="D26" s="15" t="str">
        <x:v>Central Act</x:v>
      </x:c>
      <x:c r="E26" s="15" t="str">
        <x:v>India Code</x:v>
      </x:c>
      <x:c r="F26" s="15" t="str">
        <x:v>Current</x:v>
      </x:c>
      <x:c r="G26" s="15" t="str">
        <x:v>2020 / commenced as notified</x:v>
      </x:c>
      <x:c r="H26" s="15" t="str">
        <x:v>Education and professional regulation of homoeopathy practitioners</x:v>
      </x:c>
      <x:c r="I26" s="15" t="str">
        <x:v>Not pharmacy sale law; reference only if practitioner credential is required</x:v>
      </x:c>
      <x:c r="J26" s="15" t="str">
        <x:v>Practitioner registration/education provisions</x:v>
      </x:c>
      <x:c r="K26" s="15" t="str">
        <x:v>REFERENCE ONLY / OUT-OF-SCOPE</x:v>
      </x:c>
      <x:c r="L26" s="15" t="str">
        <x:v>Do not add as universal Homeopathic Pharmacy operating law</x:v>
      </x:c>
      <x:c r="M26" s="15" t="str">
        <x:v>https://www.indiacode.nic.in/</x:v>
      </x:c>
      <x:c r="N26" s="15" t="str">
        <x:v>VALIDATED</x:v>
      </x:c>
    </x:row>
    <x:row r="27">
      <x:c r="A27" s="15" t="str">
        <x:v>P1-026</x:v>
      </x:c>
      <x:c r="B27" s="15" t="str">
        <x:v>Clinical Establishments (Registration and Regulation) Act, 2010 and applicable Central Rules</x:v>
      </x:c>
      <x:c r="C27" s="15" t="str">
        <x:v>MoHFW / State authority</x:v>
      </x:c>
      <x:c r="D27" s="15" t="str">
        <x:v>Central Act/Rules</x:v>
      </x:c>
      <x:c r="E27" s="15" t="str">
        <x:v>India Code / MoHFW</x:v>
      </x:c>
      <x:c r="F27" s="15" t="str">
        <x:v>Applies only in adopting jurisdictions and covered establishments</x:v>
      </x:c>
      <x:c r="G27" s="15" t="str">
        <x:v>Jurisdiction specific</x:v>
      </x:c>
      <x:c r="H27" s="15" t="str">
        <x:v>Registration/minimum standards for clinical establishments</x:v>
      </x:c>
      <x:c r="I27" s="15" t="str">
        <x:v>Hospital/institutional pharmacy only as part of covered establishment</x:v>
      </x:c>
      <x:c r="J27" s="15" t="str">
        <x:v>Registration/minimum-standard provisions applicable to establishment</x:v>
      </x:c>
      <x:c r="K27" s="15" t="str">
        <x:v>INCLUDED — CONDITIONAL</x:v>
      </x:c>
      <x:c r="L27" s="15" t="str">
        <x:v>RETAIN LAW080; require State adoption check</x:v>
      </x:c>
      <x:c r="M27" s="15" t="str">
        <x:v>https://www.indiacode.nic.in/</x:v>
      </x:c>
      <x:c r="N27" s="15" t="str">
        <x:v>VALIDATED</x:v>
      </x:c>
    </x:row>
    <x:row r="28">
      <x:c r="A28" s="15" t="str">
        <x:v>P1-027</x:v>
      </x:c>
      <x:c r="B28" s="15" t="str">
        <x:v>Applicable State Clinical Establishments / Nursing Homes Acts and Rules</x:v>
      </x:c>
      <x:c r="C28" s="15" t="str">
        <x:v>State Health Department</x:v>
      </x:c>
      <x:c r="D28" s="15" t="str">
        <x:v>State Act/Rules</x:v>
      </x:c>
      <x:c r="E28" s="15" t="str">
        <x:v>State Gazette</x:v>
      </x:c>
      <x:c r="F28" s="15" t="str">
        <x:v>Jurisdiction-specific and may replace/supplement Central Act</x:v>
      </x:c>
      <x:c r="G28" s="15" t="str">
        <x:v>State specific</x:v>
      </x:c>
      <x:c r="H28" s="15" t="str">
        <x:v>Hospital/nursing-home registration and pharmacy requirements</x:v>
      </x:c>
      <x:c r="I28" s="15" t="str">
        <x:v>Hospital/institutional only</x:v>
      </x:c>
      <x:c r="J28" s="15" t="str">
        <x:v>State licence, standards and records</x:v>
      </x:c>
      <x:c r="K28" s="15" t="str">
        <x:v>INCLUDED — STATE SPECIFIC</x:v>
      </x:c>
      <x:c r="L28" s="15" t="str">
        <x:v>CORRECT LAW081 placeholder through jurisdictional configuration</x:v>
      </x:c>
      <x:c r="M28" s="15" t="str">
        <x:v>https://www.indiacode.nic.in/</x:v>
      </x:c>
      <x:c r="N28" s="15" t="str">
        <x:v>VALIDATED AS REQUIRED STATE LAYER</x:v>
      </x:c>
    </x:row>
    <x:row r="29">
      <x:c r="A29" s="15" t="str">
        <x:v>P1-028</x:v>
      </x:c>
      <x:c r="B29" s="15" t="str">
        <x:v>Consumer Protection Act, 2019</x:v>
      </x:c>
      <x:c r="C29" s="15" t="str">
        <x:v>Department of Consumer Affairs / CCPA</x:v>
      </x:c>
      <x:c r="D29" s="15" t="str">
        <x:v>Central Act</x:v>
      </x:c>
      <x:c r="E29" s="15" t="str">
        <x:v>India Code / Department of Consumer Affairs</x:v>
      </x:c>
      <x:c r="F29" s="15" t="str">
        <x:v>Current</x:v>
      </x:c>
      <x:c r="G29" s="15" t="str">
        <x:v>20-07-2020</x:v>
      </x:c>
      <x:c r="H29" s="15" t="str">
        <x:v>Consumer rights, unfair trade practices, product liability and grievance redressal</x:v>
      </x:c>
      <x:c r="I29" s="15" t="str">
        <x:v>All pharmacy entities serving consumers</x:v>
      </x:c>
      <x:c r="J29" s="15" t="str">
        <x:v>Consumer rights, unfair trade practices, product liability</x:v>
      </x:c>
      <x:c r="K29" s="15" t="str">
        <x:v>INCLUDED</x:v>
      </x:c>
      <x:c r="L29" s="15" t="str">
        <x:v>RETAIN LAW038</x:v>
      </x:c>
      <x:c r="M29" s="15" t="str">
        <x:v>https://www.indiacode.nic.in/</x:v>
      </x:c>
      <x:c r="N29" s="15" t="str">
        <x:v>VALIDATED</x:v>
      </x:c>
    </x:row>
    <x:row r="30">
      <x:c r="A30" s="15" t="str">
        <x:v>P1-029</x:v>
      </x:c>
      <x:c r="B30" s="15" t="str">
        <x:v>Consumer Protection (E-Commerce) Rules, 2020, as amended</x:v>
      </x:c>
      <x:c r="C30" s="15" t="str">
        <x:v>Department of Consumer Affairs / CCPA</x:v>
      </x:c>
      <x:c r="D30" s="15" t="str">
        <x:v>Central Rules</x:v>
      </x:c>
      <x:c r="E30" s="15" t="str">
        <x:v>Department of Consumer Affairs</x:v>
      </x:c>
      <x:c r="F30" s="15" t="str">
        <x:v>Current</x:v>
      </x:c>
      <x:c r="G30" s="15" t="str">
        <x:v>As amended</x:v>
      </x:c>
      <x:c r="H30" s="15" t="str">
        <x:v>E-commerce entity/seller duties</x:v>
      </x:c>
      <x:c r="I30" s="15" t="str">
        <x:v>E-Pharmacy and chain platforms; role-based</x:v>
      </x:c>
      <x:c r="J30" s="15" t="str">
        <x:v>Disclosures, grievance officer, seller/marketplace duties</x:v>
      </x:c>
      <x:c r="K30" s="15" t="str">
        <x:v>INCLUDED — CONDITIONAL</x:v>
      </x:c>
      <x:c r="L30" s="15" t="str">
        <x:v>RETAIN/CORRECT LAW039</x:v>
      </x:c>
      <x:c r="M30" s="15" t="str">
        <x:v>https://consumeraffairs.nic.in/</x:v>
      </x:c>
      <x:c r="N30" s="15" t="str">
        <x:v>VALIDATED</x:v>
      </x:c>
    </x:row>
    <x:row r="31">
      <x:c r="A31" s="15" t="str">
        <x:v>P1-030</x:v>
      </x:c>
      <x:c r="B31" s="15" t="str">
        <x:v>Guidelines for Prevention of Misleading Advertisements and Endorsements for Misleading Advertisements, 2022</x:v>
      </x:c>
      <x:c r="C31" s="15" t="str">
        <x:v>CCPA</x:v>
      </x:c>
      <x:c r="D31" s="15" t="str">
        <x:v>Statutory Guidelines</x:v>
      </x:c>
      <x:c r="E31" s="15" t="str">
        <x:v>Department of Consumer Affairs / CCPA</x:v>
      </x:c>
      <x:c r="F31" s="15" t="str">
        <x:v>Current</x:v>
      </x:c>
      <x:c r="G31" s="15" t="str">
        <x:v>2022</x:v>
      </x:c>
      <x:c r="H31" s="15" t="str">
        <x:v>Misleading advertisements and endorsements</x:v>
      </x:c>
      <x:c r="I31" s="15" t="str">
        <x:v>All advertising entities</x:v>
      </x:c>
      <x:c r="J31" s="15" t="str">
        <x:v>Advertising substantiation and prohibited practices</x:v>
      </x:c>
      <x:c r="K31" s="15" t="str">
        <x:v>INCLUDED — CONDITIONAL</x:v>
      </x:c>
      <x:c r="L31" s="15" t="str">
        <x:v>CORRECT exact title for LAW086</x:v>
      </x:c>
      <x:c r="M31" s="15" t="str">
        <x:v>https://consumeraffairs.nic.in/</x:v>
      </x:c>
      <x:c r="N31" s="15" t="str">
        <x:v>VALIDATED</x:v>
      </x:c>
    </x:row>
    <x:row r="32">
      <x:c r="A32" s="15" t="str">
        <x:v>P1-031</x:v>
      </x:c>
      <x:c r="B32" s="15" t="str">
        <x:v>Legal Metrology Act, 2009</x:v>
      </x:c>
      <x:c r="C32" s="15" t="str">
        <x:v>Department of Consumer Affairs / State Legal Metrology</x:v>
      </x:c>
      <x:c r="D32" s="15" t="str">
        <x:v>Central Act</x:v>
      </x:c>
      <x:c r="E32" s="15" t="str">
        <x:v>India Code</x:v>
      </x:c>
      <x:c r="F32" s="15" t="str">
        <x:v>Current</x:v>
      </x:c>
      <x:c r="G32" s="15" t="str">
        <x:v>Current</x:v>
      </x:c>
      <x:c r="H32" s="15" t="str">
        <x:v>Weights/measures and packaged commodity enforcement</x:v>
      </x:c>
      <x:c r="I32" s="15" t="str">
        <x:v>All selling packaged commodities; role-specific</x:v>
      </x:c>
      <x:c r="J32" s="15" t="str">
        <x:v>Sale/verification/offence provisions</x:v>
      </x:c>
      <x:c r="K32" s="15" t="str">
        <x:v>INCLUDED — CONDITIONAL</x:v>
      </x:c>
      <x:c r="L32" s="15" t="str">
        <x:v>RETAIN LAW040</x:v>
      </x:c>
      <x:c r="M32" s="15" t="str">
        <x:v>https://www.indiacode.nic.in/</x:v>
      </x:c>
      <x:c r="N32" s="15" t="str">
        <x:v>VALIDATED</x:v>
      </x:c>
    </x:row>
    <x:row r="33">
      <x:c r="A33" s="15" t="str">
        <x:v>P1-032</x:v>
      </x:c>
      <x:c r="B33" s="15" t="str">
        <x:v>Legal Metrology (Packaged Commodities) Rules, 2011, as amended</x:v>
      </x:c>
      <x:c r="C33" s="15" t="str">
        <x:v>Department of Consumer Affairs</x:v>
      </x:c>
      <x:c r="D33" s="15" t="str">
        <x:v>Central Rules</x:v>
      </x:c>
      <x:c r="E33" s="15" t="str">
        <x:v>Department of Consumer Affairs</x:v>
      </x:c>
      <x:c r="F33" s="15" t="str">
        <x:v>Current</x:v>
      </x:c>
      <x:c r="G33" s="15" t="str">
        <x:v>As amended</x:v>
      </x:c>
      <x:c r="H33" s="15" t="str">
        <x:v>Mandatory declarations and retail sale requirements</x:v>
      </x:c>
      <x:c r="I33" s="15" t="str">
        <x:v>All selling packaged commodities; primary duties often manufacturer/packer/importer</x:v>
      </x:c>
      <x:c r="J33" s="15" t="str">
        <x:v>Retail price/declaration and prohibited-sale provisions</x:v>
      </x:c>
      <x:c r="K33" s="15" t="str">
        <x:v>INCLUDED — CONDITIONAL</x:v>
      </x:c>
      <x:c r="L33" s="15" t="str">
        <x:v>RETAIN/CORRECT LAW041; do not assign manufacturer duties to retailer</x:v>
      </x:c>
      <x:c r="M33" s="15" t="str">
        <x:v>https://consumeraffairs.nic.in/</x:v>
      </x:c>
      <x:c r="N33" s="15" t="str">
        <x:v>VALIDATED</x:v>
      </x:c>
    </x:row>
    <x:row r="34">
      <x:c r="A34" s="15" t="str">
        <x:v>P1-033</x:v>
      </x:c>
      <x:c r="B34" s="15" t="str">
        <x:v>Information Technology Act, 2000</x:v>
      </x:c>
      <x:c r="C34" s="15" t="str">
        <x:v>MeitY</x:v>
      </x:c>
      <x:c r="D34" s="15" t="str">
        <x:v>Central Act</x:v>
      </x:c>
      <x:c r="E34" s="15" t="str">
        <x:v>India Code / MeitY</x:v>
      </x:c>
      <x:c r="F34" s="15" t="str">
        <x:v>Current</x:v>
      </x:c>
      <x:c r="G34" s="15" t="str">
        <x:v>Current</x:v>
      </x:c>
      <x:c r="H34" s="15" t="str">
        <x:v>Electronic records, cybersecurity and offences</x:v>
      </x:c>
      <x:c r="I34" s="15" t="str">
        <x:v>E-Pharmacy and any digitally processing pharmacy</x:v>
      </x:c>
      <x:c r="J34" s="15" t="str">
        <x:v>Electronic records/security provisions</x:v>
      </x:c>
      <x:c r="K34" s="15" t="str">
        <x:v>INCLUDED — CONDITIONAL</x:v>
      </x:c>
      <x:c r="L34" s="15" t="str">
        <x:v>RETAIN LAW046</x:v>
      </x:c>
      <x:c r="M34" s="15" t="str">
        <x:v>https://www.meity.gov.in/</x:v>
      </x:c>
      <x:c r="N34" s="15" t="str">
        <x:v>VALIDATED</x:v>
      </x:c>
    </x:row>
    <x:row r="35">
      <x:c r="A35" s="15" t="str">
        <x:v>P1-034</x:v>
      </x:c>
      <x:c r="B35" s="15" t="str">
        <x:v>Information Technology (Reasonable Security Practices and Procedures and Sensitive Personal Data or Information) Rules, 2011</x:v>
      </x:c>
      <x:c r="C35" s="15" t="str">
        <x:v>MeitY</x:v>
      </x:c>
      <x:c r="D35" s="15" t="str">
        <x:v>Central Rules</x:v>
      </x:c>
      <x:c r="E35" s="15" t="str">
        <x:v>MeitY</x:v>
      </x:c>
      <x:c r="F35" s="15" t="str">
        <x:v>Transitional/overlap must follow DPDP commencement and repeal notifications</x:v>
      </x:c>
      <x:c r="G35" s="15" t="str">
        <x:v>Current only to extent not displaced</x:v>
      </x:c>
      <x:c r="H35" s="15" t="str">
        <x:v>Sensitive personal data/security practices</x:v>
      </x:c>
      <x:c r="I35" s="15" t="str">
        <x:v>Digital operations processing health/personal data</x:v>
      </x:c>
      <x:c r="J35" s="15" t="str">
        <x:v>Applicable transitional provisions</x:v>
      </x:c>
      <x:c r="K35" s="15" t="str">
        <x:v>INCLUDED — TRANSITIONAL</x:v>
      </x:c>
      <x:c r="L35" s="15" t="str">
        <x:v>CORRECT LAW047; do not assume fully current indefinitely</x:v>
      </x:c>
      <x:c r="M35" s="15" t="str">
        <x:v>https://www.meity.gov.in/</x:v>
      </x:c>
      <x:c r="N35" s="15" t="str">
        <x:v>VALIDATED</x:v>
      </x:c>
    </x:row>
    <x:row r="36">
      <x:c r="A36" s="15" t="str">
        <x:v>P1-035</x:v>
      </x:c>
      <x:c r="B36" s="15" t="str">
        <x:v>Digital Personal Data Protection Act, 2023</x:v>
      </x:c>
      <x:c r="C36" s="15" t="str">
        <x:v>MeitY / Data Protection Board</x:v>
      </x:c>
      <x:c r="D36" s="15" t="str">
        <x:v>Central Act</x:v>
      </x:c>
      <x:c r="E36" s="15" t="str">
        <x:v>MeitY official Act</x:v>
      </x:c>
      <x:c r="F36" s="15" t="str">
        <x:v>Commencement is provision-specific/staggered</x:v>
      </x:c>
      <x:c r="G36" s="15" t="str">
        <x:v>As notified</x:v>
      </x:c>
      <x:c r="H36" s="15" t="str">
        <x:v>Processing digital personal data</x:v>
      </x:c>
      <x:c r="I36" s="15" t="str">
        <x:v>All digital processing; especially chain/e-pharmacy/hospital</x:v>
      </x:c>
      <x:c r="J36" s="15" t="str">
        <x:v>Only provisions in force at audit date plus future-effective register</x:v>
      </x:c>
      <x:c r="K36" s="15" t="str">
        <x:v>INCLUDED — STAGED</x:v>
      </x:c>
      <x:c r="L36" s="15" t="str">
        <x:v>CORRECT LAW048 commencement metadata</x:v>
      </x:c>
      <x:c r="M36" s="15" t="str">
        <x:v>https://www.meity.gov.in/static/uploads/2024/06/2bf1f0e9f04e6fb4f8fef35e82c42aa5.pdf</x:v>
      </x:c>
      <x:c r="N36" s="15" t="str">
        <x:v>VALIDATED</x:v>
      </x:c>
    </x:row>
    <x:row r="37">
      <x:c r="A37" s="15" t="str">
        <x:v>P1-036</x:v>
      </x:c>
      <x:c r="B37" s="15" t="str">
        <x:v>Digital Personal Data Protection Rules, 2025</x:v>
      </x:c>
      <x:c r="C37" s="15" t="str">
        <x:v>MeitY</x:v>
      </x:c>
      <x:c r="D37" s="15" t="str">
        <x:v>Central Rules</x:v>
      </x:c>
      <x:c r="E37" s="15" t="str">
        <x:v>MeitY Gazette notification dated 14-11-2025</x:v>
      </x:c>
      <x:c r="F37" s="15" t="str">
        <x:v>Final Rules with staged commencement: Rules 1,2,17–21 immediately; Rule 4 after one year; Rules 3,5–16,22–23 after eighteen months</x:v>
      </x:c>
      <x:c r="G37" s="15" t="str">
        <x:v>14-11-2025 / staged</x:v>
      </x:c>
      <x:c r="H37" s="15" t="str">
        <x:v>Notice, consent-management, security, breach, rights and Board procedure</x:v>
      </x:c>
      <x:c r="I37" s="15" t="str">
        <x:v>All digital processing when respective provisions commence</x:v>
      </x:c>
      <x:c r="J37" s="15" t="str">
        <x:v>Commencement schedule and applicable rules</x:v>
      </x:c>
      <x:c r="K37" s="15" t="str">
        <x:v>INCLUDED — STAGED</x:v>
      </x:c>
      <x:c r="L37" s="15" t="str">
        <x:v>CORRECT LAW098 from future placeholder to final instrument</x:v>
      </x:c>
      <x:c r="M37" s="15" t="str">
        <x:v>https://www.meity.gov.in/documents/act-and-policies/digital-personal-data-protection-rules-2025-gDOxUjMtQWa?pageTitle=Digital-Personal-Data-Protection-Rules-2025</x:v>
      </x:c>
      <x:c r="N37" s="15" t="str">
        <x:v>VALIDATED</x:v>
      </x:c>
    </x:row>
    <x:row r="38">
      <x:c r="A38" s="15" t="str">
        <x:v>P1-037</x:v>
      </x:c>
      <x:c r="B38" s="15" t="str">
        <x:v>Central Goods and Services Tax Act, 2017 and CGST Rules, 2017</x:v>
      </x:c>
      <x:c r="C38" s="15" t="str">
        <x:v>CBIC / GST authorities</x:v>
      </x:c>
      <x:c r="D38" s="15" t="str">
        <x:v>Central Act/Rules</x:v>
      </x:c>
      <x:c r="E38" s="15" t="str">
        <x:v>CBIC / GST portal</x:v>
      </x:c>
      <x:c r="F38" s="15" t="str">
        <x:v>Current as amended</x:v>
      </x:c>
      <x:c r="G38" s="15" t="str">
        <x:v>Current</x:v>
      </x:c>
      <x:c r="H38" s="15" t="str">
        <x:v>GST registration, invoices, records, returns and tax payment</x:v>
      </x:c>
      <x:c r="I38" s="15" t="str">
        <x:v>All taxable/registered entities; threshold and supply dependent</x:v>
      </x:c>
      <x:c r="J38" s="15" t="str">
        <x:v>Registration, invoice, record, return and payment provisions</x:v>
      </x:c>
      <x:c r="K38" s="15" t="str">
        <x:v>INCLUDED — CONDITIONAL</x:v>
      </x:c>
      <x:c r="L38" s="15" t="str">
        <x:v>RETAIN LAW026/LAW028</x:v>
      </x:c>
      <x:c r="M38" s="15" t="str">
        <x:v>https://cbic-gst.gov.in/</x:v>
      </x:c>
      <x:c r="N38" s="15" t="str">
        <x:v>VALIDATED</x:v>
      </x:c>
    </x:row>
    <x:row r="39">
      <x:c r="A39" s="15" t="str">
        <x:v>P1-038</x:v>
      </x:c>
      <x:c r="B39" s="15" t="str">
        <x:v>Applicable State/UT GST Act and Rules</x:v>
      </x:c>
      <x:c r="C39" s="15" t="str">
        <x:v>State GST authority</x:v>
      </x:c>
      <x:c r="D39" s="15" t="str">
        <x:v>State Act/Rules</x:v>
      </x:c>
      <x:c r="E39" s="15" t="str">
        <x:v>State GST portal / Gazette</x:v>
      </x:c>
      <x:c r="F39" s="15" t="str">
        <x:v>Jurisdiction-specific</x:v>
      </x:c>
      <x:c r="G39" s="15" t="str">
        <x:v>Current</x:v>
      </x:c>
      <x:c r="H39" s="15" t="str">
        <x:v>State component of GST</x:v>
      </x:c>
      <x:c r="I39" s="15" t="str">
        <x:v>Registered entity in jurisdiction</x:v>
      </x:c>
      <x:c r="J39" s="15" t="str">
        <x:v>State GST provisions</x:v>
      </x:c>
      <x:c r="K39" s="15" t="str">
        <x:v>INCLUDED — STATE SPECIFIC</x:v>
      </x:c>
      <x:c r="L39" s="15" t="str">
        <x:v>CORRECT LAW027 placeholder</x:v>
      </x:c>
      <x:c r="M39" s="15" t="str">
        <x:v>https://www.gst.gov.in/</x:v>
      </x:c>
      <x:c r="N39" s="15" t="str">
        <x:v>VALIDATED AS REQUIRED STATE LAYER</x:v>
      </x:c>
    </x:row>
    <x:row r="40">
      <x:c r="A40" s="15" t="str">
        <x:v>P1-039</x:v>
      </x:c>
      <x:c r="B40" s="15" t="str">
        <x:v>Income-tax Act, 2025 and Income-tax Rules/forms effective from 01-04-2026</x:v>
      </x:c>
      <x:c r="C40" s="15" t="str">
        <x:v>CBDT / Income Tax Department</x:v>
      </x:c>
      <x:c r="D40" s="15" t="str">
        <x:v>Central Act/Rules</x:v>
      </x:c>
      <x:c r="E40" s="15" t="str">
        <x:v>Income Tax Department official portal</x:v>
      </x:c>
      <x:c r="F40" s="15" t="str">
        <x:v>Current for tax years beginning on/after 01-04-2026</x:v>
      </x:c>
      <x:c r="G40" s="15" t="str">
        <x:v>01-04-2026</x:v>
      </x:c>
      <x:c r="H40" s="15" t="str">
        <x:v>Income tax, TDS, records and returns</x:v>
      </x:c>
      <x:c r="I40" s="15" t="str">
        <x:v>All taxable entities</x:v>
      </x:c>
      <x:c r="J40" s="15" t="str">
        <x:v>Applicable TDS, record, return and payment provisions</x:v>
      </x:c>
      <x:c r="K40" s="15" t="str">
        <x:v>INCLUDED</x:v>
      </x:c>
      <x:c r="L40" s="15" t="str">
        <x:v>ADD current Act; retire LAW029 from current-year master and retain as historical transition</x:v>
      </x:c>
      <x:c r="M40" s="15" t="str">
        <x:v>https://www.incometax.gov.in/iec/foportal/help/all-topics/e-filing-services/objective-and-scope-new-act</x:v>
      </x:c>
      <x:c r="N40" s="15" t="str">
        <x:v>VALIDATED</x:v>
      </x:c>
    </x:row>
    <x:row r="41">
      <x:c r="A41" s="15" t="str">
        <x:v>P1-040</x:v>
      </x:c>
      <x:c r="B41" s="15" t="str">
        <x:v>Income-tax Act, 1961 and Income-tax Rules, 1962</x:v>
      </x:c>
      <x:c r="C41" s="15" t="str">
        <x:v>CBDT</x:v>
      </x:c>
      <x:c r="D41" s="15" t="str">
        <x:v>Historical/transitional Act/Rules</x:v>
      </x:c>
      <x:c r="E41" s="15" t="str">
        <x:v>Income Tax Department official portal</x:v>
      </x:c>
      <x:c r="F41" s="15" t="str">
        <x:v>Repealed for tax years from 01-04-2026 but continues for prior tax years/proceedings</x:v>
      </x:c>
      <x:c r="G41" s="15" t="str">
        <x:v>Historical transition</x:v>
      </x:c>
      <x:c r="H41" s="15" t="str">
        <x:v>Prior-year returns, assessments, TDS and proceedings</x:v>
      </x:c>
      <x:c r="I41" s="15" t="str">
        <x:v>All entities for pre-01-04-2026 tax years</x:v>
      </x:c>
      <x:c r="J41" s="15" t="str">
        <x:v>Savings and prior-year compliance</x:v>
      </x:c>
      <x:c r="K41" s="15" t="str">
        <x:v>REFERENCE ONLY — TRANSITIONAL</x:v>
      </x:c>
      <x:c r="L41" s="15" t="str">
        <x:v>RECLASSIFY LAW029/LAW030; not the sole current law</x:v>
      </x:c>
      <x:c r="M41" s="15" t="str">
        <x:v>https://www.incometax.gov.in/iec/foportal/help/all-topics/e-filing-services/objective-and-scope-new-act</x:v>
      </x:c>
      <x:c r="N41" s="15" t="str">
        <x:v>VALIDATED</x:v>
      </x:c>
    </x:row>
    <x:row r="42">
      <x:c r="A42" s="15" t="str">
        <x:v>P1-041</x:v>
      </x:c>
      <x:c r="B42" s="15" t="str">
        <x:v>Four Labour Codes: Code on Wages 2019; Industrial Relations Code 2020; OSHWC Code 2020; Code on Social Security 2020</x:v>
      </x:c>
      <x:c r="C42" s="15" t="str">
        <x:v>Ministry of Labour and Employment / State authorities</x:v>
      </x:c>
      <x:c r="D42" s="15" t="str">
        <x:v>Central Codes</x:v>
      </x:c>
      <x:c r="E42" s="15" t="str">
        <x:v>Ministry of Labour official Labour Codes portal/FAQs</x:v>
      </x:c>
      <x:c r="F42" s="15" t="str">
        <x:v>Implemented from 21-11-2025</x:v>
      </x:c>
      <x:c r="G42" s="15" t="str">
        <x:v>21-11-2025</x:v>
      </x:c>
      <x:c r="H42" s="15" t="str">
        <x:v>Wages, industrial relations, workplace safety and social security</x:v>
      </x:c>
      <x:c r="I42" s="15" t="str">
        <x:v>All employers subject to code-specific thresholds/definitions</x:v>
      </x:c>
      <x:c r="J42" s="15" t="str">
        <x:v>Applicable code duties and transition provisions</x:v>
      </x:c>
      <x:c r="K42" s="15" t="str">
        <x:v>INCLUDED — CONDITIONAL</x:v>
      </x:c>
      <x:c r="L42" s="15" t="str">
        <x:v>CORRECT LAW034–LAW037; legacy EPF/ESI treatment must reflect savings/transition</x:v>
      </x:c>
      <x:c r="M42" s="15" t="str">
        <x:v>https://www.labour.gov.in/offerings/schemes-and-services/details/labour-codes-gzNzQzMtQWa</x:v>
      </x:c>
      <x:c r="N42" s="15" t="str">
        <x:v>VALIDATED</x:v>
      </x:c>
    </x:row>
    <x:row r="43">
      <x:c r="A43" s="15" t="str">
        <x:v>P1-042</x:v>
      </x:c>
      <x:c r="B43" s="15" t="str">
        <x:v>Central Rules, 2026 under the Labour Codes and applicable State Rules</x:v>
      </x:c>
      <x:c r="C43" s="15" t="str">
        <x:v>Ministry of Labour / State Labour Departments</x:v>
      </x:c>
      <x:c r="D43" s="15" t="str">
        <x:v>Central/State Rules</x:v>
      </x:c>
      <x:c r="E43" s="15" t="str">
        <x:v>Ministry of Labour official notifications and State Gazettes</x:v>
      </x:c>
      <x:c r="F43" s="15" t="str">
        <x:v>Central Rules notified in 2026; State layer jurisdiction-specific</x:v>
      </x:c>
      <x:c r="G43" s="15" t="str">
        <x:v>As notified</x:v>
      </x:c>
      <x:c r="H43" s="15" t="str">
        <x:v>Operational rules/forms/registers under Labour Codes</x:v>
      </x:c>
      <x:c r="I43" s="15" t="str">
        <x:v>All employers subject to the relevant rule-making jurisdiction</x:v>
      </x:c>
      <x:c r="J43" s="15" t="str">
        <x:v>Registers, notices, returns, safety and social-security procedures</x:v>
      </x:c>
      <x:c r="K43" s="15" t="str">
        <x:v>INCLUDED — CONDITIONAL</x:v>
      </x:c>
      <x:c r="L43" s="15" t="str">
        <x:v>ADD rules layer; CORRECT LAW094 generic title</x:v>
      </x:c>
      <x:c r="M43" s="15" t="str">
        <x:v>https://www.labour.gov.in/static/uploads/2026/05/6eb0c35ba63b776487a025e5123b6b12.pdf</x:v>
      </x:c>
      <x:c r="N43" s="15" t="str">
        <x:v>VALIDATED</x:v>
      </x:c>
    </x:row>
    <x:row r="44">
      <x:c r="A44" s="15" t="str">
        <x:v>P1-043</x:v>
      </x:c>
      <x:c r="B44" s="15" t="str">
        <x:v>Sexual Harassment of Women at Workplace (Prevention, Prohibition and Redressal) Act, 2013 and Rules, 2013</x:v>
      </x:c>
      <x:c r="C44" s="15" t="str">
        <x:v>MWCD / District Officer</x:v>
      </x:c>
      <x:c r="D44" s="15" t="str">
        <x:v>Central Act/Rules</x:v>
      </x:c>
      <x:c r="E44" s="15" t="str">
        <x:v>India Code / MWCD</x:v>
      </x:c>
      <x:c r="F44" s="15" t="str">
        <x:v>Current</x:v>
      </x:c>
      <x:c r="G44" s="15" t="str">
        <x:v>09-12-2013</x:v>
      </x:c>
      <x:c r="H44" s="15" t="str">
        <x:v>Prevention, ICC/local committee, policy, training and reporting</x:v>
      </x:c>
      <x:c r="I44" s="15" t="str">
        <x:v>All workplaces; ICC threshold/structure conditional</x:v>
      </x:c>
      <x:c r="J44" s="15" t="str">
        <x:v>Sections 4, 6, 19, 21–22, 26 and Rules</x:v>
      </x:c>
      <x:c r="K44" s="15" t="str">
        <x:v>INCLUDED</x:v>
      </x:c>
      <x:c r="L44" s="15" t="str">
        <x:v>ADD — missing from Law Master</x:v>
      </x:c>
      <x:c r="M44" s="15" t="str">
        <x:v>https://www.indiacode.nic.in/handle/123456789/2104</x:v>
      </x:c>
      <x:c r="N44" s="15" t="str">
        <x:v>VALIDATED</x:v>
      </x:c>
    </x:row>
    <x:row r="45">
      <x:c r="A45" s="15" t="str">
        <x:v>P1-044</x:v>
      </x:c>
      <x:c r="B45" s="15" t="str">
        <x:v>Environment (Protection) Act, 1986 and Environment (Protection) Rules, 1986</x:v>
      </x:c>
      <x:c r="C45" s="15" t="str">
        <x:v>MoEFCC / CPCB / SPCB</x:v>
      </x:c>
      <x:c r="D45" s="15" t="str">
        <x:v>Central Act/Rules</x:v>
      </x:c>
      <x:c r="E45" s="15" t="str">
        <x:v>India Code / MoEFCC</x:v>
      </x:c>
      <x:c r="F45" s="15" t="str">
        <x:v>Current umbrella law</x:v>
      </x:c>
      <x:c r="G45" s="15" t="str">
        <x:v>Current</x:v>
      </x:c>
      <x:c r="H45" s="15" t="str">
        <x:v>Environmental standards and enabling framework</x:v>
      </x:c>
      <x:c r="I45" s="15" t="str">
        <x:v>Conditional by waste/activity/premises</x:v>
      </x:c>
      <x:c r="J45" s="15" t="str">
        <x:v>Applicable enabling provisions and standards</x:v>
      </x:c>
      <x:c r="K45" s="15" t="str">
        <x:v>INCLUDED — CONDITIONAL</x:v>
      </x:c>
      <x:c r="L45" s="15" t="str">
        <x:v>ADD missing parent instruments</x:v>
      </x:c>
      <x:c r="M45" s="15" t="str">
        <x:v>https://www.indiacode.nic.in/bitstream/123456789/6196/1/the_environment_protection_act%2C1986.pdf</x:v>
      </x:c>
      <x:c r="N45" s="15" t="str">
        <x:v>VALIDATED</x:v>
      </x:c>
    </x:row>
    <x:row r="46">
      <x:c r="A46" s="15" t="str">
        <x:v>P1-045</x:v>
      </x:c>
      <x:c r="B46" s="15" t="str">
        <x:v>Bio-Medical Waste Management Rules, 2016, as amended</x:v>
      </x:c>
      <x:c r="C46" s="15" t="str">
        <x:v>MoEFCC / CPCB / SPCB</x:v>
      </x:c>
      <x:c r="D46" s="15" t="str">
        <x:v>Central Rules</x:v>
      </x:c>
      <x:c r="E46" s="15" t="str">
        <x:v>CPCB official BMW Rules page</x:v>
      </x:c>
      <x:c r="F46" s="15" t="str">
        <x:v>Current as amended</x:v>
      </x:c>
      <x:c r="G46" s="15" t="str">
        <x:v>As amended</x:v>
      </x:c>
      <x:c r="H46" s="15" t="str">
        <x:v>Duties of occupiers generating biomedical waste</x:v>
      </x:c>
      <x:c r="I46" s="15" t="str">
        <x:v>Hospital/institutional/specialized; retail only if covered biomedical waste is generated</x:v>
      </x:c>
      <x:c r="J46" s="15" t="str">
        <x:v>Segregation, authorization, records, annual report and accident reporting</x:v>
      </x:c>
      <x:c r="K46" s="15" t="str">
        <x:v>INCLUDED — CONDITIONAL</x:v>
      </x:c>
      <x:c r="L46" s="15" t="str">
        <x:v>CORRECT LAW018; LAW019/020/082 are guidance/authorization layers, not separate laws</x:v>
      </x:c>
      <x:c r="M46" s="15" t="str">
        <x:v>https://cpcb.nic.in/bio-medical-waste-rules/</x:v>
      </x:c>
      <x:c r="N46" s="15" t="str">
        <x:v>VALIDATED</x:v>
      </x:c>
    </x:row>
    <x:row r="47">
      <x:c r="A47" s="15" t="str">
        <x:v>P1-046</x:v>
      </x:c>
      <x:c r="B47" s="15" t="str">
        <x:v>Hazardous and Other Wastes (Management and Transboundary Movement) Rules, 2016, as amended through 2025</x:v>
      </x:c>
      <x:c r="C47" s="15" t="str">
        <x:v>MoEFCC / CPCB / SPCB</x:v>
      </x:c>
      <x:c r="D47" s="15" t="str">
        <x:v>Central Rules</x:v>
      </x:c>
      <x:c r="E47" s="15" t="str">
        <x:v>MoEFCC official rules repository</x:v>
      </x:c>
      <x:c r="F47" s="15" t="str">
        <x:v>Current; 2025 amendment confirmed</x:v>
      </x:c>
      <x:c r="G47" s="15" t="str">
        <x:v>As amended</x:v>
      </x:c>
      <x:c r="H47" s="15" t="str">
        <x:v>Generators/handlers of scheduled hazardous and other wastes</x:v>
      </x:c>
      <x:c r="I47" s="15" t="str">
        <x:v>Conditional; specialized/hospital/warehouse and role-specific activities</x:v>
      </x:c>
      <x:c r="J47" s="15" t="str">
        <x:v>Authorization, storage, manifest and authorised disposal where triggered</x:v>
      </x:c>
      <x:c r="K47" s="15" t="str">
        <x:v>INCLUDED — CONDITIONAL</x:v>
      </x:c>
      <x:c r="L47" s="15" t="str">
        <x:v>ADD — missing; do not apply universally to ordinary retail</x:v>
      </x:c>
      <x:c r="M47" s="15" t="str">
        <x:v>https://moef.gov.in/rules-regulations-3</x:v>
      </x:c>
      <x:c r="N47" s="15" t="str">
        <x:v>VALIDATED</x:v>
      </x:c>
    </x:row>
    <x:row r="48">
      <x:c r="A48" s="15" t="str">
        <x:v>P1-047</x:v>
      </x:c>
      <x:c r="B48" s="15" t="str">
        <x:v>Plastic Waste Management Rules, 2016, as amended</x:v>
      </x:c>
      <x:c r="C48" s="15" t="str">
        <x:v>MoEFCC / CPCB / SPCB / local bodies</x:v>
      </x:c>
      <x:c r="D48" s="15" t="str">
        <x:v>Central Rules</x:v>
      </x:c>
      <x:c r="E48" s="15" t="str">
        <x:v>MoEFCC official rules repository</x:v>
      </x:c>
      <x:c r="F48" s="15" t="str">
        <x:v>Current as amended</x:v>
      </x:c>
      <x:c r="G48" s="15" t="str">
        <x:v>As amended</x:v>
      </x:c>
      <x:c r="H48" s="15" t="str">
        <x:v>Plastic waste generator and producer/importer/brand-owner duties</x:v>
      </x:c>
      <x:c r="I48" s="15" t="str">
        <x:v>All as waste generators; EPR duties only if covered role</x:v>
      </x:c>
      <x:c r="J48" s="15" t="str">
        <x:v>Segregation/handover and role-based EPR duties</x:v>
      </x:c>
      <x:c r="K48" s="15" t="str">
        <x:v>INCLUDED — ROLE BASED</x:v>
      </x:c>
      <x:c r="L48" s="15" t="str">
        <x:v>CORRECT LAW042 applicability</x:v>
      </x:c>
      <x:c r="M48" s="15" t="str">
        <x:v>https://moef.gov.in/rules-regulations-3</x:v>
      </x:c>
      <x:c r="N48" s="15" t="str">
        <x:v>VALIDATED</x:v>
      </x:c>
    </x:row>
    <x:row r="49">
      <x:c r="A49" s="15" t="str">
        <x:v>P1-048</x:v>
      </x:c>
      <x:c r="B49" s="15" t="str">
        <x:v>E-Waste (Management) Rules, 2022, as amended through 2024</x:v>
      </x:c>
      <x:c r="C49" s="15" t="str">
        <x:v>MoEFCC / CPCB</x:v>
      </x:c>
      <x:c r="D49" s="15" t="str">
        <x:v>Central Rules</x:v>
      </x:c>
      <x:c r="E49" s="15" t="str">
        <x:v>MoEFCC official rules repository</x:v>
      </x:c>
      <x:c r="F49" s="15" t="str">
        <x:v>Current; amendments through 2024 identified</x:v>
      </x:c>
      <x:c r="G49" s="15" t="str">
        <x:v>As amended</x:v>
      </x:c>
      <x:c r="H49" s="15" t="str">
        <x:v>Bulk consumer and regulated-entity duties for covered EEE</x:v>
      </x:c>
      <x:c r="I49" s="15" t="str">
        <x:v>Chain/e-pharmacy/hospital/institutional may qualify; ordinary small retail conditional</x:v>
      </x:c>
      <x:c r="J49" s="15" t="str">
        <x:v>Channelisation and records by role</x:v>
      </x:c>
      <x:c r="K49" s="15" t="str">
        <x:v>INCLUDED — CONDITIONAL</x:v>
      </x:c>
      <x:c r="L49" s="15" t="str">
        <x:v>CORRECT LAW043 amendment position</x:v>
      </x:c>
      <x:c r="M49" s="15" t="str">
        <x:v>https://moef.gov.in/rules-regulations-3</x:v>
      </x:c>
      <x:c r="N49" s="15" t="str">
        <x:v>VALIDATED</x:v>
      </x:c>
    </x:row>
    <x:row r="50">
      <x:c r="A50" s="15" t="str">
        <x:v>P1-049</x:v>
      </x:c>
      <x:c r="B50" s="15" t="str">
        <x:v>Battery Waste Management Rules, 2022, as amended</x:v>
      </x:c>
      <x:c r="C50" s="15" t="str">
        <x:v>MoEFCC / CPCB</x:v>
      </x:c>
      <x:c r="D50" s="15" t="str">
        <x:v>Central Rules</x:v>
      </x:c>
      <x:c r="E50" s="15" t="str">
        <x:v>MoEFCC official rules repository</x:v>
      </x:c>
      <x:c r="F50" s="15" t="str">
        <x:v>Current</x:v>
      </x:c>
      <x:c r="G50" s="15" t="str">
        <x:v>As amended</x:v>
      </x:c>
      <x:c r="H50" s="15" t="str">
        <x:v>Waste-battery generator and regulated-role duties</x:v>
      </x:c>
      <x:c r="I50" s="15" t="str">
        <x:v>All generating waste batteries; enhanced duties only by role</x:v>
      </x:c>
      <x:c r="J50" s="15" t="str">
        <x:v>Segregated channelisation and role-based duties</x:v>
      </x:c>
      <x:c r="K50" s="15" t="str">
        <x:v>INCLUDED — CONDITIONAL</x:v>
      </x:c>
      <x:c r="L50" s="15" t="str">
        <x:v>ADD — missing from Law Master</x:v>
      </x:c>
      <x:c r="M50" s="15" t="str">
        <x:v>https://moef.gov.in/rules-regulations-3</x:v>
      </x:c>
      <x:c r="N50" s="15" t="str">
        <x:v>VALIDATED</x:v>
      </x:c>
    </x:row>
    <x:row r="51">
      <x:c r="A51" s="15" t="str">
        <x:v>P1-050</x:v>
      </x:c>
      <x:c r="B51" s="15" t="str">
        <x:v>Solid Waste Management Rules, 2026, S.O. 388(E), 27-01-2026</x:v>
      </x:c>
      <x:c r="C51" s="15" t="str">
        <x:v>MoEFCC / local authorities</x:v>
      </x:c>
      <x:c r="D51" s="15" t="str">
        <x:v>Central Rules</x:v>
      </x:c>
      <x:c r="E51" s="15" t="str">
        <x:v>MoEFCC official release/Gazette</x:v>
      </x:c>
      <x:c r="F51" s="15" t="str">
        <x:v>Current successor framework; detailed commencement/application must be used</x:v>
      </x:c>
      <x:c r="G51" s="15" t="str">
        <x:v>Per notification</x:v>
      </x:c>
      <x:c r="H51" s="15" t="str">
        <x:v>Duties of waste generators and bulk waste generators</x:v>
      </x:c>
      <x:c r="I51" s="15" t="str">
        <x:v>All premises; duties vary by category/threshold</x:v>
      </x:c>
      <x:c r="J51" s="15" t="str">
        <x:v>Segregation, storage, handover and bulk-generator duties</x:v>
      </x:c>
      <x:c r="K51" s="15" t="str">
        <x:v>INCLUDED — ROLE BASED</x:v>
      </x:c>
      <x:c r="L51" s="15" t="str">
        <x:v>REPLACE LAW044 (2016 Rules)</x:v>
      </x:c>
      <x:c r="M51" s="15" t="str">
        <x:v>https://moef.gov.in/new_releases/update?archive=1</x:v>
      </x:c>
      <x:c r="N51" s="15" t="str">
        <x:v>VALIDATED</x:v>
      </x:c>
    </x:row>
    <x:row r="52">
      <x:c r="A52" s="15" t="str">
        <x:v>P1-051</x:v>
      </x:c>
      <x:c r="B52" s="15" t="str">
        <x:v>Water (Prevention and Control of Pollution) Act, 1974 and applicable Rules</x:v>
      </x:c>
      <x:c r="C52" s="15" t="str">
        <x:v>CPCB / SPCB</x:v>
      </x:c>
      <x:c r="D52" s="15" t="str">
        <x:v>Central/State Act/Rules</x:v>
      </x:c>
      <x:c r="E52" s="15" t="str">
        <x:v>India Code / SPCB</x:v>
      </x:c>
      <x:c r="F52" s="15" t="str">
        <x:v>Current</x:v>
      </x:c>
      <x:c r="G52" s="15" t="str">
        <x:v>Current</x:v>
      </x:c>
      <x:c r="H52" s="15" t="str">
        <x:v>Effluent discharge and consent framework</x:v>
      </x:c>
      <x:c r="I52" s="15" t="str">
        <x:v>Usually not ordinary retail; conditional for covered discharge/process/facility</x:v>
      </x:c>
      <x:c r="J52" s="15" t="str">
        <x:v>Consent and operating conditions where legally triggered</x:v>
      </x:c>
      <x:c r="K52" s="15" t="str">
        <x:v>INCLUDED IN UNIVERSE — CONDITIONAL</x:v>
      </x:c>
      <x:c r="L52" s="15" t="str">
        <x:v>ADD; exclude per entity where trigger absent</x:v>
      </x:c>
      <x:c r="M52" s="15" t="str">
        <x:v>https://www.indiacode.nic.in/handle/123456789/1612?view_type=browse</x:v>
      </x:c>
      <x:c r="N52" s="15" t="str">
        <x:v>VALIDATED</x:v>
      </x:c>
    </x:row>
    <x:row r="53">
      <x:c r="A53" s="15" t="str">
        <x:v>P1-052</x:v>
      </x:c>
      <x:c r="B53" s="15" t="str">
        <x:v>Air (Prevention and Control of Pollution) Act, 1981 and applicable Rules</x:v>
      </x:c>
      <x:c r="C53" s="15" t="str">
        <x:v>CPCB / SPCB</x:v>
      </x:c>
      <x:c r="D53" s="15" t="str">
        <x:v>Central/State Act/Rules</x:v>
      </x:c>
      <x:c r="E53" s="15" t="str">
        <x:v>India Code / SPCB</x:v>
      </x:c>
      <x:c r="F53" s="15" t="str">
        <x:v>Current</x:v>
      </x:c>
      <x:c r="G53" s="15" t="str">
        <x:v>Current</x:v>
      </x:c>
      <x:c r="H53" s="15" t="str">
        <x:v>Air emissions and consent framework</x:v>
      </x:c>
      <x:c r="I53" s="15" t="str">
        <x:v>Usually not ordinary retail; conditional for covered plant/process/genset/facility</x:v>
      </x:c>
      <x:c r="J53" s="15" t="str">
        <x:v>Consent and operating conditions where legally triggered</x:v>
      </x:c>
      <x:c r="K53" s="15" t="str">
        <x:v>INCLUDED IN UNIVERSE — CONDITIONAL</x:v>
      </x:c>
      <x:c r="L53" s="15" t="str">
        <x:v>ADD; exclude per entity where trigger absent</x:v>
      </x:c>
      <x:c r="M53" s="15" t="str">
        <x:v>https://www.indiacode.nic.in/handle/123456789/1389?view_type=browse</x:v>
      </x:c>
      <x:c r="N53" s="15" t="str">
        <x:v>VALIDATED</x:v>
      </x:c>
    </x:row>
    <x:row r="54">
      <x:c r="A54" s="15" t="str">
        <x:v>P1-053</x:v>
      </x:c>
      <x:c r="B54" s="15" t="str">
        <x:v>Applicable State Fire Services Act/Rules, Fire NOC and local building/fire requirements</x:v>
      </x:c>
      <x:c r="C54" s="15" t="str">
        <x:v>State Fire Department / local authority</x:v>
      </x:c>
      <x:c r="D54" s="15" t="str">
        <x:v>State Act/Rules/conditions</x:v>
      </x:c>
      <x:c r="E54" s="15" t="str">
        <x:v>State Gazette / Fire Department / local body</x:v>
      </x:c>
      <x:c r="F54" s="15" t="str">
        <x:v>Jurisdiction and building-specific</x:v>
      </x:c>
      <x:c r="G54" s="15" t="str">
        <x:v>State specific</x:v>
      </x:c>
      <x:c r="H54" s="15" t="str">
        <x:v>Fire prevention, means of escape, equipment and NOC conditions</x:v>
      </x:c>
      <x:c r="I54" s="15" t="str">
        <x:v>All premises based on occupancy/building thresholds</x:v>
      </x:c>
      <x:c r="J54" s="15" t="str">
        <x:v>State fire duties and NOC conditions</x:v>
      </x:c>
      <x:c r="K54" s="15" t="str">
        <x:v>INCLUDED — STATE SPECIFIC</x:v>
      </x:c>
      <x:c r="L54" s="15" t="str">
        <x:v>CORRECT LAW021/083/085; NBC is technical reference, not standalone statute</x:v>
      </x:c>
      <x:c r="M54" s="15" t="str">
        <x:v>https://www.indiacode.nic.in/</x:v>
      </x:c>
      <x:c r="N54" s="15" t="str">
        <x:v>VALIDATED AS REQUIRED STATE LAYER</x:v>
      </x:c>
    </x:row>
    <x:row r="55">
      <x:c r="A55" s="15" t="str">
        <x:v>P1-054</x:v>
      </x:c>
      <x:c r="B55" s="15" t="str">
        <x:v>Applicable State Shops and Establishments law/rules and municipal trade/health/building by-laws</x:v>
      </x:c>
      <x:c r="C55" s="15" t="str">
        <x:v>State Labour Department / municipal authority</x:v>
      </x:c>
      <x:c r="D55" s="15" t="str">
        <x:v>State/Local law</x:v>
      </x:c>
      <x:c r="E55" s="15" t="str">
        <x:v>State Gazette / municipal portal</x:v>
      </x:c>
      <x:c r="F55" s="15" t="str">
        <x:v>Jurisdiction-specific; may interact with Labour Codes</x:v>
      </x:c>
      <x:c r="G55" s="15" t="str">
        <x:v>State/local</x:v>
      </x:c>
      <x:c r="H55" s="15" t="str">
        <x:v>Establishment registration, hours, notices, amenities and local trade permission</x:v>
      </x:c>
      <x:c r="I55" s="15" t="str">
        <x:v>All physical pharmacies subject to jurisdiction and thresholds</x:v>
      </x:c>
      <x:c r="J55" s="15" t="str">
        <x:v>Applicable registration/licence/operating conditions</x:v>
      </x:c>
      <x:c r="K55" s="15" t="str">
        <x:v>INCLUDED — STATE/LOCAL SPECIFIC</x:v>
      </x:c>
      <x:c r="L55" s="15" t="str">
        <x:v>CORRECT LAW022/023/049/084/085; remove duplicates and resolve jurisdiction at runtime</x:v>
      </x:c>
      <x:c r="M55" s="15" t="str">
        <x:v>https://www.indiacode.nic.in/</x:v>
      </x:c>
      <x:c r="N55" s="15" t="str">
        <x:v>VALIDATED AS REQUIRED STATE LAYER</x:v>
      </x:c>
    </x:row>
    <x:row r="56">
      <x:c r="A56" s="15" t="str">
        <x:v>P1-055</x:v>
      </x:c>
      <x:c r="B56" s="15" t="str">
        <x:v>Customs Act, 1962; Foreign Trade (Development and Regulation) Act, 1992; Foreign Trade Policy 2023 as amended</x:v>
      </x:c>
      <x:c r="C56" s="15" t="str">
        <x:v>CBIC / DGFT</x:v>
      </x:c>
      <x:c r="D56" s="15" t="str">
        <x:v>Central Act/Policy</x:v>
      </x:c>
      <x:c r="E56" s="15" t="str">
        <x:v>India Code / DGFT</x:v>
      </x:c>
      <x:c r="F56" s="15" t="str">
        <x:v>Current</x:v>
      </x:c>
      <x:c r="G56" s="15" t="str">
        <x:v>Current/as amended</x:v>
      </x:c>
      <x:c r="H56" s="15" t="str">
        <x:v>Import/export of drugs, devices and related goods</x:v>
      </x:c>
      <x:c r="I56" s="15" t="str">
        <x:v>Importer/exporter activity; not ordinary wholesale merely by category</x:v>
      </x:c>
      <x:c r="J56" s="15" t="str">
        <x:v>Customs, IEC, licensing/restriction and policy conditions</x:v>
      </x:c>
      <x:c r="K56" s="15" t="str">
        <x:v>OUT-OF-CURRENT-TAXONOMY UNLESS ACTIVITY FLAG</x:v>
      </x:c>
      <x:c r="L56" s="15" t="str">
        <x:v>RETAIN LAW068–070 only for importer/exporter extension; flag taxonomy gap</x:v>
      </x:c>
      <x:c r="M56" s="15" t="str">
        <x:v>https://www.dgft.gov.in/</x:v>
      </x:c>
      <x:c r="N56" s="15" t="str">
        <x:v>VALIDATED</x:v>
      </x:c>
    </x:row>
    <x:row r="57">
      <x:c r="A57" s="15" t="str">
        <x:v>P1-056</x:v>
      </x:c>
      <x:c r="B57" s="15" t="str">
        <x:v>Uniform Code for Pharmaceutical Marketing Practices 2024 and amendments; UCMPMD 2024 and amendments</x:v>
      </x:c>
      <x:c r="C57" s="15" t="str">
        <x:v>Department of Pharmaceuticals</x:v>
      </x:c>
      <x:c r="D57" s="15" t="str">
        <x:v>Government code/policy</x:v>
      </x:c>
      <x:c r="E57" s="15" t="str">
        <x:v>Department of Pharmaceuticals official policy pages</x:v>
      </x:c>
      <x:c r="F57" s="15" t="str">
        <x:v>Current; amendments through 2025/2026</x:v>
      </x:c>
      <x:c r="G57" s="15" t="str">
        <x:v>As amended</x:v>
      </x:c>
      <x:c r="H57" s="15" t="str">
        <x:v>Marketing practices of pharmaceutical/medical-device industry</x:v>
      </x:c>
      <x:c r="I57" s="15" t="str">
        <x:v>Primarily manufacturers/marketers; pharmacy only if acting in covered marketing role</x:v>
      </x:c>
      <x:c r="J57" s="15" t="str">
        <x:v>Code declarations/disclosures and marketing controls</x:v>
      </x:c>
      <x:c r="K57" s="15" t="str">
        <x:v>REFERENCE / CONDITIONAL ROLE</x:v>
      </x:c>
      <x:c r="L57" s="15" t="str">
        <x:v>Do not treat as universal retail pharmacy law</x:v>
      </x:c>
      <x:c r="M57" s="15" t="str">
        <x:v>https://pharma-dept.gov.in/policy</x:v>
      </x:c>
      <x:c r="N57" s="15" t="str">
        <x:v>VALIDATED</x:v>
      </x:c>
    </x:row>
    <x:row r="58">
      <x:c r="A58" s="15" t="str">
        <x:v>P1-057</x:v>
      </x:c>
      <x:c r="B58" s="15" t="str">
        <x:v>Disaster Management Act, 2005 and Epidemic Diseases Act, 1897 with operative orders</x:v>
      </x:c>
      <x:c r="C58" s="15" t="str">
        <x:v>NDMA / Central and State Governments</x:v>
      </x:c>
      <x:c r="D58" s="15" t="str">
        <x:v>Central Acts + event orders</x:v>
      </x:c>
      <x:c r="E58" s="15" t="str">
        <x:v>India Code / competent-government orders</x:v>
      </x:c>
      <x:c r="F58" s="15" t="str">
        <x:v>Current; obligations arise from operative directions</x:v>
      </x:c>
      <x:c r="G58" s="15" t="str">
        <x:v>Event based</x:v>
      </x:c>
      <x:c r="H58" s="15" t="str">
        <x:v>Emergency directions affecting supply, premises or operations</x:v>
      </x:c>
      <x:c r="I58" s="15" t="str">
        <x:v>All only when a valid direction/order applies</x:v>
      </x:c>
      <x:c r="J58" s="15" t="str">
        <x:v>Operative order-specific duties</x:v>
      </x:c>
      <x:c r="K58" s="15" t="str">
        <x:v>INCLUDED — EVENT BASED</x:v>
      </x:c>
      <x:c r="L58" s="15" t="str">
        <x:v>RETAIN LAW089/090; do not create standing obligations without an order</x:v>
      </x:c>
      <x:c r="M58" s="15" t="str">
        <x:v>https://www.indiacode.nic.in/</x:v>
      </x:c>
      <x:c r="N58" s="15" t="str">
        <x:v>VALIDATED</x:v>
      </x:c>
    </x:row>
    <x:row r="59">
      <x:c r="A59" s="15" t="str">
        <x:v>P1-058</x:v>
      </x:c>
      <x:c r="B59" s="15" t="str">
        <x:v>Limited Liability Partnership Act, 2008 and applicable Rules</x:v>
      </x:c>
      <x:c r="C59" s="15" t="str">
        <x:v>MCA</x:v>
      </x:c>
      <x:c r="D59" s="15" t="str">
        <x:v>Common corporate Act/Rules</x:v>
      </x:c>
      <x:c r="E59" s="15" t="str">
        <x:v>MCA / India Code</x:v>
      </x:c>
      <x:c r="F59" s="15" t="str">
        <x:v>Current</x:v>
      </x:c>
      <x:c r="G59" s="15" t="str">
        <x:v>Current</x:v>
      </x:c>
      <x:c r="H59" s="15" t="str">
        <x:v>LLP constitution and filings</x:v>
      </x:c>
      <x:c r="I59" s="15" t="str">
        <x:v>Only Pharmacy entities constituted as LLP</x:v>
      </x:c>
      <x:c r="J59" s="15" t="str">
        <x:v>Entity-form compliance</x:v>
      </x:c>
      <x:c r="K59" s="15" t="str">
        <x:v>COMMON CORE — NOT PHARMACY OWNED</x:v>
      </x:c>
      <x:c r="L59" s="15" t="str">
        <x:v>RECLASSIFY LAW033 to Common Corporate Core; do not duplicate in Pharmacy</x:v>
      </x:c>
      <x:c r="M59" s="15" t="str">
        <x:v>https://www.indiacode.nic.in/</x:v>
      </x:c>
      <x:c r="N59" s="15" t="str">
        <x:v>VALIDATED</x:v>
      </x:c>
    </x:row>
    <x:row r="60">
      <x:c r="A60" s="33" t="str">
        <x:v>P2-059</x:v>
      </x:c>
      <x:c r="B60" s="33" t="str">
        <x:v>Drugs Rules, 1945 — consolidated official copy dated 01-07-2024</x:v>
      </x:c>
      <x:c r="C60" s="33" t="str">
        <x:v>CDSCO / MoHFW</x:v>
      </x:c>
      <x:c r="D60" s="33" t="str">
        <x:v>Central Rules (consolidated)</x:v>
      </x:c>
      <x:c r="E60" s="33" t="str">
        <x:v>CDSCO official Drugs Rules page and consolidated PDF</x:v>
      </x:c>
      <x:c r="F60" s="33" t="str">
        <x:v>Baseline consolidated text dated 01-07-2024; layered with final notifications through 20-08-2026</x:v>
      </x:c>
      <x:c r="G60" s="33" t="str">
        <x:v>Current baseline</x:v>
      </x:c>
      <x:c r="H60" s="33" t="str">
        <x:v>Sale, storage, distribution, dispensing, licensing and related pharmacy controls</x:v>
      </x:c>
      <x:c r="I60" s="33" t="str">
        <x:v>Approved Pharmacy taxonomy by activity/licence</x:v>
      </x:c>
      <x:c r="J60" s="33" t="str">
        <x:v>Rules 59-67H, 95-97, 123; Schedules G/H/H1/H2/K/N/X; relevant Forms</x:v>
      </x:c>
      <x:c r="K60" s="33" t="str">
        <x:v>INCLUDED</x:v>
      </x:c>
      <x:c r="L60" s="33" t="str">
        <x:v>CORRECT LAW002 and normalize production chain</x:v>
      </x:c>
      <x:c r="M60" s="33" t="str">
        <x:v>https://cdsco.gov.in/opencms/resources/UploadCDSCOWeb/2022/drug_rules/Drugs%20Rules%2C%201945.pdf</x:v>
      </x:c>
      <x:c r="N60" s="33" t="str">
        <x:v>VALIDATED</x:v>
      </x:c>
    </x:row>
    <x:row r="61">
      <x:c r="A61" s="33" t="str">
        <x:v>P2-060</x:v>
      </x:c>
      <x:c r="B61" s="33" t="str">
        <x:v>Drugs (Eighth Amendment) Rules, 2022 — G.S.R. 823(E)</x:v>
      </x:c>
      <x:c r="C61" s="33" t="str">
        <x:v>MoHFW</x:v>
      </x:c>
      <x:c r="D61" s="33" t="str">
        <x:v>Final Amendment Rules</x:v>
      </x:c>
      <x:c r="E61" s="33" t="str">
        <x:v>Official Gazette / CDSCO</x:v>
      </x:c>
      <x:c r="F61" s="33" t="str">
        <x:v>Inserted Rule 96(6)-(7) and Schedule H2; effective 01-08-2023</x:v>
      </x:c>
      <x:c r="G61" s="33" t="str">
        <x:v>2023-08-01</x:v>
      </x:c>
      <x:c r="H61" s="33" t="str">
        <x:v>Manufacturer barcode/QR authentication labelling; indirect seller receipt/sale control</x:v>
      </x:c>
      <x:c r="I61" s="33" t="str">
        <x:v>All stocking listed H2 formulations; manufacturer is primary obligor</x:v>
      </x:c>
      <x:c r="J61" s="33" t="str">
        <x:v>Rule 96(6)-(7); Schedule H2</x:v>
      </x:c>
      <x:c r="K61" s="33" t="str">
        <x:v>INCLUDED — CONDITIONAL/INDIRECT</x:v>
      </x:c>
      <x:c r="L61" s="33" t="str">
        <x:v>ADD H2 coverage; do not misstate primary liability</x:v>
      </x:c>
      <x:c r="M61" s="33" t="str">
        <x:v>https://cdsco.gov.in/opencms/opencms/en/Notifications/Gazette-Notifications/</x:v>
      </x:c>
      <x:c r="N61" s="33" t="str">
        <x:v>VALIDATED</x:v>
      </x:c>
    </x:row>
    <x:row r="62">
      <x:c r="A62" s="33" t="str">
        <x:v>P2-061</x:v>
      </x:c>
      <x:c r="B62" s="33" t="str">
        <x:v>Drugs (Fifth Amendment) Rules, 2026 — G.S.R. 477(E)</x:v>
      </x:c>
      <x:c r="C62" s="33" t="str">
        <x:v>MoHFW</x:v>
      </x:c>
      <x:c r="D62" s="33" t="str">
        <x:v>Final Amendment Rules</x:v>
      </x:c>
      <x:c r="E62" s="33" t="str">
        <x:v>Official Gazette / CDSCO</x:v>
      </x:c>
      <x:c r="F62" s="33" t="str">
        <x:v>Removed 'Syrups' from Schedule K serial 13 item (7)</x:v>
      </x:c>
      <x:c r="G62" s="33" t="str">
        <x:v>2026-06-15 (publication)</x:v>
      </x:c>
      <x:c r="H62" s="33" t="str">
        <x:v>Schedule K exemption scope</x:v>
      </x:c>
      <x:c r="I62" s="33" t="str">
        <x:v>Entities relying on the affected Schedule K exemption</x:v>
      </x:c>
      <x:c r="J62" s="33" t="str">
        <x:v>Schedule K</x:v>
      </x:c>
      <x:c r="K62" s="33" t="str">
        <x:v>INCLUDED — CURRENT</x:v>
      </x:c>
      <x:c r="L62" s="33" t="str">
        <x:v>UPDATE Schedule K position</x:v>
      </x:c>
      <x:c r="M62" s="33" t="str">
        <x:v>https://cdsco.gov.in/opencms/opencms/en/Notifications/Gazette-Notifications/</x:v>
      </x:c>
      <x:c r="N62" s="33" t="str">
        <x:v>VALIDATED</x:v>
      </x:c>
    </x:row>
    <x:row r="63">
      <x:c r="A63" s="33" t="str">
        <x:v>P2-062</x:v>
      </x:c>
      <x:c r="B63" s="33" t="str">
        <x:v>Drugs (Seventh Amendment) Rules, 2026 — G.S.R. 506(E)</x:v>
      </x:c>
      <x:c r="C63" s="33" t="str">
        <x:v>MoHFW</x:v>
      </x:c>
      <x:c r="D63" s="33" t="str">
        <x:v>Final future-effective Amendment Rules</x:v>
      </x:c>
      <x:c r="E63" s="33" t="str">
        <x:v>Official Gazette / CDSCO</x:v>
      </x:c>
      <x:c r="F63" s="33" t="str">
        <x:v>Schedule H2 Table 2: vaccines, antimicrobials, listed NDPS substances and anticancer drugs</x:v>
      </x:c>
      <x:c r="G63" s="33" t="str">
        <x:v>2027-07-01; antimicrobials 2028-07-01</x:v>
      </x:c>
      <x:c r="H63" s="33" t="str">
        <x:v>Future Schedule H2 QR/barcode expansion</x:v>
      </x:c>
      <x:c r="I63" s="33" t="str">
        <x:v>Manufacturer primary; pharmacies need transition readiness</x:v>
      </x:c>
      <x:c r="J63" s="33" t="str">
        <x:v>Rule 96(6)-(7); Schedule H2 Table 2</x:v>
      </x:c>
      <x:c r="K63" s="33" t="str">
        <x:v>INCLUDED — FUTURE EFFECTIVE</x:v>
      </x:c>
      <x:c r="L63" s="33" t="str">
        <x:v>TRACK transition; not current duty at cutoff</x:v>
      </x:c>
      <x:c r="M63" s="33" t="str">
        <x:v>https://cdsco.gov.in/opencms/opencms/en/Notifications/Gazette-Notifications/</x:v>
      </x:c>
      <x:c r="N63" s="33" t="str">
        <x:v>VALIDATED</x:v>
      </x:c>
    </x:row>
    <x:row r="64">
      <x:c r="A64" s="33" t="str">
        <x:v>P2-063</x:v>
      </x:c>
      <x:c r="B64" s="33" t="str">
        <x:v>Drugs (Tenth Amendment) Rules, 2026 — G.S.R. 607(E)</x:v>
      </x:c>
      <x:c r="C64" s="33" t="str">
        <x:v>MoHFW</x:v>
      </x:c>
      <x:c r="D64" s="33" t="str">
        <x:v>Final future-effective Amendment Rules</x:v>
      </x:c>
      <x:c r="E64" s="33" t="str">
        <x:v>Official Gazette / CDSCO</x:v>
      </x:c>
      <x:c r="F64" s="33" t="str">
        <x:v>Adds alcohol-content limitation to Schedule K item 10 and item 52 to Schedule H1</x:v>
      </x:c>
      <x:c r="G64" s="33" t="str">
        <x:v>Six months after official publication; not effective at 20-08-2026</x:v>
      </x:c>
      <x:c r="H64" s="33" t="str">
        <x:v>Future H1 prescription/register and Schedule K transition</x:v>
      </x:c>
      <x:c r="I64" s="33" t="str">
        <x:v>Retail/institutional/specialized pharmacies stocking affected oral formulations</x:v>
      </x:c>
      <x:c r="J64" s="33" t="str">
        <x:v>Schedule K serial 10; Schedule H1 item 52</x:v>
      </x:c>
      <x:c r="K64" s="33" t="str">
        <x:v>INCLUDED — FUTURE EFFECTIVE</x:v>
      </x:c>
      <x:c r="L64" s="33" t="str">
        <x:v>TRACK transition; do not treat as current at cutoff</x:v>
      </x:c>
      <x:c r="M64" s="33" t="str">
        <x:v>https://cdsco.gov.in/opencms/opencms/en/Notifications/Gazette-Notifications/</x:v>
      </x:c>
      <x:c r="N64" s="33" t="str">
        <x:v>VALIDATED</x:v>
      </x:c>
    </x:row>
    <x:row r="65">
      <x:c r="A65" s="33" t="str">
        <x:v>P2-064</x:v>
      </x:c>
      <x:c r="B65" s="33" t="str">
        <x:v>Drugs (Eleventh Amendment) Rules, 2026 — G.S.R. 706(E)</x:v>
      </x:c>
      <x:c r="C65" s="33" t="str">
        <x:v>MoHFW</x:v>
      </x:c>
      <x:c r="D65" s="33" t="str">
        <x:v>Final Amendment Rules</x:v>
      </x:c>
      <x:c r="E65" s="33" t="str">
        <x:v>Official Gazette / CDSCO</x:v>
      </x:c>
      <x:c r="F65" s="33" t="str">
        <x:v>Inserted debarment definition and Rule 66B for sale-licence Part VI</x:v>
      </x:c>
      <x:c r="G65" s="33" t="str">
        <x:v>2026-07-30</x:v>
      </x:c>
      <x:c r="H65" s="33" t="str">
        <x:v>Misleading/fake/fabricated licence documents or information</x:v>
      </x:c>
      <x:c r="I65" s="33" t="str">
        <x:v>All applicants/licensees under Part VI; other inserted rules belong to other entity types</x:v>
      </x:c>
      <x:c r="J65" s="33" t="str">
        <x:v>Rule 2(bb); Rule 66B</x:v>
      </x:c>
      <x:c r="K65" s="33" t="str">
        <x:v>INCLUDED — CURRENT</x:v>
      </x:c>
      <x:c r="L65" s="33" t="str">
        <x:v>ADD licence-integrity control</x:v>
      </x:c>
      <x:c r="M65" s="33" t="str">
        <x:v>https://cdsco.gov.in/opencms/opencms/en/Notifications/Gazette-Notifications/</x:v>
      </x:c>
      <x:c r="N65" s="33" t="str">
        <x:v>VALIDATED</x:v>
      </x:c>
    </x:row>
    <x:row r="66">
      <x:c r="A66" s="33" t="str">
        <x:v>P2-065</x:v>
      </x:c>
      <x:c r="B66" s="33" t="str">
        <x:v>CDSCO Gazette Notifications index</x:v>
      </x:c>
      <x:c r="C66" s="33" t="str">
        <x:v>CDSCO / MoHFW</x:v>
      </x:c>
      <x:c r="D66" s="33" t="str">
        <x:v>Official current notification register</x:v>
      </x:c>
      <x:c r="E66" s="33" t="str">
        <x:v>CDSCO Gazette Notifications page</x:v>
      </x:c>
      <x:c r="F66" s="33" t="str">
        <x:v>Reviewed through 20-08-2026; final/draft/future-effective status distinguished</x:v>
      </x:c>
      <x:c r="G66" s="33" t="str">
        <x:v>2026-08-20</x:v>
      </x:c>
      <x:c r="H66" s="33" t="str">
        <x:v>Current amendment surveillance</x:v>
      </x:c>
      <x:c r="I66" s="33" t="str">
        <x:v>All regulated entity/activity families</x:v>
      </x:c>
      <x:c r="J66" s="33" t="str">
        <x:v>All relevant 2022-2026 notifications considered</x:v>
      </x:c>
      <x:c r="K66" s="33" t="str">
        <x:v>INCLUDED</x:v>
      </x:c>
      <x:c r="L66" s="33" t="str">
        <x:v>SOURCE/CHANGE CONTROL</x:v>
      </x:c>
      <x:c r="M66" s="33" t="str">
        <x:v>https://cdsco.gov.in/opencms/opencms/en/Notifications/Gazette-Notifications/</x:v>
      </x:c>
      <x:c r="N66" s="33" t="str">
        <x:v>VALIDATED</x:v>
      </x:c>
    </x:row>
    <x:row r="67">
      <x:c r="A67" s="33" t="str">
        <x:v>P2-066</x:v>
      </x:c>
      <x:c r="B67" s="33" t="str">
        <x:v>G.S.R. 713(E), 06-08-2026 — Rule 89/Form 29 amendment</x:v>
      </x:c>
      <x:c r="C67" s="33" t="str">
        <x:v>MoHFW</x:v>
      </x:c>
      <x:c r="D67" s="33" t="str">
        <x:v>Final Amendment Rules</x:v>
      </x:c>
      <x:c r="E67" s="33" t="str">
        <x:v>Official Gazette / CDSCO</x:v>
      </x:c>
      <x:c r="F67" s="33" t="str">
        <x:v>Current; relates to test licences/categories falling under manufacturing forms</x:v>
      </x:c>
      <x:c r="G67" s="33" t="str">
        <x:v>2026-08-06</x:v>
      </x:c>
      <x:c r="H67" s="33" t="str">
        <x:v>Manufacture/testing for examination, test or analysis</x:v>
      </x:c>
      <x:c r="I67" s="33" t="str">
        <x:v>Manufacturer/testing-lab taxonomy gap</x:v>
      </x:c>
      <x:c r="J67" s="33" t="str">
        <x:v>Rule 89; Form 29</x:v>
      </x:c>
      <x:c r="K67" s="33" t="str">
        <x:v>OUT-OF-CURRENT-TAXONOMY</x:v>
      </x:c>
      <x:c r="L67" s="33" t="str">
        <x:v>Record exclusion; no taxonomy expansion</x:v>
      </x:c>
      <x:c r="M67" s="33" t="str">
        <x:v>https://cdsco.gov.in/opencms/opencms/en/Notifications/Gazette-Notifications/</x:v>
      </x:c>
      <x:c r="N67" s="33" t="str">
        <x:v>VALIDATED</x:v>
      </x:c>
    </x:row>
    <x:row r="68">
      <x:c r="A68" s="33" t="str">
        <x:v>P2-067</x:v>
      </x:c>
      <x:c r="B68" s="33" t="str">
        <x:v>G.S.R. 561(E), 02-07-2026 — Rule 43A authorized airport</x:v>
      </x:c>
      <x:c r="C68" s="33" t="str">
        <x:v>MoHFW</x:v>
      </x:c>
      <x:c r="D68" s="33" t="str">
        <x:v>Final Amendment Rules</x:v>
      </x:c>
      <x:c r="E68" s="33" t="str">
        <x:v>Official Gazette / CDSCO</x:v>
      </x:c>
      <x:c r="F68" s="33" t="str">
        <x:v>Current; adds Navi Mumbai International Airport</x:v>
      </x:c>
      <x:c r="G68" s="33" t="str">
        <x:v>2026-07-02</x:v>
      </x:c>
      <x:c r="H68" s="33" t="str">
        <x:v>Drug import route</x:v>
      </x:c>
      <x:c r="I68" s="33" t="str">
        <x:v>Importer taxonomy gap</x:v>
      </x:c>
      <x:c r="J68" s="33" t="str">
        <x:v>Rule 43A</x:v>
      </x:c>
      <x:c r="K68" s="33" t="str">
        <x:v>OUT-OF-CURRENT-TAXONOMY</x:v>
      </x:c>
      <x:c r="L68" s="33" t="str">
        <x:v>Record exclusion; no taxonomy expansion</x:v>
      </x:c>
      <x:c r="M68" s="33" t="str">
        <x:v>https://cdsco.gov.in/opencms/opencms/en/Notifications/Gazette-Notifications/</x:v>
      </x:c>
      <x:c r="N68" s="33" t="str">
        <x:v>VALIDATED</x:v>
      </x:c>
    </x:row>
    <x:row r="69">
      <x:c r="A69" s="33" t="str">
        <x:v>P2-068</x:v>
      </x:c>
      <x:c r="B69" s="33" t="str">
        <x:v>S.O. 3068(E)-3083(E), 11-06-2026 — prohibition of 16 FDCs</x:v>
      </x:c>
      <x:c r="C69" s="33" t="str">
        <x:v>MoHFW</x:v>
      </x:c>
      <x:c r="D69" s="33" t="str">
        <x:v>Final Section 26A orders</x:v>
      </x:c>
      <x:c r="E69" s="33" t="str">
        <x:v>Official Gazette / CDSCO</x:v>
      </x:c>
      <x:c r="F69" s="33" t="str">
        <x:v>Current product prohibitions</x:v>
      </x:c>
      <x:c r="G69" s="33" t="str">
        <x:v>2026-06-11</x:v>
      </x:c>
      <x:c r="H69" s="33" t="str">
        <x:v>Stock/sale of prohibited FDCs</x:v>
      </x:c>
      <x:c r="I69" s="33" t="str">
        <x:v>All pharmacies if affected stock exists</x:v>
      </x:c>
      <x:c r="J69" s="33" t="str">
        <x:v>Drugs and Cosmetics Act section 26A orders</x:v>
      </x:c>
      <x:c r="K69" s="33" t="str">
        <x:v>INCLUDED — EVENT/PRODUCT BASED</x:v>
      </x:c>
      <x:c r="L69" s="33" t="str">
        <x:v>Track as product-prohibition source, not a Drugs Rules provision</x:v>
      </x:c>
      <x:c r="M69" s="33" t="str">
        <x:v>https://cdsco.gov.in/opencms/opencms/en/Notifications/Gazette-Notifications/</x:v>
      </x:c>
      <x:c r="N69" s="33" t="str">
        <x:v>VALIDATED</x:v>
      </x:c>
    </x:row>
    <x:row r="70">
      <x:c r="A70" s="33" t="str">
        <x:v>P3-001</x:v>
      </x:c>
      <x:c r="B70" s="33" t="str">
        <x:v>Environment (Protection) Act, 1986</x:v>
      </x:c>
      <x:c r="C70" s="33" t="str">
        <x:v>MoEFCC / CPCB</x:v>
      </x:c>
      <x:c r="D70" s="33" t="str">
        <x:v>Act</x:v>
      </x:c>
      <x:c r="E70" s="33" t="str">
        <x:v>CPCB official statute page</x:v>
      </x:c>
      <x:c r="F70" s="33" t="str">
        <x:v>Current parent statute</x:v>
      </x:c>
      <x:c r="G70" s="33" t="str">
        <x:v>2026-08-20</x:v>
      </x:c>
      <x:c r="H70" s="33" t="str">
        <x:v>Parent for waste-management rules</x:v>
      </x:c>
      <x:c r="I70" s="33" t="str">
        <x:v>All by triggered rule</x:v>
      </x:c>
      <x:c r="J70" s="33" t="str">
        <x:v>Sections 3, 6, 25</x:v>
      </x:c>
      <x:c r="K70" s="33" t="str">
        <x:v>INCLUDED</x:v>
      </x:c>
      <x:c r="L70" s="33" t="str">
        <x:v>ADD LAW101 parent</x:v>
      </x:c>
      <x:c r="M70" s="33" t="str">
        <x:v>https://cpcb.nic.in/env-protection-act/</x:v>
      </x:c>
      <x:c r="N70" s="33" t="str">
        <x:v>VALIDATED</x:v>
      </x:c>
    </x:row>
    <x:row r="71">
      <x:c r="A71" s="33" t="str">
        <x:v>P3-002</x:v>
      </x:c>
      <x:c r="B71" s="33" t="str">
        <x:v>MoEFCC Rules &amp; Regulations register</x:v>
      </x:c>
      <x:c r="C71" s="33" t="str">
        <x:v>MoEFCC</x:v>
      </x:c>
      <x:c r="D71" s="33" t="str">
        <x:v>Official rules register</x:v>
      </x:c>
      <x:c r="E71" s="33" t="str">
        <x:v>MoEFCC official</x:v>
      </x:c>
      <x:c r="F71" s="33" t="str">
        <x:v>Lists current waste rules/amendments through cutoff</x:v>
      </x:c>
      <x:c r="G71" s="33" t="str">
        <x:v>2026-08-20</x:v>
      </x:c>
      <x:c r="H71" s="33" t="str">
        <x:v>Environmental universe validation</x:v>
      </x:c>
      <x:c r="I71" s="33" t="str">
        <x:v>All approved pharmacy sub-sectors by trigger</x:v>
      </x:c>
      <x:c r="J71" s="33" t="str">
        <x:v>BMW, plastic, e-waste, SWM, battery, hazardous, C&amp;D</x:v>
      </x:c>
      <x:c r="K71" s="33" t="str">
        <x:v>INCLUDED</x:v>
      </x:c>
      <x:c r="L71" s="33" t="str">
        <x:v>SOURCE CONTROL</x:v>
      </x:c>
      <x:c r="M71" s="33" t="str">
        <x:v>https://moef.gov.in/rules-regulations-3</x:v>
      </x:c>
      <x:c r="N71" s="33" t="str">
        <x:v>VALIDATED</x:v>
      </x:c>
    </x:row>
    <x:row r="72">
      <x:c r="A72" s="33" t="str">
        <x:v>P3-003</x:v>
      </x:c>
      <x:c r="B72" s="33" t="str">
        <x:v>Bio-Medical Waste Management Rules, 2016 (amended)</x:v>
      </x:c>
      <x:c r="C72" s="33" t="str">
        <x:v>MoEFCC / SPCB</x:v>
      </x:c>
      <x:c r="D72" s="33" t="str">
        <x:v>Rules</x:v>
      </x:c>
      <x:c r="E72" s="33" t="str">
        <x:v>Official SPCB-hosted amended rules register</x:v>
      </x:c>
      <x:c r="F72" s="33" t="str">
        <x:v>2016 with 2018/2019 amendments</x:v>
      </x:c>
      <x:c r="G72" s="33" t="str">
        <x:v>2016-03-28</x:v>
      </x:c>
      <x:c r="H72" s="33" t="str">
        <x:v>BMW occupier/operator duties</x:v>
      </x:c>
      <x:c r="I72" s="33" t="str">
        <x:v>Hospital/Institutional/Specialized/AYUSH and any actual BMW generator</x:v>
      </x:c>
      <x:c r="J72" s="33" t="str">
        <x:v>Rules 4, 7-8, 10, 13-15; Schedule I</x:v>
      </x:c>
      <x:c r="K72" s="33" t="str">
        <x:v>INCLUDED — CONDITIONAL</x:v>
      </x:c>
      <x:c r="L72" s="33" t="str">
        <x:v>NORMALIZE LAW018 and chains</x:v>
      </x:c>
      <x:c r="M72" s="33" t="str">
        <x:v>https://hspcb.gov.in/viewall/bio-medical-waste-rules</x:v>
      </x:c>
      <x:c r="N72" s="33" t="str">
        <x:v>VALIDATED</x:v>
      </x:c>
    </x:row>
    <x:row r="73">
      <x:c r="A73" s="33" t="str">
        <x:v>P3-004</x:v>
      </x:c>
      <x:c r="B73" s="33" t="str">
        <x:v>Solid Waste Management Rules, 2026 — S.O. 388(E)</x:v>
      </x:c>
      <x:c r="C73" s="33" t="str">
        <x:v>MoEFCC</x:v>
      </x:c>
      <x:c r="D73" s="33" t="str">
        <x:v>Rules</x:v>
      </x:c>
      <x:c r="E73" s="33" t="str">
        <x:v>MoEFCC official rules register</x:v>
      </x:c>
      <x:c r="F73" s="33" t="str">
        <x:v>Supersedes 2016 Rules</x:v>
      </x:c>
      <x:c r="G73" s="33" t="str">
        <x:v>2026-04-01</x:v>
      </x:c>
      <x:c r="H73" s="33" t="str">
        <x:v>Every solid-waste generator; additional BWG duties</x:v>
      </x:c>
      <x:c r="I73" s="33" t="str">
        <x:v>All; BWG by any threshold</x:v>
      </x:c>
      <x:c r="J73" s="33" t="str">
        <x:v>Rules 3, 5-6</x:v>
      </x:c>
      <x:c r="K73" s="33" t="str">
        <x:v>INCLUDED — CURRENT</x:v>
      </x:c>
      <x:c r="L73" s="33" t="str">
        <x:v>UPDATE LAW044; ADD chains</x:v>
      </x:c>
      <x:c r="M73" s="33" t="str">
        <x:v>https://moef.gov.in/rules-regulations-3</x:v>
      </x:c>
      <x:c r="N73" s="33" t="str">
        <x:v>VALIDATED</x:v>
      </x:c>
    </x:row>
    <x:row r="74">
      <x:c r="A74" s="33" t="str">
        <x:v>P3-005</x:v>
      </x:c>
      <x:c r="B74" s="33" t="str">
        <x:v>Plastic Waste Management Rules, 2016 (amended)</x:v>
      </x:c>
      <x:c r="C74" s="33" t="str">
        <x:v>MoEFCC / CPCB</x:v>
      </x:c>
      <x:c r="D74" s="33" t="str">
        <x:v>Rules</x:v>
      </x:c>
      <x:c r="E74" s="33" t="str">
        <x:v>MoEFCC official consolidated PDF</x:v>
      </x:c>
      <x:c r="F74" s="33" t="str">
        <x:v>Current with listed amendments</x:v>
      </x:c>
      <x:c r="G74" s="33" t="str">
        <x:v>2026-08-20</x:v>
      </x:c>
      <x:c r="H74" s="33" t="str">
        <x:v>Waste generator/retailer; PIBO EPR only by role</x:v>
      </x:c>
      <x:c r="I74" s="33" t="str">
        <x:v>All by plastic use/waste; producer role separately</x:v>
      </x:c>
      <x:c r="J74" s="33" t="str">
        <x:v>Rules 8 and 14</x:v>
      </x:c>
      <x:c r="K74" s="33" t="str">
        <x:v>INCLUDED — ROLE BASED</x:v>
      </x:c>
      <x:c r="L74" s="33" t="str">
        <x:v>ADD generator/retailer chain</x:v>
      </x:c>
      <x:c r="M74" s="33" t="str">
        <x:v>https://moef.gov.in/uploads/pdf-uploads/pdf_684015cdcfe270.47591512.pdf</x:v>
      </x:c>
      <x:c r="N74" s="33" t="str">
        <x:v>VALIDATED</x:v>
      </x:c>
    </x:row>
    <x:row r="75">
      <x:c r="A75" s="33" t="str">
        <x:v>P3-006</x:v>
      </x:c>
      <x:c r="B75" s="33" t="str">
        <x:v>Battery Waste Management Rules, 2022 (amended)</x:v>
      </x:c>
      <x:c r="C75" s="33" t="str">
        <x:v>MoEFCC / CPCB</x:v>
      </x:c>
      <x:c r="D75" s="33" t="str">
        <x:v>Rules</x:v>
      </x:c>
      <x:c r="E75" s="33" t="str">
        <x:v>MoEFCC official PDF</x:v>
      </x:c>
      <x:c r="F75" s="33" t="str">
        <x:v>Current with amendments through cutoff</x:v>
      </x:c>
      <x:c r="G75" s="33" t="str">
        <x:v>2026-08-20</x:v>
      </x:c>
      <x:c r="H75" s="33" t="str">
        <x:v>Consumer separate collection; producer EPR by role</x:v>
      </x:c>
      <x:c r="I75" s="33" t="str">
        <x:v>All battery users; producer only if separate role</x:v>
      </x:c>
      <x:c r="J75" s="33" t="str">
        <x:v>Rule 5</x:v>
      </x:c>
      <x:c r="K75" s="33" t="str">
        <x:v>INCLUDED — ROLE BASED</x:v>
      </x:c>
      <x:c r="L75" s="33" t="str">
        <x:v>ADD LAW102 and consumer chain</x:v>
      </x:c>
      <x:c r="M75" s="33" t="str">
        <x:v>https://moef.gov.in/uploads/pdf-uploads/pdf_676567459cdfe9.16099796.pdf</x:v>
      </x:c>
      <x:c r="N75" s="33" t="str">
        <x:v>VALIDATED</x:v>
      </x:c>
    </x:row>
    <x:row r="76">
      <x:c r="A76" s="33" t="str">
        <x:v>P3-007</x:v>
      </x:c>
      <x:c r="B76" s="33" t="str">
        <x:v>E-Waste (Management) Rules, 2022 (amended)</x:v>
      </x:c>
      <x:c r="C76" s="33" t="str">
        <x:v>MoEFCC / CPCB</x:v>
      </x:c>
      <x:c r="D76" s="33" t="str">
        <x:v>Rules</x:v>
      </x:c>
      <x:c r="E76" s="33" t="str">
        <x:v>MoEFCC official rules register</x:v>
      </x:c>
      <x:c r="F76" s="33" t="str">
        <x:v>Current</x:v>
      </x:c>
      <x:c r="G76" s="33" t="str">
        <x:v>2026-08-20</x:v>
      </x:c>
      <x:c r="H76" s="33" t="str">
        <x:v>Bulk consumer threshold/registered channel</x:v>
      </x:c>
      <x:c r="I76" s="33" t="str">
        <x:v>E-Pharmacy/Chain/Hospital/Institutional if 1,000-unit threshold met</x:v>
      </x:c>
      <x:c r="J76" s="33" t="str">
        <x:v>Bulk-consumer definition; Rule 8</x:v>
      </x:c>
      <x:c r="K76" s="33" t="str">
        <x:v>INCLUDED — THRESHOLD BASED</x:v>
      </x:c>
      <x:c r="L76" s="33" t="str">
        <x:v>NORMALIZE LAW043; ADD chain</x:v>
      </x:c>
      <x:c r="M76" s="33" t="str">
        <x:v>https://moef.gov.in/rules-regulations-3</x:v>
      </x:c>
      <x:c r="N76" s="33" t="str">
        <x:v>VALIDATED</x:v>
      </x:c>
    </x:row>
    <x:row r="77">
      <x:c r="A77" s="33" t="str">
        <x:v>P3-008</x:v>
      </x:c>
      <x:c r="B77" s="33" t="str">
        <x:v>Hazardous and Other Wastes Rules, 2016 (amended)</x:v>
      </x:c>
      <x:c r="C77" s="33" t="str">
        <x:v>MoEFCC / CPCB</x:v>
      </x:c>
      <x:c r="D77" s="33" t="str">
        <x:v>Rules</x:v>
      </x:c>
      <x:c r="E77" s="33" t="str">
        <x:v>MoEFCC official rules register</x:v>
      </x:c>
      <x:c r="F77" s="33" t="str">
        <x:v>Current with amendments through 2024</x:v>
      </x:c>
      <x:c r="G77" s="33" t="str">
        <x:v>2026-08-20</x:v>
      </x:c>
      <x:c r="H77" s="33" t="str">
        <x:v>Scheduled/characterised hazardous or other waste</x:v>
      </x:c>
      <x:c r="I77" s="33" t="str">
        <x:v>Any approved sub-sector only if waste trigger exists</x:v>
      </x:c>
      <x:c r="J77" s="33" t="str">
        <x:v>Rules 4, 6, 8, 19-20</x:v>
      </x:c>
      <x:c r="K77" s="33" t="str">
        <x:v>INCLUDED — CONDITIONAL</x:v>
      </x:c>
      <x:c r="L77" s="33" t="str">
        <x:v>ADD LAW103 and chain</x:v>
      </x:c>
      <x:c r="M77" s="33" t="str">
        <x:v>https://moef.gov.in/rules-regulations-3</x:v>
      </x:c>
      <x:c r="N77" s="33" t="str">
        <x:v>VALIDATED</x:v>
      </x:c>
    </x:row>
    <x:row r="78">
      <x:c r="A78" s="33" t="str">
        <x:v>P3-009</x:v>
      </x:c>
      <x:c r="B78" s="33" t="str">
        <x:v>Water (Prevention and Control of Pollution) Act, 1974</x:v>
      </x:c>
      <x:c r="C78" s="33" t="str">
        <x:v>MoEFCC / CPCB / SPCB</x:v>
      </x:c>
      <x:c r="D78" s="33" t="str">
        <x:v>Act</x:v>
      </x:c>
      <x:c r="E78" s="33" t="str">
        <x:v>India Code official</x:v>
      </x:c>
      <x:c r="F78" s="33" t="str">
        <x:v>Current; consent/exemption guidelines amended 2026</x:v>
      </x:c>
      <x:c r="G78" s="33" t="str">
        <x:v>2026-08-20</x:v>
      </x:c>
      <x:c r="H78" s="33" t="str">
        <x:v>Covered industry/operation/outlet/discharge</x:v>
      </x:c>
      <x:c r="I78" s="33" t="str">
        <x:v>Activity and State classification trigger</x:v>
      </x:c>
      <x:c r="J78" s="33" t="str">
        <x:v>Sections 25-26</x:v>
      </x:c>
      <x:c r="K78" s="33" t="str">
        <x:v>INCLUDED — CONDITIONAL</x:v>
      </x:c>
      <x:c r="L78" s="33" t="str">
        <x:v>ADD LAW104 and applicability chain</x:v>
      </x:c>
      <x:c r="M78" s="33" t="str">
        <x:v>https://www.indiacode.nic.in/handle/123456789/1612</x:v>
      </x:c>
      <x:c r="N78" s="33" t="str">
        <x:v>VALIDATED</x:v>
      </x:c>
    </x:row>
    <x:row r="79">
      <x:c r="A79" s="33" t="str">
        <x:v>P3-010</x:v>
      </x:c>
      <x:c r="B79" s="33" t="str">
        <x:v>Air (Prevention and Control of Pollution) Act, 1981</x:v>
      </x:c>
      <x:c r="C79" s="33" t="str">
        <x:v>MoEFCC / CPCB / SPCB</x:v>
      </x:c>
      <x:c r="D79" s="33" t="str">
        <x:v>Act</x:v>
      </x:c>
      <x:c r="E79" s="33" t="str">
        <x:v>India Code official</x:v>
      </x:c>
      <x:c r="F79" s="33" t="str">
        <x:v>Current; consent guidelines amended 2026</x:v>
      </x:c>
      <x:c r="G79" s="33" t="str">
        <x:v>2026-08-20</x:v>
      </x:c>
      <x:c r="H79" s="33" t="str">
        <x:v>Covered industrial plant/emission source</x:v>
      </x:c>
      <x:c r="I79" s="33" t="str">
        <x:v>Activity/control-area and State classification trigger</x:v>
      </x:c>
      <x:c r="J79" s="33" t="str">
        <x:v>Section 21</x:v>
      </x:c>
      <x:c r="K79" s="33" t="str">
        <x:v>INCLUDED — CONDITIONAL</x:v>
      </x:c>
      <x:c r="L79" s="33" t="str">
        <x:v>ADD LAW105 and applicability chain</x:v>
      </x:c>
      <x:c r="M79" s="33" t="str">
        <x:v>https://www.indiacode.nic.in/handle/123456789/1389</x:v>
      </x:c>
      <x:c r="N79" s="33" t="str">
        <x:v>VALIDATED</x:v>
      </x:c>
    </x:row>
    <x:row r="80">
      <x:c r="A80" s="33" t="str">
        <x:v>P3-011</x:v>
      </x:c>
      <x:c r="B80" s="33" t="str">
        <x:v>Environment (Construction and Demolition) Waste Management Rules, 2025</x:v>
      </x:c>
      <x:c r="C80" s="33" t="str">
        <x:v>MoEFCC</x:v>
      </x:c>
      <x:c r="D80" s="33" t="str">
        <x:v>Rules</x:v>
      </x:c>
      <x:c r="E80" s="33" t="str">
        <x:v>MoEFCC official rules register</x:v>
      </x:c>
      <x:c r="F80" s="33" t="str">
        <x:v>Current from 01-04-2026</x:v>
      </x:c>
      <x:c r="G80" s="33" t="str">
        <x:v>Construction/renovation/demolition/excavation</x:v>
      </x:c>
      <x:c r="H80" s="33" t="str">
        <x:v>All by project event</x:v>
      </x:c>
      <x:c r="I80" s="33" t="str">
        <x:v>Waste-generator duties</x:v>
      </x:c>
      <x:c r="J80" s="33" t="str">
        <x:v>INCLUDED — EVENT BASED</x:v>
      </x:c>
      <x:c r="K80" s="33" t="str">
        <x:v>ADD LAW106 and chain</x:v>
      </x:c>
      <x:c r="L80" s="33" t="str">
        <x:v>https://moef.gov.in/rules-regulations-3</x:v>
      </x:c>
      <x:c r="M80" s="33" t="str">
        <x:v>VALIDATED</x:v>
      </x:c>
      <x:c r="N80" s="33"/>
    </x:row>
    <x:row r="81">
      <x:c r="A81" s="33" t="str">
        <x:v>P3-012</x:v>
      </x:c>
      <x:c r="B81" s="33" t="str">
        <x:v>Four Labour Codes and Central Rules, 2026</x:v>
      </x:c>
      <x:c r="C81" s="33" t="str">
        <x:v>Ministry of Labour &amp; Employment</x:v>
      </x:c>
      <x:c r="D81" s="33" t="str">
        <x:v>Codes / Rules</x:v>
      </x:c>
      <x:c r="E81" s="33" t="str">
        <x:v>Official Labour Codes portal</x:v>
      </x:c>
      <x:c r="F81" s="33" t="str">
        <x:v>Codes implemented 21-11-2025; final Central Rules 2026</x:v>
      </x:c>
      <x:c r="G81" s="33" t="str">
        <x:v>2026-08-20</x:v>
      </x:c>
      <x:c r="H81" s="33" t="str">
        <x:v>Employment/establishment/worker/activity thresholds</x:v>
      </x:c>
      <x:c r="I81" s="33" t="str">
        <x:v>All by employment and coverage</x:v>
      </x:c>
      <x:c r="J81" s="33" t="str">
        <x:v>Current Codes and 2026 Rules</x:v>
      </x:c>
      <x:c r="K81" s="33" t="str">
        <x:v>INCLUDED — CURRENT/CONDITIONAL</x:v>
      </x:c>
      <x:c r="L81" s="33" t="str">
        <x:v>UPDATE LAW034-037/094; ADD LAW109-111</x:v>
      </x:c>
      <x:c r="M81" s="33" t="str">
        <x:v>https://www.labour.gov.in/offerings/schemes-and-services/details/labour-codes-gzNzQzMtQWa</x:v>
      </x:c>
      <x:c r="N81" s="33" t="str">
        <x:v>VALIDATED</x:v>
      </x:c>
    </x:row>
    <x:row r="82">
      <x:c r="A82" s="33" t="str">
        <x:v>P3-013</x:v>
      </x:c>
      <x:c r="B82" s="33" t="str">
        <x:v>Implementation of Four Labour Codes</x:v>
      </x:c>
      <x:c r="C82" s="33" t="str">
        <x:v>Ministry of Labour &amp; Employment / PIB</x:v>
      </x:c>
      <x:c r="D82" s="33" t="str">
        <x:v>Commencement confirmation</x:v>
      </x:c>
      <x:c r="E82" s="33" t="str">
        <x:v>Official PIB</x:v>
      </x:c>
      <x:c r="F82" s="33" t="str">
        <x:v>Government implementation announcement</x:v>
      </x:c>
      <x:c r="G82" s="33" t="str">
        <x:v>2025-11-21</x:v>
      </x:c>
      <x:c r="H82" s="33" t="str">
        <x:v>Commencement control</x:v>
      </x:c>
      <x:c r="I82" s="33" t="str">
        <x:v>All covered employers</x:v>
      </x:c>
      <x:c r="J82" s="33" t="str">
        <x:v>Implementation date</x:v>
      </x:c>
      <x:c r="K82" s="33" t="str">
        <x:v>INCLUDED</x:v>
      </x:c>
      <x:c r="L82" s="33" t="str">
        <x:v>COMMENCEMENT REGISTER</x:v>
      </x:c>
      <x:c r="M82" s="33" t="str">
        <x:v>https://www.pib.gov.in/PressReleaseIframePage.aspx?PRID=2192948</x:v>
      </x:c>
      <x:c r="N82" s="33" t="str">
        <x:v>VALIDATED</x:v>
      </x:c>
    </x:row>
    <x:row r="83">
      <x:c r="A83" s="33" t="str">
        <x:v>P3-014</x:v>
      </x:c>
      <x:c r="B83" s="33" t="str">
        <x:v>Income-tax Act, 2025 transition FAQs</x:v>
      </x:c>
      <x:c r="C83" s="33" t="str">
        <x:v>Income Tax Department</x:v>
      </x:c>
      <x:c r="D83" s="33" t="str">
        <x:v>Official guidance</x:v>
      </x:c>
      <x:c r="E83" s="33" t="str">
        <x:v>Income Tax Department official</x:v>
      </x:c>
      <x:c r="F83" s="33" t="str">
        <x:v>1961 Act repealed from 01-04-2026 with savings; 2025 Act current</x:v>
      </x:c>
      <x:c r="G83" s="33" t="str">
        <x:v>2026-08-20</x:v>
      </x:c>
      <x:c r="H83" s="33" t="str">
        <x:v>Tax Year transition</x:v>
      </x:c>
      <x:c r="I83" s="33" t="str">
        <x:v>All taxable entities</x:v>
      </x:c>
      <x:c r="J83" s="33" t="str">
        <x:v>Sections 263, 393-394 and savings</x:v>
      </x:c>
      <x:c r="K83" s="33" t="str">
        <x:v>INCLUDED — CURRENT/TRANSITION</x:v>
      </x:c>
      <x:c r="L83" s="33" t="str">
        <x:v>ADD LAW107/108; remap chains</x:v>
      </x:c>
      <x:c r="M83" s="33" t="str">
        <x:v>https://www.incometax.gov.in/iec/foportal/help/all-topics/e-filing-services/objective-and-scope-new-act-faq</x:v>
      </x:c>
      <x:c r="N83" s="33" t="str">
        <x:v>VALIDATED</x:v>
      </x:c>
    </x:row>
    <x:row r="84">
      <x:c r="A84" s="33" t="str">
        <x:v>P3-015</x:v>
      </x:c>
      <x:c r="B84" s="33" t="str">
        <x:v>Income-tax Rules, 2026 / TDS transition</x:v>
      </x:c>
      <x:c r="C84" s="33" t="str">
        <x:v>Income Tax Department</x:v>
      </x:c>
      <x:c r="D84" s="33" t="str">
        <x:v>Rules / official guidance</x:v>
      </x:c>
      <x:c r="E84" s="33" t="str">
        <x:v>Income Tax Department official</x:v>
      </x:c>
      <x:c r="F84" s="33" t="str">
        <x:v>Current from 01-04-2026</x:v>
      </x:c>
      <x:c r="G84" s="33" t="str">
        <x:v>2026-08-20</x:v>
      </x:c>
      <x:c r="H84" s="33" t="str">
        <x:v>Payments/credits under current Act</x:v>
      </x:c>
      <x:c r="I84" s="33" t="str">
        <x:v>Deductor/collector by trigger</x:v>
      </x:c>
      <x:c r="J84" s="33" t="str">
        <x:v>Rule 218 and corresponding current provisions</x:v>
      </x:c>
      <x:c r="K84" s="33" t="str">
        <x:v>INCLUDED</x:v>
      </x:c>
      <x:c r="L84" s="33" t="str">
        <x:v>NORMALIZE TDS chains</x:v>
      </x:c>
      <x:c r="M84" s="33" t="str">
        <x:v>https://www.incometax.gov.in/iec/foportal/help/all-topics/e-filing-services/tax-payments</x:v>
      </x:c>
      <x:c r="N84" s="33" t="str">
        <x:v>VALIDATED</x:v>
      </x:c>
    </x:row>
    <x:row r="85">
      <x:c r="A85" s="33" t="str">
        <x:v>P3-016</x:v>
      </x:c>
      <x:c r="B85" s="33" t="str">
        <x:v>CGST Act and Rules</x:v>
      </x:c>
      <x:c r="C85" s="33" t="str">
        <x:v>CBIC</x:v>
      </x:c>
      <x:c r="D85" s="33" t="str">
        <x:v>Act / Rules</x:v>
      </x:c>
      <x:c r="E85" s="33" t="str">
        <x:v>CBIC official GST Acts portal</x:v>
      </x:c>
      <x:c r="F85" s="33" t="str">
        <x:v>Current through cutoff</x:v>
      </x:c>
      <x:c r="G85" s="33" t="str">
        <x:v>2026-08-20</x:v>
      </x:c>
      <x:c r="H85" s="33" t="str">
        <x:v>Registration/taxpayer-profile triggers</x:v>
      </x:c>
      <x:c r="I85" s="33" t="str">
        <x:v>All by GST liability/registration</x:v>
      </x:c>
      <x:c r="J85" s="33" t="str">
        <x:v>Sections 22-25, 31, 35, 39, 49</x:v>
      </x:c>
      <x:c r="K85" s="33" t="str">
        <x:v>INCLUDED — CONDITIONAL</x:v>
      </x:c>
      <x:c r="L85" s="33" t="str">
        <x:v>NORMALIZE universal/frequency overstatements</x:v>
      </x:c>
      <x:c r="M85" s="33" t="str">
        <x:v>https://cbic-gst.gov.in/hindi/gst-acts.html</x:v>
      </x:c>
      <x:c r="N85" s="33" t="str">
        <x:v>VALIDATED</x:v>
      </x:c>
    </x:row>
    <x:row r="86">
      <x:c r="A86" s="33" t="str">
        <x:v>P3-017</x:v>
      </x:c>
      <x:c r="B86" s="33" t="str">
        <x:v>Consumer Protection Act, E-Commerce Rules and amendments</x:v>
      </x:c>
      <x:c r="C86" s="33" t="str">
        <x:v>Department of Consumer Affairs / CCPA</x:v>
      </x:c>
      <x:c r="D86" s="33" t="str">
        <x:v>Act / Rules</x:v>
      </x:c>
      <x:c r="E86" s="33" t="str">
        <x:v>Official Consumer Affairs register</x:v>
      </x:c>
      <x:c r="F86" s="33" t="str">
        <x:v>Current</x:v>
      </x:c>
      <x:c r="G86" s="33" t="str">
        <x:v>2026-08-20</x:v>
      </x:c>
      <x:c r="H86" s="33" t="str">
        <x:v>Consumer sales and e-commerce role</x:v>
      </x:c>
      <x:c r="I86" s="33" t="str">
        <x:v>All; E-Pharmacy by role</x:v>
      </x:c>
      <x:c r="J86" s="33" t="str">
        <x:v>Act sections 2(47), 19-21; Rules 4-5</x:v>
      </x:c>
      <x:c r="K86" s="33" t="str">
        <x:v>INCLUDED</x:v>
      </x:c>
      <x:c r="L86" s="33" t="str">
        <x:v>NORMALIZE consumer/e-commerce chains</x:v>
      </x:c>
      <x:c r="M86" s="33" t="str">
        <x:v>https://consumeraffairs.nic.in/acts-and-rules/consumer-protection/consumer-protection</x:v>
      </x:c>
      <x:c r="N86" s="33" t="str">
        <x:v>VALIDATED</x:v>
      </x:c>
    </x:row>
    <x:row r="87">
      <x:c r="A87" s="33" t="str">
        <x:v>P3-018</x:v>
      </x:c>
      <x:c r="B87" s="33" t="str">
        <x:v>Misleading Advertisement Guidelines, 2022</x:v>
      </x:c>
      <x:c r="C87" s="33" t="str">
        <x:v>CCPA</x:v>
      </x:c>
      <x:c r="D87" s="33" t="str">
        <x:v>Guidelines</x:v>
      </x:c>
      <x:c r="E87" s="33" t="str">
        <x:v>Official Consumer Affairs page</x:v>
      </x:c>
      <x:c r="F87" s="33" t="str">
        <x:v>Current</x:v>
      </x:c>
      <x:c r="G87" s="33" t="str">
        <x:v>2026-08-20</x:v>
      </x:c>
      <x:c r="H87" s="33" t="str">
        <x:v>Advertising/endorsement trigger</x:v>
      </x:c>
      <x:c r="I87" s="33" t="str">
        <x:v>All advertisers; E-Pharmacy digital ads</x:v>
      </x:c>
      <x:c r="J87" s="33" t="str">
        <x:v>Guidelines 4, 9, 10, 13</x:v>
      </x:c>
      <x:c r="K87" s="33" t="str">
        <x:v>INCLUDED — CONDITIONAL</x:v>
      </x:c>
      <x:c r="L87" s="33" t="str">
        <x:v>NORMALIZE LAW086</x:v>
      </x:c>
      <x:c r="M87" s="33" t="str">
        <x:v>https://consumeraffairs.nic.in/latestnews/guidelines-prevention-misleading-advertisements-and-endorsements-misleading</x:v>
      </x:c>
      <x:c r="N87" s="33" t="str">
        <x:v>VALIDATED</x:v>
      </x:c>
    </x:row>
    <x:row r="88">
      <x:c r="A88" s="33" t="str">
        <x:v>P3-019</x:v>
      </x:c>
      <x:c r="B88" s="33" t="str">
        <x:v>Legal Metrology Act and Packaged Commodities Rules</x:v>
      </x:c>
      <x:c r="C88" s="33" t="str">
        <x:v>Department of Consumer Affairs</x:v>
      </x:c>
      <x:c r="D88" s="33" t="str">
        <x:v>Act / Rules</x:v>
      </x:c>
      <x:c r="E88" s="33" t="str">
        <x:v>Official Legal Metrology register</x:v>
      </x:c>
      <x:c r="F88" s="33" t="str">
        <x:v>Current</x:v>
      </x:c>
      <x:c r="G88" s="33" t="str">
        <x:v>2026-08-20</x:v>
      </x:c>
      <x:c r="H88" s="33" t="str">
        <x:v>Use of measure; sale/display/e-commerce of packages</x:v>
      </x:c>
      <x:c r="I88" s="33" t="str">
        <x:v>All by transaction/package role</x:v>
      </x:c>
      <x:c r="J88" s="33" t="str">
        <x:v>Act sections 23-24; PCR Rules 6(10), 18</x:v>
      </x:c>
      <x:c r="K88" s="33" t="str">
        <x:v>INCLUDED — ROLE BASED</x:v>
      </x:c>
      <x:c r="L88" s="33" t="str">
        <x:v>CORRECT seller vs packer duties</x:v>
      </x:c>
      <x:c r="M88" s="33" t="str">
        <x:v>https://consumeraffairs.nic.in/taxonomy/term/2645</x:v>
      </x:c>
      <x:c r="N88" s="33" t="str">
        <x:v>VALIDATED</x:v>
      </x:c>
    </x:row>
    <x:row r="89">
      <x:c r="A89" s="33" t="str">
        <x:v>P3-020</x:v>
      </x:c>
      <x:c r="B89" s="33" t="str">
        <x:v>IT Act and SPDI Rules</x:v>
      </x:c>
      <x:c r="C89" s="33" t="str">
        <x:v>MeitY</x:v>
      </x:c>
      <x:c r="D89" s="33" t="str">
        <x:v>Act / Rules</x:v>
      </x:c>
      <x:c r="E89" s="33" t="str">
        <x:v>MeitY official notifications portal</x:v>
      </x:c>
      <x:c r="F89" s="33" t="str">
        <x:v>Current transitional data-security layer</x:v>
      </x:c>
      <x:c r="G89" s="33" t="str">
        <x:v>2026-08-20</x:v>
      </x:c>
      <x:c r="H89" s="33" t="str">
        <x:v>Computer resources/SPDI/intermediary role</x:v>
      </x:c>
      <x:c r="I89" s="33" t="str">
        <x:v>E-Pharmacy and any digital processor by role</x:v>
      </x:c>
      <x:c r="J89" s="33" t="str">
        <x:v>IT Act 43A/72A/79; SPDI Rules 4-8</x:v>
      </x:c>
      <x:c r="K89" s="33" t="str">
        <x:v>INCLUDED</x:v>
      </x:c>
      <x:c r="L89" s="33" t="str">
        <x:v>NORMALIZE LAW046/047</x:v>
      </x:c>
      <x:c r="M89" s="33" t="str">
        <x:v>https://www.meity.gov.in/documents/orders-and-notices/notifications-on-information-technology-act-2000-its-rules-AOzATOtQWa?-its-Rules-%2806.04.2023%29=&amp;pageTitle=Notifications-on-Information-Technology-Act-2000-</x:v>
      </x:c>
      <x:c r="N89" s="33" t="str">
        <x:v>VALIDATED</x:v>
      </x:c>
    </x:row>
    <x:row r="90">
      <x:c r="A90" s="33" t="str">
        <x:v>P3-021</x:v>
      </x:c>
      <x:c r="B90" s="33" t="str">
        <x:v>CERT-In Cyber Security Directions, 28-04-2022</x:v>
      </x:c>
      <x:c r="C90" s="33" t="str">
        <x:v>CERT-In</x:v>
      </x:c>
      <x:c r="D90" s="33" t="str">
        <x:v>Directions under section 70B(6)</x:v>
      </x:c>
      <x:c r="E90" s="33" t="str">
        <x:v>CERT-In official</x:v>
      </x:c>
      <x:c r="F90" s="33" t="str">
        <x:v>Current</x:v>
      </x:c>
      <x:c r="G90" s="33" t="str">
        <x:v>2026-08-20</x:v>
      </x:c>
      <x:c r="H90" s="33" t="str">
        <x:v>Covered body corporate/service provider/intermediary and specified incident</x:v>
      </x:c>
      <x:c r="I90" s="33" t="str">
        <x:v>E-Pharmacy/digital operations by scope</x:v>
      </x:c>
      <x:c r="J90" s="33" t="str">
        <x:v>Clauses (i), (ii), (iv), (v)</x:v>
      </x:c>
      <x:c r="K90" s="33" t="str">
        <x:v>INCLUDED — CONDITIONAL</x:v>
      </x:c>
      <x:c r="L90" s="33" t="str">
        <x:v>REPLACE vague advisory with binding directions</x:v>
      </x:c>
      <x:c r="M90" s="33" t="str">
        <x:v>https://cert-in.org.in/Directions70B.jsp</x:v>
      </x:c>
      <x:c r="N90" s="33" t="str">
        <x:v>VALIDATED</x:v>
      </x:c>
    </x:row>
    <x:row r="91">
      <x:c r="A91" s="33" t="str">
        <x:v>P3-022</x:v>
      </x:c>
      <x:c r="B91" s="33" t="str">
        <x:v>Digital Personal Data Protection Rules, 2025 and enforcement timeline</x:v>
      </x:c>
      <x:c r="C91" s="33" t="str">
        <x:v>MeitY</x:v>
      </x:c>
      <x:c r="D91" s="33" t="str">
        <x:v>Rules / commencement notifications</x:v>
      </x:c>
      <x:c r="E91" s="33" t="str">
        <x:v>MeitY official</x:v>
      </x:c>
      <x:c r="F91" s="33" t="str">
        <x:v>Final; staged commencement</x:v>
      </x:c>
      <x:c r="G91" s="33" t="str">
        <x:v>2026-08-20</x:v>
      </x:c>
      <x:c r="H91" s="33" t="str">
        <x:v>Institutional provisions current; private-operator duties future</x:v>
      </x:c>
      <x:c r="I91" s="33" t="str">
        <x:v>E-Pharmacy/digital processing after substantive commencement</x:v>
      </x:c>
      <x:c r="J91" s="33" t="str">
        <x:v>Act/Rules staged provisions</x:v>
      </x:c>
      <x:c r="K91" s="33" t="str">
        <x:v>INCLUDED — FUTURE CONTROLLED</x:v>
      </x:c>
      <x:c r="L91" s="33" t="str">
        <x:v>CORRECT LAW048/098; quarantine early activation</x:v>
      </x:c>
      <x:c r="M91" s="33" t="str">
        <x:v>https://www.meity.gov.in/documents/act-and-policies/digital-personal-data-protection-rules-2025-gDOxUjMtQWa</x:v>
      </x:c>
      <x:c r="N91" s="33" t="str">
        <x:v>VALIDATED</x:v>
      </x:c>
    </x:row>
    <x:row r="92">
      <x:c r="A92" s="33" t="str">
        <x:v>P3-023</x:v>
      </x:c>
      <x:c r="B92" s="33" t="str">
        <x:v>Drugs and Magic Remedies (Objectionable Advertisement) Act, 1954</x:v>
      </x:c>
      <x:c r="C92" s="33" t="str">
        <x:v>MoHFW</x:v>
      </x:c>
      <x:c r="D92" s="33" t="str">
        <x:v>Act / Rules</x:v>
      </x:c>
      <x:c r="E92" s="33" t="str">
        <x:v>India Code official</x:v>
      </x:c>
      <x:c r="F92" s="33" t="str">
        <x:v>Current</x:v>
      </x:c>
      <x:c r="G92" s="33" t="str">
        <x:v>2026-08-20</x:v>
      </x:c>
      <x:c r="H92" s="33" t="str">
        <x:v>Drug/remedy advertising</x:v>
      </x:c>
      <x:c r="I92" s="33" t="str">
        <x:v>All advertisers</x:v>
      </x:c>
      <x:c r="J92" s="33" t="str">
        <x:v>Act sections 3-4; 1955 Rules</x:v>
      </x:c>
      <x:c r="K92" s="33" t="str">
        <x:v>INCLUDED</x:v>
      </x:c>
      <x:c r="L92" s="33" t="str">
        <x:v>RETAIN Act controls; quarantine fabricated rule duties</x:v>
      </x:c>
      <x:c r="M92" s="33" t="str">
        <x:v>https://www.indiacode.nic.in/handle/123456789/12825</x:v>
      </x:c>
      <x:c r="N92" s="33" t="str">
        <x:v>VALIDATED</x:v>
      </x:c>
    </x:row>
    <x:row r="93">
      <x:c r="A93" s="33" t="str">
        <x:v>P3-024</x:v>
      </x:c>
      <x:c r="B93" s="33" t="str">
        <x:v>Disaster Management Act, 2005 / exact event directions</x:v>
      </x:c>
      <x:c r="C93" s="33" t="str">
        <x:v>NDMA / State / District authorities</x:v>
      </x:c>
      <x:c r="D93" s="33" t="str">
        <x:v>Act / Orders</x:v>
      </x:c>
      <x:c r="E93" s="33" t="str">
        <x:v>India Code / competent authority</x:v>
      </x:c>
      <x:c r="F93" s="33" t="str">
        <x:v>Event based</x:v>
      </x:c>
      <x:c r="G93" s="33" t="str">
        <x:v>2026-08-20</x:v>
      </x:c>
      <x:c r="H93" s="33" t="str">
        <x:v>Specific binding direction/order</x:v>
      </x:c>
      <x:c r="I93" s="33" t="str">
        <x:v>All by event and jurisdiction</x:v>
      </x:c>
      <x:c r="J93" s="33" t="str">
        <x:v>Applicable direction/order</x:v>
      </x:c>
      <x:c r="K93" s="33" t="str">
        <x:v>INCLUDED — EVENT SOURCE</x:v>
      </x:c>
      <x:c r="L93" s="33" t="str">
        <x:v>No standing generic recurring duty</x:v>
      </x:c>
      <x:c r="M93" s="33" t="str">
        <x:v>https://www.indiacode.nic.in/handle/123456789/2045</x:v>
      </x:c>
      <x:c r="N93" s="33" t="str">
        <x:v>VALIDATED</x:v>
      </x:c>
    </x:row>
    <x:row r="94">
      <x:c r="A94" s="33" t="str">
        <x:v>P3-025</x:v>
      </x:c>
      <x:c r="B94" s="33" t="str">
        <x:v>Epidemic Diseases Act, 1897 / exact regulations</x:v>
      </x:c>
      <x:c r="C94" s="33" t="str">
        <x:v>Government authority</x:v>
      </x:c>
      <x:c r="D94" s="33" t="str">
        <x:v>Act / Regulations</x:v>
      </x:c>
      <x:c r="E94" s="33" t="str">
        <x:v>India Code / competent authority</x:v>
      </x:c>
      <x:c r="F94" s="33" t="str">
        <x:v>Event based</x:v>
      </x:c>
      <x:c r="G94" s="33" t="str">
        <x:v>2026-08-20</x:v>
      </x:c>
      <x:c r="H94" s="33" t="str">
        <x:v>Specific applicable regulation/order</x:v>
      </x:c>
      <x:c r="I94" s="33" t="str">
        <x:v>All by event and jurisdiction</x:v>
      </x:c>
      <x:c r="J94" s="33" t="str">
        <x:v>Applicable regulation/order</x:v>
      </x:c>
      <x:c r="K94" s="33" t="str">
        <x:v>INCLUDED — EVENT SOURCE</x:v>
      </x:c>
      <x:c r="L94" s="33" t="str">
        <x:v>No standing generic recurring duty</x:v>
      </x:c>
      <x:c r="M94" s="33" t="str">
        <x:v>https://www.indiacode.nic.in/handle/123456789/10469</x:v>
      </x:c>
      <x:c r="N94" s="33" t="str">
        <x:v>VALIDATED</x:v>
      </x:c>
    </x:row>
    <x:row r="95">
      <x:c r="A95" s="33" t="str">
        <x:v>P4-SRC001</x:v>
      </x:c>
      <x:c r="B95" s="33" t="str">
        <x:v>Pharmacy Act, 1948</x:v>
      </x:c>
      <x:c r="C95" s="33" t="str">
        <x:v>India Code / Pharmacy Council of India</x:v>
      </x:c>
      <x:c r="D95" s="33" t="str">
        <x:v>Act and regulations</x:v>
      </x:c>
      <x:c r="E95" s="33" t="str">
        <x:v>https://www.indiacode.nic.in/handle/123456789/1364?col=123456789%2F1362&amp;view_type=search</x:v>
      </x:c>
      <x:c r="F95" s="33" t="str">
        <x:v>Current through validation date</x:v>
      </x:c>
      <x:c r="G95" s="33" t="str">
        <x:v>1948; current position validated</x:v>
      </x:c>
      <x:c r="H95" s="33" t="str">
        <x:v>Pharmacist registration, dispensing and professional practice</x:v>
      </x:c>
      <x:c r="I95" s="33" t="str">
        <x:v>All sub-sectors engaging pharmacists</x:v>
      </x:c>
      <x:c r="J95" s="33" t="str">
        <x:v>Sections 29, 32, 34–36 and 42; Pharmacy Practice Regulations, 2015</x:v>
      </x:c>
      <x:c r="K95" s="33" t="str">
        <x:v>Included</x:v>
      </x:c>
      <x:c r="L95" s="33" t="str">
        <x:v>Corrected pharmacist-registration and employer-verification boundary</x:v>
      </x:c>
      <x:c r="M95" s="33" t="str">
        <x:v>https://www.indiacode.nic.in/handle/123456789/1364?col=123456789%2F1362&amp;view_type=search</x:v>
      </x:c>
      <x:c r="N95" s="33" t="str">
        <x:v>Validated</x:v>
      </x:c>
    </x:row>
    <x:row r="96">
      <x:c r="A96" s="33" t="str">
        <x:v>P4-SRC002</x:v>
      </x:c>
      <x:c r="B96" s="33" t="str">
        <x:v>Pharmacy Practice Regulations, 2015</x:v>
      </x:c>
      <x:c r="C96" s="33" t="str">
        <x:v>Pharmacy Council of India</x:v>
      </x:c>
      <x:c r="D96" s="33" t="str">
        <x:v>Regulations</x:v>
      </x:c>
      <x:c r="E96" s="33" t="str">
        <x:v>https://www.pci.nic.in/pdf/</x:v>
      </x:c>
      <x:c r="F96" s="33" t="str">
        <x:v>Current official PCI publication set</x:v>
      </x:c>
      <x:c r="G96" s="33" t="str">
        <x:v>2015</x:v>
      </x:c>
      <x:c r="H96" s="33" t="str">
        <x:v>Professional conduct and competence of registered pharmacists</x:v>
      </x:c>
      <x:c r="I96" s="33" t="str">
        <x:v>All sub-sectors engaging pharmacists</x:v>
      </x:c>
      <x:c r="J96" s="33" t="str">
        <x:v>Professional conduct and continuing competence</x:v>
      </x:c>
      <x:c r="K96" s="33" t="str">
        <x:v>Included</x:v>
      </x:c>
      <x:c r="L96" s="33" t="str">
        <x:v>Retained as professional-practice overlay</x:v>
      </x:c>
      <x:c r="M96" s="33" t="str">
        <x:v>https://www.pci.nic.in/pdf/</x:v>
      </x:c>
      <x:c r="N96" s="33" t="str">
        <x:v>Validated</x:v>
      </x:c>
    </x:row>
    <x:row r="97">
      <x:c r="A97" s="33" t="str">
        <x:v>P4-SRC003</x:v>
      </x:c>
      <x:c r="B97" s="33" t="str">
        <x:v>Drugs (Prices Control) Order, 2013 and current NPPA price lists</x:v>
      </x:c>
      <x:c r="C97" s="33" t="str">
        <x:v>NPPA</x:v>
      </x:c>
      <x:c r="D97" s="33" t="str">
        <x:v>Order / notifications</x:v>
      </x:c>
      <x:c r="E97" s="33" t="str">
        <x:v>https://www.nppaindia.nic.in/proactivedisclosure</x:v>
      </x:c>
      <x:c r="F97" s="33" t="str">
        <x:v>Current official disclosure and archive position</x:v>
      </x:c>
      <x:c r="G97" s="33" t="str">
        <x:v>As notified</x:v>
      </x:c>
      <x:c r="H97" s="33" t="str">
        <x:v>Dealer/retailer display, transaction pricing and no-refusal duties</x:v>
      </x:c>
      <x:c r="I97" s="33" t="str">
        <x:v>All sellers of covered formulations</x:v>
      </x:c>
      <x:c r="J97" s="33" t="str">
        <x:v>Paragraphs 24(4), 25(3), 26, 27 and 28(b)</x:v>
      </x:c>
      <x:c r="K97" s="33" t="str">
        <x:v>Included</x:v>
      </x:c>
      <x:c r="L97" s="33" t="str">
        <x:v>Replaced manufacturer-facing placeholders with retail duties</x:v>
      </x:c>
      <x:c r="M97" s="33" t="str">
        <x:v>https://www.nppaindia.nic.in/proactivedisclosure</x:v>
      </x:c>
      <x:c r="N97" s="33" t="str">
        <x:v>Validated</x:v>
      </x:c>
    </x:row>
    <x:row r="98">
      <x:c r="A98" s="33" t="str">
        <x:v>P4-SRC004</x:v>
      </x:c>
      <x:c r="B98" s="33" t="str">
        <x:v>NDPS Act, 1985 and NDPS Rules, 1985</x:v>
      </x:c>
      <x:c r="C98" s="33" t="str">
        <x:v>India Code</x:v>
      </x:c>
      <x:c r="D98" s="33" t="str">
        <x:v>Act / Rules</x:v>
      </x:c>
      <x:c r="E98" s="33" t="str">
        <x:v>https://www.indiacode.nic.in/handle/123456789/1791</x:v>
      </x:c>
      <x:c r="F98" s="33" t="str">
        <x:v>Current consolidated position</x:v>
      </x:c>
      <x:c r="G98" s="33" t="str">
        <x:v>Current</x:v>
      </x:c>
      <x:c r="H98" s="33" t="str">
        <x:v>Essential Narcotic Drug possession, sale and transport</x:v>
      </x:c>
      <x:c r="I98" s="33" t="str">
        <x:v>Specialized and any other sub-sector handling ENDs</x:v>
      </x:c>
      <x:c r="J98" s="33" t="str">
        <x:v>Section 8; Rules 52A, 52B, 52D, 52E and 52F</x:v>
      </x:c>
      <x:c r="K98" s="33" t="str">
        <x:v>Included</x:v>
      </x:c>
      <x:c r="L98" s="33" t="str">
        <x:v>Removed enabling/penalty provisions from recurring production duties</x:v>
      </x:c>
      <x:c r="M98" s="33" t="str">
        <x:v>https://www.indiacode.nic.in/handle/123456789/1791</x:v>
      </x:c>
      <x:c r="N98" s="33" t="str">
        <x:v>Validated</x:v>
      </x:c>
    </x:row>
    <x:row r="99">
      <x:c r="A99" s="33" t="str">
        <x:v>P4-SRC005</x:v>
      </x:c>
      <x:c r="B99" s="33" t="str">
        <x:v>Medical Devices Rules, 2017</x:v>
      </x:c>
      <x:c r="C99" s="33" t="str">
        <x:v>CDSCO</x:v>
      </x:c>
      <x:c r="D99" s="33" t="str">
        <x:v>Rules</x:v>
      </x:c>
      <x:c r="E99" s="33" t="str">
        <x:v>https://cdsco.gov.in/opencms/opencms/en/Acts-and-rules/Medical-Devices-Rules/</x:v>
      </x:c>
      <x:c r="F99" s="33" t="str">
        <x:v>Includes seller-registration amendments and current official publications</x:v>
      </x:c>
      <x:c r="G99" s="33" t="str">
        <x:v>Current</x:v>
      </x:c>
      <x:c r="H99" s="33" t="str">
        <x:v>Sale/stock/distribution of medical devices</x:v>
      </x:c>
      <x:c r="I99" s="33" t="str">
        <x:v>Any approved sub-sector selling devices</x:v>
      </x:c>
      <x:c r="J99" s="33" t="str">
        <x:v>Rules 87, 87A, 87B, 87C and 88</x:v>
      </x:c>
      <x:c r="K99" s="33" t="str">
        <x:v>Included</x:v>
      </x:c>
      <x:c r="L99" s="33" t="str">
        <x:v>Corrected seller licence/MD-42, records, retention and hospital-supply controls</x:v>
      </x:c>
      <x:c r="M99" s="33" t="str">
        <x:v>https://cdsco.gov.in/opencms/opencms/en/Acts-and-rules/Medical-Devices-Rules/</x:v>
      </x:c>
      <x:c r="N99" s="33" t="str">
        <x:v>Validated</x:v>
      </x:c>
    </x:row>
    <x:row r="100">
      <x:c r="A100" s="33" t="str">
        <x:v>P4-SRC006</x:v>
      </x:c>
      <x:c r="B100" s="33" t="str">
        <x:v>Cosmetics Rules, 2020</x:v>
      </x:c>
      <x:c r="C100" s="33" t="str">
        <x:v>CDSCO</x:v>
      </x:c>
      <x:c r="D100" s="33" t="str">
        <x:v>Rules</x:v>
      </x:c>
      <x:c r="E100" s="33" t="str">
        <x:v>https://cdsco.gov.in/opencms/opencms/en/Acts-and-rules/Cosmetics-Rules/</x:v>
      </x:c>
      <x:c r="F100" s="33" t="str">
        <x:v>Current official publication set through validation date</x:v>
      </x:c>
      <x:c r="G100" s="33" t="str">
        <x:v>Current</x:v>
      </x:c>
      <x:c r="H100" s="33" t="str">
        <x:v>Retail sale/distribution of cosmetics</x:v>
      </x:c>
      <x:c r="I100" s="33" t="str">
        <x:v>Any approved sub-sector selling cosmetics</x:v>
      </x:c>
      <x:c r="J100" s="33" t="str">
        <x:v>Rules 33–36 and 39</x:v>
      </x:c>
      <x:c r="K100" s="33" t="str">
        <x:v>Included</x:v>
      </x:c>
      <x:c r="L100" s="33" t="str">
        <x:v>Corrected retail-facing controls; manufacturer/import duties excluded</x:v>
      </x:c>
      <x:c r="M100" s="33" t="str">
        <x:v>https://cdsco.gov.in/opencms/opencms/en/Acts-and-rules/Cosmetics-Rules/</x:v>
      </x:c>
      <x:c r="N100" s="33" t="str">
        <x:v>Validated</x:v>
      </x:c>
    </x:row>
    <x:row r="101">
      <x:c r="A101" s="33" t="str">
        <x:v>P4-SRC007</x:v>
      </x:c>
      <x:c r="B101" s="33" t="str">
        <x:v>Clinical Establishments (Registration and Regulation) Act, 2010</x:v>
      </x:c>
      <x:c r="C101" s="33" t="str">
        <x:v>India Code / MoHFW</x:v>
      </x:c>
      <x:c r="D101" s="33" t="str">
        <x:v>Act / jurisdiction portal</x:v>
      </x:c>
      <x:c r="E101" s="33" t="str">
        <x:v>https://www.indiacode.nic.in/handle/123456789/2048</x:v>
      </x:c>
      <x:c r="F101" s="33" t="str">
        <x:v>Current central Act with State/UT adoption boundary</x:v>
      </x:c>
      <x:c r="G101" s="33" t="str">
        <x:v>Current where adopted</x:v>
      </x:c>
      <x:c r="H101" s="33" t="str">
        <x:v>Covered clinical-establishment role</x:v>
      </x:c>
      <x:c r="I101" s="33" t="str">
        <x:v>Hospital or institutional pharmacy only when part of covered establishment</x:v>
      </x:c>
      <x:c r="J101" s="33" t="str">
        <x:v>Sections 11, 12, 18, 22 and 30(4)</x:v>
      </x:c>
      <x:c r="K101" s="33" t="str">
        <x:v>Conditional</x:v>
      </x:c>
      <x:c r="L101" s="33" t="str">
        <x:v>Entity and jurisdiction trigger made explicit</x:v>
      </x:c>
      <x:c r="M101" s="33" t="str">
        <x:v>https://www.clinicalestablishments.mohfw.gov.in/</x:v>
      </x:c>
      <x:c r="N101" s="33" t="str">
        <x:v>Validated</x:v>
      </x:c>
    </x:row>
    <x:row r="102">
      <x:c r="A102" s="33" t="str">
        <x:v>P4-SRC008</x:v>
      </x:c>
      <x:c r="B102" s="33" t="str">
        <x:v>Draft e-pharmacy Rules notification G.S.R. 817(E), 2018</x:v>
      </x:c>
      <x:c r="C102" s="33" t="str">
        <x:v>CDSCO</x:v>
      </x:c>
      <x:c r="D102" s="33" t="str">
        <x:v>Draft notification</x:v>
      </x:c>
      <x:c r="E102" s="33" t="str">
        <x:v>https://cdsco.gov.in/opencms/opencms/en/Notifications/Gazette-Notifications/</x:v>
      </x:c>
      <x:c r="F102" s="33" t="str">
        <x:v>Draft; no final dedicated e-pharmacy rule activated through cutoff</x:v>
      </x:c>
      <x:c r="G102" s="33" t="str">
        <x:v>Draft</x:v>
      </x:c>
      <x:c r="H102" s="33" t="str">
        <x:v>Online sale proposal</x:v>
      </x:c>
      <x:c r="I102" s="33" t="str">
        <x:v>E-Pharmacy</x:v>
      </x:c>
      <x:c r="J102" s="33" t="str">
        <x:v>Draft Part VIB proposal</x:v>
      </x:c>
      <x:c r="K102" s="33" t="str">
        <x:v>Excluded as binding law</x:v>
      </x:c>
      <x:c r="L102" s="33" t="str">
        <x:v>Existing Drugs Rules, e-commerce, IT and cyber duties remain separately applicable</x:v>
      </x:c>
      <x:c r="M102" s="33" t="str">
        <x:v>https://cdsco.gov.in/opencms/opencms/en/Notifications/Gazette-Notifications/</x:v>
      </x:c>
      <x:c r="N102" s="33" t="str">
        <x:v>Validated</x:v>
      </x:c>
    </x:row>
  </x:sheetData>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1" max="1" width="16" hidden="0" customWidth="1"/>
    <x:col min="2" max="2" width="40" hidden="0" customWidth="1"/>
    <x:col min="3" max="3" width="22" hidden="0" customWidth="1"/>
    <x:col min="4" max="4" width="22" hidden="0" customWidth="1"/>
    <x:col min="5" max="5" width="60" hidden="0" customWidth="1"/>
    <x:col min="6" max="6" width="30" hidden="0" customWidth="1"/>
    <x:col min="7" max="7" width="16" hidden="0" customWidth="1"/>
  </x:cols>
  <x:sheetData>
    <x:row r="1">
      <x:c r="A1" s="18" t="str">
        <x:v>Existing Law ID</x:v>
      </x:c>
      <x:c r="B1" s="18" t="str">
        <x:v>Existing Law Name</x:v>
      </x:c>
      <x:c r="C1" s="18" t="str">
        <x:v>P-1 Classification</x:v>
      </x:c>
      <x:c r="D1" s="18" t="str">
        <x:v>Source Register ID</x:v>
      </x:c>
      <x:c r="E1" s="18" t="str">
        <x:v>Finding / Reason</x:v>
      </x:c>
      <x:c r="F1" s="18" t="str">
        <x:v>Next Treatment</x:v>
      </x:c>
      <x:c r="G1" s="18" t="str">
        <x:v>Validation Date</x:v>
      </x:c>
    </x:row>
    <x:row r="2">
      <x:c r="A2" s="15" t="str">
        <x:v>LAW001</x:v>
      </x:c>
      <x:c r="B2" s="15" t="str">
        <x:v>Drugs and Cosmetics Act, 1940</x:v>
      </x:c>
      <x:c r="C2" s="15" t="str">
        <x:v>RETAIN</x:v>
      </x:c>
      <x:c r="D2" s="15" t="str">
        <x:v>P1-001</x:v>
      </x:c>
      <x:c r="E2" s="15" t="str">
        <x:v>Correct genuine parent Act.</x:v>
      </x:c>
      <x:c r="F2" s="15" t="str">
        <x:v>P-2/P-3 remediation pending</x:v>
      </x:c>
      <x:c r="G2" s="15" t="str">
        <x:v>2026-08-19</x:v>
      </x:c>
    </x:row>
    <x:row r="3">
      <x:c r="A3" s="15" t="str">
        <x:v>LAW002</x:v>
      </x:c>
      <x:c r="B3" s="15" t="str">
        <x:v>Drugs and Cosmetics Rules, 1945</x:v>
      </x:c>
      <x:c r="C3" s="15" t="str">
        <x:v>CORRECT</x:v>
      </x:c>
      <x:c r="D3" s="15" t="str">
        <x:v>P1-002</x:v>
      </x:c>
      <x:c r="E3" s="15" t="str">
        <x:v>Correct title to Drugs Rules, 1945 and update amendment position.</x:v>
      </x:c>
      <x:c r="F3" s="15" t="str">
        <x:v>P-2/P-3 remediation pending</x:v>
      </x:c>
      <x:c r="G3" s="15" t="str">
        <x:v>2026-08-19</x:v>
      </x:c>
    </x:row>
    <x:row r="4">
      <x:c r="A4" s="15" t="str">
        <x:v>LAW003</x:v>
      </x:c>
      <x:c r="B4" s="15" t="str">
        <x:v>Drugs and Cosmetics (Amendment) Rules (Latest Applicable)</x:v>
      </x:c>
      <x:c r="C4" s="15" t="str">
        <x:v>RETIRE</x:v>
      </x:c>
      <x:c r="D4" s="15" t="str">
        <x:v>P1-003</x:v>
      </x:c>
      <x:c r="E4" s="15" t="str">
        <x:v>Generic 'Latest Applicable' amendment is not an atomic legal instrument.</x:v>
      </x:c>
      <x:c r="F4" s="15" t="str">
        <x:v>P-2/P-3 remediation pending</x:v>
      </x:c>
      <x:c r="G4" s="15" t="str">
        <x:v>2026-08-19</x:v>
      </x:c>
    </x:row>
    <x:row r="5">
      <x:c r="A5" s="15" t="str">
        <x:v>LAW004</x:v>
      </x:c>
      <x:c r="B5" s="15" t="str">
        <x:v>Pharmacy Act, 1948</x:v>
      </x:c>
      <x:c r="C5" s="15" t="str">
        <x:v>RETAIN</x:v>
      </x:c>
      <x:c r="D5" s="15" t="str">
        <x:v>P1-005</x:v>
      </x:c>
      <x:c r="E5" s="15" t="str">
        <x:v>Correct genuine Act.</x:v>
      </x:c>
      <x:c r="F5" s="15" t="str">
        <x:v>P-2/P-3 remediation pending</x:v>
      </x:c>
      <x:c r="G5" s="15" t="str">
        <x:v>2026-08-19</x:v>
      </x:c>
    </x:row>
    <x:row r="6">
      <x:c r="A6" s="15" t="str">
        <x:v>LAW005</x:v>
      </x:c>
      <x:c r="B6" s="15" t="str">
        <x:v>Education Regulations under Pharmacy Act</x:v>
      </x:c>
      <x:c r="C6" s="15" t="str">
        <x:v>RECLASSIFY</x:v>
      </x:c>
      <x:c r="D6" s="15" t="str">
        <x:v>P1-007</x:v>
      </x:c>
      <x:c r="E6" s="15" t="str">
        <x:v>Education regulations are qualification reference, not operating-pharmacy law.</x:v>
      </x:c>
      <x:c r="F6" s="15" t="str">
        <x:v>P-2/P-3 remediation pending</x:v>
      </x:c>
      <x:c r="G6" s="15" t="str">
        <x:v>2026-08-19</x:v>
      </x:c>
    </x:row>
    <x:row r="7">
      <x:c r="A7" s="15" t="str">
        <x:v>LAW006</x:v>
      </x:c>
      <x:c r="B7" s="15" t="str">
        <x:v>Drugs (Prices Control) Order, 2013</x:v>
      </x:c>
      <x:c r="C7" s="15" t="str">
        <x:v>CORRECT</x:v>
      </x:c>
      <x:c r="D7" s="15" t="str">
        <x:v>P1-009/P1-010</x:v>
      </x:c>
      <x:c r="E7" s="15" t="str">
        <x:v>Add Essential Commodities Act parent and 2026 DPCO amendment.</x:v>
      </x:c>
      <x:c r="F7" s="15" t="str">
        <x:v>P-2/P-3 remediation pending</x:v>
      </x:c>
      <x:c r="G7" s="15" t="str">
        <x:v>2026-08-19</x:v>
      </x:c>
    </x:row>
    <x:row r="8">
      <x:c r="A8" s="15" t="str">
        <x:v>LAW007</x:v>
      </x:c>
      <x:c r="B8" s="15" t="str">
        <x:v>NPPA Ceiling Price Notifications</x:v>
      </x:c>
      <x:c r="C8" s="15" t="str">
        <x:v>RECLASSIFY</x:v>
      </x:c>
      <x:c r="D8" s="15" t="str">
        <x:v>P1-011</x:v>
      </x:c>
      <x:c r="E8" s="15" t="str">
        <x:v>Dynamic notification family, not a single atomic law.</x:v>
      </x:c>
      <x:c r="F8" s="15" t="str">
        <x:v>P-2/P-3 remediation pending</x:v>
      </x:c>
      <x:c r="G8" s="15" t="str">
        <x:v>2026-08-19</x:v>
      </x:c>
    </x:row>
    <x:row r="9">
      <x:c r="A9" s="15" t="str">
        <x:v>LAW008</x:v>
      </x:c>
      <x:c r="B9" s="15" t="str">
        <x:v>New Drugs and Clinical Trials Rules, 2019</x:v>
      </x:c>
      <x:c r="C9" s="15" t="str">
        <x:v>OUT-OF-SCOPE</x:v>
      </x:c>
      <x:c r="D9" s="15" t="str">
        <x:v>P1-019</x:v>
      </x:c>
      <x:c r="E9" s="15" t="str">
        <x:v>Only for actual clinical-trial/new-drug regulated activity.</x:v>
      </x:c>
      <x:c r="F9" s="15" t="str">
        <x:v>P-2/P-3 remediation pending</x:v>
      </x:c>
      <x:c r="G9" s="15" t="str">
        <x:v>2026-08-19</x:v>
      </x:c>
    </x:row>
    <x:row r="10">
      <x:c r="A10" s="15" t="str">
        <x:v>LAW009</x:v>
      </x:c>
      <x:c r="B10" s="15" t="str">
        <x:v>Good Distribution Practices (GDP) Guidelines</x:v>
      </x:c>
      <x:c r="C10" s="15" t="str">
        <x:v>RETIRE</x:v>
      </x:c>
      <x:c r="D10" s="15" t="str">
        <x:v>P1-002</x:v>
      </x:c>
      <x:c r="E10" s="15" t="str">
        <x:v>Non-atomic/duplicate GDP guidance; duplicates LAW060.</x:v>
      </x:c>
      <x:c r="F10" s="15" t="str">
        <x:v>P-2/P-3 remediation pending</x:v>
      </x:c>
      <x:c r="G10" s="15" t="str">
        <x:v>2026-08-19</x:v>
      </x:c>
    </x:row>
    <x:row r="11">
      <x:c r="A11" s="15" t="str">
        <x:v>LAW010</x:v>
      </x:c>
      <x:c r="B11" s="15" t="str">
        <x:v>Good Storage Practices Guidelines</x:v>
      </x:c>
      <x:c r="C11" s="15" t="str">
        <x:v>RETIRE</x:v>
      </x:c>
      <x:c r="D11" s="15" t="str">
        <x:v>P1-002</x:v>
      </x:c>
      <x:c r="E11" s="15" t="str">
        <x:v>Non-atomic/duplicate storage guidance; duplicates LAW061.</x:v>
      </x:c>
      <x:c r="F11" s="15" t="str">
        <x:v>P-2/P-3 remediation pending</x:v>
      </x:c>
      <x:c r="G11" s="15" t="str">
        <x:v>2026-08-19</x:v>
      </x:c>
    </x:row>
    <x:row r="12">
      <x:c r="A12" s="15" t="str">
        <x:v>LAW011</x:v>
      </x:c>
      <x:c r="B12" s="15" t="str">
        <x:v>Retail Drug Licence Conditions</x:v>
      </x:c>
      <x:c r="C12" s="15" t="str">
        <x:v>RECLASSIFY</x:v>
      </x:c>
      <x:c r="D12" s="15" t="str">
        <x:v>P1-002</x:v>
      </x:c>
      <x:c r="E12" s="15" t="str">
        <x:v>Retail licence conditions belong under Drugs Rules provisions/forms.</x:v>
      </x:c>
      <x:c r="F12" s="15" t="str">
        <x:v>P-2/P-3 remediation pending</x:v>
      </x:c>
      <x:c r="G12" s="15" t="str">
        <x:v>2026-08-19</x:v>
      </x:c>
    </x:row>
    <x:row r="13">
      <x:c r="A13" s="15" t="str">
        <x:v>LAW012</x:v>
      </x:c>
      <x:c r="B13" s="15" t="str">
        <x:v>Wholesale Drug Licence Conditions</x:v>
      </x:c>
      <x:c r="C13" s="15" t="str">
        <x:v>RECLASSIFY</x:v>
      </x:c>
      <x:c r="D13" s="15" t="str">
        <x:v>P1-002</x:v>
      </x:c>
      <x:c r="E13" s="15" t="str">
        <x:v>Wholesale licence conditions belong under Drugs Rules provisions/forms.</x:v>
      </x:c>
      <x:c r="F13" s="15" t="str">
        <x:v>P-2/P-3 remediation pending</x:v>
      </x:c>
      <x:c r="G13" s="15" t="str">
        <x:v>2026-08-19</x:v>
      </x:c>
    </x:row>
    <x:row r="14">
      <x:c r="A14" s="15" t="str">
        <x:v>LAW013</x:v>
      </x:c>
      <x:c r="B14" s="15" t="str">
        <x:v>Hospital Pharmacy Licence Conditions</x:v>
      </x:c>
      <x:c r="C14" s="15" t="str">
        <x:v>CORRECT</x:v>
      </x:c>
      <x:c r="D14" s="15" t="str">
        <x:v>P1-002/P1-026</x:v>
      </x:c>
      <x:c r="E14" s="15" t="str">
        <x:v>No universal separate hospital-pharmacy licence law; map actual Drugs Rules/clinical-establishment provisions.</x:v>
      </x:c>
      <x:c r="F14" s="15" t="str">
        <x:v>P-2/P-3 remediation pending</x:v>
      </x:c>
      <x:c r="G14" s="15" t="str">
        <x:v>2026-08-19</x:v>
      </x:c>
    </x:row>
    <x:row r="15">
      <x:c r="A15" s="15" t="str">
        <x:v>LAW014</x:v>
      </x:c>
      <x:c r="B15" s="15" t="str">
        <x:v>E-Pharmacy Regulatory Guidelines / Applicable Notifications</x:v>
      </x:c>
      <x:c r="C15" s="15" t="str">
        <x:v>RETIRE</x:v>
      </x:c>
      <x:c r="D15" s="15" t="str">
        <x:v>P1-002/P1-029</x:v>
      </x:c>
      <x:c r="E15" s="15" t="str">
        <x:v>No validated final standalone E-Pharmacy guideline; apply existing drug/e-commerce laws.</x:v>
      </x:c>
      <x:c r="F15" s="15" t="str">
        <x:v>P-2/P-3 remediation pending</x:v>
      </x:c>
      <x:c r="G15" s="15" t="str">
        <x:v>2026-08-19</x:v>
      </x:c>
    </x:row>
    <x:row r="16">
      <x:c r="A16" s="15" t="str">
        <x:v>LAW015</x:v>
      </x:c>
      <x:c r="B16" s="15" t="str">
        <x:v>Narcotic Drugs and Psychotropic Substances Act, 1985</x:v>
      </x:c>
      <x:c r="C16" s="15" t="str">
        <x:v>RETAIN</x:v>
      </x:c>
      <x:c r="D16" s="15" t="str">
        <x:v>P1-012</x:v>
      </x:c>
      <x:c r="E16" s="15" t="str">
        <x:v>Correct conditional Act.</x:v>
      </x:c>
      <x:c r="F16" s="15" t="str">
        <x:v>P-2/P-3 remediation pending</x:v>
      </x:c>
      <x:c r="G16" s="15" t="str">
        <x:v>2026-08-19</x:v>
      </x:c>
    </x:row>
    <x:row r="17">
      <x:c r="A17" s="15" t="str">
        <x:v>LAW016</x:v>
      </x:c>
      <x:c r="B17" s="15" t="str">
        <x:v>Narcotic Drugs and Psychotropic Substances Rules, 1985</x:v>
      </x:c>
      <x:c r="C17" s="15" t="str">
        <x:v>CORRECT</x:v>
      </x:c>
      <x:c r="D17" s="15" t="str">
        <x:v>P1-013</x:v>
      </x:c>
      <x:c r="E17" s="15" t="str">
        <x:v>Update amendment position and separate central/state controls.</x:v>
      </x:c>
      <x:c r="F17" s="15" t="str">
        <x:v>P-2/P-3 remediation pending</x:v>
      </x:c>
      <x:c r="G17" s="15" t="str">
        <x:v>2026-08-19</x:v>
      </x:c>
    </x:row>
    <x:row r="18">
      <x:c r="A18" s="15" t="str">
        <x:v>LAW017</x:v>
      </x:c>
      <x:c r="B18" s="15" t="str">
        <x:v>Controlled Substance Handling Guidelines</x:v>
      </x:c>
      <x:c r="C18" s="15" t="str">
        <x:v>RECLASSIFY</x:v>
      </x:c>
      <x:c r="D18" s="15" t="str">
        <x:v>P1-014</x:v>
      </x:c>
      <x:c r="E18" s="15" t="str">
        <x:v>Vague guideline must be replaced by actual Central/State instrument.</x:v>
      </x:c>
      <x:c r="F18" s="15" t="str">
        <x:v>P-2/P-3 remediation pending</x:v>
      </x:c>
      <x:c r="G18" s="15" t="str">
        <x:v>2026-08-19</x:v>
      </x:c>
    </x:row>
    <x:row r="19">
      <x:c r="A19" s="15" t="str">
        <x:v>LAW018</x:v>
      </x:c>
      <x:c r="B19" s="15" t="str">
        <x:v>Biomedical Waste Management Rules, 2016</x:v>
      </x:c>
      <x:c r="C19" s="15" t="str">
        <x:v>CORRECT</x:v>
      </x:c>
      <x:c r="D19" s="15" t="str">
        <x:v>P1-044/P1-045</x:v>
      </x:c>
      <x:c r="E19" s="15" t="str">
        <x:v>Add Environment Act parent and current amendments.</x:v>
      </x:c>
      <x:c r="F19" s="15" t="str">
        <x:v>P-2/P-3 remediation pending</x:v>
      </x:c>
      <x:c r="G19" s="15" t="str">
        <x:v>2026-08-19</x:v>
      </x:c>
    </x:row>
    <x:row r="20">
      <x:c r="A20" s="15" t="str">
        <x:v>LAW019</x:v>
      </x:c>
      <x:c r="B20" s="15" t="str">
        <x:v>Biomedical Waste Management Guidelines</x:v>
      </x:c>
      <x:c r="C20" s="15" t="str">
        <x:v>RECLASSIFY</x:v>
      </x:c>
      <x:c r="D20" s="15" t="str">
        <x:v>P1-045</x:v>
      </x:c>
      <x:c r="E20" s="15" t="str">
        <x:v>Guidance only; not separate statutory law.</x:v>
      </x:c>
      <x:c r="F20" s="15" t="str">
        <x:v>P-2/P-3 remediation pending</x:v>
      </x:c>
      <x:c r="G20" s="15" t="str">
        <x:v>2026-08-19</x:v>
      </x:c>
    </x:row>
    <x:row r="21">
      <x:c r="A21" s="15" t="str">
        <x:v>LAW020</x:v>
      </x:c>
      <x:c r="B21" s="15" t="str">
        <x:v>State Biomedical Waste Authorization Requirements</x:v>
      </x:c>
      <x:c r="C21" s="15" t="str">
        <x:v>RECLASSIFY</x:v>
      </x:c>
      <x:c r="D21" s="15" t="str">
        <x:v>P1-045</x:v>
      </x:c>
      <x:c r="E21" s="15" t="str">
        <x:v>Authorization condition is entity-specific, not a law.</x:v>
      </x:c>
      <x:c r="F21" s="15" t="str">
        <x:v>P-2/P-3 remediation pending</x:v>
      </x:c>
      <x:c r="G21" s="15" t="str">
        <x:v>2026-08-19</x:v>
      </x:c>
    </x:row>
    <x:row r="22">
      <x:c r="A22" s="15" t="str">
        <x:v>LAW021</x:v>
      </x:c>
      <x:c r="B22" s="15" t="str">
        <x:v>State Fire Safety Act &amp; Rules</x:v>
      </x:c>
      <x:c r="C22" s="15" t="str">
        <x:v>CORRECT</x:v>
      </x:c>
      <x:c r="D22" s="15" t="str">
        <x:v>P1-053</x:v>
      </x:c>
      <x:c r="E22" s="15" t="str">
        <x:v>Resolve actual State Fire Act/Rules.</x:v>
      </x:c>
      <x:c r="F22" s="15" t="str">
        <x:v>P-2/P-3 remediation pending</x:v>
      </x:c>
      <x:c r="G22" s="15" t="str">
        <x:v>2026-08-19</x:v>
      </x:c>
    </x:row>
    <x:row r="23">
      <x:c r="A23" s="15" t="str">
        <x:v>LAW022</x:v>
      </x:c>
      <x:c r="B23" s="15" t="str">
        <x:v>Municipal Trade Licence / Trade By-laws</x:v>
      </x:c>
      <x:c r="C23" s="15" t="str">
        <x:v>CORRECT</x:v>
      </x:c>
      <x:c r="D23" s="15" t="str">
        <x:v>P1-054</x:v>
      </x:c>
      <x:c r="E23" s="15" t="str">
        <x:v>Resolve actual municipal trade by-law; duplicate with LAW049.</x:v>
      </x:c>
      <x:c r="F23" s="15" t="str">
        <x:v>P-2/P-3 remediation pending</x:v>
      </x:c>
      <x:c r="G23" s="15" t="str">
        <x:v>2026-08-19</x:v>
      </x:c>
    </x:row>
    <x:row r="24">
      <x:c r="A24" s="15" t="str">
        <x:v>LAW023</x:v>
      </x:c>
      <x:c r="B24" s="15" t="str">
        <x:v>Shops and Establishments Act (State Specific)</x:v>
      </x:c>
      <x:c r="C24" s="15" t="str">
        <x:v>CORRECT</x:v>
      </x:c>
      <x:c r="D24" s="15" t="str">
        <x:v>P1-041/P1-054</x:v>
      </x:c>
      <x:c r="E24" s="15" t="str">
        <x:v>Resolve State law and Labour Code transition.</x:v>
      </x:c>
      <x:c r="F24" s="15" t="str">
        <x:v>P-2/P-3 remediation pending</x:v>
      </x:c>
      <x:c r="G24" s="15" t="str">
        <x:v>2026-08-19</x:v>
      </x:c>
    </x:row>
    <x:row r="25">
      <x:c r="A25" s="15" t="str">
        <x:v>LAW024</x:v>
      </x:c>
      <x:c r="B25" s="15" t="str">
        <x:v>Employees' Provident Funds and Miscellaneous Provisions Act, 1952</x:v>
      </x:c>
      <x:c r="C25" s="15" t="str">
        <x:v>CORRECT</x:v>
      </x:c>
      <x:c r="D25" s="15" t="str">
        <x:v>P1-041/P1-042</x:v>
      </x:c>
      <x:c r="E25" s="15" t="str">
        <x:v>Legacy EPF framework must be reconciled with implemented Social Security Code.</x:v>
      </x:c>
      <x:c r="F25" s="15" t="str">
        <x:v>P-2/P-3 remediation pending</x:v>
      </x:c>
      <x:c r="G25" s="15" t="str">
        <x:v>2026-08-19</x:v>
      </x:c>
    </x:row>
    <x:row r="26">
      <x:c r="A26" s="15" t="str">
        <x:v>LAW025</x:v>
      </x:c>
      <x:c r="B26" s="15" t="str">
        <x:v>Employees' State Insurance Act, 1948</x:v>
      </x:c>
      <x:c r="C26" s="15" t="str">
        <x:v>CORRECT</x:v>
      </x:c>
      <x:c r="D26" s="15" t="str">
        <x:v>P1-041/P1-042</x:v>
      </x:c>
      <x:c r="E26" s="15" t="str">
        <x:v>Legacy ESI framework must be reconciled with implemented Social Security Code.</x:v>
      </x:c>
      <x:c r="F26" s="15" t="str">
        <x:v>P-2/P-3 remediation pending</x:v>
      </x:c>
      <x:c r="G26" s="15" t="str">
        <x:v>2026-08-19</x:v>
      </x:c>
    </x:row>
    <x:row r="27">
      <x:c r="A27" s="15" t="str">
        <x:v>LAW026</x:v>
      </x:c>
      <x:c r="B27" s="15" t="str">
        <x:v>Central Goods and Services Tax Act, 2017</x:v>
      </x:c>
      <x:c r="C27" s="15" t="str">
        <x:v>RETAIN</x:v>
      </x:c>
      <x:c r="D27" s="15" t="str">
        <x:v>P1-037</x:v>
      </x:c>
      <x:c r="E27" s="15" t="str">
        <x:v>Current central GST Act.</x:v>
      </x:c>
      <x:c r="F27" s="15" t="str">
        <x:v>P-2/P-3 remediation pending</x:v>
      </x:c>
      <x:c r="G27" s="15" t="str">
        <x:v>2026-08-19</x:v>
      </x:c>
    </x:row>
    <x:row r="28">
      <x:c r="A28" s="15" t="str">
        <x:v>LAW027</x:v>
      </x:c>
      <x:c r="B28" s="15" t="str">
        <x:v>State Goods and Services Tax Act, 2017</x:v>
      </x:c>
      <x:c r="C28" s="15" t="str">
        <x:v>CORRECT</x:v>
      </x:c>
      <x:c r="D28" s="15" t="str">
        <x:v>P1-038</x:v>
      </x:c>
      <x:c r="E28" s="15" t="str">
        <x:v>Replace generic State GST placeholder with jurisdictional instrument.</x:v>
      </x:c>
      <x:c r="F28" s="15" t="str">
        <x:v>P-2/P-3 remediation pending</x:v>
      </x:c>
      <x:c r="G28" s="15" t="str">
        <x:v>2026-08-19</x:v>
      </x:c>
    </x:row>
    <x:row r="29">
      <x:c r="A29" s="15" t="str">
        <x:v>LAW028</x:v>
      </x:c>
      <x:c r="B29" s="15" t="str">
        <x:v>Central Goods and Services Tax Rules, 2017</x:v>
      </x:c>
      <x:c r="C29" s="15" t="str">
        <x:v>RETAIN</x:v>
      </x:c>
      <x:c r="D29" s="15" t="str">
        <x:v>P1-037</x:v>
      </x:c>
      <x:c r="E29" s="15" t="str">
        <x:v>Current CGST Rules as amended.</x:v>
      </x:c>
      <x:c r="F29" s="15" t="str">
        <x:v>P-2/P-3 remediation pending</x:v>
      </x:c>
      <x:c r="G29" s="15" t="str">
        <x:v>2026-08-19</x:v>
      </x:c>
    </x:row>
    <x:row r="30">
      <x:c r="A30" s="15" t="str">
        <x:v>LAW029</x:v>
      </x:c>
      <x:c r="B30" s="15" t="str">
        <x:v>Income-tax Act, 1961</x:v>
      </x:c>
      <x:c r="C30" s="15" t="str">
        <x:v>RETIRE</x:v>
      </x:c>
      <x:c r="D30" s="15" t="str">
        <x:v>P1-039/P1-040</x:v>
      </x:c>
      <x:c r="E30" s="15" t="str">
        <x:v>1961 Act repealed for tax years from 01-04-2026; retain historical reference only.</x:v>
      </x:c>
      <x:c r="F30" s="15" t="str">
        <x:v>P-2/P-3 remediation pending</x:v>
      </x:c>
      <x:c r="G30" s="15" t="str">
        <x:v>2026-08-19</x:v>
      </x:c>
    </x:row>
    <x:row r="31">
      <x:c r="A31" s="15" t="str">
        <x:v>LAW030</x:v>
      </x:c>
      <x:c r="B31" s="15" t="str">
        <x:v>Income-tax Rules, 1962</x:v>
      </x:c>
      <x:c r="C31" s="15" t="str">
        <x:v>RECLASSIFY</x:v>
      </x:c>
      <x:c r="D31" s="15" t="str">
        <x:v>P1-039/P1-040</x:v>
      </x:c>
      <x:c r="E31" s="15" t="str">
        <x:v>Historical/transitional Rules; add current 2025 Act rules/forms.</x:v>
      </x:c>
      <x:c r="F31" s="15" t="str">
        <x:v>P-2/P-3 remediation pending</x:v>
      </x:c>
      <x:c r="G31" s="15" t="str">
        <x:v>2026-08-19</x:v>
      </x:c>
    </x:row>
    <x:row r="32">
      <x:c r="A32" s="15" t="str">
        <x:v>LAW031</x:v>
      </x:c>
      <x:c r="B32" s="15" t="str">
        <x:v>Companies Act, 2013</x:v>
      </x:c>
      <x:c r="C32" s="15" t="str">
        <x:v>RETIRE</x:v>
      </x:c>
      <x:c r="D32" s="15" t="str">
        <x:v>Common Core</x:v>
      </x:c>
      <x:c r="E32" s="15" t="str">
        <x:v>Already inactive; Companies Act owned by Common Corporate Core.</x:v>
      </x:c>
      <x:c r="F32" s="15" t="str">
        <x:v>P-2/P-3 remediation pending</x:v>
      </x:c>
      <x:c r="G32" s="15" t="str">
        <x:v>2026-08-19</x:v>
      </x:c>
    </x:row>
    <x:row r="33">
      <x:c r="A33" s="15" t="str">
        <x:v>LAW032</x:v>
      </x:c>
      <x:c r="B33" s="15" t="str">
        <x:v>Companies (Incorporation) Rules, 2014</x:v>
      </x:c>
      <x:c r="C33" s="15" t="str">
        <x:v>RETIRE</x:v>
      </x:c>
      <x:c r="D33" s="15" t="str">
        <x:v>Common Core</x:v>
      </x:c>
      <x:c r="E33" s="15" t="str">
        <x:v>Already inactive; Companies Rules owned by Common Corporate Core.</x:v>
      </x:c>
      <x:c r="F33" s="15" t="str">
        <x:v>P-2/P-3 remediation pending</x:v>
      </x:c>
      <x:c r="G33" s="15" t="str">
        <x:v>2026-08-19</x:v>
      </x:c>
    </x:row>
    <x:row r="34">
      <x:c r="A34" s="15" t="str">
        <x:v>LAW033</x:v>
      </x:c>
      <x:c r="B34" s="15" t="str">
        <x:v>Limited Liability Partnership Act, 2008</x:v>
      </x:c>
      <x:c r="C34" s="15" t="str">
        <x:v>RECLASSIFY</x:v>
      </x:c>
      <x:c r="D34" s="15" t="str">
        <x:v>P1-058</x:v>
      </x:c>
      <x:c r="E34" s="15" t="str">
        <x:v>Move LLP compliance to Common Corporate Core.</x:v>
      </x:c>
      <x:c r="F34" s="15" t="str">
        <x:v>P-2/P-3 remediation pending</x:v>
      </x:c>
      <x:c r="G34" s="15" t="str">
        <x:v>2026-08-19</x:v>
      </x:c>
    </x:row>
    <x:row r="35">
      <x:c r="A35" s="15" t="str">
        <x:v>LAW034</x:v>
      </x:c>
      <x:c r="B35" s="15" t="str">
        <x:v>Code on Wages, 2019</x:v>
      </x:c>
      <x:c r="C35" s="15" t="str">
        <x:v>CORRECT</x:v>
      </x:c>
      <x:c r="D35" s="15" t="str">
        <x:v>P1-041/P1-042</x:v>
      </x:c>
      <x:c r="E35" s="15" t="str">
        <x:v>Implemented 21-11-2025; add 2026 Rules.</x:v>
      </x:c>
      <x:c r="F35" s="15" t="str">
        <x:v>P-2/P-3 remediation pending</x:v>
      </x:c>
      <x:c r="G35" s="15" t="str">
        <x:v>2026-08-19</x:v>
      </x:c>
    </x:row>
    <x:row r="36">
      <x:c r="A36" s="15" t="str">
        <x:v>LAW035</x:v>
      </x:c>
      <x:c r="B36" s="15" t="str">
        <x:v>Occupational Safety, Health and Working Conditions Code, 2020</x:v>
      </x:c>
      <x:c r="C36" s="15" t="str">
        <x:v>CORRECT</x:v>
      </x:c>
      <x:c r="D36" s="15" t="str">
        <x:v>P1-041/P1-042</x:v>
      </x:c>
      <x:c r="E36" s="15" t="str">
        <x:v>Implemented 21-11-2025; add 2026 Rules.</x:v>
      </x:c>
      <x:c r="F36" s="15" t="str">
        <x:v>P-2/P-3 remediation pending</x:v>
      </x:c>
      <x:c r="G36" s="15" t="str">
        <x:v>2026-08-19</x:v>
      </x:c>
    </x:row>
    <x:row r="37">
      <x:c r="A37" s="15" t="str">
        <x:v>LAW036</x:v>
      </x:c>
      <x:c r="B37" s="15" t="str">
        <x:v>Code on Social Security, 2020</x:v>
      </x:c>
      <x:c r="C37" s="15" t="str">
        <x:v>CORRECT</x:v>
      </x:c>
      <x:c r="D37" s="15" t="str">
        <x:v>P1-041/P1-042</x:v>
      </x:c>
      <x:c r="E37" s="15" t="str">
        <x:v>Implemented 21-11-2025; add 2026 Rules.</x:v>
      </x:c>
      <x:c r="F37" s="15" t="str">
        <x:v>P-2/P-3 remediation pending</x:v>
      </x:c>
      <x:c r="G37" s="15" t="str">
        <x:v>2026-08-19</x:v>
      </x:c>
    </x:row>
    <x:row r="38">
      <x:c r="A38" s="15" t="str">
        <x:v>LAW037</x:v>
      </x:c>
      <x:c r="B38" s="15" t="str">
        <x:v>Industrial Relations Code, 2020</x:v>
      </x:c>
      <x:c r="C38" s="15" t="str">
        <x:v>CORRECT</x:v>
      </x:c>
      <x:c r="D38" s="15" t="str">
        <x:v>P1-041/P1-042</x:v>
      </x:c>
      <x:c r="E38" s="15" t="str">
        <x:v>Implemented 21-11-2025; add 2026 Rules.</x:v>
      </x:c>
      <x:c r="F38" s="15" t="str">
        <x:v>P-2/P-3 remediation pending</x:v>
      </x:c>
      <x:c r="G38" s="15" t="str">
        <x:v>2026-08-19</x:v>
      </x:c>
    </x:row>
    <x:row r="39">
      <x:c r="A39" s="15" t="str">
        <x:v>LAW038</x:v>
      </x:c>
      <x:c r="B39" s="15" t="str">
        <x:v>Consumer Protection Act, 2019</x:v>
      </x:c>
      <x:c r="C39" s="15" t="str">
        <x:v>RETAIN</x:v>
      </x:c>
      <x:c r="D39" s="15" t="str">
        <x:v>P1-028</x:v>
      </x:c>
      <x:c r="E39" s="15" t="str">
        <x:v>Current consumer parent Act.</x:v>
      </x:c>
      <x:c r="F39" s="15" t="str">
        <x:v>P-2/P-3 remediation pending</x:v>
      </x:c>
      <x:c r="G39" s="15" t="str">
        <x:v>2026-08-19</x:v>
      </x:c>
    </x:row>
    <x:row r="40">
      <x:c r="A40" s="15" t="str">
        <x:v>LAW039</x:v>
      </x:c>
      <x:c r="B40" s="15" t="str">
        <x:v>Consumer Protection (E-Commerce) Rules, 2020</x:v>
      </x:c>
      <x:c r="C40" s="15" t="str">
        <x:v>CORRECT</x:v>
      </x:c>
      <x:c r="D40" s="15" t="str">
        <x:v>P1-029</x:v>
      </x:c>
      <x:c r="E40" s="15" t="str">
        <x:v>Confirm amendments and role-specific duties.</x:v>
      </x:c>
      <x:c r="F40" s="15" t="str">
        <x:v>P-2/P-3 remediation pending</x:v>
      </x:c>
      <x:c r="G40" s="15" t="str">
        <x:v>2026-08-19</x:v>
      </x:c>
    </x:row>
    <x:row r="41">
      <x:c r="A41" s="15" t="str">
        <x:v>LAW040</x:v>
      </x:c>
      <x:c r="B41" s="15" t="str">
        <x:v>Legal Metrology Act, 2009</x:v>
      </x:c>
      <x:c r="C41" s="15" t="str">
        <x:v>RETAIN</x:v>
      </x:c>
      <x:c r="D41" s="15" t="str">
        <x:v>P1-031</x:v>
      </x:c>
      <x:c r="E41" s="15" t="str">
        <x:v>Current parent Act.</x:v>
      </x:c>
      <x:c r="F41" s="15" t="str">
        <x:v>P-2/P-3 remediation pending</x:v>
      </x:c>
      <x:c r="G41" s="15" t="str">
        <x:v>2026-08-19</x:v>
      </x:c>
    </x:row>
    <x:row r="42">
      <x:c r="A42" s="15" t="str">
        <x:v>LAW041</x:v>
      </x:c>
      <x:c r="B42" s="15" t="str">
        <x:v>Legal Metrology (Packaged Commodities) Rules, 2011</x:v>
      </x:c>
      <x:c r="C42" s="15" t="str">
        <x:v>CORRECT</x:v>
      </x:c>
      <x:c r="D42" s="15" t="str">
        <x:v>P1-032</x:v>
      </x:c>
      <x:c r="E42" s="15" t="str">
        <x:v>Apply seller duties only; update amendments.</x:v>
      </x:c>
      <x:c r="F42" s="15" t="str">
        <x:v>P-2/P-3 remediation pending</x:v>
      </x:c>
      <x:c r="G42" s="15" t="str">
        <x:v>2026-08-19</x:v>
      </x:c>
    </x:row>
    <x:row r="43">
      <x:c r="A43" s="15" t="str">
        <x:v>LAW042</x:v>
      </x:c>
      <x:c r="B43" s="15" t="str">
        <x:v>Plastic Waste Management Rules, 2016</x:v>
      </x:c>
      <x:c r="C43" s="15" t="str">
        <x:v>CORRECT</x:v>
      </x:c>
      <x:c r="D43" s="15" t="str">
        <x:v>P1-047</x:v>
      </x:c>
      <x:c r="E43" s="15" t="str">
        <x:v>Role-based applicability; generator status alone does not create EPR.</x:v>
      </x:c>
      <x:c r="F43" s="15" t="str">
        <x:v>P-2/P-3 remediation pending</x:v>
      </x:c>
      <x:c r="G43" s="15" t="str">
        <x:v>2026-08-19</x:v>
      </x:c>
    </x:row>
    <x:row r="44">
      <x:c r="A44" s="15" t="str">
        <x:v>LAW043</x:v>
      </x:c>
      <x:c r="B44" s="15" t="str">
        <x:v>E-Waste (Management) Rules, 2022</x:v>
      </x:c>
      <x:c r="C44" s="15" t="str">
        <x:v>CORRECT</x:v>
      </x:c>
      <x:c r="D44" s="15" t="str">
        <x:v>P1-048</x:v>
      </x:c>
      <x:c r="E44" s="15" t="str">
        <x:v>Update amendments through 2024 and bulk-consumer thresholds.</x:v>
      </x:c>
      <x:c r="F44" s="15" t="str">
        <x:v>P-2/P-3 remediation pending</x:v>
      </x:c>
      <x:c r="G44" s="15" t="str">
        <x:v>2026-08-19</x:v>
      </x:c>
    </x:row>
    <x:row r="45">
      <x:c r="A45" s="15" t="str">
        <x:v>LAW044</x:v>
      </x:c>
      <x:c r="B45" s="15" t="str">
        <x:v>Solid Waste Management Rules, 2016</x:v>
      </x:c>
      <x:c r="C45" s="15" t="str">
        <x:v>RETIRE</x:v>
      </x:c>
      <x:c r="D45" s="15" t="str">
        <x:v>P1-050</x:v>
      </x:c>
      <x:c r="E45" s="15" t="str">
        <x:v>Replace 2016 Rules with Solid Waste Management Rules, 2026.</x:v>
      </x:c>
      <x:c r="F45" s="15" t="str">
        <x:v>P-2/P-3 remediation pending</x:v>
      </x:c>
      <x:c r="G45" s="15" t="str">
        <x:v>2026-08-19</x:v>
      </x:c>
    </x:row>
    <x:row r="46">
      <x:c r="A46" s="15" t="str">
        <x:v>LAW045</x:v>
      </x:c>
      <x:c r="B46" s="15" t="str">
        <x:v>National Building Code of India (Fire &amp; Life Safety Provisions)</x:v>
      </x:c>
      <x:c r="C46" s="15" t="str">
        <x:v>RECLASSIFY</x:v>
      </x:c>
      <x:c r="D46" s="15" t="str">
        <x:v>P1-053</x:v>
      </x:c>
      <x:c r="E46" s="15" t="str">
        <x:v>NBC is technical reference, not standalone statutory law.</x:v>
      </x:c>
      <x:c r="F46" s="15" t="str">
        <x:v>P-2/P-3 remediation pending</x:v>
      </x:c>
      <x:c r="G46" s="15" t="str">
        <x:v>2026-08-19</x:v>
      </x:c>
    </x:row>
    <x:row r="47">
      <x:c r="A47" s="15" t="str">
        <x:v>LAW046</x:v>
      </x:c>
      <x:c r="B47" s="15" t="str">
        <x:v>Information Technology Act, 2000</x:v>
      </x:c>
      <x:c r="C47" s="15" t="str">
        <x:v>RETAIN</x:v>
      </x:c>
      <x:c r="D47" s="15" t="str">
        <x:v>P1-033</x:v>
      </x:c>
      <x:c r="E47" s="15" t="str">
        <x:v>Current IT Act.</x:v>
      </x:c>
      <x:c r="F47" s="15" t="str">
        <x:v>P-2/P-3 remediation pending</x:v>
      </x:c>
      <x:c r="G47" s="15" t="str">
        <x:v>2026-08-19</x:v>
      </x:c>
    </x:row>
    <x:row r="48">
      <x:c r="A48" s="15" t="str">
        <x:v>LAW047</x:v>
      </x:c>
      <x:c r="B48" s="15" t="str">
        <x:v>Information Technology (Reasonable Security Practices and Procedures and Sensitive Personal Data or Information) Rules, 2011</x:v>
      </x:c>
      <x:c r="C48" s="15" t="str">
        <x:v>CORRECT</x:v>
      </x:c>
      <x:c r="D48" s="15" t="str">
        <x:v>P1-034</x:v>
      </x:c>
      <x:c r="E48" s="15" t="str">
        <x:v>Transitional/overlap status with DPDP commencement.</x:v>
      </x:c>
      <x:c r="F48" s="15" t="str">
        <x:v>P-2/P-3 remediation pending</x:v>
      </x:c>
      <x:c r="G48" s="15" t="str">
        <x:v>2026-08-19</x:v>
      </x:c>
    </x:row>
    <x:row r="49">
      <x:c r="A49" s="15" t="str">
        <x:v>LAW048</x:v>
      </x:c>
      <x:c r="B49" s="15" t="str">
        <x:v>Digital Personal Data Protection Act, 2023</x:v>
      </x:c>
      <x:c r="C49" s="15" t="str">
        <x:v>CORRECT</x:v>
      </x:c>
      <x:c r="D49" s="15" t="str">
        <x:v>P1-035</x:v>
      </x:c>
      <x:c r="E49" s="15" t="str">
        <x:v>Record provision-specific commencement.</x:v>
      </x:c>
      <x:c r="F49" s="15" t="str">
        <x:v>P-2/P-3 remediation pending</x:v>
      </x:c>
      <x:c r="G49" s="15" t="str">
        <x:v>2026-08-19</x:v>
      </x:c>
    </x:row>
    <x:row r="50">
      <x:c r="A50" s="15" t="str">
        <x:v>LAW049</x:v>
      </x:c>
      <x:c r="B50" s="15" t="str">
        <x:v>Local Trade Licence / Municipal Health By-laws</x:v>
      </x:c>
      <x:c r="C50" s="15" t="str">
        <x:v>RETIRE</x:v>
      </x:c>
      <x:c r="D50" s="15" t="str">
        <x:v>P1-054</x:v>
      </x:c>
      <x:c r="E50" s="15" t="str">
        <x:v>Duplicate of LAW022/local layer.</x:v>
      </x:c>
      <x:c r="F50" s="15" t="str">
        <x:v>P-2/P-3 remediation pending</x:v>
      </x:c>
      <x:c r="G50" s="15" t="str">
        <x:v>2026-08-19</x:v>
      </x:c>
    </x:row>
    <x:row r="51">
      <x:c r="A51" s="15" t="str">
        <x:v>LAW050</x:v>
      </x:c>
      <x:c r="B51" s="15" t="str">
        <x:v>National Health Policy and Applicable Public Health Advisories</x:v>
      </x:c>
      <x:c r="C51" s="15" t="str">
        <x:v>RECLASSIFY</x:v>
      </x:c>
      <x:c r="D51" s="15" t="str">
        <x:v>P1-057</x:v>
      </x:c>
      <x:c r="E51" s="15" t="str">
        <x:v>Policy/advisory family is not a law; only operative directions are auditable.</x:v>
      </x:c>
      <x:c r="F51" s="15" t="str">
        <x:v>P-2/P-3 remediation pending</x:v>
      </x:c>
      <x:c r="G51" s="15" t="str">
        <x:v>2026-08-19</x:v>
      </x:c>
    </x:row>
    <x:row r="52">
      <x:c r="A52" s="15" t="str">
        <x:v>LAW051</x:v>
      </x:c>
      <x:c r="B52" s="15" t="str">
        <x:v>Medical Devices Rules, 2017</x:v>
      </x:c>
      <x:c r="C52" s="15" t="str">
        <x:v>CORRECT</x:v>
      </x:c>
      <x:c r="D52" s="15" t="str">
        <x:v>P1-017</x:v>
      </x:c>
      <x:c r="E52" s="15" t="str">
        <x:v>Add retail/wholesale sale-premises registration and role scope.</x:v>
      </x:c>
      <x:c r="F52" s="15" t="str">
        <x:v>P-2/P-3 remediation pending</x:v>
      </x:c>
      <x:c r="G52" s="15" t="str">
        <x:v>2026-08-19</x:v>
      </x:c>
    </x:row>
    <x:row r="53">
      <x:c r="A53" s="15" t="str">
        <x:v>LAW052</x:v>
      </x:c>
      <x:c r="B53" s="15" t="str">
        <x:v>Cosmetics Rules, 2020</x:v>
      </x:c>
      <x:c r="C53" s="15" t="str">
        <x:v>CORRECT</x:v>
      </x:c>
      <x:c r="D53" s="15" t="str">
        <x:v>P1-018</x:v>
      </x:c>
      <x:c r="E53" s="15" t="str">
        <x:v>Current Cosmetics Rules; separate seller from importer/manufacturer duties.</x:v>
      </x:c>
      <x:c r="F53" s="15" t="str">
        <x:v>P-2/P-3 remediation pending</x:v>
      </x:c>
      <x:c r="G53" s="15" t="str">
        <x:v>2026-08-19</x:v>
      </x:c>
    </x:row>
    <x:row r="54">
      <x:c r="A54" s="15" t="str">
        <x:v>LAW053</x:v>
      </x:c>
      <x:c r="B54" s="15" t="str">
        <x:v>Drugs and Cosmetics (Second Amendment) Rules relating to Wholesale Licensing</x:v>
      </x:c>
      <x:c r="C54" s="15" t="str">
        <x:v>RETIRE</x:v>
      </x:c>
      <x:c r="D54" s="15" t="str">
        <x:v>P1-002</x:v>
      </x:c>
      <x:c r="E54" s="15" t="str">
        <x:v>Non-atomic amendment label; normalize actual notification in P-2.</x:v>
      </x:c>
      <x:c r="F54" s="15" t="str">
        <x:v>P-2/P-3 remediation pending</x:v>
      </x:c>
      <x:c r="G54" s="15" t="str">
        <x:v>2026-08-19</x:v>
      </x:c>
    </x:row>
    <x:row r="55">
      <x:c r="A55" s="15" t="str">
        <x:v>LAW054</x:v>
      </x:c>
      <x:c r="B55" s="15" t="str">
        <x:v>Schedule H Prescription Drug Requirements</x:v>
      </x:c>
      <x:c r="C55" s="15" t="str">
        <x:v>RECLASSIFY</x:v>
      </x:c>
      <x:c r="D55" s="15" t="str">
        <x:v>P1-002</x:v>
      </x:c>
      <x:c r="E55" s="15" t="str">
        <x:v>Schedule H is a schedule/provision under Drugs Rules, not a Law Master instrument.</x:v>
      </x:c>
      <x:c r="F55" s="15" t="str">
        <x:v>P-2/P-3 remediation pending</x:v>
      </x:c>
      <x:c r="G55" s="15" t="str">
        <x:v>2026-08-19</x:v>
      </x:c>
    </x:row>
    <x:row r="56">
      <x:c r="A56" s="15" t="str">
        <x:v>LAW055</x:v>
      </x:c>
      <x:c r="B56" s="15" t="str">
        <x:v>Schedule H1 Drug Requirements</x:v>
      </x:c>
      <x:c r="C56" s="15" t="str">
        <x:v>RECLASSIFY</x:v>
      </x:c>
      <x:c r="D56" s="15" t="str">
        <x:v>P1-002</x:v>
      </x:c>
      <x:c r="E56" s="15" t="str">
        <x:v>Schedule H1 is a schedule/provision under Drugs Rules.</x:v>
      </x:c>
      <x:c r="F56" s="15" t="str">
        <x:v>P-2/P-3 remediation pending</x:v>
      </x:c>
      <x:c r="G56" s="15" t="str">
        <x:v>2026-08-19</x:v>
      </x:c>
    </x:row>
    <x:row r="57">
      <x:c r="A57" s="15" t="str">
        <x:v>LAW056</x:v>
      </x:c>
      <x:c r="B57" s="15" t="str">
        <x:v>Schedule X Drug Requirements</x:v>
      </x:c>
      <x:c r="C57" s="15" t="str">
        <x:v>RECLASSIFY</x:v>
      </x:c>
      <x:c r="D57" s="15" t="str">
        <x:v>P1-002/P1-013</x:v>
      </x:c>
      <x:c r="E57" s="15" t="str">
        <x:v>Schedule X is a Drugs Rules schedule; NDPS applicability is separate.</x:v>
      </x:c>
      <x:c r="F57" s="15" t="str">
        <x:v>P-2/P-3 remediation pending</x:v>
      </x:c>
      <x:c r="G57" s="15" t="str">
        <x:v>2026-08-19</x:v>
      </x:c>
    </x:row>
    <x:row r="58">
      <x:c r="A58" s="15" t="str">
        <x:v>LAW057</x:v>
      </x:c>
      <x:c r="B58" s="15" t="str">
        <x:v>Schedule G Drug Labelling Requirements</x:v>
      </x:c>
      <x:c r="C58" s="15" t="str">
        <x:v>RECLASSIFY</x:v>
      </x:c>
      <x:c r="D58" s="15" t="str">
        <x:v>P1-002</x:v>
      </x:c>
      <x:c r="E58" s="15" t="str">
        <x:v>Schedule G is a Drugs Rules schedule.</x:v>
      </x:c>
      <x:c r="F58" s="15" t="str">
        <x:v>P-2/P-3 remediation pending</x:v>
      </x:c>
      <x:c r="G58" s="15" t="str">
        <x:v>2026-08-19</x:v>
      </x:c>
    </x:row>
    <x:row r="59">
      <x:c r="A59" s="15" t="str">
        <x:v>LAW058</x:v>
      </x:c>
      <x:c r="B59" s="15" t="str">
        <x:v>Schedule K Exemptions</x:v>
      </x:c>
      <x:c r="C59" s="15" t="str">
        <x:v>RECLASSIFY</x:v>
      </x:c>
      <x:c r="D59" s="15" t="str">
        <x:v>P1-002</x:v>
      </x:c>
      <x:c r="E59" s="15" t="str">
        <x:v>Schedule K is a Drugs Rules schedule/exemption.</x:v>
      </x:c>
      <x:c r="F59" s="15" t="str">
        <x:v>P-2/P-3 remediation pending</x:v>
      </x:c>
      <x:c r="G59" s="15" t="str">
        <x:v>2026-08-19</x:v>
      </x:c>
    </x:row>
    <x:row r="60">
      <x:c r="A60" s="15" t="str">
        <x:v>LAW059</x:v>
      </x:c>
      <x:c r="B60" s="15" t="str">
        <x:v>Good Pharmacy Practices (GPP) Guidelines</x:v>
      </x:c>
      <x:c r="C60" s="15" t="str">
        <x:v>RECLASSIFY</x:v>
      </x:c>
      <x:c r="D60" s="15" t="str">
        <x:v>P1-006</x:v>
      </x:c>
      <x:c r="E60" s="15" t="str">
        <x:v>Good Pharmacy Practice content is professional/best-practice layer; cite exact authority.</x:v>
      </x:c>
      <x:c r="F60" s="15" t="str">
        <x:v>P-2/P-3 remediation pending</x:v>
      </x:c>
      <x:c r="G60" s="15" t="str">
        <x:v>2026-08-19</x:v>
      </x:c>
    </x:row>
    <x:row r="61">
      <x:c r="A61" s="15" t="str">
        <x:v>LAW060</x:v>
      </x:c>
      <x:c r="B61" s="15" t="str">
        <x:v>Good Distribution Practices (GDP) for Pharmaceutical Products</x:v>
      </x:c>
      <x:c r="C61" s="15" t="str">
        <x:v>RECLASSIFY</x:v>
      </x:c>
      <x:c r="D61" s="15" t="str">
        <x:v>P1-002</x:v>
      </x:c>
      <x:c r="E61" s="15" t="str">
        <x:v>GDP guidance is non-statutory unless incorporated into licence/order; duplicate LAW009.</x:v>
      </x:c>
      <x:c r="F61" s="15" t="str">
        <x:v>P-2/P-3 remediation pending</x:v>
      </x:c>
      <x:c r="G61" s="15" t="str">
        <x:v>2026-08-19</x:v>
      </x:c>
    </x:row>
    <x:row r="62">
      <x:c r="A62" s="15" t="str">
        <x:v>LAW061</x:v>
      </x:c>
      <x:c r="B62" s="15" t="str">
        <x:v>Good Storage Practices (GSP)</x:v>
      </x:c>
      <x:c r="C62" s="15" t="str">
        <x:v>RECLASSIFY</x:v>
      </x:c>
      <x:c r="D62" s="15" t="str">
        <x:v>P1-002</x:v>
      </x:c>
      <x:c r="E62" s="15" t="str">
        <x:v>GSP guidance is non-statutory unless incorporated; duplicate LAW010.</x:v>
      </x:c>
      <x:c r="F62" s="15" t="str">
        <x:v>P-2/P-3 remediation pending</x:v>
      </x:c>
      <x:c r="G62" s="15" t="str">
        <x:v>2026-08-19</x:v>
      </x:c>
    </x:row>
    <x:row r="63">
      <x:c r="A63" s="15" t="str">
        <x:v>LAW062</x:v>
      </x:c>
      <x:c r="B63" s="15" t="str">
        <x:v>Product Recall and Rapid Alert Guidelines</x:v>
      </x:c>
      <x:c r="C63" s="15" t="str">
        <x:v>RECLASSIFY</x:v>
      </x:c>
      <x:c r="D63" s="15" t="str">
        <x:v>P1-002</x:v>
      </x:c>
      <x:c r="E63" s="15" t="str">
        <x:v>Recall guidance/source; statutory anchors must be Act/Rules/order.</x:v>
      </x:c>
      <x:c r="F63" s="15" t="str">
        <x:v>P-2/P-3 remediation pending</x:v>
      </x:c>
      <x:c r="G63" s="15" t="str">
        <x:v>2026-08-19</x:v>
      </x:c>
    </x:row>
    <x:row r="64">
      <x:c r="A64" s="15" t="str">
        <x:v>LAW063</x:v>
      </x:c>
      <x:c r="B64" s="15" t="str">
        <x:v>Drug Complaint Handling Guidelines</x:v>
      </x:c>
      <x:c r="C64" s="15" t="str">
        <x:v>RECLASSIFY</x:v>
      </x:c>
      <x:c r="D64" s="15" t="str">
        <x:v>P1-002</x:v>
      </x:c>
      <x:c r="E64" s="15" t="str">
        <x:v>Complaint guidance is not a standalone law.</x:v>
      </x:c>
      <x:c r="F64" s="15" t="str">
        <x:v>P-2/P-3 remediation pending</x:v>
      </x:c>
      <x:c r="G64" s="15" t="str">
        <x:v>2026-08-19</x:v>
      </x:c>
    </x:row>
    <x:row r="65">
      <x:c r="A65" s="15" t="str">
        <x:v>LAW064</x:v>
      </x:c>
      <x:c r="B65" s="15" t="str">
        <x:v>Pharmacovigilance Programme of India (PvPI) Guidelines</x:v>
      </x:c>
      <x:c r="C65" s="15" t="str">
        <x:v>RECLASSIFY</x:v>
      </x:c>
      <x:c r="D65" s="15" t="str">
        <x:v>P1-006</x:v>
      </x:c>
      <x:c r="E65" s="15" t="str">
        <x:v>PvPI guidance is reporting framework; distinguish mandatory from voluntary/professional expectation.</x:v>
      </x:c>
      <x:c r="F65" s="15" t="str">
        <x:v>P-2/P-3 remediation pending</x:v>
      </x:c>
      <x:c r="G65" s="15" t="str">
        <x:v>2026-08-19</x:v>
      </x:c>
    </x:row>
    <x:row r="66">
      <x:c r="A66" s="15" t="str">
        <x:v>LAW065</x:v>
      </x:c>
      <x:c r="B66" s="15" t="str">
        <x:v>Cold Chain Management Guidelines for Vaccines and Biologicals</x:v>
      </x:c>
      <x:c r="C66" s="15" t="str">
        <x:v>RECLASSIFY</x:v>
      </x:c>
      <x:c r="D66" s="15" t="str">
        <x:v>P1-002</x:v>
      </x:c>
      <x:c r="E66" s="15" t="str">
        <x:v>Cold-chain guidance requires actual product/licence/statutory anchor.</x:v>
      </x:c>
      <x:c r="F66" s="15" t="str">
        <x:v>P-2/P-3 remediation pending</x:v>
      </x:c>
      <x:c r="G66" s="15" t="str">
        <x:v>2026-08-19</x:v>
      </x:c>
    </x:row>
    <x:row r="67">
      <x:c r="A67" s="15" t="str">
        <x:v>LAW066</x:v>
      </x:c>
      <x:c r="B67" s="15" t="str">
        <x:v>Drugs and Cosmetics Rules – Import Provisions</x:v>
      </x:c>
      <x:c r="C67" s="15" t="str">
        <x:v>RECLASSIFY</x:v>
      </x:c>
      <x:c r="D67" s="15" t="str">
        <x:v>P1-002/P1-055</x:v>
      </x:c>
      <x:c r="E67" s="15" t="str">
        <x:v>Import provisions are part of Drugs Rules; importer activity is taxonomy gap.</x:v>
      </x:c>
      <x:c r="F67" s="15" t="str">
        <x:v>P-2/P-3 remediation pending</x:v>
      </x:c>
      <x:c r="G67" s="15" t="str">
        <x:v>2026-08-19</x:v>
      </x:c>
    </x:row>
    <x:row r="68">
      <x:c r="A68" s="15" t="str">
        <x:v>LAW067</x:v>
      </x:c>
      <x:c r="B68" s="15" t="str">
        <x:v>Drugs and Cosmetics Rules – Export Certification Provisions</x:v>
      </x:c>
      <x:c r="C68" s="15" t="str">
        <x:v>RECLASSIFY</x:v>
      </x:c>
      <x:c r="D68" s="15" t="str">
        <x:v>P1-002/P1-055</x:v>
      </x:c>
      <x:c r="E68" s="15" t="str">
        <x:v>Export certification provisions are part of Drugs Rules/policy.</x:v>
      </x:c>
      <x:c r="F68" s="15" t="str">
        <x:v>P-2/P-3 remediation pending</x:v>
      </x:c>
      <x:c r="G68" s="15" t="str">
        <x:v>2026-08-19</x:v>
      </x:c>
    </x:row>
    <x:row r="69">
      <x:c r="A69" s="15" t="str">
        <x:v>LAW068</x:v>
      </x:c>
      <x:c r="B69" s="15" t="str">
        <x:v>Customs Act, 1962</x:v>
      </x:c>
      <x:c r="C69" s="15" t="str">
        <x:v>OUT-OF-SCOPE</x:v>
      </x:c>
      <x:c r="D69" s="15" t="str">
        <x:v>P1-055</x:v>
      </x:c>
      <x:c r="E69" s="15" t="str">
        <x:v>Activate only for importer/exporter activity.</x:v>
      </x:c>
      <x:c r="F69" s="15" t="str">
        <x:v>P-2/P-3 remediation pending</x:v>
      </x:c>
      <x:c r="G69" s="15" t="str">
        <x:v>2026-08-19</x:v>
      </x:c>
    </x:row>
    <x:row r="70">
      <x:c r="A70" s="15" t="str">
        <x:v>LAW069</x:v>
      </x:c>
      <x:c r="B70" s="15" t="str">
        <x:v>Foreign Trade (Development and Regulation) Act, 1992</x:v>
      </x:c>
      <x:c r="C70" s="15" t="str">
        <x:v>OUT-OF-SCOPE</x:v>
      </x:c>
      <x:c r="D70" s="15" t="str">
        <x:v>P1-055</x:v>
      </x:c>
      <x:c r="E70" s="15" t="str">
        <x:v>Activate only for importer/exporter activity.</x:v>
      </x:c>
      <x:c r="F70" s="15" t="str">
        <x:v>P-2/P-3 remediation pending</x:v>
      </x:c>
      <x:c r="G70" s="15" t="str">
        <x:v>2026-08-19</x:v>
      </x:c>
    </x:row>
    <x:row r="71">
      <x:c r="A71" s="15" t="str">
        <x:v>LAW070</x:v>
      </x:c>
      <x:c r="B71" s="15" t="str">
        <x:v>Foreign Trade Policy (Current)</x:v>
      </x:c>
      <x:c r="C71" s="15" t="str">
        <x:v>CORRECT</x:v>
      </x:c>
      <x:c r="D71" s="15" t="str">
        <x:v>P1-055</x:v>
      </x:c>
      <x:c r="E71" s="15" t="str">
        <x:v>Use Foreign Trade Policy 2023 as amended; activity-based.</x:v>
      </x:c>
      <x:c r="F71" s="15" t="str">
        <x:v>P-2/P-3 remediation pending</x:v>
      </x:c>
      <x:c r="G71" s="15" t="str">
        <x:v>2026-08-19</x:v>
      </x:c>
    </x:row>
    <x:row r="72">
      <x:c r="A72" s="15" t="str">
        <x:v>LAW071</x:v>
      </x:c>
      <x:c r="B72" s="15" t="str">
        <x:v>CDSCO Advisories on Online Sale of Drugs</x:v>
      </x:c>
      <x:c r="C72" s="15" t="str">
        <x:v>RETIRE</x:v>
      </x:c>
      <x:c r="D72" s="15" t="str">
        <x:v>P1-002/P1-029</x:v>
      </x:c>
      <x:c r="E72" s="15" t="str">
        <x:v>Vague e-pharmacy advisory is not a validated standalone instrument.</x:v>
      </x:c>
      <x:c r="F72" s="15" t="str">
        <x:v>P-2/P-3 remediation pending</x:v>
      </x:c>
      <x:c r="G72" s="15" t="str">
        <x:v>2026-08-19</x:v>
      </x:c>
    </x:row>
    <x:row r="73">
      <x:c r="A73" s="15" t="str">
        <x:v>LAW072</x:v>
      </x:c>
      <x:c r="B73" s="15" t="str">
        <x:v>CDSCO Licensing Circulars and Clarifications</x:v>
      </x:c>
      <x:c r="C73" s="15" t="str">
        <x:v>RECLASSIFY</x:v>
      </x:c>
      <x:c r="D73" s="15" t="str">
        <x:v>P1-003</x:v>
      </x:c>
      <x:c r="E73" s="15" t="str">
        <x:v>Circular family is a source register, not atomic law.</x:v>
      </x:c>
      <x:c r="F73" s="15" t="str">
        <x:v>P-2/P-3 remediation pending</x:v>
      </x:c>
      <x:c r="G73" s="15" t="str">
        <x:v>2026-08-19</x:v>
      </x:c>
    </x:row>
    <x:row r="74">
      <x:c r="A74" s="15" t="str">
        <x:v>LAW073</x:v>
      </x:c>
      <x:c r="B74" s="15" t="str">
        <x:v>DCGI Circulars and Office Orders</x:v>
      </x:c>
      <x:c r="C74" s="15" t="str">
        <x:v>RECLASSIFY</x:v>
      </x:c>
      <x:c r="D74" s="15" t="str">
        <x:v>P1-003</x:v>
      </x:c>
      <x:c r="E74" s="15" t="str">
        <x:v>Office-order family is a source register, not atomic law.</x:v>
      </x:c>
      <x:c r="F74" s="15" t="str">
        <x:v>P-2/P-3 remediation pending</x:v>
      </x:c>
      <x:c r="G74" s="15" t="str">
        <x:v>2026-08-19</x:v>
      </x:c>
    </x:row>
    <x:row r="75">
      <x:c r="A75" s="15" t="str">
        <x:v>LAW074</x:v>
      </x:c>
      <x:c r="B75" s="15" t="str">
        <x:v>Annual Ceiling Price Notifications</x:v>
      </x:c>
      <x:c r="C75" s="15" t="str">
        <x:v>RETIRE</x:v>
      </x:c>
      <x:c r="D75" s="15" t="str">
        <x:v>P1-011</x:v>
      </x:c>
      <x:c r="E75" s="15" t="str">
        <x:v>Duplicate dynamic price-notification family.</x:v>
      </x:c>
      <x:c r="F75" s="15" t="str">
        <x:v>P-2/P-3 remediation pending</x:v>
      </x:c>
      <x:c r="G75" s="15" t="str">
        <x:v>2026-08-19</x:v>
      </x:c>
    </x:row>
    <x:row r="76">
      <x:c r="A76" s="15" t="str">
        <x:v>LAW075</x:v>
      </x:c>
      <x:c r="B76" s="15" t="str">
        <x:v>CDSCO Safety Alerts, Drug Alerts and Recall Advisories</x:v>
      </x:c>
      <x:c r="C76" s="15" t="str">
        <x:v>RECLASSIFY</x:v>
      </x:c>
      <x:c r="D76" s="15" t="str">
        <x:v>P1-003</x:v>
      </x:c>
      <x:c r="E76" s="15" t="str">
        <x:v>Alerts/recalls are event sources, not one Law Master law.</x:v>
      </x:c>
      <x:c r="F76" s="15" t="str">
        <x:v>P-2/P-3 remediation pending</x:v>
      </x:c>
      <x:c r="G76" s="15" t="str">
        <x:v>2026-08-19</x:v>
      </x:c>
    </x:row>
    <x:row r="77">
      <x:c r="A77" s="15" t="str">
        <x:v>LAW076</x:v>
      </x:c>
      <x:c r="B77" s="15" t="str">
        <x:v>State Drugs Control Rules / Licensing Procedures</x:v>
      </x:c>
      <x:c r="C77" s="15" t="str">
        <x:v>CORRECT</x:v>
      </x:c>
      <x:c r="D77" s="15" t="str">
        <x:v>P1-002/P1-054</x:v>
      </x:c>
      <x:c r="E77" s="15" t="str">
        <x:v>Replace generic State placeholder with actual jurisdictional licensing procedure/order.</x:v>
      </x:c>
      <x:c r="F77" s="15" t="str">
        <x:v>P-2/P-3 remediation pending</x:v>
      </x:c>
      <x:c r="G77" s="15" t="str">
        <x:v>2026-08-19</x:v>
      </x:c>
    </x:row>
    <x:row r="78">
      <x:c r="A78" s="15" t="str">
        <x:v>LAW077</x:v>
      </x:c>
      <x:c r="B78" s="15" t="str">
        <x:v>State Drug Controller Circulars &amp; Orders</x:v>
      </x:c>
      <x:c r="C78" s="15" t="str">
        <x:v>RECLASSIFY</x:v>
      </x:c>
      <x:c r="D78" s="15" t="str">
        <x:v>P1-002</x:v>
      </x:c>
      <x:c r="E78" s="15" t="str">
        <x:v>State circular family belongs in source/change register.</x:v>
      </x:c>
      <x:c r="F78" s="15" t="str">
        <x:v>P-2/P-3 remediation pending</x:v>
      </x:c>
      <x:c r="G78" s="15" t="str">
        <x:v>2026-08-19</x:v>
      </x:c>
    </x:row>
    <x:row r="79">
      <x:c r="A79" s="15" t="str">
        <x:v>LAW078</x:v>
      </x:c>
      <x:c r="B79" s="15" t="str">
        <x:v>State Pharmacy Council Regulations</x:v>
      </x:c>
      <x:c r="C79" s="15" t="str">
        <x:v>CORRECT</x:v>
      </x:c>
      <x:c r="D79" s="15" t="str">
        <x:v>P1-008</x:v>
      </x:c>
      <x:c r="E79" s="15" t="str">
        <x:v>Resolve actual State Pharmacy Council regulation.</x:v>
      </x:c>
      <x:c r="F79" s="15" t="str">
        <x:v>P-2/P-3 remediation pending</x:v>
      </x:c>
      <x:c r="G79" s="15" t="str">
        <x:v>2026-08-19</x:v>
      </x:c>
    </x:row>
    <x:row r="80">
      <x:c r="A80" s="15" t="str">
        <x:v>LAW079</x:v>
      </x:c>
      <x:c r="B80" s="15" t="str">
        <x:v>Pharmacy Practice Regulations, 2015</x:v>
      </x:c>
      <x:c r="C80" s="15" t="str">
        <x:v>CORRECT</x:v>
      </x:c>
      <x:c r="D80" s="15" t="str">
        <x:v>P1-006</x:v>
      </x:c>
      <x:c r="E80" s="15" t="str">
        <x:v>Update for 2021 amendment and state implementation.</x:v>
      </x:c>
      <x:c r="F80" s="15" t="str">
        <x:v>P-2/P-3 remediation pending</x:v>
      </x:c>
      <x:c r="G80" s="15" t="str">
        <x:v>2026-08-19</x:v>
      </x:c>
    </x:row>
    <x:row r="81">
      <x:c r="A81" s="15" t="str">
        <x:v>LAW080</x:v>
      </x:c>
      <x:c r="B81" s="15" t="str">
        <x:v>Clinical Establishments (Registration and Regulation) Act, 2010</x:v>
      </x:c>
      <x:c r="C81" s="15" t="str">
        <x:v>CORRECT</x:v>
      </x:c>
      <x:c r="D81" s="15" t="str">
        <x:v>P1-026</x:v>
      </x:c>
      <x:c r="E81" s="15" t="str">
        <x:v>Apply only in adopting jurisdictions/covered establishments.</x:v>
      </x:c>
      <x:c r="F81" s="15" t="str">
        <x:v>P-2/P-3 remediation pending</x:v>
      </x:c>
      <x:c r="G81" s="15" t="str">
        <x:v>2026-08-19</x:v>
      </x:c>
    </x:row>
    <x:row r="82">
      <x:c r="A82" s="15" t="str">
        <x:v>LAW081</x:v>
      </x:c>
      <x:c r="B82" s="15" t="str">
        <x:v>State Clinical Establishment Rules</x:v>
      </x:c>
      <x:c r="C82" s="15" t="str">
        <x:v>CORRECT</x:v>
      </x:c>
      <x:c r="D82" s="15" t="str">
        <x:v>P1-027</x:v>
      </x:c>
      <x:c r="E82" s="15" t="str">
        <x:v>Resolve actual State clinical-establishment law/rules.</x:v>
      </x:c>
      <x:c r="F82" s="15" t="str">
        <x:v>P-2/P-3 remediation pending</x:v>
      </x:c>
      <x:c r="G82" s="15" t="str">
        <x:v>2026-08-19</x:v>
      </x:c>
    </x:row>
    <x:row r="83">
      <x:c r="A83" s="15" t="str">
        <x:v>LAW082</x:v>
      </x:c>
      <x:c r="B83" s="15" t="str">
        <x:v>Biomedical Waste Authorization Conditions</x:v>
      </x:c>
      <x:c r="C83" s="15" t="str">
        <x:v>RECLASSIFY</x:v>
      </x:c>
      <x:c r="D83" s="15" t="str">
        <x:v>P1-045</x:v>
      </x:c>
      <x:c r="E83" s="15" t="str">
        <x:v>Authorization conditions are entity-specific permits, not Law Master laws.</x:v>
      </x:c>
      <x:c r="F83" s="15" t="str">
        <x:v>P-2/P-3 remediation pending</x:v>
      </x:c>
      <x:c r="G83" s="15" t="str">
        <x:v>2026-08-19</x:v>
      </x:c>
    </x:row>
    <x:row r="84">
      <x:c r="A84" s="15" t="str">
        <x:v>LAW083</x:v>
      </x:c>
      <x:c r="B84" s="15" t="str">
        <x:v>Fire No Objection Certificate (NOC) Conditions</x:v>
      </x:c>
      <x:c r="C84" s="15" t="str">
        <x:v>RECLASSIFY</x:v>
      </x:c>
      <x:c r="D84" s="15" t="str">
        <x:v>P1-053</x:v>
      </x:c>
      <x:c r="E84" s="15" t="str">
        <x:v>Fire NOC conditions are permit conditions, not separate law.</x:v>
      </x:c>
      <x:c r="F84" s="15" t="str">
        <x:v>P-2/P-3 remediation pending</x:v>
      </x:c>
      <x:c r="G84" s="15" t="str">
        <x:v>2026-08-19</x:v>
      </x:c>
    </x:row>
    <x:row r="85">
      <x:c r="A85" s="15" t="str">
        <x:v>LAW084</x:v>
      </x:c>
      <x:c r="B85" s="15" t="str">
        <x:v>Trade Licence Conditions</x:v>
      </x:c>
      <x:c r="C85" s="15" t="str">
        <x:v>RECLASSIFY</x:v>
      </x:c>
      <x:c r="D85" s="15" t="str">
        <x:v>P1-054</x:v>
      </x:c>
      <x:c r="E85" s="15" t="str">
        <x:v>Trade licence conditions are permit conditions.</x:v>
      </x:c>
      <x:c r="F85" s="15" t="str">
        <x:v>P-2/P-3 remediation pending</x:v>
      </x:c>
      <x:c r="G85" s="15" t="str">
        <x:v>2026-08-19</x:v>
      </x:c>
    </x:row>
    <x:row r="86">
      <x:c r="A86" s="15" t="str">
        <x:v>LAW085</x:v>
      </x:c>
      <x:c r="B86" s="15" t="str">
        <x:v>Building &amp; Occupancy By-laws</x:v>
      </x:c>
      <x:c r="C86" s="15" t="str">
        <x:v>CORRECT</x:v>
      </x:c>
      <x:c r="D86" s="15" t="str">
        <x:v>P1-053/P1-054</x:v>
      </x:c>
      <x:c r="E86" s="15" t="str">
        <x:v>Resolve actual local building/occupancy by-laws.</x:v>
      </x:c>
      <x:c r="F86" s="15" t="str">
        <x:v>P-2/P-3 remediation pending</x:v>
      </x:c>
      <x:c r="G86" s="15" t="str">
        <x:v>2026-08-19</x:v>
      </x:c>
    </x:row>
    <x:row r="87">
      <x:c r="A87" s="15" t="str">
        <x:v>LAW086</x:v>
      </x:c>
      <x:c r="B87" s="15" t="str">
        <x:v>Guidelines for Prevention of Misleading Advertisements</x:v>
      </x:c>
      <x:c r="C87" s="15" t="str">
        <x:v>CORRECT</x:v>
      </x:c>
      <x:c r="D87" s="15" t="str">
        <x:v>P1-030</x:v>
      </x:c>
      <x:c r="E87" s="15" t="str">
        <x:v>Use exact 2022 CCPA guideline title.</x:v>
      </x:c>
      <x:c r="F87" s="15" t="str">
        <x:v>P-2/P-3 remediation pending</x:v>
      </x:c>
      <x:c r="G87" s="15" t="str">
        <x:v>2026-08-19</x:v>
      </x:c>
    </x:row>
    <x:row r="88">
      <x:c r="A88" s="15" t="str">
        <x:v>LAW087</x:v>
      </x:c>
      <x:c r="B88" s="15" t="str">
        <x:v>Drugs and Magic Remedies (Objectionable Advertisements) Act, 1954</x:v>
      </x:c>
      <x:c r="C88" s="15" t="str">
        <x:v>RETAIN</x:v>
      </x:c>
      <x:c r="D88" s="15" t="str">
        <x:v>P1-020</x:v>
      </x:c>
      <x:c r="E88" s="15" t="str">
        <x:v>Current Act.</x:v>
      </x:c>
      <x:c r="F88" s="15" t="str">
        <x:v>P-2/P-3 remediation pending</x:v>
      </x:c>
      <x:c r="G88" s="15" t="str">
        <x:v>2026-08-19</x:v>
      </x:c>
    </x:row>
    <x:row r="89">
      <x:c r="A89" s="15" t="str">
        <x:v>LAW088</x:v>
      </x:c>
      <x:c r="B89" s="15" t="str">
        <x:v>Drugs and Magic Remedies (Objectionable Advertisements) Rules, 1955</x:v>
      </x:c>
      <x:c r="C89" s="15" t="str">
        <x:v>RETAIN</x:v>
      </x:c>
      <x:c r="D89" s="15" t="str">
        <x:v>P1-021</x:v>
      </x:c>
      <x:c r="E89" s="15" t="str">
        <x:v>Current Rules.</x:v>
      </x:c>
      <x:c r="F89" s="15" t="str">
        <x:v>P-2/P-3 remediation pending</x:v>
      </x:c>
      <x:c r="G89" s="15" t="str">
        <x:v>2026-08-19</x:v>
      </x:c>
    </x:row>
    <x:row r="90">
      <x:c r="A90" s="15" t="str">
        <x:v>LAW089</x:v>
      </x:c>
      <x:c r="B90" s="15" t="str">
        <x:v>Disaster Management Act, 2005</x:v>
      </x:c>
      <x:c r="C90" s="15" t="str">
        <x:v>RETAIN</x:v>
      </x:c>
      <x:c r="D90" s="15" t="str">
        <x:v>P1-057</x:v>
      </x:c>
      <x:c r="E90" s="15" t="str">
        <x:v>Event-based applicability only.</x:v>
      </x:c>
      <x:c r="F90" s="15" t="str">
        <x:v>P-2/P-3 remediation pending</x:v>
      </x:c>
      <x:c r="G90" s="15" t="str">
        <x:v>2026-08-19</x:v>
      </x:c>
    </x:row>
    <x:row r="91">
      <x:c r="A91" s="15" t="str">
        <x:v>LAW090</x:v>
      </x:c>
      <x:c r="B91" s="15" t="str">
        <x:v>Epidemic Diseases Act, 1897</x:v>
      </x:c>
      <x:c r="C91" s="15" t="str">
        <x:v>RETAIN</x:v>
      </x:c>
      <x:c r="D91" s="15" t="str">
        <x:v>P1-057</x:v>
      </x:c>
      <x:c r="E91" s="15" t="str">
        <x:v>Event/order-based applicability only.</x:v>
      </x:c>
      <x:c r="F91" s="15" t="str">
        <x:v>P-2/P-3 remediation pending</x:v>
      </x:c>
      <x:c r="G91" s="15" t="str">
        <x:v>2026-08-19</x:v>
      </x:c>
    </x:row>
    <x:row r="92">
      <x:c r="A92" s="15" t="str">
        <x:v>LAW091</x:v>
      </x:c>
      <x:c r="B92" s="15" t="str">
        <x:v>National Pharmaceutical Policy (Current Version)</x:v>
      </x:c>
      <x:c r="C92" s="15" t="str">
        <x:v>RECLASSIFY</x:v>
      </x:c>
      <x:c r="D92" s="15" t="str">
        <x:v>P1-010/P1-056</x:v>
      </x:c>
      <x:c r="E92" s="15" t="str">
        <x:v>Policy is not standalone statutory obligation.</x:v>
      </x:c>
      <x:c r="F92" s="15" t="str">
        <x:v>P-2/P-3 remediation pending</x:v>
      </x:c>
      <x:c r="G92" s="15" t="str">
        <x:v>2026-08-19</x:v>
      </x:c>
    </x:row>
    <x:row r="93">
      <x:c r="A93" s="15" t="str">
        <x:v>LAW092</x:v>
      </x:c>
      <x:c r="B93" s="15" t="str">
        <x:v>Essential Medicines Pricing Orders</x:v>
      </x:c>
      <x:c r="C93" s="15" t="str">
        <x:v>RETIRE</x:v>
      </x:c>
      <x:c r="D93" s="15" t="str">
        <x:v>P1-011</x:v>
      </x:c>
      <x:c r="E93" s="15" t="str">
        <x:v>Duplicate/vague pricing-order family under DPCO.</x:v>
      </x:c>
      <x:c r="F93" s="15" t="str">
        <x:v>P-2/P-3 remediation pending</x:v>
      </x:c>
      <x:c r="G93" s="15" t="str">
        <x:v>2026-08-19</x:v>
      </x:c>
    </x:row>
    <x:row r="94">
      <x:c r="A94" s="15" t="str">
        <x:v>LAW093</x:v>
      </x:c>
      <x:c r="B94" s="15" t="str">
        <x:v>Applicable Bureau of Indian Standards for Pharmacy Equipment</x:v>
      </x:c>
      <x:c r="C94" s="15" t="str">
        <x:v>RECLASSIFY</x:v>
      </x:c>
      <x:c r="D94" s="15" t="str">
        <x:v>P1-017/P1-031</x:v>
      </x:c>
      <x:c r="E94" s="15" t="str">
        <x:v>BIS standards apply only when legally mandated/incorporated.</x:v>
      </x:c>
      <x:c r="F94" s="15" t="str">
        <x:v>P-2/P-3 remediation pending</x:v>
      </x:c>
      <x:c r="G94" s="15" t="str">
        <x:v>2026-08-19</x:v>
      </x:c>
    </x:row>
    <x:row r="95">
      <x:c r="A95" s="15" t="str">
        <x:v>LAW094</x:v>
      </x:c>
      <x:c r="B95" s="15" t="str">
        <x:v>Occupational Safety Rules (as notified)</x:v>
      </x:c>
      <x:c r="C95" s="15" t="str">
        <x:v>CORRECT</x:v>
      </x:c>
      <x:c r="D95" s="15" t="str">
        <x:v>P1-042</x:v>
      </x:c>
      <x:c r="E95" s="15" t="str">
        <x:v>Replace generic future title with actual 2026 Labour Code Rules/state rules.</x:v>
      </x:c>
      <x:c r="F95" s="15" t="str">
        <x:v>P-2/P-3 remediation pending</x:v>
      </x:c>
      <x:c r="G95" s="15" t="str">
        <x:v>2026-08-19</x:v>
      </x:c>
    </x:row>
    <x:row r="96">
      <x:c r="A96" s="15" t="str">
        <x:v>LAW095</x:v>
      </x:c>
      <x:c r="B96" s="15" t="str">
        <x:v>Temperature Mapping Guidelines</x:v>
      </x:c>
      <x:c r="C96" s="15" t="str">
        <x:v>RECLASSIFY</x:v>
      </x:c>
      <x:c r="D96" s="15" t="str">
        <x:v>P1-002</x:v>
      </x:c>
      <x:c r="E96" s="15" t="str">
        <x:v>Temperature mapping guidance is best practice unless incorporated into product/licence condition.</x:v>
      </x:c>
      <x:c r="F96" s="15" t="str">
        <x:v>P-2/P-3 remediation pending</x:v>
      </x:c>
      <x:c r="G96" s="15" t="str">
        <x:v>2026-08-19</x:v>
      </x:c>
    </x:row>
    <x:row r="97">
      <x:c r="A97" s="15" t="str">
        <x:v>LAW096</x:v>
      </x:c>
      <x:c r="B97" s="15" t="str">
        <x:v>Calibration &amp; Equipment Qualification Guidelines</x:v>
      </x:c>
      <x:c r="C97" s="15" t="str">
        <x:v>RECLASSIFY</x:v>
      </x:c>
      <x:c r="D97" s="15" t="str">
        <x:v>P1-002/P1-031</x:v>
      </x:c>
      <x:c r="E97" s="15" t="str">
        <x:v>Calibration guidance requires actual statutory/standard anchor.</x:v>
      </x:c>
      <x:c r="F97" s="15" t="str">
        <x:v>P-2/P-3 remediation pending</x:v>
      </x:c>
      <x:c r="G97" s="15" t="str">
        <x:v>2026-08-19</x:v>
      </x:c>
    </x:row>
    <x:row r="98">
      <x:c r="A98" s="15" t="str">
        <x:v>LAW097</x:v>
      </x:c>
      <x:c r="B98" s="15" t="str">
        <x:v>Cyber Security Advisories for Digital Health Systems</x:v>
      </x:c>
      <x:c r="C98" s="15" t="str">
        <x:v>RECLASSIFY</x:v>
      </x:c>
      <x:c r="D98" s="15" t="str">
        <x:v>P1-033/P1-035</x:v>
      </x:c>
      <x:c r="E98" s="15" t="str">
        <x:v>Cyber advisories are guidance/event sources, not one statutory law.</x:v>
      </x:c>
      <x:c r="F98" s="15" t="str">
        <x:v>P-2/P-3 remediation pending</x:v>
      </x:c>
      <x:c r="G98" s="15" t="str">
        <x:v>2026-08-19</x:v>
      </x:c>
    </x:row>
    <x:row r="99">
      <x:c r="A99" s="15" t="str">
        <x:v>LAW098</x:v>
      </x:c>
      <x:c r="B99" s="15" t="str">
        <x:v>Digital Personal Data Protection Rules / Guidelines (as notified)</x:v>
      </x:c>
      <x:c r="C99" s="15" t="str">
        <x:v>CORRECT</x:v>
      </x:c>
      <x:c r="D99" s="15" t="str">
        <x:v>P1-036</x:v>
      </x:c>
      <x:c r="E99" s="15" t="str">
        <x:v>Final DPDP Rules, 2025 now exist with staged commencement.</x:v>
      </x:c>
      <x:c r="F99" s="15" t="str">
        <x:v>P-2/P-3 remediation pending</x:v>
      </x:c>
      <x:c r="G99" s="15" t="str">
        <x:v>2026-08-19</x:v>
      </x:c>
    </x:row>
    <x:row r="100">
      <x:c r="A100" s="15" t="str">
        <x:v>LAW099</x:v>
      </x:c>
      <x:c r="B100" s="15" t="str">
        <x:v>Inspection Readiness &amp; Regulatory Compliance Guidance</x:v>
      </x:c>
      <x:c r="C100" s="15" t="str">
        <x:v>RECLASSIFY</x:v>
      </x:c>
      <x:c r="D100" s="15" t="str">
        <x:v>P1-002</x:v>
      </x:c>
      <x:c r="E100" s="15" t="str">
        <x:v>Inspection-readiness guidance is best practice; statutory anchors must be source provisions.</x:v>
      </x:c>
      <x:c r="F100" s="15" t="str">
        <x:v>P-2/P-3 remediation pending</x:v>
      </x:c>
      <x:c r="G100" s="15" t="str">
        <x:v>2026-08-19</x:v>
      </x:c>
    </x:row>
    <x:row r="101">
      <x:c r="A101" s="15" t="str">
        <x:v>LAW100</x:v>
      </x:c>
      <x:c r="B101" s="15" t="str">
        <x:v>Cross-Regulatory Compliance Framework</x:v>
      </x:c>
      <x:c r="C101" s="15" t="str">
        <x:v>RETIRE</x:v>
      </x:c>
      <x:c r="D101" s="15" t="str">
        <x:v>P1 universe</x:v>
      </x:c>
      <x:c r="E101" s="15" t="str">
        <x:v>Fabricated thematic framework, not a legal instrument.</x:v>
      </x:c>
      <x:c r="F101" s="15" t="str">
        <x:v>P-2/P-3 remediation pending</x:v>
      </x:c>
      <x:c r="G101" s="15" t="str">
        <x:v>2026-08-19</x:v>
      </x:c>
    </x:row>
  </x:sheetData>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defaultRowHeight="15"/>
  <x:cols>
    <x:col min="1" max="1" width="16" hidden="0" customWidth="1"/>
    <x:col min="2" max="2" width="44" hidden="0" customWidth="1"/>
    <x:col min="3" max="3" width="36" hidden="0" customWidth="1"/>
    <x:col min="4" max="4" width="52" hidden="0" customWidth="1"/>
    <x:col min="5" max="5" width="32" hidden="0" customWidth="1"/>
    <x:col min="6" max="6" width="32" hidden="0" customWidth="1"/>
    <x:col min="7" max="7" width="46" hidden="0" customWidth="1"/>
    <x:col min="8" max="8" width="22" hidden="0" customWidth="1"/>
  </x:cols>
  <x:sheetData>
    <x:row r="1">
      <x:c r="A1" s="36" t="str">
        <x:v>Exclusion ID</x:v>
      </x:c>
      <x:c r="B1" s="36" t="str">
        <x:v>Instrument / Provision Family</x:v>
      </x:c>
      <x:c r="C1" s="36" t="str">
        <x:v>Regulated Entity / Activity</x:v>
      </x:c>
      <x:c r="D1" s="36" t="str">
        <x:v>Reason Excluded or Conditional</x:v>
      </x:c>
      <x:c r="E1" s="36" t="str">
        <x:v>Classification</x:v>
      </x:c>
      <x:c r="F1" s="36" t="str">
        <x:v>Decision Required</x:v>
      </x:c>
      <x:c r="G1" s="36" t="str">
        <x:v>Treatment</x:v>
      </x:c>
      <x:c r="H1" s="36" t="str">
        <x:v>Source Register ID</x:v>
      </x:c>
    </x:row>
    <x:row r="2">
      <x:c r="A2" s="15" t="str">
        <x:v>EXC-P1-001</x:v>
      </x:c>
      <x:c r="B2" s="15" t="str">
        <x:v>Drugs Rules manufacturing/test licence provisions including Rule 89/Form 29 categories</x:v>
      </x:c>
      <x:c r="C2" s="15" t="str">
        <x:v>Manufacturers, loan-licensees, test/examination units</x:v>
      </x:c>
      <x:c r="D2" s="15" t="str">
        <x:v>Not represented by approved nine-sub-sector taxonomy</x:v>
      </x:c>
      <x:c r="E2" s="15" t="str">
        <x:v>OUT-OF-SCOPE — TAXONOMY GAP</x:v>
      </x:c>
      <x:c r="F2" s="15" t="str">
        <x:v>POTENTIAL PHARMACY TAXONOMY GAP</x:v>
      </x:c>
      <x:c r="G2" s="15" t="str">
        <x:v>Do not add automatically; retain in source universe</x:v>
      </x:c>
      <x:c r="H2" s="15" t="str">
        <x:v>P1-003</x:v>
      </x:c>
    </x:row>
    <x:row r="3">
      <x:c r="A3" s="15" t="str">
        <x:v>EXC-P1-002</x:v>
      </x:c>
      <x:c r="B3" s="15" t="str">
        <x:v>Drug import registration/licensing provisions</x:v>
      </x:c>
      <x:c r="C3" s="15" t="str">
        <x:v>Importers/authorised agents</x:v>
      </x:c>
      <x:c r="D3" s="15" t="str">
        <x:v>Importer is an activity/entity role not present in approved taxonomy</x:v>
      </x:c>
      <x:c r="E3" s="15" t="str">
        <x:v>OUT-OF-SCOPE — TAXONOMY GAP</x:v>
      </x:c>
      <x:c r="F3" s="15" t="str">
        <x:v>POTENTIAL PHARMACY TAXONOMY GAP</x:v>
      </x:c>
      <x:c r="G3" s="15" t="str">
        <x:v>Activate only after approved taxonomy/activity extension</x:v>
      </x:c>
      <x:c r="H3" s="15" t="str">
        <x:v>P1-002 / P1-055</x:v>
      </x:c>
    </x:row>
    <x:row r="4">
      <x:c r="A4" s="15" t="str">
        <x:v>EXC-P1-003</x:v>
      </x:c>
      <x:c r="B4" s="15" t="str">
        <x:v>Drug testing laboratory provisions</x:v>
      </x:c>
      <x:c r="C4" s="15" t="str">
        <x:v>Government/private testing laboratories</x:v>
      </x:c>
      <x:c r="D4" s="15" t="str">
        <x:v>Testing laboratory is not an approved Pharmacy sub-sector</x:v>
      </x:c>
      <x:c r="E4" s="15" t="str">
        <x:v>OUT-OF-SCOPE — TAXONOMY GAP</x:v>
      </x:c>
      <x:c r="F4" s="15" t="str">
        <x:v>POTENTIAL PHARMACY TAXONOMY GAP</x:v>
      </x:c>
      <x:c r="G4" s="15" t="str">
        <x:v>No automatic sub-sector addition</x:v>
      </x:c>
      <x:c r="H4" s="15" t="str">
        <x:v>P1-002</x:v>
      </x:c>
    </x:row>
    <x:row r="5">
      <x:c r="A5" s="15" t="str">
        <x:v>EXC-P1-004</x:v>
      </x:c>
      <x:c r="B5" s="15" t="str">
        <x:v>Blood centre/blood product manufacturing/licensing provisions</x:v>
      </x:c>
      <x:c r="C5" s="15" t="str">
        <x:v>Blood centres/blood banks</x:v>
      </x:c>
      <x:c r="D5" s="15" t="str">
        <x:v>Distinct high-risk regulated entity absent from approved taxonomy</x:v>
      </x:c>
      <x:c r="E5" s="15" t="str">
        <x:v>OUT-OF-SCOPE — TAXONOMY GAP</x:v>
      </x:c>
      <x:c r="F5" s="15" t="str">
        <x:v>POTENTIAL PHARMACY TAXONOMY GAP</x:v>
      </x:c>
      <x:c r="G5" s="15" t="str">
        <x:v>Hospital pharmacy does not automatically make it a blood centre</x:v>
      </x:c>
      <x:c r="H5" s="15" t="str">
        <x:v>P1-002</x:v>
      </x:c>
    </x:row>
    <x:row r="6">
      <x:c r="A6" s="15" t="str">
        <x:v>EXC-P1-005</x:v>
      </x:c>
      <x:c r="B6" s="15" t="str">
        <x:v>New Drugs and Clinical Trials Rules operating duties</x:v>
      </x:c>
      <x:c r="C6" s="15" t="str">
        <x:v>Sponsors, CROs, investigators, ethics committees, trial sites</x:v>
      </x:c>
      <x:c r="D6" s="15" t="str">
        <x:v>Ordinary pharmacy sale/dispensing does not trigger NDCTR</x:v>
      </x:c>
      <x:c r="E6" s="15" t="str">
        <x:v>OUT-OF-SCOPE / CONDITIONAL EXTENSION</x:v>
      </x:c>
      <x:c r="F6" s="15" t="str">
        <x:v>ACTIVITY FLAG REQUIRED</x:v>
      </x:c>
      <x:c r="G6" s="15" t="str">
        <x:v>Hospital/institutional pharmacy only if participating in regulated trial/research</x:v>
      </x:c>
      <x:c r="H6" s="15" t="str">
        <x:v>P1-019</x:v>
      </x:c>
    </x:row>
    <x:row r="7">
      <x:c r="A7" s="15" t="str">
        <x:v>EXC-P1-006</x:v>
      </x:c>
      <x:c r="B7" s="15" t="str">
        <x:v>AYUSH/Homoeopathic manufacturing GMP/licence provisions</x:v>
      </x:c>
      <x:c r="C7" s="15" t="str">
        <x:v>Manufacturers/loan-licensees</x:v>
      </x:c>
      <x:c r="D7" s="15" t="str">
        <x:v>Approved taxonomy covers pharmacies, not manufacturing units</x:v>
      </x:c>
      <x:c r="E7" s="15" t="str">
        <x:v>OUT-OF-SCOPE — TAXONOMY GAP</x:v>
      </x:c>
      <x:c r="F7" s="15" t="str">
        <x:v>POTENTIAL PHARMACY TAXONOMY GAP</x:v>
      </x:c>
      <x:c r="G7" s="15" t="str">
        <x:v>Retain sale/labelling prohibitions applicable to pharmacies</x:v>
      </x:c>
      <x:c r="H7" s="15" t="str">
        <x:v>P1-022 / P1-023</x:v>
      </x:c>
    </x:row>
    <x:row r="8">
      <x:c r="A8" s="15" t="str">
        <x:v>EXC-P1-007</x:v>
      </x:c>
      <x:c r="B8" s="15" t="str">
        <x:v>Water/Air consent obligations for industrial plants/processes</x:v>
      </x:c>
      <x:c r="C8" s="15" t="str">
        <x:v>Manufacturing/process facilities</x:v>
      </x:c>
      <x:c r="D8" s="15" t="str">
        <x:v>Normal retail/office pharmacy generally lacks regulated industrial discharge/emission trigger</x:v>
      </x:c>
      <x:c r="E8" s="15" t="str">
        <x:v>CONDITIONAL — EXCLUDE WHEN NO TRIGGER</x:v>
      </x:c>
      <x:c r="F8" s="15" t="str">
        <x:v>ENTITY APPLICABILITY</x:v>
      </x:c>
      <x:c r="G8" s="15" t="str">
        <x:v>Check generators, boilers, labs, effluent and State categorisation before exclusion</x:v>
      </x:c>
      <x:c r="H8" s="15" t="str">
        <x:v>P1-051 / P1-052</x:v>
      </x:c>
    </x:row>
    <x:row r="9">
      <x:c r="A9" s="15" t="str">
        <x:v>EXC-P1-008</x:v>
      </x:c>
      <x:c r="B9" s="15" t="str">
        <x:v>Hazardous Waste authorisation/manifest duties</x:v>
      </x:c>
      <x:c r="C9" s="15" t="str">
        <x:v>Generators/handlers of scheduled hazardous waste</x:v>
      </x:c>
      <x:c r="D9" s="15" t="str">
        <x:v>Sale of medicines alone does not establish hazardous-waste generator status</x:v>
      </x:c>
      <x:c r="E9" s="15" t="str">
        <x:v>CONDITIONAL — EXCLUDE WHEN NO TRIGGER</x:v>
      </x:c>
      <x:c r="F9" s="15" t="str">
        <x:v>ENTITY APPLICABILITY</x:v>
      </x:c>
      <x:c r="G9" s="15" t="str">
        <x:v>Ordinary retail receives only general waste duties unless scheduled waste generated</x:v>
      </x:c>
      <x:c r="H9" s="15" t="str">
        <x:v>P1-046</x:v>
      </x:c>
    </x:row>
    <x:row r="10">
      <x:c r="A10" s="15" t="str">
        <x:v>EXC-P1-009</x:v>
      </x:c>
      <x:c r="B10" s="15" t="str">
        <x:v>BMW authorisation and occupier duties</x:v>
      </x:c>
      <x:c r="C10" s="15" t="str">
        <x:v>Occupiers generating biomedical waste</x:v>
      </x:c>
      <x:c r="D10" s="15" t="str">
        <x:v>Ordinary retail pharmacy is not automatically a healthcare facility generating covered BMW</x:v>
      </x:c>
      <x:c r="E10" s="15" t="str">
        <x:v>CONDITIONAL — EXCLUDE WHEN NO TRIGGER</x:v>
      </x:c>
      <x:c r="F10" s="15" t="str">
        <x:v>ENTITY APPLICABILITY</x:v>
      </x:c>
      <x:c r="G10" s="15" t="str">
        <x:v>Hospital/institutional/specialized pharmacy more likely; assess actual waste stream</x:v>
      </x:c>
      <x:c r="H10" s="15" t="str">
        <x:v>P1-045</x:v>
      </x:c>
    </x:row>
    <x:row r="11">
      <x:c r="A11" s="15" t="str">
        <x:v>EXC-P1-010</x:v>
      </x:c>
      <x:c r="B11" s="15" t="str">
        <x:v>Medical-device manufacturer/importer duties</x:v>
      </x:c>
      <x:c r="C11" s="15" t="str">
        <x:v>Manufacturers/importers</x:v>
      </x:c>
      <x:c r="D11" s="15" t="str">
        <x:v>Selling devices does not make pharmacy a manufacturer/importer</x:v>
      </x:c>
      <x:c r="E11" s="15" t="str">
        <x:v>OUT-OF-SCOPE BY ROLE</x:v>
      </x:c>
      <x:c r="F11" s="15" t="str">
        <x:v>ROLE APPLICABILITY</x:v>
      </x:c>
      <x:c r="G11" s="15" t="str">
        <x:v>Retain sale-premises registration and seller duties where applicable</x:v>
      </x:c>
      <x:c r="H11" s="15" t="str">
        <x:v>P1-017</x:v>
      </x:c>
    </x:row>
    <x:row r="12">
      <x:c r="A12" s="15" t="str">
        <x:v>EXC-P1-011</x:v>
      </x:c>
      <x:c r="B12" s="15" t="str">
        <x:v>Cosmetics manufacturer/importer duties</x:v>
      </x:c>
      <x:c r="C12" s="15" t="str">
        <x:v>Manufacturers/importers</x:v>
      </x:c>
      <x:c r="D12" s="15" t="str">
        <x:v>Retail sale does not create manufacturer/importer obligations</x:v>
      </x:c>
      <x:c r="E12" s="15" t="str">
        <x:v>OUT-OF-SCOPE BY ROLE</x:v>
      </x:c>
      <x:c r="F12" s="15" t="str">
        <x:v>ROLE APPLICABILITY</x:v>
      </x:c>
      <x:c r="G12" s="15" t="str">
        <x:v>Retain seller prohibition/label/quality checks</x:v>
      </x:c>
      <x:c r="H12" s="15" t="str">
        <x:v>P1-018</x:v>
      </x:c>
    </x:row>
    <x:row r="13">
      <x:c r="A13" s="15" t="str">
        <x:v>EXC-P1-012</x:v>
      </x:c>
      <x:c r="B13" s="15" t="str">
        <x:v>PCI education-institution approval duties</x:v>
      </x:c>
      <x:c r="C13" s="15" t="str">
        <x:v>Pharmacy educational institutions</x:v>
      </x:c>
      <x:c r="D13" s="15" t="str">
        <x:v>Operating pharmacy is not an educational institution</x:v>
      </x:c>
      <x:c r="E13" s="15" t="str">
        <x:v>REFERENCE ONLY</x:v>
      </x:c>
      <x:c r="F13" s="15" t="str">
        <x:v>DIFFERENT REGULATED ENTITY</x:v>
      </x:c>
      <x:c r="G13" s="15" t="str">
        <x:v>Use only to validate pharmacist qualification/registration evidence</x:v>
      </x:c>
      <x:c r="H13" s="15" t="str">
        <x:v>P1-007</x:v>
      </x:c>
    </x:row>
    <x:row r="14">
      <x:c r="A14" s="15" t="str">
        <x:v>EXC-P1-013</x:v>
      </x:c>
      <x:c r="B14" s="15" t="str">
        <x:v>NCISM/NCH practitioner-education governance</x:v>
      </x:c>
      <x:c r="C14" s="15" t="str">
        <x:v>Practitioners/educational institutions</x:v>
      </x:c>
      <x:c r="D14" s="15" t="str">
        <x:v>These Acts do not regulate ordinary sale operations of AYUSH/Homeopathic pharmacies</x:v>
      </x:c>
      <x:c r="E14" s="15" t="str">
        <x:v>REFERENCE ONLY</x:v>
      </x:c>
      <x:c r="F14" s="15" t="str">
        <x:v>DIFFERENT REGULATED ENTITY</x:v>
      </x:c>
      <x:c r="G14" s="15" t="str">
        <x:v>Apply only if separate practitioner/clinic activity is present</x:v>
      </x:c>
      <x:c r="H14" s="15" t="str">
        <x:v>P1-024 / P1-025</x:v>
      </x:c>
    </x:row>
    <x:row r="15">
      <x:c r="A15" s="15" t="str">
        <x:v>EXC-P1-014</x:v>
      </x:c>
      <x:c r="B15" s="15" t="str">
        <x:v>UCPMP/UCMPMD manufacturer/marketer declarations</x:v>
      </x:c>
      <x:c r="C15" s="15" t="str">
        <x:v>Pharmaceutical/medical-device companies</x:v>
      </x:c>
      <x:c r="D15" s="15" t="str">
        <x:v>Ordinary retailer is not automatically a covered manufacturer/marketer</x:v>
      </x:c>
      <x:c r="E15" s="15" t="str">
        <x:v>REFERENCE / CONDITIONAL</x:v>
      </x:c>
      <x:c r="F15" s="15" t="str">
        <x:v>ROLE APPLICABILITY</x:v>
      </x:c>
      <x:c r="G15" s="15" t="str">
        <x:v>Activate only if pharmacy performs covered marketing/sponsorship role</x:v>
      </x:c>
      <x:c r="H15" s="15" t="str">
        <x:v>P1-056</x:v>
      </x:c>
    </x:row>
    <x:row r="16">
      <x:c r="A16" s="15" t="str">
        <x:v>EXC-P1-015</x:v>
      </x:c>
      <x:c r="B16" s="15" t="str">
        <x:v>Companies Act and LLP entity-form compliance</x:v>
      </x:c>
      <x:c r="C16" s="15" t="str">
        <x:v>Companies/LLPs</x:v>
      </x:c>
      <x:c r="D16" s="15" t="str">
        <x:v>Owned by Common Corporate Core, not Pharmacy sector dataset</x:v>
      </x:c>
      <x:c r="E16" s="15" t="str">
        <x:v>EXCLUDED FROM PHARMACY OWNERSHIP</x:v>
      </x:c>
      <x:c r="F16" s="15" t="str">
        <x:v>COMMON CORE</x:v>
      </x:c>
      <x:c r="G16" s="15" t="str">
        <x:v>Application combines Common Core + Pharmacy at runtime</x:v>
      </x:c>
      <x:c r="H16" s="15" t="str">
        <x:v>P1-058 / Common Core Reference</x:v>
      </x:c>
    </x:row>
    <x:row r="17">
      <x:c r="A17" s="33" t="str">
        <x:v>P3-001</x:v>
      </x:c>
      <x:c r="B17" s="33" t="str">
        <x:v>BMW authorization and occupier duties</x:v>
      </x:c>
      <x:c r="C17" s="33" t="str">
        <x:v>Ordinary retail/wholesale pharmacy with no BMW generation/handling</x:v>
      </x:c>
      <x:c r="D17" s="33" t="str">
        <x:v>Sale/dispensing alone does not make the establishment a BMW health-care facility/occupier.</x:v>
      </x:c>
      <x:c r="E17" s="33" t="str">
        <x:v>Conditional</x:v>
      </x:c>
      <x:c r="F17" s="33" t="str">
        <x:v>Confirm actual clinical/diagnostic/treatment activity and waste stream.</x:v>
      </x:c>
      <x:c r="G17" s="33" t="str">
        <x:v>Activate LAW018 only on documented trigger.</x:v>
      </x:c>
      <x:c r="H17" s="33" t="str">
        <x:v>P3-003</x:v>
      </x:c>
    </x:row>
    <x:row r="18">
      <x:c r="A18" s="33" t="str">
        <x:v>P3-002</x:v>
      </x:c>
      <x:c r="B18" s="33" t="str">
        <x:v>E-waste bulk-consumer duty</x:v>
      </x:c>
      <x:c r="C18" s="33" t="str">
        <x:v>Pharmacy below 1,000 Schedule I EEE units in the financial year</x:v>
      </x:c>
      <x:c r="D18" s="33" t="str">
        <x:v>Rule 8 bulk-consumer trigger is not met.</x:v>
      </x:c>
      <x:c r="E18" s="33" t="str">
        <x:v>Threshold Exclusion</x:v>
      </x:c>
      <x:c r="F18" s="33" t="str">
        <x:v>Annual unit-count assessment.</x:v>
      </x:c>
      <x:c r="G18" s="33" t="str">
        <x:v>Retain sound channelisation as best practice; no false statutory return.</x:v>
      </x:c>
      <x:c r="H18" s="33" t="str">
        <x:v>P3-007</x:v>
      </x:c>
    </x:row>
    <x:row r="19">
      <x:c r="A19" s="33" t="str">
        <x:v>P3-003</x:v>
      </x:c>
      <x:c r="B19" s="33" t="str">
        <x:v>Plastic EPR registration/returns</x:v>
      </x:c>
      <x:c r="C19" s="33" t="str">
        <x:v>Ordinary pharmacy waste generator or retailer</x:v>
      </x:c>
      <x:c r="D19" s="33" t="str">
        <x:v>PIBO EPR attaches only to a separate producer/importer/brand-owner role.</x:v>
      </x:c>
      <x:c r="E19" s="33" t="str">
        <x:v>Role Exclusion</x:v>
      </x:c>
      <x:c r="F19" s="33" t="str">
        <x:v>Determine whether the entity places own-brand plastic packaging on the market.</x:v>
      </x:c>
      <x:c r="G19" s="33" t="str">
        <x:v>Apply Rules 8/14 only unless PIBO role is approved.</x:v>
      </x:c>
      <x:c r="H19" s="33" t="str">
        <x:v>P3-005</x:v>
      </x:c>
    </x:row>
    <x:row r="20">
      <x:c r="A20" s="33" t="str">
        <x:v>P3-004</x:v>
      </x:c>
      <x:c r="B20" s="33" t="str">
        <x:v>Battery producer EPR</x:v>
      </x:c>
      <x:c r="C20" s="33" t="str">
        <x:v>Battery end-user/consumer</x:v>
      </x:c>
      <x:c r="D20" s="33" t="str">
        <x:v>Consumer duty is separate collection/handover; producer EPR is a separate role.</x:v>
      </x:c>
      <x:c r="E20" s="33" t="str">
        <x:v>Role Exclusion</x:v>
      </x:c>
      <x:c r="F20" s="33" t="str">
        <x:v>Determine producer role before EPR activation.</x:v>
      </x:c>
      <x:c r="G20" s="33" t="str">
        <x:v>Apply Rule 5 consumer chain only.</x:v>
      </x:c>
      <x:c r="H20" s="33" t="str">
        <x:v>P3-006</x:v>
      </x:c>
    </x:row>
    <x:row r="21">
      <x:c r="A21" s="33" t="str">
        <x:v>P3-005</x:v>
      </x:c>
      <x:c r="B21" s="33" t="str">
        <x:v>Hazardous-waste authorization/manifest</x:v>
      </x:c>
      <x:c r="C21" s="33" t="str">
        <x:v>Ordinary pharmacy with no scheduled/characterised hazardous waste</x:v>
      </x:c>
      <x:c r="D21" s="33" t="str">
        <x:v>Ordinary sale alone is not the trigger.</x:v>
      </x:c>
      <x:c r="E21" s="33" t="str">
        <x:v>Activity Exclusion</x:v>
      </x:c>
      <x:c r="F21" s="33" t="str">
        <x:v>Characterise actual waste streams including used oil/chemicals.</x:v>
      </x:c>
      <x:c r="G21" s="33" t="str">
        <x:v>Activate LAW103 only on documented waste trigger.</x:v>
      </x:c>
      <x:c r="H21" s="33" t="str">
        <x:v>P3-008</x:v>
      </x:c>
    </x:row>
    <x:row r="22">
      <x:c r="A22" s="33" t="str">
        <x:v>P3-006</x:v>
      </x:c>
      <x:c r="B22" s="33" t="str">
        <x:v>Air/Water consent</x:v>
      </x:c>
      <x:c r="C22" s="33" t="str">
        <x:v>Ordinary retail pharmacy without covered plant/outlet/discharge</x:v>
      </x:c>
      <x:c r="D22" s="33" t="str">
        <x:v>Consent depends on industrial/emission/effluent trigger, exemptions and State classification.</x:v>
      </x:c>
      <x:c r="E22" s="33" t="str">
        <x:v>Conditional</x:v>
      </x:c>
      <x:c r="F22" s="33" t="str">
        <x:v>Obtain State PCB classification for actual equipment/activity.</x:v>
      </x:c>
      <x:c r="G22" s="33" t="str">
        <x:v>Do not assume CTE/CTO universally.</x:v>
      </x:c>
      <x:c r="H22" s="33" t="str">
        <x:v>P3-009</x:v>
      </x:c>
    </x:row>
    <x:row r="23">
      <x:c r="A23" s="33" t="str">
        <x:v>P3-007</x:v>
      </x:c>
      <x:c r="B23" s="33" t="str">
        <x:v>C&amp;D waste duties</x:v>
      </x:c>
      <x:c r="C23" s="33" t="str">
        <x:v>Pharmacy with no construction/renovation/demolition/excavation</x:v>
      </x:c>
      <x:c r="D23" s="33" t="str">
        <x:v>No project waste trigger.</x:v>
      </x:c>
      <x:c r="E23" s="33" t="str">
        <x:v>Event Exclusion</x:v>
      </x:c>
      <x:c r="F23" s="33" t="str">
        <x:v>Reassess before premises work.</x:v>
      </x:c>
      <x:c r="G23" s="33" t="str">
        <x:v>Activate LAW106 only for the project.</x:v>
      </x:c>
      <x:c r="H23" s="33" t="str">
        <x:v>P3-011</x:v>
      </x:c>
    </x:row>
    <x:row r="24">
      <x:c r="A24" s="33" t="str">
        <x:v>P3-008</x:v>
      </x:c>
      <x:c r="B24" s="33" t="str">
        <x:v>Generic fire/trade/building/shops/SGST placeholders</x:v>
      </x:c>
      <x:c r="C24" s="33" t="str">
        <x:v>National template without State/ULB profile</x:v>
      </x:c>
      <x:c r="D24" s="33" t="str">
        <x:v>No single national instrument supplies exact duties, thresholds, forms and conditions.</x:v>
      </x:c>
      <x:c r="E24" s="33" t="str">
        <x:v>Jurisdiction Required</x:v>
      </x:c>
      <x:c r="F24" s="33" t="str">
        <x:v>Attach exact State/local law and permit.</x:v>
      </x:c>
      <x:c r="G24" s="33" t="str">
        <x:v>Legacy generic production chains quarantined.</x:v>
      </x:c>
      <x:c r="H24" s="33" t="str">
        <x:v>P3-012</x:v>
      </x:c>
    </x:row>
    <x:row r="25">
      <x:c r="A25" s="33" t="str">
        <x:v>P3-009</x:v>
      </x:c>
      <x:c r="B25" s="33" t="str">
        <x:v>DPDP private-operator compliance</x:v>
      </x:c>
      <x:c r="C25" s="33" t="str">
        <x:v>Digital pharmacy before substantive commencement</x:v>
      </x:c>
      <x:c r="D25" s="33" t="str">
        <x:v>Final Act/Rules duties are staged and not current at the P-3 cutoff.</x:v>
      </x:c>
      <x:c r="E25" s="33" t="str">
        <x:v>Future Effective</x:v>
      </x:c>
      <x:c r="F25" s="33" t="str">
        <x:v>Maintain readiness plan and monitor commencement.</x:v>
      </x:c>
      <x:c r="G25" s="33" t="str">
        <x:v>Provision/compliance chains inactive until legal commencement.</x:v>
      </x:c>
      <x:c r="H25" s="33" t="str">
        <x:v>P3-022</x:v>
      </x:c>
    </x:row>
    <x:row r="26">
      <x:c r="A26" s="33" t="str">
        <x:v>P3-010</x:v>
      </x:c>
      <x:c r="B26" s="33" t="str">
        <x:v>LLP/companies governance</x:v>
      </x:c>
      <x:c r="C26" s="33" t="str">
        <x:v>Entity-form governance</x:v>
      </x:c>
      <x:c r="D26" s="33" t="str">
        <x:v>Owned by Common Corporate Core.</x:v>
      </x:c>
      <x:c r="E26" s="33" t="str">
        <x:v>Common Core Exclusion</x:v>
      </x:c>
      <x:c r="F26" s="33" t="str">
        <x:v>Combine at runtime using entity type.</x:v>
      </x:c>
      <x:c r="G26" s="33" t="str">
        <x:v>No physical duplication in Pharmacy dataset.</x:v>
      </x:c>
      <x:c r="H26" s="33" t="str">
        <x:v>P3-014</x:v>
      </x:c>
    </x:row>
    <x:row r="27">
      <x:c r="A27" s="33" t="str">
        <x:v>P3-011</x:v>
      </x:c>
      <x:c r="B27" s="33" t="str">
        <x:v>NBC/BIS generic references</x:v>
      </x:c>
      <x:c r="C27" s="33" t="str">
        <x:v>Unidentified standard not incorporated by law/QCO/permit</x:v>
      </x:c>
      <x:c r="D27" s="33" t="str">
        <x:v>Reference material is not automatically binding.</x:v>
      </x:c>
      <x:c r="E27" s="33" t="str">
        <x:v>Reference Only</x:v>
      </x:c>
      <x:c r="F27" s="33" t="str">
        <x:v>Identify exact incorporated standard/instrument.</x:v>
      </x:c>
      <x:c r="G27" s="33" t="str">
        <x:v>Generic LAW045/LAW093 chains inactive.</x:v>
      </x:c>
      <x:c r="H27" s="33" t="str">
        <x:v>P3-019</x:v>
      </x:c>
    </x:row>
    <x:row r="28">
      <x:c r="A28" s="33" t="str">
        <x:v>P3-012</x:v>
      </x:c>
      <x:c r="B28" s="33" t="str">
        <x:v>Disaster/epidemic/public-health advisories</x:v>
      </x:c>
      <x:c r="C28" s="33" t="str">
        <x:v>No current applicable order/regulation</x:v>
      </x:c>
      <x:c r="D28" s="33" t="str">
        <x:v>Parent Acts are event-authority statutes, not standing recurring pharmacy duties.</x:v>
      </x:c>
      <x:c r="E28" s="33" t="str">
        <x:v>Event Based</x:v>
      </x:c>
      <x:c r="F28" s="33" t="str">
        <x:v>Attach exact order, date, territory and duration.</x:v>
      </x:c>
      <x:c r="G28" s="33" t="str">
        <x:v>Activate only the exact binding event instrument.</x:v>
      </x:c>
      <x:c r="H28" s="33" t="str">
        <x:v>P3-024</x:v>
      </x:c>
    </x:row>
    <x:row r="29">
      <x:c r="A29" s="33" t="str">
        <x:v>P4-EX001</x:v>
      </x:c>
      <x:c r="B29" s="33" t="str">
        <x:v>Drug/cosmetic/medical-device manufacture and import duties</x:v>
      </x:c>
      <x:c r="C29" s="33" t="str">
        <x:v>Manufacturer / importer</x:v>
      </x:c>
      <x:c r="D29" s="33" t="str">
        <x:v>Not part of the approved pharmacy-operator taxonomy</x:v>
      </x:c>
      <x:c r="E29" s="33" t="str">
        <x:v>Out of Scope</x:v>
      </x:c>
      <x:c r="F29" s="33" t="str">
        <x:v>Create a separately governed entity profile before activation</x:v>
      </x:c>
      <x:c r="G29" s="33" t="str">
        <x:v>Quarantined or excluded; seller duties retained</x:v>
      </x:c>
      <x:c r="H29" s="33" t="str">
        <x:v>P4-SRC005/P4-SRC006</x:v>
      </x:c>
    </x:row>
    <x:row r="30">
      <x:c r="A30" s="33" t="str">
        <x:v>P4-EX002</x:v>
      </x:c>
      <x:c r="B30" s="33" t="str">
        <x:v>Clinical-trial and new-drug approval duties</x:v>
      </x:c>
      <x:c r="C30" s="33" t="str">
        <x:v>Sponsor / investigator / trial site</x:v>
      </x:c>
      <x:c r="D30" s="33" t="str">
        <x:v>Different regulated activity and entity role</x:v>
      </x:c>
      <x:c r="E30" s="33" t="str">
        <x:v>Out of Scope</x:v>
      </x:c>
      <x:c r="F30" s="33" t="str">
        <x:v>Separate taxonomy and full regulatory universe required</x:v>
      </x:c>
      <x:c r="G30" s="33" t="str">
        <x:v>LAW008 inactive; no production chain activated</x:v>
      </x:c>
      <x:c r="H30" s="33" t="str">
        <x:v>P4-SRC008</x:v>
      </x:c>
    </x:row>
    <x:row r="31">
      <x:c r="A31" s="33" t="str">
        <x:v>P4-EX003</x:v>
      </x:c>
      <x:c r="B31" s="33" t="str">
        <x:v>Customs, FTDR and Foreign Trade Policy duties</x:v>
      </x:c>
      <x:c r="C31" s="33" t="str">
        <x:v>Importer / exporter</x:v>
      </x:c>
      <x:c r="D31" s="33" t="str">
        <x:v>Triggered only by separate import/export role</x:v>
      </x:c>
      <x:c r="E31" s="33" t="str">
        <x:v>Out of Scope</x:v>
      </x:c>
      <x:c r="F31" s="33" t="str">
        <x:v>Attach exact importer/exporter profile before activation</x:v>
      </x:c>
      <x:c r="G31" s="33" t="str">
        <x:v>LAW068–070 inactive</x:v>
      </x:c>
      <x:c r="H31" s="33" t="str">
        <x:v>P4-SRC005</x:v>
      </x:c>
    </x:row>
    <x:row r="32">
      <x:c r="A32" s="33" t="str">
        <x:v>P4-EX004</x:v>
      </x:c>
      <x:c r="B32" s="33" t="str">
        <x:v>Generic State drug-control, pharmacy-council and clinical-establishment placeholders</x:v>
      </x:c>
      <x:c r="C32" s="33" t="str">
        <x:v>Entity in exact State/UT jurisdiction</x:v>
      </x:c>
      <x:c r="D32" s="33" t="str">
        <x:v>A generic label is not an authoritative instrument</x:v>
      </x:c>
      <x:c r="E32" s="33" t="str">
        <x:v>Jurisdiction Required</x:v>
      </x:c>
      <x:c r="F32" s="33" t="str">
        <x:v>Attach exact State law, rule, circular/order and effective date</x:v>
      </x:c>
      <x:c r="G32" s="33" t="str">
        <x:v>LAW076–078 and LAW081 chains inactive</x:v>
      </x:c>
      <x:c r="H32" s="33" t="str">
        <x:v>P4-SRC001/P4-SRC007</x:v>
      </x:c>
    </x:row>
    <x:row r="33">
      <x:c r="A33" s="33" t="str">
        <x:v>P4-EX005</x:v>
      </x:c>
      <x:c r="B33" s="33" t="str">
        <x:v>Disaster/epidemic recurring duties without an exact order</x:v>
      </x:c>
      <x:c r="C33" s="33" t="str">
        <x:v>Person subject to a current territorial order</x:v>
      </x:c>
      <x:c r="D33" s="33" t="str">
        <x:v>Parent Acts do not create the generic recurring controls previously stated</x:v>
      </x:c>
      <x:c r="E33" s="33" t="str">
        <x:v>Event / Order Required</x:v>
      </x:c>
      <x:c r="F33" s="33" t="str">
        <x:v>Attach exact order, territory and operative period</x:v>
      </x:c>
      <x:c r="G33" s="33" t="str">
        <x:v>LAW089–090 production chains inactive</x:v>
      </x:c>
      <x:c r="H33" s="33" t="str">
        <x:v>P-3/P-4</x:v>
      </x:c>
    </x:row>
    <x:row r="34">
      <x:c r="A34" s="33" t="str">
        <x:v>P4-EX006</x:v>
      </x:c>
      <x:c r="B34" s="33" t="str">
        <x:v>Dedicated e-pharmacy rules under G.S.R. 817(E), 2018</x:v>
      </x:c>
      <x:c r="C34" s="33" t="str">
        <x:v>E-Pharmacy</x:v>
      </x:c>
      <x:c r="D34" s="33" t="str">
        <x:v>Instrument remains draft at cutoff</x:v>
      </x:c>
      <x:c r="E34" s="33" t="str">
        <x:v>Draft / Inactive</x:v>
      </x:c>
      <x:c r="F34" s="33" t="str">
        <x:v>Monitor official Gazette; do not activate early</x:v>
      </x:c>
      <x:c r="G34" s="33" t="str">
        <x:v>LAW014/LAW071 remain inactive/source-only</x:v>
      </x:c>
      <x:c r="H34" s="33" t="str">
        <x:v>P4-SRC008</x:v>
      </x:c>
    </x:row>
    <x:row r="35">
      <x:c r="A35" s="33" t="str">
        <x:v>P4-EX007</x:v>
      </x:c>
      <x:c r="B35" s="33" t="str">
        <x:v>Companies Act / LLP governance</x:v>
      </x:c>
      <x:c r="C35" s="33" t="str">
        <x:v>Company / LLP</x:v>
      </x:c>
      <x:c r="D35" s="33" t="str">
        <x:v>Owned by the separate Common Corporate Core</x:v>
      </x:c>
      <x:c r="E35" s="33" t="str">
        <x:v>Common Core</x:v>
      </x:c>
      <x:c r="F35" s="33" t="str">
        <x:v>Combine only at runtime based on legal form</x:v>
      </x:c>
      <x:c r="G35" s="33" t="str">
        <x:v>No Pharmacy duplication</x:v>
      </x:c>
      <x:c r="H35" s="33" t="str">
        <x:v>P-0</x:v>
      </x:c>
    </x:row>
  </x:sheetData>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52" hidden="0" customWidth="1"/>
    <x:col min="4" max="4" width="22" hidden="0" customWidth="1"/>
    <x:col min="5" max="5" width="14" hidden="0" customWidth="1"/>
    <x:col min="6" max="6" width="44" hidden="0" customWidth="1"/>
    <x:col min="7" max="7" width="24" hidden="0" customWidth="1"/>
  </x:cols>
  <x:sheetData>
    <x:row r="1">
      <x:c r="A1" s="18" t="str">
        <x:v>Gap ID</x:v>
      </x:c>
      <x:c r="B1" s="18" t="str">
        <x:v>Potential Entity / Activity</x:v>
      </x:c>
      <x:c r="C1" s="18" t="str">
        <x:v>Regulatory Trigger</x:v>
      </x:c>
      <x:c r="D1" s="18" t="str">
        <x:v>Current Taxonomy Status</x:v>
      </x:c>
      <x:c r="E1" s="18" t="str">
        <x:v>Risk</x:v>
      </x:c>
      <x:c r="F1" s="18" t="str">
        <x:v>P-1 Decision</x:v>
      </x:c>
      <x:c r="G1" s="18" t="str">
        <x:v>Source Register ID</x:v>
      </x:c>
    </x:row>
    <x:row r="2">
      <x:c r="A2" s="15" t="str">
        <x:v>TAX-P1-001</x:v>
      </x:c>
      <x:c r="B2" s="15" t="str">
        <x:v>Pharmaceutical Manufacturer</x:v>
      </x:c>
      <x:c r="C2" s="15" t="str">
        <x:v>Drugs Rules manufacture licences, GMP, 2026 Rule 89/Form 29 amendments</x:v>
      </x:c>
      <x:c r="D2" s="15" t="str">
        <x:v>Not approved</x:v>
      </x:c>
      <x:c r="E2" s="15" t="str">
        <x:v>HIGH</x:v>
      </x:c>
      <x:c r="F2" s="15" t="str">
        <x:v>Do not add; seek business approval before expansion</x:v>
      </x:c>
      <x:c r="G2" s="15" t="str">
        <x:v>P1-002/P1-003</x:v>
      </x:c>
    </x:row>
    <x:row r="3">
      <x:c r="A3" s="15" t="str">
        <x:v>TAX-P1-002</x:v>
      </x:c>
      <x:c r="B3" s="15" t="str">
        <x:v>Loan Licence Holder / Repacker</x:v>
      </x:c>
      <x:c r="C3" s="15" t="str">
        <x:v>Manufacture/repacking licence conditions and forms</x:v>
      </x:c>
      <x:c r="D3" s="15" t="str">
        <x:v>Not approved</x:v>
      </x:c>
      <x:c r="E3" s="15" t="str">
        <x:v>HIGH</x:v>
      </x:c>
      <x:c r="F3" s="15" t="str">
        <x:v>Do not add automatically</x:v>
      </x:c>
      <x:c r="G3" s="15" t="str">
        <x:v>P1-002</x:v>
      </x:c>
    </x:row>
    <x:row r="4">
      <x:c r="A4" s="15" t="str">
        <x:v>TAX-P1-003</x:v>
      </x:c>
      <x:c r="B4" s="15" t="str">
        <x:v>Drug Importer / Authorised Agent</x:v>
      </x:c>
      <x:c r="C4" s="15" t="str">
        <x:v>Import registration/licence and customs/DGFT controls</x:v>
      </x:c>
      <x:c r="D4" s="15" t="str">
        <x:v>Not approved</x:v>
      </x:c>
      <x:c r="E4" s="15" t="str">
        <x:v>HIGH</x:v>
      </x:c>
      <x:c r="F4" s="15" t="str">
        <x:v>Use activity flag only after approval</x:v>
      </x:c>
      <x:c r="G4" s="15" t="str">
        <x:v>P1-002/P1-055</x:v>
      </x:c>
    </x:row>
    <x:row r="5">
      <x:c r="A5" s="15" t="str">
        <x:v>TAX-P1-004</x:v>
      </x:c>
      <x:c r="B5" s="15" t="str">
        <x:v>Drug Testing Laboratory</x:v>
      </x:c>
      <x:c r="C5" s="15" t="str">
        <x:v>Testing/examination and laboratory registration provisions</x:v>
      </x:c>
      <x:c r="D5" s="15" t="str">
        <x:v>Not approved</x:v>
      </x:c>
      <x:c r="E5" s="15" t="str">
        <x:v>MEDIUM</x:v>
      </x:c>
      <x:c r="F5" s="15" t="str">
        <x:v>Do not add automatically</x:v>
      </x:c>
      <x:c r="G5" s="15" t="str">
        <x:v>P1-002</x:v>
      </x:c>
    </x:row>
    <x:row r="6">
      <x:c r="A6" s="15" t="str">
        <x:v>TAX-P1-005</x:v>
      </x:c>
      <x:c r="B6" s="15" t="str">
        <x:v>Blood Centre / Blood Bank</x:v>
      </x:c>
      <x:c r="C6" s="15" t="str">
        <x:v>Distinct blood-centre and blood-product licensing regime</x:v>
      </x:c>
      <x:c r="D6" s="15" t="str">
        <x:v>Not approved</x:v>
      </x:c>
      <x:c r="E6" s="15" t="str">
        <x:v>HIGH</x:v>
      </x:c>
      <x:c r="F6" s="15" t="str">
        <x:v>Hospital Pharmacy must not be treated as equivalent</x:v>
      </x:c>
      <x:c r="G6" s="15" t="str">
        <x:v>P1-002</x:v>
      </x:c>
    </x:row>
    <x:row r="7">
      <x:c r="A7" s="15" t="str">
        <x:v>TAX-P1-006</x:v>
      </x:c>
      <x:c r="B7" s="15" t="str">
        <x:v>Clinical Trial Site / CRO / BA-BE Centre</x:v>
      </x:c>
      <x:c r="C7" s="15" t="str">
        <x:v>NDCTR 2019 responsibilities</x:v>
      </x:c>
      <x:c r="D7" s="15" t="str">
        <x:v>Not approved</x:v>
      </x:c>
      <x:c r="E7" s="15" t="str">
        <x:v>MEDIUM</x:v>
      </x:c>
      <x:c r="F7" s="15" t="str">
        <x:v>Possible institutional/hospital activity extension only</x:v>
      </x:c>
      <x:c r="G7" s="15" t="str">
        <x:v>P1-019</x:v>
      </x:c>
    </x:row>
    <x:row r="8">
      <x:c r="A8" s="15" t="str">
        <x:v>TAX-P1-007</x:v>
      </x:c>
      <x:c r="B8" s="15" t="str">
        <x:v>AYUSH/Homoeopathic Manufacturer</x:v>
      </x:c>
      <x:c r="C8" s="15" t="str">
        <x:v>Part XVI onward / homoeopathic manufacture and GMP provisions</x:v>
      </x:c>
      <x:c r="D8" s="15" t="str">
        <x:v>Not approved</x:v>
      </x:c>
      <x:c r="E8" s="15" t="str">
        <x:v>HIGH</x:v>
      </x:c>
      <x:c r="F8" s="15" t="str">
        <x:v>Retain pharmacy sale scope only; seek approval for manufacturing taxonomy</x:v>
      </x:c>
      <x:c r="G8" s="15" t="str">
        <x:v>P1-022/P1-023</x:v>
      </x:c>
    </x:row>
  </x:sheetData>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RowHeight="15"/>
  <x:cols>
    <x:col min="1" max="1" width="38" hidden="0" customWidth="1"/>
    <x:col min="2" max="2" width="24" hidden="0" customWidth="1"/>
    <x:col min="3" max="3" width="28" hidden="0" customWidth="1"/>
    <x:col min="4" max="4" width="72" hidden="0" customWidth="1"/>
  </x:cols>
  <x:sheetData>
    <x:row r="1">
      <x:c r="A1" s="18" t="str">
        <x:v>Gate / Metric</x:v>
      </x:c>
      <x:c r="B1" s="18" t="str">
        <x:v>Result / Count</x:v>
      </x:c>
      <x:c r="C1" s="18" t="str">
        <x:v>Status</x:v>
      </x:c>
      <x:c r="D1" s="18" t="str">
        <x:v>Notes</x:v>
      </x:c>
    </x:row>
    <x:row r="2">
      <x:c r="A2" s="15" t="str">
        <x:v>P-1 Scope Date</x:v>
      </x:c>
      <x:c r="B2" s="15" t="str">
        <x:v>2026-08-19</x:v>
      </x:c>
      <x:c r="C2" s="15" t="str">
        <x:v>PASS</x:v>
      </x:c>
      <x:c r="D2" s="15" t="str">
        <x:v>Universe validated through 19 August 2026.</x:v>
      </x:c>
    </x:row>
    <x:row r="3">
      <x:c r="A3" s="15" t="str">
        <x:v>Approved Pharmacy Taxonomy</x:v>
      </x:c>
      <x:c r="B3" s="15" t="str">
        <x:v>9 sub-sectors</x:v>
      </x:c>
      <x:c r="C3" s="15" t="str">
        <x:v>PASS</x:v>
      </x:c>
      <x:c r="D3" s="15" t="str">
        <x:v>Retail, Wholesale, Hospital, Chain, E-Pharmacy, Institutional, Specialized, Homeopathic and AYUSH.</x:v>
      </x:c>
    </x:row>
    <x:row r="4">
      <x:c r="A4" s="15" t="str">
        <x:v>Authoritative Central Instrument Universe</x:v>
      </x:c>
      <x:c r="B4" s="15" t="n">
        <x:v>58</x:v>
      </x:c>
      <x:c r="C4" s="15" t="str">
        <x:v>PASS</x:v>
      </x:c>
      <x:c r="D4" s="15" t="str">
        <x:v>Primary official sources recorded for all identified central/current-law families.</x:v>
      </x:c>
    </x:row>
    <x:row r="5">
      <x:c r="A5" s="15" t="str">
        <x:v>State/Local Layer</x:v>
      </x:c>
      <x:c r="B5" s="15" t="str">
        <x:v>Required jurisdictional layer</x:v>
      </x:c>
      <x:c r="C5" s="15" t="str">
        <x:v>PASS WITH RUNTIME CONDITION</x:v>
      </x:c>
      <x:c r="D5" s="15" t="str">
        <x:v>State drug licensing, NDPS, poisons, pharmacy council, clinical establishment, fire, shops and municipal rules must be selected by company location/activity.</x:v>
      </x:c>
    </x:row>
    <x:row r="6">
      <x:c r="A6" s="15" t="str">
        <x:v>Excluded / Conditional Families</x:v>
      </x:c>
      <x:c r="B6" s="15" t="n">
        <x:v>15</x:v>
      </x:c>
      <x:c r="C6" s="15" t="str">
        <x:v>COMPLETE</x:v>
      </x:c>
      <x:c r="D6" s="15" t="str">
        <x:v>Every major excluded or conditional family has a documented reason.</x:v>
      </x:c>
    </x:row>
    <x:row r="7">
      <x:c r="A7" s="15" t="str">
        <x:v>Potential Taxonomy Gaps</x:v>
      </x:c>
      <x:c r="B7" s="15" t="n">
        <x:v>7</x:v>
      </x:c>
      <x:c r="C7" s="15" t="str">
        <x:v>COMPLETE</x:v>
      </x:c>
      <x:c r="D7" s="15" t="str">
        <x:v>No new sub-sector was added automatically.</x:v>
      </x:c>
    </x:row>
    <x:row r="8">
      <x:c r="A8" s="15" t="str">
        <x:v>Existing Law Master Reconciled</x:v>
      </x:c>
      <x:c r="B8" s="15" t="n">
        <x:v>100</x:v>
      </x:c>
      <x:c r="C8" s="15" t="str">
        <x:v>PASS</x:v>
      </x:c>
      <x:c r="D8" s="15" t="str">
        <x:v>Every existing LAW001–LAW100 record classified.</x:v>
      </x:c>
    </x:row>
    <x:row r="9">
      <x:c r="A9" s="15" t="str">
        <x:v>RETAIN</x:v>
      </x:c>
      <x:c r="B9" s="15" t="n">
        <x:v>12</x:v>
      </x:c>
      <x:c r="C9" s="15" t="str">
        <x:v>INFO</x:v>
      </x:c>
      <x:c r="D9" s="15" t="str">
        <x:v>Correct/current instruments retained.</x:v>
      </x:c>
    </x:row>
    <x:row r="10">
      <x:c r="A10" s="15" t="str">
        <x:v>CORRECT</x:v>
      </x:c>
      <x:c r="B10" s="15" t="n">
        <x:v>33</x:v>
      </x:c>
      <x:c r="C10" s="15" t="str">
        <x:v>REMEDIATION BACKLOG</x:v>
      </x:c>
      <x:c r="D10" s="15" t="str">
        <x:v>Current-law, title, scope or applicability correction required.</x:v>
      </x:c>
    </x:row>
    <x:row r="11">
      <x:c r="A11" s="15" t="str">
        <x:v>RECLASSIFY</x:v>
      </x:c>
      <x:c r="B11" s="15" t="n">
        <x:v>38</x:v>
      </x:c>
      <x:c r="C11" s="15" t="str">
        <x:v>REMEDIATION BACKLOG</x:v>
      </x:c>
      <x:c r="D11" s="15" t="str">
        <x:v>Schedules, guidance, permits or common-core content moved to correct layer.</x:v>
      </x:c>
    </x:row>
    <x:row r="12">
      <x:c r="A12" s="15" t="str">
        <x:v>RETIRE</x:v>
      </x:c>
      <x:c r="B12" s="15" t="n">
        <x:v>14</x:v>
      </x:c>
      <x:c r="C12" s="15" t="str">
        <x:v>REMEDIATION BACKLOG</x:v>
      </x:c>
      <x:c r="D12" s="15" t="str">
        <x:v>Duplicate, pseudo-law, obsolete or superseded record.</x:v>
      </x:c>
    </x:row>
    <x:row r="13">
      <x:c r="A13" s="15" t="str">
        <x:v>OUT-OF-SCOPE</x:v>
      </x:c>
      <x:c r="B13" s="15" t="n">
        <x:v>3</x:v>
      </x:c>
      <x:c r="C13" s="15" t="str">
        <x:v>CONTROLLED EXCLUSION</x:v>
      </x:c>
      <x:c r="D13" s="15" t="str">
        <x:v>Valid law/activity excluded from current taxonomy unless trigger exists.</x:v>
      </x:c>
    </x:row>
    <x:row r="14">
      <x:c r="A14" s="15" t="str">
        <x:v>P-1 Authoritative Regulatory Universe Gate</x:v>
      </x:c>
      <x:c r="B14" s="15" t="str">
        <x:v>PASS</x:v>
      </x:c>
      <x:c r="C14" s="15" t="str">
        <x:v>COMPLETE</x:v>
      </x:c>
      <x:c r="D14" s="15" t="str">
        <x:v>Universe is frozen for the approved nine-sub-sector scope. This does not freeze the production workbook.</x:v>
      </x:c>
    </x:row>
    <x:row r="15">
      <x:c r="A15" s="15" t="str">
        <x:v>Next Gate</x:v>
      </x:c>
      <x:c r="B15" s="15" t="str">
        <x:v>P-2 Drugs Rules Deep Validation</x:v>
      </x:c>
      <x:c r="C15" s="15" t="str">
        <x:v>OPEN</x:v>
      </x:c>
      <x:c r="D15" s="15" t="str">
        <x:v>Normalize rule/schedule/form obligations and remediate the Law→Observation chain.</x:v>
      </x:c>
    </x:row>
  </x:sheetData>
  <x:pageMargins left="0.7" right="0.7" top="0.75" bottom="0.75" header="0.3" footer="0.3"/>
</x:worksheet>
</file>

<file path=xl/worksheets/sheet27.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22" hidden="0" customWidth="1"/>
    <x:col min="4" max="4" width="52" hidden="0" customWidth="1"/>
    <x:col min="5" max="5" width="26" hidden="0" customWidth="1"/>
    <x:col min="6" max="6" width="20" hidden="0" customWidth="1"/>
    <x:col min="7" max="7" width="34" hidden="0" customWidth="1"/>
    <x:col min="8" max="8" width="42" hidden="0" customWidth="1"/>
    <x:col min="9" max="9" width="18" hidden="0" customWidth="1"/>
  </x:cols>
  <x:sheetData>
    <x:row r="1" ht="30" customHeight="1">
      <x:c r="A1" s="27" t="str">
        <x:v>Item ID</x:v>
      </x:c>
      <x:c r="B1" s="27" t="str">
        <x:v>Checklist / Existing Item</x:v>
      </x:c>
      <x:c r="C1" s="27" t="str">
        <x:v>Source Mapping</x:v>
      </x:c>
      <x:c r="D1" s="27" t="str">
        <x:v>Authoritative Finding</x:v>
      </x:c>
      <x:c r="E1" s="27" t="str">
        <x:v>Citation</x:v>
      </x:c>
      <x:c r="F1" s="27" t="str">
        <x:v>Classification</x:v>
      </x:c>
      <x:c r="G1" s="27" t="str">
        <x:v>Applicable Scope</x:v>
      </x:c>
      <x:c r="H1" s="27" t="str">
        <x:v>P-2 Treatment</x:v>
      </x:c>
      <x:c r="I1" s="27" t="str">
        <x:v>Effective Position</x:v>
      </x:c>
    </x:row>
    <x:row r="2">
      <x:c r="A2" s="28" t="str">
        <x:v>CS-P2-001</x:v>
      </x:c>
      <x:c r="B2" s="22" t="str">
        <x:v>Rule 61 described as licence application/renewal</x:v>
      </x:c>
      <x:c r="C2" s="22" t="str">
        <x:v>Existing PROV011</x:v>
      </x:c>
      <x:c r="D2" s="22" t="str">
        <x:v>Rule 59 governs application; Rule 61 governs forms of sale licences.</x:v>
      </x:c>
      <x:c r="E2" s="22" t="str">
        <x:v>Rules 59 and 61</x:v>
      </x:c>
      <x:c r="F2" s="22" t="str">
        <x:v>Incorrect Extraction</x:v>
      </x:c>
      <x:c r="G2" s="22" t="str">
        <x:v>Retail/Wholesale/Hospital/Chain/E-Pharmacy/Institutional/Specialized</x:v>
      </x:c>
      <x:c r="H2" s="22" t="str">
        <x:v>PROV011/COMP011 and PROV012/COMP012 corrected</x:v>
      </x:c>
      <x:c r="I2" s="22" t="str">
        <x:v>Current</x:v>
      </x:c>
    </x:row>
    <x:row r="3">
      <x:c r="A3" s="28" t="str">
        <x:v>CS-P2-002</x:v>
      </x:c>
      <x:c r="B3" s="22" t="str">
        <x:v>Rule 62 described as form and conditions of licence</x:v>
      </x:c>
      <x:c r="C3" s="22" t="str">
        <x:v>Existing PROV012</x:v>
      </x:c>
      <x:c r="D3" s="22" t="str">
        <x:v>Rule 62 requires a separate application/licence for each place.</x:v>
      </x:c>
      <x:c r="E3" s="22" t="str">
        <x:v>Rule 62</x:v>
      </x:c>
      <x:c r="F3" s="22" t="str">
        <x:v>Incorrect Extraction</x:v>
      </x:c>
      <x:c r="G3" s="22" t="str">
        <x:v>All physical/licensed locations</x:v>
      </x:c>
      <x:c r="H3" s="22" t="str">
        <x:v>PROV111/COMP111 reclassified to the correct control</x:v>
      </x:c>
      <x:c r="I3" s="22" t="str">
        <x:v>Current</x:v>
      </x:c>
    </x:row>
    <x:row r="4">
      <x:c r="A4" s="28" t="str">
        <x:v>CS-P2-003</x:v>
      </x:c>
      <x:c r="B4" s="22" t="str">
        <x:v>Rule 64 reduced to retail licence conditions</x:v>
      </x:c>
      <x:c r="C4" s="22" t="str">
        <x:v>Existing PROV013</x:v>
      </x:c>
      <x:c r="D4" s="22" t="str">
        <x:v>Rule 64 is a pre-grant conditions rule covering specified Forms, premises, storage, competent person, area and Schedule N.</x:v>
      </x:c>
      <x:c r="E4" s="22" t="str">
        <x:v>Rule 64; Schedule N</x:v>
      </x:c>
      <x:c r="F4" s="22" t="str">
        <x:v>Incorrect Extraction</x:v>
      </x:c>
      <x:c r="G4" s="22" t="str">
        <x:v>Retail/Wholesale/Hospital/Chain/E-Pharmacy/Institutional/Specialized</x:v>
      </x:c>
      <x:c r="H4" s="22" t="str">
        <x:v>PROV013/COMP013 corrected; Schedule N chain added</x:v>
      </x:c>
      <x:c r="I4" s="22" t="str">
        <x:v>Current</x:v>
      </x:c>
    </x:row>
    <x:row r="5">
      <x:c r="A5" s="28" t="str">
        <x:v>CS-P2-004</x:v>
      </x:c>
      <x:c r="B5" s="22" t="str">
        <x:v>Rule 65 maintained as one omnibus requirement</x:v>
      </x:c>
      <x:c r="C5" s="22" t="str">
        <x:v>Existing PROV014</x:v>
      </x:c>
      <x:c r="D5" s="22" t="str">
        <x:v>Rule 65 contains distinct supervision, record, retention, prescription, storage, display, inspection and stock controls.</x:v>
      </x:c>
      <x:c r="E5" s="22" t="str">
        <x:v>Rule 65(1)-(21)</x:v>
      </x:c>
      <x:c r="F5" s="22" t="str">
        <x:v>Incorrect Extraction</x:v>
      </x:c>
      <x:c r="G5" s="22" t="str">
        <x:v>All licensed sale operations by trigger</x:v>
      </x:c>
      <x:c r="H5" s="22" t="str">
        <x:v>Decomposed across existing/new provisions and Rule 65 Matrix</x:v>
      </x:c>
      <x:c r="I5" s="22" t="str">
        <x:v>Current</x:v>
      </x:c>
    </x:row>
    <x:row r="6">
      <x:c r="A6" s="28" t="str">
        <x:v>CS-P2-005</x:v>
      </x:c>
      <x:c r="B6" s="22" t="str">
        <x:v>Rule 66 labelled additional licence conditions</x:v>
      </x:c>
      <x:c r="C6" s="22" t="str">
        <x:v>Existing PROV015</x:v>
      </x:c>
      <x:c r="D6" s="22" t="str">
        <x:v>Rule 66 is cancellation and suspension of licences.</x:v>
      </x:c>
      <x:c r="E6" s="22" t="str">
        <x:v>Rule 66</x:v>
      </x:c>
      <x:c r="F6" s="22" t="str">
        <x:v>Incorrect Extraction</x:v>
      </x:c>
      <x:c r="G6" s="22" t="str">
        <x:v>All Part VI licensees</x:v>
      </x:c>
      <x:c r="H6" s="22" t="str">
        <x:v>Enforcement chain added at PROV283/COMP258</x:v>
      </x:c>
      <x:c r="I6" s="22" t="str">
        <x:v>Current</x:v>
      </x:c>
    </x:row>
    <x:row r="7">
      <x:c r="A7" s="28" t="str">
        <x:v>CS-P2-006</x:v>
      </x:c>
      <x:c r="B7" s="22" t="str">
        <x:v>Rule 67 labelled licence display</x:v>
      </x:c>
      <x:c r="C7" s="22" t="str">
        <x:v>Existing PROV016</x:v>
      </x:c>
      <x:c r="D7" s="22" t="str">
        <x:v>Part VIA begins at Rule 67A for Homeopathic sale; licence display is in the licence Forms and Rule 65(15) covers descriptions/signage.</x:v>
      </x:c>
      <x:c r="E7" s="22" t="str">
        <x:v>Rules 67A-67H; licence Forms</x:v>
      </x:c>
      <x:c r="F7" s="22" t="str">
        <x:v>Incorrect Extraction</x:v>
      </x:c>
      <x:c r="G7" s="22" t="str">
        <x:v>Homeopathic / all relevant licence Forms</x:v>
      </x:c>
      <x:c r="H7" s="22" t="str">
        <x:v>Display moved to PROV282; Homeopathic chains added</x:v>
      </x:c>
      <x:c r="I7" s="22" t="str">
        <x:v>Current</x:v>
      </x:c>
    </x:row>
    <x:row r="8">
      <x:c r="A8" s="28" t="str">
        <x:v>CS-P2-007</x:v>
      </x:c>
      <x:c r="B8" s="22" t="str">
        <x:v>Rule 68 labelled cancellation/suspension</x:v>
      </x:c>
      <x:c r="C8" s="22" t="str">
        <x:v>Existing PROV017</x:v>
      </x:c>
      <x:c r="D8" s="22" t="str">
        <x:v>Rule 68 is manufacture on more than one set of premises and is outside the approved Pharmacy sale taxonomy.</x:v>
      </x:c>
      <x:c r="E8" s="22" t="str">
        <x:v>Rule 68</x:v>
      </x:c>
      <x:c r="F8" s="22" t="str">
        <x:v>Out-of-Scope</x:v>
      </x:c>
      <x:c r="G8" s="22" t="str">
        <x:v>Manufacturer taxonomy gap</x:v>
      </x:c>
      <x:c r="H8" s="22" t="str">
        <x:v>Production provision corrected; manufacturing family excluded</x:v>
      </x:c>
      <x:c r="I8" s="22" t="str">
        <x:v>Current</x:v>
      </x:c>
    </x:row>
    <x:row r="9">
      <x:c r="A9" s="28" t="str">
        <x:v>CS-P2-008</x:v>
      </x:c>
      <x:c r="B9" s="22" t="str">
        <x:v>Schedule H treated as a standalone law</x:v>
      </x:c>
      <x:c r="C9" s="22" t="str">
        <x:v>LAW054</x:v>
      </x:c>
      <x:c r="D9" s="22" t="str">
        <x:v>Schedule H is part of the Drugs Rules, not an atomic law.</x:v>
      </x:c>
      <x:c r="E9" s="22" t="str">
        <x:v>Schedule H; Rule 65; Rule 97</x:v>
      </x:c>
      <x:c r="F9" s="22" t="str">
        <x:v>Incorrect Extraction</x:v>
      </x:c>
      <x:c r="G9" s="22" t="str">
        <x:v>Retail/Hospital/Chain/E-Pharmacy/Institutional/Specialized</x:v>
      </x:c>
      <x:c r="H9" s="22" t="str">
        <x:v>LAW054 retired; provisions remapped to LAW002</x:v>
      </x:c>
      <x:c r="I9" s="22" t="str">
        <x:v>Current</x:v>
      </x:c>
    </x:row>
    <x:row r="10">
      <x:c r="A10" s="28" t="str">
        <x:v>CS-P2-009</x:v>
      </x:c>
      <x:c r="B10" s="22" t="str">
        <x:v>Schedule H1 treated as a standalone law</x:v>
      </x:c>
      <x:c r="C10" s="22" t="str">
        <x:v>LAW055</x:v>
      </x:c>
      <x:c r="D10" s="22" t="str">
        <x:v>Schedule H1 is part of the Drugs Rules.</x:v>
      </x:c>
      <x:c r="E10" s="22" t="str">
        <x:v>Schedule H1; Rule 65(3)(1)(h)</x:v>
      </x:c>
      <x:c r="F10" s="22" t="str">
        <x:v>Incorrect Extraction</x:v>
      </x:c>
      <x:c r="G10" s="22" t="str">
        <x:v>All stocking/dispensing H1</x:v>
      </x:c>
      <x:c r="H10" s="22" t="str">
        <x:v>LAW055 retired; PROV021/114 normalized</x:v>
      </x:c>
      <x:c r="I10" s="22" t="str">
        <x:v>Current</x:v>
      </x:c>
    </x:row>
    <x:row r="11">
      <x:c r="A11" s="28" t="str">
        <x:v>CS-P2-010</x:v>
      </x:c>
      <x:c r="B11" s="22" t="str">
        <x:v>Schedule X treated as a standalone law under NDPS</x:v>
      </x:c>
      <x:c r="C11" s="22" t="str">
        <x:v>LAW056</x:v>
      </x:c>
      <x:c r="D11" s="22" t="str">
        <x:v>Schedule X is a Drugs Rules schedule; separate NDPS applicability may coexist by substance.</x:v>
      </x:c>
      <x:c r="E11" s="22" t="str">
        <x:v>Schedule X; Rule 65(9),(12),(21)</x:v>
      </x:c>
      <x:c r="F11" s="22" t="str">
        <x:v>Incorrect Extraction</x:v>
      </x:c>
      <x:c r="G11" s="22" t="str">
        <x:v>Specialized and any Schedule X handler</x:v>
      </x:c>
      <x:c r="H11" s="22" t="str">
        <x:v>LAW056 retired; PROV022/117-119 remapped to LAW002</x:v>
      </x:c>
      <x:c r="I11" s="22" t="str">
        <x:v>Current</x:v>
      </x:c>
    </x:row>
    <x:row r="12">
      <x:c r="A12" s="28" t="str">
        <x:v>CS-P2-011</x:v>
      </x:c>
      <x:c r="B12" s="22" t="str">
        <x:v>Schedule G treated as a standalone notification/law</x:v>
      </x:c>
      <x:c r="C12" s="22" t="str">
        <x:v>LAW057</x:v>
      </x:c>
      <x:c r="D12" s="22" t="str">
        <x:v>Schedule G is a Drugs Rules schedule tied to Rule 97 labelling.</x:v>
      </x:c>
      <x:c r="E12" s="22" t="str">
        <x:v>Schedule G; Rule 97(1)(a)</x:v>
      </x:c>
      <x:c r="F12" s="22" t="str">
        <x:v>Incorrect Extraction</x:v>
      </x:c>
      <x:c r="G12" s="22" t="str">
        <x:v>Any pharmacy stocking Schedule G drugs</x:v>
      </x:c>
      <x:c r="H12" s="22" t="str">
        <x:v>LAW057 retired; PROV023 retained under LAW002</x:v>
      </x:c>
      <x:c r="I12" s="22" t="str">
        <x:v>Current</x:v>
      </x:c>
    </x:row>
    <x:row r="13">
      <x:c r="A13" s="28" t="str">
        <x:v>CS-P2-012</x:v>
      </x:c>
      <x:c r="B13" s="22" t="str">
        <x:v>Schedule K treated as a standalone law</x:v>
      </x:c>
      <x:c r="C13" s="22" t="str">
        <x:v>LAW058</x:v>
      </x:c>
      <x:c r="D13" s="22" t="str">
        <x:v>Schedule K is the exemption schedule under Rule 123 and changes with final amendments.</x:v>
      </x:c>
      <x:c r="E13" s="22" t="str">
        <x:v>Rule 123; Schedule K</x:v>
      </x:c>
      <x:c r="F13" s="22" t="str">
        <x:v>Incorrect Extraction</x:v>
      </x:c>
      <x:c r="G13" s="22" t="str">
        <x:v>Conditional by exact exemption</x:v>
      </x:c>
      <x:c r="H13" s="22" t="str">
        <x:v>LAW058 retired; PROV024 normalized</x:v>
      </x:c>
      <x:c r="I13" s="22" t="str">
        <x:v>Current</x:v>
      </x:c>
    </x:row>
    <x:row r="14">
      <x:c r="A14" s="28" t="str">
        <x:v>CS-P2-013</x:v>
      </x:c>
      <x:c r="B14" s="22" t="str">
        <x:v>Schedule H valid-prescription control</x:v>
      </x:c>
      <x:c r="C14" s="22" t="str">
        <x:v>COMP014/021/111</x:v>
      </x:c>
      <x:c r="D14" s="22" t="str">
        <x:v>Retail sale of H/H1/X requires an RMP prescription.</x:v>
      </x:c>
      <x:c r="E14" s="22" t="str">
        <x:v>Rule 65(9)(a)</x:v>
      </x:c>
      <x:c r="F14" s="22" t="str">
        <x:v>Applicable</x:v>
      </x:c>
      <x:c r="G14" s="22" t="str">
        <x:v>Retail/Hospital/Chain/E-Pharmacy/Specialized</x:v>
      </x:c>
      <x:c r="H14" s="22" t="str">
        <x:v>COMP014 made canonical; duplicates normalized</x:v>
      </x:c>
      <x:c r="I14" s="22" t="str">
        <x:v>Current</x:v>
      </x:c>
    </x:row>
    <x:row r="15">
      <x:c r="A15" s="28" t="str">
        <x:v>CS-P2-014</x:v>
      </x:c>
      <x:c r="B15" s="22" t="str">
        <x:v>Schedule H/H1/X label warnings</x:v>
      </x:c>
      <x:c r="C15" s="22" t="str">
        <x:v>PROV018/112</x:v>
      </x:c>
      <x:c r="D15" s="22" t="str">
        <x:v>Labels carry Rule 97 symbols/cautions/warnings; Rule 95 prohibits sale unless labelled.</x:v>
      </x:c>
      <x:c r="E15" s="22" t="str">
        <x:v>Rules 95 and 97</x:v>
      </x:c>
      <x:c r="F15" s="22" t="str">
        <x:v>Applicable</x:v>
      </x:c>
      <x:c r="G15" s="22" t="str">
        <x:v>All stocking/selling scheduled medicines</x:v>
      </x:c>
      <x:c r="H15" s="22" t="str">
        <x:v>PROV018/019 and COMP018/019 normalized</x:v>
      </x:c>
      <x:c r="I15" s="22" t="str">
        <x:v>Current</x:v>
      </x:c>
    </x:row>
    <x:row r="16">
      <x:c r="A16" s="28" t="str">
        <x:v>CS-P2-015</x:v>
      </x:c>
      <x:c r="B16" s="22" t="str">
        <x:v>Prescription completeness/authenticity</x:v>
      </x:c>
      <x:c r="C16" s="22" t="str">
        <x:v>COMP113 and quarantined AUD160</x:v>
      </x:c>
      <x:c r="D16" s="22" t="str">
        <x:v>Rule 65(10) specifies written, signature/date, patient identity/address, amount and dose; clinical appropriateness belongs to professional practice.</x:v>
      </x:c>
      <x:c r="E16" s="22" t="str">
        <x:v>Rule 65(10); PPR 2015</x:v>
      </x:c>
      <x:c r="F16" s="22" t="str">
        <x:v>Applicable</x:v>
      </x:c>
      <x:c r="G16" s="22" t="str">
        <x:v>Retail/Hospital/Chain/E-Pharmacy/Specialized</x:v>
      </x:c>
      <x:c r="H16" s="22" t="str">
        <x:v>COMP119/AUD160 corrected; clinical review mapped to COMP163</x:v>
      </x:c>
      <x:c r="I16" s="22" t="str">
        <x:v>Current</x:v>
      </x:c>
    </x:row>
    <x:row r="17">
      <x:c r="A17" s="28" t="str">
        <x:v>CS-P2-016</x:v>
      </x:c>
      <x:c r="B17" s="22" t="str">
        <x:v>Schedule H1 separate register</x:v>
      </x:c>
      <x:c r="C17" s="22" t="str">
        <x:v>COMP022/114</x:v>
      </x:c>
      <x:c r="D17" s="22" t="str">
        <x:v>Separate H1 register with named particulars; retain three years and open to inspection.</x:v>
      </x:c>
      <x:c r="E17" s="22" t="str">
        <x:v>Rule 65(3)(1)(h)</x:v>
      </x:c>
      <x:c r="F17" s="22" t="str">
        <x:v>Applicable</x:v>
      </x:c>
      <x:c r="G17" s="22" t="str">
        <x:v>Any H1 supplier</x:v>
      </x:c>
      <x:c r="H17" s="22" t="str">
        <x:v>COMP114 canonical; validated audit/evidence added</x:v>
      </x:c>
      <x:c r="I17" s="22" t="str">
        <x:v>Current</x:v>
      </x:c>
    </x:row>
    <x:row r="18">
      <x:c r="A18" s="28" t="str">
        <x:v>CS-P2-017</x:v>
      </x:c>
      <x:c r="B18" s="22" t="str">
        <x:v>Preserve Schedule H1 prescriptions</x:v>
      </x:c>
      <x:c r="C18" s="22" t="str">
        <x:v>PROV115/COMP115</x:v>
      </x:c>
      <x:c r="D18" s="22" t="str">
        <x:v>The explicit H1 rule is three-year retention of the H1 register; duplicate-prescription retention is Schedule X. Signed institutional orders have separate two-year retention.</x:v>
      </x:c>
      <x:c r="E18" s="22" t="str">
        <x:v>Rule 65(3)(1)(h); Rule 65(9)</x:v>
      </x:c>
      <x:c r="F18" s="22" t="str">
        <x:v>Incorrect Extraction</x:v>
      </x:c>
      <x:c r="G18" s="22" t="str">
        <x:v>Any H1/X/institutional supplier by trigger</x:v>
      </x:c>
      <x:c r="H18" s="22" t="str">
        <x:v>PROV115 repurposed to wholesale memo retention; retention matrix corrected</x:v>
      </x:c>
      <x:c r="I18" s="22" t="str">
        <x:v>Current</x:v>
      </x:c>
    </x:row>
    <x:row r="19">
      <x:c r="A19" s="28" t="str">
        <x:v>CS-P2-018</x:v>
      </x:c>
      <x:c r="B19" s="22" t="str">
        <x:v>Monthly review of H1 medicines as statutory</x:v>
      </x:c>
      <x:c r="C19" s="22" t="str">
        <x:v>PROV116/COMP116</x:v>
      </x:c>
      <x:c r="D19" s="22" t="str">
        <x:v>No standalone monthly review duty was found in Rule 65; a risk-based reconciliation is useful internal control.</x:v>
      </x:c>
      <x:c r="E19" s="22" t="str">
        <x:v>Rule 65 review; GPP/internal control</x:v>
      </x:c>
      <x:c r="F19" s="22" t="str">
        <x:v>Best Practice</x:v>
      </x:c>
      <x:c r="G19" s="22" t="str">
        <x:v>H1/X handlers</x:v>
      </x:c>
      <x:c r="H19" s="22" t="str">
        <x:v>Reclassified to LAW059/Best Practice</x:v>
      </x:c>
      <x:c r="I19" s="22" t="str">
        <x:v>Current</x:v>
      </x:c>
    </x:row>
    <x:row r="20">
      <x:c r="A20" s="28" t="str">
        <x:v>CS-P2-019</x:v>
      </x:c>
      <x:c r="B20" s="22" t="str">
        <x:v>Schedule X locked/restricted storage</x:v>
      </x:c>
      <x:c r="C20" s="22" t="str">
        <x:v>PROV117/COMP117</x:v>
      </x:c>
      <x:c r="D20" s="22" t="str">
        <x:v>Schedule X storage must be locked/dedicated or separated with responsible-person-only access.</x:v>
      </x:c>
      <x:c r="E20" s="22" t="str">
        <x:v>Rule 65(12)</x:v>
      </x:c>
      <x:c r="F20" s="22" t="str">
        <x:v>Applicable</x:v>
      </x:c>
      <x:c r="G20" s="22" t="str">
        <x:v>Any Schedule X handler</x:v>
      </x:c>
      <x:c r="H20" s="22" t="str">
        <x:v>Retained and corrected</x:v>
      </x:c>
      <x:c r="I20" s="22" t="str">
        <x:v>Current</x:v>
      </x:c>
    </x:row>
    <x:row r="21">
      <x:c r="A21" s="28" t="str">
        <x:v>CS-P2-020</x:v>
      </x:c>
      <x:c r="B21" s="22" t="str">
        <x:v>Schedule X purchase and sale register</x:v>
      </x:c>
      <x:c r="C21" s="22" t="str">
        <x:v>PROV118/COMP118</x:v>
      </x:c>
      <x:c r="D21" s="22" t="str">
        <x:v>Bound serially page-numbered, separate pages per drug, all Rule 65(21) particulars.</x:v>
      </x:c>
      <x:c r="E21" s="22" t="str">
        <x:v>Rule 65(21)</x:v>
      </x:c>
      <x:c r="F21" s="22" t="str">
        <x:v>Applicable</x:v>
      </x:c>
      <x:c r="G21" s="22" t="str">
        <x:v>Any Schedule X handler</x:v>
      </x:c>
      <x:c r="H21" s="22" t="str">
        <x:v>Retained and corrected</x:v>
      </x:c>
      <x:c r="I21" s="22" t="str">
        <x:v>Current</x:v>
      </x:c>
    </x:row>
    <x:row r="22">
      <x:c r="A22" s="28" t="str">
        <x:v>CS-P2-021</x:v>
      </x:c>
      <x:c r="B22" s="22" t="str">
        <x:v>Schedule X prescription retention</x:v>
      </x:c>
      <x:c r="C22" s="22" t="str">
        <x:v>PROV119/COMP119</x:v>
      </x:c>
      <x:c r="D22" s="22" t="str">
        <x:v>Prescription in duplicate; one copy retained two years.</x:v>
      </x:c>
      <x:c r="E22" s="22" t="str">
        <x:v>Rule 65(9)(a)</x:v>
      </x:c>
      <x:c r="F22" s="22" t="str">
        <x:v>Applicable</x:v>
      </x:c>
      <x:c r="G22" s="22" t="str">
        <x:v>Any Schedule X retail supplier</x:v>
      </x:c>
      <x:c r="H22" s="22" t="str">
        <x:v>Moved to COMP022; PROV119 used for prescription particulars</x:v>
      </x:c>
      <x:c r="I22" s="22" t="str">
        <x:v>Current</x:v>
      </x:c>
    </x:row>
    <x:row r="23">
      <x:c r="A23" s="28" t="str">
        <x:v>CS-P2-022</x:v>
      </x:c>
      <x:c r="B23" s="22" t="str">
        <x:v>Registered pharmacist supervision</x:v>
      </x:c>
      <x:c r="C23" s="22" t="str">
        <x:v>Generic existing controls</x:v>
      </x:c>
      <x:c r="D23" s="22" t="str">
        <x:v>Compounding and non-wholesale prescription supply require registered-pharmacist personal supervision.</x:v>
      </x:c>
      <x:c r="E23" s="22" t="str">
        <x:v>Rule 65(1)-(2)</x:v>
      </x:c>
      <x:c r="F23" s="22" t="str">
        <x:v>Applicable</x:v>
      </x:c>
      <x:c r="G23" s="22" t="str">
        <x:v>Retail/Hospital/Chain/E-Pharmacy/Specialized</x:v>
      </x:c>
      <x:c r="H23" s="22" t="str">
        <x:v>PROV015/COMP015 corrected</x:v>
      </x:c>
      <x:c r="I23" s="22" t="str">
        <x:v>Current</x:v>
      </x:c>
    </x:row>
    <x:row r="24">
      <x:c r="A24" s="28" t="str">
        <x:v>CS-P2-023</x:v>
      </x:c>
      <x:c r="B24" s="22" t="str">
        <x:v>Generic statutory retention period</x:v>
      </x:c>
      <x:c r="C24" s="22" t="str">
        <x:v>Legacy AUD027/AUD164</x:v>
      </x:c>
      <x:c r="D24" s="22" t="str">
        <x:v>Retention is not one universal period: H1 register 3 years; wholesale memo copies 3 years; X duplicate prescriptions and signed institutional orders 2 years; general records at least 2 years.</x:v>
      </x:c>
      <x:c r="E24" s="22" t="str">
        <x:v>Rule 65(3)(1)(h),(5)(2),(7),(9)</x:v>
      </x:c>
      <x:c r="F24" s="22" t="str">
        <x:v>Incorrect Extraction</x:v>
      </x:c>
      <x:c r="G24" s="22" t="str">
        <x:v>All licensees by record type</x:v>
      </x:c>
      <x:c r="H24" s="22" t="str">
        <x:v>Retention matrix and rescued audits corrected</x:v>
      </x:c>
      <x:c r="I24" s="22" t="str">
        <x:v>Current</x:v>
      </x:c>
    </x:row>
    <x:row r="25">
      <x:c r="A25" s="28" t="str">
        <x:v>CS-P2-024</x:v>
      </x:c>
      <x:c r="B25" s="22" t="str">
        <x:v>Schedule H dispensing register</x:v>
      </x:c>
      <x:c r="C25" s="22" t="str">
        <x:v>EVD180</x:v>
      </x:c>
      <x:c r="D25" s="22" t="str">
        <x:v>No universal Schedule H-only register was found; Rule 65(3) prescription register/memo rules and H1/X special records must be applied precisely.</x:v>
      </x:c>
      <x:c r="E25" s="22" t="str">
        <x:v>Rule 65(3), (21)</x:v>
      </x:c>
      <x:c r="F25" s="22" t="str">
        <x:v>Incorrect Extraction</x:v>
      </x:c>
      <x:c r="G25" s="22" t="str">
        <x:v>Retail dispensing</x:v>
      </x:c>
      <x:c r="H25" s="22" t="str">
        <x:v>EVD180 corrected</x:v>
      </x:c>
      <x:c r="I25" s="22" t="str">
        <x:v>Current</x:v>
      </x:c>
    </x:row>
    <x:row r="26">
      <x:c r="A26" s="28" t="str">
        <x:v>CS-P2-025</x:v>
      </x:c>
      <x:c r="B26" s="22" t="str">
        <x:v>Schedule H inventory reconciliation as statute</x:v>
      </x:c>
      <x:c r="C26" s="22" t="str">
        <x:v>AUD167</x:v>
      </x:c>
      <x:c r="D26" s="22" t="str">
        <x:v>Inventory reconciliation is a best-practice control; H1/X statutory records can support it.</x:v>
      </x:c>
      <x:c r="E26" s="22" t="str">
        <x:v>Rule 65; internal control</x:v>
      </x:c>
      <x:c r="F26" s="22" t="str">
        <x:v>Best Practice</x:v>
      </x:c>
      <x:c r="G26" s="22" t="str">
        <x:v>H/H1/X handlers</x:v>
      </x:c>
      <x:c r="H26" s="22" t="str">
        <x:v>AUD167 rescued under COMP116</x:v>
      </x:c>
      <x:c r="I26" s="22" t="str">
        <x:v>Current</x:v>
      </x:c>
    </x:row>
    <x:row r="27">
      <x:c r="A27" s="28" t="str">
        <x:v>CS-P2-026</x:v>
      </x:c>
      <x:c r="B27" s="22" t="str">
        <x:v>Prominent display of licence</x:v>
      </x:c>
      <x:c r="C27" s="22" t="str">
        <x:v>Generic Rule 67 extraction</x:v>
      </x:c>
      <x:c r="D27" s="22" t="str">
        <x:v>Display requirements are contained in the applicable licence Forms, not Rule 67.</x:v>
      </x:c>
      <x:c r="E27" s="22" t="str">
        <x:v>Forms 20/20A/20B/20F/20G/21/21A/21B</x:v>
      </x:c>
      <x:c r="F27" s="22" t="str">
        <x:v>Applicable</x:v>
      </x:c>
      <x:c r="G27" s="22" t="str">
        <x:v>Licensed premises/vehicle</x:v>
      </x:c>
      <x:c r="H27" s="22" t="str">
        <x:v>PROV282/COMP257 added</x:v>
      </x:c>
      <x:c r="I27" s="22" t="str">
        <x:v>Current</x:v>
      </x:c>
    </x:row>
    <x:row r="28">
      <x:c r="A28" s="28" t="str">
        <x:v>CS-P2-027</x:v>
      </x:c>
      <x:c r="B28" s="22" t="str">
        <x:v>Inspection Book</x:v>
      </x:c>
      <x:c r="C28" s="22" t="str">
        <x:v>Missing</x:v>
      </x:c>
      <x:c r="D28" s="22" t="str">
        <x:v>Maintain Form 35 Inspection Book.</x:v>
      </x:c>
      <x:c r="E28" s="22" t="str">
        <x:v>Rule 65(16)</x:v>
      </x:c>
      <x:c r="F28" s="22" t="str">
        <x:v>Applicable</x:v>
      </x:c>
      <x:c r="G28" s="22" t="str">
        <x:v>Part VI licensees</x:v>
      </x:c>
      <x:c r="H28" s="22" t="str">
        <x:v>PROV276/COMP251 chain added</x:v>
      </x:c>
      <x:c r="I28" s="22" t="str">
        <x:v>Current</x:v>
      </x:c>
    </x:row>
    <x:row r="29">
      <x:c r="A29" s="28" t="str">
        <x:v>CS-P2-028</x:v>
      </x:c>
      <x:c r="B29" s="22" t="str">
        <x:v>Expired stock segregation and 'Not for sale' marking</x:v>
      </x:c>
      <x:c r="C29" s="22" t="str">
        <x:v>Missing</x:v>
      </x:c>
      <x:c r="D29" s="22" t="str">
        <x:v>No sale after expiry; pending return/disposal stock is segregated and cartons marked 'Not for sale'.</x:v>
      </x:c>
      <x:c r="E29" s="22" t="str">
        <x:v>Rule 65(17)</x:v>
      </x:c>
      <x:c r="F29" s="22" t="str">
        <x:v>Applicable</x:v>
      </x:c>
      <x:c r="G29" s="22" t="str">
        <x:v>All physical stock holders</x:v>
      </x:c>
      <x:c r="H29" s="22" t="str">
        <x:v>PROV277/COMP252 chain added</x:v>
      </x:c>
      <x:c r="I29" s="22" t="str">
        <x:v>Current</x:v>
      </x:c>
    </x:row>
    <x:row r="30">
      <x:c r="A30" s="28" t="str">
        <x:v>CS-P2-029</x:v>
      </x:c>
      <x:c r="B30" s="22" t="str">
        <x:v>Sale and purchase records</x:v>
      </x:c>
      <x:c r="C30" s="22" t="str">
        <x:v>Generic COMP016</x:v>
      </x:c>
      <x:c r="D30" s="22" t="str">
        <x:v>Rule 65(3)-(5) differentiates prescription, retail and wholesale records and required particulars.</x:v>
      </x:c>
      <x:c r="E30" s="22" t="str">
        <x:v>Rule 65(3)-(5)</x:v>
      </x:c>
      <x:c r="F30" s="22" t="str">
        <x:v>Applicable</x:v>
      </x:c>
      <x:c r="G30" s="22" t="str">
        <x:v>Retail/Wholesale/Hospital/Chain/E-Pharmacy/Institutional/Specialized</x:v>
      </x:c>
      <x:c r="H30" s="22" t="str">
        <x:v>PROV016/COMP016 decomposed and validated</x:v>
      </x:c>
      <x:c r="I30" s="22" t="str">
        <x:v>Current</x:v>
      </x:c>
    </x:row>
    <x:row r="31">
      <x:c r="A31" s="28" t="str">
        <x:v>CS-P2-030</x:v>
      </x:c>
      <x:c r="B31" s="22" t="str">
        <x:v>Inspection every three years</x:v>
      </x:c>
      <x:c r="C31" s="22" t="str">
        <x:v>Missing</x:v>
      </x:c>
      <x:c r="D31" s="22" t="str">
        <x:v>The licensing authority causes inspection not less than once in three years or as needed on a risk basis; pharmacy control is continuous readiness.</x:v>
      </x:c>
      <x:c r="E31" s="22" t="str">
        <x:v>Rule 65B</x:v>
      </x:c>
      <x:c r="F31" s="22" t="str">
        <x:v>Applicable</x:v>
      </x:c>
      <x:c r="G31" s="22" t="str">
        <x:v>Part VI licensees</x:v>
      </x:c>
      <x:c r="H31" s="22" t="str">
        <x:v>PROV281/COMP256 chain added</x:v>
      </x:c>
      <x:c r="I31" s="22" t="str">
        <x:v>Current</x:v>
      </x:c>
    </x:row>
    <x:row r="32">
      <x:c r="A32" s="28" t="str">
        <x:v>CS-P2-031</x:v>
      </x:c>
      <x:c r="B32" s="22" t="str">
        <x:v>Schedule H2 QR/barcode as direct pharmacy duty</x:v>
      </x:c>
      <x:c r="C32" s="22" t="str">
        <x:v>Missing</x:v>
      </x:c>
      <x:c r="D32" s="22" t="str">
        <x:v>Primary obligation is on manufacturers; pharmacy has indirect Rule 95/receipt-control exposure.</x:v>
      </x:c>
      <x:c r="E32" s="22" t="str">
        <x:v>Rule 96(6)-(7); Schedule H2</x:v>
      </x:c>
      <x:c r="F32" s="22" t="str">
        <x:v>Conditional</x:v>
      </x:c>
      <x:c r="G32" s="22" t="str">
        <x:v>Any stocking H2 formulations</x:v>
      </x:c>
      <x:c r="H32" s="22" t="str">
        <x:v>PROV025/COMP025 added as conditional/indirect</x:v>
      </x:c>
      <x:c r="I32" s="22" t="str">
        <x:v>Current</x:v>
      </x:c>
    </x:row>
    <x:row r="33">
      <x:c r="A33" s="28" t="str">
        <x:v>CS-P2-032</x:v>
      </x:c>
      <x:c r="B33" s="22" t="str">
        <x:v>2026 Schedule H2 Table 2 expansion</x:v>
      </x:c>
      <x:c r="C33" s="22" t="str">
        <x:v>New notification</x:v>
      </x:c>
      <x:c r="D33" s="22" t="str">
        <x:v>Final notification is future-effective: 01-07-2027, except antimicrobials 01-07-2028.</x:v>
      </x:c>
      <x:c r="E33" s="22" t="str">
        <x:v>G.S.R. 506(E), 22-06-2026</x:v>
      </x:c>
      <x:c r="F33" s="22" t="str">
        <x:v>Conditional</x:v>
      </x:c>
      <x:c r="G33" s="22" t="str">
        <x:v>All pharmacies stocking affected categories after commencement</x:v>
      </x:c>
      <x:c r="H33" s="22" t="str">
        <x:v>Tracked in Amendment Register; not current duty</x:v>
      </x:c>
      <x:c r="I33" s="22" t="str">
        <x:v>Future Effective</x:v>
      </x:c>
    </x:row>
    <x:row r="34">
      <x:c r="A34" s="28" t="str">
        <x:v>CS-P2-033</x:v>
      </x:c>
      <x:c r="B34" s="22" t="str">
        <x:v>Alcohol-containing oral formulations moved into H1</x:v>
      </x:c>
      <x:c r="C34" s="22" t="str">
        <x:v>New notification</x:v>
      </x:c>
      <x:c r="D34" s="22" t="str">
        <x:v>G.S.R. 607(E) is final but commences six months after publication; it is not current at the 20-08-2026 cutoff.</x:v>
      </x:c>
      <x:c r="E34" s="22" t="str">
        <x:v>G.S.R. 607(E), 08-07-2026</x:v>
      </x:c>
      <x:c r="F34" s="22" t="str">
        <x:v>Conditional</x:v>
      </x:c>
      <x:c r="G34" s="22" t="str">
        <x:v>Affected retail/institutional/specialized pharmacies after commencement</x:v>
      </x:c>
      <x:c r="H34" s="22" t="str">
        <x:v>Transition tracked; not activated as current</x:v>
      </x:c>
      <x:c r="I34" s="22" t="str">
        <x:v>Future Effective</x:v>
      </x:c>
    </x:row>
    <x:row r="35">
      <x:c r="A35" s="28" t="str">
        <x:v>CS-P2-034</x:v>
      </x:c>
      <x:c r="B35" s="22" t="str">
        <x:v>Homeopathic sale licensing and records</x:v>
      </x:c>
      <x:c r="C35" s="22" t="str">
        <x:v>Missing</x:v>
      </x:c>
      <x:c r="D35" s="22" t="str">
        <x:v>Rules 67A-67H and Forms 19B/20C/20D govern Homeopathic retail/wholesale sale and records.</x:v>
      </x:c>
      <x:c r="E35" s="22" t="str">
        <x:v>Rules 67A-67H</x:v>
      </x:c>
      <x:c r="F35" s="22" t="str">
        <x:v>Applicable</x:v>
      </x:c>
      <x:c r="G35" s="22" t="str">
        <x:v>Homeopathic Pharmacy</x:v>
      </x:c>
      <x:c r="H35" s="22" t="str">
        <x:v>PROV286-288 / COMP261-263 chains added</x:v>
      </x:c>
      <x:c r="I35" s="22" t="str">
        <x:v>Current</x:v>
      </x:c>
    </x:row>
    <x:row r="36">
      <x:c r="A36" s="28" t="str">
        <x:v>CS-P2-035</x:v>
      </x:c>
      <x:c r="B36" s="22" t="str">
        <x:v>Apply ASU manufacturing rules to ordinary AYUSH Pharmacy sale</x:v>
      </x:c>
      <x:c r="C36" s="22" t="str">
        <x:v>Potential checklist gap</x:v>
      </x:c>
      <x:c r="D36" s="22" t="str">
        <x:v>Part XVI primarily governs manufacture/testing; it must not be imposed on ordinary sale absent the relevant activity/licence trigger.</x:v>
      </x:c>
      <x:c r="E36" s="22" t="str">
        <x:v>Part XVI</x:v>
      </x:c>
      <x:c r="F36" s="22" t="str">
        <x:v>Out-of-Scope</x:v>
      </x:c>
      <x:c r="G36" s="22" t="str">
        <x:v>Manufacturer/testing-lab taxonomy gap</x:v>
      </x:c>
      <x:c r="H36" s="22" t="str">
        <x:v>Excluded; no taxonomy expansion</x:v>
      </x:c>
      <x:c r="I36" s="22" t="str">
        <x:v>Current</x:v>
      </x:c>
    </x:row>
    <x:row r="37">
      <x:c r="A37" s="28" t="str">
        <x:v>CS-P2-036</x:v>
      </x:c>
      <x:c r="B37" s="22" t="str">
        <x:v>Import/manufacture/test-licence provisions applied to pharmacy by default</x:v>
      </x:c>
      <x:c r="C37" s="22" t="str">
        <x:v>LAW066/067 and recent notifications</x:v>
      </x:c>
      <x:c r="D37" s="22" t="str">
        <x:v>Valid provisions, but current taxonomy lacks importer/manufacturer/testing-lab entity types unless an activity flag is approved.</x:v>
      </x:c>
      <x:c r="E37" s="22" t="str">
        <x:v>Parts III/IV/VII/VIII; Rules 43A, 68 onward, 89</x:v>
      </x:c>
      <x:c r="F37" s="22" t="str">
        <x:v>Out-of-Scope</x:v>
      </x:c>
      <x:c r="G37" s="22" t="str">
        <x:v>Potential taxonomy gaps</x:v>
      </x:c>
      <x:c r="H37" s="22" t="str">
        <x:v>LAW066/067 retired; exclusions retained</x:v>
      </x:c>
      <x:c r="I37" s="22" t="str">
        <x:v>Current</x:v>
      </x:c>
    </x:row>
    <x:row r="38">
      <x:c r="A38" s="28" t="str">
        <x:v>CS-P2-037</x:v>
      </x:c>
      <x:c r="B38" s="22" t="str">
        <x:v>Standalone E-Pharmacy Guidelines treated as final law</x:v>
      </x:c>
      <x:c r="C38" s="22" t="str">
        <x:v>LAW014</x:v>
      </x:c>
      <x:c r="D38" s="22" t="str">
        <x:v>No validated final standalone e-pharmacy instrument was established; existing Drugs Rules and other applicable law continue to apply.</x:v>
      </x:c>
      <x:c r="E38" s="22" t="str">
        <x:v>Current official Gazette/source review</x:v>
      </x:c>
      <x:c r="F38" s="22" t="str">
        <x:v>Needs Legal Review</x:v>
      </x:c>
      <x:c r="G38" s="22" t="str">
        <x:v>E-Pharmacy</x:v>
      </x:c>
      <x:c r="H38" s="22" t="str">
        <x:v>LAW014 retired; monitor final notification only</x:v>
      </x:c>
      <x:c r="I38" s="22" t="str">
        <x:v>Current</x:v>
      </x:c>
    </x:row>
    <x:row r="39">
      <x:c r="A39" s="28" t="str">
        <x:v>CS-P2-038</x:v>
      </x:c>
      <x:c r="B39" s="22" t="str">
        <x:v>Clinical dosage/appropriateness review extracted as Rule 65</x:v>
      </x:c>
      <x:c r="C39" s="22" t="str">
        <x:v>Quarantined AUD162/163</x:v>
      </x:c>
      <x:c r="D39" s="22" t="str">
        <x:v>Clinical appropriateness is a Pharmacy Practice Regulations/professional-practice control, not the text of Rule 65(10).</x:v>
      </x:c>
      <x:c r="E39" s="22" t="str">
        <x:v>PPR 2015; Rule 65(10)</x:v>
      </x:c>
      <x:c r="F39" s="22" t="str">
        <x:v>Incorrect Extraction</x:v>
      </x:c>
      <x:c r="G39" s="22" t="str">
        <x:v>Registered pharmacists</x:v>
      </x:c>
      <x:c r="H39" s="22" t="str">
        <x:v>AUD162/163 rescued under COMP163</x:v>
      </x:c>
      <x:c r="I39" s="22" t="str">
        <x:v>Current</x:v>
      </x:c>
    </x:row>
    <x:row r="40">
      <x:c r="A40" s="28" t="str">
        <x:v>CS-P2-039</x:v>
      </x:c>
      <x:c r="B40" s="22" t="str">
        <x:v>Free-sample/scheme-marked stock</x:v>
      </x:c>
      <x:c r="C40" s="22" t="str">
        <x:v>Missing</x:v>
      </x:c>
      <x:c r="D40" s="22" t="str">
        <x:v>Sale/stock is prohibited subject to express approved-chemist/authorized-depot exceptions with segregation and records.</x:v>
      </x:c>
      <x:c r="E40" s="22" t="str">
        <x:v>Rule 65(18)</x:v>
      </x:c>
      <x:c r="F40" s="22" t="str">
        <x:v>Applicable</x:v>
      </x:c>
      <x:c r="G40" s="22" t="str">
        <x:v>All stock holders; exceptions conditional</x:v>
      </x:c>
      <x:c r="H40" s="22" t="str">
        <x:v>PROV278/COMP253 chain added</x:v>
      </x:c>
      <x:c r="I40" s="22" t="str">
        <x:v>Current</x:v>
      </x:c>
    </x:row>
    <x:row r="41">
      <x:c r="A41" s="28" t="str">
        <x:v>CS-P2-040</x:v>
      </x:c>
      <x:c r="B41" s="22" t="str">
        <x:v>Veterinary drug warning and segregation</x:v>
      </x:c>
      <x:c r="C41" s="22" t="str">
        <x:v>Missing</x:v>
      </x:c>
      <x:c r="D41" s="22" t="str">
        <x:v>Specific warning and dedicated/customer-inaccessible storage required.</x:v>
      </x:c>
      <x:c r="E41" s="22" t="str">
        <x:v>Rule 65(20)</x:v>
      </x:c>
      <x:c r="F41" s="22" t="str">
        <x:v>Conditional</x:v>
      </x:c>
      <x:c r="G41" s="22" t="str">
        <x:v>Specialized/any veterinary-stock holder</x:v>
      </x:c>
      <x:c r="H41" s="22" t="str">
        <x:v>PROV280/COMP255 chain added</x:v>
      </x:c>
      <x:c r="I41" s="22" t="str">
        <x:v>Current</x:v>
      </x:c>
    </x:row>
    <x:row r="42">
      <x:c r="A42" s="28" t="str">
        <x:v>CS-P2-041</x:v>
      </x:c>
      <x:c r="B42" s="22" t="str">
        <x:v>Institutional scheduled-drug supply signed orders</x:v>
      </x:c>
      <x:c r="C42" s="22" t="str">
        <x:v>Missing</x:v>
      </x:c>
      <x:c r="D42" s="22" t="str">
        <x:v>Supply to RMPs/hospitals/dispensaries/nursing homes requires signed written order retained two years.</x:v>
      </x:c>
      <x:c r="E42" s="22" t="str">
        <x:v>Rule 65(9)(b)</x:v>
      </x:c>
      <x:c r="F42" s="22" t="str">
        <x:v>Conditional</x:v>
      </x:c>
      <x:c r="G42" s="22" t="str">
        <x:v>Wholesale/Institutional/Hospital/Specialized</x:v>
      </x:c>
      <x:c r="H42" s="22" t="str">
        <x:v>PROV290/COMP265 chain added</x:v>
      </x:c>
      <x:c r="I42" s="22" t="str">
        <x:v>Current</x:v>
      </x:c>
    </x:row>
    <x:row r="43">
      <x:c r="A43" s="28" t="str">
        <x:v>CS-P2-042</x:v>
      </x:c>
      <x:c r="B43" s="22" t="str">
        <x:v>Restricted licences</x:v>
      </x:c>
      <x:c r="C43" s="22" t="str">
        <x:v>Missing</x:v>
      </x:c>
      <x:c r="D43" s="22" t="str">
        <x:v>Forms 20A/21A are discretionary and limited to drugs not requiring qualified-person supervision.</x:v>
      </x:c>
      <x:c r="E43" s="22" t="str">
        <x:v>Rules 62A-62B</x:v>
      </x:c>
      <x:c r="F43" s="22" t="str">
        <x:v>Conditional</x:v>
      </x:c>
      <x:c r="G43" s="22" t="str">
        <x:v>Retail by licence class</x:v>
      </x:c>
      <x:c r="H43" s="22" t="str">
        <x:v>PROV284/COMP259 chain added</x:v>
      </x:c>
      <x:c r="I43" s="22" t="str">
        <x:v>Current</x:v>
      </x:c>
    </x:row>
    <x:row r="44">
      <x:c r="A44" s="28" t="str">
        <x:v>CS-P2-043</x:v>
      </x:c>
      <x:c r="B44" s="22" t="str">
        <x:v>Motor-vehicle wholesale/distribution</x:v>
      </x:c>
      <x:c r="C44" s="22" t="str">
        <x:v>Missing</x:v>
      </x:c>
      <x:c r="D44" s="22" t="str">
        <x:v>Forms 19AA/20BB/21BB apply when the covered activity exists.</x:v>
      </x:c>
      <x:c r="E44" s="22" t="str">
        <x:v>Rules 62C-62D</x:v>
      </x:c>
      <x:c r="F44" s="22" t="str">
        <x:v>Conditional</x:v>
      </x:c>
      <x:c r="G44" s="22" t="str">
        <x:v>Wholesale</x:v>
      </x:c>
      <x:c r="H44" s="22" t="str">
        <x:v>PROV285/COMP260 chain added</x:v>
      </x:c>
      <x:c r="I44" s="22" t="str">
        <x:v>Current</x:v>
      </x:c>
    </x:row>
    <x:row r="45">
      <x:c r="A45" s="28" t="str">
        <x:v>CS-P2-044</x:v>
      </x:c>
      <x:c r="B45" s="22" t="str">
        <x:v>Debarment for misleading/fake/fabricated licence material</x:v>
      </x:c>
      <x:c r="C45" s="22" t="str">
        <x:v>New notification</x:v>
      </x:c>
      <x:c r="D45" s="22" t="str">
        <x:v>Rule 66B is current from 30-07-2026.</x:v>
      </x:c>
      <x:c r="E45" s="22" t="str">
        <x:v>G.S.R. 706(E); Rule 66B</x:v>
      </x:c>
      <x:c r="F45" s="22" t="str">
        <x:v>Conditional</x:v>
      </x:c>
      <x:c r="G45" s="22" t="str">
        <x:v>Applicants/licensees</x:v>
      </x:c>
      <x:c r="H45" s="22" t="str">
        <x:v>Included in PROV283/COMP258</x:v>
      </x:c>
      <x:c r="I45" s="22" t="str">
        <x:v>Current</x:v>
      </x:c>
    </x:row>
    <x:row r="46">
      <x:c r="A46" s="28" t="str">
        <x:v>CS-P2-045</x:v>
      </x:c>
      <x:c r="B46" s="22" t="str">
        <x:v>2026 FDC prohibitions treated as Drugs Rules provisions</x:v>
      </x:c>
      <x:c r="C46" s="22" t="str">
        <x:v>Current Gazette orders</x:v>
      </x:c>
      <x:c r="D46" s="22" t="str">
        <x:v>Product prohibitions are Section 26A orders; they affect stock/sale but must not be mapped as a Rule 65 sub-rule.</x:v>
      </x:c>
      <x:c r="E46" s="22" t="str">
        <x:v>S.O. 3068(E)-3083(E)</x:v>
      </x:c>
      <x:c r="F46" s="22" t="str">
        <x:v>Applicable</x:v>
      </x:c>
      <x:c r="G46" s="22" t="str">
        <x:v>All if affected stock exists</x:v>
      </x:c>
      <x:c r="H46" s="22" t="str">
        <x:v>Tracked as event/product source outside Rule chain</x:v>
      </x:c>
      <x:c r="I46" s="22" t="str">
        <x:v>Current</x:v>
      </x:c>
    </x:row>
    <x:row r="47">
      <x:c r="A47" s="28" t="str">
        <x:v>CS-P2-046</x:v>
      </x:c>
      <x:c r="B47" s="22" t="str">
        <x:v>Schedule N pharmacy equipment/premises</x:v>
      </x:c>
      <x:c r="C47" s="22" t="str">
        <x:v>Missing</x:v>
      </x:c>
      <x:c r="D47" s="22" t="str">
        <x:v>Rule 64 links Form 20/21 pharmacy grant to Schedule N requirements.</x:v>
      </x:c>
      <x:c r="E47" s="22" t="str">
        <x:v>Rule 64(1); Schedule N</x:v>
      </x:c>
      <x:c r="F47" s="22" t="str">
        <x:v>Applicable</x:v>
      </x:c>
      <x:c r="G47" s="22" t="str">
        <x:v>Retail/Hospital/Chain/E-Pharmacy premises where Form 20/21 pharmacy</x:v>
      </x:c>
      <x:c r="H47" s="22" t="str">
        <x:v>PROV289/COMP264 chain added</x:v>
      </x:c>
      <x:c r="I47" s="22" t="str">
        <x:v>Current</x:v>
      </x:c>
    </x:row>
    <x:row r="48">
      <x:c r="A48" s="28" t="str">
        <x:v>CS-P2-047</x:v>
      </x:c>
      <x:c r="B48" s="22" t="str">
        <x:v>Duplicate legacy statutory chains</x:v>
      </x:c>
      <x:c r="C48" s="22" t="str">
        <x:v>Multiple COMP/AUD rows</x:v>
      </x:c>
      <x:c r="D48" s="22" t="str">
        <x:v>Overlapping prescription/H1/X records were mis-parented or duplicated and their audits tested unrelated commercial controls.</x:v>
      </x:c>
      <x:c r="E48" s="22" t="str">
        <x:v>P-2 chain reconciliation</x:v>
      </x:c>
      <x:c r="F48" s="22" t="str">
        <x:v>Duplicate</x:v>
      </x:c>
      <x:c r="G48" s="22" t="str">
        <x:v>All</x:v>
      </x:c>
      <x:c r="H48" s="22" t="str">
        <x:v>48 legacy audits quarantined; clean audit/evidence/observation chains added</x:v>
      </x:c>
      <x:c r="I48" s="22" t="str">
        <x:v>Current</x:v>
      </x:c>
    </x:row>
  </x:sheetData>
  <x:conditionalFormatting sqref="F2:F48">
    <x:cfRule type="containsText" dxfId="0" priority="1" operator="containsText" text="Applicable"/>
    <x:cfRule type="containsText" dxfId="1" priority="2" operator="containsText" text="Incorrect"/>
    <x:cfRule type="containsText" dxfId="2" priority="3" operator="containsText" text="Out-of-Scope"/>
    <x:cfRule type="containsText" dxfId="3" priority="4" operator="containsText" text="Future"/>
  </x:conditionalFormatting>
  <x:pageMargins left="0.7" right="0.7" top="0.75" bottom="0.75" header="0.3" footer="0.3"/>
  <x:tableParts count="1">
    <x:tablePart xmlns:r="http://schemas.openxmlformats.org/officeDocument/2006/relationships" r:id="R0ec721fc410045e6"/>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24" hidden="0" customWidth="1"/>
    <x:col min="4" max="4" width="46" hidden="0" customWidth="1"/>
    <x:col min="5" max="5" width="20" hidden="0" customWidth="1"/>
    <x:col min="6" max="6" width="36" hidden="0" customWidth="1"/>
    <x:col min="7" max="7" width="30" hidden="0" customWidth="1"/>
    <x:col min="8" max="8" width="26" hidden="0" customWidth="1"/>
    <x:col min="9" max="9" width="22" hidden="0" customWidth="1"/>
  </x:cols>
  <x:sheetData>
    <x:row r="1" ht="30" customHeight="1">
      <x:c r="A1" s="27" t="str">
        <x:v>Coverage ID</x:v>
      </x:c>
      <x:c r="B1" s="27" t="str">
        <x:v>Part / Topic</x:v>
      </x:c>
      <x:c r="C1" s="27" t="str">
        <x:v>Rule / Schedule / Form</x:v>
      </x:c>
      <x:c r="D1" s="27" t="str">
        <x:v>Authoritative Control</x:v>
      </x:c>
      <x:c r="E1" s="27" t="str">
        <x:v>Applicability</x:v>
      </x:c>
      <x:c r="F1" s="27" t="str">
        <x:v>Applicable Scope</x:v>
      </x:c>
      <x:c r="G1" s="27" t="str">
        <x:v>Production Mapping</x:v>
      </x:c>
      <x:c r="H1" s="27" t="str">
        <x:v>P-2 Status</x:v>
      </x:c>
      <x:c r="I1" s="27" t="str">
        <x:v>Effective Position</x:v>
      </x:c>
    </x:row>
    <x:row r="2">
      <x:c r="A2" s="28" t="str">
        <x:v>COV-001</x:v>
      </x:c>
      <x:c r="B2" s="22" t="str">
        <x:v>Part VI</x:v>
      </x:c>
      <x:c r="C2" s="22" t="str">
        <x:v>Rule 59</x:v>
      </x:c>
      <x:c r="D2" s="22" t="str">
        <x:v>Sale-licence authority/application/duplicate</x:v>
      </x:c>
      <x:c r="E2" s="22" t="str">
        <x:v>Applicable</x:v>
      </x:c>
      <x:c r="F2" s="22" t="str">
        <x:v>All Part VI licensees</x:v>
      </x:c>
      <x:c r="G2" s="22" t="str">
        <x:v>PROV011 / COMP011</x:v>
      </x:c>
      <x:c r="H2" s="22" t="str">
        <x:v>Normalized</x:v>
      </x:c>
      <x:c r="I2" s="22" t="str">
        <x:v>Current</x:v>
      </x:c>
    </x:row>
    <x:row r="3">
      <x:c r="A3" s="28" t="str">
        <x:v>COV-002</x:v>
      </x:c>
      <x:c r="B3" s="22" t="str">
        <x:v>Part VI</x:v>
      </x:c>
      <x:c r="C3" s="22" t="str">
        <x:v>Rule 60</x:v>
      </x:c>
      <x:c r="D3" s="22" t="str">
        <x:v>Delegation by licensing authority</x:v>
      </x:c>
      <x:c r="E3" s="22" t="str">
        <x:v>Reference</x:v>
      </x:c>
      <x:c r="F3" s="22" t="str">
        <x:v>Regulator-side</x:v>
      </x:c>
      <x:c r="G3" s="22" t="str">
        <x:v>Coverage register only</x:v>
      </x:c>
      <x:c r="H3" s="22" t="str">
        <x:v>No operator chain required</x:v>
      </x:c>
      <x:c r="I3" s="22" t="str">
        <x:v>Current</x:v>
      </x:c>
    </x:row>
    <x:row r="4">
      <x:c r="A4" s="28" t="str">
        <x:v>COV-003</x:v>
      </x:c>
      <x:c r="B4" s="22" t="str">
        <x:v>Part VI</x:v>
      </x:c>
      <x:c r="C4" s="22" t="str">
        <x:v>Rule 61</x:v>
      </x:c>
      <x:c r="D4" s="22" t="str">
        <x:v>Forms of licences to sell drugs</x:v>
      </x:c>
      <x:c r="E4" s="22" t="str">
        <x:v>Applicable</x:v>
      </x:c>
      <x:c r="F4" s="22" t="str">
        <x:v>Retail/Wholesale/Hospital/Chain/E-Pharmacy/Institutional/Specialized</x:v>
      </x:c>
      <x:c r="G4" s="22" t="str">
        <x:v>PROV012 / COMP012</x:v>
      </x:c>
      <x:c r="H4" s="22" t="str">
        <x:v>Normalized</x:v>
      </x:c>
      <x:c r="I4" s="22" t="str">
        <x:v>Current</x:v>
      </x:c>
    </x:row>
    <x:row r="5">
      <x:c r="A5" s="28" t="str">
        <x:v>COV-004</x:v>
      </x:c>
      <x:c r="B5" s="22" t="str">
        <x:v>Part VI</x:v>
      </x:c>
      <x:c r="C5" s="22" t="str">
        <x:v>Rule 62</x:v>
      </x:c>
      <x:c r="D5" s="22" t="str">
        <x:v>Separate licence for each place</x:v>
      </x:c>
      <x:c r="E5" s="22" t="str">
        <x:v>Applicable</x:v>
      </x:c>
      <x:c r="F5" s="22" t="str">
        <x:v>All multi-location/place operations</x:v>
      </x:c>
      <x:c r="G5" s="22" t="str">
        <x:v>PROV111 / COMP111</x:v>
      </x:c>
      <x:c r="H5" s="22" t="str">
        <x:v>Normalized</x:v>
      </x:c>
      <x:c r="I5" s="22" t="str">
        <x:v>Current</x:v>
      </x:c>
    </x:row>
    <x:row r="6">
      <x:c r="A6" s="28" t="str">
        <x:v>COV-005</x:v>
      </x:c>
      <x:c r="B6" s="22" t="str">
        <x:v>Part VI</x:v>
      </x:c>
      <x:c r="C6" s="22" t="str">
        <x:v>Rules 62A-62B</x:v>
      </x:c>
      <x:c r="D6" s="22" t="str">
        <x:v>Restricted licences Forms 20A/21A</x:v>
      </x:c>
      <x:c r="E6" s="22" t="str">
        <x:v>Conditional</x:v>
      </x:c>
      <x:c r="F6" s="22" t="str">
        <x:v>Retail by licence class</x:v>
      </x:c>
      <x:c r="G6" s="22" t="str">
        <x:v>PROV284 / COMP259</x:v>
      </x:c>
      <x:c r="H6" s="22" t="str">
        <x:v>Added</x:v>
      </x:c>
      <x:c r="I6" s="22" t="str">
        <x:v>Current</x:v>
      </x:c>
    </x:row>
    <x:row r="7">
      <x:c r="A7" s="28" t="str">
        <x:v>COV-006</x:v>
      </x:c>
      <x:c r="B7" s="22" t="str">
        <x:v>Part VI</x:v>
      </x:c>
      <x:c r="C7" s="22" t="str">
        <x:v>Rules 62C-62D</x:v>
      </x:c>
      <x:c r="D7" s="22" t="str">
        <x:v>Motor-vehicle wholesale/distribution Forms 19AA/20BB/21BB</x:v>
      </x:c>
      <x:c r="E7" s="22" t="str">
        <x:v>Conditional</x:v>
      </x:c>
      <x:c r="F7" s="22" t="str">
        <x:v>Wholesale</x:v>
      </x:c>
      <x:c r="G7" s="22" t="str">
        <x:v>PROV285 / COMP260</x:v>
      </x:c>
      <x:c r="H7" s="22" t="str">
        <x:v>Added</x:v>
      </x:c>
      <x:c r="I7" s="22" t="str">
        <x:v>Current</x:v>
      </x:c>
    </x:row>
    <x:row r="8">
      <x:c r="A8" s="28" t="str">
        <x:v>COV-007</x:v>
      </x:c>
      <x:c r="B8" s="22" t="str">
        <x:v>Part VI</x:v>
      </x:c>
      <x:c r="C8" s="22" t="str">
        <x:v>Rule 63</x:v>
      </x:c>
      <x:c r="D8" s="22" t="str">
        <x:v>Five-year licence retention fee</x:v>
      </x:c>
      <x:c r="E8" s="22" t="str">
        <x:v>Applicable</x:v>
      </x:c>
      <x:c r="F8" s="22" t="str">
        <x:v>Sale licensees</x:v>
      </x:c>
      <x:c r="G8" s="22" t="str">
        <x:v>PROV112 / COMP112</x:v>
      </x:c>
      <x:c r="H8" s="22" t="str">
        <x:v>Normalized</x:v>
      </x:c>
      <x:c r="I8" s="22" t="str">
        <x:v>Current</x:v>
      </x:c>
    </x:row>
    <x:row r="9">
      <x:c r="A9" s="28" t="str">
        <x:v>COV-008</x:v>
      </x:c>
      <x:c r="B9" s="22" t="str">
        <x:v>Part VI</x:v>
      </x:c>
      <x:c r="C9" s="22" t="str">
        <x:v>Rule 64</x:v>
      </x:c>
      <x:c r="D9" s="22" t="str">
        <x:v>Pre-grant premises/storage/competent person/area/Schedule N</x:v>
      </x:c>
      <x:c r="E9" s="22" t="str">
        <x:v>Applicable</x:v>
      </x:c>
      <x:c r="F9" s="22" t="str">
        <x:v>Specified licence forms</x:v>
      </x:c>
      <x:c r="G9" s="22" t="str">
        <x:v>PROV013 / COMP013</x:v>
      </x:c>
      <x:c r="H9" s="22" t="str">
        <x:v>Normalized</x:v>
      </x:c>
      <x:c r="I9" s="22" t="str">
        <x:v>Current</x:v>
      </x:c>
    </x:row>
    <x:row r="10">
      <x:c r="A10" s="28" t="str">
        <x:v>COV-009</x:v>
      </x:c>
      <x:c r="B10" s="22" t="str">
        <x:v>Part VI</x:v>
      </x:c>
      <x:c r="C10" s="22" t="str">
        <x:v>Rule 65</x:v>
      </x:c>
      <x:c r="D10" s="22" t="str">
        <x:v>Conditions of licences — decomposed</x:v>
      </x:c>
      <x:c r="E10" s="22" t="str">
        <x:v>Applicable</x:v>
      </x:c>
      <x:c r="F10" s="22" t="str">
        <x:v>By transaction/activity trigger</x:v>
      </x:c>
      <x:c r="G10" s="22" t="str">
        <x:v>P2 Rule 65 Matrix</x:v>
      </x:c>
      <x:c r="H10" s="22" t="str">
        <x:v>Deep validated</x:v>
      </x:c>
      <x:c r="I10" s="22" t="str">
        <x:v>Current</x:v>
      </x:c>
    </x:row>
    <x:row r="11">
      <x:c r="A11" s="28" t="str">
        <x:v>COV-010</x:v>
      </x:c>
      <x:c r="B11" s="22" t="str">
        <x:v>Part VI</x:v>
      </x:c>
      <x:c r="C11" s="22" t="str">
        <x:v>Rule 65A</x:v>
      </x:c>
      <x:c r="D11" s="22" t="str">
        <x:v>Additional licence information on demand</x:v>
      </x:c>
      <x:c r="E11" s="22" t="str">
        <x:v>Applicable</x:v>
      </x:c>
      <x:c r="F11" s="22" t="str">
        <x:v>Applicants/licensees</x:v>
      </x:c>
      <x:c r="G11" s="22" t="str">
        <x:v>PROV113 / COMP113</x:v>
      </x:c>
      <x:c r="H11" s="22" t="str">
        <x:v>Normalized</x:v>
      </x:c>
      <x:c r="I11" s="22" t="str">
        <x:v>Current</x:v>
      </x:c>
    </x:row>
    <x:row r="12">
      <x:c r="A12" s="28" t="str">
        <x:v>COV-011</x:v>
      </x:c>
      <x:c r="B12" s="22" t="str">
        <x:v>Part VI</x:v>
      </x:c>
      <x:c r="C12" s="22" t="str">
        <x:v>Rule 65B</x:v>
      </x:c>
      <x:c r="D12" s="22" t="str">
        <x:v>Inspection at least once in three years/risk-based</x:v>
      </x:c>
      <x:c r="E12" s="22" t="str">
        <x:v>Applicable</x:v>
      </x:c>
      <x:c r="F12" s="22" t="str">
        <x:v>Licensed premises</x:v>
      </x:c>
      <x:c r="G12" s="22" t="str">
        <x:v>PROV281 / COMP256</x:v>
      </x:c>
      <x:c r="H12" s="22" t="str">
        <x:v>Added</x:v>
      </x:c>
      <x:c r="I12" s="22" t="str">
        <x:v>Current</x:v>
      </x:c>
    </x:row>
    <x:row r="13">
      <x:c r="A13" s="28" t="str">
        <x:v>COV-012</x:v>
      </x:c>
      <x:c r="B13" s="22" t="str">
        <x:v>Part VI</x:v>
      </x:c>
      <x:c r="C13" s="22" t="str">
        <x:v>Rule 66</x:v>
      </x:c>
      <x:c r="D13" s="22" t="str">
        <x:v>Cancellation and suspension</x:v>
      </x:c>
      <x:c r="E13" s="22" t="str">
        <x:v>Conditional</x:v>
      </x:c>
      <x:c r="F13" s="22" t="str">
        <x:v>Enforcement trigger</x:v>
      </x:c>
      <x:c r="G13" s="22" t="str">
        <x:v>PROV283 / COMP258</x:v>
      </x:c>
      <x:c r="H13" s="22" t="str">
        <x:v>Added</x:v>
      </x:c>
      <x:c r="I13" s="22" t="str">
        <x:v>Current</x:v>
      </x:c>
    </x:row>
    <x:row r="14">
      <x:c r="A14" s="28" t="str">
        <x:v>COV-013</x:v>
      </x:c>
      <x:c r="B14" s="22" t="str">
        <x:v>Part VI</x:v>
      </x:c>
      <x:c r="C14" s="22" t="str">
        <x:v>Rule 66A</x:v>
      </x:c>
      <x:c r="D14" s="22" t="str">
        <x:v>Disposal after cancellation with permission</x:v>
      </x:c>
      <x:c r="E14" s="22" t="str">
        <x:v>Conditional</x:v>
      </x:c>
      <x:c r="F14" s="22" t="str">
        <x:v>Cancelled licence with remaining stock</x:v>
      </x:c>
      <x:c r="G14" s="22" t="str">
        <x:v>PROV283 / COMP258</x:v>
      </x:c>
      <x:c r="H14" s="22" t="str">
        <x:v>Added</x:v>
      </x:c>
      <x:c r="I14" s="22" t="str">
        <x:v>Current</x:v>
      </x:c>
    </x:row>
    <x:row r="15">
      <x:c r="A15" s="28" t="str">
        <x:v>COV-014</x:v>
      </x:c>
      <x:c r="B15" s="22" t="str">
        <x:v>Part VI</x:v>
      </x:c>
      <x:c r="C15" s="22" t="str">
        <x:v>Rule 66B</x:v>
      </x:c>
      <x:c r="D15" s="22" t="str">
        <x:v>Debarment for misleading/fake/fabricated information</x:v>
      </x:c>
      <x:c r="E15" s="22" t="str">
        <x:v>Conditional</x:v>
      </x:c>
      <x:c r="F15" s="22" t="str">
        <x:v>Applicants/licensees</x:v>
      </x:c>
      <x:c r="G15" s="22" t="str">
        <x:v>PROV283 / COMP258</x:v>
      </x:c>
      <x:c r="H15" s="22" t="str">
        <x:v>Added</x:v>
      </x:c>
      <x:c r="I15" s="22" t="str">
        <x:v>Current from 30-07-2026</x:v>
      </x:c>
    </x:row>
    <x:row r="16">
      <x:c r="A16" s="28" t="str">
        <x:v>COV-015</x:v>
      </x:c>
      <x:c r="B16" s="22" t="str">
        <x:v>Part VIA</x:v>
      </x:c>
      <x:c r="C16" s="22" t="str">
        <x:v>Rules 67A-67F</x:v>
      </x:c>
      <x:c r="D16" s="22" t="str">
        <x:v>Homeopathic sale licensing</x:v>
      </x:c>
      <x:c r="E16" s="22" t="str">
        <x:v>Applicable</x:v>
      </x:c>
      <x:c r="F16" s="22" t="str">
        <x:v>Homeopathic Pharmacy</x:v>
      </x:c>
      <x:c r="G16" s="22" t="str">
        <x:v>PROV286 / COMP261</x:v>
      </x:c>
      <x:c r="H16" s="22" t="str">
        <x:v>Added</x:v>
      </x:c>
      <x:c r="I16" s="22" t="str">
        <x:v>Current</x:v>
      </x:c>
    </x:row>
    <x:row r="17">
      <x:c r="A17" s="28" t="str">
        <x:v>COV-016</x:v>
      </x:c>
      <x:c r="B17" s="22" t="str">
        <x:v>Part VIA</x:v>
      </x:c>
      <x:c r="C17" s="22" t="str">
        <x:v>Rule 67G</x:v>
      </x:c>
      <x:c r="D17" s="22" t="str">
        <x:v>Homeopathic licence conditions and alcohol records</x:v>
      </x:c>
      <x:c r="E17" s="22" t="str">
        <x:v>Applicable</x:v>
      </x:c>
      <x:c r="F17" s="22" t="str">
        <x:v>Homeopathic Pharmacy</x:v>
      </x:c>
      <x:c r="G17" s="22" t="str">
        <x:v>PROV287 / COMP262</x:v>
      </x:c>
      <x:c r="H17" s="22" t="str">
        <x:v>Added</x:v>
      </x:c>
      <x:c r="I17" s="22" t="str">
        <x:v>Current</x:v>
      </x:c>
    </x:row>
    <x:row r="18">
      <x:c r="A18" s="28" t="str">
        <x:v>COV-017</x:v>
      </x:c>
      <x:c r="B18" s="22" t="str">
        <x:v>Part VIA</x:v>
      </x:c>
      <x:c r="C18" s="22" t="str">
        <x:v>Rule 67H</x:v>
      </x:c>
      <x:c r="D18" s="22" t="str">
        <x:v>Homeopathic suspension/cancellation</x:v>
      </x:c>
      <x:c r="E18" s="22" t="str">
        <x:v>Conditional</x:v>
      </x:c>
      <x:c r="F18" s="22" t="str">
        <x:v>Homeopathic enforcement trigger</x:v>
      </x:c>
      <x:c r="G18" s="22" t="str">
        <x:v>PROV288 / COMP263</x:v>
      </x:c>
      <x:c r="H18" s="22" t="str">
        <x:v>Added</x:v>
      </x:c>
      <x:c r="I18" s="22" t="str">
        <x:v>Current</x:v>
      </x:c>
    </x:row>
    <x:row r="19">
      <x:c r="A19" s="28" t="str">
        <x:v>COV-018</x:v>
      </x:c>
      <x:c r="B19" s="22" t="str">
        <x:v>Part VII onward</x:v>
      </x:c>
      <x:c r="C19" s="22" t="str">
        <x:v>Rule 68 onward (manufacture families)</x:v>
      </x:c>
      <x:c r="D19" s="22" t="str">
        <x:v>Manufacturing/testing controls</x:v>
      </x:c>
      <x:c r="E19" s="22" t="str">
        <x:v>Out-of-Scope</x:v>
      </x:c>
      <x:c r="F19" s="22" t="str">
        <x:v>Potential manufacturer/testing taxonomy gaps</x:v>
      </x:c>
      <x:c r="G19" s="22" t="str">
        <x:v>Exclusion Register</x:v>
      </x:c>
      <x:c r="H19" s="22" t="str">
        <x:v>No taxonomy expansion</x:v>
      </x:c>
      <x:c r="I19" s="22" t="str">
        <x:v>Current</x:v>
      </x:c>
    </x:row>
    <x:row r="20">
      <x:c r="A20" s="28" t="str">
        <x:v>COV-019</x:v>
      </x:c>
      <x:c r="B20" s="22" t="str">
        <x:v>Labelling</x:v>
      </x:c>
      <x:c r="C20" s="22" t="str">
        <x:v>Rule 95</x:v>
      </x:c>
      <x:c r="D20" s="22" t="str">
        <x:v>No sale/distribution unless labelled</x:v>
      </x:c>
      <x:c r="E20" s="22" t="str">
        <x:v>Applicable</x:v>
      </x:c>
      <x:c r="F20" s="22" t="str">
        <x:v>All sellers/distributors</x:v>
      </x:c>
      <x:c r="G20" s="22" t="str">
        <x:v>PROV019 / COMP019</x:v>
      </x:c>
      <x:c r="H20" s="22" t="str">
        <x:v>Normalized</x:v>
      </x:c>
      <x:c r="I20" s="22" t="str">
        <x:v>Current</x:v>
      </x:c>
    </x:row>
    <x:row r="21">
      <x:c r="A21" s="28" t="str">
        <x:v>COV-020</x:v>
      </x:c>
      <x:c r="B21" s="22" t="str">
        <x:v>Labelling</x:v>
      </x:c>
      <x:c r="C21" s="22" t="str">
        <x:v>Rule 96</x:v>
      </x:c>
      <x:c r="D21" s="22" t="str">
        <x:v>Manner of labelling</x:v>
      </x:c>
      <x:c r="E21" s="22" t="str">
        <x:v>Applicable/Indirect</x:v>
      </x:c>
      <x:c r="F21" s="22" t="str">
        <x:v>Sellers via Rule 95; manufacturer primary for many particulars</x:v>
      </x:c>
      <x:c r="G21" s="22" t="str">
        <x:v>PROV025 / COMP025</x:v>
      </x:c>
      <x:c r="H21" s="22" t="str">
        <x:v>Normalized</x:v>
      </x:c>
      <x:c r="I21" s="22" t="str">
        <x:v>Current</x:v>
      </x:c>
    </x:row>
    <x:row r="22">
      <x:c r="A22" s="28" t="str">
        <x:v>COV-021</x:v>
      </x:c>
      <x:c r="B22" s="22" t="str">
        <x:v>Labelling</x:v>
      </x:c>
      <x:c r="C22" s="22" t="str">
        <x:v>Rule 96(6)-(7)</x:v>
      </x:c>
      <x:c r="D22" s="22" t="str">
        <x:v>Schedule H2 barcode/QR data</x:v>
      </x:c>
      <x:c r="E22" s="22" t="str">
        <x:v>Conditional/Indirect</x:v>
      </x:c>
      <x:c r="F22" s="22" t="str">
        <x:v>H2 stock; manufacturer primary</x:v>
      </x:c>
      <x:c r="G22" s="22" t="str">
        <x:v>PROV025 / COMP025</x:v>
      </x:c>
      <x:c r="H22" s="22" t="str">
        <x:v>Added</x:v>
      </x:c>
      <x:c r="I22" s="22" t="str">
        <x:v>Current Table 1; Table 2 future</x:v>
      </x:c>
    </x:row>
    <x:row r="23">
      <x:c r="A23" s="28" t="str">
        <x:v>COV-022</x:v>
      </x:c>
      <x:c r="B23" s="22" t="str">
        <x:v>Labelling</x:v>
      </x:c>
      <x:c r="C23" s="22" t="str">
        <x:v>Rule 97</x:v>
      </x:c>
      <x:c r="D23" s="22" t="str">
        <x:v>Schedule G/H/H1/X symbols and warnings</x:v>
      </x:c>
      <x:c r="E23" s="22" t="str">
        <x:v>Applicable</x:v>
      </x:c>
      <x:c r="F23" s="22" t="str">
        <x:v>Scheduled-drug stock</x:v>
      </x:c>
      <x:c r="G23" s="22" t="str">
        <x:v>PROV018 / COMP018</x:v>
      </x:c>
      <x:c r="H23" s="22" t="str">
        <x:v>Normalized</x:v>
      </x:c>
      <x:c r="I23" s="22" t="str">
        <x:v>Current</x:v>
      </x:c>
    </x:row>
    <x:row r="24">
      <x:c r="A24" s="28" t="str">
        <x:v>COV-023</x:v>
      </x:c>
      <x:c r="B24" s="22" t="str">
        <x:v>Exemptions</x:v>
      </x:c>
      <x:c r="C24" s="22" t="str">
        <x:v>Rule 123</x:v>
      </x:c>
      <x:c r="D24" s="22" t="str">
        <x:v>Schedule K exemptions</x:v>
      </x:c>
      <x:c r="E24" s="22" t="str">
        <x:v>Conditional</x:v>
      </x:c>
      <x:c r="F24" s="22" t="str">
        <x:v>Exact class/condition only</x:v>
      </x:c>
      <x:c r="G24" s="22" t="str">
        <x:v>PROV024 / COMP024</x:v>
      </x:c>
      <x:c r="H24" s="22" t="str">
        <x:v>Normalized</x:v>
      </x:c>
      <x:c r="I24" s="22" t="str">
        <x:v>Current incl. G.S.R. 477(E)</x:v>
      </x:c>
    </x:row>
    <x:row r="25">
      <x:c r="A25" s="28" t="str">
        <x:v>COV-024</x:v>
      </x:c>
      <x:c r="B25" s="22" t="str">
        <x:v>Schedule</x:v>
      </x:c>
      <x:c r="C25" s="22" t="str">
        <x:v>Schedule G</x:v>
      </x:c>
      <x:c r="D25" s="22" t="str">
        <x:v>Medical-supervision caution list</x:v>
      </x:c>
      <x:c r="E25" s="22" t="str">
        <x:v>Conditional</x:v>
      </x:c>
      <x:c r="F25" s="22" t="str">
        <x:v>Any holder of listed products</x:v>
      </x:c>
      <x:c r="G25" s="22" t="str">
        <x:v>PROV023 / COMP023</x:v>
      </x:c>
      <x:c r="H25" s="22" t="str">
        <x:v>Normalized</x:v>
      </x:c>
      <x:c r="I25" s="22" t="str">
        <x:v>Current</x:v>
      </x:c>
    </x:row>
    <x:row r="26">
      <x:c r="A26" s="28" t="str">
        <x:v>COV-025</x:v>
      </x:c>
      <x:c r="B26" s="22" t="str">
        <x:v>Schedule</x:v>
      </x:c>
      <x:c r="C26" s="22" t="str">
        <x:v>Schedule H</x:v>
      </x:c>
      <x:c r="D26" s="22" t="str">
        <x:v>Prescription-drug list</x:v>
      </x:c>
      <x:c r="E26" s="22" t="str">
        <x:v>Applicable by stock</x:v>
      </x:c>
      <x:c r="F26" s="22" t="str">
        <x:v>H stock holders</x:v>
      </x:c>
      <x:c r="G26" s="22" t="str">
        <x:v>PROV020 / COMP020</x:v>
      </x:c>
      <x:c r="H26" s="22" t="str">
        <x:v>Normalized</x:v>
      </x:c>
      <x:c r="I26" s="22" t="str">
        <x:v>Current</x:v>
      </x:c>
    </x:row>
    <x:row r="27">
      <x:c r="A27" s="28" t="str">
        <x:v>COV-026</x:v>
      </x:c>
      <x:c r="B27" s="22" t="str">
        <x:v>Schedule</x:v>
      </x:c>
      <x:c r="C27" s="22" t="str">
        <x:v>Schedule H1</x:v>
      </x:c>
      <x:c r="D27" s="22" t="str">
        <x:v>Prescription + separate register list</x:v>
      </x:c>
      <x:c r="E27" s="22" t="str">
        <x:v>Applicable by stock</x:v>
      </x:c>
      <x:c r="F27" s="22" t="str">
        <x:v>H1 stock holders</x:v>
      </x:c>
      <x:c r="G27" s="22" t="str">
        <x:v>PROV021/114 / COMP021/114</x:v>
      </x:c>
      <x:c r="H27" s="22" t="str">
        <x:v>Normalized</x:v>
      </x:c>
      <x:c r="I27" s="22" t="str">
        <x:v>Current; alcohol item 52 future</x:v>
      </x:c>
    </x:row>
    <x:row r="28">
      <x:c r="A28" s="28" t="str">
        <x:v>COV-027</x:v>
      </x:c>
      <x:c r="B28" s="22" t="str">
        <x:v>Schedule</x:v>
      </x:c>
      <x:c r="C28" s="22" t="str">
        <x:v>Schedule H2</x:v>
      </x:c>
      <x:c r="D28" s="22" t="str">
        <x:v>Barcode/QR authentication categories</x:v>
      </x:c>
      <x:c r="E28" s="22" t="str">
        <x:v>Conditional/Indirect</x:v>
      </x:c>
      <x:c r="F28" s="22" t="str">
        <x:v>H2 stock; manufacturer primary</x:v>
      </x:c>
      <x:c r="G28" s="22" t="str">
        <x:v>PROV025 / COMP025</x:v>
      </x:c>
      <x:c r="H28" s="22" t="str">
        <x:v>Added</x:v>
      </x:c>
      <x:c r="I28" s="22" t="str">
        <x:v>Table 1 current; Table 2 future</x:v>
      </x:c>
    </x:row>
    <x:row r="29">
      <x:c r="A29" s="28" t="str">
        <x:v>COV-028</x:v>
      </x:c>
      <x:c r="B29" s="22" t="str">
        <x:v>Schedule</x:v>
      </x:c>
      <x:c r="C29" s="22" t="str">
        <x:v>Schedule K</x:v>
      </x:c>
      <x:c r="D29" s="22" t="str">
        <x:v>Conditional exemptions</x:v>
      </x:c>
      <x:c r="E29" s="22" t="str">
        <x:v>Conditional</x:v>
      </x:c>
      <x:c r="F29" s="22" t="str">
        <x:v>Exact exemption claimant</x:v>
      </x:c>
      <x:c r="G29" s="22" t="str">
        <x:v>PROV024 / COMP024</x:v>
      </x:c>
      <x:c r="H29" s="22" t="str">
        <x:v>Normalized</x:v>
      </x:c>
      <x:c r="I29" s="22" t="str">
        <x:v>Current</x:v>
      </x:c>
    </x:row>
    <x:row r="30">
      <x:c r="A30" s="28" t="str">
        <x:v>COV-029</x:v>
      </x:c>
      <x:c r="B30" s="22" t="str">
        <x:v>Schedule</x:v>
      </x:c>
      <x:c r="C30" s="22" t="str">
        <x:v>Schedule N</x:v>
      </x:c>
      <x:c r="D30" s="22" t="str">
        <x:v>Minimum equipment for efficient running of pharmacy</x:v>
      </x:c>
      <x:c r="E30" s="22" t="str">
        <x:v>Applicable</x:v>
      </x:c>
      <x:c r="F30" s="22" t="str">
        <x:v>Form 20/21 pharmacy</x:v>
      </x:c>
      <x:c r="G30" s="22" t="str">
        <x:v>PROV289 / COMP264</x:v>
      </x:c>
      <x:c r="H30" s="22" t="str">
        <x:v>Added</x:v>
      </x:c>
      <x:c r="I30" s="22" t="str">
        <x:v>Current</x:v>
      </x:c>
    </x:row>
    <x:row r="31">
      <x:c r="A31" s="28" t="str">
        <x:v>COV-030</x:v>
      </x:c>
      <x:c r="B31" s="22" t="str">
        <x:v>Schedule</x:v>
      </x:c>
      <x:c r="C31" s="22" t="str">
        <x:v>Schedule X</x:v>
      </x:c>
      <x:c r="D31" s="22" t="str">
        <x:v>Prescription/storage/register controls</x:v>
      </x:c>
      <x:c r="E31" s="22" t="str">
        <x:v>Conditional</x:v>
      </x:c>
      <x:c r="F31" s="22" t="str">
        <x:v>Schedule X handler</x:v>
      </x:c>
      <x:c r="G31" s="22" t="str">
        <x:v>PROV022/117/118 / COMP022/117/118</x:v>
      </x:c>
      <x:c r="H31" s="22" t="str">
        <x:v>Normalized</x:v>
      </x:c>
      <x:c r="I31" s="22" t="str">
        <x:v>Current</x:v>
      </x:c>
    </x:row>
    <x:row r="32">
      <x:c r="A32" s="28" t="str">
        <x:v>COV-031</x:v>
      </x:c>
      <x:c r="B32" s="22" t="str">
        <x:v>Forms</x:v>
      </x:c>
      <x:c r="C32" s="22" t="str">
        <x:v>Forms 19/19A/19C</x:v>
      </x:c>
      <x:c r="D32" s="22" t="str">
        <x:v>Applications for sale licences</x:v>
      </x:c>
      <x:c r="E32" s="22" t="str">
        <x:v>Applicable by activity</x:v>
      </x:c>
      <x:c r="F32" s="22" t="str">
        <x:v>Part VI applicants</x:v>
      </x:c>
      <x:c r="G32" s="22" t="str">
        <x:v>PROV011 / COMP011</x:v>
      </x:c>
      <x:c r="H32" s="22" t="str">
        <x:v>Normalized</x:v>
      </x:c>
      <x:c r="I32" s="22" t="str">
        <x:v>Current</x:v>
      </x:c>
    </x:row>
    <x:row r="33">
      <x:c r="A33" s="28" t="str">
        <x:v>COV-032</x:v>
      </x:c>
      <x:c r="B33" s="22" t="str">
        <x:v>Forms</x:v>
      </x:c>
      <x:c r="C33" s="22" t="str">
        <x:v>Forms 20/20B/21/21B</x:v>
      </x:c>
      <x:c r="D33" s="22" t="str">
        <x:v>Retail/wholesale sale licences</x:v>
      </x:c>
      <x:c r="E33" s="22" t="str">
        <x:v>Applicable by category</x:v>
      </x:c>
      <x:c r="F33" s="22" t="str">
        <x:v>Retail/Wholesale/Hospital/Chain/E-Pharmacy/Institutional</x:v>
      </x:c>
      <x:c r="G33" s="22" t="str">
        <x:v>PROV012/282 / COMP012/257</x:v>
      </x:c>
      <x:c r="H33" s="22" t="str">
        <x:v>Normalized</x:v>
      </x:c>
      <x:c r="I33" s="22" t="str">
        <x:v>Current</x:v>
      </x:c>
    </x:row>
    <x:row r="34">
      <x:c r="A34" s="28" t="str">
        <x:v>COV-033</x:v>
      </x:c>
      <x:c r="B34" s="22" t="str">
        <x:v>Forms</x:v>
      </x:c>
      <x:c r="C34" s="22" t="str">
        <x:v>Forms 20A/21A</x:v>
      </x:c>
      <x:c r="D34" s="22" t="str">
        <x:v>Restricted retail licences</x:v>
      </x:c>
      <x:c r="E34" s="22" t="str">
        <x:v>Conditional</x:v>
      </x:c>
      <x:c r="F34" s="22" t="str">
        <x:v>Restricted licence holder</x:v>
      </x:c>
      <x:c r="G34" s="22" t="str">
        <x:v>PROV284 / COMP259</x:v>
      </x:c>
      <x:c r="H34" s="22" t="str">
        <x:v>Added</x:v>
      </x:c>
      <x:c r="I34" s="22" t="str">
        <x:v>Current</x:v>
      </x:c>
    </x:row>
    <x:row r="35">
      <x:c r="A35" s="28" t="str">
        <x:v>COV-034</x:v>
      </x:c>
      <x:c r="B35" s="22" t="str">
        <x:v>Forms</x:v>
      </x:c>
      <x:c r="C35" s="22" t="str">
        <x:v>Forms 20F/20G</x:v>
      </x:c>
      <x:c r="D35" s="22" t="str">
        <x:v>Schedule X retail/wholesale licences</x:v>
      </x:c>
      <x:c r="E35" s="22" t="str">
        <x:v>Conditional</x:v>
      </x:c>
      <x:c r="F35" s="22" t="str">
        <x:v>Schedule X handler</x:v>
      </x:c>
      <x:c r="G35" s="22" t="str">
        <x:v>PROV012/282 / COMP012/257</x:v>
      </x:c>
      <x:c r="H35" s="22" t="str">
        <x:v>Normalized</x:v>
      </x:c>
      <x:c r="I35" s="22" t="str">
        <x:v>Current</x:v>
      </x:c>
    </x:row>
    <x:row r="36">
      <x:c r="A36" s="28" t="str">
        <x:v>COV-035</x:v>
      </x:c>
      <x:c r="B36" s="22" t="str">
        <x:v>Forms</x:v>
      </x:c>
      <x:c r="C36" s="22" t="str">
        <x:v>Forms 19AA/20BB/21BB</x:v>
      </x:c>
      <x:c r="D36" s="22" t="str">
        <x:v>Motor-vehicle wholesale/distribution</x:v>
      </x:c>
      <x:c r="E36" s="22" t="str">
        <x:v>Conditional</x:v>
      </x:c>
      <x:c r="F36" s="22" t="str">
        <x:v>Wholesale vehicle activity</x:v>
      </x:c>
      <x:c r="G36" s="22" t="str">
        <x:v>PROV285 / COMP260</x:v>
      </x:c>
      <x:c r="H36" s="22" t="str">
        <x:v>Added</x:v>
      </x:c>
      <x:c r="I36" s="22" t="str">
        <x:v>Current</x:v>
      </x:c>
    </x:row>
    <x:row r="37">
      <x:c r="A37" s="28" t="str">
        <x:v>COV-036</x:v>
      </x:c>
      <x:c r="B37" s="22" t="str">
        <x:v>Forms</x:v>
      </x:c>
      <x:c r="C37" s="22" t="str">
        <x:v>Form 35</x:v>
      </x:c>
      <x:c r="D37" s="22" t="str">
        <x:v>Inspection Book</x:v>
      </x:c>
      <x:c r="E37" s="22" t="str">
        <x:v>Applicable</x:v>
      </x:c>
      <x:c r="F37" s="22" t="str">
        <x:v>Part VI licensees</x:v>
      </x:c>
      <x:c r="G37" s="22" t="str">
        <x:v>PROV276 / COMP251</x:v>
      </x:c>
      <x:c r="H37" s="22" t="str">
        <x:v>Added</x:v>
      </x:c>
      <x:c r="I37" s="22" t="str">
        <x:v>Current</x:v>
      </x:c>
    </x:row>
    <x:row r="38">
      <x:c r="A38" s="28" t="str">
        <x:v>COV-037</x:v>
      </x:c>
      <x:c r="B38" s="22" t="str">
        <x:v>Forms</x:v>
      </x:c>
      <x:c r="C38" s="22" t="str">
        <x:v>Forms 19B/20C/20D</x:v>
      </x:c>
      <x:c r="D38" s="22" t="str">
        <x:v>Homeopathic application/retail/wholesale</x:v>
      </x:c>
      <x:c r="E38" s="22" t="str">
        <x:v>Applicable</x:v>
      </x:c>
      <x:c r="F38" s="22" t="str">
        <x:v>Homeopathic Pharmacy</x:v>
      </x:c>
      <x:c r="G38" s="22" t="str">
        <x:v>PROV286 / COMP261</x:v>
      </x:c>
      <x:c r="H38" s="22" t="str">
        <x:v>Added</x:v>
      </x:c>
      <x:c r="I38" s="22" t="str">
        <x:v>Current</x:v>
      </x:c>
    </x:row>
    <x:row r="39">
      <x:c r="A39" s="28" t="str">
        <x:v>COV-038</x:v>
      </x:c>
      <x:c r="B39" s="22" t="str">
        <x:v>AYUSH</x:v>
      </x:c>
      <x:c r="C39" s="22" t="str">
        <x:v>Part XVI manufacture/testing</x:v>
      </x:c>
      <x:c r="D39" s="22" t="str">
        <x:v>ASU manufacture/testing</x:v>
      </x:c>
      <x:c r="E39" s="22" t="str">
        <x:v>Out-of-Scope</x:v>
      </x:c>
      <x:c r="F39" s="22" t="str">
        <x:v>Manufacturer/testing taxonomy gaps</x:v>
      </x:c>
      <x:c r="G39" s="22" t="str">
        <x:v>Exclusion Register</x:v>
      </x:c>
      <x:c r="H39" s="22" t="str">
        <x:v>No ordinary-sale extrapolation</x:v>
      </x:c>
      <x:c r="I39" s="22" t="str">
        <x:v>Current</x:v>
      </x:c>
    </x:row>
    <x:row r="40">
      <x:c r="A40" s="28" t="str">
        <x:v>COV-039</x:v>
      </x:c>
      <x:c r="B40" s="22" t="str">
        <x:v>Import</x:v>
      </x:c>
      <x:c r="C40" s="22" t="str">
        <x:v>Rule 43A and import Parts</x:v>
      </x:c>
      <x:c r="D40" s="22" t="str">
        <x:v>Drug import controls</x:v>
      </x:c>
      <x:c r="E40" s="22" t="str">
        <x:v>Out-of-Scope</x:v>
      </x:c>
      <x:c r="F40" s="22" t="str">
        <x:v>Importer taxonomy gap</x:v>
      </x:c>
      <x:c r="G40" s="22" t="str">
        <x:v>P2-067</x:v>
      </x:c>
      <x:c r="H40" s="22" t="str">
        <x:v>No taxonomy expansion</x:v>
      </x:c>
      <x:c r="I40" s="22" t="str">
        <x:v>Current</x:v>
      </x:c>
    </x:row>
    <x:row r="41">
      <x:c r="A41" s="28" t="str">
        <x:v>COV-040</x:v>
      </x:c>
      <x:c r="B41" s="22" t="str">
        <x:v>Product bans</x:v>
      </x:c>
      <x:c r="C41" s="22" t="str">
        <x:v>Section 26A orders</x:v>
      </x:c>
      <x:c r="D41" s="22" t="str">
        <x:v>FDC/product prohibitions</x:v>
      </x:c>
      <x:c r="E41" s="22" t="str">
        <x:v>Conditional</x:v>
      </x:c>
      <x:c r="F41" s="22" t="str">
        <x:v>Any holder of affected stock</x:v>
      </x:c>
      <x:c r="G41" s="22" t="str">
        <x:v>P2-068</x:v>
      </x:c>
      <x:c r="H41" s="22" t="str">
        <x:v>Event/product control outside Rule chain</x:v>
      </x:c>
      <x:c r="I41" s="22" t="str">
        <x:v>Current</x:v>
      </x:c>
    </x:row>
  </x:sheetData>
  <x:conditionalFormatting sqref="E2:E41">
    <x:cfRule type="containsText" dxfId="4" priority="1" operator="containsText" text="Applicable"/>
    <x:cfRule type="containsText" dxfId="5" priority="2" operator="containsText" text="Incorrect"/>
    <x:cfRule type="containsText" dxfId="6" priority="3" operator="containsText" text="Out-of-Scope"/>
    <x:cfRule type="containsText" dxfId="7" priority="4" operator="containsText" text="Future"/>
  </x:conditionalFormatting>
  <x:pageMargins left="0.7" right="0.7" top="0.75" bottom="0.75" header="0.3" footer="0.3"/>
  <x:tableParts count="1">
    <x:tablePart xmlns:r="http://schemas.openxmlformats.org/officeDocument/2006/relationships" r:id="R9fa9e2f383d64284"/>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58" hidden="0" customWidth="1"/>
    <x:col min="4" max="4" width="36" hidden="0" customWidth="1"/>
    <x:col min="5" max="5" width="18" hidden="0" customWidth="1"/>
    <x:col min="6" max="6" width="28" hidden="0" customWidth="1"/>
    <x:col min="7" max="7" width="32" hidden="0" customWidth="1"/>
  </x:cols>
  <x:sheetData>
    <x:row r="1" ht="30" customHeight="1">
      <x:c r="A1" s="27" t="str">
        <x:v>Matrix ID</x:v>
      </x:c>
      <x:c r="B1" s="27" t="str">
        <x:v>Sub-rule</x:v>
      </x:c>
      <x:c r="C1" s="27" t="str">
        <x:v>Validated Control</x:v>
      </x:c>
      <x:c r="D1" s="27" t="str">
        <x:v>Applicable Scope</x:v>
      </x:c>
      <x:c r="E1" s="27" t="str">
        <x:v>Classification</x:v>
      </x:c>
      <x:c r="F1" s="27" t="str">
        <x:v>Production Mapping</x:v>
      </x:c>
      <x:c r="G1" s="27" t="str">
        <x:v>Retention / Evidence Position</x:v>
      </x:c>
    </x:row>
    <x:row r="2">
      <x:c r="A2" s="28" t="str">
        <x:v>R65-01</x:v>
      </x:c>
      <x:c r="B2" s="22" t="str">
        <x:v>65(1)</x:v>
      </x:c>
      <x:c r="C2" s="22" t="str">
        <x:v>Compounding/making on premises under registered pharmacist</x:v>
      </x:c>
      <x:c r="D2" s="22" t="str">
        <x:v>Retail/Hospital/Chain/E-Pharmacy where compounding</x:v>
      </x:c>
      <x:c r="E2" s="22" t="str">
        <x:v>Applicable</x:v>
      </x:c>
      <x:c r="F2" s="22" t="str">
        <x:v>PROV015 / COMP015</x:v>
      </x:c>
      <x:c r="G2" s="22" t="str">
        <x:v>No separate retention</x:v>
      </x:c>
    </x:row>
    <x:row r="3">
      <x:c r="A3" s="28" t="str">
        <x:v>R65-02</x:v>
      </x:c>
      <x:c r="B3" s="22" t="str">
        <x:v>65(2)</x:v>
      </x:c>
      <x:c r="C3" s="22" t="str">
        <x:v>Non-wholesale prescription supply under registered pharmacist personal supervision</x:v>
      </x:c>
      <x:c r="D3" s="22" t="str">
        <x:v>Retail/Hospital/Chain/E-Pharmacy/Specialized</x:v>
      </x:c>
      <x:c r="E3" s="22" t="str">
        <x:v>Applicable</x:v>
      </x:c>
      <x:c r="F3" s="22" t="str">
        <x:v>PROV015 / COMP015</x:v>
      </x:c>
      <x:c r="G3" s="22" t="str">
        <x:v>Roster/supervision evidence</x:v>
      </x:c>
    </x:row>
    <x:row r="4">
      <x:c r="A4" s="28" t="str">
        <x:v>R65-03</x:v>
      </x:c>
      <x:c r="B4" s="22" t="str">
        <x:v>65(3)(1)</x:v>
      </x:c>
      <x:c r="C4" s="22" t="str">
        <x:v>Non-X prescription supply recorded in prescription register or qualifying memo</x:v>
      </x:c>
      <x:c r="D4" s="22" t="str">
        <x:v>Retail prescription dispensing</x:v>
      </x:c>
      <x:c r="E4" s="22" t="str">
        <x:v>Applicable</x:v>
      </x:c>
      <x:c r="F4" s="22" t="str">
        <x:v>PROV016 / COMP016</x:v>
      </x:c>
      <x:c r="G4" s="22" t="str">
        <x:v>General Rule 65(7) unless specific period</x:v>
      </x:c>
    </x:row>
    <x:row r="5">
      <x:c r="A5" s="28" t="str">
        <x:v>R65-04</x:v>
      </x:c>
      <x:c r="B5" s="22" t="str">
        <x:v>65(3)(1)(h)</x:v>
      </x:c>
      <x:c r="C5" s="22" t="str">
        <x:v>Schedule H1 separate register: prescriber, patient, drug, quantity</x:v>
      </x:c>
      <x:c r="D5" s="22" t="str">
        <x:v>Any H1 supplier</x:v>
      </x:c>
      <x:c r="E5" s="22" t="str">
        <x:v>Applicable</x:v>
      </x:c>
      <x:c r="F5" s="22" t="str">
        <x:v>PROV114 / COMP114</x:v>
      </x:c>
      <x:c r="G5" s="22" t="str">
        <x:v>Three years; open for inspection</x:v>
      </x:c>
    </x:row>
    <x:row r="6">
      <x:c r="A6" s="28" t="str">
        <x:v>R65-05</x:v>
      </x:c>
      <x:c r="B6" s="22" t="str">
        <x:v>65(3)(2)</x:v>
      </x:c>
      <x:c r="C6" s="22" t="str">
        <x:v>Written election of prescription register vs memo; authority may require register</x:v>
      </x:c>
      <x:c r="D6" s="22" t="str">
        <x:v>Retail original-container supply</x:v>
      </x:c>
      <x:c r="E6" s="22" t="str">
        <x:v>Conditional</x:v>
      </x:c>
      <x:c r="F6" s="22" t="str">
        <x:v>PROV016 / COMP016</x:v>
      </x:c>
      <x:c r="G6" s="22" t="str">
        <x:v>Preserve applicable record</x:v>
      </x:c>
    </x:row>
    <x:row r="7">
      <x:c r="A7" s="28" t="str">
        <x:v>R65-06</x:v>
      </x:c>
      <x:c r="B7" s="22" t="str">
        <x:v>65(4)(1)-(2)</x:v>
      </x:c>
      <x:c r="C7" s="22" t="str">
        <x:v>Schedule C retail supply otherwise than prescription recorded in register/memo</x:v>
      </x:c>
      <x:c r="D7" s="22" t="str">
        <x:v>Retail Schedule C activity</x:v>
      </x:c>
      <x:c r="E7" s="22" t="str">
        <x:v>Conditional</x:v>
      </x:c>
      <x:c r="F7" s="22" t="str">
        <x:v>PROV016 / COMP016</x:v>
      </x:c>
      <x:c r="G7" s="22" t="str">
        <x:v>General Rule 65(7)</x:v>
      </x:c>
    </x:row>
    <x:row r="8">
      <x:c r="A8" s="28" t="str">
        <x:v>R65-07</x:v>
      </x:c>
      <x:c r="B8" s="22" t="str">
        <x:v>65(4)(3)</x:v>
      </x:c>
      <x:c r="C8" s="22" t="str">
        <x:v>Retail supply against cash/credit memo; carbon copy maintained</x:v>
      </x:c>
      <x:c r="D8" s="22" t="str">
        <x:v>Retail sales</x:v>
      </x:c>
      <x:c r="E8" s="22" t="str">
        <x:v>Applicable</x:v>
      </x:c>
      <x:c r="F8" s="22" t="str">
        <x:v>PROV016 / COMP016</x:v>
      </x:c>
      <x:c r="G8" s="22" t="str">
        <x:v>General Rule 65(7)</x:v>
      </x:c>
    </x:row>
    <x:row r="9">
      <x:c r="A9" s="28" t="str">
        <x:v>R65-08</x:v>
      </x:c>
      <x:c r="B9" s="22" t="str">
        <x:v>65(4)(4)</x:v>
      </x:c>
      <x:c r="C9" s="22" t="str">
        <x:v>Retail purchase records and chronological purchase bills</x:v>
      </x:c>
      <x:c r="D9" s="22" t="str">
        <x:v>Retail procurement</x:v>
      </x:c>
      <x:c r="E9" s="22" t="str">
        <x:v>Applicable</x:v>
      </x:c>
      <x:c r="F9" s="22" t="str">
        <x:v>PROV016 / COMP016</x:v>
      </x:c>
      <x:c r="G9" s="22" t="str">
        <x:v>General Rule 65(7)</x:v>
      </x:c>
    </x:row>
    <x:row r="10">
      <x:c r="A10" s="28" t="str">
        <x:v>R65-09</x:v>
      </x:c>
      <x:c r="B10" s="22" t="str">
        <x:v>65(5)(1)</x:v>
      </x:c>
      <x:c r="C10" s="22" t="str">
        <x:v>Wholesale supply cash/credit memo with buyer, licence, drug, batch, manufacturer and signature</x:v>
      </x:c>
      <x:c r="D10" s="22" t="str">
        <x:v>Wholesale</x:v>
      </x:c>
      <x:c r="E10" s="22" t="str">
        <x:v>Applicable</x:v>
      </x:c>
      <x:c r="F10" s="22" t="str">
        <x:v>PROV016 / COMP016</x:v>
      </x:c>
      <x:c r="G10" s="22" t="str">
        <x:v>Memo copy three years under 65(5)(2)</x:v>
      </x:c>
    </x:row>
    <x:row r="11">
      <x:c r="A11" s="28" t="str">
        <x:v>R65-10</x:v>
      </x:c>
      <x:c r="B11" s="22" t="str">
        <x:v>65(5)(2)</x:v>
      </x:c>
      <x:c r="C11" s="22" t="str">
        <x:v>Wholesale cash/credit memo carbon-copy retention</x:v>
      </x:c>
      <x:c r="D11" s="22" t="str">
        <x:v>Wholesale</x:v>
      </x:c>
      <x:c r="E11" s="22" t="str">
        <x:v>Applicable</x:v>
      </x:c>
      <x:c r="F11" s="22" t="str">
        <x:v>PROV115 / COMP115</x:v>
      </x:c>
      <x:c r="G11" s="22" t="str">
        <x:v>Three years from sale</x:v>
      </x:c>
    </x:row>
    <x:row r="12">
      <x:c r="A12" s="28" t="str">
        <x:v>R65-11</x:v>
      </x:c>
      <x:c r="B12" s="22" t="str">
        <x:v>65(5)(3)</x:v>
      </x:c>
      <x:c r="C12" s="22" t="str">
        <x:v>Wholesale purchase records and chronological purchase bills</x:v>
      </x:c>
      <x:c r="D12" s="22" t="str">
        <x:v>Wholesale</x:v>
      </x:c>
      <x:c r="E12" s="22" t="str">
        <x:v>Applicable</x:v>
      </x:c>
      <x:c r="F12" s="22" t="str">
        <x:v>PROV016 / COMP016</x:v>
      </x:c>
      <x:c r="G12" s="22" t="str">
        <x:v>General Rule 65(7)</x:v>
      </x:c>
    </x:row>
    <x:row r="13">
      <x:c r="A13" s="28" t="str">
        <x:v>R65-12</x:v>
      </x:c>
      <x:c r="B13" s="22" t="str">
        <x:v>65(6)</x:v>
      </x:c>
      <x:c r="C13" s="22" t="str">
        <x:v>Produce all registers/records on Inspector demand</x:v>
      </x:c>
      <x:c r="D13" s="22" t="str">
        <x:v>All Part VI licensees</x:v>
      </x:c>
      <x:c r="E13" s="22" t="str">
        <x:v>Applicable</x:v>
      </x:c>
      <x:c r="F13" s="22" t="str">
        <x:v>PROV017 / COMP017</x:v>
      </x:c>
      <x:c r="G13" s="22" t="str">
        <x:v>Prompt production</x:v>
      </x:c>
    </x:row>
    <x:row r="14">
      <x:c r="A14" s="28" t="str">
        <x:v>R65-13</x:v>
      </x:c>
      <x:c r="B14" s="22" t="str">
        <x:v>65(7)</x:v>
      </x:c>
      <x:c r="C14" s="22" t="str">
        <x:v>General minimum retention where no other period is prescribed</x:v>
      </x:c>
      <x:c r="D14" s="22" t="str">
        <x:v>All Part VI licensees</x:v>
      </x:c>
      <x:c r="E14" s="22" t="str">
        <x:v>Applicable</x:v>
      </x:c>
      <x:c r="F14" s="22" t="str">
        <x:v>PROV017 / COMP017</x:v>
      </x:c>
      <x:c r="G14" s="22" t="str">
        <x:v>At least two years from last entry</x:v>
      </x:c>
    </x:row>
    <x:row r="15">
      <x:c r="A15" s="28" t="str">
        <x:v>R65-14</x:v>
      </x:c>
      <x:c r="B15" s="22" t="str">
        <x:v>65(8)</x:v>
      </x:c>
      <x:c r="C15" s="22" t="str">
        <x:v>No duplicate special register if another law's register captures particulars</x:v>
      </x:c>
      <x:c r="D15" s="22" t="str">
        <x:v>All Part VI licensees</x:v>
      </x:c>
      <x:c r="E15" s="22" t="str">
        <x:v>Conditional</x:v>
      </x:c>
      <x:c r="F15" s="22" t="str">
        <x:v>PROV017 / COMP017</x:v>
      </x:c>
      <x:c r="G15" s="22" t="str">
        <x:v>Document equivalence</x:v>
      </x:c>
    </x:row>
    <x:row r="16">
      <x:c r="A16" s="28" t="str">
        <x:v>R65-15</x:v>
      </x:c>
      <x:c r="B16" s="22" t="str">
        <x:v>65(9)(a)</x:v>
      </x:c>
      <x:c r="C16" s="22" t="str">
        <x:v>H/H1/X retail sale only on RMP prescription; X prescription duplicate</x:v>
      </x:c>
      <x:c r="D16" s="22" t="str">
        <x:v>Scheduled-drug retail</x:v>
      </x:c>
      <x:c r="E16" s="22" t="str">
        <x:v>Applicable</x:v>
      </x:c>
      <x:c r="F16" s="22" t="str">
        <x:v>PROV014/022 / COMP014/022</x:v>
      </x:c>
      <x:c r="G16" s="22" t="str">
        <x:v>X copy two years</x:v>
      </x:c>
    </x:row>
    <x:row r="17">
      <x:c r="A17" s="28" t="str">
        <x:v>R65-16</x:v>
      </x:c>
      <x:c r="B17" s="22" t="str">
        <x:v>65(9)(b)</x:v>
      </x:c>
      <x:c r="C17" s="22" t="str">
        <x:v>Supply to RMP/hospital/dispensary/nursing home only against signed order</x:v>
      </x:c>
      <x:c r="D17" s="22" t="str">
        <x:v>Wholesale/Institutional/Hospital/Specialized</x:v>
      </x:c>
      <x:c r="E17" s="22" t="str">
        <x:v>Conditional</x:v>
      </x:c>
      <x:c r="F17" s="22" t="str">
        <x:v>PROV290 / COMP265</x:v>
      </x:c>
      <x:c r="G17" s="22" t="str">
        <x:v>Signed order two years</x:v>
      </x:c>
    </x:row>
    <x:row r="18">
      <x:c r="A18" s="28" t="str">
        <x:v>R65-17</x:v>
      </x:c>
      <x:c r="B18" s="22" t="str">
        <x:v>65(10)</x:v>
      </x:c>
      <x:c r="C18" s="22" t="str">
        <x:v>Prescription written, signed, dated; patient/owner details; amount and dose</x:v>
      </x:c>
      <x:c r="D18" s="22" t="str">
        <x:v>H/H1/X dispensing</x:v>
      </x:c>
      <x:c r="E18" s="22" t="str">
        <x:v>Applicable</x:v>
      </x:c>
      <x:c r="F18" s="22" t="str">
        <x:v>PROV119 / COMP119</x:v>
      </x:c>
      <x:c r="G18" s="22" t="str">
        <x:v>Transaction record</x:v>
      </x:c>
    </x:row>
    <x:row r="19">
      <x:c r="A19" s="28" t="str">
        <x:v>R65-18</x:v>
      </x:c>
      <x:c r="B19" s="22" t="str">
        <x:v>65(11)</x:v>
      </x:c>
      <x:c r="C19" s="22" t="str">
        <x:v>No repeat beyond prescriber authorization; follow intervals; seller/date annotation</x:v>
      </x:c>
      <x:c r="D19" s="22" t="str">
        <x:v>H/H1/X dispensing</x:v>
      </x:c>
      <x:c r="E19" s="22" t="str">
        <x:v>Applicable</x:v>
      </x:c>
      <x:c r="F19" s="22" t="str">
        <x:v>PROV020/119 / COMP020/119</x:v>
      </x:c>
      <x:c r="G19" s="22" t="str">
        <x:v>Annotate prescription</x:v>
      </x:c>
    </x:row>
    <x:row r="20">
      <x:c r="A20" s="28" t="str">
        <x:v>R65-19</x:v>
      </x:c>
      <x:c r="B20" s="22" t="str">
        <x:v>65(11A)</x:v>
      </x:c>
      <x:c r="C20" s="22" t="str">
        <x:v>No substitution of another preparation</x:v>
      </x:c>
      <x:c r="D20" s="22" t="str">
        <x:v>H/H1/X dispensing</x:v>
      </x:c>
      <x:c r="E20" s="22" t="str">
        <x:v>Applicable</x:v>
      </x:c>
      <x:c r="F20" s="22" t="str">
        <x:v>PROV020/119 / COMP020/119</x:v>
      </x:c>
      <x:c r="G20" s="22" t="str">
        <x:v>Transaction control</x:v>
      </x:c>
    </x:row>
    <x:row r="21">
      <x:c r="A21" s="28" t="str">
        <x:v>R65-20</x:v>
      </x:c>
      <x:c r="B21" s="22" t="str">
        <x:v>65(12)</x:v>
      </x:c>
      <x:c r="C21" s="22" t="str">
        <x:v>Schedule X restricted storage</x:v>
      </x:c>
      <x:c r="D21" s="22" t="str">
        <x:v>Schedule X handler</x:v>
      </x:c>
      <x:c r="E21" s="22" t="str">
        <x:v>Conditional</x:v>
      </x:c>
      <x:c r="F21" s="22" t="str">
        <x:v>PROV117 / COMP117</x:v>
      </x:c>
      <x:c r="G21" s="22" t="str">
        <x:v>Continuous</x:v>
      </x:c>
    </x:row>
    <x:row r="22">
      <x:c r="A22" s="28" t="str">
        <x:v>R65-21</x:v>
      </x:c>
      <x:c r="B22" s="22" t="str">
        <x:v>65(15)</x:v>
      </x:c>
      <x:c r="C22" s="22" t="str">
        <x:v>Permitted descriptions: Drugstore / Chemists and Druggists / Pharmacy based on services</x:v>
      </x:c>
      <x:c r="D22" s="22" t="str">
        <x:v>Retail premises</x:v>
      </x:c>
      <x:c r="E22" s="22" t="str">
        <x:v>Applicable</x:v>
      </x:c>
      <x:c r="F22" s="22" t="str">
        <x:v>P2 coverage register</x:v>
      </x:c>
      <x:c r="G22" s="22" t="str">
        <x:v>Continuous display</x:v>
      </x:c>
    </x:row>
    <x:row r="23">
      <x:c r="A23" s="28" t="str">
        <x:v>R65-22</x:v>
      </x:c>
      <x:c r="B23" s="22" t="str">
        <x:v>65(16)</x:v>
      </x:c>
      <x:c r="C23" s="22" t="str">
        <x:v>Inspection Book in Form 35</x:v>
      </x:c>
      <x:c r="D23" s="22" t="str">
        <x:v>All Part VI licensees</x:v>
      </x:c>
      <x:c r="E23" s="22" t="str">
        <x:v>Applicable</x:v>
      </x:c>
      <x:c r="F23" s="22" t="str">
        <x:v>PROV276 / COMP251</x:v>
      </x:c>
      <x:c r="G23" s="22" t="str">
        <x:v>Permanent/inspection record</x:v>
      </x:c>
    </x:row>
    <x:row r="24">
      <x:c r="A24" s="28" t="str">
        <x:v>R65-23</x:v>
      </x:c>
      <x:c r="B24" s="22" t="str">
        <x:v>65(17)</x:v>
      </x:c>
      <x:c r="C24" s="22" t="str">
        <x:v>No sale after expiry; segregate pending return/disposal; 'Not for sale'</x:v>
      </x:c>
      <x:c r="D24" s="22" t="str">
        <x:v>All stock holders</x:v>
      </x:c>
      <x:c r="E24" s="22" t="str">
        <x:v>Applicable</x:v>
      </x:c>
      <x:c r="F24" s="22" t="str">
        <x:v>PROV277 / COMP252</x:v>
      </x:c>
      <x:c r="G24" s="22" t="str">
        <x:v>Until withdrawal/disposal</x:v>
      </x:c>
    </x:row>
    <x:row r="25">
      <x:c r="A25" s="28" t="str">
        <x:v>R65-24</x:v>
      </x:c>
      <x:c r="B25" s="22" t="str">
        <x:v>65(18)</x:v>
      </x:c>
      <x:c r="C25" s="22" t="str">
        <x:v>Free-sample/scheme stock sale/stock prohibition and authorized exceptions</x:v>
      </x:c>
      <x:c r="D25" s="22" t="str">
        <x:v>All stock holders</x:v>
      </x:c>
      <x:c r="E25" s="22" t="str">
        <x:v>Conditional</x:v>
      </x:c>
      <x:c r="F25" s="22" t="str">
        <x:v>PROV278 / COMP253</x:v>
      </x:c>
      <x:c r="G25" s="22" t="str">
        <x:v>Separate exception records</x:v>
      </x:c>
    </x:row>
    <x:row r="26">
      <x:c r="A26" s="28" t="str">
        <x:v>R65-25</x:v>
      </x:c>
      <x:c r="B26" s="22" t="str">
        <x:v>65(19)</x:v>
      </x:c>
      <x:c r="C26" s="22" t="str">
        <x:v>Retail supply outside manufacturer pack under pharmacist with wrapper particulars</x:v>
      </x:c>
      <x:c r="D26" s="22" t="str">
        <x:v>Retail dispensing</x:v>
      </x:c>
      <x:c r="E26" s="22" t="str">
        <x:v>Conditional</x:v>
      </x:c>
      <x:c r="F26" s="22" t="str">
        <x:v>PROV279 / COMP254</x:v>
      </x:c>
      <x:c r="G26" s="22" t="str">
        <x:v>Transaction evidence</x:v>
      </x:c>
    </x:row>
    <x:row r="27">
      <x:c r="A27" s="28" t="str">
        <x:v>R65-26</x:v>
      </x:c>
      <x:c r="B27" s="22" t="str">
        <x:v>65(20)</x:v>
      </x:c>
      <x:c r="C27" s="22" t="str">
        <x:v>Veterinary warning and segregation</x:v>
      </x:c>
      <x:c r="D27" s="22" t="str">
        <x:v>Veterinary stock holder</x:v>
      </x:c>
      <x:c r="E27" s="22" t="str">
        <x:v>Conditional</x:v>
      </x:c>
      <x:c r="F27" s="22" t="str">
        <x:v>PROV280 / COMP255</x:v>
      </x:c>
      <x:c r="G27" s="22" t="str">
        <x:v>Continuous</x:v>
      </x:c>
    </x:row>
    <x:row r="28">
      <x:c r="A28" s="28" t="str">
        <x:v>R65-27</x:v>
      </x:c>
      <x:c r="B28" s="22" t="str">
        <x:v>65(21)</x:v>
      </x:c>
      <x:c r="C28" s="22" t="str">
        <x:v>Bound serially paged Schedule X drug-wise transaction register</x:v>
      </x:c>
      <x:c r="D28" s="22" t="str">
        <x:v>Schedule X handler</x:v>
      </x:c>
      <x:c r="E28" s="22" t="str">
        <x:v>Conditional</x:v>
      </x:c>
      <x:c r="F28" s="22" t="str">
        <x:v>PROV118 / COMP118</x:v>
      </x:c>
      <x:c r="G28" s="22" t="str">
        <x:v>General Rule 65(7), plus linked X records</x:v>
      </x:c>
    </x:row>
  </x:sheetData>
  <x:conditionalFormatting sqref="E2:E28">
    <x:cfRule type="containsText" dxfId="8" priority="1" operator="containsText" text="Applicable"/>
    <x:cfRule type="containsText" dxfId="9" priority="2" operator="containsText" text="Incorrect"/>
    <x:cfRule type="containsText" dxfId="10" priority="3" operator="containsText" text="Out-of-Scope"/>
    <x:cfRule type="containsText" dxfId="11" priority="4" operator="containsText" text="Future"/>
  </x:conditionalFormatting>
  <x:pageMargins left="0.7" right="0.7" top="0.75" bottom="0.75" header="0.3" footer="0.3"/>
  <x:tableParts count="1">
    <x:tablePart xmlns:r="http://schemas.openxmlformats.org/officeDocument/2006/relationships" r:id="R1fde1d2cbd8a42d4"/>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24" hidden="0" customWidth="1"/>
    <x:col min="4" max="4" width="30" hidden="0" customWidth="1"/>
    <x:col min="5" max="5" width="16" hidden="0" customWidth="1"/>
    <x:col min="6" max="6" width="24" hidden="0" customWidth="1"/>
    <x:col min="7" max="7" width="20" hidden="0" customWidth="1"/>
    <x:col min="8" max="8" width="46" hidden="0" customWidth="1"/>
    <x:col min="9" max="9" width="42" hidden="0" customWidth="1"/>
    <x:col min="10" max="10" width="28" hidden="0" customWidth="1"/>
  </x:cols>
  <x:sheetData>
    <x:row r="1" ht="30" customHeight="1">
      <x:c r="A1" s="27" t="str">
        <x:v>Amendment ID</x:v>
      </x:c>
      <x:c r="B1" s="27" t="str">
        <x:v>Notification</x:v>
      </x:c>
      <x:c r="C1" s="27" t="str">
        <x:v>Notification / Publication Date</x:v>
      </x:c>
      <x:c r="D1" s="27" t="str">
        <x:v>Affected Provision</x:v>
      </x:c>
      <x:c r="E1" s="27" t="str">
        <x:v>Status</x:v>
      </x:c>
      <x:c r="F1" s="27" t="str">
        <x:v>Commencement</x:v>
      </x:c>
      <x:c r="G1" s="27" t="str">
        <x:v>P-2 Position</x:v>
      </x:c>
      <x:c r="H1" s="27" t="str">
        <x:v>Substance</x:v>
      </x:c>
      <x:c r="I1" s="27" t="str">
        <x:v>Workbook Treatment</x:v>
      </x:c>
      <x:c r="J1" s="27" t="str">
        <x:v>Official Source</x:v>
      </x:c>
    </x:row>
    <x:row r="2">
      <x:c r="A2" s="28" t="str">
        <x:v>AMD-001</x:v>
      </x:c>
      <x:c r="B2" s="22" t="str">
        <x:v>G.S.R. 823(E)</x:v>
      </x:c>
      <x:c r="C2" s="22" t="str">
        <x:v>2022-11-17</x:v>
      </x:c>
      <x:c r="D2" s="22" t="str">
        <x:v>Rule 96(6)-(7); Schedule H2</x:v>
      </x:c>
      <x:c r="E2" s="22" t="str">
        <x:v>Final</x:v>
      </x:c>
      <x:c r="F2" s="22" t="str">
        <x:v>2023-08-01</x:v>
      </x:c>
      <x:c r="G2" s="22" t="str">
        <x:v>Current</x:v>
      </x:c>
      <x:c r="H2" s="22" t="str">
        <x:v>Barcode/QR on listed 300 formulations; manufacturer primary</x:v>
      </x:c>
      <x:c r="I2" s="22" t="str">
        <x:v>Included in PROV025/COMP025</x:v>
      </x:c>
      <x:c r="J2" s="22" t="str">
        <x:v>https://cdsco.gov.in/opencms/opencms/en/Notifications/Gazette-Notifications/</x:v>
      </x:c>
    </x:row>
    <x:row r="3">
      <x:c r="A3" s="28" t="str">
        <x:v>AMD-002</x:v>
      </x:c>
      <x:c r="B3" s="22" t="str">
        <x:v>G.S.R. 760(E)</x:v>
      </x:c>
      <x:c r="C3" s="22" t="str">
        <x:v>2025-10-16</x:v>
      </x:c>
      <x:c r="D3" s="22" t="str">
        <x:v>Draft Schedule K/H1 alcohol amendment</x:v>
      </x:c>
      <x:c r="E3" s="22" t="str">
        <x:v>Draft</x:v>
      </x:c>
      <x:c r="F3" s="22" t="str">
        <x:v>Not effective</x:v>
      </x:c>
      <x:c r="G3" s="22" t="str">
        <x:v>Superseded</x:v>
      </x:c>
      <x:c r="H3" s="22" t="str">
        <x:v>Draft precursor</x:v>
      </x:c>
      <x:c r="I3" s="22" t="str">
        <x:v>Do not treat as law; superseded by G.S.R. 607(E)</x:v>
      </x:c>
      <x:c r="J3" s="22" t="str">
        <x:v>https://cdsco.gov.in/opencms/opencms/en/Notifications/Gazette-Notifications/</x:v>
      </x:c>
    </x:row>
    <x:row r="4">
      <x:c r="A4" s="28" t="str">
        <x:v>AMD-003</x:v>
      </x:c>
      <x:c r="B4" s="22" t="str">
        <x:v>G.S.R. 757(E)</x:v>
      </x:c>
      <x:c r="C4" s="22" t="str">
        <x:v>2025-10-16</x:v>
      </x:c>
      <x:c r="D4" s="22" t="str">
        <x:v>Draft Schedule H2 Table 2 expansion</x:v>
      </x:c>
      <x:c r="E4" s="22" t="str">
        <x:v>Draft</x:v>
      </x:c>
      <x:c r="F4" s="22" t="str">
        <x:v>Not effective</x:v>
      </x:c>
      <x:c r="G4" s="22" t="str">
        <x:v>Superseded</x:v>
      </x:c>
      <x:c r="H4" s="22" t="str">
        <x:v>Draft precursor</x:v>
      </x:c>
      <x:c r="I4" s="22" t="str">
        <x:v>Do not treat as law; superseded by G.S.R. 506(E)</x:v>
      </x:c>
      <x:c r="J4" s="22" t="str">
        <x:v>https://cdsco.gov.in/opencms/opencms/en/Notifications/Gazette-Notifications/</x:v>
      </x:c>
    </x:row>
    <x:row r="5">
      <x:c r="A5" s="28" t="str">
        <x:v>AMD-004</x:v>
      </x:c>
      <x:c r="B5" s="22" t="str">
        <x:v>G.S.R. 477(E)</x:v>
      </x:c>
      <x:c r="C5" s="22" t="str">
        <x:v>2026-06-09 / published 2026-06-15</x:v>
      </x:c>
      <x:c r="D5" s="22" t="str">
        <x:v>Schedule K serial 13 item (7)</x:v>
      </x:c>
      <x:c r="E5" s="22" t="str">
        <x:v>Final</x:v>
      </x:c>
      <x:c r="F5" s="22" t="str">
        <x:v>On publication</x:v>
      </x:c>
      <x:c r="G5" s="22" t="str">
        <x:v>Current</x:v>
      </x:c>
      <x:c r="H5" s="22" t="str">
        <x:v>Removed word 'Syrups'</x:v>
      </x:c>
      <x:c r="I5" s="22" t="str">
        <x:v>Current Schedule K position integrated</x:v>
      </x:c>
      <x:c r="J5" s="22" t="str">
        <x:v>https://cdsco.gov.in/opencms/opencms/en/Notifications/Gazette-Notifications/</x:v>
      </x:c>
    </x:row>
    <x:row r="6">
      <x:c r="A6" s="28" t="str">
        <x:v>AMD-005</x:v>
      </x:c>
      <x:c r="B6" s="22" t="str">
        <x:v>G.S.R. 506(E)</x:v>
      </x:c>
      <x:c r="C6" s="22" t="str">
        <x:v>2026-06-22</x:v>
      </x:c>
      <x:c r="D6" s="22" t="str">
        <x:v>Schedule H2 Table 2</x:v>
      </x:c>
      <x:c r="E6" s="22" t="str">
        <x:v>Final</x:v>
      </x:c>
      <x:c r="F6" s="22" t="str">
        <x:v>2027-07-01; antimicrobials 2028-07-01</x:v>
      </x:c>
      <x:c r="G6" s="22" t="str">
        <x:v>Future Effective</x:v>
      </x:c>
      <x:c r="H6" s="22" t="str">
        <x:v>Vaccines, antimicrobials, listed NDPS substances, anticancer drugs</x:v>
      </x:c>
      <x:c r="I6" s="22" t="str">
        <x:v>Transition register only at cutoff</x:v>
      </x:c>
      <x:c r="J6" s="22" t="str">
        <x:v>https://cdsco.gov.in/opencms/opencms/en/Notifications/Gazette-Notifications/</x:v>
      </x:c>
    </x:row>
    <x:row r="7">
      <x:c r="A7" s="28" t="str">
        <x:v>AMD-006</x:v>
      </x:c>
      <x:c r="B7" s="22" t="str">
        <x:v>G.S.R. 607(E)</x:v>
      </x:c>
      <x:c r="C7" s="22" t="str">
        <x:v>2026-07-08</x:v>
      </x:c>
      <x:c r="D7" s="22" t="str">
        <x:v>Schedule K item 10; Schedule H1 item 52</x:v>
      </x:c>
      <x:c r="E7" s="22" t="str">
        <x:v>Final</x:v>
      </x:c>
      <x:c r="F7" s="22" t="str">
        <x:v>Six months after official publication</x:v>
      </x:c>
      <x:c r="G7" s="22" t="str">
        <x:v>Future Effective</x:v>
      </x:c>
      <x:c r="H7" s="22" t="str">
        <x:v>&gt;12% alcohol v/v oral formulations in packs &gt;30 ml</x:v>
      </x:c>
      <x:c r="I7" s="22" t="str">
        <x:v>Transition register only at cutoff</x:v>
      </x:c>
      <x:c r="J7" s="22" t="str">
        <x:v>https://cdsco.gov.in/opencms/opencms/en/Notifications/Gazette-Notifications/</x:v>
      </x:c>
    </x:row>
    <x:row r="8">
      <x:c r="A8" s="28" t="str">
        <x:v>AMD-007</x:v>
      </x:c>
      <x:c r="B8" s="22" t="str">
        <x:v>G.S.R. 706(E)</x:v>
      </x:c>
      <x:c r="C8" s="22" t="str">
        <x:v>2026-07-30</x:v>
      </x:c>
      <x:c r="D8" s="22" t="str">
        <x:v>Rule 2(bb); Rule 66B and other entity-family debarment rules</x:v>
      </x:c>
      <x:c r="E8" s="22" t="str">
        <x:v>Final</x:v>
      </x:c>
      <x:c r="F8" s="22" t="str">
        <x:v>2026-07-30</x:v>
      </x:c>
      <x:c r="G8" s="22" t="str">
        <x:v>Current</x:v>
      </x:c>
      <x:c r="H8" s="22" t="str">
        <x:v>Debarment for misleading/fake/fabricated documents/information</x:v>
      </x:c>
      <x:c r="I8" s="22" t="str">
        <x:v>Part VI Rule 66B integrated; other entity rules excluded by scope</x:v>
      </x:c>
      <x:c r="J8" s="22" t="str">
        <x:v>https://cdsco.gov.in/opencms/opencms/en/Notifications/Gazette-Notifications/</x:v>
      </x:c>
    </x:row>
    <x:row r="9">
      <x:c r="A9" s="28" t="str">
        <x:v>AMD-008</x:v>
      </x:c>
      <x:c r="B9" s="22" t="str">
        <x:v>G.S.R. 713(E)</x:v>
      </x:c>
      <x:c r="C9" s="22" t="str">
        <x:v>2026-08-06</x:v>
      </x:c>
      <x:c r="D9" s="22" t="str">
        <x:v>Rule 89; Form 29</x:v>
      </x:c>
      <x:c r="E9" s="22" t="str">
        <x:v>Final</x:v>
      </x:c>
      <x:c r="F9" s="22" t="str">
        <x:v>2026-08-06</x:v>
      </x:c>
      <x:c r="G9" s="22" t="str">
        <x:v>Out-of-Scope</x:v>
      </x:c>
      <x:c r="H9" s="22" t="str">
        <x:v>Test-licence categories linked to manufacturing forms</x:v>
      </x:c>
      <x:c r="I9" s="22" t="str">
        <x:v>Taxonomy gap; no automatic expansion</x:v>
      </x:c>
      <x:c r="J9" s="22" t="str">
        <x:v>https://cdsco.gov.in/opencms/opencms/en/Notifications/Gazette-Notifications/</x:v>
      </x:c>
    </x:row>
    <x:row r="10">
      <x:c r="A10" s="28" t="str">
        <x:v>AMD-009</x:v>
      </x:c>
      <x:c r="B10" s="22" t="str">
        <x:v>G.S.R. 561(E)</x:v>
      </x:c>
      <x:c r="C10" s="22" t="str">
        <x:v>2026-07-02</x:v>
      </x:c>
      <x:c r="D10" s="22" t="str">
        <x:v>Rule 43A</x:v>
      </x:c>
      <x:c r="E10" s="22" t="str">
        <x:v>Final</x:v>
      </x:c>
      <x:c r="F10" s="22" t="str">
        <x:v>2026-07-02</x:v>
      </x:c>
      <x:c r="G10" s="22" t="str">
        <x:v>Out-of-Scope</x:v>
      </x:c>
      <x:c r="H10" s="22" t="str">
        <x:v>Authorized import airport</x:v>
      </x:c>
      <x:c r="I10" s="22" t="str">
        <x:v>Importer taxonomy gap</x:v>
      </x:c>
      <x:c r="J10" s="22" t="str">
        <x:v>https://cdsco.gov.in/opencms/opencms/en/Notifications/Gazette-Notifications/</x:v>
      </x:c>
    </x:row>
    <x:row r="11">
      <x:c r="A11" s="28" t="str">
        <x:v>AMD-010</x:v>
      </x:c>
      <x:c r="B11" s="22" t="str">
        <x:v>S.O. 3068(E)-3083(E)</x:v>
      </x:c>
      <x:c r="C11" s="22" t="str">
        <x:v>2026-06-11</x:v>
      </x:c>
      <x:c r="D11" s="22" t="str">
        <x:v>Section 26A orders</x:v>
      </x:c>
      <x:c r="E11" s="22" t="str">
        <x:v>Final</x:v>
      </x:c>
      <x:c r="F11" s="22" t="str">
        <x:v>2026-06-11</x:v>
      </x:c>
      <x:c r="G11" s="22" t="str">
        <x:v>Current / Product Based</x:v>
      </x:c>
      <x:c r="H11" s="22" t="str">
        <x:v>Prohibition of 16 FDCs</x:v>
      </x:c>
      <x:c r="I11" s="22" t="str">
        <x:v>Track as product prohibition, not Drugs Rules sub-rule</x:v>
      </x:c>
      <x:c r="J11" s="22" t="str">
        <x:v>https://cdsco.gov.in/opencms/opencms/en/Notifications/Gazette-Notifications/</x:v>
      </x:c>
    </x:row>
    <x:row r="12">
      <x:c r="A12" s="28" t="str">
        <x:v>AMD-011</x:v>
      </x:c>
      <x:c r="B12" s="22" t="str">
        <x:v>G.S.R. 505(E)</x:v>
      </x:c>
      <x:c r="C12" s="22" t="str">
        <x:v>2026-06-22</x:v>
      </x:c>
      <x:c r="D12" s="22" t="str">
        <x:v>Draft Rule 31 shelf-life rationalization</x:v>
      </x:c>
      <x:c r="E12" s="22" t="str">
        <x:v>Draft</x:v>
      </x:c>
      <x:c r="F12" s="22" t="str">
        <x:v>Not effective</x:v>
      </x:c>
      <x:c r="G12" s="22" t="str">
        <x:v>Draft</x:v>
      </x:c>
      <x:c r="H12" s="22" t="str">
        <x:v>No current-law change</x:v>
      </x:c>
      <x:c r="I12" s="22" t="str">
        <x:v>Excluded from production until final notification</x:v>
      </x:c>
      <x:c r="J12" s="22" t="str">
        <x:v>https://cdsco.gov.in/opencms/opencms/en/Notifications/Gazette-Notifications/</x:v>
      </x:c>
    </x:row>
  </x:sheetData>
  <x:conditionalFormatting sqref="G2:G12">
    <x:cfRule type="containsText" dxfId="12" priority="1" operator="containsText" text="Applicable"/>
    <x:cfRule type="containsText" dxfId="13" priority="2" operator="containsText" text="Incorrect"/>
    <x:cfRule type="containsText" dxfId="14" priority="3" operator="containsText" text="Out-of-Scope"/>
    <x:cfRule type="containsText" dxfId="15" priority="4" operator="containsText" text="Future"/>
  </x:conditionalFormatting>
  <x:pageMargins left="0.7" right="0.7" top="0.75" bottom="0.75" header="0.3" footer="0.3"/>
  <x:tableParts count="1">
    <x:tablePart xmlns:r="http://schemas.openxmlformats.org/officeDocument/2006/relationships" r:id="R74ae5fa1a4ba4e2c"/>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38" hidden="0" customWidth="1"/>
    <x:col min="2" max="2" width="26" hidden="0" customWidth="1"/>
    <x:col min="3" max="3" width="22" hidden="0" customWidth="1"/>
    <x:col min="4" max="4" width="68" hidden="0" customWidth="1"/>
  </x:cols>
  <x:sheetData>
    <x:row r="1">
      <x:c r="A1" s="26" t="str">
        <x:v>Gate / Metric</x:v>
      </x:c>
      <x:c r="B1" s="26" t="str">
        <x:v>Result / Count</x:v>
      </x:c>
      <x:c r="C1" s="26" t="str">
        <x:v>Status</x:v>
      </x:c>
      <x:c r="D1" s="26" t="str">
        <x:v>Notes</x:v>
      </x:c>
    </x:row>
    <x:row r="2">
      <x:c r="A2" s="28" t="str">
        <x:v>P-2 Scope Date</x:v>
      </x:c>
      <x:c r="B2" s="22" t="str">
        <x:v>2026-08-20</x:v>
      </x:c>
      <x:c r="C2" s="22" t="str">
        <x:v>PASS</x:v>
      </x:c>
      <x:c r="D2" s="22" t="str">
        <x:v>Current-law cutoff through 20 August 2026.</x:v>
      </x:c>
    </x:row>
    <x:row r="3">
      <x:c r="A3" s="28" t="str">
        <x:v>Official Consolidated Baseline</x:v>
      </x:c>
      <x:c r="B3" s="22" t="str">
        <x:v>CDSCO text dated 01-07-2024</x:v>
      </x:c>
      <x:c r="C3" s="22" t="str">
        <x:v>PASS</x:v>
      </x:c>
      <x:c r="D3" s="22" t="str">
        <x:v>Layered with final notifications and commencement dates through cutoff.</x:v>
      </x:c>
    </x:row>
    <x:row r="4">
      <x:c r="A4" s="28" t="str">
        <x:v>Checklist / Existing Items Classified</x:v>
      </x:c>
      <x:c r="B4" s="22" t="n">
        <x:f>COUNTA('P2 Checklist Validation'!A2:A200)</x:f>
        <x:v>47</x:v>
      </x:c>
      <x:c r="C4" s="22" t="str">
        <x:v>PASS</x:v>
      </x:c>
      <x:c r="D4" s="22" t="str">
        <x:v>All identifiable CS-derived/current Drugs Rules items embedded in the workbook were classified; no separate standalone CS checklist file was present in the project files.</x:v>
      </x:c>
    </x:row>
    <x:row r="5">
      <x:c r="A5" s="28" t="str">
        <x:v>Applicable</x:v>
      </x:c>
      <x:c r="B5" s="22" t="n">
        <x:f>COUNTIF('P2 Checklist Validation'!F2:F200,"Applicable")</x:f>
        <x:v>17</x:v>
      </x:c>
      <x:c r="C5" s="22" t="str">
        <x:v>INFO</x:v>
      </x:c>
      <x:c r="D5" s="22" t="str">
        <x:v>Direct current controls.</x:v>
      </x:c>
    </x:row>
    <x:row r="6">
      <x:c r="A6" s="28" t="str">
        <x:v>Conditional</x:v>
      </x:c>
      <x:c r="B6" s="22" t="n">
        <x:f>COUNTIF('P2 Checklist Validation'!F2:F200,"Conditional")</x:f>
        <x:v>8</x:v>
      </x:c>
      <x:c r="C6" s="22" t="str">
        <x:v>INFO</x:v>
      </x:c>
      <x:c r="D6" s="22" t="str">
        <x:v>Activity/product/licence or future-effective trigger.</x:v>
      </x:c>
    </x:row>
    <x:row r="7">
      <x:c r="A7" s="28" t="str">
        <x:v>Out-of-Scope</x:v>
      </x:c>
      <x:c r="B7" s="22" t="n">
        <x:f>COUNTIF('P2 Checklist Validation'!F2:F200,"Out-of-Scope")</x:f>
        <x:v>3</x:v>
      </x:c>
      <x:c r="C7" s="22" t="str">
        <x:v>CONTROLLED EXCLUSION</x:v>
      </x:c>
      <x:c r="D7" s="22" t="str">
        <x:v>Valid manufacturer/importer/testing activity families excluded from current taxonomy.</x:v>
      </x:c>
    </x:row>
    <x:row r="8">
      <x:c r="A8" s="28" t="str">
        <x:v>Duplicate</x:v>
      </x:c>
      <x:c r="B8" s="22" t="n">
        <x:f>COUNTIF('P2 Checklist Validation'!F2:F200,"Duplicate")</x:f>
        <x:v>1</x:v>
      </x:c>
      <x:c r="C8" s="22" t="str">
        <x:v>REMEDIATED</x:v>
      </x:c>
      <x:c r="D8" s="22" t="str">
        <x:v>Legacy overlap/false downstream traceability quarantined.</x:v>
      </x:c>
    </x:row>
    <x:row r="9">
      <x:c r="A9" s="28" t="str">
        <x:v>Superseded</x:v>
      </x:c>
      <x:c r="B9" s="22" t="n">
        <x:f>COUNTIF('P2 Checklist Validation'!F2:F200,"Superseded")</x:f>
        <x:v>0</x:v>
      </x:c>
      <x:c r="C9" s="22" t="str">
        <x:v>CONTROLLED</x:v>
      </x:c>
      <x:c r="D9" s="22" t="str">
        <x:v>Draft precursors not treated as law.</x:v>
      </x:c>
    </x:row>
    <x:row r="10">
      <x:c r="A10" s="28" t="str">
        <x:v>Incorrect Extraction</x:v>
      </x:c>
      <x:c r="B10" s="22" t="n">
        <x:f>COUNTIF('P2 Checklist Validation'!F2:F200,"Incorrect Extraction")</x:f>
        <x:v>15</x:v>
      </x:c>
      <x:c r="C10" s="22" t="str">
        <x:v>REMEDIATED</x:v>
      </x:c>
      <x:c r="D10" s="22" t="str">
        <x:v>Rule numbers/titles/schedule ownership/retention errors corrected.</x:v>
      </x:c>
    </x:row>
    <x:row r="11">
      <x:c r="A11" s="28" t="str">
        <x:v>Best Practice</x:v>
      </x:c>
      <x:c r="B11" s="22" t="n">
        <x:f>COUNTIF('P2 Checklist Validation'!F2:F200,"Best Practice")</x:f>
        <x:v>2</x:v>
      </x:c>
      <x:c r="C11" s="22" t="str">
        <x:v>RECLASSIFIED</x:v>
      </x:c>
      <x:c r="D11" s="22" t="str">
        <x:v>Useful control retained without false statutory status.</x:v>
      </x:c>
    </x:row>
    <x:row r="12">
      <x:c r="A12" s="28" t="str">
        <x:v>Needs Legal Review</x:v>
      </x:c>
      <x:c r="B12" s="22" t="n">
        <x:f>COUNTIF('P2 Checklist Validation'!F2:F200,"Needs Legal Review")</x:f>
        <x:v>1</x:v>
      </x:c>
      <x:c r="C12" s="22" t="str">
        <x:v>OPEN MONITOR</x:v>
      </x:c>
      <x:c r="D12" s="22" t="str">
        <x:v>No final standalone e-pharmacy instrument validated.</x:v>
      </x:c>
    </x:row>
    <x:row r="13">
      <x:c r="A13" s="28" t="str">
        <x:v>Rule 65 Sub-controls Validated</x:v>
      </x:c>
      <x:c r="B13" s="22" t="n">
        <x:f>COUNTA('P2 Rule 65 Matrix'!A2:A100)</x:f>
        <x:v>27</x:v>
      </x:c>
      <x:c r="C13" s="22" t="str">
        <x:v>PASS</x:v>
      </x:c>
      <x:c r="D13" s="22" t="str">
        <x:v>Sub-rule-level scope, mapping and retention position documented.</x:v>
      </x:c>
    </x:row>
    <x:row r="14">
      <x:c r="A14" s="28" t="str">
        <x:v>Existing Production Provisions Normalized</x:v>
      </x:c>
      <x:c r="B14" s="22" t="n">
        <x:v>24</x:v>
      </x:c>
      <x:c r="C14" s="22" t="str">
        <x:v>PASS</x:v>
      </x:c>
      <x:c r="D14" s="22" t="str">
        <x:v>Existing IDs preserved.</x:v>
      </x:c>
    </x:row>
    <x:row r="15">
      <x:c r="A15" s="28" t="str">
        <x:v>New Rule-level Production Chains</x:v>
      </x:c>
      <x:c r="B15" s="22" t="n">
        <x:v>15</x:v>
      </x:c>
      <x:c r="C15" s="22" t="str">
        <x:v>PASS</x:v>
      </x:c>
      <x:c r="D15" s="22" t="str">
        <x:v>Provision→Compliance→Audit→Evidence→Observation chains added.</x:v>
      </x:c>
    </x:row>
    <x:row r="16">
      <x:c r="A16" s="28" t="str">
        <x:v>Legacy Misaligned Audits Quarantined</x:v>
      </x:c>
      <x:c r="B16" s="22" t="n">
        <x:v>48</x:v>
      </x:c>
      <x:c r="C16" s="22" t="str">
        <x:v>PASS</x:v>
      </x:c>
      <x:c r="D16" s="22" t="str">
        <x:v>Inactive with replacement IDs; evidence/observations also quarantined.</x:v>
      </x:c>
    </x:row>
    <x:row r="17">
      <x:c r="A17" s="28" t="str">
        <x:v>P-0 Prescription Audits Rescued</x:v>
      </x:c>
      <x:c r="B17" s="22" t="n">
        <x:v>10</x:v>
      </x:c>
      <x:c r="C17" s="22" t="str">
        <x:v>PASS</x:v>
      </x:c>
      <x:c r="D17" s="22" t="str">
        <x:v>AUD158–AUD167 remapped to valid legal/professional parents.</x:v>
      </x:c>
    </x:row>
    <x:row r="18">
      <x:c r="A18" s="28" t="str">
        <x:v>Current Final Amendments Integrated</x:v>
      </x:c>
      <x:c r="B18" s="22" t="n">
        <x:v>3</x:v>
      </x:c>
      <x:c r="C18" s="22" t="str">
        <x:v>PASS</x:v>
      </x:c>
      <x:c r="D18" s="22" t="str">
        <x:v>G.S.R. 477(E), 706(E) and existing G.S.R. 823(E) position.</x:v>
      </x:c>
    </x:row>
    <x:row r="19">
      <x:c r="A19" s="28" t="str">
        <x:v>Future-effective Final Amendments Controlled</x:v>
      </x:c>
      <x:c r="B19" s="22" t="n">
        <x:v>2</x:v>
      </x:c>
      <x:c r="C19" s="22" t="str">
        <x:v>PASS</x:v>
      </x:c>
      <x:c r="D19" s="22" t="str">
        <x:v>G.S.R. 506(E) and 607(E) tracked but not treated as current duties.</x:v>
      </x:c>
    </x:row>
    <x:row r="20">
      <x:c r="A20" s="28" t="str">
        <x:v>Taxonomy Expansion</x:v>
      </x:c>
      <x:c r="B20" s="22" t="n">
        <x:v>0</x:v>
      </x:c>
      <x:c r="C20" s="22" t="str">
        <x:v>PASS</x:v>
      </x:c>
      <x:c r="D20" s="22" t="str">
        <x:v>No new sub-sector added; potential entities remain controlled gaps.</x:v>
      </x:c>
    </x:row>
    <x:row r="21">
      <x:c r="A21" s="28" t="str">
        <x:v>P-2 Drugs Rules Deep Validation Gate</x:v>
      </x:c>
      <x:c r="B21" s="22" t="str">
        <x:v>PASS</x:v>
      </x:c>
      <x:c r="C21" s="22" t="str">
        <x:v>COMPLETE</x:v>
      </x:c>
      <x:c r="D21" s="22" t="str">
        <x:v>Rule/schedule/form accuracy, applicability, current-law position and production traceability validated.</x:v>
      </x:c>
    </x:row>
    <x:row r="22">
      <x:c r="A22" s="28" t="str">
        <x:v>Workbook Freeze</x:v>
      </x:c>
      <x:c r="B22" s="22" t="str">
        <x:v>NOT FROZEN</x:v>
      </x:c>
      <x:c r="C22" s="22" t="str">
        <x:v>CONTROLLED</x:v>
      </x:c>
      <x:c r="D22" s="22" t="str">
        <x:v>Remaining Pharmacy environmental/general-law/applicability gates must pass before final freeze.</x:v>
      </x:c>
    </x:row>
    <x:row r="23">
      <x:c r="A23" s="28" t="str">
        <x:v>Next Gate</x:v>
      </x:c>
      <x:c r="B23" s="22" t="str">
        <x:v>Environmental &amp; General-Law Validation</x:v>
      </x:c>
      <x:c r="C23" s="22" t="str">
        <x:v>OPEN</x:v>
      </x:c>
      <x:c r="D23" s="22" t="str">
        <x:v>Proceed without reopening the Common Corporate Core.</x:v>
      </x:c>
    </x:row>
  </x:sheetData>
  <x:conditionalFormatting sqref="C2:C23">
    <x:cfRule type="containsText" dxfId="16" priority="1" operator="containsText" text="PASS"/>
    <x:cfRule type="containsText" dxfId="17" priority="2" operator="containsText" text="OPEN"/>
  </x:conditionalFormatting>
  <x:pageMargins left="0.7" right="0.7" top="0.75" bottom="0.75" header="0.3" footer="0.3"/>
  <x:tableParts count="1">
    <x:tablePart xmlns:r="http://schemas.openxmlformats.org/officeDocument/2006/relationships" r:id="Rf4dee8d2b66847c3"/>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14" hidden="0" customWidth="1"/>
    <x:col min="2" max="2" width="38" hidden="0" customWidth="1"/>
    <x:col min="3" max="3" width="24" hidden="0" customWidth="1"/>
    <x:col min="4" max="4" width="48" hidden="0" customWidth="1"/>
    <x:col min="5" max="5" width="35" hidden="0" customWidth="1"/>
    <x:col min="6" max="6" width="28" hidden="0" customWidth="1"/>
    <x:col min="7" max="7" width="24" hidden="0" customWidth="1"/>
    <x:col min="8" max="8" width="55" hidden="0" customWidth="1"/>
  </x:cols>
  <x:sheetData>
    <x:row r="1" ht="30" customHeight="1">
      <x:c r="A1" s="41" t="str">
        <x:v>Coverage ID</x:v>
      </x:c>
      <x:c r="B1" s="41" t="str">
        <x:v>Instrument</x:v>
      </x:c>
      <x:c r="C1" s="41" t="str">
        <x:v>Regulated Role</x:v>
      </x:c>
      <x:c r="D1" s="41" t="str">
        <x:v>Activation Trigger</x:v>
      </x:c>
      <x:c r="E1" s="41" t="str">
        <x:v>Applicable Pharmacy Scope</x:v>
      </x:c>
      <x:c r="F1" s="41" t="str">
        <x:v>Production Mapping</x:v>
      </x:c>
      <x:c r="G1" s="41" t="str">
        <x:v>P-3 Position</x:v>
      </x:c>
      <x:c r="H1" s="41" t="str">
        <x:v>Treatment</x:v>
      </x:c>
    </x:row>
    <x:row r="2">
      <x:c r="A2" s="28" t="str">
        <x:v>ENV-001</x:v>
      </x:c>
      <x:c r="B2" s="22" t="str">
        <x:v>Environment (Protection) Act, 1986</x:v>
      </x:c>
      <x:c r="C2" s="22" t="str">
        <x:v>Parent statute</x:v>
      </x:c>
      <x:c r="D2" s="22" t="str">
        <x:v>Framework parent</x:v>
      </x:c>
      <x:c r="E2" s="22" t="str">
        <x:v>All through triggered subordinate rules</x:v>
      </x:c>
      <x:c r="F2" s="22" t="str">
        <x:v>LAW101</x:v>
      </x:c>
      <x:c r="G2" s="22" t="str">
        <x:v>Current</x:v>
      </x:c>
      <x:c r="H2" s="22" t="str">
        <x:v>Added missing parent; no omnibus operator chain.</x:v>
      </x:c>
    </x:row>
    <x:row r="3">
      <x:c r="A3" s="28" t="str">
        <x:v>ENV-002</x:v>
      </x:c>
      <x:c r="B3" s="22" t="str">
        <x:v>Bio-Medical Waste Management Rules, 2016</x:v>
      </x:c>
      <x:c r="C3" s="22" t="str">
        <x:v>BMW occupier/HCF</x:v>
      </x:c>
      <x:c r="D3" s="22" t="str">
        <x:v>Clinical/diagnostic/treatment activity or actual BMW generation/handling</x:v>
      </x:c>
      <x:c r="E3" s="22" t="str">
        <x:v>Hospital/Institutional/Specialized/AYUSH and any actual generator</x:v>
      </x:c>
      <x:c r="F3" s="22" t="str">
        <x:v>PROV046-050 / COMP046-050</x:v>
      </x:c>
      <x:c r="G3" s="22" t="str">
        <x:v>Current — Conditional</x:v>
      </x:c>
      <x:c r="H3" s="22" t="str">
        <x:v>Five existing chains normalized; permit pseudo-laws retired.</x:v>
      </x:c>
    </x:row>
    <x:row r="4">
      <x:c r="A4" s="28" t="str">
        <x:v>ENV-003</x:v>
      </x:c>
      <x:c r="B4" s="22" t="str">
        <x:v>Solid Waste Management Rules, 2026</x:v>
      </x:c>
      <x:c r="C4" s="22" t="str">
        <x:v>Every solid-waste generator</x:v>
      </x:c>
      <x:c r="D4" s="22" t="str">
        <x:v>General solid waste generation</x:v>
      </x:c>
      <x:c r="E4" s="22" t="str">
        <x:v>All</x:v>
      </x:c>
      <x:c r="F4" s="22" t="str">
        <x:v>PROV291 / COMP266</x:v>
      </x:c>
      <x:c r="G4" s="22" t="str">
        <x:v>Current — Applicable</x:v>
      </x:c>
      <x:c r="H4" s="22" t="str">
        <x:v>2016 law title superseded; four-stream duty added.</x:v>
      </x:c>
    </x:row>
    <x:row r="5">
      <x:c r="A5" s="28" t="str">
        <x:v>ENV-004</x:v>
      </x:c>
      <x:c r="B5" s="22" t="str">
        <x:v>Solid Waste Management Rules, 2026</x:v>
      </x:c>
      <x:c r="C5" s="22" t="str">
        <x:v>Bulk waste generator</x:v>
      </x:c>
      <x:c r="D5" s="22" t="str">
        <x:v>Any threshold: ≥20,000 sqm floor area OR ≥40,000 L/day water OR ≥100 kg/day waste</x:v>
      </x:c>
      <x:c r="E5" s="22" t="str">
        <x:v>Large Chain/Hospital/Institutional/other by facts</x:v>
      </x:c>
      <x:c r="F5" s="22" t="str">
        <x:v>PROV292 / COMP267</x:v>
      </x:c>
      <x:c r="G5" s="22" t="str">
        <x:v>Current — Conditional</x:v>
      </x:c>
      <x:c r="H5" s="22" t="str">
        <x:v>Additional portal/processing/EBWGR chain.</x:v>
      </x:c>
    </x:row>
    <x:row r="6">
      <x:c r="A6" s="28" t="str">
        <x:v>ENV-005</x:v>
      </x:c>
      <x:c r="B6" s="22" t="str">
        <x:v>Plastic Waste Management Rules, 2016</x:v>
      </x:c>
      <x:c r="C6" s="22" t="str">
        <x:v>Waste generator / retailer</x:v>
      </x:c>
      <x:c r="D6" s="22" t="str">
        <x:v>Plastic waste or retail provision/use of carry bags/sheets</x:v>
      </x:c>
      <x:c r="E6" s="22" t="str">
        <x:v>All by role</x:v>
      </x:c>
      <x:c r="F6" s="22" t="str">
        <x:v>PROV293 / COMP268</x:v>
      </x:c>
      <x:c r="G6" s="22" t="str">
        <x:v>Current — Conditional</x:v>
      </x:c>
      <x:c r="H6" s="22" t="str">
        <x:v>PIBO EPR expressly excluded absent separate role.</x:v>
      </x:c>
    </x:row>
    <x:row r="7">
      <x:c r="A7" s="28" t="str">
        <x:v>ENV-006</x:v>
      </x:c>
      <x:c r="B7" s="22" t="str">
        <x:v>Battery Waste Management Rules, 2022</x:v>
      </x:c>
      <x:c r="C7" s="22" t="str">
        <x:v>Consumer</x:v>
      </x:c>
      <x:c r="D7" s="22" t="str">
        <x:v>Discard of waste batteries</x:v>
      </x:c>
      <x:c r="E7" s="22" t="str">
        <x:v>All battery users</x:v>
      </x:c>
      <x:c r="F7" s="22" t="str">
        <x:v>PROV294 / COMP269</x:v>
      </x:c>
      <x:c r="G7" s="22" t="str">
        <x:v>Current — Conditional</x:v>
      </x:c>
      <x:c r="H7" s="22" t="str">
        <x:v>Producer EPR not imposed on consumer-only pharmacy.</x:v>
      </x:c>
    </x:row>
    <x:row r="8">
      <x:c r="A8" s="28" t="str">
        <x:v>ENV-007</x:v>
      </x:c>
      <x:c r="B8" s="22" t="str">
        <x:v>E-Waste (Management) Rules, 2022</x:v>
      </x:c>
      <x:c r="C8" s="22" t="str">
        <x:v>Bulk consumer</x:v>
      </x:c>
      <x:c r="D8" s="22" t="str">
        <x:v>At least 1,000 Schedule I EEE units in financial year</x:v>
      </x:c>
      <x:c r="E8" s="22" t="str">
        <x:v>Chain/E-Pharmacy/Hospital/Institutional by threshold</x:v>
      </x:c>
      <x:c r="F8" s="22" t="str">
        <x:v>PROV295 / COMP270</x:v>
      </x:c>
      <x:c r="G8" s="22" t="str">
        <x:v>Current — Conditional</x:v>
      </x:c>
      <x:c r="H8" s="22" t="str">
        <x:v>Registered recipient channel only; no invented annual return.</x:v>
      </x:c>
    </x:row>
    <x:row r="9">
      <x:c r="A9" s="28" t="str">
        <x:v>ENV-008</x:v>
      </x:c>
      <x:c r="B9" s="22" t="str">
        <x:v>Hazardous and Other Wastes Rules, 2016</x:v>
      </x:c>
      <x:c r="C9" s="22" t="str">
        <x:v>Occupier</x:v>
      </x:c>
      <x:c r="D9" s="22" t="str">
        <x:v>Scheduled/characterised hazardous or other waste</x:v>
      </x:c>
      <x:c r="E9" s="22" t="str">
        <x:v>Any by actual waste stream</x:v>
      </x:c>
      <x:c r="F9" s="22" t="str">
        <x:v>PROV296 / COMP271</x:v>
      </x:c>
      <x:c r="G9" s="22" t="str">
        <x:v>Current — Conditional</x:v>
      </x:c>
      <x:c r="H9" s="22" t="str">
        <x:v>Used oil/chemical/waste characterisation gate.</x:v>
      </x:c>
    </x:row>
    <x:row r="10">
      <x:c r="A10" s="28" t="str">
        <x:v>ENV-009</x:v>
      </x:c>
      <x:c r="B10" s="22" t="str">
        <x:v>Water Act, 1974</x:v>
      </x:c>
      <x:c r="C10" s="22" t="str">
        <x:v>Covered operation/outlet/discharge</x:v>
      </x:c>
      <x:c r="D10" s="22" t="str">
        <x:v>Section 25 after exemption and State classification</x:v>
      </x:c>
      <x:c r="E10" s="22" t="str">
        <x:v>Any by equipment/activity</x:v>
      </x:c>
      <x:c r="F10" s="22" t="str">
        <x:v>PROV297 / COMP272</x:v>
      </x:c>
      <x:c r="G10" s="22" t="str">
        <x:v>Current — Conditional</x:v>
      </x:c>
      <x:c r="H10" s="22" t="str">
        <x:v>No universal pharmacy consent assumption.</x:v>
      </x:c>
    </x:row>
    <x:row r="11">
      <x:c r="A11" s="28" t="str">
        <x:v>ENV-010</x:v>
      </x:c>
      <x:c r="B11" s="22" t="str">
        <x:v>Air Act, 1981</x:v>
      </x:c>
      <x:c r="C11" s="22" t="str">
        <x:v>Covered industrial plant/source</x:v>
      </x:c>
      <x:c r="D11" s="22" t="str">
        <x:v>Section 21/control area after exemption and State classification</x:v>
      </x:c>
      <x:c r="E11" s="22" t="str">
        <x:v>Any by equipment/activity</x:v>
      </x:c>
      <x:c r="F11" s="22" t="str">
        <x:v>PROV298 / COMP273</x:v>
      </x:c>
      <x:c r="G11" s="22" t="str">
        <x:v>Current — Conditional</x:v>
      </x:c>
      <x:c r="H11" s="22" t="str">
        <x:v>No universal pharmacy consent assumption.</x:v>
      </x:c>
    </x:row>
    <x:row r="12">
      <x:c r="A12" s="28" t="str">
        <x:v>ENV-011</x:v>
      </x:c>
      <x:c r="B12" s="22" t="str">
        <x:v>C&amp;D Waste Management Rules, 2025</x:v>
      </x:c>
      <x:c r="C12" s="22" t="str">
        <x:v>Waste generator</x:v>
      </x:c>
      <x:c r="D12" s="22" t="str">
        <x:v>Construction/renovation/demolition/excavation</x:v>
      </x:c>
      <x:c r="E12" s="22" t="str">
        <x:v>All by project</x:v>
      </x:c>
      <x:c r="F12" s="22" t="str">
        <x:v>PROV299 / COMP274</x:v>
      </x:c>
      <x:c r="G12" s="22" t="str">
        <x:v>Current — Event Based</x:v>
      </x:c>
      <x:c r="H12" s="22" t="str">
        <x:v>Effective 01-04-2026.</x:v>
      </x:c>
    </x:row>
    <x:row r="13">
      <x:c r="A13" s="28" t="str">
        <x:v>ENV-012</x:v>
      </x:c>
      <x:c r="B13" s="22" t="str">
        <x:v>CPCB/SPCB guidelines/authorizations</x:v>
      </x:c>
      <x:c r="C13" s="22" t="str">
        <x:v>Guidance / permit evidence</x:v>
      </x:c>
      <x:c r="D13" s="22" t="str">
        <x:v>Only after governing rule/authorization trigger</x:v>
      </x:c>
      <x:c r="E13" s="22" t="str">
        <x:v>By exact permit</x:v>
      </x:c>
      <x:c r="F13" s="22" t="str">
        <x:v>Source/permit evidence</x:v>
      </x:c>
      <x:c r="G13" s="22" t="str">
        <x:v>Inactive as law</x:v>
      </x:c>
      <x:c r="H13" s="22" t="str">
        <x:v>LAW019/020/082 reclassified; no duplicate statutory ownership.</x:v>
      </x:c>
    </x:row>
  </x:sheetData>
  <x:conditionalFormatting sqref="G2:G13">
    <x:cfRule type="containsText" dxfId="18" priority="1" operator="containsText" text="Current"/>
    <x:cfRule type="containsText" dxfId="19" priority="2" operator="containsText" text="Applicable"/>
    <x:cfRule type="containsText" dxfId="20" priority="3" operator="containsText" text="Future"/>
    <x:cfRule type="containsText" dxfId="21" priority="4" operator="containsText" text="Inactive"/>
    <x:cfRule type="containsText" dxfId="22" priority="5" operator="containsText" text="Unresolved"/>
  </x:conditionalFormatting>
  <x:pageMargins left="0.7" right="0.7" top="0.75" bottom="0.75" header="0.3" footer="0.3"/>
  <x:tableParts count="1">
    <x:tablePart xmlns:r="http://schemas.openxmlformats.org/officeDocument/2006/relationships" r:id="Rac96007f90d7496b"/>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14" hidden="0" customWidth="1"/>
    <x:col min="2" max="2" width="40" hidden="0" customWidth="1"/>
    <x:col min="3" max="3" width="27" hidden="0" customWidth="1"/>
    <x:col min="4" max="4" width="45" hidden="0" customWidth="1"/>
    <x:col min="5" max="5" width="32" hidden="0" customWidth="1"/>
    <x:col min="6" max="6" width="25" hidden="0" customWidth="1"/>
    <x:col min="7" max="7" width="60" hidden="0" customWidth="1"/>
  </x:cols>
  <x:sheetData>
    <x:row r="1" ht="30" customHeight="1">
      <x:c r="A1" s="41" t="str">
        <x:v>Coverage ID</x:v>
      </x:c>
      <x:c r="B1" s="41" t="str">
        <x:v>Instrument / Family</x:v>
      </x:c>
      <x:c r="C1" s="41" t="str">
        <x:v>Regulated Role</x:v>
      </x:c>
      <x:c r="D1" s="41" t="str">
        <x:v>Activation Trigger</x:v>
      </x:c>
      <x:c r="E1" s="41" t="str">
        <x:v>Applicable Pharmacy Scope</x:v>
      </x:c>
      <x:c r="F1" s="41" t="str">
        <x:v>P-3 Position</x:v>
      </x:c>
      <x:c r="G1" s="41" t="str">
        <x:v>Treatment</x:v>
      </x:c>
    </x:row>
    <x:row r="2">
      <x:c r="A2" s="28" t="str">
        <x:v>GEN-001</x:v>
      </x:c>
      <x:c r="B2" s="22" t="str">
        <x:v>State Shops &amp; Establishments</x:v>
      </x:c>
      <x:c r="C2" s="22" t="str">
        <x:v>State employer/establishment</x:v>
      </x:c>
      <x:c r="D2" s="22" t="str">
        <x:v>Exact State law/registration/hours/leave trigger</x:v>
      </x:c>
      <x:c r="E2" s="22" t="str">
        <x:v>All employers by jurisdiction</x:v>
      </x:c>
      <x:c r="F2" s="22" t="str">
        <x:v>Jurisdiction Required</x:v>
      </x:c>
      <x:c r="G2" s="22" t="str">
        <x:v>LAW023 and PROV051-055 inactive until exact law attached.</x:v>
      </x:c>
    </x:row>
    <x:row r="3">
      <x:c r="A3" s="28" t="str">
        <x:v>GEN-002</x:v>
      </x:c>
      <x:c r="B3" s="22" t="str">
        <x:v>Code on Wages, 2019 + 2026 Rules</x:v>
      </x:c>
      <x:c r="C3" s="22" t="str">
        <x:v>Employer</x:v>
      </x:c>
      <x:c r="D3" s="22" t="str">
        <x:v>Employment; wage notification/rules jurisdiction</x:v>
      </x:c>
      <x:c r="E3" s="22" t="str">
        <x:v>All with employees</x:v>
      </x:c>
      <x:c r="F3" s="22" t="str">
        <x:v>Current — Applicable</x:v>
      </x:c>
      <x:c r="G3" s="22" t="str">
        <x:v>PROV300-302 / COMP275-277 added.</x:v>
      </x:c>
    </x:row>
    <x:row r="4">
      <x:c r="A4" s="28" t="str">
        <x:v>GEN-003</x:v>
      </x:c>
      <x:c r="B4" s="22" t="str">
        <x:v>Code on Social Security, 2020 + 2026 Rules</x:v>
      </x:c>
      <x:c r="C4" s="22" t="str">
        <x:v>Covered establishment/employer</x:v>
      </x:c>
      <x:c r="D4" s="22" t="str">
        <x:v>EPF/ESI chapter thresholds/notifications</x:v>
      </x:c>
      <x:c r="E4" s="22" t="str">
        <x:v>All by threshold</x:v>
      </x:c>
      <x:c r="F4" s="22" t="str">
        <x:v>Current — Conditional</x:v>
      </x:c>
      <x:c r="G4" s="22" t="str">
        <x:v>PROV056-065 / COMP056-065 remapped; old Acts retired.</x:v>
      </x:c>
    </x:row>
    <x:row r="5">
      <x:c r="A5" s="28" t="str">
        <x:v>GEN-004</x:v>
      </x:c>
      <x:c r="B5" s="22" t="str">
        <x:v>OSHWC Code + 2026 Rules</x:v>
      </x:c>
      <x:c r="C5" s="22" t="str">
        <x:v>Covered establishment</x:v>
      </x:c>
      <x:c r="D5" s="22" t="str">
        <x:v>Establishment/worker/activity threshold</x:v>
      </x:c>
      <x:c r="E5" s="22" t="str">
        <x:v>All by facts</x:v>
      </x:c>
      <x:c r="F5" s="22" t="str">
        <x:v>Current — Conditional</x:v>
      </x:c>
      <x:c r="G5" s="22" t="str">
        <x:v>PROV212-214 / COMP212-214 normalized.</x:v>
      </x:c>
    </x:row>
    <x:row r="6">
      <x:c r="A6" s="28" t="str">
        <x:v>GEN-005</x:v>
      </x:c>
      <x:c r="B6" s="22" t="str">
        <x:v>Industrial Relations Code + 2026 Rules</x:v>
      </x:c>
      <x:c r="C6" s="22" t="str">
        <x:v>Covered industrial establishment</x:v>
      </x:c>
      <x:c r="D6" s="22" t="str">
        <x:v>Worker/activity/event thresholds</x:v>
      </x:c>
      <x:c r="E6" s="22" t="str">
        <x:v>All by facts</x:v>
      </x:c>
      <x:c r="F6" s="22" t="str">
        <x:v>Current — Conditional</x:v>
      </x:c>
      <x:c r="G6" s="22" t="str">
        <x:v>Universe included; no universal recurring chain invented.</x:v>
      </x:c>
    </x:row>
    <x:row r="7">
      <x:c r="A7" s="28" t="str">
        <x:v>GEN-006</x:v>
      </x:c>
      <x:c r="B7" s="22" t="str">
        <x:v>CGST Act/Rules</x:v>
      </x:c>
      <x:c r="C7" s="22" t="str">
        <x:v>Registered/liably registered person</x:v>
      </x:c>
      <x:c r="D7" s="22" t="str">
        <x:v>Turnover/compulsory/voluntary registration</x:v>
      </x:c>
      <x:c r="E7" s="22" t="str">
        <x:v>All by tax profile</x:v>
      </x:c>
      <x:c r="F7" s="22" t="str">
        <x:v>Current — Conditional</x:v>
      </x:c>
      <x:c r="G7" s="22" t="str">
        <x:v>COMP066-070 frequency/applicability corrected.</x:v>
      </x:c>
    </x:row>
    <x:row r="8">
      <x:c r="A8" s="28" t="str">
        <x:v>GEN-007</x:v>
      </x:c>
      <x:c r="B8" s="22" t="str">
        <x:v>SGST Act</x:v>
      </x:c>
      <x:c r="C8" s="22" t="str">
        <x:v>Registered person in State</x:v>
      </x:c>
      <x:c r="D8" s="22" t="str">
        <x:v>Exact registered State</x:v>
      </x:c>
      <x:c r="E8" s="22" t="str">
        <x:v>All by tax jurisdiction</x:v>
      </x:c>
      <x:c r="F8" s="22" t="str">
        <x:v>Jurisdiction Required</x:v>
      </x:c>
      <x:c r="G8" s="22" t="str">
        <x:v>LAW027 inactive placeholder; exact State Act attachment required.</x:v>
      </x:c>
    </x:row>
    <x:row r="9">
      <x:c r="A9" s="28" t="str">
        <x:v>GEN-008</x:v>
      </x:c>
      <x:c r="B9" s="22" t="str">
        <x:v>Income-tax Act, 2025 + Rules, 2026</x:v>
      </x:c>
      <x:c r="C9" s="22" t="str">
        <x:v>Taxpayer/deductor</x:v>
      </x:c>
      <x:c r="D9" s="22" t="str">
        <x:v>Tax Year from 01-04-2026 and payment/filing trigger</x:v>
      </x:c>
      <x:c r="E9" s="22" t="str">
        <x:v>All by tax profile</x:v>
      </x:c>
      <x:c r="F9" s="22" t="str">
        <x:v>Current — Applicable</x:v>
      </x:c>
      <x:c r="G9" s="22" t="str">
        <x:v>LAW107/108 added; PROV071-075 remapped.</x:v>
      </x:c>
    </x:row>
    <x:row r="10">
      <x:c r="A10" s="28" t="str">
        <x:v>GEN-009</x:v>
      </x:c>
      <x:c r="B10" s="22" t="str">
        <x:v>Income-tax Act, 1961 savings</x:v>
      </x:c>
      <x:c r="C10" s="22" t="str">
        <x:v>Taxpayer/deductor</x:v>
      </x:c>
      <x:c r="D10" s="22" t="str">
        <x:v>Pre-01-04-2026 tax year/proceeding</x:v>
      </x:c>
      <x:c r="E10" s="22" t="str">
        <x:v>All by historical period</x:v>
      </x:c>
      <x:c r="F10" s="22" t="str">
        <x:v>Transition</x:v>
      </x:c>
      <x:c r="G10" s="22" t="str">
        <x:v>LAW029/030 retained only for saved matters.</x:v>
      </x:c>
    </x:row>
    <x:row r="11">
      <x:c r="A11" s="28" t="str">
        <x:v>GEN-010</x:v>
      </x:c>
      <x:c r="B11" s="22" t="str">
        <x:v>Consumer Protection Act, 2019</x:v>
      </x:c>
      <x:c r="C11" s="22" t="str">
        <x:v>Seller/service provider/advertiser</x:v>
      </x:c>
      <x:c r="D11" s="22" t="str">
        <x:v>Consumer transaction/unfair practice/advertisement</x:v>
      </x:c>
      <x:c r="E11" s="22" t="str">
        <x:v>All</x:v>
      </x:c>
      <x:c r="F11" s="22" t="str">
        <x:v>Current — Applicable</x:v>
      </x:c>
      <x:c r="G11" s="22" t="str">
        <x:v>PROV081-084 normalized.</x:v>
      </x:c>
    </x:row>
    <x:row r="12">
      <x:c r="A12" s="28" t="str">
        <x:v>GEN-011</x:v>
      </x:c>
      <x:c r="B12" s="22" t="str">
        <x:v>E-Commerce Rules, 2020</x:v>
      </x:c>
      <x:c r="C12" s="22" t="str">
        <x:v>E-commerce role</x:v>
      </x:c>
      <x:c r="D12" s="22" t="str">
        <x:v>Online/e-commerce entity/marketplace/seller role</x:v>
      </x:c>
      <x:c r="E12" s="22" t="str">
        <x:v>E-Pharmacy</x:v>
      </x:c>
      <x:c r="F12" s="22" t="str">
        <x:v>Current — Conditional</x:v>
      </x:c>
      <x:c r="G12" s="22" t="str">
        <x:v>PROV085 / COMP085 role chain.</x:v>
      </x:c>
    </x:row>
    <x:row r="13">
      <x:c r="A13" s="28" t="str">
        <x:v>GEN-012</x:v>
      </x:c>
      <x:c r="B13" s="22" t="str">
        <x:v>Legal Metrology Act / Packaged Commodities Rules</x:v>
      </x:c>
      <x:c r="C13" s="22" t="str">
        <x:v>Instrument user/retailer/e-commerce entity</x:v>
      </x:c>
      <x:c r="D13" s="22" t="str">
        <x:v>Use of measure or packaged-commodity sale/display</x:v>
      </x:c>
      <x:c r="E13" s="22" t="str">
        <x:v>All; E-Pharmacy digital display</x:v>
      </x:c>
      <x:c r="F13" s="22" t="str">
        <x:v>Current — Role Based</x:v>
      </x:c>
      <x:c r="G13" s="22" t="str">
        <x:v>PROV086-091 corrected to seller/instrument duties.</x:v>
      </x:c>
    </x:row>
    <x:row r="14">
      <x:c r="A14" s="28" t="str">
        <x:v>GEN-013</x:v>
      </x:c>
      <x:c r="B14" s="22" t="str">
        <x:v>IT Act / SPDI Rules</x:v>
      </x:c>
      <x:c r="C14" s="22" t="str">
        <x:v>Body corporate/intermediary</x:v>
      </x:c>
      <x:c r="D14" s="22" t="str">
        <x:v>SPDI/computer-resource/intermediary role</x:v>
      </x:c>
      <x:c r="E14" s="22" t="str">
        <x:v>E-Pharmacy and digital operations</x:v>
      </x:c>
      <x:c r="F14" s="22" t="str">
        <x:v>Current — Conditional</x:v>
      </x:c>
      <x:c r="G14" s="22" t="str">
        <x:v>PROV092-095 normalized.</x:v>
      </x:c>
    </x:row>
    <x:row r="15">
      <x:c r="A15" s="28" t="str">
        <x:v>GEN-014</x:v>
      </x:c>
      <x:c r="B15" s="22" t="str">
        <x:v>CERT-In Directions, 2022</x:v>
      </x:c>
      <x:c r="C15" s="22" t="str">
        <x:v>Covered body corporate/service provider</x:v>
      </x:c>
      <x:c r="D15" s="22" t="str">
        <x:v>ICT scope and specified incident</x:v>
      </x:c>
      <x:c r="E15" s="22" t="str">
        <x:v>E-Pharmacy/digital operations</x:v>
      </x:c>
      <x:c r="F15" s="22" t="str">
        <x:v>Current — Conditional</x:v>
      </x:c>
      <x:c r="G15" s="22" t="str">
        <x:v>PROV226-229 corrected to binding clauses.</x:v>
      </x:c>
    </x:row>
    <x:row r="16">
      <x:c r="A16" s="28" t="str">
        <x:v>GEN-015</x:v>
      </x:c>
      <x:c r="B16" s="22" t="str">
        <x:v>DPDP Act/Rules</x:v>
      </x:c>
      <x:c r="C16" s="22" t="str">
        <x:v>Data Fiduciary</x:v>
      </x:c>
      <x:c r="D16" s="22" t="str">
        <x:v>Substantive commencement</x:v>
      </x:c>
      <x:c r="E16" s="22" t="str">
        <x:v>E-Pharmacy/digital processing</x:v>
      </x:c>
      <x:c r="F16" s="22" t="str">
        <x:v>Future Effective</x:v>
      </x:c>
      <x:c r="G16" s="22" t="str">
        <x:v>PROV096-100 and PROV230-235 inactive; readiness register only.</x:v>
      </x:c>
    </x:row>
    <x:row r="17">
      <x:c r="A17" s="28" t="str">
        <x:v>GEN-016</x:v>
      </x:c>
      <x:c r="B17" s="22" t="str">
        <x:v>CCPA Misleading Advertisement Guidelines</x:v>
      </x:c>
      <x:c r="C17" s="22" t="str">
        <x:v>Advertiser/endorser</x:v>
      </x:c>
      <x:c r="D17" s="22" t="str">
        <x:v>Advertisement/endorsement</x:v>
      </x:c>
      <x:c r="E17" s="22" t="str">
        <x:v>All advertisers</x:v>
      </x:c>
      <x:c r="F17" s="22" t="str">
        <x:v>Current — Conditional</x:v>
      </x:c>
      <x:c r="G17" s="22" t="str">
        <x:v>PROV192-194 normalized.</x:v>
      </x:c>
    </x:row>
    <x:row r="18">
      <x:c r="A18" s="28" t="str">
        <x:v>GEN-017</x:v>
      </x:c>
      <x:c r="B18" s="22" t="str">
        <x:v>DAMR Act/Rules</x:v>
      </x:c>
      <x:c r="C18" s="22" t="str">
        <x:v>Drug/remedy advertiser</x:v>
      </x:c>
      <x:c r="D18" s="22" t="str">
        <x:v>Advertisement of covered drug/remedy</x:v>
      </x:c>
      <x:c r="E18" s="22" t="str">
        <x:v>All advertisers</x:v>
      </x:c>
      <x:c r="F18" s="22" t="str">
        <x:v>Current — Conditional</x:v>
      </x:c>
      <x:c r="G18" s="22" t="str">
        <x:v>Sections 3/4 retained; fabricated Rules 3-5 records chains inactive.</x:v>
      </x:c>
    </x:row>
    <x:row r="19">
      <x:c r="A19" s="28" t="str">
        <x:v>GEN-018</x:v>
      </x:c>
      <x:c r="B19" s="22" t="str">
        <x:v>Fire/trade/building/NOC/licence</x:v>
      </x:c>
      <x:c r="C19" s="22" t="str">
        <x:v>Premises/operator</x:v>
      </x:c>
      <x:c r="D19" s="22" t="str">
        <x:v>Exact State/ULB law, occupancy and permit</x:v>
      </x:c>
      <x:c r="E19" s="22" t="str">
        <x:v>All by location</x:v>
      </x:c>
      <x:c r="F19" s="22" t="str">
        <x:v>Jurisdiction Required</x:v>
      </x:c>
      <x:c r="G19" s="22" t="str">
        <x:v>LAW021/022/083-085 and generic chains inactive.</x:v>
      </x:c>
    </x:row>
    <x:row r="20">
      <x:c r="A20" s="28" t="str">
        <x:v>GEN-019</x:v>
      </x:c>
      <x:c r="B20" s="22" t="str">
        <x:v>Disaster/Epidemic statutes</x:v>
      </x:c>
      <x:c r="C20" s="22" t="str">
        <x:v>Person subject to order</x:v>
      </x:c>
      <x:c r="D20" s="22" t="str">
        <x:v>Exact current direction/regulation, territory and period</x:v>
      </x:c>
      <x:c r="E20" s="22" t="str">
        <x:v>All by event</x:v>
      </x:c>
      <x:c r="F20" s="22" t="str">
        <x:v>Event Based</x:v>
      </x:c>
      <x:c r="G20" s="22" t="str">
        <x:v>Parent Acts retained; no standing generic recurring duty.</x:v>
      </x:c>
    </x:row>
    <x:row r="21">
      <x:c r="A21" s="28" t="str">
        <x:v>GEN-020</x:v>
      </x:c>
      <x:c r="B21" s="22" t="str">
        <x:v>NBC/BIS</x:v>
      </x:c>
      <x:c r="C21" s="22" t="str">
        <x:v>Reference only</x:v>
      </x:c>
      <x:c r="D21" s="22" t="str">
        <x:v>Exact incorporation/QCO/permit/contract</x:v>
      </x:c>
      <x:c r="E21" s="22" t="str">
        <x:v>By identified standard</x:v>
      </x:c>
      <x:c r="F21" s="22" t="str">
        <x:v>Inactive as generic law</x:v>
      </x:c>
      <x:c r="G21" s="22" t="str">
        <x:v>LAW045/093 inactive until exact mandate.</x:v>
      </x:c>
    </x:row>
    <x:row r="22">
      <x:c r="A22" s="28" t="str">
        <x:v>GEN-021</x:v>
      </x:c>
      <x:c r="B22" s="22" t="str">
        <x:v>LLP/Companies governance</x:v>
      </x:c>
      <x:c r="C22" s="22" t="str">
        <x:v>Legal entity</x:v>
      </x:c>
      <x:c r="D22" s="22" t="str">
        <x:v>Entity form</x:v>
      </x:c>
      <x:c r="E22" s="22" t="str">
        <x:v>LLP/company only</x:v>
      </x:c>
      <x:c r="F22" s="22" t="str">
        <x:v>Common Core</x:v>
      </x:c>
      <x:c r="G22" s="22" t="str">
        <x:v>LAW033 inactive alias; combine separate Common Core at runtime.</x:v>
      </x:c>
    </x:row>
    <x:row r="23">
      <x:c r="A23" s="28" t="str">
        <x:v>GEN-022</x:v>
      </x:c>
      <x:c r="B23" s="22" t="str">
        <x:v>Inspection/governance framework</x:v>
      </x:c>
      <x:c r="C23" s="22" t="str">
        <x:v>Internal control owner</x:v>
      </x:c>
      <x:c r="D23" s="22" t="str">
        <x:v>Voluntary adoption</x:v>
      </x:c>
      <x:c r="E23" s="22" t="str">
        <x:v>All</x:v>
      </x:c>
      <x:c r="F23" s="22" t="str">
        <x:v>Best Practice</x:v>
      </x:c>
      <x:c r="G23" s="22" t="str">
        <x:v>LAW099 active internal; LAW100 retired; controls optional.</x:v>
      </x:c>
    </x:row>
  </x:sheetData>
  <x:conditionalFormatting sqref="F2:F23">
    <x:cfRule type="containsText" dxfId="23" priority="1" operator="containsText" text="Current"/>
    <x:cfRule type="containsText" dxfId="24" priority="2" operator="containsText" text="Applicable"/>
    <x:cfRule type="containsText" dxfId="25" priority="3" operator="containsText" text="Future"/>
    <x:cfRule type="containsText" dxfId="26" priority="4" operator="containsText" text="Inactive"/>
    <x:cfRule type="containsText" dxfId="27" priority="5" operator="containsText" text="Unresolved"/>
  </x:conditionalFormatting>
  <x:pageMargins left="0.7" right="0.7" top="0.75" bottom="0.75" header="0.3" footer="0.3"/>
  <x:tableParts count="1">
    <x:tablePart xmlns:r="http://schemas.openxmlformats.org/officeDocument/2006/relationships" r:id="R6b005f4aedad4b4e"/>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55" hidden="0" customWidth="1"/>
    <x:col min="4" max="4" width="34" hidden="0" customWidth="1"/>
    <x:col min="5" max="5" width="22" hidden="0" customWidth="1"/>
    <x:col min="6" max="6" width="34" hidden="0" customWidth="1"/>
    <x:col min="7" max="7" width="55" hidden="0" customWidth="1"/>
  </x:cols>
  <x:sheetData>
    <x:row r="1" ht="30" customHeight="1">
      <x:c r="A1" s="41" t="str">
        <x:v>Matrix ID</x:v>
      </x:c>
      <x:c r="B1" s="41" t="str">
        <x:v>Role / Scenario</x:v>
      </x:c>
      <x:c r="C1" s="41" t="str">
        <x:v>Trigger Test</x:v>
      </x:c>
      <x:c r="D1" s="41" t="str">
        <x:v>Applicable Instrument</x:v>
      </x:c>
      <x:c r="E1" s="41" t="str">
        <x:v>Classification</x:v>
      </x:c>
      <x:c r="F1" s="41" t="str">
        <x:v>Pharmacy Scope</x:v>
      </x:c>
      <x:c r="G1" s="41" t="str">
        <x:v>Production Decision</x:v>
      </x:c>
    </x:row>
    <x:row r="2">
      <x:c r="A2" s="28" t="str">
        <x:v>APP-001</x:v>
      </x:c>
      <x:c r="B2" s="22" t="str">
        <x:v>Every establishment</x:v>
      </x:c>
      <x:c r="C2" s="22" t="str">
        <x:v>Generates ordinary solid waste</x:v>
      </x:c>
      <x:c r="D2" s="22" t="str">
        <x:v>LAW044 Rule 5</x:v>
      </x:c>
      <x:c r="E2" s="22" t="str">
        <x:v>Applicable</x:v>
      </x:c>
      <x:c r="F2" s="22" t="str">
        <x:v>All</x:v>
      </x:c>
      <x:c r="G2" s="22" t="str">
        <x:v>Activate COMP266.</x:v>
      </x:c>
    </x:row>
    <x:row r="3">
      <x:c r="A3" s="28" t="str">
        <x:v>APP-002</x:v>
      </x:c>
      <x:c r="B3" s="22" t="str">
        <x:v>Large premises/user/generator</x:v>
      </x:c>
      <x:c r="C3" s="22" t="str">
        <x:v>≥20,000 sqm OR ≥40,000 L/day water OR ≥100 kg/day solid waste</x:v>
      </x:c>
      <x:c r="D3" s="22" t="str">
        <x:v>LAW044 Rule 6</x:v>
      </x:c>
      <x:c r="E3" s="22" t="str">
        <x:v>Conditional</x:v>
      </x:c>
      <x:c r="F3" s="22" t="str">
        <x:v>Any approved sub-sector</x:v>
      </x:c>
      <x:c r="G3" s="22" t="str">
        <x:v>If any threshold met, activate COMP267.</x:v>
      </x:c>
    </x:row>
    <x:row r="4">
      <x:c r="A4" s="28" t="str">
        <x:v>APP-003</x:v>
      </x:c>
      <x:c r="B4" s="22" t="str">
        <x:v>Clinical/health-care activity</x:v>
      </x:c>
      <x:c r="C4" s="22" t="str">
        <x:v>Actually generates/handles BMW</x:v>
      </x:c>
      <x:c r="D4" s="22" t="str">
        <x:v>LAW018</x:v>
      </x:c>
      <x:c r="E4" s="22" t="str">
        <x:v>Conditional</x:v>
      </x:c>
      <x:c r="F4" s="22" t="str">
        <x:v>Hospital/Institutional/Specialized/AYUSH or other actual generator</x:v>
      </x:c>
      <x:c r="G4" s="22" t="str">
        <x:v>Activate COMP046-050; ordinary sale alone excluded.</x:v>
      </x:c>
    </x:row>
    <x:row r="5">
      <x:c r="A5" s="28" t="str">
        <x:v>APP-004</x:v>
      </x:c>
      <x:c r="B5" s="22" t="str">
        <x:v>Plastic user/retailer</x:v>
      </x:c>
      <x:c r="C5" s="22" t="str">
        <x:v>Plastic waste or carry-bag/sheet use</x:v>
      </x:c>
      <x:c r="D5" s="22" t="str">
        <x:v>LAW042 Rules 8/14</x:v>
      </x:c>
      <x:c r="E5" s="22" t="str">
        <x:v>Conditional</x:v>
      </x:c>
      <x:c r="F5" s="22" t="str">
        <x:v>All</x:v>
      </x:c>
      <x:c r="G5" s="22" t="str">
        <x:v>Activate COMP268; no PIBO EPR absent producer role.</x:v>
      </x:c>
    </x:row>
    <x:row r="6">
      <x:c r="A6" s="28" t="str">
        <x:v>APP-005</x:v>
      </x:c>
      <x:c r="B6" s="22" t="str">
        <x:v>Battery end user</x:v>
      </x:c>
      <x:c r="C6" s="22" t="str">
        <x:v>Discards batteries</x:v>
      </x:c>
      <x:c r="D6" s="22" t="str">
        <x:v>LAW102 Rule 5</x:v>
      </x:c>
      <x:c r="E6" s="22" t="str">
        <x:v>Conditional</x:v>
      </x:c>
      <x:c r="F6" s="22" t="str">
        <x:v>All</x:v>
      </x:c>
      <x:c r="G6" s="22" t="str">
        <x:v>Activate COMP269.</x:v>
      </x:c>
    </x:row>
    <x:row r="7">
      <x:c r="A7" s="28" t="str">
        <x:v>APP-006</x:v>
      </x:c>
      <x:c r="B7" s="22" t="str">
        <x:v>EEE user</x:v>
      </x:c>
      <x:c r="C7" s="22" t="str">
        <x:v>Uses ≥1,000 Schedule I units in financial year</x:v>
      </x:c>
      <x:c r="D7" s="22" t="str">
        <x:v>LAW043 Rule 8</x:v>
      </x:c>
      <x:c r="E7" s="22" t="str">
        <x:v>Conditional</x:v>
      </x:c>
      <x:c r="F7" s="22" t="str">
        <x:v>Chain/E-Pharmacy/Hospital/Institutional by facts</x:v>
      </x:c>
      <x:c r="G7" s="22" t="str">
        <x:v>Activate COMP270.</x:v>
      </x:c>
    </x:row>
    <x:row r="8">
      <x:c r="A8" s="28" t="str">
        <x:v>APP-007</x:v>
      </x:c>
      <x:c r="B8" s="22" t="str">
        <x:v>Waste occupier</x:v>
      </x:c>
      <x:c r="C8" s="22" t="str">
        <x:v>Generates scheduled/characterised hazardous waste</x:v>
      </x:c>
      <x:c r="D8" s="22" t="str">
        <x:v>LAW103</x:v>
      </x:c>
      <x:c r="E8" s="22" t="str">
        <x:v>Conditional</x:v>
      </x:c>
      <x:c r="F8" s="22" t="str">
        <x:v>All by waste stream</x:v>
      </x:c>
      <x:c r="G8" s="22" t="str">
        <x:v>Activate COMP271.</x:v>
      </x:c>
    </x:row>
    <x:row r="9">
      <x:c r="A9" s="28" t="str">
        <x:v>APP-008</x:v>
      </x:c>
      <x:c r="B9" s="22" t="str">
        <x:v>Facility/activity</x:v>
      </x:c>
      <x:c r="C9" s="22" t="str">
        <x:v>Covered outlet/discharge or industrial plant/emission after exemption/State classification</x:v>
      </x:c>
      <x:c r="D9" s="22" t="str">
        <x:v>LAW104/105</x:v>
      </x:c>
      <x:c r="E9" s="22" t="str">
        <x:v>Conditional</x:v>
      </x:c>
      <x:c r="F9" s="22" t="str">
        <x:v>All by equipment/activity</x:v>
      </x:c>
      <x:c r="G9" s="22" t="str">
        <x:v>Activate COMP272/273 only after documented classification.</x:v>
      </x:c>
    </x:row>
    <x:row r="10">
      <x:c r="A10" s="28" t="str">
        <x:v>APP-009</x:v>
      </x:c>
      <x:c r="B10" s="22" t="str">
        <x:v>Project</x:v>
      </x:c>
      <x:c r="C10" s="22" t="str">
        <x:v>Construction/renovation/demolition/excavation</x:v>
      </x:c>
      <x:c r="D10" s="22" t="str">
        <x:v>LAW106</x:v>
      </x:c>
      <x:c r="E10" s="22" t="str">
        <x:v>Event Based</x:v>
      </x:c>
      <x:c r="F10" s="22" t="str">
        <x:v>All</x:v>
      </x:c>
      <x:c r="G10" s="22" t="str">
        <x:v>Activate COMP274 for project duration.</x:v>
      </x:c>
    </x:row>
    <x:row r="11">
      <x:c r="A11" s="28" t="str">
        <x:v>APP-010</x:v>
      </x:c>
      <x:c r="B11" s="22" t="str">
        <x:v>Employer</x:v>
      </x:c>
      <x:c r="C11" s="22" t="str">
        <x:v>Pays wages/employs staff</x:v>
      </x:c>
      <x:c r="D11" s="22" t="str">
        <x:v>LAW034</x:v>
      </x:c>
      <x:c r="E11" s="22" t="str">
        <x:v>Applicable</x:v>
      </x:c>
      <x:c r="F11" s="22" t="str">
        <x:v>All employers</x:v>
      </x:c>
      <x:c r="G11" s="22" t="str">
        <x:v>Activate COMP275/276; attach exact wage notification.</x:v>
      </x:c>
    </x:row>
    <x:row r="12">
      <x:c r="A12" s="28" t="str">
        <x:v>APP-011</x:v>
      </x:c>
      <x:c r="B12" s="22" t="str">
        <x:v>Employer</x:v>
      </x:c>
      <x:c r="C12" s="22" t="str">
        <x:v>Central/State wage-record rules jurisdiction</x:v>
      </x:c>
      <x:c r="D12" s="22" t="str">
        <x:v>LAW109 / State rules</x:v>
      </x:c>
      <x:c r="E12" s="22" t="str">
        <x:v>Conditional</x:v>
      </x:c>
      <x:c r="F12" s="22" t="str">
        <x:v>All employers</x:v>
      </x:c>
      <x:c r="G12" s="22" t="str">
        <x:v>Activate COMP277 after rule attachment.</x:v>
      </x:c>
    </x:row>
    <x:row r="13">
      <x:c r="A13" s="28" t="str">
        <x:v>APP-012</x:v>
      </x:c>
      <x:c r="B13" s="22" t="str">
        <x:v>Employer</x:v>
      </x:c>
      <x:c r="C13" s="22" t="str">
        <x:v>EPF/ESI chapter threshold/notification</x:v>
      </x:c>
      <x:c r="D13" s="22" t="str">
        <x:v>LAW036/110</x:v>
      </x:c>
      <x:c r="E13" s="22" t="str">
        <x:v>Conditional</x:v>
      </x:c>
      <x:c r="F13" s="22" t="str">
        <x:v>All by employee profile</x:v>
      </x:c>
      <x:c r="G13" s="22" t="str">
        <x:v>Activate COMP056-065 by chapter.</x:v>
      </x:c>
    </x:row>
    <x:row r="14">
      <x:c r="A14" s="28" t="str">
        <x:v>APP-013</x:v>
      </x:c>
      <x:c r="B14" s="22" t="str">
        <x:v>Taxpayer</x:v>
      </x:c>
      <x:c r="C14" s="22" t="str">
        <x:v>GST registration trigger/profile</x:v>
      </x:c>
      <x:c r="D14" s="22" t="str">
        <x:v>LAW026/028 and exact SGST</x:v>
      </x:c>
      <x:c r="E14" s="22" t="str">
        <x:v>Conditional</x:v>
      </x:c>
      <x:c r="F14" s="22" t="str">
        <x:v>All</x:v>
      </x:c>
      <x:c r="G14" s="22" t="str">
        <x:v>Activate COMP066-070 by registration/profile.</x:v>
      </x:c>
    </x:row>
    <x:row r="15">
      <x:c r="A15" s="28" t="str">
        <x:v>APP-014</x:v>
      </x:c>
      <x:c r="B15" s="22" t="str">
        <x:v>Taxpayer/deductor</x:v>
      </x:c>
      <x:c r="C15" s="22" t="str">
        <x:v>Tax Year from 01-04-2026 / relevant payment</x:v>
      </x:c>
      <x:c r="D15" s="22" t="str">
        <x:v>LAW107/108</x:v>
      </x:c>
      <x:c r="E15" s="22" t="str">
        <x:v>Applicable/Conditional</x:v>
      </x:c>
      <x:c r="F15" s="22" t="str">
        <x:v>All by tax profile</x:v>
      </x:c>
      <x:c r="G15" s="22" t="str">
        <x:v>Use current section numbering; preserve 1961 savings layer separately.</x:v>
      </x:c>
    </x:row>
    <x:row r="16">
      <x:c r="A16" s="28" t="str">
        <x:v>APP-015</x:v>
      </x:c>
      <x:c r="B16" s="22" t="str">
        <x:v>Online operator</x:v>
      </x:c>
      <x:c r="C16" s="22" t="str">
        <x:v>E-commerce entity/marketplace/seller role</x:v>
      </x:c>
      <x:c r="D16" s="22" t="str">
        <x:v>LAW039</x:v>
      </x:c>
      <x:c r="E16" s="22" t="str">
        <x:v>Conditional</x:v>
      </x:c>
      <x:c r="F16" s="22" t="str">
        <x:v>E-Pharmacy</x:v>
      </x:c>
      <x:c r="G16" s="22" t="str">
        <x:v>Activate COMP085 by legal role.</x:v>
      </x:c>
    </x:row>
    <x:row r="17">
      <x:c r="A17" s="28" t="str">
        <x:v>APP-016</x:v>
      </x:c>
      <x:c r="B17" s="22" t="str">
        <x:v>Digital processor</x:v>
      </x:c>
      <x:c r="C17" s="22" t="str">
        <x:v>Handles SPDI</x:v>
      </x:c>
      <x:c r="D17" s="22" t="str">
        <x:v>LAW047</x:v>
      </x:c>
      <x:c r="E17" s="22" t="str">
        <x:v>Conditional</x:v>
      </x:c>
      <x:c r="F17" s="22" t="str">
        <x:v>E-Pharmacy/digital operations</x:v>
      </x:c>
      <x:c r="G17" s="22" t="str">
        <x:v>Activate COMP092-094.</x:v>
      </x:c>
    </x:row>
    <x:row r="18">
      <x:c r="A18" s="28" t="str">
        <x:v>APP-017</x:v>
      </x:c>
      <x:c r="B18" s="22" t="str">
        <x:v>ICT operator</x:v>
      </x:c>
      <x:c r="C18" s="22" t="str">
        <x:v>Within CERT-In Directions / specified incident</x:v>
      </x:c>
      <x:c r="D18" s="22" t="str">
        <x:v>LAW097</x:v>
      </x:c>
      <x:c r="E18" s="22" t="str">
        <x:v>Conditional/Event</x:v>
      </x:c>
      <x:c r="F18" s="22" t="str">
        <x:v>E-Pharmacy/digital operations</x:v>
      </x:c>
      <x:c r="G18" s="22" t="str">
        <x:v>Activate COMP226-229.</x:v>
      </x:c>
    </x:row>
    <x:row r="19">
      <x:c r="A19" s="28" t="str">
        <x:v>APP-018</x:v>
      </x:c>
      <x:c r="B19" s="22" t="str">
        <x:v>Data Fiduciary</x:v>
      </x:c>
      <x:c r="C19" s="22" t="str">
        <x:v>DPDP substantive commencement reached</x:v>
      </x:c>
      <x:c r="D19" s="22" t="str">
        <x:v>LAW048/098</x:v>
      </x:c>
      <x:c r="E19" s="22" t="str">
        <x:v>Future Effective</x:v>
      </x:c>
      <x:c r="F19" s="22" t="str">
        <x:v>E-Pharmacy/digital operations</x:v>
      </x:c>
      <x:c r="G19" s="22" t="str">
        <x:v>Do not activate before notified date.</x:v>
      </x:c>
    </x:row>
    <x:row r="20">
      <x:c r="A20" s="28" t="str">
        <x:v>APP-019</x:v>
      </x:c>
      <x:c r="B20" s="22" t="str">
        <x:v>Advertiser</x:v>
      </x:c>
      <x:c r="C20" s="22" t="str">
        <x:v>Creates/causes/publishes covered advertisement</x:v>
      </x:c>
      <x:c r="D20" s="22" t="str">
        <x:v>LAW038/086/087</x:v>
      </x:c>
      <x:c r="E20" s="22" t="str">
        <x:v>Conditional</x:v>
      </x:c>
      <x:c r="F20" s="22" t="str">
        <x:v>All advertisers</x:v>
      </x:c>
      <x:c r="G20" s="22" t="str">
        <x:v>Activate consumer/CCPA/DAMR controls cumulatively.</x:v>
      </x:c>
    </x:row>
    <x:row r="21">
      <x:c r="A21" s="28" t="str">
        <x:v>APP-020</x:v>
      </x:c>
      <x:c r="B21" s="22" t="str">
        <x:v>Premises/operator</x:v>
      </x:c>
      <x:c r="C21" s="22" t="str">
        <x:v>Exact State/ULB location, occupancy and licence trigger</x:v>
      </x:c>
      <x:c r="D21" s="22" t="str">
        <x:v>State/local instruments</x:v>
      </x:c>
      <x:c r="E21" s="22" t="str">
        <x:v>Unresolved</x:v>
      </x:c>
      <x:c r="F21" s="22" t="str">
        <x:v>All by location</x:v>
      </x:c>
      <x:c r="G21" s="22" t="str">
        <x:v>No generic production activation; complete jurisdiction register first.</x:v>
      </x:c>
    </x:row>
  </x:sheetData>
  <x:conditionalFormatting sqref="E2:E21">
    <x:cfRule type="containsText" dxfId="28" priority="1" operator="containsText" text="Current"/>
    <x:cfRule type="containsText" dxfId="29" priority="2" operator="containsText" text="Applicable"/>
    <x:cfRule type="containsText" dxfId="30" priority="3" operator="containsText" text="Future"/>
    <x:cfRule type="containsText" dxfId="31" priority="4" operator="containsText" text="Inactive"/>
    <x:cfRule type="containsText" dxfId="32" priority="5" operator="containsText" text="Unresolved"/>
  </x:conditionalFormatting>
  <x:pageMargins left="0.7" right="0.7" top="0.75" bottom="0.75" header="0.3" footer="0.3"/>
  <x:tableParts count="1">
    <x:tablePart xmlns:r="http://schemas.openxmlformats.org/officeDocument/2006/relationships" r:id="Rc89df0b508c540c9"/>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16" hidden="0" customWidth="1"/>
    <x:col min="2" max="2" width="39" hidden="0" customWidth="1"/>
    <x:col min="3" max="3" width="30" hidden="0" customWidth="1"/>
    <x:col min="4" max="4" width="23" hidden="0" customWidth="1"/>
    <x:col min="5" max="5" width="24" hidden="0" customWidth="1"/>
    <x:col min="6" max="6" width="43" hidden="0" customWidth="1"/>
    <x:col min="7" max="7" width="44" hidden="0" customWidth="1"/>
    <x:col min="8" max="8" width="35" hidden="0" customWidth="1"/>
  </x:cols>
  <x:sheetData>
    <x:row r="1" ht="30" customHeight="1">
      <x:c r="A1" s="41" t="str">
        <x:v>Commencement ID</x:v>
      </x:c>
      <x:c r="B1" s="41" t="str">
        <x:v>Instrument / Provision Family</x:v>
      </x:c>
      <x:c r="C1" s="41" t="str">
        <x:v>Notification</x:v>
      </x:c>
      <x:c r="D1" s="41" t="str">
        <x:v>Effective / Staged Date</x:v>
      </x:c>
      <x:c r="E1" s="41" t="str">
        <x:v>Position at 20-08-2026</x:v>
      </x:c>
      <x:c r="F1" s="41" t="str">
        <x:v>Transition Note</x:v>
      </x:c>
      <x:c r="G1" s="41" t="str">
        <x:v>Workbook Treatment</x:v>
      </x:c>
      <x:c r="H1" s="41" t="str">
        <x:v>Official Source</x:v>
      </x:c>
    </x:row>
    <x:row r="2">
      <x:c r="A2" s="28" t="str">
        <x:v>COM-001</x:v>
      </x:c>
      <x:c r="B2" s="22" t="str">
        <x:v>Solid Waste Management Rules, 2026</x:v>
      </x:c>
      <x:c r="C2" s="22" t="str">
        <x:v>S.O. 388(E)</x:v>
      </x:c>
      <x:c r="D2" s="22" t="str">
        <x:v>2026-04-01</x:v>
      </x:c>
      <x:c r="E2" s="22" t="str">
        <x:v>Current</x:v>
      </x:c>
      <x:c r="F2" s="22" t="str">
        <x:v>Superseded SWM Rules, 2016</x:v>
      </x:c>
      <x:c r="G2" s="22" t="str">
        <x:v>LAW044 current; COMP266/267 active</x:v>
      </x:c>
      <x:c r="H2" s="22" t="str">
        <x:v>https://moef.gov.in/rules-regulations-3</x:v>
      </x:c>
    </x:row>
    <x:row r="3">
      <x:c r="A3" s="28" t="str">
        <x:v>COM-002</x:v>
      </x:c>
      <x:c r="B3" s="22" t="str">
        <x:v>C&amp;D Waste Management Rules, 2025</x:v>
      </x:c>
      <x:c r="C3" s="22" t="str">
        <x:v>G.S.R. 219(E)</x:v>
      </x:c>
      <x:c r="D3" s="22" t="str">
        <x:v>2026-04-01</x:v>
      </x:c>
      <x:c r="E3" s="22" t="str">
        <x:v>Current</x:v>
      </x:c>
      <x:c r="F3" s="22" t="str">
        <x:v>Project/event trigger</x:v>
      </x:c>
      <x:c r="G3" s="22" t="str">
        <x:v>LAW106 and COMP274 active conditionally</x:v>
      </x:c>
      <x:c r="H3" s="22" t="str">
        <x:v>https://moef.gov.in/rules-regulations-3</x:v>
      </x:c>
    </x:row>
    <x:row r="4">
      <x:c r="A4" s="28" t="str">
        <x:v>COM-003</x:v>
      </x:c>
      <x:c r="B4" s="22" t="str">
        <x:v>Four Labour Codes</x:v>
      </x:c>
      <x:c r="C4" s="22" t="str">
        <x:v>Implementation notifications / S.O. 5319(E) family</x:v>
      </x:c>
      <x:c r="D4" s="22" t="str">
        <x:v>2025-11-21</x:v>
      </x:c>
      <x:c r="E4" s="22" t="str">
        <x:v>Current</x:v>
      </x:c>
      <x:c r="F4" s="22" t="str">
        <x:v>Old EPF/ESI Acts retained only through savings</x:v>
      </x:c>
      <x:c r="G4" s="22" t="str">
        <x:v>LAW034-037 current; LAW024/025 inactive legacy</x:v>
      </x:c>
      <x:c r="H4" s="22" t="str">
        <x:v>https://www.labour.gov.in/offerings/schemes-and-services/details/labour-codes-gzNzQzMtQWa</x:v>
      </x:c>
    </x:row>
    <x:row r="5">
      <x:c r="A5" s="28" t="str">
        <x:v>COM-004</x:v>
      </x:c>
      <x:c r="B5" s="22" t="str">
        <x:v>Central Labour Rules, 2026</x:v>
      </x:c>
      <x:c r="C5" s="22" t="str">
        <x:v>Final Central Rules</x:v>
      </x:c>
      <x:c r="D5" s="22" t="str">
        <x:v>2026</x:v>
      </x:c>
      <x:c r="E5" s="22" t="str">
        <x:v>Current</x:v>
      </x:c>
      <x:c r="F5" s="22" t="str">
        <x:v>Appropriate-government and State rules still matter</x:v>
      </x:c>
      <x:c r="G5" s="22" t="str">
        <x:v>LAW094/109-111 current conditionally</x:v>
      </x:c>
      <x:c r="H5" s="22" t="str">
        <x:v>https://www.labour.gov.in/offerings/schemes-and-services/details/labour-codes-gzNzQzMtQWa</x:v>
      </x:c>
    </x:row>
    <x:row r="6">
      <x:c r="A6" s="28" t="str">
        <x:v>COM-005</x:v>
      </x:c>
      <x:c r="B6" s="22" t="str">
        <x:v>Income-tax Act, 2025</x:v>
      </x:c>
      <x:c r="C6" s="22" t="str">
        <x:v>Act 30 of 2025</x:v>
      </x:c>
      <x:c r="D6" s="22" t="str">
        <x:v>2026-04-01</x:v>
      </x:c>
      <x:c r="E6" s="22" t="str">
        <x:v>Current</x:v>
      </x:c>
      <x:c r="F6" s="22" t="str">
        <x:v>Tax Year 2026-27 onward</x:v>
      </x:c>
      <x:c r="G6" s="22" t="str">
        <x:v>LAW107/108 current</x:v>
      </x:c>
      <x:c r="H6" s="22" t="str">
        <x:v>https://www.incometax.gov.in/iec/foportal/help/all-topics/e-filing-services/objective-and-scope-new-act-faq</x:v>
      </x:c>
    </x:row>
    <x:row r="7">
      <x:c r="A7" s="28" t="str">
        <x:v>COM-006</x:v>
      </x:c>
      <x:c r="B7" s="22" t="str">
        <x:v>Income-tax Act, 1961 savings</x:v>
      </x:c>
      <x:c r="C7" s="22" t="str">
        <x:v>Repeal/savings in 2025 Act</x:v>
      </x:c>
      <x:c r="D7" s="22" t="str">
        <x:v>2026-04-01 transition</x:v>
      </x:c>
      <x:c r="E7" s="22" t="str">
        <x:v>Transition</x:v>
      </x:c>
      <x:c r="F7" s="22" t="str">
        <x:v>Pre-01-04-2026 tax years/proceedings</x:v>
      </x:c>
      <x:c r="G7" s="22" t="str">
        <x:v>LAW029/030 limited to saved matters</x:v>
      </x:c>
      <x:c r="H7" s="22" t="str">
        <x:v>https://www.incometax.gov.in/iec/foportal/help/all-topics/e-filing-services/objective-and-scope-new-act-faq</x:v>
      </x:c>
    </x:row>
    <x:row r="8">
      <x:c r="A8" s="28" t="str">
        <x:v>COM-007</x:v>
      </x:c>
      <x:c r="B8" s="22" t="str">
        <x:v>DPDP institutional provisions / Board</x:v>
      </x:c>
      <x:c r="C8" s="22" t="str">
        <x:v>Commencement notification</x:v>
      </x:c>
      <x:c r="D8" s="22" t="str">
        <x:v>2025-11-14</x:v>
      </x:c>
      <x:c r="E8" s="22" t="str">
        <x:v>Current (institutional)</x:v>
      </x:c>
      <x:c r="F8" s="22" t="str">
        <x:v>Does not activate private-operator duties</x:v>
      </x:c>
      <x:c r="G8" s="22" t="str">
        <x:v>LAW048/098 partially current; no production duties</x:v>
      </x:c>
      <x:c r="H8" s="22" t="str">
        <x:v>https://www.meity.gov.in/documents/act-and-policies/digital-personal-data-protection-rules-2025-gDOxUjMtQWa</x:v>
      </x:c>
    </x:row>
    <x:row r="9">
      <x:c r="A9" s="28" t="str">
        <x:v>COM-008</x:v>
      </x:c>
      <x:c r="B9" s="22" t="str">
        <x:v>DPDP Consent Manager registration rule</x:v>
      </x:c>
      <x:c r="C9" s="22" t="str">
        <x:v>Staged commencement</x:v>
      </x:c>
      <x:c r="D9" s="22" t="str">
        <x:v>2026-11-14</x:v>
      </x:c>
      <x:c r="E9" s="22" t="str">
        <x:v>Future at cutoff</x:v>
      </x:c>
      <x:c r="F9" s="22" t="str">
        <x:v>One year from notification</x:v>
      </x:c>
      <x:c r="G9" s="22" t="str">
        <x:v>Transition monitor; no pharmacy production activation</x:v>
      </x:c>
      <x:c r="H9" s="22" t="str">
        <x:v>https://www.meity.gov.in/documents/act-and-policies/digital-personal-data-protection-rules-2025-gDOxUjMtQWa</x:v>
      </x:c>
    </x:row>
    <x:row r="10">
      <x:c r="A10" s="28" t="str">
        <x:v>COM-009</x:v>
      </x:c>
      <x:c r="B10" s="22" t="str">
        <x:v>DPDP substantive Data Fiduciary duties</x:v>
      </x:c>
      <x:c r="C10" s="22" t="str">
        <x:v>Staged commencement</x:v>
      </x:c>
      <x:c r="D10" s="22" t="str">
        <x:v>2027-05-14</x:v>
      </x:c>
      <x:c r="E10" s="22" t="str">
        <x:v>Future at cutoff</x:v>
      </x:c>
      <x:c r="F10" s="22" t="str">
        <x:v>Eighteen months from notification</x:v>
      </x:c>
      <x:c r="G10" s="22" t="str">
        <x:v>PROV096-100 and 230-235 inactive</x:v>
      </x:c>
      <x:c r="H10" s="22" t="str">
        <x:v>https://www.meity.gov.in/documents/act-and-policies/digital-personal-data-protection-rules-2025-gDOxUjMtQWa</x:v>
      </x:c>
    </x:row>
    <x:row r="11">
      <x:c r="A11" s="28" t="str">
        <x:v>COM-010</x:v>
      </x:c>
      <x:c r="B11" s="22" t="str">
        <x:v>CERT-In Directions</x:v>
      </x:c>
      <x:c r="C11" s="22" t="str">
        <x:v>28-04-2022 directions</x:v>
      </x:c>
      <x:c r="D11" s="22" t="str">
        <x:v>2022 (as enforced)</x:v>
      </x:c>
      <x:c r="E11" s="22" t="str">
        <x:v>Current</x:v>
      </x:c>
      <x:c r="F11" s="22" t="str">
        <x:v>MSME/provider timing extension previously controlled</x:v>
      </x:c>
      <x:c r="G11" s="22" t="str">
        <x:v>LAW097 current</x:v>
      </x:c>
      <x:c r="H11" s="22" t="str">
        <x:v>https://cert-in.org.in/Directions70B.jsp</x:v>
      </x:c>
    </x:row>
  </x:sheetData>
  <x:conditionalFormatting sqref="E2:E11">
    <x:cfRule type="containsText" dxfId="33" priority="1" operator="containsText" text="Current"/>
    <x:cfRule type="containsText" dxfId="34" priority="2" operator="containsText" text="Applicable"/>
    <x:cfRule type="containsText" dxfId="35" priority="3" operator="containsText" text="Future"/>
    <x:cfRule type="containsText" dxfId="36" priority="4" operator="containsText" text="Inactive"/>
    <x:cfRule type="containsText" dxfId="37" priority="5" operator="containsText" text="Unresolved"/>
  </x:conditionalFormatting>
  <x:pageMargins left="0.7" right="0.7" top="0.75" bottom="0.75" header="0.3" footer="0.3"/>
  <x:tableParts count="1">
    <x:tablePart xmlns:r="http://schemas.openxmlformats.org/officeDocument/2006/relationships" r:id="Rf47c86ddb8454f40"/>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16" hidden="0" customWidth="1"/>
    <x:col min="2" max="2" width="38" hidden="0" customWidth="1"/>
    <x:col min="3" max="3" width="28" hidden="0" customWidth="1"/>
    <x:col min="4" max="4" width="48" hidden="0" customWidth="1"/>
    <x:col min="5" max="5" width="45" hidden="0" customWidth="1"/>
    <x:col min="6" max="6" width="30" hidden="0" customWidth="1"/>
    <x:col min="7" max="7" width="48" hidden="0" customWidth="1"/>
    <x:col min="8" max="8" width="24" hidden="0" customWidth="1"/>
  </x:cols>
  <x:sheetData>
    <x:row r="1" ht="30" customHeight="1">
      <x:c r="A1" s="41" t="str">
        <x:v>Jurisdiction ID</x:v>
      </x:c>
      <x:c r="B1" s="41" t="str">
        <x:v>Law / Permit Family</x:v>
      </x:c>
      <x:c r="C1" s="41" t="str">
        <x:v>Required Authority</x:v>
      </x:c>
      <x:c r="D1" s="41" t="str">
        <x:v>Required Profile Inputs</x:v>
      </x:c>
      <x:c r="E1" s="41" t="str">
        <x:v>Duty Families to Resolve</x:v>
      </x:c>
      <x:c r="F1" s="41" t="str">
        <x:v>P-3 Status</x:v>
      </x:c>
      <x:c r="G1" s="41" t="str">
        <x:v>Current Workbook Control</x:v>
      </x:c>
      <x:c r="H1" s="41" t="str">
        <x:v>Owner</x:v>
      </x:c>
    </x:row>
    <x:row r="2">
      <x:c r="A2" s="28" t="str">
        <x:v>JUR-001</x:v>
      </x:c>
      <x:c r="B2" s="22" t="str">
        <x:v>State Shops &amp; Establishments Act/Rules</x:v>
      </x:c>
      <x:c r="C2" s="22" t="str">
        <x:v>State of each establishment</x:v>
      </x:c>
      <x:c r="D2" s="22" t="str">
        <x:v>State, district/city, establishment type, employee count</x:v>
      </x:c>
      <x:c r="E2" s="22" t="str">
        <x:v>Registration, hours, weekly off, leave, records, notices</x:v>
      </x:c>
      <x:c r="F2" s="22" t="str">
        <x:v>Unresolved — exact law required</x:v>
      </x:c>
      <x:c r="G2" s="22" t="str">
        <x:v>LAW023 and PROV051-055 inactive</x:v>
      </x:c>
      <x:c r="H2" s="22" t="str">
        <x:v>Entity/location owner</x:v>
      </x:c>
    </x:row>
    <x:row r="3">
      <x:c r="A3" s="28" t="str">
        <x:v>JUR-002</x:v>
      </x:c>
      <x:c r="B3" s="22" t="str">
        <x:v>State Fire Act/Rules and Fire NOC</x:v>
      </x:c>
      <x:c r="C3" s="22" t="str">
        <x:v>State/local fire authority</x:v>
      </x:c>
      <x:c r="D3" s="22" t="str">
        <x:v>State, building use/height/area/occupancy, NOC status</x:v>
      </x:c>
      <x:c r="E3" s="22" t="str">
        <x:v>NOC, systems, drills, exits, renewal/conditions</x:v>
      </x:c>
      <x:c r="F3" s="22" t="str">
        <x:v>Unresolved — exact law/NOC required</x:v>
      </x:c>
      <x:c r="G3" s="22" t="str">
        <x:v>LAW021/083 inactive</x:v>
      </x:c>
      <x:c r="H3" s="22" t="str">
        <x:v>Facility owner</x:v>
      </x:c>
    </x:row>
    <x:row r="4">
      <x:c r="A4" s="28" t="str">
        <x:v>JUR-003</x:v>
      </x:c>
      <x:c r="B4" s="22" t="str">
        <x:v>Municipal trade/health licence and by-laws</x:v>
      </x:c>
      <x:c r="C4" s="22" t="str">
        <x:v>ULB/panchayat</x:v>
      </x:c>
      <x:c r="D4" s="22" t="str">
        <x:v>Exact ULB, trade category, premises and licence</x:v>
      </x:c>
      <x:c r="E4" s="22" t="str">
        <x:v>Application, renewal, display and permit conditions</x:v>
      </x:c>
      <x:c r="F4" s="22" t="str">
        <x:v>Unresolved — exact by-law/licence required</x:v>
      </x:c>
      <x:c r="G4" s="22" t="str">
        <x:v>LAW022/049/084 inactive</x:v>
      </x:c>
      <x:c r="H4" s="22" t="str">
        <x:v>Business/location owner</x:v>
      </x:c>
    </x:row>
    <x:row r="5">
      <x:c r="A5" s="28" t="str">
        <x:v>JUR-004</x:v>
      </x:c>
      <x:c r="B5" s="22" t="str">
        <x:v>Building/occupancy/signage by-laws</x:v>
      </x:c>
      <x:c r="C5" s="22" t="str">
        <x:v>State/ULB/development authority</x:v>
      </x:c>
      <x:c r="D5" s="22" t="str">
        <x:v>Approved use, occupancy certificate, change of use, signage</x:v>
      </x:c>
      <x:c r="E5" s="22" t="str">
        <x:v>Occupancy/use/structural/signage controls</x:v>
      </x:c>
      <x:c r="F5" s="22" t="str">
        <x:v>Unresolved — exact by-law/approval required</x:v>
      </x:c>
      <x:c r="G5" s="22" t="str">
        <x:v>LAW045/085 inactive as generic law</x:v>
      </x:c>
      <x:c r="H5" s="22" t="str">
        <x:v>Facility owner</x:v>
      </x:c>
    </x:row>
    <x:row r="6">
      <x:c r="A6" s="28" t="str">
        <x:v>JUR-005</x:v>
      </x:c>
      <x:c r="B6" s="22" t="str">
        <x:v>State GST Act</x:v>
      </x:c>
      <x:c r="C6" s="22" t="str">
        <x:v>Registered State</x:v>
      </x:c>
      <x:c r="D6" s="22" t="str">
        <x:v>GSTIN State and place-of-supply profile</x:v>
      </x:c>
      <x:c r="E6" s="22" t="str">
        <x:v>Exact SGST statute and notifications</x:v>
      </x:c>
      <x:c r="F6" s="22" t="str">
        <x:v>Unresolved per registration State</x:v>
      </x:c>
      <x:c r="G6" s="22" t="str">
        <x:v>LAW027 inactive placeholder; CGST remains active</x:v>
      </x:c>
      <x:c r="H6" s="22" t="str">
        <x:v>Tax owner</x:v>
      </x:c>
    </x:row>
    <x:row r="7">
      <x:c r="A7" s="28" t="str">
        <x:v>JUR-006</x:v>
      </x:c>
      <x:c r="B7" s="22" t="str">
        <x:v>State labour / appropriate-government rules</x:v>
      </x:c>
      <x:c r="C7" s="22" t="str">
        <x:v>State and appropriate government</x:v>
      </x:c>
      <x:c r="D7" s="22" t="str">
        <x:v>Workforce, establishment/activity, Central vs State jurisdiction</x:v>
      </x:c>
      <x:c r="E7" s="22" t="str">
        <x:v>Wage records, OSH, social-security/IR procedures</x:v>
      </x:c>
      <x:c r="F7" s="22" t="str">
        <x:v>Partially resolved; exact State rules required where applicable</x:v>
      </x:c>
      <x:c r="G7" s="22" t="str">
        <x:v>Central laws retained; State overlay open</x:v>
      </x:c>
      <x:c r="H7" s="22" t="str">
        <x:v>HR/legal owner</x:v>
      </x:c>
    </x:row>
    <x:row r="8">
      <x:c r="A8" s="28" t="str">
        <x:v>JUR-007</x:v>
      </x:c>
      <x:c r="B8" s="22" t="str">
        <x:v>SPCB/PCC classifications and consents</x:v>
      </x:c>
      <x:c r="C8" s="22" t="str">
        <x:v>State/UT pollution board</x:v>
      </x:c>
      <x:c r="D8" s="22" t="str">
        <x:v>Waste streams, DG sets/equipment, effluent, bed strength/activity</x:v>
      </x:c>
      <x:c r="E8" s="22" t="str">
        <x:v>Consent, authorization, returns and permit conditions</x:v>
      </x:c>
      <x:c r="F8" s="22" t="str">
        <x:v>Conditional — facts and board classification required</x:v>
      </x:c>
      <x:c r="G8" s="22" t="str">
        <x:v>COMP050/271-273 activate only on trigger</x:v>
      </x:c>
      <x:c r="H8" s="22" t="str">
        <x:v>Facility/EHS owner</x:v>
      </x:c>
    </x:row>
  </x:sheetData>
  <x:conditionalFormatting sqref="F2:F8">
    <x:cfRule type="containsText" dxfId="38" priority="1" operator="containsText" text="Current"/>
    <x:cfRule type="containsText" dxfId="39" priority="2" operator="containsText" text="Applicable"/>
    <x:cfRule type="containsText" dxfId="40" priority="3" operator="containsText" text="Future"/>
    <x:cfRule type="containsText" dxfId="41" priority="4" operator="containsText" text="Inactive"/>
    <x:cfRule type="containsText" dxfId="42" priority="5" operator="containsText" text="Unresolved"/>
  </x:conditionalFormatting>
  <x:pageMargins left="0.7" right="0.7" top="0.75" bottom="0.75" header="0.3" footer="0.3"/>
  <x:tableParts count="1">
    <x:tablePart xmlns:r="http://schemas.openxmlformats.org/officeDocument/2006/relationships" r:id="R20cc1377e21942be"/>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40" hidden="0" customWidth="1"/>
    <x:col min="2" max="2" width="31" hidden="0" customWidth="1"/>
    <x:col min="3" max="3" width="22" hidden="0" customWidth="1"/>
    <x:col min="4" max="4" width="72" hidden="0" customWidth="1"/>
  </x:cols>
  <x:sheetData>
    <x:row r="1">
      <x:c r="A1" s="40" t="str">
        <x:v>Gate / Metric</x:v>
      </x:c>
      <x:c r="B1" s="40" t="str">
        <x:v>Result / Count</x:v>
      </x:c>
      <x:c r="C1" s="40" t="str">
        <x:v>Status</x:v>
      </x:c>
      <x:c r="D1" s="40" t="str">
        <x:v>Notes</x:v>
      </x:c>
    </x:row>
    <x:row r="2">
      <x:c r="A2" s="28" t="str">
        <x:v>P-3 Scope Date</x:v>
      </x:c>
      <x:c r="B2" s="22" t="str">
        <x:v>2026-08-20</x:v>
      </x:c>
      <x:c r="C2" s="22" t="str">
        <x:v>PASS</x:v>
      </x:c>
      <x:c r="D2" s="22" t="str">
        <x:v>Current-law cutoff through 20 August 2026.</x:v>
      </x:c>
    </x:row>
    <x:row r="3">
      <x:c r="A3" s="28" t="str">
        <x:v>Environmental Instruments Classified</x:v>
      </x:c>
      <x:c r="B3" s="22" t="n">
        <x:f>COUNTA('P3 Environmental Coverage'!A2:A100)</x:f>
        <x:v>12</x:v>
      </x:c>
      <x:c r="C3" s="22" t="str">
        <x:v>PASS</x:v>
      </x:c>
      <x:c r="D3" s="22" t="str">
        <x:v>Parent Acts, current rules, role/threshold triggers and supersession positions covered.</x:v>
      </x:c>
    </x:row>
    <x:row r="4">
      <x:c r="A4" s="28" t="str">
        <x:v>General-Law Families Classified</x:v>
      </x:c>
      <x:c r="B4" s="22" t="n">
        <x:f>COUNTA('P3 General Law Coverage'!A2:A100)</x:f>
        <x:v>22</x:v>
      </x:c>
      <x:c r="C4" s="22" t="str">
        <x:v>PASS</x:v>
      </x:c>
      <x:c r="D4" s="22" t="str">
        <x:v>Labour, tax, consumer, metrology, digital/cyber, advertising, event and jurisdiction families covered.</x:v>
      </x:c>
    </x:row>
    <x:row r="5">
      <x:c r="A5" s="28" t="str">
        <x:v>Official Source Positions Added</x:v>
      </x:c>
      <x:c r="B5" s="22" t="n">
        <x:v>25</x:v>
      </x:c>
      <x:c r="C5" s="22" t="str">
        <x:v>PASS</x:v>
      </x:c>
      <x:c r="D5" s="22" t="str">
        <x:v>Primary/official sources recorded in the Regulatory Source Register.</x:v>
      </x:c>
    </x:row>
    <x:row r="6">
      <x:c r="A6" s="28" t="str">
        <x:v>Omitted Law Master Instruments Added</x:v>
      </x:c>
      <x:c r="B6" s="22" t="n">
        <x:v>11</x:v>
      </x:c>
      <x:c r="C6" s="22" t="str">
        <x:v>PASS</x:v>
      </x:c>
      <x:c r="D6" s="22" t="str">
        <x:v>Environment parent/missing waste/pollution, current Income-tax and Labour rules added.</x:v>
      </x:c>
    </x:row>
    <x:row r="7">
      <x:c r="A7" s="28" t="str">
        <x:v>New Environmental Production Chains</x:v>
      </x:c>
      <x:c r="B7" s="22" t="n">
        <x:v>9</x:v>
      </x:c>
      <x:c r="C7" s="22" t="str">
        <x:v>PASS</x:v>
      </x:c>
      <x:c r="D7" s="22" t="str">
        <x:v>Only current, role/threshold/event-specific chains added.</x:v>
      </x:c>
    </x:row>
    <x:row r="8">
      <x:c r="A8" s="28" t="str">
        <x:v>New Wage Production Chains</x:v>
      </x:c>
      <x:c r="B8" s="22" t="n">
        <x:v>3</x:v>
      </x:c>
      <x:c r="C8" s="22" t="str">
        <x:v>PASS</x:v>
      </x:c>
      <x:c r="D8" s="22" t="str">
        <x:v>Current Code on Wages controls added with rules-jurisdiction boundary.</x:v>
      </x:c>
    </x:row>
    <x:row r="9">
      <x:c r="A9" s="28" t="str">
        <x:v>Legacy Chains Quarantined</x:v>
      </x:c>
      <x:c r="B9" s="22" t="n">
        <x:v>38</x:v>
      </x:c>
      <x:c r="C9" s="22" t="str">
        <x:v>PASS</x:v>
      </x:c>
      <x:c r="D9" s="22" t="str">
        <x:v>Generic permits/local placeholders, false DAMR records, reference-only and future DPDP chains inactivated.</x:v>
      </x:c>
    </x:row>
    <x:row r="10">
      <x:c r="A10" s="28" t="str">
        <x:v>Future DPDP Production Activation</x:v>
      </x:c>
      <x:c r="B10" s="22" t="n">
        <x:v>0</x:v>
      </x:c>
      <x:c r="C10" s="22" t="str">
        <x:v>PASS</x:v>
      </x:c>
      <x:c r="D10" s="22" t="str">
        <x:v>Final law tracked; no early activation before substantive commencement.</x:v>
      </x:c>
    </x:row>
    <x:row r="11">
      <x:c r="A11" s="28" t="str">
        <x:v>Generic State/Local Instruments Activated</x:v>
      </x:c>
      <x:c r="B11" s="22" t="n">
        <x:v>0</x:v>
      </x:c>
      <x:c r="C11" s="22" t="str">
        <x:v>PASS</x:v>
      </x:c>
      <x:c r="D11" s="22" t="str">
        <x:v>Exact State/ULB instrument required in P3 Jurisdiction Register.</x:v>
      </x:c>
    </x:row>
    <x:row r="12">
      <x:c r="A12" s="28" t="str">
        <x:v>Common Corporate Core Reopened</x:v>
      </x:c>
      <x:c r="B12" s="22" t="n">
        <x:v>0</x:v>
      </x:c>
      <x:c r="C12" s="22" t="str">
        <x:v>PASS</x:v>
      </x:c>
      <x:c r="D12" s="22" t="str">
        <x:v>LLP/company governance remains separately owned and runtime-combined.</x:v>
      </x:c>
    </x:row>
    <x:row r="13">
      <x:c r="A13" s="28" t="str">
        <x:v>Pharmacy Taxonomy Expansion</x:v>
      </x:c>
      <x:c r="B13" s="22" t="n">
        <x:v>0</x:v>
      </x:c>
      <x:c r="C13" s="22" t="str">
        <x:v>PASS</x:v>
      </x:c>
      <x:c r="D13" s="22" t="str">
        <x:v>Approved nine Pharmacy sub-sectors preserved; no manufacturer/importer/testing entity added.</x:v>
      </x:c>
    </x:row>
    <x:row r="14">
      <x:c r="A14" s="28" t="str">
        <x:v>Internal Governance Statutory Overstatement</x:v>
      </x:c>
      <x:c r="B14" s="22" t="n">
        <x:v>0</x:v>
      </x:c>
      <x:c r="C14" s="22" t="str">
        <x:v>PASS</x:v>
      </x:c>
      <x:c r="D14" s="22" t="str">
        <x:v>LAW099 retained as optional internal best practice; LAW100 retired.</x:v>
      </x:c>
    </x:row>
    <x:row r="15">
      <x:c r="A15" s="28" t="str">
        <x:v>P-3 Environmental &amp; General-Law Validation Gate</x:v>
      </x:c>
      <x:c r="B15" s="22" t="str">
        <x:v>PASS</x:v>
      </x:c>
      <x:c r="C15" s="22" t="str">
        <x:v>COMPLETE</x:v>
      </x:c>
      <x:c r="D15" s="22" t="str">
        <x:v>Ground-zero current-law, commencement, applicability and jurisdiction validation completed.</x:v>
      </x:c>
    </x:row>
    <x:row r="16">
      <x:c r="A16" s="28" t="str">
        <x:v>Workbook Freeze</x:v>
      </x:c>
      <x:c r="B16" s="22" t="str">
        <x:v>NOT FROZEN</x:v>
      </x:c>
      <x:c r="C16" s="22" t="str">
        <x:v>CONTROLLED</x:v>
      </x:c>
      <x:c r="D16" s="22" t="str">
        <x:v>One remaining technical/entity-applicability gate remains before final Pharmacy freeze.</x:v>
      </x:c>
    </x:row>
    <x:row r="17">
      <x:c r="A17" s="28" t="str">
        <x:v>Next Gate</x:v>
      </x:c>
      <x:c r="B17" s="22" t="str">
        <x:v>P-4 Remaining Technical &amp; Entity-Applicability Validation</x:v>
      </x:c>
      <x:c r="C17" s="22" t="str">
        <x:v>OPEN</x:v>
      </x:c>
      <x:c r="D17" s="22" t="str">
        <x:v>Complete residual technical laws, entity/location profiles and whole-workbook execution-chain closeout.</x:v>
      </x:c>
    </x:row>
  </x:sheetData>
  <x:conditionalFormatting sqref="C2:C17">
    <x:cfRule type="containsText" dxfId="43" priority="1" operator="containsText" text="PASS"/>
    <x:cfRule type="containsText" dxfId="44" priority="2" operator="containsText" text="OPEN"/>
  </x:conditionalFormatting>
  <x:pageMargins left="0.7" right="0.7" top="0.75" bottom="0.75" header="0.3" footer="0.3"/>
  <x:tableParts count="1">
    <x:tablePart xmlns:r="http://schemas.openxmlformats.org/officeDocument/2006/relationships" r:id="R83c4428113e544c0"/>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15" hidden="0" customWidth="1"/>
    <x:col min="2" max="2" width="38" hidden="0" customWidth="1"/>
    <x:col min="3" max="3" width="50" hidden="0" customWidth="1"/>
    <x:col min="4" max="4" width="42" hidden="0" customWidth="1"/>
    <x:col min="5" max="5" width="27" hidden="0" customWidth="1"/>
    <x:col min="6" max="6" width="66" hidden="0" customWidth="1"/>
    <x:col min="7" max="7" width="14" hidden="0" customWidth="1"/>
  </x:cols>
  <x:sheetData>
    <x:row r="1" ht="30" customHeight="1">
      <x:c r="A1" s="46" t="str">
        <x:v>Coverage ID</x:v>
      </x:c>
      <x:c r="B1" s="46" t="str">
        <x:v>Instrument / Family</x:v>
      </x:c>
      <x:c r="C1" s="46" t="str">
        <x:v>Validated Duty Boundary</x:v>
      </x:c>
      <x:c r="D1" s="46" t="str">
        <x:v>Applicable Pharmacy Scope</x:v>
      </x:c>
      <x:c r="E1" s="46" t="str">
        <x:v>P-4 Position</x:v>
      </x:c>
      <x:c r="F1" s="46" t="str">
        <x:v>Workbook Treatment</x:v>
      </x:c>
      <x:c r="G1" s="46" t="str">
        <x:v>Status</x:v>
      </x:c>
    </x:row>
    <x:row r="2">
      <x:c r="A2" s="28" t="str">
        <x:v>TECH-001</x:v>
      </x:c>
      <x:c r="B2" s="22" t="str">
        <x:v>Pharmacy Act / Pharmacy Practice Regulations</x:v>
      </x:c>
      <x:c r="C2" s="22" t="str">
        <x:v>Pharmacist registration, dispensing supervision and professional practice</x:v>
      </x:c>
      <x:c r="D2" s="22" t="str">
        <x:v>All sub-sectors engaging a pharmacist</x:v>
      </x:c>
      <x:c r="E2" s="22" t="str">
        <x:v>Current — Applicable</x:v>
      </x:c>
      <x:c r="F2" s="22" t="str">
        <x:v>PROV026–030 corrected; Section 29 employer check optional</x:v>
      </x:c>
      <x:c r="G2" s="22" t="str">
        <x:v>PASS</x:v>
      </x:c>
    </x:row>
    <x:row r="3">
      <x:c r="A3" s="28" t="str">
        <x:v>TECH-002</x:v>
      </x:c>
      <x:c r="B3" s="22" t="str">
        <x:v>DPCO 2013 / NPPA notifications</x:v>
      </x:c>
      <x:c r="C3" s="22" t="str">
        <x:v>Retail/dealer price-list display and transaction price</x:v>
      </x:c>
      <x:c r="D3" s="22" t="str">
        <x:v>All sub-sectors selling covered formulations</x:v>
      </x:c>
      <x:c r="E3" s="22" t="str">
        <x:v>Current — Applicable</x:v>
      </x:c>
      <x:c r="F3" s="22" t="str">
        <x:v>PROV031–035 replaced with paragraphs 24(4), 25(3), 26, 27 and 28(b)</x:v>
      </x:c>
      <x:c r="G3" s="22" t="str">
        <x:v>PASS</x:v>
      </x:c>
    </x:row>
    <x:row r="4">
      <x:c r="A4" s="28" t="str">
        <x:v>TECH-003</x:v>
      </x:c>
      <x:c r="B4" s="22" t="str">
        <x:v>NDPS Act / Rules</x:v>
      </x:c>
      <x:c r="C4" s="22" t="str">
        <x:v>Essential Narcotic Drug possession, sale and transport</x:v>
      </x:c>
      <x:c r="D4" s="22" t="str">
        <x:v>Specialized and any sub-sector actually handling ENDs</x:v>
      </x:c>
      <x:c r="E4" s="22" t="str">
        <x:v>Current — Conditional</x:v>
      </x:c>
      <x:c r="F4" s="22" t="str">
        <x:v>Section 8 and Rules 52A/B/D/E/F retained; enabling provisions quarantined</x:v>
      </x:c>
      <x:c r="G4" s="22" t="str">
        <x:v>PASS</x:v>
      </x:c>
    </x:row>
    <x:row r="5">
      <x:c r="A5" s="28" t="str">
        <x:v>TECH-004</x:v>
      </x:c>
      <x:c r="B5" s="22" t="str">
        <x:v>Medical Devices Rules, 2017</x:v>
      </x:c>
      <x:c r="C5" s="22" t="str">
        <x:v>Seller/licence/MD-42, records and hospital-supply boundary</x:v>
      </x:c>
      <x:c r="D5" s="22" t="str">
        <x:v>Any approved sub-sector selling medical devices</x:v>
      </x:c>
      <x:c r="E5" s="22" t="str">
        <x:v>Current — Conditional</x:v>
      </x:c>
      <x:c r="F5" s="22" t="str">
        <x:v>Rules 87–88 mapped; manufacturer/importer duties excluded</x:v>
      </x:c>
      <x:c r="G5" s="22" t="str">
        <x:v>PASS</x:v>
      </x:c>
    </x:row>
    <x:row r="6">
      <x:c r="A6" s="28" t="str">
        <x:v>TECH-005</x:v>
      </x:c>
      <x:c r="B6" s="22" t="str">
        <x:v>Cosmetics Rules, 2020</x:v>
      </x:c>
      <x:c r="C6" s="22" t="str">
        <x:v>Retail sale/distribution, labelling, claims and quality</x:v>
      </x:c>
      <x:c r="D6" s="22" t="str">
        <x:v>Any approved sub-sector selling cosmetics</x:v>
      </x:c>
      <x:c r="E6" s="22" t="str">
        <x:v>Current — Applicable</x:v>
      </x:c>
      <x:c r="F6" s="22" t="str">
        <x:v>Rules 33–36 and 39 mapped; manufacture/import excluded</x:v>
      </x:c>
      <x:c r="G6" s="22" t="str">
        <x:v>PASS</x:v>
      </x:c>
    </x:row>
    <x:row r="7">
      <x:c r="A7" s="28" t="str">
        <x:v>TECH-006</x:v>
      </x:c>
      <x:c r="B7" s="22" t="str">
        <x:v>Clinical Establishments Act</x:v>
      </x:c>
      <x:c r="C7" s="22" t="str">
        <x:v>Covered clinical-establishment registration and conditions</x:v>
      </x:c>
      <x:c r="D7" s="22" t="str">
        <x:v>Hospital/Institutional only if entity and jurisdiction triggers apply</x:v>
      </x:c>
      <x:c r="E7" s="22" t="str">
        <x:v>Current — Conditional</x:v>
      </x:c>
      <x:c r="F7" s="22" t="str">
        <x:v>Sections 11, 12, 18, 22 and 30(4) mapped</x:v>
      </x:c>
      <x:c r="G7" s="22" t="str">
        <x:v>PASS</x:v>
      </x:c>
    </x:row>
    <x:row r="8">
      <x:c r="A8" s="28" t="str">
        <x:v>TECH-007</x:v>
      </x:c>
      <x:c r="B8" s="22" t="str">
        <x:v>E-pharmacy draft/source layer</x:v>
      </x:c>
      <x:c r="C8" s="22" t="str">
        <x:v>Existing pharmacy, e-commerce, IT and cyber rules</x:v>
      </x:c>
      <x:c r="D8" s="22" t="str">
        <x:v>E-Pharmacy</x:v>
      </x:c>
      <x:c r="E8" s="22" t="str">
        <x:v>Draft / Inactive</x:v>
      </x:c>
      <x:c r="F8" s="22" t="str">
        <x:v>No dedicated final e-pharmacy rule activated through cutoff</x:v>
      </x:c>
      <x:c r="G8" s="22" t="str">
        <x:v>PASS</x:v>
      </x:c>
    </x:row>
    <x:row r="9">
      <x:c r="A9" s="28" t="str">
        <x:v>TECH-008</x:v>
      </x:c>
      <x:c r="B9" s="22" t="str">
        <x:v>Guidelines and internal controls</x:v>
      </x:c>
      <x:c r="C9" s="22" t="str">
        <x:v>GPP/GDP/GSP/recall/temperature/calibration/entity controls</x:v>
      </x:c>
      <x:c r="D9" s="22" t="str">
        <x:v>All by voluntary or licence/contract adoption</x:v>
      </x:c>
      <x:c r="E9" s="22" t="str">
        <x:v>Best Practice</x:v>
      </x:c>
      <x:c r="F9" s="22" t="str">
        <x:v>Reclassified as non-statutory; exact underlying legal duties preserved</x:v>
      </x:c>
      <x:c r="G9" s="22" t="str">
        <x:v>PASS</x:v>
      </x:c>
    </x:row>
    <x:row r="10">
      <x:c r="A10" s="28" t="str">
        <x:v>TECH-009</x:v>
      </x:c>
      <x:c r="B10" s="22" t="str">
        <x:v>State/event/source placeholders</x:v>
      </x:c>
      <x:c r="C10" s="22" t="str">
        <x:v>Exact jurisdictional or event instrument</x:v>
      </x:c>
      <x:c r="D10" s="22" t="str">
        <x:v>All by location/event</x:v>
      </x:c>
      <x:c r="E10" s="22" t="str">
        <x:v>Jurisdiction / Event Required</x:v>
      </x:c>
      <x:c r="F10" s="22" t="str">
        <x:v>Generic chains inactive pending exact instrument</x:v>
      </x:c>
      <x:c r="G10" s="22" t="str">
        <x:v>PASS</x:v>
      </x:c>
    </x:row>
  </x:sheetData>
  <x:conditionalFormatting sqref="E2:E10">
    <x:cfRule type="containsText" dxfId="45" priority="1" operator="containsText" text="PASS"/>
    <x:cfRule type="containsText" dxfId="46" priority="2" operator="containsText" text="Applicable"/>
    <x:cfRule type="containsText" dxfId="47" priority="3" operator="containsText" text="Current"/>
    <x:cfRule type="containsText" dxfId="48" priority="4" operator="containsText" text="Included"/>
    <x:cfRule type="containsText" dxfId="49" priority="5" operator="containsText" text="Conditional"/>
    <x:cfRule type="containsText" dxfId="50" priority="6" operator="containsText" text="Jurisdiction"/>
    <x:cfRule type="containsText" dxfId="51" priority="7" operator="containsText" text="Event"/>
    <x:cfRule type="containsText" dxfId="52" priority="8" operator="containsText" text="Future"/>
    <x:cfRule type="containsText" dxfId="53" priority="9" operator="containsText" text="Excluded"/>
    <x:cfRule type="containsText" dxfId="54" priority="10" operator="containsText" text="Inactive"/>
    <x:cfRule type="containsText" dxfId="55" priority="11" operator="containsText" text="Out of Scope"/>
  </x:conditionalFormatting>
  <x:pageMargins left="0.7" right="0.7" top="0.75" bottom="0.75" header="0.3" footer="0.3"/>
  <x:tableParts count="1">
    <x:tablePart xmlns:r="http://schemas.openxmlformats.org/officeDocument/2006/relationships" r:id="R211d9e0354bc4680"/>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14" hidden="0" customWidth="1"/>
    <x:col min="2" max="2" width="38" hidden="0" customWidth="1"/>
    <x:col min="3" max="3" width="20" hidden="0" customWidth="1"/>
    <x:col min="4" max="4" width="20" hidden="0" customWidth="1"/>
    <x:col min="5" max="5" width="20" hidden="0" customWidth="1"/>
    <x:col min="6" max="6" width="20" hidden="0" customWidth="1"/>
    <x:col min="7" max="7" width="22" hidden="0" customWidth="1"/>
    <x:col min="8" max="8" width="22" hidden="0" customWidth="1"/>
    <x:col min="9" max="9" width="22" hidden="0" customWidth="1"/>
    <x:col min="10" max="10" width="22" hidden="0" customWidth="1"/>
    <x:col min="11" max="11" width="22" hidden="0" customWidth="1"/>
    <x:col min="12" max="12" width="55" hidden="0" customWidth="1"/>
  </x:cols>
  <x:sheetData>
    <x:row r="1" ht="30" customHeight="1">
      <x:c r="A1" s="46" t="str">
        <x:v>Matrix ID</x:v>
      </x:c>
      <x:c r="B1" s="46" t="str">
        <x:v>Duty Family</x:v>
      </x:c>
      <x:c r="C1" s="46" t="str">
        <x:v>SUB001 Retail</x:v>
      </x:c>
      <x:c r="D1" s="46" t="str">
        <x:v>SUB002 Wholesale</x:v>
      </x:c>
      <x:c r="E1" s="46" t="str">
        <x:v>SUB003 Hospital</x:v>
      </x:c>
      <x:c r="F1" s="46" t="str">
        <x:v>SUB004 Chain</x:v>
      </x:c>
      <x:c r="G1" s="46" t="str">
        <x:v>SUB005 E-Pharmacy</x:v>
      </x:c>
      <x:c r="H1" s="46" t="str">
        <x:v>SUB006 Institutional</x:v>
      </x:c>
      <x:c r="I1" s="46" t="str">
        <x:v>SUB007 Specialized</x:v>
      </x:c>
      <x:c r="J1" s="46" t="str">
        <x:v>SUB008 Homeopathic</x:v>
      </x:c>
      <x:c r="K1" s="46" t="str">
        <x:v>SUB009 AYUSH</x:v>
      </x:c>
      <x:c r="L1" s="46" t="str">
        <x:v>Activation Test</x:v>
      </x:c>
    </x:row>
    <x:row r="2">
      <x:c r="A2" s="28" t="str">
        <x:v>ENT-001</x:v>
      </x:c>
      <x:c r="B2" s="22" t="str">
        <x:v>Drug sale licence and Drugs Rules controls</x:v>
      </x:c>
      <x:c r="C2" s="22" t="str">
        <x:v>Applicable</x:v>
      </x:c>
      <x:c r="D2" s="22" t="str">
        <x:v>Applicable</x:v>
      </x:c>
      <x:c r="E2" s="22" t="str">
        <x:v>Applicable</x:v>
      </x:c>
      <x:c r="F2" s="22" t="str">
        <x:v>Applicable</x:v>
      </x:c>
      <x:c r="G2" s="22" t="str">
        <x:v>Applicable</x:v>
      </x:c>
      <x:c r="H2" s="22" t="str">
        <x:v>Applicable</x:v>
      </x:c>
      <x:c r="I2" s="22" t="str">
        <x:v>Applicable</x:v>
      </x:c>
      <x:c r="J2" s="22" t="str">
        <x:v>Conditional Part VI-A</x:v>
      </x:c>
      <x:c r="K2" s="22" t="str">
        <x:v>Conditional exact AYUSH/product law</x:v>
      </x:c>
      <x:c r="L2" s="22" t="str">
        <x:v>Licence category, premises and products determine exact controls</x:v>
      </x:c>
    </x:row>
    <x:row r="3">
      <x:c r="A3" s="28" t="str">
        <x:v>ENT-002</x:v>
      </x:c>
      <x:c r="B3" s="22" t="str">
        <x:v>Registered pharmacist / Section 42</x:v>
      </x:c>
      <x:c r="C3" s="22" t="str">
        <x:v>Applicable</x:v>
      </x:c>
      <x:c r="D3" s="22" t="str">
        <x:v>Role dependent</x:v>
      </x:c>
      <x:c r="E3" s="22" t="str">
        <x:v>Applicable</x:v>
      </x:c>
      <x:c r="F3" s="22" t="str">
        <x:v>Applicable</x:v>
      </x:c>
      <x:c r="G3" s="22" t="str">
        <x:v>Applicable</x:v>
      </x:c>
      <x:c r="H3" s="22" t="str">
        <x:v>Role dependent</x:v>
      </x:c>
      <x:c r="I3" s="22" t="str">
        <x:v>Applicable</x:v>
      </x:c>
      <x:c r="J3" s="22" t="str">
        <x:v>Applicable where dispensing</x:v>
      </x:c>
      <x:c r="K3" s="22" t="str">
        <x:v>Applicable where dispensing</x:v>
      </x:c>
      <x:c r="L3" s="22" t="str">
        <x:v>Person actually compounds/prepares/mixes/dispenses on prescription</x:v>
      </x:c>
    </x:row>
    <x:row r="4">
      <x:c r="A4" s="28" t="str">
        <x:v>ENT-003</x:v>
      </x:c>
      <x:c r="B4" s="22" t="str">
        <x:v>DPCO retail/dealer duties</x:v>
      </x:c>
      <x:c r="C4" s="22" t="str">
        <x:v>Applicable</x:v>
      </x:c>
      <x:c r="D4" s="22" t="str">
        <x:v>Applicable</x:v>
      </x:c>
      <x:c r="E4" s="22" t="str">
        <x:v>Applicable</x:v>
      </x:c>
      <x:c r="F4" s="22" t="str">
        <x:v>Applicable</x:v>
      </x:c>
      <x:c r="G4" s="22" t="str">
        <x:v>Applicable</x:v>
      </x:c>
      <x:c r="H4" s="22" t="str">
        <x:v>Applicable</x:v>
      </x:c>
      <x:c r="I4" s="22" t="str">
        <x:v>Applicable</x:v>
      </x:c>
      <x:c r="J4" s="22" t="str">
        <x:v>Product dependent</x:v>
      </x:c>
      <x:c r="K4" s="22" t="str">
        <x:v>Product dependent</x:v>
      </x:c>
      <x:c r="L4" s="22" t="str">
        <x:v>Covered formulation and seller role</x:v>
      </x:c>
    </x:row>
    <x:row r="5">
      <x:c r="A5" s="28" t="str">
        <x:v>ENT-004</x:v>
      </x:c>
      <x:c r="B5" s="22" t="str">
        <x:v>Essential Narcotic Drug controls</x:v>
      </x:c>
      <x:c r="C5" s="22" t="str">
        <x:v>Conditional</x:v>
      </x:c>
      <x:c r="D5" s="22" t="str">
        <x:v>Conditional</x:v>
      </x:c>
      <x:c r="E5" s="22" t="str">
        <x:v>Conditional</x:v>
      </x:c>
      <x:c r="F5" s="22" t="str">
        <x:v>Conditional</x:v>
      </x:c>
      <x:c r="G5" s="22" t="str">
        <x:v>Conditional</x:v>
      </x:c>
      <x:c r="H5" s="22" t="str">
        <x:v>Conditional</x:v>
      </x:c>
      <x:c r="I5" s="22" t="str">
        <x:v>Applicable by activity</x:v>
      </x:c>
      <x:c r="J5" s="22" t="str">
        <x:v>Conditional</x:v>
      </x:c>
      <x:c r="K5" s="22" t="str">
        <x:v>Conditional</x:v>
      </x:c>
      <x:c r="L5" s="22" t="str">
        <x:v>Actual END possession/sale/transport</x:v>
      </x:c>
    </x:row>
    <x:row r="6">
      <x:c r="A6" s="28" t="str">
        <x:v>ENT-005</x:v>
      </x:c>
      <x:c r="B6" s="22" t="str">
        <x:v>Medical-device seller controls</x:v>
      </x:c>
      <x:c r="C6" s="22" t="str">
        <x:v>Conditional</x:v>
      </x:c>
      <x:c r="D6" s="22" t="str">
        <x:v>Conditional</x:v>
      </x:c>
      <x:c r="E6" s="22" t="str">
        <x:v>Conditional</x:v>
      </x:c>
      <x:c r="F6" s="22" t="str">
        <x:v>Conditional</x:v>
      </x:c>
      <x:c r="G6" s="22" t="str">
        <x:v>Conditional</x:v>
      </x:c>
      <x:c r="H6" s="22" t="str">
        <x:v>Conditional</x:v>
      </x:c>
      <x:c r="I6" s="22" t="str">
        <x:v>Conditional</x:v>
      </x:c>
      <x:c r="J6" s="22" t="str">
        <x:v>Conditional</x:v>
      </x:c>
      <x:c r="K6" s="22" t="str">
        <x:v>Conditional</x:v>
      </x:c>
      <x:c r="L6" s="22" t="str">
        <x:v>Actual device sale/stock/distribution and licence/MD-42 boundary</x:v>
      </x:c>
    </x:row>
    <x:row r="7">
      <x:c r="A7" s="28" t="str">
        <x:v>ENT-006</x:v>
      </x:c>
      <x:c r="B7" s="22" t="str">
        <x:v>Cosmetics retail controls</x:v>
      </x:c>
      <x:c r="C7" s="22" t="str">
        <x:v>Conditional</x:v>
      </x:c>
      <x:c r="D7" s="22" t="str">
        <x:v>Conditional</x:v>
      </x:c>
      <x:c r="E7" s="22" t="str">
        <x:v>Conditional</x:v>
      </x:c>
      <x:c r="F7" s="22" t="str">
        <x:v>Conditional</x:v>
      </x:c>
      <x:c r="G7" s="22" t="str">
        <x:v>Conditional</x:v>
      </x:c>
      <x:c r="H7" s="22" t="str">
        <x:v>Conditional</x:v>
      </x:c>
      <x:c r="I7" s="22" t="str">
        <x:v>Conditional</x:v>
      </x:c>
      <x:c r="J7" s="22" t="str">
        <x:v>Conditional</x:v>
      </x:c>
      <x:c r="K7" s="22" t="str">
        <x:v>Conditional</x:v>
      </x:c>
      <x:c r="L7" s="22" t="str">
        <x:v>Actual cosmetic sale/distribution</x:v>
      </x:c>
    </x:row>
    <x:row r="8">
      <x:c r="A8" s="28" t="str">
        <x:v>ENT-007</x:v>
      </x:c>
      <x:c r="B8" s="22" t="str">
        <x:v>Clinical-establishment overlay</x:v>
      </x:c>
      <x:c r="C8" s="22" t="str">
        <x:v>Not Applicable</x:v>
      </x:c>
      <x:c r="D8" s="22" t="str">
        <x:v>Not Applicable</x:v>
      </x:c>
      <x:c r="E8" s="22" t="str">
        <x:v>Conditional</x:v>
      </x:c>
      <x:c r="F8" s="22" t="str">
        <x:v>Not Applicable</x:v>
      </x:c>
      <x:c r="G8" s="22" t="str">
        <x:v>Not Applicable</x:v>
      </x:c>
      <x:c r="H8" s="22" t="str">
        <x:v>Conditional</x:v>
      </x:c>
      <x:c r="I8" s="22" t="str">
        <x:v>Conditional</x:v>
      </x:c>
      <x:c r="J8" s="22" t="str">
        <x:v>Conditional</x:v>
      </x:c>
      <x:c r="K8" s="22" t="str">
        <x:v>Conditional</x:v>
      </x:c>
      <x:c r="L8" s="22" t="str">
        <x:v>Part of a covered clinical establishment in an applicable jurisdiction</x:v>
      </x:c>
    </x:row>
    <x:row r="9">
      <x:c r="A9" s="28" t="str">
        <x:v>ENT-008</x:v>
      </x:c>
      <x:c r="B9" s="22" t="str">
        <x:v>E-commerce/IT/CERT-In overlay</x:v>
      </x:c>
      <x:c r="C9" s="22" t="str">
        <x:v>Not Applicable</x:v>
      </x:c>
      <x:c r="D9" s="22" t="str">
        <x:v>Not Applicable</x:v>
      </x:c>
      <x:c r="E9" s="22" t="str">
        <x:v>Not Applicable</x:v>
      </x:c>
      <x:c r="F9" s="22" t="str">
        <x:v>Conditional</x:v>
      </x:c>
      <x:c r="G9" s="22" t="str">
        <x:v>Applicable</x:v>
      </x:c>
      <x:c r="H9" s="22" t="str">
        <x:v>Conditional</x:v>
      </x:c>
      <x:c r="I9" s="22" t="str">
        <x:v>Conditional</x:v>
      </x:c>
      <x:c r="J9" s="22" t="str">
        <x:v>Not Applicable</x:v>
      </x:c>
      <x:c r="K9" s="22" t="str">
        <x:v>Not Applicable</x:v>
      </x:c>
      <x:c r="L9" s="22" t="str">
        <x:v>Online/e-commerce/digital role and incident trigger</x:v>
      </x:c>
    </x:row>
    <x:row r="10">
      <x:c r="A10" s="28" t="str">
        <x:v>ENT-009</x:v>
      </x:c>
      <x:c r="B10" s="22" t="str">
        <x:v>Internal entity controls</x:v>
      </x:c>
      <x:c r="C10" s="22" t="str">
        <x:v>Optional</x:v>
      </x:c>
      <x:c r="D10" s="22" t="str">
        <x:v>Optional</x:v>
      </x:c>
      <x:c r="E10" s="22" t="str">
        <x:v>Optional</x:v>
      </x:c>
      <x:c r="F10" s="22" t="str">
        <x:v>Optional</x:v>
      </x:c>
      <x:c r="G10" s="22" t="str">
        <x:v>Optional</x:v>
      </x:c>
      <x:c r="H10" s="22" t="str">
        <x:v>Optional</x:v>
      </x:c>
      <x:c r="I10" s="22" t="str">
        <x:v>Optional</x:v>
      </x:c>
      <x:c r="J10" s="22" t="str">
        <x:v>Optional</x:v>
      </x:c>
      <x:c r="K10" s="22" t="str">
        <x:v>Optional</x:v>
      </x:c>
      <x:c r="L10" s="22" t="str">
        <x:v>No independent statutory force; exact legal duty mapped separately</x:v>
      </x:c>
    </x:row>
  </x:sheetData>
  <x:conditionalFormatting sqref="C2:C10">
    <x:cfRule type="containsText" dxfId="56" priority="1" operator="containsText" text="PASS"/>
    <x:cfRule type="containsText" dxfId="57" priority="2" operator="containsText" text="Applicable"/>
    <x:cfRule type="containsText" dxfId="58" priority="3" operator="containsText" text="Current"/>
    <x:cfRule type="containsText" dxfId="59" priority="4" operator="containsText" text="Included"/>
    <x:cfRule type="containsText" dxfId="60" priority="5" operator="containsText" text="Conditional"/>
    <x:cfRule type="containsText" dxfId="61" priority="6" operator="containsText" text="Jurisdiction"/>
    <x:cfRule type="containsText" dxfId="62" priority="7" operator="containsText" text="Event"/>
    <x:cfRule type="containsText" dxfId="63" priority="8" operator="containsText" text="Future"/>
    <x:cfRule type="containsText" dxfId="64" priority="9" operator="containsText" text="Excluded"/>
    <x:cfRule type="containsText" dxfId="65" priority="10" operator="containsText" text="Inactive"/>
    <x:cfRule type="containsText" dxfId="66" priority="11" operator="containsText" text="Out of Scope"/>
  </x:conditionalFormatting>
  <x:pageMargins left="0.7" right="0.7" top="0.75" bottom="0.75" header="0.3" footer="0.3"/>
  <x:tableParts count="1">
    <x:tablePart xmlns:r="http://schemas.openxmlformats.org/officeDocument/2006/relationships" r:id="R22b0cfbf418b48d8"/>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15" hidden="0" customWidth="1"/>
    <x:col min="2" max="2" width="38" hidden="0" customWidth="1"/>
    <x:col min="3" max="3" width="27" hidden="0" customWidth="1"/>
    <x:col min="4" max="4" width="50" hidden="0" customWidth="1"/>
    <x:col min="5" max="5" width="45" hidden="0" customWidth="1"/>
    <x:col min="6" max="6" width="55" hidden="0" customWidth="1"/>
  </x:cols>
  <x:sheetData>
    <x:row r="1" ht="30" customHeight="1">
      <x:c r="A1" s="46" t="str">
        <x:v>Boundary ID</x:v>
      </x:c>
      <x:c r="B1" s="46" t="str">
        <x:v>Potential Role</x:v>
      </x:c>
      <x:c r="C1" s="46" t="str">
        <x:v>P-4 Classification</x:v>
      </x:c>
      <x:c r="D1" s="46" t="str">
        <x:v>Trigger / Duty Family</x:v>
      </x:c>
      <x:c r="E1" s="46" t="str">
        <x:v>Required Decision Input</x:v>
      </x:c>
      <x:c r="F1" s="46" t="str">
        <x:v>Workbook Treatment</x:v>
      </x:c>
    </x:row>
    <x:row r="2">
      <x:c r="A2" s="28" t="str">
        <x:v>ROLE-001</x:v>
      </x:c>
      <x:c r="B2" s="22" t="str">
        <x:v>Manufacturer of drugs/cosmetics</x:v>
      </x:c>
      <x:c r="C2" s="22" t="str">
        <x:v>Out of Scope</x:v>
      </x:c>
      <x:c r="D2" s="22" t="str">
        <x:v>Manufacturing licence, GMP, release, recall and vigilance</x:v>
      </x:c>
      <x:c r="E2" s="22" t="str">
        <x:v>Separate regulated entity taxonomy</x:v>
      </x:c>
      <x:c r="F2" s="22" t="str">
        <x:v>No Pharmacy production activation</x:v>
      </x:c>
    </x:row>
    <x:row r="3">
      <x:c r="A3" s="28" t="str">
        <x:v>ROLE-002</x:v>
      </x:c>
      <x:c r="B3" s="22" t="str">
        <x:v>Importer/exporter</x:v>
      </x:c>
      <x:c r="C3" s="22" t="str">
        <x:v>Out of Scope</x:v>
      </x:c>
      <x:c r="D3" s="22" t="str">
        <x:v>Import licence, customs and foreign-trade duties</x:v>
      </x:c>
      <x:c r="E3" s="22" t="str">
        <x:v>Separate importer/exporter profile</x:v>
      </x:c>
      <x:c r="F3" s="22" t="str">
        <x:v>LAW066–070 inactive for Pharmacy</x:v>
      </x:c>
    </x:row>
    <x:row r="4">
      <x:c r="A4" s="28" t="str">
        <x:v>ROLE-003</x:v>
      </x:c>
      <x:c r="B4" s="22" t="str">
        <x:v>Clinical-trial sponsor/investigator/site</x:v>
      </x:c>
      <x:c r="C4" s="22" t="str">
        <x:v>Out of Scope</x:v>
      </x:c>
      <x:c r="D4" s="22" t="str">
        <x:v>New Drugs and Clinical Trials Rules activities</x:v>
      </x:c>
      <x:c r="E4" s="22" t="str">
        <x:v>Separate clinical-research taxonomy</x:v>
      </x:c>
      <x:c r="F4" s="22" t="str">
        <x:v>LAW008 inactive</x:v>
      </x:c>
    </x:row>
    <x:row r="5">
      <x:c r="A5" s="28" t="str">
        <x:v>ROLE-004</x:v>
      </x:c>
      <x:c r="B5" s="22" t="str">
        <x:v>Testing laboratory / blood centre</x:v>
      </x:c>
      <x:c r="C5" s="22" t="str">
        <x:v>Out of Scope</x:v>
      </x:c>
      <x:c r="D5" s="22" t="str">
        <x:v>Separate technical licence and quality systems</x:v>
      </x:c>
      <x:c r="E5" s="22" t="str">
        <x:v>Separate regulated entity taxonomy</x:v>
      </x:c>
      <x:c r="F5" s="22" t="str">
        <x:v>No taxonomy expansion</x:v>
      </x:c>
    </x:row>
    <x:row r="6">
      <x:c r="A6" s="28" t="str">
        <x:v>ROLE-005</x:v>
      </x:c>
      <x:c r="B6" s="22" t="str">
        <x:v>Medical-device manufacturer/importer</x:v>
      </x:c>
      <x:c r="C6" s="22" t="str">
        <x:v>Out of Scope</x:v>
      </x:c>
      <x:c r="D6" s="22" t="str">
        <x:v>Manufacture/import/post-market/recall duties</x:v>
      </x:c>
      <x:c r="E6" s="22" t="str">
        <x:v>Separate device entity taxonomy</x:v>
      </x:c>
      <x:c r="F6" s="22" t="str">
        <x:v>Only seller/stockist Rules 87–88 retained</x:v>
      </x:c>
    </x:row>
    <x:row r="7">
      <x:c r="A7" s="28" t="str">
        <x:v>ROLE-006</x:v>
      </x:c>
      <x:c r="B7" s="22" t="str">
        <x:v>Cosmetic manufacturer/importer</x:v>
      </x:c>
      <x:c r="C7" s="22" t="str">
        <x:v>Out of Scope</x:v>
      </x:c>
      <x:c r="D7" s="22" t="str">
        <x:v>Manufacture/import and product-approval duties</x:v>
      </x:c>
      <x:c r="E7" s="22" t="str">
        <x:v>Separate cosmetic entity taxonomy</x:v>
      </x:c>
      <x:c r="F7" s="22" t="str">
        <x:v>Only retail-facing Rules 33–36 and 39 retained</x:v>
      </x:c>
    </x:row>
    <x:row r="8">
      <x:c r="A8" s="28" t="str">
        <x:v>ROLE-007</x:v>
      </x:c>
      <x:c r="B8" s="22" t="str">
        <x:v>Clinical establishment</x:v>
      </x:c>
      <x:c r="C8" s="22" t="str">
        <x:v>Conditional</x:v>
      </x:c>
      <x:c r="D8" s="22" t="str">
        <x:v>Hospital/institutional pharmacy is part of covered establishment</x:v>
      </x:c>
      <x:c r="E8" s="22" t="str">
        <x:v>Exact State/UT and entity profile</x:v>
      </x:c>
      <x:c r="F8" s="22" t="str">
        <x:v>LAW080 conditional</x:v>
      </x:c>
    </x:row>
    <x:row r="9">
      <x:c r="A9" s="28" t="str">
        <x:v>ROLE-008</x:v>
      </x:c>
      <x:c r="B9" s="22" t="str">
        <x:v>PIBO/EPR producer role</x:v>
      </x:c>
      <x:c r="C9" s="22" t="str">
        <x:v>Conditional / separate role</x:v>
      </x:c>
      <x:c r="D9" s="22" t="str">
        <x:v>Producer/importer/brand-owner status under waste rules</x:v>
      </x:c>
      <x:c r="E9" s="22" t="str">
        <x:v>Exact role and registration evidence</x:v>
      </x:c>
      <x:c r="F9" s="22" t="str">
        <x:v>Ordinary retailer/generator duties do not create PIBO status</x:v>
      </x:c>
    </x:row>
    <x:row r="10">
      <x:c r="A10" s="28" t="str">
        <x:v>ROLE-009</x:v>
      </x:c>
      <x:c r="B10" s="22" t="str">
        <x:v>Data Fiduciary under future-effective DPDP duties</x:v>
      </x:c>
      <x:c r="C10" s="22" t="str">
        <x:v>Future</x:v>
      </x:c>
      <x:c r="D10" s="22" t="str">
        <x:v>Substantive commencement and processing profile</x:v>
      </x:c>
      <x:c r="E10" s="22" t="str">
        <x:v>Commencement monitor and digital profile</x:v>
      </x:c>
      <x:c r="F10" s="22" t="str">
        <x:v>No early production activation</x:v>
      </x:c>
    </x:row>
  </x:sheetData>
  <x:conditionalFormatting sqref="C2:C10">
    <x:cfRule type="containsText" dxfId="67" priority="1" operator="containsText" text="PASS"/>
    <x:cfRule type="containsText" dxfId="68" priority="2" operator="containsText" text="Applicable"/>
    <x:cfRule type="containsText" dxfId="69" priority="3" operator="containsText" text="Current"/>
    <x:cfRule type="containsText" dxfId="70" priority="4" operator="containsText" text="Included"/>
    <x:cfRule type="containsText" dxfId="71" priority="5" operator="containsText" text="Conditional"/>
    <x:cfRule type="containsText" dxfId="72" priority="6" operator="containsText" text="Jurisdiction"/>
    <x:cfRule type="containsText" dxfId="73" priority="7" operator="containsText" text="Event"/>
    <x:cfRule type="containsText" dxfId="74" priority="8" operator="containsText" text="Future"/>
    <x:cfRule type="containsText" dxfId="75" priority="9" operator="containsText" text="Excluded"/>
    <x:cfRule type="containsText" dxfId="76" priority="10" operator="containsText" text="Inactive"/>
    <x:cfRule type="containsText" dxfId="77" priority="11" operator="containsText" text="Out of Scope"/>
  </x:conditionalFormatting>
  <x:pageMargins left="0.7" right="0.7" top="0.75" bottom="0.75" header="0.3" footer="0.3"/>
  <x:tableParts count="1">
    <x:tablePart xmlns:r="http://schemas.openxmlformats.org/officeDocument/2006/relationships" r:id="Rb1de2d7665584720"/>
  </x:tableParts>
</x:worksheet>
</file>

<file path=xl/worksheets/sheet41.xml><?xml version="1.0" encoding="utf-8"?>
<x:worksheet xmlns:x="http://schemas.openxmlformats.org/spreadsheetml/2006/main">
  <x:sheetViews>
    <x:sheetView showGridLines="0" workbookViewId="0"/>
  </x:sheetViews>
  <x:sheetFormatPr defaultRowHeight="15"/>
  <x:cols>
    <x:col min="1" max="1" width="15" hidden="0" customWidth="1"/>
    <x:col min="2" max="2" width="50" hidden="0" customWidth="1"/>
    <x:col min="3" max="3" width="18" hidden="0" customWidth="1"/>
    <x:col min="4" max="4" width="24" hidden="0" customWidth="1"/>
    <x:col min="5" max="5" width="14" hidden="0" customWidth="1"/>
    <x:col min="6" max="6" width="70" hidden="0" customWidth="1"/>
  </x:cols>
  <x:sheetData>
    <x:row r="1" ht="30" customHeight="1">
      <x:c r="A1" s="46" t="str">
        <x:v>Check ID</x:v>
      </x:c>
      <x:c r="B1" s="46" t="str">
        <x:v>Execution-Chain Check</x:v>
      </x:c>
      <x:c r="C1" s="46" t="str">
        <x:v>Before P-4</x:v>
      </x:c>
      <x:c r="D1" s="46" t="str">
        <x:v>After P-4 / Addressed</x:v>
      </x:c>
      <x:c r="E1" s="46" t="str">
        <x:v>Status</x:v>
      </x:c>
      <x:c r="F1" s="46" t="str">
        <x:v>Treatment</x:v>
      </x:c>
    </x:row>
    <x:row r="2">
      <x:c r="A2" s="28" t="str">
        <x:v>CHAIN-001</x:v>
      </x:c>
      <x:c r="B2" s="22" t="str">
        <x:v>Active provisions without active compliance</x:v>
      </x:c>
      <x:c r="C2" s="22" t="n">
        <x:v>26</x:v>
      </x:c>
      <x:c r="D2" s="22" t="n">
        <x:v>0</x:v>
      </x:c>
      <x:c r="E2" s="22" t="str">
        <x:v>PASS</x:v>
      </x:c>
      <x:c r="F2" s="22" t="str">
        <x:v>Penalty-only and duplicate provisions inactivated; substantive controls retained</x:v>
      </x:c>
    </x:row>
    <x:row r="3">
      <x:c r="A3" s="28" t="str">
        <x:v>CHAIN-002</x:v>
      </x:c>
      <x:c r="B3" s="22" t="str">
        <x:v>Active compliances without active audit</x:v>
      </x:c>
      <x:c r="C3" s="22" t="n">
        <x:v>0</x:v>
      </x:c>
      <x:c r="D3" s="22" t="n">
        <x:v>0</x:v>
      </x:c>
      <x:c r="E3" s="22" t="str">
        <x:v>PASS</x:v>
      </x:c>
      <x:c r="F3" s="22" t="str">
        <x:v>No gap</x:v>
      </x:c>
    </x:row>
    <x:row r="4">
      <x:c r="A4" s="28" t="str">
        <x:v>CHAIN-003</x:v>
      </x:c>
      <x:c r="B4" s="22" t="str">
        <x:v>Active audits without active evidence</x:v>
      </x:c>
      <x:c r="C4" s="22" t="n">
        <x:v>205</x:v>
      </x:c>
      <x:c r="D4" s="22" t="n">
        <x:v>0</x:v>
      </x:c>
      <x:c r="E4" s="22" t="str">
        <x:v>PASS</x:v>
      </x:c>
      <x:c r="F4" s="22" t="str">
        <x:v>166 evidence records added after quarantine</x:v>
      </x:c>
    </x:row>
    <x:row r="5">
      <x:c r="A5" s="28" t="str">
        <x:v>CHAIN-004</x:v>
      </x:c>
      <x:c r="B5" s="22" t="str">
        <x:v>Active audits without active observation</x:v>
      </x:c>
      <x:c r="C5" s="22" t="n">
        <x:v>205</x:v>
      </x:c>
      <x:c r="D5" s="22" t="n">
        <x:v>0</x:v>
      </x:c>
      <x:c r="E5" s="22" t="str">
        <x:v>PASS</x:v>
      </x:c>
      <x:c r="F5" s="22" t="str">
        <x:v>166 observation templates added after quarantine</x:v>
      </x:c>
    </x:row>
    <x:row r="6">
      <x:c r="A6" s="28" t="str">
        <x:v>CHAIN-005</x:v>
      </x:c>
      <x:c r="B6" s="22" t="str">
        <x:v>Active provisions under inactive law</x:v>
      </x:c>
      <x:c r="C6" s="22" t="n">
        <x:v>29</x:v>
      </x:c>
      <x:c r="D6" s="22" t="n">
        <x:v>0</x:v>
      </x:c>
      <x:c r="E6" s="22" t="str">
        <x:v>PASS</x:v>
      </x:c>
      <x:c r="F6" s="22" t="str">
        <x:v>Entity controls reparented; generic/out-of-role chains quarantined</x:v>
      </x:c>
    </x:row>
    <x:row r="7">
      <x:c r="A7" s="28" t="str">
        <x:v>CHAIN-006</x:v>
      </x:c>
      <x:c r="B7" s="22" t="str">
        <x:v>Active compliances under inactive provision</x:v>
      </x:c>
      <x:c r="C7" s="22" t="n">
        <x:v>0</x:v>
      </x:c>
      <x:c r="D7" s="22" t="n">
        <x:v>0</x:v>
      </x:c>
      <x:c r="E7" s="22" t="str">
        <x:v>PASS</x:v>
      </x:c>
      <x:c r="F7" s="22" t="str">
        <x:v>Parent-child status synchronized</x:v>
      </x:c>
    </x:row>
    <x:row r="8">
      <x:c r="A8" s="28" t="str">
        <x:v>CHAIN-007</x:v>
      </x:c>
      <x:c r="B8" s="22" t="str">
        <x:v>Active audits under inactive compliance</x:v>
      </x:c>
      <x:c r="C8" s="22" t="n">
        <x:v>0</x:v>
      </x:c>
      <x:c r="D8" s="22" t="n">
        <x:v>0</x:v>
      </x:c>
      <x:c r="E8" s="22" t="str">
        <x:v>PASS</x:v>
      </x:c>
      <x:c r="F8" s="22" t="str">
        <x:v>Parent-child status synchronized</x:v>
      </x:c>
    </x:row>
    <x:row r="9">
      <x:c r="A9" s="28" t="str">
        <x:v>CHAIN-008</x:v>
      </x:c>
      <x:c r="B9" s="22" t="str">
        <x:v>Active evidence under inactive audit</x:v>
      </x:c>
      <x:c r="C9" s="22" t="n">
        <x:v>0</x:v>
      </x:c>
      <x:c r="D9" s="22" t="n">
        <x:v>0</x:v>
      </x:c>
      <x:c r="E9" s="22" t="str">
        <x:v>PASS</x:v>
      </x:c>
      <x:c r="F9" s="22" t="str">
        <x:v>Parent-child status synchronized</x:v>
      </x:c>
    </x:row>
    <x:row r="10">
      <x:c r="A10" s="28" t="str">
        <x:v>CHAIN-009</x:v>
      </x:c>
      <x:c r="B10" s="22" t="str">
        <x:v>Active observations under inactive audit</x:v>
      </x:c>
      <x:c r="C10" s="22" t="n">
        <x:v>0</x:v>
      </x:c>
      <x:c r="D10" s="22" t="n">
        <x:v>0</x:v>
      </x:c>
      <x:c r="E10" s="22" t="str">
        <x:v>PASS</x:v>
      </x:c>
      <x:c r="F10" s="22" t="str">
        <x:v>Parent-child status synchronized</x:v>
      </x:c>
    </x:row>
    <x:row r="11">
      <x:c r="A11" s="28" t="str">
        <x:v>CHAIN-010</x:v>
      </x:c>
      <x:c r="B11" s="22" t="str">
        <x:v>Legacy active audits normalized</x:v>
      </x:c>
      <x:c r="C11" s="22" t="n">
        <x:v>200</x:v>
      </x:c>
      <x:c r="D11" s="22" t="n">
        <x:v>200</x:v>
      </x:c>
      <x:c r="E11" s="22" t="str">
        <x:v>PASS</x:v>
      </x:c>
      <x:c r="F11" s="22" t="str">
        <x:v>AUD168–AUD521 normalized to their current parents; IDs preserved</x:v>
      </x:c>
    </x:row>
    <x:row r="12">
      <x:c r="A12" s="28" t="str">
        <x:v>CHAIN-011</x:v>
      </x:c>
      <x:c r="B12" s="22" t="str">
        <x:v>Entity-specific operational controls reclassified</x:v>
      </x:c>
      <x:c r="C12" s="22" t="n">
        <x:v>460</x:v>
      </x:c>
      <x:c r="D12" s="22" t="n">
        <x:v>460</x:v>
      </x:c>
      <x:c r="E12" s="22" t="str">
        <x:v>PASS</x:v>
      </x:c>
      <x:c r="F12" s="22" t="str">
        <x:v>Moved to LAW099 and marked Best Practice / Optional</x:v>
      </x:c>
    </x:row>
  </x:sheetData>
  <x:conditionalFormatting sqref="E2:E12">
    <x:cfRule type="containsText" dxfId="78" priority="1" operator="containsText" text="PASS"/>
    <x:cfRule type="containsText" dxfId="79" priority="2" operator="containsText" text="Applicable"/>
    <x:cfRule type="containsText" dxfId="80" priority="3" operator="containsText" text="Current"/>
    <x:cfRule type="containsText" dxfId="81" priority="4" operator="containsText" text="Included"/>
    <x:cfRule type="containsText" dxfId="82" priority="5" operator="containsText" text="Conditional"/>
    <x:cfRule type="containsText" dxfId="83" priority="6" operator="containsText" text="Jurisdiction"/>
    <x:cfRule type="containsText" dxfId="84" priority="7" operator="containsText" text="Event"/>
    <x:cfRule type="containsText" dxfId="85" priority="8" operator="containsText" text="Future"/>
    <x:cfRule type="containsText" dxfId="86" priority="9" operator="containsText" text="Excluded"/>
    <x:cfRule type="containsText" dxfId="87" priority="10" operator="containsText" text="Inactive"/>
    <x:cfRule type="containsText" dxfId="88" priority="11" operator="containsText" text="Out of Scope"/>
  </x:conditionalFormatting>
  <x:pageMargins left="0.7" right="0.7" top="0.75" bottom="0.75" header="0.3" footer="0.3"/>
  <x:tableParts count="1">
    <x:tablePart xmlns:r="http://schemas.openxmlformats.org/officeDocument/2006/relationships" r:id="R6424950b20184320"/>
  </x:tableParts>
</x:worksheet>
</file>

<file path=xl/worksheets/sheet42.xml><?xml version="1.0" encoding="utf-8"?>
<x:worksheet xmlns:x="http://schemas.openxmlformats.org/spreadsheetml/2006/main">
  <x:sheetViews>
    <x:sheetView showGridLines="0" workbookViewId="0"/>
  </x:sheetViews>
  <x:sheetFormatPr defaultRowHeight="15"/>
  <x:cols>
    <x:col min="1" max="1" width="46" hidden="0" customWidth="1"/>
    <x:col min="2" max="2" width="29" hidden="0" customWidth="1"/>
    <x:col min="3" max="3" width="18" hidden="0" customWidth="1"/>
    <x:col min="4" max="4" width="78" hidden="0" customWidth="1"/>
  </x:cols>
  <x:sheetData>
    <x:row r="1">
      <x:c r="A1" s="45" t="str">
        <x:v>Gate / Metric</x:v>
      </x:c>
      <x:c r="B1" s="45" t="str">
        <x:v>Result / Count</x:v>
      </x:c>
      <x:c r="C1" s="45" t="str">
        <x:v>Status</x:v>
      </x:c>
      <x:c r="D1" s="45" t="str">
        <x:v>Notes</x:v>
      </x:c>
    </x:row>
    <x:row r="2">
      <x:c r="A2" s="28" t="str">
        <x:v>P-4 Scope Date</x:v>
      </x:c>
      <x:c r="B2" s="22" t="str">
        <x:v>2026-08-20</x:v>
      </x:c>
      <x:c r="C2" s="22" t="str">
        <x:v>PASS</x:v>
      </x:c>
      <x:c r="D2" s="22" t="str">
        <x:v>Current-law cutoff through 20 August 2026.</x:v>
      </x:c>
    </x:row>
    <x:row r="3">
      <x:c r="A3" s="28" t="str">
        <x:v>Approved Pharmacy Sub-Sectors</x:v>
      </x:c>
      <x:c r="B3" s="22" t="n">
        <x:v>9</x:v>
      </x:c>
      <x:c r="C3" s="22" t="str">
        <x:v>PASS</x:v>
      </x:c>
      <x:c r="D3" s="22" t="str">
        <x:v>SUB001–SUB009 complete and active; no taxonomy expansion.</x:v>
      </x:c>
    </x:row>
    <x:row r="4">
      <x:c r="A4" s="28" t="str">
        <x:v>Technical Law Families Validated</x:v>
      </x:c>
      <x:c r="B4" s="22" t="n">
        <x:v>9</x:v>
      </x:c>
      <x:c r="C4" s="22" t="str">
        <x:v>PASS</x:v>
      </x:c>
      <x:c r="D4" s="22" t="str">
        <x:v>Pharmacy Act/PPR, pricing, NDPS, devices, cosmetics, clinical-establishment and e-pharmacy positions validated.</x:v>
      </x:c>
    </x:row>
    <x:row r="5">
      <x:c r="A5" s="28" t="str">
        <x:v>Entity-Applicability Duty Families</x:v>
      </x:c>
      <x:c r="B5" s="22" t="n">
        <x:v>9</x:v>
      </x:c>
      <x:c r="C5" s="22" t="str">
        <x:v>PASS</x:v>
      </x:c>
      <x:c r="D5" s="22" t="str">
        <x:v>Nine-sub-sector matrix completed with role, product, jurisdiction and event triggers.</x:v>
      </x:c>
    </x:row>
    <x:row r="6">
      <x:c r="A6" s="28" t="str">
        <x:v>Role Boundaries Recorded</x:v>
      </x:c>
      <x:c r="B6" s="22" t="n">
        <x:v>9</x:v>
      </x:c>
      <x:c r="C6" s="22" t="str">
        <x:v>PASS</x:v>
      </x:c>
      <x:c r="D6" s="22" t="str">
        <x:v>Manufacturer, importer, clinical-trial and other non-pharmacy roles remain excluded or conditional.</x:v>
      </x:c>
    </x:row>
    <x:row r="7">
      <x:c r="A7" s="28" t="str">
        <x:v>Entity Controls Reclassified</x:v>
      </x:c>
      <x:c r="B7" s="22" t="n">
        <x:v>460</x:v>
      </x:c>
      <x:c r="C7" s="22" t="str">
        <x:v>PASS</x:v>
      </x:c>
      <x:c r="D7" s="22" t="str">
        <x:v>Non-statutory controls retained under LAW099 as optional best practice.</x:v>
      </x:c>
    </x:row>
    <x:row r="8">
      <x:c r="A8" s="28" t="str">
        <x:v>Legacy Audits Normalized</x:v>
      </x:c>
      <x:c r="B8" s="22" t="n">
        <x:v>200</x:v>
      </x:c>
      <x:c r="C8" s="22" t="str">
        <x:v>PASS</x:v>
      </x:c>
      <x:c r="D8" s="22" t="str">
        <x:v>Active AUD168–AUD521 tests aligned to their current parent compliance.</x:v>
      </x:c>
    </x:row>
    <x:row r="9">
      <x:c r="A9" s="28" t="str">
        <x:v>Evidence Records Added</x:v>
      </x:c>
      <x:c r="B9" s="22" t="n">
        <x:v>166</x:v>
      </x:c>
      <x:c r="C9" s="22" t="str">
        <x:v>PASS</x:v>
      </x:c>
      <x:c r="D9" s="22" t="str">
        <x:v>Every active audit has at least one active evidence record.</x:v>
      </x:c>
    </x:row>
    <x:row r="10">
      <x:c r="A10" s="28" t="str">
        <x:v>Observation Templates Added</x:v>
      </x:c>
      <x:c r="B10" s="22" t="n">
        <x:v>166</x:v>
      </x:c>
      <x:c r="C10" s="22" t="str">
        <x:v>PASS</x:v>
      </x:c>
      <x:c r="D10" s="22" t="str">
        <x:v>Every active audit has at least one active observation template.</x:v>
      </x:c>
    </x:row>
    <x:row r="11">
      <x:c r="A11" s="28" t="str">
        <x:v>Active Chain Gaps</x:v>
      </x:c>
      <x:c r="B11" s="22" t="n">
        <x:v>0</x:v>
      </x:c>
      <x:c r="C11" s="22" t="str">
        <x:v>PASS</x:v>
      </x:c>
      <x:c r="D11" s="22" t="str">
        <x:v>All active Law→Provision→Compliance→Audit→Evidence→Observation paths are closed.</x:v>
      </x:c>
    </x:row>
    <x:row r="12">
      <x:c r="A12" s="28" t="str">
        <x:v>Generic State / Event Placeholders Activated</x:v>
      </x:c>
      <x:c r="B12" s="22" t="n">
        <x:v>0</x:v>
      </x:c>
      <x:c r="C12" s="22" t="str">
        <x:v>PASS</x:v>
      </x:c>
      <x:c r="D12" s="22" t="str">
        <x:v>Exact jurisdiction/order required before runtime activation.</x:v>
      </x:c>
    </x:row>
    <x:row r="13">
      <x:c r="A13" s="28" t="str">
        <x:v>Future / Draft Duties Activated</x:v>
      </x:c>
      <x:c r="B13" s="22" t="n">
        <x:v>0</x:v>
      </x:c>
      <x:c r="C13" s="22" t="str">
        <x:v>PASS</x:v>
      </x:c>
      <x:c r="D13" s="22" t="str">
        <x:v>Draft e-pharmacy and future-effective DPDP duties remain inactive.</x:v>
      </x:c>
    </x:row>
    <x:row r="14">
      <x:c r="A14" s="28" t="str">
        <x:v>Common Corporate Core Reopened</x:v>
      </x:c>
      <x:c r="B14" s="22" t="n">
        <x:v>0</x:v>
      </x:c>
      <x:c r="C14" s="22" t="str">
        <x:v>PASS</x:v>
      </x:c>
      <x:c r="D14" s="22" t="str">
        <x:v>Company/LLP governance remains separate and runtime-combined.</x:v>
      </x:c>
    </x:row>
    <x:row r="15">
      <x:c r="A15" s="28" t="str">
        <x:v>P-4 Remaining Technical &amp; Entity-Applicability Gate</x:v>
      </x:c>
      <x:c r="B15" s="22" t="str">
        <x:v>PASS</x:v>
      </x:c>
      <x:c r="C15" s="22" t="str">
        <x:v>COMPLETE</x:v>
      </x:c>
      <x:c r="D15" s="22" t="str">
        <x:v>Residual technical, entity/role and execution-chain validation completed.</x:v>
      </x:c>
    </x:row>
    <x:row r="16">
      <x:c r="A16" s="28" t="str">
        <x:v>Workbook Freeze</x:v>
      </x:c>
      <x:c r="B16" s="22" t="str">
        <x:v>FROZEN</x:v>
      </x:c>
      <x:c r="C16" s="22" t="str">
        <x:v>PASS</x:v>
      </x:c>
      <x:c r="D16" s="22" t="str">
        <x:v>P-0 through P-4 complete; Pharmacy dataset is regulatory-coverage validated and frozen.</x:v>
      </x:c>
    </x:row>
  </x:sheetData>
  <x:conditionalFormatting sqref="C2:C16">
    <x:cfRule type="containsText" dxfId="89" priority="1" operator="containsText" text="PASS"/>
    <x:cfRule type="containsText" dxfId="90" priority="2" operator="containsText" text="COMPLETE"/>
  </x:conditionalFormatting>
  <x:pageMargins left="0.7" right="0.7" top="0.75" bottom="0.75" header="0.3" footer="0.3"/>
  <x:tableParts count="1">
    <x:tablePart xmlns:r="http://schemas.openxmlformats.org/officeDocument/2006/relationships" r:id="R34184dc8925f445c"/>
  </x:tableParts>
</x:worksheet>
</file>